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24226"/>
  <mc:AlternateContent xmlns:mc="http://schemas.openxmlformats.org/markup-compatibility/2006">
    <mc:Choice Requires="x15">
      <x15ac:absPath xmlns:x15ac="http://schemas.microsoft.com/office/spreadsheetml/2010/11/ac" url="F:\MAGNUM\Mishaun\Python Scripts\Data Extraction\December 19\"/>
    </mc:Choice>
  </mc:AlternateContent>
  <xr:revisionPtr revIDLastSave="0" documentId="13_ncr:1_{E8E9A14B-841D-4F4F-9FA4-5C209E7A9501}" xr6:coauthVersionLast="45" xr6:coauthVersionMax="45" xr10:uidLastSave="{00000000-0000-0000-0000-000000000000}"/>
  <bookViews>
    <workbookView xWindow="28680" yWindow="-1845" windowWidth="29040" windowHeight="15840" tabRatio="824" activeTab="1" xr2:uid="{00000000-000D-0000-FFFF-FFFF00000000}"/>
  </bookViews>
  <sheets>
    <sheet name="November 2019 EDI" sheetId="4" r:id="rId1"/>
    <sheet name="Working Spreadsheet November 19" sheetId="8" r:id="rId2"/>
    <sheet name="FuzzyLookup_AddIn_Undo_Sheet" sheetId="14" state="hidden" r:id="rId3"/>
    <sheet name="Allocations" sheetId="13" r:id="rId4"/>
    <sheet name="Raw Copy Allocations" sheetId="17" r:id="rId5"/>
    <sheet name="Oct 2019 RRC Export" sheetId="6" r:id="rId6"/>
    <sheet name="2019 Fuel May" sheetId="11" r:id="rId7"/>
    <sheet name="South Texas Meter Statement" sheetId="15" r:id="rId8"/>
    <sheet name="SummaryTable" sheetId="9" r:id="rId9"/>
    <sheet name="Dropdown Controller" sheetId="10" r:id="rId10"/>
    <sheet name="FilterList" sheetId="16" r:id="rId11"/>
  </sheets>
  <externalReferences>
    <externalReference r:id="rId12"/>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'November 2019 EDI'!$A$3:$AT$193</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91029" calcMode="autoNoTable" iterate="1"/>
  <pivotCaches>
    <pivotCache cacheId="4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13" l="1"/>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E5" i="13"/>
  <c r="E6" i="13"/>
  <c r="E7" i="13"/>
  <c r="E28" i="13"/>
  <c r="E50" i="13"/>
  <c r="E53" i="13"/>
  <c r="E59" i="13"/>
  <c r="E61" i="13"/>
  <c r="E82" i="13"/>
  <c r="E90"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7"/>
  <c r="C93" i="17"/>
  <c r="H93" i="17"/>
  <c r="A101" i="17" l="1"/>
  <c r="E98" i="17"/>
  <c r="A96" i="17"/>
  <c r="E92" i="17"/>
  <c r="E79" i="13" s="1"/>
  <c r="E91" i="17"/>
  <c r="E78" i="13" s="1"/>
  <c r="E90" i="17"/>
  <c r="E74" i="13" s="1"/>
  <c r="E89" i="17"/>
  <c r="E32" i="13" s="1"/>
  <c r="E88" i="17"/>
  <c r="E85" i="13" s="1"/>
  <c r="E87" i="17"/>
  <c r="E86" i="13" s="1"/>
  <c r="E86" i="17"/>
  <c r="E58" i="13" s="1"/>
  <c r="E85" i="17"/>
  <c r="E87" i="13" s="1"/>
  <c r="E84" i="17"/>
  <c r="E18" i="13" s="1"/>
  <c r="E83" i="17"/>
  <c r="E16" i="13" s="1"/>
  <c r="E82" i="17"/>
  <c r="E17" i="13" s="1"/>
  <c r="E81" i="17"/>
  <c r="E57" i="13" s="1"/>
  <c r="E80" i="17"/>
  <c r="E15" i="13" s="1"/>
  <c r="E79" i="17"/>
  <c r="E47" i="13" s="1"/>
  <c r="E78" i="17"/>
  <c r="E81" i="13" s="1"/>
  <c r="E72" i="17"/>
  <c r="E62" i="13" s="1"/>
  <c r="E71" i="17"/>
  <c r="E67" i="13" s="1"/>
  <c r="E70" i="17"/>
  <c r="E21" i="13" s="1"/>
  <c r="E68" i="17"/>
  <c r="E73" i="13" s="1"/>
  <c r="E67" i="17"/>
  <c r="E14" i="13" s="1"/>
  <c r="E66" i="17"/>
  <c r="E8" i="13" s="1"/>
  <c r="E65" i="17"/>
  <c r="E19" i="13" s="1"/>
  <c r="E63" i="17"/>
  <c r="E20" i="13" s="1"/>
  <c r="E62" i="17"/>
  <c r="E88" i="13" s="1"/>
  <c r="E61" i="17"/>
  <c r="E56" i="13" s="1"/>
  <c r="E60" i="17"/>
  <c r="E91" i="13" s="1"/>
  <c r="E58" i="17"/>
  <c r="E89" i="13" s="1"/>
  <c r="E57" i="17"/>
  <c r="E10" i="13" s="1"/>
  <c r="E56" i="17"/>
  <c r="E25" i="13" s="1"/>
  <c r="E55" i="17"/>
  <c r="E84" i="13" s="1"/>
  <c r="E54" i="17"/>
  <c r="E51" i="13" s="1"/>
  <c r="E53" i="17"/>
  <c r="E75" i="13" s="1"/>
  <c r="E52" i="17"/>
  <c r="E66" i="13" s="1"/>
  <c r="E51" i="17"/>
  <c r="E64" i="13" s="1"/>
  <c r="E50" i="17"/>
  <c r="E63" i="13" s="1"/>
  <c r="E49" i="17"/>
  <c r="E65" i="13" s="1"/>
  <c r="E48" i="17"/>
  <c r="E44" i="13" s="1"/>
  <c r="E47" i="17"/>
  <c r="E60" i="13" s="1"/>
  <c r="E46" i="17"/>
  <c r="E71" i="13" s="1"/>
  <c r="E45" i="17"/>
  <c r="E41" i="13" s="1"/>
  <c r="E44" i="17"/>
  <c r="E40" i="13" s="1"/>
  <c r="E43" i="17"/>
  <c r="E39" i="13" s="1"/>
  <c r="E42" i="17"/>
  <c r="E26" i="13" s="1"/>
  <c r="E41" i="17"/>
  <c r="E24" i="13" s="1"/>
  <c r="E40" i="17"/>
  <c r="E45" i="13" s="1"/>
  <c r="E39" i="17"/>
  <c r="E46" i="13" s="1"/>
  <c r="E38" i="17"/>
  <c r="E55" i="13" s="1"/>
  <c r="E37" i="17"/>
  <c r="E72" i="13" s="1"/>
  <c r="E36" i="17"/>
  <c r="E23" i="13" s="1"/>
  <c r="E35" i="17"/>
  <c r="E35" i="13" s="1"/>
  <c r="E34" i="17"/>
  <c r="E48" i="13" s="1"/>
  <c r="E33" i="17"/>
  <c r="E34" i="13" s="1"/>
  <c r="E32" i="17"/>
  <c r="E33" i="13" s="1"/>
  <c r="E31" i="17"/>
  <c r="E83" i="13" s="1"/>
  <c r="E30" i="17"/>
  <c r="E76" i="13" s="1"/>
  <c r="E29" i="17"/>
  <c r="E28" i="17"/>
  <c r="E27" i="13" s="1"/>
  <c r="E27" i="17"/>
  <c r="E31" i="13" s="1"/>
  <c r="E26" i="17"/>
  <c r="E38" i="13" s="1"/>
  <c r="E25" i="17"/>
  <c r="E37" i="13" s="1"/>
  <c r="E24" i="17"/>
  <c r="E36" i="13" s="1"/>
  <c r="E23" i="17"/>
  <c r="E52" i="13" s="1"/>
  <c r="E22" i="17"/>
  <c r="E22" i="13" s="1"/>
  <c r="E21" i="17"/>
  <c r="E80" i="13" s="1"/>
  <c r="E20" i="17"/>
  <c r="E68" i="13" s="1"/>
  <c r="E19" i="17"/>
  <c r="E42" i="13" s="1"/>
  <c r="E18" i="17"/>
  <c r="E69" i="13" s="1"/>
  <c r="E17" i="17"/>
  <c r="E70" i="13" s="1"/>
  <c r="E16" i="17"/>
  <c r="E11" i="13" s="1"/>
  <c r="E15" i="17"/>
  <c r="E13" i="13" s="1"/>
  <c r="E13" i="17"/>
  <c r="E43" i="13" s="1"/>
  <c r="E11" i="17"/>
  <c r="E30" i="13" s="1"/>
  <c r="E10" i="17"/>
  <c r="E9" i="13" s="1"/>
  <c r="E9" i="17"/>
  <c r="E54" i="13" s="1"/>
  <c r="E8" i="17"/>
  <c r="E12" i="13" s="1"/>
  <c r="E7" i="17"/>
  <c r="E92" i="13" s="1"/>
  <c r="E6" i="17"/>
  <c r="E29" i="13" s="1"/>
  <c r="E5" i="17"/>
  <c r="E77" i="13" s="1"/>
  <c r="E49" i="13" l="1"/>
  <c r="E93" i="17"/>
  <c r="F235" i="6"/>
  <c r="J235" i="6"/>
  <c r="P235" i="6"/>
  <c r="L235" i="6"/>
  <c r="M122"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L122" i="8"/>
  <c r="N122" i="8"/>
  <c r="O235" i="6" l="1"/>
  <c r="N235" i="6"/>
  <c r="K235" i="6"/>
  <c r="E235" i="6"/>
  <c r="I76" i="11"/>
  <c r="L76" i="11" s="1"/>
  <c r="H76" i="11"/>
  <c r="I75" i="11"/>
  <c r="L75" i="11" s="1"/>
  <c r="H75" i="11"/>
  <c r="I74" i="11"/>
  <c r="L74" i="11" s="1"/>
  <c r="H74" i="11"/>
  <c r="I73" i="11"/>
  <c r="L73" i="11" s="1"/>
  <c r="H73" i="11"/>
  <c r="I70" i="11"/>
  <c r="L70" i="11" s="1"/>
  <c r="H70" i="11"/>
  <c r="I69" i="11"/>
  <c r="L69" i="11" s="1"/>
  <c r="H69" i="11"/>
  <c r="I67" i="11"/>
  <c r="L67" i="11" s="1"/>
  <c r="H67" i="11"/>
  <c r="I66" i="11"/>
  <c r="L66" i="11" s="1"/>
  <c r="H66" i="11"/>
  <c r="I64" i="11"/>
  <c r="L64" i="11" s="1"/>
  <c r="H64" i="11"/>
  <c r="I63" i="11"/>
  <c r="L63" i="11" s="1"/>
  <c r="H63" i="11"/>
  <c r="I61" i="11"/>
  <c r="H61" i="11"/>
  <c r="I58" i="11"/>
  <c r="L58" i="11" s="1"/>
  <c r="H58" i="11"/>
  <c r="L57" i="11"/>
  <c r="I57" i="11"/>
  <c r="H57" i="11"/>
  <c r="I56" i="11"/>
  <c r="L56" i="11" s="1"/>
  <c r="H56" i="11"/>
  <c r="L54" i="11"/>
  <c r="I54" i="11"/>
  <c r="H54" i="11"/>
  <c r="I52" i="11"/>
  <c r="L52" i="11" s="1"/>
  <c r="H52" i="11"/>
  <c r="L51" i="11"/>
  <c r="I51" i="11"/>
  <c r="H51" i="11"/>
  <c r="I49" i="11"/>
  <c r="L49" i="11" s="1"/>
  <c r="H49" i="11"/>
  <c r="L48" i="11"/>
  <c r="I48" i="11"/>
  <c r="H48" i="11"/>
  <c r="I47" i="11"/>
  <c r="L47" i="11" s="1"/>
  <c r="H47" i="11"/>
  <c r="L46" i="11"/>
  <c r="I46" i="11"/>
  <c r="H46" i="11"/>
  <c r="I42" i="11"/>
  <c r="L42" i="11" s="1"/>
  <c r="H42" i="11"/>
  <c r="L41" i="11"/>
  <c r="I41" i="11"/>
  <c r="H41" i="11"/>
  <c r="I40" i="11"/>
  <c r="L40" i="11" s="1"/>
  <c r="H40" i="11"/>
  <c r="L39" i="11"/>
  <c r="I39" i="11"/>
  <c r="H39" i="11"/>
  <c r="I38" i="11"/>
  <c r="L38" i="11" s="1"/>
  <c r="H38" i="11"/>
  <c r="L37" i="11"/>
  <c r="I37" i="11"/>
  <c r="H37" i="11"/>
  <c r="I36" i="11"/>
  <c r="L36" i="11" s="1"/>
  <c r="H36" i="11"/>
  <c r="L35" i="11"/>
  <c r="I35" i="11"/>
  <c r="H35" i="11"/>
  <c r="I34" i="11"/>
  <c r="L34" i="11" s="1"/>
  <c r="H34" i="11"/>
  <c r="L33" i="11"/>
  <c r="I33" i="11"/>
  <c r="H33" i="11"/>
  <c r="I32" i="11"/>
  <c r="L32" i="11" s="1"/>
  <c r="H32" i="11"/>
  <c r="L31" i="11"/>
  <c r="I31" i="11"/>
  <c r="H31" i="11"/>
  <c r="I30" i="11"/>
  <c r="L30" i="11" s="1"/>
  <c r="H30" i="11"/>
  <c r="L29" i="11"/>
  <c r="I29" i="11"/>
  <c r="H29" i="11"/>
  <c r="I28" i="11"/>
  <c r="L28" i="11" s="1"/>
  <c r="H28" i="11"/>
  <c r="L26" i="11"/>
  <c r="I26" i="11"/>
  <c r="H26" i="11"/>
  <c r="I25" i="11"/>
  <c r="L25" i="11" s="1"/>
  <c r="H25" i="11"/>
  <c r="L24" i="11"/>
  <c r="I24" i="11"/>
  <c r="H24" i="11"/>
  <c r="I22" i="11"/>
  <c r="L22" i="11" s="1"/>
  <c r="H22" i="11"/>
  <c r="L21" i="11"/>
  <c r="I21" i="11"/>
  <c r="H21" i="11"/>
  <c r="I20" i="11"/>
  <c r="L20" i="11" s="1"/>
  <c r="H20" i="11"/>
  <c r="L19" i="11"/>
  <c r="I19" i="11"/>
  <c r="H19" i="11"/>
  <c r="I18" i="11"/>
  <c r="L18" i="11" s="1"/>
  <c r="H18" i="11"/>
  <c r="L16" i="11"/>
  <c r="I16" i="11"/>
  <c r="H16" i="11"/>
  <c r="I15" i="11"/>
  <c r="L15" i="11" s="1"/>
  <c r="H15" i="11"/>
  <c r="L14" i="11"/>
  <c r="I14" i="11"/>
  <c r="H14" i="11"/>
  <c r="I12" i="11"/>
  <c r="L12" i="11" s="1"/>
  <c r="H12" i="11"/>
  <c r="I11" i="11"/>
  <c r="H11" i="11"/>
  <c r="E93" i="13"/>
  <c r="D93" i="13"/>
  <c r="C93" i="13"/>
  <c r="A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7" i="8"/>
  <c r="F197" i="8"/>
  <c r="C197" i="8"/>
  <c r="AE196" i="8"/>
  <c r="AA196" i="8"/>
  <c r="O8" i="4" s="1"/>
  <c r="V196" i="8"/>
  <c r="X196" i="8" s="1"/>
  <c r="S196" i="8"/>
  <c r="AA8" i="4" s="1"/>
  <c r="N196" i="8"/>
  <c r="Q196" i="8" s="1"/>
  <c r="M196" i="8"/>
  <c r="L196" i="8"/>
  <c r="AE195" i="8"/>
  <c r="AA195" i="8"/>
  <c r="O113" i="4" s="1"/>
  <c r="V195" i="8"/>
  <c r="X195" i="8" s="1"/>
  <c r="P113" i="4" s="1"/>
  <c r="S195" i="8"/>
  <c r="AA113" i="4" s="1"/>
  <c r="N195" i="8"/>
  <c r="Q195" i="8" s="1"/>
  <c r="M195" i="8"/>
  <c r="L195" i="8"/>
  <c r="AE194" i="8"/>
  <c r="AA194" i="8"/>
  <c r="O59" i="4" s="1"/>
  <c r="V194" i="8"/>
  <c r="X194" i="8" s="1"/>
  <c r="P59" i="4" s="1"/>
  <c r="S194" i="8"/>
  <c r="AA59" i="4" s="1"/>
  <c r="N194" i="8"/>
  <c r="Q194" i="8" s="1"/>
  <c r="M194" i="8"/>
  <c r="L194" i="8"/>
  <c r="AE193" i="8"/>
  <c r="AA193" i="8"/>
  <c r="O58" i="4" s="1"/>
  <c r="V193" i="8"/>
  <c r="X193" i="8" s="1"/>
  <c r="P58" i="4" s="1"/>
  <c r="S193" i="8"/>
  <c r="AA58" i="4" s="1"/>
  <c r="N193" i="8"/>
  <c r="Q193" i="8" s="1"/>
  <c r="M193" i="8"/>
  <c r="L193" i="8"/>
  <c r="AE192" i="8"/>
  <c r="AA192" i="8"/>
  <c r="O27" i="4" s="1"/>
  <c r="V192" i="8"/>
  <c r="X192" i="8" s="1"/>
  <c r="P27" i="4" s="1"/>
  <c r="S192" i="8"/>
  <c r="AA27" i="4" s="1"/>
  <c r="N192" i="8"/>
  <c r="Q192" i="8" s="1"/>
  <c r="M192" i="8"/>
  <c r="L192" i="8"/>
  <c r="AE191" i="8"/>
  <c r="AA191" i="8"/>
  <c r="O78" i="4" s="1"/>
  <c r="V191" i="8"/>
  <c r="X191" i="8" s="1"/>
  <c r="P78" i="4" s="1"/>
  <c r="S191" i="8"/>
  <c r="AA78" i="4" s="1"/>
  <c r="N191" i="8"/>
  <c r="Q191" i="8" s="1"/>
  <c r="M191" i="8"/>
  <c r="L191" i="8"/>
  <c r="AE190" i="8"/>
  <c r="AA190" i="8"/>
  <c r="O77" i="4" s="1"/>
  <c r="V190" i="8"/>
  <c r="X190" i="8" s="1"/>
  <c r="S190" i="8"/>
  <c r="AA77" i="4" s="1"/>
  <c r="N190" i="8"/>
  <c r="Q190" i="8" s="1"/>
  <c r="M190" i="8"/>
  <c r="L190" i="8"/>
  <c r="AE189" i="8"/>
  <c r="AA189" i="8"/>
  <c r="O79" i="4" s="1"/>
  <c r="V189" i="8"/>
  <c r="X189" i="8" s="1"/>
  <c r="S189" i="8"/>
  <c r="AA79" i="4" s="1"/>
  <c r="N189" i="8"/>
  <c r="Q189" i="8" s="1"/>
  <c r="M189" i="8"/>
  <c r="L189" i="8"/>
  <c r="AE188" i="8"/>
  <c r="AA188" i="8"/>
  <c r="O178" i="4" s="1"/>
  <c r="V188" i="8"/>
  <c r="X188" i="8" s="1"/>
  <c r="P178" i="4" s="1"/>
  <c r="S188" i="8"/>
  <c r="AA178" i="4" s="1"/>
  <c r="N188" i="8"/>
  <c r="Q188" i="8" s="1"/>
  <c r="M188" i="8"/>
  <c r="L188" i="8"/>
  <c r="AE187" i="8"/>
  <c r="AA187" i="8"/>
  <c r="O62" i="4" s="1"/>
  <c r="V187" i="8"/>
  <c r="X187" i="8" s="1"/>
  <c r="P62" i="4" s="1"/>
  <c r="S187" i="8"/>
  <c r="AA62" i="4" s="1"/>
  <c r="N187" i="8"/>
  <c r="Q187" i="8" s="1"/>
  <c r="M187" i="8"/>
  <c r="L187" i="8"/>
  <c r="AE186" i="8"/>
  <c r="AA186" i="8"/>
  <c r="O102" i="4" s="1"/>
  <c r="V186" i="8"/>
  <c r="X186" i="8" s="1"/>
  <c r="S186" i="8"/>
  <c r="AA102" i="4" s="1"/>
  <c r="N186" i="8"/>
  <c r="Q186" i="8" s="1"/>
  <c r="AQ102" i="4" s="1"/>
  <c r="M186" i="8"/>
  <c r="L186" i="8"/>
  <c r="AE185" i="8"/>
  <c r="AA185" i="8"/>
  <c r="V185" i="8"/>
  <c r="X185" i="8" s="1"/>
  <c r="P89" i="4" s="1"/>
  <c r="S185" i="8"/>
  <c r="AA89" i="4" s="1"/>
  <c r="N185" i="8"/>
  <c r="Q185" i="8" s="1"/>
  <c r="M185" i="8"/>
  <c r="L185" i="8"/>
  <c r="AE184" i="8"/>
  <c r="AA184" i="8"/>
  <c r="O192" i="4" s="1"/>
  <c r="V184" i="8"/>
  <c r="X184" i="8" s="1"/>
  <c r="P192" i="4" s="1"/>
  <c r="S184" i="8"/>
  <c r="N184" i="8"/>
  <c r="Q184" i="8" s="1"/>
  <c r="M184" i="8"/>
  <c r="L184" i="8"/>
  <c r="AE183" i="8"/>
  <c r="AA183" i="8"/>
  <c r="O45" i="4" s="1"/>
  <c r="V183" i="8"/>
  <c r="X183" i="8" s="1"/>
  <c r="S183" i="8"/>
  <c r="AA45" i="4" s="1"/>
  <c r="N183" i="8"/>
  <c r="Q183" i="8" s="1"/>
  <c r="M183" i="8"/>
  <c r="L183" i="8"/>
  <c r="AE182" i="8"/>
  <c r="AA182" i="8"/>
  <c r="O47" i="4" s="1"/>
  <c r="V182" i="8"/>
  <c r="X182" i="8" s="1"/>
  <c r="P47" i="4" s="1"/>
  <c r="S182" i="8"/>
  <c r="AA47" i="4" s="1"/>
  <c r="N182" i="8"/>
  <c r="Q182" i="8" s="1"/>
  <c r="M182" i="8"/>
  <c r="L182" i="8"/>
  <c r="AE181" i="8"/>
  <c r="AA181" i="8"/>
  <c r="O41" i="4" s="1"/>
  <c r="V181" i="8"/>
  <c r="X181" i="8" s="1"/>
  <c r="S181" i="8"/>
  <c r="AA41" i="4" s="1"/>
  <c r="N181" i="8"/>
  <c r="Q181" i="8" s="1"/>
  <c r="M181" i="8"/>
  <c r="L181" i="8"/>
  <c r="AE180" i="8"/>
  <c r="AA180" i="8"/>
  <c r="O43" i="4" s="1"/>
  <c r="V180" i="8"/>
  <c r="X180" i="8" s="1"/>
  <c r="S180" i="8"/>
  <c r="AA43" i="4" s="1"/>
  <c r="N180" i="8"/>
  <c r="Q180" i="8" s="1"/>
  <c r="M180" i="8"/>
  <c r="L180" i="8"/>
  <c r="AE179" i="8"/>
  <c r="AA179" i="8"/>
  <c r="O42" i="4" s="1"/>
  <c r="V179" i="8"/>
  <c r="X179" i="8" s="1"/>
  <c r="P42" i="4" s="1"/>
  <c r="S179" i="8"/>
  <c r="AA42" i="4" s="1"/>
  <c r="N179" i="8"/>
  <c r="Q179" i="8" s="1"/>
  <c r="M179" i="8"/>
  <c r="L179" i="8"/>
  <c r="AE178" i="8"/>
  <c r="AA178" i="8"/>
  <c r="O96" i="4" s="1"/>
  <c r="V178" i="8"/>
  <c r="X178" i="8" s="1"/>
  <c r="P96" i="4" s="1"/>
  <c r="S178" i="8"/>
  <c r="AA96" i="4" s="1"/>
  <c r="N178" i="8"/>
  <c r="Q178" i="8" s="1"/>
  <c r="M178" i="8"/>
  <c r="L178" i="8"/>
  <c r="AE177" i="8"/>
  <c r="AA177" i="8"/>
  <c r="O95" i="4" s="1"/>
  <c r="V177" i="8"/>
  <c r="X177" i="8" s="1"/>
  <c r="S177" i="8"/>
  <c r="AA95" i="4" s="1"/>
  <c r="N177" i="8"/>
  <c r="Q177" i="8" s="1"/>
  <c r="M177" i="8"/>
  <c r="L177" i="8"/>
  <c r="AE176" i="8"/>
  <c r="AA176" i="8"/>
  <c r="O97" i="4" s="1"/>
  <c r="V176" i="8"/>
  <c r="X176" i="8" s="1"/>
  <c r="P97" i="4" s="1"/>
  <c r="S176" i="8"/>
  <c r="AA97" i="4" s="1"/>
  <c r="N176" i="8"/>
  <c r="Q176" i="8" s="1"/>
  <c r="M176" i="8"/>
  <c r="L176" i="8"/>
  <c r="AE175" i="8"/>
  <c r="AA175" i="8"/>
  <c r="O39" i="4" s="1"/>
  <c r="V175" i="8"/>
  <c r="X175" i="8" s="1"/>
  <c r="P39" i="4" s="1"/>
  <c r="S175" i="8"/>
  <c r="AA39" i="4" s="1"/>
  <c r="N175" i="8"/>
  <c r="Q175" i="8" s="1"/>
  <c r="M175" i="8"/>
  <c r="L175" i="8"/>
  <c r="AE174" i="8"/>
  <c r="AA174" i="8"/>
  <c r="O40" i="4" s="1"/>
  <c r="V174" i="8"/>
  <c r="X174" i="8" s="1"/>
  <c r="P40" i="4" s="1"/>
  <c r="S174" i="8"/>
  <c r="AA40" i="4" s="1"/>
  <c r="N174" i="8"/>
  <c r="Q174" i="8" s="1"/>
  <c r="M174" i="8"/>
  <c r="L174" i="8"/>
  <c r="AE173" i="8"/>
  <c r="AA173" i="8"/>
  <c r="O151" i="4" s="1"/>
  <c r="V173" i="8"/>
  <c r="X173" i="8" s="1"/>
  <c r="P151" i="4" s="1"/>
  <c r="S173" i="8"/>
  <c r="AA151" i="4" s="1"/>
  <c r="N173" i="8"/>
  <c r="Q173" i="8" s="1"/>
  <c r="M173" i="8"/>
  <c r="L173" i="8"/>
  <c r="AE172" i="8"/>
  <c r="AA172" i="8"/>
  <c r="O11" i="4" s="1"/>
  <c r="V172" i="8"/>
  <c r="X172" i="8" s="1"/>
  <c r="S172" i="8"/>
  <c r="AA11" i="4" s="1"/>
  <c r="N172" i="8"/>
  <c r="Q172" i="8" s="1"/>
  <c r="M172" i="8"/>
  <c r="L172" i="8"/>
  <c r="AE171" i="8"/>
  <c r="AA171" i="8"/>
  <c r="O13" i="4" s="1"/>
  <c r="V171" i="8"/>
  <c r="X171" i="8" s="1"/>
  <c r="P13" i="4" s="1"/>
  <c r="S171" i="8"/>
  <c r="AA13" i="4" s="1"/>
  <c r="N171" i="8"/>
  <c r="Q171" i="8" s="1"/>
  <c r="M171" i="8"/>
  <c r="L171" i="8"/>
  <c r="AE170" i="8"/>
  <c r="AA170" i="8"/>
  <c r="O144" i="4" s="1"/>
  <c r="V170" i="8"/>
  <c r="X170" i="8" s="1"/>
  <c r="P144" i="4" s="1"/>
  <c r="S170" i="8"/>
  <c r="AA144" i="4" s="1"/>
  <c r="N170" i="8"/>
  <c r="Q170" i="8" s="1"/>
  <c r="M170" i="8"/>
  <c r="L170" i="8"/>
  <c r="AE169" i="8"/>
  <c r="AA169" i="8"/>
  <c r="O71" i="4" s="1"/>
  <c r="V169" i="8"/>
  <c r="X169" i="8" s="1"/>
  <c r="P71" i="4" s="1"/>
  <c r="S169" i="8"/>
  <c r="AA71" i="4" s="1"/>
  <c r="N169" i="8"/>
  <c r="Q169" i="8" s="1"/>
  <c r="M169" i="8"/>
  <c r="L169" i="8"/>
  <c r="AE168" i="8"/>
  <c r="AA168" i="8"/>
  <c r="O139" i="4" s="1"/>
  <c r="V168" i="8"/>
  <c r="X168" i="8" s="1"/>
  <c r="P139" i="4" s="1"/>
  <c r="S168" i="8"/>
  <c r="AA139" i="4" s="1"/>
  <c r="N168" i="8"/>
  <c r="Q168" i="8" s="1"/>
  <c r="M168" i="8"/>
  <c r="L168" i="8"/>
  <c r="AE167" i="8"/>
  <c r="AA167" i="8"/>
  <c r="O105" i="4" s="1"/>
  <c r="V167" i="8"/>
  <c r="X167" i="8" s="1"/>
  <c r="P105" i="4" s="1"/>
  <c r="S167" i="8"/>
  <c r="N167" i="8"/>
  <c r="Q167" i="8" s="1"/>
  <c r="M167" i="8"/>
  <c r="L167" i="8"/>
  <c r="AE166" i="8"/>
  <c r="AA166" i="8"/>
  <c r="O107" i="4" s="1"/>
  <c r="V166" i="8"/>
  <c r="X166" i="8" s="1"/>
  <c r="P107" i="4" s="1"/>
  <c r="S166" i="8"/>
  <c r="AA107" i="4" s="1"/>
  <c r="N166" i="8"/>
  <c r="Q166" i="8" s="1"/>
  <c r="M166" i="8"/>
  <c r="L166" i="8"/>
  <c r="AE165" i="8"/>
  <c r="AA165" i="8"/>
  <c r="O74" i="4" s="1"/>
  <c r="V165" i="8"/>
  <c r="X165" i="8" s="1"/>
  <c r="P74" i="4" s="1"/>
  <c r="S165" i="8"/>
  <c r="AA74" i="4" s="1"/>
  <c r="N165" i="8"/>
  <c r="Q165" i="8" s="1"/>
  <c r="M165" i="8"/>
  <c r="L165" i="8"/>
  <c r="AE164" i="8"/>
  <c r="AA164" i="8"/>
  <c r="O17" i="4" s="1"/>
  <c r="V164" i="8"/>
  <c r="X164" i="8" s="1"/>
  <c r="P17" i="4" s="1"/>
  <c r="S164" i="8"/>
  <c r="AA17" i="4" s="1"/>
  <c r="N164" i="8"/>
  <c r="Q164" i="8" s="1"/>
  <c r="M164" i="8"/>
  <c r="L164" i="8"/>
  <c r="AE163" i="8"/>
  <c r="AA163" i="8"/>
  <c r="O76" i="4" s="1"/>
  <c r="V163" i="8"/>
  <c r="X163" i="8" s="1"/>
  <c r="P76" i="4" s="1"/>
  <c r="S163" i="8"/>
  <c r="AA76" i="4" s="1"/>
  <c r="N163" i="8"/>
  <c r="Q163" i="8" s="1"/>
  <c r="R163" i="8" s="1"/>
  <c r="M163" i="8"/>
  <c r="L163" i="8"/>
  <c r="AE162" i="8"/>
  <c r="AA162" i="8"/>
  <c r="O116" i="4" s="1"/>
  <c r="V162" i="8"/>
  <c r="X162" i="8" s="1"/>
  <c r="P116" i="4" s="1"/>
  <c r="S162" i="8"/>
  <c r="AA116" i="4" s="1"/>
  <c r="N162" i="8"/>
  <c r="Q162" i="8" s="1"/>
  <c r="M162" i="8"/>
  <c r="L162" i="8"/>
  <c r="AE161" i="8"/>
  <c r="AA161" i="8"/>
  <c r="O184" i="4" s="1"/>
  <c r="V161" i="8"/>
  <c r="X161" i="8" s="1"/>
  <c r="S161" i="8"/>
  <c r="AA184" i="4" s="1"/>
  <c r="N161" i="8"/>
  <c r="Q161" i="8" s="1"/>
  <c r="M161" i="8"/>
  <c r="L161" i="8"/>
  <c r="AE160" i="8"/>
  <c r="AA160" i="8"/>
  <c r="O183" i="4" s="1"/>
  <c r="V160" i="8"/>
  <c r="X160" i="8" s="1"/>
  <c r="P183" i="4" s="1"/>
  <c r="S160" i="8"/>
  <c r="AA183" i="4" s="1"/>
  <c r="N160" i="8"/>
  <c r="Q160" i="8" s="1"/>
  <c r="R160" i="8" s="1"/>
  <c r="M160" i="8"/>
  <c r="L160" i="8"/>
  <c r="AE159" i="8"/>
  <c r="AA159" i="8"/>
  <c r="O133" i="4" s="1"/>
  <c r="V159" i="8"/>
  <c r="X159" i="8" s="1"/>
  <c r="P133" i="4" s="1"/>
  <c r="S159" i="8"/>
  <c r="AA133" i="4" s="1"/>
  <c r="N159" i="8"/>
  <c r="Q159" i="8" s="1"/>
  <c r="M159" i="8"/>
  <c r="L159" i="8"/>
  <c r="AE158" i="8"/>
  <c r="AA158" i="8"/>
  <c r="O81" i="4" s="1"/>
  <c r="V158" i="8"/>
  <c r="X158" i="8" s="1"/>
  <c r="P81" i="4" s="1"/>
  <c r="S158" i="8"/>
  <c r="AA81" i="4" s="1"/>
  <c r="N158" i="8"/>
  <c r="Q158" i="8" s="1"/>
  <c r="M158" i="8"/>
  <c r="L158" i="8"/>
  <c r="AE157" i="8"/>
  <c r="AA157" i="8"/>
  <c r="O99" i="4" s="1"/>
  <c r="V157" i="8"/>
  <c r="X157" i="8" s="1"/>
  <c r="P99" i="4" s="1"/>
  <c r="S157" i="8"/>
  <c r="AA99" i="4" s="1"/>
  <c r="N157" i="8"/>
  <c r="Q157" i="8" s="1"/>
  <c r="M157" i="8"/>
  <c r="L157" i="8"/>
  <c r="AE156" i="8"/>
  <c r="AA156" i="8"/>
  <c r="O112" i="4" s="1"/>
  <c r="V156" i="8"/>
  <c r="X156" i="8" s="1"/>
  <c r="P112" i="4" s="1"/>
  <c r="S156" i="8"/>
  <c r="AA112" i="4" s="1"/>
  <c r="N156" i="8"/>
  <c r="Q156" i="8" s="1"/>
  <c r="M156" i="8"/>
  <c r="L156" i="8"/>
  <c r="AE155" i="8"/>
  <c r="AA155" i="8"/>
  <c r="O114" i="4" s="1"/>
  <c r="V155" i="8"/>
  <c r="X155" i="8" s="1"/>
  <c r="P114" i="4" s="1"/>
  <c r="S155" i="8"/>
  <c r="N155" i="8"/>
  <c r="Q155" i="8" s="1"/>
  <c r="M155" i="8"/>
  <c r="L155" i="8"/>
  <c r="AE154" i="8"/>
  <c r="AA154" i="8"/>
  <c r="O110" i="4" s="1"/>
  <c r="V154" i="8"/>
  <c r="X154" i="8" s="1"/>
  <c r="P110" i="4" s="1"/>
  <c r="S154" i="8"/>
  <c r="AA110" i="4" s="1"/>
  <c r="N154" i="8"/>
  <c r="Q154" i="8" s="1"/>
  <c r="M154" i="8"/>
  <c r="L154" i="8"/>
  <c r="AE153" i="8"/>
  <c r="AA153" i="8"/>
  <c r="O111" i="4" s="1"/>
  <c r="V153" i="8"/>
  <c r="X153" i="8" s="1"/>
  <c r="P111" i="4" s="1"/>
  <c r="S153" i="8"/>
  <c r="AA111" i="4" s="1"/>
  <c r="N153" i="8"/>
  <c r="Q153" i="8" s="1"/>
  <c r="M153" i="8"/>
  <c r="L153" i="8"/>
  <c r="AE152" i="8"/>
  <c r="AA152" i="8"/>
  <c r="O150" i="4" s="1"/>
  <c r="V152" i="8"/>
  <c r="X152" i="8" s="1"/>
  <c r="S152" i="8"/>
  <c r="AA150" i="4" s="1"/>
  <c r="N152" i="8"/>
  <c r="Q152" i="8" s="1"/>
  <c r="M152" i="8"/>
  <c r="L152" i="8"/>
  <c r="AE151" i="8"/>
  <c r="AA151" i="8"/>
  <c r="O126" i="4" s="1"/>
  <c r="V151" i="8"/>
  <c r="X151" i="8" s="1"/>
  <c r="P126" i="4" s="1"/>
  <c r="S151" i="8"/>
  <c r="AA126" i="4" s="1"/>
  <c r="N151" i="8"/>
  <c r="Q151" i="8" s="1"/>
  <c r="M151" i="8"/>
  <c r="L151" i="8"/>
  <c r="AE150" i="8"/>
  <c r="AA150" i="8"/>
  <c r="O48" i="4" s="1"/>
  <c r="V150" i="8"/>
  <c r="X150" i="8" s="1"/>
  <c r="P48" i="4" s="1"/>
  <c r="S150" i="8"/>
  <c r="AA48" i="4" s="1"/>
  <c r="N150" i="8"/>
  <c r="Q150" i="8" s="1"/>
  <c r="R150" i="8" s="1"/>
  <c r="AQ48" i="4" s="1"/>
  <c r="M150" i="8"/>
  <c r="L150" i="8"/>
  <c r="AE149" i="8"/>
  <c r="AA149" i="8"/>
  <c r="O75" i="4" s="1"/>
  <c r="V149" i="8"/>
  <c r="X149" i="8" s="1"/>
  <c r="S149" i="8"/>
  <c r="AA75" i="4" s="1"/>
  <c r="N149" i="8"/>
  <c r="Q149" i="8" s="1"/>
  <c r="R149" i="8" s="1"/>
  <c r="AQ75" i="4" s="1"/>
  <c r="M149" i="8"/>
  <c r="L149" i="8"/>
  <c r="AE148" i="8"/>
  <c r="AA148" i="8"/>
  <c r="O21" i="4" s="1"/>
  <c r="V148" i="8"/>
  <c r="X148" i="8" s="1"/>
  <c r="P21" i="4" s="1"/>
  <c r="S148" i="8"/>
  <c r="AA21" i="4" s="1"/>
  <c r="N148" i="8"/>
  <c r="Q148" i="8" s="1"/>
  <c r="M148" i="8"/>
  <c r="L148" i="8"/>
  <c r="AE147" i="8"/>
  <c r="AA147" i="8"/>
  <c r="O23" i="4" s="1"/>
  <c r="V147" i="8"/>
  <c r="X147" i="8" s="1"/>
  <c r="P23" i="4" s="1"/>
  <c r="S147" i="8"/>
  <c r="N147" i="8"/>
  <c r="Q147" i="8" s="1"/>
  <c r="M147" i="8"/>
  <c r="L147" i="8"/>
  <c r="AE146" i="8"/>
  <c r="AA146" i="8"/>
  <c r="O22" i="4" s="1"/>
  <c r="V146" i="8"/>
  <c r="X146" i="8" s="1"/>
  <c r="P22" i="4" s="1"/>
  <c r="S146" i="8"/>
  <c r="AA22" i="4" s="1"/>
  <c r="N146" i="8"/>
  <c r="Q146" i="8" s="1"/>
  <c r="M146" i="8"/>
  <c r="L146" i="8"/>
  <c r="AE145" i="8"/>
  <c r="AA145" i="8"/>
  <c r="O35" i="4" s="1"/>
  <c r="V145" i="8"/>
  <c r="X145" i="8" s="1"/>
  <c r="P35" i="4" s="1"/>
  <c r="S145" i="8"/>
  <c r="AA35" i="4" s="1"/>
  <c r="N145" i="8"/>
  <c r="Q145" i="8" s="1"/>
  <c r="M145" i="8"/>
  <c r="L145" i="8"/>
  <c r="AE144" i="8"/>
  <c r="AA144" i="8"/>
  <c r="O24" i="4" s="1"/>
  <c r="V144" i="8"/>
  <c r="X144" i="8" s="1"/>
  <c r="S144" i="8"/>
  <c r="N144" i="8"/>
  <c r="Q144" i="8" s="1"/>
  <c r="M144" i="8"/>
  <c r="L144" i="8"/>
  <c r="AE143" i="8"/>
  <c r="AA143" i="8"/>
  <c r="O115" i="4" s="1"/>
  <c r="V143" i="8"/>
  <c r="X143" i="8" s="1"/>
  <c r="P115" i="4" s="1"/>
  <c r="S143" i="8"/>
  <c r="AA115" i="4" s="1"/>
  <c r="N143" i="8"/>
  <c r="Q143" i="8" s="1"/>
  <c r="M143" i="8"/>
  <c r="L143" i="8"/>
  <c r="AE142" i="8"/>
  <c r="AA142" i="8"/>
  <c r="O34" i="4" s="1"/>
  <c r="V142" i="8"/>
  <c r="X142" i="8" s="1"/>
  <c r="P34" i="4" s="1"/>
  <c r="S142" i="8"/>
  <c r="AA34" i="4" s="1"/>
  <c r="N142" i="8"/>
  <c r="Q142" i="8" s="1"/>
  <c r="M142" i="8"/>
  <c r="L142" i="8"/>
  <c r="AE141" i="8"/>
  <c r="AA141" i="8"/>
  <c r="O82" i="4" s="1"/>
  <c r="V141" i="8"/>
  <c r="X141" i="8" s="1"/>
  <c r="S141" i="8"/>
  <c r="AA82" i="4" s="1"/>
  <c r="N141" i="8"/>
  <c r="Q141" i="8" s="1"/>
  <c r="M141" i="8"/>
  <c r="L141" i="8"/>
  <c r="AE140" i="8"/>
  <c r="AA140" i="8"/>
  <c r="O176" i="4" s="1"/>
  <c r="V140" i="8"/>
  <c r="X140" i="8" s="1"/>
  <c r="P176" i="4" s="1"/>
  <c r="S140" i="8"/>
  <c r="AA176" i="4" s="1"/>
  <c r="N140" i="8"/>
  <c r="Q140" i="8" s="1"/>
  <c r="M140" i="8"/>
  <c r="L140" i="8"/>
  <c r="AE139" i="8"/>
  <c r="AA139" i="8"/>
  <c r="O190" i="4" s="1"/>
  <c r="V139" i="8"/>
  <c r="X139" i="8" s="1"/>
  <c r="S139" i="8"/>
  <c r="AA190" i="4" s="1"/>
  <c r="N139" i="8"/>
  <c r="Q139" i="8" s="1"/>
  <c r="R139" i="8" s="1"/>
  <c r="M139" i="8"/>
  <c r="L139" i="8"/>
  <c r="AE138" i="8"/>
  <c r="AA138" i="8"/>
  <c r="O189" i="4" s="1"/>
  <c r="V138" i="8"/>
  <c r="X138" i="8" s="1"/>
  <c r="P189" i="4" s="1"/>
  <c r="S138" i="8"/>
  <c r="AA189" i="4" s="1"/>
  <c r="N138" i="8"/>
  <c r="Q138" i="8" s="1"/>
  <c r="M138" i="8"/>
  <c r="L138" i="8"/>
  <c r="AE137" i="8"/>
  <c r="AA137" i="8"/>
  <c r="V137" i="8"/>
  <c r="X137" i="8" s="1"/>
  <c r="P186" i="4" s="1"/>
  <c r="S137" i="8"/>
  <c r="AA186" i="4" s="1"/>
  <c r="N137" i="8"/>
  <c r="Q137" i="8" s="1"/>
  <c r="M137" i="8"/>
  <c r="L137" i="8"/>
  <c r="AE136" i="8"/>
  <c r="AA136" i="8"/>
  <c r="O137" i="4" s="1"/>
  <c r="V136" i="8"/>
  <c r="X136" i="8" s="1"/>
  <c r="S136" i="8"/>
  <c r="AA137" i="4" s="1"/>
  <c r="N136" i="8"/>
  <c r="Q136" i="8" s="1"/>
  <c r="M136" i="8"/>
  <c r="L136" i="8"/>
  <c r="AE135" i="8"/>
  <c r="AA135" i="8"/>
  <c r="O136" i="4" s="1"/>
  <c r="V135" i="8"/>
  <c r="X135" i="8" s="1"/>
  <c r="P136" i="4" s="1"/>
  <c r="S135" i="8"/>
  <c r="AA136" i="4" s="1"/>
  <c r="N135" i="8"/>
  <c r="Q135" i="8" s="1"/>
  <c r="M135" i="8"/>
  <c r="L135" i="8"/>
  <c r="AE134" i="8"/>
  <c r="AA134" i="8"/>
  <c r="O134" i="4" s="1"/>
  <c r="V134" i="8"/>
  <c r="X134" i="8" s="1"/>
  <c r="P134" i="4" s="1"/>
  <c r="S134" i="8"/>
  <c r="AA134" i="4" s="1"/>
  <c r="N134" i="8"/>
  <c r="Q134" i="8" s="1"/>
  <c r="M134" i="8"/>
  <c r="L134" i="8"/>
  <c r="AE133" i="8"/>
  <c r="AA133" i="8"/>
  <c r="O135" i="4" s="1"/>
  <c r="V133" i="8"/>
  <c r="X133" i="8" s="1"/>
  <c r="P135" i="4" s="1"/>
  <c r="S133" i="8"/>
  <c r="AA135" i="4" s="1"/>
  <c r="N133" i="8"/>
  <c r="Q133" i="8" s="1"/>
  <c r="M133" i="8"/>
  <c r="L133" i="8"/>
  <c r="AE132" i="8"/>
  <c r="AA132" i="8"/>
  <c r="O145" i="4" s="1"/>
  <c r="V132" i="8"/>
  <c r="X132" i="8" s="1"/>
  <c r="P145" i="4" s="1"/>
  <c r="S132" i="8"/>
  <c r="AA145" i="4" s="1"/>
  <c r="N132" i="8"/>
  <c r="Q132" i="8" s="1"/>
  <c r="M132" i="8"/>
  <c r="L132" i="8"/>
  <c r="AE131" i="8"/>
  <c r="AA131" i="8"/>
  <c r="O28" i="4" s="1"/>
  <c r="V131" i="8"/>
  <c r="X131" i="8" s="1"/>
  <c r="P28" i="4" s="1"/>
  <c r="S131" i="8"/>
  <c r="AA28" i="4" s="1"/>
  <c r="N131" i="8"/>
  <c r="Q131" i="8" s="1"/>
  <c r="M131" i="8"/>
  <c r="L131" i="8"/>
  <c r="AE130" i="8"/>
  <c r="AA130" i="8"/>
  <c r="O159" i="4" s="1"/>
  <c r="V130" i="8"/>
  <c r="X130" i="8" s="1"/>
  <c r="S130" i="8"/>
  <c r="AA159" i="4" s="1"/>
  <c r="N130" i="8"/>
  <c r="Q130" i="8" s="1"/>
  <c r="M130" i="8"/>
  <c r="L130" i="8"/>
  <c r="AE129" i="8"/>
  <c r="AA129" i="8"/>
  <c r="O179" i="4" s="1"/>
  <c r="V129" i="8"/>
  <c r="X129" i="8" s="1"/>
  <c r="P179" i="4" s="1"/>
  <c r="S129" i="8"/>
  <c r="AA179" i="4" s="1"/>
  <c r="N129" i="8"/>
  <c r="Q129" i="8" s="1"/>
  <c r="M129" i="8"/>
  <c r="L129" i="8"/>
  <c r="AE128" i="8"/>
  <c r="AA128" i="8"/>
  <c r="O101" i="4" s="1"/>
  <c r="V128" i="8"/>
  <c r="X128" i="8" s="1"/>
  <c r="P101" i="4" s="1"/>
  <c r="S128" i="8"/>
  <c r="AA101" i="4" s="1"/>
  <c r="N128" i="8"/>
  <c r="Q128" i="8" s="1"/>
  <c r="M128" i="8"/>
  <c r="L128" i="8"/>
  <c r="AE127" i="8"/>
  <c r="AA127" i="8"/>
  <c r="O100" i="4" s="1"/>
  <c r="V127" i="8"/>
  <c r="X127" i="8" s="1"/>
  <c r="P100" i="4" s="1"/>
  <c r="S127" i="8"/>
  <c r="AA100" i="4" s="1"/>
  <c r="N127" i="8"/>
  <c r="Q127" i="8" s="1"/>
  <c r="M127" i="8"/>
  <c r="L127" i="8"/>
  <c r="AE126" i="8"/>
  <c r="AA126" i="8"/>
  <c r="O37" i="4" s="1"/>
  <c r="V126" i="8"/>
  <c r="X126" i="8" s="1"/>
  <c r="P37" i="4" s="1"/>
  <c r="S126" i="8"/>
  <c r="AA37" i="4" s="1"/>
  <c r="N126" i="8"/>
  <c r="Q126" i="8" s="1"/>
  <c r="M126" i="8"/>
  <c r="L126" i="8"/>
  <c r="AE125" i="8"/>
  <c r="AA125" i="8"/>
  <c r="O18" i="4" s="1"/>
  <c r="V125" i="8"/>
  <c r="X125" i="8" s="1"/>
  <c r="P18" i="4" s="1"/>
  <c r="S125" i="8"/>
  <c r="AA18" i="4" s="1"/>
  <c r="N125" i="8"/>
  <c r="Q125" i="8" s="1"/>
  <c r="M125" i="8"/>
  <c r="L125" i="8"/>
  <c r="AE124" i="8"/>
  <c r="AA124" i="8"/>
  <c r="O154" i="4" s="1"/>
  <c r="V124" i="8"/>
  <c r="X124" i="8" s="1"/>
  <c r="P154" i="4" s="1"/>
  <c r="S124" i="8"/>
  <c r="AA154" i="4" s="1"/>
  <c r="N124" i="8"/>
  <c r="Q124" i="8" s="1"/>
  <c r="M124" i="8"/>
  <c r="L124" i="8"/>
  <c r="AE123" i="8"/>
  <c r="AA123" i="8"/>
  <c r="O93" i="4" s="1"/>
  <c r="V123" i="8"/>
  <c r="X123" i="8" s="1"/>
  <c r="P93" i="4" s="1"/>
  <c r="S123" i="8"/>
  <c r="AA93" i="4" s="1"/>
  <c r="N123" i="8"/>
  <c r="Q123" i="8" s="1"/>
  <c r="M123" i="8"/>
  <c r="L123" i="8"/>
  <c r="AE122" i="8"/>
  <c r="AA122" i="8"/>
  <c r="O193" i="4" s="1"/>
  <c r="V122" i="8"/>
  <c r="X122" i="8" s="1"/>
  <c r="S122" i="8"/>
  <c r="Q122" i="8"/>
  <c r="O122" i="8"/>
  <c r="AE121" i="8"/>
  <c r="AA121" i="8"/>
  <c r="O52" i="4" s="1"/>
  <c r="V121" i="8"/>
  <c r="X121" i="8" s="1"/>
  <c r="S121" i="8"/>
  <c r="AA52" i="4" s="1"/>
  <c r="N121" i="8"/>
  <c r="Q121" i="8" s="1"/>
  <c r="L121" i="8"/>
  <c r="AE120" i="8"/>
  <c r="AA120" i="8"/>
  <c r="O33" i="4" s="1"/>
  <c r="V120" i="8"/>
  <c r="X120" i="8" s="1"/>
  <c r="P33" i="4" s="1"/>
  <c r="S120" i="8"/>
  <c r="AA33" i="4" s="1"/>
  <c r="N120" i="8"/>
  <c r="Q120" i="8" s="1"/>
  <c r="L120" i="8"/>
  <c r="AE119" i="8"/>
  <c r="AA119" i="8"/>
  <c r="O32" i="4" s="1"/>
  <c r="V119" i="8"/>
  <c r="X119" i="8" s="1"/>
  <c r="P32" i="4" s="1"/>
  <c r="S119" i="8"/>
  <c r="AA32" i="4" s="1"/>
  <c r="N119" i="8"/>
  <c r="Q119" i="8" s="1"/>
  <c r="L119" i="8"/>
  <c r="AE118" i="8"/>
  <c r="AA118" i="8"/>
  <c r="O31" i="4" s="1"/>
  <c r="V118" i="8"/>
  <c r="X118" i="8" s="1"/>
  <c r="P31" i="4" s="1"/>
  <c r="S118" i="8"/>
  <c r="AA31" i="4" s="1"/>
  <c r="N118" i="8"/>
  <c r="Q118" i="8" s="1"/>
  <c r="L118" i="8"/>
  <c r="AE117" i="8"/>
  <c r="AA117" i="8"/>
  <c r="O158" i="4" s="1"/>
  <c r="V117" i="8"/>
  <c r="X117" i="8" s="1"/>
  <c r="P158" i="4" s="1"/>
  <c r="S117" i="8"/>
  <c r="AA158" i="4" s="1"/>
  <c r="N117" i="8"/>
  <c r="Q117" i="8" s="1"/>
  <c r="L117" i="8"/>
  <c r="AE116" i="8"/>
  <c r="AA116" i="8"/>
  <c r="O88" i="4" s="1"/>
  <c r="V116" i="8"/>
  <c r="X116" i="8" s="1"/>
  <c r="P88" i="4" s="1"/>
  <c r="S116" i="8"/>
  <c r="AA88" i="4" s="1"/>
  <c r="N116" i="8"/>
  <c r="Q116" i="8" s="1"/>
  <c r="L116" i="8"/>
  <c r="AE115" i="8"/>
  <c r="AA115" i="8"/>
  <c r="O194" i="4" s="1"/>
  <c r="V115" i="8"/>
  <c r="X115" i="8" s="1"/>
  <c r="S115" i="8"/>
  <c r="AA194" i="4" s="1"/>
  <c r="N115" i="8"/>
  <c r="Q115" i="8" s="1"/>
  <c r="L115" i="8"/>
  <c r="AE114" i="8"/>
  <c r="AA114" i="8"/>
  <c r="O85" i="4" s="1"/>
  <c r="V114" i="8"/>
  <c r="X114" i="8" s="1"/>
  <c r="P85" i="4" s="1"/>
  <c r="S114" i="8"/>
  <c r="AA85" i="4" s="1"/>
  <c r="N114" i="8"/>
  <c r="Q114" i="8" s="1"/>
  <c r="L114" i="8"/>
  <c r="AE113" i="8"/>
  <c r="AA113" i="8"/>
  <c r="O175" i="4" s="1"/>
  <c r="V113" i="8"/>
  <c r="X113" i="8" s="1"/>
  <c r="P175" i="4" s="1"/>
  <c r="S113" i="8"/>
  <c r="AA175" i="4" s="1"/>
  <c r="N113" i="8"/>
  <c r="Q113" i="8" s="1"/>
  <c r="AQ175" i="4" s="1"/>
  <c r="L113" i="8"/>
  <c r="AE112" i="8"/>
  <c r="AA112" i="8"/>
  <c r="O191" i="4" s="1"/>
  <c r="V112" i="8"/>
  <c r="X112" i="8" s="1"/>
  <c r="P191" i="4" s="1"/>
  <c r="S112" i="8"/>
  <c r="AA191" i="4" s="1"/>
  <c r="N112" i="8"/>
  <c r="Q112" i="8" s="1"/>
  <c r="L112" i="8"/>
  <c r="AE111" i="8"/>
  <c r="AA111" i="8"/>
  <c r="O188" i="4" s="1"/>
  <c r="V111" i="8"/>
  <c r="X111" i="8" s="1"/>
  <c r="S111" i="8"/>
  <c r="AA188" i="4" s="1"/>
  <c r="N111" i="8"/>
  <c r="Q111" i="8" s="1"/>
  <c r="L111" i="8"/>
  <c r="AE110" i="8"/>
  <c r="AA110" i="8"/>
  <c r="O98" i="4" s="1"/>
  <c r="V110" i="8"/>
  <c r="X110" i="8" s="1"/>
  <c r="P98" i="4" s="1"/>
  <c r="S110" i="8"/>
  <c r="AA98" i="4" s="1"/>
  <c r="N110" i="8"/>
  <c r="Q110" i="8" s="1"/>
  <c r="L110" i="8"/>
  <c r="AE109" i="8"/>
  <c r="AA109" i="8"/>
  <c r="O168" i="4" s="1"/>
  <c r="V109" i="8"/>
  <c r="X109" i="8" s="1"/>
  <c r="P168" i="4" s="1"/>
  <c r="S109" i="8"/>
  <c r="AA168" i="4" s="1"/>
  <c r="N109" i="8"/>
  <c r="Q109" i="8" s="1"/>
  <c r="L109" i="8"/>
  <c r="AE108" i="8"/>
  <c r="AA108" i="8"/>
  <c r="O167" i="4" s="1"/>
  <c r="V108" i="8"/>
  <c r="X108" i="8" s="1"/>
  <c r="S108" i="8"/>
  <c r="AA167" i="4" s="1"/>
  <c r="N108" i="8"/>
  <c r="Q108" i="8" s="1"/>
  <c r="L108" i="8"/>
  <c r="AE107" i="8"/>
  <c r="AA107" i="8"/>
  <c r="O166" i="4" s="1"/>
  <c r="V107" i="8"/>
  <c r="X107" i="8" s="1"/>
  <c r="P166" i="4" s="1"/>
  <c r="S107" i="8"/>
  <c r="N107" i="8"/>
  <c r="Q107" i="8" s="1"/>
  <c r="L107" i="8"/>
  <c r="AE106" i="8"/>
  <c r="AA106" i="8"/>
  <c r="O165" i="4" s="1"/>
  <c r="V106" i="8"/>
  <c r="X106" i="8" s="1"/>
  <c r="S106" i="8"/>
  <c r="AA165" i="4" s="1"/>
  <c r="N106" i="8"/>
  <c r="Q106" i="8" s="1"/>
  <c r="AQ165" i="4" s="1"/>
  <c r="L106" i="8"/>
  <c r="AE105" i="8"/>
  <c r="AA105" i="8"/>
  <c r="O94" i="4" s="1"/>
  <c r="V105" i="8"/>
  <c r="X105" i="8" s="1"/>
  <c r="S105" i="8"/>
  <c r="AA94" i="4" s="1"/>
  <c r="N105" i="8"/>
  <c r="Q105" i="8" s="1"/>
  <c r="L105" i="8"/>
  <c r="AE104" i="8"/>
  <c r="AA104" i="8"/>
  <c r="O164" i="4" s="1"/>
  <c r="V104" i="8"/>
  <c r="X104" i="8" s="1"/>
  <c r="P164" i="4" s="1"/>
  <c r="S104" i="8"/>
  <c r="AA164" i="4" s="1"/>
  <c r="N104" i="8"/>
  <c r="Q104" i="8" s="1"/>
  <c r="R104" i="8" s="1"/>
  <c r="L104" i="8"/>
  <c r="AE103" i="8"/>
  <c r="AA103" i="8"/>
  <c r="O147" i="4" s="1"/>
  <c r="V103" i="8"/>
  <c r="X103" i="8" s="1"/>
  <c r="P147" i="4" s="1"/>
  <c r="S103" i="8"/>
  <c r="AA147" i="4" s="1"/>
  <c r="N103" i="8"/>
  <c r="Q103" i="8" s="1"/>
  <c r="L103" i="8"/>
  <c r="AE102" i="8"/>
  <c r="AA102" i="8"/>
  <c r="O38" i="4" s="1"/>
  <c r="V102" i="8"/>
  <c r="X102" i="8" s="1"/>
  <c r="S102" i="8"/>
  <c r="AA38" i="4" s="1"/>
  <c r="N102" i="8"/>
  <c r="Q102" i="8" s="1"/>
  <c r="L102" i="8"/>
  <c r="AE101" i="8"/>
  <c r="AA101" i="8"/>
  <c r="O177" i="4" s="1"/>
  <c r="V101" i="8"/>
  <c r="X101" i="8" s="1"/>
  <c r="S101" i="8"/>
  <c r="AA177" i="4" s="1"/>
  <c r="N101" i="8"/>
  <c r="Q101" i="8" s="1"/>
  <c r="L101" i="8"/>
  <c r="AE100" i="8"/>
  <c r="AA100" i="8"/>
  <c r="O20" i="4" s="1"/>
  <c r="V100" i="8"/>
  <c r="X100" i="8" s="1"/>
  <c r="P20" i="4" s="1"/>
  <c r="S100" i="8"/>
  <c r="AA20" i="4" s="1"/>
  <c r="N100" i="8"/>
  <c r="Q100" i="8" s="1"/>
  <c r="R100" i="8" s="1"/>
  <c r="L100" i="8"/>
  <c r="AE99" i="8"/>
  <c r="AA99" i="8"/>
  <c r="O121" i="4" s="1"/>
  <c r="V99" i="8"/>
  <c r="X99" i="8" s="1"/>
  <c r="S99" i="8"/>
  <c r="AA121" i="4" s="1"/>
  <c r="N99" i="8"/>
  <c r="Q99" i="8" s="1"/>
  <c r="L99" i="8"/>
  <c r="AE98" i="8"/>
  <c r="AA98" i="8"/>
  <c r="O70" i="4" s="1"/>
  <c r="V98" i="8"/>
  <c r="X98" i="8" s="1"/>
  <c r="P70" i="4" s="1"/>
  <c r="S98" i="8"/>
  <c r="AA70" i="4" s="1"/>
  <c r="N98" i="8"/>
  <c r="Q98" i="8" s="1"/>
  <c r="L98" i="8"/>
  <c r="AE97" i="8"/>
  <c r="AA97" i="8"/>
  <c r="O87" i="4" s="1"/>
  <c r="V97" i="8"/>
  <c r="X97" i="8" s="1"/>
  <c r="P87" i="4" s="1"/>
  <c r="S97" i="8"/>
  <c r="AA87" i="4" s="1"/>
  <c r="N97" i="8"/>
  <c r="Q97" i="8" s="1"/>
  <c r="L97" i="8"/>
  <c r="AE96" i="8"/>
  <c r="AA96" i="8"/>
  <c r="O84" i="4" s="1"/>
  <c r="V96" i="8"/>
  <c r="X96" i="8" s="1"/>
  <c r="P84" i="4" s="1"/>
  <c r="S96" i="8"/>
  <c r="AA84" i="4" s="1"/>
  <c r="N96" i="8"/>
  <c r="Q96" i="8" s="1"/>
  <c r="L96" i="8"/>
  <c r="AE95" i="8"/>
  <c r="AA95" i="8"/>
  <c r="O86" i="4" s="1"/>
  <c r="V95" i="8"/>
  <c r="X95" i="8" s="1"/>
  <c r="S95" i="8"/>
  <c r="AA86" i="4" s="1"/>
  <c r="N95" i="8"/>
  <c r="Q95" i="8" s="1"/>
  <c r="L95" i="8"/>
  <c r="AE94" i="8"/>
  <c r="AA94" i="8"/>
  <c r="O15" i="4" s="1"/>
  <c r="V94" i="8"/>
  <c r="X94" i="8" s="1"/>
  <c r="P15" i="4" s="1"/>
  <c r="S94" i="8"/>
  <c r="AA15" i="4" s="1"/>
  <c r="N94" i="8"/>
  <c r="Q94" i="8" s="1"/>
  <c r="L94" i="8"/>
  <c r="AE93" i="8"/>
  <c r="AA93" i="8"/>
  <c r="O163" i="4" s="1"/>
  <c r="X93" i="8"/>
  <c r="P163" i="4" s="1"/>
  <c r="S93" i="8"/>
  <c r="AA163" i="4" s="1"/>
  <c r="N93" i="8"/>
  <c r="Q93" i="8" s="1"/>
  <c r="AQ163" i="4" s="1"/>
  <c r="L93" i="8"/>
  <c r="AE92" i="8"/>
  <c r="AA92" i="8"/>
  <c r="O174" i="4" s="1"/>
  <c r="V92" i="8"/>
  <c r="X92" i="8" s="1"/>
  <c r="S92" i="8"/>
  <c r="AA174" i="4" s="1"/>
  <c r="N92" i="8"/>
  <c r="Q92" i="8" s="1"/>
  <c r="L92" i="8"/>
  <c r="AE91" i="8"/>
  <c r="AA91" i="8"/>
  <c r="O26" i="4" s="1"/>
  <c r="V91" i="8"/>
  <c r="X91" i="8" s="1"/>
  <c r="S91" i="8"/>
  <c r="AA26" i="4" s="1"/>
  <c r="N91" i="8"/>
  <c r="Q91" i="8" s="1"/>
  <c r="R91" i="8" s="1"/>
  <c r="AQ26" i="4" s="1"/>
  <c r="L91" i="8"/>
  <c r="AE90" i="8"/>
  <c r="AA90" i="8"/>
  <c r="O63" i="4" s="1"/>
  <c r="V90" i="8"/>
  <c r="X90" i="8" s="1"/>
  <c r="P63" i="4" s="1"/>
  <c r="S90" i="8"/>
  <c r="AA63" i="4" s="1"/>
  <c r="N90" i="8"/>
  <c r="Q90" i="8" s="1"/>
  <c r="L90" i="8"/>
  <c r="AE89" i="8"/>
  <c r="AA89" i="8"/>
  <c r="O170" i="4" s="1"/>
  <c r="V89" i="8"/>
  <c r="X89" i="8" s="1"/>
  <c r="S89" i="8"/>
  <c r="AA170" i="4" s="1"/>
  <c r="N89" i="8"/>
  <c r="Q89" i="8" s="1"/>
  <c r="L89" i="8"/>
  <c r="AE88" i="8"/>
  <c r="AA88" i="8"/>
  <c r="O171" i="4" s="1"/>
  <c r="V88" i="8"/>
  <c r="X88" i="8" s="1"/>
  <c r="S88" i="8"/>
  <c r="AA171" i="4" s="1"/>
  <c r="N88" i="8"/>
  <c r="Q88" i="8" s="1"/>
  <c r="L88" i="8"/>
  <c r="AE87" i="8"/>
  <c r="AA87" i="8"/>
  <c r="O172" i="4" s="1"/>
  <c r="V87" i="8"/>
  <c r="X87" i="8" s="1"/>
  <c r="P172" i="4" s="1"/>
  <c r="S87" i="8"/>
  <c r="AA172" i="4" s="1"/>
  <c r="N87" i="8"/>
  <c r="Q87" i="8" s="1"/>
  <c r="L87" i="8"/>
  <c r="AE86" i="8"/>
  <c r="AA86" i="8"/>
  <c r="O104" i="4" s="1"/>
  <c r="V86" i="8"/>
  <c r="X86" i="8" s="1"/>
  <c r="P104" i="4" s="1"/>
  <c r="S86" i="8"/>
  <c r="AA104" i="4" s="1"/>
  <c r="N86" i="8"/>
  <c r="Q86" i="8" s="1"/>
  <c r="L86" i="8"/>
  <c r="AE85" i="8"/>
  <c r="AA85" i="8"/>
  <c r="O103" i="4" s="1"/>
  <c r="V85" i="8"/>
  <c r="X85" i="8" s="1"/>
  <c r="P103" i="4" s="1"/>
  <c r="S85" i="8"/>
  <c r="AA103" i="4" s="1"/>
  <c r="N85" i="8"/>
  <c r="Q85" i="8" s="1"/>
  <c r="L85" i="8"/>
  <c r="AE84" i="8"/>
  <c r="AA84" i="8"/>
  <c r="O130" i="4" s="1"/>
  <c r="V84" i="8"/>
  <c r="X84" i="8" s="1"/>
  <c r="S84" i="8"/>
  <c r="AA130" i="4" s="1"/>
  <c r="N84" i="8"/>
  <c r="Q84" i="8" s="1"/>
  <c r="R84" i="8" s="1"/>
  <c r="L84" i="8"/>
  <c r="AE83" i="8"/>
  <c r="AA83" i="8"/>
  <c r="O129" i="4" s="1"/>
  <c r="V83" i="8"/>
  <c r="X83" i="8" s="1"/>
  <c r="S83" i="8"/>
  <c r="AA129" i="4" s="1"/>
  <c r="N83" i="8"/>
  <c r="Q83" i="8" s="1"/>
  <c r="L83" i="8"/>
  <c r="AE82" i="8"/>
  <c r="AA82" i="8"/>
  <c r="O132" i="4" s="1"/>
  <c r="V82" i="8"/>
  <c r="X82" i="8" s="1"/>
  <c r="P132" i="4" s="1"/>
  <c r="S82" i="8"/>
  <c r="AA132" i="4" s="1"/>
  <c r="N82" i="8"/>
  <c r="Q82" i="8" s="1"/>
  <c r="L82" i="8"/>
  <c r="AE81" i="8"/>
  <c r="AA81" i="8"/>
  <c r="O128" i="4" s="1"/>
  <c r="V81" i="8"/>
  <c r="X81" i="8" s="1"/>
  <c r="P128" i="4" s="1"/>
  <c r="S81" i="8"/>
  <c r="AA128" i="4" s="1"/>
  <c r="N81" i="8"/>
  <c r="Q81" i="8" s="1"/>
  <c r="L81" i="8"/>
  <c r="AE80" i="8"/>
  <c r="AA80" i="8"/>
  <c r="O131" i="4" s="1"/>
  <c r="V80" i="8"/>
  <c r="X80" i="8" s="1"/>
  <c r="S80" i="8"/>
  <c r="AA131" i="4" s="1"/>
  <c r="N80" i="8"/>
  <c r="Q80" i="8" s="1"/>
  <c r="L80" i="8"/>
  <c r="AE79" i="8"/>
  <c r="AA79" i="8"/>
  <c r="O30" i="4" s="1"/>
  <c r="V79" i="8"/>
  <c r="X79" i="8" s="1"/>
  <c r="S79" i="8"/>
  <c r="AA30" i="4" s="1"/>
  <c r="N79" i="8"/>
  <c r="Q79" i="8" s="1"/>
  <c r="L79" i="8"/>
  <c r="AE78" i="8"/>
  <c r="AA78" i="8"/>
  <c r="O29" i="4" s="1"/>
  <c r="V78" i="8"/>
  <c r="X78" i="8" s="1"/>
  <c r="P29" i="4" s="1"/>
  <c r="S78" i="8"/>
  <c r="AA29" i="4" s="1"/>
  <c r="N78" i="8"/>
  <c r="Q78" i="8" s="1"/>
  <c r="L78" i="8"/>
  <c r="AE77" i="8"/>
  <c r="AA77" i="8"/>
  <c r="O138" i="4" s="1"/>
  <c r="V77" i="8"/>
  <c r="X77" i="8" s="1"/>
  <c r="S77" i="8"/>
  <c r="N77" i="8"/>
  <c r="Q77" i="8" s="1"/>
  <c r="L77" i="8"/>
  <c r="AE76" i="8"/>
  <c r="AA76" i="8"/>
  <c r="O91" i="4" s="1"/>
  <c r="V76" i="8"/>
  <c r="X76" i="8" s="1"/>
  <c r="P91" i="4" s="1"/>
  <c r="S76" i="8"/>
  <c r="AA91" i="4" s="1"/>
  <c r="N76" i="8"/>
  <c r="Q76" i="8" s="1"/>
  <c r="R76" i="8" s="1"/>
  <c r="L76" i="8"/>
  <c r="AE75" i="8"/>
  <c r="AA75" i="8"/>
  <c r="O83" i="4" s="1"/>
  <c r="V75" i="8"/>
  <c r="X75" i="8" s="1"/>
  <c r="S75" i="8"/>
  <c r="AA83" i="4" s="1"/>
  <c r="N75" i="8"/>
  <c r="Q75" i="8" s="1"/>
  <c r="R75" i="8" s="1"/>
  <c r="L75" i="8"/>
  <c r="AE74" i="8"/>
  <c r="AA74" i="8"/>
  <c r="O162" i="4" s="1"/>
  <c r="V74" i="8"/>
  <c r="X74" i="8" s="1"/>
  <c r="P162" i="4" s="1"/>
  <c r="S74" i="8"/>
  <c r="AA162" i="4" s="1"/>
  <c r="N74" i="8"/>
  <c r="Q74" i="8" s="1"/>
  <c r="R74" i="8" s="1"/>
  <c r="L74" i="8"/>
  <c r="AE73" i="8"/>
  <c r="AA73" i="8"/>
  <c r="O182" i="4" s="1"/>
  <c r="V73" i="8"/>
  <c r="X73" i="8" s="1"/>
  <c r="S73" i="8"/>
  <c r="AA182" i="4" s="1"/>
  <c r="N73" i="8"/>
  <c r="Q73" i="8" s="1"/>
  <c r="L73" i="8"/>
  <c r="AE72" i="8"/>
  <c r="AA72" i="8"/>
  <c r="O181" i="4" s="1"/>
  <c r="V72" i="8"/>
  <c r="X72" i="8" s="1"/>
  <c r="S72" i="8"/>
  <c r="AA181" i="4" s="1"/>
  <c r="N72" i="8"/>
  <c r="Q72" i="8" s="1"/>
  <c r="L72" i="8"/>
  <c r="AE71" i="8"/>
  <c r="AA71" i="8"/>
  <c r="O161" i="4" s="1"/>
  <c r="V71" i="8"/>
  <c r="X71" i="8" s="1"/>
  <c r="P161" i="4" s="1"/>
  <c r="S71" i="8"/>
  <c r="N71" i="8"/>
  <c r="Q71" i="8" s="1"/>
  <c r="L71" i="8"/>
  <c r="AE70" i="8"/>
  <c r="AA70" i="8"/>
  <c r="O124" i="4" s="1"/>
  <c r="V70" i="8"/>
  <c r="X70" i="8" s="1"/>
  <c r="S70" i="8"/>
  <c r="AA124" i="4" s="1"/>
  <c r="N70" i="8"/>
  <c r="Q70" i="8" s="1"/>
  <c r="L70" i="8"/>
  <c r="AE69" i="8"/>
  <c r="AA69" i="8"/>
  <c r="O125" i="4" s="1"/>
  <c r="V69" i="8"/>
  <c r="X69" i="8" s="1"/>
  <c r="P125" i="4" s="1"/>
  <c r="S69" i="8"/>
  <c r="AA125" i="4" s="1"/>
  <c r="N69" i="8"/>
  <c r="Q69" i="8" s="1"/>
  <c r="L69" i="8"/>
  <c r="AE68" i="8"/>
  <c r="AA68" i="8"/>
  <c r="O120" i="4" s="1"/>
  <c r="V68" i="8"/>
  <c r="X68" i="8" s="1"/>
  <c r="P120" i="4" s="1"/>
  <c r="S68" i="8"/>
  <c r="AA120" i="4" s="1"/>
  <c r="N68" i="8"/>
  <c r="Q68" i="8" s="1"/>
  <c r="L68" i="8"/>
  <c r="AE67" i="8"/>
  <c r="AA67" i="8"/>
  <c r="O117" i="4" s="1"/>
  <c r="V67" i="8"/>
  <c r="X67" i="8" s="1"/>
  <c r="P117" i="4" s="1"/>
  <c r="S67" i="8"/>
  <c r="AA117" i="4" s="1"/>
  <c r="N67" i="8"/>
  <c r="Q67" i="8" s="1"/>
  <c r="L67" i="8"/>
  <c r="AE66" i="8"/>
  <c r="AA66" i="8"/>
  <c r="O119" i="4" s="1"/>
  <c r="V66" i="8"/>
  <c r="X66" i="8" s="1"/>
  <c r="P119" i="4" s="1"/>
  <c r="S66" i="8"/>
  <c r="AA119" i="4" s="1"/>
  <c r="N66" i="8"/>
  <c r="Q66" i="8" s="1"/>
  <c r="L66" i="8"/>
  <c r="AE65" i="8"/>
  <c r="AA65" i="8"/>
  <c r="O118" i="4" s="1"/>
  <c r="V65" i="8"/>
  <c r="X65" i="8" s="1"/>
  <c r="P118" i="4" s="1"/>
  <c r="S65" i="8"/>
  <c r="AA118" i="4" s="1"/>
  <c r="N65" i="8"/>
  <c r="Q65" i="8" s="1"/>
  <c r="L65" i="8"/>
  <c r="AE64" i="8"/>
  <c r="AA64" i="8"/>
  <c r="O123" i="4" s="1"/>
  <c r="V64" i="8"/>
  <c r="X64" i="8" s="1"/>
  <c r="P123" i="4" s="1"/>
  <c r="S64" i="8"/>
  <c r="AA123" i="4" s="1"/>
  <c r="N64" i="8"/>
  <c r="Q64" i="8" s="1"/>
  <c r="L64" i="8"/>
  <c r="AE63" i="8"/>
  <c r="AA63" i="8"/>
  <c r="O122" i="4" s="1"/>
  <c r="V63" i="8"/>
  <c r="X63" i="8" s="1"/>
  <c r="P122" i="4" s="1"/>
  <c r="S63" i="8"/>
  <c r="AA122" i="4" s="1"/>
  <c r="N63" i="8"/>
  <c r="Q63" i="8" s="1"/>
  <c r="L63" i="8"/>
  <c r="AE62" i="8"/>
  <c r="AA62" i="8"/>
  <c r="O109" i="4" s="1"/>
  <c r="V62" i="8"/>
  <c r="X62" i="8" s="1"/>
  <c r="P109" i="4" s="1"/>
  <c r="S62" i="8"/>
  <c r="AA109" i="4" s="1"/>
  <c r="N62" i="8"/>
  <c r="Q62" i="8" s="1"/>
  <c r="L62" i="8"/>
  <c r="AE61" i="8"/>
  <c r="AA61" i="8"/>
  <c r="O141" i="4" s="1"/>
  <c r="V61" i="8"/>
  <c r="X61" i="8" s="1"/>
  <c r="S61" i="8"/>
  <c r="AA141" i="4" s="1"/>
  <c r="N61" i="8"/>
  <c r="Q61" i="8" s="1"/>
  <c r="R61" i="8" s="1"/>
  <c r="L61" i="8"/>
  <c r="AE60" i="8"/>
  <c r="AA60" i="8"/>
  <c r="O149" i="4" s="1"/>
  <c r="V60" i="8"/>
  <c r="X60" i="8" s="1"/>
  <c r="S60" i="8"/>
  <c r="AA149" i="4" s="1"/>
  <c r="N60" i="8"/>
  <c r="Q60" i="8" s="1"/>
  <c r="L60" i="8"/>
  <c r="AE59" i="8"/>
  <c r="AA59" i="8"/>
  <c r="O148" i="4" s="1"/>
  <c r="V59" i="8"/>
  <c r="X59" i="8" s="1"/>
  <c r="P148" i="4" s="1"/>
  <c r="S59" i="8"/>
  <c r="AA148" i="4" s="1"/>
  <c r="N59" i="8"/>
  <c r="Q59" i="8" s="1"/>
  <c r="L59" i="8"/>
  <c r="AE58" i="8"/>
  <c r="AA58" i="8"/>
  <c r="O157" i="4" s="1"/>
  <c r="V58" i="8"/>
  <c r="X58" i="8" s="1"/>
  <c r="S58" i="8"/>
  <c r="AA157" i="4" s="1"/>
  <c r="N58" i="8"/>
  <c r="Q58" i="8" s="1"/>
  <c r="R58" i="8" s="1"/>
  <c r="L58" i="8"/>
  <c r="AE57" i="8"/>
  <c r="AA57" i="8"/>
  <c r="O156" i="4" s="1"/>
  <c r="V57" i="8"/>
  <c r="X57" i="8" s="1"/>
  <c r="S57" i="8"/>
  <c r="AA156" i="4" s="1"/>
  <c r="N57" i="8"/>
  <c r="Q57" i="8" s="1"/>
  <c r="R57" i="8" s="1"/>
  <c r="L57" i="8"/>
  <c r="AE56" i="8"/>
  <c r="AA56" i="8"/>
  <c r="O14" i="4" s="1"/>
  <c r="V56" i="8"/>
  <c r="X56" i="8" s="1"/>
  <c r="P14" i="4" s="1"/>
  <c r="S56" i="8"/>
  <c r="AA14" i="4" s="1"/>
  <c r="N56" i="8"/>
  <c r="Q56" i="8" s="1"/>
  <c r="L56" i="8"/>
  <c r="AE55" i="8"/>
  <c r="AA55" i="8"/>
  <c r="O16" i="4" s="1"/>
  <c r="V55" i="8"/>
  <c r="X55" i="8" s="1"/>
  <c r="P16" i="4" s="1"/>
  <c r="S55" i="8"/>
  <c r="AA16" i="4" s="1"/>
  <c r="N55" i="8"/>
  <c r="Q55" i="8" s="1"/>
  <c r="L55" i="8"/>
  <c r="AE54" i="8"/>
  <c r="AA54" i="8"/>
  <c r="O106" i="4" s="1"/>
  <c r="V54" i="8"/>
  <c r="X54" i="8" s="1"/>
  <c r="P106" i="4" s="1"/>
  <c r="S54" i="8"/>
  <c r="AA106" i="4" s="1"/>
  <c r="N54" i="8"/>
  <c r="Q54" i="8" s="1"/>
  <c r="L54" i="8"/>
  <c r="AE53" i="8"/>
  <c r="AA53" i="8"/>
  <c r="O143" i="4" s="1"/>
  <c r="V53" i="8"/>
  <c r="X53" i="8" s="1"/>
  <c r="S53" i="8"/>
  <c r="AA143" i="4" s="1"/>
  <c r="N53" i="8"/>
  <c r="Q53" i="8" s="1"/>
  <c r="L53" i="8"/>
  <c r="AE52" i="8"/>
  <c r="AA52" i="8"/>
  <c r="O55" i="4" s="1"/>
  <c r="V52" i="8"/>
  <c r="X52" i="8" s="1"/>
  <c r="P55" i="4" s="1"/>
  <c r="S52" i="8"/>
  <c r="AA55" i="4" s="1"/>
  <c r="N52" i="8"/>
  <c r="Q52" i="8" s="1"/>
  <c r="L52" i="8"/>
  <c r="AE51" i="8"/>
  <c r="AA51" i="8"/>
  <c r="O56" i="4" s="1"/>
  <c r="V51" i="8"/>
  <c r="X51" i="8" s="1"/>
  <c r="P56" i="4" s="1"/>
  <c r="S51" i="8"/>
  <c r="AA56" i="4" s="1"/>
  <c r="N51" i="8"/>
  <c r="Q51" i="8" s="1"/>
  <c r="L51" i="8"/>
  <c r="AE50" i="8"/>
  <c r="AA50" i="8"/>
  <c r="V50" i="8"/>
  <c r="X50" i="8" s="1"/>
  <c r="P64" i="4" s="1"/>
  <c r="S50" i="8"/>
  <c r="AA64" i="4" s="1"/>
  <c r="N50" i="8"/>
  <c r="Q50" i="8" s="1"/>
  <c r="L50" i="8"/>
  <c r="AE49" i="8"/>
  <c r="AA49" i="8"/>
  <c r="O53" i="4" s="1"/>
  <c r="V49" i="8"/>
  <c r="X49" i="8" s="1"/>
  <c r="P53" i="4" s="1"/>
  <c r="S49" i="8"/>
  <c r="AA53" i="4" s="1"/>
  <c r="N49" i="8"/>
  <c r="Q49" i="8" s="1"/>
  <c r="L49" i="8"/>
  <c r="AE48" i="8"/>
  <c r="AA48" i="8"/>
  <c r="O50" i="4" s="1"/>
  <c r="V48" i="8"/>
  <c r="X48" i="8" s="1"/>
  <c r="P50" i="4" s="1"/>
  <c r="S48" i="8"/>
  <c r="AA50" i="4" s="1"/>
  <c r="N48" i="8"/>
  <c r="Q48" i="8" s="1"/>
  <c r="L48" i="8"/>
  <c r="AE47" i="8"/>
  <c r="AA47" i="8"/>
  <c r="O54" i="4" s="1"/>
  <c r="V47" i="8"/>
  <c r="X47" i="8" s="1"/>
  <c r="S47" i="8"/>
  <c r="AA54" i="4" s="1"/>
  <c r="N47" i="8"/>
  <c r="Q47" i="8" s="1"/>
  <c r="R47" i="8" s="1"/>
  <c r="L47" i="8"/>
  <c r="AE46" i="8"/>
  <c r="AA46" i="8"/>
  <c r="O51" i="4" s="1"/>
  <c r="V46" i="8"/>
  <c r="X46" i="8" s="1"/>
  <c r="P51" i="4" s="1"/>
  <c r="S46" i="8"/>
  <c r="AA51" i="4" s="1"/>
  <c r="N46" i="8"/>
  <c r="Q46" i="8" s="1"/>
  <c r="L46" i="8"/>
  <c r="AE45" i="8"/>
  <c r="AA45" i="8"/>
  <c r="O49" i="4" s="1"/>
  <c r="V45" i="8"/>
  <c r="X45" i="8" s="1"/>
  <c r="S45" i="8"/>
  <c r="AA49" i="4" s="1"/>
  <c r="N45" i="8"/>
  <c r="Q45" i="8" s="1"/>
  <c r="R45" i="8" s="1"/>
  <c r="L45" i="8"/>
  <c r="AE44" i="8"/>
  <c r="AA44" i="8"/>
  <c r="O80" i="4" s="1"/>
  <c r="V44" i="8"/>
  <c r="X44" i="8" s="1"/>
  <c r="S44" i="8"/>
  <c r="AA80" i="4" s="1"/>
  <c r="N44" i="8"/>
  <c r="Q44" i="8" s="1"/>
  <c r="L44" i="8"/>
  <c r="AE43" i="8"/>
  <c r="AA43" i="8"/>
  <c r="O73" i="4" s="1"/>
  <c r="V43" i="8"/>
  <c r="X43" i="8" s="1"/>
  <c r="P73" i="4" s="1"/>
  <c r="S43" i="8"/>
  <c r="AA73" i="4" s="1"/>
  <c r="N43" i="8"/>
  <c r="Q43" i="8" s="1"/>
  <c r="L43" i="8"/>
  <c r="AE42" i="8"/>
  <c r="AA42" i="8"/>
  <c r="O72" i="4" s="1"/>
  <c r="V42" i="8"/>
  <c r="X42" i="8" s="1"/>
  <c r="P72" i="4" s="1"/>
  <c r="S42" i="8"/>
  <c r="AA72" i="4" s="1"/>
  <c r="N42" i="8"/>
  <c r="Q42" i="8" s="1"/>
  <c r="L42" i="8"/>
  <c r="AE41" i="8"/>
  <c r="AA41" i="8"/>
  <c r="O65" i="4" s="1"/>
  <c r="V41" i="8"/>
  <c r="X41" i="8" s="1"/>
  <c r="S41" i="8"/>
  <c r="AA65" i="4" s="1"/>
  <c r="N41" i="8"/>
  <c r="Q41" i="8" s="1"/>
  <c r="L41" i="8"/>
  <c r="AE40" i="8"/>
  <c r="AA40" i="8"/>
  <c r="O7" i="4" s="1"/>
  <c r="V40" i="8"/>
  <c r="X40" i="8" s="1"/>
  <c r="P7" i="4" s="1"/>
  <c r="S40" i="8"/>
  <c r="AA7" i="4" s="1"/>
  <c r="N40" i="8"/>
  <c r="Q40" i="8" s="1"/>
  <c r="L40" i="8"/>
  <c r="AE39" i="8"/>
  <c r="AA39" i="8"/>
  <c r="O160" i="4" s="1"/>
  <c r="V39" i="8"/>
  <c r="X39" i="8" s="1"/>
  <c r="S39" i="8"/>
  <c r="AA160" i="4" s="1"/>
  <c r="N39" i="8"/>
  <c r="Q39" i="8" s="1"/>
  <c r="R39" i="8" s="1"/>
  <c r="L39" i="8"/>
  <c r="AE38" i="8"/>
  <c r="AA38" i="8"/>
  <c r="O173" i="4" s="1"/>
  <c r="V38" i="8"/>
  <c r="X38" i="8" s="1"/>
  <c r="S38" i="8"/>
  <c r="AA173" i="4" s="1"/>
  <c r="N38" i="8"/>
  <c r="Q38" i="8" s="1"/>
  <c r="L38" i="8"/>
  <c r="AE37" i="8"/>
  <c r="AA37" i="8"/>
  <c r="O44" i="4" s="1"/>
  <c r="V37" i="8"/>
  <c r="X37" i="8" s="1"/>
  <c r="P44" i="4" s="1"/>
  <c r="S37" i="8"/>
  <c r="AA44" i="4" s="1"/>
  <c r="N37" i="8"/>
  <c r="Q37" i="8" s="1"/>
  <c r="L37" i="8"/>
  <c r="AE36" i="8"/>
  <c r="AA36" i="8"/>
  <c r="O169" i="4" s="1"/>
  <c r="V36" i="8"/>
  <c r="X36" i="8" s="1"/>
  <c r="S36" i="8"/>
  <c r="AA169" i="4" s="1"/>
  <c r="N36" i="8"/>
  <c r="Q36" i="8" s="1"/>
  <c r="AQ169" i="4" s="1"/>
  <c r="L36" i="8"/>
  <c r="AE35" i="8"/>
  <c r="AA35" i="8"/>
  <c r="O6" i="4" s="1"/>
  <c r="V35" i="8"/>
  <c r="X35" i="8" s="1"/>
  <c r="P6" i="4" s="1"/>
  <c r="S35" i="8"/>
  <c r="AA6" i="4" s="1"/>
  <c r="N35" i="8"/>
  <c r="Q35" i="8" s="1"/>
  <c r="L35" i="8"/>
  <c r="AE34" i="8"/>
  <c r="AA34" i="8"/>
  <c r="O146" i="4" s="1"/>
  <c r="V34" i="8"/>
  <c r="X34" i="8" s="1"/>
  <c r="S34" i="8"/>
  <c r="AA146" i="4" s="1"/>
  <c r="N34" i="8"/>
  <c r="Q34" i="8" s="1"/>
  <c r="R34" i="8" s="1"/>
  <c r="L34" i="8"/>
  <c r="AE33" i="8"/>
  <c r="AA33" i="8"/>
  <c r="O180" i="4" s="1"/>
  <c r="V33" i="8"/>
  <c r="X33" i="8" s="1"/>
  <c r="P180" i="4" s="1"/>
  <c r="S33" i="8"/>
  <c r="N33" i="8"/>
  <c r="Q33" i="8" s="1"/>
  <c r="L33" i="8"/>
  <c r="AE32" i="8"/>
  <c r="AA32" i="8"/>
  <c r="O19" i="4" s="1"/>
  <c r="V32" i="8"/>
  <c r="X32" i="8" s="1"/>
  <c r="S32" i="8"/>
  <c r="N32" i="8"/>
  <c r="Q32" i="8" s="1"/>
  <c r="L32" i="8"/>
  <c r="AE31" i="8"/>
  <c r="AA31" i="8"/>
  <c r="O108" i="4" s="1"/>
  <c r="V31" i="8"/>
  <c r="X31" i="8" s="1"/>
  <c r="P108" i="4" s="1"/>
  <c r="S31" i="8"/>
  <c r="AA108" i="4" s="1"/>
  <c r="N31" i="8"/>
  <c r="Q31" i="8" s="1"/>
  <c r="L31" i="8"/>
  <c r="AE30" i="8"/>
  <c r="AA30" i="8"/>
  <c r="O127" i="4" s="1"/>
  <c r="V30" i="8"/>
  <c r="X30" i="8" s="1"/>
  <c r="S30" i="8"/>
  <c r="AA127" i="4" s="1"/>
  <c r="N30" i="8"/>
  <c r="Q30" i="8" s="1"/>
  <c r="L30" i="8"/>
  <c r="AE29" i="8"/>
  <c r="AA29" i="8"/>
  <c r="O25" i="4" s="1"/>
  <c r="V29" i="8"/>
  <c r="X29" i="8" s="1"/>
  <c r="P25" i="4" s="1"/>
  <c r="S29" i="8"/>
  <c r="AA25" i="4" s="1"/>
  <c r="N29" i="8"/>
  <c r="Q29" i="8" s="1"/>
  <c r="AQ25" i="4" s="1"/>
  <c r="L29" i="8"/>
  <c r="AE28" i="8"/>
  <c r="AA28" i="8"/>
  <c r="O10" i="4" s="1"/>
  <c r="V28" i="8"/>
  <c r="X28" i="8" s="1"/>
  <c r="P10" i="4" s="1"/>
  <c r="S28" i="8"/>
  <c r="AA10" i="4" s="1"/>
  <c r="N28" i="8"/>
  <c r="Q28" i="8" s="1"/>
  <c r="R28" i="8" s="1"/>
  <c r="L28" i="8"/>
  <c r="AE27" i="8"/>
  <c r="AA27" i="8"/>
  <c r="O5" i="4" s="1"/>
  <c r="V27" i="8"/>
  <c r="X27" i="8" s="1"/>
  <c r="P5" i="4" s="1"/>
  <c r="S27" i="8"/>
  <c r="AA5" i="4" s="1"/>
  <c r="N27" i="8"/>
  <c r="Q27" i="8" s="1"/>
  <c r="L27" i="8"/>
  <c r="AE26" i="8"/>
  <c r="AA26" i="8"/>
  <c r="O68" i="4" s="1"/>
  <c r="V26" i="8"/>
  <c r="X26" i="8" s="1"/>
  <c r="P68" i="4" s="1"/>
  <c r="S26" i="8"/>
  <c r="AA68" i="4" s="1"/>
  <c r="N26" i="8"/>
  <c r="Q26" i="8" s="1"/>
  <c r="L26" i="8"/>
  <c r="AE25" i="8"/>
  <c r="AA25" i="8"/>
  <c r="O67" i="4" s="1"/>
  <c r="V25" i="8"/>
  <c r="X25" i="8" s="1"/>
  <c r="S25" i="8"/>
  <c r="AA67" i="4" s="1"/>
  <c r="N25" i="8"/>
  <c r="Q25" i="8" s="1"/>
  <c r="L25" i="8"/>
  <c r="AE24" i="8"/>
  <c r="AA24" i="8"/>
  <c r="O66" i="4" s="1"/>
  <c r="V24" i="8"/>
  <c r="X24" i="8" s="1"/>
  <c r="P66" i="4" s="1"/>
  <c r="S24" i="8"/>
  <c r="AA66" i="4" s="1"/>
  <c r="N24" i="8"/>
  <c r="Q24" i="8" s="1"/>
  <c r="L24" i="8"/>
  <c r="AE23" i="8"/>
  <c r="AA23" i="8"/>
  <c r="O142" i="4" s="1"/>
  <c r="V23" i="8"/>
  <c r="X23" i="8" s="1"/>
  <c r="P142" i="4" s="1"/>
  <c r="S23" i="8"/>
  <c r="N23" i="8"/>
  <c r="Q23" i="8" s="1"/>
  <c r="R23" i="8" s="1"/>
  <c r="AQ142" i="4" s="1"/>
  <c r="L23" i="8"/>
  <c r="AE22" i="8"/>
  <c r="AA22" i="8"/>
  <c r="O69" i="4" s="1"/>
  <c r="V22" i="8"/>
  <c r="X22" i="8" s="1"/>
  <c r="P69" i="4" s="1"/>
  <c r="S22" i="8"/>
  <c r="AA69" i="4" s="1"/>
  <c r="N22" i="8"/>
  <c r="Q22" i="8" s="1"/>
  <c r="L22" i="8"/>
  <c r="AE21" i="8"/>
  <c r="AA21" i="8"/>
  <c r="O36" i="4" s="1"/>
  <c r="V21" i="8"/>
  <c r="X21" i="8" s="1"/>
  <c r="S21" i="8"/>
  <c r="AA36" i="4" s="1"/>
  <c r="N21" i="8"/>
  <c r="Q21" i="8" s="1"/>
  <c r="L21" i="8"/>
  <c r="AE20" i="8"/>
  <c r="AA20" i="8"/>
  <c r="O187" i="4" s="1"/>
  <c r="V20" i="8"/>
  <c r="X20" i="8" s="1"/>
  <c r="S20" i="8"/>
  <c r="AA187" i="4" s="1"/>
  <c r="N20" i="8"/>
  <c r="Q20" i="8" s="1"/>
  <c r="L20" i="8"/>
  <c r="AE19" i="8"/>
  <c r="AA19" i="8"/>
  <c r="O185" i="4" s="1"/>
  <c r="V19" i="8"/>
  <c r="X19" i="8" s="1"/>
  <c r="S19" i="8"/>
  <c r="AA185" i="4" s="1"/>
  <c r="N19" i="8"/>
  <c r="Q19" i="8" s="1"/>
  <c r="L19" i="8"/>
  <c r="AE18" i="8"/>
  <c r="AA18" i="8"/>
  <c r="O9" i="4" s="1"/>
  <c r="V18" i="8"/>
  <c r="X18" i="8" s="1"/>
  <c r="P9" i="4" s="1"/>
  <c r="S18" i="8"/>
  <c r="AA9" i="4" s="1"/>
  <c r="N18" i="8"/>
  <c r="Q18" i="8" s="1"/>
  <c r="L18" i="8"/>
  <c r="AE17" i="8"/>
  <c r="AA17" i="8"/>
  <c r="O60" i="4" s="1"/>
  <c r="V17" i="8"/>
  <c r="X17" i="8" s="1"/>
  <c r="P60" i="4" s="1"/>
  <c r="S17" i="8"/>
  <c r="AA60" i="4" s="1"/>
  <c r="N17" i="8"/>
  <c r="Q17" i="8" s="1"/>
  <c r="L17" i="8"/>
  <c r="AE16" i="8"/>
  <c r="AA16" i="8"/>
  <c r="O61" i="4" s="1"/>
  <c r="V16" i="8"/>
  <c r="X16" i="8" s="1"/>
  <c r="P61" i="4" s="1"/>
  <c r="S16" i="8"/>
  <c r="AA61" i="4" s="1"/>
  <c r="N16" i="8"/>
  <c r="Q16" i="8" s="1"/>
  <c r="L16" i="8"/>
  <c r="AE15" i="8"/>
  <c r="AA15" i="8"/>
  <c r="O4" i="4" s="1"/>
  <c r="V15" i="8"/>
  <c r="X15" i="8" s="1"/>
  <c r="P4" i="4" s="1"/>
  <c r="S15" i="8"/>
  <c r="N15" i="8"/>
  <c r="Q15" i="8" s="1"/>
  <c r="L15" i="8"/>
  <c r="AE14" i="8"/>
  <c r="AA14" i="8"/>
  <c r="O140" i="4" s="1"/>
  <c r="V14" i="8"/>
  <c r="X14" i="8" s="1"/>
  <c r="S14" i="8"/>
  <c r="AA140" i="4" s="1"/>
  <c r="N14" i="8"/>
  <c r="Q14" i="8" s="1"/>
  <c r="L14" i="8"/>
  <c r="AE13" i="8"/>
  <c r="AA13" i="8"/>
  <c r="O12" i="4" s="1"/>
  <c r="V13" i="8"/>
  <c r="X13" i="8" s="1"/>
  <c r="P12" i="4" s="1"/>
  <c r="S13" i="8"/>
  <c r="N13" i="8"/>
  <c r="Q13" i="8" s="1"/>
  <c r="L13" i="8"/>
  <c r="AE12" i="8"/>
  <c r="AA12" i="8"/>
  <c r="O46" i="4" s="1"/>
  <c r="V12" i="8"/>
  <c r="X12" i="8" s="1"/>
  <c r="P46" i="4" s="1"/>
  <c r="S12" i="8"/>
  <c r="AA46" i="4" s="1"/>
  <c r="N12" i="8"/>
  <c r="Q12" i="8" s="1"/>
  <c r="L12" i="8"/>
  <c r="AE11" i="8"/>
  <c r="AA11" i="8"/>
  <c r="O92" i="4" s="1"/>
  <c r="V11" i="8"/>
  <c r="X11" i="8" s="1"/>
  <c r="P92" i="4" s="1"/>
  <c r="S11" i="8"/>
  <c r="N11" i="8"/>
  <c r="Q11" i="8" s="1"/>
  <c r="L11" i="8"/>
  <c r="AE10" i="8"/>
  <c r="AA10" i="8"/>
  <c r="O90" i="4" s="1"/>
  <c r="V10" i="8"/>
  <c r="S10" i="8"/>
  <c r="N10" i="8"/>
  <c r="L10" i="8"/>
  <c r="AE9" i="8"/>
  <c r="AA9" i="8"/>
  <c r="O155" i="4" s="1"/>
  <c r="V9" i="8"/>
  <c r="X9" i="8" s="1"/>
  <c r="S9" i="8"/>
  <c r="AA155" i="4" s="1"/>
  <c r="N9" i="8"/>
  <c r="Q9" i="8" s="1"/>
  <c r="L9" i="8"/>
  <c r="AE8" i="8"/>
  <c r="AA8" i="8"/>
  <c r="O153" i="4" s="1"/>
  <c r="V8" i="8"/>
  <c r="X8" i="8" s="1"/>
  <c r="S8" i="8"/>
  <c r="AA153" i="4" s="1"/>
  <c r="N8" i="8"/>
  <c r="Q8" i="8" s="1"/>
  <c r="L8" i="8"/>
  <c r="AE7" i="8"/>
  <c r="AA7" i="8"/>
  <c r="O152" i="4" s="1"/>
  <c r="V7" i="8"/>
  <c r="X7" i="8" s="1"/>
  <c r="S7" i="8"/>
  <c r="AA152" i="4" s="1"/>
  <c r="N7" i="8"/>
  <c r="Q7" i="8" s="1"/>
  <c r="L7" i="8"/>
  <c r="AE6" i="8"/>
  <c r="AA6" i="8"/>
  <c r="O57" i="4" s="1"/>
  <c r="V6" i="8"/>
  <c r="X6" i="8" s="1"/>
  <c r="P57" i="4" s="1"/>
  <c r="S6" i="8"/>
  <c r="AA57" i="4" s="1"/>
  <c r="N6" i="8"/>
  <c r="Q6" i="8" s="1"/>
  <c r="M6" i="8"/>
  <c r="L6" i="8"/>
  <c r="AQ194" i="4"/>
  <c r="AQ193" i="4"/>
  <c r="AQ192" i="4"/>
  <c r="AQ191" i="4"/>
  <c r="AQ190" i="4"/>
  <c r="AQ189" i="4"/>
  <c r="AQ188" i="4"/>
  <c r="AQ187" i="4"/>
  <c r="AQ186" i="4"/>
  <c r="O186" i="4"/>
  <c r="AQ185" i="4"/>
  <c r="AQ184" i="4"/>
  <c r="AQ182" i="4"/>
  <c r="AQ181" i="4"/>
  <c r="AQ180" i="4"/>
  <c r="AQ179" i="4"/>
  <c r="AQ178" i="4"/>
  <c r="AQ176" i="4"/>
  <c r="AQ173" i="4"/>
  <c r="AQ172" i="4"/>
  <c r="AQ171" i="4"/>
  <c r="AQ170" i="4"/>
  <c r="AQ168" i="4"/>
  <c r="AQ167" i="4"/>
  <c r="AQ166" i="4"/>
  <c r="AQ161" i="4"/>
  <c r="AQ159" i="4"/>
  <c r="AQ158" i="4"/>
  <c r="AQ155" i="4"/>
  <c r="AQ154" i="4"/>
  <c r="AQ153" i="4"/>
  <c r="AQ151" i="4"/>
  <c r="AQ150" i="4"/>
  <c r="AQ148" i="4"/>
  <c r="AQ147" i="4"/>
  <c r="AQ145" i="4"/>
  <c r="AQ144" i="4"/>
  <c r="AQ143" i="4"/>
  <c r="AQ140" i="4"/>
  <c r="AQ139" i="4"/>
  <c r="AQ138" i="4"/>
  <c r="AQ137" i="4"/>
  <c r="AQ136" i="4"/>
  <c r="AQ135" i="4"/>
  <c r="AQ134" i="4"/>
  <c r="AQ133" i="4"/>
  <c r="AQ132" i="4"/>
  <c r="AQ131" i="4"/>
  <c r="AQ129" i="4"/>
  <c r="AQ128" i="4"/>
  <c r="AQ127" i="4"/>
  <c r="AQ126" i="4"/>
  <c r="AQ125" i="4"/>
  <c r="AQ124" i="4"/>
  <c r="AQ121" i="4"/>
  <c r="AQ120" i="4"/>
  <c r="AQ118" i="4"/>
  <c r="AQ117" i="4"/>
  <c r="AQ116" i="4"/>
  <c r="AQ115" i="4"/>
  <c r="AQ114" i="4"/>
  <c r="AQ113" i="4"/>
  <c r="AQ112" i="4"/>
  <c r="AQ111" i="4"/>
  <c r="AQ110" i="4"/>
  <c r="AQ109" i="4"/>
  <c r="AQ108" i="4"/>
  <c r="AQ107" i="4"/>
  <c r="AQ106" i="4"/>
  <c r="AQ105" i="4"/>
  <c r="AA105" i="4"/>
  <c r="AQ104" i="4"/>
  <c r="AQ103" i="4"/>
  <c r="AQ101" i="4"/>
  <c r="AQ100" i="4"/>
  <c r="AQ99" i="4"/>
  <c r="AQ98" i="4"/>
  <c r="AQ97" i="4"/>
  <c r="AQ96" i="4"/>
  <c r="AQ95" i="4"/>
  <c r="AQ94" i="4"/>
  <c r="AQ93" i="4"/>
  <c r="AQ92" i="4"/>
  <c r="AQ90" i="4"/>
  <c r="AQ89" i="4"/>
  <c r="AQ88" i="4"/>
  <c r="AQ87" i="4"/>
  <c r="AQ86" i="4"/>
  <c r="AQ85" i="4"/>
  <c r="AQ84" i="4"/>
  <c r="AQ82" i="4"/>
  <c r="AQ81" i="4"/>
  <c r="AQ80" i="4"/>
  <c r="AQ79" i="4"/>
  <c r="AQ78" i="4"/>
  <c r="AQ77" i="4"/>
  <c r="P77" i="4"/>
  <c r="AQ74" i="4"/>
  <c r="AQ73" i="4"/>
  <c r="AQ72" i="4"/>
  <c r="AQ71" i="4"/>
  <c r="AQ70" i="4"/>
  <c r="AQ69" i="4"/>
  <c r="AQ68" i="4"/>
  <c r="AQ67" i="4"/>
  <c r="AQ66" i="4"/>
  <c r="AQ64" i="4"/>
  <c r="AQ63" i="4"/>
  <c r="AQ62" i="4"/>
  <c r="AQ61" i="4"/>
  <c r="AQ60" i="4"/>
  <c r="AQ59" i="4"/>
  <c r="AQ58" i="4"/>
  <c r="AQ56" i="4"/>
  <c r="AQ55" i="4"/>
  <c r="AQ53" i="4"/>
  <c r="AQ52" i="4"/>
  <c r="AQ51" i="4"/>
  <c r="AQ50" i="4"/>
  <c r="AQ47" i="4"/>
  <c r="AQ46" i="4"/>
  <c r="AQ45" i="4"/>
  <c r="AQ44" i="4"/>
  <c r="AQ43" i="4"/>
  <c r="AQ42" i="4"/>
  <c r="AQ41" i="4"/>
  <c r="AQ40" i="4"/>
  <c r="AQ39" i="4"/>
  <c r="AQ38" i="4"/>
  <c r="AQ37" i="4"/>
  <c r="AQ35" i="4"/>
  <c r="AQ33" i="4"/>
  <c r="AQ32" i="4"/>
  <c r="AQ31" i="4"/>
  <c r="AQ30" i="4"/>
  <c r="AQ29" i="4"/>
  <c r="AQ28" i="4"/>
  <c r="AQ27" i="4"/>
  <c r="AQ24" i="4"/>
  <c r="AQ23" i="4"/>
  <c r="AQ22" i="4"/>
  <c r="AQ21" i="4"/>
  <c r="AQ19" i="4"/>
  <c r="AQ18" i="4"/>
  <c r="AQ16" i="4"/>
  <c r="AQ15" i="4"/>
  <c r="AQ14" i="4"/>
  <c r="AQ13" i="4"/>
  <c r="AQ12" i="4"/>
  <c r="AQ11" i="4"/>
  <c r="AQ9" i="4"/>
  <c r="AQ8" i="4"/>
  <c r="AQ6" i="4"/>
  <c r="AQ5" i="4"/>
  <c r="AQ4" i="4"/>
  <c r="R40" i="8" l="1"/>
  <c r="AQ7" i="4" s="1"/>
  <c r="R92" i="8"/>
  <c r="T92" i="8" s="1"/>
  <c r="U92" i="8" s="1"/>
  <c r="R164" i="8"/>
  <c r="T164" i="8" s="1"/>
  <c r="R6" i="8"/>
  <c r="AQ57" i="4" s="1"/>
  <c r="R142" i="8"/>
  <c r="AQ34" i="4" s="1"/>
  <c r="R41" i="8"/>
  <c r="T41" i="8" s="1"/>
  <c r="R60" i="8"/>
  <c r="AQ149" i="4" s="1"/>
  <c r="R101" i="8"/>
  <c r="AQ177" i="4" s="1"/>
  <c r="J93" i="13"/>
  <c r="AB61" i="8"/>
  <c r="N141" i="4" s="1"/>
  <c r="AB70" i="8"/>
  <c r="N124" i="4" s="1"/>
  <c r="AB72" i="8"/>
  <c r="N181" i="4" s="1"/>
  <c r="AB77" i="8"/>
  <c r="N138" i="4" s="1"/>
  <c r="AB84" i="8"/>
  <c r="N130" i="4" s="1"/>
  <c r="AB89" i="8"/>
  <c r="N170" i="4" s="1"/>
  <c r="AB91" i="8"/>
  <c r="N26" i="4" s="1"/>
  <c r="AB92" i="8"/>
  <c r="N174" i="4" s="1"/>
  <c r="AB99" i="8"/>
  <c r="N121" i="4" s="1"/>
  <c r="AB102" i="8"/>
  <c r="N38" i="4" s="1"/>
  <c r="AB105" i="8"/>
  <c r="N94" i="4" s="1"/>
  <c r="AB172" i="8"/>
  <c r="N11" i="4" s="1"/>
  <c r="T143" i="8"/>
  <c r="U143" i="8" s="1"/>
  <c r="T156" i="8"/>
  <c r="U156" i="8" s="1"/>
  <c r="P26" i="4"/>
  <c r="AB185" i="8"/>
  <c r="N89" i="4" s="1"/>
  <c r="T96" i="8"/>
  <c r="Y84" i="4" s="1"/>
  <c r="T145" i="8"/>
  <c r="Y35" i="4" s="1"/>
  <c r="AB149" i="8"/>
  <c r="N75" i="4" s="1"/>
  <c r="T151" i="8"/>
  <c r="U151" i="8" s="1"/>
  <c r="AB196" i="8"/>
  <c r="N8" i="4" s="1"/>
  <c r="AB95" i="8"/>
  <c r="N86" i="4" s="1"/>
  <c r="P86" i="4"/>
  <c r="AB177" i="8"/>
  <c r="N95" i="4" s="1"/>
  <c r="P95" i="4"/>
  <c r="O89" i="4"/>
  <c r="T22" i="8"/>
  <c r="U22" i="8" s="1"/>
  <c r="AB183" i="8"/>
  <c r="N45" i="4" s="1"/>
  <c r="T67" i="8"/>
  <c r="Y117" i="4" s="1"/>
  <c r="T75" i="8"/>
  <c r="U75" i="8" s="1"/>
  <c r="T136" i="8"/>
  <c r="U136" i="8" s="1"/>
  <c r="P138" i="4"/>
  <c r="AB12" i="8"/>
  <c r="N46" i="4" s="1"/>
  <c r="AB14" i="8"/>
  <c r="N140" i="4" s="1"/>
  <c r="AB23" i="8"/>
  <c r="N142" i="4" s="1"/>
  <c r="AB27" i="8"/>
  <c r="N5" i="4" s="1"/>
  <c r="AB53" i="8"/>
  <c r="N143" i="4" s="1"/>
  <c r="AB55" i="8"/>
  <c r="N16" i="4" s="1"/>
  <c r="AB179" i="8"/>
  <c r="N42" i="4" s="1"/>
  <c r="T122" i="8"/>
  <c r="U122" i="8" s="1"/>
  <c r="O158" i="8"/>
  <c r="O161" i="8"/>
  <c r="O186" i="8"/>
  <c r="O128" i="8"/>
  <c r="O77" i="8"/>
  <c r="T80" i="8"/>
  <c r="U80" i="8" s="1"/>
  <c r="O39" i="8"/>
  <c r="T35" i="8"/>
  <c r="T48" i="8"/>
  <c r="T114" i="8"/>
  <c r="U114" i="8" s="1"/>
  <c r="O10" i="8"/>
  <c r="O28" i="8"/>
  <c r="O34" i="8"/>
  <c r="O111" i="8"/>
  <c r="T86" i="8"/>
  <c r="AQ83" i="4"/>
  <c r="O35" i="8"/>
  <c r="O87" i="8"/>
  <c r="O14" i="8"/>
  <c r="T17" i="8"/>
  <c r="U17" i="8" s="1"/>
  <c r="O20" i="8"/>
  <c r="O26" i="8"/>
  <c r="O54" i="8"/>
  <c r="O65" i="8"/>
  <c r="O74" i="8"/>
  <c r="O81" i="8"/>
  <c r="O134" i="8"/>
  <c r="O139" i="8"/>
  <c r="O92" i="8"/>
  <c r="O160" i="8"/>
  <c r="O166" i="8"/>
  <c r="O98" i="8"/>
  <c r="O126" i="8"/>
  <c r="T144" i="8"/>
  <c r="U144" i="8" s="1"/>
  <c r="O168" i="8"/>
  <c r="O12" i="8"/>
  <c r="T44" i="8"/>
  <c r="U44" i="8" s="1"/>
  <c r="O62" i="8"/>
  <c r="T71" i="8"/>
  <c r="Y161" i="4" s="1"/>
  <c r="O153" i="8"/>
  <c r="O184" i="8"/>
  <c r="T28" i="8"/>
  <c r="AQ10" i="4"/>
  <c r="T12" i="8"/>
  <c r="O15" i="8"/>
  <c r="O31" i="8"/>
  <c r="O42" i="8"/>
  <c r="O48" i="8"/>
  <c r="O57" i="8"/>
  <c r="O67" i="8"/>
  <c r="O71" i="8"/>
  <c r="O82" i="8"/>
  <c r="O86" i="8"/>
  <c r="T107" i="8"/>
  <c r="U107" i="8" s="1"/>
  <c r="O127" i="8"/>
  <c r="O159" i="8"/>
  <c r="O167" i="8"/>
  <c r="T184" i="8"/>
  <c r="U184" i="8" s="1"/>
  <c r="O44" i="8"/>
  <c r="O73" i="8"/>
  <c r="O133" i="8"/>
  <c r="O138" i="8"/>
  <c r="O152" i="8"/>
  <c r="O169" i="8"/>
  <c r="O178" i="8"/>
  <c r="O51" i="8"/>
  <c r="O52" i="8"/>
  <c r="O60" i="8"/>
  <c r="O104" i="8"/>
  <c r="O117" i="8"/>
  <c r="O125" i="8"/>
  <c r="T128" i="8"/>
  <c r="O130" i="8"/>
  <c r="O131" i="8"/>
  <c r="O143" i="8"/>
  <c r="O164" i="8"/>
  <c r="O171" i="8"/>
  <c r="T166" i="8"/>
  <c r="O9" i="8"/>
  <c r="T13" i="8"/>
  <c r="T32" i="8"/>
  <c r="U32" i="8" s="1"/>
  <c r="T50" i="8"/>
  <c r="O102" i="8"/>
  <c r="O124" i="8"/>
  <c r="T146" i="8"/>
  <c r="T178" i="8"/>
  <c r="U178" i="8" s="1"/>
  <c r="O187" i="8"/>
  <c r="O192" i="8"/>
  <c r="O21" i="8"/>
  <c r="O22" i="8"/>
  <c r="O30" i="8"/>
  <c r="O43" i="8"/>
  <c r="O53" i="8"/>
  <c r="O64" i="8"/>
  <c r="O68" i="8"/>
  <c r="T79" i="8"/>
  <c r="U79" i="8" s="1"/>
  <c r="O89" i="8"/>
  <c r="O95" i="8"/>
  <c r="T108" i="8"/>
  <c r="O110" i="8"/>
  <c r="T167" i="8"/>
  <c r="O181" i="8"/>
  <c r="O193" i="8"/>
  <c r="T62" i="8"/>
  <c r="T88" i="8"/>
  <c r="U88" i="8" s="1"/>
  <c r="O100" i="8"/>
  <c r="O121" i="8"/>
  <c r="O135" i="8"/>
  <c r="T147" i="8"/>
  <c r="U147" i="8" s="1"/>
  <c r="O149" i="8"/>
  <c r="T155" i="8"/>
  <c r="U155" i="8" s="1"/>
  <c r="T183" i="8"/>
  <c r="T15" i="8"/>
  <c r="U15" i="8" s="1"/>
  <c r="O24" i="8"/>
  <c r="O41" i="8"/>
  <c r="O45" i="8"/>
  <c r="T56" i="8"/>
  <c r="T165" i="8"/>
  <c r="O190" i="8"/>
  <c r="O8" i="8"/>
  <c r="T11" i="8"/>
  <c r="U11" i="8" s="1"/>
  <c r="O33" i="8"/>
  <c r="O37" i="8"/>
  <c r="O46" i="8"/>
  <c r="O78" i="8"/>
  <c r="O112" i="8"/>
  <c r="O154" i="8"/>
  <c r="T174" i="8"/>
  <c r="Y40" i="4" s="1"/>
  <c r="O175" i="8"/>
  <c r="T177" i="8"/>
  <c r="O196" i="8"/>
  <c r="AB45" i="8"/>
  <c r="N49" i="4" s="1"/>
  <c r="P49" i="4"/>
  <c r="AB130" i="8"/>
  <c r="N159" i="4" s="1"/>
  <c r="P159" i="4"/>
  <c r="P130" i="4"/>
  <c r="AB114" i="8"/>
  <c r="N85" i="4" s="1"/>
  <c r="T121" i="8"/>
  <c r="T137" i="8"/>
  <c r="U137" i="8" s="1"/>
  <c r="T168" i="8"/>
  <c r="T172" i="8"/>
  <c r="T186" i="8"/>
  <c r="AB189" i="8"/>
  <c r="N79" i="4" s="1"/>
  <c r="T191" i="8"/>
  <c r="U191" i="8" s="1"/>
  <c r="AB194" i="8"/>
  <c r="N59" i="4" s="1"/>
  <c r="P181" i="4"/>
  <c r="AB49" i="8"/>
  <c r="N53" i="4" s="1"/>
  <c r="T111" i="8"/>
  <c r="U111" i="8" s="1"/>
  <c r="T140" i="8"/>
  <c r="AB151" i="8"/>
  <c r="N126" i="4" s="1"/>
  <c r="AB190" i="8"/>
  <c r="N77" i="4" s="1"/>
  <c r="AB195" i="8"/>
  <c r="N113" i="4" s="1"/>
  <c r="P75" i="4"/>
  <c r="AB18" i="8"/>
  <c r="N9" i="4" s="1"/>
  <c r="T25" i="8"/>
  <c r="Y67" i="4" s="1"/>
  <c r="AB43" i="8"/>
  <c r="N73" i="4" s="1"/>
  <c r="T45" i="8"/>
  <c r="U45" i="8" s="1"/>
  <c r="T53" i="8"/>
  <c r="U53" i="8" s="1"/>
  <c r="T94" i="8"/>
  <c r="U94" i="8" s="1"/>
  <c r="T127" i="8"/>
  <c r="AB129" i="8"/>
  <c r="N179" i="4" s="1"/>
  <c r="T135" i="8"/>
  <c r="T149" i="8"/>
  <c r="T157" i="8"/>
  <c r="T188" i="8"/>
  <c r="AA4" i="4"/>
  <c r="AB80" i="8"/>
  <c r="N131" i="4" s="1"/>
  <c r="AB83" i="8"/>
  <c r="N129" i="4" s="1"/>
  <c r="T85" i="8"/>
  <c r="U85" i="8" s="1"/>
  <c r="T95" i="8"/>
  <c r="U95" i="8" s="1"/>
  <c r="AB108" i="8"/>
  <c r="N167" i="4" s="1"/>
  <c r="T163" i="8"/>
  <c r="U163" i="8" s="1"/>
  <c r="AB169" i="8"/>
  <c r="N71" i="4" s="1"/>
  <c r="AB73" i="8"/>
  <c r="N182" i="4" s="1"/>
  <c r="P182" i="4"/>
  <c r="AB136" i="8"/>
  <c r="N137" i="4" s="1"/>
  <c r="P137" i="4"/>
  <c r="AB115" i="8"/>
  <c r="N194" i="4" s="1"/>
  <c r="P194" i="4"/>
  <c r="AB186" i="8"/>
  <c r="N102" i="4" s="1"/>
  <c r="P102" i="4"/>
  <c r="AB41" i="8"/>
  <c r="N65" i="4" s="1"/>
  <c r="P65" i="4"/>
  <c r="AB47" i="8"/>
  <c r="N54" i="4" s="1"/>
  <c r="P54" i="4"/>
  <c r="AB79" i="8"/>
  <c r="N30" i="4" s="1"/>
  <c r="P30" i="4"/>
  <c r="AB111" i="8"/>
  <c r="N188" i="4" s="1"/>
  <c r="P188" i="4"/>
  <c r="AB144" i="8"/>
  <c r="N24" i="4" s="1"/>
  <c r="P24" i="4"/>
  <c r="AB180" i="8"/>
  <c r="N43" i="4" s="1"/>
  <c r="P43" i="4"/>
  <c r="AB141" i="8"/>
  <c r="N82" i="4" s="1"/>
  <c r="P82" i="4"/>
  <c r="AB36" i="8"/>
  <c r="N169" i="4" s="1"/>
  <c r="P169" i="4"/>
  <c r="AB181" i="8"/>
  <c r="N41" i="4" s="1"/>
  <c r="P41" i="4"/>
  <c r="AA114" i="4"/>
  <c r="P129" i="4"/>
  <c r="AB33" i="8"/>
  <c r="N180" i="4" s="1"/>
  <c r="AB40" i="8"/>
  <c r="N7" i="4" s="1"/>
  <c r="T113" i="8"/>
  <c r="Y175" i="4" s="1"/>
  <c r="AB123" i="8"/>
  <c r="N93" i="4" s="1"/>
  <c r="AB178" i="8"/>
  <c r="N96" i="4" s="1"/>
  <c r="AB71" i="8"/>
  <c r="N161" i="4" s="1"/>
  <c r="AB96" i="8"/>
  <c r="N84" i="4" s="1"/>
  <c r="AB128" i="8"/>
  <c r="N101" i="4" s="1"/>
  <c r="P131" i="4"/>
  <c r="T8" i="8"/>
  <c r="Y153" i="4" s="1"/>
  <c r="AB15" i="8"/>
  <c r="N4" i="4" s="1"/>
  <c r="T21" i="8"/>
  <c r="AB48" i="8"/>
  <c r="N50" i="4" s="1"/>
  <c r="AB65" i="8"/>
  <c r="N118" i="4" s="1"/>
  <c r="AB69" i="8"/>
  <c r="N125" i="4" s="1"/>
  <c r="AB75" i="8"/>
  <c r="N83" i="4" s="1"/>
  <c r="T76" i="8"/>
  <c r="U76" i="8" s="1"/>
  <c r="T98" i="8"/>
  <c r="AB100" i="8"/>
  <c r="N20" i="4" s="1"/>
  <c r="T103" i="8"/>
  <c r="U103" i="8" s="1"/>
  <c r="T109" i="8"/>
  <c r="U109" i="8" s="1"/>
  <c r="AB122" i="8"/>
  <c r="N193" i="4" s="1"/>
  <c r="T150" i="8"/>
  <c r="AB158" i="8"/>
  <c r="N81" i="4" s="1"/>
  <c r="T159" i="8"/>
  <c r="T171" i="8"/>
  <c r="AA24" i="4"/>
  <c r="P11" i="4"/>
  <c r="AB131" i="8"/>
  <c r="N28" i="4" s="1"/>
  <c r="AB192" i="8"/>
  <c r="N27" i="4" s="1"/>
  <c r="AA23" i="4"/>
  <c r="P170" i="4"/>
  <c r="P174" i="4"/>
  <c r="T14" i="8"/>
  <c r="U14" i="8" s="1"/>
  <c r="AB21" i="8"/>
  <c r="N36" i="4" s="1"/>
  <c r="AB46" i="8"/>
  <c r="N51" i="4" s="1"/>
  <c r="AB62" i="8"/>
  <c r="N109" i="4" s="1"/>
  <c r="AB66" i="8"/>
  <c r="N119" i="4" s="1"/>
  <c r="T104" i="8"/>
  <c r="T119" i="8"/>
  <c r="AB125" i="8"/>
  <c r="N18" i="4" s="1"/>
  <c r="T131" i="8"/>
  <c r="T133" i="8"/>
  <c r="U133" i="8" s="1"/>
  <c r="AB134" i="8"/>
  <c r="N134" i="4" s="1"/>
  <c r="AB146" i="8"/>
  <c r="N22" i="4" s="1"/>
  <c r="AB150" i="8"/>
  <c r="N48" i="4" s="1"/>
  <c r="AB167" i="8"/>
  <c r="N105" i="4" s="1"/>
  <c r="AB175" i="8"/>
  <c r="N39" i="4" s="1"/>
  <c r="T194" i="8"/>
  <c r="T100" i="8"/>
  <c r="AQ20" i="4"/>
  <c r="AB32" i="8"/>
  <c r="N19" i="4" s="1"/>
  <c r="P19" i="4"/>
  <c r="T58" i="8"/>
  <c r="U58" i="8" s="1"/>
  <c r="AQ157" i="4"/>
  <c r="AB44" i="8"/>
  <c r="N80" i="4" s="1"/>
  <c r="P80" i="4"/>
  <c r="AB88" i="8"/>
  <c r="N171" i="4" s="1"/>
  <c r="P171" i="4"/>
  <c r="AB121" i="8"/>
  <c r="N52" i="4" s="1"/>
  <c r="P52" i="4"/>
  <c r="S197" i="8"/>
  <c r="AA12" i="4"/>
  <c r="T65" i="8"/>
  <c r="AA161" i="4"/>
  <c r="P8" i="4"/>
  <c r="AA19" i="4"/>
  <c r="AQ36" i="4"/>
  <c r="AQ76" i="4"/>
  <c r="AA90" i="4"/>
  <c r="AA92" i="4"/>
  <c r="P167" i="4"/>
  <c r="P193" i="4"/>
  <c r="AB6" i="8"/>
  <c r="N57" i="4" s="1"/>
  <c r="AB17" i="8"/>
  <c r="N60" i="4" s="1"/>
  <c r="O29" i="8"/>
  <c r="AB29" i="8"/>
  <c r="N25" i="4" s="1"/>
  <c r="O32" i="8"/>
  <c r="T40" i="8"/>
  <c r="AB54" i="8"/>
  <c r="N106" i="4" s="1"/>
  <c r="T84" i="8"/>
  <c r="AQ130" i="4"/>
  <c r="AB90" i="8"/>
  <c r="N63" i="4" s="1"/>
  <c r="T97" i="8"/>
  <c r="O101" i="8"/>
  <c r="O141" i="8"/>
  <c r="O144" i="8"/>
  <c r="AB152" i="8"/>
  <c r="N150" i="4" s="1"/>
  <c r="P150" i="4"/>
  <c r="AQ91" i="4"/>
  <c r="P141" i="4"/>
  <c r="P143" i="4"/>
  <c r="AQ164" i="4"/>
  <c r="AA193" i="4"/>
  <c r="T77" i="8"/>
  <c r="AA138" i="4"/>
  <c r="AB139" i="8"/>
  <c r="N190" i="4" s="1"/>
  <c r="P190" i="4"/>
  <c r="T57" i="8"/>
  <c r="AQ156" i="4"/>
  <c r="P38" i="4"/>
  <c r="P83" i="4"/>
  <c r="P121" i="4"/>
  <c r="P124" i="4"/>
  <c r="P140" i="4"/>
  <c r="AB11" i="8"/>
  <c r="N92" i="4" s="1"/>
  <c r="T20" i="8"/>
  <c r="U20" i="8" s="1"/>
  <c r="AB42" i="8"/>
  <c r="N72" i="4" s="1"/>
  <c r="T47" i="8"/>
  <c r="AB57" i="8"/>
  <c r="N156" i="4" s="1"/>
  <c r="P156" i="4"/>
  <c r="O105" i="8"/>
  <c r="P45" i="4"/>
  <c r="AQ49" i="4"/>
  <c r="P79" i="4"/>
  <c r="P94" i="4"/>
  <c r="AA192" i="4"/>
  <c r="O7" i="8"/>
  <c r="N197" i="8"/>
  <c r="O18" i="8"/>
  <c r="AB22" i="8"/>
  <c r="N69" i="4" s="1"/>
  <c r="O25" i="8"/>
  <c r="AB25" i="8"/>
  <c r="N67" i="4" s="1"/>
  <c r="AB28" i="8"/>
  <c r="N10" i="4" s="1"/>
  <c r="T29" i="8"/>
  <c r="AB31" i="8"/>
  <c r="N108" i="4" s="1"/>
  <c r="T51" i="8"/>
  <c r="T73" i="8"/>
  <c r="O80" i="8"/>
  <c r="T82" i="8"/>
  <c r="T87" i="8"/>
  <c r="AB101" i="8"/>
  <c r="N177" i="4" s="1"/>
  <c r="P177" i="4"/>
  <c r="T160" i="8"/>
  <c r="AQ183" i="4"/>
  <c r="AB161" i="8"/>
  <c r="N184" i="4" s="1"/>
  <c r="P184" i="4"/>
  <c r="AA166" i="4"/>
  <c r="V197" i="8"/>
  <c r="O16" i="8"/>
  <c r="O17" i="8"/>
  <c r="O19" i="8"/>
  <c r="O23" i="8"/>
  <c r="AB26" i="8"/>
  <c r="N68" i="4" s="1"/>
  <c r="T27" i="8"/>
  <c r="O36" i="8"/>
  <c r="AB37" i="8"/>
  <c r="N44" i="4" s="1"/>
  <c r="T43" i="8"/>
  <c r="O49" i="8"/>
  <c r="T54" i="8"/>
  <c r="AB64" i="8"/>
  <c r="N123" i="4" s="1"/>
  <c r="O66" i="8"/>
  <c r="T70" i="8"/>
  <c r="AB76" i="8"/>
  <c r="N91" i="4" s="1"/>
  <c r="AB86" i="8"/>
  <c r="N104" i="4" s="1"/>
  <c r="O88" i="8"/>
  <c r="O99" i="8"/>
  <c r="T101" i="8"/>
  <c r="Y177" i="4" s="1"/>
  <c r="AB116" i="8"/>
  <c r="N88" i="4" s="1"/>
  <c r="O118" i="8"/>
  <c r="AB119" i="8"/>
  <c r="N32" i="4" s="1"/>
  <c r="T138" i="8"/>
  <c r="T180" i="8"/>
  <c r="O85" i="8"/>
  <c r="T90" i="8"/>
  <c r="T93" i="8"/>
  <c r="AB97" i="8"/>
  <c r="N87" i="4" s="1"/>
  <c r="AB104" i="8"/>
  <c r="N164" i="4" s="1"/>
  <c r="O116" i="8"/>
  <c r="O148" i="8"/>
  <c r="AB165" i="8"/>
  <c r="N74" i="4" s="1"/>
  <c r="AB171" i="8"/>
  <c r="N13" i="4" s="1"/>
  <c r="M197" i="8"/>
  <c r="O11" i="8"/>
  <c r="O13" i="8"/>
  <c r="AB16" i="8"/>
  <c r="N61" i="4" s="1"/>
  <c r="AB30" i="8"/>
  <c r="N127" i="4" s="1"/>
  <c r="T31" i="8"/>
  <c r="AB35" i="8"/>
  <c r="N6" i="4" s="1"/>
  <c r="O38" i="8"/>
  <c r="O47" i="8"/>
  <c r="O58" i="8"/>
  <c r="AB59" i="8"/>
  <c r="N148" i="4" s="1"/>
  <c r="O61" i="8"/>
  <c r="AB68" i="8"/>
  <c r="N120" i="4" s="1"/>
  <c r="O75" i="8"/>
  <c r="T78" i="8"/>
  <c r="AB81" i="8"/>
  <c r="N128" i="4" s="1"/>
  <c r="O83" i="8"/>
  <c r="O90" i="8"/>
  <c r="T91" i="8"/>
  <c r="AB93" i="8"/>
  <c r="N163" i="4" s="1"/>
  <c r="O97" i="8"/>
  <c r="T102" i="8"/>
  <c r="AB110" i="8"/>
  <c r="N98" i="4" s="1"/>
  <c r="AB112" i="8"/>
  <c r="N191" i="4" s="1"/>
  <c r="O114" i="8"/>
  <c r="T116" i="8"/>
  <c r="O132" i="8"/>
  <c r="O156" i="8"/>
  <c r="AB156" i="8"/>
  <c r="N112" i="4" s="1"/>
  <c r="O188" i="8"/>
  <c r="AB188" i="8"/>
  <c r="N178" i="4" s="1"/>
  <c r="O69" i="8"/>
  <c r="T99" i="8"/>
  <c r="T105" i="8"/>
  <c r="O106" i="8"/>
  <c r="O115" i="8"/>
  <c r="T118" i="8"/>
  <c r="T124" i="8"/>
  <c r="AB126" i="8"/>
  <c r="N37" i="4" s="1"/>
  <c r="AB132" i="8"/>
  <c r="N145" i="4" s="1"/>
  <c r="O163" i="8"/>
  <c r="O176" i="8"/>
  <c r="T181" i="8"/>
  <c r="O182" i="8"/>
  <c r="O194" i="8"/>
  <c r="T49" i="8"/>
  <c r="O50" i="8"/>
  <c r="AB50" i="8"/>
  <c r="N64" i="4" s="1"/>
  <c r="O56" i="8"/>
  <c r="O70" i="8"/>
  <c r="O72" i="8"/>
  <c r="AB74" i="8"/>
  <c r="N162" i="4" s="1"/>
  <c r="O76" i="8"/>
  <c r="AB78" i="8"/>
  <c r="N29" i="4" s="1"/>
  <c r="O84" i="8"/>
  <c r="AB85" i="8"/>
  <c r="N103" i="4" s="1"/>
  <c r="O91" i="8"/>
  <c r="O93" i="8"/>
  <c r="O96" i="8"/>
  <c r="AB98" i="8"/>
  <c r="N70" i="4" s="1"/>
  <c r="AB107" i="8"/>
  <c r="N166" i="4" s="1"/>
  <c r="AB109" i="8"/>
  <c r="N168" i="4" s="1"/>
  <c r="AB113" i="8"/>
  <c r="N175" i="4" s="1"/>
  <c r="AB117" i="8"/>
  <c r="N158" i="4" s="1"/>
  <c r="T139" i="8"/>
  <c r="O146" i="8"/>
  <c r="O147" i="8"/>
  <c r="AB147" i="8"/>
  <c r="N23" i="4" s="1"/>
  <c r="T154" i="8"/>
  <c r="AB155" i="8"/>
  <c r="N114" i="4" s="1"/>
  <c r="T162" i="8"/>
  <c r="T170" i="8"/>
  <c r="AB173" i="8"/>
  <c r="N151" i="4" s="1"/>
  <c r="O179" i="8"/>
  <c r="O183" i="8"/>
  <c r="AB187" i="8"/>
  <c r="N62" i="4" s="1"/>
  <c r="T189" i="8"/>
  <c r="T193" i="8"/>
  <c r="O109" i="8"/>
  <c r="T117" i="8"/>
  <c r="AB118" i="8"/>
  <c r="N31" i="4" s="1"/>
  <c r="T120" i="8"/>
  <c r="AB124" i="8"/>
  <c r="N154" i="4" s="1"/>
  <c r="T125" i="8"/>
  <c r="O136" i="8"/>
  <c r="O137" i="8"/>
  <c r="AB137" i="8"/>
  <c r="N186" i="4" s="1"/>
  <c r="T141" i="8"/>
  <c r="O142" i="8"/>
  <c r="O145" i="8"/>
  <c r="T148" i="8"/>
  <c r="O151" i="8"/>
  <c r="T153" i="8"/>
  <c r="AB154" i="8"/>
  <c r="N110" i="4" s="1"/>
  <c r="AB157" i="8"/>
  <c r="N99" i="4" s="1"/>
  <c r="T161" i="8"/>
  <c r="O162" i="8"/>
  <c r="AB162" i="8"/>
  <c r="N116" i="4" s="1"/>
  <c r="O174" i="8"/>
  <c r="T176" i="8"/>
  <c r="O191" i="8"/>
  <c r="T196" i="8"/>
  <c r="T134" i="8"/>
  <c r="AB142" i="8"/>
  <c r="N34" i="4" s="1"/>
  <c r="O157" i="8"/>
  <c r="T169" i="8"/>
  <c r="O172" i="8"/>
  <c r="T173" i="8"/>
  <c r="AB176" i="8"/>
  <c r="N97" i="4" s="1"/>
  <c r="O180" i="8"/>
  <c r="AB184" i="8"/>
  <c r="N192" i="4" s="1"/>
  <c r="O189" i="8"/>
  <c r="T190" i="8"/>
  <c r="AB191" i="8"/>
  <c r="N78" i="4" s="1"/>
  <c r="O195" i="8"/>
  <c r="AQ152" i="4"/>
  <c r="T7" i="8"/>
  <c r="AQ122" i="4"/>
  <c r="T63" i="8"/>
  <c r="AB58" i="8"/>
  <c r="N157" i="4" s="1"/>
  <c r="P157" i="4"/>
  <c r="T66" i="8"/>
  <c r="AQ119" i="4"/>
  <c r="AB106" i="8"/>
  <c r="N165" i="4" s="1"/>
  <c r="P165" i="4"/>
  <c r="P127" i="4"/>
  <c r="O6" i="8"/>
  <c r="AB8" i="8"/>
  <c r="N153" i="4" s="1"/>
  <c r="P153" i="4"/>
  <c r="AB13" i="8"/>
  <c r="N12" i="4" s="1"/>
  <c r="T16" i="8"/>
  <c r="T18" i="8"/>
  <c r="T24" i="8"/>
  <c r="T26" i="8"/>
  <c r="T38" i="8"/>
  <c r="T55" i="8"/>
  <c r="T64" i="8"/>
  <c r="AQ123" i="4"/>
  <c r="AA180" i="4"/>
  <c r="T33" i="8"/>
  <c r="AQ54" i="4"/>
  <c r="T9" i="8"/>
  <c r="AB24" i="8"/>
  <c r="N66" i="4" s="1"/>
  <c r="AQ146" i="4"/>
  <c r="T34" i="8"/>
  <c r="T36" i="8"/>
  <c r="AB38" i="8"/>
  <c r="N173" i="4" s="1"/>
  <c r="P173" i="4"/>
  <c r="O40" i="8"/>
  <c r="AB51" i="8"/>
  <c r="N56" i="4" s="1"/>
  <c r="AB7" i="8"/>
  <c r="N152" i="4" s="1"/>
  <c r="P152" i="4"/>
  <c r="AB9" i="8"/>
  <c r="N155" i="4" s="1"/>
  <c r="P155" i="4"/>
  <c r="AB20" i="8"/>
  <c r="N187" i="4" s="1"/>
  <c r="P187" i="4"/>
  <c r="T39" i="8"/>
  <c r="AQ160" i="4"/>
  <c r="O64" i="4"/>
  <c r="T19" i="8"/>
  <c r="AA142" i="4"/>
  <c r="T23" i="8"/>
  <c r="T37" i="8"/>
  <c r="T46" i="8"/>
  <c r="AB60" i="8"/>
  <c r="N149" i="4" s="1"/>
  <c r="P149" i="4"/>
  <c r="AQ141" i="4"/>
  <c r="T61" i="8"/>
  <c r="P36" i="4"/>
  <c r="P67" i="4"/>
  <c r="AB19" i="8"/>
  <c r="N185" i="4" s="1"/>
  <c r="P185" i="4"/>
  <c r="O27" i="8"/>
  <c r="T30" i="8"/>
  <c r="AB34" i="8"/>
  <c r="N146" i="4" s="1"/>
  <c r="P146" i="4"/>
  <c r="AB39" i="8"/>
  <c r="N160" i="4" s="1"/>
  <c r="P160" i="4"/>
  <c r="T42" i="8"/>
  <c r="AB52" i="8"/>
  <c r="N55" i="4" s="1"/>
  <c r="T74" i="8"/>
  <c r="AQ162" i="4"/>
  <c r="T69" i="8"/>
  <c r="T72" i="8"/>
  <c r="X10" i="8"/>
  <c r="T52" i="8"/>
  <c r="O55" i="8"/>
  <c r="O63" i="8"/>
  <c r="AB67" i="8"/>
  <c r="N117" i="4" s="1"/>
  <c r="O79" i="8"/>
  <c r="T81" i="8"/>
  <c r="AB82" i="8"/>
  <c r="N132" i="4" s="1"/>
  <c r="T89" i="8"/>
  <c r="Q10" i="8"/>
  <c r="Q197" i="8" s="1"/>
  <c r="AA197" i="8"/>
  <c r="AB56" i="8"/>
  <c r="N14" i="4" s="1"/>
  <c r="T59" i="8"/>
  <c r="T68" i="8"/>
  <c r="T83" i="8"/>
  <c r="L197" i="8"/>
  <c r="O59" i="8"/>
  <c r="AB63" i="8"/>
  <c r="N122" i="4" s="1"/>
  <c r="AB87" i="8"/>
  <c r="N172" i="4" s="1"/>
  <c r="O108" i="8"/>
  <c r="O107" i="8"/>
  <c r="T112" i="8"/>
  <c r="O113" i="8"/>
  <c r="T115" i="8"/>
  <c r="T123" i="8"/>
  <c r="T130" i="8"/>
  <c r="T110" i="8"/>
  <c r="T129" i="8"/>
  <c r="T179" i="8"/>
  <c r="O94" i="8"/>
  <c r="O103" i="8"/>
  <c r="O119" i="8"/>
  <c r="AB120" i="8"/>
  <c r="N33" i="4" s="1"/>
  <c r="AB127" i="8"/>
  <c r="N100" i="4" s="1"/>
  <c r="T152" i="8"/>
  <c r="O165" i="8"/>
  <c r="AB166" i="8"/>
  <c r="N107" i="4" s="1"/>
  <c r="O177" i="8"/>
  <c r="AB94" i="8"/>
  <c r="N15" i="4" s="1"/>
  <c r="AB103" i="8"/>
  <c r="N147" i="4" s="1"/>
  <c r="T106" i="8"/>
  <c r="AB138" i="8"/>
  <c r="N189" i="4" s="1"/>
  <c r="AB148" i="8"/>
  <c r="N21" i="4" s="1"/>
  <c r="O155" i="8"/>
  <c r="AB168" i="8"/>
  <c r="N139" i="4" s="1"/>
  <c r="T126" i="8"/>
  <c r="T132" i="8"/>
  <c r="AB135" i="8"/>
  <c r="N136" i="4" s="1"/>
  <c r="AB145" i="8"/>
  <c r="N35" i="4" s="1"/>
  <c r="T158" i="8"/>
  <c r="AB164" i="8"/>
  <c r="N17" i="4" s="1"/>
  <c r="O170" i="8"/>
  <c r="AB170" i="8"/>
  <c r="N144" i="4" s="1"/>
  <c r="O173" i="8"/>
  <c r="AB174" i="8"/>
  <c r="N40" i="4" s="1"/>
  <c r="T182" i="8"/>
  <c r="T185" i="8"/>
  <c r="T192" i="8"/>
  <c r="AB193" i="8"/>
  <c r="N58" i="4" s="1"/>
  <c r="T195" i="8"/>
  <c r="O123" i="8"/>
  <c r="O129" i="8"/>
  <c r="AB163" i="8"/>
  <c r="N76" i="4" s="1"/>
  <c r="T175" i="8"/>
  <c r="O140" i="8"/>
  <c r="O150" i="8"/>
  <c r="AB153" i="8"/>
  <c r="N111" i="4" s="1"/>
  <c r="AB160" i="8"/>
  <c r="N183" i="4" s="1"/>
  <c r="AB182" i="8"/>
  <c r="N47" i="4" s="1"/>
  <c r="O185" i="8"/>
  <c r="O120" i="8"/>
  <c r="AB133" i="8"/>
  <c r="N135" i="4" s="1"/>
  <c r="AB140" i="8"/>
  <c r="N176" i="4" s="1"/>
  <c r="AB143" i="8"/>
  <c r="N115" i="4" s="1"/>
  <c r="AB159" i="8"/>
  <c r="N133" i="4" s="1"/>
  <c r="T187" i="8"/>
  <c r="T142" i="8" l="1"/>
  <c r="T6" i="8"/>
  <c r="U6" i="8" s="1"/>
  <c r="T60" i="8"/>
  <c r="Y149" i="4" s="1"/>
  <c r="R197" i="8"/>
  <c r="AQ174" i="4"/>
  <c r="AQ65" i="4"/>
  <c r="AQ17" i="4"/>
  <c r="Y171" i="4"/>
  <c r="Y193" i="4"/>
  <c r="U67" i="8"/>
  <c r="U113" i="8"/>
  <c r="Y4" i="4"/>
  <c r="Y112" i="4"/>
  <c r="U145" i="8"/>
  <c r="Y60" i="4"/>
  <c r="U96" i="8"/>
  <c r="Y131" i="4"/>
  <c r="Y115" i="4"/>
  <c r="Y30" i="4"/>
  <c r="U71" i="8"/>
  <c r="Y166" i="4"/>
  <c r="Y83" i="4"/>
  <c r="Y137" i="4"/>
  <c r="Y126" i="4"/>
  <c r="U101" i="8"/>
  <c r="Y69" i="4"/>
  <c r="Y19" i="4"/>
  <c r="Y15" i="4"/>
  <c r="Y96" i="4"/>
  <c r="U174" i="8"/>
  <c r="Y174" i="4"/>
  <c r="Y24" i="4"/>
  <c r="Y85" i="4"/>
  <c r="Y80" i="4"/>
  <c r="Y192" i="4"/>
  <c r="U86" i="8"/>
  <c r="Y104" i="4"/>
  <c r="Y157" i="4"/>
  <c r="Y86" i="4"/>
  <c r="U48" i="8"/>
  <c r="Y50" i="4"/>
  <c r="U35" i="8"/>
  <c r="Y6" i="4"/>
  <c r="U8" i="8"/>
  <c r="U25" i="8"/>
  <c r="Y23" i="4"/>
  <c r="Y168" i="4"/>
  <c r="Y92" i="4"/>
  <c r="Y76" i="4"/>
  <c r="U128" i="8"/>
  <c r="Y101" i="4"/>
  <c r="U12" i="8"/>
  <c r="Y46" i="4"/>
  <c r="Y91" i="4"/>
  <c r="Y114" i="4"/>
  <c r="U28" i="8"/>
  <c r="Y10" i="4"/>
  <c r="Y186" i="4"/>
  <c r="U167" i="8"/>
  <c r="Y105" i="4"/>
  <c r="Y49" i="4"/>
  <c r="Y78" i="4"/>
  <c r="U177" i="8"/>
  <c r="Y95" i="4"/>
  <c r="U165" i="8"/>
  <c r="Y74" i="4"/>
  <c r="U183" i="8"/>
  <c r="Y45" i="4"/>
  <c r="U50" i="8"/>
  <c r="Y64" i="4"/>
  <c r="U56" i="8"/>
  <c r="Y14" i="4"/>
  <c r="U108" i="8"/>
  <c r="Y167" i="4"/>
  <c r="U62" i="8"/>
  <c r="Y109" i="4"/>
  <c r="U13" i="8"/>
  <c r="Y12" i="4"/>
  <c r="U146" i="8"/>
  <c r="Y22" i="4"/>
  <c r="U166" i="8"/>
  <c r="Y107" i="4"/>
  <c r="U188" i="8"/>
  <c r="Y178" i="4"/>
  <c r="Y188" i="4"/>
  <c r="U149" i="8"/>
  <c r="Y75" i="4"/>
  <c r="U168" i="8"/>
  <c r="Y139" i="4"/>
  <c r="U157" i="8"/>
  <c r="Y99" i="4"/>
  <c r="U172" i="8"/>
  <c r="Y11" i="4"/>
  <c r="Y135" i="4"/>
  <c r="Y103" i="4"/>
  <c r="U142" i="8"/>
  <c r="Y34" i="4"/>
  <c r="Y136" i="4"/>
  <c r="U135" i="8"/>
  <c r="U186" i="8"/>
  <c r="Y102" i="4"/>
  <c r="Y143" i="4"/>
  <c r="U121" i="8"/>
  <c r="Y52" i="4"/>
  <c r="Y187" i="4"/>
  <c r="Y147" i="4"/>
  <c r="U127" i="8"/>
  <c r="Y100" i="4"/>
  <c r="U140" i="8"/>
  <c r="Y176" i="4"/>
  <c r="U98" i="8"/>
  <c r="Y70" i="4"/>
  <c r="U131" i="8"/>
  <c r="Y28" i="4"/>
  <c r="U119" i="8"/>
  <c r="Y32" i="4"/>
  <c r="U150" i="8"/>
  <c r="Y48" i="4"/>
  <c r="U21" i="8"/>
  <c r="Y36" i="4"/>
  <c r="U159" i="8"/>
  <c r="Y133" i="4"/>
  <c r="U104" i="8"/>
  <c r="Y164" i="4"/>
  <c r="Y140" i="4"/>
  <c r="U194" i="8"/>
  <c r="Y59" i="4"/>
  <c r="U171" i="8"/>
  <c r="Y13" i="4"/>
  <c r="U134" i="8"/>
  <c r="Y134" i="4"/>
  <c r="U148" i="8"/>
  <c r="Y21" i="4"/>
  <c r="U49" i="8"/>
  <c r="Y53" i="4"/>
  <c r="U138" i="8"/>
  <c r="Y189" i="4"/>
  <c r="U54" i="8"/>
  <c r="Y106" i="4"/>
  <c r="Y156" i="4"/>
  <c r="U57" i="8"/>
  <c r="U77" i="8"/>
  <c r="Y138" i="4"/>
  <c r="U84" i="8"/>
  <c r="Y130" i="4"/>
  <c r="U173" i="8"/>
  <c r="Y151" i="4"/>
  <c r="U196" i="8"/>
  <c r="Y8" i="4"/>
  <c r="U161" i="8"/>
  <c r="Y184" i="4"/>
  <c r="U125" i="8"/>
  <c r="Y18" i="4"/>
  <c r="U154" i="8"/>
  <c r="Y110" i="4"/>
  <c r="U31" i="8"/>
  <c r="Y108" i="4"/>
  <c r="U87" i="8"/>
  <c r="Y172" i="4"/>
  <c r="U29" i="8"/>
  <c r="Y25" i="4"/>
  <c r="U47" i="8"/>
  <c r="Y54" i="4"/>
  <c r="U97" i="8"/>
  <c r="Y87" i="4"/>
  <c r="U65" i="8"/>
  <c r="Y118" i="4"/>
  <c r="U190" i="8"/>
  <c r="Y77" i="4"/>
  <c r="U105" i="8"/>
  <c r="Y94" i="4"/>
  <c r="U102" i="8"/>
  <c r="Y38" i="4"/>
  <c r="U93" i="8"/>
  <c r="Y163" i="4"/>
  <c r="U43" i="8"/>
  <c r="Y73" i="4"/>
  <c r="U82" i="8"/>
  <c r="Y132" i="4"/>
  <c r="U40" i="8"/>
  <c r="Y7" i="4"/>
  <c r="U169" i="8"/>
  <c r="Y71" i="4"/>
  <c r="U176" i="8"/>
  <c r="Y97" i="4"/>
  <c r="U141" i="8"/>
  <c r="Y82" i="4"/>
  <c r="U120" i="8"/>
  <c r="Y33" i="4"/>
  <c r="U99" i="8"/>
  <c r="Y121" i="4"/>
  <c r="U78" i="8"/>
  <c r="Y29" i="4"/>
  <c r="U164" i="8"/>
  <c r="Y17" i="4"/>
  <c r="U90" i="8"/>
  <c r="Y63" i="4"/>
  <c r="U70" i="8"/>
  <c r="Y124" i="4"/>
  <c r="U100" i="8"/>
  <c r="Y20" i="4"/>
  <c r="U153" i="8"/>
  <c r="Y111" i="4"/>
  <c r="U193" i="8"/>
  <c r="Y58" i="4"/>
  <c r="U170" i="8"/>
  <c r="Y144" i="4"/>
  <c r="U124" i="8"/>
  <c r="Y154" i="4"/>
  <c r="U116" i="8"/>
  <c r="Y88" i="4"/>
  <c r="U160" i="8"/>
  <c r="Y183" i="4"/>
  <c r="U73" i="8"/>
  <c r="Y182" i="4"/>
  <c r="U117" i="8"/>
  <c r="Y158" i="4"/>
  <c r="U189" i="8"/>
  <c r="Y79" i="4"/>
  <c r="U162" i="8"/>
  <c r="Y116" i="4"/>
  <c r="U139" i="8"/>
  <c r="Y190" i="4"/>
  <c r="U181" i="8"/>
  <c r="Y41" i="4"/>
  <c r="Y31" i="4"/>
  <c r="U118" i="8"/>
  <c r="U91" i="8"/>
  <c r="Y26" i="4"/>
  <c r="U180" i="8"/>
  <c r="Y43" i="4"/>
  <c r="Y5" i="4"/>
  <c r="U27" i="8"/>
  <c r="U51" i="8"/>
  <c r="Y56" i="4"/>
  <c r="U63" i="8"/>
  <c r="Y122" i="4"/>
  <c r="Y169" i="4"/>
  <c r="U36" i="8"/>
  <c r="U41" i="8"/>
  <c r="Y65" i="4"/>
  <c r="U182" i="8"/>
  <c r="Y47" i="4"/>
  <c r="U158" i="8"/>
  <c r="Y81" i="4"/>
  <c r="U130" i="8"/>
  <c r="Y159" i="4"/>
  <c r="U83" i="8"/>
  <c r="Y129" i="4"/>
  <c r="U89" i="8"/>
  <c r="Y170" i="4"/>
  <c r="U74" i="8"/>
  <c r="Y162" i="4"/>
  <c r="U34" i="8"/>
  <c r="Y146" i="4"/>
  <c r="U33" i="8"/>
  <c r="Y180" i="4"/>
  <c r="U38" i="8"/>
  <c r="Y173" i="4"/>
  <c r="U185" i="8"/>
  <c r="Y89" i="4"/>
  <c r="U110" i="8"/>
  <c r="Y98" i="4"/>
  <c r="U19" i="8"/>
  <c r="Y185" i="4"/>
  <c r="U123" i="8"/>
  <c r="Y93" i="4"/>
  <c r="U68" i="8"/>
  <c r="Y120" i="4"/>
  <c r="U52" i="8"/>
  <c r="Y55" i="4"/>
  <c r="U30" i="8"/>
  <c r="Y127" i="4"/>
  <c r="U61" i="8"/>
  <c r="Y141" i="4"/>
  <c r="U46" i="8"/>
  <c r="Y51" i="4"/>
  <c r="U26" i="8"/>
  <c r="Y68" i="4"/>
  <c r="U195" i="8"/>
  <c r="Y113" i="4"/>
  <c r="U115" i="8"/>
  <c r="Y194" i="4"/>
  <c r="U59" i="8"/>
  <c r="Y148" i="4"/>
  <c r="U81" i="8"/>
  <c r="Y128" i="4"/>
  <c r="X197" i="8"/>
  <c r="AB10" i="8"/>
  <c r="P90" i="4"/>
  <c r="U42" i="8"/>
  <c r="Y72" i="4"/>
  <c r="U37" i="8"/>
  <c r="Y44" i="4"/>
  <c r="U39" i="8"/>
  <c r="Y160" i="4"/>
  <c r="U24" i="8"/>
  <c r="Y66" i="4"/>
  <c r="U66" i="8"/>
  <c r="Y119" i="4"/>
  <c r="U132" i="8"/>
  <c r="Y145" i="4"/>
  <c r="U106" i="8"/>
  <c r="Y165" i="4"/>
  <c r="U152" i="8"/>
  <c r="Y150" i="4"/>
  <c r="U179" i="8"/>
  <c r="Y42" i="4"/>
  <c r="U72" i="8"/>
  <c r="Y181" i="4"/>
  <c r="U23" i="8"/>
  <c r="Y142" i="4"/>
  <c r="U9" i="8"/>
  <c r="Y155" i="4"/>
  <c r="U64" i="8"/>
  <c r="Y123" i="4"/>
  <c r="U18" i="8"/>
  <c r="Y9" i="4"/>
  <c r="U7" i="8"/>
  <c r="Y152" i="4"/>
  <c r="U187" i="8"/>
  <c r="Y62" i="4"/>
  <c r="U175" i="8"/>
  <c r="Y39" i="4"/>
  <c r="U192" i="8"/>
  <c r="Y27" i="4"/>
  <c r="U126" i="8"/>
  <c r="Y37" i="4"/>
  <c r="U129" i="8"/>
  <c r="Y179" i="4"/>
  <c r="U112" i="8"/>
  <c r="Y191" i="4"/>
  <c r="T10" i="8"/>
  <c r="U69" i="8"/>
  <c r="Y125" i="4"/>
  <c r="U55" i="8"/>
  <c r="Y16" i="4"/>
  <c r="U16" i="8"/>
  <c r="Y61" i="4"/>
  <c r="U60" i="8" l="1"/>
  <c r="Y57" i="4"/>
  <c r="AB197" i="8"/>
  <c r="N90" i="4"/>
  <c r="T197" i="8"/>
  <c r="U10" i="8"/>
  <c r="Y90" i="4"/>
</calcChain>
</file>

<file path=xl/sharedStrings.xml><?xml version="1.0" encoding="utf-8"?>
<sst xmlns="http://schemas.openxmlformats.org/spreadsheetml/2006/main" count="5043" uniqueCount="1286">
  <si>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</si>
  <si>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</si>
  <si>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</si>
  <si>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</si>
  <si>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</si>
  <si>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</si>
  <si>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</si>
  <si>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</si>
  <si>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</si>
  <si>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</si>
  <si>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</si>
  <si>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</si>
  <si>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</si>
  <si>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</si>
  <si>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</si>
  <si>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</si>
  <si>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</si>
  <si>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</si>
  <si>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</si>
  <si>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</si>
  <si>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</si>
  <si>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</si>
  <si>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</si>
  <si>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</si>
  <si>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</si>
  <si>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</si>
  <si>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</si>
  <si>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</si>
  <si>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</si>
  <si>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</si>
  <si>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</si>
  <si>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</si>
  <si>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</si>
  <si>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</si>
  <si>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</si>
  <si>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</si>
  <si>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</si>
  <si>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</si>
  <si>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</si>
  <si>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</si>
  <si>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</si>
  <si>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</si>
  <si>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</si>
  <si>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</si>
  <si>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</si>
  <si>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</si>
  <si>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</si>
  <si>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</si>
  <si>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</si>
  <si>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</si>
  <si>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</si>
  <si>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</si>
  <si>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</si>
  <si>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</si>
  <si>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</si>
  <si>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</si>
  <si>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</si>
  <si>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</si>
  <si>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</si>
  <si>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</si>
  <si>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</si>
  <si>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</si>
  <si>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</si>
  <si>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</si>
  <si>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</si>
  <si>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</si>
  <si>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</si>
  <si>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</si>
  <si>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</si>
  <si>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</si>
  <si>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</si>
  <si>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</si>
  <si>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</si>
  <si>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</si>
  <si>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</si>
  <si>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</si>
  <si>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</si>
  <si>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</si>
  <si>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</si>
  <si>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</si>
  <si>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</si>
  <si>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</si>
  <si>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</si>
  <si>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</si>
  <si>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</si>
  <si>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</si>
  <si>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</si>
  <si>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</si>
  <si>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</si>
  <si>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</si>
  <si>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</si>
  <si>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</si>
  <si>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</si>
  <si>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</si>
  <si>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</si>
  <si>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</si>
  <si>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</si>
  <si>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</si>
  <si>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</si>
  <si>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</si>
  <si>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</si>
  <si>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</si>
  <si>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</si>
  <si>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</si>
  <si>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</si>
  <si>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</si>
  <si>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</si>
  <si>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</si>
  <si>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</si>
  <si>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</si>
  <si>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</si>
  <si>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</si>
  <si>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</si>
  <si>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</si>
  <si>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</si>
  <si>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</si>
  <si>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</si>
  <si>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</si>
  <si>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</si>
  <si>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</si>
  <si>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</si>
  <si>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</si>
  <si>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</si>
  <si>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</si>
  <si>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</si>
  <si>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</si>
  <si>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</si>
  <si>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</si>
  <si>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</si>
  <si>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</si>
  <si>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</si>
  <si>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</si>
  <si>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</si>
  <si>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</si>
  <si>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</si>
  <si>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</si>
  <si>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</si>
  <si>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</si>
  <si>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</si>
  <si>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</si>
  <si>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</si>
  <si>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</si>
  <si>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</si>
  <si>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</si>
  <si>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</si>
  <si>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</si>
  <si>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</si>
  <si>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</si>
  <si>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</si>
  <si>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</si>
  <si>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</si>
  <si>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</si>
  <si>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</si>
  <si>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</si>
  <si>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</si>
  <si>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</si>
  <si>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</si>
  <si>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</si>
  <si>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</si>
  <si>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</si>
  <si>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</si>
  <si>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</si>
  <si>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</si>
  <si>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</si>
  <si>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</si>
  <si>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</si>
  <si>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</si>
  <si>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</si>
  <si>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</si>
  <si>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</si>
  <si>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</si>
  <si>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</si>
  <si>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</si>
  <si>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</si>
  <si>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</si>
  <si>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</si>
  <si>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</si>
  <si>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</si>
  <si>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</si>
  <si>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</si>
  <si>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</si>
  <si>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</si>
  <si>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</si>
  <si>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</si>
  <si>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</si>
  <si>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</si>
  <si>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</si>
  <si>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</si>
  <si>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</si>
  <si>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</si>
  <si>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</si>
  <si>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</si>
  <si>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</si>
  <si>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</si>
  <si>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</si>
  <si>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</si>
  <si>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</si>
  <si>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</si>
  <si>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</si>
  <si>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</si>
  <si>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</si>
  <si>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</si>
  <si>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</si>
  <si>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</si>
  <si>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</si>
  <si>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</si>
  <si>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</si>
  <si>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</si>
  <si>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</si>
  <si>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</si>
  <si>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</si>
  <si>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</si>
  <si>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</si>
  <si>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</si>
  <si>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</si>
  <si>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</si>
  <si>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</si>
  <si>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</si>
  <si>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</si>
  <si>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</si>
  <si>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</si>
  <si>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</si>
  <si>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</si>
  <si>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</si>
  <si>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</si>
  <si>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</si>
  <si>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</si>
  <si>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</si>
  <si>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</si>
  <si>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</si>
  <si>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</si>
  <si>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</si>
  <si>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</si>
  <si>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</si>
  <si>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</si>
  <si>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</si>
  <si>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</si>
  <si>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</si>
  <si>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</si>
  <si>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</si>
  <si>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</si>
  <si>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</si>
  <si>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</si>
  <si>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</si>
  <si>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</si>
  <si>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</si>
  <si>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</si>
  <si>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</si>
  <si>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</si>
  <si>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</si>
  <si>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</si>
  <si>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</si>
  <si>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</si>
  <si>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</si>
  <si>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</si>
  <si>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</si>
  <si>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</si>
  <si>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</si>
  <si>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</si>
  <si>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</si>
  <si>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</si>
  <si>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</si>
  <si>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</si>
  <si>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</si>
  <si>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</si>
  <si>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</si>
  <si>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</si>
  <si>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</si>
  <si>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</si>
  <si>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</si>
  <si>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</si>
  <si>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</si>
  <si>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</si>
  <si>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</si>
  <si>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</si>
  <si>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</si>
  <si>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</si>
  <si>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</si>
  <si>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</si>
  <si>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</si>
  <si>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</si>
  <si>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</si>
  <si>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</si>
  <si>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</si>
  <si>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</si>
  <si>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</si>
  <si>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</si>
  <si>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</si>
  <si>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</si>
  <si>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</si>
  <si>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</si>
  <si>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</si>
  <si>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</si>
  <si>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</si>
  <si>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</si>
  <si>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</si>
  <si>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</si>
  <si>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</si>
  <si>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</si>
  <si>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</si>
  <si>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</si>
  <si>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</si>
  <si>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</si>
  <si>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</si>
  <si>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</si>
  <si>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</si>
  <si>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</si>
  <si>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</si>
  <si>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</si>
  <si>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</si>
  <si>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</si>
  <si>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</si>
  <si>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</si>
  <si>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</si>
  <si>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</si>
  <si>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</si>
  <si>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</si>
  <si>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</si>
  <si>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</si>
  <si>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</si>
  <si>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</si>
  <si>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</si>
  <si>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</si>
  <si>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</si>
  <si>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</si>
  <si>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</si>
  <si>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</si>
  <si>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</si>
  <si>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</si>
  <si>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</si>
  <si>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</si>
  <si>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</si>
  <si>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</si>
  <si>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</si>
  <si>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</si>
  <si>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</si>
  <si>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</si>
  <si>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</si>
  <si>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</si>
  <si>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</si>
  <si>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</si>
  <si>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</si>
  <si>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</si>
  <si>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</si>
  <si>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</si>
  <si>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</si>
  <si>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</si>
  <si>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</si>
  <si>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</si>
  <si>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</si>
  <si>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</si>
  <si>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</si>
  <si>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</si>
  <si>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</si>
  <si>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</si>
  <si>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</si>
  <si>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</si>
  <si>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</si>
  <si>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</si>
  <si>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</si>
  <si>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</si>
  <si>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</si>
  <si>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</si>
  <si>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</si>
  <si>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</si>
  <si>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</si>
  <si>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</si>
  <si>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</si>
  <si>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</si>
  <si>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</si>
  <si>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</si>
  <si>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</si>
  <si>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</si>
  <si>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</si>
  <si>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</si>
  <si>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</si>
  <si>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</si>
  <si>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</si>
  <si>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</si>
  <si>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</si>
  <si>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</si>
  <si>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</si>
  <si>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</si>
  <si>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</si>
  <si>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</si>
  <si>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</si>
  <si>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</si>
  <si>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</si>
  <si>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</si>
  <si>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</si>
  <si>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</si>
  <si>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</si>
  <si>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</si>
  <si>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</si>
  <si>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</si>
  <si>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</si>
  <si>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</si>
  <si>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</si>
  <si>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</si>
  <si>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</si>
  <si>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</si>
  <si>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</si>
  <si>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</si>
  <si>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</si>
  <si>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</si>
  <si>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</si>
  <si>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</si>
  <si>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</si>
  <si>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</si>
  <si>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</si>
  <si>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</si>
  <si>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</si>
  <si>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</si>
  <si>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</si>
  <si>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</si>
  <si>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</si>
  <si>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</si>
  <si>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</si>
  <si>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</si>
  <si>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</si>
  <si>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</si>
  <si>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</si>
  <si>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</si>
  <si>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</si>
  <si>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</si>
  <si>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</si>
  <si>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</si>
  <si>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</si>
  <si>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</si>
  <si>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</si>
  <si>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</si>
  <si>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</si>
  <si>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</si>
  <si>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</si>
  <si>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</si>
  <si>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</si>
  <si>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</si>
  <si>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</si>
  <si>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</si>
  <si>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</si>
  <si>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</si>
  <si>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</si>
  <si>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</si>
  <si>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</si>
  <si>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</si>
  <si>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</si>
  <si>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</si>
  <si>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</si>
  <si>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</si>
  <si>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</si>
  <si>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</si>
  <si>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</si>
  <si>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</si>
  <si>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</si>
  <si>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</si>
  <si>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</si>
  <si>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</si>
  <si>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</si>
  <si>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</si>
  <si>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</si>
  <si>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</si>
  <si>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</si>
  <si>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</si>
  <si>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</si>
  <si>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</si>
  <si>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</si>
  <si>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</si>
  <si>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</si>
  <si>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</si>
  <si>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</si>
  <si>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</si>
  <si>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</si>
  <si>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</si>
  <si>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</si>
  <si>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</si>
  <si>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</si>
  <si>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</si>
  <si>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</si>
  <si>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</si>
  <si>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</si>
  <si>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</si>
  <si>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</si>
  <si>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</si>
  <si>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</si>
  <si>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</si>
  <si>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</si>
  <si>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</si>
  <si>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</si>
  <si>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</si>
  <si>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</si>
  <si>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</si>
  <si>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</si>
  <si>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</si>
  <si>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</si>
  <si>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</si>
  <si>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</si>
  <si>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</si>
  <si>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</si>
  <si>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</si>
  <si>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</si>
  <si>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150672</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</si>
  <si>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</si>
  <si>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</si>
  <si>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</si>
  <si>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</si>
  <si>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</si>
  <si>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</si>
  <si>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</si>
  <si>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</si>
  <si>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</si>
  <si>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</si>
  <si>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</si>
  <si>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</si>
  <si>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</si>
  <si>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</si>
  <si>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</si>
  <si>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</si>
  <si>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</si>
  <si>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</si>
  <si>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</si>
  <si>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</si>
  <si>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</si>
  <si>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</si>
  <si>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</si>
  <si>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</si>
  <si>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</si>
  <si>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</si>
  <si>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</si>
  <si>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</si>
  <si>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</si>
  <si>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</si>
  <si>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</si>
  <si>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</si>
  <si>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</si>
  <si>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</si>
  <si>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</si>
  <si>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</si>
  <si>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</si>
  <si>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</si>
  <si>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</si>
  <si>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</si>
  <si>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</si>
  <si>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</si>
  <si>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</si>
  <si>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</si>
  <si>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</si>
  <si>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</si>
  <si>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</si>
  <si>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</si>
  <si>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</si>
  <si>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</si>
  <si>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</si>
  <si>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</si>
  <si>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</si>
  <si>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</si>
  <si>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</si>
  <si>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</si>
  <si>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</si>
  <si>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</si>
  <si>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</si>
  <si>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</si>
  <si>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</si>
  <si>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</si>
  <si>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</si>
  <si>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</si>
  <si>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</si>
  <si>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</si>
  <si>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</si>
  <si>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</si>
  <si>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</si>
  <si>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</si>
  <si>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</si>
  <si>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</si>
  <si>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</si>
  <si>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</si>
  <si>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</si>
  <si>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</si>
  <si>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</si>
  <si>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</si>
  <si>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</si>
  <si>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</si>
  <si>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</si>
  <si>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</si>
  <si>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</si>
  <si>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</si>
  <si>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</si>
  <si>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</si>
  <si>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</si>
  <si>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</si>
  <si>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</si>
  <si>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</si>
  <si>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</si>
  <si>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</si>
  <si>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</si>
  <si>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</si>
  <si>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</si>
  <si>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</si>
  <si>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</si>
  <si>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</si>
  <si>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</si>
  <si>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</si>
  <si>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</si>
  <si>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</si>
  <si>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</si>
  <si>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</si>
  <si>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</si>
  <si>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</si>
  <si>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</si>
  <si>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</si>
  <si>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</si>
  <si>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</si>
  <si>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No Activity In Previous Month</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</si>
  <si>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</si>
  <si>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</si>
  <si>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</si>
  <si>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</si>
  <si>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</si>
  <si>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</si>
  <si>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</si>
  <si>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</si>
  <si>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</si>
  <si>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</si>
  <si>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</si>
  <si>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</si>
  <si>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</si>
  <si>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</si>
  <si>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</si>
  <si>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</si>
  <si>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</si>
  <si>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</si>
  <si>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</si>
  <si>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</si>
  <si>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</si>
  <si>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</si>
  <si>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</si>
  <si>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</si>
  <si>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</si>
  <si>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</si>
  <si>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</si>
  <si>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</si>
  <si>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</si>
  <si>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</si>
  <si>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</si>
  <si>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</si>
  <si>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</si>
  <si>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</si>
  <si>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</si>
  <si>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</si>
  <si>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</si>
  <si>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</si>
  <si>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</si>
  <si>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</si>
  <si>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</si>
  <si>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</si>
  <si>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</si>
  <si>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</si>
  <si>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</si>
  <si>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</si>
  <si>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</si>
  <si>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</si>
  <si>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</si>
  <si>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</si>
  <si>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</si>
  <si>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</si>
  <si>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</si>
  <si>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</si>
  <si>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</si>
  <si>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</si>
  <si>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</si>
  <si>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</si>
  <si>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</si>
  <si>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</si>
  <si>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</si>
  <si>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</si>
  <si>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</si>
  <si>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</si>
  <si>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</si>
  <si>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</si>
  <si>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</si>
  <si>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</si>
  <si>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</si>
  <si>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</si>
  <si>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</si>
  <si>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</si>
  <si>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</si>
  <si>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</si>
  <si>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</si>
  <si>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</si>
  <si>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</si>
  <si>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</si>
  <si>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</si>
  <si>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</si>
  <si>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</si>
  <si>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</si>
  <si>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</si>
  <si>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</si>
  <si>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</si>
  <si>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</si>
  <si>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</si>
  <si>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</si>
  <si>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</si>
  <si>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</si>
  <si>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</si>
  <si>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</si>
  <si>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</si>
  <si>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</si>
  <si>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</si>
  <si>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</si>
  <si>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</si>
  <si>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</si>
  <si>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</si>
  <si>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</si>
  <si>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</si>
  <si>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</si>
  <si>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</si>
  <si>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</si>
  <si>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</si>
  <si>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</si>
  <si>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</si>
  <si>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</si>
  <si>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</si>
  <si>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</si>
  <si>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</si>
  <si>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</si>
  <si>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</si>
  <si>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</si>
  <si>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</si>
  <si>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</si>
  <si>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</si>
  <si>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</si>
  <si>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</si>
  <si>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</si>
  <si>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</si>
  <si>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</si>
  <si>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</si>
  <si>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</si>
  <si>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</si>
  <si>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</si>
  <si>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</si>
  <si>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</si>
  <si>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</si>
  <si>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</si>
  <si>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</si>
  <si>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</si>
  <si>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</si>
  <si>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</si>
  <si>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</si>
  <si>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</si>
  <si>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</si>
  <si>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</si>
  <si>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</si>
  <si>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</si>
  <si>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</si>
  <si>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</si>
  <si>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</si>
  <si>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</si>
  <si>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</si>
  <si>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</si>
  <si>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</si>
  <si>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</si>
  <si>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</si>
  <si>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</si>
  <si>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</si>
  <si>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</si>
  <si>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</si>
  <si>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</si>
  <si>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</si>
  <si>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</si>
  <si>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</si>
  <si>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</si>
  <si>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</si>
  <si>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</si>
  <si>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</si>
  <si>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</si>
  <si>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</si>
  <si>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</si>
  <si>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</si>
  <si>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</si>
  <si>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</si>
  <si>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</si>
  <si>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</si>
  <si>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</si>
  <si>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</si>
  <si>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</si>
  <si>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</si>
  <si>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</si>
  <si>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</si>
  <si>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</si>
  <si>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</si>
  <si>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</si>
  <si>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</si>
  <si>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</si>
  <si>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</si>
  <si>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</si>
  <si>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</si>
  <si>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</si>
  <si>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</si>
  <si>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</si>
  <si>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</si>
  <si>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</si>
  <si>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</si>
  <si>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</si>
  <si>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</si>
  <si>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</si>
  <si>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</si>
  <si>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</si>
  <si>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</si>
  <si>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</si>
  <si>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</si>
  <si>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</si>
  <si>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</si>
  <si>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</si>
  <si>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</si>
  <si>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</si>
  <si>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</si>
  <si>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</si>
  <si>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</si>
  <si>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</si>
  <si>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</si>
  <si>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</si>
  <si>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</si>
  <si>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</si>
  <si>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</si>
  <si>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</si>
  <si>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</si>
  <si>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</si>
  <si>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</si>
  <si>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</si>
  <si>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</si>
  <si>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</si>
  <si>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</si>
  <si>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</si>
  <si>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</si>
  <si>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</si>
  <si>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</si>
  <si>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</si>
  <si>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</si>
  <si>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</si>
  <si>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</si>
  <si>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</si>
  <si>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</si>
  <si>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</si>
  <si>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</si>
  <si>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</si>
  <si>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</si>
  <si>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</si>
  <si>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</si>
  <si>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</si>
  <si>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</si>
  <si>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</si>
  <si>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</si>
  <si>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</si>
  <si>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</si>
  <si>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</si>
  <si>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</si>
  <si>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</si>
  <si>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</si>
  <si>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</si>
  <si>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</si>
  <si>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</si>
  <si>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</si>
  <si>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</si>
  <si>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</si>
  <si>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</si>
  <si>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</si>
  <si>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</si>
  <si>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</si>
  <si>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</si>
  <si>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</si>
  <si>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</si>
  <si>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</si>
  <si>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</si>
  <si>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</si>
  <si>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</si>
  <si>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</si>
  <si>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</si>
  <si>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</si>
  <si>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</si>
  <si>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</si>
  <si>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</si>
  <si>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</si>
  <si>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</si>
  <si>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</si>
  <si>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</si>
  <si>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</si>
  <si>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</si>
  <si>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</si>
  <si>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</si>
  <si>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</si>
  <si>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</si>
  <si>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</si>
  <si>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</si>
  <si>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</si>
  <si>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</si>
  <si>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</si>
  <si>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</si>
  <si>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</si>
  <si>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</si>
  <si>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</si>
  <si>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</si>
  <si>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</si>
  <si>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</si>
  <si>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</si>
  <si>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</si>
  <si>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</si>
  <si>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</si>
  <si>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834804</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</si>
  <si>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</si>
  <si>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</si>
  <si>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</si>
  <si>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</si>
  <si>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</si>
  <si>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</si>
  <si>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</si>
  <si>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</si>
  <si>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</si>
  <si>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</si>
  <si>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</si>
  <si>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</si>
  <si>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</si>
  <si>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</si>
  <si>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</si>
  <si>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</si>
  <si>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</si>
  <si>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</si>
  <si>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</si>
  <si>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</si>
  <si>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</si>
  <si>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</si>
  <si>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</si>
  <si>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</si>
  <si>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</si>
  <si>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</si>
  <si>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</si>
  <si>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</si>
  <si>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</si>
  <si>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</si>
  <si>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</si>
  <si>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</si>
  <si>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</si>
  <si>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</si>
  <si>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</si>
  <si>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</si>
  <si>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</si>
  <si>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</si>
  <si>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</si>
  <si>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</si>
  <si>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</si>
  <si>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</si>
  <si>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</si>
  <si>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</si>
  <si>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</si>
  <si>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</si>
  <si>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</si>
  <si>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</si>
  <si>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</si>
  <si>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</si>
  <si>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</si>
  <si>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</si>
  <si>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</si>
  <si>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</si>
  <si>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</si>
  <si>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</si>
  <si>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</si>
  <si>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</si>
  <si>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</si>
  <si>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</si>
  <si>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</si>
  <si>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</si>
  <si>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</si>
  <si>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</si>
  <si>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</si>
  <si>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</si>
  <si>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</si>
  <si>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</si>
  <si>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</si>
  <si>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</si>
  <si>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</si>
  <si>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</si>
  <si>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</si>
  <si>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</si>
  <si>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</si>
  <si>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</si>
  <si>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</si>
  <si>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</si>
  <si>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</si>
  <si>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</si>
  <si>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</si>
  <si>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</si>
  <si>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</si>
  <si>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</si>
  <si>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</si>
  <si>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</si>
  <si>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</si>
  <si>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</si>
  <si>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</si>
  <si>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</si>
  <si>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</si>
  <si>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</si>
  <si>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</si>
  <si>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</si>
  <si>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</si>
  <si>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</si>
  <si>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</si>
  <si>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</si>
  <si>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</si>
  <si>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</si>
  <si>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</si>
  <si>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</si>
  <si>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</si>
  <si>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</si>
  <si>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</si>
  <si>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</si>
  <si>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</si>
  <si>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</si>
  <si>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</si>
  <si>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</si>
  <si>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</si>
  <si>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</si>
  <si>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</si>
  <si>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</si>
  <si>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</si>
  <si>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</si>
  <si>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</si>
  <si>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</si>
  <si>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</si>
  <si>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</si>
  <si>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</si>
  <si>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</si>
  <si>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</si>
  <si>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</si>
  <si>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</si>
  <si>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</si>
  <si>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</si>
  <si>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</si>
  <si>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</si>
  <si>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</si>
  <si>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</si>
  <si>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</si>
  <si>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</si>
  <si>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</si>
  <si>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</si>
  <si>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</si>
  <si>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</si>
  <si>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</si>
  <si>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</si>
  <si>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</si>
  <si>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</si>
  <si>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</si>
  <si>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</si>
  <si>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</si>
  <si>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</si>
  <si>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</si>
  <si>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</si>
  <si>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</si>
  <si>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</si>
  <si>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</si>
  <si>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</si>
  <si>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</si>
  <si>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</si>
  <si>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</si>
  <si>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</si>
  <si>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</si>
  <si>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</si>
  <si>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</si>
  <si>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</si>
  <si>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</si>
  <si>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</si>
  <si>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</si>
  <si>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</si>
  <si>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</si>
  <si>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</si>
  <si>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</si>
  <si>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</si>
  <si>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</si>
  <si>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</si>
  <si>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</si>
  <si>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</si>
  <si>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</si>
  <si>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</si>
  <si>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</si>
  <si>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</si>
  <si>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</si>
  <si>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</si>
  <si>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</si>
  <si>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</si>
  <si>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</si>
  <si>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</si>
  <si>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</si>
  <si>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</si>
  <si>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</si>
  <si>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</si>
  <si>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</si>
  <si>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</si>
  <si>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</si>
  <si>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</si>
  <si>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</si>
  <si>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</si>
  <si>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</si>
  <si>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</si>
  <si>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</si>
  <si>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</si>
  <si>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</si>
  <si>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</si>
  <si>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</si>
  <si>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</si>
  <si>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</si>
  <si>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</si>
  <si>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</si>
  <si>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</si>
  <si>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</si>
  <si>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</si>
  <si>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</si>
  <si>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</si>
  <si>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</si>
  <si>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</si>
  <si>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</si>
  <si>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</si>
  <si>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</si>
  <si>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</si>
  <si>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</si>
  <si>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lease is filed under pending - rrc will have to issue a lease id</t>
  </si>
  <si>
    <t>Rox Wolf#</t>
  </si>
  <si>
    <t>Disposition Volume (MCF) @ 14.65 MCF</t>
  </si>
  <si>
    <t>Magnum Wolfpak #</t>
  </si>
  <si>
    <t>ravi allocated</t>
  </si>
  <si>
    <t>MCLEAN #3</t>
  </si>
  <si>
    <t>ALEXANDER #A1</t>
  </si>
  <si>
    <t>TO BE PROVIDED BY RR</t>
  </si>
  <si>
    <t>ALEXANDER #A2</t>
  </si>
  <si>
    <t>ALEXANDER #A3</t>
  </si>
  <si>
    <t>FITZHUGH #2</t>
  </si>
  <si>
    <t>KRUEGER, DR #1</t>
  </si>
  <si>
    <t>MARTINEZ CHILDREN TRUST</t>
  </si>
  <si>
    <t>MENDOZA #B1</t>
  </si>
  <si>
    <t>MILLER, CA</t>
  </si>
  <si>
    <t>STATE TRACT 44 #2</t>
  </si>
  <si>
    <t>WHITEHEAD 2-19</t>
  </si>
  <si>
    <t>state</t>
  </si>
  <si>
    <t>AR</t>
  </si>
  <si>
    <t>LA</t>
  </si>
  <si>
    <t>2</t>
  </si>
  <si>
    <t>September comment: moved 80 bbls from water tank to oil tank 9/2019 (counting it as production - called rrc how to report this - they wanted details and lease number so probably not the best route.</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</si>
  <si>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</si>
  <si>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</si>
  <si>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</si>
  <si>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</si>
  <si>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</si>
  <si>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</si>
  <si>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</si>
  <si>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</si>
  <si>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N/A</t>
  </si>
  <si>
    <t>Y</t>
  </si>
  <si>
    <t>*MANUALLY ADD MCLEAN #4 INFORMATION TO PICKUP IN WORKING SPREADSHEET - RRC ID IS PENDING</t>
  </si>
  <si>
    <t xml:space="preserve">    </t>
  </si>
  <si>
    <t>(uses propane</t>
  </si>
  <si>
    <t>MAGNUM OPERATING, LP</t>
  </si>
  <si>
    <t>BRF #1</t>
  </si>
  <si>
    <t>MAGNUM ENGINEERING</t>
  </si>
  <si>
    <t>DEERING N-17</t>
  </si>
  <si>
    <t>WILLIAMS C-26</t>
  </si>
  <si>
    <t>WILLIAMS C-27</t>
  </si>
  <si>
    <t>WILLIAMS D-29</t>
  </si>
  <si>
    <t>DEERING N-28</t>
  </si>
  <si>
    <t>DEERING N-29</t>
  </si>
  <si>
    <t>WILLIAMS B-24</t>
  </si>
  <si>
    <t>WILLIAMS D-31</t>
  </si>
  <si>
    <t>BALDWIN B-1</t>
  </si>
  <si>
    <t>JUAN GARZA</t>
  </si>
  <si>
    <t>ROSA BENAVIDEZ A-1</t>
  </si>
  <si>
    <t>THELMA COX</t>
  </si>
  <si>
    <t>Wolf</t>
  </si>
  <si>
    <t>Lease</t>
  </si>
  <si>
    <t>*kotara aldridge is split on Roxanne's so be sure to manually enter in volume for Kotara on PR if pulling values from her sheet | also kaufer 2L and 2U</t>
  </si>
  <si>
    <t>November 2019: sale of second load was 12/1, so gauger showing higher oil sales than what we paid for - no error for mismatch.</t>
  </si>
  <si>
    <t>November 2019: Opening stock listed on gauger's sheet is off - will have to let it fix its self - explains 30 bbl diff between gauge and calculated for pr</t>
  </si>
  <si>
    <t>October comment: added closing stock plus oil transferred to other tank  November 2019 comment:  adding production from nelson #4 tab to the shared tank sheet stock (160+17)</t>
  </si>
  <si>
    <t>September 2019: force closing stock to match gauge sheet production, error was made in the past - will correct itself once there is sales  October 2019: force closign stock  November 2019: Force Closing stock to ensure no match gauge sheet production value</t>
  </si>
  <si>
    <t>November 2019 comment: appears load from october was put on november sales ticket and is why we are off 185 bbls  - no error</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</si>
  <si>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</si>
  <si>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</si>
  <si>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</si>
  <si>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</si>
  <si>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August comment: opening stock doesn't match gauge sheet - need to check with july 2019 notes.  November 2019: having to force stock to match gauge sheet prod - carrying stock of over 100 bbls according to gauge sheet… will have to wait for a disposition to correct</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</si>
  <si>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</si>
  <si>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t>
  </si>
  <si>
    <t>November 2019: cannot find why mismatch occurs. Stocks are correct</t>
  </si>
  <si>
    <t>November 2019: Gauger drained 43 bbls of water from oil tank - this is why 45 bbl difference- no error - gauger didn't account for this in his prod column</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</si>
  <si>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</si>
  <si>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</si>
  <si>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</si>
  <si>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</si>
  <si>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</si>
  <si>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</si>
  <si>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</si>
  <si>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</si>
  <si>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</si>
  <si>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</si>
  <si>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</si>
  <si>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</si>
  <si>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</si>
  <si>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</si>
  <si>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</si>
  <si>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</si>
  <si>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</si>
  <si>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</si>
  <si>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</si>
  <si>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</si>
  <si>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</si>
  <si>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</si>
  <si>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</si>
  <si>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</si>
  <si>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</si>
  <si>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</si>
  <si>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</si>
  <si>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</si>
  <si>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</si>
  <si>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</si>
  <si>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</si>
  <si>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</si>
  <si>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</si>
  <si>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</si>
  <si>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Black stone Minerals # 2-C.xlsx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</si>
  <si>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</si>
  <si>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</si>
  <si>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</si>
  <si>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</si>
  <si>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</si>
  <si>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</si>
  <si>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</si>
  <si>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</si>
  <si>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</si>
  <si>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</si>
  <si>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</si>
  <si>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</si>
  <si>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</si>
  <si>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</si>
  <si>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</si>
  <si>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</si>
  <si>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</si>
  <si>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</si>
  <si>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</si>
  <si>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</si>
  <si>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</si>
  <si>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</si>
  <si>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</si>
  <si>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</si>
  <si>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Louise Field.xlsx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</si>
  <si>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</si>
  <si>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</si>
  <si>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</si>
  <si>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</si>
  <si>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</si>
  <si>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</si>
  <si>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</si>
  <si>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</si>
  <si>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</si>
  <si>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</si>
  <si>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Miller-West.xlsx</t>
  </si>
  <si>
    <t>Mag._Nov._19.xlsx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</si>
  <si>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</si>
  <si>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</si>
  <si>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</si>
  <si>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</si>
  <si>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</si>
  <si>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</si>
  <si>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</si>
  <si>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</si>
  <si>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</si>
  <si>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</si>
  <si>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</si>
  <si>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</si>
  <si>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</si>
  <si>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</si>
  <si>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</si>
  <si>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</si>
  <si>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</si>
  <si>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</si>
  <si>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Closing Stock (Oil)</t>
  </si>
  <si>
    <t>Gauge Sheet Production Vol</t>
  </si>
  <si>
    <t xml:space="preserve">2C </t>
  </si>
  <si>
    <t>1ST</t>
  </si>
  <si>
    <t>Ticonderoga A-1 H 2020.xlsx</t>
  </si>
  <si>
    <t>Ticonderoga B-1 H 2020.xlsx</t>
  </si>
  <si>
    <t>Ticonderoga D-1 H 2020.xlsx</t>
  </si>
  <si>
    <t>TRIPLE A, SCARBOROUGH, DALEY, MILLER, HAMON HARVEY, ST 750A.xlsx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</si>
</sst>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69">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b/>
      <sz val="10"/>
      <color rgb="FFFF0000"/>
      <name val="Calibri"/>
      <family val="2"/>
      <scheme val="minor"/>
    </font>
    <font>
      <sz val="8"/>
      <name val="Times New Roman"/>
      <family val="1"/>
    </font>
    <font>
      <sz val="26"/>
      <color theme="1"/>
      <name val="Calibri"/>
      <family val="2"/>
      <scheme val="minor"/>
    </font>
    <font>
      <sz val="9"/>
      <color rgb="FF000000"/>
      <name val="Verdana"/>
      <family val="2"/>
    </font>
    <font>
      <i/>
      <sz val="9"/>
      <name val="Times New Roman"/>
      <family val="1"/>
    </font>
    <font>
      <sz val="36"/>
      <name val="Times New Roman"/>
      <family val="1"/>
    </font>
  </fonts>
  <fills count="4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s>
  <borders count="41">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rgb="FF666666"/>
      </left>
      <right style="thin">
        <color rgb="FF666666"/>
      </right>
      <top style="medium">
        <color rgb="FF666666"/>
      </top>
      <bottom style="medium">
        <color rgb="FF666666"/>
      </bottom>
      <diagonal/>
    </border>
    <border>
      <left style="thin">
        <color rgb="FF666666"/>
      </left>
      <right style="thin">
        <color rgb="FF666666"/>
      </right>
      <top style="medium">
        <color rgb="FF666666"/>
      </top>
      <bottom style="medium">
        <color rgb="FF666666"/>
      </bottom>
      <diagonal/>
    </border>
    <border>
      <left style="thin">
        <color rgb="FF666666"/>
      </left>
      <right style="medium">
        <color rgb="FF666666"/>
      </right>
      <top style="medium">
        <color rgb="FF666666"/>
      </top>
      <bottom style="medium">
        <color rgb="FF666666"/>
      </bottom>
      <diagonal/>
    </border>
    <border>
      <left/>
      <right style="thick">
        <color rgb="FFFF0000"/>
      </right>
      <top/>
      <bottom/>
      <diagonal/>
    </border>
  </borders>
  <cellStyleXfs count="100">
    <xf numFmtId="0" fontId="0" fillId="0" borderId="0"/>
    <xf numFmtId="0" fontId="20" fillId="2"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7" borderId="2" applyNumberFormat="0" applyAlignment="0" applyProtection="0"/>
    <xf numFmtId="0" fontId="24" fillId="28" borderId="3" applyNumberFormat="0" applyAlignment="0" applyProtection="0"/>
    <xf numFmtId="0" fontId="25" fillId="0" borderId="0" applyNumberFormat="0" applyFill="0" applyBorder="0" applyAlignment="0" applyProtection="0"/>
    <xf numFmtId="0" fontId="26" fillId="29" borderId="0" applyNumberFormat="0" applyBorder="0" applyAlignment="0" applyProtection="0"/>
    <xf numFmtId="0" fontId="27" fillId="0" borderId="4" applyNumberFormat="0" applyFill="0" applyAlignment="0" applyProtection="0"/>
    <xf numFmtId="0" fontId="28" fillId="0" borderId="5" applyNumberFormat="0" applyFill="0" applyAlignment="0" applyProtection="0"/>
    <xf numFmtId="0" fontId="29" fillId="0" borderId="6" applyNumberFormat="0" applyFill="0" applyAlignment="0" applyProtection="0"/>
    <xf numFmtId="0" fontId="29" fillId="0" borderId="0" applyNumberFormat="0" applyFill="0" applyBorder="0" applyAlignment="0" applyProtection="0"/>
    <xf numFmtId="0" fontId="17" fillId="0" borderId="0" applyNumberFormat="0" applyFill="0" applyBorder="0" applyAlignment="0" applyProtection="0">
      <alignment vertical="top"/>
      <protection locked="0"/>
    </xf>
    <xf numFmtId="0" fontId="30" fillId="30" borderId="2" applyNumberFormat="0" applyAlignment="0" applyProtection="0"/>
    <xf numFmtId="0" fontId="31" fillId="0" borderId="7" applyNumberFormat="0" applyFill="0" applyAlignment="0" applyProtection="0"/>
    <xf numFmtId="0" fontId="32" fillId="31" borderId="0" applyNumberFormat="0" applyBorder="0" applyAlignment="0" applyProtection="0"/>
    <xf numFmtId="0" fontId="20" fillId="0" borderId="0"/>
    <xf numFmtId="0" fontId="20" fillId="32" borderId="8" applyNumberFormat="0" applyFont="0" applyAlignment="0" applyProtection="0"/>
    <xf numFmtId="0" fontId="33" fillId="27" borderId="9" applyNumberFormat="0" applyAlignment="0" applyProtection="0"/>
    <xf numFmtId="0" fontId="34" fillId="0" borderId="0" applyNumberFormat="0" applyFill="0" applyBorder="0" applyAlignment="0" applyProtection="0"/>
    <xf numFmtId="0" fontId="35" fillId="0" borderId="10" applyNumberFormat="0" applyFill="0" applyAlignment="0" applyProtection="0"/>
    <xf numFmtId="0" fontId="36" fillId="0" borderId="0" applyNumberFormat="0" applyFill="0" applyBorder="0" applyAlignment="0" applyProtection="0"/>
    <xf numFmtId="0" fontId="40" fillId="0" borderId="0"/>
    <xf numFmtId="0" fontId="45" fillId="0" borderId="0"/>
    <xf numFmtId="0" fontId="16" fillId="0" borderId="0"/>
    <xf numFmtId="0" fontId="15" fillId="0" borderId="0"/>
    <xf numFmtId="0" fontId="13" fillId="0" borderId="0"/>
    <xf numFmtId="0" fontId="13" fillId="32" borderId="8" applyNumberFormat="0" applyFont="0" applyAlignment="0" applyProtection="0"/>
    <xf numFmtId="0" fontId="13" fillId="2" borderId="0" applyNumberFormat="0" applyBorder="0" applyAlignment="0" applyProtection="0"/>
    <xf numFmtId="0" fontId="13" fillId="8" borderId="0" applyNumberFormat="0" applyBorder="0" applyAlignment="0" applyProtection="0"/>
    <xf numFmtId="0" fontId="13" fillId="3" borderId="0" applyNumberFormat="0" applyBorder="0" applyAlignment="0" applyProtection="0"/>
    <xf numFmtId="0" fontId="13" fillId="9" borderId="0" applyNumberFormat="0" applyBorder="0" applyAlignment="0" applyProtection="0"/>
    <xf numFmtId="0" fontId="13" fillId="4"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11" borderId="0" applyNumberFormat="0" applyBorder="0" applyAlignment="0" applyProtection="0"/>
    <xf numFmtId="0" fontId="13" fillId="6" borderId="0" applyNumberFormat="0" applyBorder="0" applyAlignment="0" applyProtection="0"/>
    <xf numFmtId="0" fontId="13" fillId="12" borderId="0" applyNumberFormat="0" applyBorder="0" applyAlignment="0" applyProtection="0"/>
    <xf numFmtId="0" fontId="13" fillId="7" borderId="0" applyNumberFormat="0" applyBorder="0" applyAlignment="0" applyProtection="0"/>
    <xf numFmtId="0" fontId="13" fillId="13" borderId="0" applyNumberFormat="0" applyBorder="0" applyAlignment="0" applyProtection="0"/>
    <xf numFmtId="0" fontId="12" fillId="0" borderId="0"/>
    <xf numFmtId="0" fontId="10" fillId="0" borderId="0"/>
    <xf numFmtId="0" fontId="18" fillId="0" borderId="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0" borderId="0"/>
    <xf numFmtId="0" fontId="9" fillId="32" borderId="8" applyNumberFormat="0" applyFont="0" applyAlignment="0" applyProtection="0"/>
    <xf numFmtId="0" fontId="9" fillId="0" borderId="0"/>
    <xf numFmtId="0" fontId="9" fillId="0" borderId="0"/>
    <xf numFmtId="0" fontId="8" fillId="0" borderId="0"/>
    <xf numFmtId="0" fontId="8" fillId="32" borderId="8" applyNumberFormat="0" applyFont="0" applyAlignment="0" applyProtection="0"/>
    <xf numFmtId="0" fontId="8" fillId="2" borderId="0" applyNumberFormat="0" applyBorder="0" applyAlignment="0" applyProtection="0"/>
    <xf numFmtId="0" fontId="8" fillId="8"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6" fillId="0" borderId="0"/>
    <xf numFmtId="0" fontId="5" fillId="0" borderId="0"/>
    <xf numFmtId="0" fontId="3" fillId="0" borderId="0"/>
    <xf numFmtId="0" fontId="2" fillId="0" borderId="0"/>
    <xf numFmtId="0" fontId="1" fillId="0" borderId="0"/>
  </cellStyleXfs>
  <cellXfs count="238">
    <xf numFmtId="0" fontId="0" fillId="0" borderId="0" xfId="0"/>
    <xf numFmtId="49" fontId="0" fillId="0" borderId="0" xfId="0" applyNumberFormat="1"/>
    <xf numFmtId="49" fontId="17" fillId="0" borderId="0" xfId="34" applyNumberFormat="1" applyAlignment="1" applyProtection="1"/>
    <xf numFmtId="0" fontId="18" fillId="0" borderId="0" xfId="0" applyFont="1"/>
    <xf numFmtId="49" fontId="18" fillId="0" borderId="0" xfId="0" applyNumberFormat="1" applyFont="1" applyBorder="1"/>
    <xf numFmtId="1" fontId="0" fillId="0" borderId="0" xfId="0" applyNumberFormat="1"/>
    <xf numFmtId="49" fontId="18" fillId="0" borderId="0" xfId="0" applyNumberFormat="1" applyFont="1" applyBorder="1" applyAlignment="1">
      <alignment horizontal="center" wrapText="1"/>
    </xf>
    <xf numFmtId="1" fontId="18" fillId="0" borderId="0" xfId="0" applyNumberFormat="1" applyFont="1" applyBorder="1" applyAlignment="1">
      <alignment horizontal="center" wrapText="1"/>
    </xf>
    <xf numFmtId="0" fontId="18" fillId="0" borderId="0" xfId="0" applyFont="1" applyAlignment="1">
      <alignment horizontal="center" wrapText="1"/>
    </xf>
    <xf numFmtId="49" fontId="18" fillId="0" borderId="0" xfId="0" applyNumberFormat="1" applyFont="1" applyAlignment="1">
      <alignment horizontal="center" wrapText="1"/>
    </xf>
    <xf numFmtId="49" fontId="18" fillId="0" borderId="0" xfId="0" applyNumberFormat="1" applyFont="1"/>
    <xf numFmtId="1" fontId="18" fillId="0" borderId="0" xfId="0" applyNumberFormat="1" applyFont="1"/>
    <xf numFmtId="49" fontId="0" fillId="0" borderId="0" xfId="0" applyNumberFormat="1" applyAlignment="1">
      <alignment horizontal="right"/>
    </xf>
    <xf numFmtId="0" fontId="20" fillId="0" borderId="0" xfId="38"/>
    <xf numFmtId="0" fontId="20" fillId="0" borderId="1" xfId="38" applyBorder="1"/>
    <xf numFmtId="3" fontId="20" fillId="0" borderId="1" xfId="38" applyNumberFormat="1" applyBorder="1"/>
    <xf numFmtId="0" fontId="19" fillId="0" borderId="0" xfId="0" applyFont="1" applyAlignment="1">
      <alignment horizontal="center" wrapText="1"/>
    </xf>
    <xf numFmtId="0" fontId="0" fillId="0" borderId="0" xfId="0" applyAlignment="1">
      <alignment horizontal="center" wrapText="1"/>
    </xf>
    <xf numFmtId="49" fontId="16" fillId="0" borderId="0" xfId="38" applyNumberFormat="1" applyFont="1" applyAlignment="1">
      <alignment horizontal="center"/>
    </xf>
    <xf numFmtId="49" fontId="16" fillId="0" borderId="0" xfId="38" applyNumberFormat="1" applyFont="1"/>
    <xf numFmtId="0" fontId="38" fillId="0" borderId="0" xfId="0" applyFont="1"/>
    <xf numFmtId="49" fontId="38" fillId="0" borderId="0" xfId="0" applyNumberFormat="1" applyFont="1" applyAlignment="1">
      <alignment horizontal="center"/>
    </xf>
    <xf numFmtId="0" fontId="0" fillId="0" borderId="0" xfId="0" applyAlignment="1">
      <alignment horizontal="left"/>
    </xf>
    <xf numFmtId="0" fontId="18" fillId="0" borderId="11" xfId="0" applyFont="1" applyBorder="1" applyAlignment="1">
      <alignment horizontal="center" wrapText="1"/>
    </xf>
    <xf numFmtId="0" fontId="39"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38" fillId="33" borderId="16" xfId="0" applyFont="1" applyFill="1" applyBorder="1" applyAlignment="1">
      <alignment horizontal="center"/>
    </xf>
    <xf numFmtId="0" fontId="38" fillId="0" borderId="16" xfId="0" applyFont="1" applyBorder="1" applyAlignment="1">
      <alignment horizontal="center"/>
    </xf>
    <xf numFmtId="0" fontId="38" fillId="33" borderId="0" xfId="0" applyFont="1" applyFill="1" applyBorder="1" applyAlignment="1">
      <alignment horizontal="center"/>
    </xf>
    <xf numFmtId="0" fontId="38" fillId="0" borderId="0" xfId="0" applyFont="1" applyBorder="1" applyAlignment="1">
      <alignment horizontal="center"/>
    </xf>
    <xf numFmtId="0" fontId="38" fillId="33" borderId="17" xfId="0" applyFont="1" applyFill="1" applyBorder="1" applyAlignment="1">
      <alignment horizontal="center"/>
    </xf>
    <xf numFmtId="0" fontId="38" fillId="0" borderId="17" xfId="0" applyFont="1" applyBorder="1" applyAlignment="1">
      <alignment horizontal="center"/>
    </xf>
    <xf numFmtId="0" fontId="38" fillId="0" borderId="22" xfId="0" applyFont="1" applyBorder="1"/>
    <xf numFmtId="0" fontId="38" fillId="0" borderId="23" xfId="0" applyFont="1" applyBorder="1"/>
    <xf numFmtId="0" fontId="38" fillId="0" borderId="24" xfId="0" applyFont="1" applyBorder="1"/>
    <xf numFmtId="0" fontId="38" fillId="0" borderId="0" xfId="0" applyFont="1" applyAlignment="1">
      <alignment wrapText="1"/>
    </xf>
    <xf numFmtId="0" fontId="41" fillId="0" borderId="0" xfId="44" applyFont="1" applyAlignment="1">
      <alignment horizontal="left"/>
    </xf>
    <xf numFmtId="0" fontId="41" fillId="0" borderId="0" xfId="44" applyFont="1" applyAlignment="1">
      <alignment horizontal="center"/>
    </xf>
    <xf numFmtId="10" fontId="41" fillId="0" borderId="0" xfId="44" applyNumberFormat="1" applyFont="1" applyAlignment="1">
      <alignment horizontal="center"/>
    </xf>
    <xf numFmtId="0" fontId="41" fillId="0" borderId="0" xfId="44" applyFont="1"/>
    <xf numFmtId="0" fontId="42" fillId="0" borderId="0" xfId="44" applyFont="1"/>
    <xf numFmtId="0" fontId="43" fillId="0" borderId="0" xfId="44" applyFont="1" applyAlignment="1">
      <alignment horizontal="center"/>
    </xf>
    <xf numFmtId="0" fontId="44" fillId="0" borderId="0" xfId="44" applyFont="1" applyAlignment="1">
      <alignment horizontal="center"/>
    </xf>
    <xf numFmtId="0" fontId="41" fillId="0" borderId="18" xfId="44" applyFont="1" applyBorder="1" applyAlignment="1">
      <alignment horizontal="center"/>
    </xf>
    <xf numFmtId="16" fontId="41" fillId="0" borderId="18" xfId="44" quotePrefix="1" applyNumberFormat="1" applyFont="1" applyBorder="1" applyAlignment="1">
      <alignment horizontal="center"/>
    </xf>
    <xf numFmtId="10" fontId="41" fillId="0" borderId="18" xfId="44" applyNumberFormat="1" applyFont="1" applyBorder="1" applyAlignment="1">
      <alignment horizontal="center"/>
    </xf>
    <xf numFmtId="0" fontId="41" fillId="0" borderId="0" xfId="44" applyFont="1" applyBorder="1"/>
    <xf numFmtId="0" fontId="46" fillId="0" borderId="0" xfId="45" applyFont="1" applyAlignment="1">
      <alignment horizontal="left"/>
    </xf>
    <xf numFmtId="7" fontId="41" fillId="0" borderId="18" xfId="44" applyNumberFormat="1" applyFont="1" applyBorder="1" applyAlignment="1" applyProtection="1">
      <alignment horizontal="center"/>
    </xf>
    <xf numFmtId="1" fontId="41" fillId="0" borderId="18" xfId="44" applyNumberFormat="1" applyFont="1" applyBorder="1" applyAlignment="1">
      <alignment horizontal="center"/>
    </xf>
    <xf numFmtId="10" fontId="41" fillId="0" borderId="18" xfId="44" applyNumberFormat="1" applyFont="1" applyBorder="1" applyAlignment="1" applyProtection="1">
      <alignment horizontal="center"/>
    </xf>
    <xf numFmtId="1" fontId="41" fillId="0" borderId="18" xfId="44" applyNumberFormat="1" applyFont="1" applyBorder="1" applyAlignment="1" applyProtection="1">
      <alignment horizontal="center"/>
    </xf>
    <xf numFmtId="0" fontId="40" fillId="0" borderId="18" xfId="44" applyFont="1" applyBorder="1"/>
    <xf numFmtId="0" fontId="47" fillId="0" borderId="0" xfId="44" applyFont="1" applyAlignment="1">
      <alignment horizontal="left"/>
    </xf>
    <xf numFmtId="1" fontId="39" fillId="0" borderId="19" xfId="0" applyNumberFormat="1" applyFont="1" applyBorder="1"/>
    <xf numFmtId="1" fontId="39" fillId="0" borderId="20" xfId="0" applyNumberFormat="1" applyFont="1" applyBorder="1"/>
    <xf numFmtId="1" fontId="39" fillId="0" borderId="21" xfId="0" applyNumberFormat="1" applyFont="1" applyBorder="1"/>
    <xf numFmtId="1" fontId="39" fillId="0" borderId="16" xfId="0" applyNumberFormat="1" applyFont="1" applyBorder="1"/>
    <xf numFmtId="1" fontId="39" fillId="0" borderId="0" xfId="0" applyNumberFormat="1" applyFont="1" applyBorder="1"/>
    <xf numFmtId="1" fontId="39" fillId="0" borderId="17" xfId="0" applyNumberFormat="1" applyFont="1" applyBorder="1"/>
    <xf numFmtId="0" fontId="39" fillId="0" borderId="0" xfId="0" applyNumberFormat="1" applyFont="1"/>
    <xf numFmtId="0" fontId="38" fillId="0" borderId="25" xfId="0" applyFont="1" applyBorder="1" applyAlignment="1">
      <alignment wrapText="1"/>
    </xf>
    <xf numFmtId="0" fontId="29" fillId="0" borderId="0" xfId="33"/>
    <xf numFmtId="164" fontId="0" fillId="0" borderId="0" xfId="0" applyNumberFormat="1"/>
    <xf numFmtId="0" fontId="50" fillId="0" borderId="0" xfId="0" applyFont="1" applyAlignment="1">
      <alignment vertical="top" wrapText="1"/>
    </xf>
    <xf numFmtId="0" fontId="52" fillId="0" borderId="0" xfId="0" applyFont="1" applyAlignment="1">
      <alignment horizontal="left" vertical="top"/>
    </xf>
    <xf numFmtId="165" fontId="51" fillId="0" borderId="0" xfId="0" applyNumberFormat="1" applyFont="1" applyAlignment="1">
      <alignment horizontal="left" vertical="top" wrapText="1"/>
    </xf>
    <xf numFmtId="0" fontId="52" fillId="0" borderId="0" xfId="0" applyFont="1" applyAlignment="1">
      <alignment horizontal="left" vertical="top" wrapText="1"/>
    </xf>
    <xf numFmtId="166" fontId="51" fillId="0" borderId="0" xfId="0" applyNumberFormat="1" applyFont="1" applyAlignment="1">
      <alignment horizontal="left" vertical="top" wrapText="1"/>
    </xf>
    <xf numFmtId="165" fontId="51" fillId="0" borderId="0" xfId="0" applyNumberFormat="1" applyFont="1" applyAlignment="1">
      <alignment horizontal="right" vertical="top" wrapText="1"/>
    </xf>
    <xf numFmtId="168" fontId="51" fillId="0" borderId="0" xfId="0" applyNumberFormat="1" applyFont="1" applyAlignment="1">
      <alignment horizontal="left" vertical="top" wrapText="1"/>
    </xf>
    <xf numFmtId="0" fontId="53" fillId="0" borderId="0" xfId="0" applyFont="1" applyAlignment="1">
      <alignment horizontal="left" vertical="top" wrapText="1"/>
    </xf>
    <xf numFmtId="0" fontId="50" fillId="0" borderId="0" xfId="0" applyFont="1" applyAlignment="1">
      <alignment horizontal="left" vertical="top" wrapText="1"/>
    </xf>
    <xf numFmtId="0" fontId="55" fillId="0" borderId="0" xfId="0" applyFont="1" applyAlignment="1">
      <alignment horizontal="left" vertical="top" wrapText="1"/>
    </xf>
    <xf numFmtId="0" fontId="56" fillId="0" borderId="0" xfId="0" applyFont="1" applyAlignment="1">
      <alignment horizontal="left" vertical="top" wrapText="1"/>
    </xf>
    <xf numFmtId="0" fontId="57" fillId="0" borderId="0" xfId="0" applyFont="1"/>
    <xf numFmtId="167" fontId="51" fillId="36" borderId="0" xfId="0" applyNumberFormat="1" applyFont="1" applyFill="1" applyAlignment="1">
      <alignment horizontal="left" vertical="top" wrapText="1"/>
    </xf>
    <xf numFmtId="0" fontId="52" fillId="36" borderId="0" xfId="0" applyFont="1" applyFill="1" applyAlignment="1">
      <alignment horizontal="left" vertical="top" wrapText="1"/>
    </xf>
    <xf numFmtId="0" fontId="58" fillId="0" borderId="0" xfId="0" applyNumberFormat="1" applyFont="1"/>
    <xf numFmtId="0" fontId="58" fillId="0" borderId="0" xfId="0" applyNumberFormat="1" applyFont="1" applyAlignment="1">
      <alignment horizontal="right"/>
    </xf>
    <xf numFmtId="0" fontId="58" fillId="0" borderId="0" xfId="0" applyNumberFormat="1" applyFont="1" applyFill="1"/>
    <xf numFmtId="49" fontId="16" fillId="0" borderId="0" xfId="38" applyNumberFormat="1" applyFont="1" applyFill="1"/>
    <xf numFmtId="0" fontId="39" fillId="0" borderId="0" xfId="0" applyFont="1" applyFill="1"/>
    <xf numFmtId="1" fontId="39" fillId="0" borderId="0" xfId="0" applyNumberFormat="1" applyFont="1" applyFill="1" applyBorder="1"/>
    <xf numFmtId="1" fontId="39" fillId="0" borderId="20" xfId="0" applyNumberFormat="1" applyFont="1" applyFill="1" applyBorder="1"/>
    <xf numFmtId="0" fontId="38" fillId="0" borderId="0" xfId="0" applyFont="1" applyFill="1" applyAlignment="1">
      <alignment wrapText="1"/>
    </xf>
    <xf numFmtId="0" fontId="14" fillId="0" borderId="26" xfId="47" applyNumberFormat="1" applyFont="1" applyBorder="1" applyAlignment="1"/>
    <xf numFmtId="0" fontId="14" fillId="37" borderId="26" xfId="47" applyNumberFormat="1" applyFont="1" applyFill="1" applyBorder="1" applyAlignment="1"/>
    <xf numFmtId="0" fontId="14"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38" fillId="0" borderId="0" xfId="0" applyFont="1" applyBorder="1" applyAlignment="1">
      <alignment wrapText="1"/>
    </xf>
    <xf numFmtId="0" fontId="39" fillId="0" borderId="0" xfId="0" applyNumberFormat="1" applyFont="1" applyFill="1"/>
    <xf numFmtId="0" fontId="38" fillId="0" borderId="0" xfId="0" applyFont="1" applyFill="1" applyBorder="1" applyAlignment="1">
      <alignment horizontal="center"/>
    </xf>
    <xf numFmtId="0" fontId="38" fillId="0" borderId="23" xfId="0" applyFont="1" applyFill="1" applyBorder="1"/>
    <xf numFmtId="0" fontId="38" fillId="34" borderId="0" xfId="0" applyFont="1" applyFill="1" applyBorder="1" applyAlignment="1">
      <alignment horizontal="center"/>
    </xf>
    <xf numFmtId="0" fontId="38" fillId="34" borderId="17" xfId="0" applyFont="1" applyFill="1" applyBorder="1" applyAlignment="1">
      <alignment horizontal="center"/>
    </xf>
    <xf numFmtId="0" fontId="16" fillId="0" borderId="28" xfId="38" applyNumberFormat="1" applyFont="1" applyBorder="1"/>
    <xf numFmtId="0" fontId="16" fillId="0" borderId="28" xfId="38" applyNumberFormat="1" applyFont="1" applyFill="1" applyBorder="1"/>
    <xf numFmtId="0" fontId="38" fillId="0" borderId="29" xfId="0" applyFont="1" applyBorder="1" applyAlignment="1">
      <alignment horizontal="center"/>
    </xf>
    <xf numFmtId="0" fontId="38" fillId="0" borderId="28" xfId="0" applyFont="1" applyBorder="1" applyAlignment="1">
      <alignment horizontal="center"/>
    </xf>
    <xf numFmtId="0" fontId="38" fillId="0" borderId="28" xfId="0" applyFont="1" applyFill="1" applyBorder="1" applyAlignment="1">
      <alignment horizontal="center"/>
    </xf>
    <xf numFmtId="0" fontId="38" fillId="0" borderId="30" xfId="0" applyFont="1" applyBorder="1" applyAlignment="1">
      <alignment horizontal="center"/>
    </xf>
    <xf numFmtId="0" fontId="18" fillId="0" borderId="31" xfId="0" applyFont="1" applyBorder="1" applyAlignment="1">
      <alignment horizontal="center" wrapText="1"/>
    </xf>
    <xf numFmtId="0" fontId="18" fillId="0" borderId="17" xfId="0" applyFont="1" applyBorder="1" applyAlignment="1">
      <alignment horizontal="center" wrapText="1"/>
    </xf>
    <xf numFmtId="0" fontId="18" fillId="0" borderId="30" xfId="0" applyFont="1" applyBorder="1" applyAlignment="1">
      <alignment horizontal="center" wrapText="1"/>
    </xf>
    <xf numFmtId="0" fontId="38" fillId="0" borderId="28" xfId="0" applyFont="1" applyBorder="1"/>
    <xf numFmtId="0" fontId="38" fillId="0" borderId="28" xfId="0" applyFont="1" applyFill="1" applyBorder="1"/>
    <xf numFmtId="0" fontId="38" fillId="36" borderId="28" xfId="0" applyFont="1" applyFill="1" applyBorder="1"/>
    <xf numFmtId="0" fontId="18" fillId="0" borderId="27" xfId="0" applyFont="1" applyBorder="1" applyAlignment="1">
      <alignment horizontal="center" wrapText="1"/>
    </xf>
    <xf numFmtId="0" fontId="18" fillId="0" borderId="0" xfId="0" applyFont="1" applyBorder="1" applyAlignment="1">
      <alignment horizontal="center" wrapText="1"/>
    </xf>
    <xf numFmtId="0" fontId="18" fillId="0" borderId="28" xfId="0" applyFont="1" applyBorder="1" applyAlignment="1">
      <alignment horizontal="center" wrapText="1"/>
    </xf>
    <xf numFmtId="0" fontId="0" fillId="40" borderId="0" xfId="0" applyFill="1"/>
    <xf numFmtId="0" fontId="37" fillId="0" borderId="0" xfId="0" applyFont="1" applyAlignment="1">
      <alignment wrapText="1"/>
    </xf>
    <xf numFmtId="17" fontId="37" fillId="0" borderId="0" xfId="0" applyNumberFormat="1" applyFont="1" applyAlignment="1">
      <alignment wrapText="1"/>
    </xf>
    <xf numFmtId="0" fontId="60" fillId="0" borderId="0" xfId="0" applyFont="1" applyAlignment="1">
      <alignment wrapText="1"/>
    </xf>
    <xf numFmtId="0" fontId="38" fillId="0" borderId="0" xfId="0" applyNumberFormat="1" applyFont="1" applyAlignment="1">
      <alignment horizontal="center"/>
    </xf>
    <xf numFmtId="0" fontId="38" fillId="0" borderId="0" xfId="0" applyNumberFormat="1" applyFont="1" applyFill="1" applyAlignment="1">
      <alignment horizontal="center"/>
    </xf>
    <xf numFmtId="49" fontId="18" fillId="0" borderId="0" xfId="0" applyNumberFormat="1" applyFont="1" applyFill="1"/>
    <xf numFmtId="49" fontId="0" fillId="0" borderId="0" xfId="0" applyNumberFormat="1" applyFill="1"/>
    <xf numFmtId="49" fontId="18" fillId="0" borderId="0" xfId="0" applyNumberFormat="1" applyFont="1" applyFill="1" applyBorder="1" applyAlignment="1">
      <alignment horizontal="center" wrapText="1"/>
    </xf>
    <xf numFmtId="49" fontId="16" fillId="0" borderId="0" xfId="38" applyNumberFormat="1" applyFont="1" applyFill="1" applyAlignment="1">
      <alignment horizontal="center"/>
    </xf>
    <xf numFmtId="0" fontId="41" fillId="0" borderId="32" xfId="44" applyFont="1" applyBorder="1" applyAlignment="1">
      <alignment horizontal="center"/>
    </xf>
    <xf numFmtId="0" fontId="38" fillId="41"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0" fillId="0" borderId="0" xfId="38" applyNumberFormat="1"/>
    <xf numFmtId="0" fontId="0" fillId="0" borderId="0" xfId="0" applyFont="1"/>
    <xf numFmtId="0" fontId="0" fillId="0" borderId="0" xfId="0" applyFont="1" applyFill="1"/>
    <xf numFmtId="1" fontId="38" fillId="0" borderId="0" xfId="0" applyNumberFormat="1" applyFont="1" applyFill="1" applyBorder="1"/>
    <xf numFmtId="1" fontId="39" fillId="0" borderId="33" xfId="0" applyNumberFormat="1" applyFont="1" applyBorder="1"/>
    <xf numFmtId="1" fontId="39" fillId="0" borderId="34" xfId="0" applyNumberFormat="1" applyFont="1" applyBorder="1"/>
    <xf numFmtId="1" fontId="39" fillId="0" borderId="34" xfId="0" applyNumberFormat="1" applyFont="1" applyFill="1" applyBorder="1"/>
    <xf numFmtId="1" fontId="39" fillId="0" borderId="35" xfId="0" applyNumberFormat="1" applyFont="1" applyBorder="1"/>
    <xf numFmtId="0" fontId="11" fillId="37" borderId="26" xfId="62" applyNumberFormat="1" applyFont="1" applyFill="1" applyBorder="1" applyAlignment="1"/>
    <xf numFmtId="0" fontId="11" fillId="0" borderId="26" xfId="62" applyNumberFormat="1" applyFont="1" applyBorder="1" applyAlignment="1"/>
    <xf numFmtId="49" fontId="18" fillId="0" borderId="0" xfId="0" applyNumberFormat="1" applyFont="1" applyAlignment="1">
      <alignment horizontal="center"/>
    </xf>
    <xf numFmtId="0" fontId="38" fillId="34" borderId="16" xfId="0" applyFont="1" applyFill="1" applyBorder="1" applyAlignment="1">
      <alignment horizontal="center"/>
    </xf>
    <xf numFmtId="0" fontId="38" fillId="34" borderId="0" xfId="0" applyFont="1" applyFill="1" applyBorder="1" applyAlignment="1">
      <alignment horizontal="center" wrapText="1"/>
    </xf>
    <xf numFmtId="0" fontId="38" fillId="0" borderId="0" xfId="0" applyFont="1" applyAlignment="1">
      <alignment horizontal="center"/>
    </xf>
    <xf numFmtId="0" fontId="38" fillId="0" borderId="1" xfId="0" applyFont="1" applyBorder="1"/>
    <xf numFmtId="0" fontId="38" fillId="0" borderId="12" xfId="0" applyFont="1" applyBorder="1"/>
    <xf numFmtId="1" fontId="38" fillId="0" borderId="0" xfId="0" applyNumberFormat="1" applyFont="1"/>
    <xf numFmtId="1" fontId="38" fillId="0" borderId="0" xfId="0" applyNumberFormat="1" applyFont="1" applyFill="1"/>
    <xf numFmtId="49" fontId="18" fillId="0" borderId="0" xfId="64" applyNumberFormat="1" applyFont="1"/>
    <xf numFmtId="0" fontId="8" fillId="0" borderId="0" xfId="81"/>
    <xf numFmtId="1" fontId="39" fillId="0" borderId="17" xfId="0" applyNumberFormat="1" applyFont="1" applyFill="1" applyBorder="1"/>
    <xf numFmtId="0" fontId="61" fillId="0" borderId="26" xfId="0" applyFont="1" applyBorder="1"/>
    <xf numFmtId="0" fontId="49" fillId="0" borderId="0" xfId="0" applyFont="1" applyAlignment="1">
      <alignment wrapText="1"/>
    </xf>
    <xf numFmtId="0" fontId="49" fillId="0" borderId="0" xfId="0" applyFont="1" applyAlignment="1">
      <alignment horizontal="center" wrapText="1"/>
    </xf>
    <xf numFmtId="1" fontId="49" fillId="0" borderId="0" xfId="0" applyNumberFormat="1" applyFont="1" applyAlignment="1">
      <alignment horizontal="center" wrapText="1"/>
    </xf>
    <xf numFmtId="0" fontId="18" fillId="0" borderId="0" xfId="0" applyFont="1" applyAlignment="1">
      <alignment wrapText="1"/>
    </xf>
    <xf numFmtId="0" fontId="35" fillId="0" borderId="0" xfId="0" applyFont="1" applyAlignment="1">
      <alignment wrapText="1"/>
    </xf>
    <xf numFmtId="0" fontId="35" fillId="0" borderId="0" xfId="0" applyFont="1" applyAlignment="1">
      <alignment horizontal="center" wrapText="1"/>
    </xf>
    <xf numFmtId="1" fontId="35" fillId="0" borderId="0" xfId="0" applyNumberFormat="1" applyFont="1" applyAlignment="1">
      <alignment horizontal="center" wrapText="1"/>
    </xf>
    <xf numFmtId="1" fontId="0" fillId="0" borderId="0" xfId="0" applyNumberFormat="1" applyAlignment="1">
      <alignment horizontal="center" wrapText="1"/>
    </xf>
    <xf numFmtId="0" fontId="7" fillId="37" borderId="36" xfId="0" applyNumberFormat="1" applyFont="1" applyFill="1" applyBorder="1"/>
    <xf numFmtId="0" fontId="7" fillId="0" borderId="36" xfId="0" applyNumberFormat="1" applyFont="1" applyBorder="1"/>
    <xf numFmtId="0" fontId="63" fillId="0" borderId="0" xfId="0" applyFont="1" applyAlignment="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0" fillId="33" borderId="0" xfId="0" applyFill="1"/>
    <xf numFmtId="0" fontId="5" fillId="0" borderId="0" xfId="96" applyFill="1" applyAlignment="1">
      <alignment wrapText="1"/>
    </xf>
    <xf numFmtId="1" fontId="38" fillId="0" borderId="1" xfId="0" applyNumberFormat="1" applyFont="1" applyBorder="1"/>
    <xf numFmtId="0" fontId="4" fillId="0" borderId="0" xfId="96" applyFont="1" applyFill="1" applyAlignment="1">
      <alignment wrapText="1"/>
    </xf>
    <xf numFmtId="49" fontId="3" fillId="0" borderId="0" xfId="38" applyNumberFormat="1" applyFont="1"/>
    <xf numFmtId="49" fontId="3" fillId="0" borderId="0" xfId="38" applyNumberFormat="1" applyFont="1" applyAlignment="1">
      <alignment horizontal="center"/>
    </xf>
    <xf numFmtId="0" fontId="3" fillId="0" borderId="0" xfId="97" applyAlignment="1">
      <alignment horizontal="center"/>
    </xf>
    <xf numFmtId="1" fontId="3" fillId="0" borderId="0" xfId="97" applyNumberFormat="1" applyAlignment="1">
      <alignment horizontal="center"/>
    </xf>
    <xf numFmtId="1" fontId="3" fillId="33" borderId="0" xfId="97" applyNumberFormat="1" applyFill="1" applyAlignment="1">
      <alignment horizontal="center"/>
    </xf>
    <xf numFmtId="0" fontId="38" fillId="0" borderId="0" xfId="0" applyNumberFormat="1" applyFont="1"/>
    <xf numFmtId="0" fontId="0" fillId="36" borderId="0" xfId="0" applyFill="1"/>
    <xf numFmtId="0" fontId="2" fillId="0" borderId="0" xfId="0" applyNumberFormat="1" applyFont="1" applyFill="1" applyBorder="1" applyAlignment="1" applyProtection="1"/>
    <xf numFmtId="0" fontId="2" fillId="0" borderId="1" xfId="0" applyNumberFormat="1" applyFont="1" applyFill="1" applyBorder="1" applyAlignment="1" applyProtection="1"/>
    <xf numFmtId="0" fontId="65" fillId="36" borderId="0" xfId="38" applyFont="1" applyFill="1" applyAlignment="1">
      <alignment wrapText="1"/>
    </xf>
    <xf numFmtId="0" fontId="18" fillId="36" borderId="0" xfId="0" applyFont="1" applyFill="1"/>
    <xf numFmtId="0" fontId="66" fillId="36" borderId="37" xfId="0" applyFont="1" applyFill="1" applyBorder="1" applyAlignment="1">
      <alignment horizontal="right" vertical="center" wrapText="1"/>
    </xf>
    <xf numFmtId="0" fontId="66" fillId="36" borderId="38" xfId="0" applyFont="1" applyFill="1" applyBorder="1" applyAlignment="1">
      <alignment horizontal="right" vertical="center" wrapText="1"/>
    </xf>
    <xf numFmtId="0" fontId="66" fillId="36" borderId="38" xfId="0" applyFont="1" applyFill="1" applyBorder="1" applyAlignment="1">
      <alignment horizontal="center" vertical="center" wrapText="1"/>
    </xf>
    <xf numFmtId="0" fontId="66" fillId="36" borderId="39" xfId="0" applyFont="1" applyFill="1" applyBorder="1" applyAlignment="1">
      <alignment horizontal="center" vertical="center" wrapText="1"/>
    </xf>
    <xf numFmtId="49" fontId="2" fillId="0" borderId="0" xfId="38" applyNumberFormat="1" applyFont="1" applyAlignment="1">
      <alignment horizontal="center"/>
    </xf>
    <xf numFmtId="0" fontId="49" fillId="0" borderId="0" xfId="98" applyFont="1"/>
    <xf numFmtId="0" fontId="49" fillId="0" borderId="0" xfId="98" applyFont="1" applyAlignment="1">
      <alignment horizontal="center"/>
    </xf>
    <xf numFmtId="1" fontId="49" fillId="0" borderId="0" xfId="98" applyNumberFormat="1" applyFont="1" applyAlignment="1">
      <alignment horizontal="center"/>
    </xf>
    <xf numFmtId="0" fontId="2" fillId="0" borderId="0" xfId="98"/>
    <xf numFmtId="0" fontId="35" fillId="0" borderId="0" xfId="98" applyFont="1"/>
    <xf numFmtId="0" fontId="35" fillId="0" borderId="0" xfId="98" applyFont="1" applyAlignment="1">
      <alignment horizontal="center"/>
    </xf>
    <xf numFmtId="1" fontId="35" fillId="0" borderId="0" xfId="98" applyNumberFormat="1" applyFont="1" applyAlignment="1">
      <alignment horizontal="center"/>
    </xf>
    <xf numFmtId="0" fontId="2" fillId="0" borderId="0" xfId="98" applyAlignment="1">
      <alignment horizontal="center"/>
    </xf>
    <xf numFmtId="0" fontId="2" fillId="42" borderId="0" xfId="98" applyFill="1" applyAlignment="1">
      <alignment horizontal="center"/>
    </xf>
    <xf numFmtId="1" fontId="2" fillId="0" borderId="0" xfId="98" applyNumberFormat="1" applyAlignment="1">
      <alignment horizontal="center"/>
    </xf>
    <xf numFmtId="0" fontId="2" fillId="36" borderId="0" xfId="98" applyFill="1"/>
    <xf numFmtId="0" fontId="2" fillId="33" borderId="0" xfId="98" applyFill="1" applyAlignment="1">
      <alignment horizontal="center"/>
    </xf>
    <xf numFmtId="1" fontId="2" fillId="33" borderId="0" xfId="98" applyNumberFormat="1" applyFill="1" applyAlignment="1">
      <alignment horizontal="center"/>
    </xf>
    <xf numFmtId="0" fontId="2" fillId="33" borderId="0" xfId="98" applyFill="1"/>
    <xf numFmtId="17" fontId="49" fillId="0" borderId="0" xfId="98" applyNumberFormat="1" applyFont="1" applyAlignment="1">
      <alignment horizontal="center"/>
    </xf>
    <xf numFmtId="0" fontId="1" fillId="0" borderId="0" xfId="98" applyFont="1"/>
    <xf numFmtId="0" fontId="1" fillId="0" borderId="0" xfId="0" applyNumberFormat="1" applyFont="1" applyFill="1" applyBorder="1" applyAlignment="1" applyProtection="1"/>
    <xf numFmtId="0" fontId="1" fillId="42"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12" xfId="0" applyNumberFormat="1" applyFont="1" applyFill="1" applyBorder="1" applyAlignment="1" applyProtection="1"/>
    <xf numFmtId="0" fontId="1" fillId="37" borderId="26" xfId="0" applyNumberFormat="1" applyFont="1" applyFill="1" applyBorder="1"/>
    <xf numFmtId="0" fontId="1" fillId="0" borderId="26" xfId="0" applyNumberFormat="1" applyFont="1" applyBorder="1"/>
    <xf numFmtId="0" fontId="1" fillId="0" borderId="26" xfId="0" applyNumberFormat="1" applyFont="1" applyBorder="1" applyAlignment="1">
      <alignment horizontal="right"/>
    </xf>
    <xf numFmtId="0" fontId="1" fillId="37" borderId="26" xfId="0" applyNumberFormat="1" applyFont="1" applyFill="1" applyBorder="1" applyAlignment="1">
      <alignment horizontal="right"/>
    </xf>
    <xf numFmtId="0" fontId="38" fillId="0" borderId="0" xfId="64" applyFont="1" applyAlignment="1">
      <alignment wrapText="1"/>
    </xf>
    <xf numFmtId="0" fontId="38" fillId="0" borderId="12" xfId="64" applyFont="1" applyBorder="1" applyAlignment="1">
      <alignment wrapText="1"/>
    </xf>
    <xf numFmtId="0" fontId="67" fillId="0" borderId="0" xfId="0" applyFont="1" applyAlignment="1">
      <alignment horizontal="center" wrapText="1"/>
    </xf>
    <xf numFmtId="0" fontId="38" fillId="0" borderId="0" xfId="0" applyFont="1" applyAlignment="1">
      <alignment horizontal="center" wrapText="1"/>
    </xf>
    <xf numFmtId="0" fontId="38" fillId="0" borderId="12" xfId="0" applyFont="1" applyBorder="1" applyAlignment="1">
      <alignment wrapText="1"/>
    </xf>
    <xf numFmtId="0" fontId="38" fillId="43" borderId="0" xfId="0" applyFont="1" applyFill="1" applyAlignment="1">
      <alignment wrapText="1"/>
    </xf>
    <xf numFmtId="0" fontId="58" fillId="0" borderId="40" xfId="0" applyFont="1" applyBorder="1"/>
    <xf numFmtId="0" fontId="58" fillId="0" borderId="40" xfId="0" applyFont="1" applyFill="1" applyBorder="1"/>
    <xf numFmtId="0" fontId="0" fillId="0" borderId="40" xfId="0" applyBorder="1" applyAlignment="1">
      <alignment horizontal="center" wrapText="1"/>
    </xf>
    <xf numFmtId="0" fontId="37" fillId="0" borderId="18" xfId="0" applyFont="1" applyBorder="1" applyAlignment="1">
      <alignment wrapText="1"/>
    </xf>
    <xf numFmtId="0" fontId="67" fillId="0" borderId="13" xfId="0" applyFont="1" applyBorder="1" applyAlignment="1">
      <alignment horizontal="center" wrapText="1"/>
    </xf>
    <xf numFmtId="0" fontId="67" fillId="0" borderId="14" xfId="0" applyFont="1" applyBorder="1" applyAlignment="1">
      <alignment horizontal="center" wrapText="1"/>
    </xf>
    <xf numFmtId="0" fontId="37" fillId="0" borderId="13" xfId="0" applyFont="1" applyBorder="1" applyAlignment="1">
      <alignment horizontal="center" wrapText="1"/>
    </xf>
    <xf numFmtId="0" fontId="37" fillId="0" borderId="15" xfId="0" applyFont="1" applyBorder="1" applyAlignment="1">
      <alignment horizontal="center" wrapText="1"/>
    </xf>
    <xf numFmtId="0" fontId="68" fillId="0" borderId="13" xfId="0" applyFont="1" applyBorder="1" applyAlignment="1">
      <alignment horizontal="center"/>
    </xf>
    <xf numFmtId="0" fontId="68" fillId="0" borderId="14" xfId="0" applyFont="1" applyBorder="1" applyAlignment="1">
      <alignment horizontal="center"/>
    </xf>
    <xf numFmtId="0" fontId="48" fillId="0" borderId="0" xfId="0" applyFont="1" applyFill="1" applyAlignment="1">
      <alignment horizontal="center" wrapText="1"/>
    </xf>
    <xf numFmtId="0" fontId="59" fillId="0" borderId="0" xfId="0" applyFont="1" applyFill="1" applyAlignment="1">
      <alignment horizontal="center" wrapText="1"/>
    </xf>
    <xf numFmtId="0" fontId="37" fillId="0" borderId="14" xfId="0" applyFont="1" applyBorder="1" applyAlignment="1">
      <alignment horizontal="center" wrapText="1"/>
    </xf>
    <xf numFmtId="0" fontId="62" fillId="0" borderId="17" xfId="0" applyFont="1" applyBorder="1" applyAlignment="1">
      <alignment horizontal="left" wrapText="1"/>
    </xf>
    <xf numFmtId="0" fontId="49" fillId="0" borderId="0" xfId="0" applyFont="1" applyAlignment="1">
      <alignment horizontal="center" wrapText="1"/>
    </xf>
    <xf numFmtId="17" fontId="49" fillId="0" borderId="0" xfId="0" applyNumberFormat="1" applyFont="1" applyAlignment="1">
      <alignment horizontal="center" wrapText="1"/>
    </xf>
    <xf numFmtId="17" fontId="49" fillId="0" borderId="0" xfId="98" applyNumberFormat="1" applyFont="1" applyAlignment="1">
      <alignment horizontal="center"/>
    </xf>
    <xf numFmtId="0" fontId="49" fillId="0" borderId="0" xfId="98" applyFont="1" applyAlignment="1">
      <alignment horizontal="center"/>
    </xf>
  </cellXfs>
  <cellStyles count="100">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14" xfId="98" xr:uid="{D2BF264E-59ED-4134-AEC7-784F5BD449B6}"/>
    <cellStyle name="Normal 2" xfId="38" xr:uid="{00000000-0005-0000-0000-00004B000000}"/>
    <cellStyle name="Normal 2 2" xfId="45" xr:uid="{00000000-0005-0000-0000-00004C000000}"/>
    <cellStyle name="Normal 2 3" xfId="77" xr:uid="{00000000-0005-0000-0000-00004D000000}"/>
    <cellStyle name="Normal 2 4" xfId="99" xr:uid="{FECFD1BD-B2CE-4137-BB14-6DA6B36FA07E}"/>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ill>
        <patternFill patternType="solid">
          <fgColor indexed="64"/>
          <bgColor theme="9"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family val="2"/>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4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46">
      <pivotArea field="2" type="button" dataOnly="0" labelOnly="1" outline="0" axis="axisRow" fieldPosition="0"/>
    </format>
    <format dxfId="45">
      <pivotArea dataOnly="0" labelOnly="1" outline="0" fieldPosition="0">
        <references count="1">
          <reference field="4294967294" count="2">
            <x v="0"/>
            <x v="1"/>
          </reference>
        </references>
      </pivotArea>
    </format>
    <format dxfId="44">
      <pivotArea dataOnly="0" outline="0" fieldPosition="0">
        <references count="1">
          <reference field="4294967294" count="2">
            <x v="0"/>
            <x v="1"/>
          </reference>
        </references>
      </pivotArea>
    </format>
    <format dxfId="43">
      <pivotArea dataOnly="0" outline="0" fieldPosition="0">
        <references count="1">
          <reference field="4294967294" count="1">
            <x v="0"/>
          </reference>
        </references>
      </pivotArea>
    </format>
    <format dxfId="42">
      <pivotArea dataOnly="0" outline="0" fieldPosition="0">
        <references count="1">
          <reference field="4294967294" count="1">
            <x v="1"/>
          </reference>
        </references>
      </pivotArea>
    </format>
    <format dxfId="41">
      <pivotArea dataOnly="0" outline="0" fieldPosition="0">
        <references count="1">
          <reference field="4294967294" count="1">
            <x v="0"/>
          </reference>
        </references>
      </pivotArea>
    </format>
    <format dxfId="40">
      <pivotArea dataOnly="0" outline="0" fieldPosition="0">
        <references count="1">
          <reference field="4294967294" count="1">
            <x v="1"/>
          </reference>
        </references>
      </pivotArea>
    </format>
    <format dxfId="39">
      <pivotArea outline="0" fieldPosition="0">
        <references count="1">
          <reference field="4294967294" count="1">
            <x v="2"/>
          </reference>
        </references>
      </pivotArea>
    </format>
    <format dxfId="38">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Q197" totalsRowCount="1" headerRowDxfId="150" dataDxfId="149">
  <autoFilter ref="C5:AQ196" xr:uid="{00000000-0009-0000-0100-000006000000}">
    <filterColumn colId="0">
      <filters>
        <filter val="34001"/>
        <filter val="48001"/>
        <filter val="599109"/>
        <filter val="699109"/>
        <filter val="80001"/>
        <filter val="82001"/>
        <filter val="92001"/>
        <filter val="93701"/>
        <filter val="93806"/>
        <filter val="93901"/>
        <filter val="95801"/>
        <filter val="96501"/>
        <filter val="96701"/>
        <filter val="96901"/>
        <filter val="98201"/>
        <filter val="98401"/>
        <filter val="98801"/>
        <filter val="98910"/>
        <filter val="98915"/>
        <filter val="98921"/>
        <filter val="98955"/>
        <filter val="98956"/>
        <filter val="98958"/>
        <filter val="98959"/>
        <filter val="98961"/>
        <filter val="98965"/>
        <filter val="98979"/>
        <filter val="98983"/>
        <filter val="98987"/>
        <filter val="98988"/>
        <filter val="98990"/>
        <filter val="99007"/>
        <filter val="99017"/>
        <filter val="99026"/>
        <filter val="99058"/>
        <filter val="99066"/>
        <filter val="99067"/>
        <filter val="99069"/>
        <filter val="99093"/>
        <filter val="99094"/>
        <filter val="99095"/>
        <filter val="99101"/>
        <filter val="99102"/>
        <filter val="99113"/>
        <filter val="99128"/>
        <filter val="99132"/>
        <filter val="99133"/>
        <filter val="99134"/>
        <filter val="99140"/>
        <filter val="99159"/>
        <filter val="99161"/>
        <filter val="99186"/>
        <filter val="99194"/>
        <filter val="99216"/>
        <filter val="99225"/>
        <filter val="99228"/>
        <filter val="99229"/>
        <filter val="99230"/>
        <filter val="99246"/>
        <filter val="99247"/>
        <filter val="99255"/>
        <filter val="99256"/>
        <filter val="99259"/>
        <filter val="99265"/>
        <filter val="99266"/>
        <filter val="99267"/>
        <filter val="99268"/>
        <filter val="99269"/>
        <filter val="99270"/>
        <filter val="99278"/>
        <filter val="99286"/>
        <filter val="99288"/>
        <filter val="99293"/>
        <filter val="99294"/>
        <filter val="99295"/>
        <filter val="99296"/>
        <filter val="99297"/>
        <filter val="99302"/>
        <filter val="99305"/>
        <filter val="99307"/>
        <filter val="99312"/>
      </filters>
    </filterColumn>
    <filterColumn colId="39">
      <filters>
        <filter val="Baptist Foundation 2.xlsx"/>
        <filter val="Black stone Minerals # 2-C.xlsx"/>
        <filter val="Black stone Minerals # 2-T...xlsx"/>
        <filter val="Black stone Minerals # 3-C..xlsx"/>
        <filter val="Black stone Minerals # 4-C...xlsx"/>
        <filter val="BMB Investment #1.xlsx"/>
        <filter val="Bradford, Pettus H..xlsx"/>
        <filter val="BURDITT.xlsx"/>
        <filter val="Chicolet Creek #1.xlsx"/>
        <filter val="East Hamel.xlsx"/>
        <filter val="Garza, Korara Alridge, Martinez.xlsx"/>
        <filter val="Harrison 2.xlsx"/>
        <filter val="Keystone Mills #3.xlsx"/>
        <filter val="Louise Field.xlsx"/>
        <filter val="Mag._Nov._19.xlsx"/>
        <filter val="May Field.xlsx"/>
        <filter val="Mclean.xlsx"/>
        <filter val="Menning #1 Production report.xlsx"/>
        <filter val="Miller-West.xlsx"/>
        <filter val="Nelsonville.xlsx"/>
        <filter val="Preismeyer, Poole, Zahradnik.xlsx"/>
        <filter val="Rancho cullen sheet.xlsx"/>
        <filter val="Robeson 1C.xlsx"/>
        <filter val="Robeson 1T.xlsx"/>
        <filter val="Spohn Foundation.xlsx"/>
        <filter val="State Tract Unit 44 Unit #2.xlsx"/>
        <filter val="Ticonderoga A-1 H.xlsx"/>
        <filter val="Ticonderoga B-1 H..xlsx"/>
        <filter val="Ticonderoga D-1 H.xlsx"/>
        <filter val="Vieman #4.xlsx"/>
        <filter val="winsaur.xlsx"/>
      </filters>
    </filterColumn>
  </autoFilter>
  <sortState xmlns:xlrd2="http://schemas.microsoft.com/office/spreadsheetml/2017/richdata2" ref="C6:AE196">
    <sortCondition ref="E5:E196"/>
  </sortState>
  <tableColumns count="41">
    <tableColumn id="14" xr3:uid="{00000000-0010-0000-0000-00000E000000}" name="Magnum Wolfpak #" totalsRowFunction="count" dataDxfId="148" totalsRowDxfId="37"/>
    <tableColumn id="28" xr3:uid="{00000000-0010-0000-0000-00001C000000}" name="Field Name" dataDxfId="147" totalsRowDxfId="36"/>
    <tableColumn id="1" xr3:uid="{00000000-0010-0000-0000-000001000000}" name="Lease Name" totalsRowLabel="Total" dataDxfId="146" totalsRowDxfId="35"/>
    <tableColumn id="4" xr3:uid="{00000000-0010-0000-0000-000004000000}" name="Well Number" totalsRowFunction="count" dataDxfId="145" totalsRowDxfId="34"/>
    <tableColumn id="29" xr3:uid="{00000000-0010-0000-0000-00001D000000}" name="Commingle Permit Number" dataDxfId="144" totalsRowDxfId="33"/>
    <tableColumn id="16" xr3:uid="{00000000-0010-0000-0000-000010000000}" name="District" dataDxfId="143" totalsRowDxfId="32"/>
    <tableColumn id="30" xr3:uid="{00000000-0010-0000-0000-00001E000000}" name="Lease Type" dataDxfId="142" totalsRowDxfId="31"/>
    <tableColumn id="2" xr3:uid="{00000000-0010-0000-0000-000002000000}" name="RRC ID" dataDxfId="141" totalsRowDxfId="30" dataCellStyle="Normal 2"/>
    <tableColumn id="3" xr3:uid="{00000000-0010-0000-0000-000003000000}" name="RRC ID Number" dataDxfId="140" totalsRowDxfId="29" dataCellStyle="Normal 2"/>
    <tableColumn id="5" xr3:uid="{00000000-0010-0000-0000-000005000000}" name=" Last Month Oil Production" totalsRowFunction="sum" dataDxfId="139" totalsRowDxfId="28">
      <calculatedColumnFormula>INDEX(Table1[Production],MATCH(rrcworking[[#This Row],[RRC ID Number]],Table1[RRC Identifier],0))</calculatedColumnFormula>
    </tableColumn>
    <tableColumn id="6" xr3:uid="{00000000-0010-0000-0000-000006000000}" name="Last Month Gas Prod" totalsRowFunction="sum" dataDxfId="138" totalsRowDxfId="27">
      <calculatedColumnFormula>INDEX(Table1[Formation Production],MATCH(rrcworking[[#This Row],[RRC ID Number]],Table1[RRC Identifier],0))</calculatedColumnFormula>
    </tableColumn>
    <tableColumn id="7" xr3:uid="{00000000-0010-0000-0000-000007000000}" name="Last Month Closing Stock" totalsRowFunction="sum" dataDxfId="137" totalsRowDxfId="26">
      <calculatedColumnFormula>INDEX(Table1[On Hand End of Month],MATCH(rrcworking[[#This Row],[RRC ID Number]],Table1[RRC Identifier],0))</calculatedColumnFormula>
    </tableColumn>
    <tableColumn id="8" xr3:uid="{00000000-0010-0000-0000-000008000000}" name="No activity?" dataDxfId="136" totalsRowDxfId="25">
      <calculatedColumnFormula>IF(AND(L6=0,M6=0), TRUE, FALSE)</calculatedColumnFormula>
    </tableColumn>
    <tableColumn id="23" xr3:uid="{00000000-0010-0000-0000-000017000000}" name="Gauge Sheet Production Vol" dataDxfId="135" totalsRowDxfId="24" dataCellStyle="Normal 9"/>
    <tableColumn id="9" xr3:uid="{00000000-0010-0000-0000-000009000000}" name="Opening Oil Stock" totalsRowFunction="sum" dataDxfId="134" totalsRowDxfId="23">
      <calculatedColumnFormula>rrcworking[[#This Row],[Last Month Closing Stock]]</calculatedColumnFormula>
    </tableColumn>
    <tableColumn id="10" xr3:uid="{00000000-0010-0000-0000-00000A000000}" name="Closing Stock (Oil)" totalsRowFunction="sum" dataDxfId="133" totalsRowDxfId="22" dataCellStyle="Normal 9"/>
    <tableColumn id="11" xr3:uid="{00000000-0010-0000-0000-00000B000000}" name="Sales/Dispostion" totalsRowFunction="sum" dataDxfId="132" totalsRowDxfId="21">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131" totalsRowDxfId="20">
      <calculatedColumnFormula>rrcworking[[#This Row],[Closing Stock (Oil)]]+rrcworking[[#This Row],[Sales/Dispostion]]-rrcworking[[#This Row],[Opening Oil Stock]]</calculatedColumnFormula>
    </tableColumn>
    <tableColumn id="26" xr3:uid="{00000000-0010-0000-0000-00001A000000}" name="Prod Calc vs Gauge Sheet" dataDxfId="130" totalsRowDxfId="19">
      <calculatedColumnFormula>rrcworking[[#This Row],[Gauge Sheet Production Vol]]-rrcworking[[#This Row],[Oil Production]]</calculatedColumnFormula>
    </tableColumn>
    <tableColumn id="17" xr3:uid="{00000000-0010-0000-0000-000011000000}" name="Gas Sales Statement Volume (MCF)" totalsRowFunction="sum" dataDxfId="129" totalsRowDxfId="18">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128" totalsRowDxfId="17"/>
    <tableColumn id="21" xr3:uid="{00000000-0010-0000-0000-000015000000}" name="Disposition Volume (MCF) @ 14.65 MCF" totalsRowFunction="sum" dataDxfId="127" totalsRowDxfId="16">
      <calculatedColumnFormula>IF(rrcworking[[#This Row],[Pressure Base]]=14.73,rrcworking[[#This Row],[Gas Sales Statement Volume (MCF)]]*$R$2,rrcworking[[#This Row],[Gas Sales Statement Volume (MCF)]])</calculatedColumnFormula>
    </tableColumn>
    <tableColumn id="25" xr3:uid="{00000000-0010-0000-0000-000019000000}" name="Hours Operated" dataDxfId="126" totalsRowDxfId="15"/>
    <tableColumn id="27" xr3:uid="{00000000-0010-0000-0000-00001B000000}" name="Compressor Fuel Rate MCFD" dataDxfId="125" totalsRowDxfId="14"/>
    <tableColumn id="19" xr3:uid="{00000000-0010-0000-0000-000013000000}" name="Lease Use (MCF)" totalsRowFunction="sum" dataDxfId="124" totalsRowDxfId="13">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123" totalsRowDxfId="12">
      <calculatedColumnFormula>rrcworking[[#This Row],[Disposition Volume (MCF) @ 14.65 MCF]]+rrcworking[[#This Row],[Lease Use (MCF)]]</calculatedColumnFormula>
    </tableColumn>
    <tableColumn id="24" xr3:uid="{00000000-0010-0000-0000-000018000000}" name="Gas Comments" totalsRowFunction="count" dataDxfId="122"/>
    <tableColumn id="22" xr3:uid="{00000000-0010-0000-0000-000016000000}" name="Oil Comments" dataDxfId="121"/>
    <tableColumn id="15" xr3:uid="{00000000-0010-0000-0000-00000F000000}" name="FilterList" dataDxfId="120" totalsRowDxfId="11">
      <calculatedColumnFormula>COUNTIF(FilterList,rrcworking[[#This Row],[Magnum Wolfpak '#]])</calculatedColumnFormula>
    </tableColumn>
    <tableColumn id="13" xr3:uid="{40F148C3-D9A3-43B3-99DB-4E3F6DDC7194}" name="Gauge Sheet Prod Vol" dataDxfId="119"/>
    <tableColumn id="31" xr3:uid="{8A308D1F-6334-457A-AF3F-C5EA08DDACED}" name="Closing Oil Stock" dataDxfId="118"/>
    <tableColumn id="32" xr3:uid="{DB7AD211-0C21-4A64-A709-FBFBDDC99D3F}" name="Manual Extraction Gauge Sheet Prod" dataDxfId="117"/>
    <tableColumn id="33" xr3:uid="{08F40650-E1EA-4E4A-A8E8-B065DABECCE6}" name="Manual Extraction Closing Stock" dataDxfId="116"/>
    <tableColumn id="34" xr3:uid="{C594DE24-72F9-4385-AB2C-25A60B1A3C46}" name="Number of Oil Tanks" dataDxfId="115"/>
    <tableColumn id="35" xr3:uid="{BBDFF355-F6F8-417D-BE05-4D6572E0FD16}" name="Monthly Tabs" dataDxfId="114"/>
    <tableColumn id="36" xr3:uid="{0158F3AA-6468-4719-8E28-FA52E80928D7}" name="Multiple Years" dataDxfId="113"/>
    <tableColumn id="39" xr3:uid="{D38757A9-7557-4304-83BF-9DAF6CFE56D1}" name="Oil Stock Cell" dataDxfId="112"/>
    <tableColumn id="40" xr3:uid="{273F3D6E-B74B-4326-85F0-64DBF84331C2}" name="Shift Up Required" dataDxfId="111"/>
    <tableColumn id="41" xr3:uid="{D2EE3779-A9D5-451F-A18B-5AAAFCBA6F53}" name="Gauge Sheet Oil Production" dataDxfId="110"/>
    <tableColumn id="42" xr3:uid="{164F5455-AA34-47F4-9897-1F36C37F358E}" name="Filename" dataDxfId="109"/>
    <tableColumn id="43" xr3:uid="{55CCC7AC-DBC1-4DE2-8594-FBAEA3C76D32}" name="Comments" dataDxfId="10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107" tableBorderDxfId="106" dataCellStyle="Normal 3">
  <autoFilter ref="A1:A12" xr:uid="{00000000-0009-0000-0100-00000C000000}"/>
  <tableColumns count="1">
    <tableColumn id="1" xr3:uid="{00000000-0010-0000-0100-000001000000}" name="well" dataDxfId="105"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3" totalsRowCount="1" headerRowDxfId="104" dataDxfId="103" totalsRowDxfId="102">
  <autoFilter ref="A4:K92" xr:uid="{7FBD0C7F-A40A-4D9C-A360-90191A87D668}">
    <filterColumn colId="10">
      <filters blank="1"/>
    </filterColumn>
  </autoFilter>
  <tableColumns count="11">
    <tableColumn id="11" xr3:uid="{A05A8D9B-9784-4E5E-BB12-70B01C115074}" name="Rox Wolf#" totalsRowFunction="count" dataDxfId="101" dataCellStyle="Normal 12"/>
    <tableColumn id="2" xr3:uid="{7466BA82-6852-4C23-AB52-543AB136E5EA}" name="Well Name" dataDxfId="100" dataCellStyle="Normal 12"/>
    <tableColumn id="3" xr3:uid="{BD038B05-A306-4277-B38E-C4E079E77B8C}" name="OIL" totalsRowFunction="sum" dataDxfId="99" dataCellStyle="Normal 12">
      <calculatedColumnFormula>ROUND(INDEX(Table4[OIL],MATCH(Table2[[#This Row],[Rox Wolf'#]],Table4[Wolf],0)),0)</calculatedColumnFormula>
    </tableColumn>
    <tableColumn id="4" xr3:uid="{4D216936-226E-4E9D-918A-1F3C71C7139F}" name="GAS" totalsRowFunction="sum" dataDxfId="98" totalsRowDxfId="97" dataCellStyle="Normal 13">
      <calculatedColumnFormula>INDEX(Table4[GAS],MATCH(Table2[[#This Row],[Rox Wolf'#]],Table4[Wolf],0))</calculatedColumnFormula>
    </tableColumn>
    <tableColumn id="5" xr3:uid="{AF7DC55C-6A83-46A8-ACE6-4B2C5B651C6D}" name="LEASE USE" totalsRowFunction="sum" dataDxfId="96" dataCellStyle="Normal 12">
      <calculatedColumnFormula>INDEX(Table4[LEASE USE],MATCH(Table2[[#This Row],[Rox Wolf'#]],Table4[Wolf],0))</calculatedColumnFormula>
    </tableColumn>
    <tableColumn id="6" xr3:uid="{A918A24A-A4FB-4C5B-BB92-9741AACC97F6}" name="LU PER DAY" dataDxfId="95" dataCellStyle="Normal 12"/>
    <tableColumn id="7" xr3:uid="{660A5187-B1A0-4571-A113-600CEB968E56}" name="DAYS ON" dataDxfId="94" dataCellStyle="Normal 12"/>
    <tableColumn id="8" xr3:uid="{538CC34A-44A6-4216-953D-351C08BD4D6A}" name="PU PER DAY" dataDxfId="93" dataCellStyle="Normal 12"/>
    <tableColumn id="9" xr3:uid="{90CC46FC-1C85-417B-85CA-7C6AF033D6DC}" name="PU ON" dataDxfId="92" dataCellStyle="Normal 12"/>
    <tableColumn id="10" xr3:uid="{95706978-2DDD-46A9-BC9E-E3C32A01937E}" name="Filter" totalsRowFunction="sum" dataDxfId="91">
      <calculatedColumnFormula>COUNTIF(FilterList,#REF!)</calculatedColumnFormula>
    </tableColumn>
    <tableColumn id="12" xr3:uid="{711AF17C-F634-45F9-B1C1-A641D4E59AE3}" name="state" dataDxfId="90" totalsRowDxfId="89"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2B1EF1-7342-49D1-A164-1ED47B47B0C7}" name="Table4" displayName="Table4" ref="A4:H93" totalsRowCount="1" dataCellStyle="Normal 14">
  <autoFilter ref="A4:H92" xr:uid="{C963C5D0-2581-49AE-B04B-1F8D02C6B902}"/>
  <tableColumns count="8">
    <tableColumn id="1" xr3:uid="{D0F1C6CA-0D25-4E76-8F52-826E854CA857}" name="Wolf" totalsRowLabel="Total" totalsRowDxfId="88" dataCellStyle="Normal 14"/>
    <tableColumn id="2" xr3:uid="{E8FA1C0B-2C7E-4113-9202-7CDD221AB5B3}" name="Lease" totalsRowDxfId="87" dataCellStyle="Normal 14"/>
    <tableColumn id="3" xr3:uid="{6E6D0FEB-6C2C-49B8-A455-256335A02B08}" name="OIL" totalsRowFunction="sum" dataDxfId="86" totalsRowDxfId="85" dataCellStyle="Normal 14"/>
    <tableColumn id="4" xr3:uid="{1A1018A4-40B7-43E3-877B-8C462C7A8C67}" name="GAS" totalsRowFunction="sum" dataDxfId="84" totalsRowDxfId="83" dataCellStyle="Normal 14"/>
    <tableColumn id="5" xr3:uid="{E5804BE5-C238-4EDB-8C6D-9FF37953F827}" name="LEASE USE" totalsRowFunction="sum" dataDxfId="82" totalsRowDxfId="81" dataCellStyle="Normal 14">
      <calculatedColumnFormula>(F5*G5)+(H5*I5)</calculatedColumnFormula>
    </tableColumn>
    <tableColumn id="6" xr3:uid="{3E94E890-8721-4390-B96C-48DEECC89427}" name="LU PER DAY" totalsRowDxfId="80" dataCellStyle="Normal 14"/>
    <tableColumn id="7" xr3:uid="{CD84EA9C-B9D7-4271-B163-A50DA9F8F5A1}" name="DAYS ON" totalsRowDxfId="79" dataCellStyle="Normal 14"/>
    <tableColumn id="8" xr3:uid="{CB2BE852-BD6A-4E6E-83C7-8DB0E85EE069}" name="PU PER DAY" totalsRowFunction="sum" totalsRowDxfId="78" dataCellStyle="Normal 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5" totalsRowCount="1" dataCellStyle="Normal 2">
  <autoFilter ref="A8:Q234" xr:uid="{00000000-0009-0000-0100-000001000000}">
    <filterColumn colId="5">
      <filters>
        <filter val="KEYSTONE MILLS"/>
      </filters>
    </filterColumn>
  </autoFilter>
  <tableColumns count="17">
    <tableColumn id="1" xr3:uid="{00000000-0010-0000-0500-000001000000}" name="Multiple Reports" totalsRowLabel="Total" totalsRowDxfId="77" dataCellStyle="Normal 2"/>
    <tableColumn id="2" xr3:uid="{00000000-0010-0000-0500-000002000000}" name="Lease Type" totalsRowDxfId="76" dataCellStyle="Normal 2"/>
    <tableColumn id="3" xr3:uid="{00000000-0010-0000-0500-000003000000}" name="District" totalsRowDxfId="75" dataCellStyle="Normal 2"/>
    <tableColumn id="4" xr3:uid="{00000000-0010-0000-0500-000004000000}" name="RRC Identifier" totalsRowDxfId="74" dataCellStyle="Normal 2"/>
    <tableColumn id="5" xr3:uid="{00000000-0010-0000-0500-000005000000}" name="Field Name" totalsRowFunction="count" totalsRowDxfId="73" dataCellStyle="Normal 2"/>
    <tableColumn id="6" xr3:uid="{00000000-0010-0000-0500-000006000000}" name="Lease Name" totalsRowFunction="count" totalsRowDxfId="72" dataCellStyle="Normal 2"/>
    <tableColumn id="7" xr3:uid="{00000000-0010-0000-0500-000007000000}" name="Gas Well ID" totalsRowDxfId="71" dataCellStyle="Normal 2"/>
    <tableColumn id="8" xr3:uid="{00000000-0010-0000-0500-000008000000}" name="Lease Total" totalsRowDxfId="70" dataCellStyle="Normal 2"/>
    <tableColumn id="9" xr3:uid="{00000000-0010-0000-0500-000009000000}" name="Commingle Permit No." totalsRowDxfId="69" dataCellStyle="Normal 2"/>
    <tableColumn id="10" xr3:uid="{00000000-0010-0000-0500-00000A000000}" name="On Hand Beginning of Month" totalsRowFunction="sum" dataDxfId="68" totalsRowDxfId="67" dataCellStyle="Normal 2"/>
    <tableColumn id="11" xr3:uid="{00000000-0010-0000-0500-00000B000000}" name="Production" totalsRowFunction="sum" totalsRowDxfId="66" dataCellStyle="Normal 2"/>
    <tableColumn id="12" xr3:uid="{00000000-0010-0000-0500-00000C000000}" name="Volume" totalsRowFunction="sum" totalsRowDxfId="65" dataCellStyle="Normal 2"/>
    <tableColumn id="13" xr3:uid="{00000000-0010-0000-0500-00000D000000}" name="Code" totalsRowDxfId="64" dataCellStyle="Normal 2"/>
    <tableColumn id="14" xr3:uid="{00000000-0010-0000-0500-00000E000000}" name="On Hand End of Month" totalsRowFunction="sum" totalsRowDxfId="63" dataCellStyle="Normal 2"/>
    <tableColumn id="17" xr3:uid="{00000000-0010-0000-0500-000011000000}" name="Formation Production" totalsRowFunction="sum" dataDxfId="62" totalsRowDxfId="61" dataCellStyle="Normal 2"/>
    <tableColumn id="18" xr3:uid="{00000000-0010-0000-0500-000012000000}" name="Volume2" totalsRowFunction="sum" totalsRowDxfId="60" dataCellStyle="Normal 2"/>
    <tableColumn id="19" xr3:uid="{00000000-0010-0000-0500-000013000000}" name="Code3" totalsRowDxfId="59" dataCellStyle="Normal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58" dataDxfId="57">
  <autoFilter ref="A3:K34" xr:uid="{00000000-0009-0000-0100-000009000000}"/>
  <tableColumns count="11">
    <tableColumn id="1" xr3:uid="{00000000-0010-0000-0400-000001000000}" name="STATION" dataDxfId="56"/>
    <tableColumn id="2" xr3:uid="{00000000-0010-0000-0400-000002000000}" name="STATION NAME" dataDxfId="55"/>
    <tableColumn id="3" xr3:uid="{00000000-0010-0000-0400-000003000000}" name="Column1" dataDxfId="54"/>
    <tableColumn id="4" xr3:uid="{00000000-0010-0000-0400-000004000000}" name="MCF" dataDxfId="53"/>
    <tableColumn id="5" xr3:uid="{00000000-0010-0000-0400-000005000000}" name="BTU" dataDxfId="52"/>
    <tableColumn id="6" xr3:uid="{00000000-0010-0000-0400-000006000000}" name="MMBTU" dataDxfId="51"/>
    <tableColumn id="7" xr3:uid="{00000000-0010-0000-0400-000007000000}" name="MCF/D" dataDxfId="50"/>
    <tableColumn id="8" xr3:uid="{00000000-0010-0000-0400-000008000000}" name="MMBTU/D" dataDxfId="49"/>
    <tableColumn id="9" xr3:uid="{00000000-0010-0000-0400-000009000000}" name="PSIG"/>
    <tableColumn id="10" xr3:uid="{00000000-0010-0000-0400-00000A000000}" name="GRAVITY" dataDxfId="48"/>
    <tableColumn id="11" xr3:uid="{00000000-0010-0000-0400-00000B000000}" name="HOURS" dataDxfId="4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4"/>
  <sheetViews>
    <sheetView topLeftCell="S1" zoomScale="115" zoomScaleNormal="115" workbookViewId="0">
      <pane ySplit="3" topLeftCell="A187" activePane="bottomLeft" state="frozen"/>
      <selection pane="bottomLeft" activeCell="Y194" sqref="Y3:Y194"/>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5"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4"/>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191</v>
      </c>
      <c r="G2" s="12" t="s">
        <v>3</v>
      </c>
    </row>
    <row r="3" spans="1:250" s="3" customFormat="1" ht="54.75" customHeight="1">
      <c r="A3" s="6" t="s">
        <v>4</v>
      </c>
      <c r="B3" s="6" t="s">
        <v>5</v>
      </c>
      <c r="C3" s="6" t="s">
        <v>6</v>
      </c>
      <c r="D3" s="6" t="s">
        <v>7</v>
      </c>
      <c r="E3" s="6" t="s">
        <v>8</v>
      </c>
      <c r="F3" s="6" t="s">
        <v>9</v>
      </c>
      <c r="G3" s="6" t="s">
        <v>10</v>
      </c>
      <c r="H3" s="6" t="s">
        <v>11</v>
      </c>
      <c r="I3" s="6" t="s">
        <v>12</v>
      </c>
      <c r="J3" s="126"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914</v>
      </c>
      <c r="D4" s="10" t="s">
        <v>620</v>
      </c>
      <c r="E4" s="1" t="s">
        <v>59</v>
      </c>
      <c r="F4" s="1" t="s">
        <v>416</v>
      </c>
      <c r="I4" s="1" t="s">
        <v>3</v>
      </c>
      <c r="J4" s="125" t="s">
        <v>3</v>
      </c>
      <c r="K4" s="1" t="s">
        <v>1097</v>
      </c>
      <c r="M4" s="5">
        <v>201911</v>
      </c>
      <c r="N4" s="5">
        <f>INDEX(rrcworking[Formation Production (MCF) @ 14.65 psi],MATCH('November 2019 EDI'!F4,rrcworking[RRC ID],0))</f>
        <v>0</v>
      </c>
      <c r="O4" s="5">
        <f>INDEX(rrcworking[Lease Use (MCF)],MATCH('November 2019 EDI'!F4,rrcworking[RRC ID],0))</f>
        <v>0</v>
      </c>
      <c r="P4" s="5">
        <f>INDEX(rrcworking[Disposition Volume (MCF) @ 14.65 MCF],MATCH('November 2019 EDI'!F4,rrcworking[RRC ID],0))</f>
        <v>0</v>
      </c>
      <c r="Y4" s="5">
        <f>INDEX(rrcworking[Oil Production],MATCH('November 2019 EDI'!F4,rrcworking[RRC ID],0))</f>
        <v>0</v>
      </c>
      <c r="AA4" s="5">
        <f>INDEX(rrcworking[Sales/Dispostion],MATCH('November 2019 EDI'!F4,rrcworking[RRC ID],0))</f>
        <v>0</v>
      </c>
      <c r="AQ4" s="5">
        <f>INDEX(rrcworking[Closing Stock (Oil)],MATCH('November 2019 EDI'!F4,rrcworking[RRC ID],0))</f>
        <v>0</v>
      </c>
    </row>
    <row r="5" spans="1:250">
      <c r="A5" s="4" t="s">
        <v>1</v>
      </c>
      <c r="B5" s="1">
        <v>2</v>
      </c>
      <c r="C5" s="10" t="s">
        <v>914</v>
      </c>
      <c r="D5" s="1" t="s">
        <v>620</v>
      </c>
      <c r="E5" s="1" t="s">
        <v>59</v>
      </c>
      <c r="F5" s="1" t="s">
        <v>417</v>
      </c>
      <c r="I5" s="1" t="s">
        <v>3</v>
      </c>
      <c r="J5" s="125" t="s">
        <v>3</v>
      </c>
      <c r="K5" s="1" t="s">
        <v>1097</v>
      </c>
      <c r="M5" s="5">
        <v>201911</v>
      </c>
      <c r="N5" s="5">
        <f>INDEX(rrcworking[Formation Production (MCF) @ 14.65 psi],MATCH('November 2019 EDI'!F5,rrcworking[RRC ID],0))</f>
        <v>0</v>
      </c>
      <c r="O5" s="5">
        <f>INDEX(rrcworking[Lease Use (MCF)],MATCH('November 2019 EDI'!F5,rrcworking[RRC ID],0))</f>
        <v>0</v>
      </c>
      <c r="P5" s="5">
        <f>INDEX(rrcworking[Disposition Volume (MCF) @ 14.65 MCF],MATCH('November 2019 EDI'!F5,rrcworking[RRC ID],0))</f>
        <v>0</v>
      </c>
      <c r="Y5" s="5">
        <f>INDEX(rrcworking[Oil Production],MATCH('November 2019 EDI'!F5,rrcworking[RRC ID],0))</f>
        <v>0</v>
      </c>
      <c r="AA5" s="5">
        <f>INDEX(rrcworking[Sales/Dispostion],MATCH('November 2019 EDI'!F5,rrcworking[RRC ID],0))</f>
        <v>0</v>
      </c>
      <c r="AQ5" s="5">
        <f>INDEX(rrcworking[Closing Stock (Oil)],MATCH('November 2019 EDI'!F5,rrcworking[RRC ID],0))</f>
        <v>149</v>
      </c>
    </row>
    <row r="6" spans="1:250">
      <c r="A6" s="4" t="s">
        <v>1</v>
      </c>
      <c r="B6" s="1" t="s">
        <v>58</v>
      </c>
      <c r="C6" s="10" t="s">
        <v>914</v>
      </c>
      <c r="D6" s="1" t="s">
        <v>620</v>
      </c>
      <c r="E6" s="1" t="s">
        <v>59</v>
      </c>
      <c r="F6" s="1" t="s">
        <v>418</v>
      </c>
      <c r="I6" s="1" t="s">
        <v>3</v>
      </c>
      <c r="J6" s="125" t="s">
        <v>3</v>
      </c>
      <c r="K6" s="1" t="s">
        <v>1097</v>
      </c>
      <c r="M6" s="5">
        <v>201911</v>
      </c>
      <c r="N6" s="5">
        <f>INDEX(rrcworking[Formation Production (MCF) @ 14.65 psi],MATCH('November 2019 EDI'!F6,rrcworking[RRC ID],0))</f>
        <v>5148</v>
      </c>
      <c r="O6" s="5">
        <f>INDEX(rrcworking[Lease Use (MCF)],MATCH('November 2019 EDI'!F6,rrcworking[RRC ID],0))</f>
        <v>210</v>
      </c>
      <c r="P6" s="5">
        <f>INDEX(rrcworking[Disposition Volume (MCF) @ 14.65 MCF],MATCH('November 2019 EDI'!F6,rrcworking[RRC ID],0))</f>
        <v>4938</v>
      </c>
      <c r="Y6" s="5">
        <f>INDEX(rrcworking[Oil Production],MATCH('November 2019 EDI'!F6,rrcworking[RRC ID],0))</f>
        <v>0</v>
      </c>
      <c r="AA6" s="5">
        <f>INDEX(rrcworking[Sales/Dispostion],MATCH('November 2019 EDI'!F6,rrcworking[RRC ID],0))</f>
        <v>0</v>
      </c>
      <c r="AQ6" s="5">
        <f>INDEX(rrcworking[Closing Stock (Oil)],MATCH('November 2019 EDI'!F6,rrcworking[RRC ID],0))</f>
        <v>0</v>
      </c>
    </row>
    <row r="7" spans="1:250">
      <c r="A7" s="4" t="s">
        <v>1</v>
      </c>
      <c r="B7" s="1" t="s">
        <v>61</v>
      </c>
      <c r="C7" s="10" t="s">
        <v>914</v>
      </c>
      <c r="D7" s="1" t="s">
        <v>620</v>
      </c>
      <c r="E7" s="1" t="s">
        <v>59</v>
      </c>
      <c r="F7" s="1" t="s">
        <v>419</v>
      </c>
      <c r="I7" s="1" t="s">
        <v>3</v>
      </c>
      <c r="J7" s="125" t="s">
        <v>3</v>
      </c>
      <c r="K7" s="1" t="s">
        <v>1097</v>
      </c>
      <c r="M7" s="5">
        <v>201911</v>
      </c>
      <c r="N7" s="5">
        <f>INDEX(rrcworking[Formation Production (MCF) @ 14.65 psi],MATCH('November 2019 EDI'!F7,rrcworking[RRC ID],0))</f>
        <v>0</v>
      </c>
      <c r="O7" s="5">
        <f>INDEX(rrcworking[Lease Use (MCF)],MATCH('November 2019 EDI'!F7,rrcworking[RRC ID],0))</f>
        <v>0</v>
      </c>
      <c r="P7" s="5">
        <f>INDEX(rrcworking[Disposition Volume (MCF) @ 14.65 MCF],MATCH('November 2019 EDI'!F7,rrcworking[RRC ID],0))</f>
        <v>0</v>
      </c>
      <c r="Y7" s="5">
        <f>INDEX(rrcworking[Oil Production],MATCH('November 2019 EDI'!F7,rrcworking[RRC ID],0))</f>
        <v>0</v>
      </c>
      <c r="AA7" s="5">
        <f>INDEX(rrcworking[Sales/Dispostion],MATCH('November 2019 EDI'!F7,rrcworking[RRC ID],0))</f>
        <v>0</v>
      </c>
      <c r="AQ7" s="5">
        <f>INDEX(rrcworking[Closing Stock (Oil)],MATCH('November 2019 EDI'!F7,rrcworking[RRC ID],0))</f>
        <v>26</v>
      </c>
    </row>
    <row r="8" spans="1:250">
      <c r="A8" s="4" t="s">
        <v>1</v>
      </c>
      <c r="B8" s="1" t="s">
        <v>62</v>
      </c>
      <c r="C8" s="10" t="s">
        <v>914</v>
      </c>
      <c r="D8" s="1" t="s">
        <v>620</v>
      </c>
      <c r="E8" s="1" t="s">
        <v>59</v>
      </c>
      <c r="F8" s="1" t="s">
        <v>420</v>
      </c>
      <c r="I8" s="1" t="s">
        <v>3</v>
      </c>
      <c r="J8" s="124" t="s">
        <v>3</v>
      </c>
      <c r="K8" s="1" t="s">
        <v>1097</v>
      </c>
      <c r="M8" s="5">
        <v>201911</v>
      </c>
      <c r="N8" s="5">
        <f>INDEX(rrcworking[Formation Production (MCF) @ 14.65 psi],MATCH('November 2019 EDI'!F8,rrcworking[RRC ID],0))</f>
        <v>0</v>
      </c>
      <c r="O8" s="5">
        <f>INDEX(rrcworking[Lease Use (MCF)],MATCH('November 2019 EDI'!F8,rrcworking[RRC ID],0))</f>
        <v>0</v>
      </c>
      <c r="P8" s="5">
        <f>INDEX(rrcworking[Disposition Volume (MCF) @ 14.65 MCF],MATCH('November 2019 EDI'!F8,rrcworking[RRC ID],0))</f>
        <v>0</v>
      </c>
      <c r="Y8" s="5">
        <f>INDEX(rrcworking[Oil Production],MATCH('November 2019 EDI'!F8,rrcworking[RRC ID],0))</f>
        <v>0</v>
      </c>
      <c r="AA8" s="5">
        <f>INDEX(rrcworking[Sales/Dispostion],MATCH('November 2019 EDI'!F8,rrcworking[RRC ID],0))</f>
        <v>0</v>
      </c>
      <c r="AQ8" s="5">
        <f>INDEX(rrcworking[Closing Stock (Oil)],MATCH('November 2019 EDI'!F8,rrcworking[RRC ID],0))</f>
        <v>0</v>
      </c>
    </row>
    <row r="9" spans="1:250">
      <c r="A9" s="4" t="s">
        <v>1</v>
      </c>
      <c r="B9" s="1" t="s">
        <v>63</v>
      </c>
      <c r="C9" s="10" t="s">
        <v>914</v>
      </c>
      <c r="D9" s="1" t="s">
        <v>620</v>
      </c>
      <c r="E9" s="1" t="s">
        <v>59</v>
      </c>
      <c r="F9" s="1" t="s">
        <v>421</v>
      </c>
      <c r="I9" s="1" t="s">
        <v>3</v>
      </c>
      <c r="J9" s="125" t="s">
        <v>3</v>
      </c>
      <c r="K9" s="1" t="s">
        <v>1097</v>
      </c>
      <c r="M9" s="5">
        <v>201911</v>
      </c>
      <c r="N9" s="5">
        <f>INDEX(rrcworking[Formation Production (MCF) @ 14.65 psi],MATCH('November 2019 EDI'!F9,rrcworking[RRC ID],0))</f>
        <v>0</v>
      </c>
      <c r="O9" s="5">
        <f>INDEX(rrcworking[Lease Use (MCF)],MATCH('November 2019 EDI'!F9,rrcworking[RRC ID],0))</f>
        <v>0</v>
      </c>
      <c r="P9" s="5">
        <f>INDEX(rrcworking[Disposition Volume (MCF) @ 14.65 MCF],MATCH('November 2019 EDI'!F9,rrcworking[RRC ID],0))</f>
        <v>0</v>
      </c>
      <c r="Y9" s="5">
        <f>INDEX(rrcworking[Oil Production],MATCH('November 2019 EDI'!F9,rrcworking[RRC ID],0))</f>
        <v>0</v>
      </c>
      <c r="AA9" s="5">
        <f>INDEX(rrcworking[Sales/Dispostion],MATCH('November 2019 EDI'!F9,rrcworking[RRC ID],0))</f>
        <v>0</v>
      </c>
      <c r="AQ9" s="5">
        <f>INDEX(rrcworking[Closing Stock (Oil)],MATCH('November 2019 EDI'!F9,rrcworking[RRC ID],0))</f>
        <v>0</v>
      </c>
    </row>
    <row r="10" spans="1:250">
      <c r="A10" s="4" t="s">
        <v>1</v>
      </c>
      <c r="B10" s="1" t="s">
        <v>64</v>
      </c>
      <c r="C10" s="10" t="s">
        <v>914</v>
      </c>
      <c r="D10" s="1" t="s">
        <v>620</v>
      </c>
      <c r="E10" s="1" t="s">
        <v>59</v>
      </c>
      <c r="F10" s="1" t="s">
        <v>422</v>
      </c>
      <c r="I10" s="10" t="s">
        <v>3</v>
      </c>
      <c r="J10" s="125" t="s">
        <v>3</v>
      </c>
      <c r="K10" s="1" t="s">
        <v>1097</v>
      </c>
      <c r="M10" s="5">
        <v>201911</v>
      </c>
      <c r="N10" s="5">
        <f>INDEX(rrcworking[Formation Production (MCF) @ 14.65 psi],MATCH('November 2019 EDI'!F10,rrcworking[RRC ID],0))</f>
        <v>0</v>
      </c>
      <c r="O10" s="5">
        <f>INDEX(rrcworking[Lease Use (MCF)],MATCH('November 2019 EDI'!F10,rrcworking[RRC ID],0))</f>
        <v>0</v>
      </c>
      <c r="P10" s="5">
        <f>INDEX(rrcworking[Disposition Volume (MCF) @ 14.65 MCF],MATCH('November 2019 EDI'!F10,rrcworking[RRC ID],0))</f>
        <v>0</v>
      </c>
      <c r="Y10" s="5">
        <f>INDEX(rrcworking[Oil Production],MATCH('November 2019 EDI'!F10,rrcworking[RRC ID],0))</f>
        <v>0</v>
      </c>
      <c r="AA10" s="5">
        <f>INDEX(rrcworking[Sales/Dispostion],MATCH('November 2019 EDI'!F10,rrcworking[RRC ID],0))</f>
        <v>0</v>
      </c>
      <c r="AQ10" s="5">
        <f>INDEX(rrcworking[Closing Stock (Oil)],MATCH('November 2019 EDI'!F10,rrcworking[RRC ID],0))</f>
        <v>132</v>
      </c>
    </row>
    <row r="11" spans="1:250">
      <c r="A11" s="4" t="s">
        <v>1</v>
      </c>
      <c r="B11" s="1" t="s">
        <v>915</v>
      </c>
      <c r="C11" s="10" t="s">
        <v>914</v>
      </c>
      <c r="D11" s="1" t="s">
        <v>620</v>
      </c>
      <c r="E11" s="1" t="s">
        <v>2</v>
      </c>
      <c r="F11" s="1" t="s">
        <v>423</v>
      </c>
      <c r="I11" s="10" t="s">
        <v>3</v>
      </c>
      <c r="J11" s="125" t="s">
        <v>3</v>
      </c>
      <c r="K11" s="1" t="s">
        <v>1097</v>
      </c>
      <c r="M11" s="5">
        <v>201911</v>
      </c>
      <c r="N11" s="5">
        <f>INDEX(rrcworking[Formation Production (MCF) @ 14.65 psi],MATCH('November 2019 EDI'!F11,rrcworking[RRC ID],0))</f>
        <v>0</v>
      </c>
      <c r="O11" s="5">
        <f>INDEX(rrcworking[Lease Use (MCF)],MATCH('November 2019 EDI'!F11,rrcworking[RRC ID],0))</f>
        <v>0</v>
      </c>
      <c r="P11" s="5">
        <f>INDEX(rrcworking[Disposition Volume (MCF) @ 14.65 MCF],MATCH('November 2019 EDI'!F11,rrcworking[RRC ID],0))</f>
        <v>0</v>
      </c>
      <c r="Y11" s="5">
        <f>INDEX(rrcworking[Oil Production],MATCH('November 2019 EDI'!F11,rrcworking[RRC ID],0))</f>
        <v>526</v>
      </c>
      <c r="AA11" s="5">
        <f>INDEX(rrcworking[Sales/Dispostion],MATCH('November 2019 EDI'!F11,rrcworking[RRC ID],0))</f>
        <v>496</v>
      </c>
      <c r="AQ11" s="5">
        <f>INDEX(rrcworking[Closing Stock (Oil)],MATCH('November 2019 EDI'!F11,rrcworking[RRC ID],0))</f>
        <v>300</v>
      </c>
    </row>
    <row r="12" spans="1:250">
      <c r="A12" s="4" t="s">
        <v>1</v>
      </c>
      <c r="B12" s="1" t="s">
        <v>916</v>
      </c>
      <c r="C12" s="10" t="s">
        <v>914</v>
      </c>
      <c r="D12" s="1" t="s">
        <v>620</v>
      </c>
      <c r="E12" s="1" t="s">
        <v>59</v>
      </c>
      <c r="F12" s="1" t="s">
        <v>424</v>
      </c>
      <c r="I12" s="10" t="s">
        <v>3</v>
      </c>
      <c r="J12" s="125" t="s">
        <v>3</v>
      </c>
      <c r="K12" s="1" t="s">
        <v>1097</v>
      </c>
      <c r="M12" s="5">
        <v>201911</v>
      </c>
      <c r="N12" s="5">
        <f>INDEX(rrcworking[Formation Production (MCF) @ 14.65 psi],MATCH('November 2019 EDI'!F12,rrcworking[RRC ID],0))</f>
        <v>6</v>
      </c>
      <c r="O12" s="5">
        <f>INDEX(rrcworking[Lease Use (MCF)],MATCH('November 2019 EDI'!F12,rrcworking[RRC ID],0))</f>
        <v>0</v>
      </c>
      <c r="P12" s="5">
        <f>INDEX(rrcworking[Disposition Volume (MCF) @ 14.65 MCF],MATCH('November 2019 EDI'!F12,rrcworking[RRC ID],0))</f>
        <v>6</v>
      </c>
      <c r="Y12" s="5">
        <f>INDEX(rrcworking[Oil Production],MATCH('November 2019 EDI'!F12,rrcworking[RRC ID],0))</f>
        <v>0</v>
      </c>
      <c r="AA12" s="5">
        <f>INDEX(rrcworking[Sales/Dispostion],MATCH('November 2019 EDI'!F12,rrcworking[RRC ID],0))</f>
        <v>0</v>
      </c>
      <c r="AQ12" s="5">
        <f>INDEX(rrcworking[Closing Stock (Oil)],MATCH('November 2019 EDI'!F12,rrcworking[RRC ID],0))</f>
        <v>0</v>
      </c>
    </row>
    <row r="13" spans="1:250">
      <c r="A13" s="4" t="s">
        <v>1</v>
      </c>
      <c r="B13" s="1" t="s">
        <v>60</v>
      </c>
      <c r="C13" s="10" t="s">
        <v>914</v>
      </c>
      <c r="D13" s="1" t="s">
        <v>620</v>
      </c>
      <c r="E13" s="1" t="s">
        <v>59</v>
      </c>
      <c r="F13" s="1" t="s">
        <v>425</v>
      </c>
      <c r="I13" s="10" t="s">
        <v>3</v>
      </c>
      <c r="J13" s="125" t="s">
        <v>3</v>
      </c>
      <c r="K13" s="1" t="s">
        <v>1097</v>
      </c>
      <c r="M13" s="5">
        <v>201911</v>
      </c>
      <c r="N13" s="5">
        <f>INDEX(rrcworking[Formation Production (MCF) @ 14.65 psi],MATCH('November 2019 EDI'!F13,rrcworking[RRC ID],0))</f>
        <v>0</v>
      </c>
      <c r="O13" s="5">
        <f>INDEX(rrcworking[Lease Use (MCF)],MATCH('November 2019 EDI'!F13,rrcworking[RRC ID],0))</f>
        <v>0</v>
      </c>
      <c r="P13" s="5">
        <f>INDEX(rrcworking[Disposition Volume (MCF) @ 14.65 MCF],MATCH('November 2019 EDI'!F13,rrcworking[RRC ID],0))</f>
        <v>0</v>
      </c>
      <c r="Y13" s="5">
        <f>INDEX(rrcworking[Oil Production],MATCH('November 2019 EDI'!F13,rrcworking[RRC ID],0))</f>
        <v>0</v>
      </c>
      <c r="AA13" s="5">
        <f>INDEX(rrcworking[Sales/Dispostion],MATCH('November 2019 EDI'!F13,rrcworking[RRC ID],0))</f>
        <v>0</v>
      </c>
      <c r="AQ13" s="5">
        <f>INDEX(rrcworking[Closing Stock (Oil)],MATCH('November 2019 EDI'!F13,rrcworking[RRC ID],0))</f>
        <v>0</v>
      </c>
    </row>
    <row r="14" spans="1:250">
      <c r="A14" s="4" t="s">
        <v>1</v>
      </c>
      <c r="B14" s="1" t="s">
        <v>917</v>
      </c>
      <c r="C14" s="10" t="s">
        <v>914</v>
      </c>
      <c r="D14" s="1" t="s">
        <v>620</v>
      </c>
      <c r="E14" s="1" t="s">
        <v>2</v>
      </c>
      <c r="F14" s="1" t="s">
        <v>426</v>
      </c>
      <c r="I14" s="10" t="s">
        <v>3</v>
      </c>
      <c r="J14" s="125" t="s">
        <v>3</v>
      </c>
      <c r="K14" s="1" t="s">
        <v>1097</v>
      </c>
      <c r="M14" s="5">
        <v>201911</v>
      </c>
      <c r="N14" s="5">
        <f>INDEX(rrcworking[Formation Production (MCF) @ 14.65 psi],MATCH('November 2019 EDI'!F14,rrcworking[RRC ID],0))</f>
        <v>0</v>
      </c>
      <c r="O14" s="5">
        <f>INDEX(rrcworking[Lease Use (MCF)],MATCH('November 2019 EDI'!F14,rrcworking[RRC ID],0))</f>
        <v>0</v>
      </c>
      <c r="P14" s="5">
        <f>INDEX(rrcworking[Disposition Volume (MCF) @ 14.65 MCF],MATCH('November 2019 EDI'!F14,rrcworking[RRC ID],0))</f>
        <v>0</v>
      </c>
      <c r="Y14" s="5">
        <f>INDEX(rrcworking[Oil Production],MATCH('November 2019 EDI'!F14,rrcworking[RRC ID],0))</f>
        <v>17</v>
      </c>
      <c r="AA14" s="5">
        <f>INDEX(rrcworking[Sales/Dispostion],MATCH('November 2019 EDI'!F14,rrcworking[RRC ID],0))</f>
        <v>0</v>
      </c>
      <c r="AQ14" s="5">
        <f>INDEX(rrcworking[Closing Stock (Oil)],MATCH('November 2019 EDI'!F14,rrcworking[RRC ID],0))</f>
        <v>176</v>
      </c>
    </row>
    <row r="15" spans="1:250">
      <c r="A15" s="4" t="s">
        <v>1</v>
      </c>
      <c r="B15" s="1" t="s">
        <v>918</v>
      </c>
      <c r="C15" s="10" t="s">
        <v>914</v>
      </c>
      <c r="D15" s="1" t="s">
        <v>620</v>
      </c>
      <c r="E15" s="1" t="s">
        <v>2</v>
      </c>
      <c r="F15" s="1" t="s">
        <v>427</v>
      </c>
      <c r="I15" s="10" t="s">
        <v>3</v>
      </c>
      <c r="J15" s="125" t="s">
        <v>3</v>
      </c>
      <c r="K15" s="1" t="s">
        <v>1097</v>
      </c>
      <c r="M15" s="5">
        <v>201911</v>
      </c>
      <c r="N15" s="5">
        <f>INDEX(rrcworking[Formation Production (MCF) @ 14.65 psi],MATCH('November 2019 EDI'!F15,rrcworking[RRC ID],0))</f>
        <v>0</v>
      </c>
      <c r="O15" s="5">
        <f>INDEX(rrcworking[Lease Use (MCF)],MATCH('November 2019 EDI'!F15,rrcworking[RRC ID],0))</f>
        <v>0</v>
      </c>
      <c r="P15" s="5">
        <f>INDEX(rrcworking[Disposition Volume (MCF) @ 14.65 MCF],MATCH('November 2019 EDI'!F15,rrcworking[RRC ID],0))</f>
        <v>0</v>
      </c>
      <c r="Y15" s="5">
        <f>INDEX(rrcworking[Oil Production],MATCH('November 2019 EDI'!F15,rrcworking[RRC ID],0))</f>
        <v>23</v>
      </c>
      <c r="AA15" s="5">
        <f>INDEX(rrcworking[Sales/Dispostion],MATCH('November 2019 EDI'!F15,rrcworking[RRC ID],0))</f>
        <v>0</v>
      </c>
      <c r="AQ15" s="5">
        <f>INDEX(rrcworking[Closing Stock (Oil)],MATCH('November 2019 EDI'!F15,rrcworking[RRC ID],0))</f>
        <v>66</v>
      </c>
    </row>
    <row r="16" spans="1:250">
      <c r="A16" s="4" t="s">
        <v>1</v>
      </c>
      <c r="B16" s="1" t="s">
        <v>919</v>
      </c>
      <c r="C16" s="10" t="s">
        <v>914</v>
      </c>
      <c r="D16" s="1" t="s">
        <v>620</v>
      </c>
      <c r="E16" s="1" t="s">
        <v>2</v>
      </c>
      <c r="F16" s="1" t="s">
        <v>428</v>
      </c>
      <c r="I16" s="10" t="s">
        <v>3</v>
      </c>
      <c r="J16" s="125" t="s">
        <v>3</v>
      </c>
      <c r="K16" s="1" t="s">
        <v>1097</v>
      </c>
      <c r="M16" s="5">
        <v>201911</v>
      </c>
      <c r="N16" s="5">
        <f>INDEX(rrcworking[Formation Production (MCF) @ 14.65 psi],MATCH('November 2019 EDI'!F16,rrcworking[RRC ID],0))</f>
        <v>0</v>
      </c>
      <c r="O16" s="5">
        <f>INDEX(rrcworking[Lease Use (MCF)],MATCH('November 2019 EDI'!F16,rrcworking[RRC ID],0))</f>
        <v>0</v>
      </c>
      <c r="P16" s="5">
        <f>INDEX(rrcworking[Disposition Volume (MCF) @ 14.65 MCF],MATCH('November 2019 EDI'!F16,rrcworking[RRC ID],0))</f>
        <v>0</v>
      </c>
      <c r="Y16" s="5">
        <f>INDEX(rrcworking[Oil Production],MATCH('November 2019 EDI'!F16,rrcworking[RRC ID],0))</f>
        <v>0</v>
      </c>
      <c r="AA16" s="5">
        <f>INDEX(rrcworking[Sales/Dispostion],MATCH('November 2019 EDI'!F16,rrcworking[RRC ID],0))</f>
        <v>0</v>
      </c>
      <c r="AQ16" s="5">
        <f>INDEX(rrcworking[Closing Stock (Oil)],MATCH('November 2019 EDI'!F16,rrcworking[RRC ID],0))</f>
        <v>0</v>
      </c>
    </row>
    <row r="17" spans="1:43">
      <c r="A17" s="4" t="s">
        <v>1</v>
      </c>
      <c r="B17" s="1" t="s">
        <v>920</v>
      </c>
      <c r="C17" s="10" t="s">
        <v>914</v>
      </c>
      <c r="D17" s="1" t="s">
        <v>620</v>
      </c>
      <c r="E17" s="1" t="s">
        <v>59</v>
      </c>
      <c r="F17" s="1" t="s">
        <v>429</v>
      </c>
      <c r="I17" s="10" t="s">
        <v>3</v>
      </c>
      <c r="J17" s="125" t="s">
        <v>3</v>
      </c>
      <c r="K17" s="1" t="s">
        <v>1097</v>
      </c>
      <c r="M17" s="5">
        <v>201911</v>
      </c>
      <c r="N17" s="5">
        <f>INDEX(rrcworking[Formation Production (MCF) @ 14.65 psi],MATCH('November 2019 EDI'!F17,rrcworking[RRC ID],0))</f>
        <v>0</v>
      </c>
      <c r="O17" s="5">
        <f>INDEX(rrcworking[Lease Use (MCF)],MATCH('November 2019 EDI'!F17,rrcworking[RRC ID],0))</f>
        <v>0</v>
      </c>
      <c r="P17" s="5">
        <f>INDEX(rrcworking[Disposition Volume (MCF) @ 14.65 MCF],MATCH('November 2019 EDI'!F17,rrcworking[RRC ID],0))</f>
        <v>0</v>
      </c>
      <c r="Y17" s="5">
        <f>INDEX(rrcworking[Oil Production],MATCH('November 2019 EDI'!F17,rrcworking[RRC ID],0))</f>
        <v>0</v>
      </c>
      <c r="AA17" s="5">
        <f>INDEX(rrcworking[Sales/Dispostion],MATCH('November 2019 EDI'!F17,rrcworking[RRC ID],0))</f>
        <v>0</v>
      </c>
      <c r="AQ17" s="5">
        <f>INDEX(rrcworking[Closing Stock (Oil)],MATCH('November 2019 EDI'!F17,rrcworking[RRC ID],0))</f>
        <v>116</v>
      </c>
    </row>
    <row r="18" spans="1:43">
      <c r="A18" s="4" t="s">
        <v>1</v>
      </c>
      <c r="B18" s="1" t="s">
        <v>921</v>
      </c>
      <c r="C18" s="10" t="s">
        <v>914</v>
      </c>
      <c r="D18" s="1" t="s">
        <v>620</v>
      </c>
      <c r="E18" s="1" t="s">
        <v>59</v>
      </c>
      <c r="F18" s="1" t="s">
        <v>430</v>
      </c>
      <c r="I18" s="10" t="s">
        <v>3</v>
      </c>
      <c r="J18" s="125" t="s">
        <v>3</v>
      </c>
      <c r="K18" s="1" t="s">
        <v>1097</v>
      </c>
      <c r="M18" s="5">
        <v>201911</v>
      </c>
      <c r="N18" s="5">
        <f>INDEX(rrcworking[Formation Production (MCF) @ 14.65 psi],MATCH('November 2019 EDI'!F18,rrcworking[RRC ID],0))</f>
        <v>49577</v>
      </c>
      <c r="O18" s="5">
        <f>INDEX(rrcworking[Lease Use (MCF)],MATCH('November 2019 EDI'!F18,rrcworking[RRC ID],0))</f>
        <v>0</v>
      </c>
      <c r="P18" s="5">
        <f>INDEX(rrcworking[Disposition Volume (MCF) @ 14.65 MCF],MATCH('November 2019 EDI'!F18,rrcworking[RRC ID],0))</f>
        <v>49577</v>
      </c>
      <c r="Y18" s="5">
        <f>INDEX(rrcworking[Oil Production],MATCH('November 2019 EDI'!F18,rrcworking[RRC ID],0))</f>
        <v>869</v>
      </c>
      <c r="AA18" s="5">
        <f>INDEX(rrcworking[Sales/Dispostion],MATCH('November 2019 EDI'!F18,rrcworking[RRC ID],0))</f>
        <v>766</v>
      </c>
      <c r="AQ18" s="5">
        <f>INDEX(rrcworking[Closing Stock (Oil)],MATCH('November 2019 EDI'!F18,rrcworking[RRC ID],0))</f>
        <v>334</v>
      </c>
    </row>
    <row r="19" spans="1:43">
      <c r="A19" s="4" t="s">
        <v>1</v>
      </c>
      <c r="B19" s="1" t="s">
        <v>922</v>
      </c>
      <c r="C19" s="10" t="s">
        <v>914</v>
      </c>
      <c r="D19" s="1" t="s">
        <v>620</v>
      </c>
      <c r="E19" s="1" t="s">
        <v>2</v>
      </c>
      <c r="F19" s="1" t="s">
        <v>431</v>
      </c>
      <c r="I19" s="10" t="s">
        <v>3</v>
      </c>
      <c r="J19" s="125" t="s">
        <v>3</v>
      </c>
      <c r="K19" s="1" t="s">
        <v>1097</v>
      </c>
      <c r="M19" s="5">
        <v>201911</v>
      </c>
      <c r="N19" s="5">
        <f>INDEX(rrcworking[Formation Production (MCF) @ 14.65 psi],MATCH('November 2019 EDI'!F19,rrcworking[RRC ID],0))</f>
        <v>0</v>
      </c>
      <c r="O19" s="5">
        <f>INDEX(rrcworking[Lease Use (MCF)],MATCH('November 2019 EDI'!F19,rrcworking[RRC ID],0))</f>
        <v>0</v>
      </c>
      <c r="P19" s="5">
        <f>INDEX(rrcworking[Disposition Volume (MCF) @ 14.65 MCF],MATCH('November 2019 EDI'!F19,rrcworking[RRC ID],0))</f>
        <v>0</v>
      </c>
      <c r="Y19" s="5">
        <f>INDEX(rrcworking[Oil Production],MATCH('November 2019 EDI'!F19,rrcworking[RRC ID],0))</f>
        <v>161</v>
      </c>
      <c r="AA19" s="5">
        <f>INDEX(rrcworking[Sales/Dispostion],MATCH('November 2019 EDI'!F19,rrcworking[RRC ID],0))</f>
        <v>169</v>
      </c>
      <c r="AQ19" s="5">
        <f>INDEX(rrcworking[Closing Stock (Oil)],MATCH('November 2019 EDI'!F19,rrcworking[RRC ID],0))</f>
        <v>121</v>
      </c>
    </row>
    <row r="20" spans="1:43">
      <c r="A20" s="4" t="s">
        <v>1</v>
      </c>
      <c r="B20" s="1" t="s">
        <v>923</v>
      </c>
      <c r="C20" s="10" t="s">
        <v>914</v>
      </c>
      <c r="D20" s="1" t="s">
        <v>620</v>
      </c>
      <c r="E20" s="1" t="s">
        <v>59</v>
      </c>
      <c r="F20" s="1" t="s">
        <v>432</v>
      </c>
      <c r="I20" s="10" t="s">
        <v>3</v>
      </c>
      <c r="J20" s="125" t="s">
        <v>3</v>
      </c>
      <c r="K20" s="1" t="s">
        <v>1097</v>
      </c>
      <c r="M20" s="5">
        <v>201911</v>
      </c>
      <c r="N20" s="5">
        <f>INDEX(rrcworking[Formation Production (MCF) @ 14.65 psi],MATCH('November 2019 EDI'!F20,rrcworking[RRC ID],0))</f>
        <v>0</v>
      </c>
      <c r="O20" s="5">
        <f>INDEX(rrcworking[Lease Use (MCF)],MATCH('November 2019 EDI'!F20,rrcworking[RRC ID],0))</f>
        <v>0</v>
      </c>
      <c r="P20" s="5">
        <f>INDEX(rrcworking[Disposition Volume (MCF) @ 14.65 MCF],MATCH('November 2019 EDI'!F20,rrcworking[RRC ID],0))</f>
        <v>0</v>
      </c>
      <c r="Y20" s="5">
        <f>INDEX(rrcworking[Oil Production],MATCH('November 2019 EDI'!F20,rrcworking[RRC ID],0))</f>
        <v>0</v>
      </c>
      <c r="AA20" s="5">
        <f>INDEX(rrcworking[Sales/Dispostion],MATCH('November 2019 EDI'!F20,rrcworking[RRC ID],0))</f>
        <v>0</v>
      </c>
      <c r="AQ20" s="5">
        <f>INDEX(rrcworking[Closing Stock (Oil)],MATCH('November 2019 EDI'!F20,rrcworking[RRC ID],0))</f>
        <v>240</v>
      </c>
    </row>
    <row r="21" spans="1:43">
      <c r="A21" s="4" t="s">
        <v>1</v>
      </c>
      <c r="B21" s="1" t="s">
        <v>924</v>
      </c>
      <c r="C21" s="10" t="s">
        <v>914</v>
      </c>
      <c r="D21" s="1" t="s">
        <v>620</v>
      </c>
      <c r="E21" s="1" t="s">
        <v>59</v>
      </c>
      <c r="F21" s="1" t="s">
        <v>433</v>
      </c>
      <c r="I21" s="10" t="s">
        <v>3</v>
      </c>
      <c r="J21" s="125" t="s">
        <v>3</v>
      </c>
      <c r="K21" s="1" t="s">
        <v>1097</v>
      </c>
      <c r="M21" s="5">
        <v>201911</v>
      </c>
      <c r="N21" s="5">
        <f>INDEX(rrcworking[Formation Production (MCF) @ 14.65 psi],MATCH('November 2019 EDI'!F21,rrcworking[RRC ID],0))</f>
        <v>0</v>
      </c>
      <c r="O21" s="5">
        <f>INDEX(rrcworking[Lease Use (MCF)],MATCH('November 2019 EDI'!F21,rrcworking[RRC ID],0))</f>
        <v>0</v>
      </c>
      <c r="P21" s="5">
        <f>INDEX(rrcworking[Disposition Volume (MCF) @ 14.65 MCF],MATCH('November 2019 EDI'!F21,rrcworking[RRC ID],0))</f>
        <v>0</v>
      </c>
      <c r="Y21" s="5">
        <f>INDEX(rrcworking[Oil Production],MATCH('November 2019 EDI'!F21,rrcworking[RRC ID],0))</f>
        <v>0</v>
      </c>
      <c r="AA21" s="5">
        <f>INDEX(rrcworking[Sales/Dispostion],MATCH('November 2019 EDI'!F21,rrcworking[RRC ID],0))</f>
        <v>0</v>
      </c>
      <c r="AQ21" s="5">
        <f>INDEX(rrcworking[Closing Stock (Oil)],MATCH('November 2019 EDI'!F21,rrcworking[RRC ID],0))</f>
        <v>0</v>
      </c>
    </row>
    <row r="22" spans="1:43">
      <c r="A22" s="4" t="s">
        <v>1</v>
      </c>
      <c r="B22" s="1" t="s">
        <v>925</v>
      </c>
      <c r="C22" s="10" t="s">
        <v>914</v>
      </c>
      <c r="D22" s="1" t="s">
        <v>620</v>
      </c>
      <c r="E22" s="1" t="s">
        <v>59</v>
      </c>
      <c r="F22" s="1" t="s">
        <v>434</v>
      </c>
      <c r="I22" s="10" t="s">
        <v>3</v>
      </c>
      <c r="J22" s="125" t="s">
        <v>3</v>
      </c>
      <c r="K22" s="1" t="s">
        <v>1097</v>
      </c>
      <c r="M22" s="5">
        <v>201911</v>
      </c>
      <c r="N22" s="5">
        <f>INDEX(rrcworking[Formation Production (MCF) @ 14.65 psi],MATCH('November 2019 EDI'!F22,rrcworking[RRC ID],0))</f>
        <v>0</v>
      </c>
      <c r="O22" s="5">
        <f>INDEX(rrcworking[Lease Use (MCF)],MATCH('November 2019 EDI'!F22,rrcworking[RRC ID],0))</f>
        <v>0</v>
      </c>
      <c r="P22" s="5">
        <f>INDEX(rrcworking[Disposition Volume (MCF) @ 14.65 MCF],MATCH('November 2019 EDI'!F22,rrcworking[RRC ID],0))</f>
        <v>0</v>
      </c>
      <c r="Y22" s="5">
        <f>INDEX(rrcworking[Oil Production],MATCH('November 2019 EDI'!F22,rrcworking[RRC ID],0))</f>
        <v>0</v>
      </c>
      <c r="AA22" s="5">
        <f>INDEX(rrcworking[Sales/Dispostion],MATCH('November 2019 EDI'!F22,rrcworking[RRC ID],0))</f>
        <v>0</v>
      </c>
      <c r="AQ22" s="5">
        <f>INDEX(rrcworking[Closing Stock (Oil)],MATCH('November 2019 EDI'!F22,rrcworking[RRC ID],0))</f>
        <v>0</v>
      </c>
    </row>
    <row r="23" spans="1:43">
      <c r="A23" s="4" t="s">
        <v>1</v>
      </c>
      <c r="B23" s="1" t="s">
        <v>926</v>
      </c>
      <c r="C23" s="10" t="s">
        <v>914</v>
      </c>
      <c r="D23" s="1" t="s">
        <v>620</v>
      </c>
      <c r="E23" s="1" t="s">
        <v>59</v>
      </c>
      <c r="F23" s="1" t="s">
        <v>435</v>
      </c>
      <c r="I23" s="10" t="s">
        <v>3</v>
      </c>
      <c r="J23" s="125" t="s">
        <v>3</v>
      </c>
      <c r="K23" s="1">
        <v>5048</v>
      </c>
      <c r="M23" s="5">
        <v>201911</v>
      </c>
      <c r="N23" s="5">
        <f>INDEX(rrcworking[Formation Production (MCF) @ 14.65 psi],MATCH('November 2019 EDI'!F23,rrcworking[RRC ID],0))</f>
        <v>2179</v>
      </c>
      <c r="O23" s="5">
        <f>INDEX(rrcworking[Lease Use (MCF)],MATCH('November 2019 EDI'!F23,rrcworking[RRC ID],0))</f>
        <v>0</v>
      </c>
      <c r="P23" s="5">
        <f>INDEX(rrcworking[Disposition Volume (MCF) @ 14.65 MCF],MATCH('November 2019 EDI'!F23,rrcworking[RRC ID],0))</f>
        <v>2179</v>
      </c>
      <c r="Y23" s="5">
        <f>INDEX(rrcworking[Oil Production],MATCH('November 2019 EDI'!F23,rrcworking[RRC ID],0))</f>
        <v>49</v>
      </c>
      <c r="AA23" s="5">
        <f>INDEX(rrcworking[Sales/Dispostion],MATCH('November 2019 EDI'!F23,rrcworking[RRC ID],0))</f>
        <v>0</v>
      </c>
      <c r="AQ23" s="5">
        <f>INDEX(rrcworking[Closing Stock (Oil)],MATCH('November 2019 EDI'!F23,rrcworking[RRC ID],0))</f>
        <v>154</v>
      </c>
    </row>
    <row r="24" spans="1:43">
      <c r="A24" s="4" t="s">
        <v>1</v>
      </c>
      <c r="B24" s="1" t="s">
        <v>927</v>
      </c>
      <c r="C24" s="10" t="s">
        <v>914</v>
      </c>
      <c r="D24" s="1" t="s">
        <v>620</v>
      </c>
      <c r="E24" s="1" t="s">
        <v>59</v>
      </c>
      <c r="F24" s="1" t="s">
        <v>436</v>
      </c>
      <c r="I24" s="10" t="s">
        <v>3</v>
      </c>
      <c r="J24" s="125" t="s">
        <v>3</v>
      </c>
      <c r="K24" s="1">
        <v>5048</v>
      </c>
      <c r="M24" s="5">
        <v>201911</v>
      </c>
      <c r="N24" s="5">
        <f>INDEX(rrcworking[Formation Production (MCF) @ 14.65 psi],MATCH('November 2019 EDI'!F24,rrcworking[RRC ID],0))</f>
        <v>0</v>
      </c>
      <c r="O24" s="5">
        <f>INDEX(rrcworking[Lease Use (MCF)],MATCH('November 2019 EDI'!F24,rrcworking[RRC ID],0))</f>
        <v>0</v>
      </c>
      <c r="P24" s="5">
        <f>INDEX(rrcworking[Disposition Volume (MCF) @ 14.65 MCF],MATCH('November 2019 EDI'!F24,rrcworking[RRC ID],0))</f>
        <v>0</v>
      </c>
      <c r="Y24" s="5">
        <f>INDEX(rrcworking[Oil Production],MATCH('November 2019 EDI'!F24,rrcworking[RRC ID],0))</f>
        <v>0</v>
      </c>
      <c r="AA24" s="5">
        <f>INDEX(rrcworking[Sales/Dispostion],MATCH('November 2019 EDI'!F24,rrcworking[RRC ID],0))</f>
        <v>0</v>
      </c>
      <c r="AQ24" s="5">
        <f>INDEX(rrcworking[Closing Stock (Oil)],MATCH('November 2019 EDI'!F24,rrcworking[RRC ID],0))</f>
        <v>0</v>
      </c>
    </row>
    <row r="25" spans="1:43">
      <c r="A25" s="4" t="s">
        <v>1</v>
      </c>
      <c r="B25" s="1" t="s">
        <v>928</v>
      </c>
      <c r="C25" s="10" t="s">
        <v>914</v>
      </c>
      <c r="D25" s="1" t="s">
        <v>620</v>
      </c>
      <c r="E25" s="1" t="s">
        <v>59</v>
      </c>
      <c r="F25" s="1" t="s">
        <v>437</v>
      </c>
      <c r="I25" s="10" t="s">
        <v>3</v>
      </c>
      <c r="J25" s="125" t="s">
        <v>3</v>
      </c>
      <c r="K25" s="1" t="s">
        <v>1097</v>
      </c>
      <c r="M25" s="5">
        <v>201911</v>
      </c>
      <c r="N25" s="5">
        <f>INDEX(rrcworking[Formation Production (MCF) @ 14.65 psi],MATCH('November 2019 EDI'!F25,rrcworking[RRC ID],0))</f>
        <v>0</v>
      </c>
      <c r="O25" s="5">
        <f>INDEX(rrcworking[Lease Use (MCF)],MATCH('November 2019 EDI'!F25,rrcworking[RRC ID],0))</f>
        <v>0</v>
      </c>
      <c r="P25" s="5">
        <f>INDEX(rrcworking[Disposition Volume (MCF) @ 14.65 MCF],MATCH('November 2019 EDI'!F25,rrcworking[RRC ID],0))</f>
        <v>0</v>
      </c>
      <c r="Y25" s="5">
        <f>INDEX(rrcworking[Oil Production],MATCH('November 2019 EDI'!F25,rrcworking[RRC ID],0))</f>
        <v>0</v>
      </c>
      <c r="AA25" s="5">
        <f>INDEX(rrcworking[Sales/Dispostion],MATCH('November 2019 EDI'!F25,rrcworking[RRC ID],0))</f>
        <v>0</v>
      </c>
      <c r="AQ25" s="5">
        <f>INDEX(rrcworking[Closing Stock (Oil)],MATCH('November 2019 EDI'!F25,rrcworking[RRC ID],0))</f>
        <v>80</v>
      </c>
    </row>
    <row r="26" spans="1:43">
      <c r="A26" s="4" t="s">
        <v>1</v>
      </c>
      <c r="B26" s="1" t="s">
        <v>929</v>
      </c>
      <c r="C26" s="10" t="s">
        <v>914</v>
      </c>
      <c r="D26" s="1" t="s">
        <v>620</v>
      </c>
      <c r="E26" s="1" t="s">
        <v>59</v>
      </c>
      <c r="F26" s="1" t="s">
        <v>438</v>
      </c>
      <c r="I26" s="10" t="s">
        <v>3</v>
      </c>
      <c r="J26" s="125" t="s">
        <v>3</v>
      </c>
      <c r="K26" s="1">
        <v>5113</v>
      </c>
      <c r="M26" s="5">
        <v>201911</v>
      </c>
      <c r="N26" s="5">
        <f>INDEX(rrcworking[Formation Production (MCF) @ 14.65 psi],MATCH('November 2019 EDI'!F26,rrcworking[RRC ID],0))</f>
        <v>0</v>
      </c>
      <c r="O26" s="5">
        <f>INDEX(rrcworking[Lease Use (MCF)],MATCH('November 2019 EDI'!F26,rrcworking[RRC ID],0))</f>
        <v>0</v>
      </c>
      <c r="P26" s="5">
        <f>INDEX(rrcworking[Disposition Volume (MCF) @ 14.65 MCF],MATCH('November 2019 EDI'!F26,rrcworking[RRC ID],0))</f>
        <v>0</v>
      </c>
      <c r="Y26" s="5">
        <f>INDEX(rrcworking[Oil Production],MATCH('November 2019 EDI'!F26,rrcworking[RRC ID],0))</f>
        <v>0</v>
      </c>
      <c r="AA26" s="5">
        <f>INDEX(rrcworking[Sales/Dispostion],MATCH('November 2019 EDI'!F26,rrcworking[RRC ID],0))</f>
        <v>0</v>
      </c>
      <c r="AQ26" s="5">
        <f>INDEX(rrcworking[Closing Stock (Oil)],MATCH('November 2019 EDI'!F26,rrcworking[RRC ID],0))</f>
        <v>84</v>
      </c>
    </row>
    <row r="27" spans="1:43">
      <c r="A27" s="4" t="s">
        <v>1</v>
      </c>
      <c r="B27" s="1" t="s">
        <v>930</v>
      </c>
      <c r="C27" s="10" t="s">
        <v>914</v>
      </c>
      <c r="D27" s="1" t="s">
        <v>620</v>
      </c>
      <c r="E27" s="1" t="s">
        <v>59</v>
      </c>
      <c r="F27" s="1" t="s">
        <v>439</v>
      </c>
      <c r="I27" s="10" t="s">
        <v>3</v>
      </c>
      <c r="J27" s="125" t="s">
        <v>3</v>
      </c>
      <c r="K27" s="1">
        <v>5113</v>
      </c>
      <c r="M27" s="5">
        <v>201911</v>
      </c>
      <c r="N27" s="5">
        <f>INDEX(rrcworking[Formation Production (MCF) @ 14.65 psi],MATCH('November 2019 EDI'!F27,rrcworking[RRC ID],0))</f>
        <v>0</v>
      </c>
      <c r="O27" s="5">
        <f>INDEX(rrcworking[Lease Use (MCF)],MATCH('November 2019 EDI'!F27,rrcworking[RRC ID],0))</f>
        <v>0</v>
      </c>
      <c r="P27" s="5">
        <f>INDEX(rrcworking[Disposition Volume (MCF) @ 14.65 MCF],MATCH('November 2019 EDI'!F27,rrcworking[RRC ID],0))</f>
        <v>0</v>
      </c>
      <c r="Y27" s="5">
        <f>INDEX(rrcworking[Oil Production],MATCH('November 2019 EDI'!F27,rrcworking[RRC ID],0))</f>
        <v>0</v>
      </c>
      <c r="AA27" s="5">
        <f>INDEX(rrcworking[Sales/Dispostion],MATCH('November 2019 EDI'!F27,rrcworking[RRC ID],0))</f>
        <v>0</v>
      </c>
      <c r="AQ27" s="5">
        <f>INDEX(rrcworking[Closing Stock (Oil)],MATCH('November 2019 EDI'!F27,rrcworking[RRC ID],0))</f>
        <v>0</v>
      </c>
    </row>
    <row r="28" spans="1:43">
      <c r="A28" s="4" t="s">
        <v>1</v>
      </c>
      <c r="B28" s="1" t="s">
        <v>931</v>
      </c>
      <c r="C28" s="10" t="s">
        <v>914</v>
      </c>
      <c r="D28" s="1" t="s">
        <v>620</v>
      </c>
      <c r="E28" s="1" t="s">
        <v>2</v>
      </c>
      <c r="F28" s="1" t="s">
        <v>440</v>
      </c>
      <c r="I28" s="10" t="s">
        <v>3</v>
      </c>
      <c r="J28" s="125" t="s">
        <v>3</v>
      </c>
      <c r="K28" s="1" t="s">
        <v>1097</v>
      </c>
      <c r="M28" s="5">
        <v>201911</v>
      </c>
      <c r="N28" s="5">
        <f>INDEX(rrcworking[Formation Production (MCF) @ 14.65 psi],MATCH('November 2019 EDI'!F28,rrcworking[RRC ID],0))</f>
        <v>0</v>
      </c>
      <c r="O28" s="5">
        <f>INDEX(rrcworking[Lease Use (MCF)],MATCH('November 2019 EDI'!F28,rrcworking[RRC ID],0))</f>
        <v>0</v>
      </c>
      <c r="P28" s="5">
        <f>INDEX(rrcworking[Disposition Volume (MCF) @ 14.65 MCF],MATCH('November 2019 EDI'!F28,rrcworking[RRC ID],0))</f>
        <v>0</v>
      </c>
      <c r="Y28" s="5">
        <f>INDEX(rrcworking[Oil Production],MATCH('November 2019 EDI'!F28,rrcworking[RRC ID],0))</f>
        <v>0</v>
      </c>
      <c r="AA28" s="5">
        <f>INDEX(rrcworking[Sales/Dispostion],MATCH('November 2019 EDI'!F28,rrcworking[RRC ID],0))</f>
        <v>0</v>
      </c>
      <c r="AQ28" s="5">
        <f>INDEX(rrcworking[Closing Stock (Oil)],MATCH('November 2019 EDI'!F28,rrcworking[RRC ID],0))</f>
        <v>0</v>
      </c>
    </row>
    <row r="29" spans="1:43">
      <c r="A29" s="4" t="s">
        <v>1</v>
      </c>
      <c r="B29" s="1" t="s">
        <v>932</v>
      </c>
      <c r="C29" s="10" t="s">
        <v>914</v>
      </c>
      <c r="D29" s="1" t="s">
        <v>620</v>
      </c>
      <c r="E29" s="1" t="s">
        <v>2</v>
      </c>
      <c r="F29" s="1" t="s">
        <v>441</v>
      </c>
      <c r="I29" s="10" t="s">
        <v>3</v>
      </c>
      <c r="J29" s="125" t="s">
        <v>3</v>
      </c>
      <c r="K29" s="1" t="s">
        <v>1097</v>
      </c>
      <c r="M29" s="5">
        <v>201911</v>
      </c>
      <c r="N29" s="5">
        <f>INDEX(rrcworking[Formation Production (MCF) @ 14.65 psi],MATCH('November 2019 EDI'!F29,rrcworking[RRC ID],0))</f>
        <v>0</v>
      </c>
      <c r="O29" s="5">
        <f>INDEX(rrcworking[Lease Use (MCF)],MATCH('November 2019 EDI'!F29,rrcworking[RRC ID],0))</f>
        <v>0</v>
      </c>
      <c r="P29" s="5">
        <f>INDEX(rrcworking[Disposition Volume (MCF) @ 14.65 MCF],MATCH('November 2019 EDI'!F29,rrcworking[RRC ID],0))</f>
        <v>0</v>
      </c>
      <c r="Y29" s="5">
        <f>INDEX(rrcworking[Oil Production],MATCH('November 2019 EDI'!F29,rrcworking[RRC ID],0))</f>
        <v>0</v>
      </c>
      <c r="AA29" s="5">
        <f>INDEX(rrcworking[Sales/Dispostion],MATCH('November 2019 EDI'!F29,rrcworking[RRC ID],0))</f>
        <v>0</v>
      </c>
      <c r="AQ29" s="5">
        <f>INDEX(rrcworking[Closing Stock (Oil)],MATCH('November 2019 EDI'!F29,rrcworking[RRC ID],0))</f>
        <v>0</v>
      </c>
    </row>
    <row r="30" spans="1:43">
      <c r="A30" s="4" t="s">
        <v>1</v>
      </c>
      <c r="B30" s="1" t="s">
        <v>933</v>
      </c>
      <c r="C30" s="10" t="s">
        <v>914</v>
      </c>
      <c r="D30" s="1" t="s">
        <v>620</v>
      </c>
      <c r="E30" s="1" t="s">
        <v>2</v>
      </c>
      <c r="F30" s="1" t="s">
        <v>442</v>
      </c>
      <c r="I30" s="10" t="s">
        <v>3</v>
      </c>
      <c r="J30" s="125" t="s">
        <v>3</v>
      </c>
      <c r="K30" s="1" t="s">
        <v>1097</v>
      </c>
      <c r="M30" s="5">
        <v>201911</v>
      </c>
      <c r="N30" s="5">
        <f>INDEX(rrcworking[Formation Production (MCF) @ 14.65 psi],MATCH('November 2019 EDI'!F30,rrcworking[RRC ID],0))</f>
        <v>0</v>
      </c>
      <c r="O30" s="5">
        <f>INDEX(rrcworking[Lease Use (MCF)],MATCH('November 2019 EDI'!F30,rrcworking[RRC ID],0))</f>
        <v>0</v>
      </c>
      <c r="P30" s="5">
        <f>INDEX(rrcworking[Disposition Volume (MCF) @ 14.65 MCF],MATCH('November 2019 EDI'!F30,rrcworking[RRC ID],0))</f>
        <v>0</v>
      </c>
      <c r="Y30" s="5">
        <f>INDEX(rrcworking[Oil Production],MATCH('November 2019 EDI'!F30,rrcworking[RRC ID],0))</f>
        <v>0</v>
      </c>
      <c r="AA30" s="5">
        <f>INDEX(rrcworking[Sales/Dispostion],MATCH('November 2019 EDI'!F30,rrcworking[RRC ID],0))</f>
        <v>0</v>
      </c>
      <c r="AQ30" s="5">
        <f>INDEX(rrcworking[Closing Stock (Oil)],MATCH('November 2019 EDI'!F30,rrcworking[RRC ID],0))</f>
        <v>0</v>
      </c>
    </row>
    <row r="31" spans="1:43">
      <c r="A31" s="4" t="s">
        <v>1</v>
      </c>
      <c r="B31" s="1" t="s">
        <v>934</v>
      </c>
      <c r="C31" s="10" t="s">
        <v>914</v>
      </c>
      <c r="D31" s="1" t="s">
        <v>620</v>
      </c>
      <c r="E31" s="1" t="s">
        <v>2</v>
      </c>
      <c r="F31" s="1" t="s">
        <v>443</v>
      </c>
      <c r="I31" s="10" t="s">
        <v>3</v>
      </c>
      <c r="J31" s="125" t="s">
        <v>3</v>
      </c>
      <c r="K31" s="1" t="s">
        <v>1097</v>
      </c>
      <c r="M31" s="5">
        <v>201911</v>
      </c>
      <c r="N31" s="5">
        <f>INDEX(rrcworking[Formation Production (MCF) @ 14.65 psi],MATCH('November 2019 EDI'!F31,rrcworking[RRC ID],0))</f>
        <v>0</v>
      </c>
      <c r="O31" s="5">
        <f>INDEX(rrcworking[Lease Use (MCF)],MATCH('November 2019 EDI'!F31,rrcworking[RRC ID],0))</f>
        <v>0</v>
      </c>
      <c r="P31" s="5">
        <f>INDEX(rrcworking[Disposition Volume (MCF) @ 14.65 MCF],MATCH('November 2019 EDI'!F31,rrcworking[RRC ID],0))</f>
        <v>0</v>
      </c>
      <c r="Y31" s="5">
        <f>INDEX(rrcworking[Oil Production],MATCH('November 2019 EDI'!F31,rrcworking[RRC ID],0))</f>
        <v>0</v>
      </c>
      <c r="AA31" s="5">
        <f>INDEX(rrcworking[Sales/Dispostion],MATCH('November 2019 EDI'!F31,rrcworking[RRC ID],0))</f>
        <v>0</v>
      </c>
      <c r="AQ31" s="5">
        <f>INDEX(rrcworking[Closing Stock (Oil)],MATCH('November 2019 EDI'!F31,rrcworking[RRC ID],0))</f>
        <v>0</v>
      </c>
    </row>
    <row r="32" spans="1:43">
      <c r="A32" s="4" t="s">
        <v>1</v>
      </c>
      <c r="B32" s="1" t="s">
        <v>935</v>
      </c>
      <c r="C32" s="10" t="s">
        <v>914</v>
      </c>
      <c r="D32" s="1" t="s">
        <v>620</v>
      </c>
      <c r="E32" s="1" t="s">
        <v>2</v>
      </c>
      <c r="F32" s="1" t="s">
        <v>444</v>
      </c>
      <c r="I32" s="10" t="s">
        <v>3</v>
      </c>
      <c r="J32" s="125" t="s">
        <v>3</v>
      </c>
      <c r="K32" s="1" t="s">
        <v>1097</v>
      </c>
      <c r="M32" s="5">
        <v>201911</v>
      </c>
      <c r="N32" s="5">
        <f>INDEX(rrcworking[Formation Production (MCF) @ 14.65 psi],MATCH('November 2019 EDI'!F32,rrcworking[RRC ID],0))</f>
        <v>0</v>
      </c>
      <c r="O32" s="5">
        <f>INDEX(rrcworking[Lease Use (MCF)],MATCH('November 2019 EDI'!F32,rrcworking[RRC ID],0))</f>
        <v>0</v>
      </c>
      <c r="P32" s="5">
        <f>INDEX(rrcworking[Disposition Volume (MCF) @ 14.65 MCF],MATCH('November 2019 EDI'!F32,rrcworking[RRC ID],0))</f>
        <v>0</v>
      </c>
      <c r="Y32" s="5">
        <f>INDEX(rrcworking[Oil Production],MATCH('November 2019 EDI'!F32,rrcworking[RRC ID],0))</f>
        <v>0</v>
      </c>
      <c r="AA32" s="5">
        <f>INDEX(rrcworking[Sales/Dispostion],MATCH('November 2019 EDI'!F32,rrcworking[RRC ID],0))</f>
        <v>0</v>
      </c>
      <c r="AQ32" s="5">
        <f>INDEX(rrcworking[Closing Stock (Oil)],MATCH('November 2019 EDI'!F32,rrcworking[RRC ID],0))</f>
        <v>0</v>
      </c>
    </row>
    <row r="33" spans="1:43">
      <c r="A33" s="4" t="s">
        <v>1</v>
      </c>
      <c r="B33" s="1" t="s">
        <v>936</v>
      </c>
      <c r="C33" s="10" t="s">
        <v>914</v>
      </c>
      <c r="D33" s="1" t="s">
        <v>620</v>
      </c>
      <c r="E33" s="1" t="s">
        <v>59</v>
      </c>
      <c r="F33" s="1" t="s">
        <v>445</v>
      </c>
      <c r="I33" s="10" t="s">
        <v>3</v>
      </c>
      <c r="J33" s="125" t="s">
        <v>3</v>
      </c>
      <c r="K33" s="1" t="s">
        <v>1097</v>
      </c>
      <c r="M33" s="5">
        <v>201911</v>
      </c>
      <c r="N33" s="5">
        <f>INDEX(rrcworking[Formation Production (MCF) @ 14.65 psi],MATCH('November 2019 EDI'!F33,rrcworking[RRC ID],0))</f>
        <v>0</v>
      </c>
      <c r="O33" s="5">
        <f>INDEX(rrcworking[Lease Use (MCF)],MATCH('November 2019 EDI'!F33,rrcworking[RRC ID],0))</f>
        <v>0</v>
      </c>
      <c r="P33" s="5">
        <f>INDEX(rrcworking[Disposition Volume (MCF) @ 14.65 MCF],MATCH('November 2019 EDI'!F33,rrcworking[RRC ID],0))</f>
        <v>0</v>
      </c>
      <c r="Y33" s="5">
        <f>INDEX(rrcworking[Oil Production],MATCH('November 2019 EDI'!F33,rrcworking[RRC ID],0))</f>
        <v>0</v>
      </c>
      <c r="AA33" s="5">
        <f>INDEX(rrcworking[Sales/Dispostion],MATCH('November 2019 EDI'!F33,rrcworking[RRC ID],0))</f>
        <v>0</v>
      </c>
      <c r="AQ33" s="5">
        <f>INDEX(rrcworking[Closing Stock (Oil)],MATCH('November 2019 EDI'!F33,rrcworking[RRC ID],0))</f>
        <v>0</v>
      </c>
    </row>
    <row r="34" spans="1:43">
      <c r="A34" s="4" t="s">
        <v>1</v>
      </c>
      <c r="B34" s="1" t="s">
        <v>937</v>
      </c>
      <c r="C34" s="10" t="s">
        <v>914</v>
      </c>
      <c r="D34" s="1" t="s">
        <v>620</v>
      </c>
      <c r="E34" s="1" t="s">
        <v>2</v>
      </c>
      <c r="F34" s="1" t="s">
        <v>446</v>
      </c>
      <c r="I34" s="10" t="s">
        <v>3</v>
      </c>
      <c r="J34" s="125" t="s">
        <v>3</v>
      </c>
      <c r="K34" s="1" t="s">
        <v>1097</v>
      </c>
      <c r="M34" s="5">
        <v>201911</v>
      </c>
      <c r="N34" s="5">
        <f>INDEX(rrcworking[Formation Production (MCF) @ 14.65 psi],MATCH('November 2019 EDI'!F34,rrcworking[RRC ID],0))</f>
        <v>0</v>
      </c>
      <c r="O34" s="5">
        <f>INDEX(rrcworking[Lease Use (MCF)],MATCH('November 2019 EDI'!F34,rrcworking[RRC ID],0))</f>
        <v>0</v>
      </c>
      <c r="P34" s="5">
        <f>INDEX(rrcworking[Disposition Volume (MCF) @ 14.65 MCF],MATCH('November 2019 EDI'!F34,rrcworking[RRC ID],0))</f>
        <v>0</v>
      </c>
      <c r="Y34" s="5">
        <f>INDEX(rrcworking[Oil Production],MATCH('November 2019 EDI'!F34,rrcworking[RRC ID],0))</f>
        <v>0</v>
      </c>
      <c r="AA34" s="5">
        <f>INDEX(rrcworking[Sales/Dispostion],MATCH('November 2019 EDI'!F34,rrcworking[RRC ID],0))</f>
        <v>0</v>
      </c>
      <c r="AQ34" s="5">
        <f>INDEX(rrcworking[Closing Stock (Oil)],MATCH('November 2019 EDI'!F34,rrcworking[RRC ID],0))</f>
        <v>213</v>
      </c>
    </row>
    <row r="35" spans="1:43">
      <c r="A35" s="4" t="s">
        <v>1</v>
      </c>
      <c r="B35" s="1" t="s">
        <v>938</v>
      </c>
      <c r="C35" s="10" t="s">
        <v>914</v>
      </c>
      <c r="D35" s="1" t="s">
        <v>620</v>
      </c>
      <c r="E35" s="1" t="s">
        <v>59</v>
      </c>
      <c r="F35" s="1" t="s">
        <v>447</v>
      </c>
      <c r="I35" s="10" t="s">
        <v>3</v>
      </c>
      <c r="J35" s="125" t="s">
        <v>3</v>
      </c>
      <c r="K35" s="1">
        <v>5048</v>
      </c>
      <c r="M35" s="5">
        <v>201911</v>
      </c>
      <c r="N35" s="5">
        <f>INDEX(rrcworking[Formation Production (MCF) @ 14.65 psi],MATCH('November 2019 EDI'!F35,rrcworking[RRC ID],0))</f>
        <v>0</v>
      </c>
      <c r="O35" s="5">
        <f>INDEX(rrcworking[Lease Use (MCF)],MATCH('November 2019 EDI'!F35,rrcworking[RRC ID],0))</f>
        <v>0</v>
      </c>
      <c r="P35" s="5">
        <f>INDEX(rrcworking[Disposition Volume (MCF) @ 14.65 MCF],MATCH('November 2019 EDI'!F35,rrcworking[RRC ID],0))</f>
        <v>0</v>
      </c>
      <c r="Y35" s="5">
        <f>INDEX(rrcworking[Oil Production],MATCH('November 2019 EDI'!F35,rrcworking[RRC ID],0))</f>
        <v>0</v>
      </c>
      <c r="AA35" s="5">
        <f>INDEX(rrcworking[Sales/Dispostion],MATCH('November 2019 EDI'!F35,rrcworking[RRC ID],0))</f>
        <v>0</v>
      </c>
      <c r="AQ35" s="5">
        <f>INDEX(rrcworking[Closing Stock (Oil)],MATCH('November 2019 EDI'!F35,rrcworking[RRC ID],0))</f>
        <v>0</v>
      </c>
    </row>
    <row r="36" spans="1:43">
      <c r="A36" s="4" t="s">
        <v>1</v>
      </c>
      <c r="B36" s="1" t="s">
        <v>939</v>
      </c>
      <c r="C36" s="10" t="s">
        <v>914</v>
      </c>
      <c r="D36" s="1" t="s">
        <v>620</v>
      </c>
      <c r="E36" s="1" t="s">
        <v>59</v>
      </c>
      <c r="F36" s="1" t="s">
        <v>448</v>
      </c>
      <c r="I36" s="10" t="s">
        <v>3</v>
      </c>
      <c r="J36" s="125" t="s">
        <v>3</v>
      </c>
      <c r="K36" s="1" t="s">
        <v>1097</v>
      </c>
      <c r="M36" s="5">
        <v>201911</v>
      </c>
      <c r="N36" s="5">
        <f>INDEX(rrcworking[Formation Production (MCF) @ 14.65 psi],MATCH('November 2019 EDI'!F36,rrcworking[RRC ID],0))</f>
        <v>0</v>
      </c>
      <c r="O36" s="5">
        <f>INDEX(rrcworking[Lease Use (MCF)],MATCH('November 2019 EDI'!F36,rrcworking[RRC ID],0))</f>
        <v>0</v>
      </c>
      <c r="P36" s="5">
        <f>INDEX(rrcworking[Disposition Volume (MCF) @ 14.65 MCF],MATCH('November 2019 EDI'!F36,rrcworking[RRC ID],0))</f>
        <v>0</v>
      </c>
      <c r="Y36" s="5">
        <f>INDEX(rrcworking[Oil Production],MATCH('November 2019 EDI'!F36,rrcworking[RRC ID],0))</f>
        <v>0</v>
      </c>
      <c r="AA36" s="5">
        <f>INDEX(rrcworking[Sales/Dispostion],MATCH('November 2019 EDI'!F36,rrcworking[RRC ID],0))</f>
        <v>0</v>
      </c>
      <c r="AQ36" s="5">
        <f>INDEX(rrcworking[Closing Stock (Oil)],MATCH('November 2019 EDI'!F36,rrcworking[RRC ID],0))</f>
        <v>166</v>
      </c>
    </row>
    <row r="37" spans="1:43">
      <c r="A37" s="4" t="s">
        <v>1</v>
      </c>
      <c r="B37" s="1" t="s">
        <v>940</v>
      </c>
      <c r="C37" s="10" t="s">
        <v>914</v>
      </c>
      <c r="D37" s="1" t="s">
        <v>620</v>
      </c>
      <c r="E37" s="1" t="s">
        <v>59</v>
      </c>
      <c r="F37" s="1" t="s">
        <v>449</v>
      </c>
      <c r="I37" s="10" t="s">
        <v>3</v>
      </c>
      <c r="J37" s="125" t="s">
        <v>3</v>
      </c>
      <c r="K37" s="1" t="s">
        <v>1097</v>
      </c>
      <c r="M37" s="5">
        <v>201911</v>
      </c>
      <c r="N37" s="5">
        <f>INDEX(rrcworking[Formation Production (MCF) @ 14.65 psi],MATCH('November 2019 EDI'!F37,rrcworking[RRC ID],0))</f>
        <v>0</v>
      </c>
      <c r="O37" s="5">
        <f>INDEX(rrcworking[Lease Use (MCF)],MATCH('November 2019 EDI'!F37,rrcworking[RRC ID],0))</f>
        <v>0</v>
      </c>
      <c r="P37" s="5">
        <f>INDEX(rrcworking[Disposition Volume (MCF) @ 14.65 MCF],MATCH('November 2019 EDI'!F37,rrcworking[RRC ID],0))</f>
        <v>0</v>
      </c>
      <c r="Y37" s="5">
        <f>INDEX(rrcworking[Oil Production],MATCH('November 2019 EDI'!F37,rrcworking[RRC ID],0))</f>
        <v>0</v>
      </c>
      <c r="AA37" s="5">
        <f>INDEX(rrcworking[Sales/Dispostion],MATCH('November 2019 EDI'!F37,rrcworking[RRC ID],0))</f>
        <v>0</v>
      </c>
      <c r="AQ37" s="5">
        <f>INDEX(rrcworking[Closing Stock (Oil)],MATCH('November 2019 EDI'!F37,rrcworking[RRC ID],0))</f>
        <v>0</v>
      </c>
    </row>
    <row r="38" spans="1:43">
      <c r="A38" s="4" t="s">
        <v>1</v>
      </c>
      <c r="B38" s="1" t="s">
        <v>941</v>
      </c>
      <c r="C38" s="10" t="s">
        <v>914</v>
      </c>
      <c r="D38" s="1" t="s">
        <v>620</v>
      </c>
      <c r="E38" s="1" t="s">
        <v>59</v>
      </c>
      <c r="F38" s="1" t="s">
        <v>450</v>
      </c>
      <c r="I38" s="10" t="s">
        <v>3</v>
      </c>
      <c r="J38" s="125" t="s">
        <v>3</v>
      </c>
      <c r="K38" s="1" t="s">
        <v>1097</v>
      </c>
      <c r="M38" s="5">
        <v>201911</v>
      </c>
      <c r="N38" s="5">
        <f>INDEX(rrcworking[Formation Production (MCF) @ 14.65 psi],MATCH('November 2019 EDI'!F38,rrcworking[RRC ID],0))</f>
        <v>0</v>
      </c>
      <c r="O38" s="5">
        <f>INDEX(rrcworking[Lease Use (MCF)],MATCH('November 2019 EDI'!F38,rrcworking[RRC ID],0))</f>
        <v>0</v>
      </c>
      <c r="P38" s="5">
        <f>INDEX(rrcworking[Disposition Volume (MCF) @ 14.65 MCF],MATCH('November 2019 EDI'!F38,rrcworking[RRC ID],0))</f>
        <v>0</v>
      </c>
      <c r="Y38" s="5">
        <f>INDEX(rrcworking[Oil Production],MATCH('November 2019 EDI'!F38,rrcworking[RRC ID],0))</f>
        <v>0</v>
      </c>
      <c r="AA38" s="5">
        <f>INDEX(rrcworking[Sales/Dispostion],MATCH('November 2019 EDI'!F38,rrcworking[RRC ID],0))</f>
        <v>0</v>
      </c>
      <c r="AQ38" s="5">
        <f>INDEX(rrcworking[Closing Stock (Oil)],MATCH('November 2019 EDI'!F38,rrcworking[RRC ID],0))</f>
        <v>0</v>
      </c>
    </row>
    <row r="39" spans="1:43">
      <c r="A39" s="4" t="s">
        <v>1</v>
      </c>
      <c r="B39" s="1" t="s">
        <v>942</v>
      </c>
      <c r="C39" s="10" t="s">
        <v>914</v>
      </c>
      <c r="D39" s="1" t="s">
        <v>620</v>
      </c>
      <c r="E39" s="1" t="s">
        <v>59</v>
      </c>
      <c r="F39" s="1" t="s">
        <v>451</v>
      </c>
      <c r="I39" s="10" t="s">
        <v>3</v>
      </c>
      <c r="J39" s="125" t="s">
        <v>3</v>
      </c>
      <c r="K39" s="1" t="s">
        <v>1097</v>
      </c>
      <c r="M39" s="5">
        <v>201911</v>
      </c>
      <c r="N39" s="5">
        <f>INDEX(rrcworking[Formation Production (MCF) @ 14.65 psi],MATCH('November 2019 EDI'!F39,rrcworking[RRC ID],0))</f>
        <v>0</v>
      </c>
      <c r="O39" s="5">
        <f>INDEX(rrcworking[Lease Use (MCF)],MATCH('November 2019 EDI'!F39,rrcworking[RRC ID],0))</f>
        <v>0</v>
      </c>
      <c r="P39" s="5">
        <f>INDEX(rrcworking[Disposition Volume (MCF) @ 14.65 MCF],MATCH('November 2019 EDI'!F39,rrcworking[RRC ID],0))</f>
        <v>0</v>
      </c>
      <c r="Y39" s="5">
        <f>INDEX(rrcworking[Oil Production],MATCH('November 2019 EDI'!F39,rrcworking[RRC ID],0))</f>
        <v>0</v>
      </c>
      <c r="AA39" s="5">
        <f>INDEX(rrcworking[Sales/Dispostion],MATCH('November 2019 EDI'!F39,rrcworking[RRC ID],0))</f>
        <v>0</v>
      </c>
      <c r="AQ39" s="5">
        <f>INDEX(rrcworking[Closing Stock (Oil)],MATCH('November 2019 EDI'!F39,rrcworking[RRC ID],0))</f>
        <v>0</v>
      </c>
    </row>
    <row r="40" spans="1:43">
      <c r="A40" s="4" t="s">
        <v>1</v>
      </c>
      <c r="B40" s="1" t="s">
        <v>943</v>
      </c>
      <c r="C40" s="10" t="s">
        <v>914</v>
      </c>
      <c r="D40" s="1" t="s">
        <v>620</v>
      </c>
      <c r="E40" s="1" t="s">
        <v>2</v>
      </c>
      <c r="F40" s="1" t="s">
        <v>452</v>
      </c>
      <c r="I40" s="10" t="s">
        <v>3</v>
      </c>
      <c r="J40" s="125" t="s">
        <v>3</v>
      </c>
      <c r="K40" s="1" t="s">
        <v>1097</v>
      </c>
      <c r="M40" s="5">
        <v>201911</v>
      </c>
      <c r="N40" s="5">
        <f>INDEX(rrcworking[Formation Production (MCF) @ 14.65 psi],MATCH('November 2019 EDI'!F40,rrcworking[RRC ID],0))</f>
        <v>0</v>
      </c>
      <c r="O40" s="5">
        <f>INDEX(rrcworking[Lease Use (MCF)],MATCH('November 2019 EDI'!F40,rrcworking[RRC ID],0))</f>
        <v>0</v>
      </c>
      <c r="P40" s="5">
        <f>INDEX(rrcworking[Disposition Volume (MCF) @ 14.65 MCF],MATCH('November 2019 EDI'!F40,rrcworking[RRC ID],0))</f>
        <v>0</v>
      </c>
      <c r="Y40" s="5">
        <f>INDEX(rrcworking[Oil Production],MATCH('November 2019 EDI'!F40,rrcworking[RRC ID],0))</f>
        <v>0</v>
      </c>
      <c r="AA40" s="5">
        <f>INDEX(rrcworking[Sales/Dispostion],MATCH('November 2019 EDI'!F40,rrcworking[RRC ID],0))</f>
        <v>0</v>
      </c>
      <c r="AQ40" s="5">
        <f>INDEX(rrcworking[Closing Stock (Oil)],MATCH('November 2019 EDI'!F40,rrcworking[RRC ID],0))</f>
        <v>0</v>
      </c>
    </row>
    <row r="41" spans="1:43">
      <c r="A41" s="4" t="s">
        <v>1</v>
      </c>
      <c r="B41" s="1" t="s">
        <v>944</v>
      </c>
      <c r="C41" s="10" t="s">
        <v>914</v>
      </c>
      <c r="D41" s="1" t="s">
        <v>620</v>
      </c>
      <c r="E41" s="1" t="s">
        <v>59</v>
      </c>
      <c r="F41" s="1" t="s">
        <v>453</v>
      </c>
      <c r="I41" s="10" t="s">
        <v>3</v>
      </c>
      <c r="J41" s="125" t="s">
        <v>3</v>
      </c>
      <c r="K41" s="1" t="s">
        <v>1097</v>
      </c>
      <c r="M41" s="5">
        <v>201911</v>
      </c>
      <c r="N41" s="5">
        <f>INDEX(rrcworking[Formation Production (MCF) @ 14.65 psi],MATCH('November 2019 EDI'!F41,rrcworking[RRC ID],0))</f>
        <v>0</v>
      </c>
      <c r="O41" s="5">
        <f>INDEX(rrcworking[Lease Use (MCF)],MATCH('November 2019 EDI'!F41,rrcworking[RRC ID],0))</f>
        <v>0</v>
      </c>
      <c r="P41" s="5">
        <f>INDEX(rrcworking[Disposition Volume (MCF) @ 14.65 MCF],MATCH('November 2019 EDI'!F41,rrcworking[RRC ID],0))</f>
        <v>0</v>
      </c>
      <c r="Y41" s="5">
        <f>INDEX(rrcworking[Oil Production],MATCH('November 2019 EDI'!F41,rrcworking[RRC ID],0))</f>
        <v>0</v>
      </c>
      <c r="AA41" s="5">
        <f>INDEX(rrcworking[Sales/Dispostion],MATCH('November 2019 EDI'!F41,rrcworking[RRC ID],0))</f>
        <v>0</v>
      </c>
      <c r="AQ41" s="5">
        <f>INDEX(rrcworking[Closing Stock (Oil)],MATCH('November 2019 EDI'!F41,rrcworking[RRC ID],0))</f>
        <v>0</v>
      </c>
    </row>
    <row r="42" spans="1:43">
      <c r="A42" s="4" t="s">
        <v>1</v>
      </c>
      <c r="B42" s="1" t="s">
        <v>945</v>
      </c>
      <c r="C42" s="10" t="s">
        <v>914</v>
      </c>
      <c r="D42" s="1" t="s">
        <v>620</v>
      </c>
      <c r="E42" s="1" t="s">
        <v>59</v>
      </c>
      <c r="F42" s="1" t="s">
        <v>454</v>
      </c>
      <c r="I42" s="10" t="s">
        <v>3</v>
      </c>
      <c r="J42" s="125" t="s">
        <v>3</v>
      </c>
      <c r="K42" s="1" t="s">
        <v>1097</v>
      </c>
      <c r="M42" s="5">
        <v>201911</v>
      </c>
      <c r="N42" s="5">
        <f>INDEX(rrcworking[Formation Production (MCF) @ 14.65 psi],MATCH('November 2019 EDI'!F42,rrcworking[RRC ID],0))</f>
        <v>0</v>
      </c>
      <c r="O42" s="5">
        <f>INDEX(rrcworking[Lease Use (MCF)],MATCH('November 2019 EDI'!F42,rrcworking[RRC ID],0))</f>
        <v>0</v>
      </c>
      <c r="P42" s="5">
        <f>INDEX(rrcworking[Disposition Volume (MCF) @ 14.65 MCF],MATCH('November 2019 EDI'!F42,rrcworking[RRC ID],0))</f>
        <v>0</v>
      </c>
      <c r="Y42" s="5">
        <f>INDEX(rrcworking[Oil Production],MATCH('November 2019 EDI'!F42,rrcworking[RRC ID],0))</f>
        <v>0</v>
      </c>
      <c r="AA42" s="5">
        <f>INDEX(rrcworking[Sales/Dispostion],MATCH('November 2019 EDI'!F42,rrcworking[RRC ID],0))</f>
        <v>0</v>
      </c>
      <c r="AQ42" s="5">
        <f>INDEX(rrcworking[Closing Stock (Oil)],MATCH('November 2019 EDI'!F42,rrcworking[RRC ID],0))</f>
        <v>0</v>
      </c>
    </row>
    <row r="43" spans="1:43">
      <c r="A43" s="4" t="s">
        <v>1</v>
      </c>
      <c r="B43" s="1" t="s">
        <v>946</v>
      </c>
      <c r="C43" s="10" t="s">
        <v>914</v>
      </c>
      <c r="D43" s="1" t="s">
        <v>620</v>
      </c>
      <c r="E43" s="1" t="s">
        <v>59</v>
      </c>
      <c r="F43" s="1" t="s">
        <v>455</v>
      </c>
      <c r="I43" s="10" t="s">
        <v>3</v>
      </c>
      <c r="J43" s="125" t="s">
        <v>3</v>
      </c>
      <c r="K43" s="1" t="s">
        <v>1097</v>
      </c>
      <c r="M43" s="5">
        <v>201911</v>
      </c>
      <c r="N43" s="5">
        <f>INDEX(rrcworking[Formation Production (MCF) @ 14.65 psi],MATCH('November 2019 EDI'!F43,rrcworking[RRC ID],0))</f>
        <v>0</v>
      </c>
      <c r="O43" s="5">
        <f>INDEX(rrcworking[Lease Use (MCF)],MATCH('November 2019 EDI'!F43,rrcworking[RRC ID],0))</f>
        <v>0</v>
      </c>
      <c r="P43" s="5">
        <f>INDEX(rrcworking[Disposition Volume (MCF) @ 14.65 MCF],MATCH('November 2019 EDI'!F43,rrcworking[RRC ID],0))</f>
        <v>0</v>
      </c>
      <c r="Y43" s="5">
        <f>INDEX(rrcworking[Oil Production],MATCH('November 2019 EDI'!F43,rrcworking[RRC ID],0))</f>
        <v>0</v>
      </c>
      <c r="AA43" s="5">
        <f>INDEX(rrcworking[Sales/Dispostion],MATCH('November 2019 EDI'!F43,rrcworking[RRC ID],0))</f>
        <v>0</v>
      </c>
      <c r="AQ43" s="5">
        <f>INDEX(rrcworking[Closing Stock (Oil)],MATCH('November 2019 EDI'!F43,rrcworking[RRC ID],0))</f>
        <v>0</v>
      </c>
    </row>
    <row r="44" spans="1:43">
      <c r="A44" s="4" t="s">
        <v>1</v>
      </c>
      <c r="B44" s="1" t="s">
        <v>947</v>
      </c>
      <c r="C44" s="10" t="s">
        <v>914</v>
      </c>
      <c r="D44" s="1" t="s">
        <v>620</v>
      </c>
      <c r="E44" s="1" t="s">
        <v>59</v>
      </c>
      <c r="F44" s="1" t="s">
        <v>456</v>
      </c>
      <c r="I44" s="10" t="s">
        <v>3</v>
      </c>
      <c r="J44" s="125" t="s">
        <v>3</v>
      </c>
      <c r="K44" s="1" t="s">
        <v>1097</v>
      </c>
      <c r="M44" s="5">
        <v>201911</v>
      </c>
      <c r="N44" s="5">
        <f>INDEX(rrcworking[Formation Production (MCF) @ 14.65 psi],MATCH('November 2019 EDI'!F44,rrcworking[RRC ID],0))</f>
        <v>0</v>
      </c>
      <c r="O44" s="5">
        <f>INDEX(rrcworking[Lease Use (MCF)],MATCH('November 2019 EDI'!F44,rrcworking[RRC ID],0))</f>
        <v>0</v>
      </c>
      <c r="P44" s="5">
        <f>INDEX(rrcworking[Disposition Volume (MCF) @ 14.65 MCF],MATCH('November 2019 EDI'!F44,rrcworking[RRC ID],0))</f>
        <v>0</v>
      </c>
      <c r="Y44" s="5">
        <f>INDEX(rrcworking[Oil Production],MATCH('November 2019 EDI'!F44,rrcworking[RRC ID],0))</f>
        <v>0</v>
      </c>
      <c r="AA44" s="5">
        <f>INDEX(rrcworking[Sales/Dispostion],MATCH('November 2019 EDI'!F44,rrcworking[RRC ID],0))</f>
        <v>0</v>
      </c>
      <c r="AQ44" s="5">
        <f>INDEX(rrcworking[Closing Stock (Oil)],MATCH('November 2019 EDI'!F44,rrcworking[RRC ID],0))</f>
        <v>0</v>
      </c>
    </row>
    <row r="45" spans="1:43">
      <c r="A45" s="4" t="s">
        <v>1</v>
      </c>
      <c r="B45" s="1" t="s">
        <v>948</v>
      </c>
      <c r="C45" s="10" t="s">
        <v>914</v>
      </c>
      <c r="D45" s="1" t="s">
        <v>620</v>
      </c>
      <c r="E45" s="1" t="s">
        <v>2</v>
      </c>
      <c r="F45" s="1" t="s">
        <v>457</v>
      </c>
      <c r="I45" s="10" t="s">
        <v>3</v>
      </c>
      <c r="J45" s="125" t="s">
        <v>3</v>
      </c>
      <c r="K45" s="1" t="s">
        <v>1097</v>
      </c>
      <c r="M45" s="5">
        <v>201911</v>
      </c>
      <c r="N45" s="5">
        <f>INDEX(rrcworking[Formation Production (MCF) @ 14.65 psi],MATCH('November 2019 EDI'!F45,rrcworking[RRC ID],0))</f>
        <v>0</v>
      </c>
      <c r="O45" s="5">
        <f>INDEX(rrcworking[Lease Use (MCF)],MATCH('November 2019 EDI'!F45,rrcworking[RRC ID],0))</f>
        <v>0</v>
      </c>
      <c r="P45" s="5">
        <f>INDEX(rrcworking[Disposition Volume (MCF) @ 14.65 MCF],MATCH('November 2019 EDI'!F45,rrcworking[RRC ID],0))</f>
        <v>0</v>
      </c>
      <c r="Y45" s="5">
        <f>INDEX(rrcworking[Oil Production],MATCH('November 2019 EDI'!F45,rrcworking[RRC ID],0))</f>
        <v>78</v>
      </c>
      <c r="AA45" s="5">
        <f>INDEX(rrcworking[Sales/Dispostion],MATCH('November 2019 EDI'!F45,rrcworking[RRC ID],0))</f>
        <v>0</v>
      </c>
      <c r="AQ45" s="5">
        <f>INDEX(rrcworking[Closing Stock (Oil)],MATCH('November 2019 EDI'!F45,rrcworking[RRC ID],0))</f>
        <v>180</v>
      </c>
    </row>
    <row r="46" spans="1:43">
      <c r="A46" s="4" t="s">
        <v>1</v>
      </c>
      <c r="B46" s="1" t="s">
        <v>949</v>
      </c>
      <c r="C46" s="10" t="s">
        <v>914</v>
      </c>
      <c r="D46" s="1" t="s">
        <v>621</v>
      </c>
      <c r="E46" s="1" t="s">
        <v>2</v>
      </c>
      <c r="F46" s="1" t="s">
        <v>458</v>
      </c>
      <c r="I46" s="10" t="s">
        <v>3</v>
      </c>
      <c r="J46" s="125" t="s">
        <v>3</v>
      </c>
      <c r="K46" s="1" t="s">
        <v>1097</v>
      </c>
      <c r="M46" s="5">
        <v>201911</v>
      </c>
      <c r="N46" s="5">
        <f>INDEX(rrcworking[Formation Production (MCF) @ 14.65 psi],MATCH('November 2019 EDI'!F46,rrcworking[RRC ID],0))</f>
        <v>0</v>
      </c>
      <c r="O46" s="5">
        <f>INDEX(rrcworking[Lease Use (MCF)],MATCH('November 2019 EDI'!F46,rrcworking[RRC ID],0))</f>
        <v>0</v>
      </c>
      <c r="P46" s="5">
        <f>INDEX(rrcworking[Disposition Volume (MCF) @ 14.65 MCF],MATCH('November 2019 EDI'!F46,rrcworking[RRC ID],0))</f>
        <v>0</v>
      </c>
      <c r="Y46" s="5">
        <f>INDEX(rrcworking[Oil Production],MATCH('November 2019 EDI'!F46,rrcworking[RRC ID],0))</f>
        <v>0</v>
      </c>
      <c r="AA46" s="5">
        <f>INDEX(rrcworking[Sales/Dispostion],MATCH('November 2019 EDI'!F46,rrcworking[RRC ID],0))</f>
        <v>0</v>
      </c>
      <c r="AQ46" s="5">
        <f>INDEX(rrcworking[Closing Stock (Oil)],MATCH('November 2019 EDI'!F46,rrcworking[RRC ID],0))</f>
        <v>0</v>
      </c>
    </row>
    <row r="47" spans="1:43">
      <c r="A47" s="4" t="s">
        <v>1</v>
      </c>
      <c r="B47" s="1" t="s">
        <v>950</v>
      </c>
      <c r="C47" s="10" t="s">
        <v>914</v>
      </c>
      <c r="D47" s="1" t="s">
        <v>621</v>
      </c>
      <c r="E47" s="1" t="s">
        <v>59</v>
      </c>
      <c r="F47" s="1" t="s">
        <v>459</v>
      </c>
      <c r="I47" s="10" t="s">
        <v>3</v>
      </c>
      <c r="J47" s="125" t="s">
        <v>3</v>
      </c>
      <c r="K47" s="1" t="s">
        <v>1097</v>
      </c>
      <c r="M47" s="5">
        <v>201911</v>
      </c>
      <c r="N47" s="5">
        <f>INDEX(rrcworking[Formation Production (MCF) @ 14.65 psi],MATCH('November 2019 EDI'!F47,rrcworking[RRC ID],0))</f>
        <v>114857</v>
      </c>
      <c r="O47" s="5">
        <f>INDEX(rrcworking[Lease Use (MCF)],MATCH('November 2019 EDI'!F47,rrcworking[RRC ID],0))</f>
        <v>630</v>
      </c>
      <c r="P47" s="5">
        <f>INDEX(rrcworking[Disposition Volume (MCF) @ 14.65 MCF],MATCH('November 2019 EDI'!F47,rrcworking[RRC ID],0))</f>
        <v>114227</v>
      </c>
      <c r="Y47" s="5">
        <f>INDEX(rrcworking[Oil Production],MATCH('November 2019 EDI'!F47,rrcworking[RRC ID],0))</f>
        <v>2536</v>
      </c>
      <c r="AA47" s="5">
        <f>INDEX(rrcworking[Sales/Dispostion],MATCH('November 2019 EDI'!F47,rrcworking[RRC ID],0))</f>
        <v>2486</v>
      </c>
      <c r="AQ47" s="5">
        <f>INDEX(rrcworking[Closing Stock (Oil)],MATCH('November 2019 EDI'!F47,rrcworking[RRC ID],0))</f>
        <v>431</v>
      </c>
    </row>
    <row r="48" spans="1:43">
      <c r="A48" s="4" t="s">
        <v>1</v>
      </c>
      <c r="B48" s="1" t="s">
        <v>951</v>
      </c>
      <c r="C48" s="10" t="s">
        <v>914</v>
      </c>
      <c r="D48" s="1" t="s">
        <v>621</v>
      </c>
      <c r="E48" s="1" t="s">
        <v>59</v>
      </c>
      <c r="F48" s="1" t="s">
        <v>460</v>
      </c>
      <c r="I48" s="10" t="s">
        <v>3</v>
      </c>
      <c r="J48" s="125" t="s">
        <v>3</v>
      </c>
      <c r="K48" s="1" t="s">
        <v>1097</v>
      </c>
      <c r="M48" s="5">
        <v>201911</v>
      </c>
      <c r="N48" s="5">
        <f>INDEX(rrcworking[Formation Production (MCF) @ 14.65 psi],MATCH('November 2019 EDI'!F48,rrcworking[RRC ID],0))</f>
        <v>0</v>
      </c>
      <c r="O48" s="5">
        <f>INDEX(rrcworking[Lease Use (MCF)],MATCH('November 2019 EDI'!F48,rrcworking[RRC ID],0))</f>
        <v>0</v>
      </c>
      <c r="P48" s="5">
        <f>INDEX(rrcworking[Disposition Volume (MCF) @ 14.65 MCF],MATCH('November 2019 EDI'!F48,rrcworking[RRC ID],0))</f>
        <v>0</v>
      </c>
      <c r="Y48" s="5">
        <f>INDEX(rrcworking[Oil Production],MATCH('November 2019 EDI'!F48,rrcworking[RRC ID],0))</f>
        <v>0</v>
      </c>
      <c r="AA48" s="5">
        <f>INDEX(rrcworking[Sales/Dispostion],MATCH('November 2019 EDI'!F48,rrcworking[RRC ID],0))</f>
        <v>0</v>
      </c>
      <c r="AQ48" s="5">
        <f>INDEX(rrcworking[Closing Stock (Oil)],MATCH('November 2019 EDI'!F48,rrcworking[RRC ID],0))</f>
        <v>53</v>
      </c>
    </row>
    <row r="49" spans="1:43">
      <c r="A49" s="4" t="s">
        <v>1</v>
      </c>
      <c r="B49" s="1" t="s">
        <v>952</v>
      </c>
      <c r="C49" s="10" t="s">
        <v>914</v>
      </c>
      <c r="D49" s="1" t="s">
        <v>621</v>
      </c>
      <c r="E49" s="1" t="s">
        <v>2</v>
      </c>
      <c r="F49" s="1" t="s">
        <v>461</v>
      </c>
      <c r="I49" s="10" t="s">
        <v>3</v>
      </c>
      <c r="J49" s="125" t="s">
        <v>3</v>
      </c>
      <c r="K49" s="1" t="s">
        <v>1097</v>
      </c>
      <c r="M49" s="5">
        <v>201911</v>
      </c>
      <c r="N49" s="5">
        <f>INDEX(rrcworking[Formation Production (MCF) @ 14.65 psi],MATCH('November 2019 EDI'!F49,rrcworking[RRC ID],0))</f>
        <v>0</v>
      </c>
      <c r="O49" s="5">
        <f>INDEX(rrcworking[Lease Use (MCF)],MATCH('November 2019 EDI'!F49,rrcworking[RRC ID],0))</f>
        <v>0</v>
      </c>
      <c r="P49" s="5">
        <f>INDEX(rrcworking[Disposition Volume (MCF) @ 14.65 MCF],MATCH('November 2019 EDI'!F49,rrcworking[RRC ID],0))</f>
        <v>0</v>
      </c>
      <c r="Y49" s="5">
        <f>INDEX(rrcworking[Oil Production],MATCH('November 2019 EDI'!F49,rrcworking[RRC ID],0))</f>
        <v>0</v>
      </c>
      <c r="AA49" s="5">
        <f>INDEX(rrcworking[Sales/Dispostion],MATCH('November 2019 EDI'!F49,rrcworking[RRC ID],0))</f>
        <v>0</v>
      </c>
      <c r="AQ49" s="5">
        <f>INDEX(rrcworking[Closing Stock (Oil)],MATCH('November 2019 EDI'!F49,rrcworking[RRC ID],0))</f>
        <v>139</v>
      </c>
    </row>
    <row r="50" spans="1:43">
      <c r="A50" s="4" t="s">
        <v>1</v>
      </c>
      <c r="B50" s="1" t="s">
        <v>953</v>
      </c>
      <c r="C50" s="10" t="s">
        <v>914</v>
      </c>
      <c r="D50" s="1" t="s">
        <v>621</v>
      </c>
      <c r="E50" s="1" t="s">
        <v>2</v>
      </c>
      <c r="F50" s="1" t="s">
        <v>462</v>
      </c>
      <c r="I50" s="10" t="s">
        <v>3</v>
      </c>
      <c r="J50" s="125" t="s">
        <v>3</v>
      </c>
      <c r="K50" s="1" t="s">
        <v>1097</v>
      </c>
      <c r="M50" s="5">
        <v>201911</v>
      </c>
      <c r="N50" s="5">
        <f>INDEX(rrcworking[Formation Production (MCF) @ 14.65 psi],MATCH('November 2019 EDI'!F50,rrcworking[RRC ID],0))</f>
        <v>0</v>
      </c>
      <c r="O50" s="5">
        <f>INDEX(rrcworking[Lease Use (MCF)],MATCH('November 2019 EDI'!F50,rrcworking[RRC ID],0))</f>
        <v>0</v>
      </c>
      <c r="P50" s="5">
        <f>INDEX(rrcworking[Disposition Volume (MCF) @ 14.65 MCF],MATCH('November 2019 EDI'!F50,rrcworking[RRC ID],0))</f>
        <v>0</v>
      </c>
      <c r="Y50" s="5">
        <f>INDEX(rrcworking[Oil Production],MATCH('November 2019 EDI'!F50,rrcworking[RRC ID],0))</f>
        <v>0</v>
      </c>
      <c r="AA50" s="5">
        <f>INDEX(rrcworking[Sales/Dispostion],MATCH('November 2019 EDI'!F50,rrcworking[RRC ID],0))</f>
        <v>0</v>
      </c>
      <c r="AQ50" s="5">
        <f>INDEX(rrcworking[Closing Stock (Oil)],MATCH('November 2019 EDI'!F50,rrcworking[RRC ID],0))</f>
        <v>0</v>
      </c>
    </row>
    <row r="51" spans="1:43">
      <c r="A51" s="4" t="s">
        <v>1</v>
      </c>
      <c r="B51" s="1" t="s">
        <v>954</v>
      </c>
      <c r="C51" s="10" t="s">
        <v>914</v>
      </c>
      <c r="D51" s="1" t="s">
        <v>621</v>
      </c>
      <c r="E51" s="1" t="s">
        <v>2</v>
      </c>
      <c r="F51" s="1" t="s">
        <v>463</v>
      </c>
      <c r="I51" s="10" t="s">
        <v>3</v>
      </c>
      <c r="J51" s="125" t="s">
        <v>3</v>
      </c>
      <c r="K51" s="1" t="s">
        <v>1097</v>
      </c>
      <c r="M51" s="5">
        <v>201911</v>
      </c>
      <c r="N51" s="5">
        <f>INDEX(rrcworking[Formation Production (MCF) @ 14.65 psi],MATCH('November 2019 EDI'!F51,rrcworking[RRC ID],0))</f>
        <v>0</v>
      </c>
      <c r="O51" s="5">
        <f>INDEX(rrcworking[Lease Use (MCF)],MATCH('November 2019 EDI'!F51,rrcworking[RRC ID],0))</f>
        <v>0</v>
      </c>
      <c r="P51" s="5">
        <f>INDEX(rrcworking[Disposition Volume (MCF) @ 14.65 MCF],MATCH('November 2019 EDI'!F51,rrcworking[RRC ID],0))</f>
        <v>0</v>
      </c>
      <c r="Y51" s="5">
        <f>INDEX(rrcworking[Oil Production],MATCH('November 2019 EDI'!F51,rrcworking[RRC ID],0))</f>
        <v>0</v>
      </c>
      <c r="AA51" s="5">
        <f>INDEX(rrcworking[Sales/Dispostion],MATCH('November 2019 EDI'!F51,rrcworking[RRC ID],0))</f>
        <v>0</v>
      </c>
      <c r="AQ51" s="5">
        <f>INDEX(rrcworking[Closing Stock (Oil)],MATCH('November 2019 EDI'!F51,rrcworking[RRC ID],0))</f>
        <v>28</v>
      </c>
    </row>
    <row r="52" spans="1:43">
      <c r="A52" s="4" t="s">
        <v>1</v>
      </c>
      <c r="B52" s="1" t="s">
        <v>955</v>
      </c>
      <c r="C52" s="10" t="s">
        <v>914</v>
      </c>
      <c r="D52" s="1" t="s">
        <v>621</v>
      </c>
      <c r="E52" s="1" t="s">
        <v>2</v>
      </c>
      <c r="F52" s="1" t="s">
        <v>464</v>
      </c>
      <c r="I52" s="10" t="s">
        <v>3</v>
      </c>
      <c r="J52" s="125" t="s">
        <v>3</v>
      </c>
      <c r="K52" s="1" t="s">
        <v>1097</v>
      </c>
      <c r="M52" s="5">
        <v>201911</v>
      </c>
      <c r="N52" s="5">
        <f>INDEX(rrcworking[Formation Production (MCF) @ 14.65 psi],MATCH('November 2019 EDI'!F52,rrcworking[RRC ID],0))</f>
        <v>0</v>
      </c>
      <c r="O52" s="5">
        <f>INDEX(rrcworking[Lease Use (MCF)],MATCH('November 2019 EDI'!F52,rrcworking[RRC ID],0))</f>
        <v>0</v>
      </c>
      <c r="P52" s="5">
        <f>INDEX(rrcworking[Disposition Volume (MCF) @ 14.65 MCF],MATCH('November 2019 EDI'!F52,rrcworking[RRC ID],0))</f>
        <v>0</v>
      </c>
      <c r="Y52" s="5">
        <f>INDEX(rrcworking[Oil Production],MATCH('November 2019 EDI'!F52,rrcworking[RRC ID],0))</f>
        <v>0</v>
      </c>
      <c r="AA52" s="5">
        <f>INDEX(rrcworking[Sales/Dispostion],MATCH('November 2019 EDI'!F52,rrcworking[RRC ID],0))</f>
        <v>0</v>
      </c>
      <c r="AQ52" s="5">
        <f>INDEX(rrcworking[Closing Stock (Oil)],MATCH('November 2019 EDI'!F52,rrcworking[RRC ID],0))</f>
        <v>187</v>
      </c>
    </row>
    <row r="53" spans="1:43">
      <c r="A53" s="4" t="s">
        <v>1</v>
      </c>
      <c r="B53" s="1" t="s">
        <v>956</v>
      </c>
      <c r="C53" s="10" t="s">
        <v>914</v>
      </c>
      <c r="D53" s="1" t="s">
        <v>621</v>
      </c>
      <c r="E53" s="1" t="s">
        <v>59</v>
      </c>
      <c r="F53" s="1" t="s">
        <v>465</v>
      </c>
      <c r="I53" s="10" t="s">
        <v>3</v>
      </c>
      <c r="J53" s="125" t="s">
        <v>3</v>
      </c>
      <c r="K53" s="1" t="s">
        <v>1097</v>
      </c>
      <c r="M53" s="5">
        <v>201911</v>
      </c>
      <c r="N53" s="5">
        <f>INDEX(rrcworking[Formation Production (MCF) @ 14.65 psi],MATCH('November 2019 EDI'!F53,rrcworking[RRC ID],0))</f>
        <v>0</v>
      </c>
      <c r="O53" s="5">
        <f>INDEX(rrcworking[Lease Use (MCF)],MATCH('November 2019 EDI'!F53,rrcworking[RRC ID],0))</f>
        <v>0</v>
      </c>
      <c r="P53" s="5">
        <f>INDEX(rrcworking[Disposition Volume (MCF) @ 14.65 MCF],MATCH('November 2019 EDI'!F53,rrcworking[RRC ID],0))</f>
        <v>0</v>
      </c>
      <c r="Y53" s="5">
        <f>INDEX(rrcworking[Oil Production],MATCH('November 2019 EDI'!F53,rrcworking[RRC ID],0))</f>
        <v>0</v>
      </c>
      <c r="AA53" s="5">
        <f>INDEX(rrcworking[Sales/Dispostion],MATCH('November 2019 EDI'!F53,rrcworking[RRC ID],0))</f>
        <v>0</v>
      </c>
      <c r="AQ53" s="5">
        <f>INDEX(rrcworking[Closing Stock (Oil)],MATCH('November 2019 EDI'!F53,rrcworking[RRC ID],0))</f>
        <v>0</v>
      </c>
    </row>
    <row r="54" spans="1:43">
      <c r="A54" s="4" t="s">
        <v>1</v>
      </c>
      <c r="B54" s="1" t="s">
        <v>957</v>
      </c>
      <c r="C54" s="10" t="s">
        <v>914</v>
      </c>
      <c r="D54" s="1" t="s">
        <v>621</v>
      </c>
      <c r="E54" s="1" t="s">
        <v>2</v>
      </c>
      <c r="F54" s="1" t="s">
        <v>466</v>
      </c>
      <c r="I54" s="10" t="s">
        <v>3</v>
      </c>
      <c r="J54" s="125" t="s">
        <v>3</v>
      </c>
      <c r="K54" s="1" t="s">
        <v>1097</v>
      </c>
      <c r="M54" s="5">
        <v>201911</v>
      </c>
      <c r="N54" s="5">
        <f>INDEX(rrcworking[Formation Production (MCF) @ 14.65 psi],MATCH('November 2019 EDI'!F54,rrcworking[RRC ID],0))</f>
        <v>0</v>
      </c>
      <c r="O54" s="5">
        <f>INDEX(rrcworking[Lease Use (MCF)],MATCH('November 2019 EDI'!F54,rrcworking[RRC ID],0))</f>
        <v>0</v>
      </c>
      <c r="P54" s="5">
        <f>INDEX(rrcworking[Disposition Volume (MCF) @ 14.65 MCF],MATCH('November 2019 EDI'!F54,rrcworking[RRC ID],0))</f>
        <v>0</v>
      </c>
      <c r="Y54" s="5">
        <f>INDEX(rrcworking[Oil Production],MATCH('November 2019 EDI'!F54,rrcworking[RRC ID],0))</f>
        <v>0</v>
      </c>
      <c r="AA54" s="5">
        <f>INDEX(rrcworking[Sales/Dispostion],MATCH('November 2019 EDI'!F54,rrcworking[RRC ID],0))</f>
        <v>0</v>
      </c>
      <c r="AQ54" s="5">
        <f>INDEX(rrcworking[Closing Stock (Oil)],MATCH('November 2019 EDI'!F54,rrcworking[RRC ID],0))</f>
        <v>32</v>
      </c>
    </row>
    <row r="55" spans="1:43">
      <c r="A55" s="4" t="s">
        <v>1</v>
      </c>
      <c r="B55" s="1" t="s">
        <v>958</v>
      </c>
      <c r="C55" s="10" t="s">
        <v>914</v>
      </c>
      <c r="D55" s="1" t="s">
        <v>621</v>
      </c>
      <c r="E55" s="1" t="s">
        <v>59</v>
      </c>
      <c r="F55" s="1" t="s">
        <v>467</v>
      </c>
      <c r="I55" s="10" t="s">
        <v>3</v>
      </c>
      <c r="J55" s="125" t="s">
        <v>3</v>
      </c>
      <c r="K55" s="1" t="s">
        <v>1097</v>
      </c>
      <c r="M55" s="5">
        <v>201911</v>
      </c>
      <c r="N55" s="5">
        <f>INDEX(rrcworking[Formation Production (MCF) @ 14.65 psi],MATCH('November 2019 EDI'!F55,rrcworking[RRC ID],0))</f>
        <v>0</v>
      </c>
      <c r="O55" s="5">
        <f>INDEX(rrcworking[Lease Use (MCF)],MATCH('November 2019 EDI'!F55,rrcworking[RRC ID],0))</f>
        <v>0</v>
      </c>
      <c r="P55" s="5">
        <f>INDEX(rrcworking[Disposition Volume (MCF) @ 14.65 MCF],MATCH('November 2019 EDI'!F55,rrcworking[RRC ID],0))</f>
        <v>0</v>
      </c>
      <c r="Y55" s="5">
        <f>INDEX(rrcworking[Oil Production],MATCH('November 2019 EDI'!F55,rrcworking[RRC ID],0))</f>
        <v>0</v>
      </c>
      <c r="AA55" s="5">
        <f>INDEX(rrcworking[Sales/Dispostion],MATCH('November 2019 EDI'!F55,rrcworking[RRC ID],0))</f>
        <v>0</v>
      </c>
      <c r="AQ55" s="5">
        <f>INDEX(rrcworking[Closing Stock (Oil)],MATCH('November 2019 EDI'!F55,rrcworking[RRC ID],0))</f>
        <v>0</v>
      </c>
    </row>
    <row r="56" spans="1:43">
      <c r="A56" s="4" t="s">
        <v>1</v>
      </c>
      <c r="B56" s="1" t="s">
        <v>959</v>
      </c>
      <c r="C56" s="10" t="s">
        <v>914</v>
      </c>
      <c r="D56" s="1" t="s">
        <v>621</v>
      </c>
      <c r="E56" s="1" t="s">
        <v>59</v>
      </c>
      <c r="F56" s="1" t="s">
        <v>468</v>
      </c>
      <c r="I56" s="10" t="s">
        <v>3</v>
      </c>
      <c r="J56" s="125" t="s">
        <v>3</v>
      </c>
      <c r="K56" s="1" t="s">
        <v>1097</v>
      </c>
      <c r="M56" s="5">
        <v>201911</v>
      </c>
      <c r="N56" s="5">
        <f>INDEX(rrcworking[Formation Production (MCF) @ 14.65 psi],MATCH('November 2019 EDI'!F56,rrcworking[RRC ID],0))</f>
        <v>0</v>
      </c>
      <c r="O56" s="5">
        <f>INDEX(rrcworking[Lease Use (MCF)],MATCH('November 2019 EDI'!F56,rrcworking[RRC ID],0))</f>
        <v>0</v>
      </c>
      <c r="P56" s="5">
        <f>INDEX(rrcworking[Disposition Volume (MCF) @ 14.65 MCF],MATCH('November 2019 EDI'!F56,rrcworking[RRC ID],0))</f>
        <v>0</v>
      </c>
      <c r="Y56" s="5">
        <f>INDEX(rrcworking[Oil Production],MATCH('November 2019 EDI'!F56,rrcworking[RRC ID],0))</f>
        <v>0</v>
      </c>
      <c r="AA56" s="5">
        <f>INDEX(rrcworking[Sales/Dispostion],MATCH('November 2019 EDI'!F56,rrcworking[RRC ID],0))</f>
        <v>0</v>
      </c>
      <c r="AQ56" s="5">
        <f>INDEX(rrcworking[Closing Stock (Oil)],MATCH('November 2019 EDI'!F56,rrcworking[RRC ID],0))</f>
        <v>0</v>
      </c>
    </row>
    <row r="57" spans="1:43">
      <c r="A57" s="4" t="s">
        <v>1</v>
      </c>
      <c r="B57" s="1" t="s">
        <v>960</v>
      </c>
      <c r="C57" s="10" t="s">
        <v>914</v>
      </c>
      <c r="D57" s="1" t="s">
        <v>621</v>
      </c>
      <c r="E57" s="1" t="s">
        <v>2</v>
      </c>
      <c r="F57" s="1" t="s">
        <v>469</v>
      </c>
      <c r="I57" s="10" t="s">
        <v>3</v>
      </c>
      <c r="J57" s="125" t="s">
        <v>3</v>
      </c>
      <c r="K57" s="1" t="s">
        <v>1097</v>
      </c>
      <c r="M57" s="5">
        <v>201911</v>
      </c>
      <c r="N57" s="5">
        <f>INDEX(rrcworking[Formation Production (MCF) @ 14.65 psi],MATCH('November 2019 EDI'!F57,rrcworking[RRC ID],0))</f>
        <v>0</v>
      </c>
      <c r="O57" s="5">
        <f>INDEX(rrcworking[Lease Use (MCF)],MATCH('November 2019 EDI'!F57,rrcworking[RRC ID],0))</f>
        <v>0</v>
      </c>
      <c r="P57" s="5">
        <f>INDEX(rrcworking[Disposition Volume (MCF) @ 14.65 MCF],MATCH('November 2019 EDI'!F57,rrcworking[RRC ID],0))</f>
        <v>0</v>
      </c>
      <c r="Y57" s="5">
        <f>INDEX(rrcworking[Oil Production],MATCH('November 2019 EDI'!F57,rrcworking[RRC ID],0))</f>
        <v>0</v>
      </c>
      <c r="AA57" s="5">
        <f>INDEX(rrcworking[Sales/Dispostion],MATCH('November 2019 EDI'!F57,rrcworking[RRC ID],0))</f>
        <v>0</v>
      </c>
      <c r="AQ57" s="5">
        <f>INDEX(rrcworking[Closing Stock (Oil)],MATCH('November 2019 EDI'!F57,rrcworking[RRC ID],0))</f>
        <v>108</v>
      </c>
    </row>
    <row r="58" spans="1:43">
      <c r="A58" s="4" t="s">
        <v>1</v>
      </c>
      <c r="B58" s="1" t="s">
        <v>961</v>
      </c>
      <c r="C58" s="10" t="s">
        <v>914</v>
      </c>
      <c r="D58" s="1" t="s">
        <v>621</v>
      </c>
      <c r="E58" s="1" t="s">
        <v>59</v>
      </c>
      <c r="F58" s="1" t="s">
        <v>470</v>
      </c>
      <c r="I58" s="10" t="s">
        <v>3</v>
      </c>
      <c r="J58" s="125" t="s">
        <v>3</v>
      </c>
      <c r="K58" s="1" t="s">
        <v>1097</v>
      </c>
      <c r="M58" s="5">
        <v>201911</v>
      </c>
      <c r="N58" s="5">
        <f>INDEX(rrcworking[Formation Production (MCF) @ 14.65 psi],MATCH('November 2019 EDI'!F58,rrcworking[RRC ID],0))</f>
        <v>0</v>
      </c>
      <c r="O58" s="5">
        <f>INDEX(rrcworking[Lease Use (MCF)],MATCH('November 2019 EDI'!F58,rrcworking[RRC ID],0))</f>
        <v>0</v>
      </c>
      <c r="P58" s="5">
        <f>INDEX(rrcworking[Disposition Volume (MCF) @ 14.65 MCF],MATCH('November 2019 EDI'!F58,rrcworking[RRC ID],0))</f>
        <v>0</v>
      </c>
      <c r="Y58" s="5">
        <f>INDEX(rrcworking[Oil Production],MATCH('November 2019 EDI'!F58,rrcworking[RRC ID],0))</f>
        <v>0</v>
      </c>
      <c r="AA58" s="5">
        <f>INDEX(rrcworking[Sales/Dispostion],MATCH('November 2019 EDI'!F58,rrcworking[RRC ID],0))</f>
        <v>0</v>
      </c>
      <c r="AQ58" s="5">
        <f>INDEX(rrcworking[Closing Stock (Oil)],MATCH('November 2019 EDI'!F58,rrcworking[RRC ID],0))</f>
        <v>0</v>
      </c>
    </row>
    <row r="59" spans="1:43">
      <c r="A59" s="4" t="s">
        <v>1</v>
      </c>
      <c r="B59" s="1" t="s">
        <v>962</v>
      </c>
      <c r="C59" s="10" t="s">
        <v>914</v>
      </c>
      <c r="D59" s="1" t="s">
        <v>621</v>
      </c>
      <c r="E59" s="1" t="s">
        <v>2</v>
      </c>
      <c r="F59" s="1" t="s">
        <v>471</v>
      </c>
      <c r="I59" s="10" t="s">
        <v>3</v>
      </c>
      <c r="J59" s="125" t="s">
        <v>3</v>
      </c>
      <c r="K59" s="1" t="s">
        <v>1097</v>
      </c>
      <c r="M59" s="5">
        <v>201911</v>
      </c>
      <c r="N59" s="5">
        <f>INDEX(rrcworking[Formation Production (MCF) @ 14.65 psi],MATCH('November 2019 EDI'!F59,rrcworking[RRC ID],0))</f>
        <v>0</v>
      </c>
      <c r="O59" s="5">
        <f>INDEX(rrcworking[Lease Use (MCF)],MATCH('November 2019 EDI'!F59,rrcworking[RRC ID],0))</f>
        <v>0</v>
      </c>
      <c r="P59" s="5">
        <f>INDEX(rrcworking[Disposition Volume (MCF) @ 14.65 MCF],MATCH('November 2019 EDI'!F59,rrcworking[RRC ID],0))</f>
        <v>0</v>
      </c>
      <c r="Y59" s="5">
        <f>INDEX(rrcworking[Oil Production],MATCH('November 2019 EDI'!F59,rrcworking[RRC ID],0))</f>
        <v>588</v>
      </c>
      <c r="AA59" s="5">
        <f>INDEX(rrcworking[Sales/Dispostion],MATCH('November 2019 EDI'!F59,rrcworking[RRC ID],0))</f>
        <v>692</v>
      </c>
      <c r="AQ59" s="5">
        <f>INDEX(rrcworking[Closing Stock (Oil)],MATCH('November 2019 EDI'!F59,rrcworking[RRC ID],0))</f>
        <v>281</v>
      </c>
    </row>
    <row r="60" spans="1:43">
      <c r="A60" s="4" t="s">
        <v>1</v>
      </c>
      <c r="B60" s="1" t="s">
        <v>963</v>
      </c>
      <c r="C60" s="10" t="s">
        <v>914</v>
      </c>
      <c r="D60" s="1" t="s">
        <v>621</v>
      </c>
      <c r="E60" s="1" t="s">
        <v>59</v>
      </c>
      <c r="F60" s="1" t="s">
        <v>472</v>
      </c>
      <c r="I60" s="10" t="s">
        <v>3</v>
      </c>
      <c r="J60" s="125" t="s">
        <v>3</v>
      </c>
      <c r="K60" s="1" t="s">
        <v>1097</v>
      </c>
      <c r="M60" s="5">
        <v>201911</v>
      </c>
      <c r="N60" s="5">
        <f>INDEX(rrcworking[Formation Production (MCF) @ 14.65 psi],MATCH('November 2019 EDI'!F60,rrcworking[RRC ID],0))</f>
        <v>0</v>
      </c>
      <c r="O60" s="5">
        <f>INDEX(rrcworking[Lease Use (MCF)],MATCH('November 2019 EDI'!F60,rrcworking[RRC ID],0))</f>
        <v>0</v>
      </c>
      <c r="P60" s="5">
        <f>INDEX(rrcworking[Disposition Volume (MCF) @ 14.65 MCF],MATCH('November 2019 EDI'!F60,rrcworking[RRC ID],0))</f>
        <v>0</v>
      </c>
      <c r="Y60" s="5">
        <f>INDEX(rrcworking[Oil Production],MATCH('November 2019 EDI'!F60,rrcworking[RRC ID],0))</f>
        <v>0</v>
      </c>
      <c r="AA60" s="5">
        <f>INDEX(rrcworking[Sales/Dispostion],MATCH('November 2019 EDI'!F60,rrcworking[RRC ID],0))</f>
        <v>0</v>
      </c>
      <c r="AQ60" s="5">
        <f>INDEX(rrcworking[Closing Stock (Oil)],MATCH('November 2019 EDI'!F60,rrcworking[RRC ID],0))</f>
        <v>0</v>
      </c>
    </row>
    <row r="61" spans="1:43">
      <c r="A61" s="4" t="s">
        <v>1</v>
      </c>
      <c r="B61" s="1" t="s">
        <v>964</v>
      </c>
      <c r="C61" s="10" t="s">
        <v>914</v>
      </c>
      <c r="D61" s="1" t="s">
        <v>621</v>
      </c>
      <c r="E61" s="1" t="s">
        <v>59</v>
      </c>
      <c r="F61" s="1" t="s">
        <v>473</v>
      </c>
      <c r="I61" s="10" t="s">
        <v>3</v>
      </c>
      <c r="J61" s="125" t="s">
        <v>3</v>
      </c>
      <c r="K61" s="1" t="s">
        <v>1097</v>
      </c>
      <c r="M61" s="5">
        <v>201911</v>
      </c>
      <c r="N61" s="5">
        <f>INDEX(rrcworking[Formation Production (MCF) @ 14.65 psi],MATCH('November 2019 EDI'!F61,rrcworking[RRC ID],0))</f>
        <v>363</v>
      </c>
      <c r="O61" s="5">
        <f>INDEX(rrcworking[Lease Use (MCF)],MATCH('November 2019 EDI'!F61,rrcworking[RRC ID],0))</f>
        <v>0</v>
      </c>
      <c r="P61" s="5">
        <f>INDEX(rrcworking[Disposition Volume (MCF) @ 14.65 MCF],MATCH('November 2019 EDI'!F61,rrcworking[RRC ID],0))</f>
        <v>363</v>
      </c>
      <c r="Y61" s="5">
        <f>INDEX(rrcworking[Oil Production],MATCH('November 2019 EDI'!F61,rrcworking[RRC ID],0))</f>
        <v>88</v>
      </c>
      <c r="AA61" s="5">
        <f>INDEX(rrcworking[Sales/Dispostion],MATCH('November 2019 EDI'!F61,rrcworking[RRC ID],0))</f>
        <v>188</v>
      </c>
      <c r="AQ61" s="5">
        <f>INDEX(rrcworking[Closing Stock (Oil)],MATCH('November 2019 EDI'!F61,rrcworking[RRC ID],0))</f>
        <v>27</v>
      </c>
    </row>
    <row r="62" spans="1:43">
      <c r="A62" s="4" t="s">
        <v>1</v>
      </c>
      <c r="B62" s="1" t="s">
        <v>965</v>
      </c>
      <c r="C62" s="10" t="s">
        <v>914</v>
      </c>
      <c r="D62" s="1" t="s">
        <v>621</v>
      </c>
      <c r="E62" s="1" t="s">
        <v>2</v>
      </c>
      <c r="F62" s="1" t="s">
        <v>474</v>
      </c>
      <c r="I62" s="10" t="s">
        <v>3</v>
      </c>
      <c r="J62" s="125" t="s">
        <v>3</v>
      </c>
      <c r="K62" s="1" t="s">
        <v>1097</v>
      </c>
      <c r="M62" s="5">
        <v>201911</v>
      </c>
      <c r="N62" s="5">
        <f>INDEX(rrcworking[Formation Production (MCF) @ 14.65 psi],MATCH('November 2019 EDI'!F62,rrcworking[RRC ID],0))</f>
        <v>0</v>
      </c>
      <c r="O62" s="5">
        <f>INDEX(rrcworking[Lease Use (MCF)],MATCH('November 2019 EDI'!F62,rrcworking[RRC ID],0))</f>
        <v>0</v>
      </c>
      <c r="P62" s="5">
        <f>INDEX(rrcworking[Disposition Volume (MCF) @ 14.65 MCF],MATCH('November 2019 EDI'!F62,rrcworking[RRC ID],0))</f>
        <v>0</v>
      </c>
      <c r="Y62" s="5">
        <f>INDEX(rrcworking[Oil Production],MATCH('November 2019 EDI'!F62,rrcworking[RRC ID],0))</f>
        <v>0</v>
      </c>
      <c r="AA62" s="5">
        <f>INDEX(rrcworking[Sales/Dispostion],MATCH('November 2019 EDI'!F62,rrcworking[RRC ID],0))</f>
        <v>0</v>
      </c>
      <c r="AQ62" s="5">
        <f>INDEX(rrcworking[Closing Stock (Oil)],MATCH('November 2019 EDI'!F62,rrcworking[RRC ID],0))</f>
        <v>0</v>
      </c>
    </row>
    <row r="63" spans="1:43">
      <c r="A63" s="4" t="s">
        <v>1</v>
      </c>
      <c r="B63" s="1" t="s">
        <v>966</v>
      </c>
      <c r="C63" s="10" t="s">
        <v>914</v>
      </c>
      <c r="D63" s="1" t="s">
        <v>621</v>
      </c>
      <c r="E63" s="1" t="s">
        <v>59</v>
      </c>
      <c r="F63" s="1" t="s">
        <v>475</v>
      </c>
      <c r="I63" s="10" t="s">
        <v>3</v>
      </c>
      <c r="J63" s="125" t="s">
        <v>3</v>
      </c>
      <c r="K63" s="1" t="s">
        <v>1097</v>
      </c>
      <c r="M63" s="5">
        <v>201911</v>
      </c>
      <c r="N63" s="5">
        <f>INDEX(rrcworking[Formation Production (MCF) @ 14.65 psi],MATCH('November 2019 EDI'!F63,rrcworking[RRC ID],0))</f>
        <v>8923</v>
      </c>
      <c r="O63" s="5">
        <f>INDEX(rrcworking[Lease Use (MCF)],MATCH('November 2019 EDI'!F63,rrcworking[RRC ID],0))</f>
        <v>390</v>
      </c>
      <c r="P63" s="5">
        <f>INDEX(rrcworking[Disposition Volume (MCF) @ 14.65 MCF],MATCH('November 2019 EDI'!F63,rrcworking[RRC ID],0))</f>
        <v>8533</v>
      </c>
      <c r="Y63" s="5">
        <f>INDEX(rrcworking[Oil Production],MATCH('November 2019 EDI'!F63,rrcworking[RRC ID],0))</f>
        <v>29</v>
      </c>
      <c r="AA63" s="5">
        <f>INDEX(rrcworking[Sales/Dispostion],MATCH('November 2019 EDI'!F63,rrcworking[RRC ID],0))</f>
        <v>0</v>
      </c>
      <c r="AQ63" s="5">
        <f>INDEX(rrcworking[Closing Stock (Oil)],MATCH('November 2019 EDI'!F63,rrcworking[RRC ID],0))</f>
        <v>169</v>
      </c>
    </row>
    <row r="64" spans="1:43">
      <c r="A64" s="4" t="s">
        <v>1</v>
      </c>
      <c r="B64" s="1" t="s">
        <v>967</v>
      </c>
      <c r="C64" s="10" t="s">
        <v>914</v>
      </c>
      <c r="D64" s="1" t="s">
        <v>621</v>
      </c>
      <c r="E64" s="1" t="s">
        <v>59</v>
      </c>
      <c r="F64" s="1" t="s">
        <v>476</v>
      </c>
      <c r="I64" s="10" t="s">
        <v>3</v>
      </c>
      <c r="J64" s="125" t="s">
        <v>3</v>
      </c>
      <c r="K64" s="1" t="s">
        <v>1097</v>
      </c>
      <c r="M64" s="5">
        <v>201911</v>
      </c>
      <c r="N64" s="5">
        <f>INDEX(rrcworking[Formation Production (MCF) @ 14.65 psi],MATCH('November 2019 EDI'!F64,rrcworking[RRC ID],0))</f>
        <v>0</v>
      </c>
      <c r="O64" s="5">
        <f>INDEX(rrcworking[Lease Use (MCF)],MATCH('November 2019 EDI'!F64,rrcworking[RRC ID],0))</f>
        <v>0</v>
      </c>
      <c r="P64" s="5">
        <f>INDEX(rrcworking[Disposition Volume (MCF) @ 14.65 MCF],MATCH('November 2019 EDI'!F64,rrcworking[RRC ID],0))</f>
        <v>0</v>
      </c>
      <c r="Y64" s="5">
        <f>INDEX(rrcworking[Oil Production],MATCH('November 2019 EDI'!F64,rrcworking[RRC ID],0))</f>
        <v>0</v>
      </c>
      <c r="AA64" s="5">
        <f>INDEX(rrcworking[Sales/Dispostion],MATCH('November 2019 EDI'!F64,rrcworking[RRC ID],0))</f>
        <v>0</v>
      </c>
      <c r="AQ64" s="5">
        <f>INDEX(rrcworking[Closing Stock (Oil)],MATCH('November 2019 EDI'!F64,rrcworking[RRC ID],0))</f>
        <v>0</v>
      </c>
    </row>
    <row r="65" spans="1:46">
      <c r="A65" s="4" t="s">
        <v>1</v>
      </c>
      <c r="B65" s="1" t="s">
        <v>968</v>
      </c>
      <c r="C65" s="10" t="s">
        <v>914</v>
      </c>
      <c r="D65" s="1" t="s">
        <v>621</v>
      </c>
      <c r="E65" s="1" t="s">
        <v>59</v>
      </c>
      <c r="F65" s="1" t="s">
        <v>477</v>
      </c>
      <c r="I65" s="10" t="s">
        <v>3</v>
      </c>
      <c r="J65" s="125" t="s">
        <v>3</v>
      </c>
      <c r="K65" s="1" t="s">
        <v>1097</v>
      </c>
      <c r="M65" s="5">
        <v>201911</v>
      </c>
      <c r="N65" s="5">
        <f>INDEX(rrcworking[Formation Production (MCF) @ 14.65 psi],MATCH('November 2019 EDI'!F65,rrcworking[RRC ID],0))</f>
        <v>0</v>
      </c>
      <c r="O65" s="5">
        <f>INDEX(rrcworking[Lease Use (MCF)],MATCH('November 2019 EDI'!F65,rrcworking[RRC ID],0))</f>
        <v>0</v>
      </c>
      <c r="P65" s="5">
        <f>INDEX(rrcworking[Disposition Volume (MCF) @ 14.65 MCF],MATCH('November 2019 EDI'!F65,rrcworking[RRC ID],0))</f>
        <v>0</v>
      </c>
      <c r="Y65" s="5">
        <f>INDEX(rrcworking[Oil Production],MATCH('November 2019 EDI'!F65,rrcworking[RRC ID],0))</f>
        <v>0</v>
      </c>
      <c r="AA65" s="5">
        <f>INDEX(rrcworking[Sales/Dispostion],MATCH('November 2019 EDI'!F65,rrcworking[RRC ID],0))</f>
        <v>0</v>
      </c>
      <c r="AQ65" s="5">
        <f>INDEX(rrcworking[Closing Stock (Oil)],MATCH('November 2019 EDI'!F65,rrcworking[RRC ID],0))</f>
        <v>173</v>
      </c>
    </row>
    <row r="66" spans="1:46">
      <c r="A66" s="4" t="s">
        <v>1</v>
      </c>
      <c r="B66" s="1" t="s">
        <v>969</v>
      </c>
      <c r="C66" s="10" t="s">
        <v>914</v>
      </c>
      <c r="D66" s="1" t="s">
        <v>621</v>
      </c>
      <c r="E66" s="1" t="s">
        <v>2</v>
      </c>
      <c r="F66" s="1" t="s">
        <v>478</v>
      </c>
      <c r="I66" s="10" t="s">
        <v>3</v>
      </c>
      <c r="J66" s="125" t="s">
        <v>3</v>
      </c>
      <c r="K66" s="1" t="s">
        <v>1097</v>
      </c>
      <c r="M66" s="5">
        <v>201911</v>
      </c>
      <c r="N66" s="5">
        <f>INDEX(rrcworking[Formation Production (MCF) @ 14.65 psi],MATCH('November 2019 EDI'!F66,rrcworking[RRC ID],0))</f>
        <v>521</v>
      </c>
      <c r="O66" s="5">
        <f>INDEX(rrcworking[Lease Use (MCF)],MATCH('November 2019 EDI'!F66,rrcworking[RRC ID],0))</f>
        <v>30</v>
      </c>
      <c r="P66" s="5">
        <f>INDEX(rrcworking[Disposition Volume (MCF) @ 14.65 MCF],MATCH('November 2019 EDI'!F66,rrcworking[RRC ID],0))</f>
        <v>491</v>
      </c>
      <c r="Y66" s="5">
        <f>INDEX(rrcworking[Oil Production],MATCH('November 2019 EDI'!F66,rrcworking[RRC ID],0))</f>
        <v>418</v>
      </c>
      <c r="AA66" s="5">
        <f>INDEX(rrcworking[Sales/Dispostion],MATCH('November 2019 EDI'!F66,rrcworking[RRC ID],0))</f>
        <v>582</v>
      </c>
      <c r="AQ66" s="5">
        <f>INDEX(rrcworking[Closing Stock (Oil)],MATCH('November 2019 EDI'!F66,rrcworking[RRC ID],0))</f>
        <v>172</v>
      </c>
      <c r="AT66" s="10"/>
    </row>
    <row r="67" spans="1:46">
      <c r="A67" s="4" t="s">
        <v>1</v>
      </c>
      <c r="B67" s="1" t="s">
        <v>970</v>
      </c>
      <c r="C67" s="10" t="s">
        <v>914</v>
      </c>
      <c r="D67" s="1" t="s">
        <v>621</v>
      </c>
      <c r="E67" s="1" t="s">
        <v>59</v>
      </c>
      <c r="F67" s="1" t="s">
        <v>479</v>
      </c>
      <c r="I67" s="10" t="s">
        <v>3</v>
      </c>
      <c r="J67" s="125" t="s">
        <v>3</v>
      </c>
      <c r="K67" s="1" t="s">
        <v>1097</v>
      </c>
      <c r="M67" s="5">
        <v>201911</v>
      </c>
      <c r="N67" s="5">
        <f>INDEX(rrcworking[Formation Production (MCF) @ 14.65 psi],MATCH('November 2019 EDI'!F67,rrcworking[RRC ID],0))</f>
        <v>841</v>
      </c>
      <c r="O67" s="5">
        <f>INDEX(rrcworking[Lease Use (MCF)],MATCH('November 2019 EDI'!F67,rrcworking[RRC ID],0))</f>
        <v>60</v>
      </c>
      <c r="P67" s="5">
        <f>INDEX(rrcworking[Disposition Volume (MCF) @ 14.65 MCF],MATCH('November 2019 EDI'!F67,rrcworking[RRC ID],0))</f>
        <v>781</v>
      </c>
      <c r="Y67" s="5">
        <f>INDEX(rrcworking[Oil Production],MATCH('November 2019 EDI'!F67,rrcworking[RRC ID],0))</f>
        <v>915</v>
      </c>
      <c r="AA67" s="5">
        <f>INDEX(rrcworking[Sales/Dispostion],MATCH('November 2019 EDI'!F67,rrcworking[RRC ID],0))</f>
        <v>840</v>
      </c>
      <c r="AQ67" s="5">
        <f>INDEX(rrcworking[Closing Stock (Oil)],MATCH('November 2019 EDI'!F67,rrcworking[RRC ID],0))</f>
        <v>369</v>
      </c>
    </row>
    <row r="68" spans="1:46">
      <c r="A68" s="4" t="s">
        <v>1</v>
      </c>
      <c r="B68" s="1" t="s">
        <v>971</v>
      </c>
      <c r="C68" s="10" t="s">
        <v>914</v>
      </c>
      <c r="D68" s="1" t="s">
        <v>621</v>
      </c>
      <c r="E68" s="1" t="s">
        <v>2</v>
      </c>
      <c r="F68" s="1" t="s">
        <v>480</v>
      </c>
      <c r="I68" s="10" t="s">
        <v>3</v>
      </c>
      <c r="J68" s="125" t="s">
        <v>3</v>
      </c>
      <c r="K68" s="1" t="s">
        <v>1097</v>
      </c>
      <c r="M68" s="5">
        <v>201911</v>
      </c>
      <c r="N68" s="5">
        <f>INDEX(rrcworking[Formation Production (MCF) @ 14.65 psi],MATCH('November 2019 EDI'!F68,rrcworking[RRC ID],0))</f>
        <v>2782</v>
      </c>
      <c r="O68" s="5">
        <f>INDEX(rrcworking[Lease Use (MCF)],MATCH('November 2019 EDI'!F68,rrcworking[RRC ID],0))</f>
        <v>210</v>
      </c>
      <c r="P68" s="5">
        <f>INDEX(rrcworking[Disposition Volume (MCF) @ 14.65 MCF],MATCH('November 2019 EDI'!F68,rrcworking[RRC ID],0))</f>
        <v>2572</v>
      </c>
      <c r="Y68" s="5">
        <f>INDEX(rrcworking[Oil Production],MATCH('November 2019 EDI'!F68,rrcworking[RRC ID],0))</f>
        <v>2751</v>
      </c>
      <c r="AA68" s="5">
        <f>INDEX(rrcworking[Sales/Dispostion],MATCH('November 2019 EDI'!F68,rrcworking[RRC ID],0))</f>
        <v>2442</v>
      </c>
      <c r="AQ68" s="5">
        <f>INDEX(rrcworking[Closing Stock (Oil)],MATCH('November 2019 EDI'!F68,rrcworking[RRC ID],0))</f>
        <v>514</v>
      </c>
      <c r="AT68" s="10"/>
    </row>
    <row r="69" spans="1:46">
      <c r="A69" s="4" t="s">
        <v>1</v>
      </c>
      <c r="B69" s="1" t="s">
        <v>972</v>
      </c>
      <c r="C69" s="10" t="s">
        <v>914</v>
      </c>
      <c r="D69" s="1" t="s">
        <v>621</v>
      </c>
      <c r="E69" s="1" t="s">
        <v>2</v>
      </c>
      <c r="F69" s="1" t="s">
        <v>481</v>
      </c>
      <c r="I69" s="10" t="s">
        <v>3</v>
      </c>
      <c r="J69" s="125" t="s">
        <v>3</v>
      </c>
      <c r="K69" s="1" t="s">
        <v>1097</v>
      </c>
      <c r="M69" s="5">
        <v>201911</v>
      </c>
      <c r="N69" s="5">
        <f>INDEX(rrcworking[Formation Production (MCF) @ 14.65 psi],MATCH('November 2019 EDI'!F69,rrcworking[RRC ID],0))</f>
        <v>669</v>
      </c>
      <c r="O69" s="5">
        <f>INDEX(rrcworking[Lease Use (MCF)],MATCH('November 2019 EDI'!F69,rrcworking[RRC ID],0))</f>
        <v>30</v>
      </c>
      <c r="P69" s="5">
        <f>INDEX(rrcworking[Disposition Volume (MCF) @ 14.65 MCF],MATCH('November 2019 EDI'!F69,rrcworking[RRC ID],0))</f>
        <v>639</v>
      </c>
      <c r="Y69" s="5">
        <f>INDEX(rrcworking[Oil Production],MATCH('November 2019 EDI'!F69,rrcworking[RRC ID],0))</f>
        <v>807</v>
      </c>
      <c r="AA69" s="5">
        <f>INDEX(rrcworking[Sales/Dispostion],MATCH('November 2019 EDI'!F69,rrcworking[RRC ID],0))</f>
        <v>887</v>
      </c>
      <c r="AQ69" s="5">
        <f>INDEX(rrcworking[Closing Stock (Oil)],MATCH('November 2019 EDI'!F69,rrcworking[RRC ID],0))</f>
        <v>134</v>
      </c>
      <c r="AT69" s="10"/>
    </row>
    <row r="70" spans="1:46">
      <c r="A70" s="4" t="s">
        <v>1</v>
      </c>
      <c r="B70" s="1" t="s">
        <v>973</v>
      </c>
      <c r="C70" s="10" t="s">
        <v>914</v>
      </c>
      <c r="D70" s="1" t="s">
        <v>621</v>
      </c>
      <c r="E70" s="1" t="s">
        <v>59</v>
      </c>
      <c r="F70" s="1" t="s">
        <v>482</v>
      </c>
      <c r="I70" s="10" t="s">
        <v>3</v>
      </c>
      <c r="J70" s="125" t="s">
        <v>3</v>
      </c>
      <c r="K70" s="1" t="s">
        <v>1097</v>
      </c>
      <c r="M70" s="5">
        <v>201911</v>
      </c>
      <c r="N70" s="5">
        <f>INDEX(rrcworking[Formation Production (MCF) @ 14.65 psi],MATCH('November 2019 EDI'!F70,rrcworking[RRC ID],0))</f>
        <v>0</v>
      </c>
      <c r="O70" s="5">
        <f>INDEX(rrcworking[Lease Use (MCF)],MATCH('November 2019 EDI'!F70,rrcworking[RRC ID],0))</f>
        <v>0</v>
      </c>
      <c r="P70" s="5">
        <f>INDEX(rrcworking[Disposition Volume (MCF) @ 14.65 MCF],MATCH('November 2019 EDI'!F70,rrcworking[RRC ID],0))</f>
        <v>0</v>
      </c>
      <c r="Y70" s="5">
        <f>INDEX(rrcworking[Oil Production],MATCH('November 2019 EDI'!F70,rrcworking[RRC ID],0))</f>
        <v>0</v>
      </c>
      <c r="AA70" s="5">
        <f>INDEX(rrcworking[Sales/Dispostion],MATCH('November 2019 EDI'!F70,rrcworking[RRC ID],0))</f>
        <v>0</v>
      </c>
      <c r="AQ70" s="5">
        <f>INDEX(rrcworking[Closing Stock (Oil)],MATCH('November 2019 EDI'!F70,rrcworking[RRC ID],0))</f>
        <v>0</v>
      </c>
    </row>
    <row r="71" spans="1:46">
      <c r="A71" s="4" t="s">
        <v>1</v>
      </c>
      <c r="B71" s="1" t="s">
        <v>974</v>
      </c>
      <c r="C71" s="10" t="s">
        <v>914</v>
      </c>
      <c r="D71" s="1" t="s">
        <v>621</v>
      </c>
      <c r="E71" s="1" t="s">
        <v>2</v>
      </c>
      <c r="F71" s="1" t="s">
        <v>483</v>
      </c>
      <c r="I71" s="10" t="s">
        <v>3</v>
      </c>
      <c r="J71" s="125" t="s">
        <v>3</v>
      </c>
      <c r="K71" s="1" t="s">
        <v>1097</v>
      </c>
      <c r="M71" s="5">
        <v>201911</v>
      </c>
      <c r="N71" s="5">
        <f>INDEX(rrcworking[Formation Production (MCF) @ 14.65 psi],MATCH('November 2019 EDI'!F71,rrcworking[RRC ID],0))</f>
        <v>0</v>
      </c>
      <c r="O71" s="5">
        <f>INDEX(rrcworking[Lease Use (MCF)],MATCH('November 2019 EDI'!F71,rrcworking[RRC ID],0))</f>
        <v>0</v>
      </c>
      <c r="P71" s="5">
        <f>INDEX(rrcworking[Disposition Volume (MCF) @ 14.65 MCF],MATCH('November 2019 EDI'!F71,rrcworking[RRC ID],0))</f>
        <v>0</v>
      </c>
      <c r="Y71" s="5">
        <f>INDEX(rrcworking[Oil Production],MATCH('November 2019 EDI'!F71,rrcworking[RRC ID],0))</f>
        <v>0</v>
      </c>
      <c r="AA71" s="5">
        <f>INDEX(rrcworking[Sales/Dispostion],MATCH('November 2019 EDI'!F71,rrcworking[RRC ID],0))</f>
        <v>0</v>
      </c>
      <c r="AQ71" s="5">
        <f>INDEX(rrcworking[Closing Stock (Oil)],MATCH('November 2019 EDI'!F71,rrcworking[RRC ID],0))</f>
        <v>114</v>
      </c>
    </row>
    <row r="72" spans="1:46">
      <c r="A72" s="4" t="s">
        <v>1</v>
      </c>
      <c r="B72" s="1" t="s">
        <v>975</v>
      </c>
      <c r="C72" s="10" t="s">
        <v>914</v>
      </c>
      <c r="D72" s="1" t="s">
        <v>621</v>
      </c>
      <c r="E72" s="1" t="s">
        <v>59</v>
      </c>
      <c r="F72" s="1" t="s">
        <v>484</v>
      </c>
      <c r="I72" s="10" t="s">
        <v>3</v>
      </c>
      <c r="J72" s="125" t="s">
        <v>3</v>
      </c>
      <c r="K72" s="1" t="s">
        <v>1097</v>
      </c>
      <c r="M72" s="5">
        <v>201911</v>
      </c>
      <c r="N72" s="5">
        <f>INDEX(rrcworking[Formation Production (MCF) @ 14.65 psi],MATCH('November 2019 EDI'!F72,rrcworking[RRC ID],0))</f>
        <v>3</v>
      </c>
      <c r="O72" s="5">
        <f>INDEX(rrcworking[Lease Use (MCF)],MATCH('November 2019 EDI'!F72,rrcworking[RRC ID],0))</f>
        <v>3</v>
      </c>
      <c r="P72" s="5">
        <f>INDEX(rrcworking[Disposition Volume (MCF) @ 14.65 MCF],MATCH('November 2019 EDI'!F72,rrcworking[RRC ID],0))</f>
        <v>0</v>
      </c>
      <c r="Y72" s="5">
        <f>INDEX(rrcworking[Oil Production],MATCH('November 2019 EDI'!F72,rrcworking[RRC ID],0))</f>
        <v>82</v>
      </c>
      <c r="AA72" s="5">
        <f>INDEX(rrcworking[Sales/Dispostion],MATCH('November 2019 EDI'!F72,rrcworking[RRC ID],0))</f>
        <v>0</v>
      </c>
      <c r="AQ72" s="5">
        <f>INDEX(rrcworking[Closing Stock (Oil)],MATCH('November 2019 EDI'!F72,rrcworking[RRC ID],0))</f>
        <v>172</v>
      </c>
    </row>
    <row r="73" spans="1:46">
      <c r="A73" s="4" t="s">
        <v>1</v>
      </c>
      <c r="B73" s="1" t="s">
        <v>976</v>
      </c>
      <c r="C73" s="10" t="s">
        <v>914</v>
      </c>
      <c r="D73" s="1" t="s">
        <v>621</v>
      </c>
      <c r="E73" s="1" t="s">
        <v>2</v>
      </c>
      <c r="F73" s="1" t="s">
        <v>485</v>
      </c>
      <c r="I73" s="10" t="s">
        <v>3</v>
      </c>
      <c r="J73" s="125" t="s">
        <v>3</v>
      </c>
      <c r="K73" s="1" t="s">
        <v>1097</v>
      </c>
      <c r="M73" s="5">
        <v>201911</v>
      </c>
      <c r="N73" s="5">
        <f>INDEX(rrcworking[Formation Production (MCF) @ 14.65 psi],MATCH('November 2019 EDI'!F73,rrcworking[RRC ID],0))</f>
        <v>0</v>
      </c>
      <c r="O73" s="5">
        <f>INDEX(rrcworking[Lease Use (MCF)],MATCH('November 2019 EDI'!F73,rrcworking[RRC ID],0))</f>
        <v>0</v>
      </c>
      <c r="P73" s="5">
        <f>INDEX(rrcworking[Disposition Volume (MCF) @ 14.65 MCF],MATCH('November 2019 EDI'!F73,rrcworking[RRC ID],0))</f>
        <v>0</v>
      </c>
      <c r="Y73" s="5">
        <f>INDEX(rrcworking[Oil Production],MATCH('November 2019 EDI'!F73,rrcworking[RRC ID],0))</f>
        <v>0</v>
      </c>
      <c r="AA73" s="5">
        <f>INDEX(rrcworking[Sales/Dispostion],MATCH('November 2019 EDI'!F73,rrcworking[RRC ID],0))</f>
        <v>0</v>
      </c>
      <c r="AQ73" s="5">
        <f>INDEX(rrcworking[Closing Stock (Oil)],MATCH('November 2019 EDI'!F73,rrcworking[RRC ID],0))</f>
        <v>0</v>
      </c>
    </row>
    <row r="74" spans="1:46">
      <c r="A74" s="4" t="s">
        <v>1</v>
      </c>
      <c r="B74" s="1" t="s">
        <v>977</v>
      </c>
      <c r="C74" s="10" t="s">
        <v>914</v>
      </c>
      <c r="D74" s="1" t="s">
        <v>621</v>
      </c>
      <c r="E74" s="1" t="s">
        <v>2</v>
      </c>
      <c r="F74" s="1" t="s">
        <v>486</v>
      </c>
      <c r="I74" s="10" t="s">
        <v>3</v>
      </c>
      <c r="J74" s="125" t="s">
        <v>3</v>
      </c>
      <c r="K74" s="1" t="s">
        <v>1097</v>
      </c>
      <c r="M74" s="5">
        <v>201911</v>
      </c>
      <c r="N74" s="5">
        <f>INDEX(rrcworking[Formation Production (MCF) @ 14.65 psi],MATCH('November 2019 EDI'!F74,rrcworking[RRC ID],0))</f>
        <v>0</v>
      </c>
      <c r="O74" s="5">
        <f>INDEX(rrcworking[Lease Use (MCF)],MATCH('November 2019 EDI'!F74,rrcworking[RRC ID],0))</f>
        <v>0</v>
      </c>
      <c r="P74" s="5">
        <f>INDEX(rrcworking[Disposition Volume (MCF) @ 14.65 MCF],MATCH('November 2019 EDI'!F74,rrcworking[RRC ID],0))</f>
        <v>0</v>
      </c>
      <c r="Y74" s="5">
        <f>INDEX(rrcworking[Oil Production],MATCH('November 2019 EDI'!F74,rrcworking[RRC ID],0))</f>
        <v>397</v>
      </c>
      <c r="AA74" s="5">
        <f>INDEX(rrcworking[Sales/Dispostion],MATCH('November 2019 EDI'!F74,rrcworking[RRC ID],0))</f>
        <v>337</v>
      </c>
      <c r="AQ74" s="5">
        <f>INDEX(rrcworking[Closing Stock (Oil)],MATCH('November 2019 EDI'!F74,rrcworking[RRC ID],0))</f>
        <v>178</v>
      </c>
    </row>
    <row r="75" spans="1:46">
      <c r="A75" s="4" t="s">
        <v>1</v>
      </c>
      <c r="B75" s="1" t="s">
        <v>978</v>
      </c>
      <c r="C75" s="10" t="s">
        <v>914</v>
      </c>
      <c r="D75" s="1" t="s">
        <v>621</v>
      </c>
      <c r="E75" s="1" t="s">
        <v>2</v>
      </c>
      <c r="F75" s="1" t="s">
        <v>487</v>
      </c>
      <c r="I75" s="10" t="s">
        <v>3</v>
      </c>
      <c r="J75" s="125" t="s">
        <v>3</v>
      </c>
      <c r="K75" s="1" t="s">
        <v>1097</v>
      </c>
      <c r="M75" s="5">
        <v>201911</v>
      </c>
      <c r="N75" s="5">
        <f>INDEX(rrcworking[Formation Production (MCF) @ 14.65 psi],MATCH('November 2019 EDI'!F75,rrcworking[RRC ID],0))</f>
        <v>0</v>
      </c>
      <c r="O75" s="5">
        <f>INDEX(rrcworking[Lease Use (MCF)],MATCH('November 2019 EDI'!F75,rrcworking[RRC ID],0))</f>
        <v>0</v>
      </c>
      <c r="P75" s="5">
        <f>INDEX(rrcworking[Disposition Volume (MCF) @ 14.65 MCF],MATCH('November 2019 EDI'!F75,rrcworking[RRC ID],0))</f>
        <v>0</v>
      </c>
      <c r="Y75" s="5">
        <f>INDEX(rrcworking[Oil Production],MATCH('November 2019 EDI'!F75,rrcworking[RRC ID],0))</f>
        <v>0</v>
      </c>
      <c r="AA75" s="5">
        <f>INDEX(rrcworking[Sales/Dispostion],MATCH('November 2019 EDI'!F75,rrcworking[RRC ID],0))</f>
        <v>0</v>
      </c>
      <c r="AQ75" s="5">
        <f>INDEX(rrcworking[Closing Stock (Oil)],MATCH('November 2019 EDI'!F75,rrcworking[RRC ID],0))</f>
        <v>52</v>
      </c>
    </row>
    <row r="76" spans="1:46">
      <c r="A76" s="4" t="s">
        <v>1</v>
      </c>
      <c r="B76" s="1" t="s">
        <v>979</v>
      </c>
      <c r="C76" s="10" t="s">
        <v>914</v>
      </c>
      <c r="D76" s="1" t="s">
        <v>621</v>
      </c>
      <c r="E76" s="1" t="s">
        <v>2</v>
      </c>
      <c r="F76" s="1" t="s">
        <v>488</v>
      </c>
      <c r="I76" s="10" t="s">
        <v>3</v>
      </c>
      <c r="J76" s="125" t="s">
        <v>3</v>
      </c>
      <c r="K76" s="1" t="s">
        <v>1097</v>
      </c>
      <c r="M76" s="5">
        <v>201911</v>
      </c>
      <c r="N76" s="5">
        <f>INDEX(rrcworking[Formation Production (MCF) @ 14.65 psi],MATCH('November 2019 EDI'!F76,rrcworking[RRC ID],0))</f>
        <v>0</v>
      </c>
      <c r="O76" s="5">
        <f>INDEX(rrcworking[Lease Use (MCF)],MATCH('November 2019 EDI'!F76,rrcworking[RRC ID],0))</f>
        <v>0</v>
      </c>
      <c r="P76" s="5">
        <f>INDEX(rrcworking[Disposition Volume (MCF) @ 14.65 MCF],MATCH('November 2019 EDI'!F76,rrcworking[RRC ID],0))</f>
        <v>0</v>
      </c>
      <c r="Y76" s="5">
        <f>INDEX(rrcworking[Oil Production],MATCH('November 2019 EDI'!F76,rrcworking[RRC ID],0))</f>
        <v>0</v>
      </c>
      <c r="AA76" s="5">
        <f>INDEX(rrcworking[Sales/Dispostion],MATCH('November 2019 EDI'!F76,rrcworking[RRC ID],0))</f>
        <v>0</v>
      </c>
      <c r="AQ76" s="5">
        <f>INDEX(rrcworking[Closing Stock (Oil)],MATCH('November 2019 EDI'!F76,rrcworking[RRC ID],0))</f>
        <v>229</v>
      </c>
    </row>
    <row r="77" spans="1:46">
      <c r="A77" s="4" t="s">
        <v>1</v>
      </c>
      <c r="B77" s="1" t="s">
        <v>980</v>
      </c>
      <c r="C77" s="10" t="s">
        <v>914</v>
      </c>
      <c r="D77" s="1" t="s">
        <v>621</v>
      </c>
      <c r="E77" s="1" t="s">
        <v>2</v>
      </c>
      <c r="F77" s="1" t="s">
        <v>489</v>
      </c>
      <c r="I77" s="10" t="s">
        <v>3</v>
      </c>
      <c r="J77" s="125" t="s">
        <v>3</v>
      </c>
      <c r="K77" s="1" t="s">
        <v>1097</v>
      </c>
      <c r="M77" s="5">
        <v>201911</v>
      </c>
      <c r="N77" s="5">
        <f>INDEX(rrcworking[Formation Production (MCF) @ 14.65 psi],MATCH('November 2019 EDI'!F77,rrcworking[RRC ID],0))</f>
        <v>0</v>
      </c>
      <c r="O77" s="5">
        <f>INDEX(rrcworking[Lease Use (MCF)],MATCH('November 2019 EDI'!F77,rrcworking[RRC ID],0))</f>
        <v>0</v>
      </c>
      <c r="P77" s="5">
        <f>INDEX(rrcworking[Disposition Volume (MCF) @ 14.65 MCF],MATCH('November 2019 EDI'!F77,rrcworking[RRC ID],0))</f>
        <v>0</v>
      </c>
      <c r="Y77" s="5">
        <f>INDEX(rrcworking[Oil Production],MATCH('November 2019 EDI'!F77,rrcworking[RRC ID],0))</f>
        <v>56</v>
      </c>
      <c r="AA77" s="5">
        <f>INDEX(rrcworking[Sales/Dispostion],MATCH('November 2019 EDI'!F77,rrcworking[RRC ID],0))</f>
        <v>0</v>
      </c>
      <c r="AQ77" s="5">
        <f>INDEX(rrcworking[Closing Stock (Oil)],MATCH('November 2019 EDI'!F77,rrcworking[RRC ID],0))</f>
        <v>164</v>
      </c>
    </row>
    <row r="78" spans="1:46">
      <c r="A78" s="4" t="s">
        <v>1</v>
      </c>
      <c r="B78" s="1" t="s">
        <v>981</v>
      </c>
      <c r="C78" s="10" t="s">
        <v>914</v>
      </c>
      <c r="D78" s="1" t="s">
        <v>621</v>
      </c>
      <c r="E78" s="1" t="s">
        <v>2</v>
      </c>
      <c r="F78" s="1" t="s">
        <v>490</v>
      </c>
      <c r="I78" s="10" t="s">
        <v>3</v>
      </c>
      <c r="J78" s="125" t="s">
        <v>3</v>
      </c>
      <c r="K78" s="1" t="s">
        <v>1097</v>
      </c>
      <c r="M78" s="5">
        <v>201911</v>
      </c>
      <c r="N78" s="5">
        <f>INDEX(rrcworking[Formation Production (MCF) @ 14.65 psi],MATCH('November 2019 EDI'!F78,rrcworking[RRC ID],0))</f>
        <v>0</v>
      </c>
      <c r="O78" s="5">
        <f>INDEX(rrcworking[Lease Use (MCF)],MATCH('November 2019 EDI'!F78,rrcworking[RRC ID],0))</f>
        <v>0</v>
      </c>
      <c r="P78" s="5">
        <f>INDEX(rrcworking[Disposition Volume (MCF) @ 14.65 MCF],MATCH('November 2019 EDI'!F78,rrcworking[RRC ID],0))</f>
        <v>0</v>
      </c>
      <c r="Y78" s="5">
        <f>INDEX(rrcworking[Oil Production],MATCH('November 2019 EDI'!F78,rrcworking[RRC ID],0))</f>
        <v>39</v>
      </c>
      <c r="AA78" s="5">
        <f>INDEX(rrcworking[Sales/Dispostion],MATCH('November 2019 EDI'!F78,rrcworking[RRC ID],0))</f>
        <v>0</v>
      </c>
      <c r="AQ78" s="5">
        <f>INDEX(rrcworking[Closing Stock (Oil)],MATCH('November 2019 EDI'!F78,rrcworking[RRC ID],0))</f>
        <v>508</v>
      </c>
    </row>
    <row r="79" spans="1:46">
      <c r="A79" s="4" t="s">
        <v>1</v>
      </c>
      <c r="B79" s="1" t="s">
        <v>982</v>
      </c>
      <c r="C79" s="10" t="s">
        <v>914</v>
      </c>
      <c r="D79" s="1" t="s">
        <v>621</v>
      </c>
      <c r="E79" s="1" t="s">
        <v>2</v>
      </c>
      <c r="F79" s="1" t="s">
        <v>491</v>
      </c>
      <c r="I79" s="10" t="s">
        <v>3</v>
      </c>
      <c r="J79" s="125" t="s">
        <v>3</v>
      </c>
      <c r="K79" s="1" t="s">
        <v>1097</v>
      </c>
      <c r="M79" s="5">
        <v>201911</v>
      </c>
      <c r="N79" s="5">
        <f>INDEX(rrcworking[Formation Production (MCF) @ 14.65 psi],MATCH('November 2019 EDI'!F79,rrcworking[RRC ID],0))</f>
        <v>0</v>
      </c>
      <c r="O79" s="5">
        <f>INDEX(rrcworking[Lease Use (MCF)],MATCH('November 2019 EDI'!F79,rrcworking[RRC ID],0))</f>
        <v>0</v>
      </c>
      <c r="P79" s="5">
        <f>INDEX(rrcworking[Disposition Volume (MCF) @ 14.65 MCF],MATCH('November 2019 EDI'!F79,rrcworking[RRC ID],0))</f>
        <v>0</v>
      </c>
      <c r="Y79" s="5">
        <f>INDEX(rrcworking[Oil Production],MATCH('November 2019 EDI'!F79,rrcworking[RRC ID],0))</f>
        <v>318</v>
      </c>
      <c r="AA79" s="5">
        <f>INDEX(rrcworking[Sales/Dispostion],MATCH('November 2019 EDI'!F79,rrcworking[RRC ID],0))</f>
        <v>530</v>
      </c>
      <c r="AQ79" s="5">
        <f>INDEX(rrcworking[Closing Stock (Oil)],MATCH('November 2019 EDI'!F79,rrcworking[RRC ID],0))</f>
        <v>299</v>
      </c>
    </row>
    <row r="80" spans="1:46">
      <c r="A80" s="4" t="s">
        <v>1</v>
      </c>
      <c r="B80" s="1" t="s">
        <v>983</v>
      </c>
      <c r="C80" s="10" t="s">
        <v>914</v>
      </c>
      <c r="D80" s="1" t="s">
        <v>621</v>
      </c>
      <c r="E80" s="1" t="s">
        <v>59</v>
      </c>
      <c r="F80" s="1" t="s">
        <v>492</v>
      </c>
      <c r="I80" s="10" t="s">
        <v>3</v>
      </c>
      <c r="J80" s="125" t="s">
        <v>3</v>
      </c>
      <c r="K80" s="1" t="s">
        <v>1097</v>
      </c>
      <c r="M80" s="5">
        <v>201911</v>
      </c>
      <c r="N80" s="5">
        <f>INDEX(rrcworking[Formation Production (MCF) @ 14.65 psi],MATCH('November 2019 EDI'!F80,rrcworking[RRC ID],0))</f>
        <v>0</v>
      </c>
      <c r="O80" s="5">
        <f>INDEX(rrcworking[Lease Use (MCF)],MATCH('November 2019 EDI'!F80,rrcworking[RRC ID],0))</f>
        <v>0</v>
      </c>
      <c r="P80" s="5">
        <f>INDEX(rrcworking[Disposition Volume (MCF) @ 14.65 MCF],MATCH('November 2019 EDI'!F80,rrcworking[RRC ID],0))</f>
        <v>0</v>
      </c>
      <c r="Y80" s="5">
        <f>INDEX(rrcworking[Oil Production],MATCH('November 2019 EDI'!F80,rrcworking[RRC ID],0))</f>
        <v>0</v>
      </c>
      <c r="AA80" s="5">
        <f>INDEX(rrcworking[Sales/Dispostion],MATCH('November 2019 EDI'!F80,rrcworking[RRC ID],0))</f>
        <v>0</v>
      </c>
      <c r="AQ80" s="5">
        <f>INDEX(rrcworking[Closing Stock (Oil)],MATCH('November 2019 EDI'!F80,rrcworking[RRC ID],0))</f>
        <v>0</v>
      </c>
    </row>
    <row r="81" spans="1:43">
      <c r="A81" s="4" t="s">
        <v>1</v>
      </c>
      <c r="B81" s="1" t="s">
        <v>984</v>
      </c>
      <c r="C81" s="10" t="s">
        <v>914</v>
      </c>
      <c r="D81" s="1" t="s">
        <v>621</v>
      </c>
      <c r="E81" s="1" t="s">
        <v>59</v>
      </c>
      <c r="F81" s="1" t="s">
        <v>493</v>
      </c>
      <c r="I81" s="10" t="s">
        <v>3</v>
      </c>
      <c r="J81" s="125" t="s">
        <v>3</v>
      </c>
      <c r="K81" s="1" t="s">
        <v>1097</v>
      </c>
      <c r="M81" s="5">
        <v>201911</v>
      </c>
      <c r="N81" s="5">
        <f>INDEX(rrcworking[Formation Production (MCF) @ 14.65 psi],MATCH('November 2019 EDI'!F81,rrcworking[RRC ID],0))</f>
        <v>16745</v>
      </c>
      <c r="O81" s="5">
        <f>INDEX(rrcworking[Lease Use (MCF)],MATCH('November 2019 EDI'!F81,rrcworking[RRC ID],0))</f>
        <v>0</v>
      </c>
      <c r="P81" s="5">
        <f>INDEX(rrcworking[Disposition Volume (MCF) @ 14.65 MCF],MATCH('November 2019 EDI'!F81,rrcworking[RRC ID],0))</f>
        <v>16745</v>
      </c>
      <c r="Y81" s="5">
        <f>INDEX(rrcworking[Oil Production],MATCH('November 2019 EDI'!F81,rrcworking[RRC ID],0))</f>
        <v>159</v>
      </c>
      <c r="AA81" s="5">
        <f>INDEX(rrcworking[Sales/Dispostion],MATCH('November 2019 EDI'!F81,rrcworking[RRC ID],0))</f>
        <v>175</v>
      </c>
      <c r="AQ81" s="5">
        <f>INDEX(rrcworking[Closing Stock (Oil)],MATCH('November 2019 EDI'!F81,rrcworking[RRC ID],0))</f>
        <v>255</v>
      </c>
    </row>
    <row r="82" spans="1:43">
      <c r="A82" s="4" t="s">
        <v>1</v>
      </c>
      <c r="B82" s="1" t="s">
        <v>985</v>
      </c>
      <c r="C82" s="10" t="s">
        <v>914</v>
      </c>
      <c r="D82" s="1" t="s">
        <v>621</v>
      </c>
      <c r="E82" s="1" t="s">
        <v>59</v>
      </c>
      <c r="F82" s="1" t="s">
        <v>494</v>
      </c>
      <c r="I82" s="10" t="s">
        <v>3</v>
      </c>
      <c r="J82" s="125" t="s">
        <v>3</v>
      </c>
      <c r="K82" s="1" t="s">
        <v>1097</v>
      </c>
      <c r="M82" s="5">
        <v>201911</v>
      </c>
      <c r="N82" s="5">
        <f>INDEX(rrcworking[Formation Production (MCF) @ 14.65 psi],MATCH('November 2019 EDI'!F82,rrcworking[RRC ID],0))</f>
        <v>0</v>
      </c>
      <c r="O82" s="5">
        <f>INDEX(rrcworking[Lease Use (MCF)],MATCH('November 2019 EDI'!F82,rrcworking[RRC ID],0))</f>
        <v>0</v>
      </c>
      <c r="P82" s="5">
        <f>INDEX(rrcworking[Disposition Volume (MCF) @ 14.65 MCF],MATCH('November 2019 EDI'!F82,rrcworking[RRC ID],0))</f>
        <v>0</v>
      </c>
      <c r="Y82" s="5">
        <f>INDEX(rrcworking[Oil Production],MATCH('November 2019 EDI'!F82,rrcworking[RRC ID],0))</f>
        <v>0</v>
      </c>
      <c r="AA82" s="5">
        <f>INDEX(rrcworking[Sales/Dispostion],MATCH('November 2019 EDI'!F82,rrcworking[RRC ID],0))</f>
        <v>0</v>
      </c>
      <c r="AQ82" s="5">
        <f>INDEX(rrcworking[Closing Stock (Oil)],MATCH('November 2019 EDI'!F82,rrcworking[RRC ID],0))</f>
        <v>0</v>
      </c>
    </row>
    <row r="83" spans="1:43">
      <c r="A83" s="4" t="s">
        <v>1</v>
      </c>
      <c r="B83" s="1" t="s">
        <v>986</v>
      </c>
      <c r="C83" s="10" t="s">
        <v>914</v>
      </c>
      <c r="D83" s="1" t="s">
        <v>621</v>
      </c>
      <c r="E83" s="1" t="s">
        <v>2</v>
      </c>
      <c r="F83" s="1" t="s">
        <v>495</v>
      </c>
      <c r="I83" s="10" t="s">
        <v>3</v>
      </c>
      <c r="J83" s="125" t="s">
        <v>3</v>
      </c>
      <c r="K83" s="1" t="s">
        <v>1097</v>
      </c>
      <c r="M83" s="5">
        <v>201911</v>
      </c>
      <c r="N83" s="5">
        <f>INDEX(rrcworking[Formation Production (MCF) @ 14.65 psi],MATCH('November 2019 EDI'!F83,rrcworking[RRC ID],0))</f>
        <v>0</v>
      </c>
      <c r="O83" s="5">
        <f>INDEX(rrcworking[Lease Use (MCF)],MATCH('November 2019 EDI'!F83,rrcworking[RRC ID],0))</f>
        <v>0</v>
      </c>
      <c r="P83" s="5">
        <f>INDEX(rrcworking[Disposition Volume (MCF) @ 14.65 MCF],MATCH('November 2019 EDI'!F83,rrcworking[RRC ID],0))</f>
        <v>0</v>
      </c>
      <c r="Y83" s="5">
        <f>INDEX(rrcworking[Oil Production],MATCH('November 2019 EDI'!F83,rrcworking[RRC ID],0))</f>
        <v>0</v>
      </c>
      <c r="AA83" s="5">
        <f>INDEX(rrcworking[Sales/Dispostion],MATCH('November 2019 EDI'!F83,rrcworking[RRC ID],0))</f>
        <v>0</v>
      </c>
      <c r="AQ83" s="5">
        <f>INDEX(rrcworking[Closing Stock (Oil)],MATCH('November 2019 EDI'!F83,rrcworking[RRC ID],0))</f>
        <v>81</v>
      </c>
    </row>
    <row r="84" spans="1:43">
      <c r="A84" s="4" t="s">
        <v>1</v>
      </c>
      <c r="B84" s="1" t="s">
        <v>987</v>
      </c>
      <c r="C84" s="10" t="s">
        <v>914</v>
      </c>
      <c r="D84" s="1" t="s">
        <v>621</v>
      </c>
      <c r="E84" s="1" t="s">
        <v>59</v>
      </c>
      <c r="F84" s="1" t="s">
        <v>1143</v>
      </c>
      <c r="I84" s="10" t="s">
        <v>3</v>
      </c>
      <c r="J84" s="125" t="s">
        <v>3</v>
      </c>
      <c r="M84" s="5">
        <v>201911</v>
      </c>
      <c r="N84" s="5">
        <f>INDEX(rrcworking[Formation Production (MCF) @ 14.65 psi],MATCH('November 2019 EDI'!F84,rrcworking[RRC ID],0))</f>
        <v>4716</v>
      </c>
      <c r="O84" s="5">
        <f>INDEX(rrcworking[Lease Use (MCF)],MATCH('November 2019 EDI'!F84,rrcworking[RRC ID],0))</f>
        <v>156</v>
      </c>
      <c r="P84" s="5">
        <f>INDEX(rrcworking[Disposition Volume (MCF) @ 14.65 MCF],MATCH('November 2019 EDI'!F84,rrcworking[RRC ID],0))</f>
        <v>4560</v>
      </c>
      <c r="Y84" s="5">
        <f>INDEX(rrcworking[Oil Production],MATCH('November 2019 EDI'!F84,rrcworking[RRC ID],0))</f>
        <v>12</v>
      </c>
      <c r="AA84" s="5">
        <f>INDEX(rrcworking[Sales/Dispostion],MATCH('November 2019 EDI'!F84,rrcworking[RRC ID],0))</f>
        <v>0</v>
      </c>
      <c r="AQ84" s="5">
        <f>INDEX(rrcworking[Closing Stock (Oil)],MATCH('November 2019 EDI'!F84,rrcworking[RRC ID],0))</f>
        <v>168</v>
      </c>
    </row>
    <row r="85" spans="1:43">
      <c r="A85" s="4" t="s">
        <v>1</v>
      </c>
      <c r="B85" s="1" t="s">
        <v>988</v>
      </c>
      <c r="C85" s="10" t="s">
        <v>914</v>
      </c>
      <c r="D85" s="1" t="s">
        <v>621</v>
      </c>
      <c r="E85" s="1" t="s">
        <v>2</v>
      </c>
      <c r="F85" s="1" t="s">
        <v>496</v>
      </c>
      <c r="I85" s="10" t="s">
        <v>3</v>
      </c>
      <c r="J85" s="125" t="s">
        <v>3</v>
      </c>
      <c r="K85" s="1" t="s">
        <v>1097</v>
      </c>
      <c r="M85" s="5">
        <v>201911</v>
      </c>
      <c r="N85" s="5">
        <f>INDEX(rrcworking[Formation Production (MCF) @ 14.65 psi],MATCH('November 2019 EDI'!F85,rrcworking[RRC ID],0))</f>
        <v>0</v>
      </c>
      <c r="O85" s="5">
        <f>INDEX(rrcworking[Lease Use (MCF)],MATCH('November 2019 EDI'!F85,rrcworking[RRC ID],0))</f>
        <v>0</v>
      </c>
      <c r="P85" s="5">
        <f>INDEX(rrcworking[Disposition Volume (MCF) @ 14.65 MCF],MATCH('November 2019 EDI'!F85,rrcworking[RRC ID],0))</f>
        <v>0</v>
      </c>
      <c r="Y85" s="5">
        <f>INDEX(rrcworking[Oil Production],MATCH('November 2019 EDI'!F85,rrcworking[RRC ID],0))</f>
        <v>0</v>
      </c>
      <c r="AA85" s="5">
        <f>INDEX(rrcworking[Sales/Dispostion],MATCH('November 2019 EDI'!F85,rrcworking[RRC ID],0))</f>
        <v>0</v>
      </c>
      <c r="AQ85" s="5">
        <f>INDEX(rrcworking[Closing Stock (Oil)],MATCH('November 2019 EDI'!F85,rrcworking[RRC ID],0))</f>
        <v>0</v>
      </c>
    </row>
    <row r="86" spans="1:43">
      <c r="A86" s="4" t="s">
        <v>1</v>
      </c>
      <c r="B86" s="1" t="s">
        <v>989</v>
      </c>
      <c r="C86" s="10" t="s">
        <v>914</v>
      </c>
      <c r="D86" s="1" t="s">
        <v>621</v>
      </c>
      <c r="E86" s="1" t="s">
        <v>59</v>
      </c>
      <c r="F86" s="1" t="s">
        <v>497</v>
      </c>
      <c r="I86" s="10" t="s">
        <v>3</v>
      </c>
      <c r="J86" s="125" t="s">
        <v>3</v>
      </c>
      <c r="K86" s="1">
        <v>1471</v>
      </c>
      <c r="M86" s="5">
        <v>201911</v>
      </c>
      <c r="N86" s="5">
        <f>INDEX(rrcworking[Formation Production (MCF) @ 14.65 psi],MATCH('November 2019 EDI'!F86,rrcworking[RRC ID],0))</f>
        <v>0</v>
      </c>
      <c r="O86" s="5">
        <f>INDEX(rrcworking[Lease Use (MCF)],MATCH('November 2019 EDI'!F86,rrcworking[RRC ID],0))</f>
        <v>0</v>
      </c>
      <c r="P86" s="5">
        <f>INDEX(rrcworking[Disposition Volume (MCF) @ 14.65 MCF],MATCH('November 2019 EDI'!F86,rrcworking[RRC ID],0))</f>
        <v>0</v>
      </c>
      <c r="Y86" s="5">
        <f>INDEX(rrcworking[Oil Production],MATCH('November 2019 EDI'!F86,rrcworking[RRC ID],0))</f>
        <v>0</v>
      </c>
      <c r="AA86" s="5">
        <f>INDEX(rrcworking[Sales/Dispostion],MATCH('November 2019 EDI'!F86,rrcworking[RRC ID],0))</f>
        <v>0</v>
      </c>
      <c r="AQ86" s="5">
        <f>INDEX(rrcworking[Closing Stock (Oil)],MATCH('November 2019 EDI'!F86,rrcworking[RRC ID],0))</f>
        <v>0</v>
      </c>
    </row>
    <row r="87" spans="1:43">
      <c r="A87" s="4" t="s">
        <v>1</v>
      </c>
      <c r="B87" s="1" t="s">
        <v>990</v>
      </c>
      <c r="C87" s="10" t="s">
        <v>914</v>
      </c>
      <c r="D87" s="1" t="s">
        <v>621</v>
      </c>
      <c r="E87" s="1" t="s">
        <v>2</v>
      </c>
      <c r="F87" s="1" t="s">
        <v>498</v>
      </c>
      <c r="I87" s="10" t="s">
        <v>3</v>
      </c>
      <c r="J87" s="125" t="s">
        <v>3</v>
      </c>
      <c r="K87" s="1">
        <v>1471</v>
      </c>
      <c r="M87" s="5">
        <v>201911</v>
      </c>
      <c r="N87" s="5">
        <f>INDEX(rrcworking[Formation Production (MCF) @ 14.65 psi],MATCH('November 2019 EDI'!F87,rrcworking[RRC ID],0))</f>
        <v>0</v>
      </c>
      <c r="O87" s="5">
        <f>INDEX(rrcworking[Lease Use (MCF)],MATCH('November 2019 EDI'!F87,rrcworking[RRC ID],0))</f>
        <v>0</v>
      </c>
      <c r="P87" s="5">
        <f>INDEX(rrcworking[Disposition Volume (MCF) @ 14.65 MCF],MATCH('November 2019 EDI'!F87,rrcworking[RRC ID],0))</f>
        <v>0</v>
      </c>
      <c r="Y87" s="5">
        <f>INDEX(rrcworking[Oil Production],MATCH('November 2019 EDI'!F87,rrcworking[RRC ID],0))</f>
        <v>0</v>
      </c>
      <c r="AA87" s="5">
        <f>INDEX(rrcworking[Sales/Dispostion],MATCH('November 2019 EDI'!F87,rrcworking[RRC ID],0))</f>
        <v>0</v>
      </c>
      <c r="AQ87" s="5">
        <f>INDEX(rrcworking[Closing Stock (Oil)],MATCH('November 2019 EDI'!F87,rrcworking[RRC ID],0))</f>
        <v>0</v>
      </c>
    </row>
    <row r="88" spans="1:43">
      <c r="A88" s="4" t="s">
        <v>1</v>
      </c>
      <c r="B88" s="1" t="s">
        <v>991</v>
      </c>
      <c r="C88" s="10" t="s">
        <v>914</v>
      </c>
      <c r="D88" s="1" t="s">
        <v>621</v>
      </c>
      <c r="E88" s="1" t="s">
        <v>59</v>
      </c>
      <c r="F88" s="1" t="s">
        <v>499</v>
      </c>
      <c r="I88" s="10" t="s">
        <v>3</v>
      </c>
      <c r="J88" s="125" t="s">
        <v>3</v>
      </c>
      <c r="K88" s="1" t="s">
        <v>1097</v>
      </c>
      <c r="M88" s="5">
        <v>201911</v>
      </c>
      <c r="N88" s="5">
        <f>INDEX(rrcworking[Formation Production (MCF) @ 14.65 psi],MATCH('November 2019 EDI'!F88,rrcworking[RRC ID],0))</f>
        <v>0</v>
      </c>
      <c r="O88" s="5">
        <f>INDEX(rrcworking[Lease Use (MCF)],MATCH('November 2019 EDI'!F88,rrcworking[RRC ID],0))</f>
        <v>0</v>
      </c>
      <c r="P88" s="5">
        <f>INDEX(rrcworking[Disposition Volume (MCF) @ 14.65 MCF],MATCH('November 2019 EDI'!F88,rrcworking[RRC ID],0))</f>
        <v>0</v>
      </c>
      <c r="Y88" s="5">
        <f>INDEX(rrcworking[Oil Production],MATCH('November 2019 EDI'!F88,rrcworking[RRC ID],0))</f>
        <v>0</v>
      </c>
      <c r="AA88" s="5">
        <f>INDEX(rrcworking[Sales/Dispostion],MATCH('November 2019 EDI'!F88,rrcworking[RRC ID],0))</f>
        <v>0</v>
      </c>
      <c r="AQ88" s="5">
        <f>INDEX(rrcworking[Closing Stock (Oil)],MATCH('November 2019 EDI'!F88,rrcworking[RRC ID],0))</f>
        <v>0</v>
      </c>
    </row>
    <row r="89" spans="1:43">
      <c r="A89" s="4" t="s">
        <v>1</v>
      </c>
      <c r="B89" s="1" t="s">
        <v>992</v>
      </c>
      <c r="C89" s="10" t="s">
        <v>914</v>
      </c>
      <c r="D89" s="1" t="s">
        <v>621</v>
      </c>
      <c r="E89" s="1" t="s">
        <v>59</v>
      </c>
      <c r="F89" s="1" t="s">
        <v>500</v>
      </c>
      <c r="I89" s="10" t="s">
        <v>3</v>
      </c>
      <c r="J89" s="125" t="s">
        <v>3</v>
      </c>
      <c r="K89" s="1" t="s">
        <v>1097</v>
      </c>
      <c r="M89" s="5">
        <v>201911</v>
      </c>
      <c r="N89" s="5">
        <f>INDEX(rrcworking[Formation Production (MCF) @ 14.65 psi],MATCH('November 2019 EDI'!F89,rrcworking[RRC ID],0))</f>
        <v>0</v>
      </c>
      <c r="O89" s="5">
        <f>INDEX(rrcworking[Lease Use (MCF)],MATCH('November 2019 EDI'!F89,rrcworking[RRC ID],0))</f>
        <v>0</v>
      </c>
      <c r="P89" s="5">
        <f>INDEX(rrcworking[Disposition Volume (MCF) @ 14.65 MCF],MATCH('November 2019 EDI'!F89,rrcworking[RRC ID],0))</f>
        <v>0</v>
      </c>
      <c r="Y89" s="5">
        <f>INDEX(rrcworking[Oil Production],MATCH('November 2019 EDI'!F89,rrcworking[RRC ID],0))</f>
        <v>241</v>
      </c>
      <c r="AA89" s="5">
        <f>INDEX(rrcworking[Sales/Dispostion],MATCH('November 2019 EDI'!F89,rrcworking[RRC ID],0))</f>
        <v>170</v>
      </c>
      <c r="AQ89" s="5">
        <f>INDEX(rrcworking[Closing Stock (Oil)],MATCH('November 2019 EDI'!F89,rrcworking[RRC ID],0))</f>
        <v>225</v>
      </c>
    </row>
    <row r="90" spans="1:43">
      <c r="A90" s="4" t="s">
        <v>1</v>
      </c>
      <c r="B90" s="1" t="s">
        <v>993</v>
      </c>
      <c r="C90" s="10" t="s">
        <v>914</v>
      </c>
      <c r="D90" s="1" t="s">
        <v>621</v>
      </c>
      <c r="E90" s="1" t="s">
        <v>2</v>
      </c>
      <c r="F90" s="1" t="s">
        <v>501</v>
      </c>
      <c r="I90" s="10" t="s">
        <v>3</v>
      </c>
      <c r="J90" s="125" t="s">
        <v>3</v>
      </c>
      <c r="K90" s="1" t="s">
        <v>1097</v>
      </c>
      <c r="M90" s="5">
        <v>201911</v>
      </c>
      <c r="N90" s="5">
        <f>INDEX(rrcworking[Formation Production (MCF) @ 14.65 psi],MATCH('November 2019 EDI'!F90,rrcworking[RRC ID],0))</f>
        <v>414</v>
      </c>
      <c r="O90" s="5">
        <f>INDEX(rrcworking[Lease Use (MCF)],MATCH('November 2019 EDI'!F90,rrcworking[RRC ID],0))</f>
        <v>30</v>
      </c>
      <c r="P90" s="5">
        <f>INDEX(rrcworking[Disposition Volume (MCF) @ 14.65 MCF],MATCH('November 2019 EDI'!F90,rrcworking[RRC ID],0))</f>
        <v>384</v>
      </c>
      <c r="Y90" s="5">
        <f>INDEX(rrcworking[Oil Production],MATCH('November 2019 EDI'!F90,rrcworking[RRC ID],0))</f>
        <v>492</v>
      </c>
      <c r="AA90" s="5">
        <f>INDEX(rrcworking[Sales/Dispostion],MATCH('November 2019 EDI'!F90,rrcworking[RRC ID],0))</f>
        <v>540</v>
      </c>
      <c r="AQ90" s="5">
        <f>INDEX(rrcworking[Closing Stock (Oil)],MATCH('November 2019 EDI'!F90,rrcworking[RRC ID],0))</f>
        <v>129</v>
      </c>
    </row>
    <row r="91" spans="1:43">
      <c r="A91" s="4" t="s">
        <v>1</v>
      </c>
      <c r="B91" s="1" t="s">
        <v>994</v>
      </c>
      <c r="C91" s="10" t="s">
        <v>914</v>
      </c>
      <c r="D91" s="1" t="s">
        <v>621</v>
      </c>
      <c r="E91" s="1" t="s">
        <v>2</v>
      </c>
      <c r="F91" s="1" t="s">
        <v>502</v>
      </c>
      <c r="I91" s="10" t="s">
        <v>3</v>
      </c>
      <c r="J91" s="125" t="s">
        <v>3</v>
      </c>
      <c r="K91" s="1" t="s">
        <v>1097</v>
      </c>
      <c r="M91" s="5">
        <v>201911</v>
      </c>
      <c r="N91" s="5">
        <f>INDEX(rrcworking[Formation Production (MCF) @ 14.65 psi],MATCH('November 2019 EDI'!F91,rrcworking[RRC ID],0))</f>
        <v>0</v>
      </c>
      <c r="O91" s="5">
        <f>INDEX(rrcworking[Lease Use (MCF)],MATCH('November 2019 EDI'!F91,rrcworking[RRC ID],0))</f>
        <v>0</v>
      </c>
      <c r="P91" s="5">
        <f>INDEX(rrcworking[Disposition Volume (MCF) @ 14.65 MCF],MATCH('November 2019 EDI'!F91,rrcworking[RRC ID],0))</f>
        <v>0</v>
      </c>
      <c r="Y91" s="5">
        <f>INDEX(rrcworking[Oil Production],MATCH('November 2019 EDI'!F91,rrcworking[RRC ID],0))</f>
        <v>0</v>
      </c>
      <c r="AA91" s="5">
        <f>INDEX(rrcworking[Sales/Dispostion],MATCH('November 2019 EDI'!F91,rrcworking[RRC ID],0))</f>
        <v>0</v>
      </c>
      <c r="AQ91" s="5">
        <f>INDEX(rrcworking[Closing Stock (Oil)],MATCH('November 2019 EDI'!F91,rrcworking[RRC ID],0))</f>
        <v>68</v>
      </c>
    </row>
    <row r="92" spans="1:43">
      <c r="A92" s="4" t="s">
        <v>1</v>
      </c>
      <c r="B92" s="1" t="s">
        <v>995</v>
      </c>
      <c r="C92" s="10" t="s">
        <v>914</v>
      </c>
      <c r="D92" s="1" t="s">
        <v>621</v>
      </c>
      <c r="E92" s="1" t="s">
        <v>59</v>
      </c>
      <c r="F92" s="1" t="s">
        <v>503</v>
      </c>
      <c r="I92" s="10" t="s">
        <v>3</v>
      </c>
      <c r="J92" s="125" t="s">
        <v>3</v>
      </c>
      <c r="K92" s="1" t="s">
        <v>1097</v>
      </c>
      <c r="M92" s="5">
        <v>201911</v>
      </c>
      <c r="N92" s="5">
        <f>INDEX(rrcworking[Formation Production (MCF) @ 14.65 psi],MATCH('November 2019 EDI'!F92,rrcworking[RRC ID],0))</f>
        <v>0</v>
      </c>
      <c r="O92" s="5">
        <f>INDEX(rrcworking[Lease Use (MCF)],MATCH('November 2019 EDI'!F92,rrcworking[RRC ID],0))</f>
        <v>0</v>
      </c>
      <c r="P92" s="5">
        <f>INDEX(rrcworking[Disposition Volume (MCF) @ 14.65 MCF],MATCH('November 2019 EDI'!F92,rrcworking[RRC ID],0))</f>
        <v>0</v>
      </c>
      <c r="Y92" s="5">
        <f>INDEX(rrcworking[Oil Production],MATCH('November 2019 EDI'!F92,rrcworking[RRC ID],0))</f>
        <v>0</v>
      </c>
      <c r="AA92" s="5">
        <f>INDEX(rrcworking[Sales/Dispostion],MATCH('November 2019 EDI'!F92,rrcworking[RRC ID],0))</f>
        <v>0</v>
      </c>
      <c r="AQ92" s="5">
        <f>INDEX(rrcworking[Closing Stock (Oil)],MATCH('November 2019 EDI'!F92,rrcworking[RRC ID],0))</f>
        <v>0</v>
      </c>
    </row>
    <row r="93" spans="1:43">
      <c r="A93" s="4" t="s">
        <v>1</v>
      </c>
      <c r="B93" s="1" t="s">
        <v>996</v>
      </c>
      <c r="C93" s="10" t="s">
        <v>914</v>
      </c>
      <c r="D93" s="1" t="s">
        <v>621</v>
      </c>
      <c r="E93" s="1" t="s">
        <v>59</v>
      </c>
      <c r="F93" s="1" t="s">
        <v>504</v>
      </c>
      <c r="I93" s="10" t="s">
        <v>3</v>
      </c>
      <c r="J93" s="125" t="s">
        <v>3</v>
      </c>
      <c r="K93" s="1" t="s">
        <v>1097</v>
      </c>
      <c r="M93" s="5">
        <v>201911</v>
      </c>
      <c r="N93" s="5">
        <f>INDEX(rrcworking[Formation Production (MCF) @ 14.65 psi],MATCH('November 2019 EDI'!F93,rrcworking[RRC ID],0))</f>
        <v>0</v>
      </c>
      <c r="O93" s="5">
        <f>INDEX(rrcworking[Lease Use (MCF)],MATCH('November 2019 EDI'!F93,rrcworking[RRC ID],0))</f>
        <v>0</v>
      </c>
      <c r="P93" s="5">
        <f>INDEX(rrcworking[Disposition Volume (MCF) @ 14.65 MCF],MATCH('November 2019 EDI'!F93,rrcworking[RRC ID],0))</f>
        <v>0</v>
      </c>
      <c r="Y93" s="5">
        <f>INDEX(rrcworking[Oil Production],MATCH('November 2019 EDI'!F93,rrcworking[RRC ID],0))</f>
        <v>0</v>
      </c>
      <c r="AA93" s="5">
        <f>INDEX(rrcworking[Sales/Dispostion],MATCH('November 2019 EDI'!F93,rrcworking[RRC ID],0))</f>
        <v>0</v>
      </c>
      <c r="AQ93" s="5">
        <f>INDEX(rrcworking[Closing Stock (Oil)],MATCH('November 2019 EDI'!F93,rrcworking[RRC ID],0))</f>
        <v>0</v>
      </c>
    </row>
    <row r="94" spans="1:43">
      <c r="A94" s="4" t="s">
        <v>1</v>
      </c>
      <c r="B94" s="1" t="s">
        <v>997</v>
      </c>
      <c r="C94" s="10" t="s">
        <v>914</v>
      </c>
      <c r="D94" s="1" t="s">
        <v>621</v>
      </c>
      <c r="E94" s="1" t="s">
        <v>2</v>
      </c>
      <c r="F94" s="1" t="s">
        <v>505</v>
      </c>
      <c r="I94" s="10" t="s">
        <v>3</v>
      </c>
      <c r="J94" s="125" t="s">
        <v>3</v>
      </c>
      <c r="K94" s="1" t="s">
        <v>1097</v>
      </c>
      <c r="M94" s="5">
        <v>201911</v>
      </c>
      <c r="N94" s="5">
        <f>INDEX(rrcworking[Formation Production (MCF) @ 14.65 psi],MATCH('November 2019 EDI'!F94,rrcworking[RRC ID],0))</f>
        <v>0</v>
      </c>
      <c r="O94" s="5">
        <f>INDEX(rrcworking[Lease Use (MCF)],MATCH('November 2019 EDI'!F94,rrcworking[RRC ID],0))</f>
        <v>0</v>
      </c>
      <c r="P94" s="5">
        <f>INDEX(rrcworking[Disposition Volume (MCF) @ 14.65 MCF],MATCH('November 2019 EDI'!F94,rrcworking[RRC ID],0))</f>
        <v>0</v>
      </c>
      <c r="Y94" s="5">
        <f>INDEX(rrcworking[Oil Production],MATCH('November 2019 EDI'!F94,rrcworking[RRC ID],0))</f>
        <v>67</v>
      </c>
      <c r="AA94" s="5">
        <f>INDEX(rrcworking[Sales/Dispostion],MATCH('November 2019 EDI'!F94,rrcworking[RRC ID],0))</f>
        <v>149</v>
      </c>
      <c r="AQ94" s="5">
        <f>INDEX(rrcworking[Closing Stock (Oil)],MATCH('November 2019 EDI'!F94,rrcworking[RRC ID],0))</f>
        <v>28</v>
      </c>
    </row>
    <row r="95" spans="1:43">
      <c r="A95" s="4" t="s">
        <v>1</v>
      </c>
      <c r="B95" s="1" t="s">
        <v>998</v>
      </c>
      <c r="C95" s="10" t="s">
        <v>914</v>
      </c>
      <c r="D95" s="1" t="s">
        <v>621</v>
      </c>
      <c r="E95" s="1" t="s">
        <v>59</v>
      </c>
      <c r="F95" s="1" t="s">
        <v>506</v>
      </c>
      <c r="I95" s="10" t="s">
        <v>3</v>
      </c>
      <c r="J95" s="125" t="s">
        <v>3</v>
      </c>
      <c r="K95" s="1" t="s">
        <v>1097</v>
      </c>
      <c r="M95" s="5">
        <v>201911</v>
      </c>
      <c r="N95" s="5">
        <f>INDEX(rrcworking[Formation Production (MCF) @ 14.65 psi],MATCH('November 2019 EDI'!F95,rrcworking[RRC ID],0))</f>
        <v>15890</v>
      </c>
      <c r="O95" s="5">
        <f>INDEX(rrcworking[Lease Use (MCF)],MATCH('November 2019 EDI'!F95,rrcworking[RRC ID],0))</f>
        <v>450</v>
      </c>
      <c r="P95" s="5">
        <f>INDEX(rrcworking[Disposition Volume (MCF) @ 14.65 MCF],MATCH('November 2019 EDI'!F95,rrcworking[RRC ID],0))</f>
        <v>15440</v>
      </c>
      <c r="Y95" s="5">
        <f>INDEX(rrcworking[Oil Production],MATCH('November 2019 EDI'!F95,rrcworking[RRC ID],0))</f>
        <v>173</v>
      </c>
      <c r="AA95" s="5">
        <f>INDEX(rrcworking[Sales/Dispostion],MATCH('November 2019 EDI'!F95,rrcworking[RRC ID],0))</f>
        <v>169</v>
      </c>
      <c r="AQ95" s="5">
        <f>INDEX(rrcworking[Closing Stock (Oil)],MATCH('November 2019 EDI'!F95,rrcworking[RRC ID],0))</f>
        <v>159</v>
      </c>
    </row>
    <row r="96" spans="1:43">
      <c r="A96" s="4" t="s">
        <v>1</v>
      </c>
      <c r="B96" s="1" t="s">
        <v>999</v>
      </c>
      <c r="C96" s="10" t="s">
        <v>914</v>
      </c>
      <c r="D96" s="1" t="s">
        <v>621</v>
      </c>
      <c r="E96" s="1" t="s">
        <v>59</v>
      </c>
      <c r="F96" s="1" t="s">
        <v>507</v>
      </c>
      <c r="I96" s="10" t="s">
        <v>3</v>
      </c>
      <c r="J96" s="125" t="s">
        <v>3</v>
      </c>
      <c r="K96" s="1" t="s">
        <v>1097</v>
      </c>
      <c r="M96" s="5">
        <v>201911</v>
      </c>
      <c r="N96" s="5">
        <f>INDEX(rrcworking[Formation Production (MCF) @ 14.65 psi],MATCH('November 2019 EDI'!F96,rrcworking[RRC ID],0))</f>
        <v>1349</v>
      </c>
      <c r="O96" s="5">
        <f>INDEX(rrcworking[Lease Use (MCF)],MATCH('November 2019 EDI'!F96,rrcworking[RRC ID],0))</f>
        <v>0</v>
      </c>
      <c r="P96" s="5">
        <f>INDEX(rrcworking[Disposition Volume (MCF) @ 14.65 MCF],MATCH('November 2019 EDI'!F96,rrcworking[RRC ID],0))</f>
        <v>1349</v>
      </c>
      <c r="Y96" s="5">
        <f>INDEX(rrcworking[Oil Production],MATCH('November 2019 EDI'!F96,rrcworking[RRC ID],0))</f>
        <v>20</v>
      </c>
      <c r="AA96" s="5">
        <f>INDEX(rrcworking[Sales/Dispostion],MATCH('November 2019 EDI'!F96,rrcworking[RRC ID],0))</f>
        <v>0</v>
      </c>
      <c r="AQ96" s="5">
        <f>INDEX(rrcworking[Closing Stock (Oil)],MATCH('November 2019 EDI'!F96,rrcworking[RRC ID],0))</f>
        <v>77</v>
      </c>
    </row>
    <row r="97" spans="1:43">
      <c r="A97" s="4" t="s">
        <v>1</v>
      </c>
      <c r="B97" s="1" t="s">
        <v>1000</v>
      </c>
      <c r="C97" s="10" t="s">
        <v>914</v>
      </c>
      <c r="D97" s="1" t="s">
        <v>621</v>
      </c>
      <c r="E97" s="1" t="s">
        <v>59</v>
      </c>
      <c r="F97" s="1" t="s">
        <v>508</v>
      </c>
      <c r="I97" s="10" t="s">
        <v>3</v>
      </c>
      <c r="J97" s="125" t="s">
        <v>3</v>
      </c>
      <c r="K97" s="1" t="s">
        <v>1097</v>
      </c>
      <c r="M97" s="5">
        <v>201911</v>
      </c>
      <c r="N97" s="5">
        <f>INDEX(rrcworking[Formation Production (MCF) @ 14.65 psi],MATCH('November 2019 EDI'!F97,rrcworking[RRC ID],0))</f>
        <v>0</v>
      </c>
      <c r="O97" s="5">
        <f>INDEX(rrcworking[Lease Use (MCF)],MATCH('November 2019 EDI'!F97,rrcworking[RRC ID],0))</f>
        <v>0</v>
      </c>
      <c r="P97" s="5">
        <f>INDEX(rrcworking[Disposition Volume (MCF) @ 14.65 MCF],MATCH('November 2019 EDI'!F97,rrcworking[RRC ID],0))</f>
        <v>0</v>
      </c>
      <c r="Y97" s="5">
        <f>INDEX(rrcworking[Oil Production],MATCH('November 2019 EDI'!F97,rrcworking[RRC ID],0))</f>
        <v>0</v>
      </c>
      <c r="AA97" s="5">
        <f>INDEX(rrcworking[Sales/Dispostion],MATCH('November 2019 EDI'!F97,rrcworking[RRC ID],0))</f>
        <v>0</v>
      </c>
      <c r="AQ97" s="5">
        <f>INDEX(rrcworking[Closing Stock (Oil)],MATCH('November 2019 EDI'!F97,rrcworking[RRC ID],0))</f>
        <v>0</v>
      </c>
    </row>
    <row r="98" spans="1:43">
      <c r="A98" s="4" t="s">
        <v>1</v>
      </c>
      <c r="B98" s="1" t="s">
        <v>1001</v>
      </c>
      <c r="C98" s="10" t="s">
        <v>914</v>
      </c>
      <c r="D98" s="1" t="s">
        <v>621</v>
      </c>
      <c r="E98" s="1" t="s">
        <v>2</v>
      </c>
      <c r="F98" s="1" t="s">
        <v>509</v>
      </c>
      <c r="I98" s="10" t="s">
        <v>3</v>
      </c>
      <c r="J98" s="125" t="s">
        <v>3</v>
      </c>
      <c r="K98" s="1" t="s">
        <v>1097</v>
      </c>
      <c r="M98" s="5">
        <v>201911</v>
      </c>
      <c r="N98" s="5">
        <f>INDEX(rrcworking[Formation Production (MCF) @ 14.65 psi],MATCH('November 2019 EDI'!F98,rrcworking[RRC ID],0))</f>
        <v>0</v>
      </c>
      <c r="O98" s="5">
        <f>INDEX(rrcworking[Lease Use (MCF)],MATCH('November 2019 EDI'!F98,rrcworking[RRC ID],0))</f>
        <v>0</v>
      </c>
      <c r="P98" s="5">
        <f>INDEX(rrcworking[Disposition Volume (MCF) @ 14.65 MCF],MATCH('November 2019 EDI'!F98,rrcworking[RRC ID],0))</f>
        <v>0</v>
      </c>
      <c r="Y98" s="5">
        <f>INDEX(rrcworking[Oil Production],MATCH('November 2019 EDI'!F98,rrcworking[RRC ID],0))</f>
        <v>0</v>
      </c>
      <c r="AA98" s="5">
        <f>INDEX(rrcworking[Sales/Dispostion],MATCH('November 2019 EDI'!F98,rrcworking[RRC ID],0))</f>
        <v>0</v>
      </c>
      <c r="AQ98" s="5">
        <f>INDEX(rrcworking[Closing Stock (Oil)],MATCH('November 2019 EDI'!F98,rrcworking[RRC ID],0))</f>
        <v>0</v>
      </c>
    </row>
    <row r="99" spans="1:43">
      <c r="A99" s="4" t="s">
        <v>1</v>
      </c>
      <c r="B99" s="1" t="s">
        <v>1002</v>
      </c>
      <c r="C99" s="10" t="s">
        <v>914</v>
      </c>
      <c r="D99" s="1" t="s">
        <v>621</v>
      </c>
      <c r="E99" s="1" t="s">
        <v>59</v>
      </c>
      <c r="F99" s="1" t="s">
        <v>510</v>
      </c>
      <c r="I99" s="10" t="s">
        <v>3</v>
      </c>
      <c r="J99" s="125" t="s">
        <v>3</v>
      </c>
      <c r="K99" s="1" t="s">
        <v>1097</v>
      </c>
      <c r="M99" s="5">
        <v>201911</v>
      </c>
      <c r="N99" s="5">
        <f>INDEX(rrcworking[Formation Production (MCF) @ 14.65 psi],MATCH('November 2019 EDI'!F99,rrcworking[RRC ID],0))</f>
        <v>0</v>
      </c>
      <c r="O99" s="5">
        <f>INDEX(rrcworking[Lease Use (MCF)],MATCH('November 2019 EDI'!F99,rrcworking[RRC ID],0))</f>
        <v>0</v>
      </c>
      <c r="P99" s="5">
        <f>INDEX(rrcworking[Disposition Volume (MCF) @ 14.65 MCF],MATCH('November 2019 EDI'!F99,rrcworking[RRC ID],0))</f>
        <v>0</v>
      </c>
      <c r="Y99" s="5">
        <f>INDEX(rrcworking[Oil Production],MATCH('November 2019 EDI'!F99,rrcworking[RRC ID],0))</f>
        <v>0</v>
      </c>
      <c r="AA99" s="5">
        <f>INDEX(rrcworking[Sales/Dispostion],MATCH('November 2019 EDI'!F99,rrcworking[RRC ID],0))</f>
        <v>0</v>
      </c>
      <c r="AQ99" s="5">
        <f>INDEX(rrcworking[Closing Stock (Oil)],MATCH('November 2019 EDI'!F99,rrcworking[RRC ID],0))</f>
        <v>0</v>
      </c>
    </row>
    <row r="100" spans="1:43">
      <c r="A100" s="4" t="s">
        <v>1</v>
      </c>
      <c r="B100" s="1" t="s">
        <v>1003</v>
      </c>
      <c r="C100" s="10" t="s">
        <v>914</v>
      </c>
      <c r="D100" s="1" t="s">
        <v>621</v>
      </c>
      <c r="E100" s="1" t="s">
        <v>59</v>
      </c>
      <c r="F100" s="1" t="s">
        <v>511</v>
      </c>
      <c r="I100" s="10" t="s">
        <v>3</v>
      </c>
      <c r="J100" s="125" t="s">
        <v>3</v>
      </c>
      <c r="K100" s="1" t="s">
        <v>1097</v>
      </c>
      <c r="M100" s="5">
        <v>201911</v>
      </c>
      <c r="N100" s="5">
        <f>INDEX(rrcworking[Formation Production (MCF) @ 14.65 psi],MATCH('November 2019 EDI'!F100,rrcworking[RRC ID],0))</f>
        <v>0</v>
      </c>
      <c r="O100" s="5">
        <f>INDEX(rrcworking[Lease Use (MCF)],MATCH('November 2019 EDI'!F100,rrcworking[RRC ID],0))</f>
        <v>0</v>
      </c>
      <c r="P100" s="5">
        <f>INDEX(rrcworking[Disposition Volume (MCF) @ 14.65 MCF],MATCH('November 2019 EDI'!F100,rrcworking[RRC ID],0))</f>
        <v>0</v>
      </c>
      <c r="Y100" s="5">
        <f>INDEX(rrcworking[Oil Production],MATCH('November 2019 EDI'!F100,rrcworking[RRC ID],0))</f>
        <v>0</v>
      </c>
      <c r="AA100" s="5">
        <f>INDEX(rrcworking[Sales/Dispostion],MATCH('November 2019 EDI'!F100,rrcworking[RRC ID],0))</f>
        <v>0</v>
      </c>
      <c r="AQ100" s="5">
        <f>INDEX(rrcworking[Closing Stock (Oil)],MATCH('November 2019 EDI'!F100,rrcworking[RRC ID],0))</f>
        <v>0</v>
      </c>
    </row>
    <row r="101" spans="1:43">
      <c r="A101" s="4" t="s">
        <v>1</v>
      </c>
      <c r="B101" s="1" t="s">
        <v>1004</v>
      </c>
      <c r="C101" s="10" t="s">
        <v>914</v>
      </c>
      <c r="D101" s="1" t="s">
        <v>621</v>
      </c>
      <c r="E101" s="1" t="s">
        <v>59</v>
      </c>
      <c r="F101" s="1" t="s">
        <v>512</v>
      </c>
      <c r="I101" s="10" t="s">
        <v>3</v>
      </c>
      <c r="J101" s="125" t="s">
        <v>3</v>
      </c>
      <c r="K101" s="1" t="s">
        <v>1097</v>
      </c>
      <c r="M101" s="5">
        <v>201911</v>
      </c>
      <c r="N101" s="5">
        <f>INDEX(rrcworking[Formation Production (MCF) @ 14.65 psi],MATCH('November 2019 EDI'!F101,rrcworking[RRC ID],0))</f>
        <v>1840</v>
      </c>
      <c r="O101" s="5">
        <f>INDEX(rrcworking[Lease Use (MCF)],MATCH('November 2019 EDI'!F101,rrcworking[RRC ID],0))</f>
        <v>105</v>
      </c>
      <c r="P101" s="5">
        <f>INDEX(rrcworking[Disposition Volume (MCF) @ 14.65 MCF],MATCH('November 2019 EDI'!F101,rrcworking[RRC ID],0))</f>
        <v>1735</v>
      </c>
      <c r="Y101" s="5">
        <f>INDEX(rrcworking[Oil Production],MATCH('November 2019 EDI'!F101,rrcworking[RRC ID],0))</f>
        <v>17</v>
      </c>
      <c r="AA101" s="5">
        <f>INDEX(rrcworking[Sales/Dispostion],MATCH('November 2019 EDI'!F101,rrcworking[RRC ID],0))</f>
        <v>0</v>
      </c>
      <c r="AQ101" s="5">
        <f>INDEX(rrcworking[Closing Stock (Oil)],MATCH('November 2019 EDI'!F101,rrcworking[RRC ID],0))</f>
        <v>87</v>
      </c>
    </row>
    <row r="102" spans="1:43">
      <c r="A102" s="4" t="s">
        <v>1</v>
      </c>
      <c r="B102" s="1" t="s">
        <v>1005</v>
      </c>
      <c r="C102" s="10" t="s">
        <v>914</v>
      </c>
      <c r="D102" s="1" t="s">
        <v>621</v>
      </c>
      <c r="E102" s="1" t="s">
        <v>2</v>
      </c>
      <c r="F102" s="1" t="s">
        <v>513</v>
      </c>
      <c r="I102" s="10" t="s">
        <v>3</v>
      </c>
      <c r="J102" s="125" t="s">
        <v>3</v>
      </c>
      <c r="K102" s="1" t="s">
        <v>1097</v>
      </c>
      <c r="M102" s="5">
        <v>201911</v>
      </c>
      <c r="N102" s="5">
        <f>INDEX(rrcworking[Formation Production (MCF) @ 14.65 psi],MATCH('November 2019 EDI'!F102,rrcworking[RRC ID],0))</f>
        <v>35</v>
      </c>
      <c r="O102" s="5">
        <f>INDEX(rrcworking[Lease Use (MCF)],MATCH('November 2019 EDI'!F102,rrcworking[RRC ID],0))</f>
        <v>15</v>
      </c>
      <c r="P102" s="5">
        <f>INDEX(rrcworking[Disposition Volume (MCF) @ 14.65 MCF],MATCH('November 2019 EDI'!F102,rrcworking[RRC ID],0))</f>
        <v>20</v>
      </c>
      <c r="Y102" s="5">
        <f>INDEX(rrcworking[Oil Production],MATCH('November 2019 EDI'!F102,rrcworking[RRC ID],0))</f>
        <v>0</v>
      </c>
      <c r="AA102" s="5">
        <f>INDEX(rrcworking[Sales/Dispostion],MATCH('November 2019 EDI'!F102,rrcworking[RRC ID],0))</f>
        <v>0</v>
      </c>
      <c r="AQ102" s="5">
        <f>INDEX(rrcworking[Closing Stock (Oil)],MATCH('November 2019 EDI'!F102,rrcworking[RRC ID],0))</f>
        <v>30</v>
      </c>
    </row>
    <row r="103" spans="1:43">
      <c r="A103" s="4" t="s">
        <v>1</v>
      </c>
      <c r="B103" s="1" t="s">
        <v>1006</v>
      </c>
      <c r="C103" s="10" t="s">
        <v>914</v>
      </c>
      <c r="D103" s="1" t="s">
        <v>621</v>
      </c>
      <c r="E103" s="1" t="s">
        <v>59</v>
      </c>
      <c r="F103" s="1" t="s">
        <v>514</v>
      </c>
      <c r="I103" s="10" t="s">
        <v>3</v>
      </c>
      <c r="J103" s="125" t="s">
        <v>3</v>
      </c>
      <c r="K103" s="1" t="s">
        <v>1097</v>
      </c>
      <c r="M103" s="5">
        <v>201911</v>
      </c>
      <c r="N103" s="5">
        <f>INDEX(rrcworking[Formation Production (MCF) @ 14.65 psi],MATCH('November 2019 EDI'!F103,rrcworking[RRC ID],0))</f>
        <v>0</v>
      </c>
      <c r="O103" s="5">
        <f>INDEX(rrcworking[Lease Use (MCF)],MATCH('November 2019 EDI'!F103,rrcworking[RRC ID],0))</f>
        <v>0</v>
      </c>
      <c r="P103" s="5">
        <f>INDEX(rrcworking[Disposition Volume (MCF) @ 14.65 MCF],MATCH('November 2019 EDI'!F103,rrcworking[RRC ID],0))</f>
        <v>0</v>
      </c>
      <c r="Y103" s="5">
        <f>INDEX(rrcworking[Oil Production],MATCH('November 2019 EDI'!F103,rrcworking[RRC ID],0))</f>
        <v>0</v>
      </c>
      <c r="AA103" s="5">
        <f>INDEX(rrcworking[Sales/Dispostion],MATCH('November 2019 EDI'!F103,rrcworking[RRC ID],0))</f>
        <v>0</v>
      </c>
      <c r="AQ103" s="5">
        <f>INDEX(rrcworking[Closing Stock (Oil)],MATCH('November 2019 EDI'!F103,rrcworking[RRC ID],0))</f>
        <v>0</v>
      </c>
    </row>
    <row r="104" spans="1:43">
      <c r="A104" s="4" t="s">
        <v>1</v>
      </c>
      <c r="B104" s="1" t="s">
        <v>1007</v>
      </c>
      <c r="C104" s="10" t="s">
        <v>914</v>
      </c>
      <c r="D104" s="1" t="s">
        <v>621</v>
      </c>
      <c r="E104" s="1" t="s">
        <v>59</v>
      </c>
      <c r="F104" s="1" t="s">
        <v>515</v>
      </c>
      <c r="I104" s="10" t="s">
        <v>3</v>
      </c>
      <c r="J104" s="125" t="s">
        <v>3</v>
      </c>
      <c r="K104" s="1" t="s">
        <v>1097</v>
      </c>
      <c r="M104" s="5">
        <v>201911</v>
      </c>
      <c r="N104" s="5">
        <f>INDEX(rrcworking[Formation Production (MCF) @ 14.65 psi],MATCH('November 2019 EDI'!F104,rrcworking[RRC ID],0))</f>
        <v>0</v>
      </c>
      <c r="O104" s="5">
        <f>INDEX(rrcworking[Lease Use (MCF)],MATCH('November 2019 EDI'!F104,rrcworking[RRC ID],0))</f>
        <v>0</v>
      </c>
      <c r="P104" s="5">
        <f>INDEX(rrcworking[Disposition Volume (MCF) @ 14.65 MCF],MATCH('November 2019 EDI'!F104,rrcworking[RRC ID],0))</f>
        <v>0</v>
      </c>
      <c r="Y104" s="5">
        <f>INDEX(rrcworking[Oil Production],MATCH('November 2019 EDI'!F104,rrcworking[RRC ID],0))</f>
        <v>0</v>
      </c>
      <c r="AA104" s="5">
        <f>INDEX(rrcworking[Sales/Dispostion],MATCH('November 2019 EDI'!F104,rrcworking[RRC ID],0))</f>
        <v>0</v>
      </c>
      <c r="AQ104" s="5">
        <f>INDEX(rrcworking[Closing Stock (Oil)],MATCH('November 2019 EDI'!F104,rrcworking[RRC ID],0))</f>
        <v>0</v>
      </c>
    </row>
    <row r="105" spans="1:43">
      <c r="A105" s="4" t="s">
        <v>1</v>
      </c>
      <c r="B105" s="1" t="s">
        <v>1008</v>
      </c>
      <c r="C105" s="10" t="s">
        <v>914</v>
      </c>
      <c r="D105" s="1" t="s">
        <v>621</v>
      </c>
      <c r="E105" s="1" t="s">
        <v>59</v>
      </c>
      <c r="F105" s="1" t="s">
        <v>516</v>
      </c>
      <c r="I105" s="10" t="s">
        <v>3</v>
      </c>
      <c r="J105" s="125" t="s">
        <v>3</v>
      </c>
      <c r="K105" s="1" t="s">
        <v>1097</v>
      </c>
      <c r="M105" s="5">
        <v>201911</v>
      </c>
      <c r="N105" s="5">
        <f>INDEX(rrcworking[Formation Production (MCF) @ 14.65 psi],MATCH('November 2019 EDI'!F105,rrcworking[RRC ID],0))</f>
        <v>17865</v>
      </c>
      <c r="O105" s="5">
        <f>INDEX(rrcworking[Lease Use (MCF)],MATCH('November 2019 EDI'!F105,rrcworking[RRC ID],0))</f>
        <v>750</v>
      </c>
      <c r="P105" s="5">
        <f>INDEX(rrcworking[Disposition Volume (MCF) @ 14.65 MCF],MATCH('November 2019 EDI'!F105,rrcworking[RRC ID],0))</f>
        <v>17115</v>
      </c>
      <c r="Y105" s="5">
        <f>INDEX(rrcworking[Oil Production],MATCH('November 2019 EDI'!F105,rrcworking[RRC ID],0))</f>
        <v>82</v>
      </c>
      <c r="AA105" s="5">
        <f>INDEX(rrcworking[Sales/Dispostion],MATCH('November 2019 EDI'!F105,rrcworking[RRC ID],0))</f>
        <v>179</v>
      </c>
      <c r="AQ105" s="5">
        <f>INDEX(rrcworking[Closing Stock (Oil)],MATCH('November 2019 EDI'!F105,rrcworking[RRC ID],0))</f>
        <v>73</v>
      </c>
    </row>
    <row r="106" spans="1:43">
      <c r="A106" s="4" t="s">
        <v>1</v>
      </c>
      <c r="B106" s="1" t="s">
        <v>1009</v>
      </c>
      <c r="C106" s="10" t="s">
        <v>914</v>
      </c>
      <c r="D106" s="1" t="s">
        <v>621</v>
      </c>
      <c r="E106" s="1" t="s">
        <v>59</v>
      </c>
      <c r="F106" s="1" t="s">
        <v>517</v>
      </c>
      <c r="I106" s="10" t="s">
        <v>3</v>
      </c>
      <c r="J106" s="125" t="s">
        <v>3</v>
      </c>
      <c r="K106" s="1" t="s">
        <v>1097</v>
      </c>
      <c r="M106" s="5">
        <v>201911</v>
      </c>
      <c r="N106" s="5">
        <f>INDEX(rrcworking[Formation Production (MCF) @ 14.65 psi],MATCH('November 2019 EDI'!F106,rrcworking[RRC ID],0))</f>
        <v>545</v>
      </c>
      <c r="O106" s="5">
        <f>INDEX(rrcworking[Lease Use (MCF)],MATCH('November 2019 EDI'!F106,rrcworking[RRC ID],0))</f>
        <v>0</v>
      </c>
      <c r="P106" s="5">
        <f>INDEX(rrcworking[Disposition Volume (MCF) @ 14.65 MCF],MATCH('November 2019 EDI'!F106,rrcworking[RRC ID],0))</f>
        <v>545</v>
      </c>
      <c r="Y106" s="5">
        <f>INDEX(rrcworking[Oil Production],MATCH('November 2019 EDI'!F106,rrcworking[RRC ID],0))</f>
        <v>14</v>
      </c>
      <c r="AA106" s="5">
        <f>INDEX(rrcworking[Sales/Dispostion],MATCH('November 2019 EDI'!F106,rrcworking[RRC ID],0))</f>
        <v>179</v>
      </c>
      <c r="AQ106" s="5">
        <f>INDEX(rrcworking[Closing Stock (Oil)],MATCH('November 2019 EDI'!F106,rrcworking[RRC ID],0))</f>
        <v>68</v>
      </c>
    </row>
    <row r="107" spans="1:43">
      <c r="A107" s="4" t="s">
        <v>1</v>
      </c>
      <c r="B107" s="1" t="s">
        <v>1010</v>
      </c>
      <c r="C107" s="10" t="s">
        <v>914</v>
      </c>
      <c r="D107" s="1" t="s">
        <v>621</v>
      </c>
      <c r="E107" s="1" t="s">
        <v>59</v>
      </c>
      <c r="F107" s="1" t="s">
        <v>518</v>
      </c>
      <c r="I107" s="10" t="s">
        <v>3</v>
      </c>
      <c r="J107" s="125" t="s">
        <v>3</v>
      </c>
      <c r="K107" s="1" t="s">
        <v>1097</v>
      </c>
      <c r="M107" s="5">
        <v>201911</v>
      </c>
      <c r="N107" s="5">
        <f>INDEX(rrcworking[Formation Production (MCF) @ 14.65 psi],MATCH('November 2019 EDI'!F107,rrcworking[RRC ID],0))</f>
        <v>10800</v>
      </c>
      <c r="O107" s="5">
        <f>INDEX(rrcworking[Lease Use (MCF)],MATCH('November 2019 EDI'!F107,rrcworking[RRC ID],0))</f>
        <v>0</v>
      </c>
      <c r="P107" s="5">
        <f>INDEX(rrcworking[Disposition Volume (MCF) @ 14.65 MCF],MATCH('November 2019 EDI'!F107,rrcworking[RRC ID],0))</f>
        <v>10800</v>
      </c>
      <c r="Y107" s="5">
        <f>INDEX(rrcworking[Oil Production],MATCH('November 2019 EDI'!F107,rrcworking[RRC ID],0))</f>
        <v>98</v>
      </c>
      <c r="AA107" s="5">
        <f>INDEX(rrcworking[Sales/Dispostion],MATCH('November 2019 EDI'!F107,rrcworking[RRC ID],0))</f>
        <v>180</v>
      </c>
      <c r="AQ107" s="5">
        <f>INDEX(rrcworking[Closing Stock (Oil)],MATCH('November 2019 EDI'!F107,rrcworking[RRC ID],0))</f>
        <v>38</v>
      </c>
    </row>
    <row r="108" spans="1:43">
      <c r="A108" s="4" t="s">
        <v>1</v>
      </c>
      <c r="B108" s="1" t="s">
        <v>1011</v>
      </c>
      <c r="C108" s="10" t="s">
        <v>914</v>
      </c>
      <c r="D108" s="1" t="s">
        <v>621</v>
      </c>
      <c r="E108" s="1" t="s">
        <v>2</v>
      </c>
      <c r="F108" s="1" t="s">
        <v>519</v>
      </c>
      <c r="I108" s="10" t="s">
        <v>3</v>
      </c>
      <c r="J108" s="125" t="s">
        <v>3</v>
      </c>
      <c r="K108" s="1" t="s">
        <v>1097</v>
      </c>
      <c r="M108" s="5">
        <v>201911</v>
      </c>
      <c r="N108" s="5">
        <f>INDEX(rrcworking[Formation Production (MCF) @ 14.65 psi],MATCH('November 2019 EDI'!F108,rrcworking[RRC ID],0))</f>
        <v>0</v>
      </c>
      <c r="O108" s="5">
        <f>INDEX(rrcworking[Lease Use (MCF)],MATCH('November 2019 EDI'!F108,rrcworking[RRC ID],0))</f>
        <v>0</v>
      </c>
      <c r="P108" s="5">
        <f>INDEX(rrcworking[Disposition Volume (MCF) @ 14.65 MCF],MATCH('November 2019 EDI'!F108,rrcworking[RRC ID],0))</f>
        <v>0</v>
      </c>
      <c r="Y108" s="5">
        <f>INDEX(rrcworking[Oil Production],MATCH('November 2019 EDI'!F108,rrcworking[RRC ID],0))</f>
        <v>0</v>
      </c>
      <c r="AA108" s="5">
        <f>INDEX(rrcworking[Sales/Dispostion],MATCH('November 2019 EDI'!F108,rrcworking[RRC ID],0))</f>
        <v>0</v>
      </c>
      <c r="AQ108" s="5">
        <f>INDEX(rrcworking[Closing Stock (Oil)],MATCH('November 2019 EDI'!F108,rrcworking[RRC ID],0))</f>
        <v>0</v>
      </c>
    </row>
    <row r="109" spans="1:43">
      <c r="A109" s="4" t="s">
        <v>1</v>
      </c>
      <c r="B109" s="1" t="s">
        <v>1012</v>
      </c>
      <c r="C109" s="10" t="s">
        <v>914</v>
      </c>
      <c r="D109" s="1" t="s">
        <v>621</v>
      </c>
      <c r="E109" s="1" t="s">
        <v>59</v>
      </c>
      <c r="F109" s="1" t="s">
        <v>520</v>
      </c>
      <c r="I109" s="10" t="s">
        <v>3</v>
      </c>
      <c r="J109" s="125" t="s">
        <v>3</v>
      </c>
      <c r="K109" s="1" t="s">
        <v>1097</v>
      </c>
      <c r="M109" s="5">
        <v>201911</v>
      </c>
      <c r="N109" s="5">
        <f>INDEX(rrcworking[Formation Production (MCF) @ 14.65 psi],MATCH('November 2019 EDI'!F109,rrcworking[RRC ID],0))</f>
        <v>0</v>
      </c>
      <c r="O109" s="5">
        <f>INDEX(rrcworking[Lease Use (MCF)],MATCH('November 2019 EDI'!F109,rrcworking[RRC ID],0))</f>
        <v>0</v>
      </c>
      <c r="P109" s="5">
        <f>INDEX(rrcworking[Disposition Volume (MCF) @ 14.65 MCF],MATCH('November 2019 EDI'!F109,rrcworking[RRC ID],0))</f>
        <v>0</v>
      </c>
      <c r="Y109" s="5">
        <f>INDEX(rrcworking[Oil Production],MATCH('November 2019 EDI'!F109,rrcworking[RRC ID],0))</f>
        <v>0</v>
      </c>
      <c r="AA109" s="5">
        <f>INDEX(rrcworking[Sales/Dispostion],MATCH('November 2019 EDI'!F109,rrcworking[RRC ID],0))</f>
        <v>0</v>
      </c>
      <c r="AQ109" s="5">
        <f>INDEX(rrcworking[Closing Stock (Oil)],MATCH('November 2019 EDI'!F109,rrcworking[RRC ID],0))</f>
        <v>0</v>
      </c>
    </row>
    <row r="110" spans="1:43">
      <c r="A110" s="4" t="s">
        <v>1</v>
      </c>
      <c r="B110" s="1" t="s">
        <v>1013</v>
      </c>
      <c r="C110" s="10" t="s">
        <v>914</v>
      </c>
      <c r="D110" s="1" t="s">
        <v>621</v>
      </c>
      <c r="E110" s="1" t="s">
        <v>59</v>
      </c>
      <c r="F110" s="1" t="s">
        <v>521</v>
      </c>
      <c r="I110" s="10" t="s">
        <v>3</v>
      </c>
      <c r="J110" s="125" t="s">
        <v>3</v>
      </c>
      <c r="K110" s="1" t="s">
        <v>1097</v>
      </c>
      <c r="M110" s="5">
        <v>201911</v>
      </c>
      <c r="N110" s="5">
        <f>INDEX(rrcworking[Formation Production (MCF) @ 14.65 psi],MATCH('November 2019 EDI'!F110,rrcworking[RRC ID],0))</f>
        <v>0</v>
      </c>
      <c r="O110" s="5">
        <f>INDEX(rrcworking[Lease Use (MCF)],MATCH('November 2019 EDI'!F110,rrcworking[RRC ID],0))</f>
        <v>0</v>
      </c>
      <c r="P110" s="5">
        <f>INDEX(rrcworking[Disposition Volume (MCF) @ 14.65 MCF],MATCH('November 2019 EDI'!F110,rrcworking[RRC ID],0))</f>
        <v>0</v>
      </c>
      <c r="Y110" s="5">
        <f>INDEX(rrcworking[Oil Production],MATCH('November 2019 EDI'!F110,rrcworking[RRC ID],0))</f>
        <v>0</v>
      </c>
      <c r="AA110" s="5">
        <f>INDEX(rrcworking[Sales/Dispostion],MATCH('November 2019 EDI'!F110,rrcworking[RRC ID],0))</f>
        <v>159</v>
      </c>
      <c r="AQ110" s="5">
        <f>INDEX(rrcworking[Closing Stock (Oil)],MATCH('November 2019 EDI'!F110,rrcworking[RRC ID],0))</f>
        <v>51</v>
      </c>
    </row>
    <row r="111" spans="1:43">
      <c r="A111" s="4" t="s">
        <v>1</v>
      </c>
      <c r="B111" s="1" t="s">
        <v>1014</v>
      </c>
      <c r="C111" s="10" t="s">
        <v>914</v>
      </c>
      <c r="D111" s="1" t="s">
        <v>621</v>
      </c>
      <c r="E111" s="1" t="s">
        <v>59</v>
      </c>
      <c r="F111" s="1" t="s">
        <v>522</v>
      </c>
      <c r="I111" s="10" t="s">
        <v>3</v>
      </c>
      <c r="J111" s="125" t="s">
        <v>3</v>
      </c>
      <c r="K111" s="1" t="s">
        <v>1097</v>
      </c>
      <c r="M111" s="5">
        <v>201911</v>
      </c>
      <c r="N111" s="5">
        <f>INDEX(rrcworking[Formation Production (MCF) @ 14.65 psi],MATCH('November 2019 EDI'!F111,rrcworking[RRC ID],0))</f>
        <v>0</v>
      </c>
      <c r="O111" s="5">
        <f>INDEX(rrcworking[Lease Use (MCF)],MATCH('November 2019 EDI'!F111,rrcworking[RRC ID],0))</f>
        <v>0</v>
      </c>
      <c r="P111" s="5">
        <f>INDEX(rrcworking[Disposition Volume (MCF) @ 14.65 MCF],MATCH('November 2019 EDI'!F111,rrcworking[RRC ID],0))</f>
        <v>0</v>
      </c>
      <c r="Y111" s="5">
        <f>INDEX(rrcworking[Oil Production],MATCH('November 2019 EDI'!F111,rrcworking[RRC ID],0))</f>
        <v>0</v>
      </c>
      <c r="AA111" s="5">
        <f>INDEX(rrcworking[Sales/Dispostion],MATCH('November 2019 EDI'!F111,rrcworking[RRC ID],0))</f>
        <v>0</v>
      </c>
      <c r="AQ111" s="5">
        <f>INDEX(rrcworking[Closing Stock (Oil)],MATCH('November 2019 EDI'!F111,rrcworking[RRC ID],0))</f>
        <v>0</v>
      </c>
    </row>
    <row r="112" spans="1:43">
      <c r="A112" s="4" t="s">
        <v>1</v>
      </c>
      <c r="B112" s="1" t="s">
        <v>1015</v>
      </c>
      <c r="C112" s="10" t="s">
        <v>914</v>
      </c>
      <c r="D112" s="1" t="s">
        <v>621</v>
      </c>
      <c r="E112" s="1" t="s">
        <v>59</v>
      </c>
      <c r="F112" s="1" t="s">
        <v>523</v>
      </c>
      <c r="I112" s="10" t="s">
        <v>3</v>
      </c>
      <c r="J112" s="125" t="s">
        <v>3</v>
      </c>
      <c r="K112" s="1" t="s">
        <v>1097</v>
      </c>
      <c r="M112" s="5">
        <v>201911</v>
      </c>
      <c r="N112" s="5">
        <f>INDEX(rrcworking[Formation Production (MCF) @ 14.65 psi],MATCH('November 2019 EDI'!F112,rrcworking[RRC ID],0))</f>
        <v>32</v>
      </c>
      <c r="O112" s="5">
        <f>INDEX(rrcworking[Lease Use (MCF)],MATCH('November 2019 EDI'!F112,rrcworking[RRC ID],0))</f>
        <v>30</v>
      </c>
      <c r="P112" s="5">
        <f>INDEX(rrcworking[Disposition Volume (MCF) @ 14.65 MCF],MATCH('November 2019 EDI'!F112,rrcworking[RRC ID],0))</f>
        <v>2</v>
      </c>
      <c r="Y112" s="5">
        <f>INDEX(rrcworking[Oil Production],MATCH('November 2019 EDI'!F112,rrcworking[RRC ID],0))</f>
        <v>19</v>
      </c>
      <c r="AA112" s="5">
        <f>INDEX(rrcworking[Sales/Dispostion],MATCH('November 2019 EDI'!F112,rrcworking[RRC ID],0))</f>
        <v>0</v>
      </c>
      <c r="AQ112" s="5">
        <f>INDEX(rrcworking[Closing Stock (Oil)],MATCH('November 2019 EDI'!F112,rrcworking[RRC ID],0))</f>
        <v>144</v>
      </c>
    </row>
    <row r="113" spans="1:43">
      <c r="A113" s="4" t="s">
        <v>1</v>
      </c>
      <c r="B113" s="1" t="s">
        <v>1016</v>
      </c>
      <c r="C113" s="10" t="s">
        <v>914</v>
      </c>
      <c r="D113" s="1" t="s">
        <v>621</v>
      </c>
      <c r="E113" s="1" t="s">
        <v>59</v>
      </c>
      <c r="F113" s="1" t="s">
        <v>524</v>
      </c>
      <c r="I113" s="10" t="s">
        <v>3</v>
      </c>
      <c r="J113" s="125" t="s">
        <v>3</v>
      </c>
      <c r="K113" s="1" t="s">
        <v>1097</v>
      </c>
      <c r="M113" s="5">
        <v>201911</v>
      </c>
      <c r="N113" s="5">
        <f>INDEX(rrcworking[Formation Production (MCF) @ 14.65 psi],MATCH('November 2019 EDI'!F113,rrcworking[RRC ID],0))</f>
        <v>0</v>
      </c>
      <c r="O113" s="5">
        <f>INDEX(rrcworking[Lease Use (MCF)],MATCH('November 2019 EDI'!F113,rrcworking[RRC ID],0))</f>
        <v>0</v>
      </c>
      <c r="P113" s="5">
        <f>INDEX(rrcworking[Disposition Volume (MCF) @ 14.65 MCF],MATCH('November 2019 EDI'!F113,rrcworking[RRC ID],0))</f>
        <v>0</v>
      </c>
      <c r="Y113" s="5">
        <f>INDEX(rrcworking[Oil Production],MATCH('November 2019 EDI'!F113,rrcworking[RRC ID],0))</f>
        <v>0</v>
      </c>
      <c r="AA113" s="5">
        <f>INDEX(rrcworking[Sales/Dispostion],MATCH('November 2019 EDI'!F113,rrcworking[RRC ID],0))</f>
        <v>0</v>
      </c>
      <c r="AQ113" s="5">
        <f>INDEX(rrcworking[Closing Stock (Oil)],MATCH('November 2019 EDI'!F113,rrcworking[RRC ID],0))</f>
        <v>77</v>
      </c>
    </row>
    <row r="114" spans="1:43">
      <c r="A114" s="4" t="s">
        <v>1</v>
      </c>
      <c r="B114" s="1" t="s">
        <v>1017</v>
      </c>
      <c r="C114" s="10" t="s">
        <v>914</v>
      </c>
      <c r="D114" s="1" t="s">
        <v>621</v>
      </c>
      <c r="E114" s="1" t="s">
        <v>59</v>
      </c>
      <c r="F114" s="1" t="s">
        <v>525</v>
      </c>
      <c r="I114" s="10" t="s">
        <v>3</v>
      </c>
      <c r="J114" s="125" t="s">
        <v>3</v>
      </c>
      <c r="K114" s="1" t="s">
        <v>1097</v>
      </c>
      <c r="M114" s="5">
        <v>201911</v>
      </c>
      <c r="N114" s="5">
        <f>INDEX(rrcworking[Formation Production (MCF) @ 14.65 psi],MATCH('November 2019 EDI'!F114,rrcworking[RRC ID],0))</f>
        <v>0</v>
      </c>
      <c r="O114" s="5">
        <f>INDEX(rrcworking[Lease Use (MCF)],MATCH('November 2019 EDI'!F114,rrcworking[RRC ID],0))</f>
        <v>0</v>
      </c>
      <c r="P114" s="5">
        <f>INDEX(rrcworking[Disposition Volume (MCF) @ 14.65 MCF],MATCH('November 2019 EDI'!F114,rrcworking[RRC ID],0))</f>
        <v>0</v>
      </c>
      <c r="Y114" s="5">
        <f>INDEX(rrcworking[Oil Production],MATCH('November 2019 EDI'!F114,rrcworking[RRC ID],0))</f>
        <v>0</v>
      </c>
      <c r="AA114" s="5">
        <f>INDEX(rrcworking[Sales/Dispostion],MATCH('November 2019 EDI'!F114,rrcworking[RRC ID],0))</f>
        <v>0</v>
      </c>
      <c r="AQ114" s="5">
        <f>INDEX(rrcworking[Closing Stock (Oil)],MATCH('November 2019 EDI'!F114,rrcworking[RRC ID],0))</f>
        <v>0</v>
      </c>
    </row>
    <row r="115" spans="1:43">
      <c r="A115" s="4" t="s">
        <v>1</v>
      </c>
      <c r="B115" s="1" t="s">
        <v>1018</v>
      </c>
      <c r="C115" s="10" t="s">
        <v>914</v>
      </c>
      <c r="D115" s="1" t="s">
        <v>621</v>
      </c>
      <c r="E115" s="1" t="s">
        <v>59</v>
      </c>
      <c r="F115" s="1" t="s">
        <v>526</v>
      </c>
      <c r="I115" s="10" t="s">
        <v>3</v>
      </c>
      <c r="J115" s="125" t="s">
        <v>3</v>
      </c>
      <c r="K115" s="1" t="s">
        <v>1097</v>
      </c>
      <c r="M115" s="5">
        <v>201911</v>
      </c>
      <c r="N115" s="5">
        <f>INDEX(rrcworking[Formation Production (MCF) @ 14.65 psi],MATCH('November 2019 EDI'!F115,rrcworking[RRC ID],0))</f>
        <v>0</v>
      </c>
      <c r="O115" s="5">
        <f>INDEX(rrcworking[Lease Use (MCF)],MATCH('November 2019 EDI'!F115,rrcworking[RRC ID],0))</f>
        <v>0</v>
      </c>
      <c r="P115" s="5">
        <f>INDEX(rrcworking[Disposition Volume (MCF) @ 14.65 MCF],MATCH('November 2019 EDI'!F115,rrcworking[RRC ID],0))</f>
        <v>0</v>
      </c>
      <c r="Y115" s="5">
        <f>INDEX(rrcworking[Oil Production],MATCH('November 2019 EDI'!F115,rrcworking[RRC ID],0))</f>
        <v>0</v>
      </c>
      <c r="AA115" s="5">
        <f>INDEX(rrcworking[Sales/Dispostion],MATCH('November 2019 EDI'!F115,rrcworking[RRC ID],0))</f>
        <v>0</v>
      </c>
      <c r="AQ115" s="5">
        <f>INDEX(rrcworking[Closing Stock (Oil)],MATCH('November 2019 EDI'!F115,rrcworking[RRC ID],0))</f>
        <v>0</v>
      </c>
    </row>
    <row r="116" spans="1:43">
      <c r="A116" s="4" t="s">
        <v>1</v>
      </c>
      <c r="B116" s="1" t="s">
        <v>1019</v>
      </c>
      <c r="C116" s="10" t="s">
        <v>914</v>
      </c>
      <c r="D116" s="1" t="s">
        <v>621</v>
      </c>
      <c r="E116" s="1" t="s">
        <v>59</v>
      </c>
      <c r="F116" s="1" t="s">
        <v>527</v>
      </c>
      <c r="I116" s="10" t="s">
        <v>3</v>
      </c>
      <c r="J116" s="125" t="s">
        <v>3</v>
      </c>
      <c r="K116" s="1" t="s">
        <v>1097</v>
      </c>
      <c r="M116" s="5">
        <v>201911</v>
      </c>
      <c r="N116" s="5">
        <f>INDEX(rrcworking[Formation Production (MCF) @ 14.65 psi],MATCH('November 2019 EDI'!F116,rrcworking[RRC ID],0))</f>
        <v>0</v>
      </c>
      <c r="O116" s="5">
        <f>INDEX(rrcworking[Lease Use (MCF)],MATCH('November 2019 EDI'!F116,rrcworking[RRC ID],0))</f>
        <v>0</v>
      </c>
      <c r="P116" s="5">
        <f>INDEX(rrcworking[Disposition Volume (MCF) @ 14.65 MCF],MATCH('November 2019 EDI'!F116,rrcworking[RRC ID],0))</f>
        <v>0</v>
      </c>
      <c r="Y116" s="5">
        <f>INDEX(rrcworking[Oil Production],MATCH('November 2019 EDI'!F116,rrcworking[RRC ID],0))</f>
        <v>0</v>
      </c>
      <c r="AA116" s="5">
        <f>INDEX(rrcworking[Sales/Dispostion],MATCH('November 2019 EDI'!F116,rrcworking[RRC ID],0))</f>
        <v>0</v>
      </c>
      <c r="AQ116" s="5">
        <f>INDEX(rrcworking[Closing Stock (Oil)],MATCH('November 2019 EDI'!F116,rrcworking[RRC ID],0))</f>
        <v>0</v>
      </c>
    </row>
    <row r="117" spans="1:43">
      <c r="A117" s="4" t="s">
        <v>1</v>
      </c>
      <c r="B117" s="1" t="s">
        <v>1020</v>
      </c>
      <c r="C117" s="10" t="s">
        <v>914</v>
      </c>
      <c r="D117" s="1" t="s">
        <v>621</v>
      </c>
      <c r="E117" s="1" t="s">
        <v>59</v>
      </c>
      <c r="F117" s="1" t="s">
        <v>528</v>
      </c>
      <c r="I117" s="10" t="s">
        <v>3</v>
      </c>
      <c r="J117" s="125" t="s">
        <v>3</v>
      </c>
      <c r="K117" s="1">
        <v>1988</v>
      </c>
      <c r="M117" s="5">
        <v>201911</v>
      </c>
      <c r="N117" s="5">
        <f>INDEX(rrcworking[Formation Production (MCF) @ 14.65 psi],MATCH('November 2019 EDI'!F117,rrcworking[RRC ID],0))</f>
        <v>0</v>
      </c>
      <c r="O117" s="5">
        <f>INDEX(rrcworking[Lease Use (MCF)],MATCH('November 2019 EDI'!F117,rrcworking[RRC ID],0))</f>
        <v>0</v>
      </c>
      <c r="P117" s="5">
        <f>INDEX(rrcworking[Disposition Volume (MCF) @ 14.65 MCF],MATCH('November 2019 EDI'!F117,rrcworking[RRC ID],0))</f>
        <v>0</v>
      </c>
      <c r="Y117" s="5">
        <f>INDEX(rrcworking[Oil Production],MATCH('November 2019 EDI'!F117,rrcworking[RRC ID],0))</f>
        <v>0</v>
      </c>
      <c r="AA117" s="5">
        <f>INDEX(rrcworking[Sales/Dispostion],MATCH('November 2019 EDI'!F117,rrcworking[RRC ID],0))</f>
        <v>0</v>
      </c>
      <c r="AQ117" s="5">
        <f>INDEX(rrcworking[Closing Stock (Oil)],MATCH('November 2019 EDI'!F117,rrcworking[RRC ID],0))</f>
        <v>0</v>
      </c>
    </row>
    <row r="118" spans="1:43">
      <c r="A118" s="4" t="s">
        <v>1</v>
      </c>
      <c r="B118" s="1" t="s">
        <v>1021</v>
      </c>
      <c r="C118" s="10" t="s">
        <v>914</v>
      </c>
      <c r="D118" s="1" t="s">
        <v>621</v>
      </c>
      <c r="E118" s="1" t="s">
        <v>59</v>
      </c>
      <c r="F118" s="1" t="s">
        <v>529</v>
      </c>
      <c r="I118" s="10" t="s">
        <v>3</v>
      </c>
      <c r="J118" s="125" t="s">
        <v>3</v>
      </c>
      <c r="K118" s="1" t="s">
        <v>1097</v>
      </c>
      <c r="M118" s="5">
        <v>201911</v>
      </c>
      <c r="N118" s="5">
        <f>INDEX(rrcworking[Formation Production (MCF) @ 14.65 psi],MATCH('November 2019 EDI'!F118,rrcworking[RRC ID],0))</f>
        <v>259</v>
      </c>
      <c r="O118" s="5">
        <f>INDEX(rrcworking[Lease Use (MCF)],MATCH('November 2019 EDI'!F118,rrcworking[RRC ID],0))</f>
        <v>10</v>
      </c>
      <c r="P118" s="5">
        <f>INDEX(rrcworking[Disposition Volume (MCF) @ 14.65 MCF],MATCH('November 2019 EDI'!F118,rrcworking[RRC ID],0))</f>
        <v>249</v>
      </c>
      <c r="Y118" s="5">
        <f>INDEX(rrcworking[Oil Production],MATCH('November 2019 EDI'!F118,rrcworking[RRC ID],0))</f>
        <v>0</v>
      </c>
      <c r="AA118" s="5">
        <f>INDEX(rrcworking[Sales/Dispostion],MATCH('November 2019 EDI'!F118,rrcworking[RRC ID],0))</f>
        <v>0</v>
      </c>
      <c r="AQ118" s="5">
        <f>INDEX(rrcworking[Closing Stock (Oil)],MATCH('November 2019 EDI'!F118,rrcworking[RRC ID],0))</f>
        <v>0</v>
      </c>
    </row>
    <row r="119" spans="1:43">
      <c r="A119" s="4" t="s">
        <v>1</v>
      </c>
      <c r="B119" s="1" t="s">
        <v>1022</v>
      </c>
      <c r="C119" s="10" t="s">
        <v>914</v>
      </c>
      <c r="D119" s="1" t="s">
        <v>621</v>
      </c>
      <c r="E119" s="1" t="s">
        <v>59</v>
      </c>
      <c r="F119" s="1" t="s">
        <v>530</v>
      </c>
      <c r="I119" s="10" t="s">
        <v>3</v>
      </c>
      <c r="J119" s="125" t="s">
        <v>3</v>
      </c>
      <c r="K119" s="1">
        <v>1988</v>
      </c>
      <c r="M119" s="5">
        <v>201911</v>
      </c>
      <c r="N119" s="5">
        <f>INDEX(rrcworking[Formation Production (MCF) @ 14.65 psi],MATCH('November 2019 EDI'!F119,rrcworking[RRC ID],0))</f>
        <v>857</v>
      </c>
      <c r="O119" s="5">
        <f>INDEX(rrcworking[Lease Use (MCF)],MATCH('November 2019 EDI'!F119,rrcworking[RRC ID],0))</f>
        <v>60</v>
      </c>
      <c r="P119" s="5">
        <f>INDEX(rrcworking[Disposition Volume (MCF) @ 14.65 MCF],MATCH('November 2019 EDI'!F119,rrcworking[RRC ID],0))</f>
        <v>797</v>
      </c>
      <c r="Y119" s="5">
        <f>INDEX(rrcworking[Oil Production],MATCH('November 2019 EDI'!F119,rrcworking[RRC ID],0))</f>
        <v>229</v>
      </c>
      <c r="AA119" s="5">
        <f>INDEX(rrcworking[Sales/Dispostion],MATCH('November 2019 EDI'!F119,rrcworking[RRC ID],0))</f>
        <v>176</v>
      </c>
      <c r="AQ119" s="5">
        <f>INDEX(rrcworking[Closing Stock (Oil)],MATCH('November 2019 EDI'!F119,rrcworking[RRC ID],0))</f>
        <v>172</v>
      </c>
    </row>
    <row r="120" spans="1:43">
      <c r="A120" s="4" t="s">
        <v>1</v>
      </c>
      <c r="B120" s="1" t="s">
        <v>1023</v>
      </c>
      <c r="C120" s="10" t="s">
        <v>914</v>
      </c>
      <c r="D120" s="1" t="s">
        <v>621</v>
      </c>
      <c r="E120" s="1" t="s">
        <v>59</v>
      </c>
      <c r="F120" s="1" t="s">
        <v>531</v>
      </c>
      <c r="I120" s="10" t="s">
        <v>3</v>
      </c>
      <c r="J120" s="125" t="s">
        <v>3</v>
      </c>
      <c r="K120" s="1">
        <v>1988</v>
      </c>
      <c r="M120" s="5">
        <v>201911</v>
      </c>
      <c r="N120" s="5">
        <f>INDEX(rrcworking[Formation Production (MCF) @ 14.65 psi],MATCH('November 2019 EDI'!F120,rrcworking[RRC ID],0))</f>
        <v>82</v>
      </c>
      <c r="O120" s="5">
        <f>INDEX(rrcworking[Lease Use (MCF)],MATCH('November 2019 EDI'!F120,rrcworking[RRC ID],0))</f>
        <v>0</v>
      </c>
      <c r="P120" s="5">
        <f>INDEX(rrcworking[Disposition Volume (MCF) @ 14.65 MCF],MATCH('November 2019 EDI'!F120,rrcworking[RRC ID],0))</f>
        <v>82</v>
      </c>
      <c r="Y120" s="5">
        <f>INDEX(rrcworking[Oil Production],MATCH('November 2019 EDI'!F120,rrcworking[RRC ID],0))</f>
        <v>0</v>
      </c>
      <c r="AA120" s="5">
        <f>INDEX(rrcworking[Sales/Dispostion],MATCH('November 2019 EDI'!F120,rrcworking[RRC ID],0))</f>
        <v>0</v>
      </c>
      <c r="AQ120" s="5">
        <f>INDEX(rrcworking[Closing Stock (Oil)],MATCH('November 2019 EDI'!F120,rrcworking[RRC ID],0))</f>
        <v>0</v>
      </c>
    </row>
    <row r="121" spans="1:43">
      <c r="A121" s="4" t="s">
        <v>1</v>
      </c>
      <c r="B121" s="1" t="s">
        <v>1024</v>
      </c>
      <c r="C121" s="10" t="s">
        <v>914</v>
      </c>
      <c r="D121" s="1" t="s">
        <v>621</v>
      </c>
      <c r="E121" s="1" t="s">
        <v>59</v>
      </c>
      <c r="F121" s="1" t="s">
        <v>532</v>
      </c>
      <c r="I121" s="10" t="s">
        <v>3</v>
      </c>
      <c r="J121" s="125" t="s">
        <v>3</v>
      </c>
      <c r="K121" s="1" t="s">
        <v>1097</v>
      </c>
      <c r="M121" s="5">
        <v>201911</v>
      </c>
      <c r="N121" s="5">
        <f>INDEX(rrcworking[Formation Production (MCF) @ 14.65 psi],MATCH('November 2019 EDI'!F121,rrcworking[RRC ID],0))</f>
        <v>925</v>
      </c>
      <c r="O121" s="5">
        <f>INDEX(rrcworking[Lease Use (MCF)],MATCH('November 2019 EDI'!F121,rrcworking[RRC ID],0))</f>
        <v>30</v>
      </c>
      <c r="P121" s="5">
        <f>INDEX(rrcworking[Disposition Volume (MCF) @ 14.65 MCF],MATCH('November 2019 EDI'!F121,rrcworking[RRC ID],0))</f>
        <v>895</v>
      </c>
      <c r="Y121" s="5">
        <f>INDEX(rrcworking[Oil Production],MATCH('November 2019 EDI'!F121,rrcworking[RRC ID],0))</f>
        <v>0</v>
      </c>
      <c r="AA121" s="5">
        <f>INDEX(rrcworking[Sales/Dispostion],MATCH('November 2019 EDI'!F121,rrcworking[RRC ID],0))</f>
        <v>0</v>
      </c>
      <c r="AQ121" s="5">
        <f>INDEX(rrcworking[Closing Stock (Oil)],MATCH('November 2019 EDI'!F121,rrcworking[RRC ID],0))</f>
        <v>63</v>
      </c>
    </row>
    <row r="122" spans="1:43">
      <c r="A122" s="4" t="s">
        <v>1</v>
      </c>
      <c r="B122" s="1" t="s">
        <v>1025</v>
      </c>
      <c r="C122" s="10" t="s">
        <v>914</v>
      </c>
      <c r="D122" s="1" t="s">
        <v>621</v>
      </c>
      <c r="E122" s="1" t="s">
        <v>59</v>
      </c>
      <c r="F122" s="1" t="s">
        <v>533</v>
      </c>
      <c r="I122" s="10" t="s">
        <v>3</v>
      </c>
      <c r="J122" s="125" t="s">
        <v>3</v>
      </c>
      <c r="K122" s="1" t="s">
        <v>1097</v>
      </c>
      <c r="M122" s="5">
        <v>201911</v>
      </c>
      <c r="N122" s="5">
        <f>INDEX(rrcworking[Formation Production (MCF) @ 14.65 psi],MATCH('November 2019 EDI'!F122,rrcworking[RRC ID],0))</f>
        <v>290</v>
      </c>
      <c r="O122" s="5">
        <f>INDEX(rrcworking[Lease Use (MCF)],MATCH('November 2019 EDI'!F122,rrcworking[RRC ID],0))</f>
        <v>7</v>
      </c>
      <c r="P122" s="5">
        <f>INDEX(rrcworking[Disposition Volume (MCF) @ 14.65 MCF],MATCH('November 2019 EDI'!F122,rrcworking[RRC ID],0))</f>
        <v>283</v>
      </c>
      <c r="Y122" s="5">
        <f>INDEX(rrcworking[Oil Production],MATCH('November 2019 EDI'!F122,rrcworking[RRC ID],0))</f>
        <v>0</v>
      </c>
      <c r="AA122" s="5">
        <f>INDEX(rrcworking[Sales/Dispostion],MATCH('November 2019 EDI'!F122,rrcworking[RRC ID],0))</f>
        <v>0</v>
      </c>
      <c r="AQ122" s="5">
        <f>INDEX(rrcworking[Closing Stock (Oil)],MATCH('November 2019 EDI'!F122,rrcworking[RRC ID],0))</f>
        <v>33</v>
      </c>
    </row>
    <row r="123" spans="1:43">
      <c r="A123" s="4" t="s">
        <v>1</v>
      </c>
      <c r="B123" s="1" t="s">
        <v>1026</v>
      </c>
      <c r="C123" s="10" t="s">
        <v>914</v>
      </c>
      <c r="D123" s="1" t="s">
        <v>621</v>
      </c>
      <c r="E123" s="1" t="s">
        <v>59</v>
      </c>
      <c r="F123" s="1" t="s">
        <v>534</v>
      </c>
      <c r="I123" s="10" t="s">
        <v>3</v>
      </c>
      <c r="J123" s="125" t="s">
        <v>3</v>
      </c>
      <c r="K123" s="1" t="s">
        <v>1097</v>
      </c>
      <c r="M123" s="5">
        <v>201911</v>
      </c>
      <c r="N123" s="5">
        <f>INDEX(rrcworking[Formation Production (MCF) @ 14.65 psi],MATCH('November 2019 EDI'!F123,rrcworking[RRC ID],0))</f>
        <v>0</v>
      </c>
      <c r="O123" s="5">
        <f>INDEX(rrcworking[Lease Use (MCF)],MATCH('November 2019 EDI'!F123,rrcworking[RRC ID],0))</f>
        <v>0</v>
      </c>
      <c r="P123" s="5">
        <f>INDEX(rrcworking[Disposition Volume (MCF) @ 14.65 MCF],MATCH('November 2019 EDI'!F123,rrcworking[RRC ID],0))</f>
        <v>0</v>
      </c>
      <c r="Y123" s="5">
        <f>INDEX(rrcworking[Oil Production],MATCH('November 2019 EDI'!F123,rrcworking[RRC ID],0))</f>
        <v>0</v>
      </c>
      <c r="AA123" s="5">
        <f>INDEX(rrcworking[Sales/Dispostion],MATCH('November 2019 EDI'!F123,rrcworking[RRC ID],0))</f>
        <v>0</v>
      </c>
      <c r="AQ123" s="5">
        <f>INDEX(rrcworking[Closing Stock (Oil)],MATCH('November 2019 EDI'!F123,rrcworking[RRC ID],0))</f>
        <v>98</v>
      </c>
    </row>
    <row r="124" spans="1:43">
      <c r="A124" s="4" t="s">
        <v>1</v>
      </c>
      <c r="B124" s="1" t="s">
        <v>1027</v>
      </c>
      <c r="C124" s="10" t="s">
        <v>914</v>
      </c>
      <c r="D124" s="1" t="s">
        <v>621</v>
      </c>
      <c r="E124" s="1" t="s">
        <v>59</v>
      </c>
      <c r="F124" s="1" t="s">
        <v>535</v>
      </c>
      <c r="I124" s="10" t="s">
        <v>3</v>
      </c>
      <c r="J124" s="125" t="s">
        <v>3</v>
      </c>
      <c r="K124" s="1" t="s">
        <v>1097</v>
      </c>
      <c r="M124" s="5">
        <v>201911</v>
      </c>
      <c r="N124" s="5">
        <f>INDEX(rrcworking[Formation Production (MCF) @ 14.65 psi],MATCH('November 2019 EDI'!F124,rrcworking[RRC ID],0))</f>
        <v>0</v>
      </c>
      <c r="O124" s="5">
        <f>INDEX(rrcworking[Lease Use (MCF)],MATCH('November 2019 EDI'!F124,rrcworking[RRC ID],0))</f>
        <v>0</v>
      </c>
      <c r="P124" s="5">
        <f>INDEX(rrcworking[Disposition Volume (MCF) @ 14.65 MCF],MATCH('November 2019 EDI'!F124,rrcworking[RRC ID],0))</f>
        <v>0</v>
      </c>
      <c r="Y124" s="5">
        <f>INDEX(rrcworking[Oil Production],MATCH('November 2019 EDI'!F124,rrcworking[RRC ID],0))</f>
        <v>0</v>
      </c>
      <c r="AA124" s="5">
        <f>INDEX(rrcworking[Sales/Dispostion],MATCH('November 2019 EDI'!F124,rrcworking[RRC ID],0))</f>
        <v>0</v>
      </c>
      <c r="AQ124" s="5">
        <f>INDEX(rrcworking[Closing Stock (Oil)],MATCH('November 2019 EDI'!F124,rrcworking[RRC ID],0))</f>
        <v>0</v>
      </c>
    </row>
    <row r="125" spans="1:43">
      <c r="A125" s="4" t="s">
        <v>1</v>
      </c>
      <c r="B125" s="1" t="s">
        <v>1028</v>
      </c>
      <c r="C125" s="10" t="s">
        <v>914</v>
      </c>
      <c r="D125" s="1" t="s">
        <v>621</v>
      </c>
      <c r="E125" s="1" t="s">
        <v>59</v>
      </c>
      <c r="F125" s="1" t="s">
        <v>536</v>
      </c>
      <c r="I125" s="10" t="s">
        <v>3</v>
      </c>
      <c r="J125" s="125" t="s">
        <v>3</v>
      </c>
      <c r="K125" s="1" t="s">
        <v>1097</v>
      </c>
      <c r="M125" s="5">
        <v>201911</v>
      </c>
      <c r="N125" s="5">
        <f>INDEX(rrcworking[Formation Production (MCF) @ 14.65 psi],MATCH('November 2019 EDI'!F125,rrcworking[RRC ID],0))</f>
        <v>2961</v>
      </c>
      <c r="O125" s="5">
        <f>INDEX(rrcworking[Lease Use (MCF)],MATCH('November 2019 EDI'!F125,rrcworking[RRC ID],0))</f>
        <v>120</v>
      </c>
      <c r="P125" s="5">
        <f>INDEX(rrcworking[Disposition Volume (MCF) @ 14.65 MCF],MATCH('November 2019 EDI'!F125,rrcworking[RRC ID],0))</f>
        <v>2841</v>
      </c>
      <c r="Y125" s="5">
        <f>INDEX(rrcworking[Oil Production],MATCH('November 2019 EDI'!F125,rrcworking[RRC ID],0))</f>
        <v>0</v>
      </c>
      <c r="AA125" s="5">
        <f>INDEX(rrcworking[Sales/Dispostion],MATCH('November 2019 EDI'!F125,rrcworking[RRC ID],0))</f>
        <v>0</v>
      </c>
      <c r="AQ125" s="5">
        <f>INDEX(rrcworking[Closing Stock (Oil)],MATCH('November 2019 EDI'!F125,rrcworking[RRC ID],0))</f>
        <v>0</v>
      </c>
    </row>
    <row r="126" spans="1:43">
      <c r="A126" s="4" t="s">
        <v>1</v>
      </c>
      <c r="B126" s="1" t="s">
        <v>1029</v>
      </c>
      <c r="C126" s="10" t="s">
        <v>914</v>
      </c>
      <c r="D126" s="1" t="s">
        <v>621</v>
      </c>
      <c r="E126" s="1" t="s">
        <v>2</v>
      </c>
      <c r="F126" s="1" t="s">
        <v>537</v>
      </c>
      <c r="I126" s="10" t="s">
        <v>3</v>
      </c>
      <c r="J126" s="125" t="s">
        <v>3</v>
      </c>
      <c r="K126" s="1" t="s">
        <v>1097</v>
      </c>
      <c r="M126" s="5">
        <v>201911</v>
      </c>
      <c r="N126" s="5">
        <f>INDEX(rrcworking[Formation Production (MCF) @ 14.65 psi],MATCH('November 2019 EDI'!F126,rrcworking[RRC ID],0))</f>
        <v>120</v>
      </c>
      <c r="O126" s="5">
        <f>INDEX(rrcworking[Lease Use (MCF)],MATCH('November 2019 EDI'!F126,rrcworking[RRC ID],0))</f>
        <v>120</v>
      </c>
      <c r="P126" s="5">
        <f>INDEX(rrcworking[Disposition Volume (MCF) @ 14.65 MCF],MATCH('November 2019 EDI'!F126,rrcworking[RRC ID],0))</f>
        <v>0</v>
      </c>
      <c r="Y126" s="5">
        <f>INDEX(rrcworking[Oil Production],MATCH('November 2019 EDI'!F126,rrcworking[RRC ID],0))</f>
        <v>1177</v>
      </c>
      <c r="AA126" s="5">
        <f>INDEX(rrcworking[Sales/Dispostion],MATCH('November 2019 EDI'!F126,rrcworking[RRC ID],0))</f>
        <v>1144</v>
      </c>
      <c r="AQ126" s="5">
        <f>INDEX(rrcworking[Closing Stock (Oil)],MATCH('November 2019 EDI'!F126,rrcworking[RRC ID],0))</f>
        <v>205</v>
      </c>
    </row>
    <row r="127" spans="1:43">
      <c r="A127" s="4" t="s">
        <v>1</v>
      </c>
      <c r="B127" s="1" t="s">
        <v>1030</v>
      </c>
      <c r="C127" s="10" t="s">
        <v>914</v>
      </c>
      <c r="D127" s="1" t="s">
        <v>621</v>
      </c>
      <c r="E127" s="1" t="s">
        <v>2</v>
      </c>
      <c r="F127" s="1" t="s">
        <v>538</v>
      </c>
      <c r="I127" s="10" t="s">
        <v>3</v>
      </c>
      <c r="J127" s="125" t="s">
        <v>3</v>
      </c>
      <c r="K127" s="1" t="s">
        <v>1097</v>
      </c>
      <c r="M127" s="5">
        <v>201911</v>
      </c>
      <c r="N127" s="5">
        <f>INDEX(rrcworking[Formation Production (MCF) @ 14.65 psi],MATCH('November 2019 EDI'!F127,rrcworking[RRC ID],0))</f>
        <v>0</v>
      </c>
      <c r="O127" s="5">
        <f>INDEX(rrcworking[Lease Use (MCF)],MATCH('November 2019 EDI'!F127,rrcworking[RRC ID],0))</f>
        <v>0</v>
      </c>
      <c r="P127" s="5">
        <f>INDEX(rrcworking[Disposition Volume (MCF) @ 14.65 MCF],MATCH('November 2019 EDI'!F127,rrcworking[RRC ID],0))</f>
        <v>0</v>
      </c>
      <c r="Y127" s="5">
        <f>INDEX(rrcworking[Oil Production],MATCH('November 2019 EDI'!F127,rrcworking[RRC ID],0))</f>
        <v>0</v>
      </c>
      <c r="AA127" s="5">
        <f>INDEX(rrcworking[Sales/Dispostion],MATCH('November 2019 EDI'!F127,rrcworking[RRC ID],0))</f>
        <v>0</v>
      </c>
      <c r="AQ127" s="5">
        <f>INDEX(rrcworking[Closing Stock (Oil)],MATCH('November 2019 EDI'!F127,rrcworking[RRC ID],0))</f>
        <v>0</v>
      </c>
    </row>
    <row r="128" spans="1:43">
      <c r="A128" s="4" t="s">
        <v>1</v>
      </c>
      <c r="B128" s="1" t="s">
        <v>1031</v>
      </c>
      <c r="C128" s="10" t="s">
        <v>914</v>
      </c>
      <c r="D128" s="1" t="s">
        <v>621</v>
      </c>
      <c r="E128" s="1" t="s">
        <v>59</v>
      </c>
      <c r="F128" s="1" t="s">
        <v>539</v>
      </c>
      <c r="I128" s="10" t="s">
        <v>3</v>
      </c>
      <c r="J128" s="125" t="s">
        <v>3</v>
      </c>
      <c r="K128" s="1" t="s">
        <v>1097</v>
      </c>
      <c r="M128" s="5">
        <v>201911</v>
      </c>
      <c r="N128" s="5">
        <f>INDEX(rrcworking[Formation Production (MCF) @ 14.65 psi],MATCH('November 2019 EDI'!F128,rrcworking[RRC ID],0))</f>
        <v>0</v>
      </c>
      <c r="O128" s="5">
        <f>INDEX(rrcworking[Lease Use (MCF)],MATCH('November 2019 EDI'!F128,rrcworking[RRC ID],0))</f>
        <v>0</v>
      </c>
      <c r="P128" s="5">
        <f>INDEX(rrcworking[Disposition Volume (MCF) @ 14.65 MCF],MATCH('November 2019 EDI'!F128,rrcworking[RRC ID],0))</f>
        <v>0</v>
      </c>
      <c r="Y128" s="5">
        <f>INDEX(rrcworking[Oil Production],MATCH('November 2019 EDI'!F128,rrcworking[RRC ID],0))</f>
        <v>0</v>
      </c>
      <c r="AA128" s="5">
        <f>INDEX(rrcworking[Sales/Dispostion],MATCH('November 2019 EDI'!F128,rrcworking[RRC ID],0))</f>
        <v>0</v>
      </c>
      <c r="AQ128" s="5">
        <f>INDEX(rrcworking[Closing Stock (Oil)],MATCH('November 2019 EDI'!F128,rrcworking[RRC ID],0))</f>
        <v>43</v>
      </c>
    </row>
    <row r="129" spans="1:43">
      <c r="A129" s="4" t="s">
        <v>1</v>
      </c>
      <c r="B129" s="1" t="s">
        <v>1032</v>
      </c>
      <c r="C129" s="10" t="s">
        <v>914</v>
      </c>
      <c r="D129" s="1" t="s">
        <v>621</v>
      </c>
      <c r="E129" s="1" t="s">
        <v>59</v>
      </c>
      <c r="F129" s="1" t="s">
        <v>540</v>
      </c>
      <c r="I129" s="10" t="s">
        <v>3</v>
      </c>
      <c r="J129" s="125" t="s">
        <v>3</v>
      </c>
      <c r="K129" s="1" t="s">
        <v>1097</v>
      </c>
      <c r="M129" s="5">
        <v>201911</v>
      </c>
      <c r="N129" s="5">
        <f>INDEX(rrcworking[Formation Production (MCF) @ 14.65 psi],MATCH('November 2019 EDI'!F129,rrcworking[RRC ID],0))</f>
        <v>18</v>
      </c>
      <c r="O129" s="5">
        <f>INDEX(rrcworking[Lease Use (MCF)],MATCH('November 2019 EDI'!F129,rrcworking[RRC ID],0))</f>
        <v>18</v>
      </c>
      <c r="P129" s="5">
        <f>INDEX(rrcworking[Disposition Volume (MCF) @ 14.65 MCF],MATCH('November 2019 EDI'!F129,rrcworking[RRC ID],0))</f>
        <v>0</v>
      </c>
      <c r="Y129" s="5">
        <f>INDEX(rrcworking[Oil Production],MATCH('November 2019 EDI'!F129,rrcworking[RRC ID],0))</f>
        <v>0</v>
      </c>
      <c r="AA129" s="5">
        <f>INDEX(rrcworking[Sales/Dispostion],MATCH('November 2019 EDI'!F129,rrcworking[RRC ID],0))</f>
        <v>0</v>
      </c>
      <c r="AQ129" s="5">
        <f>INDEX(rrcworking[Closing Stock (Oil)],MATCH('November 2019 EDI'!F129,rrcworking[RRC ID],0))</f>
        <v>233</v>
      </c>
    </row>
    <row r="130" spans="1:43">
      <c r="A130" s="4" t="s">
        <v>1</v>
      </c>
      <c r="B130" s="1" t="s">
        <v>1033</v>
      </c>
      <c r="C130" s="10" t="s">
        <v>914</v>
      </c>
      <c r="D130" s="1" t="s">
        <v>621</v>
      </c>
      <c r="E130" s="1" t="s">
        <v>2</v>
      </c>
      <c r="F130" s="1" t="s">
        <v>541</v>
      </c>
      <c r="I130" s="10" t="s">
        <v>3</v>
      </c>
      <c r="J130" s="125" t="s">
        <v>3</v>
      </c>
      <c r="K130" s="1" t="s">
        <v>1097</v>
      </c>
      <c r="M130" s="5">
        <v>201911</v>
      </c>
      <c r="N130" s="5">
        <f>INDEX(rrcworking[Formation Production (MCF) @ 14.65 psi],MATCH('November 2019 EDI'!F130,rrcworking[RRC ID],0))</f>
        <v>0</v>
      </c>
      <c r="O130" s="5">
        <f>INDEX(rrcworking[Lease Use (MCF)],MATCH('November 2019 EDI'!F130,rrcworking[RRC ID],0))</f>
        <v>0</v>
      </c>
      <c r="P130" s="5">
        <f>INDEX(rrcworking[Disposition Volume (MCF) @ 14.65 MCF],MATCH('November 2019 EDI'!F130,rrcworking[RRC ID],0))</f>
        <v>0</v>
      </c>
      <c r="Y130" s="5">
        <f>INDEX(rrcworking[Oil Production],MATCH('November 2019 EDI'!F130,rrcworking[RRC ID],0))</f>
        <v>0</v>
      </c>
      <c r="AA130" s="5">
        <f>INDEX(rrcworking[Sales/Dispostion],MATCH('November 2019 EDI'!F130,rrcworking[RRC ID],0))</f>
        <v>0</v>
      </c>
      <c r="AQ130" s="5">
        <f>INDEX(rrcworking[Closing Stock (Oil)],MATCH('November 2019 EDI'!F130,rrcworking[RRC ID],0))</f>
        <v>70</v>
      </c>
    </row>
    <row r="131" spans="1:43">
      <c r="A131" s="4" t="s">
        <v>1</v>
      </c>
      <c r="B131" s="1" t="s">
        <v>1034</v>
      </c>
      <c r="C131" s="10" t="s">
        <v>914</v>
      </c>
      <c r="D131" s="1" t="s">
        <v>621</v>
      </c>
      <c r="E131" s="1" t="s">
        <v>2</v>
      </c>
      <c r="F131" s="1" t="s">
        <v>542</v>
      </c>
      <c r="I131" s="10" t="s">
        <v>3</v>
      </c>
      <c r="J131" s="125" t="s">
        <v>3</v>
      </c>
      <c r="K131" s="1" t="s">
        <v>1097</v>
      </c>
      <c r="M131" s="5">
        <v>201911</v>
      </c>
      <c r="N131" s="5">
        <f>INDEX(rrcworking[Formation Production (MCF) @ 14.65 psi],MATCH('November 2019 EDI'!F131,rrcworking[RRC ID],0))</f>
        <v>0</v>
      </c>
      <c r="O131" s="5">
        <f>INDEX(rrcworking[Lease Use (MCF)],MATCH('November 2019 EDI'!F131,rrcworking[RRC ID],0))</f>
        <v>0</v>
      </c>
      <c r="P131" s="5">
        <f>INDEX(rrcworking[Disposition Volume (MCF) @ 14.65 MCF],MATCH('November 2019 EDI'!F131,rrcworking[RRC ID],0))</f>
        <v>0</v>
      </c>
      <c r="Y131" s="5">
        <f>INDEX(rrcworking[Oil Production],MATCH('November 2019 EDI'!F131,rrcworking[RRC ID],0))</f>
        <v>0</v>
      </c>
      <c r="AA131" s="5">
        <f>INDEX(rrcworking[Sales/Dispostion],MATCH('November 2019 EDI'!F131,rrcworking[RRC ID],0))</f>
        <v>0</v>
      </c>
      <c r="AQ131" s="5">
        <f>INDEX(rrcworking[Closing Stock (Oil)],MATCH('November 2019 EDI'!F131,rrcworking[RRC ID],0))</f>
        <v>174</v>
      </c>
    </row>
    <row r="132" spans="1:43">
      <c r="A132" s="4" t="s">
        <v>1</v>
      </c>
      <c r="B132" s="1" t="s">
        <v>1035</v>
      </c>
      <c r="C132" s="10" t="s">
        <v>914</v>
      </c>
      <c r="D132" s="1" t="s">
        <v>621</v>
      </c>
      <c r="E132" s="1" t="s">
        <v>2</v>
      </c>
      <c r="F132" s="1" t="s">
        <v>543</v>
      </c>
      <c r="I132" s="10" t="s">
        <v>3</v>
      </c>
      <c r="J132" s="125" t="s">
        <v>3</v>
      </c>
      <c r="K132" s="1" t="s">
        <v>1097</v>
      </c>
      <c r="M132" s="5">
        <v>201911</v>
      </c>
      <c r="N132" s="5">
        <f>INDEX(rrcworking[Formation Production (MCF) @ 14.65 psi],MATCH('November 2019 EDI'!F132,rrcworking[RRC ID],0))</f>
        <v>0</v>
      </c>
      <c r="O132" s="5">
        <f>INDEX(rrcworking[Lease Use (MCF)],MATCH('November 2019 EDI'!F132,rrcworking[RRC ID],0))</f>
        <v>0</v>
      </c>
      <c r="P132" s="5">
        <f>INDEX(rrcworking[Disposition Volume (MCF) @ 14.65 MCF],MATCH('November 2019 EDI'!F132,rrcworking[RRC ID],0))</f>
        <v>0</v>
      </c>
      <c r="Y132" s="5">
        <f>INDEX(rrcworking[Oil Production],MATCH('November 2019 EDI'!F132,rrcworking[RRC ID],0))</f>
        <v>0</v>
      </c>
      <c r="AA132" s="5">
        <f>INDEX(rrcworking[Sales/Dispostion],MATCH('November 2019 EDI'!F132,rrcworking[RRC ID],0))</f>
        <v>0</v>
      </c>
      <c r="AQ132" s="5">
        <f>INDEX(rrcworking[Closing Stock (Oil)],MATCH('November 2019 EDI'!F132,rrcworking[RRC ID],0))</f>
        <v>0</v>
      </c>
    </row>
    <row r="133" spans="1:43">
      <c r="A133" s="4" t="s">
        <v>1</v>
      </c>
      <c r="B133" s="1" t="s">
        <v>1036</v>
      </c>
      <c r="C133" s="10" t="s">
        <v>914</v>
      </c>
      <c r="D133" s="1" t="s">
        <v>621</v>
      </c>
      <c r="E133" s="1" t="s">
        <v>59</v>
      </c>
      <c r="F133" s="1" t="s">
        <v>544</v>
      </c>
      <c r="I133" s="10" t="s">
        <v>3</v>
      </c>
      <c r="J133" s="125" t="s">
        <v>3</v>
      </c>
      <c r="K133" s="1" t="s">
        <v>1097</v>
      </c>
      <c r="M133" s="5">
        <v>201911</v>
      </c>
      <c r="N133" s="5">
        <f>INDEX(rrcworking[Formation Production (MCF) @ 14.65 psi],MATCH('November 2019 EDI'!F133,rrcworking[RRC ID],0))</f>
        <v>0</v>
      </c>
      <c r="O133" s="5">
        <f>INDEX(rrcworking[Lease Use (MCF)],MATCH('November 2019 EDI'!F133,rrcworking[RRC ID],0))</f>
        <v>0</v>
      </c>
      <c r="P133" s="5">
        <f>INDEX(rrcworking[Disposition Volume (MCF) @ 14.65 MCF],MATCH('November 2019 EDI'!F133,rrcworking[RRC ID],0))</f>
        <v>0</v>
      </c>
      <c r="Y133" s="5">
        <f>INDEX(rrcworking[Oil Production],MATCH('November 2019 EDI'!F133,rrcworking[RRC ID],0))</f>
        <v>0</v>
      </c>
      <c r="AA133" s="5">
        <f>INDEX(rrcworking[Sales/Dispostion],MATCH('November 2019 EDI'!F133,rrcworking[RRC ID],0))</f>
        <v>0</v>
      </c>
      <c r="AQ133" s="5">
        <f>INDEX(rrcworking[Closing Stock (Oil)],MATCH('November 2019 EDI'!F133,rrcworking[RRC ID],0))</f>
        <v>0</v>
      </c>
    </row>
    <row r="134" spans="1:43">
      <c r="A134" s="4" t="s">
        <v>1</v>
      </c>
      <c r="B134" s="1" t="s">
        <v>1037</v>
      </c>
      <c r="C134" s="10" t="s">
        <v>914</v>
      </c>
      <c r="D134" s="1" t="s">
        <v>621</v>
      </c>
      <c r="E134" s="1" t="s">
        <v>59</v>
      </c>
      <c r="F134" s="1" t="s">
        <v>545</v>
      </c>
      <c r="I134" s="10" t="s">
        <v>3</v>
      </c>
      <c r="J134" s="125" t="s">
        <v>3</v>
      </c>
      <c r="K134" s="1" t="s">
        <v>1097</v>
      </c>
      <c r="M134" s="5">
        <v>201911</v>
      </c>
      <c r="N134" s="5">
        <f>INDEX(rrcworking[Formation Production (MCF) @ 14.65 psi],MATCH('November 2019 EDI'!F134,rrcworking[RRC ID],0))</f>
        <v>0</v>
      </c>
      <c r="O134" s="5">
        <f>INDEX(rrcworking[Lease Use (MCF)],MATCH('November 2019 EDI'!F134,rrcworking[RRC ID],0))</f>
        <v>0</v>
      </c>
      <c r="P134" s="5">
        <f>INDEX(rrcworking[Disposition Volume (MCF) @ 14.65 MCF],MATCH('November 2019 EDI'!F134,rrcworking[RRC ID],0))</f>
        <v>0</v>
      </c>
      <c r="Y134" s="5">
        <f>INDEX(rrcworking[Oil Production],MATCH('November 2019 EDI'!F134,rrcworking[RRC ID],0))</f>
        <v>0</v>
      </c>
      <c r="AA134" s="5">
        <f>INDEX(rrcworking[Sales/Dispostion],MATCH('November 2019 EDI'!F134,rrcworking[RRC ID],0))</f>
        <v>0</v>
      </c>
      <c r="AQ134" s="5">
        <f>INDEX(rrcworking[Closing Stock (Oil)],MATCH('November 2019 EDI'!F134,rrcworking[RRC ID],0))</f>
        <v>0</v>
      </c>
    </row>
    <row r="135" spans="1:43">
      <c r="A135" s="4" t="s">
        <v>1</v>
      </c>
      <c r="B135" s="1" t="s">
        <v>1038</v>
      </c>
      <c r="C135" s="10" t="s">
        <v>914</v>
      </c>
      <c r="D135" s="1" t="s">
        <v>621</v>
      </c>
      <c r="E135" s="1" t="s">
        <v>2</v>
      </c>
      <c r="F135" s="1" t="s">
        <v>546</v>
      </c>
      <c r="I135" s="10" t="s">
        <v>3</v>
      </c>
      <c r="J135" s="125" t="s">
        <v>3</v>
      </c>
      <c r="K135" s="1" t="s">
        <v>1097</v>
      </c>
      <c r="M135" s="5">
        <v>201911</v>
      </c>
      <c r="N135" s="5">
        <f>INDEX(rrcworking[Formation Production (MCF) @ 14.65 psi],MATCH('November 2019 EDI'!F135,rrcworking[RRC ID],0))</f>
        <v>2169</v>
      </c>
      <c r="O135" s="5">
        <f>INDEX(rrcworking[Lease Use (MCF)],MATCH('November 2019 EDI'!F135,rrcworking[RRC ID],0))</f>
        <v>0</v>
      </c>
      <c r="P135" s="5">
        <f>INDEX(rrcworking[Disposition Volume (MCF) @ 14.65 MCF],MATCH('November 2019 EDI'!F135,rrcworking[RRC ID],0))</f>
        <v>2169</v>
      </c>
      <c r="Y135" s="5">
        <f>INDEX(rrcworking[Oil Production],MATCH('November 2019 EDI'!F135,rrcworking[RRC ID],0))</f>
        <v>167</v>
      </c>
      <c r="AA135" s="5">
        <f>INDEX(rrcworking[Sales/Dispostion],MATCH('November 2019 EDI'!F135,rrcworking[RRC ID],0))</f>
        <v>154</v>
      </c>
      <c r="AQ135" s="5">
        <f>INDEX(rrcworking[Closing Stock (Oil)],MATCH('November 2019 EDI'!F135,rrcworking[RRC ID],0))</f>
        <v>139</v>
      </c>
    </row>
    <row r="136" spans="1:43">
      <c r="A136" s="4" t="s">
        <v>1</v>
      </c>
      <c r="B136" s="1" t="s">
        <v>1039</v>
      </c>
      <c r="C136" s="10" t="s">
        <v>914</v>
      </c>
      <c r="D136" s="1" t="s">
        <v>621</v>
      </c>
      <c r="E136" s="1" t="s">
        <v>59</v>
      </c>
      <c r="F136" s="1" t="s">
        <v>547</v>
      </c>
      <c r="I136" s="10" t="s">
        <v>3</v>
      </c>
      <c r="J136" s="125" t="s">
        <v>3</v>
      </c>
      <c r="K136" s="1" t="s">
        <v>1097</v>
      </c>
      <c r="M136" s="5">
        <v>201911</v>
      </c>
      <c r="N136" s="5">
        <f>INDEX(rrcworking[Formation Production (MCF) @ 14.65 psi],MATCH('November 2019 EDI'!F136,rrcworking[RRC ID],0))</f>
        <v>0</v>
      </c>
      <c r="O136" s="5">
        <f>INDEX(rrcworking[Lease Use (MCF)],MATCH('November 2019 EDI'!F136,rrcworking[RRC ID],0))</f>
        <v>0</v>
      </c>
      <c r="P136" s="5">
        <f>INDEX(rrcworking[Disposition Volume (MCF) @ 14.65 MCF],MATCH('November 2019 EDI'!F136,rrcworking[RRC ID],0))</f>
        <v>0</v>
      </c>
      <c r="Y136" s="5">
        <f>INDEX(rrcworking[Oil Production],MATCH('November 2019 EDI'!F136,rrcworking[RRC ID],0))</f>
        <v>0</v>
      </c>
      <c r="AA136" s="5">
        <f>INDEX(rrcworking[Sales/Dispostion],MATCH('November 2019 EDI'!F136,rrcworking[RRC ID],0))</f>
        <v>0</v>
      </c>
      <c r="AQ136" s="5">
        <f>INDEX(rrcworking[Closing Stock (Oil)],MATCH('November 2019 EDI'!F136,rrcworking[RRC ID],0))</f>
        <v>0</v>
      </c>
    </row>
    <row r="137" spans="1:43">
      <c r="A137" s="4" t="s">
        <v>1</v>
      </c>
      <c r="B137" s="1" t="s">
        <v>1040</v>
      </c>
      <c r="C137" s="10" t="s">
        <v>914</v>
      </c>
      <c r="D137" s="1" t="s">
        <v>621</v>
      </c>
      <c r="E137" s="1" t="s">
        <v>59</v>
      </c>
      <c r="F137" s="1" t="s">
        <v>548</v>
      </c>
      <c r="I137" s="10" t="s">
        <v>3</v>
      </c>
      <c r="J137" s="125" t="s">
        <v>3</v>
      </c>
      <c r="K137" s="1" t="s">
        <v>1097</v>
      </c>
      <c r="M137" s="5">
        <v>201911</v>
      </c>
      <c r="N137" s="5">
        <f>INDEX(rrcworking[Formation Production (MCF) @ 14.65 psi],MATCH('November 2019 EDI'!F137,rrcworking[RRC ID],0))</f>
        <v>0</v>
      </c>
      <c r="O137" s="5">
        <f>INDEX(rrcworking[Lease Use (MCF)],MATCH('November 2019 EDI'!F137,rrcworking[RRC ID],0))</f>
        <v>0</v>
      </c>
      <c r="P137" s="5">
        <f>INDEX(rrcworking[Disposition Volume (MCF) @ 14.65 MCF],MATCH('November 2019 EDI'!F137,rrcworking[RRC ID],0))</f>
        <v>0</v>
      </c>
      <c r="Y137" s="5">
        <f>INDEX(rrcworking[Oil Production],MATCH('November 2019 EDI'!F137,rrcworking[RRC ID],0))</f>
        <v>0</v>
      </c>
      <c r="AA137" s="5">
        <f>INDEX(rrcworking[Sales/Dispostion],MATCH('November 2019 EDI'!F137,rrcworking[RRC ID],0))</f>
        <v>0</v>
      </c>
      <c r="AQ137" s="5">
        <f>INDEX(rrcworking[Closing Stock (Oil)],MATCH('November 2019 EDI'!F137,rrcworking[RRC ID],0))</f>
        <v>0</v>
      </c>
    </row>
    <row r="138" spans="1:43">
      <c r="A138" s="4" t="s">
        <v>1</v>
      </c>
      <c r="B138" s="1" t="s">
        <v>1041</v>
      </c>
      <c r="C138" s="10" t="s">
        <v>914</v>
      </c>
      <c r="D138" s="1" t="s">
        <v>621</v>
      </c>
      <c r="E138" s="1" t="s">
        <v>2</v>
      </c>
      <c r="F138" s="1" t="s">
        <v>549</v>
      </c>
      <c r="I138" s="10" t="s">
        <v>3</v>
      </c>
      <c r="J138" s="125" t="s">
        <v>3</v>
      </c>
      <c r="K138" s="1" t="s">
        <v>1097</v>
      </c>
      <c r="M138" s="5">
        <v>201911</v>
      </c>
      <c r="N138" s="5">
        <f>INDEX(rrcworking[Formation Production (MCF) @ 14.65 psi],MATCH('November 2019 EDI'!F138,rrcworking[RRC ID],0))</f>
        <v>0</v>
      </c>
      <c r="O138" s="5">
        <f>INDEX(rrcworking[Lease Use (MCF)],MATCH('November 2019 EDI'!F138,rrcworking[RRC ID],0))</f>
        <v>0</v>
      </c>
      <c r="P138" s="5">
        <f>INDEX(rrcworking[Disposition Volume (MCF) @ 14.65 MCF],MATCH('November 2019 EDI'!F138,rrcworking[RRC ID],0))</f>
        <v>0</v>
      </c>
      <c r="Y138" s="5">
        <f>INDEX(rrcworking[Oil Production],MATCH('November 2019 EDI'!F138,rrcworking[RRC ID],0))</f>
        <v>0</v>
      </c>
      <c r="AA138" s="5">
        <f>INDEX(rrcworking[Sales/Dispostion],MATCH('November 2019 EDI'!F138,rrcworking[RRC ID],0))</f>
        <v>0</v>
      </c>
      <c r="AQ138" s="5">
        <f>INDEX(rrcworking[Closing Stock (Oil)],MATCH('November 2019 EDI'!F138,rrcworking[RRC ID],0))</f>
        <v>0</v>
      </c>
    </row>
    <row r="139" spans="1:43">
      <c r="A139" s="4" t="s">
        <v>1</v>
      </c>
      <c r="B139" s="1" t="s">
        <v>1042</v>
      </c>
      <c r="C139" s="10" t="s">
        <v>914</v>
      </c>
      <c r="D139" s="1" t="s">
        <v>621</v>
      </c>
      <c r="E139" s="1" t="s">
        <v>59</v>
      </c>
      <c r="F139" s="1" t="s">
        <v>550</v>
      </c>
      <c r="I139" s="10" t="s">
        <v>3</v>
      </c>
      <c r="J139" s="125" t="s">
        <v>3</v>
      </c>
      <c r="K139" s="1" t="s">
        <v>1097</v>
      </c>
      <c r="M139" s="5">
        <v>201911</v>
      </c>
      <c r="N139" s="5">
        <f>INDEX(rrcworking[Formation Production (MCF) @ 14.65 psi],MATCH('November 2019 EDI'!F139,rrcworking[RRC ID],0))</f>
        <v>0</v>
      </c>
      <c r="O139" s="5">
        <f>INDEX(rrcworking[Lease Use (MCF)],MATCH('November 2019 EDI'!F139,rrcworking[RRC ID],0))</f>
        <v>0</v>
      </c>
      <c r="P139" s="5">
        <f>INDEX(rrcworking[Disposition Volume (MCF) @ 14.65 MCF],MATCH('November 2019 EDI'!F139,rrcworking[RRC ID],0))</f>
        <v>0</v>
      </c>
      <c r="Y139" s="5">
        <f>INDEX(rrcworking[Oil Production],MATCH('November 2019 EDI'!F139,rrcworking[RRC ID],0))</f>
        <v>0</v>
      </c>
      <c r="AA139" s="5">
        <f>INDEX(rrcworking[Sales/Dispostion],MATCH('November 2019 EDI'!F139,rrcworking[RRC ID],0))</f>
        <v>0</v>
      </c>
      <c r="AQ139" s="5">
        <f>INDEX(rrcworking[Closing Stock (Oil)],MATCH('November 2019 EDI'!F139,rrcworking[RRC ID],0))</f>
        <v>0</v>
      </c>
    </row>
    <row r="140" spans="1:43">
      <c r="A140" s="4" t="s">
        <v>1</v>
      </c>
      <c r="B140" s="1" t="s">
        <v>1043</v>
      </c>
      <c r="C140" s="10" t="s">
        <v>914</v>
      </c>
      <c r="D140" s="1" t="s">
        <v>621</v>
      </c>
      <c r="E140" s="1" t="s">
        <v>2</v>
      </c>
      <c r="F140" s="1" t="s">
        <v>551</v>
      </c>
      <c r="I140" s="10" t="s">
        <v>3</v>
      </c>
      <c r="J140" s="125" t="s">
        <v>3</v>
      </c>
      <c r="K140" s="1" t="s">
        <v>1097</v>
      </c>
      <c r="M140" s="5">
        <v>201911</v>
      </c>
      <c r="N140" s="5">
        <f>INDEX(rrcworking[Formation Production (MCF) @ 14.65 psi],MATCH('November 2019 EDI'!F140,rrcworking[RRC ID],0))</f>
        <v>0</v>
      </c>
      <c r="O140" s="5">
        <f>INDEX(rrcworking[Lease Use (MCF)],MATCH('November 2019 EDI'!F140,rrcworking[RRC ID],0))</f>
        <v>0</v>
      </c>
      <c r="P140" s="5">
        <f>INDEX(rrcworking[Disposition Volume (MCF) @ 14.65 MCF],MATCH('November 2019 EDI'!F140,rrcworking[RRC ID],0))</f>
        <v>0</v>
      </c>
      <c r="Y140" s="5">
        <f>INDEX(rrcworking[Oil Production],MATCH('November 2019 EDI'!F140,rrcworking[RRC ID],0))</f>
        <v>0</v>
      </c>
      <c r="AA140" s="5">
        <f>INDEX(rrcworking[Sales/Dispostion],MATCH('November 2019 EDI'!F140,rrcworking[RRC ID],0))</f>
        <v>0</v>
      </c>
      <c r="AQ140" s="5">
        <f>INDEX(rrcworking[Closing Stock (Oil)],MATCH('November 2019 EDI'!F140,rrcworking[RRC ID],0))</f>
        <v>0</v>
      </c>
    </row>
    <row r="141" spans="1:43">
      <c r="A141" s="4" t="s">
        <v>1</v>
      </c>
      <c r="B141" s="1" t="s">
        <v>1044</v>
      </c>
      <c r="C141" s="10" t="s">
        <v>914</v>
      </c>
      <c r="D141" s="1" t="s">
        <v>621</v>
      </c>
      <c r="E141" s="1" t="s">
        <v>59</v>
      </c>
      <c r="F141" s="1" t="s">
        <v>552</v>
      </c>
      <c r="I141" s="10" t="s">
        <v>3</v>
      </c>
      <c r="J141" s="125" t="s">
        <v>3</v>
      </c>
      <c r="K141" s="1" t="s">
        <v>1097</v>
      </c>
      <c r="M141" s="5">
        <v>201911</v>
      </c>
      <c r="N141" s="5">
        <f>INDEX(rrcworking[Formation Production (MCF) @ 14.65 psi],MATCH('November 2019 EDI'!F141,rrcworking[RRC ID],0))</f>
        <v>0</v>
      </c>
      <c r="O141" s="5">
        <f>INDEX(rrcworking[Lease Use (MCF)],MATCH('November 2019 EDI'!F141,rrcworking[RRC ID],0))</f>
        <v>0</v>
      </c>
      <c r="P141" s="5">
        <f>INDEX(rrcworking[Disposition Volume (MCF) @ 14.65 MCF],MATCH('November 2019 EDI'!F141,rrcworking[RRC ID],0))</f>
        <v>0</v>
      </c>
      <c r="Y141" s="5">
        <f>INDEX(rrcworking[Oil Production],MATCH('November 2019 EDI'!F141,rrcworking[RRC ID],0))</f>
        <v>0</v>
      </c>
      <c r="AA141" s="5">
        <f>INDEX(rrcworking[Sales/Dispostion],MATCH('November 2019 EDI'!F141,rrcworking[RRC ID],0))</f>
        <v>0</v>
      </c>
      <c r="AQ141" s="5">
        <f>INDEX(rrcworking[Closing Stock (Oil)],MATCH('November 2019 EDI'!F141,rrcworking[RRC ID],0))</f>
        <v>135</v>
      </c>
    </row>
    <row r="142" spans="1:43">
      <c r="A142" s="4" t="s">
        <v>1</v>
      </c>
      <c r="B142" s="1" t="s">
        <v>1045</v>
      </c>
      <c r="C142" s="10" t="s">
        <v>914</v>
      </c>
      <c r="D142" s="1" t="s">
        <v>621</v>
      </c>
      <c r="E142" s="1" t="s">
        <v>59</v>
      </c>
      <c r="F142" s="1" t="s">
        <v>553</v>
      </c>
      <c r="I142" s="10" t="s">
        <v>3</v>
      </c>
      <c r="J142" s="125" t="s">
        <v>3</v>
      </c>
      <c r="K142" s="1" t="s">
        <v>1097</v>
      </c>
      <c r="M142" s="5">
        <v>201911</v>
      </c>
      <c r="N142" s="5">
        <f>INDEX(rrcworking[Formation Production (MCF) @ 14.65 psi],MATCH('November 2019 EDI'!F142,rrcworking[RRC ID],0))</f>
        <v>0</v>
      </c>
      <c r="O142" s="5">
        <f>INDEX(rrcworking[Lease Use (MCF)],MATCH('November 2019 EDI'!F142,rrcworking[RRC ID],0))</f>
        <v>0</v>
      </c>
      <c r="P142" s="5">
        <f>INDEX(rrcworking[Disposition Volume (MCF) @ 14.65 MCF],MATCH('November 2019 EDI'!F142,rrcworking[RRC ID],0))</f>
        <v>0</v>
      </c>
      <c r="Y142" s="5">
        <f>INDEX(rrcworking[Oil Production],MATCH('November 2019 EDI'!F142,rrcworking[RRC ID],0))</f>
        <v>0</v>
      </c>
      <c r="AA142" s="5">
        <f>INDEX(rrcworking[Sales/Dispostion],MATCH('November 2019 EDI'!F142,rrcworking[RRC ID],0))</f>
        <v>0</v>
      </c>
      <c r="AQ142" s="5">
        <f>INDEX(rrcworking[Closing Stock (Oil)],MATCH('November 2019 EDI'!F142,rrcworking[RRC ID],0))</f>
        <v>134</v>
      </c>
    </row>
    <row r="143" spans="1:43">
      <c r="A143" s="4" t="s">
        <v>1</v>
      </c>
      <c r="B143" s="1" t="s">
        <v>1046</v>
      </c>
      <c r="C143" s="10" t="s">
        <v>914</v>
      </c>
      <c r="D143" s="1" t="s">
        <v>622</v>
      </c>
      <c r="E143" s="1" t="s">
        <v>59</v>
      </c>
      <c r="F143" s="1" t="s">
        <v>554</v>
      </c>
      <c r="I143" s="10" t="s">
        <v>3</v>
      </c>
      <c r="J143" s="125" t="s">
        <v>3</v>
      </c>
      <c r="K143" s="1" t="s">
        <v>1097</v>
      </c>
      <c r="M143" s="5">
        <v>201911</v>
      </c>
      <c r="N143" s="5">
        <f>INDEX(rrcworking[Formation Production (MCF) @ 14.65 psi],MATCH('November 2019 EDI'!F143,rrcworking[RRC ID],0))</f>
        <v>0</v>
      </c>
      <c r="O143" s="5">
        <f>INDEX(rrcworking[Lease Use (MCF)],MATCH('November 2019 EDI'!F143,rrcworking[RRC ID],0))</f>
        <v>0</v>
      </c>
      <c r="P143" s="5">
        <f>INDEX(rrcworking[Disposition Volume (MCF) @ 14.65 MCF],MATCH('November 2019 EDI'!F143,rrcworking[RRC ID],0))</f>
        <v>0</v>
      </c>
      <c r="Y143" s="5">
        <f>INDEX(rrcworking[Oil Production],MATCH('November 2019 EDI'!F143,rrcworking[RRC ID],0))</f>
        <v>0</v>
      </c>
      <c r="AA143" s="5">
        <f>INDEX(rrcworking[Sales/Dispostion],MATCH('November 2019 EDI'!F143,rrcworking[RRC ID],0))</f>
        <v>0</v>
      </c>
      <c r="AQ143" s="5">
        <f>INDEX(rrcworking[Closing Stock (Oil)],MATCH('November 2019 EDI'!F143,rrcworking[RRC ID],0))</f>
        <v>0</v>
      </c>
    </row>
    <row r="144" spans="1:43">
      <c r="A144" s="4" t="s">
        <v>1</v>
      </c>
      <c r="B144" s="1" t="s">
        <v>1047</v>
      </c>
      <c r="C144" s="10" t="s">
        <v>914</v>
      </c>
      <c r="D144" s="1" t="s">
        <v>622</v>
      </c>
      <c r="E144" s="1" t="s">
        <v>2</v>
      </c>
      <c r="F144" s="1" t="s">
        <v>555</v>
      </c>
      <c r="I144" s="10" t="s">
        <v>3</v>
      </c>
      <c r="J144" s="125" t="s">
        <v>3</v>
      </c>
      <c r="K144" s="1" t="s">
        <v>1097</v>
      </c>
      <c r="M144" s="5">
        <v>201911</v>
      </c>
      <c r="N144" s="5">
        <f>INDEX(rrcworking[Formation Production (MCF) @ 14.65 psi],MATCH('November 2019 EDI'!F144,rrcworking[RRC ID],0))</f>
        <v>239</v>
      </c>
      <c r="O144" s="5">
        <f>INDEX(rrcworking[Lease Use (MCF)],MATCH('November 2019 EDI'!F144,rrcworking[RRC ID],0))</f>
        <v>0</v>
      </c>
      <c r="P144" s="5">
        <f>INDEX(rrcworking[Disposition Volume (MCF) @ 14.65 MCF],MATCH('November 2019 EDI'!F144,rrcworking[RRC ID],0))</f>
        <v>239</v>
      </c>
      <c r="Y144" s="5">
        <f>INDEX(rrcworking[Oil Production],MATCH('November 2019 EDI'!F144,rrcworking[RRC ID],0))</f>
        <v>72</v>
      </c>
      <c r="AA144" s="5">
        <f>INDEX(rrcworking[Sales/Dispostion],MATCH('November 2019 EDI'!F144,rrcworking[RRC ID],0))</f>
        <v>0</v>
      </c>
      <c r="AQ144" s="5">
        <f>INDEX(rrcworking[Closing Stock (Oil)],MATCH('November 2019 EDI'!F144,rrcworking[RRC ID],0))</f>
        <v>165</v>
      </c>
    </row>
    <row r="145" spans="1:43">
      <c r="A145" s="4" t="s">
        <v>1</v>
      </c>
      <c r="B145" s="1" t="s">
        <v>1048</v>
      </c>
      <c r="C145" s="10" t="s">
        <v>914</v>
      </c>
      <c r="D145" s="1" t="s">
        <v>622</v>
      </c>
      <c r="E145" s="1" t="s">
        <v>59</v>
      </c>
      <c r="F145" s="1" t="s">
        <v>556</v>
      </c>
      <c r="I145" s="10" t="s">
        <v>3</v>
      </c>
      <c r="J145" s="125" t="s">
        <v>3</v>
      </c>
      <c r="K145" s="1" t="s">
        <v>1097</v>
      </c>
      <c r="M145" s="5">
        <v>201911</v>
      </c>
      <c r="N145" s="5">
        <f>INDEX(rrcworking[Formation Production (MCF) @ 14.65 psi],MATCH('November 2019 EDI'!F145,rrcworking[RRC ID],0))</f>
        <v>0</v>
      </c>
      <c r="O145" s="5">
        <f>INDEX(rrcworking[Lease Use (MCF)],MATCH('November 2019 EDI'!F145,rrcworking[RRC ID],0))</f>
        <v>0</v>
      </c>
      <c r="P145" s="5">
        <f>INDEX(rrcworking[Disposition Volume (MCF) @ 14.65 MCF],MATCH('November 2019 EDI'!F145,rrcworking[RRC ID],0))</f>
        <v>0</v>
      </c>
      <c r="Y145" s="5">
        <f>INDEX(rrcworking[Oil Production],MATCH('November 2019 EDI'!F145,rrcworking[RRC ID],0))</f>
        <v>0</v>
      </c>
      <c r="AA145" s="5">
        <f>INDEX(rrcworking[Sales/Dispostion],MATCH('November 2019 EDI'!F145,rrcworking[RRC ID],0))</f>
        <v>0</v>
      </c>
      <c r="AQ145" s="5">
        <f>INDEX(rrcworking[Closing Stock (Oil)],MATCH('November 2019 EDI'!F145,rrcworking[RRC ID],0))</f>
        <v>0</v>
      </c>
    </row>
    <row r="146" spans="1:43">
      <c r="A146" s="4" t="s">
        <v>1</v>
      </c>
      <c r="B146" s="1" t="s">
        <v>1049</v>
      </c>
      <c r="C146" s="10" t="s">
        <v>914</v>
      </c>
      <c r="D146" s="1" t="s">
        <v>622</v>
      </c>
      <c r="E146" s="1" t="s">
        <v>2</v>
      </c>
      <c r="F146" s="1" t="s">
        <v>557</v>
      </c>
      <c r="I146" s="10" t="s">
        <v>3</v>
      </c>
      <c r="J146" s="125" t="s">
        <v>3</v>
      </c>
      <c r="K146" s="1" t="s">
        <v>1097</v>
      </c>
      <c r="M146" s="5">
        <v>201911</v>
      </c>
      <c r="N146" s="5">
        <f>INDEX(rrcworking[Formation Production (MCF) @ 14.65 psi],MATCH('November 2019 EDI'!F146,rrcworking[RRC ID],0))</f>
        <v>0</v>
      </c>
      <c r="O146" s="5">
        <f>INDEX(rrcworking[Lease Use (MCF)],MATCH('November 2019 EDI'!F146,rrcworking[RRC ID],0))</f>
        <v>0</v>
      </c>
      <c r="P146" s="5">
        <f>INDEX(rrcworking[Disposition Volume (MCF) @ 14.65 MCF],MATCH('November 2019 EDI'!F146,rrcworking[RRC ID],0))</f>
        <v>0</v>
      </c>
      <c r="Y146" s="5">
        <f>INDEX(rrcworking[Oil Production],MATCH('November 2019 EDI'!F146,rrcworking[RRC ID],0))</f>
        <v>0</v>
      </c>
      <c r="AA146" s="5">
        <f>INDEX(rrcworking[Sales/Dispostion],MATCH('November 2019 EDI'!F146,rrcworking[RRC ID],0))</f>
        <v>0</v>
      </c>
      <c r="AQ146" s="5">
        <f>INDEX(rrcworking[Closing Stock (Oil)],MATCH('November 2019 EDI'!F146,rrcworking[RRC ID],0))</f>
        <v>235</v>
      </c>
    </row>
    <row r="147" spans="1:43">
      <c r="A147" s="4" t="s">
        <v>1</v>
      </c>
      <c r="B147" s="1" t="s">
        <v>1050</v>
      </c>
      <c r="C147" s="10" t="s">
        <v>914</v>
      </c>
      <c r="D147" s="1" t="s">
        <v>622</v>
      </c>
      <c r="E147" s="1" t="s">
        <v>59</v>
      </c>
      <c r="F147" s="1" t="s">
        <v>558</v>
      </c>
      <c r="I147" s="10" t="s">
        <v>3</v>
      </c>
      <c r="J147" s="125" t="s">
        <v>3</v>
      </c>
      <c r="K147" s="1" t="s">
        <v>1097</v>
      </c>
      <c r="M147" s="5">
        <v>201911</v>
      </c>
      <c r="N147" s="5">
        <f>INDEX(rrcworking[Formation Production (MCF) @ 14.65 psi],MATCH('November 2019 EDI'!F147,rrcworking[RRC ID],0))</f>
        <v>1181</v>
      </c>
      <c r="O147" s="5">
        <f>INDEX(rrcworking[Lease Use (MCF)],MATCH('November 2019 EDI'!F147,rrcworking[RRC ID],0))</f>
        <v>300</v>
      </c>
      <c r="P147" s="5">
        <f>INDEX(rrcworking[Disposition Volume (MCF) @ 14.65 MCF],MATCH('November 2019 EDI'!F147,rrcworking[RRC ID],0))</f>
        <v>881</v>
      </c>
      <c r="Y147" s="5">
        <f>INDEX(rrcworking[Oil Production],MATCH('November 2019 EDI'!F147,rrcworking[RRC ID],0))</f>
        <v>0</v>
      </c>
      <c r="AA147" s="5">
        <f>INDEX(rrcworking[Sales/Dispostion],MATCH('November 2019 EDI'!F147,rrcworking[RRC ID],0))</f>
        <v>0</v>
      </c>
      <c r="AQ147" s="5">
        <f>INDEX(rrcworking[Closing Stock (Oil)],MATCH('November 2019 EDI'!F147,rrcworking[RRC ID],0))</f>
        <v>0</v>
      </c>
    </row>
    <row r="148" spans="1:43">
      <c r="A148" s="4" t="s">
        <v>1</v>
      </c>
      <c r="B148" s="1" t="s">
        <v>1051</v>
      </c>
      <c r="C148" s="10" t="s">
        <v>914</v>
      </c>
      <c r="D148" s="1" t="s">
        <v>622</v>
      </c>
      <c r="E148" s="1" t="s">
        <v>59</v>
      </c>
      <c r="F148" s="1" t="s">
        <v>559</v>
      </c>
      <c r="I148" s="10" t="s">
        <v>3</v>
      </c>
      <c r="J148" s="125" t="s">
        <v>3</v>
      </c>
      <c r="K148" s="1" t="s">
        <v>1097</v>
      </c>
      <c r="M148" s="5">
        <v>201911</v>
      </c>
      <c r="N148" s="5">
        <f>INDEX(rrcworking[Formation Production (MCF) @ 14.65 psi],MATCH('November 2019 EDI'!F148,rrcworking[RRC ID],0))</f>
        <v>0</v>
      </c>
      <c r="O148" s="5">
        <f>INDEX(rrcworking[Lease Use (MCF)],MATCH('November 2019 EDI'!F148,rrcworking[RRC ID],0))</f>
        <v>0</v>
      </c>
      <c r="P148" s="5">
        <f>INDEX(rrcworking[Disposition Volume (MCF) @ 14.65 MCF],MATCH('November 2019 EDI'!F148,rrcworking[RRC ID],0))</f>
        <v>0</v>
      </c>
      <c r="Y148" s="5">
        <f>INDEX(rrcworking[Oil Production],MATCH('November 2019 EDI'!F148,rrcworking[RRC ID],0))</f>
        <v>0</v>
      </c>
      <c r="AA148" s="5">
        <f>INDEX(rrcworking[Sales/Dispostion],MATCH('November 2019 EDI'!F148,rrcworking[RRC ID],0))</f>
        <v>0</v>
      </c>
      <c r="AQ148" s="5">
        <f>INDEX(rrcworking[Closing Stock (Oil)],MATCH('November 2019 EDI'!F148,rrcworking[RRC ID],0))</f>
        <v>0</v>
      </c>
    </row>
    <row r="149" spans="1:43">
      <c r="A149" s="4" t="s">
        <v>1</v>
      </c>
      <c r="B149" s="1" t="s">
        <v>1052</v>
      </c>
      <c r="C149" s="10" t="s">
        <v>914</v>
      </c>
      <c r="D149" s="1" t="s">
        <v>622</v>
      </c>
      <c r="E149" s="1" t="s">
        <v>2</v>
      </c>
      <c r="F149" s="1" t="s">
        <v>560</v>
      </c>
      <c r="I149" s="10" t="s">
        <v>3</v>
      </c>
      <c r="J149" s="125" t="s">
        <v>3</v>
      </c>
      <c r="K149" s="1" t="s">
        <v>1097</v>
      </c>
      <c r="M149" s="5">
        <v>201911</v>
      </c>
      <c r="N149" s="5">
        <f>INDEX(rrcworking[Formation Production (MCF) @ 14.65 psi],MATCH('November 2019 EDI'!F149,rrcworking[RRC ID],0))</f>
        <v>0</v>
      </c>
      <c r="O149" s="5">
        <f>INDEX(rrcworking[Lease Use (MCF)],MATCH('November 2019 EDI'!F149,rrcworking[RRC ID],0))</f>
        <v>0</v>
      </c>
      <c r="P149" s="5">
        <f>INDEX(rrcworking[Disposition Volume (MCF) @ 14.65 MCF],MATCH('November 2019 EDI'!F149,rrcworking[RRC ID],0))</f>
        <v>0</v>
      </c>
      <c r="Y149" s="5">
        <f>INDEX(rrcworking[Oil Production],MATCH('November 2019 EDI'!F149,rrcworking[RRC ID],0))</f>
        <v>0</v>
      </c>
      <c r="AA149" s="5">
        <f>INDEX(rrcworking[Sales/Dispostion],MATCH('November 2019 EDI'!F149,rrcworking[RRC ID],0))</f>
        <v>0</v>
      </c>
      <c r="AQ149" s="5">
        <f>INDEX(rrcworking[Closing Stock (Oil)],MATCH('November 2019 EDI'!F149,rrcworking[RRC ID],0))</f>
        <v>90</v>
      </c>
    </row>
    <row r="150" spans="1:43">
      <c r="A150" s="4" t="s">
        <v>1</v>
      </c>
      <c r="B150" s="1" t="s">
        <v>1053</v>
      </c>
      <c r="C150" s="10" t="s">
        <v>914</v>
      </c>
      <c r="D150" s="1" t="s">
        <v>622</v>
      </c>
      <c r="E150" s="1" t="s">
        <v>59</v>
      </c>
      <c r="F150" s="1" t="s">
        <v>561</v>
      </c>
      <c r="I150" s="10" t="s">
        <v>3</v>
      </c>
      <c r="J150" s="125" t="s">
        <v>3</v>
      </c>
      <c r="K150" s="1" t="s">
        <v>1097</v>
      </c>
      <c r="M150" s="5">
        <v>201911</v>
      </c>
      <c r="N150" s="5">
        <f>INDEX(rrcworking[Formation Production (MCF) @ 14.65 psi],MATCH('November 2019 EDI'!F150,rrcworking[RRC ID],0))</f>
        <v>0</v>
      </c>
      <c r="O150" s="5">
        <f>INDEX(rrcworking[Lease Use (MCF)],MATCH('November 2019 EDI'!F150,rrcworking[RRC ID],0))</f>
        <v>0</v>
      </c>
      <c r="P150" s="5">
        <f>INDEX(rrcworking[Disposition Volume (MCF) @ 14.65 MCF],MATCH('November 2019 EDI'!F150,rrcworking[RRC ID],0))</f>
        <v>0</v>
      </c>
      <c r="Y150" s="5">
        <f>INDEX(rrcworking[Oil Production],MATCH('November 2019 EDI'!F150,rrcworking[RRC ID],0))</f>
        <v>0</v>
      </c>
      <c r="AA150" s="5">
        <f>INDEX(rrcworking[Sales/Dispostion],MATCH('November 2019 EDI'!F150,rrcworking[RRC ID],0))</f>
        <v>0</v>
      </c>
      <c r="AQ150" s="5">
        <f>INDEX(rrcworking[Closing Stock (Oil)],MATCH('November 2019 EDI'!F150,rrcworking[RRC ID],0))</f>
        <v>0</v>
      </c>
    </row>
    <row r="151" spans="1:43">
      <c r="A151" s="4" t="s">
        <v>1</v>
      </c>
      <c r="B151" s="1" t="s">
        <v>1054</v>
      </c>
      <c r="C151" s="10" t="s">
        <v>914</v>
      </c>
      <c r="D151" s="1" t="s">
        <v>622</v>
      </c>
      <c r="E151" s="1" t="s">
        <v>2</v>
      </c>
      <c r="F151" s="1" t="s">
        <v>562</v>
      </c>
      <c r="I151" s="10" t="s">
        <v>3</v>
      </c>
      <c r="J151" s="125" t="s">
        <v>3</v>
      </c>
      <c r="K151" s="1" t="s">
        <v>1097</v>
      </c>
      <c r="M151" s="5">
        <v>201911</v>
      </c>
      <c r="N151" s="5">
        <f>INDEX(rrcworking[Formation Production (MCF) @ 14.65 psi],MATCH('November 2019 EDI'!F151,rrcworking[RRC ID],0))</f>
        <v>0</v>
      </c>
      <c r="O151" s="5">
        <f>INDEX(rrcworking[Lease Use (MCF)],MATCH('November 2019 EDI'!F151,rrcworking[RRC ID],0))</f>
        <v>0</v>
      </c>
      <c r="P151" s="5">
        <f>INDEX(rrcworking[Disposition Volume (MCF) @ 14.65 MCF],MATCH('November 2019 EDI'!F151,rrcworking[RRC ID],0))</f>
        <v>0</v>
      </c>
      <c r="Y151" s="5">
        <f>INDEX(rrcworking[Oil Production],MATCH('November 2019 EDI'!F151,rrcworking[RRC ID],0))</f>
        <v>0</v>
      </c>
      <c r="AA151" s="5">
        <f>INDEX(rrcworking[Sales/Dispostion],MATCH('November 2019 EDI'!F151,rrcworking[RRC ID],0))</f>
        <v>0</v>
      </c>
      <c r="AQ151" s="5">
        <f>INDEX(rrcworking[Closing Stock (Oil)],MATCH('November 2019 EDI'!F151,rrcworking[RRC ID],0))</f>
        <v>0</v>
      </c>
    </row>
    <row r="152" spans="1:43">
      <c r="A152" s="4" t="s">
        <v>1</v>
      </c>
      <c r="B152" s="1" t="s">
        <v>1055</v>
      </c>
      <c r="C152" s="10" t="s">
        <v>914</v>
      </c>
      <c r="D152" s="1" t="s">
        <v>622</v>
      </c>
      <c r="E152" s="1" t="s">
        <v>59</v>
      </c>
      <c r="F152" s="1" t="s">
        <v>563</v>
      </c>
      <c r="I152" s="10" t="s">
        <v>3</v>
      </c>
      <c r="J152" s="125" t="s">
        <v>3</v>
      </c>
      <c r="K152" s="1" t="s">
        <v>1097</v>
      </c>
      <c r="M152" s="5">
        <v>201911</v>
      </c>
      <c r="N152" s="5">
        <f>INDEX(rrcworking[Formation Production (MCF) @ 14.65 psi],MATCH('November 2019 EDI'!F152,rrcworking[RRC ID],0))</f>
        <v>2880</v>
      </c>
      <c r="O152" s="5">
        <f>INDEX(rrcworking[Lease Use (MCF)],MATCH('November 2019 EDI'!F152,rrcworking[RRC ID],0))</f>
        <v>167</v>
      </c>
      <c r="P152" s="5">
        <f>INDEX(rrcworking[Disposition Volume (MCF) @ 14.65 MCF],MATCH('November 2019 EDI'!F152,rrcworking[RRC ID],0))</f>
        <v>2713</v>
      </c>
      <c r="Y152" s="5">
        <f>INDEX(rrcworking[Oil Production],MATCH('November 2019 EDI'!F152,rrcworking[RRC ID],0))</f>
        <v>0</v>
      </c>
      <c r="AA152" s="5">
        <f>INDEX(rrcworking[Sales/Dispostion],MATCH('November 2019 EDI'!F152,rrcworking[RRC ID],0))</f>
        <v>0</v>
      </c>
      <c r="AQ152" s="5">
        <f>INDEX(rrcworking[Closing Stock (Oil)],MATCH('November 2019 EDI'!F152,rrcworking[RRC ID],0))</f>
        <v>162</v>
      </c>
    </row>
    <row r="153" spans="1:43">
      <c r="A153" s="4" t="s">
        <v>1</v>
      </c>
      <c r="B153" s="1" t="s">
        <v>1056</v>
      </c>
      <c r="C153" s="10" t="s">
        <v>914</v>
      </c>
      <c r="D153" s="1" t="s">
        <v>622</v>
      </c>
      <c r="E153" s="1" t="s">
        <v>59</v>
      </c>
      <c r="F153" s="1" t="s">
        <v>564</v>
      </c>
      <c r="I153" s="10" t="s">
        <v>3</v>
      </c>
      <c r="J153" s="125" t="s">
        <v>3</v>
      </c>
      <c r="K153" s="1" t="s">
        <v>1097</v>
      </c>
      <c r="M153" s="5">
        <v>201911</v>
      </c>
      <c r="N153" s="5">
        <f>INDEX(rrcworking[Formation Production (MCF) @ 14.65 psi],MATCH('November 2019 EDI'!F153,rrcworking[RRC ID],0))</f>
        <v>2446</v>
      </c>
      <c r="O153" s="5">
        <f>INDEX(rrcworking[Lease Use (MCF)],MATCH('November 2019 EDI'!F153,rrcworking[RRC ID],0))</f>
        <v>141</v>
      </c>
      <c r="P153" s="5">
        <f>INDEX(rrcworking[Disposition Volume (MCF) @ 14.65 MCF],MATCH('November 2019 EDI'!F153,rrcworking[RRC ID],0))</f>
        <v>2305</v>
      </c>
      <c r="Y153" s="5">
        <f>INDEX(rrcworking[Oil Production],MATCH('November 2019 EDI'!F153,rrcworking[RRC ID],0))</f>
        <v>0</v>
      </c>
      <c r="AA153" s="5">
        <f>INDEX(rrcworking[Sales/Dispostion],MATCH('November 2019 EDI'!F153,rrcworking[RRC ID],0))</f>
        <v>0</v>
      </c>
      <c r="AQ153" s="5">
        <f>INDEX(rrcworking[Closing Stock (Oil)],MATCH('November 2019 EDI'!F153,rrcworking[RRC ID],0))</f>
        <v>0</v>
      </c>
    </row>
    <row r="154" spans="1:43">
      <c r="A154" s="4" t="s">
        <v>1</v>
      </c>
      <c r="B154" s="1" t="s">
        <v>1057</v>
      </c>
      <c r="C154" s="10" t="s">
        <v>914</v>
      </c>
      <c r="D154" s="1" t="s">
        <v>622</v>
      </c>
      <c r="E154" s="1" t="s">
        <v>59</v>
      </c>
      <c r="F154" s="1" t="s">
        <v>565</v>
      </c>
      <c r="I154" s="10" t="s">
        <v>3</v>
      </c>
      <c r="J154" s="125" t="s">
        <v>3</v>
      </c>
      <c r="K154" s="1" t="s">
        <v>1097</v>
      </c>
      <c r="M154" s="5">
        <v>201911</v>
      </c>
      <c r="N154" s="5">
        <f>INDEX(rrcworking[Formation Production (MCF) @ 14.65 psi],MATCH('November 2019 EDI'!F154,rrcworking[RRC ID],0))</f>
        <v>7154</v>
      </c>
      <c r="O154" s="5">
        <f>INDEX(rrcworking[Lease Use (MCF)],MATCH('November 2019 EDI'!F154,rrcworking[RRC ID],0))</f>
        <v>288</v>
      </c>
      <c r="P154" s="5">
        <f>INDEX(rrcworking[Disposition Volume (MCF) @ 14.65 MCF],MATCH('November 2019 EDI'!F154,rrcworking[RRC ID],0))</f>
        <v>6866</v>
      </c>
      <c r="Y154" s="5">
        <f>INDEX(rrcworking[Oil Production],MATCH('November 2019 EDI'!F154,rrcworking[RRC ID],0))</f>
        <v>0</v>
      </c>
      <c r="AA154" s="5">
        <f>INDEX(rrcworking[Sales/Dispostion],MATCH('November 2019 EDI'!F154,rrcworking[RRC ID],0))</f>
        <v>0</v>
      </c>
      <c r="AQ154" s="5">
        <f>INDEX(rrcworking[Closing Stock (Oil)],MATCH('November 2019 EDI'!F154,rrcworking[RRC ID],0))</f>
        <v>24</v>
      </c>
    </row>
    <row r="155" spans="1:43">
      <c r="A155" s="4" t="s">
        <v>1</v>
      </c>
      <c r="B155" s="1" t="s">
        <v>1058</v>
      </c>
      <c r="C155" s="10" t="s">
        <v>914</v>
      </c>
      <c r="D155" s="1" t="s">
        <v>622</v>
      </c>
      <c r="E155" s="1" t="s">
        <v>59</v>
      </c>
      <c r="F155" s="1" t="s">
        <v>566</v>
      </c>
      <c r="I155" s="10" t="s">
        <v>3</v>
      </c>
      <c r="J155" s="125" t="s">
        <v>3</v>
      </c>
      <c r="K155" s="1" t="s">
        <v>1097</v>
      </c>
      <c r="M155" s="5">
        <v>201911</v>
      </c>
      <c r="N155" s="5">
        <f>INDEX(rrcworking[Formation Production (MCF) @ 14.65 psi],MATCH('November 2019 EDI'!F155,rrcworking[RRC ID],0))</f>
        <v>490</v>
      </c>
      <c r="O155" s="5">
        <f>INDEX(rrcworking[Lease Use (MCF)],MATCH('November 2019 EDI'!F155,rrcworking[RRC ID],0))</f>
        <v>20</v>
      </c>
      <c r="P155" s="5">
        <f>INDEX(rrcworking[Disposition Volume (MCF) @ 14.65 MCF],MATCH('November 2019 EDI'!F155,rrcworking[RRC ID],0))</f>
        <v>470</v>
      </c>
      <c r="Y155" s="5">
        <f>INDEX(rrcworking[Oil Production],MATCH('November 2019 EDI'!F155,rrcworking[RRC ID],0))</f>
        <v>0</v>
      </c>
      <c r="AA155" s="5">
        <f>INDEX(rrcworking[Sales/Dispostion],MATCH('November 2019 EDI'!F155,rrcworking[RRC ID],0))</f>
        <v>0</v>
      </c>
      <c r="AQ155" s="5">
        <f>INDEX(rrcworking[Closing Stock (Oil)],MATCH('November 2019 EDI'!F155,rrcworking[RRC ID],0))</f>
        <v>0</v>
      </c>
    </row>
    <row r="156" spans="1:43">
      <c r="A156" s="4" t="s">
        <v>1</v>
      </c>
      <c r="B156" s="1" t="s">
        <v>1059</v>
      </c>
      <c r="C156" s="10" t="s">
        <v>914</v>
      </c>
      <c r="D156" s="1" t="s">
        <v>622</v>
      </c>
      <c r="E156" s="1" t="s">
        <v>2</v>
      </c>
      <c r="F156" s="1" t="s">
        <v>567</v>
      </c>
      <c r="I156" s="10" t="s">
        <v>3</v>
      </c>
      <c r="J156" s="125" t="s">
        <v>3</v>
      </c>
      <c r="K156" s="1" t="s">
        <v>1097</v>
      </c>
      <c r="M156" s="5">
        <v>201911</v>
      </c>
      <c r="N156" s="5">
        <f>INDEX(rrcworking[Formation Production (MCF) @ 14.65 psi],MATCH('November 2019 EDI'!F156,rrcworking[RRC ID],0))</f>
        <v>0</v>
      </c>
      <c r="O156" s="5">
        <f>INDEX(rrcworking[Lease Use (MCF)],MATCH('November 2019 EDI'!F156,rrcworking[RRC ID],0))</f>
        <v>0</v>
      </c>
      <c r="P156" s="5">
        <f>INDEX(rrcworking[Disposition Volume (MCF) @ 14.65 MCF],MATCH('November 2019 EDI'!F156,rrcworking[RRC ID],0))</f>
        <v>0</v>
      </c>
      <c r="Y156" s="5">
        <f>INDEX(rrcworking[Oil Production],MATCH('November 2019 EDI'!F156,rrcworking[RRC ID],0))</f>
        <v>0</v>
      </c>
      <c r="AA156" s="5">
        <f>INDEX(rrcworking[Sales/Dispostion],MATCH('November 2019 EDI'!F156,rrcworking[RRC ID],0))</f>
        <v>0</v>
      </c>
      <c r="AQ156" s="5">
        <f>INDEX(rrcworking[Closing Stock (Oil)],MATCH('November 2019 EDI'!F156,rrcworking[RRC ID],0))</f>
        <v>47</v>
      </c>
    </row>
    <row r="157" spans="1:43">
      <c r="A157" s="4" t="s">
        <v>1</v>
      </c>
      <c r="B157" s="1" t="s">
        <v>1060</v>
      </c>
      <c r="C157" s="10" t="s">
        <v>914</v>
      </c>
      <c r="D157" s="1" t="s">
        <v>622</v>
      </c>
      <c r="E157" s="1" t="s">
        <v>2</v>
      </c>
      <c r="F157" s="1" t="s">
        <v>568</v>
      </c>
      <c r="I157" s="10" t="s">
        <v>3</v>
      </c>
      <c r="J157" s="125" t="s">
        <v>3</v>
      </c>
      <c r="K157" s="1" t="s">
        <v>1097</v>
      </c>
      <c r="M157" s="5">
        <v>201911</v>
      </c>
      <c r="N157" s="5">
        <f>INDEX(rrcworking[Formation Production (MCF) @ 14.65 psi],MATCH('November 2019 EDI'!F157,rrcworking[RRC ID],0))</f>
        <v>0</v>
      </c>
      <c r="O157" s="5">
        <f>INDEX(rrcworking[Lease Use (MCF)],MATCH('November 2019 EDI'!F157,rrcworking[RRC ID],0))</f>
        <v>0</v>
      </c>
      <c r="P157" s="5">
        <f>INDEX(rrcworking[Disposition Volume (MCF) @ 14.65 MCF],MATCH('November 2019 EDI'!F157,rrcworking[RRC ID],0))</f>
        <v>0</v>
      </c>
      <c r="Y157" s="5">
        <f>INDEX(rrcworking[Oil Production],MATCH('November 2019 EDI'!F157,rrcworking[RRC ID],0))</f>
        <v>0</v>
      </c>
      <c r="AA157" s="5">
        <f>INDEX(rrcworking[Sales/Dispostion],MATCH('November 2019 EDI'!F157,rrcworking[RRC ID],0))</f>
        <v>0</v>
      </c>
      <c r="AQ157" s="5">
        <f>INDEX(rrcworking[Closing Stock (Oil)],MATCH('November 2019 EDI'!F157,rrcworking[RRC ID],0))</f>
        <v>52</v>
      </c>
    </row>
    <row r="158" spans="1:43">
      <c r="A158" s="4" t="s">
        <v>1</v>
      </c>
      <c r="B158" s="1" t="s">
        <v>1061</v>
      </c>
      <c r="C158" s="10" t="s">
        <v>914</v>
      </c>
      <c r="D158" s="1" t="s">
        <v>622</v>
      </c>
      <c r="E158" s="1" t="s">
        <v>59</v>
      </c>
      <c r="F158" s="1" t="s">
        <v>569</v>
      </c>
      <c r="I158" s="10" t="s">
        <v>3</v>
      </c>
      <c r="J158" s="125" t="s">
        <v>3</v>
      </c>
      <c r="K158" s="1" t="s">
        <v>1097</v>
      </c>
      <c r="M158" s="5">
        <v>201911</v>
      </c>
      <c r="N158" s="5">
        <f>INDEX(rrcworking[Formation Production (MCF) @ 14.65 psi],MATCH('November 2019 EDI'!F158,rrcworking[RRC ID],0))</f>
        <v>0</v>
      </c>
      <c r="O158" s="5">
        <f>INDEX(rrcworking[Lease Use (MCF)],MATCH('November 2019 EDI'!F158,rrcworking[RRC ID],0))</f>
        <v>0</v>
      </c>
      <c r="P158" s="5">
        <f>INDEX(rrcworking[Disposition Volume (MCF) @ 14.65 MCF],MATCH('November 2019 EDI'!F158,rrcworking[RRC ID],0))</f>
        <v>0</v>
      </c>
      <c r="Y158" s="5">
        <f>INDEX(rrcworking[Oil Production],MATCH('November 2019 EDI'!F158,rrcworking[RRC ID],0))</f>
        <v>0</v>
      </c>
      <c r="AA158" s="5">
        <f>INDEX(rrcworking[Sales/Dispostion],MATCH('November 2019 EDI'!F158,rrcworking[RRC ID],0))</f>
        <v>0</v>
      </c>
      <c r="AQ158" s="5">
        <f>INDEX(rrcworking[Closing Stock (Oil)],MATCH('November 2019 EDI'!F158,rrcworking[RRC ID],0))</f>
        <v>0</v>
      </c>
    </row>
    <row r="159" spans="1:43">
      <c r="A159" s="4" t="s">
        <v>1</v>
      </c>
      <c r="B159" s="1" t="s">
        <v>1062</v>
      </c>
      <c r="C159" s="10" t="s">
        <v>914</v>
      </c>
      <c r="D159" s="1" t="s">
        <v>622</v>
      </c>
      <c r="E159" s="1" t="s">
        <v>2</v>
      </c>
      <c r="F159" s="1" t="s">
        <v>570</v>
      </c>
      <c r="I159" s="10" t="s">
        <v>3</v>
      </c>
      <c r="J159" s="125" t="s">
        <v>3</v>
      </c>
      <c r="K159" s="1" t="s">
        <v>1097</v>
      </c>
      <c r="M159" s="5">
        <v>201911</v>
      </c>
      <c r="N159" s="5">
        <f>INDEX(rrcworking[Formation Production (MCF) @ 14.65 psi],MATCH('November 2019 EDI'!F159,rrcworking[RRC ID],0))</f>
        <v>0</v>
      </c>
      <c r="O159" s="5">
        <f>INDEX(rrcworking[Lease Use (MCF)],MATCH('November 2019 EDI'!F159,rrcworking[RRC ID],0))</f>
        <v>0</v>
      </c>
      <c r="P159" s="5">
        <f>INDEX(rrcworking[Disposition Volume (MCF) @ 14.65 MCF],MATCH('November 2019 EDI'!F159,rrcworking[RRC ID],0))</f>
        <v>0</v>
      </c>
      <c r="Y159" s="5">
        <f>INDEX(rrcworking[Oil Production],MATCH('November 2019 EDI'!F159,rrcworking[RRC ID],0))</f>
        <v>2</v>
      </c>
      <c r="AA159" s="5">
        <f>INDEX(rrcworking[Sales/Dispostion],MATCH('November 2019 EDI'!F159,rrcworking[RRC ID],0))</f>
        <v>0</v>
      </c>
      <c r="AQ159" s="5">
        <f>INDEX(rrcworking[Closing Stock (Oil)],MATCH('November 2019 EDI'!F159,rrcworking[RRC ID],0))</f>
        <v>59</v>
      </c>
    </row>
    <row r="160" spans="1:43">
      <c r="A160" s="4" t="s">
        <v>1</v>
      </c>
      <c r="B160" s="1" t="s">
        <v>1063</v>
      </c>
      <c r="C160" s="10" t="s">
        <v>914</v>
      </c>
      <c r="D160" s="1" t="s">
        <v>622</v>
      </c>
      <c r="E160" s="1" t="s">
        <v>2</v>
      </c>
      <c r="F160" s="1" t="s">
        <v>571</v>
      </c>
      <c r="I160" s="10" t="s">
        <v>3</v>
      </c>
      <c r="J160" s="125" t="s">
        <v>3</v>
      </c>
      <c r="K160" s="1" t="s">
        <v>1097</v>
      </c>
      <c r="M160" s="5">
        <v>201911</v>
      </c>
      <c r="N160" s="5">
        <f>INDEX(rrcworking[Formation Production (MCF) @ 14.65 psi],MATCH('November 2019 EDI'!F160,rrcworking[RRC ID],0))</f>
        <v>0</v>
      </c>
      <c r="O160" s="5">
        <f>INDEX(rrcworking[Lease Use (MCF)],MATCH('November 2019 EDI'!F160,rrcworking[RRC ID],0))</f>
        <v>0</v>
      </c>
      <c r="P160" s="5">
        <f>INDEX(rrcworking[Disposition Volume (MCF) @ 14.65 MCF],MATCH('November 2019 EDI'!F160,rrcworking[RRC ID],0))</f>
        <v>0</v>
      </c>
      <c r="Y160" s="5">
        <f>INDEX(rrcworking[Oil Production],MATCH('November 2019 EDI'!F160,rrcworking[RRC ID],0))</f>
        <v>0</v>
      </c>
      <c r="AA160" s="5">
        <f>INDEX(rrcworking[Sales/Dispostion],MATCH('November 2019 EDI'!F160,rrcworking[RRC ID],0))</f>
        <v>0</v>
      </c>
      <c r="AQ160" s="5">
        <f>INDEX(rrcworking[Closing Stock (Oil)],MATCH('November 2019 EDI'!F160,rrcworking[RRC ID],0))</f>
        <v>69</v>
      </c>
    </row>
    <row r="161" spans="1:43">
      <c r="A161" s="4" t="s">
        <v>1</v>
      </c>
      <c r="B161" s="1" t="s">
        <v>1064</v>
      </c>
      <c r="C161" s="10" t="s">
        <v>914</v>
      </c>
      <c r="D161" s="1" t="s">
        <v>622</v>
      </c>
      <c r="E161" s="1" t="s">
        <v>59</v>
      </c>
      <c r="F161" s="1" t="s">
        <v>572</v>
      </c>
      <c r="I161" s="10" t="s">
        <v>3</v>
      </c>
      <c r="J161" s="125" t="s">
        <v>3</v>
      </c>
      <c r="K161" s="1" t="s">
        <v>1097</v>
      </c>
      <c r="M161" s="5">
        <v>201911</v>
      </c>
      <c r="N161" s="5">
        <f>INDEX(rrcworking[Formation Production (MCF) @ 14.65 psi],MATCH('November 2019 EDI'!F161,rrcworking[RRC ID],0))</f>
        <v>3118</v>
      </c>
      <c r="O161" s="5">
        <f>INDEX(rrcworking[Lease Use (MCF)],MATCH('November 2019 EDI'!F161,rrcworking[RRC ID],0))</f>
        <v>120</v>
      </c>
      <c r="P161" s="5">
        <f>INDEX(rrcworking[Disposition Volume (MCF) @ 14.65 MCF],MATCH('November 2019 EDI'!F161,rrcworking[RRC ID],0))</f>
        <v>2998</v>
      </c>
      <c r="Y161" s="5">
        <f>INDEX(rrcworking[Oil Production],MATCH('November 2019 EDI'!F161,rrcworking[RRC ID],0))</f>
        <v>0</v>
      </c>
      <c r="AA161" s="5">
        <f>INDEX(rrcworking[Sales/Dispostion],MATCH('November 2019 EDI'!F161,rrcworking[RRC ID],0))</f>
        <v>0</v>
      </c>
      <c r="AQ161" s="5">
        <f>INDEX(rrcworking[Closing Stock (Oil)],MATCH('November 2019 EDI'!F161,rrcworking[RRC ID],0))</f>
        <v>0</v>
      </c>
    </row>
    <row r="162" spans="1:43">
      <c r="A162" s="4" t="s">
        <v>1</v>
      </c>
      <c r="B162" s="1" t="s">
        <v>1065</v>
      </c>
      <c r="C162" s="10" t="s">
        <v>914</v>
      </c>
      <c r="D162" s="1" t="s">
        <v>622</v>
      </c>
      <c r="E162" s="1" t="s">
        <v>59</v>
      </c>
      <c r="F162" s="1" t="s">
        <v>573</v>
      </c>
      <c r="I162" s="10" t="s">
        <v>3</v>
      </c>
      <c r="J162" s="125" t="s">
        <v>3</v>
      </c>
      <c r="K162" s="1" t="s">
        <v>1097</v>
      </c>
      <c r="M162" s="5">
        <v>201911</v>
      </c>
      <c r="N162" s="5">
        <f>INDEX(rrcworking[Formation Production (MCF) @ 14.65 psi],MATCH('November 2019 EDI'!F162,rrcworking[RRC ID],0))</f>
        <v>0</v>
      </c>
      <c r="O162" s="5">
        <f>INDEX(rrcworking[Lease Use (MCF)],MATCH('November 2019 EDI'!F162,rrcworking[RRC ID],0))</f>
        <v>0</v>
      </c>
      <c r="P162" s="5">
        <f>INDEX(rrcworking[Disposition Volume (MCF) @ 14.65 MCF],MATCH('November 2019 EDI'!F162,rrcworking[RRC ID],0))</f>
        <v>0</v>
      </c>
      <c r="Y162" s="5">
        <f>INDEX(rrcworking[Oil Production],MATCH('November 2019 EDI'!F162,rrcworking[RRC ID],0))</f>
        <v>0</v>
      </c>
      <c r="AA162" s="5">
        <f>INDEX(rrcworking[Sales/Dispostion],MATCH('November 2019 EDI'!F162,rrcworking[RRC ID],0))</f>
        <v>0</v>
      </c>
      <c r="AQ162" s="5">
        <f>INDEX(rrcworking[Closing Stock (Oil)],MATCH('November 2019 EDI'!F162,rrcworking[RRC ID],0))</f>
        <v>43</v>
      </c>
    </row>
    <row r="163" spans="1:43">
      <c r="A163" s="4" t="s">
        <v>1</v>
      </c>
      <c r="B163" s="1" t="s">
        <v>1066</v>
      </c>
      <c r="C163" s="10" t="s">
        <v>914</v>
      </c>
      <c r="D163" s="1" t="s">
        <v>622</v>
      </c>
      <c r="E163" s="1" t="s">
        <v>59</v>
      </c>
      <c r="F163" s="1" t="s">
        <v>574</v>
      </c>
      <c r="I163" s="10" t="s">
        <v>3</v>
      </c>
      <c r="J163" s="125" t="s">
        <v>3</v>
      </c>
      <c r="K163" s="1" t="s">
        <v>1097</v>
      </c>
      <c r="M163" s="5">
        <v>201911</v>
      </c>
      <c r="N163" s="5">
        <f>INDEX(rrcworking[Formation Production (MCF) @ 14.65 psi],MATCH('November 2019 EDI'!F163,rrcworking[RRC ID],0))</f>
        <v>74</v>
      </c>
      <c r="O163" s="5">
        <f>INDEX(rrcworking[Lease Use (MCF)],MATCH('November 2019 EDI'!F163,rrcworking[RRC ID],0))</f>
        <v>0</v>
      </c>
      <c r="P163" s="5">
        <f>INDEX(rrcworking[Disposition Volume (MCF) @ 14.65 MCF],MATCH('November 2019 EDI'!F163,rrcworking[RRC ID],0))</f>
        <v>74</v>
      </c>
      <c r="Y163" s="5">
        <f>INDEX(rrcworking[Oil Production],MATCH('November 2019 EDI'!F163,rrcworking[RRC ID],0))</f>
        <v>0</v>
      </c>
      <c r="AA163" s="5">
        <f>INDEX(rrcworking[Sales/Dispostion],MATCH('November 2019 EDI'!F163,rrcworking[RRC ID],0))</f>
        <v>0</v>
      </c>
      <c r="AQ163" s="5">
        <f>INDEX(rrcworking[Closing Stock (Oil)],MATCH('November 2019 EDI'!F163,rrcworking[RRC ID],0))</f>
        <v>169</v>
      </c>
    </row>
    <row r="164" spans="1:43">
      <c r="A164" s="4" t="s">
        <v>1</v>
      </c>
      <c r="B164" s="1" t="s">
        <v>1067</v>
      </c>
      <c r="C164" s="10" t="s">
        <v>914</v>
      </c>
      <c r="D164" s="1" t="s">
        <v>622</v>
      </c>
      <c r="E164" s="1" t="s">
        <v>59</v>
      </c>
      <c r="F164" s="1" t="s">
        <v>575</v>
      </c>
      <c r="I164" s="10" t="s">
        <v>3</v>
      </c>
      <c r="J164" s="125" t="s">
        <v>3</v>
      </c>
      <c r="K164" s="1" t="s">
        <v>1097</v>
      </c>
      <c r="M164" s="5">
        <v>201911</v>
      </c>
      <c r="N164" s="5">
        <f>INDEX(rrcworking[Formation Production (MCF) @ 14.65 psi],MATCH('November 2019 EDI'!F164,rrcworking[RRC ID],0))</f>
        <v>0</v>
      </c>
      <c r="O164" s="5">
        <f>INDEX(rrcworking[Lease Use (MCF)],MATCH('November 2019 EDI'!F164,rrcworking[RRC ID],0))</f>
        <v>0</v>
      </c>
      <c r="P164" s="5">
        <f>INDEX(rrcworking[Disposition Volume (MCF) @ 14.65 MCF],MATCH('November 2019 EDI'!F164,rrcworking[RRC ID],0))</f>
        <v>0</v>
      </c>
      <c r="Y164" s="5">
        <f>INDEX(rrcworking[Oil Production],MATCH('November 2019 EDI'!F164,rrcworking[RRC ID],0))</f>
        <v>0</v>
      </c>
      <c r="AA164" s="5">
        <f>INDEX(rrcworking[Sales/Dispostion],MATCH('November 2019 EDI'!F164,rrcworking[RRC ID],0))</f>
        <v>0</v>
      </c>
      <c r="AQ164" s="5">
        <f>INDEX(rrcworking[Closing Stock (Oil)],MATCH('November 2019 EDI'!F164,rrcworking[RRC ID],0))</f>
        <v>93</v>
      </c>
    </row>
    <row r="165" spans="1:43">
      <c r="A165" s="4" t="s">
        <v>1</v>
      </c>
      <c r="B165" s="1" t="s">
        <v>1068</v>
      </c>
      <c r="C165" s="10" t="s">
        <v>914</v>
      </c>
      <c r="D165" s="1" t="s">
        <v>622</v>
      </c>
      <c r="E165" s="1" t="s">
        <v>59</v>
      </c>
      <c r="F165" s="1" t="s">
        <v>576</v>
      </c>
      <c r="I165" s="10" t="s">
        <v>3</v>
      </c>
      <c r="J165" s="125" t="s">
        <v>3</v>
      </c>
      <c r="K165" s="1" t="s">
        <v>1097</v>
      </c>
      <c r="M165" s="5">
        <v>201911</v>
      </c>
      <c r="N165" s="5">
        <f>INDEX(rrcworking[Formation Production (MCF) @ 14.65 psi],MATCH('November 2019 EDI'!F165,rrcworking[RRC ID],0))</f>
        <v>350</v>
      </c>
      <c r="O165" s="5">
        <f>INDEX(rrcworking[Lease Use (MCF)],MATCH('November 2019 EDI'!F165,rrcworking[RRC ID],0))</f>
        <v>0</v>
      </c>
      <c r="P165" s="5">
        <f>INDEX(rrcworking[Disposition Volume (MCF) @ 14.65 MCF],MATCH('November 2019 EDI'!F165,rrcworking[RRC ID],0))</f>
        <v>350</v>
      </c>
      <c r="Y165" s="5">
        <f>INDEX(rrcworking[Oil Production],MATCH('November 2019 EDI'!F165,rrcworking[RRC ID],0))</f>
        <v>28</v>
      </c>
      <c r="AA165" s="5">
        <f>INDEX(rrcworking[Sales/Dispostion],MATCH('November 2019 EDI'!F165,rrcworking[RRC ID],0))</f>
        <v>0</v>
      </c>
      <c r="AQ165" s="5">
        <f>INDEX(rrcworking[Closing Stock (Oil)],MATCH('November 2019 EDI'!F165,rrcworking[RRC ID],0))</f>
        <v>67</v>
      </c>
    </row>
    <row r="166" spans="1:43">
      <c r="A166" s="4" t="s">
        <v>1</v>
      </c>
      <c r="B166" s="1" t="s">
        <v>1069</v>
      </c>
      <c r="C166" s="10" t="s">
        <v>914</v>
      </c>
      <c r="D166" s="1" t="s">
        <v>622</v>
      </c>
      <c r="E166" s="1" t="s">
        <v>59</v>
      </c>
      <c r="F166" s="1" t="s">
        <v>577</v>
      </c>
      <c r="I166" s="10" t="s">
        <v>3</v>
      </c>
      <c r="J166" s="125" t="s">
        <v>3</v>
      </c>
      <c r="K166" s="1" t="s">
        <v>1097</v>
      </c>
      <c r="M166" s="5">
        <v>201911</v>
      </c>
      <c r="N166" s="5">
        <f>INDEX(rrcworking[Formation Production (MCF) @ 14.65 psi],MATCH('November 2019 EDI'!F166,rrcworking[RRC ID],0))</f>
        <v>0</v>
      </c>
      <c r="O166" s="5">
        <f>INDEX(rrcworking[Lease Use (MCF)],MATCH('November 2019 EDI'!F166,rrcworking[RRC ID],0))</f>
        <v>0</v>
      </c>
      <c r="P166" s="5">
        <f>INDEX(rrcworking[Disposition Volume (MCF) @ 14.65 MCF],MATCH('November 2019 EDI'!F166,rrcworking[RRC ID],0))</f>
        <v>0</v>
      </c>
      <c r="Y166" s="5">
        <f>INDEX(rrcworking[Oil Production],MATCH('November 2019 EDI'!F166,rrcworking[RRC ID],0))</f>
        <v>0</v>
      </c>
      <c r="AA166" s="5">
        <f>INDEX(rrcworking[Sales/Dispostion],MATCH('November 2019 EDI'!F166,rrcworking[RRC ID],0))</f>
        <v>0</v>
      </c>
      <c r="AQ166" s="5">
        <f>INDEX(rrcworking[Closing Stock (Oil)],MATCH('November 2019 EDI'!F166,rrcworking[RRC ID],0))</f>
        <v>0</v>
      </c>
    </row>
    <row r="167" spans="1:43">
      <c r="A167" s="4" t="s">
        <v>1</v>
      </c>
      <c r="B167" s="1" t="s">
        <v>1070</v>
      </c>
      <c r="C167" s="10" t="s">
        <v>914</v>
      </c>
      <c r="D167" s="1" t="s">
        <v>622</v>
      </c>
      <c r="E167" s="1" t="s">
        <v>59</v>
      </c>
      <c r="F167" s="1" t="s">
        <v>578</v>
      </c>
      <c r="I167" s="10" t="s">
        <v>3</v>
      </c>
      <c r="J167" s="125" t="s">
        <v>3</v>
      </c>
      <c r="K167" s="1" t="s">
        <v>1097</v>
      </c>
      <c r="M167" s="5">
        <v>201911</v>
      </c>
      <c r="N167" s="5">
        <f>INDEX(rrcworking[Formation Production (MCF) @ 14.65 psi],MATCH('November 2019 EDI'!F167,rrcworking[RRC ID],0))</f>
        <v>0</v>
      </c>
      <c r="O167" s="5">
        <f>INDEX(rrcworking[Lease Use (MCF)],MATCH('November 2019 EDI'!F167,rrcworking[RRC ID],0))</f>
        <v>0</v>
      </c>
      <c r="P167" s="5">
        <f>INDEX(rrcworking[Disposition Volume (MCF) @ 14.65 MCF],MATCH('November 2019 EDI'!F167,rrcworking[RRC ID],0))</f>
        <v>0</v>
      </c>
      <c r="Y167" s="5">
        <f>INDEX(rrcworking[Oil Production],MATCH('November 2019 EDI'!F167,rrcworking[RRC ID],0))</f>
        <v>0</v>
      </c>
      <c r="AA167" s="5">
        <f>INDEX(rrcworking[Sales/Dispostion],MATCH('November 2019 EDI'!F167,rrcworking[RRC ID],0))</f>
        <v>0</v>
      </c>
      <c r="AQ167" s="5">
        <f>INDEX(rrcworking[Closing Stock (Oil)],MATCH('November 2019 EDI'!F167,rrcworking[RRC ID],0))</f>
        <v>0</v>
      </c>
    </row>
    <row r="168" spans="1:43">
      <c r="A168" s="4" t="s">
        <v>1</v>
      </c>
      <c r="B168" s="1" t="s">
        <v>1071</v>
      </c>
      <c r="C168" s="10" t="s">
        <v>914</v>
      </c>
      <c r="D168" s="1" t="s">
        <v>622</v>
      </c>
      <c r="E168" s="1" t="s">
        <v>59</v>
      </c>
      <c r="F168" s="1" t="s">
        <v>579</v>
      </c>
      <c r="I168" s="10" t="s">
        <v>3</v>
      </c>
      <c r="J168" s="125" t="s">
        <v>3</v>
      </c>
      <c r="K168" s="1" t="s">
        <v>1097</v>
      </c>
      <c r="M168" s="5">
        <v>201911</v>
      </c>
      <c r="N168" s="5">
        <f>INDEX(rrcworking[Formation Production (MCF) @ 14.65 psi],MATCH('November 2019 EDI'!F168,rrcworking[RRC ID],0))</f>
        <v>0</v>
      </c>
      <c r="O168" s="5">
        <f>INDEX(rrcworking[Lease Use (MCF)],MATCH('November 2019 EDI'!F168,rrcworking[RRC ID],0))</f>
        <v>0</v>
      </c>
      <c r="P168" s="5">
        <f>INDEX(rrcworking[Disposition Volume (MCF) @ 14.65 MCF],MATCH('November 2019 EDI'!F168,rrcworking[RRC ID],0))</f>
        <v>0</v>
      </c>
      <c r="Y168" s="5">
        <f>INDEX(rrcworking[Oil Production],MATCH('November 2019 EDI'!F168,rrcworking[RRC ID],0))</f>
        <v>0</v>
      </c>
      <c r="AA168" s="5">
        <f>INDEX(rrcworking[Sales/Dispostion],MATCH('November 2019 EDI'!F168,rrcworking[RRC ID],0))</f>
        <v>0</v>
      </c>
      <c r="AQ168" s="5">
        <f>INDEX(rrcworking[Closing Stock (Oil)],MATCH('November 2019 EDI'!F168,rrcworking[RRC ID],0))</f>
        <v>0</v>
      </c>
    </row>
    <row r="169" spans="1:43">
      <c r="A169" s="4" t="s">
        <v>1</v>
      </c>
      <c r="B169" s="1" t="s">
        <v>1072</v>
      </c>
      <c r="C169" s="10" t="s">
        <v>914</v>
      </c>
      <c r="D169" s="1" t="s">
        <v>622</v>
      </c>
      <c r="E169" s="1" t="s">
        <v>59</v>
      </c>
      <c r="F169" s="1" t="s">
        <v>580</v>
      </c>
      <c r="I169" s="10" t="s">
        <v>3</v>
      </c>
      <c r="J169" s="125" t="s">
        <v>3</v>
      </c>
      <c r="K169" s="1" t="s">
        <v>1097</v>
      </c>
      <c r="M169" s="5">
        <v>201911</v>
      </c>
      <c r="N169" s="5">
        <f>INDEX(rrcworking[Formation Production (MCF) @ 14.65 psi],MATCH('November 2019 EDI'!F169,rrcworking[RRC ID],0))</f>
        <v>340</v>
      </c>
      <c r="O169" s="5">
        <f>INDEX(rrcworking[Lease Use (MCF)],MATCH('November 2019 EDI'!F169,rrcworking[RRC ID],0))</f>
        <v>0</v>
      </c>
      <c r="P169" s="5">
        <f>INDEX(rrcworking[Disposition Volume (MCF) @ 14.65 MCF],MATCH('November 2019 EDI'!F169,rrcworking[RRC ID],0))</f>
        <v>340</v>
      </c>
      <c r="Y169" s="5">
        <f>INDEX(rrcworking[Oil Production],MATCH('November 2019 EDI'!F169,rrcworking[RRC ID],0))</f>
        <v>0</v>
      </c>
      <c r="AA169" s="5">
        <f>INDEX(rrcworking[Sales/Dispostion],MATCH('November 2019 EDI'!F169,rrcworking[RRC ID],0))</f>
        <v>0</v>
      </c>
      <c r="AQ169" s="5">
        <f>INDEX(rrcworking[Closing Stock (Oil)],MATCH('November 2019 EDI'!F169,rrcworking[RRC ID],0))</f>
        <v>3</v>
      </c>
    </row>
    <row r="170" spans="1:43">
      <c r="A170" s="4" t="s">
        <v>1</v>
      </c>
      <c r="B170" s="1" t="s">
        <v>1073</v>
      </c>
      <c r="C170" s="10" t="s">
        <v>914</v>
      </c>
      <c r="D170" s="1" t="s">
        <v>622</v>
      </c>
      <c r="E170" s="1" t="s">
        <v>59</v>
      </c>
      <c r="F170" s="1" t="s">
        <v>581</v>
      </c>
      <c r="I170" s="10" t="s">
        <v>3</v>
      </c>
      <c r="J170" s="125" t="s">
        <v>3</v>
      </c>
      <c r="K170" s="1" t="s">
        <v>1097</v>
      </c>
      <c r="M170" s="5">
        <v>201911</v>
      </c>
      <c r="N170" s="5">
        <f>INDEX(rrcworking[Formation Production (MCF) @ 14.65 psi],MATCH('November 2019 EDI'!F170,rrcworking[RRC ID],0))</f>
        <v>187</v>
      </c>
      <c r="O170" s="5">
        <f>INDEX(rrcworking[Lease Use (MCF)],MATCH('November 2019 EDI'!F170,rrcworking[RRC ID],0))</f>
        <v>0</v>
      </c>
      <c r="P170" s="5">
        <f>INDEX(rrcworking[Disposition Volume (MCF) @ 14.65 MCF],MATCH('November 2019 EDI'!F170,rrcworking[RRC ID],0))</f>
        <v>187</v>
      </c>
      <c r="Y170" s="5">
        <f>INDEX(rrcworking[Oil Production],MATCH('November 2019 EDI'!F170,rrcworking[RRC ID],0))</f>
        <v>0</v>
      </c>
      <c r="AA170" s="5">
        <f>INDEX(rrcworking[Sales/Dispostion],MATCH('November 2019 EDI'!F170,rrcworking[RRC ID],0))</f>
        <v>0</v>
      </c>
      <c r="AQ170" s="5">
        <f>INDEX(rrcworking[Closing Stock (Oil)],MATCH('November 2019 EDI'!F170,rrcworking[RRC ID],0))</f>
        <v>0</v>
      </c>
    </row>
    <row r="171" spans="1:43">
      <c r="A171" s="4" t="s">
        <v>1</v>
      </c>
      <c r="B171" s="1" t="s">
        <v>1074</v>
      </c>
      <c r="C171" s="10" t="s">
        <v>914</v>
      </c>
      <c r="D171" s="1" t="s">
        <v>622</v>
      </c>
      <c r="E171" s="1" t="s">
        <v>59</v>
      </c>
      <c r="F171" s="1" t="s">
        <v>582</v>
      </c>
      <c r="I171" s="10" t="s">
        <v>3</v>
      </c>
      <c r="J171" s="125" t="s">
        <v>3</v>
      </c>
      <c r="K171" s="1" t="s">
        <v>1097</v>
      </c>
      <c r="M171" s="5">
        <v>201911</v>
      </c>
      <c r="N171" s="5">
        <f>INDEX(rrcworking[Formation Production (MCF) @ 14.65 psi],MATCH('November 2019 EDI'!F171,rrcworking[RRC ID],0))</f>
        <v>827</v>
      </c>
      <c r="O171" s="5">
        <f>INDEX(rrcworking[Lease Use (MCF)],MATCH('November 2019 EDI'!F171,rrcworking[RRC ID],0))</f>
        <v>0</v>
      </c>
      <c r="P171" s="5">
        <f>INDEX(rrcworking[Disposition Volume (MCF) @ 14.65 MCF],MATCH('November 2019 EDI'!F171,rrcworking[RRC ID],0))</f>
        <v>827</v>
      </c>
      <c r="Y171" s="5">
        <f>INDEX(rrcworking[Oil Production],MATCH('November 2019 EDI'!F171,rrcworking[RRC ID],0))</f>
        <v>0</v>
      </c>
      <c r="AA171" s="5">
        <f>INDEX(rrcworking[Sales/Dispostion],MATCH('November 2019 EDI'!F171,rrcworking[RRC ID],0))</f>
        <v>0</v>
      </c>
      <c r="AQ171" s="5">
        <f>INDEX(rrcworking[Closing Stock (Oil)],MATCH('November 2019 EDI'!F171,rrcworking[RRC ID],0))</f>
        <v>0</v>
      </c>
    </row>
    <row r="172" spans="1:43">
      <c r="A172" s="4" t="s">
        <v>1</v>
      </c>
      <c r="B172" s="1" t="s">
        <v>1075</v>
      </c>
      <c r="C172" s="10" t="s">
        <v>914</v>
      </c>
      <c r="D172" s="1" t="s">
        <v>622</v>
      </c>
      <c r="E172" s="1" t="s">
        <v>59</v>
      </c>
      <c r="F172" s="1" t="s">
        <v>583</v>
      </c>
      <c r="I172" s="10" t="s">
        <v>3</v>
      </c>
      <c r="J172" s="125" t="s">
        <v>3</v>
      </c>
      <c r="K172" s="1" t="s">
        <v>1097</v>
      </c>
      <c r="M172" s="5">
        <v>201911</v>
      </c>
      <c r="N172" s="5">
        <f>INDEX(rrcworking[Formation Production (MCF) @ 14.65 psi],MATCH('November 2019 EDI'!F172,rrcworking[RRC ID],0))</f>
        <v>0</v>
      </c>
      <c r="O172" s="5">
        <f>INDEX(rrcworking[Lease Use (MCF)],MATCH('November 2019 EDI'!F172,rrcworking[RRC ID],0))</f>
        <v>0</v>
      </c>
      <c r="P172" s="5">
        <f>INDEX(rrcworking[Disposition Volume (MCF) @ 14.65 MCF],MATCH('November 2019 EDI'!F172,rrcworking[RRC ID],0))</f>
        <v>0</v>
      </c>
      <c r="Y172" s="5">
        <f>INDEX(rrcworking[Oil Production],MATCH('November 2019 EDI'!F172,rrcworking[RRC ID],0))</f>
        <v>0</v>
      </c>
      <c r="AA172" s="5">
        <f>INDEX(rrcworking[Sales/Dispostion],MATCH('November 2019 EDI'!F172,rrcworking[RRC ID],0))</f>
        <v>0</v>
      </c>
      <c r="AQ172" s="5">
        <f>INDEX(rrcworking[Closing Stock (Oil)],MATCH('November 2019 EDI'!F172,rrcworking[RRC ID],0))</f>
        <v>0</v>
      </c>
    </row>
    <row r="173" spans="1:43">
      <c r="A173" s="4" t="s">
        <v>1</v>
      </c>
      <c r="B173" s="1" t="s">
        <v>1076</v>
      </c>
      <c r="C173" s="10" t="s">
        <v>914</v>
      </c>
      <c r="D173" s="1" t="s">
        <v>622</v>
      </c>
      <c r="E173" s="1" t="s">
        <v>59</v>
      </c>
      <c r="F173" s="1" t="s">
        <v>584</v>
      </c>
      <c r="I173" s="10" t="s">
        <v>3</v>
      </c>
      <c r="J173" s="125" t="s">
        <v>3</v>
      </c>
      <c r="K173" s="1" t="s">
        <v>1097</v>
      </c>
      <c r="M173" s="5">
        <v>201911</v>
      </c>
      <c r="N173" s="5">
        <f>INDEX(rrcworking[Formation Production (MCF) @ 14.65 psi],MATCH('November 2019 EDI'!F173,rrcworking[RRC ID],0))</f>
        <v>2395</v>
      </c>
      <c r="O173" s="5">
        <f>INDEX(rrcworking[Lease Use (MCF)],MATCH('November 2019 EDI'!F173,rrcworking[RRC ID],0))</f>
        <v>84</v>
      </c>
      <c r="P173" s="5">
        <f>INDEX(rrcworking[Disposition Volume (MCF) @ 14.65 MCF],MATCH('November 2019 EDI'!F173,rrcworking[RRC ID],0))</f>
        <v>2311</v>
      </c>
      <c r="Y173" s="5">
        <f>INDEX(rrcworking[Oil Production],MATCH('November 2019 EDI'!F173,rrcworking[RRC ID],0))</f>
        <v>12</v>
      </c>
      <c r="AA173" s="5">
        <f>INDEX(rrcworking[Sales/Dispostion],MATCH('November 2019 EDI'!F173,rrcworking[RRC ID],0))</f>
        <v>0</v>
      </c>
      <c r="AQ173" s="5">
        <f>INDEX(rrcworking[Closing Stock (Oil)],MATCH('November 2019 EDI'!F173,rrcworking[RRC ID],0))</f>
        <v>268</v>
      </c>
    </row>
    <row r="174" spans="1:43">
      <c r="A174" s="4" t="s">
        <v>1</v>
      </c>
      <c r="B174" s="1" t="s">
        <v>1077</v>
      </c>
      <c r="C174" s="10" t="s">
        <v>914</v>
      </c>
      <c r="D174" s="1" t="s">
        <v>622</v>
      </c>
      <c r="E174" s="1" t="s">
        <v>59</v>
      </c>
      <c r="F174" s="1" t="s">
        <v>585</v>
      </c>
      <c r="I174" s="10" t="s">
        <v>3</v>
      </c>
      <c r="J174" s="125" t="s">
        <v>3</v>
      </c>
      <c r="K174" s="1" t="s">
        <v>1097</v>
      </c>
      <c r="M174" s="5">
        <v>201911</v>
      </c>
      <c r="N174" s="5">
        <f>INDEX(rrcworking[Formation Production (MCF) @ 14.65 psi],MATCH('November 2019 EDI'!F174,rrcworking[RRC ID],0))</f>
        <v>0</v>
      </c>
      <c r="O174" s="5">
        <f>INDEX(rrcworking[Lease Use (MCF)],MATCH('November 2019 EDI'!F174,rrcworking[RRC ID],0))</f>
        <v>0</v>
      </c>
      <c r="P174" s="5">
        <f>INDEX(rrcworking[Disposition Volume (MCF) @ 14.65 MCF],MATCH('November 2019 EDI'!F174,rrcworking[RRC ID],0))</f>
        <v>0</v>
      </c>
      <c r="Y174" s="5">
        <f>INDEX(rrcworking[Oil Production],MATCH('November 2019 EDI'!F174,rrcworking[RRC ID],0))</f>
        <v>0</v>
      </c>
      <c r="AA174" s="5">
        <f>INDEX(rrcworking[Sales/Dispostion],MATCH('November 2019 EDI'!F174,rrcworking[RRC ID],0))</f>
        <v>0</v>
      </c>
      <c r="AQ174" s="5">
        <f>INDEX(rrcworking[Closing Stock (Oil)],MATCH('November 2019 EDI'!F174,rrcworking[RRC ID],0))</f>
        <v>166</v>
      </c>
    </row>
    <row r="175" spans="1:43">
      <c r="A175" s="4" t="s">
        <v>1</v>
      </c>
      <c r="B175" s="1" t="s">
        <v>1078</v>
      </c>
      <c r="C175" s="10" t="s">
        <v>914</v>
      </c>
      <c r="D175" s="1" t="s">
        <v>622</v>
      </c>
      <c r="E175" s="1" t="s">
        <v>59</v>
      </c>
      <c r="F175" s="1" t="s">
        <v>586</v>
      </c>
      <c r="I175" s="10" t="s">
        <v>3</v>
      </c>
      <c r="J175" s="125" t="s">
        <v>3</v>
      </c>
      <c r="K175" s="1">
        <v>5050</v>
      </c>
      <c r="M175" s="5">
        <v>201911</v>
      </c>
      <c r="N175" s="5">
        <f>INDEX(rrcworking[Formation Production (MCF) @ 14.65 psi],MATCH('November 2019 EDI'!F175,rrcworking[RRC ID],0))</f>
        <v>3365</v>
      </c>
      <c r="O175" s="5">
        <f>INDEX(rrcworking[Lease Use (MCF)],MATCH('November 2019 EDI'!F175,rrcworking[RRC ID],0))</f>
        <v>0</v>
      </c>
      <c r="P175" s="5">
        <f>INDEX(rrcworking[Disposition Volume (MCF) @ 14.65 MCF],MATCH('November 2019 EDI'!F175,rrcworking[RRC ID],0))</f>
        <v>3365</v>
      </c>
      <c r="Y175" s="5">
        <f>INDEX(rrcworking[Oil Production],MATCH('November 2019 EDI'!F175,rrcworking[RRC ID],0))</f>
        <v>0</v>
      </c>
      <c r="AA175" s="5">
        <f>INDEX(rrcworking[Sales/Dispostion],MATCH('November 2019 EDI'!F175,rrcworking[RRC ID],0))</f>
        <v>0</v>
      </c>
      <c r="AQ175" s="5">
        <f>INDEX(rrcworking[Closing Stock (Oil)],MATCH('November 2019 EDI'!F175,rrcworking[RRC ID],0))</f>
        <v>62</v>
      </c>
    </row>
    <row r="176" spans="1:43">
      <c r="A176" s="4" t="s">
        <v>1</v>
      </c>
      <c r="B176" s="1" t="s">
        <v>1079</v>
      </c>
      <c r="C176" s="10" t="s">
        <v>914</v>
      </c>
      <c r="D176" s="1" t="s">
        <v>622</v>
      </c>
      <c r="E176" s="1" t="s">
        <v>59</v>
      </c>
      <c r="F176" s="1" t="s">
        <v>587</v>
      </c>
      <c r="I176" s="10" t="s">
        <v>3</v>
      </c>
      <c r="J176" s="125" t="s">
        <v>3</v>
      </c>
      <c r="K176" s="1" t="s">
        <v>1097</v>
      </c>
      <c r="M176" s="5">
        <v>201911</v>
      </c>
      <c r="N176" s="5">
        <f>INDEX(rrcworking[Formation Production (MCF) @ 14.65 psi],MATCH('November 2019 EDI'!F176,rrcworking[RRC ID],0))</f>
        <v>0</v>
      </c>
      <c r="O176" s="5">
        <f>INDEX(rrcworking[Lease Use (MCF)],MATCH('November 2019 EDI'!F176,rrcworking[RRC ID],0))</f>
        <v>0</v>
      </c>
      <c r="P176" s="5">
        <f>INDEX(rrcworking[Disposition Volume (MCF) @ 14.65 MCF],MATCH('November 2019 EDI'!F176,rrcworking[RRC ID],0))</f>
        <v>0</v>
      </c>
      <c r="Y176" s="5">
        <f>INDEX(rrcworking[Oil Production],MATCH('November 2019 EDI'!F176,rrcworking[RRC ID],0))</f>
        <v>0</v>
      </c>
      <c r="AA176" s="5">
        <f>INDEX(rrcworking[Sales/Dispostion],MATCH('November 2019 EDI'!F176,rrcworking[RRC ID],0))</f>
        <v>0</v>
      </c>
      <c r="AQ176" s="5">
        <f>INDEX(rrcworking[Closing Stock (Oil)],MATCH('November 2019 EDI'!F176,rrcworking[RRC ID],0))</f>
        <v>0</v>
      </c>
    </row>
    <row r="177" spans="1:43">
      <c r="A177" s="4" t="s">
        <v>1</v>
      </c>
      <c r="B177" s="1" t="s">
        <v>1080</v>
      </c>
      <c r="C177" s="10" t="s">
        <v>914</v>
      </c>
      <c r="D177" s="1" t="s">
        <v>622</v>
      </c>
      <c r="E177" s="1" t="s">
        <v>59</v>
      </c>
      <c r="F177" s="1" t="s">
        <v>588</v>
      </c>
      <c r="I177" s="10" t="s">
        <v>3</v>
      </c>
      <c r="J177" s="125" t="s">
        <v>3</v>
      </c>
      <c r="K177" s="1" t="s">
        <v>1097</v>
      </c>
      <c r="M177" s="5">
        <v>201911</v>
      </c>
      <c r="N177" s="5">
        <f>INDEX(rrcworking[Formation Production (MCF) @ 14.65 psi],MATCH('November 2019 EDI'!F177,rrcworking[RRC ID],0))</f>
        <v>0</v>
      </c>
      <c r="O177" s="5">
        <f>INDEX(rrcworking[Lease Use (MCF)],MATCH('November 2019 EDI'!F177,rrcworking[RRC ID],0))</f>
        <v>0</v>
      </c>
      <c r="P177" s="5">
        <f>INDEX(rrcworking[Disposition Volume (MCF) @ 14.65 MCF],MATCH('November 2019 EDI'!F177,rrcworking[RRC ID],0))</f>
        <v>0</v>
      </c>
      <c r="Y177" s="5">
        <f>INDEX(rrcworking[Oil Production],MATCH('November 2019 EDI'!F177,rrcworking[RRC ID],0))</f>
        <v>0</v>
      </c>
      <c r="AA177" s="5">
        <f>INDEX(rrcworking[Sales/Dispostion],MATCH('November 2019 EDI'!F177,rrcworking[RRC ID],0))</f>
        <v>0</v>
      </c>
      <c r="AQ177" s="5">
        <f>INDEX(rrcworking[Closing Stock (Oil)],MATCH('November 2019 EDI'!F177,rrcworking[RRC ID],0))</f>
        <v>92</v>
      </c>
    </row>
    <row r="178" spans="1:43">
      <c r="A178" s="4" t="s">
        <v>1</v>
      </c>
      <c r="B178" s="1" t="s">
        <v>1081</v>
      </c>
      <c r="C178" s="10" t="s">
        <v>914</v>
      </c>
      <c r="D178" s="1" t="s">
        <v>622</v>
      </c>
      <c r="E178" s="1" t="s">
        <v>59</v>
      </c>
      <c r="F178" s="1" t="s">
        <v>589</v>
      </c>
      <c r="I178" s="10" t="s">
        <v>3</v>
      </c>
      <c r="J178" s="125" t="s">
        <v>3</v>
      </c>
      <c r="K178" s="1" t="s">
        <v>1097</v>
      </c>
      <c r="M178" s="5">
        <v>201911</v>
      </c>
      <c r="N178" s="5">
        <f>INDEX(rrcworking[Formation Production (MCF) @ 14.65 psi],MATCH('November 2019 EDI'!F178,rrcworking[RRC ID],0))</f>
        <v>0</v>
      </c>
      <c r="O178" s="5">
        <f>INDEX(rrcworking[Lease Use (MCF)],MATCH('November 2019 EDI'!F178,rrcworking[RRC ID],0))</f>
        <v>0</v>
      </c>
      <c r="P178" s="5">
        <f>INDEX(rrcworking[Disposition Volume (MCF) @ 14.65 MCF],MATCH('November 2019 EDI'!F178,rrcworking[RRC ID],0))</f>
        <v>0</v>
      </c>
      <c r="Y178" s="5">
        <f>INDEX(rrcworking[Oil Production],MATCH('November 2019 EDI'!F178,rrcworking[RRC ID],0))</f>
        <v>0</v>
      </c>
      <c r="AA178" s="5">
        <f>INDEX(rrcworking[Sales/Dispostion],MATCH('November 2019 EDI'!F178,rrcworking[RRC ID],0))</f>
        <v>0</v>
      </c>
      <c r="AQ178" s="5">
        <f>INDEX(rrcworking[Closing Stock (Oil)],MATCH('November 2019 EDI'!F178,rrcworking[RRC ID],0))</f>
        <v>0</v>
      </c>
    </row>
    <row r="179" spans="1:43">
      <c r="A179" s="4" t="s">
        <v>1</v>
      </c>
      <c r="B179" s="1" t="s">
        <v>1082</v>
      </c>
      <c r="C179" s="10" t="s">
        <v>914</v>
      </c>
      <c r="D179" s="1" t="s">
        <v>622</v>
      </c>
      <c r="E179" s="1" t="s">
        <v>2</v>
      </c>
      <c r="F179" s="1" t="s">
        <v>590</v>
      </c>
      <c r="I179" s="10" t="s">
        <v>3</v>
      </c>
      <c r="J179" s="125" t="s">
        <v>3</v>
      </c>
      <c r="K179" s="1" t="s">
        <v>1097</v>
      </c>
      <c r="M179" s="5">
        <v>201911</v>
      </c>
      <c r="N179" s="5">
        <f>INDEX(rrcworking[Formation Production (MCF) @ 14.65 psi],MATCH('November 2019 EDI'!F179,rrcworking[RRC ID],0))</f>
        <v>0</v>
      </c>
      <c r="O179" s="5">
        <f>INDEX(rrcworking[Lease Use (MCF)],MATCH('November 2019 EDI'!F179,rrcworking[RRC ID],0))</f>
        <v>0</v>
      </c>
      <c r="P179" s="5">
        <f>INDEX(rrcworking[Disposition Volume (MCF) @ 14.65 MCF],MATCH('November 2019 EDI'!F179,rrcworking[RRC ID],0))</f>
        <v>0</v>
      </c>
      <c r="Y179" s="5">
        <f>INDEX(rrcworking[Oil Production],MATCH('November 2019 EDI'!F179,rrcworking[RRC ID],0))</f>
        <v>240</v>
      </c>
      <c r="AA179" s="5">
        <f>INDEX(rrcworking[Sales/Dispostion],MATCH('November 2019 EDI'!F179,rrcworking[RRC ID],0))</f>
        <v>184</v>
      </c>
      <c r="AQ179" s="5">
        <f>INDEX(rrcworking[Closing Stock (Oil)],MATCH('November 2019 EDI'!F179,rrcworking[RRC ID],0))</f>
        <v>170</v>
      </c>
    </row>
    <row r="180" spans="1:43">
      <c r="A180" s="4" t="s">
        <v>1</v>
      </c>
      <c r="B180" s="1" t="s">
        <v>1083</v>
      </c>
      <c r="C180" s="10" t="s">
        <v>914</v>
      </c>
      <c r="D180" s="1" t="s">
        <v>622</v>
      </c>
      <c r="E180" s="1" t="s">
        <v>59</v>
      </c>
      <c r="F180" s="1" t="s">
        <v>591</v>
      </c>
      <c r="I180" s="10" t="s">
        <v>3</v>
      </c>
      <c r="J180" s="125" t="s">
        <v>3</v>
      </c>
      <c r="K180" s="1" t="s">
        <v>1097</v>
      </c>
      <c r="M180" s="5">
        <v>201911</v>
      </c>
      <c r="N180" s="5">
        <f>INDEX(rrcworking[Formation Production (MCF) @ 14.65 psi],MATCH('November 2019 EDI'!F180,rrcworking[RRC ID],0))</f>
        <v>0</v>
      </c>
      <c r="O180" s="5">
        <f>INDEX(rrcworking[Lease Use (MCF)],MATCH('November 2019 EDI'!F180,rrcworking[RRC ID],0))</f>
        <v>0</v>
      </c>
      <c r="P180" s="5">
        <f>INDEX(rrcworking[Disposition Volume (MCF) @ 14.65 MCF],MATCH('November 2019 EDI'!F180,rrcworking[RRC ID],0))</f>
        <v>0</v>
      </c>
      <c r="Y180" s="5">
        <f>INDEX(rrcworking[Oil Production],MATCH('November 2019 EDI'!F180,rrcworking[RRC ID],0))</f>
        <v>0</v>
      </c>
      <c r="AA180" s="5">
        <f>INDEX(rrcworking[Sales/Dispostion],MATCH('November 2019 EDI'!F180,rrcworking[RRC ID],0))</f>
        <v>0</v>
      </c>
      <c r="AQ180" s="5">
        <f>INDEX(rrcworking[Closing Stock (Oil)],MATCH('November 2019 EDI'!F180,rrcworking[RRC ID],0))</f>
        <v>0</v>
      </c>
    </row>
    <row r="181" spans="1:43">
      <c r="A181" s="4" t="s">
        <v>1</v>
      </c>
      <c r="B181" s="1" t="s">
        <v>1084</v>
      </c>
      <c r="C181" s="10" t="s">
        <v>914</v>
      </c>
      <c r="D181" s="1" t="s">
        <v>622</v>
      </c>
      <c r="E181" s="1" t="s">
        <v>59</v>
      </c>
      <c r="F181" s="1" t="s">
        <v>592</v>
      </c>
      <c r="I181" s="10" t="s">
        <v>3</v>
      </c>
      <c r="J181" s="125" t="s">
        <v>3</v>
      </c>
      <c r="K181" s="1" t="s">
        <v>1097</v>
      </c>
      <c r="M181" s="5">
        <v>201911</v>
      </c>
      <c r="N181" s="5">
        <f>INDEX(rrcworking[Formation Production (MCF) @ 14.65 psi],MATCH('November 2019 EDI'!F181,rrcworking[RRC ID],0))</f>
        <v>1181</v>
      </c>
      <c r="O181" s="5">
        <f>INDEX(rrcworking[Lease Use (MCF)],MATCH('November 2019 EDI'!F181,rrcworking[RRC ID],0))</f>
        <v>30</v>
      </c>
      <c r="P181" s="5">
        <f>INDEX(rrcworking[Disposition Volume (MCF) @ 14.65 MCF],MATCH('November 2019 EDI'!F181,rrcworking[RRC ID],0))</f>
        <v>1151</v>
      </c>
      <c r="Y181" s="5">
        <f>INDEX(rrcworking[Oil Production],MATCH('November 2019 EDI'!F181,rrcworking[RRC ID],0))</f>
        <v>0</v>
      </c>
      <c r="AA181" s="5">
        <f>INDEX(rrcworking[Sales/Dispostion],MATCH('November 2019 EDI'!F181,rrcworking[RRC ID],0))</f>
        <v>0</v>
      </c>
      <c r="AQ181" s="5">
        <f>INDEX(rrcworking[Closing Stock (Oil)],MATCH('November 2019 EDI'!F181,rrcworking[RRC ID],0))</f>
        <v>0</v>
      </c>
    </row>
    <row r="182" spans="1:43">
      <c r="A182" s="4" t="s">
        <v>1</v>
      </c>
      <c r="B182" s="1" t="s">
        <v>1085</v>
      </c>
      <c r="C182" s="10" t="s">
        <v>914</v>
      </c>
      <c r="D182" s="1" t="s">
        <v>622</v>
      </c>
      <c r="E182" s="1" t="s">
        <v>59</v>
      </c>
      <c r="F182" s="1" t="s">
        <v>593</v>
      </c>
      <c r="I182" s="10" t="s">
        <v>3</v>
      </c>
      <c r="J182" s="125" t="s">
        <v>3</v>
      </c>
      <c r="K182" s="1" t="s">
        <v>1097</v>
      </c>
      <c r="M182" s="5">
        <v>201911</v>
      </c>
      <c r="N182" s="5">
        <f>INDEX(rrcworking[Formation Production (MCF) @ 14.65 psi],MATCH('November 2019 EDI'!F182,rrcworking[RRC ID],0))</f>
        <v>3132</v>
      </c>
      <c r="O182" s="5">
        <f>INDEX(rrcworking[Lease Use (MCF)],MATCH('November 2019 EDI'!F182,rrcworking[RRC ID],0))</f>
        <v>120</v>
      </c>
      <c r="P182" s="5">
        <f>INDEX(rrcworking[Disposition Volume (MCF) @ 14.65 MCF],MATCH('November 2019 EDI'!F182,rrcworking[RRC ID],0))</f>
        <v>3012</v>
      </c>
      <c r="Y182" s="5">
        <f>INDEX(rrcworking[Oil Production],MATCH('November 2019 EDI'!F182,rrcworking[RRC ID],0))</f>
        <v>0</v>
      </c>
      <c r="AA182" s="5">
        <f>INDEX(rrcworking[Sales/Dispostion],MATCH('November 2019 EDI'!F182,rrcworking[RRC ID],0))</f>
        <v>0</v>
      </c>
      <c r="AQ182" s="5">
        <f>INDEX(rrcworking[Closing Stock (Oil)],MATCH('November 2019 EDI'!F182,rrcworking[RRC ID],0))</f>
        <v>0</v>
      </c>
    </row>
    <row r="183" spans="1:43">
      <c r="A183" s="4" t="s">
        <v>1</v>
      </c>
      <c r="B183" s="1" t="s">
        <v>1086</v>
      </c>
      <c r="C183" s="10" t="s">
        <v>914</v>
      </c>
      <c r="D183" s="1" t="s">
        <v>622</v>
      </c>
      <c r="E183" s="1" t="s">
        <v>59</v>
      </c>
      <c r="F183" s="1" t="s">
        <v>594</v>
      </c>
      <c r="I183" s="10" t="s">
        <v>3</v>
      </c>
      <c r="J183" s="125" t="s">
        <v>3</v>
      </c>
      <c r="K183" s="1" t="s">
        <v>1097</v>
      </c>
      <c r="M183" s="5">
        <v>201911</v>
      </c>
      <c r="N183" s="5">
        <f>INDEX(rrcworking[Formation Production (MCF) @ 14.65 psi],MATCH('November 2019 EDI'!F183,rrcworking[RRC ID],0))</f>
        <v>0</v>
      </c>
      <c r="O183" s="5">
        <f>INDEX(rrcworking[Lease Use (MCF)],MATCH('November 2019 EDI'!F183,rrcworking[RRC ID],0))</f>
        <v>0</v>
      </c>
      <c r="P183" s="5">
        <f>INDEX(rrcworking[Disposition Volume (MCF) @ 14.65 MCF],MATCH('November 2019 EDI'!F183,rrcworking[RRC ID],0))</f>
        <v>0</v>
      </c>
      <c r="Y183" s="5">
        <f>INDEX(rrcworking[Oil Production],MATCH('November 2019 EDI'!F183,rrcworking[RRC ID],0))</f>
        <v>0</v>
      </c>
      <c r="AA183" s="5">
        <f>INDEX(rrcworking[Sales/Dispostion],MATCH('November 2019 EDI'!F183,rrcworking[RRC ID],0))</f>
        <v>0</v>
      </c>
      <c r="AQ183" s="5">
        <f>INDEX(rrcworking[Closing Stock (Oil)],MATCH('November 2019 EDI'!F183,rrcworking[RRC ID],0))</f>
        <v>49</v>
      </c>
    </row>
    <row r="184" spans="1:43">
      <c r="A184" s="4" t="s">
        <v>1</v>
      </c>
      <c r="B184" s="1" t="s">
        <v>1087</v>
      </c>
      <c r="C184" s="10" t="s">
        <v>914</v>
      </c>
      <c r="D184" s="1" t="s">
        <v>622</v>
      </c>
      <c r="E184" s="1" t="s">
        <v>59</v>
      </c>
      <c r="F184" s="1" t="s">
        <v>595</v>
      </c>
      <c r="I184" s="10" t="s">
        <v>3</v>
      </c>
      <c r="J184" s="125" t="s">
        <v>3</v>
      </c>
      <c r="K184" s="1" t="s">
        <v>1097</v>
      </c>
      <c r="M184" s="5">
        <v>201911</v>
      </c>
      <c r="N184" s="5">
        <f>INDEX(rrcworking[Formation Production (MCF) @ 14.65 psi],MATCH('November 2019 EDI'!F184,rrcworking[RRC ID],0))</f>
        <v>0</v>
      </c>
      <c r="O184" s="5">
        <f>INDEX(rrcworking[Lease Use (MCF)],MATCH('November 2019 EDI'!F184,rrcworking[RRC ID],0))</f>
        <v>0</v>
      </c>
      <c r="P184" s="5">
        <f>INDEX(rrcworking[Disposition Volume (MCF) @ 14.65 MCF],MATCH('November 2019 EDI'!F184,rrcworking[RRC ID],0))</f>
        <v>0</v>
      </c>
      <c r="Y184" s="5">
        <f>INDEX(rrcworking[Oil Production],MATCH('November 2019 EDI'!F184,rrcworking[RRC ID],0))</f>
        <v>0</v>
      </c>
      <c r="AA184" s="5">
        <f>INDEX(rrcworking[Sales/Dispostion],MATCH('November 2019 EDI'!F184,rrcworking[RRC ID],0))</f>
        <v>0</v>
      </c>
      <c r="AQ184" s="5">
        <f>INDEX(rrcworking[Closing Stock (Oil)],MATCH('November 2019 EDI'!F184,rrcworking[RRC ID],0))</f>
        <v>0</v>
      </c>
    </row>
    <row r="185" spans="1:43">
      <c r="A185" s="4" t="s">
        <v>1</v>
      </c>
      <c r="B185" s="1" t="s">
        <v>1088</v>
      </c>
      <c r="C185" s="10" t="s">
        <v>914</v>
      </c>
      <c r="D185" s="1" t="s">
        <v>622</v>
      </c>
      <c r="E185" s="1" t="s">
        <v>2</v>
      </c>
      <c r="F185" s="1" t="s">
        <v>596</v>
      </c>
      <c r="I185" s="10" t="s">
        <v>3</v>
      </c>
      <c r="J185" s="125" t="s">
        <v>3</v>
      </c>
      <c r="K185" s="1" t="s">
        <v>1097</v>
      </c>
      <c r="M185" s="5">
        <v>201911</v>
      </c>
      <c r="N185" s="5">
        <f>INDEX(rrcworking[Formation Production (MCF) @ 14.65 psi],MATCH('November 2019 EDI'!F185,rrcworking[RRC ID],0))</f>
        <v>0</v>
      </c>
      <c r="O185" s="5">
        <f>INDEX(rrcworking[Lease Use (MCF)],MATCH('November 2019 EDI'!F185,rrcworking[RRC ID],0))</f>
        <v>0</v>
      </c>
      <c r="P185" s="5">
        <f>INDEX(rrcworking[Disposition Volume (MCF) @ 14.65 MCF],MATCH('November 2019 EDI'!F185,rrcworking[RRC ID],0))</f>
        <v>0</v>
      </c>
      <c r="Y185" s="5">
        <f>INDEX(rrcworking[Oil Production],MATCH('November 2019 EDI'!F185,rrcworking[RRC ID],0))</f>
        <v>0</v>
      </c>
      <c r="AA185" s="5">
        <f>INDEX(rrcworking[Sales/Dispostion],MATCH('November 2019 EDI'!F185,rrcworking[RRC ID],0))</f>
        <v>0</v>
      </c>
      <c r="AQ185" s="5">
        <f>INDEX(rrcworking[Closing Stock (Oil)],MATCH('November 2019 EDI'!F185,rrcworking[RRC ID],0))</f>
        <v>0</v>
      </c>
    </row>
    <row r="186" spans="1:43">
      <c r="A186" s="4" t="s">
        <v>1</v>
      </c>
      <c r="B186" s="1" t="s">
        <v>1089</v>
      </c>
      <c r="C186" s="10" t="s">
        <v>914</v>
      </c>
      <c r="D186" s="1" t="s">
        <v>622</v>
      </c>
      <c r="E186" s="1" t="s">
        <v>2</v>
      </c>
      <c r="F186" s="1" t="s">
        <v>597</v>
      </c>
      <c r="I186" s="10" t="s">
        <v>3</v>
      </c>
      <c r="J186" s="125" t="s">
        <v>3</v>
      </c>
      <c r="K186" s="1">
        <v>6114</v>
      </c>
      <c r="M186" s="5">
        <v>201911</v>
      </c>
      <c r="N186" s="5">
        <f>INDEX(rrcworking[Formation Production (MCF) @ 14.65 psi],MATCH('November 2019 EDI'!F186,rrcworking[RRC ID],0))</f>
        <v>0</v>
      </c>
      <c r="O186" s="5">
        <f>INDEX(rrcworking[Lease Use (MCF)],MATCH('November 2019 EDI'!F186,rrcworking[RRC ID],0))</f>
        <v>0</v>
      </c>
      <c r="P186" s="5">
        <f>INDEX(rrcworking[Disposition Volume (MCF) @ 14.65 MCF],MATCH('November 2019 EDI'!F186,rrcworking[RRC ID],0))</f>
        <v>0</v>
      </c>
      <c r="Y186" s="5">
        <f>INDEX(rrcworking[Oil Production],MATCH('November 2019 EDI'!F186,rrcworking[RRC ID],0))</f>
        <v>20</v>
      </c>
      <c r="AA186" s="5">
        <f>INDEX(rrcworking[Sales/Dispostion],MATCH('November 2019 EDI'!F186,rrcworking[RRC ID],0))</f>
        <v>0</v>
      </c>
      <c r="AQ186" s="5">
        <f>INDEX(rrcworking[Closing Stock (Oil)],MATCH('November 2019 EDI'!F186,rrcworking[RRC ID],0))</f>
        <v>177</v>
      </c>
    </row>
    <row r="187" spans="1:43">
      <c r="A187" s="4" t="s">
        <v>1</v>
      </c>
      <c r="B187" s="1" t="s">
        <v>1090</v>
      </c>
      <c r="C187" s="10" t="s">
        <v>914</v>
      </c>
      <c r="D187" s="1" t="s">
        <v>622</v>
      </c>
      <c r="E187" s="1" t="s">
        <v>2</v>
      </c>
      <c r="F187" s="1" t="s">
        <v>598</v>
      </c>
      <c r="I187" s="10" t="s">
        <v>3</v>
      </c>
      <c r="J187" s="125" t="s">
        <v>3</v>
      </c>
      <c r="K187" s="1" t="s">
        <v>1097</v>
      </c>
      <c r="M187" s="5">
        <v>201911</v>
      </c>
      <c r="N187" s="5">
        <f>INDEX(rrcworking[Formation Production (MCF) @ 14.65 psi],MATCH('November 2019 EDI'!F187,rrcworking[RRC ID],0))</f>
        <v>0</v>
      </c>
      <c r="O187" s="5">
        <f>INDEX(rrcworking[Lease Use (MCF)],MATCH('November 2019 EDI'!F187,rrcworking[RRC ID],0))</f>
        <v>0</v>
      </c>
      <c r="P187" s="5">
        <f>INDEX(rrcworking[Disposition Volume (MCF) @ 14.65 MCF],MATCH('November 2019 EDI'!F187,rrcworking[RRC ID],0))</f>
        <v>0</v>
      </c>
      <c r="Y187" s="5">
        <f>INDEX(rrcworking[Oil Production],MATCH('November 2019 EDI'!F187,rrcworking[RRC ID],0))</f>
        <v>0</v>
      </c>
      <c r="AA187" s="5">
        <f>INDEX(rrcworking[Sales/Dispostion],MATCH('November 2019 EDI'!F187,rrcworking[RRC ID],0))</f>
        <v>0</v>
      </c>
      <c r="AQ187" s="5">
        <f>INDEX(rrcworking[Closing Stock (Oil)],MATCH('November 2019 EDI'!F187,rrcworking[RRC ID],0))</f>
        <v>0</v>
      </c>
    </row>
    <row r="188" spans="1:43">
      <c r="A188" s="4" t="s">
        <v>1</v>
      </c>
      <c r="B188" s="1" t="s">
        <v>1091</v>
      </c>
      <c r="C188" s="10" t="s">
        <v>914</v>
      </c>
      <c r="D188" s="1" t="s">
        <v>622</v>
      </c>
      <c r="E188" s="1" t="s">
        <v>59</v>
      </c>
      <c r="F188" s="1" t="s">
        <v>599</v>
      </c>
      <c r="I188" s="10" t="s">
        <v>3</v>
      </c>
      <c r="J188" s="125" t="s">
        <v>3</v>
      </c>
      <c r="K188" s="1" t="s">
        <v>1097</v>
      </c>
      <c r="M188" s="5">
        <v>201911</v>
      </c>
      <c r="N188" s="5">
        <f>INDEX(rrcworking[Formation Production (MCF) @ 14.65 psi],MATCH('November 2019 EDI'!F188,rrcworking[RRC ID],0))</f>
        <v>0</v>
      </c>
      <c r="O188" s="5">
        <f>INDEX(rrcworking[Lease Use (MCF)],MATCH('November 2019 EDI'!F188,rrcworking[RRC ID],0))</f>
        <v>0</v>
      </c>
      <c r="P188" s="5">
        <f>INDEX(rrcworking[Disposition Volume (MCF) @ 14.65 MCF],MATCH('November 2019 EDI'!F188,rrcworking[RRC ID],0))</f>
        <v>0</v>
      </c>
      <c r="Y188" s="5">
        <f>INDEX(rrcworking[Oil Production],MATCH('November 2019 EDI'!F188,rrcworking[RRC ID],0))</f>
        <v>0</v>
      </c>
      <c r="AA188" s="5">
        <f>INDEX(rrcworking[Sales/Dispostion],MATCH('November 2019 EDI'!F188,rrcworking[RRC ID],0))</f>
        <v>0</v>
      </c>
      <c r="AQ188" s="5">
        <f>INDEX(rrcworking[Closing Stock (Oil)],MATCH('November 2019 EDI'!F188,rrcworking[RRC ID],0))</f>
        <v>0</v>
      </c>
    </row>
    <row r="189" spans="1:43">
      <c r="A189" s="4" t="s">
        <v>1</v>
      </c>
      <c r="B189" s="1" t="s">
        <v>1092</v>
      </c>
      <c r="C189" s="10" t="s">
        <v>914</v>
      </c>
      <c r="D189" s="1" t="s">
        <v>622</v>
      </c>
      <c r="E189" s="1" t="s">
        <v>2</v>
      </c>
      <c r="F189" s="1" t="s">
        <v>600</v>
      </c>
      <c r="I189" s="10" t="s">
        <v>3</v>
      </c>
      <c r="J189" s="125" t="s">
        <v>3</v>
      </c>
      <c r="K189" s="1">
        <v>6114</v>
      </c>
      <c r="M189" s="5">
        <v>201911</v>
      </c>
      <c r="N189" s="5">
        <f>INDEX(rrcworking[Formation Production (MCF) @ 14.65 psi],MATCH('November 2019 EDI'!F189,rrcworking[RRC ID],0))</f>
        <v>0</v>
      </c>
      <c r="O189" s="5">
        <f>INDEX(rrcworking[Lease Use (MCF)],MATCH('November 2019 EDI'!F189,rrcworking[RRC ID],0))</f>
        <v>0</v>
      </c>
      <c r="P189" s="5">
        <f>INDEX(rrcworking[Disposition Volume (MCF) @ 14.65 MCF],MATCH('November 2019 EDI'!F189,rrcworking[RRC ID],0))</f>
        <v>0</v>
      </c>
      <c r="Y189" s="5">
        <f>INDEX(rrcworking[Oil Production],MATCH('November 2019 EDI'!F189,rrcworking[RRC ID],0))</f>
        <v>0</v>
      </c>
      <c r="AA189" s="5">
        <f>INDEX(rrcworking[Sales/Dispostion],MATCH('November 2019 EDI'!F189,rrcworking[RRC ID],0))</f>
        <v>0</v>
      </c>
      <c r="AQ189" s="5">
        <f>INDEX(rrcworking[Closing Stock (Oil)],MATCH('November 2019 EDI'!F189,rrcworking[RRC ID],0))</f>
        <v>0</v>
      </c>
    </row>
    <row r="190" spans="1:43">
      <c r="A190" s="4" t="s">
        <v>1</v>
      </c>
      <c r="B190" s="1" t="s">
        <v>1093</v>
      </c>
      <c r="C190" s="10" t="s">
        <v>914</v>
      </c>
      <c r="D190" s="1" t="s">
        <v>622</v>
      </c>
      <c r="E190" s="1" t="s">
        <v>2</v>
      </c>
      <c r="F190" s="1" t="s">
        <v>601</v>
      </c>
      <c r="I190" s="10" t="s">
        <v>3</v>
      </c>
      <c r="J190" s="125" t="s">
        <v>3</v>
      </c>
      <c r="K190" s="1" t="s">
        <v>1097</v>
      </c>
      <c r="M190" s="5">
        <v>201911</v>
      </c>
      <c r="N190" s="5">
        <f>INDEX(rrcworking[Formation Production (MCF) @ 14.65 psi],MATCH('November 2019 EDI'!F190,rrcworking[RRC ID],0))</f>
        <v>0</v>
      </c>
      <c r="O190" s="5">
        <f>INDEX(rrcworking[Lease Use (MCF)],MATCH('November 2019 EDI'!F190,rrcworking[RRC ID],0))</f>
        <v>0</v>
      </c>
      <c r="P190" s="5">
        <f>INDEX(rrcworking[Disposition Volume (MCF) @ 14.65 MCF],MATCH('November 2019 EDI'!F190,rrcworking[RRC ID],0))</f>
        <v>0</v>
      </c>
      <c r="Y190" s="5">
        <f>INDEX(rrcworking[Oil Production],MATCH('November 2019 EDI'!F190,rrcworking[RRC ID],0))</f>
        <v>0</v>
      </c>
      <c r="AA190" s="5">
        <f>INDEX(rrcworking[Sales/Dispostion],MATCH('November 2019 EDI'!F190,rrcworking[RRC ID],0))</f>
        <v>0</v>
      </c>
      <c r="AQ190" s="5">
        <f>INDEX(rrcworking[Closing Stock (Oil)],MATCH('November 2019 EDI'!F190,rrcworking[RRC ID],0))</f>
        <v>64</v>
      </c>
    </row>
    <row r="191" spans="1:43">
      <c r="A191" s="4" t="s">
        <v>1</v>
      </c>
      <c r="B191" s="1" t="s">
        <v>1094</v>
      </c>
      <c r="C191" s="10" t="s">
        <v>914</v>
      </c>
      <c r="D191" s="1" t="s">
        <v>622</v>
      </c>
      <c r="E191" s="1" t="s">
        <v>59</v>
      </c>
      <c r="F191" s="1" t="s">
        <v>602</v>
      </c>
      <c r="I191" s="10" t="s">
        <v>3</v>
      </c>
      <c r="J191" s="125" t="s">
        <v>3</v>
      </c>
      <c r="K191" s="1">
        <v>5050</v>
      </c>
      <c r="M191" s="5">
        <v>201911</v>
      </c>
      <c r="N191" s="5">
        <f>INDEX(rrcworking[Formation Production (MCF) @ 14.65 psi],MATCH('November 2019 EDI'!F191,rrcworking[RRC ID],0))</f>
        <v>8852</v>
      </c>
      <c r="O191" s="5">
        <f>INDEX(rrcworking[Lease Use (MCF)],MATCH('November 2019 EDI'!F191,rrcworking[RRC ID],0))</f>
        <v>300</v>
      </c>
      <c r="P191" s="5">
        <f>INDEX(rrcworking[Disposition Volume (MCF) @ 14.65 MCF],MATCH('November 2019 EDI'!F191,rrcworking[RRC ID],0))</f>
        <v>8552</v>
      </c>
      <c r="Y191" s="5">
        <f>INDEX(rrcworking[Oil Production],MATCH('November 2019 EDI'!F191,rrcworking[RRC ID],0))</f>
        <v>38</v>
      </c>
      <c r="AA191" s="5">
        <f>INDEX(rrcworking[Sales/Dispostion],MATCH('November 2019 EDI'!F191,rrcworking[RRC ID],0))</f>
        <v>0</v>
      </c>
      <c r="AQ191" s="5">
        <f>INDEX(rrcworking[Closing Stock (Oil)],MATCH('November 2019 EDI'!F191,rrcworking[RRC ID],0))</f>
        <v>64</v>
      </c>
    </row>
    <row r="192" spans="1:43">
      <c r="A192" s="4" t="s">
        <v>1</v>
      </c>
      <c r="B192" s="1" t="s">
        <v>1095</v>
      </c>
      <c r="C192" s="10" t="s">
        <v>914</v>
      </c>
      <c r="D192" s="1" t="s">
        <v>622</v>
      </c>
      <c r="E192" s="1" t="s">
        <v>2</v>
      </c>
      <c r="F192" s="1" t="s">
        <v>603</v>
      </c>
      <c r="I192" s="10" t="s">
        <v>3</v>
      </c>
      <c r="J192" s="125" t="s">
        <v>3</v>
      </c>
      <c r="K192" s="1" t="s">
        <v>1097</v>
      </c>
      <c r="M192" s="5">
        <v>201911</v>
      </c>
      <c r="N192" s="5">
        <f>INDEX(rrcworking[Formation Production (MCF) @ 14.65 psi],MATCH('November 2019 EDI'!F192,rrcworking[RRC ID],0))</f>
        <v>0</v>
      </c>
      <c r="O192" s="5">
        <f>INDEX(rrcworking[Lease Use (MCF)],MATCH('November 2019 EDI'!F192,rrcworking[RRC ID],0))</f>
        <v>0</v>
      </c>
      <c r="P192" s="5">
        <f>INDEX(rrcworking[Disposition Volume (MCF) @ 14.65 MCF],MATCH('November 2019 EDI'!F192,rrcworking[RRC ID],0))</f>
        <v>0</v>
      </c>
      <c r="Y192" s="5">
        <f>INDEX(rrcworking[Oil Production],MATCH('November 2019 EDI'!F192,rrcworking[RRC ID],0))</f>
        <v>0</v>
      </c>
      <c r="AA192" s="5">
        <f>INDEX(rrcworking[Sales/Dispostion],MATCH('November 2019 EDI'!F192,rrcworking[RRC ID],0))</f>
        <v>0</v>
      </c>
      <c r="AQ192" s="5">
        <f>INDEX(rrcworking[Closing Stock (Oil)],MATCH('November 2019 EDI'!F192,rrcworking[RRC ID],0))</f>
        <v>63</v>
      </c>
    </row>
    <row r="193" spans="1:46">
      <c r="A193" s="4" t="s">
        <v>1</v>
      </c>
      <c r="B193" s="1" t="s">
        <v>1096</v>
      </c>
      <c r="C193" s="10" t="s">
        <v>914</v>
      </c>
      <c r="D193" s="10" t="s">
        <v>621</v>
      </c>
      <c r="E193" s="10" t="s">
        <v>65</v>
      </c>
      <c r="F193" s="1" t="s">
        <v>906</v>
      </c>
      <c r="G193" s="1" t="s">
        <v>906</v>
      </c>
      <c r="I193" s="10" t="s">
        <v>3</v>
      </c>
      <c r="J193" s="125" t="s">
        <v>3</v>
      </c>
      <c r="M193" s="5">
        <v>201911</v>
      </c>
      <c r="N193" s="5">
        <f>INDEX(rrcworking[Formation Production (MCF) @ 14.65 psi],MATCH('November 2019 EDI'!F193,rrcworking[RRC ID],0))</f>
        <v>570</v>
      </c>
      <c r="O193" s="5">
        <f>INDEX(rrcworking[Lease Use (MCF)],MATCH('November 2019 EDI'!F193,rrcworking[RRC ID],0))</f>
        <v>0</v>
      </c>
      <c r="P193" s="5">
        <f>INDEX(rrcworking[Disposition Volume (MCF) @ 14.65 MCF],MATCH('November 2019 EDI'!F193,rrcworking[RRC ID],0))</f>
        <v>570</v>
      </c>
      <c r="Y193" s="5">
        <f>INDEX(rrcworking[Oil Production],MATCH('November 2019 EDI'!F193,rrcworking[RRC ID],0))</f>
        <v>2381</v>
      </c>
      <c r="AA193" s="5">
        <f>INDEX(rrcworking[Sales/Dispostion],MATCH('November 2019 EDI'!F193,rrcworking[RRC ID],0))</f>
        <v>2492</v>
      </c>
      <c r="AQ193" s="5">
        <f>INDEX(rrcworking[Closing Stock (Oil)],MATCH('November 2019 EDI'!F193,rrcworking[RRC ID],0))</f>
        <v>187</v>
      </c>
      <c r="AR193" s="150" t="s">
        <v>1113</v>
      </c>
      <c r="AS193" s="150" t="s">
        <v>1114</v>
      </c>
      <c r="AT193" s="150" t="s">
        <v>61</v>
      </c>
    </row>
    <row r="194" spans="1:46">
      <c r="A194" s="4" t="s">
        <v>1</v>
      </c>
      <c r="B194" s="10" t="s">
        <v>1149</v>
      </c>
      <c r="C194" s="10" t="s">
        <v>914</v>
      </c>
      <c r="D194" s="10" t="s">
        <v>621</v>
      </c>
      <c r="E194" s="10" t="s">
        <v>2</v>
      </c>
      <c r="F194" s="10" t="s">
        <v>1147</v>
      </c>
      <c r="I194" s="10" t="s">
        <v>3</v>
      </c>
      <c r="J194" s="125" t="s">
        <v>3</v>
      </c>
      <c r="M194" s="5">
        <v>201911</v>
      </c>
      <c r="N194" s="5">
        <f>INDEX(rrcworking[Formation Production (MCF) @ 14.65 psi],MATCH('November 2019 EDI'!F194,rrcworking[RRC ID],0))</f>
        <v>0</v>
      </c>
      <c r="O194" s="5">
        <f>INDEX(rrcworking[Lease Use (MCF)],MATCH('November 2019 EDI'!F194,rrcworking[RRC ID],0))</f>
        <v>0</v>
      </c>
      <c r="P194" s="5">
        <f>INDEX(rrcworking[Disposition Volume (MCF) @ 14.65 MCF],MATCH('November 2019 EDI'!F194,rrcworking[RRC ID],0))</f>
        <v>0</v>
      </c>
      <c r="Y194" s="5">
        <f>INDEX(rrcworking[Oil Production],MATCH('November 2019 EDI'!F194,rrcworking[RRC ID],0))</f>
        <v>0</v>
      </c>
      <c r="AA194" s="5">
        <f>INDEX(rrcworking[Sales/Dispostion],MATCH('November 2019 EDI'!F194,rrcworking[RRC ID],0))</f>
        <v>0</v>
      </c>
      <c r="AQ194" s="5">
        <f>INDEX(rrcworking[Closing Stock (Oil)],MATCH('November 2019 EDI'!F194,rrcworking[RRC ID],0))</f>
        <v>79</v>
      </c>
      <c r="AR194" s="150"/>
      <c r="AS194" s="150"/>
      <c r="AT194" s="150"/>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Q200"/>
  <sheetViews>
    <sheetView tabSelected="1" topLeftCell="A4" zoomScale="85" zoomScaleNormal="85" workbookViewId="0">
      <pane xSplit="5" topLeftCell="X1" activePane="topRight" state="frozen"/>
      <selection pane="topRight" activeCell="Z27" sqref="Z27"/>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23.33203125" customWidth="1"/>
    <col min="30" max="30" width="52.83203125" customWidth="1"/>
    <col min="31" max="31" width="12.33203125" customWidth="1"/>
    <col min="39" max="39" width="15.5" customWidth="1"/>
    <col min="40" max="40" width="15.33203125" customWidth="1"/>
    <col min="41" max="41" width="27.33203125" customWidth="1"/>
    <col min="42" max="42" width="48.6640625" customWidth="1"/>
    <col min="43" max="43" width="85" customWidth="1"/>
  </cols>
  <sheetData>
    <row r="1" spans="3:43" ht="46.5">
      <c r="C1" s="119" t="s">
        <v>617</v>
      </c>
      <c r="D1" s="120">
        <v>43788</v>
      </c>
    </row>
    <row r="2" spans="3:43" ht="66.75">
      <c r="C2" s="230"/>
      <c r="D2" s="231"/>
      <c r="E2" s="231"/>
      <c r="F2" s="231"/>
      <c r="G2" s="231"/>
      <c r="I2" s="118"/>
      <c r="J2" s="3" t="s">
        <v>611</v>
      </c>
      <c r="Q2" s="26" t="s">
        <v>629</v>
      </c>
      <c r="R2" s="27">
        <v>1.0054609999999999</v>
      </c>
      <c r="AD2" s="121" t="s">
        <v>913</v>
      </c>
    </row>
    <row r="3" spans="3:43" ht="45.75">
      <c r="Z3" s="233"/>
      <c r="AA3" s="233"/>
      <c r="AB3" s="233"/>
      <c r="AH3" s="228" t="s">
        <v>1277</v>
      </c>
      <c r="AI3" s="229"/>
      <c r="AJ3" s="229"/>
      <c r="AK3" s="229"/>
      <c r="AL3" s="229"/>
      <c r="AM3" s="229"/>
      <c r="AN3" s="229"/>
      <c r="AO3" s="229"/>
      <c r="AP3" s="229"/>
    </row>
    <row r="4" spans="3:43" s="119" customFormat="1" ht="146.25">
      <c r="C4" s="226" t="s">
        <v>1106</v>
      </c>
      <c r="D4" s="232"/>
      <c r="E4" s="232"/>
      <c r="F4" s="232"/>
      <c r="G4" s="232"/>
      <c r="H4" s="232"/>
      <c r="I4" s="232"/>
      <c r="J4" s="232"/>
      <c r="K4" s="227"/>
      <c r="L4" s="226" t="s">
        <v>1107</v>
      </c>
      <c r="M4" s="232"/>
      <c r="N4" s="232"/>
      <c r="O4" s="227"/>
      <c r="P4" s="226" t="s">
        <v>612</v>
      </c>
      <c r="Q4" s="232"/>
      <c r="R4" s="232"/>
      <c r="S4" s="232"/>
      <c r="T4" s="232"/>
      <c r="U4" s="227"/>
      <c r="V4" s="226" t="s">
        <v>623</v>
      </c>
      <c r="W4" s="232"/>
      <c r="X4" s="232"/>
      <c r="Y4" s="232"/>
      <c r="Z4" s="232"/>
      <c r="AA4" s="232"/>
      <c r="AB4" s="227"/>
      <c r="AC4" s="226" t="s">
        <v>1276</v>
      </c>
      <c r="AD4" s="227"/>
      <c r="AE4" s="223" t="s">
        <v>1120</v>
      </c>
      <c r="AF4" s="216"/>
      <c r="AG4" s="216"/>
      <c r="AH4" s="224"/>
      <c r="AI4" s="225"/>
      <c r="AJ4" s="225"/>
      <c r="AK4" s="225" t="s">
        <v>1188</v>
      </c>
      <c r="AL4" s="225" t="s">
        <v>1189</v>
      </c>
      <c r="AM4" s="225" t="s">
        <v>1190</v>
      </c>
      <c r="AN4" s="225" t="s">
        <v>1191</v>
      </c>
      <c r="AO4" s="225" t="s">
        <v>1192</v>
      </c>
      <c r="AP4" s="225" t="s">
        <v>1193</v>
      </c>
    </row>
    <row r="5" spans="3:43" s="17" customFormat="1" ht="63.75">
      <c r="C5" s="8" t="s">
        <v>1124</v>
      </c>
      <c r="D5" s="8" t="s">
        <v>47</v>
      </c>
      <c r="E5" s="8" t="s">
        <v>48</v>
      </c>
      <c r="F5" s="8" t="s">
        <v>606</v>
      </c>
      <c r="G5" s="8" t="s">
        <v>14</v>
      </c>
      <c r="H5" s="8" t="s">
        <v>7</v>
      </c>
      <c r="I5" s="8" t="s">
        <v>8</v>
      </c>
      <c r="J5" s="16" t="s">
        <v>604</v>
      </c>
      <c r="K5" s="16" t="s">
        <v>605</v>
      </c>
      <c r="L5" s="109" t="s">
        <v>608</v>
      </c>
      <c r="M5" s="110" t="s">
        <v>607</v>
      </c>
      <c r="N5" s="110" t="s">
        <v>609</v>
      </c>
      <c r="O5" s="111" t="s">
        <v>610</v>
      </c>
      <c r="P5" s="115" t="s">
        <v>1279</v>
      </c>
      <c r="Q5" s="23" t="s">
        <v>613</v>
      </c>
      <c r="R5" s="116" t="s">
        <v>1278</v>
      </c>
      <c r="S5" s="116" t="s">
        <v>615</v>
      </c>
      <c r="T5" s="116" t="s">
        <v>616</v>
      </c>
      <c r="U5" s="117" t="s">
        <v>912</v>
      </c>
      <c r="V5" s="17" t="s">
        <v>626</v>
      </c>
      <c r="W5" s="17" t="s">
        <v>624</v>
      </c>
      <c r="X5" s="8" t="s">
        <v>1123</v>
      </c>
      <c r="Y5" s="8" t="s">
        <v>795</v>
      </c>
      <c r="Z5" s="8" t="s">
        <v>796</v>
      </c>
      <c r="AA5" s="17" t="s">
        <v>625</v>
      </c>
      <c r="AB5" s="17" t="s">
        <v>627</v>
      </c>
      <c r="AC5" s="8" t="s">
        <v>909</v>
      </c>
      <c r="AD5" s="8" t="s">
        <v>910</v>
      </c>
      <c r="AE5" s="222" t="s">
        <v>904</v>
      </c>
      <c r="AF5" s="116" t="s">
        <v>911</v>
      </c>
      <c r="AG5" s="8" t="s">
        <v>614</v>
      </c>
      <c r="AH5" s="8" t="s">
        <v>1194</v>
      </c>
      <c r="AI5" s="8" t="s">
        <v>1195</v>
      </c>
      <c r="AJ5" s="17" t="s">
        <v>1196</v>
      </c>
      <c r="AK5" s="17" t="s">
        <v>1197</v>
      </c>
      <c r="AL5" s="17" t="s">
        <v>1198</v>
      </c>
      <c r="AM5" s="17" t="s">
        <v>1199</v>
      </c>
      <c r="AN5" s="17" t="s">
        <v>1200</v>
      </c>
      <c r="AO5" s="17" t="s">
        <v>1201</v>
      </c>
      <c r="AP5" s="17" t="s">
        <v>1202</v>
      </c>
      <c r="AQ5" s="17" t="s">
        <v>1203</v>
      </c>
    </row>
    <row r="6" spans="3:43" ht="15.75" hidden="1" thickTop="1">
      <c r="C6" s="80" t="e">
        <v>#N/A</v>
      </c>
      <c r="D6" s="62" t="s">
        <v>164</v>
      </c>
      <c r="E6" s="133" t="s">
        <v>165</v>
      </c>
      <c r="F6" s="131">
        <v>0</v>
      </c>
      <c r="G6" s="122" t="s">
        <v>1097</v>
      </c>
      <c r="H6" s="18" t="s">
        <v>621</v>
      </c>
      <c r="I6" s="18" t="s">
        <v>2</v>
      </c>
      <c r="J6" s="19" t="s">
        <v>469</v>
      </c>
      <c r="K6" s="103">
        <v>27151</v>
      </c>
      <c r="L6" s="143">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214">
        <v>0</v>
      </c>
      <c r="Q6" s="129">
        <f>rrcworking[[#This Row],[Last Month Closing Stock]]</f>
        <v>108</v>
      </c>
      <c r="R6" s="214">
        <f>rrcworking[[#This Row],[Opening Oil Stock]]</f>
        <v>108</v>
      </c>
      <c r="S6" s="148">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Production Vol]]-rrcworking[[#This Row],[Oil Production]]</f>
        <v>0</v>
      </c>
      <c r="V6" s="148">
        <f>IF(ISERROR(INDEX(Table2[GAS],MATCH(rrcworking[[#This Row],[Magnum Wolfpak '#]],Table2[Rox Wolf'#],0))),0,INDEX(Table2[GAS],MATCH(rrcworking[[#This Row],[Magnum Wolfpak '#]],Table2[Rox Wolf'#],0)))</f>
        <v>0</v>
      </c>
      <c r="W6" s="24"/>
      <c r="X6" s="136">
        <f>IF(rrcworking[[#This Row],[Pressure Base]]=14.73,rrcworking[[#This Row],[Gas Sales Statement Volume (MCF)]]*$R$2,rrcworking[[#This Row],[Gas Sales Statement Volume (MCF)]])</f>
        <v>0</v>
      </c>
      <c r="Y6" s="59"/>
      <c r="Z6" s="59"/>
      <c r="AA6" s="148">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220">
        <f>COUNTIF(FilterList,rrcworking[[#This Row],[Magnum Wolfpak '#]])</f>
        <v>0</v>
      </c>
      <c r="AF6" s="217"/>
      <c r="AG6" s="218"/>
      <c r="AH6" s="37"/>
      <c r="AI6" s="37"/>
      <c r="AJ6" s="37"/>
      <c r="AK6" s="37"/>
      <c r="AL6" s="37"/>
      <c r="AM6" s="37"/>
      <c r="AN6" s="37"/>
      <c r="AO6" s="37"/>
      <c r="AP6" s="37"/>
      <c r="AQ6" s="37"/>
    </row>
    <row r="7" spans="3:43" ht="15" hidden="1">
      <c r="C7" s="80">
        <v>99265</v>
      </c>
      <c r="D7" s="62" t="s">
        <v>326</v>
      </c>
      <c r="E7" s="133" t="s">
        <v>327</v>
      </c>
      <c r="F7" s="131">
        <v>1</v>
      </c>
      <c r="G7" s="122" t="s">
        <v>1097</v>
      </c>
      <c r="H7" s="18" t="s">
        <v>622</v>
      </c>
      <c r="I7" s="18" t="s">
        <v>59</v>
      </c>
      <c r="J7" s="19" t="s">
        <v>563</v>
      </c>
      <c r="K7" s="103">
        <v>244496</v>
      </c>
      <c r="L7" s="101">
        <f>INDEX(Table1[Production],MATCH(rrcworking[[#This Row],[RRC ID Number]],Table1[RRC Identifier],0))</f>
        <v>0</v>
      </c>
      <c r="M7" s="30">
        <f>INDEX(Table1[Formation Production],MATCH(rrcworking[[#This Row],[RRC ID Number]],Table1[RRC Identifier],0))</f>
        <v>3251</v>
      </c>
      <c r="N7" s="31">
        <f>INDEX(Table1[On Hand End of Month],MATCH(rrcworking[[#This Row],[RRC ID Number]],Table1[RRC Identifier],0))</f>
        <v>162</v>
      </c>
      <c r="O7" s="106" t="b">
        <f t="shared" si="0"/>
        <v>0</v>
      </c>
      <c r="P7" s="214">
        <v>0</v>
      </c>
      <c r="Q7" s="129">
        <f>rrcworking[[#This Row],[Last Month Closing Stock]]</f>
        <v>162</v>
      </c>
      <c r="R7" s="214">
        <v>162</v>
      </c>
      <c r="S7" s="148">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Production Vol]]-rrcworking[[#This Row],[Oil Production]]</f>
        <v>0</v>
      </c>
      <c r="V7" s="148">
        <f>IF(ISERROR(INDEX(Table2[GAS],MATCH(rrcworking[[#This Row],[Magnum Wolfpak '#]],Table2[Rox Wolf'#],0))),0,INDEX(Table2[GAS],MATCH(rrcworking[[#This Row],[Magnum Wolfpak '#]],Table2[Rox Wolf'#],0)))</f>
        <v>2713</v>
      </c>
      <c r="W7" s="24"/>
      <c r="X7" s="137">
        <f>IF(rrcworking[[#This Row],[Pressure Base]]=14.73,rrcworking[[#This Row],[Gas Sales Statement Volume (MCF)]]*$R$2,rrcworking[[#This Row],[Gas Sales Statement Volume (MCF)]])</f>
        <v>2713</v>
      </c>
      <c r="Y7" s="60"/>
      <c r="Z7" s="60"/>
      <c r="AA7" s="148">
        <f>IF(ISERROR(INDEX(Table2[LEASE USE],MATCH(rrcworking[[#This Row],[Magnum Wolfpak '#]],Table2[Rox Wolf'#],0))),0,INDEX(Table2[LEASE USE],MATCH(rrcworking[[#This Row],[Magnum Wolfpak '#]],Table2[Rox Wolf'#],0)))</f>
        <v>167</v>
      </c>
      <c r="AB7" s="57">
        <f>rrcworking[[#This Row],[Disposition Volume (MCF) @ 14.65 MCF]]+rrcworking[[#This Row],[Lease Use (MCF)]]</f>
        <v>2880</v>
      </c>
      <c r="AC7" s="37"/>
      <c r="AD7" s="37"/>
      <c r="AE7" s="220">
        <f>COUNTIF(FilterList,rrcworking[[#This Row],[Magnum Wolfpak '#]])</f>
        <v>0</v>
      </c>
      <c r="AF7" s="217"/>
      <c r="AG7" s="218"/>
      <c r="AH7" s="37"/>
      <c r="AI7" s="37"/>
      <c r="AJ7" s="219"/>
      <c r="AK7" s="219"/>
      <c r="AL7" s="219"/>
      <c r="AM7" s="219"/>
      <c r="AN7" s="219"/>
      <c r="AO7" s="219"/>
      <c r="AP7" s="37" t="s">
        <v>1204</v>
      </c>
      <c r="AQ7" s="37" t="s">
        <v>1205</v>
      </c>
    </row>
    <row r="8" spans="3:43" ht="15" hidden="1">
      <c r="C8" s="80">
        <v>99266</v>
      </c>
      <c r="D8" s="62" t="s">
        <v>326</v>
      </c>
      <c r="E8" s="133" t="s">
        <v>327</v>
      </c>
      <c r="F8" s="131">
        <v>2</v>
      </c>
      <c r="G8" s="122" t="s">
        <v>1097</v>
      </c>
      <c r="H8" s="18" t="s">
        <v>622</v>
      </c>
      <c r="I8" s="18" t="s">
        <v>59</v>
      </c>
      <c r="J8" s="19" t="s">
        <v>564</v>
      </c>
      <c r="K8" s="103">
        <v>248176</v>
      </c>
      <c r="L8" s="101">
        <f>INDEX(Table1[Production],MATCH(rrcworking[[#This Row],[RRC ID Number]],Table1[RRC Identifier],0))</f>
        <v>0</v>
      </c>
      <c r="M8" s="30">
        <f>INDEX(Table1[Formation Production],MATCH(rrcworking[[#This Row],[RRC ID Number]],Table1[RRC Identifier],0))</f>
        <v>2684</v>
      </c>
      <c r="N8" s="31">
        <f>INDEX(Table1[On Hand End of Month],MATCH(rrcworking[[#This Row],[RRC ID Number]],Table1[RRC Identifier],0))</f>
        <v>0</v>
      </c>
      <c r="O8" s="106" t="b">
        <f t="shared" si="0"/>
        <v>0</v>
      </c>
      <c r="P8" s="214"/>
      <c r="Q8" s="129">
        <f>rrcworking[[#This Row],[Last Month Closing Stock]]</f>
        <v>0</v>
      </c>
      <c r="R8" s="214"/>
      <c r="S8" s="148">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Production Vol]]-rrcworking[[#This Row],[Oil Production]]</f>
        <v>0</v>
      </c>
      <c r="V8" s="148">
        <f>IF(ISERROR(INDEX(Table2[GAS],MATCH(rrcworking[[#This Row],[Magnum Wolfpak '#]],Table2[Rox Wolf'#],0))),0,INDEX(Table2[GAS],MATCH(rrcworking[[#This Row],[Magnum Wolfpak '#]],Table2[Rox Wolf'#],0)))</f>
        <v>2305</v>
      </c>
      <c r="W8" s="24"/>
      <c r="X8" s="137">
        <f>IF(rrcworking[[#This Row],[Pressure Base]]=14.73,rrcworking[[#This Row],[Gas Sales Statement Volume (MCF)]]*$R$2,rrcworking[[#This Row],[Gas Sales Statement Volume (MCF)]])</f>
        <v>2305</v>
      </c>
      <c r="Y8" s="60"/>
      <c r="Z8" s="60"/>
      <c r="AA8" s="148">
        <f>IF(ISERROR(INDEX(Table2[LEASE USE],MATCH(rrcworking[[#This Row],[Magnum Wolfpak '#]],Table2[Rox Wolf'#],0))),0,INDEX(Table2[LEASE USE],MATCH(rrcworking[[#This Row],[Magnum Wolfpak '#]],Table2[Rox Wolf'#],0)))</f>
        <v>141</v>
      </c>
      <c r="AB8" s="57">
        <f>rrcworking[[#This Row],[Disposition Volume (MCF) @ 14.65 MCF]]+rrcworking[[#This Row],[Lease Use (MCF)]]</f>
        <v>2446</v>
      </c>
      <c r="AC8" s="37"/>
      <c r="AD8" s="37"/>
      <c r="AE8" s="220">
        <f>COUNTIF(FilterList,rrcworking[[#This Row],[Magnum Wolfpak '#]])</f>
        <v>0</v>
      </c>
      <c r="AF8" s="217"/>
      <c r="AG8" s="218"/>
      <c r="AH8" s="37"/>
      <c r="AI8" s="37"/>
      <c r="AJ8" s="219"/>
      <c r="AK8" s="219"/>
      <c r="AL8" s="219"/>
      <c r="AM8" s="219"/>
      <c r="AN8" s="219"/>
      <c r="AO8" s="219"/>
      <c r="AP8" s="37" t="s">
        <v>1204</v>
      </c>
      <c r="AQ8" s="37" t="s">
        <v>1205</v>
      </c>
    </row>
    <row r="9" spans="3:43" ht="15" hidden="1">
      <c r="C9" s="80">
        <v>99267</v>
      </c>
      <c r="D9" s="62" t="s">
        <v>326</v>
      </c>
      <c r="E9" s="133" t="s">
        <v>327</v>
      </c>
      <c r="F9" s="131">
        <v>3</v>
      </c>
      <c r="G9" s="122" t="s">
        <v>1097</v>
      </c>
      <c r="H9" s="18" t="s">
        <v>622</v>
      </c>
      <c r="I9" s="18" t="s">
        <v>59</v>
      </c>
      <c r="J9" s="19" t="s">
        <v>566</v>
      </c>
      <c r="K9" s="103">
        <v>255119</v>
      </c>
      <c r="L9" s="101">
        <f>INDEX(Table1[Production],MATCH(rrcworking[[#This Row],[RRC ID Number]],Table1[RRC Identifier],0))</f>
        <v>0</v>
      </c>
      <c r="M9" s="30">
        <f>INDEX(Table1[Formation Production],MATCH(rrcworking[[#This Row],[RRC ID Number]],Table1[RRC Identifier],0))</f>
        <v>579</v>
      </c>
      <c r="N9" s="31">
        <f>INDEX(Table1[On Hand End of Month],MATCH(rrcworking[[#This Row],[RRC ID Number]],Table1[RRC Identifier],0))</f>
        <v>0</v>
      </c>
      <c r="O9" s="106" t="b">
        <f t="shared" si="0"/>
        <v>0</v>
      </c>
      <c r="P9" s="214"/>
      <c r="Q9" s="129">
        <f>rrcworking[[#This Row],[Last Month Closing Stock]]</f>
        <v>0</v>
      </c>
      <c r="R9" s="214"/>
      <c r="S9" s="148">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Production Vol]]-rrcworking[[#This Row],[Oil Production]]</f>
        <v>0</v>
      </c>
      <c r="V9" s="148">
        <f>IF(ISERROR(INDEX(Table2[GAS],MATCH(rrcworking[[#This Row],[Magnum Wolfpak '#]],Table2[Rox Wolf'#],0))),0,INDEX(Table2[GAS],MATCH(rrcworking[[#This Row],[Magnum Wolfpak '#]],Table2[Rox Wolf'#],0)))</f>
        <v>470</v>
      </c>
      <c r="W9" s="24"/>
      <c r="X9" s="137">
        <f>IF(rrcworking[[#This Row],[Pressure Base]]=14.73,rrcworking[[#This Row],[Gas Sales Statement Volume (MCF)]]*$R$2,rrcworking[[#This Row],[Gas Sales Statement Volume (MCF)]])</f>
        <v>470</v>
      </c>
      <c r="Y9" s="60"/>
      <c r="Z9" s="60"/>
      <c r="AA9" s="148">
        <f>IF(ISERROR(INDEX(Table2[LEASE USE],MATCH(rrcworking[[#This Row],[Magnum Wolfpak '#]],Table2[Rox Wolf'#],0))),0,INDEX(Table2[LEASE USE],MATCH(rrcworking[[#This Row],[Magnum Wolfpak '#]],Table2[Rox Wolf'#],0)))</f>
        <v>20</v>
      </c>
      <c r="AB9" s="57">
        <f>rrcworking[[#This Row],[Disposition Volume (MCF) @ 14.65 MCF]]+rrcworking[[#This Row],[Lease Use (MCF)]]</f>
        <v>490</v>
      </c>
      <c r="AC9" s="37"/>
      <c r="AD9" s="37"/>
      <c r="AE9" s="220">
        <f>COUNTIF(FilterList,rrcworking[[#This Row],[Magnum Wolfpak '#]])</f>
        <v>0</v>
      </c>
      <c r="AF9" s="217"/>
      <c r="AG9" s="218"/>
      <c r="AH9" s="37"/>
      <c r="AI9" s="37"/>
      <c r="AJ9" s="219"/>
      <c r="AK9" s="219"/>
      <c r="AL9" s="219"/>
      <c r="AM9" s="219"/>
      <c r="AN9" s="219"/>
      <c r="AO9" s="219"/>
      <c r="AP9" s="37" t="s">
        <v>1204</v>
      </c>
      <c r="AQ9" s="37" t="s">
        <v>1205</v>
      </c>
    </row>
    <row r="10" spans="3:43" ht="30" hidden="1">
      <c r="C10" s="80">
        <v>99229</v>
      </c>
      <c r="D10" s="62" t="s">
        <v>222</v>
      </c>
      <c r="E10" s="133" t="s">
        <v>223</v>
      </c>
      <c r="F10" s="131">
        <v>0</v>
      </c>
      <c r="G10" s="122" t="s">
        <v>1097</v>
      </c>
      <c r="H10" s="18" t="s">
        <v>621</v>
      </c>
      <c r="I10" s="18" t="s">
        <v>2</v>
      </c>
      <c r="J10" s="19" t="s">
        <v>501</v>
      </c>
      <c r="K10" s="103">
        <v>26834</v>
      </c>
      <c r="L10" s="101">
        <f>INDEX(Table1[Production],MATCH(rrcworking[[#This Row],[RRC ID Number]],Table1[RRC Identifier],0))</f>
        <v>460</v>
      </c>
      <c r="M10" s="30">
        <f>INDEX(Table1[Formation Production],MATCH(rrcworking[[#This Row],[RRC ID Number]],Table1[RRC Identifier],0))</f>
        <v>215</v>
      </c>
      <c r="N10" s="31">
        <f>INDEX(Table1[On Hand End of Month],MATCH(rrcworking[[#This Row],[RRC ID Number]],Table1[RRC Identifier],0))</f>
        <v>177</v>
      </c>
      <c r="O10" s="106" t="b">
        <f t="shared" si="0"/>
        <v>0</v>
      </c>
      <c r="P10" s="214">
        <v>481</v>
      </c>
      <c r="Q10" s="129">
        <f>rrcworking[[#This Row],[Last Month Closing Stock]]</f>
        <v>177</v>
      </c>
      <c r="R10" s="215">
        <v>129</v>
      </c>
      <c r="S10" s="148">
        <f>IF(ISERROR(INDEX(Table2[OIL],MATCH(rrcworking[[#This Row],[Magnum Wolfpak '#]],Table2[Rox Wolf'#],0))),0,INDEX(Table2[OIL],MATCH(rrcworking[[#This Row],[Magnum Wolfpak '#]],Table2[Rox Wolf'#],0)))</f>
        <v>540</v>
      </c>
      <c r="T10" s="35">
        <f>rrcworking[[#This Row],[Closing Stock (Oil)]]+rrcworking[[#This Row],[Sales/Dispostion]]-rrcworking[[#This Row],[Opening Oil Stock]]</f>
        <v>492</v>
      </c>
      <c r="U10" s="112">
        <f>rrcworking[[#This Row],[Gauge Sheet Production Vol]]-rrcworking[[#This Row],[Oil Production]]</f>
        <v>-11</v>
      </c>
      <c r="V10" s="148">
        <f>IF(ISERROR(INDEX(Table2[GAS],MATCH(rrcworking[[#This Row],[Magnum Wolfpak '#]],Table2[Rox Wolf'#],0))),0,INDEX(Table2[GAS],MATCH(rrcworking[[#This Row],[Magnum Wolfpak '#]],Table2[Rox Wolf'#],0)))</f>
        <v>384</v>
      </c>
      <c r="W10" s="24"/>
      <c r="X10" s="137">
        <f>IF(rrcworking[[#This Row],[Pressure Base]]=14.73,rrcworking[[#This Row],[Gas Sales Statement Volume (MCF)]]*$R$2,rrcworking[[#This Row],[Gas Sales Statement Volume (MCF)]])</f>
        <v>384</v>
      </c>
      <c r="Y10" s="85"/>
      <c r="Z10" s="60">
        <v>1</v>
      </c>
      <c r="AA10" s="148">
        <f>IF(ISERROR(INDEX(Table2[LEASE USE],MATCH(rrcworking[[#This Row],[Magnum Wolfpak '#]],Table2[Rox Wolf'#],0))),0,INDEX(Table2[LEASE USE],MATCH(rrcworking[[#This Row],[Magnum Wolfpak '#]],Table2[Rox Wolf'#],0)))</f>
        <v>30</v>
      </c>
      <c r="AB10" s="57">
        <f>rrcworking[[#This Row],[Disposition Volume (MCF) @ 14.65 MCF]]+rrcworking[[#This Row],[Lease Use (MCF)]]</f>
        <v>414</v>
      </c>
      <c r="AC10" s="37"/>
      <c r="AD10" s="37"/>
      <c r="AE10" s="220">
        <f>COUNTIF(FilterList,rrcworking[[#This Row],[Magnum Wolfpak '#]])</f>
        <v>0</v>
      </c>
      <c r="AF10" s="217"/>
      <c r="AG10" s="218"/>
      <c r="AH10" s="37">
        <v>481</v>
      </c>
      <c r="AI10" s="218">
        <v>129</v>
      </c>
      <c r="AJ10" s="219">
        <v>3</v>
      </c>
      <c r="AK10" s="219" t="s">
        <v>1152</v>
      </c>
      <c r="AL10" s="219" t="s">
        <v>1152</v>
      </c>
      <c r="AM10" s="219" t="s">
        <v>1207</v>
      </c>
      <c r="AN10" s="219" t="s">
        <v>1206</v>
      </c>
      <c r="AO10" s="219" t="s">
        <v>1208</v>
      </c>
      <c r="AP10" s="37" t="s">
        <v>1204</v>
      </c>
      <c r="AQ10" s="37" t="s">
        <v>1209</v>
      </c>
    </row>
    <row r="11" spans="3:43" ht="15" hidden="1">
      <c r="C11" s="80" t="e">
        <v>#N/A</v>
      </c>
      <c r="D11" s="62" t="s">
        <v>226</v>
      </c>
      <c r="E11" s="133" t="s">
        <v>223</v>
      </c>
      <c r="F11" s="131" t="s">
        <v>227</v>
      </c>
      <c r="G11" s="122" t="s">
        <v>1097</v>
      </c>
      <c r="H11" s="18" t="s">
        <v>621</v>
      </c>
      <c r="I11" s="18" t="s">
        <v>59</v>
      </c>
      <c r="J11" s="19" t="s">
        <v>503</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214"/>
      <c r="Q11" s="129">
        <f>rrcworking[[#This Row],[Last Month Closing Stock]]</f>
        <v>0</v>
      </c>
      <c r="R11" s="214"/>
      <c r="S11" s="148">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Production Vol]]-rrcworking[[#This Row],[Oil Production]]</f>
        <v>0</v>
      </c>
      <c r="V11" s="148">
        <f>IF(ISERROR(INDEX(Table2[GAS],MATCH(rrcworking[[#This Row],[Magnum Wolfpak '#]],Table2[Rox Wolf'#],0))),0,INDEX(Table2[GAS],MATCH(rrcworking[[#This Row],[Magnum Wolfpak '#]],Table2[Rox Wolf'#],0)))</f>
        <v>0</v>
      </c>
      <c r="W11" s="24"/>
      <c r="X11" s="137">
        <f>IF(rrcworking[[#This Row],[Pressure Base]]=14.73,rrcworking[[#This Row],[Gas Sales Statement Volume (MCF)]]*$R$2,rrcworking[[#This Row],[Gas Sales Statement Volume (MCF)]])</f>
        <v>0</v>
      </c>
      <c r="Y11" s="60"/>
      <c r="Z11" s="60"/>
      <c r="AA11" s="148">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220">
        <f>COUNTIF(FilterList,rrcworking[[#This Row],[Magnum Wolfpak '#]])</f>
        <v>0</v>
      </c>
      <c r="AF11" s="217"/>
      <c r="AG11" s="218"/>
      <c r="AH11" s="37"/>
      <c r="AI11" s="37"/>
      <c r="AJ11" s="37"/>
      <c r="AK11" s="37"/>
      <c r="AL11" s="37"/>
      <c r="AM11" s="37"/>
      <c r="AN11" s="37"/>
      <c r="AO11" s="37"/>
      <c r="AP11" s="37"/>
      <c r="AQ11" s="37"/>
    </row>
    <row r="12" spans="3:43" ht="15" hidden="1">
      <c r="C12" s="80" t="e">
        <v>#N/A</v>
      </c>
      <c r="D12" s="62" t="s">
        <v>146</v>
      </c>
      <c r="E12" s="133" t="s">
        <v>147</v>
      </c>
      <c r="F12" s="131">
        <v>0</v>
      </c>
      <c r="G12" s="122" t="s">
        <v>1097</v>
      </c>
      <c r="H12" s="18" t="s">
        <v>621</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214"/>
      <c r="Q12" s="129">
        <f>rrcworking[[#This Row],[Last Month Closing Stock]]</f>
        <v>0</v>
      </c>
      <c r="R12" s="214"/>
      <c r="S12" s="148">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Production Vol]]-rrcworking[[#This Row],[Oil Production]]</f>
        <v>0</v>
      </c>
      <c r="V12" s="148">
        <f>IF(ISERROR(INDEX(Table2[GAS],MATCH(rrcworking[[#This Row],[Magnum Wolfpak '#]],Table2[Rox Wolf'#],0))),0,INDEX(Table2[GAS],MATCH(rrcworking[[#This Row],[Magnum Wolfpak '#]],Table2[Rox Wolf'#],0)))</f>
        <v>0</v>
      </c>
      <c r="W12" s="24"/>
      <c r="X12" s="137">
        <f>IF(rrcworking[[#This Row],[Pressure Base]]=14.73,rrcworking[[#This Row],[Gas Sales Statement Volume (MCF)]]*$R$2,rrcworking[[#This Row],[Gas Sales Statement Volume (MCF)]])</f>
        <v>0</v>
      </c>
      <c r="Y12" s="60"/>
      <c r="Z12" s="60"/>
      <c r="AA12" s="148">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220">
        <f>COUNTIF(FilterList,rrcworking[[#This Row],[Magnum Wolfpak '#]])</f>
        <v>0</v>
      </c>
      <c r="AF12" s="217"/>
      <c r="AG12" s="218"/>
      <c r="AH12" s="37"/>
      <c r="AI12" s="37"/>
      <c r="AJ12" s="37"/>
      <c r="AK12" s="37"/>
      <c r="AL12" s="37"/>
      <c r="AM12" s="37"/>
      <c r="AN12" s="37"/>
      <c r="AO12" s="37"/>
      <c r="AP12" s="37"/>
      <c r="AQ12" s="37"/>
    </row>
    <row r="13" spans="3:43" ht="30" hidden="1">
      <c r="C13" s="80">
        <v>93701</v>
      </c>
      <c r="D13" s="62" t="s">
        <v>93</v>
      </c>
      <c r="E13" s="133" t="s">
        <v>94</v>
      </c>
      <c r="F13" s="131">
        <v>1</v>
      </c>
      <c r="G13" s="122" t="s">
        <v>1097</v>
      </c>
      <c r="H13" s="18" t="s">
        <v>620</v>
      </c>
      <c r="I13" s="18" t="s">
        <v>59</v>
      </c>
      <c r="J13" s="19" t="s">
        <v>424</v>
      </c>
      <c r="K13" s="103">
        <v>207897</v>
      </c>
      <c r="L13" s="101">
        <f>INDEX(Table1[Production],MATCH(rrcworking[[#This Row],[RRC ID Number]],Table1[RRC Identifier],0))</f>
        <v>0</v>
      </c>
      <c r="M13" s="30">
        <f>INDEX(Table1[Formation Production],MATCH(rrcworking[[#This Row],[RRC ID Number]],Table1[RRC Identifier],0))</f>
        <v>14</v>
      </c>
      <c r="N13" s="31">
        <f>INDEX(Table1[On Hand End of Month],MATCH(rrcworking[[#This Row],[RRC ID Number]],Table1[RRC Identifier],0))</f>
        <v>0</v>
      </c>
      <c r="O13" s="106" t="b">
        <f t="shared" si="0"/>
        <v>0</v>
      </c>
      <c r="P13" s="214">
        <v>0</v>
      </c>
      <c r="Q13" s="129">
        <f>rrcworking[[#This Row],[Last Month Closing Stock]]</f>
        <v>0</v>
      </c>
      <c r="R13" s="214">
        <v>0</v>
      </c>
      <c r="S13" s="148">
        <f>IF(ISERROR(INDEX(Table2[OIL],MATCH(rrcworking[[#This Row],[Magnum Wolfpak '#]],Table2[Rox Wolf'#],0))),0,INDEX(Table2[OIL],MATCH(rrcworking[[#This Row],[Magnum Wolfpak '#]],Table2[Rox Wolf'#],0)))</f>
        <v>0</v>
      </c>
      <c r="T13" s="35">
        <f>rrcworking[[#This Row],[Closing Stock (Oil)]]+rrcworking[[#This Row],[Sales/Dispostion]]-rrcworking[[#This Row],[Opening Oil Stock]]</f>
        <v>0</v>
      </c>
      <c r="U13" s="112">
        <f>rrcworking[[#This Row],[Gauge Sheet Production Vol]]-rrcworking[[#This Row],[Oil Production]]</f>
        <v>0</v>
      </c>
      <c r="V13" s="148">
        <f>IF(ISERROR(INDEX(Table2[GAS],MATCH(rrcworking[[#This Row],[Magnum Wolfpak '#]],Table2[Rox Wolf'#],0))),0,INDEX(Table2[GAS],MATCH(rrcworking[[#This Row],[Magnum Wolfpak '#]],Table2[Rox Wolf'#],0)))</f>
        <v>6</v>
      </c>
      <c r="W13" s="24"/>
      <c r="X13" s="137">
        <f>IF(rrcworking[[#This Row],[Pressure Base]]=14.73,rrcworking[[#This Row],[Gas Sales Statement Volume (MCF)]]*$R$2,rrcworking[[#This Row],[Gas Sales Statement Volume (MCF)]])</f>
        <v>6</v>
      </c>
      <c r="Y13" s="60"/>
      <c r="Z13" s="60"/>
      <c r="AA13" s="148">
        <f>IF(ISERROR(INDEX(Table2[LEASE USE],MATCH(rrcworking[[#This Row],[Magnum Wolfpak '#]],Table2[Rox Wolf'#],0))),0,INDEX(Table2[LEASE USE],MATCH(rrcworking[[#This Row],[Magnum Wolfpak '#]],Table2[Rox Wolf'#],0)))</f>
        <v>0</v>
      </c>
      <c r="AB13" s="57">
        <f>rrcworking[[#This Row],[Disposition Volume (MCF) @ 14.65 MCF]]+rrcworking[[#This Row],[Lease Use (MCF)]]</f>
        <v>6</v>
      </c>
      <c r="AC13" s="37"/>
      <c r="AD13" s="37"/>
      <c r="AE13" s="220">
        <f>COUNTIF(FilterList,rrcworking[[#This Row],[Magnum Wolfpak '#]])</f>
        <v>0</v>
      </c>
      <c r="AF13" s="217"/>
      <c r="AG13" s="218"/>
      <c r="AH13" s="37"/>
      <c r="AI13" s="37"/>
      <c r="AJ13" s="37"/>
      <c r="AK13" s="37"/>
      <c r="AL13" s="37"/>
      <c r="AM13" s="37"/>
      <c r="AN13" s="37"/>
      <c r="AO13" s="37"/>
      <c r="AP13" s="37" t="s">
        <v>1204</v>
      </c>
      <c r="AQ13" s="37" t="s">
        <v>1210</v>
      </c>
    </row>
    <row r="14" spans="3:43" ht="15" hidden="1">
      <c r="C14" s="80" t="e">
        <v>#N/A</v>
      </c>
      <c r="D14" s="62" t="s">
        <v>303</v>
      </c>
      <c r="E14" s="133" t="s">
        <v>304</v>
      </c>
      <c r="F14" s="131">
        <v>0</v>
      </c>
      <c r="G14" s="122" t="s">
        <v>1097</v>
      </c>
      <c r="H14" s="18" t="s">
        <v>621</v>
      </c>
      <c r="I14" s="18" t="s">
        <v>2</v>
      </c>
      <c r="J14" s="19" t="s">
        <v>551</v>
      </c>
      <c r="K14" s="103">
        <v>22499</v>
      </c>
      <c r="L14" s="101">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6" t="b">
        <f t="shared" si="0"/>
        <v>1</v>
      </c>
      <c r="P14" s="214"/>
      <c r="Q14" s="129">
        <f>rrcworking[[#This Row],[Last Month Closing Stock]]</f>
        <v>0</v>
      </c>
      <c r="R14" s="214"/>
      <c r="S14" s="148">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Production Vol]]-rrcworking[[#This Row],[Oil Production]]</f>
        <v>0</v>
      </c>
      <c r="V14" s="148">
        <f>IF(ISERROR(INDEX(Table2[GAS],MATCH(rrcworking[[#This Row],[Magnum Wolfpak '#]],Table2[Rox Wolf'#],0))),0,INDEX(Table2[GAS],MATCH(rrcworking[[#This Row],[Magnum Wolfpak '#]],Table2[Rox Wolf'#],0)))</f>
        <v>0</v>
      </c>
      <c r="W14" s="24"/>
      <c r="X14" s="137">
        <f>IF(rrcworking[[#This Row],[Pressure Base]]=14.73,rrcworking[[#This Row],[Gas Sales Statement Volume (MCF)]]*$R$2,rrcworking[[#This Row],[Gas Sales Statement Volume (MCF)]])</f>
        <v>0</v>
      </c>
      <c r="Y14" s="60"/>
      <c r="Z14" s="60"/>
      <c r="AA14" s="148">
        <f>IF(ISERROR(INDEX(Table2[LEASE USE],MATCH(rrcworking[[#This Row],[Magnum Wolfpak '#]],Table2[Rox Wolf'#],0))),0,INDEX(Table2[LEASE USE],MATCH(rrcworking[[#This Row],[Magnum Wolfpak '#]],Table2[Rox Wolf'#],0)))</f>
        <v>0</v>
      </c>
      <c r="AB14" s="57">
        <f>rrcworking[[#This Row],[Disposition Volume (MCF) @ 14.65 MCF]]+rrcworking[[#This Row],[Lease Use (MCF)]]</f>
        <v>0</v>
      </c>
      <c r="AC14" s="37"/>
      <c r="AD14" s="37"/>
      <c r="AE14" s="220">
        <f>COUNTIF(FilterList,rrcworking[[#This Row],[Magnum Wolfpak '#]])</f>
        <v>0</v>
      </c>
      <c r="AF14" s="217"/>
      <c r="AG14" s="218"/>
      <c r="AH14" s="37"/>
      <c r="AI14" s="37"/>
      <c r="AJ14" s="37"/>
      <c r="AK14" s="37"/>
      <c r="AL14" s="37"/>
      <c r="AM14" s="37"/>
      <c r="AN14" s="37"/>
      <c r="AO14" s="37"/>
      <c r="AP14" s="37"/>
      <c r="AQ14" s="37"/>
    </row>
    <row r="15" spans="3:43" ht="15" hidden="1">
      <c r="C15" s="80" t="e">
        <v>#N/A</v>
      </c>
      <c r="D15" s="62" t="s">
        <v>74</v>
      </c>
      <c r="E15" s="133" t="s">
        <v>75</v>
      </c>
      <c r="F15" s="131" t="s">
        <v>76</v>
      </c>
      <c r="G15" s="122" t="s">
        <v>1097</v>
      </c>
      <c r="H15" s="18" t="s">
        <v>620</v>
      </c>
      <c r="I15" s="18" t="s">
        <v>59</v>
      </c>
      <c r="J15" s="19" t="s">
        <v>416</v>
      </c>
      <c r="K15" s="103">
        <v>127436</v>
      </c>
      <c r="L15" s="144">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214"/>
      <c r="Q15" s="129">
        <f>rrcworking[[#This Row],[Last Month Closing Stock]]</f>
        <v>0</v>
      </c>
      <c r="R15" s="214"/>
      <c r="S15" s="148">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Production Vol]]-rrcworking[[#This Row],[Oil Production]]</f>
        <v>0</v>
      </c>
      <c r="V15" s="148">
        <f>IF(ISERROR(INDEX(Table2[GAS],MATCH(rrcworking[[#This Row],[Magnum Wolfpak '#]],Table2[Rox Wolf'#],0))),0,INDEX(Table2[GAS],MATCH(rrcworking[[#This Row],[Magnum Wolfpak '#]],Table2[Rox Wolf'#],0)))</f>
        <v>0</v>
      </c>
      <c r="W15" s="24"/>
      <c r="X15" s="137">
        <f>IF(rrcworking[[#This Row],[Pressure Base]]=14.73,rrcworking[[#This Row],[Gas Sales Statement Volume (MCF)]]*$R$2,rrcworking[[#This Row],[Gas Sales Statement Volume (MCF)]])</f>
        <v>0</v>
      </c>
      <c r="Y15" s="60"/>
      <c r="Z15" s="60"/>
      <c r="AA15" s="148">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220">
        <f>COUNTIF(FilterList,rrcworking[[#This Row],[Magnum Wolfpak '#]])</f>
        <v>0</v>
      </c>
      <c r="AF15" s="217"/>
      <c r="AG15" s="218"/>
      <c r="AH15" s="37"/>
      <c r="AI15" s="37"/>
      <c r="AJ15" s="37"/>
      <c r="AK15" s="37"/>
      <c r="AL15" s="37"/>
      <c r="AM15" s="37"/>
      <c r="AN15" s="37"/>
      <c r="AO15" s="37"/>
      <c r="AP15" s="37"/>
      <c r="AQ15" s="37"/>
    </row>
    <row r="16" spans="3:43" ht="30">
      <c r="C16" s="80">
        <v>99230</v>
      </c>
      <c r="D16" s="62" t="s">
        <v>172</v>
      </c>
      <c r="E16" s="134" t="s">
        <v>171</v>
      </c>
      <c r="F16" s="131">
        <v>2</v>
      </c>
      <c r="G16" s="122" t="s">
        <v>1097</v>
      </c>
      <c r="H16" s="18" t="s">
        <v>621</v>
      </c>
      <c r="I16" s="18" t="s">
        <v>59</v>
      </c>
      <c r="J16" s="19" t="s">
        <v>473</v>
      </c>
      <c r="K16" s="103">
        <v>279199</v>
      </c>
      <c r="L16" s="101">
        <f>INDEX(Table1[Production],MATCH(rrcworking[[#This Row],[RRC ID Number]],Table1[RRC Identifier],0))</f>
        <v>77</v>
      </c>
      <c r="M16" s="30">
        <f>INDEX(Table1[Formation Production],MATCH(rrcworking[[#This Row],[RRC ID Number]],Table1[RRC Identifier],0))</f>
        <v>485</v>
      </c>
      <c r="N16" s="31">
        <f>INDEX(Table1[On Hand End of Month],MATCH(rrcworking[[#This Row],[RRC ID Number]],Table1[RRC Identifier],0))</f>
        <v>127</v>
      </c>
      <c r="O16" s="106" t="b">
        <f t="shared" si="0"/>
        <v>0</v>
      </c>
      <c r="P16" s="214">
        <v>87</v>
      </c>
      <c r="Q16" s="129">
        <f>rrcworking[[#This Row],[Last Month Closing Stock]]</f>
        <v>127</v>
      </c>
      <c r="R16" s="215">
        <v>27</v>
      </c>
      <c r="S16" s="148">
        <f>IF(ISERROR(INDEX(Table2[OIL],MATCH(rrcworking[[#This Row],[Magnum Wolfpak '#]],Table2[Rox Wolf'#],0))),0,INDEX(Table2[OIL],MATCH(rrcworking[[#This Row],[Magnum Wolfpak '#]],Table2[Rox Wolf'#],0)))</f>
        <v>188</v>
      </c>
      <c r="T16" s="35">
        <f>rrcworking[[#This Row],[Closing Stock (Oil)]]+rrcworking[[#This Row],[Sales/Dispostion]]-rrcworking[[#This Row],[Opening Oil Stock]]</f>
        <v>88</v>
      </c>
      <c r="U16" s="112">
        <f>rrcworking[[#This Row],[Gauge Sheet Production Vol]]-rrcworking[[#This Row],[Oil Production]]</f>
        <v>-1</v>
      </c>
      <c r="V16" s="148">
        <f>IF(ISERROR(INDEX(Table2[GAS],MATCH(rrcworking[[#This Row],[Magnum Wolfpak '#]],Table2[Rox Wolf'#],0))),0,INDEX(Table2[GAS],MATCH(rrcworking[[#This Row],[Magnum Wolfpak '#]],Table2[Rox Wolf'#],0)))</f>
        <v>363</v>
      </c>
      <c r="W16" s="24"/>
      <c r="X16" s="137">
        <f>IF(rrcworking[[#This Row],[Pressure Base]]=14.73,rrcworking[[#This Row],[Gas Sales Statement Volume (MCF)]]*$R$2,rrcworking[[#This Row],[Gas Sales Statement Volume (MCF)]])</f>
        <v>363</v>
      </c>
      <c r="Y16" s="60"/>
      <c r="Z16" s="60"/>
      <c r="AA16" s="148">
        <f>IF(ISERROR(INDEX(Table2[LEASE USE],MATCH(rrcworking[[#This Row],[Magnum Wolfpak '#]],Table2[Rox Wolf'#],0))),0,INDEX(Table2[LEASE USE],MATCH(rrcworking[[#This Row],[Magnum Wolfpak '#]],Table2[Rox Wolf'#],0)))</f>
        <v>0</v>
      </c>
      <c r="AB16" s="57">
        <f>rrcworking[[#This Row],[Disposition Volume (MCF) @ 14.65 MCF]]+rrcworking[[#This Row],[Lease Use (MCF)]]</f>
        <v>363</v>
      </c>
      <c r="AC16" s="37"/>
      <c r="AD16" s="37"/>
      <c r="AE16" s="220">
        <f>COUNTIF(FilterList,rrcworking[[#This Row],[Magnum Wolfpak '#]])</f>
        <v>0</v>
      </c>
      <c r="AF16" s="217"/>
      <c r="AG16" s="218"/>
      <c r="AH16" s="37">
        <v>87</v>
      </c>
      <c r="AI16" s="218">
        <v>27</v>
      </c>
      <c r="AJ16" s="37">
        <v>1</v>
      </c>
      <c r="AK16" s="37" t="s">
        <v>1152</v>
      </c>
      <c r="AL16" s="37" t="s">
        <v>1152</v>
      </c>
      <c r="AM16" s="37" t="s">
        <v>1211</v>
      </c>
      <c r="AN16" s="37" t="s">
        <v>1152</v>
      </c>
      <c r="AO16" s="37" t="s">
        <v>1212</v>
      </c>
      <c r="AP16" s="37" t="s">
        <v>1213</v>
      </c>
      <c r="AQ16" s="37" t="s">
        <v>1214</v>
      </c>
    </row>
    <row r="17" spans="3:43" ht="15" hidden="1">
      <c r="C17" s="80" t="e">
        <v>#N/A</v>
      </c>
      <c r="D17" s="62" t="s">
        <v>170</v>
      </c>
      <c r="E17" s="133" t="s">
        <v>171</v>
      </c>
      <c r="F17" s="131">
        <v>1</v>
      </c>
      <c r="G17" s="122" t="s">
        <v>1097</v>
      </c>
      <c r="H17" s="18" t="s">
        <v>621</v>
      </c>
      <c r="I17" s="18" t="s">
        <v>59</v>
      </c>
      <c r="J17" s="19" t="s">
        <v>472</v>
      </c>
      <c r="K17" s="103">
        <v>272614</v>
      </c>
      <c r="L17" s="101">
        <f>INDEX(Table1[Production],MATCH(rrcworking[[#This Row],[RRC ID Number]],Table1[RRC Identifier],0))</f>
        <v>0</v>
      </c>
      <c r="M17" s="30">
        <f>INDEX(Table1[Formation Production],MATCH(rrcworking[[#This Row],[RRC ID Number]],Table1[RRC Identifier],0))</f>
        <v>0</v>
      </c>
      <c r="N17" s="31">
        <f>INDEX(Table1[On Hand End of Month],MATCH(rrcworking[[#This Row],[RRC ID Number]],Table1[RRC Identifier],0))</f>
        <v>0</v>
      </c>
      <c r="O17" s="106" t="b">
        <f t="shared" si="0"/>
        <v>1</v>
      </c>
      <c r="P17" s="214"/>
      <c r="Q17" s="129">
        <f>rrcworking[[#This Row],[Last Month Closing Stock]]</f>
        <v>0</v>
      </c>
      <c r="R17" s="214"/>
      <c r="S17" s="148">
        <f>IF(ISERROR(INDEX(Table2[OIL],MATCH(rrcworking[[#This Row],[Magnum Wolfpak '#]],Table2[Rox Wolf'#],0))),0,INDEX(Table2[OIL],MATCH(rrcworking[[#This Row],[Magnum Wolfpak '#]],Table2[Rox Wolf'#],0)))</f>
        <v>0</v>
      </c>
      <c r="T17" s="35">
        <f>rrcworking[[#This Row],[Closing Stock (Oil)]]+rrcworking[[#This Row],[Sales/Dispostion]]-rrcworking[[#This Row],[Opening Oil Stock]]</f>
        <v>0</v>
      </c>
      <c r="U17" s="112">
        <f>rrcworking[[#This Row],[Gauge Sheet Production Vol]]-rrcworking[[#This Row],[Oil Production]]</f>
        <v>0</v>
      </c>
      <c r="V17" s="148">
        <f>IF(ISERROR(INDEX(Table2[GAS],MATCH(rrcworking[[#This Row],[Magnum Wolfpak '#]],Table2[Rox Wolf'#],0))),0,INDEX(Table2[GAS],MATCH(rrcworking[[#This Row],[Magnum Wolfpak '#]],Table2[Rox Wolf'#],0)))</f>
        <v>0</v>
      </c>
      <c r="W17" s="24"/>
      <c r="X17" s="137">
        <f>IF(rrcworking[[#This Row],[Pressure Base]]=14.73,rrcworking[[#This Row],[Gas Sales Statement Volume (MCF)]]*$R$2,rrcworking[[#This Row],[Gas Sales Statement Volume (MCF)]])</f>
        <v>0</v>
      </c>
      <c r="Y17" s="60"/>
      <c r="Z17" s="60"/>
      <c r="AA17" s="148">
        <f>IF(ISERROR(INDEX(Table2[LEASE USE],MATCH(rrcworking[[#This Row],[Magnum Wolfpak '#]],Table2[Rox Wolf'#],0))),0,INDEX(Table2[LEASE USE],MATCH(rrcworking[[#This Row],[Magnum Wolfpak '#]],Table2[Rox Wolf'#],0)))</f>
        <v>0</v>
      </c>
      <c r="AB17" s="57">
        <f>rrcworking[[#This Row],[Disposition Volume (MCF) @ 14.65 MCF]]+rrcworking[[#This Row],[Lease Use (MCF)]]</f>
        <v>0</v>
      </c>
      <c r="AC17" s="37"/>
      <c r="AD17" s="37"/>
      <c r="AE17" s="220">
        <f>COUNTIF(FilterList,rrcworking[[#This Row],[Magnum Wolfpak '#]])</f>
        <v>0</v>
      </c>
      <c r="AF17" s="217"/>
      <c r="AG17" s="218"/>
      <c r="AH17" s="37"/>
      <c r="AI17" s="37"/>
      <c r="AJ17" s="37"/>
      <c r="AK17" s="37"/>
      <c r="AL17" s="37"/>
      <c r="AM17" s="37"/>
      <c r="AN17" s="37"/>
      <c r="AO17" s="37"/>
      <c r="AP17" s="37"/>
      <c r="AQ17" s="37"/>
    </row>
    <row r="18" spans="3:43" ht="15" hidden="1">
      <c r="C18" s="80" t="e">
        <v>#N/A</v>
      </c>
      <c r="D18" s="62" t="s">
        <v>85</v>
      </c>
      <c r="E18" s="133" t="s">
        <v>87</v>
      </c>
      <c r="F18" s="131">
        <v>1</v>
      </c>
      <c r="G18" s="122" t="s">
        <v>1097</v>
      </c>
      <c r="H18" s="18" t="s">
        <v>620</v>
      </c>
      <c r="I18" s="18" t="s">
        <v>59</v>
      </c>
      <c r="J18" s="19" t="s">
        <v>421</v>
      </c>
      <c r="K18" s="103">
        <v>200525</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214"/>
      <c r="Q18" s="129">
        <f>rrcworking[[#This Row],[Last Month Closing Stock]]</f>
        <v>0</v>
      </c>
      <c r="R18" s="214"/>
      <c r="S18" s="148">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Production Vol]]-rrcworking[[#This Row],[Oil Production]]</f>
        <v>0</v>
      </c>
      <c r="V18" s="148">
        <f>IF(ISERROR(INDEX(Table2[GAS],MATCH(rrcworking[[#This Row],[Magnum Wolfpak '#]],Table2[Rox Wolf'#],0))),0,INDEX(Table2[GAS],MATCH(rrcworking[[#This Row],[Magnum Wolfpak '#]],Table2[Rox Wolf'#],0)))</f>
        <v>0</v>
      </c>
      <c r="W18" s="24"/>
      <c r="X18" s="137">
        <f>IF(rrcworking[[#This Row],[Pressure Base]]=14.73,rrcworking[[#This Row],[Gas Sales Statement Volume (MCF)]]*$R$2,rrcworking[[#This Row],[Gas Sales Statement Volume (MCF)]])</f>
        <v>0</v>
      </c>
      <c r="Y18" s="60"/>
      <c r="Z18" s="60"/>
      <c r="AA18" s="148">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220">
        <f>COUNTIF(FilterList,rrcworking[[#This Row],[Magnum Wolfpak '#]])</f>
        <v>0</v>
      </c>
      <c r="AF18" s="217"/>
      <c r="AG18" s="218"/>
      <c r="AH18" s="37"/>
      <c r="AI18" s="37"/>
      <c r="AJ18" s="37"/>
      <c r="AK18" s="37"/>
      <c r="AL18" s="37"/>
      <c r="AM18" s="37"/>
      <c r="AN18" s="37"/>
      <c r="AO18" s="37"/>
      <c r="AP18" s="37"/>
      <c r="AQ18" s="37"/>
    </row>
    <row r="19" spans="3:43" ht="15" hidden="1">
      <c r="C19" s="80" t="e">
        <v>#N/A</v>
      </c>
      <c r="D19" s="62" t="s">
        <v>380</v>
      </c>
      <c r="E19" s="133" t="s">
        <v>381</v>
      </c>
      <c r="F19" s="131">
        <v>0</v>
      </c>
      <c r="G19" s="122" t="s">
        <v>1097</v>
      </c>
      <c r="H19" s="18" t="s">
        <v>622</v>
      </c>
      <c r="I19" s="18" t="s">
        <v>2</v>
      </c>
      <c r="J19" s="19" t="s">
        <v>596</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214"/>
      <c r="Q19" s="129">
        <f>rrcworking[[#This Row],[Last Month Closing Stock]]</f>
        <v>0</v>
      </c>
      <c r="R19" s="214"/>
      <c r="S19" s="148">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Production Vol]]-rrcworking[[#This Row],[Oil Production]]</f>
        <v>0</v>
      </c>
      <c r="V19" s="148">
        <f>IF(ISERROR(INDEX(Table2[GAS],MATCH(rrcworking[[#This Row],[Magnum Wolfpak '#]],Table2[Rox Wolf'#],0))),0,INDEX(Table2[GAS],MATCH(rrcworking[[#This Row],[Magnum Wolfpak '#]],Table2[Rox Wolf'#],0)))</f>
        <v>0</v>
      </c>
      <c r="W19" s="24"/>
      <c r="X19" s="137">
        <f>IF(rrcworking[[#This Row],[Pressure Base]]=14.73,rrcworking[[#This Row],[Gas Sales Statement Volume (MCF)]]*$R$2,rrcworking[[#This Row],[Gas Sales Statement Volume (MCF)]])</f>
        <v>0</v>
      </c>
      <c r="Y19" s="60"/>
      <c r="Z19" s="60"/>
      <c r="AA19" s="148">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220">
        <f>COUNTIF(FilterList,rrcworking[[#This Row],[Magnum Wolfpak '#]])</f>
        <v>0</v>
      </c>
      <c r="AF19" s="217"/>
      <c r="AG19" s="218"/>
      <c r="AH19" s="37"/>
      <c r="AI19" s="37"/>
      <c r="AJ19" s="37"/>
      <c r="AK19" s="37"/>
      <c r="AL19" s="37"/>
      <c r="AM19" s="37"/>
      <c r="AN19" s="37"/>
      <c r="AO19" s="37"/>
      <c r="AP19" s="37"/>
      <c r="AQ19" s="37"/>
    </row>
    <row r="20" spans="3:43" ht="15" hidden="1">
      <c r="C20" s="80" t="e">
        <v>#N/A</v>
      </c>
      <c r="D20" s="62" t="s">
        <v>382</v>
      </c>
      <c r="E20" s="133" t="s">
        <v>384</v>
      </c>
      <c r="F20" s="131">
        <v>0</v>
      </c>
      <c r="G20" s="122" t="s">
        <v>1097</v>
      </c>
      <c r="H20" s="18" t="s">
        <v>622</v>
      </c>
      <c r="I20" s="18" t="s">
        <v>2</v>
      </c>
      <c r="J20" s="19" t="s">
        <v>598</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214"/>
      <c r="Q20" s="129">
        <f>rrcworking[[#This Row],[Last Month Closing Stock]]</f>
        <v>0</v>
      </c>
      <c r="R20" s="214"/>
      <c r="S20" s="148">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Production Vol]]-rrcworking[[#This Row],[Oil Production]]</f>
        <v>0</v>
      </c>
      <c r="V20" s="148">
        <f>IF(ISERROR(INDEX(Table2[GAS],MATCH(rrcworking[[#This Row],[Magnum Wolfpak '#]],Table2[Rox Wolf'#],0))),0,INDEX(Table2[GAS],MATCH(rrcworking[[#This Row],[Magnum Wolfpak '#]],Table2[Rox Wolf'#],0)))</f>
        <v>0</v>
      </c>
      <c r="W20" s="24"/>
      <c r="X20" s="137">
        <f>IF(rrcworking[[#This Row],[Pressure Base]]=14.73,rrcworking[[#This Row],[Gas Sales Statement Volume (MCF)]]*$R$2,rrcworking[[#This Row],[Gas Sales Statement Volume (MCF)]])</f>
        <v>0</v>
      </c>
      <c r="Y20" s="60"/>
      <c r="Z20" s="60"/>
      <c r="AA20" s="148">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220">
        <f>COUNTIF(FilterList,rrcworking[[#This Row],[Magnum Wolfpak '#]])</f>
        <v>0</v>
      </c>
      <c r="AF20" s="217"/>
      <c r="AG20" s="218"/>
      <c r="AH20" s="37"/>
      <c r="AI20" s="37"/>
      <c r="AJ20" s="37"/>
      <c r="AK20" s="37"/>
      <c r="AL20" s="37"/>
      <c r="AM20" s="37"/>
      <c r="AN20" s="37"/>
      <c r="AO20" s="37"/>
      <c r="AP20" s="37"/>
      <c r="AQ20" s="37"/>
    </row>
    <row r="21" spans="3:43" ht="15" hidden="1">
      <c r="C21" s="80">
        <v>98201</v>
      </c>
      <c r="D21" s="62" t="s">
        <v>130</v>
      </c>
      <c r="E21" s="133" t="s">
        <v>131</v>
      </c>
      <c r="F21" s="131">
        <v>1</v>
      </c>
      <c r="G21" s="122" t="s">
        <v>1097</v>
      </c>
      <c r="H21" s="18" t="s">
        <v>620</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214">
        <v>0</v>
      </c>
      <c r="Q21" s="129">
        <f>rrcworking[[#This Row],[Last Month Closing Stock]]</f>
        <v>166</v>
      </c>
      <c r="R21" s="215">
        <v>166</v>
      </c>
      <c r="S21" s="148">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Production Vol]]-rrcworking[[#This Row],[Oil Production]]</f>
        <v>0</v>
      </c>
      <c r="V21" s="148">
        <f>IF(ISERROR(INDEX(Table2[GAS],MATCH(rrcworking[[#This Row],[Magnum Wolfpak '#]],Table2[Rox Wolf'#],0))),0,INDEX(Table2[GAS],MATCH(rrcworking[[#This Row],[Magnum Wolfpak '#]],Table2[Rox Wolf'#],0)))</f>
        <v>0</v>
      </c>
      <c r="W21" s="24"/>
      <c r="X21" s="137">
        <f>IF(rrcworking[[#This Row],[Pressure Base]]=14.73,rrcworking[[#This Row],[Gas Sales Statement Volume (MCF)]]*$R$2,rrcworking[[#This Row],[Gas Sales Statement Volume (MCF)]])</f>
        <v>0</v>
      </c>
      <c r="Y21" s="60"/>
      <c r="Z21" s="60"/>
      <c r="AA21" s="148">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220">
        <f>COUNTIF(FilterList,rrcworking[[#This Row],[Magnum Wolfpak '#]])</f>
        <v>1</v>
      </c>
      <c r="AF21" s="217"/>
      <c r="AG21" s="218"/>
      <c r="AH21" s="37"/>
      <c r="AI21" s="218"/>
      <c r="AJ21" s="219"/>
      <c r="AK21" s="219"/>
      <c r="AL21" s="219"/>
      <c r="AM21" s="219"/>
      <c r="AN21" s="219"/>
      <c r="AO21" s="219"/>
      <c r="AP21" s="37" t="s">
        <v>1204</v>
      </c>
      <c r="AQ21" s="37" t="s">
        <v>1215</v>
      </c>
    </row>
    <row r="22" spans="3:43" ht="15">
      <c r="C22" s="80">
        <v>99294</v>
      </c>
      <c r="D22" s="62" t="s">
        <v>185</v>
      </c>
      <c r="E22" s="133" t="s">
        <v>182</v>
      </c>
      <c r="F22" s="142" t="s">
        <v>1100</v>
      </c>
      <c r="G22" s="122" t="s">
        <v>1097</v>
      </c>
      <c r="H22" s="18" t="s">
        <v>621</v>
      </c>
      <c r="I22" s="18" t="s">
        <v>2</v>
      </c>
      <c r="J22" s="19" t="s">
        <v>481</v>
      </c>
      <c r="K22" s="103">
        <v>27236</v>
      </c>
      <c r="L22" s="101">
        <f>INDEX(Table1[Production],MATCH(rrcworking[[#This Row],[RRC ID Number]],Table1[RRC Identifier],0))</f>
        <v>428</v>
      </c>
      <c r="M22" s="30">
        <f>INDEX(Table1[Formation Production],MATCH(rrcworking[[#This Row],[RRC ID Number]],Table1[RRC Identifier],0))</f>
        <v>579</v>
      </c>
      <c r="N22" s="31">
        <f>INDEX(Table1[On Hand End of Month],MATCH(rrcworking[[#This Row],[RRC ID Number]],Table1[RRC Identifier],0))</f>
        <v>214</v>
      </c>
      <c r="O22" s="106" t="b">
        <f t="shared" si="0"/>
        <v>0</v>
      </c>
      <c r="P22" s="214">
        <v>635</v>
      </c>
      <c r="Q22" s="129">
        <f>rrcworking[[#This Row],[Last Month Closing Stock]]</f>
        <v>214</v>
      </c>
      <c r="R22" s="215">
        <v>134</v>
      </c>
      <c r="S22" s="148">
        <f>IF(ISERROR(INDEX(Table2[OIL],MATCH(rrcworking[[#This Row],[Magnum Wolfpak '#]],Table2[Rox Wolf'#],0))),0,INDEX(Table2[OIL],MATCH(rrcworking[[#This Row],[Magnum Wolfpak '#]],Table2[Rox Wolf'#],0)))</f>
        <v>887</v>
      </c>
      <c r="T22" s="35">
        <f>rrcworking[[#This Row],[Closing Stock (Oil)]]+rrcworking[[#This Row],[Sales/Dispostion]]-rrcworking[[#This Row],[Opening Oil Stock]]</f>
        <v>807</v>
      </c>
      <c r="U22" s="112">
        <f>rrcworking[[#This Row],[Gauge Sheet Production Vol]]-rrcworking[[#This Row],[Oil Production]]</f>
        <v>-172</v>
      </c>
      <c r="V22" s="148">
        <f>IF(ISERROR(INDEX(Table2[GAS],MATCH(rrcworking[[#This Row],[Magnum Wolfpak '#]],Table2[Rox Wolf'#],0))),0,INDEX(Table2[GAS],MATCH(rrcworking[[#This Row],[Magnum Wolfpak '#]],Table2[Rox Wolf'#],0)))</f>
        <v>639</v>
      </c>
      <c r="W22" s="24"/>
      <c r="X22" s="137">
        <f>IF(rrcworking[[#This Row],[Pressure Base]]=14.73,rrcworking[[#This Row],[Gas Sales Statement Volume (MCF)]]*$R$2,rrcworking[[#This Row],[Gas Sales Statement Volume (MCF)]])</f>
        <v>639</v>
      </c>
      <c r="Y22" s="85"/>
      <c r="Z22" s="60">
        <v>1</v>
      </c>
      <c r="AA22" s="148">
        <f>IF(ISERROR(INDEX(Table2[LEASE USE],MATCH(rrcworking[[#This Row],[Magnum Wolfpak '#]],Table2[Rox Wolf'#],0))),0,INDEX(Table2[LEASE USE],MATCH(rrcworking[[#This Row],[Magnum Wolfpak '#]],Table2[Rox Wolf'#],0)))</f>
        <v>30</v>
      </c>
      <c r="AB22" s="57">
        <f>rrcworking[[#This Row],[Disposition Volume (MCF) @ 14.65 MCF]]+rrcworking[[#This Row],[Lease Use (MCF)]]</f>
        <v>669</v>
      </c>
      <c r="AC22" s="37"/>
      <c r="AD22" s="37"/>
      <c r="AE22" s="220">
        <f>COUNTIF(FilterList,rrcworking[[#This Row],[Magnum Wolfpak '#]])</f>
        <v>0</v>
      </c>
      <c r="AF22" s="217"/>
      <c r="AG22" s="218"/>
      <c r="AH22" s="37">
        <v>635</v>
      </c>
      <c r="AI22" s="218">
        <v>134</v>
      </c>
      <c r="AJ22" s="37">
        <v>1</v>
      </c>
      <c r="AK22" s="37" t="s">
        <v>1152</v>
      </c>
      <c r="AL22" s="37" t="s">
        <v>1206</v>
      </c>
      <c r="AM22" s="37" t="s">
        <v>1216</v>
      </c>
      <c r="AN22" s="37" t="s">
        <v>1206</v>
      </c>
      <c r="AO22" s="37" t="s">
        <v>1217</v>
      </c>
      <c r="AP22" s="37" t="s">
        <v>1218</v>
      </c>
      <c r="AQ22" s="37" t="s">
        <v>1219</v>
      </c>
    </row>
    <row r="23" spans="3:43" ht="15" hidden="1">
      <c r="C23" s="80" t="e">
        <v>#N/A</v>
      </c>
      <c r="D23" s="62" t="s">
        <v>307</v>
      </c>
      <c r="E23" s="133" t="s">
        <v>182</v>
      </c>
      <c r="F23" s="131" t="s">
        <v>308</v>
      </c>
      <c r="G23" s="122" t="s">
        <v>1097</v>
      </c>
      <c r="H23" s="18" t="s">
        <v>621</v>
      </c>
      <c r="I23" s="18" t="s">
        <v>59</v>
      </c>
      <c r="J23" s="19" t="s">
        <v>553</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214">
        <v>0</v>
      </c>
      <c r="Q23" s="129">
        <f>rrcworking[[#This Row],[Last Month Closing Stock]]</f>
        <v>134</v>
      </c>
      <c r="R23" s="214">
        <f>rrcworking[[#This Row],[Opening Oil Stock]]</f>
        <v>134</v>
      </c>
      <c r="S23" s="148">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Production Vol]]-rrcworking[[#This Row],[Oil Production]]</f>
        <v>0</v>
      </c>
      <c r="V23" s="148">
        <f>IF(ISERROR(INDEX(Table2[GAS],MATCH(rrcworking[[#This Row],[Magnum Wolfpak '#]],Table2[Rox Wolf'#],0))),0,INDEX(Table2[GAS],MATCH(rrcworking[[#This Row],[Magnum Wolfpak '#]],Table2[Rox Wolf'#],0)))</f>
        <v>0</v>
      </c>
      <c r="W23" s="24"/>
      <c r="X23" s="137">
        <f>IF(rrcworking[[#This Row],[Pressure Base]]=14.73,rrcworking[[#This Row],[Gas Sales Statement Volume (MCF)]]*$R$2,rrcworking[[#This Row],[Gas Sales Statement Volume (MCF)]])</f>
        <v>0</v>
      </c>
      <c r="Y23" s="60"/>
      <c r="Z23" s="60"/>
      <c r="AA23" s="148">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220">
        <f>COUNTIF(FilterList,rrcworking[[#This Row],[Magnum Wolfpak '#]])</f>
        <v>0</v>
      </c>
      <c r="AF23" s="217"/>
      <c r="AG23" s="218"/>
      <c r="AH23" s="37"/>
      <c r="AI23" s="37"/>
      <c r="AJ23" s="37"/>
      <c r="AK23" s="37"/>
      <c r="AL23" s="37"/>
      <c r="AM23" s="37"/>
      <c r="AN23" s="37"/>
      <c r="AO23" s="37"/>
      <c r="AP23" s="37"/>
      <c r="AQ23" s="37"/>
    </row>
    <row r="24" spans="3:43" ht="15">
      <c r="C24" s="80">
        <v>99293</v>
      </c>
      <c r="D24" s="62" t="s">
        <v>181</v>
      </c>
      <c r="E24" s="133" t="s">
        <v>182</v>
      </c>
      <c r="F24" s="142" t="s">
        <v>1098</v>
      </c>
      <c r="G24" s="122" t="s">
        <v>1097</v>
      </c>
      <c r="H24" s="18" t="s">
        <v>621</v>
      </c>
      <c r="I24" s="18" t="s">
        <v>2</v>
      </c>
      <c r="J24" s="19" t="s">
        <v>478</v>
      </c>
      <c r="K24" s="103">
        <v>27285</v>
      </c>
      <c r="L24" s="101">
        <f>INDEX(Table1[Production],MATCH(rrcworking[[#This Row],[RRC ID Number]],Table1[RRC Identifier],0))</f>
        <v>379</v>
      </c>
      <c r="M24" s="30">
        <f>INDEX(Table1[Formation Production],MATCH(rrcworking[[#This Row],[RRC ID Number]],Table1[RRC Identifier],0))</f>
        <v>447</v>
      </c>
      <c r="N24" s="31">
        <f>INDEX(Table1[On Hand End of Month],MATCH(rrcworking[[#This Row],[RRC ID Number]],Table1[RRC Identifier],0))</f>
        <v>336</v>
      </c>
      <c r="O24" s="106" t="b">
        <f t="shared" si="0"/>
        <v>0</v>
      </c>
      <c r="P24" s="214">
        <v>421</v>
      </c>
      <c r="Q24" s="129">
        <f>rrcworking[[#This Row],[Last Month Closing Stock]]</f>
        <v>336</v>
      </c>
      <c r="R24" s="215">
        <v>172</v>
      </c>
      <c r="S24" s="148">
        <f>IF(ISERROR(INDEX(Table2[OIL],MATCH(rrcworking[[#This Row],[Magnum Wolfpak '#]],Table2[Rox Wolf'#],0))),0,INDEX(Table2[OIL],MATCH(rrcworking[[#This Row],[Magnum Wolfpak '#]],Table2[Rox Wolf'#],0)))</f>
        <v>582</v>
      </c>
      <c r="T24" s="35">
        <f>rrcworking[[#This Row],[Closing Stock (Oil)]]+rrcworking[[#This Row],[Sales/Dispostion]]-rrcworking[[#This Row],[Opening Oil Stock]]</f>
        <v>418</v>
      </c>
      <c r="U24" s="112">
        <f>rrcworking[[#This Row],[Gauge Sheet Production Vol]]-rrcworking[[#This Row],[Oil Production]]</f>
        <v>3</v>
      </c>
      <c r="V24" s="148">
        <f>IF(ISERROR(INDEX(Table2[GAS],MATCH(rrcworking[[#This Row],[Magnum Wolfpak '#]],Table2[Rox Wolf'#],0))),0,INDEX(Table2[GAS],MATCH(rrcworking[[#This Row],[Magnum Wolfpak '#]],Table2[Rox Wolf'#],0)))</f>
        <v>491</v>
      </c>
      <c r="W24" s="24"/>
      <c r="X24" s="137">
        <f>IF(rrcworking[[#This Row],[Pressure Base]]=14.73,rrcworking[[#This Row],[Gas Sales Statement Volume (MCF)]]*$R$2,rrcworking[[#This Row],[Gas Sales Statement Volume (MCF)]])</f>
        <v>491</v>
      </c>
      <c r="Y24" s="85"/>
      <c r="Z24" s="60">
        <v>1</v>
      </c>
      <c r="AA24" s="148">
        <f>IF(ISERROR(INDEX(Table2[LEASE USE],MATCH(rrcworking[[#This Row],[Magnum Wolfpak '#]],Table2[Rox Wolf'#],0))),0,INDEX(Table2[LEASE USE],MATCH(rrcworking[[#This Row],[Magnum Wolfpak '#]],Table2[Rox Wolf'#],0)))</f>
        <v>30</v>
      </c>
      <c r="AB24" s="57">
        <f>rrcworking[[#This Row],[Disposition Volume (MCF) @ 14.65 MCF]]+rrcworking[[#This Row],[Lease Use (MCF)]]</f>
        <v>521</v>
      </c>
      <c r="AC24" s="37"/>
      <c r="AD24" s="37"/>
      <c r="AE24" s="220">
        <f>COUNTIF(FilterList,rrcworking[[#This Row],[Magnum Wolfpak '#]])</f>
        <v>0</v>
      </c>
      <c r="AF24" s="217"/>
      <c r="AG24" s="218"/>
      <c r="AH24" s="37">
        <v>421</v>
      </c>
      <c r="AI24" s="218">
        <v>172</v>
      </c>
      <c r="AJ24" s="37">
        <v>3</v>
      </c>
      <c r="AK24" s="37" t="s">
        <v>1152</v>
      </c>
      <c r="AL24" s="37" t="s">
        <v>1206</v>
      </c>
      <c r="AM24" s="37" t="s">
        <v>1220</v>
      </c>
      <c r="AN24" s="37" t="s">
        <v>1206</v>
      </c>
      <c r="AO24" s="37" t="s">
        <v>1217</v>
      </c>
      <c r="AP24" s="37" t="s">
        <v>1221</v>
      </c>
      <c r="AQ24" s="37"/>
    </row>
    <row r="25" spans="3:43" ht="15">
      <c r="C25" s="80">
        <v>99286</v>
      </c>
      <c r="D25" s="62" t="s">
        <v>183</v>
      </c>
      <c r="E25" s="133" t="s">
        <v>182</v>
      </c>
      <c r="F25" s="131" t="s">
        <v>1280</v>
      </c>
      <c r="G25" s="122" t="s">
        <v>1097</v>
      </c>
      <c r="H25" s="18" t="s">
        <v>621</v>
      </c>
      <c r="I25" s="18" t="s">
        <v>59</v>
      </c>
      <c r="J25" s="19" t="s">
        <v>479</v>
      </c>
      <c r="K25" s="103">
        <v>282350</v>
      </c>
      <c r="L25" s="101">
        <f>INDEX(Table1[Production],MATCH(rrcworking[[#This Row],[RRC ID Number]],Table1[RRC Identifier],0))</f>
        <v>594</v>
      </c>
      <c r="M25" s="30">
        <f>INDEX(Table1[Formation Production],MATCH(rrcworking[[#This Row],[RRC ID Number]],Table1[RRC Identifier],0))</f>
        <v>758</v>
      </c>
      <c r="N25" s="31">
        <f>INDEX(Table1[On Hand End of Month],MATCH(rrcworking[[#This Row],[RRC ID Number]],Table1[RRC Identifier],0))</f>
        <v>294</v>
      </c>
      <c r="O25" s="106" t="b">
        <f t="shared" si="0"/>
        <v>0</v>
      </c>
      <c r="P25" s="214">
        <v>738</v>
      </c>
      <c r="Q25" s="129">
        <f>rrcworking[[#This Row],[Last Month Closing Stock]]</f>
        <v>294</v>
      </c>
      <c r="R25" s="215">
        <v>369</v>
      </c>
      <c r="S25" s="148">
        <f>IF(ISERROR(INDEX(Table2[OIL],MATCH(rrcworking[[#This Row],[Magnum Wolfpak '#]],Table2[Rox Wolf'#],0))),0,INDEX(Table2[OIL],MATCH(rrcworking[[#This Row],[Magnum Wolfpak '#]],Table2[Rox Wolf'#],0)))</f>
        <v>840</v>
      </c>
      <c r="T25" s="35">
        <f>rrcworking[[#This Row],[Closing Stock (Oil)]]+rrcworking[[#This Row],[Sales/Dispostion]]-rrcworking[[#This Row],[Opening Oil Stock]]</f>
        <v>915</v>
      </c>
      <c r="U25" s="112">
        <f>rrcworking[[#This Row],[Gauge Sheet Production Vol]]-rrcworking[[#This Row],[Oil Production]]</f>
        <v>-177</v>
      </c>
      <c r="V25" s="148">
        <f>IF(ISERROR(INDEX(Table2[GAS],MATCH(rrcworking[[#This Row],[Magnum Wolfpak '#]],Table2[Rox Wolf'#],0))),0,INDEX(Table2[GAS],MATCH(rrcworking[[#This Row],[Magnum Wolfpak '#]],Table2[Rox Wolf'#],0)))</f>
        <v>781</v>
      </c>
      <c r="W25" s="24"/>
      <c r="X25" s="137">
        <f>IF(rrcworking[[#This Row],[Pressure Base]]=14.73,rrcworking[[#This Row],[Gas Sales Statement Volume (MCF)]]*$R$2,rrcworking[[#This Row],[Gas Sales Statement Volume (MCF)]])</f>
        <v>781</v>
      </c>
      <c r="Y25" s="85"/>
      <c r="Z25" s="60">
        <v>2</v>
      </c>
      <c r="AA25" s="148">
        <f>IF(ISERROR(INDEX(Table2[LEASE USE],MATCH(rrcworking[[#This Row],[Magnum Wolfpak '#]],Table2[Rox Wolf'#],0))),0,INDEX(Table2[LEASE USE],MATCH(rrcworking[[#This Row],[Magnum Wolfpak '#]],Table2[Rox Wolf'#],0)))</f>
        <v>60</v>
      </c>
      <c r="AB25" s="57">
        <f>rrcworking[[#This Row],[Disposition Volume (MCF) @ 14.65 MCF]]+rrcworking[[#This Row],[Lease Use (MCF)]]</f>
        <v>841</v>
      </c>
      <c r="AC25" s="37"/>
      <c r="AD25" s="37"/>
      <c r="AE25" s="220">
        <f>COUNTIF(FilterList,rrcworking[[#This Row],[Magnum Wolfpak '#]])</f>
        <v>0</v>
      </c>
      <c r="AF25" s="217"/>
      <c r="AG25" s="218"/>
      <c r="AH25" s="37">
        <v>738</v>
      </c>
      <c r="AI25" s="218">
        <v>369</v>
      </c>
      <c r="AJ25" s="37">
        <v>3</v>
      </c>
      <c r="AK25" s="37" t="s">
        <v>1152</v>
      </c>
      <c r="AL25" s="37" t="s">
        <v>1206</v>
      </c>
      <c r="AM25" s="37" t="s">
        <v>1220</v>
      </c>
      <c r="AN25" s="37" t="s">
        <v>1206</v>
      </c>
      <c r="AO25" s="37" t="s">
        <v>1217</v>
      </c>
      <c r="AP25" s="37" t="s">
        <v>1222</v>
      </c>
      <c r="AQ25" s="37"/>
    </row>
    <row r="26" spans="3:43" ht="15">
      <c r="C26" s="80">
        <v>99295</v>
      </c>
      <c r="D26" s="62" t="s">
        <v>183</v>
      </c>
      <c r="E26" s="133" t="s">
        <v>182</v>
      </c>
      <c r="F26" s="142" t="s">
        <v>1099</v>
      </c>
      <c r="G26" s="122" t="s">
        <v>1097</v>
      </c>
      <c r="H26" s="18" t="s">
        <v>621</v>
      </c>
      <c r="I26" s="18" t="s">
        <v>2</v>
      </c>
      <c r="J26" s="19" t="s">
        <v>480</v>
      </c>
      <c r="K26" s="103">
        <v>27418</v>
      </c>
      <c r="L26" s="101">
        <f>INDEX(Table1[Production],MATCH(rrcworking[[#This Row],[RRC ID Number]],Table1[RRC Identifier],0))</f>
        <v>1626</v>
      </c>
      <c r="M26" s="30">
        <f>INDEX(Table1[Formation Production],MATCH(rrcworking[[#This Row],[RRC ID Number]],Table1[RRC Identifier],0))</f>
        <v>1691</v>
      </c>
      <c r="N26" s="31">
        <f>INDEX(Table1[On Hand End of Month],MATCH(rrcworking[[#This Row],[RRC ID Number]],Table1[RRC Identifier],0))</f>
        <v>205</v>
      </c>
      <c r="O26" s="106" t="b">
        <f t="shared" si="0"/>
        <v>0</v>
      </c>
      <c r="P26" s="214">
        <v>2777</v>
      </c>
      <c r="Q26" s="129">
        <f>rrcworking[[#This Row],[Last Month Closing Stock]]</f>
        <v>205</v>
      </c>
      <c r="R26" s="215">
        <v>514</v>
      </c>
      <c r="S26" s="148">
        <f>IF(ISERROR(INDEX(Table2[OIL],MATCH(rrcworking[[#This Row],[Magnum Wolfpak '#]],Table2[Rox Wolf'#],0))),0,INDEX(Table2[OIL],MATCH(rrcworking[[#This Row],[Magnum Wolfpak '#]],Table2[Rox Wolf'#],0)))</f>
        <v>2442</v>
      </c>
      <c r="T26" s="35">
        <f>rrcworking[[#This Row],[Closing Stock (Oil)]]+rrcworking[[#This Row],[Sales/Dispostion]]-rrcworking[[#This Row],[Opening Oil Stock]]</f>
        <v>2751</v>
      </c>
      <c r="U26" s="112">
        <f>rrcworking[[#This Row],[Gauge Sheet Production Vol]]-rrcworking[[#This Row],[Oil Production]]</f>
        <v>26</v>
      </c>
      <c r="V26" s="148">
        <f>IF(ISERROR(INDEX(Table2[GAS],MATCH(rrcworking[[#This Row],[Magnum Wolfpak '#]],Table2[Rox Wolf'#],0))),0,INDEX(Table2[GAS],MATCH(rrcworking[[#This Row],[Magnum Wolfpak '#]],Table2[Rox Wolf'#],0)))</f>
        <v>2572</v>
      </c>
      <c r="W26" s="24"/>
      <c r="X26" s="137">
        <f>IF(rrcworking[[#This Row],[Pressure Base]]=14.73,rrcworking[[#This Row],[Gas Sales Statement Volume (MCF)]]*$R$2,rrcworking[[#This Row],[Gas Sales Statement Volume (MCF)]])</f>
        <v>2572</v>
      </c>
      <c r="Y26" s="85"/>
      <c r="Z26" s="60">
        <v>7</v>
      </c>
      <c r="AA26" s="148">
        <f>IF(ISERROR(INDEX(Table2[LEASE USE],MATCH(rrcworking[[#This Row],[Magnum Wolfpak '#]],Table2[Rox Wolf'#],0))),0,INDEX(Table2[LEASE USE],MATCH(rrcworking[[#This Row],[Magnum Wolfpak '#]],Table2[Rox Wolf'#],0)))</f>
        <v>210</v>
      </c>
      <c r="AB26" s="57">
        <f>rrcworking[[#This Row],[Disposition Volume (MCF) @ 14.65 MCF]]+rrcworking[[#This Row],[Lease Use (MCF)]]</f>
        <v>2782</v>
      </c>
      <c r="AC26" s="37"/>
      <c r="AD26" s="37"/>
      <c r="AE26" s="220">
        <f>COUNTIF(FilterList,rrcworking[[#This Row],[Magnum Wolfpak '#]])</f>
        <v>0</v>
      </c>
      <c r="AF26" s="217"/>
      <c r="AG26" s="218"/>
      <c r="AH26" s="37">
        <v>2777</v>
      </c>
      <c r="AI26" s="218">
        <v>514</v>
      </c>
      <c r="AJ26" s="37">
        <v>2</v>
      </c>
      <c r="AK26" s="37" t="s">
        <v>1152</v>
      </c>
      <c r="AL26" s="37" t="s">
        <v>1206</v>
      </c>
      <c r="AM26" s="37" t="s">
        <v>1223</v>
      </c>
      <c r="AN26" s="37" t="s">
        <v>1206</v>
      </c>
      <c r="AO26" s="37" t="s">
        <v>1217</v>
      </c>
      <c r="AP26" s="37" t="s">
        <v>1224</v>
      </c>
      <c r="AQ26" s="37"/>
    </row>
    <row r="27" spans="3:43" ht="15">
      <c r="C27" s="80">
        <v>99228</v>
      </c>
      <c r="D27" s="62" t="s">
        <v>77</v>
      </c>
      <c r="E27" s="133" t="s">
        <v>78</v>
      </c>
      <c r="F27" s="131" t="s">
        <v>1281</v>
      </c>
      <c r="G27" s="122" t="s">
        <v>1097</v>
      </c>
      <c r="H27" s="18" t="s">
        <v>620</v>
      </c>
      <c r="I27" s="18" t="s">
        <v>59</v>
      </c>
      <c r="J27" s="19" t="s">
        <v>417</v>
      </c>
      <c r="K27" s="103">
        <v>272206</v>
      </c>
      <c r="L27" s="101">
        <f>INDEX(Table1[Production],MATCH(rrcworking[[#This Row],[RRC ID Number]],Table1[RRC Identifier],0))</f>
        <v>0</v>
      </c>
      <c r="M27" s="30">
        <f>INDEX(Table1[Formation Production],MATCH(rrcworking[[#This Row],[RRC ID Number]],Table1[RRC Identifier],0))</f>
        <v>61</v>
      </c>
      <c r="N27" s="31">
        <f>INDEX(Table1[On Hand End of Month],MATCH(rrcworking[[#This Row],[RRC ID Number]],Table1[RRC Identifier],0))</f>
        <v>149</v>
      </c>
      <c r="O27" s="106" t="b">
        <f t="shared" si="0"/>
        <v>0</v>
      </c>
      <c r="P27" s="214">
        <v>0</v>
      </c>
      <c r="Q27" s="129">
        <f>rrcworking[[#This Row],[Last Month Closing Stock]]</f>
        <v>149</v>
      </c>
      <c r="R27" s="214">
        <v>149</v>
      </c>
      <c r="S27" s="148">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Production Vol]]-rrcworking[[#This Row],[Oil Production]]</f>
        <v>0</v>
      </c>
      <c r="V27" s="148">
        <f>IF(ISERROR(INDEX(Table2[GAS],MATCH(rrcworking[[#This Row],[Magnum Wolfpak '#]],Table2[Rox Wolf'#],0))),0,INDEX(Table2[GAS],MATCH(rrcworking[[#This Row],[Magnum Wolfpak '#]],Table2[Rox Wolf'#],0)))</f>
        <v>0</v>
      </c>
      <c r="W27" s="24"/>
      <c r="X27" s="137">
        <f>IF(rrcworking[[#This Row],[Pressure Base]]=14.73,rrcworking[[#This Row],[Gas Sales Statement Volume (MCF)]]*$R$2,rrcworking[[#This Row],[Gas Sales Statement Volume (MCF)]])</f>
        <v>0</v>
      </c>
      <c r="Y27" s="85"/>
      <c r="Z27" s="60">
        <v>1</v>
      </c>
      <c r="AA27" s="148">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220">
        <f>COUNTIF(FilterList,rrcworking[[#This Row],[Magnum Wolfpak '#]])</f>
        <v>0</v>
      </c>
      <c r="AF27" s="217"/>
      <c r="AG27" s="218"/>
      <c r="AH27" s="37">
        <v>0</v>
      </c>
      <c r="AI27" s="37">
        <v>149</v>
      </c>
      <c r="AJ27" s="37">
        <v>3</v>
      </c>
      <c r="AK27" s="37" t="s">
        <v>1152</v>
      </c>
      <c r="AL27" s="37" t="s">
        <v>1206</v>
      </c>
      <c r="AM27" s="37" t="s">
        <v>1220</v>
      </c>
      <c r="AN27" s="37" t="s">
        <v>1206</v>
      </c>
      <c r="AO27" s="37" t="s">
        <v>1217</v>
      </c>
      <c r="AP27" s="37" t="s">
        <v>1225</v>
      </c>
      <c r="AQ27" s="37"/>
    </row>
    <row r="28" spans="3:43" ht="15" hidden="1">
      <c r="C28" s="80" t="e">
        <v>#N/A</v>
      </c>
      <c r="D28" s="62" t="s">
        <v>88</v>
      </c>
      <c r="E28" s="133" t="s">
        <v>89</v>
      </c>
      <c r="F28" s="131">
        <v>1</v>
      </c>
      <c r="G28" s="122" t="s">
        <v>1097</v>
      </c>
      <c r="H28" s="18" t="s">
        <v>620</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214">
        <v>0</v>
      </c>
      <c r="Q28" s="129">
        <f>rrcworking[[#This Row],[Last Month Closing Stock]]</f>
        <v>132</v>
      </c>
      <c r="R28" s="214">
        <f>rrcworking[[#This Row],[Opening Oil Stock]]</f>
        <v>132</v>
      </c>
      <c r="S28" s="148">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Production Vol]]-rrcworking[[#This Row],[Oil Production]]</f>
        <v>0</v>
      </c>
      <c r="V28" s="148">
        <f>IF(ISERROR(INDEX(Table2[GAS],MATCH(rrcworking[[#This Row],[Magnum Wolfpak '#]],Table2[Rox Wolf'#],0))),0,INDEX(Table2[GAS],MATCH(rrcworking[[#This Row],[Magnum Wolfpak '#]],Table2[Rox Wolf'#],0)))</f>
        <v>0</v>
      </c>
      <c r="W28" s="24"/>
      <c r="X28" s="137">
        <f>IF(rrcworking[[#This Row],[Pressure Base]]=14.73,rrcworking[[#This Row],[Gas Sales Statement Volume (MCF)]]*$R$2,rrcworking[[#This Row],[Gas Sales Statement Volume (MCF)]])</f>
        <v>0</v>
      </c>
      <c r="Y28" s="60"/>
      <c r="Z28" s="60"/>
      <c r="AA28" s="148">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220">
        <f>COUNTIF(FilterList,rrcworking[[#This Row],[Magnum Wolfpak '#]])</f>
        <v>0</v>
      </c>
      <c r="AF28" s="217"/>
      <c r="AG28" s="218"/>
      <c r="AH28" s="37"/>
      <c r="AI28" s="37"/>
      <c r="AJ28" s="37"/>
      <c r="AK28" s="37"/>
      <c r="AL28" s="37"/>
      <c r="AM28" s="37"/>
      <c r="AN28" s="37"/>
      <c r="AO28" s="37"/>
      <c r="AP28" s="37"/>
      <c r="AQ28" s="37"/>
    </row>
    <row r="29" spans="3:43" ht="15" hidden="1">
      <c r="C29" s="80">
        <v>99255</v>
      </c>
      <c r="D29" s="62" t="s">
        <v>114</v>
      </c>
      <c r="E29" s="133" t="s">
        <v>89</v>
      </c>
      <c r="F29" s="131">
        <v>1</v>
      </c>
      <c r="G29" s="122" t="s">
        <v>1097</v>
      </c>
      <c r="H29" s="18" t="s">
        <v>620</v>
      </c>
      <c r="I29" s="18" t="s">
        <v>59</v>
      </c>
      <c r="J29" s="19" t="s">
        <v>437</v>
      </c>
      <c r="K29" s="103">
        <v>286124</v>
      </c>
      <c r="L29" s="101">
        <f>INDEX(Table1[Production],MATCH(rrcworking[[#This Row],[RRC ID Number]],Table1[RRC Identifier],0))</f>
        <v>0</v>
      </c>
      <c r="M29" s="30">
        <f>INDEX(Table1[Formation Production],MATCH(rrcworking[[#This Row],[RRC ID Number]],Table1[RRC Identifier],0))</f>
        <v>154</v>
      </c>
      <c r="N29" s="31">
        <f>INDEX(Table1[On Hand End of Month],MATCH(rrcworking[[#This Row],[RRC ID Number]],Table1[RRC Identifier],0))</f>
        <v>80</v>
      </c>
      <c r="O29" s="106" t="b">
        <f t="shared" si="0"/>
        <v>0</v>
      </c>
      <c r="P29" s="214">
        <v>0</v>
      </c>
      <c r="Q29" s="129">
        <f>rrcworking[[#This Row],[Last Month Closing Stock]]</f>
        <v>80</v>
      </c>
      <c r="R29" s="214">
        <v>80</v>
      </c>
      <c r="S29" s="148">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Production Vol]]-rrcworking[[#This Row],[Oil Production]]</f>
        <v>0</v>
      </c>
      <c r="V29" s="148">
        <f>IF(ISERROR(INDEX(Table2[GAS],MATCH(rrcworking[[#This Row],[Magnum Wolfpak '#]],Table2[Rox Wolf'#],0))),0,INDEX(Table2[GAS],MATCH(rrcworking[[#This Row],[Magnum Wolfpak '#]],Table2[Rox Wolf'#],0)))</f>
        <v>0</v>
      </c>
      <c r="W29" s="24"/>
      <c r="X29" s="137">
        <f>IF(rrcworking[[#This Row],[Pressure Base]]=14.73,rrcworking[[#This Row],[Gas Sales Statement Volume (MCF)]]*$R$2,rrcworking[[#This Row],[Gas Sales Statement Volume (MCF)]])</f>
        <v>0</v>
      </c>
      <c r="Y29" s="85"/>
      <c r="Z29" s="60">
        <v>1</v>
      </c>
      <c r="AA29" s="148">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1145</v>
      </c>
      <c r="AE29" s="220">
        <f>COUNTIF(FilterList,rrcworking[[#This Row],[Magnum Wolfpak '#]])</f>
        <v>0</v>
      </c>
      <c r="AF29" s="217"/>
      <c r="AG29" s="218"/>
      <c r="AH29" s="87"/>
      <c r="AI29" s="87"/>
      <c r="AJ29" s="219"/>
      <c r="AK29" s="219"/>
      <c r="AL29" s="219"/>
      <c r="AM29" s="219"/>
      <c r="AN29" s="219"/>
      <c r="AO29" s="219"/>
      <c r="AP29" s="37" t="s">
        <v>1204</v>
      </c>
      <c r="AQ29" s="37" t="s">
        <v>1226</v>
      </c>
    </row>
    <row r="30" spans="3:43" ht="15" hidden="1">
      <c r="C30" s="80" t="e">
        <v>#N/A</v>
      </c>
      <c r="D30" s="62" t="s">
        <v>282</v>
      </c>
      <c r="E30" s="133" t="s">
        <v>284</v>
      </c>
      <c r="F30" s="131">
        <v>0</v>
      </c>
      <c r="G30" s="122" t="s">
        <v>1097</v>
      </c>
      <c r="H30" s="18" t="s">
        <v>621</v>
      </c>
      <c r="I30" s="18" t="s">
        <v>2</v>
      </c>
      <c r="J30" s="19" t="s">
        <v>538</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214"/>
      <c r="Q30" s="129">
        <f>rrcworking[[#This Row],[Last Month Closing Stock]]</f>
        <v>0</v>
      </c>
      <c r="R30" s="214"/>
      <c r="S30" s="148">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Production Vol]]-rrcworking[[#This Row],[Oil Production]]</f>
        <v>0</v>
      </c>
      <c r="V30" s="148">
        <f>IF(ISERROR(INDEX(Table2[GAS],MATCH(rrcworking[[#This Row],[Magnum Wolfpak '#]],Table2[Rox Wolf'#],0))),0,INDEX(Table2[GAS],MATCH(rrcworking[[#This Row],[Magnum Wolfpak '#]],Table2[Rox Wolf'#],0)))</f>
        <v>0</v>
      </c>
      <c r="W30" s="24"/>
      <c r="X30" s="137">
        <f>IF(rrcworking[[#This Row],[Pressure Base]]=14.73,rrcworking[[#This Row],[Gas Sales Statement Volume (MCF)]]*$R$2,rrcworking[[#This Row],[Gas Sales Statement Volume (MCF)]])</f>
        <v>0</v>
      </c>
      <c r="Y30" s="60"/>
      <c r="Z30" s="60"/>
      <c r="AA30" s="148">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220">
        <f>COUNTIF(FilterList,rrcworking[[#This Row],[Magnum Wolfpak '#]])</f>
        <v>0</v>
      </c>
      <c r="AF30" s="217"/>
      <c r="AG30" s="218"/>
      <c r="AH30" s="37"/>
      <c r="AI30" s="37"/>
      <c r="AJ30" s="37"/>
      <c r="AK30" s="37"/>
      <c r="AL30" s="37"/>
      <c r="AM30" s="37"/>
      <c r="AN30" s="37"/>
      <c r="AO30" s="37"/>
      <c r="AP30" s="37"/>
      <c r="AQ30" s="37"/>
    </row>
    <row r="31" spans="3:43" ht="15" hidden="1">
      <c r="C31" s="80" t="e">
        <v>#N/A</v>
      </c>
      <c r="D31" s="62" t="s">
        <v>257</v>
      </c>
      <c r="E31" s="133" t="s">
        <v>258</v>
      </c>
      <c r="F31" s="131">
        <v>0</v>
      </c>
      <c r="G31" s="122" t="s">
        <v>1097</v>
      </c>
      <c r="H31" s="18" t="s">
        <v>621</v>
      </c>
      <c r="I31" s="18" t="s">
        <v>2</v>
      </c>
      <c r="J31" s="19" t="s">
        <v>519</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214"/>
      <c r="Q31" s="129">
        <f>rrcworking[[#This Row],[Last Month Closing Stock]]</f>
        <v>0</v>
      </c>
      <c r="R31" s="214"/>
      <c r="S31" s="148">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Production Vol]]-rrcworking[[#This Row],[Oil Production]]</f>
        <v>0</v>
      </c>
      <c r="V31" s="148">
        <f>IF(ISERROR(INDEX(Table2[GAS],MATCH(rrcworking[[#This Row],[Magnum Wolfpak '#]],Table2[Rox Wolf'#],0))),0,INDEX(Table2[GAS],MATCH(rrcworking[[#This Row],[Magnum Wolfpak '#]],Table2[Rox Wolf'#],0)))</f>
        <v>0</v>
      </c>
      <c r="W31" s="24"/>
      <c r="X31" s="137">
        <f>IF(rrcworking[[#This Row],[Pressure Base]]=14.73,rrcworking[[#This Row],[Gas Sales Statement Volume (MCF)]]*$R$2,rrcworking[[#This Row],[Gas Sales Statement Volume (MCF)]])</f>
        <v>0</v>
      </c>
      <c r="Y31" s="60"/>
      <c r="Z31" s="60"/>
      <c r="AA31" s="148">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220">
        <f>COUNTIF(FilterList,rrcworking[[#This Row],[Magnum Wolfpak '#]])</f>
        <v>0</v>
      </c>
      <c r="AF31" s="217"/>
      <c r="AG31" s="218"/>
      <c r="AH31" s="37"/>
      <c r="AI31" s="37"/>
      <c r="AJ31" s="37"/>
      <c r="AK31" s="37"/>
      <c r="AL31" s="37"/>
      <c r="AM31" s="37"/>
      <c r="AN31" s="37"/>
      <c r="AO31" s="37"/>
      <c r="AP31" s="37"/>
      <c r="AQ31" s="37"/>
    </row>
    <row r="32" spans="3:43" ht="15">
      <c r="C32" s="80">
        <v>98921</v>
      </c>
      <c r="D32" s="62" t="s">
        <v>104</v>
      </c>
      <c r="E32" s="133" t="s">
        <v>105</v>
      </c>
      <c r="F32" s="131">
        <v>0</v>
      </c>
      <c r="G32" s="122" t="s">
        <v>1097</v>
      </c>
      <c r="H32" s="18" t="s">
        <v>620</v>
      </c>
      <c r="I32" s="18" t="s">
        <v>2</v>
      </c>
      <c r="J32" s="19" t="s">
        <v>431</v>
      </c>
      <c r="K32" s="103">
        <v>8646</v>
      </c>
      <c r="L32" s="101">
        <f>INDEX(Table1[Production],MATCH(rrcworking[[#This Row],[RRC ID Number]],Table1[RRC Identifier],0))</f>
        <v>211</v>
      </c>
      <c r="M32" s="30">
        <f>INDEX(Table1[Formation Production],MATCH(rrcworking[[#This Row],[RRC ID Number]],Table1[RRC Identifier],0))</f>
        <v>0</v>
      </c>
      <c r="N32" s="31">
        <f>INDEX(Table1[On Hand End of Month],MATCH(rrcworking[[#This Row],[RRC ID Number]],Table1[RRC Identifier],0))</f>
        <v>129</v>
      </c>
      <c r="O32" s="106" t="b">
        <f t="shared" si="0"/>
        <v>0</v>
      </c>
      <c r="P32" s="214">
        <v>162</v>
      </c>
      <c r="Q32" s="129">
        <f>rrcworking[[#This Row],[Last Month Closing Stock]]</f>
        <v>129</v>
      </c>
      <c r="R32" s="215">
        <v>121</v>
      </c>
      <c r="S32" s="148">
        <f>IF(ISERROR(INDEX(Table2[OIL],MATCH(rrcworking[[#This Row],[Magnum Wolfpak '#]],Table2[Rox Wolf'#],0))),0,INDEX(Table2[OIL],MATCH(rrcworking[[#This Row],[Magnum Wolfpak '#]],Table2[Rox Wolf'#],0)))</f>
        <v>169</v>
      </c>
      <c r="T32" s="35">
        <f>rrcworking[[#This Row],[Closing Stock (Oil)]]+rrcworking[[#This Row],[Sales/Dispostion]]-rrcworking[[#This Row],[Opening Oil Stock]]</f>
        <v>161</v>
      </c>
      <c r="U32" s="112">
        <f>rrcworking[[#This Row],[Gauge Sheet Production Vol]]-rrcworking[[#This Row],[Oil Production]]</f>
        <v>1</v>
      </c>
      <c r="V32" s="148">
        <f>IF(ISERROR(INDEX(Table2[GAS],MATCH(rrcworking[[#This Row],[Magnum Wolfpak '#]],Table2[Rox Wolf'#],0))),0,INDEX(Table2[GAS],MATCH(rrcworking[[#This Row],[Magnum Wolfpak '#]],Table2[Rox Wolf'#],0)))</f>
        <v>0</v>
      </c>
      <c r="W32" s="24"/>
      <c r="X32" s="137">
        <f>IF(rrcworking[[#This Row],[Pressure Base]]=14.73,rrcworking[[#This Row],[Gas Sales Statement Volume (MCF)]]*$R$2,rrcworking[[#This Row],[Gas Sales Statement Volume (MCF)]])</f>
        <v>0</v>
      </c>
      <c r="Y32" s="60"/>
      <c r="Z32" s="60"/>
      <c r="AA32" s="148">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220">
        <f>COUNTIF(FilterList,rrcworking[[#This Row],[Magnum Wolfpak '#]])</f>
        <v>0</v>
      </c>
      <c r="AF32" s="217"/>
      <c r="AG32" s="218"/>
      <c r="AH32" s="37">
        <v>162</v>
      </c>
      <c r="AI32" s="218">
        <v>121</v>
      </c>
      <c r="AJ32" s="37">
        <v>2</v>
      </c>
      <c r="AK32" s="37" t="s">
        <v>1152</v>
      </c>
      <c r="AL32" s="37" t="s">
        <v>1152</v>
      </c>
      <c r="AM32" s="37" t="s">
        <v>1227</v>
      </c>
      <c r="AN32" s="37" t="s">
        <v>1206</v>
      </c>
      <c r="AO32" s="37" t="s">
        <v>1228</v>
      </c>
      <c r="AP32" s="37" t="s">
        <v>1229</v>
      </c>
      <c r="AQ32" s="37"/>
    </row>
    <row r="33" spans="3:43" ht="15" hidden="1">
      <c r="C33" s="80" t="e">
        <v>#N/A</v>
      </c>
      <c r="D33" s="62" t="s">
        <v>373</v>
      </c>
      <c r="E33" s="133" t="s">
        <v>374</v>
      </c>
      <c r="F33" s="131">
        <v>2</v>
      </c>
      <c r="G33" s="122" t="s">
        <v>1097</v>
      </c>
      <c r="H33" s="18" t="s">
        <v>622</v>
      </c>
      <c r="I33" s="18" t="s">
        <v>59</v>
      </c>
      <c r="J33" s="19" t="s">
        <v>591</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214"/>
      <c r="Q33" s="129">
        <f>rrcworking[[#This Row],[Last Month Closing Stock]]</f>
        <v>0</v>
      </c>
      <c r="R33" s="214"/>
      <c r="S33" s="148">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Production Vol]]-rrcworking[[#This Row],[Oil Production]]</f>
        <v>0</v>
      </c>
      <c r="V33" s="148">
        <f>IF(ISERROR(INDEX(Table2[GAS],MATCH(rrcworking[[#This Row],[Magnum Wolfpak '#]],Table2[Rox Wolf'#],0))),0,INDEX(Table2[GAS],MATCH(rrcworking[[#This Row],[Magnum Wolfpak '#]],Table2[Rox Wolf'#],0)))</f>
        <v>0</v>
      </c>
      <c r="W33" s="24"/>
      <c r="X33" s="137">
        <f>IF(rrcworking[[#This Row],[Pressure Base]]=14.73,rrcworking[[#This Row],[Gas Sales Statement Volume (MCF)]]*$R$2,rrcworking[[#This Row],[Gas Sales Statement Volume (MCF)]])</f>
        <v>0</v>
      </c>
      <c r="Y33" s="60"/>
      <c r="Z33" s="60"/>
      <c r="AA33" s="148">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220">
        <f>COUNTIF(FilterList,rrcworking[[#This Row],[Magnum Wolfpak '#]])</f>
        <v>0</v>
      </c>
      <c r="AF33" s="217"/>
      <c r="AG33" s="218"/>
      <c r="AH33" s="37"/>
      <c r="AI33" s="37"/>
      <c r="AJ33" s="37"/>
      <c r="AK33" s="37"/>
      <c r="AL33" s="37"/>
      <c r="AM33" s="37"/>
      <c r="AN33" s="37"/>
      <c r="AO33" s="37"/>
      <c r="AP33" s="37"/>
      <c r="AQ33" s="37"/>
    </row>
    <row r="34" spans="3:43" ht="15" hidden="1">
      <c r="C34" s="80" t="e">
        <v>#N/A</v>
      </c>
      <c r="D34" s="62" t="s">
        <v>314</v>
      </c>
      <c r="E34" s="133" t="s">
        <v>315</v>
      </c>
      <c r="F34" s="131">
        <v>0</v>
      </c>
      <c r="G34" s="122" t="s">
        <v>1097</v>
      </c>
      <c r="H34" s="18" t="s">
        <v>622</v>
      </c>
      <c r="I34" s="18" t="s">
        <v>2</v>
      </c>
      <c r="J34" s="19" t="s">
        <v>557</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214">
        <v>0</v>
      </c>
      <c r="Q34" s="129">
        <f>rrcworking[[#This Row],[Last Month Closing Stock]]</f>
        <v>235</v>
      </c>
      <c r="R34" s="214">
        <f>rrcworking[[#This Row],[Opening Oil Stock]]</f>
        <v>235</v>
      </c>
      <c r="S34" s="148">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Production Vol]]-rrcworking[[#This Row],[Oil Production]]</f>
        <v>0</v>
      </c>
      <c r="V34" s="148">
        <f>IF(ISERROR(INDEX(Table2[GAS],MATCH(rrcworking[[#This Row],[Magnum Wolfpak '#]],Table2[Rox Wolf'#],0))),0,INDEX(Table2[GAS],MATCH(rrcworking[[#This Row],[Magnum Wolfpak '#]],Table2[Rox Wolf'#],0)))</f>
        <v>0</v>
      </c>
      <c r="W34" s="24"/>
      <c r="X34" s="137">
        <f>IF(rrcworking[[#This Row],[Pressure Base]]=14.73,rrcworking[[#This Row],[Gas Sales Statement Volume (MCF)]]*$R$2,rrcworking[[#This Row],[Gas Sales Statement Volume (MCF)]])</f>
        <v>0</v>
      </c>
      <c r="Y34" s="60"/>
      <c r="Z34" s="60"/>
      <c r="AA34" s="148">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220">
        <f>COUNTIF(FilterList,rrcworking[[#This Row],[Magnum Wolfpak '#]])</f>
        <v>0</v>
      </c>
      <c r="AF34" s="217"/>
      <c r="AG34" s="218"/>
      <c r="AH34" s="37"/>
      <c r="AI34" s="37"/>
      <c r="AJ34" s="37"/>
      <c r="AK34" s="37"/>
      <c r="AL34" s="37"/>
      <c r="AM34" s="37"/>
      <c r="AN34" s="37"/>
      <c r="AO34" s="37"/>
      <c r="AP34" s="37"/>
      <c r="AQ34" s="37"/>
    </row>
    <row r="35" spans="3:43" ht="15">
      <c r="C35" s="80">
        <v>99017</v>
      </c>
      <c r="D35" s="62" t="s">
        <v>80</v>
      </c>
      <c r="E35" s="133" t="s">
        <v>81</v>
      </c>
      <c r="F35" s="131">
        <v>1</v>
      </c>
      <c r="G35" s="122" t="s">
        <v>1097</v>
      </c>
      <c r="H35" s="18" t="s">
        <v>620</v>
      </c>
      <c r="I35" s="18" t="s">
        <v>59</v>
      </c>
      <c r="J35" s="19" t="s">
        <v>418</v>
      </c>
      <c r="K35" s="103">
        <v>250887</v>
      </c>
      <c r="L35" s="101">
        <f>INDEX(Table1[Production],MATCH(rrcworking[[#This Row],[RRC ID Number]],Table1[RRC Identifier],0))</f>
        <v>0</v>
      </c>
      <c r="M35" s="30">
        <f>INDEX(Table1[Formation Production],MATCH(rrcworking[[#This Row],[RRC ID Number]],Table1[RRC Identifier],0))</f>
        <v>5014</v>
      </c>
      <c r="N35" s="31">
        <f>INDEX(Table1[On Hand End of Month],MATCH(rrcworking[[#This Row],[RRC ID Number]],Table1[RRC Identifier],0))</f>
        <v>0</v>
      </c>
      <c r="O35" s="106" t="b">
        <f t="shared" si="0"/>
        <v>0</v>
      </c>
      <c r="P35" s="214">
        <v>0</v>
      </c>
      <c r="Q35" s="129">
        <f>rrcworking[[#This Row],[Last Month Closing Stock]]</f>
        <v>0</v>
      </c>
      <c r="R35" s="214"/>
      <c r="S35" s="148">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Production Vol]]-rrcworking[[#This Row],[Oil Production]]</f>
        <v>0</v>
      </c>
      <c r="V35" s="148">
        <f>IF(ISERROR(INDEX(Table2[GAS],MATCH(rrcworking[[#This Row],[Magnum Wolfpak '#]],Table2[Rox Wolf'#],0))),0,INDEX(Table2[GAS],MATCH(rrcworking[[#This Row],[Magnum Wolfpak '#]],Table2[Rox Wolf'#],0)))</f>
        <v>4938</v>
      </c>
      <c r="W35" s="24"/>
      <c r="X35" s="137">
        <f>IF(rrcworking[[#This Row],[Pressure Base]]=14.73,rrcworking[[#This Row],[Gas Sales Statement Volume (MCF)]]*$R$2,rrcworking[[#This Row],[Gas Sales Statement Volume (MCF)]])</f>
        <v>4938</v>
      </c>
      <c r="Y35" s="85"/>
      <c r="Z35" s="60">
        <v>7</v>
      </c>
      <c r="AA35" s="148">
        <f>IF(ISERROR(INDEX(Table2[LEASE USE],MATCH(rrcworking[[#This Row],[Magnum Wolfpak '#]],Table2[Rox Wolf'#],0))),0,INDEX(Table2[LEASE USE],MATCH(rrcworking[[#This Row],[Magnum Wolfpak '#]],Table2[Rox Wolf'#],0)))</f>
        <v>210</v>
      </c>
      <c r="AB35" s="57">
        <f>rrcworking[[#This Row],[Disposition Volume (MCF) @ 14.65 MCF]]+rrcworking[[#This Row],[Lease Use (MCF)]]</f>
        <v>5148</v>
      </c>
      <c r="AC35" s="37"/>
      <c r="AD35" s="37"/>
      <c r="AE35" s="220">
        <f>COUNTIF(FilterList,rrcworking[[#This Row],[Magnum Wolfpak '#]])</f>
        <v>0</v>
      </c>
      <c r="AF35" s="217"/>
      <c r="AG35" s="218"/>
      <c r="AH35" s="37">
        <v>0</v>
      </c>
      <c r="AI35" s="37">
        <v>0</v>
      </c>
      <c r="AJ35" s="37">
        <v>3</v>
      </c>
      <c r="AK35" s="37" t="s">
        <v>1152</v>
      </c>
      <c r="AL35" s="37" t="s">
        <v>1206</v>
      </c>
      <c r="AM35" s="37" t="s">
        <v>1220</v>
      </c>
      <c r="AN35" s="37" t="s">
        <v>1206</v>
      </c>
      <c r="AO35" s="37" t="s">
        <v>1217</v>
      </c>
      <c r="AP35" s="37" t="s">
        <v>1230</v>
      </c>
      <c r="AQ35" s="37"/>
    </row>
    <row r="36" spans="3:43" ht="15" hidden="1">
      <c r="C36" s="80">
        <v>99067</v>
      </c>
      <c r="D36" s="62" t="s">
        <v>352</v>
      </c>
      <c r="E36" s="133" t="s">
        <v>353</v>
      </c>
      <c r="F36" s="131">
        <v>14</v>
      </c>
      <c r="G36" s="122" t="s">
        <v>1097</v>
      </c>
      <c r="H36" s="18" t="s">
        <v>622</v>
      </c>
      <c r="I36" s="18" t="s">
        <v>59</v>
      </c>
      <c r="J36" s="19" t="s">
        <v>580</v>
      </c>
      <c r="K36" s="103">
        <v>162080</v>
      </c>
      <c r="L36" s="101">
        <f>INDEX(Table1[Production],MATCH(rrcworking[[#This Row],[RRC ID Number]],Table1[RRC Identifier],0))</f>
        <v>0</v>
      </c>
      <c r="M36" s="30">
        <f>INDEX(Table1[Formation Production],MATCH(rrcworking[[#This Row],[RRC ID Number]],Table1[RRC Identifier],0))</f>
        <v>491</v>
      </c>
      <c r="N36" s="31">
        <f>INDEX(Table1[On Hand End of Month],MATCH(rrcworking[[#This Row],[RRC ID Number]],Table1[RRC Identifier],0))</f>
        <v>3</v>
      </c>
      <c r="O36" s="106" t="b">
        <f t="shared" si="0"/>
        <v>0</v>
      </c>
      <c r="P36" s="214">
        <v>0</v>
      </c>
      <c r="Q36" s="129">
        <f>rrcworking[[#This Row],[Last Month Closing Stock]]</f>
        <v>3</v>
      </c>
      <c r="R36" s="214">
        <v>3</v>
      </c>
      <c r="S36" s="148">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Production Vol]]-rrcworking[[#This Row],[Oil Production]]</f>
        <v>0</v>
      </c>
      <c r="V36" s="148">
        <f>IF(ISERROR(INDEX(Table2[GAS],MATCH(rrcworking[[#This Row],[Magnum Wolfpak '#]],Table2[Rox Wolf'#],0))),0,INDEX(Table2[GAS],MATCH(rrcworking[[#This Row],[Magnum Wolfpak '#]],Table2[Rox Wolf'#],0)))</f>
        <v>340</v>
      </c>
      <c r="W36" s="24"/>
      <c r="X36" s="137">
        <f>IF(rrcworking[[#This Row],[Pressure Base]]=14.73,rrcworking[[#This Row],[Gas Sales Statement Volume (MCF)]]*$R$2,rrcworking[[#This Row],[Gas Sales Statement Volume (MCF)]])</f>
        <v>340</v>
      </c>
      <c r="Y36" s="60"/>
      <c r="Z36" s="60"/>
      <c r="AA36" s="148">
        <f>IF(ISERROR(INDEX(Table2[LEASE USE],MATCH(rrcworking[[#This Row],[Magnum Wolfpak '#]],Table2[Rox Wolf'#],0))),0,INDEX(Table2[LEASE USE],MATCH(rrcworking[[#This Row],[Magnum Wolfpak '#]],Table2[Rox Wolf'#],0)))</f>
        <v>0</v>
      </c>
      <c r="AB36" s="57">
        <f>rrcworking[[#This Row],[Disposition Volume (MCF) @ 14.65 MCF]]+rrcworking[[#This Row],[Lease Use (MCF)]]</f>
        <v>340</v>
      </c>
      <c r="AC36" s="97"/>
      <c r="AD36" s="37"/>
      <c r="AE36" s="220">
        <f>COUNTIF(FilterList,rrcworking[[#This Row],[Magnum Wolfpak '#]])</f>
        <v>0</v>
      </c>
      <c r="AF36" s="217"/>
      <c r="AG36" s="218"/>
      <c r="AH36" s="87"/>
      <c r="AI36" s="87"/>
      <c r="AJ36" s="219"/>
      <c r="AK36" s="219"/>
      <c r="AL36" s="219"/>
      <c r="AM36" s="219"/>
      <c r="AN36" s="219"/>
      <c r="AO36" s="219"/>
      <c r="AP36" s="37" t="s">
        <v>1204</v>
      </c>
      <c r="AQ36" s="37" t="s">
        <v>1231</v>
      </c>
    </row>
    <row r="37" spans="3:43" ht="30" hidden="1">
      <c r="C37" s="80">
        <v>98915</v>
      </c>
      <c r="D37" s="62" t="s">
        <v>141</v>
      </c>
      <c r="E37" s="133" t="s">
        <v>143</v>
      </c>
      <c r="F37" s="131">
        <v>4</v>
      </c>
      <c r="G37" s="122" t="s">
        <v>1097</v>
      </c>
      <c r="H37" s="18" t="s">
        <v>620</v>
      </c>
      <c r="I37" s="18" t="s">
        <v>59</v>
      </c>
      <c r="J37" s="19" t="s">
        <v>456</v>
      </c>
      <c r="K37" s="103">
        <v>174916</v>
      </c>
      <c r="L37" s="101">
        <f>INDEX(Table1[Production],MATCH(rrcworking[[#This Row],[RRC ID Number]],Table1[RRC Identifier],0))</f>
        <v>0</v>
      </c>
      <c r="M37" s="30">
        <f>INDEX(Table1[Formation Production],MATCH(rrcworking[[#This Row],[RRC ID Number]],Table1[RRC Identifier],0))</f>
        <v>147</v>
      </c>
      <c r="N37" s="31">
        <f>INDEX(Table1[On Hand End of Month],MATCH(rrcworking[[#This Row],[RRC ID Number]],Table1[RRC Identifier],0))</f>
        <v>0</v>
      </c>
      <c r="O37" s="106" t="b">
        <f t="shared" si="0"/>
        <v>0</v>
      </c>
      <c r="P37" s="214"/>
      <c r="Q37" s="129">
        <f>rrcworking[[#This Row],[Last Month Closing Stock]]</f>
        <v>0</v>
      </c>
      <c r="R37" s="214"/>
      <c r="S37" s="148">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Production Vol]]-rrcworking[[#This Row],[Oil Production]]</f>
        <v>0</v>
      </c>
      <c r="V37" s="148">
        <f>IF(ISERROR(INDEX(Table2[GAS],MATCH(rrcworking[[#This Row],[Magnum Wolfpak '#]],Table2[Rox Wolf'#],0))),0,INDEX(Table2[GAS],MATCH(rrcworking[[#This Row],[Magnum Wolfpak '#]],Table2[Rox Wolf'#],0)))</f>
        <v>0</v>
      </c>
      <c r="W37" s="24"/>
      <c r="X37" s="137">
        <f>IF(rrcworking[[#This Row],[Pressure Base]]=14.73,rrcworking[[#This Row],[Gas Sales Statement Volume (MCF)]]*$R$2,rrcworking[[#This Row],[Gas Sales Statement Volume (MCF)]])</f>
        <v>0</v>
      </c>
      <c r="Y37" s="60"/>
      <c r="Z37" s="60"/>
      <c r="AA37" s="148">
        <f>IF(ISERROR(INDEX(Table2[LEASE USE],MATCH(rrcworking[[#This Row],[Magnum Wolfpak '#]],Table2[Rox Wolf'#],0))),0,INDEX(Table2[LEASE USE],MATCH(rrcworking[[#This Row],[Magnum Wolfpak '#]],Table2[Rox Wolf'#],0)))</f>
        <v>0</v>
      </c>
      <c r="AB37" s="57">
        <f>rrcworking[[#This Row],[Disposition Volume (MCF) @ 14.65 MCF]]+rrcworking[[#This Row],[Lease Use (MCF)]]</f>
        <v>0</v>
      </c>
      <c r="AC37" s="37"/>
      <c r="AD37" s="37"/>
      <c r="AE37" s="220">
        <f>COUNTIF(FilterList,rrcworking[[#This Row],[Magnum Wolfpak '#]])</f>
        <v>0</v>
      </c>
      <c r="AF37" s="217"/>
      <c r="AG37" s="218"/>
      <c r="AH37" s="37"/>
      <c r="AI37" s="37"/>
      <c r="AJ37" s="37"/>
      <c r="AK37" s="37"/>
      <c r="AL37" s="37"/>
      <c r="AM37" s="37"/>
      <c r="AN37" s="37"/>
      <c r="AO37" s="37"/>
      <c r="AP37" s="37" t="s">
        <v>1204</v>
      </c>
      <c r="AQ37" s="37" t="s">
        <v>1210</v>
      </c>
    </row>
    <row r="38" spans="3:43" ht="90">
      <c r="C38" s="82">
        <v>99069</v>
      </c>
      <c r="D38" s="98" t="s">
        <v>358</v>
      </c>
      <c r="E38" s="134" t="s">
        <v>359</v>
      </c>
      <c r="F38" s="130">
        <v>2</v>
      </c>
      <c r="G38" s="123" t="s">
        <v>1097</v>
      </c>
      <c r="H38" s="127" t="s">
        <v>622</v>
      </c>
      <c r="I38" s="127" t="s">
        <v>59</v>
      </c>
      <c r="J38" s="83" t="s">
        <v>584</v>
      </c>
      <c r="K38" s="104">
        <v>194224</v>
      </c>
      <c r="L38" s="101">
        <f>INDEX(Table1[Production],MATCH(rrcworking[[#This Row],[RRC ID Number]],Table1[RRC Identifier],0))</f>
        <v>10</v>
      </c>
      <c r="M38" s="30">
        <f>INDEX(Table1[Formation Production],MATCH(rrcworking[[#This Row],[RRC ID Number]],Table1[RRC Identifier],0))</f>
        <v>1672</v>
      </c>
      <c r="N38" s="99">
        <f>INDEX(Table1[On Hand End of Month],MATCH(rrcworking[[#This Row],[RRC ID Number]],Table1[RRC Identifier],0))</f>
        <v>256</v>
      </c>
      <c r="O38" s="107" t="b">
        <f t="shared" ref="O38:O69" si="1">IF(AND(L38=0,M38=0), TRUE, FALSE)</f>
        <v>0</v>
      </c>
      <c r="P38" s="214">
        <v>12</v>
      </c>
      <c r="Q38" s="129">
        <f>rrcworking[[#This Row],[Last Month Closing Stock]]</f>
        <v>256</v>
      </c>
      <c r="R38" s="215">
        <v>268</v>
      </c>
      <c r="S38" s="148">
        <f>IF(ISERROR(INDEX(Table2[OIL],MATCH(rrcworking[[#This Row],[Magnum Wolfpak '#]],Table2[Rox Wolf'#],0))),0,INDEX(Table2[OIL],MATCH(rrcworking[[#This Row],[Magnum Wolfpak '#]],Table2[Rox Wolf'#],0)))</f>
        <v>0</v>
      </c>
      <c r="T38" s="100">
        <f>rrcworking[[#This Row],[Closing Stock (Oil)]]+rrcworking[[#This Row],[Sales/Dispostion]]-rrcworking[[#This Row],[Opening Oil Stock]]</f>
        <v>12</v>
      </c>
      <c r="U38" s="113">
        <f>rrcworking[[#This Row],[Gauge Sheet Production Vol]]-rrcworking[[#This Row],[Oil Production]]</f>
        <v>0</v>
      </c>
      <c r="V38" s="148">
        <f>IF(ISERROR(INDEX(Table2[GAS],MATCH(rrcworking[[#This Row],[Magnum Wolfpak '#]],Table2[Rox Wolf'#],0))),0,INDEX(Table2[GAS],MATCH(rrcworking[[#This Row],[Magnum Wolfpak '#]],Table2[Rox Wolf'#],0)))</f>
        <v>2311</v>
      </c>
      <c r="W38" s="84"/>
      <c r="X38" s="138">
        <f>IF(rrcworking[[#This Row],[Pressure Base]]=14.73,rrcworking[[#This Row],[Gas Sales Statement Volume (MCF)]]*$R$2,rrcworking[[#This Row],[Gas Sales Statement Volume (MCF)]])</f>
        <v>2311</v>
      </c>
      <c r="Y38" s="135"/>
      <c r="Z38" s="85">
        <v>3</v>
      </c>
      <c r="AA38" s="148">
        <f>IF(ISERROR(INDEX(Table2[LEASE USE],MATCH(rrcworking[[#This Row],[Magnum Wolfpak '#]],Table2[Rox Wolf'#],0))),0,INDEX(Table2[LEASE USE],MATCH(rrcworking[[#This Row],[Magnum Wolfpak '#]],Table2[Rox Wolf'#],0)))</f>
        <v>84</v>
      </c>
      <c r="AB38" s="86">
        <f>rrcworking[[#This Row],[Disposition Volume (MCF) @ 14.65 MCF]]+rrcworking[[#This Row],[Lease Use (MCF)]]</f>
        <v>2395</v>
      </c>
      <c r="AC38" s="87"/>
      <c r="AD38" s="87" t="s">
        <v>1177</v>
      </c>
      <c r="AE38" s="220">
        <f>COUNTIF(FilterList,rrcworking[[#This Row],[Magnum Wolfpak '#]])</f>
        <v>0</v>
      </c>
      <c r="AF38" s="217"/>
      <c r="AG38" s="218"/>
      <c r="AH38" s="37">
        <v>12</v>
      </c>
      <c r="AI38" s="218">
        <v>251</v>
      </c>
      <c r="AJ38" s="37">
        <v>1</v>
      </c>
      <c r="AK38" s="37" t="s">
        <v>1206</v>
      </c>
      <c r="AL38" s="37" t="s">
        <v>1206</v>
      </c>
      <c r="AM38" s="37" t="s">
        <v>1232</v>
      </c>
      <c r="AN38" s="37" t="s">
        <v>1206</v>
      </c>
      <c r="AO38" s="37" t="s">
        <v>1233</v>
      </c>
      <c r="AP38" s="37" t="s">
        <v>1234</v>
      </c>
      <c r="AQ38" s="37"/>
    </row>
    <row r="39" spans="3:43" ht="15" hidden="1">
      <c r="C39" s="80" t="e">
        <v>#N/A</v>
      </c>
      <c r="D39" s="62" t="s">
        <v>335</v>
      </c>
      <c r="E39" s="133" t="s">
        <v>337</v>
      </c>
      <c r="F39" s="131">
        <v>0</v>
      </c>
      <c r="G39" s="122" t="s">
        <v>1097</v>
      </c>
      <c r="H39" s="18" t="s">
        <v>622</v>
      </c>
      <c r="I39" s="18" t="s">
        <v>2</v>
      </c>
      <c r="J39" s="19" t="s">
        <v>571</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214">
        <v>0</v>
      </c>
      <c r="Q39" s="129">
        <f>rrcworking[[#This Row],[Last Month Closing Stock]]</f>
        <v>69</v>
      </c>
      <c r="R39" s="214">
        <f>rrcworking[[#This Row],[Opening Oil Stock]]</f>
        <v>69</v>
      </c>
      <c r="S39" s="148">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Production Vol]]-rrcworking[[#This Row],[Oil Production]]</f>
        <v>0</v>
      </c>
      <c r="V39" s="148">
        <f>IF(ISERROR(INDEX(Table2[GAS],MATCH(rrcworking[[#This Row],[Magnum Wolfpak '#]],Table2[Rox Wolf'#],0))),0,INDEX(Table2[GAS],MATCH(rrcworking[[#This Row],[Magnum Wolfpak '#]],Table2[Rox Wolf'#],0)))</f>
        <v>0</v>
      </c>
      <c r="W39" s="24"/>
      <c r="X39" s="137">
        <f>IF(rrcworking[[#This Row],[Pressure Base]]=14.73,rrcworking[[#This Row],[Gas Sales Statement Volume (MCF)]]*$R$2,rrcworking[[#This Row],[Gas Sales Statement Volume (MCF)]])</f>
        <v>0</v>
      </c>
      <c r="Y39" s="60"/>
      <c r="Z39" s="60"/>
      <c r="AA39" s="148">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220">
        <f>COUNTIF(FilterList,rrcworking[[#This Row],[Magnum Wolfpak '#]])</f>
        <v>0</v>
      </c>
      <c r="AF39" s="217"/>
      <c r="AG39" s="218"/>
      <c r="AH39" s="37"/>
      <c r="AI39" s="37"/>
      <c r="AJ39" s="37"/>
      <c r="AK39" s="37"/>
      <c r="AL39" s="37"/>
      <c r="AM39" s="37"/>
      <c r="AN39" s="37"/>
      <c r="AO39" s="37"/>
      <c r="AP39" s="37"/>
      <c r="AQ39" s="37"/>
    </row>
    <row r="40" spans="3:43" ht="15" hidden="1">
      <c r="C40" s="80" t="e">
        <v>#N/A</v>
      </c>
      <c r="D40" s="62" t="s">
        <v>82</v>
      </c>
      <c r="E40" s="133" t="s">
        <v>83</v>
      </c>
      <c r="F40" s="131" t="s">
        <v>84</v>
      </c>
      <c r="G40" s="122" t="s">
        <v>1097</v>
      </c>
      <c r="H40" s="18" t="s">
        <v>620</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214">
        <v>0</v>
      </c>
      <c r="Q40" s="129">
        <f>rrcworking[[#This Row],[Last Month Closing Stock]]</f>
        <v>26</v>
      </c>
      <c r="R40" s="214">
        <f>rrcworking[[#This Row],[Opening Oil Stock]]</f>
        <v>26</v>
      </c>
      <c r="S40" s="148">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Production Vol]]-rrcworking[[#This Row],[Oil Production]]</f>
        <v>0</v>
      </c>
      <c r="V40" s="148">
        <f>IF(ISERROR(INDEX(Table2[GAS],MATCH(rrcworking[[#This Row],[Magnum Wolfpak '#]],Table2[Rox Wolf'#],0))),0,INDEX(Table2[GAS],MATCH(rrcworking[[#This Row],[Magnum Wolfpak '#]],Table2[Rox Wolf'#],0)))</f>
        <v>0</v>
      </c>
      <c r="W40" s="24"/>
      <c r="X40" s="137">
        <f>IF(rrcworking[[#This Row],[Pressure Base]]=14.73,rrcworking[[#This Row],[Gas Sales Statement Volume (MCF)]]*$R$2,rrcworking[[#This Row],[Gas Sales Statement Volume (MCF)]])</f>
        <v>0</v>
      </c>
      <c r="Y40" s="60"/>
      <c r="Z40" s="60"/>
      <c r="AA40" s="148">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220">
        <f>COUNTIF(FilterList,rrcworking[[#This Row],[Magnum Wolfpak '#]])</f>
        <v>0</v>
      </c>
      <c r="AF40" s="217"/>
      <c r="AG40" s="218"/>
      <c r="AH40" s="37"/>
      <c r="AI40" s="37"/>
      <c r="AJ40" s="37"/>
      <c r="AK40" s="37"/>
      <c r="AL40" s="37"/>
      <c r="AM40" s="37"/>
      <c r="AN40" s="37"/>
      <c r="AO40" s="37"/>
      <c r="AP40" s="37"/>
      <c r="AQ40" s="37"/>
    </row>
    <row r="41" spans="3:43" ht="15" hidden="1">
      <c r="C41" s="80" t="e">
        <v>#N/A</v>
      </c>
      <c r="D41" s="62" t="s">
        <v>179</v>
      </c>
      <c r="E41" s="133" t="s">
        <v>180</v>
      </c>
      <c r="F41" s="131">
        <v>1</v>
      </c>
      <c r="G41" s="122" t="s">
        <v>1097</v>
      </c>
      <c r="H41" s="18" t="s">
        <v>621</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214">
        <v>0</v>
      </c>
      <c r="Q41" s="129">
        <f>rrcworking[[#This Row],[Last Month Closing Stock]]</f>
        <v>173</v>
      </c>
      <c r="R41" s="214">
        <f>rrcworking[[#This Row],[Opening Oil Stock]]</f>
        <v>173</v>
      </c>
      <c r="S41" s="148">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Production Vol]]-rrcworking[[#This Row],[Oil Production]]</f>
        <v>0</v>
      </c>
      <c r="V41" s="148">
        <f>IF(ISERROR(INDEX(Table2[GAS],MATCH(rrcworking[[#This Row],[Magnum Wolfpak '#]],Table2[Rox Wolf'#],0))),0,INDEX(Table2[GAS],MATCH(rrcworking[[#This Row],[Magnum Wolfpak '#]],Table2[Rox Wolf'#],0)))</f>
        <v>0</v>
      </c>
      <c r="W41" s="24"/>
      <c r="X41" s="137">
        <f>IF(rrcworking[[#This Row],[Pressure Base]]=14.73,rrcworking[[#This Row],[Gas Sales Statement Volume (MCF)]]*$R$2,rrcworking[[#This Row],[Gas Sales Statement Volume (MCF)]])</f>
        <v>0</v>
      </c>
      <c r="Y41" s="60"/>
      <c r="Z41" s="60"/>
      <c r="AA41" s="148">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220">
        <f>COUNTIF(FilterList,rrcworking[[#This Row],[Magnum Wolfpak '#]])</f>
        <v>0</v>
      </c>
      <c r="AF41" s="217"/>
      <c r="AG41" s="218"/>
      <c r="AH41" s="37"/>
      <c r="AI41" s="37"/>
      <c r="AJ41" s="37"/>
      <c r="AK41" s="37"/>
      <c r="AL41" s="37"/>
      <c r="AM41" s="37"/>
      <c r="AN41" s="37"/>
      <c r="AO41" s="37"/>
      <c r="AP41" s="37"/>
      <c r="AQ41" s="37"/>
    </row>
    <row r="42" spans="3:43" ht="30">
      <c r="C42" s="80">
        <v>98965</v>
      </c>
      <c r="D42" s="62" t="s">
        <v>190</v>
      </c>
      <c r="E42" s="133" t="s">
        <v>192</v>
      </c>
      <c r="F42" s="131">
        <v>3</v>
      </c>
      <c r="G42" s="122" t="s">
        <v>1097</v>
      </c>
      <c r="H42" s="188" t="s">
        <v>1154</v>
      </c>
      <c r="I42" s="18" t="s">
        <v>59</v>
      </c>
      <c r="J42" s="19" t="s">
        <v>484</v>
      </c>
      <c r="K42" s="103">
        <v>278004</v>
      </c>
      <c r="L42" s="101">
        <f>INDEX(Table1[Production],MATCH(rrcworking[[#This Row],[RRC ID Number]],Table1[RRC Identifier],0))</f>
        <v>45</v>
      </c>
      <c r="M42" s="30">
        <f>INDEX(Table1[Formation Production],MATCH(rrcworking[[#This Row],[RRC ID Number]],Table1[RRC Identifier],0))</f>
        <v>1218</v>
      </c>
      <c r="N42" s="31">
        <f>INDEX(Table1[On Hand End of Month],MATCH(rrcworking[[#This Row],[RRC ID Number]],Table1[RRC Identifier],0))</f>
        <v>90</v>
      </c>
      <c r="O42" s="106" t="b">
        <f t="shared" si="1"/>
        <v>0</v>
      </c>
      <c r="P42" s="214">
        <v>172</v>
      </c>
      <c r="Q42" s="129">
        <f>rrcworking[[#This Row],[Last Month Closing Stock]]</f>
        <v>90</v>
      </c>
      <c r="R42" s="215">
        <v>172</v>
      </c>
      <c r="S42" s="148">
        <f>IF(ISERROR(INDEX(Table2[OIL],MATCH(rrcworking[[#This Row],[Magnum Wolfpak '#]],Table2[Rox Wolf'#],0))),0,INDEX(Table2[OIL],MATCH(rrcworking[[#This Row],[Magnum Wolfpak '#]],Table2[Rox Wolf'#],0)))</f>
        <v>0</v>
      </c>
      <c r="T42" s="35">
        <f>rrcworking[[#This Row],[Closing Stock (Oil)]]+rrcworking[[#This Row],[Sales/Dispostion]]-rrcworking[[#This Row],[Opening Oil Stock]]</f>
        <v>82</v>
      </c>
      <c r="U42" s="112">
        <f>rrcworking[[#This Row],[Gauge Sheet Production Vol]]-rrcworking[[#This Row],[Oil Production]]</f>
        <v>90</v>
      </c>
      <c r="V42" s="148">
        <f>IF(ISERROR(INDEX(Table2[GAS],MATCH(rrcworking[[#This Row],[Magnum Wolfpak '#]],Table2[Rox Wolf'#],0))),0,INDEX(Table2[GAS],MATCH(rrcworking[[#This Row],[Magnum Wolfpak '#]],Table2[Rox Wolf'#],0)))</f>
        <v>0</v>
      </c>
      <c r="W42" s="24"/>
      <c r="X42" s="137">
        <f>IF(rrcworking[[#This Row],[Pressure Base]]=14.73,rrcworking[[#This Row],[Gas Sales Statement Volume (MCF)]]*$R$2,rrcworking[[#This Row],[Gas Sales Statement Volume (MCF)]])</f>
        <v>0</v>
      </c>
      <c r="Y42" s="85"/>
      <c r="Z42" s="60">
        <v>1</v>
      </c>
      <c r="AA42" s="148">
        <f>IF(ISERROR(INDEX(Table2[LEASE USE],MATCH(rrcworking[[#This Row],[Magnum Wolfpak '#]],Table2[Rox Wolf'#],0))),0,INDEX(Table2[LEASE USE],MATCH(rrcworking[[#This Row],[Magnum Wolfpak '#]],Table2[Rox Wolf'#],0)))</f>
        <v>3</v>
      </c>
      <c r="AB42" s="57">
        <f>rrcworking[[#This Row],[Disposition Volume (MCF) @ 14.65 MCF]]+rrcworking[[#This Row],[Lease Use (MCF)]]</f>
        <v>3</v>
      </c>
      <c r="AC42" s="37"/>
      <c r="AD42" s="37" t="s">
        <v>1186</v>
      </c>
      <c r="AE42" s="220">
        <f>COUNTIF(FilterList,rrcworking[[#This Row],[Magnum Wolfpak '#]])</f>
        <v>0</v>
      </c>
      <c r="AF42" s="217"/>
      <c r="AG42" s="218"/>
      <c r="AH42" s="37">
        <v>172</v>
      </c>
      <c r="AI42" s="218">
        <v>172</v>
      </c>
      <c r="AJ42" s="37">
        <v>1</v>
      </c>
      <c r="AK42" s="37" t="s">
        <v>1206</v>
      </c>
      <c r="AL42" s="37" t="s">
        <v>1206</v>
      </c>
      <c r="AM42" s="37" t="s">
        <v>1235</v>
      </c>
      <c r="AN42" s="37" t="s">
        <v>1206</v>
      </c>
      <c r="AO42" s="37" t="s">
        <v>1217</v>
      </c>
      <c r="AP42" s="37" t="s">
        <v>1236</v>
      </c>
      <c r="AQ42" s="37" t="s">
        <v>1237</v>
      </c>
    </row>
    <row r="43" spans="3:43" ht="15" hidden="1">
      <c r="C43" s="80" t="e">
        <v>#N/A</v>
      </c>
      <c r="D43" s="62" t="s">
        <v>190</v>
      </c>
      <c r="E43" s="133" t="s">
        <v>191</v>
      </c>
      <c r="F43" s="131">
        <v>0</v>
      </c>
      <c r="G43" s="122" t="s">
        <v>1097</v>
      </c>
      <c r="H43" s="18" t="s">
        <v>621</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214"/>
      <c r="Q43" s="129">
        <f>rrcworking[[#This Row],[Last Month Closing Stock]]</f>
        <v>0</v>
      </c>
      <c r="R43" s="214"/>
      <c r="S43" s="148">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Production Vol]]-rrcworking[[#This Row],[Oil Production]]</f>
        <v>0</v>
      </c>
      <c r="V43" s="148">
        <f>IF(ISERROR(INDEX(Table2[GAS],MATCH(rrcworking[[#This Row],[Magnum Wolfpak '#]],Table2[Rox Wolf'#],0))),0,INDEX(Table2[GAS],MATCH(rrcworking[[#This Row],[Magnum Wolfpak '#]],Table2[Rox Wolf'#],0)))</f>
        <v>0</v>
      </c>
      <c r="W43" s="24"/>
      <c r="X43" s="137">
        <f>IF(rrcworking[[#This Row],[Pressure Base]]=14.73,rrcworking[[#This Row],[Gas Sales Statement Volume (MCF)]]*$R$2,rrcworking[[#This Row],[Gas Sales Statement Volume (MCF)]])</f>
        <v>0</v>
      </c>
      <c r="Y43" s="60"/>
      <c r="Z43" s="60"/>
      <c r="AA43" s="148">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220">
        <f>COUNTIF(FilterList,rrcworking[[#This Row],[Magnum Wolfpak '#]])</f>
        <v>0</v>
      </c>
      <c r="AF43" s="217"/>
      <c r="AG43" s="218"/>
      <c r="AH43" s="37"/>
      <c r="AI43" s="37"/>
      <c r="AJ43" s="37"/>
      <c r="AK43" s="37"/>
      <c r="AL43" s="37"/>
      <c r="AM43" s="37"/>
      <c r="AN43" s="37"/>
      <c r="AO43" s="37"/>
      <c r="AP43" s="37"/>
      <c r="AQ43" s="37"/>
    </row>
    <row r="44" spans="3:43" ht="15" hidden="1">
      <c r="C44" s="80" t="e">
        <v>#N/A</v>
      </c>
      <c r="D44" s="62" t="s">
        <v>204</v>
      </c>
      <c r="E44" s="133" t="s">
        <v>205</v>
      </c>
      <c r="F44" s="131" t="s">
        <v>206</v>
      </c>
      <c r="G44" s="122" t="s">
        <v>1097</v>
      </c>
      <c r="H44" s="18" t="s">
        <v>621</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214"/>
      <c r="Q44" s="129">
        <f>rrcworking[[#This Row],[Last Month Closing Stock]]</f>
        <v>0</v>
      </c>
      <c r="R44" s="214"/>
      <c r="S44" s="148">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Production Vol]]-rrcworking[[#This Row],[Oil Production]]</f>
        <v>0</v>
      </c>
      <c r="V44" s="148">
        <f>IF(ISERROR(INDEX(Table2[GAS],MATCH(rrcworking[[#This Row],[Magnum Wolfpak '#]],Table2[Rox Wolf'#],0))),0,INDEX(Table2[GAS],MATCH(rrcworking[[#This Row],[Magnum Wolfpak '#]],Table2[Rox Wolf'#],0)))</f>
        <v>0</v>
      </c>
      <c r="W44" s="24"/>
      <c r="X44" s="137">
        <f>IF(rrcworking[[#This Row],[Pressure Base]]=14.73,rrcworking[[#This Row],[Gas Sales Statement Volume (MCF)]]*$R$2,rrcworking[[#This Row],[Gas Sales Statement Volume (MCF)]])</f>
        <v>0</v>
      </c>
      <c r="Y44" s="60"/>
      <c r="Z44" s="60"/>
      <c r="AA44" s="148">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220">
        <f>COUNTIF(FilterList,rrcworking[[#This Row],[Magnum Wolfpak '#]])</f>
        <v>0</v>
      </c>
      <c r="AF44" s="217"/>
      <c r="AG44" s="218"/>
      <c r="AH44" s="37"/>
      <c r="AI44" s="37"/>
      <c r="AJ44" s="37"/>
      <c r="AK44" s="37"/>
      <c r="AL44" s="37"/>
      <c r="AM44" s="37"/>
      <c r="AN44" s="37"/>
      <c r="AO44" s="37"/>
      <c r="AP44" s="37"/>
      <c r="AQ44" s="37"/>
    </row>
    <row r="45" spans="3:43" ht="15" hidden="1">
      <c r="C45" s="80" t="e">
        <v>#N/A</v>
      </c>
      <c r="D45" s="62" t="s">
        <v>152</v>
      </c>
      <c r="E45" s="133" t="s">
        <v>153</v>
      </c>
      <c r="F45" s="142" t="s">
        <v>57</v>
      </c>
      <c r="G45" s="122" t="s">
        <v>1097</v>
      </c>
      <c r="H45" s="18" t="s">
        <v>621</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214">
        <v>0</v>
      </c>
      <c r="Q45" s="129">
        <f>rrcworking[[#This Row],[Last Month Closing Stock]]</f>
        <v>139</v>
      </c>
      <c r="R45" s="214">
        <f>rrcworking[[#This Row],[Opening Oil Stock]]</f>
        <v>139</v>
      </c>
      <c r="S45" s="148">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Production Vol]]-rrcworking[[#This Row],[Oil Production]]</f>
        <v>0</v>
      </c>
      <c r="V45" s="148">
        <f>IF(ISERROR(INDEX(Table2[GAS],MATCH(rrcworking[[#This Row],[Magnum Wolfpak '#]],Table2[Rox Wolf'#],0))),0,INDEX(Table2[GAS],MATCH(rrcworking[[#This Row],[Magnum Wolfpak '#]],Table2[Rox Wolf'#],0)))</f>
        <v>0</v>
      </c>
      <c r="W45" s="24"/>
      <c r="X45" s="137">
        <f>IF(rrcworking[[#This Row],[Pressure Base]]=14.73,rrcworking[[#This Row],[Gas Sales Statement Volume (MCF)]]*$R$2,rrcworking[[#This Row],[Gas Sales Statement Volume (MCF)]])</f>
        <v>0</v>
      </c>
      <c r="Y45" s="60"/>
      <c r="Z45" s="60"/>
      <c r="AA45" s="148">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220">
        <f>COUNTIF(FilterList,rrcworking[[#This Row],[Magnum Wolfpak '#]])</f>
        <v>0</v>
      </c>
      <c r="AF45" s="217"/>
      <c r="AG45" s="218"/>
      <c r="AH45" s="37"/>
      <c r="AI45" s="37"/>
      <c r="AJ45" s="37"/>
      <c r="AK45" s="37"/>
      <c r="AL45" s="37"/>
      <c r="AM45" s="37"/>
      <c r="AN45" s="37"/>
      <c r="AO45" s="37"/>
      <c r="AP45" s="37"/>
      <c r="AQ45" s="37"/>
    </row>
    <row r="46" spans="3:43" ht="180" hidden="1">
      <c r="C46" s="80">
        <v>99225</v>
      </c>
      <c r="D46" s="62" t="s">
        <v>155</v>
      </c>
      <c r="E46" s="133" t="s">
        <v>153</v>
      </c>
      <c r="F46" s="142" t="s">
        <v>1141</v>
      </c>
      <c r="G46" s="122" t="s">
        <v>1097</v>
      </c>
      <c r="H46" s="18" t="s">
        <v>621</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214">
        <v>0</v>
      </c>
      <c r="Q46" s="129">
        <f>rrcworking[[#This Row],[Last Month Closing Stock]]</f>
        <v>28</v>
      </c>
      <c r="R46" s="214">
        <v>28</v>
      </c>
      <c r="S46" s="148">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Production Vol]]-rrcworking[[#This Row],[Oil Production]]</f>
        <v>0</v>
      </c>
      <c r="V46" s="148">
        <f>IF(ISERROR(INDEX(Table2[GAS],MATCH(rrcworking[[#This Row],[Magnum Wolfpak '#]],Table2[Rox Wolf'#],0))),0,INDEX(Table2[GAS],MATCH(rrcworking[[#This Row],[Magnum Wolfpak '#]],Table2[Rox Wolf'#],0)))</f>
        <v>0</v>
      </c>
      <c r="W46" s="24"/>
      <c r="X46" s="137">
        <f>IF(rrcworking[[#This Row],[Pressure Base]]=14.73,rrcworking[[#This Row],[Gas Sales Statement Volume (MCF)]]*$R$2,rrcworking[[#This Row],[Gas Sales Statement Volume (MCF)]])</f>
        <v>0</v>
      </c>
      <c r="Y46" s="60"/>
      <c r="Z46" s="60"/>
      <c r="AA46" s="148">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1150</v>
      </c>
      <c r="AE46" s="220">
        <f>COUNTIF(FilterList,rrcworking[[#This Row],[Magnum Wolfpak '#]])</f>
        <v>0</v>
      </c>
      <c r="AF46" s="217"/>
      <c r="AG46" s="218"/>
      <c r="AH46" s="37"/>
      <c r="AI46" s="37"/>
      <c r="AJ46" s="219"/>
      <c r="AK46" s="219"/>
      <c r="AL46" s="219"/>
      <c r="AM46" s="219"/>
      <c r="AN46" s="219"/>
      <c r="AO46" s="219"/>
      <c r="AP46" s="37" t="s">
        <v>1204</v>
      </c>
      <c r="AQ46" s="37" t="s">
        <v>1231</v>
      </c>
    </row>
    <row r="47" spans="3:43" ht="15" hidden="1">
      <c r="C47" s="80" t="e">
        <v>#N/A</v>
      </c>
      <c r="D47" s="62" t="s">
        <v>159</v>
      </c>
      <c r="E47" s="133" t="s">
        <v>153</v>
      </c>
      <c r="F47" s="142" t="s">
        <v>58</v>
      </c>
      <c r="G47" s="122" t="s">
        <v>1097</v>
      </c>
      <c r="H47" s="18" t="s">
        <v>621</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214">
        <v>0</v>
      </c>
      <c r="Q47" s="129">
        <f>rrcworking[[#This Row],[Last Month Closing Stock]]</f>
        <v>32</v>
      </c>
      <c r="R47" s="214">
        <f>rrcworking[[#This Row],[Opening Oil Stock]]</f>
        <v>32</v>
      </c>
      <c r="S47" s="148">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Production Vol]]-rrcworking[[#This Row],[Oil Production]]</f>
        <v>0</v>
      </c>
      <c r="V47" s="148">
        <f>IF(ISERROR(INDEX(Table2[GAS],MATCH(rrcworking[[#This Row],[Magnum Wolfpak '#]],Table2[Rox Wolf'#],0))),0,INDEX(Table2[GAS],MATCH(rrcworking[[#This Row],[Magnum Wolfpak '#]],Table2[Rox Wolf'#],0)))</f>
        <v>0</v>
      </c>
      <c r="W47" s="24"/>
      <c r="X47" s="137">
        <f>IF(rrcworking[[#This Row],[Pressure Base]]=14.73,rrcworking[[#This Row],[Gas Sales Statement Volume (MCF)]]*$R$2,rrcworking[[#This Row],[Gas Sales Statement Volume (MCF)]])</f>
        <v>0</v>
      </c>
      <c r="Y47" s="60"/>
      <c r="Z47" s="60"/>
      <c r="AA47" s="148">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220">
        <f>COUNTIF(FilterList,rrcworking[[#This Row],[Magnum Wolfpak '#]])</f>
        <v>0</v>
      </c>
      <c r="AF47" s="217"/>
      <c r="AG47" s="218"/>
      <c r="AH47" s="37"/>
      <c r="AI47" s="37"/>
      <c r="AJ47" s="37"/>
      <c r="AK47" s="37"/>
      <c r="AL47" s="37"/>
      <c r="AM47" s="37"/>
      <c r="AN47" s="37"/>
      <c r="AO47" s="37"/>
      <c r="AP47" s="37"/>
      <c r="AQ47" s="37"/>
    </row>
    <row r="48" spans="3:43" ht="15" hidden="1">
      <c r="C48" s="80" t="e">
        <v>#N/A</v>
      </c>
      <c r="D48" s="62" t="s">
        <v>152</v>
      </c>
      <c r="E48" s="133" t="s">
        <v>154</v>
      </c>
      <c r="F48" s="131">
        <v>0</v>
      </c>
      <c r="G48" s="122" t="s">
        <v>1097</v>
      </c>
      <c r="H48" s="18" t="s">
        <v>621</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214"/>
      <c r="Q48" s="129">
        <f>rrcworking[[#This Row],[Last Month Closing Stock]]</f>
        <v>0</v>
      </c>
      <c r="R48" s="214"/>
      <c r="S48" s="148">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Production Vol]]-rrcworking[[#This Row],[Oil Production]]</f>
        <v>0</v>
      </c>
      <c r="V48" s="148">
        <f>IF(ISERROR(INDEX(Table2[GAS],MATCH(rrcworking[[#This Row],[Magnum Wolfpak '#]],Table2[Rox Wolf'#],0))),0,INDEX(Table2[GAS],MATCH(rrcworking[[#This Row],[Magnum Wolfpak '#]],Table2[Rox Wolf'#],0)))</f>
        <v>0</v>
      </c>
      <c r="W48" s="24"/>
      <c r="X48" s="137">
        <f>IF(rrcworking[[#This Row],[Pressure Base]]=14.73,rrcworking[[#This Row],[Gas Sales Statement Volume (MCF)]]*$R$2,rrcworking[[#This Row],[Gas Sales Statement Volume (MCF)]])</f>
        <v>0</v>
      </c>
      <c r="Y48" s="60"/>
      <c r="Z48" s="60"/>
      <c r="AA48" s="148">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220">
        <f>COUNTIF(FilterList,rrcworking[[#This Row],[Magnum Wolfpak '#]])</f>
        <v>0</v>
      </c>
      <c r="AF48" s="217"/>
      <c r="AG48" s="218"/>
      <c r="AH48" s="37"/>
      <c r="AI48" s="37"/>
      <c r="AJ48" s="37"/>
      <c r="AK48" s="37"/>
      <c r="AL48" s="37"/>
      <c r="AM48" s="37"/>
      <c r="AN48" s="37"/>
      <c r="AO48" s="37"/>
      <c r="AP48" s="37"/>
      <c r="AQ48" s="37"/>
    </row>
    <row r="49" spans="3:43" ht="15" hidden="1">
      <c r="C49" s="80" t="e">
        <v>#N/A</v>
      </c>
      <c r="D49" s="62" t="s">
        <v>157</v>
      </c>
      <c r="E49" s="133" t="s">
        <v>158</v>
      </c>
      <c r="F49" s="131">
        <v>5</v>
      </c>
      <c r="G49" s="122" t="s">
        <v>1097</v>
      </c>
      <c r="H49" s="18" t="s">
        <v>621</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214"/>
      <c r="Q49" s="129">
        <f>rrcworking[[#This Row],[Last Month Closing Stock]]</f>
        <v>0</v>
      </c>
      <c r="R49" s="214"/>
      <c r="S49" s="148">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Production Vol]]-rrcworking[[#This Row],[Oil Production]]</f>
        <v>0</v>
      </c>
      <c r="V49" s="148">
        <f>IF(ISERROR(INDEX(Table2[GAS],MATCH(rrcworking[[#This Row],[Magnum Wolfpak '#]],Table2[Rox Wolf'#],0))),0,INDEX(Table2[GAS],MATCH(rrcworking[[#This Row],[Magnum Wolfpak '#]],Table2[Rox Wolf'#],0)))</f>
        <v>0</v>
      </c>
      <c r="W49" s="24"/>
      <c r="X49" s="137">
        <f>IF(rrcworking[[#This Row],[Pressure Base]]=14.73,rrcworking[[#This Row],[Gas Sales Statement Volume (MCF)]]*$R$2,rrcworking[[#This Row],[Gas Sales Statement Volume (MCF)]])</f>
        <v>0</v>
      </c>
      <c r="Y49" s="60"/>
      <c r="Z49" s="60"/>
      <c r="AA49" s="148">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220">
        <f>COUNTIF(FilterList,rrcworking[[#This Row],[Magnum Wolfpak '#]])</f>
        <v>0</v>
      </c>
      <c r="AF49" s="217"/>
      <c r="AG49" s="218"/>
      <c r="AH49" s="37"/>
      <c r="AI49" s="37"/>
      <c r="AJ49" s="37"/>
      <c r="AK49" s="37"/>
      <c r="AL49" s="37"/>
      <c r="AM49" s="37"/>
      <c r="AN49" s="37"/>
      <c r="AO49" s="37"/>
      <c r="AP49" s="37"/>
      <c r="AQ49" s="37"/>
    </row>
    <row r="50" spans="3:43" ht="15" hidden="1">
      <c r="C50" s="80" t="e">
        <v>#N/A</v>
      </c>
      <c r="D50" s="62" t="s">
        <v>178</v>
      </c>
      <c r="E50" s="133" t="s">
        <v>158</v>
      </c>
      <c r="F50" s="131">
        <v>1</v>
      </c>
      <c r="G50" s="122" t="s">
        <v>1097</v>
      </c>
      <c r="H50" s="18" t="s">
        <v>621</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214"/>
      <c r="Q50" s="129">
        <f>rrcworking[[#This Row],[Last Month Closing Stock]]</f>
        <v>0</v>
      </c>
      <c r="R50" s="214"/>
      <c r="S50" s="148">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Production Vol]]-rrcworking[[#This Row],[Oil Production]]</f>
        <v>0</v>
      </c>
      <c r="V50" s="148">
        <f>IF(ISERROR(INDEX(Table2[GAS],MATCH(rrcworking[[#This Row],[Magnum Wolfpak '#]],Table2[Rox Wolf'#],0))),0,INDEX(Table2[GAS],MATCH(rrcworking[[#This Row],[Magnum Wolfpak '#]],Table2[Rox Wolf'#],0)))</f>
        <v>0</v>
      </c>
      <c r="W50" s="24"/>
      <c r="X50" s="137">
        <f>IF(rrcworking[[#This Row],[Pressure Base]]=14.73,rrcworking[[#This Row],[Gas Sales Statement Volume (MCF)]]*$R$2,rrcworking[[#This Row],[Gas Sales Statement Volume (MCF)]])</f>
        <v>0</v>
      </c>
      <c r="Y50" s="60"/>
      <c r="Z50" s="60"/>
      <c r="AA50" s="148">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220">
        <f>COUNTIF(FilterList,rrcworking[[#This Row],[Magnum Wolfpak '#]])</f>
        <v>0</v>
      </c>
      <c r="AF50" s="217"/>
      <c r="AG50" s="218"/>
      <c r="AH50" s="37"/>
      <c r="AI50" s="37"/>
      <c r="AJ50" s="37"/>
      <c r="AK50" s="37"/>
      <c r="AL50" s="37"/>
      <c r="AM50" s="37"/>
      <c r="AN50" s="37"/>
      <c r="AO50" s="37"/>
      <c r="AP50" s="37"/>
      <c r="AQ50" s="37"/>
    </row>
    <row r="51" spans="3:43" ht="15" hidden="1">
      <c r="C51" s="80" t="e">
        <v>#N/A</v>
      </c>
      <c r="D51" s="62" t="s">
        <v>162</v>
      </c>
      <c r="E51" s="133" t="s">
        <v>163</v>
      </c>
      <c r="F51" s="131">
        <v>7</v>
      </c>
      <c r="G51" s="122" t="s">
        <v>1097</v>
      </c>
      <c r="H51" s="18" t="s">
        <v>621</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214"/>
      <c r="Q51" s="129">
        <f>rrcworking[[#This Row],[Last Month Closing Stock]]</f>
        <v>0</v>
      </c>
      <c r="R51" s="214"/>
      <c r="S51" s="148">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Production Vol]]-rrcworking[[#This Row],[Oil Production]]</f>
        <v>0</v>
      </c>
      <c r="V51" s="148">
        <f>IF(ISERROR(INDEX(Table2[GAS],MATCH(rrcworking[[#This Row],[Magnum Wolfpak '#]],Table2[Rox Wolf'#],0))),0,INDEX(Table2[GAS],MATCH(rrcworking[[#This Row],[Magnum Wolfpak '#]],Table2[Rox Wolf'#],0)))</f>
        <v>0</v>
      </c>
      <c r="W51" s="24"/>
      <c r="X51" s="137">
        <f>IF(rrcworking[[#This Row],[Pressure Base]]=14.73,rrcworking[[#This Row],[Gas Sales Statement Volume (MCF)]]*$R$2,rrcworking[[#This Row],[Gas Sales Statement Volume (MCF)]])</f>
        <v>0</v>
      </c>
      <c r="Y51" s="60"/>
      <c r="Z51" s="60"/>
      <c r="AA51" s="148">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220">
        <f>COUNTIF(FilterList,rrcworking[[#This Row],[Magnum Wolfpak '#]])</f>
        <v>0</v>
      </c>
      <c r="AF51" s="217"/>
      <c r="AG51" s="218"/>
      <c r="AH51" s="37"/>
      <c r="AI51" s="37"/>
      <c r="AJ51" s="37"/>
      <c r="AK51" s="37"/>
      <c r="AL51" s="37"/>
      <c r="AM51" s="37"/>
      <c r="AN51" s="37"/>
      <c r="AO51" s="37"/>
      <c r="AP51" s="37"/>
      <c r="AQ51" s="37"/>
    </row>
    <row r="52" spans="3:43" ht="15" hidden="1">
      <c r="C52" s="80" t="e">
        <v>#N/A</v>
      </c>
      <c r="D52" s="62" t="s">
        <v>160</v>
      </c>
      <c r="E52" s="133" t="s">
        <v>161</v>
      </c>
      <c r="F52" s="131">
        <v>1</v>
      </c>
      <c r="G52" s="122" t="s">
        <v>1097</v>
      </c>
      <c r="H52" s="18" t="s">
        <v>621</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214"/>
      <c r="Q52" s="129">
        <f>rrcworking[[#This Row],[Last Month Closing Stock]]</f>
        <v>0</v>
      </c>
      <c r="R52" s="214"/>
      <c r="S52" s="148">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Production Vol]]-rrcworking[[#This Row],[Oil Production]]</f>
        <v>0</v>
      </c>
      <c r="V52" s="148">
        <f>IF(ISERROR(INDEX(Table2[GAS],MATCH(rrcworking[[#This Row],[Magnum Wolfpak '#]],Table2[Rox Wolf'#],0))),0,INDEX(Table2[GAS],MATCH(rrcworking[[#This Row],[Magnum Wolfpak '#]],Table2[Rox Wolf'#],0)))</f>
        <v>0</v>
      </c>
      <c r="W52" s="24"/>
      <c r="X52" s="137">
        <f>IF(rrcworking[[#This Row],[Pressure Base]]=14.73,rrcworking[[#This Row],[Gas Sales Statement Volume (MCF)]]*$R$2,rrcworking[[#This Row],[Gas Sales Statement Volume (MCF)]])</f>
        <v>0</v>
      </c>
      <c r="Y52" s="60"/>
      <c r="Z52" s="60"/>
      <c r="AA52" s="148">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220">
        <f>COUNTIF(FilterList,rrcworking[[#This Row],[Magnum Wolfpak '#]])</f>
        <v>0</v>
      </c>
      <c r="AF52" s="217"/>
      <c r="AG52" s="218"/>
      <c r="AH52" s="37"/>
      <c r="AI52" s="37"/>
      <c r="AJ52" s="37"/>
      <c r="AK52" s="37"/>
      <c r="AL52" s="37"/>
      <c r="AM52" s="37"/>
      <c r="AN52" s="37"/>
      <c r="AO52" s="37"/>
      <c r="AP52" s="37"/>
      <c r="AQ52" s="37"/>
    </row>
    <row r="53" spans="3:43" ht="15" hidden="1">
      <c r="C53" s="80" t="e">
        <v>#N/A</v>
      </c>
      <c r="D53" s="62" t="s">
        <v>309</v>
      </c>
      <c r="E53" s="133" t="s">
        <v>311</v>
      </c>
      <c r="F53" s="131">
        <v>1</v>
      </c>
      <c r="G53" s="122" t="s">
        <v>1097</v>
      </c>
      <c r="H53" s="18" t="s">
        <v>622</v>
      </c>
      <c r="I53" s="18" t="s">
        <v>59</v>
      </c>
      <c r="J53" s="19" t="s">
        <v>554</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214"/>
      <c r="Q53" s="129">
        <f>rrcworking[[#This Row],[Last Month Closing Stock]]</f>
        <v>0</v>
      </c>
      <c r="R53" s="214"/>
      <c r="S53" s="148">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Production Vol]]-rrcworking[[#This Row],[Oil Production]]</f>
        <v>0</v>
      </c>
      <c r="V53" s="148">
        <f>IF(ISERROR(INDEX(Table2[GAS],MATCH(rrcworking[[#This Row],[Magnum Wolfpak '#]],Table2[Rox Wolf'#],0))),0,INDEX(Table2[GAS],MATCH(rrcworking[[#This Row],[Magnum Wolfpak '#]],Table2[Rox Wolf'#],0)))</f>
        <v>0</v>
      </c>
      <c r="W53" s="24"/>
      <c r="X53" s="137">
        <f>IF(rrcworking[[#This Row],[Pressure Base]]=14.73,rrcworking[[#This Row],[Gas Sales Statement Volume (MCF)]]*$R$2,rrcworking[[#This Row],[Gas Sales Statement Volume (MCF)]])</f>
        <v>0</v>
      </c>
      <c r="Y53" s="60"/>
      <c r="Z53" s="60"/>
      <c r="AA53" s="148">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220">
        <f>COUNTIF(FilterList,rrcworking[[#This Row],[Magnum Wolfpak '#]])</f>
        <v>0</v>
      </c>
      <c r="AF53" s="217"/>
      <c r="AG53" s="218"/>
      <c r="AH53" s="37"/>
      <c r="AI53" s="37"/>
      <c r="AJ53" s="37"/>
      <c r="AK53" s="37"/>
      <c r="AL53" s="37"/>
      <c r="AM53" s="37"/>
      <c r="AN53" s="37"/>
      <c r="AO53" s="37"/>
      <c r="AP53" s="37"/>
      <c r="AQ53" s="37"/>
    </row>
    <row r="54" spans="3:43" ht="15">
      <c r="C54" s="80">
        <v>99307</v>
      </c>
      <c r="D54" s="62" t="s">
        <v>254</v>
      </c>
      <c r="E54" s="133" t="s">
        <v>255</v>
      </c>
      <c r="F54" s="131">
        <v>2</v>
      </c>
      <c r="G54" s="122" t="s">
        <v>1097</v>
      </c>
      <c r="H54" s="18" t="s">
        <v>621</v>
      </c>
      <c r="I54" s="18" t="s">
        <v>59</v>
      </c>
      <c r="J54" s="19" t="s">
        <v>517</v>
      </c>
      <c r="K54" s="103">
        <v>247945</v>
      </c>
      <c r="L54" s="101">
        <f>INDEX(Table1[Production],MATCH(rrcworking[[#This Row],[RRC ID Number]],Table1[RRC Identifier],0))</f>
        <v>8</v>
      </c>
      <c r="M54" s="30">
        <f>INDEX(Table1[Formation Production],MATCH(rrcworking[[#This Row],[RRC ID Number]],Table1[RRC Identifier],0))</f>
        <v>537</v>
      </c>
      <c r="N54" s="31">
        <f>INDEX(Table1[On Hand End of Month],MATCH(rrcworking[[#This Row],[RRC ID Number]],Table1[RRC Identifier],0))</f>
        <v>233</v>
      </c>
      <c r="O54" s="106" t="b">
        <f t="shared" si="1"/>
        <v>0</v>
      </c>
      <c r="P54" s="214">
        <v>15</v>
      </c>
      <c r="Q54" s="129">
        <f>rrcworking[[#This Row],[Last Month Closing Stock]]</f>
        <v>233</v>
      </c>
      <c r="R54" s="215">
        <v>68</v>
      </c>
      <c r="S54" s="148">
        <f>IF(ISERROR(INDEX(Table2[OIL],MATCH(rrcworking[[#This Row],[Magnum Wolfpak '#]],Table2[Rox Wolf'#],0))),0,INDEX(Table2[OIL],MATCH(rrcworking[[#This Row],[Magnum Wolfpak '#]],Table2[Rox Wolf'#],0)))</f>
        <v>179</v>
      </c>
      <c r="T54" s="35">
        <f>rrcworking[[#This Row],[Closing Stock (Oil)]]+rrcworking[[#This Row],[Sales/Dispostion]]-rrcworking[[#This Row],[Opening Oil Stock]]</f>
        <v>14</v>
      </c>
      <c r="U54" s="112">
        <f>rrcworking[[#This Row],[Gauge Sheet Production Vol]]-rrcworking[[#This Row],[Oil Production]]</f>
        <v>1</v>
      </c>
      <c r="V54" s="148">
        <f>IF(ISERROR(INDEX(Table2[GAS],MATCH(rrcworking[[#This Row],[Magnum Wolfpak '#]],Table2[Rox Wolf'#],0))),0,INDEX(Table2[GAS],MATCH(rrcworking[[#This Row],[Magnum Wolfpak '#]],Table2[Rox Wolf'#],0)))</f>
        <v>545</v>
      </c>
      <c r="W54" s="24"/>
      <c r="X54" s="137">
        <f>IF(rrcworking[[#This Row],[Pressure Base]]=14.73,rrcworking[[#This Row],[Gas Sales Statement Volume (MCF)]]*$R$2,rrcworking[[#This Row],[Gas Sales Statement Volume (MCF)]])</f>
        <v>545</v>
      </c>
      <c r="Y54" s="60"/>
      <c r="Z54" s="60"/>
      <c r="AA54" s="148">
        <f>IF(ISERROR(INDEX(Table2[LEASE USE],MATCH(rrcworking[[#This Row],[Magnum Wolfpak '#]],Table2[Rox Wolf'#],0))),0,INDEX(Table2[LEASE USE],MATCH(rrcworking[[#This Row],[Magnum Wolfpak '#]],Table2[Rox Wolf'#],0)))</f>
        <v>0</v>
      </c>
      <c r="AB54" s="57">
        <f>rrcworking[[#This Row],[Disposition Volume (MCF) @ 14.65 MCF]]+rrcworking[[#This Row],[Lease Use (MCF)]]</f>
        <v>545</v>
      </c>
      <c r="AC54" s="37"/>
      <c r="AD54" s="37"/>
      <c r="AE54" s="220">
        <f>COUNTIF(FilterList,rrcworking[[#This Row],[Magnum Wolfpak '#]])</f>
        <v>0</v>
      </c>
      <c r="AF54" s="217"/>
      <c r="AG54" s="218"/>
      <c r="AH54" s="37">
        <v>15</v>
      </c>
      <c r="AI54" s="218">
        <v>68</v>
      </c>
      <c r="AJ54" s="37">
        <v>2</v>
      </c>
      <c r="AK54" s="37" t="s">
        <v>1152</v>
      </c>
      <c r="AL54" s="37" t="s">
        <v>1152</v>
      </c>
      <c r="AM54" s="37" t="s">
        <v>1238</v>
      </c>
      <c r="AN54" s="37" t="s">
        <v>1152</v>
      </c>
      <c r="AO54" s="37" t="s">
        <v>1212</v>
      </c>
      <c r="AP54" s="37" t="s">
        <v>1239</v>
      </c>
      <c r="AQ54" s="37"/>
    </row>
    <row r="55" spans="3:43" ht="15" hidden="1">
      <c r="C55" s="80" t="e">
        <v>#N/A</v>
      </c>
      <c r="D55" s="62" t="s">
        <v>99</v>
      </c>
      <c r="E55" s="133" t="s">
        <v>97</v>
      </c>
      <c r="F55" s="131">
        <v>0</v>
      </c>
      <c r="G55" s="122" t="s">
        <v>1097</v>
      </c>
      <c r="H55" s="18" t="s">
        <v>620</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214"/>
      <c r="Q55" s="129">
        <f>rrcworking[[#This Row],[Last Month Closing Stock]]</f>
        <v>0</v>
      </c>
      <c r="R55" s="214"/>
      <c r="S55" s="148">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Production Vol]]-rrcworking[[#This Row],[Oil Production]]</f>
        <v>0</v>
      </c>
      <c r="V55" s="148">
        <f>IF(ISERROR(INDEX(Table2[GAS],MATCH(rrcworking[[#This Row],[Magnum Wolfpak '#]],Table2[Rox Wolf'#],0))),0,INDEX(Table2[GAS],MATCH(rrcworking[[#This Row],[Magnum Wolfpak '#]],Table2[Rox Wolf'#],0)))</f>
        <v>0</v>
      </c>
      <c r="W55" s="24"/>
      <c r="X55" s="137">
        <f>IF(rrcworking[[#This Row],[Pressure Base]]=14.73,rrcworking[[#This Row],[Gas Sales Statement Volume (MCF)]]*$R$2,rrcworking[[#This Row],[Gas Sales Statement Volume (MCF)]])</f>
        <v>0</v>
      </c>
      <c r="Y55" s="60"/>
      <c r="Z55" s="60"/>
      <c r="AA55" s="148">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220">
        <f>COUNTIF(FilterList,rrcworking[[#This Row],[Magnum Wolfpak '#]])</f>
        <v>0</v>
      </c>
      <c r="AF55" s="217"/>
      <c r="AG55" s="218"/>
      <c r="AH55" s="37"/>
      <c r="AI55" s="37"/>
      <c r="AJ55" s="37"/>
      <c r="AK55" s="37"/>
      <c r="AL55" s="37"/>
      <c r="AM55" s="37"/>
      <c r="AN55" s="37"/>
      <c r="AO55" s="37"/>
      <c r="AP55" s="37"/>
      <c r="AQ55" s="37"/>
    </row>
    <row r="56" spans="3:43" ht="30" hidden="1">
      <c r="C56" s="80">
        <v>93806</v>
      </c>
      <c r="D56" s="62" t="s">
        <v>96</v>
      </c>
      <c r="E56" s="133" t="s">
        <v>97</v>
      </c>
      <c r="F56" s="131">
        <v>0</v>
      </c>
      <c r="G56" s="122" t="s">
        <v>1097</v>
      </c>
      <c r="H56" s="18" t="s">
        <v>620</v>
      </c>
      <c r="I56" s="18" t="s">
        <v>2</v>
      </c>
      <c r="J56" s="19" t="s">
        <v>426</v>
      </c>
      <c r="K56" s="103">
        <v>5446</v>
      </c>
      <c r="L56" s="101">
        <f>INDEX(Table1[Production],MATCH(rrcworking[[#This Row],[RRC ID Number]],Table1[RRC Identifier],0))</f>
        <v>26</v>
      </c>
      <c r="M56" s="30">
        <f>INDEX(Table1[Formation Production],MATCH(rrcworking[[#This Row],[RRC ID Number]],Table1[RRC Identifier],0))</f>
        <v>0</v>
      </c>
      <c r="N56" s="31">
        <f>INDEX(Table1[On Hand End of Month],MATCH(rrcworking[[#This Row],[RRC ID Number]],Table1[RRC Identifier],0))</f>
        <v>159</v>
      </c>
      <c r="O56" s="106" t="b">
        <f t="shared" si="1"/>
        <v>0</v>
      </c>
      <c r="P56" s="214">
        <v>17</v>
      </c>
      <c r="Q56" s="129">
        <f>rrcworking[[#This Row],[Last Month Closing Stock]]</f>
        <v>159</v>
      </c>
      <c r="R56" s="215">
        <v>176</v>
      </c>
      <c r="S56" s="148">
        <f>IF(ISERROR(INDEX(Table2[OIL],MATCH(rrcworking[[#This Row],[Magnum Wolfpak '#]],Table2[Rox Wolf'#],0))),0,INDEX(Table2[OIL],MATCH(rrcworking[[#This Row],[Magnum Wolfpak '#]],Table2[Rox Wolf'#],0)))</f>
        <v>0</v>
      </c>
      <c r="T56" s="35">
        <f>rrcworking[[#This Row],[Closing Stock (Oil)]]+rrcworking[[#This Row],[Sales/Dispostion]]-rrcworking[[#This Row],[Opening Oil Stock]]</f>
        <v>17</v>
      </c>
      <c r="U56" s="112">
        <f>rrcworking[[#This Row],[Gauge Sheet Production Vol]]-rrcworking[[#This Row],[Oil Production]]</f>
        <v>0</v>
      </c>
      <c r="V56" s="148">
        <f>IF(ISERROR(INDEX(Table2[GAS],MATCH(rrcworking[[#This Row],[Magnum Wolfpak '#]],Table2[Rox Wolf'#],0))),0,INDEX(Table2[GAS],MATCH(rrcworking[[#This Row],[Magnum Wolfpak '#]],Table2[Rox Wolf'#],0)))</f>
        <v>0</v>
      </c>
      <c r="W56" s="24"/>
      <c r="X56" s="137">
        <f>IF(rrcworking[[#This Row],[Pressure Base]]=14.73,rrcworking[[#This Row],[Gas Sales Statement Volume (MCF)]]*$R$2,rrcworking[[#This Row],[Gas Sales Statement Volume (MCF)]])</f>
        <v>0</v>
      </c>
      <c r="Y56" s="60"/>
      <c r="Z56" s="60"/>
      <c r="AA56" s="148">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220">
        <f>COUNTIF(FilterList,rrcworking[[#This Row],[Magnum Wolfpak '#]])</f>
        <v>0</v>
      </c>
      <c r="AF56" s="217"/>
      <c r="AG56" s="218"/>
      <c r="AH56" s="37"/>
      <c r="AI56" s="218"/>
      <c r="AJ56" s="219"/>
      <c r="AK56" s="219"/>
      <c r="AL56" s="219"/>
      <c r="AM56" s="219"/>
      <c r="AN56" s="219"/>
      <c r="AO56" s="219"/>
      <c r="AP56" s="37" t="s">
        <v>1204</v>
      </c>
      <c r="AQ56" s="37" t="s">
        <v>1210</v>
      </c>
    </row>
    <row r="57" spans="3:43" ht="15" hidden="1">
      <c r="C57" s="80" t="e">
        <v>#N/A</v>
      </c>
      <c r="D57" s="62" t="s">
        <v>329</v>
      </c>
      <c r="E57" s="133" t="s">
        <v>330</v>
      </c>
      <c r="F57" s="131">
        <v>0</v>
      </c>
      <c r="G57" s="122" t="s">
        <v>1097</v>
      </c>
      <c r="H57" s="18" t="s">
        <v>622</v>
      </c>
      <c r="I57" s="18" t="s">
        <v>2</v>
      </c>
      <c r="J57" s="19" t="s">
        <v>567</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214">
        <v>0</v>
      </c>
      <c r="Q57" s="129">
        <f>rrcworking[[#This Row],[Last Month Closing Stock]]</f>
        <v>47</v>
      </c>
      <c r="R57" s="214">
        <f>rrcworking[[#This Row],[Opening Oil Stock]]</f>
        <v>47</v>
      </c>
      <c r="S57" s="148">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Production Vol]]-rrcworking[[#This Row],[Oil Production]]</f>
        <v>0</v>
      </c>
      <c r="V57" s="148">
        <f>IF(ISERROR(INDEX(Table2[GAS],MATCH(rrcworking[[#This Row],[Magnum Wolfpak '#]],Table2[Rox Wolf'#],0))),0,INDEX(Table2[GAS],MATCH(rrcworking[[#This Row],[Magnum Wolfpak '#]],Table2[Rox Wolf'#],0)))</f>
        <v>0</v>
      </c>
      <c r="W57" s="24"/>
      <c r="X57" s="137">
        <f>IF(rrcworking[[#This Row],[Pressure Base]]=14.73,rrcworking[[#This Row],[Gas Sales Statement Volume (MCF)]]*$R$2,rrcworking[[#This Row],[Gas Sales Statement Volume (MCF)]])</f>
        <v>0</v>
      </c>
      <c r="Y57" s="60"/>
      <c r="Z57" s="60"/>
      <c r="AA57" s="148">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220">
        <f>COUNTIF(FilterList,rrcworking[[#This Row],[Magnum Wolfpak '#]])</f>
        <v>0</v>
      </c>
      <c r="AF57" s="217"/>
      <c r="AG57" s="218"/>
      <c r="AH57" s="37"/>
      <c r="AI57" s="37"/>
      <c r="AJ57" s="37"/>
      <c r="AK57" s="37"/>
      <c r="AL57" s="37"/>
      <c r="AM57" s="37"/>
      <c r="AN57" s="37"/>
      <c r="AO57" s="37"/>
      <c r="AP57" s="37"/>
      <c r="AQ57" s="37"/>
    </row>
    <row r="58" spans="3:43" ht="15" hidden="1">
      <c r="C58" s="80" t="e">
        <v>#N/A</v>
      </c>
      <c r="D58" s="62" t="s">
        <v>331</v>
      </c>
      <c r="E58" s="133" t="s">
        <v>332</v>
      </c>
      <c r="F58" s="131">
        <v>0</v>
      </c>
      <c r="G58" s="122" t="s">
        <v>1097</v>
      </c>
      <c r="H58" s="18" t="s">
        <v>622</v>
      </c>
      <c r="I58" s="18" t="s">
        <v>2</v>
      </c>
      <c r="J58" s="19" t="s">
        <v>568</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214">
        <v>0</v>
      </c>
      <c r="Q58" s="129">
        <f>rrcworking[[#This Row],[Last Month Closing Stock]]</f>
        <v>52</v>
      </c>
      <c r="R58" s="214">
        <f>rrcworking[[#This Row],[Opening Oil Stock]]</f>
        <v>52</v>
      </c>
      <c r="S58" s="148">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Production Vol]]-rrcworking[[#This Row],[Oil Production]]</f>
        <v>0</v>
      </c>
      <c r="V58" s="148">
        <f>IF(ISERROR(INDEX(Table2[GAS],MATCH(rrcworking[[#This Row],[Magnum Wolfpak '#]],Table2[Rox Wolf'#],0))),0,INDEX(Table2[GAS],MATCH(rrcworking[[#This Row],[Magnum Wolfpak '#]],Table2[Rox Wolf'#],0)))</f>
        <v>0</v>
      </c>
      <c r="W58" s="24"/>
      <c r="X58" s="137">
        <f>IF(rrcworking[[#This Row],[Pressure Base]]=14.73,rrcworking[[#This Row],[Gas Sales Statement Volume (MCF)]]*$R$2,rrcworking[[#This Row],[Gas Sales Statement Volume (MCF)]])</f>
        <v>0</v>
      </c>
      <c r="Y58" s="60"/>
      <c r="Z58" s="60"/>
      <c r="AA58" s="148">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220">
        <f>COUNTIF(FilterList,rrcworking[[#This Row],[Magnum Wolfpak '#]])</f>
        <v>0</v>
      </c>
      <c r="AF58" s="217"/>
      <c r="AG58" s="218"/>
      <c r="AH58" s="37"/>
      <c r="AI58" s="37"/>
      <c r="AJ58" s="37"/>
      <c r="AK58" s="37"/>
      <c r="AL58" s="37"/>
      <c r="AM58" s="37"/>
      <c r="AN58" s="37"/>
      <c r="AO58" s="37"/>
      <c r="AP58" s="37"/>
      <c r="AQ58" s="37"/>
    </row>
    <row r="59" spans="3:43" ht="15" hidden="1">
      <c r="C59" s="80" t="e">
        <v>#N/A</v>
      </c>
      <c r="D59" s="62" t="s">
        <v>318</v>
      </c>
      <c r="E59" s="133" t="s">
        <v>319</v>
      </c>
      <c r="F59" s="131">
        <v>1</v>
      </c>
      <c r="G59" s="122" t="s">
        <v>1097</v>
      </c>
      <c r="H59" s="18" t="s">
        <v>622</v>
      </c>
      <c r="I59" s="18" t="s">
        <v>59</v>
      </c>
      <c r="J59" s="19" t="s">
        <v>559</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214"/>
      <c r="Q59" s="129">
        <f>rrcworking[[#This Row],[Last Month Closing Stock]]</f>
        <v>0</v>
      </c>
      <c r="R59" s="214"/>
      <c r="S59" s="148">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Production Vol]]-rrcworking[[#This Row],[Oil Production]]</f>
        <v>0</v>
      </c>
      <c r="V59" s="148">
        <f>IF(ISERROR(INDEX(Table2[GAS],MATCH(rrcworking[[#This Row],[Magnum Wolfpak '#]],Table2[Rox Wolf'#],0))),0,INDEX(Table2[GAS],MATCH(rrcworking[[#This Row],[Magnum Wolfpak '#]],Table2[Rox Wolf'#],0)))</f>
        <v>0</v>
      </c>
      <c r="W59" s="24"/>
      <c r="X59" s="137">
        <f>IF(rrcworking[[#This Row],[Pressure Base]]=14.73,rrcworking[[#This Row],[Gas Sales Statement Volume (MCF)]]*$R$2,rrcworking[[#This Row],[Gas Sales Statement Volume (MCF)]])</f>
        <v>0</v>
      </c>
      <c r="Y59" s="60"/>
      <c r="Z59" s="60"/>
      <c r="AA59" s="148">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220">
        <f>COUNTIF(FilterList,rrcworking[[#This Row],[Magnum Wolfpak '#]])</f>
        <v>0</v>
      </c>
      <c r="AF59" s="217"/>
      <c r="AG59" s="218"/>
      <c r="AH59" s="37"/>
      <c r="AI59" s="37"/>
      <c r="AJ59" s="37"/>
      <c r="AK59" s="37"/>
      <c r="AL59" s="37"/>
      <c r="AM59" s="37"/>
      <c r="AN59" s="37"/>
      <c r="AO59" s="37"/>
      <c r="AP59" s="37"/>
      <c r="AQ59" s="37"/>
    </row>
    <row r="60" spans="3:43" ht="15" hidden="1">
      <c r="C60" s="80" t="e">
        <v>#N/A</v>
      </c>
      <c r="D60" s="62" t="s">
        <v>320</v>
      </c>
      <c r="E60" s="133" t="s">
        <v>321</v>
      </c>
      <c r="F60" s="131">
        <v>0</v>
      </c>
      <c r="G60" s="122" t="s">
        <v>1097</v>
      </c>
      <c r="H60" s="18" t="s">
        <v>622</v>
      </c>
      <c r="I60" s="18" t="s">
        <v>2</v>
      </c>
      <c r="J60" s="19" t="s">
        <v>560</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214">
        <v>0</v>
      </c>
      <c r="Q60" s="129">
        <f>rrcworking[[#This Row],[Last Month Closing Stock]]</f>
        <v>90</v>
      </c>
      <c r="R60" s="214">
        <f>rrcworking[[#This Row],[Opening Oil Stock]]</f>
        <v>90</v>
      </c>
      <c r="S60" s="148">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Production Vol]]-rrcworking[[#This Row],[Oil Production]]</f>
        <v>0</v>
      </c>
      <c r="V60" s="148">
        <f>IF(ISERROR(INDEX(Table2[GAS],MATCH(rrcworking[[#This Row],[Magnum Wolfpak '#]],Table2[Rox Wolf'#],0))),0,INDEX(Table2[GAS],MATCH(rrcworking[[#This Row],[Magnum Wolfpak '#]],Table2[Rox Wolf'#],0)))</f>
        <v>0</v>
      </c>
      <c r="W60" s="24"/>
      <c r="X60" s="137">
        <f>IF(rrcworking[[#This Row],[Pressure Base]]=14.73,rrcworking[[#This Row],[Gas Sales Statement Volume (MCF)]]*$R$2,rrcworking[[#This Row],[Gas Sales Statement Volume (MCF)]])</f>
        <v>0</v>
      </c>
      <c r="Y60" s="60"/>
      <c r="Z60" s="60"/>
      <c r="AA60" s="148">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220">
        <f>COUNTIF(FilterList,rrcworking[[#This Row],[Magnum Wolfpak '#]])</f>
        <v>0</v>
      </c>
      <c r="AF60" s="217"/>
      <c r="AG60" s="218"/>
      <c r="AH60" s="37"/>
      <c r="AI60" s="37"/>
      <c r="AJ60" s="37"/>
      <c r="AK60" s="37"/>
      <c r="AL60" s="37"/>
      <c r="AM60" s="37"/>
      <c r="AN60" s="37"/>
      <c r="AO60" s="37"/>
      <c r="AP60" s="37"/>
      <c r="AQ60" s="37"/>
    </row>
    <row r="61" spans="3:43" ht="15" hidden="1">
      <c r="C61" s="80" t="e">
        <v>#N/A</v>
      </c>
      <c r="D61" s="62" t="s">
        <v>305</v>
      </c>
      <c r="E61" s="133" t="s">
        <v>306</v>
      </c>
      <c r="F61" s="131">
        <v>1</v>
      </c>
      <c r="G61" s="122" t="s">
        <v>1097</v>
      </c>
      <c r="H61" s="18" t="s">
        <v>621</v>
      </c>
      <c r="I61" s="18" t="s">
        <v>59</v>
      </c>
      <c r="J61" s="19" t="s">
        <v>552</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214">
        <v>0</v>
      </c>
      <c r="Q61" s="129">
        <f>rrcworking[[#This Row],[Last Month Closing Stock]]</f>
        <v>135</v>
      </c>
      <c r="R61" s="214">
        <f>rrcworking[[#This Row],[Opening Oil Stock]]</f>
        <v>135</v>
      </c>
      <c r="S61" s="148">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Production Vol]]-rrcworking[[#This Row],[Oil Production]]</f>
        <v>0</v>
      </c>
      <c r="V61" s="148">
        <f>IF(ISERROR(INDEX(Table2[GAS],MATCH(rrcworking[[#This Row],[Magnum Wolfpak '#]],Table2[Rox Wolf'#],0))),0,INDEX(Table2[GAS],MATCH(rrcworking[[#This Row],[Magnum Wolfpak '#]],Table2[Rox Wolf'#],0)))</f>
        <v>0</v>
      </c>
      <c r="W61" s="24"/>
      <c r="X61" s="137">
        <f>IF(rrcworking[[#This Row],[Pressure Base]]=14.73,rrcworking[[#This Row],[Gas Sales Statement Volume (MCF)]]*$R$2,rrcworking[[#This Row],[Gas Sales Statement Volume (MCF)]])</f>
        <v>0</v>
      </c>
      <c r="Y61" s="60"/>
      <c r="Z61" s="60"/>
      <c r="AA61" s="148">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220">
        <f>COUNTIF(FilterList,rrcworking[[#This Row],[Magnum Wolfpak '#]])</f>
        <v>0</v>
      </c>
      <c r="AF61" s="217"/>
      <c r="AG61" s="218"/>
      <c r="AH61" s="37"/>
      <c r="AI61" s="37"/>
      <c r="AJ61" s="37"/>
      <c r="AK61" s="37"/>
      <c r="AL61" s="37"/>
      <c r="AM61" s="37"/>
      <c r="AN61" s="37"/>
      <c r="AO61" s="37"/>
      <c r="AP61" s="37"/>
      <c r="AQ61" s="37"/>
    </row>
    <row r="62" spans="3:43" ht="15" hidden="1">
      <c r="C62" s="80" t="e">
        <v>#N/A</v>
      </c>
      <c r="D62" s="62" t="s">
        <v>259</v>
      </c>
      <c r="E62" s="133" t="s">
        <v>260</v>
      </c>
      <c r="F62" s="131">
        <v>1</v>
      </c>
      <c r="G62" s="122" t="s">
        <v>1097</v>
      </c>
      <c r="H62" s="18" t="s">
        <v>621</v>
      </c>
      <c r="I62" s="18" t="s">
        <v>59</v>
      </c>
      <c r="J62" s="19" t="s">
        <v>520</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214"/>
      <c r="Q62" s="129">
        <f>rrcworking[[#This Row],[Last Month Closing Stock]]</f>
        <v>0</v>
      </c>
      <c r="R62" s="214"/>
      <c r="S62" s="148">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Production Vol]]-rrcworking[[#This Row],[Oil Production]]</f>
        <v>0</v>
      </c>
      <c r="V62" s="148">
        <f>IF(ISERROR(INDEX(Table2[GAS],MATCH(rrcworking[[#This Row],[Magnum Wolfpak '#]],Table2[Rox Wolf'#],0))),0,INDEX(Table2[GAS],MATCH(rrcworking[[#This Row],[Magnum Wolfpak '#]],Table2[Rox Wolf'#],0)))</f>
        <v>0</v>
      </c>
      <c r="W62" s="24"/>
      <c r="X62" s="137">
        <f>IF(rrcworking[[#This Row],[Pressure Base]]=14.73,rrcworking[[#This Row],[Gas Sales Statement Volume (MCF)]]*$R$2,rrcworking[[#This Row],[Gas Sales Statement Volume (MCF)]])</f>
        <v>0</v>
      </c>
      <c r="Y62" s="60"/>
      <c r="Z62" s="60"/>
      <c r="AA62" s="148">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220">
        <f>COUNTIF(FilterList,rrcworking[[#This Row],[Magnum Wolfpak '#]])</f>
        <v>0</v>
      </c>
      <c r="AF62" s="217"/>
      <c r="AG62" s="218"/>
      <c r="AH62" s="37"/>
      <c r="AI62" s="37"/>
      <c r="AJ62" s="37"/>
      <c r="AK62" s="37"/>
      <c r="AL62" s="37"/>
      <c r="AM62" s="37"/>
      <c r="AN62" s="37"/>
      <c r="AO62" s="37"/>
      <c r="AP62" s="37"/>
      <c r="AQ62" s="37"/>
    </row>
    <row r="63" spans="3:43" ht="15" hidden="1">
      <c r="C63" s="80">
        <v>99007</v>
      </c>
      <c r="D63" s="62" t="s">
        <v>275</v>
      </c>
      <c r="E63" s="133" t="s">
        <v>281</v>
      </c>
      <c r="F63" s="131">
        <v>6</v>
      </c>
      <c r="G63" s="122" t="s">
        <v>1097</v>
      </c>
      <c r="H63" s="18" t="s">
        <v>621</v>
      </c>
      <c r="I63" s="18" t="s">
        <v>59</v>
      </c>
      <c r="J63" s="19" t="s">
        <v>533</v>
      </c>
      <c r="K63" s="103">
        <v>210200</v>
      </c>
      <c r="L63" s="101">
        <f>INDEX(Table1[Production],MATCH(rrcworking[[#This Row],[RRC ID Number]],Table1[RRC Identifier],0))</f>
        <v>0</v>
      </c>
      <c r="M63" s="30">
        <f>INDEX(Table1[Formation Production],MATCH(rrcworking[[#This Row],[RRC ID Number]],Table1[RRC Identifier],0))</f>
        <v>299</v>
      </c>
      <c r="N63" s="31">
        <f>INDEX(Table1[On Hand End of Month],MATCH(rrcworking[[#This Row],[RRC ID Number]],Table1[RRC Identifier],0))</f>
        <v>33</v>
      </c>
      <c r="O63" s="106" t="b">
        <f t="shared" si="1"/>
        <v>0</v>
      </c>
      <c r="P63" s="214">
        <v>0</v>
      </c>
      <c r="Q63" s="129">
        <f>rrcworking[[#This Row],[Last Month Closing Stock]]</f>
        <v>33</v>
      </c>
      <c r="R63" s="214">
        <v>33</v>
      </c>
      <c r="S63" s="148">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Production Vol]]-rrcworking[[#This Row],[Oil Production]]</f>
        <v>0</v>
      </c>
      <c r="V63" s="148">
        <f>IF(ISERROR(INDEX(Table2[GAS],MATCH(rrcworking[[#This Row],[Magnum Wolfpak '#]],Table2[Rox Wolf'#],0))),0,INDEX(Table2[GAS],MATCH(rrcworking[[#This Row],[Magnum Wolfpak '#]],Table2[Rox Wolf'#],0)))</f>
        <v>283</v>
      </c>
      <c r="W63" s="24"/>
      <c r="X63" s="137">
        <f>IF(rrcworking[[#This Row],[Pressure Base]]=14.73,rrcworking[[#This Row],[Gas Sales Statement Volume (MCF)]]*$R$2,rrcworking[[#This Row],[Gas Sales Statement Volume (MCF)]])</f>
        <v>283</v>
      </c>
      <c r="Y63" s="85"/>
      <c r="Z63" s="60">
        <v>1</v>
      </c>
      <c r="AA63" s="148">
        <f>IF(ISERROR(INDEX(Table2[LEASE USE],MATCH(rrcworking[[#This Row],[Magnum Wolfpak '#]],Table2[Rox Wolf'#],0))),0,INDEX(Table2[LEASE USE],MATCH(rrcworking[[#This Row],[Magnum Wolfpak '#]],Table2[Rox Wolf'#],0)))</f>
        <v>7</v>
      </c>
      <c r="AB63" s="57">
        <f>rrcworking[[#This Row],[Disposition Volume (MCF) @ 14.65 MCF]]+rrcworking[[#This Row],[Lease Use (MCF)]]</f>
        <v>290</v>
      </c>
      <c r="AC63" s="37"/>
      <c r="AD63" s="37"/>
      <c r="AE63" s="220">
        <f>COUNTIF(FilterList,rrcworking[[#This Row],[Magnum Wolfpak '#]])</f>
        <v>0</v>
      </c>
      <c r="AF63" s="217"/>
      <c r="AG63" s="218"/>
      <c r="AH63" s="37"/>
      <c r="AI63" s="37"/>
      <c r="AJ63" s="219"/>
      <c r="AK63" s="219"/>
      <c r="AL63" s="219"/>
      <c r="AM63" s="219"/>
      <c r="AN63" s="219"/>
      <c r="AO63" s="219"/>
      <c r="AP63" s="37" t="s">
        <v>1204</v>
      </c>
      <c r="AQ63" s="37" t="s">
        <v>1240</v>
      </c>
    </row>
    <row r="64" spans="3:43" ht="15" hidden="1">
      <c r="C64" s="80">
        <v>98988</v>
      </c>
      <c r="D64" s="62" t="s">
        <v>275</v>
      </c>
      <c r="E64" s="133" t="s">
        <v>281</v>
      </c>
      <c r="F64" s="131">
        <v>2</v>
      </c>
      <c r="G64" s="122" t="s">
        <v>1097</v>
      </c>
      <c r="H64" s="18" t="s">
        <v>621</v>
      </c>
      <c r="I64" s="18" t="s">
        <v>59</v>
      </c>
      <c r="J64" s="19" t="s">
        <v>534</v>
      </c>
      <c r="K64" s="103">
        <v>215622</v>
      </c>
      <c r="L64" s="101">
        <f>INDEX(Table1[Production],MATCH(rrcworking[[#This Row],[RRC ID Number]],Table1[RRC Identifier],0))</f>
        <v>0</v>
      </c>
      <c r="M64" s="30">
        <f>INDEX(Table1[Formation Production],MATCH(rrcworking[[#This Row],[RRC ID Number]],Table1[RRC Identifier],0))</f>
        <v>0</v>
      </c>
      <c r="N64" s="31">
        <f>INDEX(Table1[On Hand End of Month],MATCH(rrcworking[[#This Row],[RRC ID Number]],Table1[RRC Identifier],0))</f>
        <v>98</v>
      </c>
      <c r="O64" s="106" t="b">
        <f t="shared" si="1"/>
        <v>1</v>
      </c>
      <c r="P64" s="214">
        <v>0</v>
      </c>
      <c r="Q64" s="129">
        <f>rrcworking[[#This Row],[Last Month Closing Stock]]</f>
        <v>98</v>
      </c>
      <c r="R64" s="214">
        <v>98</v>
      </c>
      <c r="S64" s="148">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Production Vol]]-rrcworking[[#This Row],[Oil Production]]</f>
        <v>0</v>
      </c>
      <c r="V64" s="148">
        <f>IF(ISERROR(INDEX(Table2[GAS],MATCH(rrcworking[[#This Row],[Magnum Wolfpak '#]],Table2[Rox Wolf'#],0))),0,INDEX(Table2[GAS],MATCH(rrcworking[[#This Row],[Magnum Wolfpak '#]],Table2[Rox Wolf'#],0)))</f>
        <v>0</v>
      </c>
      <c r="W64" s="24"/>
      <c r="X64" s="137">
        <f>IF(rrcworking[[#This Row],[Pressure Base]]=14.73,rrcworking[[#This Row],[Gas Sales Statement Volume (MCF)]]*$R$2,rrcworking[[#This Row],[Gas Sales Statement Volume (MCF)]])</f>
        <v>0</v>
      </c>
      <c r="Y64" s="85"/>
      <c r="Z64" s="60">
        <v>5</v>
      </c>
      <c r="AA64" s="148">
        <f>IF(ISERROR(INDEX(Table2[LEASE USE],MATCH(rrcworking[[#This Row],[Magnum Wolfpak '#]],Table2[Rox Wolf'#],0))),0,INDEX(Table2[LEASE USE],MATCH(rrcworking[[#This Row],[Magnum Wolfpak '#]],Table2[Rox Wolf'#],0)))</f>
        <v>0</v>
      </c>
      <c r="AB64" s="57">
        <f>rrcworking[[#This Row],[Disposition Volume (MCF) @ 14.65 MCF]]+rrcworking[[#This Row],[Lease Use (MCF)]]</f>
        <v>0</v>
      </c>
      <c r="AC64" s="37"/>
      <c r="AD64" s="37"/>
      <c r="AE64" s="220">
        <f>COUNTIF(FilterList,rrcworking[[#This Row],[Magnum Wolfpak '#]])</f>
        <v>0</v>
      </c>
      <c r="AF64" s="217"/>
      <c r="AG64" s="218"/>
      <c r="AH64" s="37"/>
      <c r="AI64" s="37"/>
      <c r="AJ64" s="219"/>
      <c r="AK64" s="219"/>
      <c r="AL64" s="219"/>
      <c r="AM64" s="219"/>
      <c r="AN64" s="219"/>
      <c r="AO64" s="219"/>
      <c r="AP64" s="37" t="s">
        <v>1204</v>
      </c>
      <c r="AQ64" s="37" t="s">
        <v>1240</v>
      </c>
    </row>
    <row r="65" spans="3:43" ht="15" hidden="1">
      <c r="C65" s="80">
        <v>98987</v>
      </c>
      <c r="D65" s="62" t="s">
        <v>275</v>
      </c>
      <c r="E65" s="133" t="s">
        <v>277</v>
      </c>
      <c r="F65" s="131">
        <v>1</v>
      </c>
      <c r="G65" s="122" t="s">
        <v>1097</v>
      </c>
      <c r="H65" s="18" t="s">
        <v>621</v>
      </c>
      <c r="I65" s="18" t="s">
        <v>59</v>
      </c>
      <c r="J65" s="19" t="s">
        <v>529</v>
      </c>
      <c r="K65" s="103">
        <v>183638</v>
      </c>
      <c r="L65" s="101">
        <f>INDEX(Table1[Production],MATCH(rrcworking[[#This Row],[RRC ID Number]],Table1[RRC Identifier],0))</f>
        <v>0</v>
      </c>
      <c r="M65" s="30">
        <f>INDEX(Table1[Formation Production],MATCH(rrcworking[[#This Row],[RRC ID Number]],Table1[RRC Identifier],0))</f>
        <v>199</v>
      </c>
      <c r="N65" s="31">
        <f>INDEX(Table1[On Hand End of Month],MATCH(rrcworking[[#This Row],[RRC ID Number]],Table1[RRC Identifier],0))</f>
        <v>0</v>
      </c>
      <c r="O65" s="106" t="b">
        <f t="shared" si="1"/>
        <v>0</v>
      </c>
      <c r="P65" s="214"/>
      <c r="Q65" s="129">
        <f>rrcworking[[#This Row],[Last Month Closing Stock]]</f>
        <v>0</v>
      </c>
      <c r="R65" s="214"/>
      <c r="S65" s="148">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Production Vol]]-rrcworking[[#This Row],[Oil Production]]</f>
        <v>0</v>
      </c>
      <c r="V65" s="148">
        <f>IF(ISERROR(INDEX(Table2[GAS],MATCH(rrcworking[[#This Row],[Magnum Wolfpak '#]],Table2[Rox Wolf'#],0))),0,INDEX(Table2[GAS],MATCH(rrcworking[[#This Row],[Magnum Wolfpak '#]],Table2[Rox Wolf'#],0)))</f>
        <v>249</v>
      </c>
      <c r="W65" s="24"/>
      <c r="X65" s="137">
        <f>IF(rrcworking[[#This Row],[Pressure Base]]=14.73,rrcworking[[#This Row],[Gas Sales Statement Volume (MCF)]]*$R$2,rrcworking[[#This Row],[Gas Sales Statement Volume (MCF)]])</f>
        <v>249</v>
      </c>
      <c r="Y65" s="85"/>
      <c r="Z65" s="60">
        <v>1</v>
      </c>
      <c r="AA65" s="148">
        <f>IF(ISERROR(INDEX(Table2[LEASE USE],MATCH(rrcworking[[#This Row],[Magnum Wolfpak '#]],Table2[Rox Wolf'#],0))),0,INDEX(Table2[LEASE USE],MATCH(rrcworking[[#This Row],[Magnum Wolfpak '#]],Table2[Rox Wolf'#],0)))</f>
        <v>10</v>
      </c>
      <c r="AB65" s="57">
        <f>rrcworking[[#This Row],[Disposition Volume (MCF) @ 14.65 MCF]]+rrcworking[[#This Row],[Lease Use (MCF)]]</f>
        <v>259</v>
      </c>
      <c r="AC65" s="37"/>
      <c r="AD65" s="37"/>
      <c r="AE65" s="220">
        <f>COUNTIF(FilterList,rrcworking[[#This Row],[Magnum Wolfpak '#]])</f>
        <v>0</v>
      </c>
      <c r="AF65" s="217"/>
      <c r="AG65" s="218"/>
      <c r="AH65" s="37"/>
      <c r="AI65" s="37"/>
      <c r="AJ65" s="219"/>
      <c r="AK65" s="219"/>
      <c r="AL65" s="219"/>
      <c r="AM65" s="219"/>
      <c r="AN65" s="219"/>
      <c r="AO65" s="219"/>
      <c r="AP65" s="37" t="s">
        <v>1204</v>
      </c>
      <c r="AQ65" s="37" t="s">
        <v>1240</v>
      </c>
    </row>
    <row r="66" spans="3:43" ht="75" hidden="1">
      <c r="C66" s="80">
        <v>98956</v>
      </c>
      <c r="D66" s="62" t="s">
        <v>275</v>
      </c>
      <c r="E66" s="133" t="s">
        <v>278</v>
      </c>
      <c r="F66" s="131">
        <v>1</v>
      </c>
      <c r="G66" s="122">
        <v>1988</v>
      </c>
      <c r="H66" s="18" t="s">
        <v>621</v>
      </c>
      <c r="I66" s="18" t="s">
        <v>59</v>
      </c>
      <c r="J66" s="19" t="s">
        <v>530</v>
      </c>
      <c r="K66" s="103">
        <v>199834</v>
      </c>
      <c r="L66" s="101">
        <f>INDEX(Table1[Production],MATCH(rrcworking[[#This Row],[RRC ID Number]],Table1[RRC Identifier],0))</f>
        <v>0</v>
      </c>
      <c r="M66" s="30">
        <f>INDEX(Table1[Formation Production],MATCH(rrcworking[[#This Row],[RRC ID Number]],Table1[RRC Identifier],0))</f>
        <v>1386</v>
      </c>
      <c r="N66" s="31">
        <f>INDEX(Table1[On Hand End of Month],MATCH(rrcworking[[#This Row],[RRC ID Number]],Table1[RRC Identifier],0))</f>
        <v>119</v>
      </c>
      <c r="O66" s="106" t="b">
        <f t="shared" si="1"/>
        <v>0</v>
      </c>
      <c r="P66" s="214">
        <v>52</v>
      </c>
      <c r="Q66" s="129">
        <f>rrcworking[[#This Row],[Last Month Closing Stock]]</f>
        <v>119</v>
      </c>
      <c r="R66" s="214">
        <v>172</v>
      </c>
      <c r="S66" s="148">
        <f>IF(ISERROR(INDEX(Table2[OIL],MATCH(rrcworking[[#This Row],[Magnum Wolfpak '#]],Table2[Rox Wolf'#],0))),0,INDEX(Table2[OIL],MATCH(rrcworking[[#This Row],[Magnum Wolfpak '#]],Table2[Rox Wolf'#],0)))</f>
        <v>176</v>
      </c>
      <c r="T66" s="35">
        <f>rrcworking[[#This Row],[Closing Stock (Oil)]]+rrcworking[[#This Row],[Sales/Dispostion]]-rrcworking[[#This Row],[Opening Oil Stock]]</f>
        <v>229</v>
      </c>
      <c r="U66" s="112">
        <f>rrcworking[[#This Row],[Gauge Sheet Production Vol]]-rrcworking[[#This Row],[Oil Production]]</f>
        <v>-177</v>
      </c>
      <c r="V66" s="148">
        <f>IF(ISERROR(INDEX(Table2[GAS],MATCH(rrcworking[[#This Row],[Magnum Wolfpak '#]],Table2[Rox Wolf'#],0))),0,INDEX(Table2[GAS],MATCH(rrcworking[[#This Row],[Magnum Wolfpak '#]],Table2[Rox Wolf'#],0)))</f>
        <v>797</v>
      </c>
      <c r="W66" s="24"/>
      <c r="X66" s="137">
        <f>IF(rrcworking[[#This Row],[Pressure Base]]=14.73,rrcworking[[#This Row],[Gas Sales Statement Volume (MCF)]]*$R$2,rrcworking[[#This Row],[Gas Sales Statement Volume (MCF)]])</f>
        <v>797</v>
      </c>
      <c r="Y66" s="85"/>
      <c r="Z66" s="60">
        <v>2</v>
      </c>
      <c r="AA66" s="148">
        <f>IF(ISERROR(INDEX(Table2[LEASE USE],MATCH(rrcworking[[#This Row],[Magnum Wolfpak '#]],Table2[Rox Wolf'#],0))),0,INDEX(Table2[LEASE USE],MATCH(rrcworking[[#This Row],[Magnum Wolfpak '#]],Table2[Rox Wolf'#],0)))</f>
        <v>60</v>
      </c>
      <c r="AB66" s="57">
        <f>rrcworking[[#This Row],[Disposition Volume (MCF) @ 14.65 MCF]]+rrcworking[[#This Row],[Lease Use (MCF)]]</f>
        <v>857</v>
      </c>
      <c r="AC66" s="37"/>
      <c r="AD66" s="37" t="s">
        <v>1179</v>
      </c>
      <c r="AE66" s="220">
        <f>COUNTIF(FilterList,rrcworking[[#This Row],[Magnum Wolfpak '#]])</f>
        <v>0</v>
      </c>
      <c r="AF66" s="217"/>
      <c r="AG66" s="218"/>
      <c r="AH66" s="37"/>
      <c r="AI66" s="37"/>
      <c r="AJ66" s="219"/>
      <c r="AK66" s="219"/>
      <c r="AL66" s="219"/>
      <c r="AM66" s="219"/>
      <c r="AN66" s="219"/>
      <c r="AO66" s="219"/>
      <c r="AP66" s="37" t="s">
        <v>1204</v>
      </c>
      <c r="AQ66" s="37" t="s">
        <v>1240</v>
      </c>
    </row>
    <row r="67" spans="3:43" ht="15" hidden="1">
      <c r="C67" s="80" t="e">
        <v>#N/A</v>
      </c>
      <c r="D67" s="62" t="s">
        <v>275</v>
      </c>
      <c r="E67" s="133" t="s">
        <v>276</v>
      </c>
      <c r="F67" s="131">
        <v>4</v>
      </c>
      <c r="G67" s="122">
        <v>1988</v>
      </c>
      <c r="H67" s="18" t="s">
        <v>621</v>
      </c>
      <c r="I67" s="18" t="s">
        <v>59</v>
      </c>
      <c r="J67" s="19" t="s">
        <v>528</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214"/>
      <c r="Q67" s="129">
        <f>rrcworking[[#This Row],[Last Month Closing Stock]]</f>
        <v>0</v>
      </c>
      <c r="R67" s="214"/>
      <c r="S67" s="148">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Production Vol]]-rrcworking[[#This Row],[Oil Production]]</f>
        <v>0</v>
      </c>
      <c r="V67" s="148">
        <f>IF(ISERROR(INDEX(Table2[GAS],MATCH(rrcworking[[#This Row],[Magnum Wolfpak '#]],Table2[Rox Wolf'#],0))),0,INDEX(Table2[GAS],MATCH(rrcworking[[#This Row],[Magnum Wolfpak '#]],Table2[Rox Wolf'#],0)))</f>
        <v>0</v>
      </c>
      <c r="W67" s="24"/>
      <c r="X67" s="137">
        <f>IF(rrcworking[[#This Row],[Pressure Base]]=14.73,rrcworking[[#This Row],[Gas Sales Statement Volume (MCF)]]*$R$2,rrcworking[[#This Row],[Gas Sales Statement Volume (MCF)]])</f>
        <v>0</v>
      </c>
      <c r="Y67" s="60"/>
      <c r="Z67" s="60"/>
      <c r="AA67" s="148">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220">
        <f>COUNTIF(FilterList,rrcworking[[#This Row],[Magnum Wolfpak '#]])</f>
        <v>0</v>
      </c>
      <c r="AF67" s="217"/>
      <c r="AG67" s="218"/>
      <c r="AH67" s="37"/>
      <c r="AI67" s="37"/>
      <c r="AJ67" s="37"/>
      <c r="AK67" s="37"/>
      <c r="AL67" s="37"/>
      <c r="AM67" s="37"/>
      <c r="AN67" s="37"/>
      <c r="AO67" s="37"/>
      <c r="AP67" s="37"/>
      <c r="AQ67" s="37"/>
    </row>
    <row r="68" spans="3:43" ht="15" hidden="1">
      <c r="C68" s="80">
        <v>98959</v>
      </c>
      <c r="D68" s="62" t="s">
        <v>275</v>
      </c>
      <c r="E68" s="133" t="s">
        <v>279</v>
      </c>
      <c r="F68" s="131">
        <v>3</v>
      </c>
      <c r="G68" s="122">
        <v>1988</v>
      </c>
      <c r="H68" s="18" t="s">
        <v>621</v>
      </c>
      <c r="I68" s="18" t="s">
        <v>59</v>
      </c>
      <c r="J68" s="19" t="s">
        <v>531</v>
      </c>
      <c r="K68" s="103">
        <v>201550</v>
      </c>
      <c r="L68" s="101">
        <f>INDEX(Table1[Production],MATCH(rrcworking[[#This Row],[RRC ID Number]],Table1[RRC Identifier],0))</f>
        <v>0</v>
      </c>
      <c r="M68" s="30">
        <f>INDEX(Table1[Formation Production],MATCH(rrcworking[[#This Row],[RRC ID Number]],Table1[RRC Identifier],0))</f>
        <v>89</v>
      </c>
      <c r="N68" s="31">
        <f>INDEX(Table1[On Hand End of Month],MATCH(rrcworking[[#This Row],[RRC ID Number]],Table1[RRC Identifier],0))</f>
        <v>0</v>
      </c>
      <c r="O68" s="106" t="b">
        <f t="shared" si="1"/>
        <v>0</v>
      </c>
      <c r="P68" s="214"/>
      <c r="Q68" s="129">
        <f>rrcworking[[#This Row],[Last Month Closing Stock]]</f>
        <v>0</v>
      </c>
      <c r="R68" s="214"/>
      <c r="S68" s="148">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Production Vol]]-rrcworking[[#This Row],[Oil Production]]</f>
        <v>0</v>
      </c>
      <c r="V68" s="148">
        <f>IF(ISERROR(INDEX(Table2[GAS],MATCH(rrcworking[[#This Row],[Magnum Wolfpak '#]],Table2[Rox Wolf'#],0))),0,INDEX(Table2[GAS],MATCH(rrcworking[[#This Row],[Magnum Wolfpak '#]],Table2[Rox Wolf'#],0)))</f>
        <v>82</v>
      </c>
      <c r="W68" s="24"/>
      <c r="X68" s="137">
        <f>IF(rrcworking[[#This Row],[Pressure Base]]=14.73,rrcworking[[#This Row],[Gas Sales Statement Volume (MCF)]]*$R$2,rrcworking[[#This Row],[Gas Sales Statement Volume (MCF)]])</f>
        <v>82</v>
      </c>
      <c r="Y68" s="60"/>
      <c r="Z68" s="60">
        <v>0</v>
      </c>
      <c r="AA68" s="148">
        <f>IF(ISERROR(INDEX(Table2[LEASE USE],MATCH(rrcworking[[#This Row],[Magnum Wolfpak '#]],Table2[Rox Wolf'#],0))),0,INDEX(Table2[LEASE USE],MATCH(rrcworking[[#This Row],[Magnum Wolfpak '#]],Table2[Rox Wolf'#],0)))</f>
        <v>0</v>
      </c>
      <c r="AB68" s="57">
        <f>rrcworking[[#This Row],[Disposition Volume (MCF) @ 14.65 MCF]]+rrcworking[[#This Row],[Lease Use (MCF)]]</f>
        <v>82</v>
      </c>
      <c r="AC68" s="37"/>
      <c r="AD68" s="37"/>
      <c r="AE68" s="220">
        <f>COUNTIF(FilterList,rrcworking[[#This Row],[Magnum Wolfpak '#]])</f>
        <v>0</v>
      </c>
      <c r="AF68" s="217"/>
      <c r="AG68" s="218"/>
      <c r="AH68" s="37"/>
      <c r="AI68" s="37"/>
      <c r="AJ68" s="219"/>
      <c r="AK68" s="219"/>
      <c r="AL68" s="219"/>
      <c r="AM68" s="219"/>
      <c r="AN68" s="219"/>
      <c r="AO68" s="219"/>
      <c r="AP68" s="37" t="s">
        <v>1204</v>
      </c>
      <c r="AQ68" s="37" t="s">
        <v>1240</v>
      </c>
    </row>
    <row r="69" spans="3:43" ht="15" hidden="1">
      <c r="C69" s="80">
        <v>98958</v>
      </c>
      <c r="D69" s="62" t="s">
        <v>275</v>
      </c>
      <c r="E69" s="133" t="s">
        <v>279</v>
      </c>
      <c r="F69" s="131">
        <v>1</v>
      </c>
      <c r="G69" s="122" t="s">
        <v>1097</v>
      </c>
      <c r="H69" s="18" t="s">
        <v>621</v>
      </c>
      <c r="I69" s="18" t="s">
        <v>59</v>
      </c>
      <c r="J69" s="19" t="s">
        <v>536</v>
      </c>
      <c r="K69" s="103">
        <v>217825</v>
      </c>
      <c r="L69" s="101">
        <f>INDEX(Table1[Production],MATCH(rrcworking[[#This Row],[RRC ID Number]],Table1[RRC Identifier],0))</f>
        <v>0</v>
      </c>
      <c r="M69" s="30">
        <f>INDEX(Table1[Formation Production],MATCH(rrcworking[[#This Row],[RRC ID Number]],Table1[RRC Identifier],0))</f>
        <v>1940</v>
      </c>
      <c r="N69" s="31">
        <f>INDEX(Table1[On Hand End of Month],MATCH(rrcworking[[#This Row],[RRC ID Number]],Table1[RRC Identifier],0))</f>
        <v>0</v>
      </c>
      <c r="O69" s="106" t="b">
        <f t="shared" si="1"/>
        <v>0</v>
      </c>
      <c r="P69" s="214"/>
      <c r="Q69" s="129">
        <f>rrcworking[[#This Row],[Last Month Closing Stock]]</f>
        <v>0</v>
      </c>
      <c r="R69" s="214"/>
      <c r="S69" s="148">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Production Vol]]-rrcworking[[#This Row],[Oil Production]]</f>
        <v>0</v>
      </c>
      <c r="V69" s="148">
        <f>IF(ISERROR(INDEX(Table2[GAS],MATCH(rrcworking[[#This Row],[Magnum Wolfpak '#]],Table2[Rox Wolf'#],0))),0,INDEX(Table2[GAS],MATCH(rrcworking[[#This Row],[Magnum Wolfpak '#]],Table2[Rox Wolf'#],0)))</f>
        <v>2841</v>
      </c>
      <c r="W69" s="24"/>
      <c r="X69" s="137">
        <f>IF(rrcworking[[#This Row],[Pressure Base]]=14.73,rrcworking[[#This Row],[Gas Sales Statement Volume (MCF)]]*$R$2,rrcworking[[#This Row],[Gas Sales Statement Volume (MCF)]])</f>
        <v>2841</v>
      </c>
      <c r="Y69" s="85"/>
      <c r="Z69" s="60">
        <v>6</v>
      </c>
      <c r="AA69" s="148">
        <f>IF(ISERROR(INDEX(Table2[LEASE USE],MATCH(rrcworking[[#This Row],[Magnum Wolfpak '#]],Table2[Rox Wolf'#],0))),0,INDEX(Table2[LEASE USE],MATCH(rrcworking[[#This Row],[Magnum Wolfpak '#]],Table2[Rox Wolf'#],0)))</f>
        <v>120</v>
      </c>
      <c r="AB69" s="57">
        <f>rrcworking[[#This Row],[Disposition Volume (MCF) @ 14.65 MCF]]+rrcworking[[#This Row],[Lease Use (MCF)]]</f>
        <v>2961</v>
      </c>
      <c r="AC69" s="37"/>
      <c r="AD69" s="37"/>
      <c r="AE69" s="220">
        <f>COUNTIF(FilterList,rrcworking[[#This Row],[Magnum Wolfpak '#]])</f>
        <v>0</v>
      </c>
      <c r="AF69" s="217"/>
      <c r="AG69" s="218"/>
      <c r="AH69" s="37"/>
      <c r="AI69" s="37"/>
      <c r="AJ69" s="219"/>
      <c r="AK69" s="219"/>
      <c r="AL69" s="219"/>
      <c r="AM69" s="219"/>
      <c r="AN69" s="219"/>
      <c r="AO69" s="219"/>
      <c r="AP69" s="37" t="s">
        <v>1204</v>
      </c>
      <c r="AQ69" s="37" t="s">
        <v>1240</v>
      </c>
    </row>
    <row r="70" spans="3:43" ht="15" hidden="1">
      <c r="C70" s="80" t="e">
        <v>#N/A</v>
      </c>
      <c r="D70" s="62" t="s">
        <v>275</v>
      </c>
      <c r="E70" s="133" t="s">
        <v>279</v>
      </c>
      <c r="F70" s="131">
        <v>5</v>
      </c>
      <c r="G70" s="122" t="s">
        <v>1097</v>
      </c>
      <c r="H70" s="18" t="s">
        <v>621</v>
      </c>
      <c r="I70" s="18" t="s">
        <v>59</v>
      </c>
      <c r="J70" s="19" t="s">
        <v>535</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1" si="2">IF(AND(L70=0,M70=0), TRUE, FALSE)</f>
        <v>1</v>
      </c>
      <c r="P70" s="214"/>
      <c r="Q70" s="129">
        <f>rrcworking[[#This Row],[Last Month Closing Stock]]</f>
        <v>0</v>
      </c>
      <c r="R70" s="214"/>
      <c r="S70" s="148">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Production Vol]]-rrcworking[[#This Row],[Oil Production]]</f>
        <v>0</v>
      </c>
      <c r="V70" s="148">
        <f>IF(ISERROR(INDEX(Table2[GAS],MATCH(rrcworking[[#This Row],[Magnum Wolfpak '#]],Table2[Rox Wolf'#],0))),0,INDEX(Table2[GAS],MATCH(rrcworking[[#This Row],[Magnum Wolfpak '#]],Table2[Rox Wolf'#],0)))</f>
        <v>0</v>
      </c>
      <c r="W70" s="24"/>
      <c r="X70" s="137">
        <f>IF(rrcworking[[#This Row],[Pressure Base]]=14.73,rrcworking[[#This Row],[Gas Sales Statement Volume (MCF)]]*$R$2,rrcworking[[#This Row],[Gas Sales Statement Volume (MCF)]])</f>
        <v>0</v>
      </c>
      <c r="Y70" s="60"/>
      <c r="Z70" s="60"/>
      <c r="AA70" s="148">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220">
        <f>COUNTIF(FilterList,rrcworking[[#This Row],[Magnum Wolfpak '#]])</f>
        <v>0</v>
      </c>
      <c r="AF70" s="217"/>
      <c r="AG70" s="218"/>
      <c r="AH70" s="37"/>
      <c r="AI70" s="37"/>
      <c r="AJ70" s="37"/>
      <c r="AK70" s="37"/>
      <c r="AL70" s="37"/>
      <c r="AM70" s="37"/>
      <c r="AN70" s="37"/>
      <c r="AO70" s="37"/>
      <c r="AP70" s="37"/>
      <c r="AQ70" s="37"/>
    </row>
    <row r="71" spans="3:43" ht="15" hidden="1">
      <c r="C71" s="80">
        <v>99093</v>
      </c>
      <c r="D71" s="62" t="s">
        <v>338</v>
      </c>
      <c r="E71" s="133" t="s">
        <v>339</v>
      </c>
      <c r="F71" s="131">
        <v>2</v>
      </c>
      <c r="G71" s="122" t="s">
        <v>1097</v>
      </c>
      <c r="H71" s="18" t="s">
        <v>622</v>
      </c>
      <c r="I71" s="18" t="s">
        <v>59</v>
      </c>
      <c r="J71" s="19" t="s">
        <v>572</v>
      </c>
      <c r="K71" s="103">
        <v>212342</v>
      </c>
      <c r="L71" s="101">
        <f>INDEX(Table1[Production],MATCH(rrcworking[[#This Row],[RRC ID Number]],Table1[RRC Identifier],0))</f>
        <v>0</v>
      </c>
      <c r="M71" s="30">
        <f>INDEX(Table1[Formation Production],MATCH(rrcworking[[#This Row],[RRC ID Number]],Table1[RRC Identifier],0))</f>
        <v>2734</v>
      </c>
      <c r="N71" s="31">
        <f>INDEX(Table1[On Hand End of Month],MATCH(rrcworking[[#This Row],[RRC ID Number]],Table1[RRC Identifier],0))</f>
        <v>0</v>
      </c>
      <c r="O71" s="106" t="b">
        <f t="shared" si="2"/>
        <v>0</v>
      </c>
      <c r="P71" s="214"/>
      <c r="Q71" s="129">
        <f>rrcworking[[#This Row],[Last Month Closing Stock]]</f>
        <v>0</v>
      </c>
      <c r="R71" s="214"/>
      <c r="S71" s="148">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Production Vol]]-rrcworking[[#This Row],[Oil Production]]</f>
        <v>0</v>
      </c>
      <c r="V71" s="148">
        <f>IF(ISERROR(INDEX(Table2[GAS],MATCH(rrcworking[[#This Row],[Magnum Wolfpak '#]],Table2[Rox Wolf'#],0))),0,INDEX(Table2[GAS],MATCH(rrcworking[[#This Row],[Magnum Wolfpak '#]],Table2[Rox Wolf'#],0)))</f>
        <v>2998</v>
      </c>
      <c r="W71" s="24"/>
      <c r="X71" s="137">
        <f>IF(rrcworking[[#This Row],[Pressure Base]]=14.73,rrcworking[[#This Row],[Gas Sales Statement Volume (MCF)]]*$R$2,rrcworking[[#This Row],[Gas Sales Statement Volume (MCF)]])</f>
        <v>2998</v>
      </c>
      <c r="Y71" s="85"/>
      <c r="Z71" s="60">
        <v>4</v>
      </c>
      <c r="AA71" s="148">
        <f>IF(ISERROR(INDEX(Table2[LEASE USE],MATCH(rrcworking[[#This Row],[Magnum Wolfpak '#]],Table2[Rox Wolf'#],0))),0,INDEX(Table2[LEASE USE],MATCH(rrcworking[[#This Row],[Magnum Wolfpak '#]],Table2[Rox Wolf'#],0)))</f>
        <v>120</v>
      </c>
      <c r="AB71" s="57">
        <f>rrcworking[[#This Row],[Disposition Volume (MCF) @ 14.65 MCF]]+rrcworking[[#This Row],[Lease Use (MCF)]]</f>
        <v>3118</v>
      </c>
      <c r="AC71" s="97"/>
      <c r="AD71" s="37"/>
      <c r="AE71" s="220">
        <f>COUNTIF(FilterList,rrcworking[[#This Row],[Magnum Wolfpak '#]])</f>
        <v>0</v>
      </c>
      <c r="AF71" s="217"/>
      <c r="AG71" s="218"/>
      <c r="AH71" s="37"/>
      <c r="AI71" s="37"/>
      <c r="AJ71" s="219"/>
      <c r="AK71" s="219"/>
      <c r="AL71" s="219"/>
      <c r="AM71" s="219"/>
      <c r="AN71" s="219"/>
      <c r="AO71" s="219"/>
      <c r="AP71" s="37" t="s">
        <v>1204</v>
      </c>
      <c r="AQ71" s="37" t="s">
        <v>1241</v>
      </c>
    </row>
    <row r="72" spans="3:43" ht="15" hidden="1">
      <c r="C72" s="80">
        <v>99095</v>
      </c>
      <c r="D72" s="62" t="s">
        <v>375</v>
      </c>
      <c r="E72" s="133" t="s">
        <v>339</v>
      </c>
      <c r="F72" s="131">
        <v>5</v>
      </c>
      <c r="G72" s="122" t="s">
        <v>1097</v>
      </c>
      <c r="H72" s="18" t="s">
        <v>622</v>
      </c>
      <c r="I72" s="18" t="s">
        <v>59</v>
      </c>
      <c r="J72" s="19" t="s">
        <v>592</v>
      </c>
      <c r="K72" s="103">
        <v>226100</v>
      </c>
      <c r="L72" s="101">
        <f>INDEX(Table1[Production],MATCH(rrcworking[[#This Row],[RRC ID Number]],Table1[RRC Identifier],0))</f>
        <v>0</v>
      </c>
      <c r="M72" s="30">
        <f>INDEX(Table1[Formation Production],MATCH(rrcworking[[#This Row],[RRC ID Number]],Table1[RRC Identifier],0))</f>
        <v>992</v>
      </c>
      <c r="N72" s="31">
        <f>INDEX(Table1[On Hand End of Month],MATCH(rrcworking[[#This Row],[RRC ID Number]],Table1[RRC Identifier],0))</f>
        <v>0</v>
      </c>
      <c r="O72" s="106" t="b">
        <f t="shared" si="2"/>
        <v>0</v>
      </c>
      <c r="P72" s="214"/>
      <c r="Q72" s="129">
        <f>rrcworking[[#This Row],[Last Month Closing Stock]]</f>
        <v>0</v>
      </c>
      <c r="R72" s="214"/>
      <c r="S72" s="148">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Production Vol]]-rrcworking[[#This Row],[Oil Production]]</f>
        <v>0</v>
      </c>
      <c r="V72" s="148">
        <f>IF(ISERROR(INDEX(Table2[GAS],MATCH(rrcworking[[#This Row],[Magnum Wolfpak '#]],Table2[Rox Wolf'#],0))),0,INDEX(Table2[GAS],MATCH(rrcworking[[#This Row],[Magnum Wolfpak '#]],Table2[Rox Wolf'#],0)))</f>
        <v>1151</v>
      </c>
      <c r="W72" s="24"/>
      <c r="X72" s="137">
        <f>IF(rrcworking[[#This Row],[Pressure Base]]=14.73,rrcworking[[#This Row],[Gas Sales Statement Volume (MCF)]]*$R$2,rrcworking[[#This Row],[Gas Sales Statement Volume (MCF)]])</f>
        <v>1151</v>
      </c>
      <c r="Y72" s="85"/>
      <c r="Z72" s="60">
        <v>1</v>
      </c>
      <c r="AA72" s="148">
        <f>IF(ISERROR(INDEX(Table2[LEASE USE],MATCH(rrcworking[[#This Row],[Magnum Wolfpak '#]],Table2[Rox Wolf'#],0))),0,INDEX(Table2[LEASE USE],MATCH(rrcworking[[#This Row],[Magnum Wolfpak '#]],Table2[Rox Wolf'#],0)))</f>
        <v>30</v>
      </c>
      <c r="AB72" s="57">
        <f>rrcworking[[#This Row],[Disposition Volume (MCF) @ 14.65 MCF]]+rrcworking[[#This Row],[Lease Use (MCF)]]</f>
        <v>1181</v>
      </c>
      <c r="AC72" s="37"/>
      <c r="AD72" s="37"/>
      <c r="AE72" s="220">
        <f>COUNTIF(FilterList,rrcworking[[#This Row],[Magnum Wolfpak '#]])</f>
        <v>0</v>
      </c>
      <c r="AF72" s="217"/>
      <c r="AG72" s="218"/>
      <c r="AH72" s="37"/>
      <c r="AI72" s="37"/>
      <c r="AJ72" s="219"/>
      <c r="AK72" s="219"/>
      <c r="AL72" s="219"/>
      <c r="AM72" s="219"/>
      <c r="AN72" s="219"/>
      <c r="AO72" s="219"/>
      <c r="AP72" s="37" t="s">
        <v>1204</v>
      </c>
      <c r="AQ72" s="37" t="s">
        <v>1241</v>
      </c>
    </row>
    <row r="73" spans="3:43" ht="15" hidden="1">
      <c r="C73" s="80">
        <v>99094</v>
      </c>
      <c r="D73" s="62" t="s">
        <v>375</v>
      </c>
      <c r="E73" s="133" t="s">
        <v>339</v>
      </c>
      <c r="F73" s="131">
        <v>3</v>
      </c>
      <c r="G73" s="122" t="s">
        <v>1097</v>
      </c>
      <c r="H73" s="18" t="s">
        <v>622</v>
      </c>
      <c r="I73" s="18" t="s">
        <v>59</v>
      </c>
      <c r="J73" s="19" t="s">
        <v>593</v>
      </c>
      <c r="K73" s="103">
        <v>233961</v>
      </c>
      <c r="L73" s="101">
        <f>INDEX(Table1[Production],MATCH(rrcworking[[#This Row],[RRC ID Number]],Table1[RRC Identifier],0))</f>
        <v>0</v>
      </c>
      <c r="M73" s="30">
        <f>INDEX(Table1[Formation Production],MATCH(rrcworking[[#This Row],[RRC ID Number]],Table1[RRC Identifier],0))</f>
        <v>2734</v>
      </c>
      <c r="N73" s="31">
        <f>INDEX(Table1[On Hand End of Month],MATCH(rrcworking[[#This Row],[RRC ID Number]],Table1[RRC Identifier],0))</f>
        <v>0</v>
      </c>
      <c r="O73" s="106" t="b">
        <f t="shared" si="2"/>
        <v>0</v>
      </c>
      <c r="P73" s="214"/>
      <c r="Q73" s="129">
        <f>rrcworking[[#This Row],[Last Month Closing Stock]]</f>
        <v>0</v>
      </c>
      <c r="R73" s="214"/>
      <c r="S73" s="148">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Production Vol]]-rrcworking[[#This Row],[Oil Production]]</f>
        <v>0</v>
      </c>
      <c r="V73" s="148">
        <f>IF(ISERROR(INDEX(Table2[GAS],MATCH(rrcworking[[#This Row],[Magnum Wolfpak '#]],Table2[Rox Wolf'#],0))),0,INDEX(Table2[GAS],MATCH(rrcworking[[#This Row],[Magnum Wolfpak '#]],Table2[Rox Wolf'#],0)))</f>
        <v>3012</v>
      </c>
      <c r="W73" s="24"/>
      <c r="X73" s="137">
        <f>IF(rrcworking[[#This Row],[Pressure Base]]=14.73,rrcworking[[#This Row],[Gas Sales Statement Volume (MCF)]]*$R$2,rrcworking[[#This Row],[Gas Sales Statement Volume (MCF)]])</f>
        <v>3012</v>
      </c>
      <c r="Y73" s="85"/>
      <c r="Z73" s="60">
        <v>4</v>
      </c>
      <c r="AA73" s="148">
        <f>IF(ISERROR(INDEX(Table2[LEASE USE],MATCH(rrcworking[[#This Row],[Magnum Wolfpak '#]],Table2[Rox Wolf'#],0))),0,INDEX(Table2[LEASE USE],MATCH(rrcworking[[#This Row],[Magnum Wolfpak '#]],Table2[Rox Wolf'#],0)))</f>
        <v>120</v>
      </c>
      <c r="AB73" s="57">
        <f>rrcworking[[#This Row],[Disposition Volume (MCF) @ 14.65 MCF]]+rrcworking[[#This Row],[Lease Use (MCF)]]</f>
        <v>3132</v>
      </c>
      <c r="AC73" s="37"/>
      <c r="AD73" s="37"/>
      <c r="AE73" s="220">
        <f>COUNTIF(FilterList,rrcworking[[#This Row],[Magnum Wolfpak '#]])</f>
        <v>0</v>
      </c>
      <c r="AF73" s="217"/>
      <c r="AG73" s="218"/>
      <c r="AH73" s="37"/>
      <c r="AI73" s="37"/>
      <c r="AJ73" s="219"/>
      <c r="AK73" s="219"/>
      <c r="AL73" s="219"/>
      <c r="AM73" s="219"/>
      <c r="AN73" s="219"/>
      <c r="AO73" s="219"/>
      <c r="AP73" s="37" t="s">
        <v>1204</v>
      </c>
      <c r="AQ73" s="37" t="s">
        <v>1241</v>
      </c>
    </row>
    <row r="74" spans="3:43" ht="15" hidden="1">
      <c r="C74" s="80" t="e">
        <v>#N/A</v>
      </c>
      <c r="D74" s="62" t="s">
        <v>338</v>
      </c>
      <c r="E74" s="133" t="s">
        <v>339</v>
      </c>
      <c r="F74" s="131">
        <v>1</v>
      </c>
      <c r="G74" s="122" t="s">
        <v>1097</v>
      </c>
      <c r="H74" s="18" t="s">
        <v>622</v>
      </c>
      <c r="I74" s="18" t="s">
        <v>59</v>
      </c>
      <c r="J74" s="19" t="s">
        <v>573</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214">
        <v>0</v>
      </c>
      <c r="Q74" s="129">
        <f>rrcworking[[#This Row],[Last Month Closing Stock]]</f>
        <v>43</v>
      </c>
      <c r="R74" s="214">
        <f>rrcworking[[#This Row],[Opening Oil Stock]]</f>
        <v>43</v>
      </c>
      <c r="S74" s="148">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Production Vol]]-rrcworking[[#This Row],[Oil Production]]</f>
        <v>0</v>
      </c>
      <c r="V74" s="148">
        <f>IF(ISERROR(INDEX(Table2[GAS],MATCH(rrcworking[[#This Row],[Magnum Wolfpak '#]],Table2[Rox Wolf'#],0))),0,INDEX(Table2[GAS],MATCH(rrcworking[[#This Row],[Magnum Wolfpak '#]],Table2[Rox Wolf'#],0)))</f>
        <v>0</v>
      </c>
      <c r="W74" s="24"/>
      <c r="X74" s="137">
        <f>IF(rrcworking[[#This Row],[Pressure Base]]=14.73,rrcworking[[#This Row],[Gas Sales Statement Volume (MCF)]]*$R$2,rrcworking[[#This Row],[Gas Sales Statement Volume (MCF)]])</f>
        <v>0</v>
      </c>
      <c r="Y74" s="60"/>
      <c r="Z74" s="60"/>
      <c r="AA74" s="148">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220">
        <f>COUNTIF(FilterList,rrcworking[[#This Row],[Magnum Wolfpak '#]])</f>
        <v>0</v>
      </c>
      <c r="AF74" s="217"/>
      <c r="AG74" s="218"/>
      <c r="AH74" s="37"/>
      <c r="AI74" s="37"/>
      <c r="AJ74" s="37"/>
      <c r="AK74" s="37"/>
      <c r="AL74" s="37"/>
      <c r="AM74" s="37"/>
      <c r="AN74" s="37"/>
      <c r="AO74" s="37"/>
      <c r="AP74" s="37"/>
      <c r="AQ74" s="37"/>
    </row>
    <row r="75" spans="3:43" ht="15" hidden="1">
      <c r="C75" s="80" t="e">
        <v>#N/A</v>
      </c>
      <c r="D75" s="62" t="s">
        <v>210</v>
      </c>
      <c r="E75" s="133" t="s">
        <v>211</v>
      </c>
      <c r="F75" s="131">
        <v>0</v>
      </c>
      <c r="G75" s="122" t="s">
        <v>1097</v>
      </c>
      <c r="H75" s="18" t="s">
        <v>621</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81</v>
      </c>
      <c r="O75" s="106" t="b">
        <f t="shared" si="2"/>
        <v>1</v>
      </c>
      <c r="P75" s="214">
        <v>0</v>
      </c>
      <c r="Q75" s="129">
        <f>rrcworking[[#This Row],[Last Month Closing Stock]]</f>
        <v>81</v>
      </c>
      <c r="R75" s="214">
        <f>rrcworking[[#This Row],[Opening Oil Stock]]</f>
        <v>81</v>
      </c>
      <c r="S75" s="148">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Production Vol]]-rrcworking[[#This Row],[Oil Production]]</f>
        <v>0</v>
      </c>
      <c r="V75" s="148">
        <f>IF(ISERROR(INDEX(Table2[GAS],MATCH(rrcworking[[#This Row],[Magnum Wolfpak '#]],Table2[Rox Wolf'#],0))),0,INDEX(Table2[GAS],MATCH(rrcworking[[#This Row],[Magnum Wolfpak '#]],Table2[Rox Wolf'#],0)))</f>
        <v>0</v>
      </c>
      <c r="W75" s="24"/>
      <c r="X75" s="137">
        <f>IF(rrcworking[[#This Row],[Pressure Base]]=14.73,rrcworking[[#This Row],[Gas Sales Statement Volume (MCF)]]*$R$2,rrcworking[[#This Row],[Gas Sales Statement Volume (MCF)]])</f>
        <v>0</v>
      </c>
      <c r="Y75" s="60"/>
      <c r="Z75" s="60"/>
      <c r="AA75" s="148">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220">
        <f>COUNTIF(FilterList,rrcworking[[#This Row],[Magnum Wolfpak '#]])</f>
        <v>0</v>
      </c>
      <c r="AF75" s="217"/>
      <c r="AG75" s="218"/>
      <c r="AH75" s="37"/>
      <c r="AI75" s="37"/>
      <c r="AJ75" s="37"/>
      <c r="AK75" s="37"/>
      <c r="AL75" s="37"/>
      <c r="AM75" s="37"/>
      <c r="AN75" s="37"/>
      <c r="AO75" s="37"/>
      <c r="AP75" s="37"/>
      <c r="AQ75" s="37"/>
    </row>
    <row r="76" spans="3:43" ht="15" hidden="1">
      <c r="C76" s="80" t="e">
        <v>#N/A</v>
      </c>
      <c r="D76" s="62" t="s">
        <v>224</v>
      </c>
      <c r="E76" s="133" t="s">
        <v>225</v>
      </c>
      <c r="F76" s="131">
        <v>0</v>
      </c>
      <c r="G76" s="122" t="s">
        <v>1097</v>
      </c>
      <c r="H76" s="18" t="s">
        <v>621</v>
      </c>
      <c r="I76" s="18" t="s">
        <v>2</v>
      </c>
      <c r="J76" s="19" t="s">
        <v>502</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214">
        <v>0</v>
      </c>
      <c r="Q76" s="129">
        <f>rrcworking[[#This Row],[Last Month Closing Stock]]</f>
        <v>68</v>
      </c>
      <c r="R76" s="214">
        <f>rrcworking[[#This Row],[Opening Oil Stock]]</f>
        <v>68</v>
      </c>
      <c r="S76" s="148">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Production Vol]]-rrcworking[[#This Row],[Oil Production]]</f>
        <v>0</v>
      </c>
      <c r="V76" s="148">
        <f>IF(ISERROR(INDEX(Table2[GAS],MATCH(rrcworking[[#This Row],[Magnum Wolfpak '#]],Table2[Rox Wolf'#],0))),0,INDEX(Table2[GAS],MATCH(rrcworking[[#This Row],[Magnum Wolfpak '#]],Table2[Rox Wolf'#],0)))</f>
        <v>0</v>
      </c>
      <c r="W76" s="24"/>
      <c r="X76" s="137">
        <f>IF(rrcworking[[#This Row],[Pressure Base]]=14.73,rrcworking[[#This Row],[Gas Sales Statement Volume (MCF)]]*$R$2,rrcworking[[#This Row],[Gas Sales Statement Volume (MCF)]])</f>
        <v>0</v>
      </c>
      <c r="Y76" s="60"/>
      <c r="Z76" s="60"/>
      <c r="AA76" s="148">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220">
        <f>COUNTIF(FilterList,rrcworking[[#This Row],[Magnum Wolfpak '#]])</f>
        <v>0</v>
      </c>
      <c r="AF76" s="217"/>
      <c r="AG76" s="218"/>
      <c r="AH76" s="37"/>
      <c r="AI76" s="37"/>
      <c r="AJ76" s="37"/>
      <c r="AK76" s="37"/>
      <c r="AL76" s="37"/>
      <c r="AM76" s="37"/>
      <c r="AN76" s="37"/>
      <c r="AO76" s="37"/>
      <c r="AP76" s="37"/>
      <c r="AQ76" s="37"/>
    </row>
    <row r="77" spans="3:43" ht="15" hidden="1">
      <c r="C77" s="80" t="e">
        <v>#N/A</v>
      </c>
      <c r="D77" s="62" t="s">
        <v>298</v>
      </c>
      <c r="E77" s="133" t="s">
        <v>299</v>
      </c>
      <c r="F77" s="131">
        <v>0</v>
      </c>
      <c r="G77" s="122" t="s">
        <v>1097</v>
      </c>
      <c r="H77" s="18" t="s">
        <v>621</v>
      </c>
      <c r="I77" s="18" t="s">
        <v>2</v>
      </c>
      <c r="J77" s="19" t="s">
        <v>549</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214"/>
      <c r="Q77" s="129">
        <f>rrcworking[[#This Row],[Last Month Closing Stock]]</f>
        <v>0</v>
      </c>
      <c r="R77" s="214"/>
      <c r="S77" s="148">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Production Vol]]-rrcworking[[#This Row],[Oil Production]]</f>
        <v>0</v>
      </c>
      <c r="V77" s="148">
        <f>IF(ISERROR(INDEX(Table2[GAS],MATCH(rrcworking[[#This Row],[Magnum Wolfpak '#]],Table2[Rox Wolf'#],0))),0,INDEX(Table2[GAS],MATCH(rrcworking[[#This Row],[Magnum Wolfpak '#]],Table2[Rox Wolf'#],0)))</f>
        <v>0</v>
      </c>
      <c r="W77" s="24"/>
      <c r="X77" s="137">
        <f>IF(rrcworking[[#This Row],[Pressure Base]]=14.73,rrcworking[[#This Row],[Gas Sales Statement Volume (MCF)]]*$R$2,rrcworking[[#This Row],[Gas Sales Statement Volume (MCF)]])</f>
        <v>0</v>
      </c>
      <c r="Y77" s="60"/>
      <c r="Z77" s="60"/>
      <c r="AA77" s="148">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220">
        <f>COUNTIF(FilterList,rrcworking[[#This Row],[Magnum Wolfpak '#]])</f>
        <v>0</v>
      </c>
      <c r="AF77" s="217"/>
      <c r="AG77" s="218"/>
      <c r="AH77" s="37"/>
      <c r="AI77" s="37"/>
      <c r="AJ77" s="37"/>
      <c r="AK77" s="37"/>
      <c r="AL77" s="37"/>
      <c r="AM77" s="37"/>
      <c r="AN77" s="37"/>
      <c r="AO77" s="37"/>
      <c r="AP77" s="37"/>
      <c r="AQ77" s="37"/>
    </row>
    <row r="78" spans="3:43" ht="15" hidden="1">
      <c r="C78" s="80" t="e">
        <v>#N/A</v>
      </c>
      <c r="D78" s="62" t="s">
        <v>120</v>
      </c>
      <c r="E78" s="133" t="s">
        <v>121</v>
      </c>
      <c r="F78" s="131">
        <v>0</v>
      </c>
      <c r="G78" s="122" t="s">
        <v>1097</v>
      </c>
      <c r="H78" s="18" t="s">
        <v>620</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214"/>
      <c r="Q78" s="129">
        <f>rrcworking[[#This Row],[Last Month Closing Stock]]</f>
        <v>0</v>
      </c>
      <c r="R78" s="214"/>
      <c r="S78" s="148">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Production Vol]]-rrcworking[[#This Row],[Oil Production]]</f>
        <v>0</v>
      </c>
      <c r="V78" s="148">
        <f>IF(ISERROR(INDEX(Table2[GAS],MATCH(rrcworking[[#This Row],[Magnum Wolfpak '#]],Table2[Rox Wolf'#],0))),0,INDEX(Table2[GAS],MATCH(rrcworking[[#This Row],[Magnum Wolfpak '#]],Table2[Rox Wolf'#],0)))</f>
        <v>0</v>
      </c>
      <c r="W78" s="24"/>
      <c r="X78" s="137">
        <f>IF(rrcworking[[#This Row],[Pressure Base]]=14.73,rrcworking[[#This Row],[Gas Sales Statement Volume (MCF)]]*$R$2,rrcworking[[#This Row],[Gas Sales Statement Volume (MCF)]])</f>
        <v>0</v>
      </c>
      <c r="Y78" s="60"/>
      <c r="Z78" s="60"/>
      <c r="AA78" s="148">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220">
        <f>COUNTIF(FilterList,rrcworking[[#This Row],[Magnum Wolfpak '#]])</f>
        <v>0</v>
      </c>
      <c r="AF78" s="217"/>
      <c r="AG78" s="218"/>
      <c r="AH78" s="37"/>
      <c r="AI78" s="37"/>
      <c r="AJ78" s="37"/>
      <c r="AK78" s="37"/>
      <c r="AL78" s="37"/>
      <c r="AM78" s="37"/>
      <c r="AN78" s="37"/>
      <c r="AO78" s="37"/>
      <c r="AP78" s="37"/>
      <c r="AQ78" s="37"/>
    </row>
    <row r="79" spans="3:43" ht="15" hidden="1">
      <c r="C79" s="80" t="e">
        <v>#N/A</v>
      </c>
      <c r="D79" s="62" t="s">
        <v>122</v>
      </c>
      <c r="E79" s="133" t="s">
        <v>121</v>
      </c>
      <c r="F79" s="131">
        <v>0</v>
      </c>
      <c r="G79" s="122" t="s">
        <v>1097</v>
      </c>
      <c r="H79" s="18" t="s">
        <v>620</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214"/>
      <c r="Q79" s="129">
        <f>rrcworking[[#This Row],[Last Month Closing Stock]]</f>
        <v>0</v>
      </c>
      <c r="R79" s="214"/>
      <c r="S79" s="148">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Production Vol]]-rrcworking[[#This Row],[Oil Production]]</f>
        <v>0</v>
      </c>
      <c r="V79" s="148">
        <f>IF(ISERROR(INDEX(Table2[GAS],MATCH(rrcworking[[#This Row],[Magnum Wolfpak '#]],Table2[Rox Wolf'#],0))),0,INDEX(Table2[GAS],MATCH(rrcworking[[#This Row],[Magnum Wolfpak '#]],Table2[Rox Wolf'#],0)))</f>
        <v>0</v>
      </c>
      <c r="W79" s="24"/>
      <c r="X79" s="137">
        <f>IF(rrcworking[[#This Row],[Pressure Base]]=14.73,rrcworking[[#This Row],[Gas Sales Statement Volume (MCF)]]*$R$2,rrcworking[[#This Row],[Gas Sales Statement Volume (MCF)]])</f>
        <v>0</v>
      </c>
      <c r="Y79" s="60"/>
      <c r="Z79" s="60"/>
      <c r="AA79" s="148">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220">
        <f>COUNTIF(FilterList,rrcworking[[#This Row],[Magnum Wolfpak '#]])</f>
        <v>0</v>
      </c>
      <c r="AF79" s="217"/>
      <c r="AG79" s="218"/>
      <c r="AH79" s="37"/>
      <c r="AI79" s="37"/>
      <c r="AJ79" s="37"/>
      <c r="AK79" s="37"/>
      <c r="AL79" s="37"/>
      <c r="AM79" s="37"/>
      <c r="AN79" s="37"/>
      <c r="AO79" s="37"/>
      <c r="AP79" s="37"/>
      <c r="AQ79" s="37"/>
    </row>
    <row r="80" spans="3:43" ht="15" hidden="1">
      <c r="C80" s="80">
        <v>82001</v>
      </c>
      <c r="D80" s="62" t="s">
        <v>291</v>
      </c>
      <c r="E80" s="133" t="s">
        <v>292</v>
      </c>
      <c r="F80" s="131">
        <v>0</v>
      </c>
      <c r="G80" s="122" t="s">
        <v>1097</v>
      </c>
      <c r="H80" s="18" t="s">
        <v>621</v>
      </c>
      <c r="I80" s="18" t="s">
        <v>2</v>
      </c>
      <c r="J80" s="19" t="s">
        <v>542</v>
      </c>
      <c r="K80" s="103">
        <v>25782</v>
      </c>
      <c r="L80" s="101">
        <f>INDEX(Table1[Production],MATCH(rrcworking[[#This Row],[RRC ID Number]],Table1[RRC Identifier],0))</f>
        <v>65</v>
      </c>
      <c r="M80" s="30">
        <f>INDEX(Table1[Formation Production],MATCH(rrcworking[[#This Row],[RRC ID Number]],Table1[RRC Identifier],0))</f>
        <v>57</v>
      </c>
      <c r="N80" s="31">
        <f>INDEX(Table1[On Hand End of Month],MATCH(rrcworking[[#This Row],[RRC ID Number]],Table1[RRC Identifier],0))</f>
        <v>174</v>
      </c>
      <c r="O80" s="106" t="b">
        <f t="shared" si="2"/>
        <v>0</v>
      </c>
      <c r="P80" s="214">
        <v>0</v>
      </c>
      <c r="Q80" s="129">
        <f>rrcworking[[#This Row],[Last Month Closing Stock]]</f>
        <v>174</v>
      </c>
      <c r="R80" s="215">
        <v>174</v>
      </c>
      <c r="S80" s="148">
        <f>IF(ISERROR(INDEX(Table2[OIL],MATCH(rrcworking[[#This Row],[Magnum Wolfpak '#]],Table2[Rox Wolf'#],0))),0,INDEX(Table2[OIL],MATCH(rrcworking[[#This Row],[Magnum Wolfpak '#]],Table2[Rox Wolf'#],0)))</f>
        <v>0</v>
      </c>
      <c r="T80" s="35">
        <f>rrcworking[[#This Row],[Closing Stock (Oil)]]+rrcworking[[#This Row],[Sales/Dispostion]]-rrcworking[[#This Row],[Opening Oil Stock]]</f>
        <v>0</v>
      </c>
      <c r="U80" s="112">
        <f>rrcworking[[#This Row],[Gauge Sheet Production Vol]]-rrcworking[[#This Row],[Oil Production]]</f>
        <v>0</v>
      </c>
      <c r="V80" s="148">
        <f>IF(ISERROR(INDEX(Table2[GAS],MATCH(rrcworking[[#This Row],[Magnum Wolfpak '#]],Table2[Rox Wolf'#],0))),0,INDEX(Table2[GAS],MATCH(rrcworking[[#This Row],[Magnum Wolfpak '#]],Table2[Rox Wolf'#],0)))</f>
        <v>0</v>
      </c>
      <c r="W80" s="24"/>
      <c r="X80" s="137">
        <f>IF(rrcworking[[#This Row],[Pressure Base]]=14.73,rrcworking[[#This Row],[Gas Sales Statement Volume (MCF)]]*$R$2,rrcworking[[#This Row],[Gas Sales Statement Volume (MCF)]])</f>
        <v>0</v>
      </c>
      <c r="Y80" s="60"/>
      <c r="Z80" s="60">
        <v>0</v>
      </c>
      <c r="AA80" s="148">
        <f>IF(ISERROR(INDEX(Table2[LEASE USE],MATCH(rrcworking[[#This Row],[Magnum Wolfpak '#]],Table2[Rox Wolf'#],0))),0,INDEX(Table2[LEASE USE],MATCH(rrcworking[[#This Row],[Magnum Wolfpak '#]],Table2[Rox Wolf'#],0)))</f>
        <v>0</v>
      </c>
      <c r="AB80" s="57">
        <f>rrcworking[[#This Row],[Disposition Volume (MCF) @ 14.65 MCF]]+rrcworking[[#This Row],[Lease Use (MCF)]]</f>
        <v>0</v>
      </c>
      <c r="AC80" s="37"/>
      <c r="AD80" s="37"/>
      <c r="AE80" s="220">
        <f>COUNTIF(FilterList,rrcworking[[#This Row],[Magnum Wolfpak '#]])</f>
        <v>0</v>
      </c>
      <c r="AF80" s="217"/>
      <c r="AG80" s="218"/>
      <c r="AH80" s="37"/>
      <c r="AI80" s="218"/>
      <c r="AJ80" s="219"/>
      <c r="AK80" s="219"/>
      <c r="AL80" s="219"/>
      <c r="AM80" s="219"/>
      <c r="AN80" s="219"/>
      <c r="AO80" s="219"/>
      <c r="AP80" s="37" t="s">
        <v>1204</v>
      </c>
      <c r="AQ80" s="37" t="s">
        <v>1240</v>
      </c>
    </row>
    <row r="81" spans="3:43" ht="15" hidden="1">
      <c r="C81" s="80">
        <v>96701</v>
      </c>
      <c r="D81" s="62" t="s">
        <v>285</v>
      </c>
      <c r="E81" s="133" t="s">
        <v>286</v>
      </c>
      <c r="F81" s="131">
        <v>1</v>
      </c>
      <c r="G81" s="122" t="s">
        <v>1097</v>
      </c>
      <c r="H81" s="18" t="s">
        <v>621</v>
      </c>
      <c r="I81" s="18" t="s">
        <v>59</v>
      </c>
      <c r="J81" s="19" t="s">
        <v>539</v>
      </c>
      <c r="K81" s="103">
        <v>280832</v>
      </c>
      <c r="L81" s="101">
        <f>INDEX(Table1[Production],MATCH(rrcworking[[#This Row],[RRC ID Number]],Table1[RRC Identifier],0))</f>
        <v>0</v>
      </c>
      <c r="M81" s="30">
        <f>INDEX(Table1[Formation Production],MATCH(rrcworking[[#This Row],[RRC ID Number]],Table1[RRC Identifier],0))</f>
        <v>45</v>
      </c>
      <c r="N81" s="31">
        <f>INDEX(Table1[On Hand End of Month],MATCH(rrcworking[[#This Row],[RRC ID Number]],Table1[RRC Identifier],0))</f>
        <v>43</v>
      </c>
      <c r="O81" s="106" t="b">
        <f t="shared" si="2"/>
        <v>0</v>
      </c>
      <c r="P81" s="214">
        <v>0</v>
      </c>
      <c r="Q81" s="129">
        <f>rrcworking[[#This Row],[Last Month Closing Stock]]</f>
        <v>43</v>
      </c>
      <c r="R81" s="214">
        <v>43</v>
      </c>
      <c r="S81" s="148">
        <f>IF(ISERROR(INDEX(Table2[OIL],MATCH(rrcworking[[#This Row],[Magnum Wolfpak '#]],Table2[Rox Wolf'#],0))),0,INDEX(Table2[OIL],MATCH(rrcworking[[#This Row],[Magnum Wolfpak '#]],Table2[Rox Wolf'#],0)))</f>
        <v>0</v>
      </c>
      <c r="T81" s="35">
        <f>rrcworking[[#This Row],[Closing Stock (Oil)]]+rrcworking[[#This Row],[Sales/Dispostion]]-rrcworking[[#This Row],[Opening Oil Stock]]</f>
        <v>0</v>
      </c>
      <c r="U81" s="112">
        <f>rrcworking[[#This Row],[Gauge Sheet Production Vol]]-rrcworking[[#This Row],[Oil Production]]</f>
        <v>0</v>
      </c>
      <c r="V81" s="148">
        <f>IF(ISERROR(INDEX(Table2[GAS],MATCH(rrcworking[[#This Row],[Magnum Wolfpak '#]],Table2[Rox Wolf'#],0))),0,INDEX(Table2[GAS],MATCH(rrcworking[[#This Row],[Magnum Wolfpak '#]],Table2[Rox Wolf'#],0)))</f>
        <v>0</v>
      </c>
      <c r="W81" s="24"/>
      <c r="X81" s="137">
        <f>IF(rrcworking[[#This Row],[Pressure Base]]=14.73,rrcworking[[#This Row],[Gas Sales Statement Volume (MCF)]]*$R$2,rrcworking[[#This Row],[Gas Sales Statement Volume (MCF)]])</f>
        <v>0</v>
      </c>
      <c r="Y81" s="60"/>
      <c r="Z81" s="60">
        <v>0</v>
      </c>
      <c r="AA81" s="148">
        <f>IF(ISERROR(INDEX(Table2[LEASE USE],MATCH(rrcworking[[#This Row],[Magnum Wolfpak '#]],Table2[Rox Wolf'#],0))),0,INDEX(Table2[LEASE USE],MATCH(rrcworking[[#This Row],[Magnum Wolfpak '#]],Table2[Rox Wolf'#],0)))</f>
        <v>0</v>
      </c>
      <c r="AB81" s="57">
        <f>rrcworking[[#This Row],[Disposition Volume (MCF) @ 14.65 MCF]]+rrcworking[[#This Row],[Lease Use (MCF)]]</f>
        <v>0</v>
      </c>
      <c r="AC81" s="37"/>
      <c r="AD81" s="37"/>
      <c r="AE81" s="220">
        <f>COUNTIF(FilterList,rrcworking[[#This Row],[Magnum Wolfpak '#]])</f>
        <v>0</v>
      </c>
      <c r="AF81" s="217"/>
      <c r="AG81" s="218"/>
      <c r="AH81" s="87"/>
      <c r="AI81" s="87"/>
      <c r="AJ81" s="219"/>
      <c r="AK81" s="219"/>
      <c r="AL81" s="219"/>
      <c r="AM81" s="219"/>
      <c r="AN81" s="219"/>
      <c r="AO81" s="219"/>
      <c r="AP81" s="37" t="s">
        <v>1204</v>
      </c>
      <c r="AQ81" s="37" t="s">
        <v>1240</v>
      </c>
    </row>
    <row r="82" spans="3:43" ht="15" hidden="1">
      <c r="C82" s="80" t="e">
        <v>#N/A</v>
      </c>
      <c r="D82" s="62" t="s">
        <v>291</v>
      </c>
      <c r="E82" s="133" t="s">
        <v>286</v>
      </c>
      <c r="F82" s="131">
        <v>0</v>
      </c>
      <c r="G82" s="122" t="s">
        <v>1097</v>
      </c>
      <c r="H82" s="18" t="s">
        <v>621</v>
      </c>
      <c r="I82" s="18" t="s">
        <v>2</v>
      </c>
      <c r="J82" s="19" t="s">
        <v>543</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214"/>
      <c r="Q82" s="129">
        <f>rrcworking[[#This Row],[Last Month Closing Stock]]</f>
        <v>0</v>
      </c>
      <c r="R82" s="214"/>
      <c r="S82" s="148">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Production Vol]]-rrcworking[[#This Row],[Oil Production]]</f>
        <v>0</v>
      </c>
      <c r="V82" s="148">
        <f>IF(ISERROR(INDEX(Table2[GAS],MATCH(rrcworking[[#This Row],[Magnum Wolfpak '#]],Table2[Rox Wolf'#],0))),0,INDEX(Table2[GAS],MATCH(rrcworking[[#This Row],[Magnum Wolfpak '#]],Table2[Rox Wolf'#],0)))</f>
        <v>0</v>
      </c>
      <c r="W82" s="24"/>
      <c r="X82" s="137">
        <f>IF(rrcworking[[#This Row],[Pressure Base]]=14.73,rrcworking[[#This Row],[Gas Sales Statement Volume (MCF)]]*$R$2,rrcworking[[#This Row],[Gas Sales Statement Volume (MCF)]])</f>
        <v>0</v>
      </c>
      <c r="Y82" s="60"/>
      <c r="Z82" s="60"/>
      <c r="AA82" s="148">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220">
        <f>COUNTIF(FilterList,rrcworking[[#This Row],[Magnum Wolfpak '#]])</f>
        <v>0</v>
      </c>
      <c r="AF82" s="217"/>
      <c r="AG82" s="218"/>
      <c r="AH82" s="37"/>
      <c r="AI82" s="37"/>
      <c r="AJ82" s="37"/>
      <c r="AK82" s="37"/>
      <c r="AL82" s="37"/>
      <c r="AM82" s="37"/>
      <c r="AN82" s="37"/>
      <c r="AO82" s="37"/>
      <c r="AP82" s="37"/>
      <c r="AQ82" s="37"/>
    </row>
    <row r="83" spans="3:43" ht="120" hidden="1">
      <c r="C83" s="80">
        <v>96501</v>
      </c>
      <c r="D83" s="62" t="s">
        <v>287</v>
      </c>
      <c r="E83" s="133" t="s">
        <v>288</v>
      </c>
      <c r="F83" s="131">
        <v>1</v>
      </c>
      <c r="G83" s="122" t="s">
        <v>1097</v>
      </c>
      <c r="H83" s="18" t="s">
        <v>621</v>
      </c>
      <c r="I83" s="18" t="s">
        <v>59</v>
      </c>
      <c r="J83" s="19" t="s">
        <v>540</v>
      </c>
      <c r="K83" s="103">
        <v>161374</v>
      </c>
      <c r="L83" s="101">
        <f>INDEX(Table1[Production],MATCH(rrcworking[[#This Row],[RRC ID Number]],Table1[RRC Identifier],0))</f>
        <v>6</v>
      </c>
      <c r="M83" s="30">
        <f>INDEX(Table1[Formation Production],MATCH(rrcworking[[#This Row],[RRC ID Number]],Table1[RRC Identifier],0))</f>
        <v>1485</v>
      </c>
      <c r="N83" s="31">
        <f>INDEX(Table1[On Hand End of Month],MATCH(rrcworking[[#This Row],[RRC ID Number]],Table1[RRC Identifier],0))</f>
        <v>233</v>
      </c>
      <c r="O83" s="106" t="b">
        <f t="shared" si="2"/>
        <v>0</v>
      </c>
      <c r="P83" s="214">
        <v>0</v>
      </c>
      <c r="Q83" s="129">
        <f>rrcworking[[#This Row],[Last Month Closing Stock]]</f>
        <v>233</v>
      </c>
      <c r="R83" s="215">
        <v>233</v>
      </c>
      <c r="S83" s="148">
        <f>IF(ISERROR(INDEX(Table2[OIL],MATCH(rrcworking[[#This Row],[Magnum Wolfpak '#]],Table2[Rox Wolf'#],0))),0,INDEX(Table2[OIL],MATCH(rrcworking[[#This Row],[Magnum Wolfpak '#]],Table2[Rox Wolf'#],0)))</f>
        <v>0</v>
      </c>
      <c r="T83" s="35">
        <f>rrcworking[[#This Row],[Closing Stock (Oil)]]+rrcworking[[#This Row],[Sales/Dispostion]]-rrcworking[[#This Row],[Opening Oil Stock]]</f>
        <v>0</v>
      </c>
      <c r="U83" s="112">
        <f>rrcworking[[#This Row],[Gauge Sheet Production Vol]]-rrcworking[[#This Row],[Oil Production]]</f>
        <v>0</v>
      </c>
      <c r="V83" s="148">
        <f>IF(ISERROR(INDEX(Table2[GAS],MATCH(rrcworking[[#This Row],[Magnum Wolfpak '#]],Table2[Rox Wolf'#],0))),0,INDEX(Table2[GAS],MATCH(rrcworking[[#This Row],[Magnum Wolfpak '#]],Table2[Rox Wolf'#],0)))</f>
        <v>0</v>
      </c>
      <c r="W83" s="24"/>
      <c r="X83" s="137">
        <f>IF(rrcworking[[#This Row],[Pressure Base]]=14.73,rrcworking[[#This Row],[Gas Sales Statement Volume (MCF)]]*$R$2,rrcworking[[#This Row],[Gas Sales Statement Volume (MCF)]])</f>
        <v>0</v>
      </c>
      <c r="Y83" s="85"/>
      <c r="Z83" s="60">
        <v>3</v>
      </c>
      <c r="AA83" s="148">
        <f>IF(ISERROR(INDEX(Table2[LEASE USE],MATCH(rrcworking[[#This Row],[Magnum Wolfpak '#]],Table2[Rox Wolf'#],0))),0,INDEX(Table2[LEASE USE],MATCH(rrcworking[[#This Row],[Magnum Wolfpak '#]],Table2[Rox Wolf'#],0)))</f>
        <v>18</v>
      </c>
      <c r="AB83" s="57">
        <f>rrcworking[[#This Row],[Disposition Volume (MCF) @ 14.65 MCF]]+rrcworking[[#This Row],[Lease Use (MCF)]]</f>
        <v>18</v>
      </c>
      <c r="AC83" s="37"/>
      <c r="AD83" s="37" t="s">
        <v>1184</v>
      </c>
      <c r="AE83" s="220">
        <f>COUNTIF(FilterList,rrcworking[[#This Row],[Magnum Wolfpak '#]])</f>
        <v>0</v>
      </c>
      <c r="AF83" s="217"/>
      <c r="AG83" s="218"/>
      <c r="AH83" s="37"/>
      <c r="AI83" s="218"/>
      <c r="AJ83" s="219"/>
      <c r="AK83" s="219"/>
      <c r="AL83" s="219"/>
      <c r="AM83" s="219"/>
      <c r="AN83" s="219"/>
      <c r="AO83" s="219"/>
      <c r="AP83" s="37" t="s">
        <v>1204</v>
      </c>
      <c r="AQ83" s="37" t="s">
        <v>1240</v>
      </c>
    </row>
    <row r="84" spans="3:43" ht="15" hidden="1">
      <c r="C84" s="82" t="e">
        <v>#N/A</v>
      </c>
      <c r="D84" s="98" t="s">
        <v>289</v>
      </c>
      <c r="E84" s="134" t="s">
        <v>290</v>
      </c>
      <c r="F84" s="130">
        <v>0</v>
      </c>
      <c r="G84" s="123" t="s">
        <v>1097</v>
      </c>
      <c r="H84" s="18" t="s">
        <v>621</v>
      </c>
      <c r="I84" s="18" t="s">
        <v>2</v>
      </c>
      <c r="J84" s="19" t="s">
        <v>541</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214">
        <v>0</v>
      </c>
      <c r="Q84" s="129">
        <f>rrcworking[[#This Row],[Last Month Closing Stock]]</f>
        <v>70</v>
      </c>
      <c r="R84" s="214">
        <f>rrcworking[[#This Row],[Opening Oil Stock]]</f>
        <v>70</v>
      </c>
      <c r="S84" s="149">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Production Vol]]-rrcworking[[#This Row],[Oil Production]]</f>
        <v>0</v>
      </c>
      <c r="V84" s="148">
        <f>IF(ISERROR(INDEX(Table2[GAS],MATCH(rrcworking[[#This Row],[Magnum Wolfpak '#]],Table2[Rox Wolf'#],0))),0,INDEX(Table2[GAS],MATCH(rrcworking[[#This Row],[Magnum Wolfpak '#]],Table2[Rox Wolf'#],0)))</f>
        <v>0</v>
      </c>
      <c r="W84" s="24"/>
      <c r="X84" s="137">
        <f>IF(rrcworking[[#This Row],[Pressure Base]]=14.73,rrcworking[[#This Row],[Gas Sales Statement Volume (MCF)]]*$R$2,rrcworking[[#This Row],[Gas Sales Statement Volume (MCF)]])</f>
        <v>0</v>
      </c>
      <c r="Y84" s="60"/>
      <c r="Z84" s="60"/>
      <c r="AA84" s="148">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220">
        <f>COUNTIF(FilterList,rrcworking[[#This Row],[Magnum Wolfpak '#]])</f>
        <v>0</v>
      </c>
      <c r="AF84" s="217"/>
      <c r="AG84" s="218"/>
      <c r="AH84" s="37"/>
      <c r="AI84" s="37"/>
      <c r="AJ84" s="37"/>
      <c r="AK84" s="37"/>
      <c r="AL84" s="37"/>
      <c r="AM84" s="37"/>
      <c r="AN84" s="37"/>
      <c r="AO84" s="37"/>
      <c r="AP84" s="37"/>
      <c r="AQ84" s="37"/>
    </row>
    <row r="85" spans="3:43" ht="15" hidden="1">
      <c r="C85" s="80" t="e">
        <v>#N/A</v>
      </c>
      <c r="D85" s="62" t="s">
        <v>248</v>
      </c>
      <c r="E85" s="133" t="s">
        <v>249</v>
      </c>
      <c r="F85" s="131">
        <v>2</v>
      </c>
      <c r="G85" s="122" t="s">
        <v>1097</v>
      </c>
      <c r="H85" s="18" t="s">
        <v>621</v>
      </c>
      <c r="I85" s="18" t="s">
        <v>59</v>
      </c>
      <c r="J85" s="19" t="s">
        <v>514</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214"/>
      <c r="Q85" s="129">
        <f>rrcworking[[#This Row],[Last Month Closing Stock]]</f>
        <v>0</v>
      </c>
      <c r="R85" s="214"/>
      <c r="S85" s="148">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Production Vol]]-rrcworking[[#This Row],[Oil Production]]</f>
        <v>0</v>
      </c>
      <c r="V85" s="148">
        <f>IF(ISERROR(INDEX(Table2[GAS],MATCH(rrcworking[[#This Row],[Magnum Wolfpak '#]],Table2[Rox Wolf'#],0))),0,INDEX(Table2[GAS],MATCH(rrcworking[[#This Row],[Magnum Wolfpak '#]],Table2[Rox Wolf'#],0)))</f>
        <v>0</v>
      </c>
      <c r="W85" s="24"/>
      <c r="X85" s="137">
        <f>IF(rrcworking[[#This Row],[Pressure Base]]=14.73,rrcworking[[#This Row],[Gas Sales Statement Volume (MCF)]]*$R$2,rrcworking[[#This Row],[Gas Sales Statement Volume (MCF)]])</f>
        <v>0</v>
      </c>
      <c r="Y85" s="60"/>
      <c r="Z85" s="60"/>
      <c r="AA85" s="148">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220">
        <f>COUNTIF(FilterList,rrcworking[[#This Row],[Magnum Wolfpak '#]])</f>
        <v>0</v>
      </c>
      <c r="AF85" s="217"/>
      <c r="AG85" s="218"/>
      <c r="AH85" s="37"/>
      <c r="AI85" s="37"/>
      <c r="AJ85" s="37"/>
      <c r="AK85" s="37"/>
      <c r="AL85" s="37"/>
      <c r="AM85" s="37"/>
      <c r="AN85" s="37"/>
      <c r="AO85" s="37"/>
      <c r="AP85" s="37"/>
      <c r="AQ85" s="37"/>
    </row>
    <row r="86" spans="3:43" ht="15" hidden="1">
      <c r="C86" s="80" t="e">
        <v>#N/A</v>
      </c>
      <c r="D86" s="62" t="s">
        <v>250</v>
      </c>
      <c r="E86" s="133" t="s">
        <v>249</v>
      </c>
      <c r="F86" s="131">
        <v>1</v>
      </c>
      <c r="G86" s="122" t="s">
        <v>1097</v>
      </c>
      <c r="H86" s="18" t="s">
        <v>621</v>
      </c>
      <c r="I86" s="18" t="s">
        <v>59</v>
      </c>
      <c r="J86" s="19" t="s">
        <v>515</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214"/>
      <c r="Q86" s="129">
        <f>rrcworking[[#This Row],[Last Month Closing Stock]]</f>
        <v>0</v>
      </c>
      <c r="R86" s="214"/>
      <c r="S86" s="148">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Production Vol]]-rrcworking[[#This Row],[Oil Production]]</f>
        <v>0</v>
      </c>
      <c r="V86" s="148">
        <f>IF(ISERROR(INDEX(Table2[GAS],MATCH(rrcworking[[#This Row],[Magnum Wolfpak '#]],Table2[Rox Wolf'#],0))),0,INDEX(Table2[GAS],MATCH(rrcworking[[#This Row],[Magnum Wolfpak '#]],Table2[Rox Wolf'#],0)))</f>
        <v>0</v>
      </c>
      <c r="W86" s="24"/>
      <c r="X86" s="137">
        <f>IF(rrcworking[[#This Row],[Pressure Base]]=14.73,rrcworking[[#This Row],[Gas Sales Statement Volume (MCF)]]*$R$2,rrcworking[[#This Row],[Gas Sales Statement Volume (MCF)]])</f>
        <v>0</v>
      </c>
      <c r="Y86" s="60"/>
      <c r="Z86" s="60"/>
      <c r="AA86" s="148">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220">
        <f>COUNTIF(FilterList,rrcworking[[#This Row],[Magnum Wolfpak '#]])</f>
        <v>0</v>
      </c>
      <c r="AF86" s="217"/>
      <c r="AG86" s="218"/>
      <c r="AH86" s="37"/>
      <c r="AI86" s="37"/>
      <c r="AJ86" s="37"/>
      <c r="AK86" s="37"/>
      <c r="AL86" s="37"/>
      <c r="AM86" s="37"/>
      <c r="AN86" s="37"/>
      <c r="AO86" s="37"/>
      <c r="AP86" s="37"/>
      <c r="AQ86" s="37"/>
    </row>
    <row r="87" spans="3:43" ht="15" hidden="1">
      <c r="C87" s="80" t="e">
        <v>#N/A</v>
      </c>
      <c r="D87" s="62" t="s">
        <v>354</v>
      </c>
      <c r="E87" s="133" t="s">
        <v>357</v>
      </c>
      <c r="F87" s="131">
        <v>3</v>
      </c>
      <c r="G87" s="122" t="s">
        <v>1097</v>
      </c>
      <c r="H87" s="18" t="s">
        <v>622</v>
      </c>
      <c r="I87" s="18" t="s">
        <v>59</v>
      </c>
      <c r="J87" s="19" t="s">
        <v>583</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214"/>
      <c r="Q87" s="129">
        <f>rrcworking[[#This Row],[Last Month Closing Stock]]</f>
        <v>0</v>
      </c>
      <c r="R87" s="214"/>
      <c r="S87" s="148">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Production Vol]]-rrcworking[[#This Row],[Oil Production]]</f>
        <v>0</v>
      </c>
      <c r="V87" s="148">
        <f>IF(ISERROR(INDEX(Table2[GAS],MATCH(rrcworking[[#This Row],[Magnum Wolfpak '#]],Table2[Rox Wolf'#],0))),0,INDEX(Table2[GAS],MATCH(rrcworking[[#This Row],[Magnum Wolfpak '#]],Table2[Rox Wolf'#],0)))</f>
        <v>0</v>
      </c>
      <c r="W87" s="24"/>
      <c r="X87" s="137">
        <f>IF(rrcworking[[#This Row],[Pressure Base]]=14.73,rrcworking[[#This Row],[Gas Sales Statement Volume (MCF)]]*$R$2,rrcworking[[#This Row],[Gas Sales Statement Volume (MCF)]])</f>
        <v>0</v>
      </c>
      <c r="Y87" s="60"/>
      <c r="Z87" s="60"/>
      <c r="AA87" s="148">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220">
        <f>COUNTIF(FilterList,rrcworking[[#This Row],[Magnum Wolfpak '#]])</f>
        <v>0</v>
      </c>
      <c r="AF87" s="217"/>
      <c r="AG87" s="218"/>
      <c r="AH87" s="37"/>
      <c r="AI87" s="37"/>
      <c r="AJ87" s="37"/>
      <c r="AK87" s="37"/>
      <c r="AL87" s="37"/>
      <c r="AM87" s="37"/>
      <c r="AN87" s="37"/>
      <c r="AO87" s="37"/>
      <c r="AP87" s="37"/>
      <c r="AQ87" s="37"/>
    </row>
    <row r="88" spans="3:43" ht="15" hidden="1">
      <c r="C88" s="80">
        <v>99066</v>
      </c>
      <c r="D88" s="62" t="s">
        <v>354</v>
      </c>
      <c r="E88" s="133" t="s">
        <v>356</v>
      </c>
      <c r="F88" s="131">
        <v>2</v>
      </c>
      <c r="G88" s="122" t="s">
        <v>1097</v>
      </c>
      <c r="H88" s="18" t="s">
        <v>622</v>
      </c>
      <c r="I88" s="18" t="s">
        <v>59</v>
      </c>
      <c r="J88" s="19" t="s">
        <v>582</v>
      </c>
      <c r="K88" s="103">
        <v>11885</v>
      </c>
      <c r="L88" s="101">
        <f>INDEX(Table1[Production],MATCH(rrcworking[[#This Row],[RRC ID Number]],Table1[RRC Identifier],0))</f>
        <v>0</v>
      </c>
      <c r="M88" s="30">
        <f>INDEX(Table1[Formation Production],MATCH(rrcworking[[#This Row],[RRC ID Number]],Table1[RRC Identifier],0))</f>
        <v>0</v>
      </c>
      <c r="N88" s="31">
        <f>INDEX(Table1[On Hand End of Month],MATCH(rrcworking[[#This Row],[RRC ID Number]],Table1[RRC Identifier],0))</f>
        <v>0</v>
      </c>
      <c r="O88" s="106" t="b">
        <f t="shared" si="2"/>
        <v>1</v>
      </c>
      <c r="P88" s="214"/>
      <c r="Q88" s="129">
        <f>rrcworking[[#This Row],[Last Month Closing Stock]]</f>
        <v>0</v>
      </c>
      <c r="R88" s="214"/>
      <c r="S88" s="148">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Production Vol]]-rrcworking[[#This Row],[Oil Production]]</f>
        <v>0</v>
      </c>
      <c r="V88" s="148">
        <f>IF(ISERROR(INDEX(Table2[GAS],MATCH(rrcworking[[#This Row],[Magnum Wolfpak '#]],Table2[Rox Wolf'#],0))),0,INDEX(Table2[GAS],MATCH(rrcworking[[#This Row],[Magnum Wolfpak '#]],Table2[Rox Wolf'#],0)))</f>
        <v>827</v>
      </c>
      <c r="W88" s="24"/>
      <c r="X88" s="137">
        <f>IF(rrcworking[[#This Row],[Pressure Base]]=14.73,rrcworking[[#This Row],[Gas Sales Statement Volume (MCF)]]*$R$2,rrcworking[[#This Row],[Gas Sales Statement Volume (MCF)]])</f>
        <v>827</v>
      </c>
      <c r="Y88" s="60"/>
      <c r="Z88" s="60"/>
      <c r="AA88" s="148">
        <f>IF(ISERROR(INDEX(Table2[LEASE USE],MATCH(rrcworking[[#This Row],[Magnum Wolfpak '#]],Table2[Rox Wolf'#],0))),0,INDEX(Table2[LEASE USE],MATCH(rrcworking[[#This Row],[Magnum Wolfpak '#]],Table2[Rox Wolf'#],0)))</f>
        <v>0</v>
      </c>
      <c r="AB88" s="57">
        <f>rrcworking[[#This Row],[Disposition Volume (MCF) @ 14.65 MCF]]+rrcworking[[#This Row],[Lease Use (MCF)]]</f>
        <v>827</v>
      </c>
      <c r="AC88" s="37"/>
      <c r="AD88" s="37"/>
      <c r="AE88" s="220">
        <f>COUNTIF(FilterList,rrcworking[[#This Row],[Magnum Wolfpak '#]])</f>
        <v>0</v>
      </c>
      <c r="AF88" s="217"/>
      <c r="AG88" s="218"/>
      <c r="AH88" s="87"/>
      <c r="AI88" s="87"/>
      <c r="AJ88" s="219"/>
      <c r="AK88" s="219"/>
      <c r="AL88" s="219"/>
      <c r="AM88" s="219"/>
      <c r="AN88" s="219"/>
      <c r="AO88" s="219"/>
      <c r="AP88" s="37" t="s">
        <v>1204</v>
      </c>
      <c r="AQ88" s="37" t="s">
        <v>1242</v>
      </c>
    </row>
    <row r="89" spans="3:43" ht="15" hidden="1">
      <c r="C89" s="80">
        <v>99113</v>
      </c>
      <c r="D89" s="62" t="s">
        <v>354</v>
      </c>
      <c r="E89" s="133" t="s">
        <v>355</v>
      </c>
      <c r="F89" s="131">
        <v>1</v>
      </c>
      <c r="G89" s="122" t="s">
        <v>1097</v>
      </c>
      <c r="H89" s="18" t="s">
        <v>622</v>
      </c>
      <c r="I89" s="18" t="s">
        <v>59</v>
      </c>
      <c r="J89" s="19" t="s">
        <v>581</v>
      </c>
      <c r="K89" s="103">
        <v>11877</v>
      </c>
      <c r="L89" s="101">
        <f>INDEX(Table1[Production],MATCH(rrcworking[[#This Row],[RRC ID Number]],Table1[RRC Identifier],0))</f>
        <v>0</v>
      </c>
      <c r="M89" s="30">
        <f>INDEX(Table1[Formation Production],MATCH(rrcworking[[#This Row],[RRC ID Number]],Table1[RRC Identifier],0))</f>
        <v>281</v>
      </c>
      <c r="N89" s="31">
        <f>INDEX(Table1[On Hand End of Month],MATCH(rrcworking[[#This Row],[RRC ID Number]],Table1[RRC Identifier],0))</f>
        <v>0</v>
      </c>
      <c r="O89" s="106" t="b">
        <f t="shared" si="2"/>
        <v>0</v>
      </c>
      <c r="P89" s="214"/>
      <c r="Q89" s="129">
        <f>rrcworking[[#This Row],[Last Month Closing Stock]]</f>
        <v>0</v>
      </c>
      <c r="R89" s="214"/>
      <c r="S89" s="148">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Production Vol]]-rrcworking[[#This Row],[Oil Production]]</f>
        <v>0</v>
      </c>
      <c r="V89" s="148">
        <f>IF(ISERROR(INDEX(Table2[GAS],MATCH(rrcworking[[#This Row],[Magnum Wolfpak '#]],Table2[Rox Wolf'#],0))),0,INDEX(Table2[GAS],MATCH(rrcworking[[#This Row],[Magnum Wolfpak '#]],Table2[Rox Wolf'#],0)))</f>
        <v>187</v>
      </c>
      <c r="W89" s="24"/>
      <c r="X89" s="137">
        <f>IF(rrcworking[[#This Row],[Pressure Base]]=14.73,rrcworking[[#This Row],[Gas Sales Statement Volume (MCF)]]*$R$2,rrcworking[[#This Row],[Gas Sales Statement Volume (MCF)]])</f>
        <v>187</v>
      </c>
      <c r="Y89" s="60"/>
      <c r="Z89" s="60"/>
      <c r="AA89" s="148">
        <f>IF(ISERROR(INDEX(Table2[LEASE USE],MATCH(rrcworking[[#This Row],[Magnum Wolfpak '#]],Table2[Rox Wolf'#],0))),0,INDEX(Table2[LEASE USE],MATCH(rrcworking[[#This Row],[Magnum Wolfpak '#]],Table2[Rox Wolf'#],0)))</f>
        <v>0</v>
      </c>
      <c r="AB89" s="57">
        <f>rrcworking[[#This Row],[Disposition Volume (MCF) @ 14.65 MCF]]+rrcworking[[#This Row],[Lease Use (MCF)]]</f>
        <v>187</v>
      </c>
      <c r="AC89" s="37"/>
      <c r="AD89" s="37"/>
      <c r="AE89" s="220">
        <f>COUNTIF(FilterList,rrcworking[[#This Row],[Magnum Wolfpak '#]])</f>
        <v>0</v>
      </c>
      <c r="AF89" s="217"/>
      <c r="AG89" s="218"/>
      <c r="AH89" s="87"/>
      <c r="AI89" s="87"/>
      <c r="AJ89" s="219"/>
      <c r="AK89" s="219"/>
      <c r="AL89" s="219"/>
      <c r="AM89" s="219"/>
      <c r="AN89" s="219"/>
      <c r="AO89" s="219"/>
      <c r="AP89" s="37" t="s">
        <v>1204</v>
      </c>
      <c r="AQ89" s="37" t="s">
        <v>1231</v>
      </c>
    </row>
    <row r="90" spans="3:43" ht="150">
      <c r="C90" s="80">
        <v>99278</v>
      </c>
      <c r="D90" s="62" t="s">
        <v>175</v>
      </c>
      <c r="E90" s="133" t="s">
        <v>176</v>
      </c>
      <c r="F90" s="131" t="s">
        <v>177</v>
      </c>
      <c r="G90" s="122" t="s">
        <v>1097</v>
      </c>
      <c r="H90" s="18" t="s">
        <v>621</v>
      </c>
      <c r="I90" s="18" t="s">
        <v>59</v>
      </c>
      <c r="J90" s="19" t="s">
        <v>475</v>
      </c>
      <c r="K90" s="103">
        <v>206045</v>
      </c>
      <c r="L90" s="101">
        <f>INDEX(Table1[Production],MATCH(rrcworking[[#This Row],[RRC ID Number]],Table1[RRC Identifier],0))</f>
        <v>0</v>
      </c>
      <c r="M90" s="30">
        <f>INDEX(Table1[Formation Production],MATCH(rrcworking[[#This Row],[RRC ID Number]],Table1[RRC Identifier],0))</f>
        <v>9044</v>
      </c>
      <c r="N90" s="31">
        <f>INDEX(Table1[On Hand End of Month],MATCH(rrcworking[[#This Row],[RRC ID Number]],Table1[RRC Identifier],0))</f>
        <v>140</v>
      </c>
      <c r="O90" s="106" t="b">
        <f t="shared" si="2"/>
        <v>0</v>
      </c>
      <c r="P90" s="214">
        <v>29</v>
      </c>
      <c r="Q90" s="129">
        <f>rrcworking[[#This Row],[Last Month Closing Stock]]</f>
        <v>140</v>
      </c>
      <c r="R90" s="214">
        <v>169</v>
      </c>
      <c r="S90" s="148">
        <f>IF(ISERROR(INDEX(Table2[OIL],MATCH(rrcworking[[#This Row],[Magnum Wolfpak '#]],Table2[Rox Wolf'#],0))),0,INDEX(Table2[OIL],MATCH(rrcworking[[#This Row],[Magnum Wolfpak '#]],Table2[Rox Wolf'#],0)))</f>
        <v>0</v>
      </c>
      <c r="T90" s="35">
        <f>rrcworking[[#This Row],[Closing Stock (Oil)]]+rrcworking[[#This Row],[Sales/Dispostion]]-rrcworking[[#This Row],[Opening Oil Stock]]</f>
        <v>29</v>
      </c>
      <c r="U90" s="112">
        <f>rrcworking[[#This Row],[Gauge Sheet Production Vol]]-rrcworking[[#This Row],[Oil Production]]</f>
        <v>0</v>
      </c>
      <c r="V90" s="148">
        <f>IF(ISERROR(INDEX(Table2[GAS],MATCH(rrcworking[[#This Row],[Magnum Wolfpak '#]],Table2[Rox Wolf'#],0))),0,INDEX(Table2[GAS],MATCH(rrcworking[[#This Row],[Magnum Wolfpak '#]],Table2[Rox Wolf'#],0)))</f>
        <v>8533</v>
      </c>
      <c r="W90" s="24"/>
      <c r="X90" s="137">
        <f>IF(rrcworking[[#This Row],[Pressure Base]]=14.73,rrcworking[[#This Row],[Gas Sales Statement Volume (MCF)]]*$R$2,rrcworking[[#This Row],[Gas Sales Statement Volume (MCF)]])</f>
        <v>8533</v>
      </c>
      <c r="Y90" s="85"/>
      <c r="Z90" s="60">
        <v>13</v>
      </c>
      <c r="AA90" s="148">
        <f>IF(ISERROR(INDEX(Table2[LEASE USE],MATCH(rrcworking[[#This Row],[Magnum Wolfpak '#]],Table2[Rox Wolf'#],0))),0,INDEX(Table2[LEASE USE],MATCH(rrcworking[[#This Row],[Magnum Wolfpak '#]],Table2[Rox Wolf'#],0)))</f>
        <v>390</v>
      </c>
      <c r="AB90" s="57">
        <f>rrcworking[[#This Row],[Disposition Volume (MCF) @ 14.65 MCF]]+rrcworking[[#This Row],[Lease Use (MCF)]]</f>
        <v>8923</v>
      </c>
      <c r="AC90" s="37"/>
      <c r="AD90" s="37" t="s">
        <v>1180</v>
      </c>
      <c r="AE90" s="220">
        <f>COUNTIF(FilterList,rrcworking[[#This Row],[Magnum Wolfpak '#]])</f>
        <v>0</v>
      </c>
      <c r="AF90" s="217"/>
      <c r="AG90" s="218"/>
      <c r="AH90" s="37">
        <v>29</v>
      </c>
      <c r="AI90" s="37">
        <v>169</v>
      </c>
      <c r="AJ90" s="37">
        <v>2</v>
      </c>
      <c r="AK90" s="37" t="s">
        <v>1152</v>
      </c>
      <c r="AL90" s="37" t="s">
        <v>1206</v>
      </c>
      <c r="AM90" s="37" t="s">
        <v>1243</v>
      </c>
      <c r="AN90" s="37" t="s">
        <v>1152</v>
      </c>
      <c r="AO90" s="37" t="s">
        <v>1212</v>
      </c>
      <c r="AP90" s="37" t="s">
        <v>1244</v>
      </c>
      <c r="AQ90" s="37"/>
    </row>
    <row r="91" spans="3:43" ht="15" hidden="1">
      <c r="C91" s="80" t="e">
        <v>#N/A</v>
      </c>
      <c r="D91" s="62" t="s">
        <v>115</v>
      </c>
      <c r="E91" s="133" t="s">
        <v>116</v>
      </c>
      <c r="F91" s="131">
        <v>1</v>
      </c>
      <c r="G91" s="122">
        <v>5113</v>
      </c>
      <c r="H91" s="18" t="s">
        <v>620</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214">
        <v>0</v>
      </c>
      <c r="Q91" s="129">
        <f>rrcworking[[#This Row],[Last Month Closing Stock]]</f>
        <v>84</v>
      </c>
      <c r="R91" s="214">
        <f>rrcworking[[#This Row],[Opening Oil Stock]]</f>
        <v>84</v>
      </c>
      <c r="S91" s="148">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Production Vol]]-rrcworking[[#This Row],[Oil Production]]</f>
        <v>0</v>
      </c>
      <c r="V91" s="148">
        <f>IF(ISERROR(INDEX(Table2[GAS],MATCH(rrcworking[[#This Row],[Magnum Wolfpak '#]],Table2[Rox Wolf'#],0))),0,INDEX(Table2[GAS],MATCH(rrcworking[[#This Row],[Magnum Wolfpak '#]],Table2[Rox Wolf'#],0)))</f>
        <v>0</v>
      </c>
      <c r="W91" s="24"/>
      <c r="X91" s="137">
        <f>IF(rrcworking[[#This Row],[Pressure Base]]=14.73,rrcworking[[#This Row],[Gas Sales Statement Volume (MCF)]]*$R$2,rrcworking[[#This Row],[Gas Sales Statement Volume (MCF)]])</f>
        <v>0</v>
      </c>
      <c r="Y91" s="60"/>
      <c r="Z91" s="60"/>
      <c r="AA91" s="148">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220">
        <f>COUNTIF(FilterList,rrcworking[[#This Row],[Magnum Wolfpak '#]])</f>
        <v>0</v>
      </c>
      <c r="AF91" s="217"/>
      <c r="AG91" s="218"/>
      <c r="AH91" s="37"/>
      <c r="AI91" s="37"/>
      <c r="AJ91" s="37"/>
      <c r="AK91" s="37"/>
      <c r="AL91" s="37"/>
      <c r="AM91" s="37"/>
      <c r="AN91" s="37"/>
      <c r="AO91" s="37"/>
      <c r="AP91" s="37"/>
      <c r="AQ91" s="37"/>
    </row>
    <row r="92" spans="3:43" ht="15" hidden="1">
      <c r="C92" s="80" t="e">
        <v>#N/A</v>
      </c>
      <c r="D92" s="62" t="s">
        <v>360</v>
      </c>
      <c r="E92" s="133" t="s">
        <v>361</v>
      </c>
      <c r="F92" s="131">
        <v>1</v>
      </c>
      <c r="G92" s="122" t="s">
        <v>1097</v>
      </c>
      <c r="H92" s="18" t="s">
        <v>622</v>
      </c>
      <c r="I92" s="18" t="s">
        <v>59</v>
      </c>
      <c r="J92" s="19" t="s">
        <v>585</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214">
        <v>0</v>
      </c>
      <c r="Q92" s="129">
        <f>rrcworking[[#This Row],[Last Month Closing Stock]]</f>
        <v>166</v>
      </c>
      <c r="R92" s="214">
        <f>rrcworking[[#This Row],[Opening Oil Stock]]</f>
        <v>166</v>
      </c>
      <c r="S92" s="148">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Production Vol]]-rrcworking[[#This Row],[Oil Production]]</f>
        <v>0</v>
      </c>
      <c r="V92" s="148">
        <f>IF(ISERROR(INDEX(Table2[GAS],MATCH(rrcworking[[#This Row],[Magnum Wolfpak '#]],Table2[Rox Wolf'#],0))),0,INDEX(Table2[GAS],MATCH(rrcworking[[#This Row],[Magnum Wolfpak '#]],Table2[Rox Wolf'#],0)))</f>
        <v>0</v>
      </c>
      <c r="W92" s="24"/>
      <c r="X92" s="137">
        <f>IF(rrcworking[[#This Row],[Pressure Base]]=14.73,rrcworking[[#This Row],[Gas Sales Statement Volume (MCF)]]*$R$2,rrcworking[[#This Row],[Gas Sales Statement Volume (MCF)]])</f>
        <v>0</v>
      </c>
      <c r="Y92" s="60"/>
      <c r="Z92" s="60"/>
      <c r="AA92" s="148">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220">
        <f>COUNTIF(FilterList,rrcworking[[#This Row],[Magnum Wolfpak '#]])</f>
        <v>0</v>
      </c>
      <c r="AF92" s="217"/>
      <c r="AG92" s="218"/>
      <c r="AH92" s="37"/>
      <c r="AI92" s="37"/>
      <c r="AJ92" s="37"/>
      <c r="AK92" s="37"/>
      <c r="AL92" s="37"/>
      <c r="AM92" s="37"/>
      <c r="AN92" s="37"/>
      <c r="AO92" s="37"/>
      <c r="AP92" s="37"/>
      <c r="AQ92" s="37"/>
    </row>
    <row r="93" spans="3:43" ht="15">
      <c r="C93" s="80">
        <v>98990</v>
      </c>
      <c r="D93" s="62" t="s">
        <v>340</v>
      </c>
      <c r="E93" s="133" t="s">
        <v>341</v>
      </c>
      <c r="F93" s="131">
        <v>2</v>
      </c>
      <c r="G93" s="122" t="s">
        <v>1097</v>
      </c>
      <c r="H93" s="18" t="s">
        <v>622</v>
      </c>
      <c r="I93" s="18" t="s">
        <v>59</v>
      </c>
      <c r="J93" s="19" t="s">
        <v>574</v>
      </c>
      <c r="K93" s="103">
        <v>173434</v>
      </c>
      <c r="L93" s="101">
        <f>INDEX(Table1[Production],MATCH(rrcworking[[#This Row],[RRC ID Number]],Table1[RRC Identifier],0))</f>
        <v>0</v>
      </c>
      <c r="M93" s="30">
        <f>INDEX(Table1[Formation Production],MATCH(rrcworking[[#This Row],[RRC ID Number]],Table1[RRC Identifier],0))</f>
        <v>122</v>
      </c>
      <c r="N93" s="31">
        <f>INDEX(Table1[On Hand End of Month],MATCH(rrcworking[[#This Row],[RRC ID Number]],Table1[RRC Identifier],0))</f>
        <v>169</v>
      </c>
      <c r="O93" s="106" t="b">
        <f t="shared" si="2"/>
        <v>0</v>
      </c>
      <c r="P93" s="214">
        <v>0</v>
      </c>
      <c r="Q93" s="129">
        <f>rrcworking[[#This Row],[Last Month Closing Stock]]</f>
        <v>169</v>
      </c>
      <c r="R93" s="214">
        <v>169</v>
      </c>
      <c r="S93" s="148">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Production Vol]]-rrcworking[[#This Row],[Oil Production]]</f>
        <v>0</v>
      </c>
      <c r="V93" s="148">
        <v>74</v>
      </c>
      <c r="W93" s="24"/>
      <c r="X93" s="137">
        <f>IF(rrcworking[[#This Row],[Pressure Base]]=14.73,rrcworking[[#This Row],[Gas Sales Statement Volume (MCF)]]*$R$2,rrcworking[[#This Row],[Gas Sales Statement Volume (MCF)]])</f>
        <v>74</v>
      </c>
      <c r="Y93" s="60"/>
      <c r="Z93" s="60">
        <v>0</v>
      </c>
      <c r="AA93" s="148">
        <f>IF(ISERROR(INDEX(Table2[LEASE USE],MATCH(rrcworking[[#This Row],[Magnum Wolfpak '#]],Table2[Rox Wolf'#],0))),0,INDEX(Table2[LEASE USE],MATCH(rrcworking[[#This Row],[Magnum Wolfpak '#]],Table2[Rox Wolf'#],0)))</f>
        <v>0</v>
      </c>
      <c r="AB93" s="57">
        <f>rrcworking[[#This Row],[Disposition Volume (MCF) @ 14.65 MCF]]+rrcworking[[#This Row],[Lease Use (MCF)]]</f>
        <v>74</v>
      </c>
      <c r="AC93" s="37"/>
      <c r="AD93" s="37"/>
      <c r="AE93" s="220">
        <f>COUNTIF(FilterList,rrcworking[[#This Row],[Magnum Wolfpak '#]])</f>
        <v>0</v>
      </c>
      <c r="AF93" s="217"/>
      <c r="AG93" s="218"/>
      <c r="AH93" s="37">
        <v>0</v>
      </c>
      <c r="AI93" s="37">
        <v>169</v>
      </c>
      <c r="AJ93" s="37">
        <v>1</v>
      </c>
      <c r="AK93" s="37" t="s">
        <v>1206</v>
      </c>
      <c r="AL93" s="37" t="s">
        <v>1206</v>
      </c>
      <c r="AM93" s="37" t="s">
        <v>1211</v>
      </c>
      <c r="AN93" s="37" t="s">
        <v>1152</v>
      </c>
      <c r="AO93" s="37" t="s">
        <v>1245</v>
      </c>
      <c r="AP93" s="37" t="s">
        <v>1246</v>
      </c>
      <c r="AQ93" s="37"/>
    </row>
    <row r="94" spans="3:43" ht="30" hidden="1">
      <c r="C94" s="80">
        <v>93901</v>
      </c>
      <c r="D94" s="62" t="s">
        <v>96</v>
      </c>
      <c r="E94" s="133" t="s">
        <v>98</v>
      </c>
      <c r="F94" s="131">
        <v>0</v>
      </c>
      <c r="G94" s="122" t="s">
        <v>1097</v>
      </c>
      <c r="H94" s="18" t="s">
        <v>620</v>
      </c>
      <c r="I94" s="18" t="s">
        <v>2</v>
      </c>
      <c r="J94" s="19" t="s">
        <v>427</v>
      </c>
      <c r="K94" s="103">
        <v>6169</v>
      </c>
      <c r="L94" s="101">
        <f>INDEX(Table1[Production],MATCH(rrcworking[[#This Row],[RRC ID Number]],Table1[RRC Identifier],0))</f>
        <v>17</v>
      </c>
      <c r="M94" s="30">
        <f>INDEX(Table1[Formation Production],MATCH(rrcworking[[#This Row],[RRC ID Number]],Table1[RRC Identifier],0))</f>
        <v>0</v>
      </c>
      <c r="N94" s="31">
        <f>INDEX(Table1[On Hand End of Month],MATCH(rrcworking[[#This Row],[RRC ID Number]],Table1[RRC Identifier],0))</f>
        <v>43</v>
      </c>
      <c r="O94" s="106" t="b">
        <f t="shared" si="2"/>
        <v>0</v>
      </c>
      <c r="P94" s="214">
        <v>23</v>
      </c>
      <c r="Q94" s="129">
        <f>rrcworking[[#This Row],[Last Month Closing Stock]]</f>
        <v>43</v>
      </c>
      <c r="R94" s="215">
        <v>66</v>
      </c>
      <c r="S94" s="148">
        <f>IF(ISERROR(INDEX(Table2[OIL],MATCH(rrcworking[[#This Row],[Magnum Wolfpak '#]],Table2[Rox Wolf'#],0))),0,INDEX(Table2[OIL],MATCH(rrcworking[[#This Row],[Magnum Wolfpak '#]],Table2[Rox Wolf'#],0)))</f>
        <v>0</v>
      </c>
      <c r="T94" s="35">
        <f>rrcworking[[#This Row],[Closing Stock (Oil)]]+rrcworking[[#This Row],[Sales/Dispostion]]-rrcworking[[#This Row],[Opening Oil Stock]]</f>
        <v>23</v>
      </c>
      <c r="U94" s="112">
        <f>rrcworking[[#This Row],[Gauge Sheet Production Vol]]-rrcworking[[#This Row],[Oil Production]]</f>
        <v>0</v>
      </c>
      <c r="V94" s="148">
        <f>IF(ISERROR(INDEX(Table2[GAS],MATCH(rrcworking[[#This Row],[Magnum Wolfpak '#]],Table2[Rox Wolf'#],0))),0,INDEX(Table2[GAS],MATCH(rrcworking[[#This Row],[Magnum Wolfpak '#]],Table2[Rox Wolf'#],0)))</f>
        <v>0</v>
      </c>
      <c r="W94" s="24"/>
      <c r="X94" s="137">
        <f>IF(rrcworking[[#This Row],[Pressure Base]]=14.73,rrcworking[[#This Row],[Gas Sales Statement Volume (MCF)]]*$R$2,rrcworking[[#This Row],[Gas Sales Statement Volume (MCF)]])</f>
        <v>0</v>
      </c>
      <c r="Y94" s="60"/>
      <c r="Z94" s="60"/>
      <c r="AA94" s="148">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220">
        <f>COUNTIF(FilterList,rrcworking[[#This Row],[Magnum Wolfpak '#]])</f>
        <v>0</v>
      </c>
      <c r="AF94" s="217"/>
      <c r="AG94" s="218"/>
      <c r="AH94" s="37"/>
      <c r="AI94" s="218"/>
      <c r="AJ94" s="219"/>
      <c r="AK94" s="219"/>
      <c r="AL94" s="219"/>
      <c r="AM94" s="219"/>
      <c r="AN94" s="219"/>
      <c r="AO94" s="219"/>
      <c r="AP94" s="37" t="s">
        <v>1204</v>
      </c>
      <c r="AQ94" s="37" t="s">
        <v>1210</v>
      </c>
    </row>
    <row r="95" spans="3:43" ht="15" hidden="1">
      <c r="C95" s="80" t="e">
        <v>#N/A</v>
      </c>
      <c r="D95" s="62" t="s">
        <v>215</v>
      </c>
      <c r="E95" s="133" t="s">
        <v>212</v>
      </c>
      <c r="F95" s="131">
        <v>7</v>
      </c>
      <c r="G95" s="122">
        <v>1471</v>
      </c>
      <c r="H95" s="18" t="s">
        <v>621</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214"/>
      <c r="Q95" s="129">
        <f>rrcworking[[#This Row],[Last Month Closing Stock]]</f>
        <v>0</v>
      </c>
      <c r="R95" s="214"/>
      <c r="S95" s="148">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Production Vol]]-rrcworking[[#This Row],[Oil Production]]</f>
        <v>0</v>
      </c>
      <c r="V95" s="148">
        <f>IF(ISERROR(INDEX(Table2[GAS],MATCH(rrcworking[[#This Row],[Magnum Wolfpak '#]],Table2[Rox Wolf'#],0))),0,INDEX(Table2[GAS],MATCH(rrcworking[[#This Row],[Magnum Wolfpak '#]],Table2[Rox Wolf'#],0)))</f>
        <v>0</v>
      </c>
      <c r="W95" s="24"/>
      <c r="X95" s="137">
        <f>IF(rrcworking[[#This Row],[Pressure Base]]=14.73,rrcworking[[#This Row],[Gas Sales Statement Volume (MCF)]]*$R$2,rrcworking[[#This Row],[Gas Sales Statement Volume (MCF)]])</f>
        <v>0</v>
      </c>
      <c r="Y95" s="60"/>
      <c r="Z95" s="60"/>
      <c r="AA95" s="148">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220">
        <f>COUNTIF(FilterList,rrcworking[[#This Row],[Magnum Wolfpak '#]])</f>
        <v>0</v>
      </c>
      <c r="AF95" s="217"/>
      <c r="AG95" s="218"/>
      <c r="AH95" s="37"/>
      <c r="AI95" s="37"/>
      <c r="AJ95" s="37"/>
      <c r="AK95" s="37"/>
      <c r="AL95" s="37"/>
      <c r="AM95" s="37"/>
      <c r="AN95" s="37"/>
      <c r="AO95" s="37"/>
      <c r="AP95" s="37"/>
      <c r="AQ95" s="37"/>
    </row>
    <row r="96" spans="3:43" ht="30">
      <c r="C96" s="80">
        <v>99159</v>
      </c>
      <c r="D96" s="62" t="s">
        <v>210</v>
      </c>
      <c r="E96" s="133" t="s">
        <v>212</v>
      </c>
      <c r="F96" s="142" t="s">
        <v>62</v>
      </c>
      <c r="G96" s="122"/>
      <c r="H96" s="18" t="s">
        <v>621</v>
      </c>
      <c r="I96" s="174" t="s">
        <v>59</v>
      </c>
      <c r="J96" s="173" t="s">
        <v>1143</v>
      </c>
      <c r="K96" s="103">
        <v>287522</v>
      </c>
      <c r="L96" s="101">
        <f>INDEX(Table1[Production],MATCH(rrcworking[[#This Row],[RRC ID Number]],Table1[RRC Identifier],0))</f>
        <v>10</v>
      </c>
      <c r="M96" s="30">
        <f>INDEX(Table1[Formation Production],MATCH(rrcworking[[#This Row],[RRC ID Number]],Table1[RRC Identifier],0))</f>
        <v>3276</v>
      </c>
      <c r="N96" s="31">
        <f>INDEX(Table1[On Hand End of Month],MATCH(rrcworking[[#This Row],[RRC ID Number]],Table1[RRC Identifier],0))</f>
        <v>156</v>
      </c>
      <c r="O96" s="106" t="b">
        <f t="shared" si="2"/>
        <v>0</v>
      </c>
      <c r="P96" s="214">
        <v>12</v>
      </c>
      <c r="Q96" s="129">
        <f>rrcworking[[#This Row],[Last Month Closing Stock]]</f>
        <v>156</v>
      </c>
      <c r="R96" s="215">
        <v>168</v>
      </c>
      <c r="S96" s="148">
        <f>IF(ISERROR(INDEX(Table2[OIL],MATCH(rrcworking[[#This Row],[Magnum Wolfpak '#]],Table2[Rox Wolf'#],0))),0,INDEX(Table2[OIL],MATCH(rrcworking[[#This Row],[Magnum Wolfpak '#]],Table2[Rox Wolf'#],0)))</f>
        <v>0</v>
      </c>
      <c r="T96" s="35">
        <f>rrcworking[[#This Row],[Closing Stock (Oil)]]+rrcworking[[#This Row],[Sales/Dispostion]]-rrcworking[[#This Row],[Opening Oil Stock]]</f>
        <v>12</v>
      </c>
      <c r="U96" s="112">
        <f>rrcworking[[#This Row],[Gauge Sheet Production Vol]]-rrcworking[[#This Row],[Oil Production]]</f>
        <v>0</v>
      </c>
      <c r="V96" s="148">
        <f>IF(ISERROR(INDEX(Table2[GAS],MATCH(rrcworking[[#This Row],[Magnum Wolfpak '#]],Table2[Rox Wolf'#],0))),0,INDEX(Table2[GAS],MATCH(rrcworking[[#This Row],[Magnum Wolfpak '#]],Table2[Rox Wolf'#],0)))</f>
        <v>4560</v>
      </c>
      <c r="W96" s="24"/>
      <c r="X96" s="137">
        <f>IF(rrcworking[[#This Row],[Pressure Base]]=14.73,rrcworking[[#This Row],[Gas Sales Statement Volume (MCF)]]*$R$2,rrcworking[[#This Row],[Gas Sales Statement Volume (MCF)]])</f>
        <v>4560</v>
      </c>
      <c r="Y96" s="85"/>
      <c r="Z96" s="60">
        <v>6</v>
      </c>
      <c r="AA96" s="148">
        <f>IF(ISERROR(INDEX(Table2[LEASE USE],MATCH(rrcworking[[#This Row],[Magnum Wolfpak '#]],Table2[Rox Wolf'#],0))),0,INDEX(Table2[LEASE USE],MATCH(rrcworking[[#This Row],[Magnum Wolfpak '#]],Table2[Rox Wolf'#],0)))</f>
        <v>156</v>
      </c>
      <c r="AB96" s="57">
        <f>rrcworking[[#This Row],[Disposition Volume (MCF) @ 14.65 MCF]]+rrcworking[[#This Row],[Lease Use (MCF)]]</f>
        <v>4716</v>
      </c>
      <c r="AC96" s="37"/>
      <c r="AD96" s="37" t="s">
        <v>1144</v>
      </c>
      <c r="AE96" s="220">
        <f>COUNTIF(FilterList,rrcworking[[#This Row],[Magnum Wolfpak '#]])</f>
        <v>0</v>
      </c>
      <c r="AF96" s="217"/>
      <c r="AG96" s="218"/>
      <c r="AH96" s="37">
        <v>12</v>
      </c>
      <c r="AI96" s="218">
        <v>168</v>
      </c>
      <c r="AJ96" s="37">
        <v>2</v>
      </c>
      <c r="AK96" s="37" t="s">
        <v>1206</v>
      </c>
      <c r="AL96" s="37" t="s">
        <v>1206</v>
      </c>
      <c r="AM96" s="37" t="s">
        <v>1227</v>
      </c>
      <c r="AN96" s="37" t="s">
        <v>1206</v>
      </c>
      <c r="AO96" s="37" t="s">
        <v>1228</v>
      </c>
      <c r="AP96" s="37" t="s">
        <v>1247</v>
      </c>
      <c r="AQ96" s="37"/>
    </row>
    <row r="97" spans="3:43" ht="15" hidden="1">
      <c r="C97" s="80" t="e">
        <v>#N/A</v>
      </c>
      <c r="D97" s="62" t="s">
        <v>216</v>
      </c>
      <c r="E97" s="133" t="s">
        <v>217</v>
      </c>
      <c r="F97" s="131">
        <v>0</v>
      </c>
      <c r="G97" s="122">
        <v>1471</v>
      </c>
      <c r="H97" s="18" t="s">
        <v>621</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214"/>
      <c r="Q97" s="129">
        <f>rrcworking[[#This Row],[Last Month Closing Stock]]</f>
        <v>0</v>
      </c>
      <c r="R97" s="214"/>
      <c r="S97" s="148">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Production Vol]]-rrcworking[[#This Row],[Oil Production]]</f>
        <v>0</v>
      </c>
      <c r="V97" s="148">
        <f>IF(ISERROR(INDEX(Table2[GAS],MATCH(rrcworking[[#This Row],[Magnum Wolfpak '#]],Table2[Rox Wolf'#],0))),0,INDEX(Table2[GAS],MATCH(rrcworking[[#This Row],[Magnum Wolfpak '#]],Table2[Rox Wolf'#],0)))</f>
        <v>0</v>
      </c>
      <c r="W97" s="24"/>
      <c r="X97" s="137">
        <f>IF(rrcworking[[#This Row],[Pressure Base]]=14.73,rrcworking[[#This Row],[Gas Sales Statement Volume (MCF)]]*$R$2,rrcworking[[#This Row],[Gas Sales Statement Volume (MCF)]])</f>
        <v>0</v>
      </c>
      <c r="Y97" s="60"/>
      <c r="Z97" s="60"/>
      <c r="AA97" s="148">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220">
        <f>COUNTIF(FilterList,rrcworking[[#This Row],[Magnum Wolfpak '#]])</f>
        <v>0</v>
      </c>
      <c r="AF97" s="217"/>
      <c r="AG97" s="218"/>
      <c r="AH97" s="37"/>
      <c r="AI97" s="37"/>
      <c r="AJ97" s="37"/>
      <c r="AK97" s="37"/>
      <c r="AL97" s="37"/>
      <c r="AM97" s="37"/>
      <c r="AN97" s="37"/>
      <c r="AO97" s="37"/>
      <c r="AP97" s="37"/>
      <c r="AQ97" s="37"/>
    </row>
    <row r="98" spans="3:43" ht="15" hidden="1">
      <c r="C98" s="80" t="e">
        <v>#N/A</v>
      </c>
      <c r="D98" s="62" t="s">
        <v>186</v>
      </c>
      <c r="E98" s="133" t="s">
        <v>187</v>
      </c>
      <c r="F98" s="131">
        <v>1</v>
      </c>
      <c r="G98" s="122" t="s">
        <v>1097</v>
      </c>
      <c r="H98" s="18" t="s">
        <v>621</v>
      </c>
      <c r="I98" s="18" t="s">
        <v>59</v>
      </c>
      <c r="J98" s="19" t="s">
        <v>482</v>
      </c>
      <c r="K98" s="103">
        <v>264922</v>
      </c>
      <c r="L98" s="101">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6" t="b">
        <f t="shared" si="2"/>
        <v>1</v>
      </c>
      <c r="P98" s="214"/>
      <c r="Q98" s="129">
        <f>rrcworking[[#This Row],[Last Month Closing Stock]]</f>
        <v>0</v>
      </c>
      <c r="R98" s="214"/>
      <c r="S98" s="148">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Production Vol]]-rrcworking[[#This Row],[Oil Production]]</f>
        <v>0</v>
      </c>
      <c r="V98" s="148">
        <f>IF(ISERROR(INDEX(Table2[GAS],MATCH(rrcworking[[#This Row],[Magnum Wolfpak '#]],Table2[Rox Wolf'#],0))),0,INDEX(Table2[GAS],MATCH(rrcworking[[#This Row],[Magnum Wolfpak '#]],Table2[Rox Wolf'#],0)))</f>
        <v>0</v>
      </c>
      <c r="W98" s="24"/>
      <c r="X98" s="137">
        <f>IF(rrcworking[[#This Row],[Pressure Base]]=14.73,rrcworking[[#This Row],[Gas Sales Statement Volume (MCF)]]*$R$2,rrcworking[[#This Row],[Gas Sales Statement Volume (MCF)]])</f>
        <v>0</v>
      </c>
      <c r="Y98" s="60"/>
      <c r="Z98" s="60"/>
      <c r="AA98" s="148">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220">
        <f>COUNTIF(FilterList,rrcworking[[#This Row],[Magnum Wolfpak '#]])</f>
        <v>0</v>
      </c>
      <c r="AF98" s="217"/>
      <c r="AG98" s="218"/>
      <c r="AH98" s="37"/>
      <c r="AI98" s="37"/>
      <c r="AJ98" s="37"/>
      <c r="AK98" s="37"/>
      <c r="AL98" s="37"/>
      <c r="AM98" s="37"/>
      <c r="AN98" s="37"/>
      <c r="AO98" s="37"/>
      <c r="AP98" s="37"/>
      <c r="AQ98" s="37"/>
    </row>
    <row r="99" spans="3:43" ht="15" hidden="1">
      <c r="C99" s="80">
        <v>98955</v>
      </c>
      <c r="D99" s="62" t="s">
        <v>275</v>
      </c>
      <c r="E99" s="133" t="s">
        <v>280</v>
      </c>
      <c r="F99" s="131">
        <v>1</v>
      </c>
      <c r="G99" s="122" t="s">
        <v>1097</v>
      </c>
      <c r="H99" s="18" t="s">
        <v>621</v>
      </c>
      <c r="I99" s="18" t="s">
        <v>59</v>
      </c>
      <c r="J99" s="19" t="s">
        <v>532</v>
      </c>
      <c r="K99" s="103">
        <v>210199</v>
      </c>
      <c r="L99" s="101">
        <f>INDEX(Table1[Production],MATCH(rrcworking[[#This Row],[RRC ID Number]],Table1[RRC Identifier],0))</f>
        <v>0</v>
      </c>
      <c r="M99" s="30">
        <f>INDEX(Table1[Formation Production],MATCH(rrcworking[[#This Row],[RRC ID Number]],Table1[RRC Identifier],0))</f>
        <v>1057</v>
      </c>
      <c r="N99" s="31">
        <f>INDEX(Table1[On Hand End of Month],MATCH(rrcworking[[#This Row],[RRC ID Number]],Table1[RRC Identifier],0))</f>
        <v>63</v>
      </c>
      <c r="O99" s="106" t="b">
        <f t="shared" si="2"/>
        <v>0</v>
      </c>
      <c r="P99" s="214">
        <v>0</v>
      </c>
      <c r="Q99" s="129">
        <f>rrcworking[[#This Row],[Last Month Closing Stock]]</f>
        <v>63</v>
      </c>
      <c r="R99" s="214">
        <v>63</v>
      </c>
      <c r="S99" s="148">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Production Vol]]-rrcworking[[#This Row],[Oil Production]]</f>
        <v>0</v>
      </c>
      <c r="V99" s="148">
        <f>IF(ISERROR(INDEX(Table2[GAS],MATCH(rrcworking[[#This Row],[Magnum Wolfpak '#]],Table2[Rox Wolf'#],0))),0,INDEX(Table2[GAS],MATCH(rrcworking[[#This Row],[Magnum Wolfpak '#]],Table2[Rox Wolf'#],0)))</f>
        <v>895</v>
      </c>
      <c r="W99" s="24"/>
      <c r="X99" s="137">
        <f>IF(rrcworking[[#This Row],[Pressure Base]]=14.73,rrcworking[[#This Row],[Gas Sales Statement Volume (MCF)]]*$R$2,rrcworking[[#This Row],[Gas Sales Statement Volume (MCF)]])</f>
        <v>895</v>
      </c>
      <c r="Y99" s="85"/>
      <c r="Z99" s="60">
        <v>1</v>
      </c>
      <c r="AA99" s="148">
        <f>IF(ISERROR(INDEX(Table2[LEASE USE],MATCH(rrcworking[[#This Row],[Magnum Wolfpak '#]],Table2[Rox Wolf'#],0))),0,INDEX(Table2[LEASE USE],MATCH(rrcworking[[#This Row],[Magnum Wolfpak '#]],Table2[Rox Wolf'#],0)))</f>
        <v>30</v>
      </c>
      <c r="AB99" s="57">
        <f>rrcworking[[#This Row],[Disposition Volume (MCF) @ 14.65 MCF]]+rrcworking[[#This Row],[Lease Use (MCF)]]</f>
        <v>925</v>
      </c>
      <c r="AC99" s="37"/>
      <c r="AD99" s="37"/>
      <c r="AE99" s="220">
        <f>COUNTIF(FilterList,rrcworking[[#This Row],[Magnum Wolfpak '#]])</f>
        <v>0</v>
      </c>
      <c r="AF99" s="217"/>
      <c r="AG99" s="218"/>
      <c r="AH99" s="37"/>
      <c r="AI99" s="37"/>
      <c r="AJ99" s="219"/>
      <c r="AK99" s="219"/>
      <c r="AL99" s="219"/>
      <c r="AM99" s="219"/>
      <c r="AN99" s="219"/>
      <c r="AO99" s="219"/>
      <c r="AP99" s="37" t="s">
        <v>1204</v>
      </c>
      <c r="AQ99" s="37" t="s">
        <v>1240</v>
      </c>
    </row>
    <row r="100" spans="3:43" ht="15" hidden="1">
      <c r="C100" s="80" t="e">
        <v>#N/A</v>
      </c>
      <c r="D100" s="62" t="s">
        <v>106</v>
      </c>
      <c r="E100" s="133" t="s">
        <v>107</v>
      </c>
      <c r="F100" s="131">
        <v>1</v>
      </c>
      <c r="G100" s="122" t="s">
        <v>1097</v>
      </c>
      <c r="H100" s="18" t="s">
        <v>620</v>
      </c>
      <c r="I100" s="18" t="s">
        <v>59</v>
      </c>
      <c r="J100" s="19" t="s">
        <v>432</v>
      </c>
      <c r="K100" s="103">
        <v>52283</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240</v>
      </c>
      <c r="O100" s="106" t="b">
        <f t="shared" si="2"/>
        <v>1</v>
      </c>
      <c r="P100" s="214">
        <v>0</v>
      </c>
      <c r="Q100" s="129">
        <f>rrcworking[[#This Row],[Last Month Closing Stock]]</f>
        <v>240</v>
      </c>
      <c r="R100" s="214">
        <f>rrcworking[[#This Row],[Opening Oil Stock]]</f>
        <v>240</v>
      </c>
      <c r="S100" s="148">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Production Vol]]-rrcworking[[#This Row],[Oil Production]]</f>
        <v>0</v>
      </c>
      <c r="V100" s="148">
        <f>IF(ISERROR(INDEX(Table2[GAS],MATCH(rrcworking[[#This Row],[Magnum Wolfpak '#]],Table2[Rox Wolf'#],0))),0,INDEX(Table2[GAS],MATCH(rrcworking[[#This Row],[Magnum Wolfpak '#]],Table2[Rox Wolf'#],0)))</f>
        <v>0</v>
      </c>
      <c r="W100" s="24"/>
      <c r="X100" s="137">
        <f>IF(rrcworking[[#This Row],[Pressure Base]]=14.73,rrcworking[[#This Row],[Gas Sales Statement Volume (MCF)]]*$R$2,rrcworking[[#This Row],[Gas Sales Statement Volume (MCF)]])</f>
        <v>0</v>
      </c>
      <c r="Y100" s="60"/>
      <c r="Z100" s="60"/>
      <c r="AA100" s="148">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220">
        <f>COUNTIF(FilterList,rrcworking[[#This Row],[Magnum Wolfpak '#]])</f>
        <v>0</v>
      </c>
      <c r="AF100" s="217"/>
      <c r="AG100" s="218"/>
      <c r="AH100" s="37"/>
      <c r="AI100" s="37"/>
      <c r="AJ100" s="37"/>
      <c r="AK100" s="37"/>
      <c r="AL100" s="37"/>
      <c r="AM100" s="37"/>
      <c r="AN100" s="37"/>
      <c r="AO100" s="37"/>
      <c r="AP100" s="37"/>
      <c r="AQ100" s="37"/>
    </row>
    <row r="101" spans="3:43" ht="15" hidden="1">
      <c r="C101" s="80" t="e">
        <v>#N/A</v>
      </c>
      <c r="D101" s="62" t="s">
        <v>367</v>
      </c>
      <c r="E101" s="133" t="s">
        <v>368</v>
      </c>
      <c r="F101" s="131">
        <v>1</v>
      </c>
      <c r="G101" s="122" t="s">
        <v>1097</v>
      </c>
      <c r="H101" s="18" t="s">
        <v>622</v>
      </c>
      <c r="I101" s="18" t="s">
        <v>59</v>
      </c>
      <c r="J101" s="19" t="s">
        <v>588</v>
      </c>
      <c r="K101" s="103">
        <v>140637</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92</v>
      </c>
      <c r="O101" s="106" t="b">
        <f t="shared" si="2"/>
        <v>1</v>
      </c>
      <c r="P101" s="214">
        <v>0</v>
      </c>
      <c r="Q101" s="129">
        <f>rrcworking[[#This Row],[Last Month Closing Stock]]</f>
        <v>92</v>
      </c>
      <c r="R101" s="214">
        <f>rrcworking[[#This Row],[Opening Oil Stock]]</f>
        <v>92</v>
      </c>
      <c r="S101" s="148">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Production Vol]]-rrcworking[[#This Row],[Oil Production]]</f>
        <v>0</v>
      </c>
      <c r="V101" s="148">
        <f>IF(ISERROR(INDEX(Table2[GAS],MATCH(rrcworking[[#This Row],[Magnum Wolfpak '#]],Table2[Rox Wolf'#],0))),0,INDEX(Table2[GAS],MATCH(rrcworking[[#This Row],[Magnum Wolfpak '#]],Table2[Rox Wolf'#],0)))</f>
        <v>0</v>
      </c>
      <c r="W101" s="24"/>
      <c r="X101" s="137">
        <f>IF(rrcworking[[#This Row],[Pressure Base]]=14.73,rrcworking[[#This Row],[Gas Sales Statement Volume (MCF)]]*$R$2,rrcworking[[#This Row],[Gas Sales Statement Volume (MCF)]])</f>
        <v>0</v>
      </c>
      <c r="Y101" s="60"/>
      <c r="Z101" s="60"/>
      <c r="AA101" s="148">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220">
        <f>COUNTIF(FilterList,rrcworking[[#This Row],[Magnum Wolfpak '#]])</f>
        <v>0</v>
      </c>
      <c r="AF101" s="217"/>
      <c r="AG101" s="218"/>
      <c r="AH101" s="37"/>
      <c r="AI101" s="37"/>
      <c r="AJ101" s="37"/>
      <c r="AK101" s="37"/>
      <c r="AL101" s="37"/>
      <c r="AM101" s="37"/>
      <c r="AN101" s="37"/>
      <c r="AO101" s="37"/>
      <c r="AP101" s="37"/>
      <c r="AQ101" s="37"/>
    </row>
    <row r="102" spans="3:43" ht="15" hidden="1">
      <c r="C102" s="80" t="e">
        <v>#N/A</v>
      </c>
      <c r="D102" s="62" t="s">
        <v>134</v>
      </c>
      <c r="E102" s="133" t="s">
        <v>135</v>
      </c>
      <c r="F102" s="131">
        <v>2</v>
      </c>
      <c r="G102" s="122" t="s">
        <v>1097</v>
      </c>
      <c r="H102" s="18" t="s">
        <v>620</v>
      </c>
      <c r="I102" s="18" t="s">
        <v>59</v>
      </c>
      <c r="J102" s="19" t="s">
        <v>450</v>
      </c>
      <c r="K102" s="103">
        <v>220079</v>
      </c>
      <c r="L102" s="101">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0</v>
      </c>
      <c r="O102" s="106" t="b">
        <f t="shared" ref="O102:O134" si="3">IF(AND(L102=0,M102=0), TRUE, FALSE)</f>
        <v>1</v>
      </c>
      <c r="P102" s="214"/>
      <c r="Q102" s="129">
        <f>rrcworking[[#This Row],[Last Month Closing Stock]]</f>
        <v>0</v>
      </c>
      <c r="R102" s="214"/>
      <c r="S102" s="148">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Production Vol]]-rrcworking[[#This Row],[Oil Production]]</f>
        <v>0</v>
      </c>
      <c r="V102" s="148">
        <f>IF(ISERROR(INDEX(Table2[GAS],MATCH(rrcworking[[#This Row],[Magnum Wolfpak '#]],Table2[Rox Wolf'#],0))),0,INDEX(Table2[GAS],MATCH(rrcworking[[#This Row],[Magnum Wolfpak '#]],Table2[Rox Wolf'#],0)))</f>
        <v>0</v>
      </c>
      <c r="W102" s="24"/>
      <c r="X102" s="137">
        <f>IF(rrcworking[[#This Row],[Pressure Base]]=14.73,rrcworking[[#This Row],[Gas Sales Statement Volume (MCF)]]*$R$2,rrcworking[[#This Row],[Gas Sales Statement Volume (MCF)]])</f>
        <v>0</v>
      </c>
      <c r="Y102" s="60"/>
      <c r="Z102" s="60"/>
      <c r="AA102" s="148">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220">
        <f>COUNTIF(FilterList,rrcworking[[#This Row],[Magnum Wolfpak '#]])</f>
        <v>0</v>
      </c>
      <c r="AF102" s="217"/>
      <c r="AG102" s="218"/>
      <c r="AH102" s="37"/>
      <c r="AI102" s="37"/>
      <c r="AJ102" s="37"/>
      <c r="AK102" s="37"/>
      <c r="AL102" s="37"/>
      <c r="AM102" s="37"/>
      <c r="AN102" s="37"/>
      <c r="AO102" s="37"/>
      <c r="AP102" s="37"/>
      <c r="AQ102" s="37"/>
    </row>
    <row r="103" spans="3:43" ht="15" hidden="1">
      <c r="C103" s="80">
        <v>99269</v>
      </c>
      <c r="D103" s="62" t="s">
        <v>316</v>
      </c>
      <c r="E103" s="133" t="s">
        <v>317</v>
      </c>
      <c r="F103" s="131">
        <v>1</v>
      </c>
      <c r="G103" s="122" t="s">
        <v>1097</v>
      </c>
      <c r="H103" s="18" t="s">
        <v>622</v>
      </c>
      <c r="I103" s="18" t="s">
        <v>59</v>
      </c>
      <c r="J103" s="19" t="s">
        <v>558</v>
      </c>
      <c r="K103" s="103">
        <v>255120</v>
      </c>
      <c r="L103" s="101">
        <f>INDEX(Table1[Production],MATCH(rrcworking[[#This Row],[RRC ID Number]],Table1[RRC Identifier],0))</f>
        <v>0</v>
      </c>
      <c r="M103" s="30">
        <f>INDEX(Table1[Formation Production],MATCH(rrcworking[[#This Row],[RRC ID Number]],Table1[RRC Identifier],0))</f>
        <v>1636</v>
      </c>
      <c r="N103" s="31">
        <f>INDEX(Table1[On Hand End of Month],MATCH(rrcworking[[#This Row],[RRC ID Number]],Table1[RRC Identifier],0))</f>
        <v>0</v>
      </c>
      <c r="O103" s="106" t="b">
        <f t="shared" si="3"/>
        <v>0</v>
      </c>
      <c r="P103" s="214"/>
      <c r="Q103" s="129">
        <f>rrcworking[[#This Row],[Last Month Closing Stock]]</f>
        <v>0</v>
      </c>
      <c r="R103" s="214"/>
      <c r="S103" s="148">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Production Vol]]-rrcworking[[#This Row],[Oil Production]]</f>
        <v>0</v>
      </c>
      <c r="V103" s="148">
        <f>IF(ISERROR(INDEX(Table2[GAS],MATCH(rrcworking[[#This Row],[Magnum Wolfpak '#]],Table2[Rox Wolf'#],0))),0,INDEX(Table2[GAS],MATCH(rrcworking[[#This Row],[Magnum Wolfpak '#]],Table2[Rox Wolf'#],0)))</f>
        <v>881</v>
      </c>
      <c r="W103" s="24"/>
      <c r="X103" s="137">
        <f>IF(rrcworking[[#This Row],[Pressure Base]]=14.73,rrcworking[[#This Row],[Gas Sales Statement Volume (MCF)]]*$R$2,rrcworking[[#This Row],[Gas Sales Statement Volume (MCF)]])</f>
        <v>881</v>
      </c>
      <c r="Y103" s="60"/>
      <c r="Z103" s="60"/>
      <c r="AA103" s="148">
        <f>IF(ISERROR(INDEX(Table2[LEASE USE],MATCH(rrcworking[[#This Row],[Magnum Wolfpak '#]],Table2[Rox Wolf'#],0))),0,INDEX(Table2[LEASE USE],MATCH(rrcworking[[#This Row],[Magnum Wolfpak '#]],Table2[Rox Wolf'#],0)))</f>
        <v>300</v>
      </c>
      <c r="AB103" s="57">
        <f>rrcworking[[#This Row],[Disposition Volume (MCF) @ 14.65 MCF]]+rrcworking[[#This Row],[Lease Use (MCF)]]</f>
        <v>1181</v>
      </c>
      <c r="AC103" s="37" t="s">
        <v>1125</v>
      </c>
      <c r="AD103" s="37"/>
      <c r="AE103" s="220">
        <f>COUNTIF(FilterList,rrcworking[[#This Row],[Magnum Wolfpak '#]])</f>
        <v>1</v>
      </c>
      <c r="AF103" s="217"/>
      <c r="AG103" s="218"/>
      <c r="AH103" s="37"/>
      <c r="AI103" s="37"/>
      <c r="AJ103" s="219"/>
      <c r="AK103" s="219"/>
      <c r="AL103" s="219"/>
      <c r="AM103" s="219"/>
      <c r="AN103" s="219"/>
      <c r="AO103" s="219"/>
      <c r="AP103" s="37" t="s">
        <v>1204</v>
      </c>
      <c r="AQ103" s="37" t="s">
        <v>1231</v>
      </c>
    </row>
    <row r="104" spans="3:43" ht="15" hidden="1">
      <c r="C104" s="80" t="e">
        <v>#N/A</v>
      </c>
      <c r="D104" s="62" t="s">
        <v>342</v>
      </c>
      <c r="E104" s="133" t="s">
        <v>343</v>
      </c>
      <c r="F104" s="131">
        <v>1</v>
      </c>
      <c r="G104" s="122" t="s">
        <v>1097</v>
      </c>
      <c r="H104" s="18" t="s">
        <v>622</v>
      </c>
      <c r="I104" s="18" t="s">
        <v>59</v>
      </c>
      <c r="J104" s="19" t="s">
        <v>575</v>
      </c>
      <c r="K104" s="103">
        <v>252973</v>
      </c>
      <c r="L104" s="101">
        <f>INDEX(Table1[Production],MATCH(rrcworking[[#This Row],[RRC ID Number]],Table1[RRC Identifier],0))</f>
        <v>0</v>
      </c>
      <c r="M104" s="30">
        <f>INDEX(Table1[Formation Production],MATCH(rrcworking[[#This Row],[RRC ID Number]],Table1[RRC Identifier],0))</f>
        <v>0</v>
      </c>
      <c r="N104" s="31">
        <f>INDEX(Table1[On Hand End of Month],MATCH(rrcworking[[#This Row],[RRC ID Number]],Table1[RRC Identifier],0))</f>
        <v>93</v>
      </c>
      <c r="O104" s="106" t="b">
        <f t="shared" si="3"/>
        <v>1</v>
      </c>
      <c r="P104" s="214">
        <v>0</v>
      </c>
      <c r="Q104" s="129">
        <f>rrcworking[[#This Row],[Last Month Closing Stock]]</f>
        <v>93</v>
      </c>
      <c r="R104" s="214">
        <f>rrcworking[[#This Row],[Opening Oil Stock]]</f>
        <v>93</v>
      </c>
      <c r="S104" s="148">
        <f>IF(ISERROR(INDEX(Table2[OIL],MATCH(rrcworking[[#This Row],[Magnum Wolfpak '#]],Table2[Rox Wolf'#],0))),0,INDEX(Table2[OIL],MATCH(rrcworking[[#This Row],[Magnum Wolfpak '#]],Table2[Rox Wolf'#],0)))</f>
        <v>0</v>
      </c>
      <c r="T104" s="35">
        <f>rrcworking[[#This Row],[Closing Stock (Oil)]]+rrcworking[[#This Row],[Sales/Dispostion]]-rrcworking[[#This Row],[Opening Oil Stock]]</f>
        <v>0</v>
      </c>
      <c r="U104" s="112">
        <f>rrcworking[[#This Row],[Gauge Sheet Production Vol]]-rrcworking[[#This Row],[Oil Production]]</f>
        <v>0</v>
      </c>
      <c r="V104" s="148">
        <f>IF(ISERROR(INDEX(Table2[GAS],MATCH(rrcworking[[#This Row],[Magnum Wolfpak '#]],Table2[Rox Wolf'#],0))),0,INDEX(Table2[GAS],MATCH(rrcworking[[#This Row],[Magnum Wolfpak '#]],Table2[Rox Wolf'#],0)))</f>
        <v>0</v>
      </c>
      <c r="W104" s="24"/>
      <c r="X104" s="137">
        <f>IF(rrcworking[[#This Row],[Pressure Base]]=14.73,rrcworking[[#This Row],[Gas Sales Statement Volume (MCF)]]*$R$2,rrcworking[[#This Row],[Gas Sales Statement Volume (MCF)]])</f>
        <v>0</v>
      </c>
      <c r="Y104" s="60"/>
      <c r="Z104" s="60"/>
      <c r="AA104" s="148">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c r="AE104" s="220">
        <f>COUNTIF(FilterList,rrcworking[[#This Row],[Magnum Wolfpak '#]])</f>
        <v>0</v>
      </c>
      <c r="AF104" s="217"/>
      <c r="AG104" s="218"/>
      <c r="AH104" s="37"/>
      <c r="AI104" s="37"/>
      <c r="AJ104" s="37"/>
      <c r="AK104" s="37"/>
      <c r="AL104" s="37"/>
      <c r="AM104" s="37"/>
      <c r="AN104" s="37"/>
      <c r="AO104" s="37"/>
      <c r="AP104" s="37"/>
      <c r="AQ104" s="37"/>
    </row>
    <row r="105" spans="3:43" ht="15" hidden="1">
      <c r="C105" s="80">
        <v>92001</v>
      </c>
      <c r="D105" s="62" t="s">
        <v>231</v>
      </c>
      <c r="E105" s="133" t="s">
        <v>232</v>
      </c>
      <c r="F105" s="131">
        <v>0</v>
      </c>
      <c r="G105" s="122" t="s">
        <v>1097</v>
      </c>
      <c r="H105" s="18" t="s">
        <v>621</v>
      </c>
      <c r="I105" s="18" t="s">
        <v>2</v>
      </c>
      <c r="J105" s="19" t="s">
        <v>505</v>
      </c>
      <c r="K105" s="103">
        <v>18769</v>
      </c>
      <c r="L105" s="101">
        <f>INDEX(Table1[Production],MATCH(rrcworking[[#This Row],[RRC ID Number]],Table1[RRC Identifier],0))</f>
        <v>40</v>
      </c>
      <c r="M105" s="30">
        <f>INDEX(Table1[Formation Production],MATCH(rrcworking[[#This Row],[RRC ID Number]],Table1[RRC Identifier],0))</f>
        <v>0</v>
      </c>
      <c r="N105" s="31">
        <f>INDEX(Table1[On Hand End of Month],MATCH(rrcworking[[#This Row],[RRC ID Number]],Table1[RRC Identifier],0))</f>
        <v>110</v>
      </c>
      <c r="O105" s="106" t="b">
        <f t="shared" si="3"/>
        <v>0</v>
      </c>
      <c r="P105" s="214">
        <v>68</v>
      </c>
      <c r="Q105" s="129">
        <f>rrcworking[[#This Row],[Last Month Closing Stock]]</f>
        <v>110</v>
      </c>
      <c r="R105" s="215">
        <v>28</v>
      </c>
      <c r="S105" s="148">
        <f>IF(ISERROR(INDEX(Table2[OIL],MATCH(rrcworking[[#This Row],[Magnum Wolfpak '#]],Table2[Rox Wolf'#],0))),0,INDEX(Table2[OIL],MATCH(rrcworking[[#This Row],[Magnum Wolfpak '#]],Table2[Rox Wolf'#],0)))</f>
        <v>149</v>
      </c>
      <c r="T105" s="35">
        <f>rrcworking[[#This Row],[Closing Stock (Oil)]]+rrcworking[[#This Row],[Sales/Dispostion]]-rrcworking[[#This Row],[Opening Oil Stock]]</f>
        <v>67</v>
      </c>
      <c r="U105" s="112">
        <f>rrcworking[[#This Row],[Gauge Sheet Production Vol]]-rrcworking[[#This Row],[Oil Production]]</f>
        <v>1</v>
      </c>
      <c r="V105" s="148">
        <f>IF(ISERROR(INDEX(Table2[GAS],MATCH(rrcworking[[#This Row],[Magnum Wolfpak '#]],Table2[Rox Wolf'#],0))),0,INDEX(Table2[GAS],MATCH(rrcworking[[#This Row],[Magnum Wolfpak '#]],Table2[Rox Wolf'#],0)))</f>
        <v>0</v>
      </c>
      <c r="W105" s="24"/>
      <c r="X105" s="137">
        <f>IF(rrcworking[[#This Row],[Pressure Base]]=14.73,rrcworking[[#This Row],[Gas Sales Statement Volume (MCF)]]*$R$2,rrcworking[[#This Row],[Gas Sales Statement Volume (MCF)]])</f>
        <v>0</v>
      </c>
      <c r="Y105" s="60"/>
      <c r="Z105" s="60"/>
      <c r="AA105" s="148">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220">
        <f>COUNTIF(FilterList,rrcworking[[#This Row],[Magnum Wolfpak '#]])</f>
        <v>0</v>
      </c>
      <c r="AF105" s="217"/>
      <c r="AG105" s="218"/>
      <c r="AH105" s="37"/>
      <c r="AI105" s="218"/>
      <c r="AJ105" s="219"/>
      <c r="AK105" s="219"/>
      <c r="AL105" s="219"/>
      <c r="AM105" s="219"/>
      <c r="AN105" s="219"/>
      <c r="AO105" s="219"/>
      <c r="AP105" s="37" t="s">
        <v>1204</v>
      </c>
      <c r="AQ105" s="37" t="s">
        <v>1240</v>
      </c>
    </row>
    <row r="106" spans="3:43" ht="45" hidden="1">
      <c r="C106" s="80">
        <v>99058</v>
      </c>
      <c r="D106" s="62" t="s">
        <v>344</v>
      </c>
      <c r="E106" s="133" t="s">
        <v>345</v>
      </c>
      <c r="F106" s="131" t="s">
        <v>346</v>
      </c>
      <c r="G106" s="122" t="s">
        <v>1097</v>
      </c>
      <c r="H106" s="18" t="s">
        <v>622</v>
      </c>
      <c r="I106" s="18" t="s">
        <v>59</v>
      </c>
      <c r="J106" s="19" t="s">
        <v>576</v>
      </c>
      <c r="K106" s="103">
        <v>201238</v>
      </c>
      <c r="L106" s="101">
        <f>INDEX(Table1[Production],MATCH(rrcworking[[#This Row],[RRC ID Number]],Table1[RRC Identifier],0))</f>
        <v>0</v>
      </c>
      <c r="M106" s="30">
        <f>INDEX(Table1[Formation Production],MATCH(rrcworking[[#This Row],[RRC ID Number]],Table1[RRC Identifier],0))</f>
        <v>5855</v>
      </c>
      <c r="N106" s="31">
        <f>INDEX(Table1[On Hand End of Month],MATCH(rrcworking[[#This Row],[RRC ID Number]],Table1[RRC Identifier],0))</f>
        <v>39</v>
      </c>
      <c r="O106" s="106" t="b">
        <f t="shared" si="3"/>
        <v>0</v>
      </c>
      <c r="P106" s="214">
        <v>8</v>
      </c>
      <c r="Q106" s="129">
        <f>rrcworking[[#This Row],[Last Month Closing Stock]]</f>
        <v>39</v>
      </c>
      <c r="R106" s="214">
        <v>67</v>
      </c>
      <c r="S106" s="148">
        <f>IF(ISERROR(INDEX(Table2[OIL],MATCH(rrcworking[[#This Row],[Magnum Wolfpak '#]],Table2[Rox Wolf'#],0))),0,INDEX(Table2[OIL],MATCH(rrcworking[[#This Row],[Magnum Wolfpak '#]],Table2[Rox Wolf'#],0)))</f>
        <v>0</v>
      </c>
      <c r="T106" s="35">
        <f>rrcworking[[#This Row],[Closing Stock (Oil)]]+rrcworking[[#This Row],[Sales/Dispostion]]-rrcworking[[#This Row],[Opening Oil Stock]]</f>
        <v>28</v>
      </c>
      <c r="U106" s="112">
        <f>rrcworking[[#This Row],[Gauge Sheet Production Vol]]-rrcworking[[#This Row],[Oil Production]]</f>
        <v>-20</v>
      </c>
      <c r="V106" s="148">
        <f>IF(ISERROR(INDEX(Table2[GAS],MATCH(rrcworking[[#This Row],[Magnum Wolfpak '#]],Table2[Rox Wolf'#],0))),0,INDEX(Table2[GAS],MATCH(rrcworking[[#This Row],[Magnum Wolfpak '#]],Table2[Rox Wolf'#],0)))</f>
        <v>350</v>
      </c>
      <c r="W106" s="24"/>
      <c r="X106" s="137">
        <f>IF(rrcworking[[#This Row],[Pressure Base]]=14.73,rrcworking[[#This Row],[Gas Sales Statement Volume (MCF)]]*$R$2,rrcworking[[#This Row],[Gas Sales Statement Volume (MCF)]])</f>
        <v>350</v>
      </c>
      <c r="Y106" s="60"/>
      <c r="Z106" s="60"/>
      <c r="AA106" s="148">
        <f>IF(ISERROR(INDEX(Table2[LEASE USE],MATCH(rrcworking[[#This Row],[Magnum Wolfpak '#]],Table2[Rox Wolf'#],0))),0,INDEX(Table2[LEASE USE],MATCH(rrcworking[[#This Row],[Magnum Wolfpak '#]],Table2[Rox Wolf'#],0)))</f>
        <v>0</v>
      </c>
      <c r="AB106" s="57">
        <f>rrcworking[[#This Row],[Disposition Volume (MCF) @ 14.65 MCF]]+rrcworking[[#This Row],[Lease Use (MCF)]]</f>
        <v>350</v>
      </c>
      <c r="AC106" s="37"/>
      <c r="AD106" s="37" t="s">
        <v>1182</v>
      </c>
      <c r="AE106" s="220">
        <f>COUNTIF(FilterList,rrcworking[[#This Row],[Magnum Wolfpak '#]])</f>
        <v>0</v>
      </c>
      <c r="AF106" s="217"/>
      <c r="AG106" s="218"/>
      <c r="AH106" s="87"/>
      <c r="AI106" s="87"/>
      <c r="AJ106" s="219"/>
      <c r="AK106" s="219"/>
      <c r="AL106" s="219"/>
      <c r="AM106" s="219"/>
      <c r="AN106" s="219"/>
      <c r="AO106" s="219"/>
      <c r="AP106" s="37" t="s">
        <v>1204</v>
      </c>
      <c r="AQ106" s="37" t="s">
        <v>1248</v>
      </c>
    </row>
    <row r="107" spans="3:43" ht="15" hidden="1">
      <c r="C107" s="80" t="e">
        <v>#N/A</v>
      </c>
      <c r="D107" s="62" t="s">
        <v>347</v>
      </c>
      <c r="E107" s="133" t="s">
        <v>345</v>
      </c>
      <c r="F107" s="131">
        <v>20</v>
      </c>
      <c r="G107" s="122" t="s">
        <v>1097</v>
      </c>
      <c r="H107" s="18" t="s">
        <v>622</v>
      </c>
      <c r="I107" s="18" t="s">
        <v>59</v>
      </c>
      <c r="J107" s="19" t="s">
        <v>577</v>
      </c>
      <c r="K107" s="103">
        <v>242290</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214"/>
      <c r="Q107" s="129">
        <f>rrcworking[[#This Row],[Last Month Closing Stock]]</f>
        <v>0</v>
      </c>
      <c r="R107" s="214"/>
      <c r="S107" s="148">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Production Vol]]-rrcworking[[#This Row],[Oil Production]]</f>
        <v>0</v>
      </c>
      <c r="V107" s="148">
        <f>IF(ISERROR(INDEX(Table2[GAS],MATCH(rrcworking[[#This Row],[Magnum Wolfpak '#]],Table2[Rox Wolf'#],0))),0,INDEX(Table2[GAS],MATCH(rrcworking[[#This Row],[Magnum Wolfpak '#]],Table2[Rox Wolf'#],0)))</f>
        <v>0</v>
      </c>
      <c r="W107" s="24"/>
      <c r="X107" s="137">
        <f>IF(rrcworking[[#This Row],[Pressure Base]]=14.73,rrcworking[[#This Row],[Gas Sales Statement Volume (MCF)]]*$R$2,rrcworking[[#This Row],[Gas Sales Statement Volume (MCF)]])</f>
        <v>0</v>
      </c>
      <c r="Y107" s="60"/>
      <c r="Z107" s="60"/>
      <c r="AA107" s="148">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220">
        <f>COUNTIF(FilterList,rrcworking[[#This Row],[Magnum Wolfpak '#]])</f>
        <v>0</v>
      </c>
      <c r="AF107" s="217"/>
      <c r="AG107" s="218"/>
      <c r="AH107" s="37"/>
      <c r="AI107" s="37"/>
      <c r="AJ107" s="37"/>
      <c r="AK107" s="37"/>
      <c r="AL107" s="37"/>
      <c r="AM107" s="37"/>
      <c r="AN107" s="37"/>
      <c r="AO107" s="37"/>
      <c r="AP107" s="37"/>
      <c r="AQ107" s="37"/>
    </row>
    <row r="108" spans="3:43" ht="15" hidden="1">
      <c r="C108" s="80" t="e">
        <v>#N/A</v>
      </c>
      <c r="D108" s="62" t="s">
        <v>348</v>
      </c>
      <c r="E108" s="133" t="s">
        <v>345</v>
      </c>
      <c r="F108" s="131" t="s">
        <v>349</v>
      </c>
      <c r="G108" s="122" t="s">
        <v>1097</v>
      </c>
      <c r="H108" s="18" t="s">
        <v>622</v>
      </c>
      <c r="I108" s="18" t="s">
        <v>59</v>
      </c>
      <c r="J108" s="19" t="s">
        <v>578</v>
      </c>
      <c r="K108" s="103">
        <v>198253</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214"/>
      <c r="Q108" s="129">
        <f>rrcworking[[#This Row],[Last Month Closing Stock]]</f>
        <v>0</v>
      </c>
      <c r="R108" s="214"/>
      <c r="S108" s="148">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Production Vol]]-rrcworking[[#This Row],[Oil Production]]</f>
        <v>0</v>
      </c>
      <c r="V108" s="148">
        <f>IF(ISERROR(INDEX(Table2[GAS],MATCH(rrcworking[[#This Row],[Magnum Wolfpak '#]],Table2[Rox Wolf'#],0))),0,INDEX(Table2[GAS],MATCH(rrcworking[[#This Row],[Magnum Wolfpak '#]],Table2[Rox Wolf'#],0)))</f>
        <v>0</v>
      </c>
      <c r="W108" s="24"/>
      <c r="X108" s="137">
        <f>IF(rrcworking[[#This Row],[Pressure Base]]=14.73,rrcworking[[#This Row],[Gas Sales Statement Volume (MCF)]]*$R$2,rrcworking[[#This Row],[Gas Sales Statement Volume (MCF)]])</f>
        <v>0</v>
      </c>
      <c r="Y108" s="60"/>
      <c r="Z108" s="60"/>
      <c r="AA108" s="148">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220">
        <f>COUNTIF(FilterList,rrcworking[[#This Row],[Magnum Wolfpak '#]])</f>
        <v>0</v>
      </c>
      <c r="AF108" s="217"/>
      <c r="AG108" s="218"/>
      <c r="AH108" s="37"/>
      <c r="AI108" s="37"/>
      <c r="AJ108" s="37"/>
      <c r="AK108" s="37"/>
      <c r="AL108" s="37"/>
      <c r="AM108" s="37"/>
      <c r="AN108" s="37"/>
      <c r="AO108" s="37"/>
      <c r="AP108" s="37"/>
      <c r="AQ108" s="37"/>
    </row>
    <row r="109" spans="3:43" ht="15" hidden="1">
      <c r="C109" s="80" t="e">
        <v>#N/A</v>
      </c>
      <c r="D109" s="62" t="s">
        <v>350</v>
      </c>
      <c r="E109" s="133" t="s">
        <v>345</v>
      </c>
      <c r="F109" s="131" t="s">
        <v>351</v>
      </c>
      <c r="G109" s="122" t="s">
        <v>1097</v>
      </c>
      <c r="H109" s="18" t="s">
        <v>622</v>
      </c>
      <c r="I109" s="18" t="s">
        <v>59</v>
      </c>
      <c r="J109" s="19" t="s">
        <v>579</v>
      </c>
      <c r="K109" s="103">
        <v>159856</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214"/>
      <c r="Q109" s="129">
        <f>rrcworking[[#This Row],[Last Month Closing Stock]]</f>
        <v>0</v>
      </c>
      <c r="R109" s="214"/>
      <c r="S109" s="148">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Production Vol]]-rrcworking[[#This Row],[Oil Production]]</f>
        <v>0</v>
      </c>
      <c r="V109" s="148">
        <f>IF(ISERROR(INDEX(Table2[GAS],MATCH(rrcworking[[#This Row],[Magnum Wolfpak '#]],Table2[Rox Wolf'#],0))),0,INDEX(Table2[GAS],MATCH(rrcworking[[#This Row],[Magnum Wolfpak '#]],Table2[Rox Wolf'#],0)))</f>
        <v>0</v>
      </c>
      <c r="W109" s="24"/>
      <c r="X109" s="137">
        <f>IF(rrcworking[[#This Row],[Pressure Base]]=14.73,rrcworking[[#This Row],[Gas Sales Statement Volume (MCF)]]*$R$2,rrcworking[[#This Row],[Gas Sales Statement Volume (MCF)]])</f>
        <v>0</v>
      </c>
      <c r="Y109" s="60"/>
      <c r="Z109" s="60"/>
      <c r="AA109" s="148">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220">
        <f>COUNTIF(FilterList,rrcworking[[#This Row],[Magnum Wolfpak '#]])</f>
        <v>0</v>
      </c>
      <c r="AF109" s="217"/>
      <c r="AG109" s="218"/>
      <c r="AH109" s="37"/>
      <c r="AI109" s="37"/>
      <c r="AJ109" s="37"/>
      <c r="AK109" s="37"/>
      <c r="AL109" s="37"/>
      <c r="AM109" s="37"/>
      <c r="AN109" s="37"/>
      <c r="AO109" s="37"/>
      <c r="AP109" s="37"/>
      <c r="AQ109" s="37"/>
    </row>
    <row r="110" spans="3:43" ht="15" hidden="1">
      <c r="C110" s="80" t="e">
        <v>#N/A</v>
      </c>
      <c r="D110" s="62" t="s">
        <v>238</v>
      </c>
      <c r="E110" s="133" t="s">
        <v>239</v>
      </c>
      <c r="F110" s="131">
        <v>0</v>
      </c>
      <c r="G110" s="122" t="s">
        <v>1097</v>
      </c>
      <c r="H110" s="18" t="s">
        <v>621</v>
      </c>
      <c r="I110" s="18" t="s">
        <v>2</v>
      </c>
      <c r="J110" s="19" t="s">
        <v>509</v>
      </c>
      <c r="K110" s="103">
        <v>12721</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214"/>
      <c r="Q110" s="129">
        <f>rrcworking[[#This Row],[Last Month Closing Stock]]</f>
        <v>0</v>
      </c>
      <c r="R110" s="214"/>
      <c r="S110" s="148">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Production Vol]]-rrcworking[[#This Row],[Oil Production]]</f>
        <v>0</v>
      </c>
      <c r="V110" s="148">
        <f>IF(ISERROR(INDEX(Table2[GAS],MATCH(rrcworking[[#This Row],[Magnum Wolfpak '#]],Table2[Rox Wolf'#],0))),0,INDEX(Table2[GAS],MATCH(rrcworking[[#This Row],[Magnum Wolfpak '#]],Table2[Rox Wolf'#],0)))</f>
        <v>0</v>
      </c>
      <c r="W110" s="24"/>
      <c r="X110" s="137">
        <f>IF(rrcworking[[#This Row],[Pressure Base]]=14.73,rrcworking[[#This Row],[Gas Sales Statement Volume (MCF)]]*$R$2,rrcworking[[#This Row],[Gas Sales Statement Volume (MCF)]])</f>
        <v>0</v>
      </c>
      <c r="Y110" s="60"/>
      <c r="Z110" s="60"/>
      <c r="AA110" s="148">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220">
        <f>COUNTIF(FilterList,rrcworking[[#This Row],[Magnum Wolfpak '#]])</f>
        <v>0</v>
      </c>
      <c r="AF110" s="217"/>
      <c r="AG110" s="218"/>
      <c r="AH110" s="37"/>
      <c r="AI110" s="37"/>
      <c r="AJ110" s="37"/>
      <c r="AK110" s="37"/>
      <c r="AL110" s="37"/>
      <c r="AM110" s="37"/>
      <c r="AN110" s="37"/>
      <c r="AO110" s="37"/>
      <c r="AP110" s="37"/>
      <c r="AQ110" s="37"/>
    </row>
    <row r="111" spans="3:43" ht="15" hidden="1">
      <c r="C111" s="80" t="e">
        <v>#N/A</v>
      </c>
      <c r="D111" s="62" t="s">
        <v>385</v>
      </c>
      <c r="E111" s="133" t="s">
        <v>386</v>
      </c>
      <c r="F111" s="131">
        <v>4</v>
      </c>
      <c r="G111" s="122" t="s">
        <v>1097</v>
      </c>
      <c r="H111" s="18" t="s">
        <v>622</v>
      </c>
      <c r="I111" s="18" t="s">
        <v>59</v>
      </c>
      <c r="J111" s="19" t="s">
        <v>599</v>
      </c>
      <c r="K111" s="103">
        <v>190124</v>
      </c>
      <c r="L111" s="101">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6" t="b">
        <f t="shared" si="3"/>
        <v>1</v>
      </c>
      <c r="P111" s="214"/>
      <c r="Q111" s="129">
        <f>rrcworking[[#This Row],[Last Month Closing Stock]]</f>
        <v>0</v>
      </c>
      <c r="R111" s="214"/>
      <c r="S111" s="148">
        <f>IF(ISERROR(INDEX(Table2[OIL],MATCH(rrcworking[[#This Row],[Magnum Wolfpak '#]],Table2[Rox Wolf'#],0))),0,INDEX(Table2[OIL],MATCH(rrcworking[[#This Row],[Magnum Wolfpak '#]],Table2[Rox Wolf'#],0)))</f>
        <v>0</v>
      </c>
      <c r="T111" s="35">
        <f>rrcworking[[#This Row],[Closing Stock (Oil)]]+rrcworking[[#This Row],[Sales/Dispostion]]-rrcworking[[#This Row],[Opening Oil Stock]]</f>
        <v>0</v>
      </c>
      <c r="U111" s="112">
        <f>rrcworking[[#This Row],[Gauge Sheet Production Vol]]-rrcworking[[#This Row],[Oil Production]]</f>
        <v>0</v>
      </c>
      <c r="V111" s="148">
        <f>IF(ISERROR(INDEX(Table2[GAS],MATCH(rrcworking[[#This Row],[Magnum Wolfpak '#]],Table2[Rox Wolf'#],0))),0,INDEX(Table2[GAS],MATCH(rrcworking[[#This Row],[Magnum Wolfpak '#]],Table2[Rox Wolf'#],0)))</f>
        <v>0</v>
      </c>
      <c r="W111" s="24"/>
      <c r="X111" s="137">
        <f>IF(rrcworking[[#This Row],[Pressure Base]]=14.73,rrcworking[[#This Row],[Gas Sales Statement Volume (MCF)]]*$R$2,rrcworking[[#This Row],[Gas Sales Statement Volume (MCF)]])</f>
        <v>0</v>
      </c>
      <c r="Y111" s="60"/>
      <c r="Z111" s="60"/>
      <c r="AA111" s="148">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220">
        <f>COUNTIF(FilterList,rrcworking[[#This Row],[Magnum Wolfpak '#]])</f>
        <v>0</v>
      </c>
      <c r="AF111" s="217"/>
      <c r="AG111" s="218"/>
      <c r="AH111" s="37"/>
      <c r="AI111" s="37"/>
      <c r="AJ111" s="37"/>
      <c r="AK111" s="37"/>
      <c r="AL111" s="37"/>
      <c r="AM111" s="37"/>
      <c r="AN111" s="37"/>
      <c r="AO111" s="37"/>
      <c r="AP111" s="37"/>
      <c r="AQ111" s="37"/>
    </row>
    <row r="112" spans="3:43" ht="75" hidden="1">
      <c r="C112" s="80">
        <v>99128</v>
      </c>
      <c r="D112" s="62" t="s">
        <v>391</v>
      </c>
      <c r="E112" s="133" t="s">
        <v>386</v>
      </c>
      <c r="F112" s="131" t="s">
        <v>392</v>
      </c>
      <c r="G112" s="122">
        <v>5050</v>
      </c>
      <c r="H112" s="21" t="s">
        <v>622</v>
      </c>
      <c r="I112" s="21" t="s">
        <v>59</v>
      </c>
      <c r="J112" s="19" t="s">
        <v>602</v>
      </c>
      <c r="K112" s="103">
        <v>66093</v>
      </c>
      <c r="L112" s="101">
        <f>INDEX(Table1[Production],MATCH(rrcworking[[#This Row],[RRC ID Number]],Table1[RRC Identifier],0))</f>
        <v>18</v>
      </c>
      <c r="M112" s="30">
        <f>INDEX(Table1[Formation Production],MATCH(rrcworking[[#This Row],[RRC ID Number]],Table1[RRC Identifier],0))</f>
        <v>3240</v>
      </c>
      <c r="N112" s="31">
        <f>INDEX(Table1[On Hand End of Month],MATCH(rrcworking[[#This Row],[RRC ID Number]],Table1[RRC Identifier],0))</f>
        <v>26</v>
      </c>
      <c r="O112" s="106" t="b">
        <f t="shared" si="3"/>
        <v>0</v>
      </c>
      <c r="P112" s="214">
        <v>37</v>
      </c>
      <c r="Q112" s="129">
        <f>rrcworking[[#This Row],[Last Month Closing Stock]]</f>
        <v>26</v>
      </c>
      <c r="R112" s="215">
        <v>64</v>
      </c>
      <c r="S112" s="148">
        <f>IF(ISERROR(INDEX(Table2[OIL],MATCH(rrcworking[[#This Row],[Magnum Wolfpak '#]],Table2[Rox Wolf'#],0))),0,INDEX(Table2[OIL],MATCH(rrcworking[[#This Row],[Magnum Wolfpak '#]],Table2[Rox Wolf'#],0)))</f>
        <v>0</v>
      </c>
      <c r="T112" s="35">
        <f>rrcworking[[#This Row],[Closing Stock (Oil)]]+rrcworking[[#This Row],[Sales/Dispostion]]-rrcworking[[#This Row],[Opening Oil Stock]]</f>
        <v>38</v>
      </c>
      <c r="U112" s="112">
        <f>rrcworking[[#This Row],[Gauge Sheet Production Vol]]-rrcworking[[#This Row],[Oil Production]]</f>
        <v>-1</v>
      </c>
      <c r="V112" s="148">
        <f>IF(ISERROR(INDEX(Table2[GAS],MATCH(rrcworking[[#This Row],[Magnum Wolfpak '#]],Table2[Rox Wolf'#],0))),0,INDEX(Table2[GAS],MATCH(rrcworking[[#This Row],[Magnum Wolfpak '#]],Table2[Rox Wolf'#],0)))</f>
        <v>8552</v>
      </c>
      <c r="W112" s="24"/>
      <c r="X112" s="137">
        <f>IF(rrcworking[[#This Row],[Pressure Base]]=14.73,rrcworking[[#This Row],[Gas Sales Statement Volume (MCF)]]*$R$2,rrcworking[[#This Row],[Gas Sales Statement Volume (MCF)]])</f>
        <v>8552</v>
      </c>
      <c r="Y112" s="85"/>
      <c r="Z112" s="60">
        <v>10</v>
      </c>
      <c r="AA112" s="148">
        <f>IF(ISERROR(INDEX(Table2[LEASE USE],MATCH(rrcworking[[#This Row],[Magnum Wolfpak '#]],Table2[Rox Wolf'#],0))),0,INDEX(Table2[LEASE USE],MATCH(rrcworking[[#This Row],[Magnum Wolfpak '#]],Table2[Rox Wolf'#],0)))</f>
        <v>300</v>
      </c>
      <c r="AB112" s="57">
        <f>rrcworking[[#This Row],[Disposition Volume (MCF) @ 14.65 MCF]]+rrcworking[[#This Row],[Lease Use (MCF)]]</f>
        <v>8852</v>
      </c>
      <c r="AC112" s="37"/>
      <c r="AD112" s="37" t="s">
        <v>1142</v>
      </c>
      <c r="AE112" s="220">
        <f>COUNTIF(FilterList,rrcworking[[#This Row],[Magnum Wolfpak '#]])</f>
        <v>0</v>
      </c>
      <c r="AF112" s="217"/>
      <c r="AG112" s="218"/>
      <c r="AH112" s="37"/>
      <c r="AI112" s="218"/>
      <c r="AJ112" s="219"/>
      <c r="AK112" s="219"/>
      <c r="AL112" s="219"/>
      <c r="AM112" s="219"/>
      <c r="AN112" s="219"/>
      <c r="AO112" s="219"/>
      <c r="AP112" s="37" t="s">
        <v>1204</v>
      </c>
      <c r="AQ112" s="37" t="s">
        <v>1249</v>
      </c>
    </row>
    <row r="113" spans="3:43" ht="15" hidden="1">
      <c r="C113" s="80">
        <v>99134</v>
      </c>
      <c r="D113" s="62" t="s">
        <v>362</v>
      </c>
      <c r="E113" s="133" t="s">
        <v>363</v>
      </c>
      <c r="F113" s="131" t="s">
        <v>364</v>
      </c>
      <c r="G113" s="122">
        <v>5050</v>
      </c>
      <c r="H113" s="18" t="s">
        <v>622</v>
      </c>
      <c r="I113" s="18" t="s">
        <v>59</v>
      </c>
      <c r="J113" s="19" t="s">
        <v>586</v>
      </c>
      <c r="K113" s="103">
        <v>276012</v>
      </c>
      <c r="L113" s="101">
        <f>INDEX(Table1[Production],MATCH(rrcworking[[#This Row],[RRC ID Number]],Table1[RRC Identifier],0))</f>
        <v>0</v>
      </c>
      <c r="M113" s="30">
        <f>INDEX(Table1[Formation Production],MATCH(rrcworking[[#This Row],[RRC ID Number]],Table1[RRC Identifier],0))</f>
        <v>3471</v>
      </c>
      <c r="N113" s="31">
        <f>INDEX(Table1[On Hand End of Month],MATCH(rrcworking[[#This Row],[RRC ID Number]],Table1[RRC Identifier],0))</f>
        <v>62</v>
      </c>
      <c r="O113" s="106" t="b">
        <f t="shared" si="3"/>
        <v>0</v>
      </c>
      <c r="P113" s="214">
        <v>0</v>
      </c>
      <c r="Q113" s="129">
        <f>rrcworking[[#This Row],[Last Month Closing Stock]]</f>
        <v>62</v>
      </c>
      <c r="R113" s="214">
        <v>62</v>
      </c>
      <c r="S113" s="148">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Production Vol]]-rrcworking[[#This Row],[Oil Production]]</f>
        <v>0</v>
      </c>
      <c r="V113" s="148">
        <f>IF(ISERROR(INDEX(Table2[GAS],MATCH(rrcworking[[#This Row],[Magnum Wolfpak '#]],Table2[Rox Wolf'#],0))),0,INDEX(Table2[GAS],MATCH(rrcworking[[#This Row],[Magnum Wolfpak '#]],Table2[Rox Wolf'#],0)))</f>
        <v>3365</v>
      </c>
      <c r="W113" s="24"/>
      <c r="X113" s="137">
        <f>IF(rrcworking[[#This Row],[Pressure Base]]=14.73,rrcworking[[#This Row],[Gas Sales Statement Volume (MCF)]]*$R$2,rrcworking[[#This Row],[Gas Sales Statement Volume (MCF)]])</f>
        <v>3365</v>
      </c>
      <c r="Y113" s="60"/>
      <c r="Z113" s="60">
        <v>0</v>
      </c>
      <c r="AA113" s="148">
        <f>IF(ISERROR(INDEX(Table2[LEASE USE],MATCH(rrcworking[[#This Row],[Magnum Wolfpak '#]],Table2[Rox Wolf'#],0))),0,INDEX(Table2[LEASE USE],MATCH(rrcworking[[#This Row],[Magnum Wolfpak '#]],Table2[Rox Wolf'#],0)))</f>
        <v>0</v>
      </c>
      <c r="AB113" s="57">
        <f>rrcworking[[#This Row],[Disposition Volume (MCF) @ 14.65 MCF]]+rrcworking[[#This Row],[Lease Use (MCF)]]</f>
        <v>3365</v>
      </c>
      <c r="AC113" s="37"/>
      <c r="AD113" s="37"/>
      <c r="AE113" s="220">
        <f>COUNTIF(FilterList,rrcworking[[#This Row],[Magnum Wolfpak '#]])</f>
        <v>0</v>
      </c>
      <c r="AF113" s="217"/>
      <c r="AG113" s="218"/>
      <c r="AH113" s="37"/>
      <c r="AI113" s="37"/>
      <c r="AJ113" s="219"/>
      <c r="AK113" s="219"/>
      <c r="AL113" s="219"/>
      <c r="AM113" s="219"/>
      <c r="AN113" s="219"/>
      <c r="AO113" s="219"/>
      <c r="AP113" s="37" t="s">
        <v>1204</v>
      </c>
      <c r="AQ113" s="37" t="s">
        <v>1231</v>
      </c>
    </row>
    <row r="114" spans="3:43" ht="60" hidden="1">
      <c r="C114" s="80">
        <v>99216</v>
      </c>
      <c r="D114" s="62" t="s">
        <v>210</v>
      </c>
      <c r="E114" s="133" t="s">
        <v>213</v>
      </c>
      <c r="F114" s="142" t="s">
        <v>915</v>
      </c>
      <c r="G114" s="122" t="s">
        <v>1097</v>
      </c>
      <c r="H114" s="18" t="s">
        <v>621</v>
      </c>
      <c r="I114" s="18" t="s">
        <v>2</v>
      </c>
      <c r="J114" s="19" t="s">
        <v>496</v>
      </c>
      <c r="K114" s="103">
        <v>26743</v>
      </c>
      <c r="L114" s="101">
        <f>INDEX(Table1[Production],MATCH(rrcworking[[#This Row],[RRC ID Number]],Table1[RRC Identifier],0))</f>
        <v>0</v>
      </c>
      <c r="M114" s="30">
        <f>INDEX(Table1[Formation Production],MATCH(rrcworking[[#This Row],[RRC ID Number]],Table1[RRC Identifier],0))</f>
        <v>0</v>
      </c>
      <c r="N114" s="31">
        <f>INDEX(Table1[On Hand End of Month],MATCH(rrcworking[[#This Row],[RRC ID Number]],Table1[RRC Identifier],0))</f>
        <v>0</v>
      </c>
      <c r="O114" s="106" t="b">
        <f t="shared" si="3"/>
        <v>1</v>
      </c>
      <c r="P114" s="214"/>
      <c r="Q114" s="129">
        <f>rrcworking[[#This Row],[Last Month Closing Stock]]</f>
        <v>0</v>
      </c>
      <c r="R114" s="214"/>
      <c r="S114" s="148">
        <f>IF(ISERROR(INDEX(Table2[OIL],MATCH(rrcworking[[#This Row],[Magnum Wolfpak '#]],Table2[Rox Wolf'#],0))),0,INDEX(Table2[OIL],MATCH(rrcworking[[#This Row],[Magnum Wolfpak '#]],Table2[Rox Wolf'#],0)))</f>
        <v>0</v>
      </c>
      <c r="T114" s="35">
        <f>rrcworking[[#This Row],[Closing Stock (Oil)]]+rrcworking[[#This Row],[Sales/Dispostion]]-rrcworking[[#This Row],[Opening Oil Stock]]</f>
        <v>0</v>
      </c>
      <c r="U114" s="112">
        <f>rrcworking[[#This Row],[Gauge Sheet Production Vol]]-rrcworking[[#This Row],[Oil Production]]</f>
        <v>0</v>
      </c>
      <c r="V114" s="148">
        <f>IF(ISERROR(INDEX(Table2[GAS],MATCH(rrcworking[[#This Row],[Magnum Wolfpak '#]],Table2[Rox Wolf'#],0))),0,INDEX(Table2[GAS],MATCH(rrcworking[[#This Row],[Magnum Wolfpak '#]],Table2[Rox Wolf'#],0)))</f>
        <v>0</v>
      </c>
      <c r="W114" s="24"/>
      <c r="X114" s="137">
        <f>IF(rrcworking[[#This Row],[Pressure Base]]=14.73,rrcworking[[#This Row],[Gas Sales Statement Volume (MCF)]]*$R$2,rrcworking[[#This Row],[Gas Sales Statement Volume (MCF)]])</f>
        <v>0</v>
      </c>
      <c r="Y114" s="60"/>
      <c r="Z114" s="60">
        <v>2</v>
      </c>
      <c r="AA114" s="148">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1146</v>
      </c>
      <c r="AE114" s="220">
        <f>COUNTIF(FilterList,rrcworking[[#This Row],[Magnum Wolfpak '#]])</f>
        <v>0</v>
      </c>
      <c r="AF114" s="217"/>
      <c r="AG114" s="218"/>
      <c r="AH114" s="87"/>
      <c r="AI114" s="87"/>
      <c r="AJ114" s="219"/>
      <c r="AK114" s="219"/>
      <c r="AL114" s="219"/>
      <c r="AM114" s="219"/>
      <c r="AN114" s="219"/>
      <c r="AO114" s="219"/>
      <c r="AP114" s="37" t="s">
        <v>1204</v>
      </c>
      <c r="AQ114" s="37" t="s">
        <v>1231</v>
      </c>
    </row>
    <row r="115" spans="3:43" ht="45" hidden="1">
      <c r="C115" s="80">
        <v>99186</v>
      </c>
      <c r="D115" s="178" t="s">
        <v>210</v>
      </c>
      <c r="E115" s="3" t="s">
        <v>219</v>
      </c>
      <c r="F115" s="142" t="s">
        <v>57</v>
      </c>
      <c r="G115" s="122"/>
      <c r="H115" s="174" t="s">
        <v>621</v>
      </c>
      <c r="I115" s="174" t="s">
        <v>2</v>
      </c>
      <c r="J115" s="173" t="s">
        <v>1147</v>
      </c>
      <c r="K115" s="103">
        <v>27533</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79</v>
      </c>
      <c r="O115" s="106" t="b">
        <f>IF(AND(L115=0,M115=0), TRUE, FALSE)</f>
        <v>1</v>
      </c>
      <c r="P115" s="214">
        <v>0</v>
      </c>
      <c r="Q115" s="129">
        <f>rrcworking[[#This Row],[Last Month Closing Stock]]</f>
        <v>79</v>
      </c>
      <c r="R115" s="214">
        <v>79</v>
      </c>
      <c r="S115" s="148">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Production Vol]]-rrcworking[[#This Row],[Oil Production]]</f>
        <v>0</v>
      </c>
      <c r="V115" s="148">
        <f>IF(ISERROR(INDEX(Table2[GAS],MATCH(rrcworking[[#This Row],[Magnum Wolfpak '#]],Table2[Rox Wolf'#],0))),0,INDEX(Table2[GAS],MATCH(rrcworking[[#This Row],[Magnum Wolfpak '#]],Table2[Rox Wolf'#],0)))</f>
        <v>0</v>
      </c>
      <c r="W115" s="24"/>
      <c r="X115" s="137">
        <f>IF(rrcworking[[#This Row],[Pressure Base]]=14.73,rrcworking[[#This Row],[Gas Sales Statement Volume (MCF)]]*$R$2,rrcworking[[#This Row],[Gas Sales Statement Volume (MCF)]])</f>
        <v>0</v>
      </c>
      <c r="Y115" s="60"/>
      <c r="Z115" s="60"/>
      <c r="AA115" s="148">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1148</v>
      </c>
      <c r="AE115" s="220">
        <f>COUNTIF(FilterList,rrcworking[[#This Row],[Magnum Wolfpak '#]])</f>
        <v>0</v>
      </c>
      <c r="AF115" s="217"/>
      <c r="AG115" s="218"/>
      <c r="AH115" s="87"/>
      <c r="AI115" s="87"/>
      <c r="AJ115" s="219"/>
      <c r="AK115" s="219"/>
      <c r="AL115" s="219"/>
      <c r="AM115" s="219"/>
      <c r="AN115" s="219"/>
      <c r="AO115" s="219"/>
      <c r="AP115" s="37" t="s">
        <v>1204</v>
      </c>
      <c r="AQ115" s="37" t="s">
        <v>1250</v>
      </c>
    </row>
    <row r="116" spans="3:43" ht="15" hidden="1">
      <c r="C116" s="80" t="e">
        <v>#N/A</v>
      </c>
      <c r="D116" s="62" t="s">
        <v>218</v>
      </c>
      <c r="E116" s="133" t="s">
        <v>219</v>
      </c>
      <c r="F116" s="131">
        <v>7</v>
      </c>
      <c r="G116" s="122" t="s">
        <v>1097</v>
      </c>
      <c r="H116" s="18" t="s">
        <v>621</v>
      </c>
      <c r="I116" s="18" t="s">
        <v>59</v>
      </c>
      <c r="J116" s="19" t="s">
        <v>499</v>
      </c>
      <c r="K116" s="103">
        <v>229081</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214"/>
      <c r="Q116" s="129">
        <f>rrcworking[[#This Row],[Last Month Closing Stock]]</f>
        <v>0</v>
      </c>
      <c r="R116" s="214"/>
      <c r="S116" s="148">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Production Vol]]-rrcworking[[#This Row],[Oil Production]]</f>
        <v>0</v>
      </c>
      <c r="V116" s="148">
        <f>IF(ISERROR(INDEX(Table2[GAS],MATCH(rrcworking[[#This Row],[Magnum Wolfpak '#]],Table2[Rox Wolf'#],0))),0,INDEX(Table2[GAS],MATCH(rrcworking[[#This Row],[Magnum Wolfpak '#]],Table2[Rox Wolf'#],0)))</f>
        <v>0</v>
      </c>
      <c r="W116" s="24"/>
      <c r="X116" s="137">
        <f>IF(rrcworking[[#This Row],[Pressure Base]]=14.73,rrcworking[[#This Row],[Gas Sales Statement Volume (MCF)]]*$R$2,rrcworking[[#This Row],[Gas Sales Statement Volume (MCF)]])</f>
        <v>0</v>
      </c>
      <c r="Y116" s="60"/>
      <c r="Z116" s="60"/>
      <c r="AA116" s="148">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220">
        <f>COUNTIF(FilterList,rrcworking[[#This Row],[Magnum Wolfpak '#]])</f>
        <v>0</v>
      </c>
      <c r="AF116" s="217"/>
      <c r="AG116" s="218"/>
      <c r="AH116" s="37"/>
      <c r="AI116" s="37"/>
      <c r="AJ116" s="37"/>
      <c r="AK116" s="37"/>
      <c r="AL116" s="37"/>
      <c r="AM116" s="37"/>
      <c r="AN116" s="37"/>
      <c r="AO116" s="37"/>
      <c r="AP116" s="37"/>
      <c r="AQ116" s="37"/>
    </row>
    <row r="117" spans="3:43" ht="15" hidden="1">
      <c r="C117" s="80" t="e">
        <v>#N/A</v>
      </c>
      <c r="D117" s="62" t="s">
        <v>333</v>
      </c>
      <c r="E117" s="133" t="s">
        <v>334</v>
      </c>
      <c r="F117" s="131">
        <v>2</v>
      </c>
      <c r="G117" s="122" t="s">
        <v>1097</v>
      </c>
      <c r="H117" s="18" t="s">
        <v>622</v>
      </c>
      <c r="I117" s="18" t="s">
        <v>59</v>
      </c>
      <c r="J117" s="19" t="s">
        <v>569</v>
      </c>
      <c r="K117" s="103">
        <v>54242</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214"/>
      <c r="Q117" s="129">
        <f>rrcworking[[#This Row],[Last Month Closing Stock]]</f>
        <v>0</v>
      </c>
      <c r="R117" s="214"/>
      <c r="S117" s="148">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Production Vol]]-rrcworking[[#This Row],[Oil Production]]</f>
        <v>0</v>
      </c>
      <c r="V117" s="148">
        <f>IF(ISERROR(INDEX(Table2[GAS],MATCH(rrcworking[[#This Row],[Magnum Wolfpak '#]],Table2[Rox Wolf'#],0))),0,INDEX(Table2[GAS],MATCH(rrcworking[[#This Row],[Magnum Wolfpak '#]],Table2[Rox Wolf'#],0)))</f>
        <v>0</v>
      </c>
      <c r="W117" s="24"/>
      <c r="X117" s="137">
        <f>IF(rrcworking[[#This Row],[Pressure Base]]=14.73,rrcworking[[#This Row],[Gas Sales Statement Volume (MCF)]]*$R$2,rrcworking[[#This Row],[Gas Sales Statement Volume (MCF)]])</f>
        <v>0</v>
      </c>
      <c r="Y117" s="60"/>
      <c r="Z117" s="60"/>
      <c r="AA117" s="148">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220">
        <f>COUNTIF(FilterList,rrcworking[[#This Row],[Magnum Wolfpak '#]])</f>
        <v>0</v>
      </c>
      <c r="AF117" s="217"/>
      <c r="AG117" s="218"/>
      <c r="AH117" s="37"/>
      <c r="AI117" s="37"/>
      <c r="AJ117" s="37"/>
      <c r="AK117" s="37"/>
      <c r="AL117" s="37"/>
      <c r="AM117" s="37"/>
      <c r="AN117" s="37"/>
      <c r="AO117" s="37"/>
      <c r="AP117" s="37"/>
      <c r="AQ117" s="37"/>
    </row>
    <row r="118" spans="3:43" ht="15" hidden="1">
      <c r="C118" s="80" t="e">
        <v>#N/A</v>
      </c>
      <c r="D118" s="62" t="s">
        <v>123</v>
      </c>
      <c r="E118" s="133" t="s">
        <v>124</v>
      </c>
      <c r="F118" s="131">
        <v>0</v>
      </c>
      <c r="G118" s="122" t="s">
        <v>1097</v>
      </c>
      <c r="H118" s="18" t="s">
        <v>620</v>
      </c>
      <c r="I118" s="18" t="s">
        <v>2</v>
      </c>
      <c r="J118" s="19" t="s">
        <v>443</v>
      </c>
      <c r="K118" s="103">
        <v>8635</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214"/>
      <c r="Q118" s="129">
        <f>rrcworking[[#This Row],[Last Month Closing Stock]]</f>
        <v>0</v>
      </c>
      <c r="R118" s="214"/>
      <c r="S118" s="148">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Production Vol]]-rrcworking[[#This Row],[Oil Production]]</f>
        <v>0</v>
      </c>
      <c r="V118" s="148">
        <f>IF(ISERROR(INDEX(Table2[GAS],MATCH(rrcworking[[#This Row],[Magnum Wolfpak '#]],Table2[Rox Wolf'#],0))),0,INDEX(Table2[GAS],MATCH(rrcworking[[#This Row],[Magnum Wolfpak '#]],Table2[Rox Wolf'#],0)))</f>
        <v>0</v>
      </c>
      <c r="W118" s="24"/>
      <c r="X118" s="137">
        <f>IF(rrcworking[[#This Row],[Pressure Base]]=14.73,rrcworking[[#This Row],[Gas Sales Statement Volume (MCF)]]*$R$2,rrcworking[[#This Row],[Gas Sales Statement Volume (MCF)]])</f>
        <v>0</v>
      </c>
      <c r="Y118" s="60"/>
      <c r="Z118" s="60"/>
      <c r="AA118" s="148">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220">
        <f>COUNTIF(FilterList,rrcworking[[#This Row],[Magnum Wolfpak '#]])</f>
        <v>0</v>
      </c>
      <c r="AF118" s="217"/>
      <c r="AG118" s="218"/>
      <c r="AH118" s="37"/>
      <c r="AI118" s="37"/>
      <c r="AJ118" s="37"/>
      <c r="AK118" s="37"/>
      <c r="AL118" s="37"/>
      <c r="AM118" s="37"/>
      <c r="AN118" s="37"/>
      <c r="AO118" s="37"/>
      <c r="AP118" s="37"/>
      <c r="AQ118" s="37"/>
    </row>
    <row r="119" spans="3:43" ht="15" hidden="1">
      <c r="C119" s="80" t="e">
        <v>#N/A</v>
      </c>
      <c r="D119" s="62" t="s">
        <v>125</v>
      </c>
      <c r="E119" s="133" t="s">
        <v>124</v>
      </c>
      <c r="F119" s="131">
        <v>0</v>
      </c>
      <c r="G119" s="122" t="s">
        <v>1097</v>
      </c>
      <c r="H119" s="18" t="s">
        <v>620</v>
      </c>
      <c r="I119" s="18" t="s">
        <v>2</v>
      </c>
      <c r="J119" s="19" t="s">
        <v>444</v>
      </c>
      <c r="K119" s="103">
        <v>8247</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214"/>
      <c r="Q119" s="129">
        <f>rrcworking[[#This Row],[Last Month Closing Stock]]</f>
        <v>0</v>
      </c>
      <c r="R119" s="214"/>
      <c r="S119" s="148">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Production Vol]]-rrcworking[[#This Row],[Oil Production]]</f>
        <v>0</v>
      </c>
      <c r="V119" s="148">
        <f>IF(ISERROR(INDEX(Table2[GAS],MATCH(rrcworking[[#This Row],[Magnum Wolfpak '#]],Table2[Rox Wolf'#],0))),0,INDEX(Table2[GAS],MATCH(rrcworking[[#This Row],[Magnum Wolfpak '#]],Table2[Rox Wolf'#],0)))</f>
        <v>0</v>
      </c>
      <c r="W119" s="24"/>
      <c r="X119" s="137">
        <f>IF(rrcworking[[#This Row],[Pressure Base]]=14.73,rrcworking[[#This Row],[Gas Sales Statement Volume (MCF)]]*$R$2,rrcworking[[#This Row],[Gas Sales Statement Volume (MCF)]])</f>
        <v>0</v>
      </c>
      <c r="Y119" s="60"/>
      <c r="Z119" s="60"/>
      <c r="AA119" s="148">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220">
        <f>COUNTIF(FilterList,rrcworking[[#This Row],[Magnum Wolfpak '#]])</f>
        <v>0</v>
      </c>
      <c r="AF119" s="217"/>
      <c r="AG119" s="218"/>
      <c r="AH119" s="37"/>
      <c r="AI119" s="37"/>
      <c r="AJ119" s="37"/>
      <c r="AK119" s="37"/>
      <c r="AL119" s="37"/>
      <c r="AM119" s="37"/>
      <c r="AN119" s="37"/>
      <c r="AO119" s="37"/>
      <c r="AP119" s="37"/>
      <c r="AQ119" s="37"/>
    </row>
    <row r="120" spans="3:43" ht="15" hidden="1">
      <c r="C120" s="80" t="e">
        <v>#N/A</v>
      </c>
      <c r="D120" s="62" t="s">
        <v>126</v>
      </c>
      <c r="E120" s="133" t="s">
        <v>124</v>
      </c>
      <c r="F120" s="131">
        <v>5</v>
      </c>
      <c r="G120" s="122" t="s">
        <v>1097</v>
      </c>
      <c r="H120" s="18" t="s">
        <v>620</v>
      </c>
      <c r="I120" s="18" t="s">
        <v>59</v>
      </c>
      <c r="J120" s="19" t="s">
        <v>445</v>
      </c>
      <c r="K120" s="103">
        <v>182045</v>
      </c>
      <c r="L120" s="101">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6" t="b">
        <f t="shared" si="3"/>
        <v>1</v>
      </c>
      <c r="P120" s="214"/>
      <c r="Q120" s="129">
        <f>rrcworking[[#This Row],[Last Month Closing Stock]]</f>
        <v>0</v>
      </c>
      <c r="R120" s="214"/>
      <c r="S120" s="148">
        <f>IF(ISERROR(INDEX(Table2[OIL],MATCH(rrcworking[[#This Row],[Magnum Wolfpak '#]],Table2[Rox Wolf'#],0))),0,INDEX(Table2[OIL],MATCH(rrcworking[[#This Row],[Magnum Wolfpak '#]],Table2[Rox Wolf'#],0)))</f>
        <v>0</v>
      </c>
      <c r="T120" s="35">
        <f>rrcworking[[#This Row],[Closing Stock (Oil)]]+rrcworking[[#This Row],[Sales/Dispostion]]-rrcworking[[#This Row],[Opening Oil Stock]]</f>
        <v>0</v>
      </c>
      <c r="U120" s="112">
        <f>rrcworking[[#This Row],[Gauge Sheet Production Vol]]-rrcworking[[#This Row],[Oil Production]]</f>
        <v>0</v>
      </c>
      <c r="V120" s="148">
        <f>IF(ISERROR(INDEX(Table2[GAS],MATCH(rrcworking[[#This Row],[Magnum Wolfpak '#]],Table2[Rox Wolf'#],0))),0,INDEX(Table2[GAS],MATCH(rrcworking[[#This Row],[Magnum Wolfpak '#]],Table2[Rox Wolf'#],0)))</f>
        <v>0</v>
      </c>
      <c r="W120" s="24"/>
      <c r="X120" s="137">
        <f>IF(rrcworking[[#This Row],[Pressure Base]]=14.73,rrcworking[[#This Row],[Gas Sales Statement Volume (MCF)]]*$R$2,rrcworking[[#This Row],[Gas Sales Statement Volume (MCF)]])</f>
        <v>0</v>
      </c>
      <c r="Y120" s="60"/>
      <c r="Z120" s="60"/>
      <c r="AA120" s="148">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220">
        <f>COUNTIF(FilterList,rrcworking[[#This Row],[Magnum Wolfpak '#]])</f>
        <v>0</v>
      </c>
      <c r="AF120" s="217"/>
      <c r="AG120" s="218"/>
      <c r="AH120" s="37"/>
      <c r="AI120" s="37"/>
      <c r="AJ120" s="37"/>
      <c r="AK120" s="37"/>
      <c r="AL120" s="37"/>
      <c r="AM120" s="37"/>
      <c r="AN120" s="37"/>
      <c r="AO120" s="37"/>
      <c r="AP120" s="37"/>
      <c r="AQ120" s="37"/>
    </row>
    <row r="121" spans="3:43" ht="15">
      <c r="C121" s="80">
        <v>99288</v>
      </c>
      <c r="D121" s="62" t="s">
        <v>155</v>
      </c>
      <c r="E121" s="133" t="s">
        <v>156</v>
      </c>
      <c r="F121" s="131">
        <v>0</v>
      </c>
      <c r="G121" s="122" t="s">
        <v>1097</v>
      </c>
      <c r="H121" s="18" t="s">
        <v>621</v>
      </c>
      <c r="I121" s="18" t="s">
        <v>2</v>
      </c>
      <c r="J121" s="19" t="s">
        <v>464</v>
      </c>
      <c r="K121" s="103">
        <v>27348</v>
      </c>
      <c r="L121" s="101">
        <f>INDEX(Table1[Production],MATCH(rrcworking[[#This Row],[RRC ID Number]],Table1[RRC Identifier],0))</f>
        <v>0</v>
      </c>
      <c r="M121" s="30">
        <f>INDEX(Table1[Formation Production],MATCH(rrcworking[[#This Row],[RRC ID Number]],Table1[RRC Identifier],0))</f>
        <v>267</v>
      </c>
      <c r="N121" s="31">
        <f>INDEX(Table1[On Hand End of Month],MATCH(rrcworking[[#This Row],[RRC ID Number]],Table1[RRC Identifier],0))</f>
        <v>187</v>
      </c>
      <c r="O121" s="106" t="b">
        <f t="shared" si="3"/>
        <v>0</v>
      </c>
      <c r="P121" s="214">
        <v>0</v>
      </c>
      <c r="Q121" s="129">
        <f>rrcworking[[#This Row],[Last Month Closing Stock]]</f>
        <v>187</v>
      </c>
      <c r="R121" s="214">
        <v>187</v>
      </c>
      <c r="S121" s="148">
        <f>IF(ISERROR(INDEX(Table2[OIL],MATCH(rrcworking[[#This Row],[Magnum Wolfpak '#]],Table2[Rox Wolf'#],0))),0,INDEX(Table2[OIL],MATCH(rrcworking[[#This Row],[Magnum Wolfpak '#]],Table2[Rox Wolf'#],0)))</f>
        <v>0</v>
      </c>
      <c r="T121" s="35">
        <f>rrcworking[[#This Row],[Closing Stock (Oil)]]+rrcworking[[#This Row],[Sales/Dispostion]]-rrcworking[[#This Row],[Opening Oil Stock]]</f>
        <v>0</v>
      </c>
      <c r="U121" s="112">
        <f>rrcworking[[#This Row],[Gauge Sheet Production Vol]]-rrcworking[[#This Row],[Oil Production]]</f>
        <v>0</v>
      </c>
      <c r="V121" s="148">
        <f>IF(ISERROR(INDEX(Table2[GAS],MATCH(rrcworking[[#This Row],[Magnum Wolfpak '#]],Table2[Rox Wolf'#],0))),0,INDEX(Table2[GAS],MATCH(rrcworking[[#This Row],[Magnum Wolfpak '#]],Table2[Rox Wolf'#],0)))</f>
        <v>0</v>
      </c>
      <c r="W121" s="24"/>
      <c r="X121" s="137">
        <f>IF(rrcworking[[#This Row],[Pressure Base]]=14.73,rrcworking[[#This Row],[Gas Sales Statement Volume (MCF)]]*$R$2,rrcworking[[#This Row],[Gas Sales Statement Volume (MCF)]])</f>
        <v>0</v>
      </c>
      <c r="Y121" s="60"/>
      <c r="Z121" s="60"/>
      <c r="AA121" s="148">
        <f>IF(ISERROR(INDEX(Table2[LEASE USE],MATCH(rrcworking[[#This Row],[Magnum Wolfpak '#]],Table2[Rox Wolf'#],0))),0,INDEX(Table2[LEASE USE],MATCH(rrcworking[[#This Row],[Magnum Wolfpak '#]],Table2[Rox Wolf'#],0)))</f>
        <v>0</v>
      </c>
      <c r="AB121" s="57">
        <f>rrcworking[[#This Row],[Disposition Volume (MCF) @ 14.65 MCF]]+rrcworking[[#This Row],[Lease Use (MCF)]]</f>
        <v>0</v>
      </c>
      <c r="AC121" s="37"/>
      <c r="AD121" s="37"/>
      <c r="AE121" s="220">
        <f>COUNTIF(FilterList,rrcworking[[#This Row],[Magnum Wolfpak '#]])</f>
        <v>1</v>
      </c>
      <c r="AF121" s="217"/>
      <c r="AG121" s="218"/>
      <c r="AH121" s="37">
        <v>0</v>
      </c>
      <c r="AI121" s="37">
        <v>187</v>
      </c>
      <c r="AJ121" s="37">
        <v>2</v>
      </c>
      <c r="AK121" s="37" t="s">
        <v>1206</v>
      </c>
      <c r="AL121" s="37" t="s">
        <v>1206</v>
      </c>
      <c r="AM121" s="37" t="s">
        <v>1238</v>
      </c>
      <c r="AN121" s="37" t="s">
        <v>1152</v>
      </c>
      <c r="AO121" s="37" t="s">
        <v>1212</v>
      </c>
      <c r="AP121" s="37" t="s">
        <v>1251</v>
      </c>
      <c r="AQ121" s="37"/>
    </row>
    <row r="122" spans="3:43" ht="30">
      <c r="C122" s="80">
        <v>99297</v>
      </c>
      <c r="D122" s="178" t="s">
        <v>152</v>
      </c>
      <c r="E122" s="20" t="s">
        <v>797</v>
      </c>
      <c r="F122" s="21" t="s">
        <v>61</v>
      </c>
      <c r="G122" s="122"/>
      <c r="H122" s="21" t="s">
        <v>621</v>
      </c>
      <c r="I122" s="21" t="s">
        <v>2</v>
      </c>
      <c r="J122" s="19" t="s">
        <v>906</v>
      </c>
      <c r="K122" s="103">
        <v>834804</v>
      </c>
      <c r="L122" s="101">
        <f>INDEX(Table1[Production],MATCH(rrcworking[[#This Row],[RRC ID Number]],Table1[RRC Identifier],0))</f>
        <v>756</v>
      </c>
      <c r="M122" s="30">
        <f>INDEX(Table1[Formation Production],MATCH(rrcworking[[#This Row],[RRC ID Number]],Table1[RRC Identifier],0))</f>
        <v>900</v>
      </c>
      <c r="N122" s="31">
        <f>INDEX(Table1[On Hand End of Month],MATCH(rrcworking[[#This Row],[RRC ID Number]],Table1[RRC Identifier],0))</f>
        <v>298</v>
      </c>
      <c r="O122" s="106" t="b">
        <f t="shared" si="3"/>
        <v>0</v>
      </c>
      <c r="P122" s="214">
        <v>2387</v>
      </c>
      <c r="Q122" s="129">
        <f>rrcworking[[#This Row],[Last Month Closing Stock]]</f>
        <v>298</v>
      </c>
      <c r="R122" s="215">
        <v>187</v>
      </c>
      <c r="S122" s="148">
        <f>IF(ISERROR(INDEX(Table2[OIL],MATCH(rrcworking[[#This Row],[Magnum Wolfpak '#]],Table2[Rox Wolf'#],0))),0,INDEX(Table2[OIL],MATCH(rrcworking[[#This Row],[Magnum Wolfpak '#]],Table2[Rox Wolf'#],0)))</f>
        <v>2492</v>
      </c>
      <c r="T122" s="100">
        <f>rrcworking[[#This Row],[Closing Stock (Oil)]]+rrcworking[[#This Row],[Sales/Dispostion]]-rrcworking[[#This Row],[Opening Oil Stock]]</f>
        <v>2381</v>
      </c>
      <c r="U122" s="114">
        <f>rrcworking[[#This Row],[Gauge Sheet Production Vol]]-rrcworking[[#This Row],[Oil Production]]</f>
        <v>6</v>
      </c>
      <c r="V122" s="148">
        <f>IF(ISERROR(INDEX(Table2[GAS],MATCH(rrcworking[[#This Row],[Magnum Wolfpak '#]],Table2[Rox Wolf'#],0))),0,INDEX(Table2[GAS],MATCH(rrcworking[[#This Row],[Magnum Wolfpak '#]],Table2[Rox Wolf'#],0)))</f>
        <v>570</v>
      </c>
      <c r="W122" s="24"/>
      <c r="X122" s="137">
        <f>IF(rrcworking[[#This Row],[Pressure Base]]=14.73,rrcworking[[#This Row],[Gas Sales Statement Volume (MCF)]]*$R$2,rrcworking[[#This Row],[Gas Sales Statement Volume (MCF)]])</f>
        <v>570</v>
      </c>
      <c r="Y122" s="60"/>
      <c r="Z122" s="60"/>
      <c r="AA122" s="148">
        <f>IF(ISERROR(INDEX(Table2[LEASE USE],MATCH(rrcworking[[#This Row],[Magnum Wolfpak '#]],Table2[Rox Wolf'#],0))),0,INDEX(Table2[LEASE USE],MATCH(rrcworking[[#This Row],[Magnum Wolfpak '#]],Table2[Rox Wolf'#],0)))</f>
        <v>0</v>
      </c>
      <c r="AB122" s="57">
        <f>rrcworking[[#This Row],[Disposition Volume (MCF) @ 14.65 MCF]]+rrcworking[[#This Row],[Lease Use (MCF)]]</f>
        <v>570</v>
      </c>
      <c r="AC122" s="37"/>
      <c r="AD122" s="37" t="s">
        <v>1121</v>
      </c>
      <c r="AE122" s="220">
        <f>COUNTIF(FilterList,rrcworking[[#This Row],[Magnum Wolfpak '#]])</f>
        <v>0</v>
      </c>
      <c r="AF122" s="217"/>
      <c r="AG122" s="218"/>
      <c r="AH122" s="37">
        <v>2387</v>
      </c>
      <c r="AI122" s="218">
        <v>187</v>
      </c>
      <c r="AJ122" s="37">
        <v>2</v>
      </c>
      <c r="AK122" s="37" t="s">
        <v>1206</v>
      </c>
      <c r="AL122" s="37" t="s">
        <v>1206</v>
      </c>
      <c r="AM122" s="37" t="s">
        <v>1238</v>
      </c>
      <c r="AN122" s="37" t="s">
        <v>1152</v>
      </c>
      <c r="AO122" s="37" t="s">
        <v>1212</v>
      </c>
      <c r="AP122" s="37" t="s">
        <v>1251</v>
      </c>
      <c r="AQ122" s="37"/>
    </row>
    <row r="123" spans="3:43" ht="15" hidden="1">
      <c r="C123" s="80" t="e">
        <v>#N/A</v>
      </c>
      <c r="D123" s="62" t="s">
        <v>228</v>
      </c>
      <c r="E123" s="133" t="s">
        <v>229</v>
      </c>
      <c r="F123" s="131">
        <v>1</v>
      </c>
      <c r="G123" s="122" t="s">
        <v>1097</v>
      </c>
      <c r="H123" s="18" t="s">
        <v>621</v>
      </c>
      <c r="I123" s="18" t="s">
        <v>59</v>
      </c>
      <c r="J123" s="19" t="s">
        <v>504</v>
      </c>
      <c r="K123" s="103">
        <v>139199</v>
      </c>
      <c r="L123" s="101">
        <f>INDEX(Table1[Production],MATCH(rrcworking[[#This Row],[RRC ID Number]],Table1[RRC Identifier],0))</f>
        <v>0</v>
      </c>
      <c r="M123" s="30">
        <f>INDEX(Table1[Formation Production],MATCH(rrcworking[[#This Row],[RRC ID Number]],Table1[RRC Identifier],0))</f>
        <v>0</v>
      </c>
      <c r="N123" s="31">
        <f>INDEX(Table1[On Hand End of Month],MATCH(rrcworking[[#This Row],[RRC ID Number]],Table1[RRC Identifier],0))</f>
        <v>0</v>
      </c>
      <c r="O123" s="106" t="b">
        <f t="shared" si="3"/>
        <v>1</v>
      </c>
      <c r="P123" s="214"/>
      <c r="Q123" s="129">
        <f>rrcworking[[#This Row],[Last Month Closing Stock]]</f>
        <v>0</v>
      </c>
      <c r="R123" s="214"/>
      <c r="S123" s="148">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Production Vol]]-rrcworking[[#This Row],[Oil Production]]</f>
        <v>0</v>
      </c>
      <c r="V123" s="148">
        <f>IF(ISERROR(INDEX(Table2[GAS],MATCH(rrcworking[[#This Row],[Magnum Wolfpak '#]],Table2[Rox Wolf'#],0))),0,INDEX(Table2[GAS],MATCH(rrcworking[[#This Row],[Magnum Wolfpak '#]],Table2[Rox Wolf'#],0)))</f>
        <v>0</v>
      </c>
      <c r="W123" s="24"/>
      <c r="X123" s="137">
        <f>IF(rrcworking[[#This Row],[Pressure Base]]=14.73,rrcworking[[#This Row],[Gas Sales Statement Volume (MCF)]]*$R$2,rrcworking[[#This Row],[Gas Sales Statement Volume (MCF)]])</f>
        <v>0</v>
      </c>
      <c r="Y123" s="60"/>
      <c r="Z123" s="60"/>
      <c r="AA123" s="148">
        <f>IF(ISERROR(INDEX(Table2[LEASE USE],MATCH(rrcworking[[#This Row],[Magnum Wolfpak '#]],Table2[Rox Wolf'#],0))),0,INDEX(Table2[LEASE USE],MATCH(rrcworking[[#This Row],[Magnum Wolfpak '#]],Table2[Rox Wolf'#],0)))</f>
        <v>0</v>
      </c>
      <c r="AB123" s="57">
        <f>rrcworking[[#This Row],[Disposition Volume (MCF) @ 14.65 MCF]]+rrcworking[[#This Row],[Lease Use (MCF)]]</f>
        <v>0</v>
      </c>
      <c r="AC123" s="37"/>
      <c r="AD123" s="37"/>
      <c r="AE123" s="220">
        <f>COUNTIF(FilterList,rrcworking[[#This Row],[Magnum Wolfpak '#]])</f>
        <v>0</v>
      </c>
      <c r="AF123" s="217"/>
      <c r="AG123" s="218"/>
      <c r="AH123" s="37"/>
      <c r="AI123" s="37"/>
      <c r="AJ123" s="37"/>
      <c r="AK123" s="37"/>
      <c r="AL123" s="37"/>
      <c r="AM123" s="37"/>
      <c r="AN123" s="37"/>
      <c r="AO123" s="37"/>
      <c r="AP123" s="37"/>
      <c r="AQ123" s="37"/>
    </row>
    <row r="124" spans="3:43" ht="15" hidden="1">
      <c r="C124" s="80">
        <v>99268</v>
      </c>
      <c r="D124" s="62" t="s">
        <v>326</v>
      </c>
      <c r="E124" s="133" t="s">
        <v>328</v>
      </c>
      <c r="F124" s="131">
        <v>1</v>
      </c>
      <c r="G124" s="122" t="s">
        <v>1097</v>
      </c>
      <c r="H124" s="18" t="s">
        <v>622</v>
      </c>
      <c r="I124" s="18" t="s">
        <v>59</v>
      </c>
      <c r="J124" s="19" t="s">
        <v>565</v>
      </c>
      <c r="K124" s="103">
        <v>250087</v>
      </c>
      <c r="L124" s="101">
        <f>INDEX(Table1[Production],MATCH(rrcworking[[#This Row],[RRC ID Number]],Table1[RRC Identifier],0))</f>
        <v>0</v>
      </c>
      <c r="M124" s="30">
        <f>INDEX(Table1[Formation Production],MATCH(rrcworking[[#This Row],[RRC ID Number]],Table1[RRC Identifier],0))</f>
        <v>4711</v>
      </c>
      <c r="N124" s="31">
        <f>INDEX(Table1[On Hand End of Month],MATCH(rrcworking[[#This Row],[RRC ID Number]],Table1[RRC Identifier],0))</f>
        <v>24</v>
      </c>
      <c r="O124" s="106" t="b">
        <f t="shared" si="3"/>
        <v>0</v>
      </c>
      <c r="P124" s="214">
        <v>0</v>
      </c>
      <c r="Q124" s="129">
        <f>rrcworking[[#This Row],[Last Month Closing Stock]]</f>
        <v>24</v>
      </c>
      <c r="R124" s="214">
        <v>24</v>
      </c>
      <c r="S124" s="148">
        <f>IF(ISERROR(INDEX(Table2[OIL],MATCH(rrcworking[[#This Row],[Magnum Wolfpak '#]],Table2[Rox Wolf'#],0))),0,INDEX(Table2[OIL],MATCH(rrcworking[[#This Row],[Magnum Wolfpak '#]],Table2[Rox Wolf'#],0)))</f>
        <v>0</v>
      </c>
      <c r="T124" s="35">
        <f>rrcworking[[#This Row],[Closing Stock (Oil)]]+rrcworking[[#This Row],[Sales/Dispostion]]-rrcworking[[#This Row],[Opening Oil Stock]]</f>
        <v>0</v>
      </c>
      <c r="U124" s="112">
        <f>rrcworking[[#This Row],[Gauge Sheet Production Vol]]-rrcworking[[#This Row],[Oil Production]]</f>
        <v>0</v>
      </c>
      <c r="V124" s="148">
        <f>IF(ISERROR(INDEX(Table2[GAS],MATCH(rrcworking[[#This Row],[Magnum Wolfpak '#]],Table2[Rox Wolf'#],0))),0,INDEX(Table2[GAS],MATCH(rrcworking[[#This Row],[Magnum Wolfpak '#]],Table2[Rox Wolf'#],0)))</f>
        <v>6866</v>
      </c>
      <c r="W124" s="24"/>
      <c r="X124" s="137">
        <f>IF(rrcworking[[#This Row],[Pressure Base]]=14.73,rrcworking[[#This Row],[Gas Sales Statement Volume (MCF)]]*$R$2,rrcworking[[#This Row],[Gas Sales Statement Volume (MCF)]])</f>
        <v>6866</v>
      </c>
      <c r="Y124" s="60"/>
      <c r="Z124" s="60"/>
      <c r="AA124" s="148">
        <f>IF(ISERROR(INDEX(Table2[LEASE USE],MATCH(rrcworking[[#This Row],[Magnum Wolfpak '#]],Table2[Rox Wolf'#],0))),0,INDEX(Table2[LEASE USE],MATCH(rrcworking[[#This Row],[Magnum Wolfpak '#]],Table2[Rox Wolf'#],0)))</f>
        <v>288</v>
      </c>
      <c r="AB124" s="57">
        <f>rrcworking[[#This Row],[Disposition Volume (MCF) @ 14.65 MCF]]+rrcworking[[#This Row],[Lease Use (MCF)]]</f>
        <v>7154</v>
      </c>
      <c r="AC124" s="37" t="s">
        <v>1125</v>
      </c>
      <c r="AD124" s="37"/>
      <c r="AE124" s="220">
        <f>COUNTIF(FilterList,rrcworking[[#This Row],[Magnum Wolfpak '#]])</f>
        <v>0</v>
      </c>
      <c r="AF124" s="217"/>
      <c r="AG124" s="218"/>
      <c r="AH124" s="37"/>
      <c r="AI124" s="37"/>
      <c r="AJ124" s="37">
        <v>1</v>
      </c>
      <c r="AK124" s="37" t="s">
        <v>1206</v>
      </c>
      <c r="AL124" s="37" t="s">
        <v>1206</v>
      </c>
      <c r="AM124" s="37" t="s">
        <v>1252</v>
      </c>
      <c r="AN124" s="37" t="s">
        <v>1152</v>
      </c>
      <c r="AO124" s="37" t="s">
        <v>1253</v>
      </c>
      <c r="AP124" s="37" t="s">
        <v>1204</v>
      </c>
      <c r="AQ124" s="37" t="s">
        <v>1254</v>
      </c>
    </row>
    <row r="125" spans="3:43" ht="45">
      <c r="C125" s="80">
        <v>99102</v>
      </c>
      <c r="D125" s="62" t="s">
        <v>102</v>
      </c>
      <c r="E125" s="133" t="s">
        <v>103</v>
      </c>
      <c r="F125" s="131">
        <v>1</v>
      </c>
      <c r="G125" s="122" t="s">
        <v>1097</v>
      </c>
      <c r="H125" s="18" t="s">
        <v>620</v>
      </c>
      <c r="I125" s="18" t="s">
        <v>59</v>
      </c>
      <c r="J125" s="19" t="s">
        <v>430</v>
      </c>
      <c r="K125" s="103">
        <v>245422</v>
      </c>
      <c r="L125" s="101">
        <f>INDEX(Table1[Production],MATCH(rrcworking[[#This Row],[RRC ID Number]],Table1[RRC Identifier],0))</f>
        <v>728</v>
      </c>
      <c r="M125" s="30">
        <f>INDEX(Table1[Formation Production],MATCH(rrcworking[[#This Row],[RRC ID Number]],Table1[RRC Identifier],0))</f>
        <v>59653</v>
      </c>
      <c r="N125" s="31">
        <f>INDEX(Table1[On Hand End of Month],MATCH(rrcworking[[#This Row],[RRC ID Number]],Table1[RRC Identifier],0))</f>
        <v>231</v>
      </c>
      <c r="O125" s="106" t="b">
        <f t="shared" si="3"/>
        <v>0</v>
      </c>
      <c r="P125" s="214">
        <v>683</v>
      </c>
      <c r="Q125" s="129">
        <f>rrcworking[[#This Row],[Last Month Closing Stock]]</f>
        <v>231</v>
      </c>
      <c r="R125" s="215">
        <v>334</v>
      </c>
      <c r="S125" s="148">
        <f>IF(ISERROR(INDEX(Table2[OIL],MATCH(rrcworking[[#This Row],[Magnum Wolfpak '#]],Table2[Rox Wolf'#],0))),0,INDEX(Table2[OIL],MATCH(rrcworking[[#This Row],[Magnum Wolfpak '#]],Table2[Rox Wolf'#],0)))</f>
        <v>766</v>
      </c>
      <c r="T125" s="35">
        <f>rrcworking[[#This Row],[Closing Stock (Oil)]]+rrcworking[[#This Row],[Sales/Dispostion]]-rrcworking[[#This Row],[Opening Oil Stock]]</f>
        <v>869</v>
      </c>
      <c r="U125" s="112">
        <f>rrcworking[[#This Row],[Gauge Sheet Production Vol]]-rrcworking[[#This Row],[Oil Production]]</f>
        <v>-186</v>
      </c>
      <c r="V125" s="148">
        <f>IF(ISERROR(INDEX(Table2[GAS],MATCH(rrcworking[[#This Row],[Magnum Wolfpak '#]],Table2[Rox Wolf'#],0))),0,INDEX(Table2[GAS],MATCH(rrcworking[[#This Row],[Magnum Wolfpak '#]],Table2[Rox Wolf'#],0)))</f>
        <v>49577</v>
      </c>
      <c r="W125" s="24"/>
      <c r="X125" s="137">
        <f>IF(rrcworking[[#This Row],[Pressure Base]]=14.73,rrcworking[[#This Row],[Gas Sales Statement Volume (MCF)]]*$R$2,rrcworking[[#This Row],[Gas Sales Statement Volume (MCF)]])</f>
        <v>49577</v>
      </c>
      <c r="Y125" s="60"/>
      <c r="Z125" s="60"/>
      <c r="AA125" s="148">
        <f>IF(ISERROR(INDEX(Table2[LEASE USE],MATCH(rrcworking[[#This Row],[Magnum Wolfpak '#]],Table2[Rox Wolf'#],0))),0,INDEX(Table2[LEASE USE],MATCH(rrcworking[[#This Row],[Magnum Wolfpak '#]],Table2[Rox Wolf'#],0)))</f>
        <v>0</v>
      </c>
      <c r="AB125" s="57">
        <f>rrcworking[[#This Row],[Disposition Volume (MCF) @ 14.65 MCF]]+rrcworking[[#This Row],[Lease Use (MCF)]]</f>
        <v>49577</v>
      </c>
      <c r="AC125" s="87"/>
      <c r="AD125" s="87" t="s">
        <v>1178</v>
      </c>
      <c r="AE125" s="220">
        <f>COUNTIF(FilterList,rrcworking[[#This Row],[Magnum Wolfpak '#]])</f>
        <v>0</v>
      </c>
      <c r="AF125" s="217"/>
      <c r="AG125" s="218"/>
      <c r="AH125" s="37">
        <v>683</v>
      </c>
      <c r="AI125" s="218">
        <v>334</v>
      </c>
      <c r="AJ125" s="37">
        <v>2</v>
      </c>
      <c r="AK125" s="37" t="s">
        <v>1152</v>
      </c>
      <c r="AL125" s="37" t="s">
        <v>1206</v>
      </c>
      <c r="AM125" s="37" t="s">
        <v>1255</v>
      </c>
      <c r="AN125" s="37" t="s">
        <v>1206</v>
      </c>
      <c r="AO125" s="37" t="s">
        <v>1217</v>
      </c>
      <c r="AP125" s="37" t="s">
        <v>1256</v>
      </c>
      <c r="AQ125" s="37"/>
    </row>
    <row r="126" spans="3:43" ht="15" hidden="1">
      <c r="C126" s="80" t="e">
        <v>#N/A</v>
      </c>
      <c r="D126" s="62" t="s">
        <v>132</v>
      </c>
      <c r="E126" s="133" t="s">
        <v>133</v>
      </c>
      <c r="F126" s="131">
        <v>1</v>
      </c>
      <c r="G126" s="122" t="s">
        <v>1097</v>
      </c>
      <c r="H126" s="18" t="s">
        <v>620</v>
      </c>
      <c r="I126" s="18" t="s">
        <v>59</v>
      </c>
      <c r="J126" s="19" t="s">
        <v>449</v>
      </c>
      <c r="K126" s="103">
        <v>264004</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214"/>
      <c r="Q126" s="129">
        <f>rrcworking[[#This Row],[Last Month Closing Stock]]</f>
        <v>0</v>
      </c>
      <c r="R126" s="214"/>
      <c r="S126" s="148">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Production Vol]]-rrcworking[[#This Row],[Oil Production]]</f>
        <v>0</v>
      </c>
      <c r="V126" s="148">
        <f>IF(ISERROR(INDEX(Table2[GAS],MATCH(rrcworking[[#This Row],[Magnum Wolfpak '#]],Table2[Rox Wolf'#],0))),0,INDEX(Table2[GAS],MATCH(rrcworking[[#This Row],[Magnum Wolfpak '#]],Table2[Rox Wolf'#],0)))</f>
        <v>0</v>
      </c>
      <c r="W126" s="24"/>
      <c r="X126" s="137">
        <f>IF(rrcworking[[#This Row],[Pressure Base]]=14.73,rrcworking[[#This Row],[Gas Sales Statement Volume (MCF)]]*$R$2,rrcworking[[#This Row],[Gas Sales Statement Volume (MCF)]])</f>
        <v>0</v>
      </c>
      <c r="Y126" s="60"/>
      <c r="Z126" s="60"/>
      <c r="AA126" s="148">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220">
        <f>COUNTIF(FilterList,rrcworking[[#This Row],[Magnum Wolfpak '#]])</f>
        <v>0</v>
      </c>
      <c r="AF126" s="217"/>
      <c r="AG126" s="218"/>
      <c r="AH126" s="37"/>
      <c r="AI126" s="37"/>
      <c r="AJ126" s="37"/>
      <c r="AK126" s="37"/>
      <c r="AL126" s="37"/>
      <c r="AM126" s="37"/>
      <c r="AN126" s="37"/>
      <c r="AO126" s="37"/>
      <c r="AP126" s="37"/>
      <c r="AQ126" s="37"/>
    </row>
    <row r="127" spans="3:43" ht="15" hidden="1">
      <c r="C127" s="80" t="e">
        <v>#N/A</v>
      </c>
      <c r="D127" s="62" t="s">
        <v>242</v>
      </c>
      <c r="E127" s="133" t="s">
        <v>243</v>
      </c>
      <c r="F127" s="131">
        <v>2</v>
      </c>
      <c r="G127" s="122" t="s">
        <v>1097</v>
      </c>
      <c r="H127" s="18" t="s">
        <v>621</v>
      </c>
      <c r="I127" s="18" t="s">
        <v>59</v>
      </c>
      <c r="J127" s="19" t="s">
        <v>511</v>
      </c>
      <c r="K127" s="103">
        <v>235116</v>
      </c>
      <c r="L127" s="101">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6" t="b">
        <f t="shared" si="3"/>
        <v>1</v>
      </c>
      <c r="P127" s="214"/>
      <c r="Q127" s="129">
        <f>rrcworking[[#This Row],[Last Month Closing Stock]]</f>
        <v>0</v>
      </c>
      <c r="R127" s="214"/>
      <c r="S127" s="148">
        <f>IF(ISERROR(INDEX(Table2[OIL],MATCH(rrcworking[[#This Row],[Magnum Wolfpak '#]],Table2[Rox Wolf'#],0))),0,INDEX(Table2[OIL],MATCH(rrcworking[[#This Row],[Magnum Wolfpak '#]],Table2[Rox Wolf'#],0)))</f>
        <v>0</v>
      </c>
      <c r="T127" s="35">
        <f>rrcworking[[#This Row],[Closing Stock (Oil)]]+rrcworking[[#This Row],[Sales/Dispostion]]-rrcworking[[#This Row],[Opening Oil Stock]]</f>
        <v>0</v>
      </c>
      <c r="U127" s="112">
        <f>rrcworking[[#This Row],[Gauge Sheet Production Vol]]-rrcworking[[#This Row],[Oil Production]]</f>
        <v>0</v>
      </c>
      <c r="V127" s="148">
        <f>IF(ISERROR(INDEX(Table2[GAS],MATCH(rrcworking[[#This Row],[Magnum Wolfpak '#]],Table2[Rox Wolf'#],0))),0,INDEX(Table2[GAS],MATCH(rrcworking[[#This Row],[Magnum Wolfpak '#]],Table2[Rox Wolf'#],0)))</f>
        <v>0</v>
      </c>
      <c r="W127" s="24"/>
      <c r="X127" s="137">
        <f>IF(rrcworking[[#This Row],[Pressure Base]]=14.73,rrcworking[[#This Row],[Gas Sales Statement Volume (MCF)]]*$R$2,rrcworking[[#This Row],[Gas Sales Statement Volume (MCF)]])</f>
        <v>0</v>
      </c>
      <c r="Y127" s="60"/>
      <c r="Z127" s="60"/>
      <c r="AA127" s="148">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220">
        <f>COUNTIF(FilterList,rrcworking[[#This Row],[Magnum Wolfpak '#]])</f>
        <v>0</v>
      </c>
      <c r="AF127" s="217"/>
      <c r="AG127" s="218"/>
      <c r="AH127" s="37"/>
      <c r="AI127" s="37"/>
      <c r="AJ127" s="37"/>
      <c r="AK127" s="37"/>
      <c r="AL127" s="37"/>
      <c r="AM127" s="37"/>
      <c r="AN127" s="37"/>
      <c r="AO127" s="37"/>
      <c r="AP127" s="37"/>
      <c r="AQ127" s="37"/>
    </row>
    <row r="128" spans="3:43" ht="15">
      <c r="C128" s="80">
        <v>98801</v>
      </c>
      <c r="D128" s="62" t="s">
        <v>244</v>
      </c>
      <c r="E128" s="133" t="s">
        <v>245</v>
      </c>
      <c r="F128" s="131">
        <v>1</v>
      </c>
      <c r="G128" s="122" t="s">
        <v>1097</v>
      </c>
      <c r="H128" s="18" t="s">
        <v>621</v>
      </c>
      <c r="I128" s="18" t="s">
        <v>59</v>
      </c>
      <c r="J128" s="19" t="s">
        <v>512</v>
      </c>
      <c r="K128" s="103">
        <v>164970</v>
      </c>
      <c r="L128" s="101">
        <f>INDEX(Table1[Production],MATCH(rrcworking[[#This Row],[RRC ID Number]],Table1[RRC Identifier],0))</f>
        <v>21</v>
      </c>
      <c r="M128" s="30">
        <f>INDEX(Table1[Formation Production],MATCH(rrcworking[[#This Row],[RRC ID Number]],Table1[RRC Identifier],0))</f>
        <v>2226</v>
      </c>
      <c r="N128" s="31">
        <f>INDEX(Table1[On Hand End of Month],MATCH(rrcworking[[#This Row],[RRC ID Number]],Table1[RRC Identifier],0))</f>
        <v>70</v>
      </c>
      <c r="O128" s="106" t="b">
        <f t="shared" si="3"/>
        <v>0</v>
      </c>
      <c r="P128" s="214">
        <v>17</v>
      </c>
      <c r="Q128" s="129">
        <f>rrcworking[[#This Row],[Last Month Closing Stock]]</f>
        <v>70</v>
      </c>
      <c r="R128" s="215">
        <v>87</v>
      </c>
      <c r="S128" s="148">
        <f>IF(ISERROR(INDEX(Table2[OIL],MATCH(rrcworking[[#This Row],[Magnum Wolfpak '#]],Table2[Rox Wolf'#],0))),0,INDEX(Table2[OIL],MATCH(rrcworking[[#This Row],[Magnum Wolfpak '#]],Table2[Rox Wolf'#],0)))</f>
        <v>0</v>
      </c>
      <c r="T128" s="35">
        <f>rrcworking[[#This Row],[Closing Stock (Oil)]]+rrcworking[[#This Row],[Sales/Dispostion]]-rrcworking[[#This Row],[Opening Oil Stock]]</f>
        <v>17</v>
      </c>
      <c r="U128" s="112">
        <f>rrcworking[[#This Row],[Gauge Sheet Production Vol]]-rrcworking[[#This Row],[Oil Production]]</f>
        <v>0</v>
      </c>
      <c r="V128" s="148">
        <f>IF(ISERROR(INDEX(Table2[GAS],MATCH(rrcworking[[#This Row],[Magnum Wolfpak '#]],Table2[Rox Wolf'#],0))),0,INDEX(Table2[GAS],MATCH(rrcworking[[#This Row],[Magnum Wolfpak '#]],Table2[Rox Wolf'#],0)))</f>
        <v>1735</v>
      </c>
      <c r="W128" s="24"/>
      <c r="X128" s="137">
        <f>IF(rrcworking[[#This Row],[Pressure Base]]=14.73,rrcworking[[#This Row],[Gas Sales Statement Volume (MCF)]]*$R$2,rrcworking[[#This Row],[Gas Sales Statement Volume (MCF)]])</f>
        <v>1735</v>
      </c>
      <c r="Y128" s="85"/>
      <c r="Z128" s="60">
        <v>7</v>
      </c>
      <c r="AA128" s="148">
        <f>IF(ISERROR(INDEX(Table2[LEASE USE],MATCH(rrcworking[[#This Row],[Magnum Wolfpak '#]],Table2[Rox Wolf'#],0))),0,INDEX(Table2[LEASE USE],MATCH(rrcworking[[#This Row],[Magnum Wolfpak '#]],Table2[Rox Wolf'#],0)))</f>
        <v>105</v>
      </c>
      <c r="AB128" s="57">
        <f>rrcworking[[#This Row],[Disposition Volume (MCF) @ 14.65 MCF]]+rrcworking[[#This Row],[Lease Use (MCF)]]</f>
        <v>1840</v>
      </c>
      <c r="AC128" s="37"/>
      <c r="AD128" s="37"/>
      <c r="AE128" s="220">
        <f>COUNTIF(FilterList,rrcworking[[#This Row],[Magnum Wolfpak '#]])</f>
        <v>0</v>
      </c>
      <c r="AF128" s="217"/>
      <c r="AG128" s="218"/>
      <c r="AH128" s="37">
        <v>17</v>
      </c>
      <c r="AI128" s="218">
        <v>87</v>
      </c>
      <c r="AJ128" s="37">
        <v>1</v>
      </c>
      <c r="AK128" s="37" t="s">
        <v>1206</v>
      </c>
      <c r="AL128" s="37" t="s">
        <v>1206</v>
      </c>
      <c r="AM128" s="37" t="s">
        <v>1238</v>
      </c>
      <c r="AN128" s="37" t="s">
        <v>1152</v>
      </c>
      <c r="AO128" s="37" t="s">
        <v>1212</v>
      </c>
      <c r="AP128" s="37" t="s">
        <v>1257</v>
      </c>
      <c r="AQ128" s="37"/>
    </row>
    <row r="129" spans="3:43" ht="60">
      <c r="C129" s="80">
        <v>99259</v>
      </c>
      <c r="D129" s="62" t="s">
        <v>371</v>
      </c>
      <c r="E129" s="133" t="s">
        <v>372</v>
      </c>
      <c r="F129" s="131">
        <v>0</v>
      </c>
      <c r="G129" s="122" t="s">
        <v>1097</v>
      </c>
      <c r="H129" s="18" t="s">
        <v>622</v>
      </c>
      <c r="I129" s="18" t="s">
        <v>2</v>
      </c>
      <c r="J129" s="19" t="s">
        <v>590</v>
      </c>
      <c r="K129" s="103">
        <v>14061</v>
      </c>
      <c r="L129" s="101">
        <f>INDEX(Table1[Production],MATCH(rrcworking[[#This Row],[RRC ID Number]],Table1[RRC Identifier],0))</f>
        <v>275</v>
      </c>
      <c r="M129" s="30">
        <f>INDEX(Table1[Formation Production],MATCH(rrcworking[[#This Row],[RRC ID Number]],Table1[RRC Identifier],0))</f>
        <v>0</v>
      </c>
      <c r="N129" s="31">
        <f>INDEX(Table1[On Hand End of Month],MATCH(rrcworking[[#This Row],[RRC ID Number]],Table1[RRC Identifier],0))</f>
        <v>114</v>
      </c>
      <c r="O129" s="106" t="b">
        <f t="shared" si="3"/>
        <v>0</v>
      </c>
      <c r="P129" s="214">
        <v>285</v>
      </c>
      <c r="Q129" s="129">
        <f>rrcworking[[#This Row],[Last Month Closing Stock]]</f>
        <v>114</v>
      </c>
      <c r="R129" s="215">
        <v>170</v>
      </c>
      <c r="S129" s="148">
        <f>IF(ISERROR(INDEX(Table2[OIL],MATCH(rrcworking[[#This Row],[Magnum Wolfpak '#]],Table2[Rox Wolf'#],0))),0,INDEX(Table2[OIL],MATCH(rrcworking[[#This Row],[Magnum Wolfpak '#]],Table2[Rox Wolf'#],0)))</f>
        <v>184</v>
      </c>
      <c r="T129" s="35">
        <f>rrcworking[[#This Row],[Closing Stock (Oil)]]+rrcworking[[#This Row],[Sales/Dispostion]]-rrcworking[[#This Row],[Opening Oil Stock]]</f>
        <v>240</v>
      </c>
      <c r="U129" s="112">
        <f>rrcworking[[#This Row],[Gauge Sheet Production Vol]]-rrcworking[[#This Row],[Oil Production]]</f>
        <v>45</v>
      </c>
      <c r="V129" s="148">
        <f>IF(ISERROR(INDEX(Table2[GAS],MATCH(rrcworking[[#This Row],[Magnum Wolfpak '#]],Table2[Rox Wolf'#],0))),0,INDEX(Table2[GAS],MATCH(rrcworking[[#This Row],[Magnum Wolfpak '#]],Table2[Rox Wolf'#],0)))</f>
        <v>0</v>
      </c>
      <c r="W129" s="24"/>
      <c r="X129" s="137">
        <f>IF(rrcworking[[#This Row],[Pressure Base]]=14.73,rrcworking[[#This Row],[Gas Sales Statement Volume (MCF)]]*$R$2,rrcworking[[#This Row],[Gas Sales Statement Volume (MCF)]])</f>
        <v>0</v>
      </c>
      <c r="Y129" s="60"/>
      <c r="Z129" s="60"/>
      <c r="AA129" s="148">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t="s">
        <v>1187</v>
      </c>
      <c r="AE129" s="220">
        <f>COUNTIF(FilterList,rrcworking[[#This Row],[Magnum Wolfpak '#]])</f>
        <v>0</v>
      </c>
      <c r="AF129" s="217"/>
      <c r="AG129" s="218"/>
      <c r="AH129" s="37">
        <v>285</v>
      </c>
      <c r="AI129" s="218">
        <v>170</v>
      </c>
      <c r="AJ129" s="37">
        <v>2</v>
      </c>
      <c r="AK129" s="37" t="s">
        <v>1152</v>
      </c>
      <c r="AL129" s="37" t="s">
        <v>1152</v>
      </c>
      <c r="AM129" s="37" t="s">
        <v>1243</v>
      </c>
      <c r="AN129" s="37" t="s">
        <v>1152</v>
      </c>
      <c r="AO129" s="37" t="s">
        <v>1212</v>
      </c>
      <c r="AP129" s="37" t="s">
        <v>1258</v>
      </c>
      <c r="AQ129" s="37"/>
    </row>
    <row r="130" spans="3:43" ht="15">
      <c r="C130" s="80">
        <v>95801</v>
      </c>
      <c r="D130" s="62" t="s">
        <v>335</v>
      </c>
      <c r="E130" s="133" t="s">
        <v>336</v>
      </c>
      <c r="F130" s="131">
        <v>0</v>
      </c>
      <c r="G130" s="122" t="s">
        <v>1097</v>
      </c>
      <c r="H130" s="18" t="s">
        <v>622</v>
      </c>
      <c r="I130" s="18" t="s">
        <v>2</v>
      </c>
      <c r="J130" s="19" t="s">
        <v>570</v>
      </c>
      <c r="K130" s="103">
        <v>10325</v>
      </c>
      <c r="L130" s="101">
        <f>INDEX(Table1[Production],MATCH(rrcworking[[#This Row],[RRC ID Number]],Table1[RRC Identifier],0))</f>
        <v>3</v>
      </c>
      <c r="M130" s="30">
        <f>INDEX(Table1[Formation Production],MATCH(rrcworking[[#This Row],[RRC ID Number]],Table1[RRC Identifier],0))</f>
        <v>0</v>
      </c>
      <c r="N130" s="31">
        <f>INDEX(Table1[On Hand End of Month],MATCH(rrcworking[[#This Row],[RRC ID Number]],Table1[RRC Identifier],0))</f>
        <v>57</v>
      </c>
      <c r="O130" s="106" t="b">
        <f t="shared" si="3"/>
        <v>0</v>
      </c>
      <c r="P130" s="214">
        <v>2</v>
      </c>
      <c r="Q130" s="129">
        <f>rrcworking[[#This Row],[Last Month Closing Stock]]</f>
        <v>57</v>
      </c>
      <c r="R130" s="215">
        <v>59</v>
      </c>
      <c r="S130" s="148">
        <f>IF(ISERROR(INDEX(Table2[OIL],MATCH(rrcworking[[#This Row],[Magnum Wolfpak '#]],Table2[Rox Wolf'#],0))),0,INDEX(Table2[OIL],MATCH(rrcworking[[#This Row],[Magnum Wolfpak '#]],Table2[Rox Wolf'#],0)))</f>
        <v>0</v>
      </c>
      <c r="T130" s="35">
        <f>rrcworking[[#This Row],[Closing Stock (Oil)]]+rrcworking[[#This Row],[Sales/Dispostion]]-rrcworking[[#This Row],[Opening Oil Stock]]</f>
        <v>2</v>
      </c>
      <c r="U130" s="112">
        <f>rrcworking[[#This Row],[Gauge Sheet Production Vol]]-rrcworking[[#This Row],[Oil Production]]</f>
        <v>0</v>
      </c>
      <c r="V130" s="148">
        <f>IF(ISERROR(INDEX(Table2[GAS],MATCH(rrcworking[[#This Row],[Magnum Wolfpak '#]],Table2[Rox Wolf'#],0))),0,INDEX(Table2[GAS],MATCH(rrcworking[[#This Row],[Magnum Wolfpak '#]],Table2[Rox Wolf'#],0)))</f>
        <v>0</v>
      </c>
      <c r="W130" s="24"/>
      <c r="X130" s="137">
        <f>IF(rrcworking[[#This Row],[Pressure Base]]=14.73,rrcworking[[#This Row],[Gas Sales Statement Volume (MCF)]]*$R$2,rrcworking[[#This Row],[Gas Sales Statement Volume (MCF)]])</f>
        <v>0</v>
      </c>
      <c r="Y130" s="60"/>
      <c r="Z130" s="60"/>
      <c r="AA130" s="148">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220">
        <f>COUNTIF(FilterList,rrcworking[[#This Row],[Magnum Wolfpak '#]])</f>
        <v>0</v>
      </c>
      <c r="AF130" s="217"/>
      <c r="AG130" s="218"/>
      <c r="AH130" s="37">
        <v>2</v>
      </c>
      <c r="AI130" s="218">
        <v>59</v>
      </c>
      <c r="AJ130" s="37">
        <v>2</v>
      </c>
      <c r="AK130" s="37" t="s">
        <v>1206</v>
      </c>
      <c r="AL130" s="37" t="s">
        <v>1206</v>
      </c>
      <c r="AM130" s="37" t="s">
        <v>1238</v>
      </c>
      <c r="AN130" s="37" t="s">
        <v>1206</v>
      </c>
      <c r="AO130" s="37" t="s">
        <v>1212</v>
      </c>
      <c r="AP130" s="37" t="s">
        <v>1259</v>
      </c>
      <c r="AQ130" s="37"/>
    </row>
    <row r="131" spans="3:43" ht="15" hidden="1">
      <c r="C131" s="80" t="e">
        <v>#N/A</v>
      </c>
      <c r="D131" s="62" t="s">
        <v>118</v>
      </c>
      <c r="E131" s="133" t="s">
        <v>119</v>
      </c>
      <c r="F131" s="131">
        <v>0</v>
      </c>
      <c r="G131" s="122" t="s">
        <v>1097</v>
      </c>
      <c r="H131" s="18" t="s">
        <v>620</v>
      </c>
      <c r="I131" s="18" t="s">
        <v>2</v>
      </c>
      <c r="J131" s="19" t="s">
        <v>440</v>
      </c>
      <c r="K131" s="103">
        <v>5086</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214"/>
      <c r="Q131" s="129">
        <f>rrcworking[[#This Row],[Last Month Closing Stock]]</f>
        <v>0</v>
      </c>
      <c r="R131" s="214"/>
      <c r="S131" s="148">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Production Vol]]-rrcworking[[#This Row],[Oil Production]]</f>
        <v>0</v>
      </c>
      <c r="V131" s="148">
        <f>IF(ISERROR(INDEX(Table2[GAS],MATCH(rrcworking[[#This Row],[Magnum Wolfpak '#]],Table2[Rox Wolf'#],0))),0,INDEX(Table2[GAS],MATCH(rrcworking[[#This Row],[Magnum Wolfpak '#]],Table2[Rox Wolf'#],0)))</f>
        <v>0</v>
      </c>
      <c r="W131" s="24"/>
      <c r="X131" s="137">
        <f>IF(rrcworking[[#This Row],[Pressure Base]]=14.73,rrcworking[[#This Row],[Gas Sales Statement Volume (MCF)]]*$R$2,rrcworking[[#This Row],[Gas Sales Statement Volume (MCF)]])</f>
        <v>0</v>
      </c>
      <c r="Y131" s="60"/>
      <c r="Z131" s="60"/>
      <c r="AA131" s="148">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220">
        <f>COUNTIF(FilterList,rrcworking[[#This Row],[Magnum Wolfpak '#]])</f>
        <v>0</v>
      </c>
      <c r="AF131" s="217"/>
      <c r="AG131" s="218"/>
      <c r="AH131" s="37"/>
      <c r="AI131" s="37"/>
      <c r="AJ131" s="37"/>
      <c r="AK131" s="37"/>
      <c r="AL131" s="37"/>
      <c r="AM131" s="37"/>
      <c r="AN131" s="37"/>
      <c r="AO131" s="37"/>
      <c r="AP131" s="37"/>
      <c r="AQ131" s="37"/>
    </row>
    <row r="132" spans="3:43" ht="15" hidden="1">
      <c r="C132" s="80" t="e">
        <v>#N/A</v>
      </c>
      <c r="D132" s="62" t="s">
        <v>312</v>
      </c>
      <c r="E132" s="133" t="s">
        <v>313</v>
      </c>
      <c r="F132" s="131">
        <v>1</v>
      </c>
      <c r="G132" s="122" t="s">
        <v>1097</v>
      </c>
      <c r="H132" s="18" t="s">
        <v>622</v>
      </c>
      <c r="I132" s="18" t="s">
        <v>59</v>
      </c>
      <c r="J132" s="19" t="s">
        <v>556</v>
      </c>
      <c r="K132" s="103">
        <v>115364</v>
      </c>
      <c r="L132" s="101">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6" t="b">
        <f t="shared" si="3"/>
        <v>1</v>
      </c>
      <c r="P132" s="214"/>
      <c r="Q132" s="129">
        <f>rrcworking[[#This Row],[Last Month Closing Stock]]</f>
        <v>0</v>
      </c>
      <c r="R132" s="214"/>
      <c r="S132" s="148">
        <f>IF(ISERROR(INDEX(Table2[OIL],MATCH(rrcworking[[#This Row],[Magnum Wolfpak '#]],Table2[Rox Wolf'#],0))),0,INDEX(Table2[OIL],MATCH(rrcworking[[#This Row],[Magnum Wolfpak '#]],Table2[Rox Wolf'#],0)))</f>
        <v>0</v>
      </c>
      <c r="T132" s="35">
        <f>rrcworking[[#This Row],[Closing Stock (Oil)]]+rrcworking[[#This Row],[Sales/Dispostion]]-rrcworking[[#This Row],[Opening Oil Stock]]</f>
        <v>0</v>
      </c>
      <c r="U132" s="112">
        <f>rrcworking[[#This Row],[Gauge Sheet Production Vol]]-rrcworking[[#This Row],[Oil Production]]</f>
        <v>0</v>
      </c>
      <c r="V132" s="148">
        <f>IF(ISERROR(INDEX(Table2[GAS],MATCH(rrcworking[[#This Row],[Magnum Wolfpak '#]],Table2[Rox Wolf'#],0))),0,INDEX(Table2[GAS],MATCH(rrcworking[[#This Row],[Magnum Wolfpak '#]],Table2[Rox Wolf'#],0)))</f>
        <v>0</v>
      </c>
      <c r="W132" s="24"/>
      <c r="X132" s="137">
        <f>IF(rrcworking[[#This Row],[Pressure Base]]=14.73,rrcworking[[#This Row],[Gas Sales Statement Volume (MCF)]]*$R$2,rrcworking[[#This Row],[Gas Sales Statement Volume (MCF)]])</f>
        <v>0</v>
      </c>
      <c r="Y132" s="60"/>
      <c r="Z132" s="60"/>
      <c r="AA132" s="148">
        <f>IF(ISERROR(INDEX(Table2[LEASE USE],MATCH(rrcworking[[#This Row],[Magnum Wolfpak '#]],Table2[Rox Wolf'#],0))),0,INDEX(Table2[LEASE USE],MATCH(rrcworking[[#This Row],[Magnum Wolfpak '#]],Table2[Rox Wolf'#],0)))</f>
        <v>0</v>
      </c>
      <c r="AB132" s="57">
        <f>rrcworking[[#This Row],[Disposition Volume (MCF) @ 14.65 MCF]]+rrcworking[[#This Row],[Lease Use (MCF)]]</f>
        <v>0</v>
      </c>
      <c r="AC132" s="97"/>
      <c r="AD132" s="97"/>
      <c r="AE132" s="220">
        <f>COUNTIF(FilterList,rrcworking[[#This Row],[Magnum Wolfpak '#]])</f>
        <v>0</v>
      </c>
      <c r="AF132" s="217"/>
      <c r="AG132" s="218"/>
      <c r="AH132" s="37"/>
      <c r="AI132" s="37"/>
      <c r="AJ132" s="37"/>
      <c r="AK132" s="37"/>
      <c r="AL132" s="37"/>
      <c r="AM132" s="37"/>
      <c r="AN132" s="37"/>
      <c r="AO132" s="37"/>
      <c r="AP132" s="37"/>
      <c r="AQ132" s="37"/>
    </row>
    <row r="133" spans="3:43" ht="45" hidden="1">
      <c r="C133" s="80">
        <v>98961</v>
      </c>
      <c r="D133" s="62" t="s">
        <v>295</v>
      </c>
      <c r="E133" s="133" t="s">
        <v>296</v>
      </c>
      <c r="F133" s="131">
        <v>0</v>
      </c>
      <c r="G133" s="122" t="s">
        <v>1097</v>
      </c>
      <c r="H133" s="18" t="s">
        <v>621</v>
      </c>
      <c r="I133" s="18" t="s">
        <v>2</v>
      </c>
      <c r="J133" s="19" t="s">
        <v>546</v>
      </c>
      <c r="K133" s="103">
        <v>24644</v>
      </c>
      <c r="L133" s="101">
        <f>INDEX(Table1[Production],MATCH(rrcworking[[#This Row],[RRC ID Number]],Table1[RRC Identifier],0))</f>
        <v>313</v>
      </c>
      <c r="M133" s="30">
        <f>INDEX(Table1[Formation Production],MATCH(rrcworking[[#This Row],[RRC ID Number]],Table1[RRC Identifier],0))</f>
        <v>2054</v>
      </c>
      <c r="N133" s="31">
        <f>INDEX(Table1[On Hand End of Month],MATCH(rrcworking[[#This Row],[RRC ID Number]],Table1[RRC Identifier],0))</f>
        <v>126</v>
      </c>
      <c r="O133" s="106" t="b">
        <f t="shared" si="3"/>
        <v>0</v>
      </c>
      <c r="P133" s="214">
        <v>328</v>
      </c>
      <c r="Q133" s="129">
        <f>rrcworking[[#This Row],[Last Month Closing Stock]]</f>
        <v>126</v>
      </c>
      <c r="R133" s="215">
        <v>139</v>
      </c>
      <c r="S133" s="148">
        <f>IF(ISERROR(INDEX(Table2[OIL],MATCH(rrcworking[[#This Row],[Magnum Wolfpak '#]],Table2[Rox Wolf'#],0))),0,INDEX(Table2[OIL],MATCH(rrcworking[[#This Row],[Magnum Wolfpak '#]],Table2[Rox Wolf'#],0)))</f>
        <v>154</v>
      </c>
      <c r="T133" s="35">
        <f>rrcworking[[#This Row],[Closing Stock (Oil)]]+rrcworking[[#This Row],[Sales/Dispostion]]-rrcworking[[#This Row],[Opening Oil Stock]]</f>
        <v>167</v>
      </c>
      <c r="U133" s="112">
        <f>rrcworking[[#This Row],[Gauge Sheet Production Vol]]-rrcworking[[#This Row],[Oil Production]]</f>
        <v>161</v>
      </c>
      <c r="V133" s="148">
        <f>IF(ISERROR(INDEX(Table2[GAS],MATCH(rrcworking[[#This Row],[Magnum Wolfpak '#]],Table2[Rox Wolf'#],0))),0,INDEX(Table2[GAS],MATCH(rrcworking[[#This Row],[Magnum Wolfpak '#]],Table2[Rox Wolf'#],0)))</f>
        <v>2169</v>
      </c>
      <c r="W133" s="24"/>
      <c r="X133" s="137">
        <f>IF(rrcworking[[#This Row],[Pressure Base]]=14.73,rrcworking[[#This Row],[Gas Sales Statement Volume (MCF)]]*$R$2,rrcworking[[#This Row],[Gas Sales Statement Volume (MCF)]])</f>
        <v>2169</v>
      </c>
      <c r="Y133" s="60"/>
      <c r="Z133" s="60">
        <v>0</v>
      </c>
      <c r="AA133" s="148">
        <f>IF(ISERROR(INDEX(Table2[LEASE USE],MATCH(rrcworking[[#This Row],[Magnum Wolfpak '#]],Table2[Rox Wolf'#],0))),0,INDEX(Table2[LEASE USE],MATCH(rrcworking[[#This Row],[Magnum Wolfpak '#]],Table2[Rox Wolf'#],0)))</f>
        <v>0</v>
      </c>
      <c r="AB133" s="57">
        <f>rrcworking[[#This Row],[Disposition Volume (MCF) @ 14.65 MCF]]+rrcworking[[#This Row],[Lease Use (MCF)]]</f>
        <v>2169</v>
      </c>
      <c r="AC133" s="37"/>
      <c r="AD133" s="37" t="s">
        <v>1174</v>
      </c>
      <c r="AE133" s="220">
        <f>COUNTIF(FilterList,rrcworking[[#This Row],[Magnum Wolfpak '#]])</f>
        <v>0</v>
      </c>
      <c r="AF133" s="217"/>
      <c r="AG133" s="218"/>
      <c r="AH133" s="37"/>
      <c r="AI133" s="218"/>
      <c r="AJ133" s="219"/>
      <c r="AK133" s="219"/>
      <c r="AL133" s="219"/>
      <c r="AM133" s="219"/>
      <c r="AN133" s="219"/>
      <c r="AO133" s="219"/>
      <c r="AP133" s="37" t="s">
        <v>1204</v>
      </c>
      <c r="AQ133" s="37" t="s">
        <v>1240</v>
      </c>
    </row>
    <row r="134" spans="3:43" ht="15" hidden="1">
      <c r="C134" s="80" t="e">
        <v>#N/A</v>
      </c>
      <c r="D134" s="62" t="s">
        <v>295</v>
      </c>
      <c r="E134" s="133" t="s">
        <v>296</v>
      </c>
      <c r="F134" s="131">
        <v>3</v>
      </c>
      <c r="G134" s="122" t="s">
        <v>1097</v>
      </c>
      <c r="H134" s="18" t="s">
        <v>621</v>
      </c>
      <c r="I134" s="18" t="s">
        <v>59</v>
      </c>
      <c r="J134" s="19" t="s">
        <v>545</v>
      </c>
      <c r="K134" s="103">
        <v>129832</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si="3"/>
        <v>1</v>
      </c>
      <c r="P134" s="214"/>
      <c r="Q134" s="129">
        <f>rrcworking[[#This Row],[Last Month Closing Stock]]</f>
        <v>0</v>
      </c>
      <c r="R134" s="214"/>
      <c r="S134" s="148">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Production Vol]]-rrcworking[[#This Row],[Oil Production]]</f>
        <v>0</v>
      </c>
      <c r="V134" s="148">
        <f>IF(ISERROR(INDEX(Table2[GAS],MATCH(rrcworking[[#This Row],[Magnum Wolfpak '#]],Table2[Rox Wolf'#],0))),0,INDEX(Table2[GAS],MATCH(rrcworking[[#This Row],[Magnum Wolfpak '#]],Table2[Rox Wolf'#],0)))</f>
        <v>0</v>
      </c>
      <c r="W134" s="24"/>
      <c r="X134" s="137">
        <f>IF(rrcworking[[#This Row],[Pressure Base]]=14.73,rrcworking[[#This Row],[Gas Sales Statement Volume (MCF)]]*$R$2,rrcworking[[#This Row],[Gas Sales Statement Volume (MCF)]])</f>
        <v>0</v>
      </c>
      <c r="Y134" s="60"/>
      <c r="Z134" s="60"/>
      <c r="AA134" s="148">
        <f>IF(ISERROR(INDEX(Table2[LEASE USE],MATCH(rrcworking[[#This Row],[Magnum Wolfpak '#]],Table2[Rox Wolf'#],0))),0,INDEX(Table2[LEASE USE],MATCH(rrcworking[[#This Row],[Magnum Wolfpak '#]],Table2[Rox Wolf'#],0)))</f>
        <v>0</v>
      </c>
      <c r="AB134" s="57">
        <f>rrcworking[[#This Row],[Disposition Volume (MCF) @ 14.65 MCF]]+rrcworking[[#This Row],[Lease Use (MCF)]]</f>
        <v>0</v>
      </c>
      <c r="AC134" s="97"/>
      <c r="AD134" s="97"/>
      <c r="AE134" s="220">
        <f>COUNTIF(FilterList,rrcworking[[#This Row],[Magnum Wolfpak '#]])</f>
        <v>0</v>
      </c>
      <c r="AF134" s="217"/>
      <c r="AG134" s="218"/>
      <c r="AH134" s="37"/>
      <c r="AI134" s="37"/>
      <c r="AJ134" s="37"/>
      <c r="AK134" s="37"/>
      <c r="AL134" s="37"/>
      <c r="AM134" s="37"/>
      <c r="AN134" s="37"/>
      <c r="AO134" s="37"/>
      <c r="AP134" s="37"/>
      <c r="AQ134" s="37"/>
    </row>
    <row r="135" spans="3:43" ht="15" hidden="1">
      <c r="C135" s="80" t="e">
        <v>#N/A</v>
      </c>
      <c r="D135" s="62" t="s">
        <v>297</v>
      </c>
      <c r="E135" s="133" t="s">
        <v>296</v>
      </c>
      <c r="F135" s="131">
        <v>5</v>
      </c>
      <c r="G135" s="122" t="s">
        <v>1097</v>
      </c>
      <c r="H135" s="18" t="s">
        <v>621</v>
      </c>
      <c r="I135" s="18" t="s">
        <v>59</v>
      </c>
      <c r="J135" s="19" t="s">
        <v>547</v>
      </c>
      <c r="K135" s="103">
        <v>127418</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ref="O135:O166" si="4">IF(AND(L135=0,M135=0), TRUE, FALSE)</f>
        <v>1</v>
      </c>
      <c r="P135" s="214"/>
      <c r="Q135" s="129">
        <f>rrcworking[[#This Row],[Last Month Closing Stock]]</f>
        <v>0</v>
      </c>
      <c r="R135" s="214"/>
      <c r="S135" s="148">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Production Vol]]-rrcworking[[#This Row],[Oil Production]]</f>
        <v>0</v>
      </c>
      <c r="V135" s="148">
        <f>IF(ISERROR(INDEX(Table2[GAS],MATCH(rrcworking[[#This Row],[Magnum Wolfpak '#]],Table2[Rox Wolf'#],0))),0,INDEX(Table2[GAS],MATCH(rrcworking[[#This Row],[Magnum Wolfpak '#]],Table2[Rox Wolf'#],0)))</f>
        <v>0</v>
      </c>
      <c r="W135" s="24"/>
      <c r="X135" s="137">
        <f>IF(rrcworking[[#This Row],[Pressure Base]]=14.73,rrcworking[[#This Row],[Gas Sales Statement Volume (MCF)]]*$R$2,rrcworking[[#This Row],[Gas Sales Statement Volume (MCF)]])</f>
        <v>0</v>
      </c>
      <c r="Y135" s="60"/>
      <c r="Z135" s="60"/>
      <c r="AA135" s="148">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220">
        <f>COUNTIF(FilterList,rrcworking[[#This Row],[Magnum Wolfpak '#]])</f>
        <v>0</v>
      </c>
      <c r="AF135" s="217"/>
      <c r="AG135" s="218"/>
      <c r="AH135" s="37"/>
      <c r="AI135" s="37"/>
      <c r="AJ135" s="37"/>
      <c r="AK135" s="37"/>
      <c r="AL135" s="37"/>
      <c r="AM135" s="37"/>
      <c r="AN135" s="37"/>
      <c r="AO135" s="37"/>
      <c r="AP135" s="37"/>
      <c r="AQ135" s="37"/>
    </row>
    <row r="136" spans="3:43" ht="15" hidden="1">
      <c r="C136" s="80" t="e">
        <v>#N/A</v>
      </c>
      <c r="D136" s="62" t="s">
        <v>297</v>
      </c>
      <c r="E136" s="133" t="s">
        <v>296</v>
      </c>
      <c r="F136" s="131">
        <v>4</v>
      </c>
      <c r="G136" s="122" t="s">
        <v>1097</v>
      </c>
      <c r="H136" s="18" t="s">
        <v>621</v>
      </c>
      <c r="I136" s="18" t="s">
        <v>59</v>
      </c>
      <c r="J136" s="19" t="s">
        <v>548</v>
      </c>
      <c r="K136" s="103">
        <v>128149</v>
      </c>
      <c r="L136" s="101">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6" t="b">
        <f t="shared" si="4"/>
        <v>1</v>
      </c>
      <c r="P136" s="214"/>
      <c r="Q136" s="129">
        <f>rrcworking[[#This Row],[Last Month Closing Stock]]</f>
        <v>0</v>
      </c>
      <c r="R136" s="214"/>
      <c r="S136" s="148">
        <f>IF(ISERROR(INDEX(Table2[OIL],MATCH(rrcworking[[#This Row],[Magnum Wolfpak '#]],Table2[Rox Wolf'#],0))),0,INDEX(Table2[OIL],MATCH(rrcworking[[#This Row],[Magnum Wolfpak '#]],Table2[Rox Wolf'#],0)))</f>
        <v>0</v>
      </c>
      <c r="T136" s="35">
        <f>rrcworking[[#This Row],[Closing Stock (Oil)]]+rrcworking[[#This Row],[Sales/Dispostion]]-rrcworking[[#This Row],[Opening Oil Stock]]</f>
        <v>0</v>
      </c>
      <c r="U136" s="112">
        <f>rrcworking[[#This Row],[Gauge Sheet Production Vol]]-rrcworking[[#This Row],[Oil Production]]</f>
        <v>0</v>
      </c>
      <c r="V136" s="148">
        <f>IF(ISERROR(INDEX(Table2[GAS],MATCH(rrcworking[[#This Row],[Magnum Wolfpak '#]],Table2[Rox Wolf'#],0))),0,INDEX(Table2[GAS],MATCH(rrcworking[[#This Row],[Magnum Wolfpak '#]],Table2[Rox Wolf'#],0)))</f>
        <v>0</v>
      </c>
      <c r="W136" s="24"/>
      <c r="X136" s="137">
        <f>IF(rrcworking[[#This Row],[Pressure Base]]=14.73,rrcworking[[#This Row],[Gas Sales Statement Volume (MCF)]]*$R$2,rrcworking[[#This Row],[Gas Sales Statement Volume (MCF)]])</f>
        <v>0</v>
      </c>
      <c r="Y136" s="60"/>
      <c r="Z136" s="60"/>
      <c r="AA136" s="148">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220">
        <f>COUNTIF(FilterList,rrcworking[[#This Row],[Magnum Wolfpak '#]])</f>
        <v>0</v>
      </c>
      <c r="AF136" s="217"/>
      <c r="AG136" s="218"/>
      <c r="AH136" s="37"/>
      <c r="AI136" s="37"/>
      <c r="AJ136" s="37"/>
      <c r="AK136" s="37"/>
      <c r="AL136" s="37"/>
      <c r="AM136" s="37"/>
      <c r="AN136" s="37"/>
      <c r="AO136" s="37"/>
      <c r="AP136" s="37"/>
      <c r="AQ136" s="37"/>
    </row>
    <row r="137" spans="3:43" ht="60" hidden="1">
      <c r="C137" s="80">
        <v>99132</v>
      </c>
      <c r="D137" s="62" t="s">
        <v>382</v>
      </c>
      <c r="E137" s="133" t="s">
        <v>383</v>
      </c>
      <c r="F137" s="142" t="s">
        <v>61</v>
      </c>
      <c r="G137" s="122">
        <v>6114</v>
      </c>
      <c r="H137" s="18" t="s">
        <v>622</v>
      </c>
      <c r="I137" s="18" t="s">
        <v>2</v>
      </c>
      <c r="J137" s="19" t="s">
        <v>597</v>
      </c>
      <c r="K137" s="103">
        <v>3212</v>
      </c>
      <c r="L137" s="101">
        <f>INDEX(Table1[Production],MATCH(rrcworking[[#This Row],[RRC ID Number]],Table1[RRC Identifier],0))</f>
        <v>68</v>
      </c>
      <c r="M137" s="30">
        <f>INDEX(Table1[Formation Production],MATCH(rrcworking[[#This Row],[RRC ID Number]],Table1[RRC Identifier],0))</f>
        <v>0</v>
      </c>
      <c r="N137" s="31">
        <f>INDEX(Table1[On Hand End of Month],MATCH(rrcworking[[#This Row],[RRC ID Number]],Table1[RRC Identifier],0))</f>
        <v>157</v>
      </c>
      <c r="O137" s="106" t="b">
        <f t="shared" si="4"/>
        <v>0</v>
      </c>
      <c r="P137" s="214">
        <v>37</v>
      </c>
      <c r="Q137" s="129">
        <f>rrcworking[[#This Row],[Last Month Closing Stock]]</f>
        <v>157</v>
      </c>
      <c r="R137" s="215">
        <v>177</v>
      </c>
      <c r="S137" s="148">
        <f>IF(ISERROR(INDEX(Table2[OIL],MATCH(rrcworking[[#This Row],[Magnum Wolfpak '#]],Table2[Rox Wolf'#],0))),0,INDEX(Table2[OIL],MATCH(rrcworking[[#This Row],[Magnum Wolfpak '#]],Table2[Rox Wolf'#],0)))</f>
        <v>0</v>
      </c>
      <c r="T137" s="35">
        <f>rrcworking[[#This Row],[Closing Stock (Oil)]]+rrcworking[[#This Row],[Sales/Dispostion]]-rrcworking[[#This Row],[Opening Oil Stock]]</f>
        <v>20</v>
      </c>
      <c r="U137" s="112">
        <f>rrcworking[[#This Row],[Gauge Sheet Production Vol]]-rrcworking[[#This Row],[Oil Production]]</f>
        <v>17</v>
      </c>
      <c r="V137" s="148">
        <f>IF(ISERROR(INDEX(Table2[GAS],MATCH(rrcworking[[#This Row],[Magnum Wolfpak '#]],Table2[Rox Wolf'#],0))),0,INDEX(Table2[GAS],MATCH(rrcworking[[#This Row],[Magnum Wolfpak '#]],Table2[Rox Wolf'#],0)))</f>
        <v>0</v>
      </c>
      <c r="W137" s="24"/>
      <c r="X137" s="137">
        <f>IF(rrcworking[[#This Row],[Pressure Base]]=14.73,rrcworking[[#This Row],[Gas Sales Statement Volume (MCF)]]*$R$2,rrcworking[[#This Row],[Gas Sales Statement Volume (MCF)]])</f>
        <v>0</v>
      </c>
      <c r="Y137" s="60"/>
      <c r="Z137" s="60">
        <v>4</v>
      </c>
      <c r="AA137" s="148">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t="s">
        <v>1176</v>
      </c>
      <c r="AE137" s="220">
        <f>COUNTIF(FilterList,rrcworking[[#This Row],[Magnum Wolfpak '#]])</f>
        <v>1</v>
      </c>
      <c r="AF137" s="217"/>
      <c r="AG137" s="218"/>
      <c r="AH137" s="37"/>
      <c r="AI137" s="218"/>
      <c r="AJ137" s="219"/>
      <c r="AK137" s="219"/>
      <c r="AL137" s="219"/>
      <c r="AM137" s="219"/>
      <c r="AN137" s="219"/>
      <c r="AO137" s="219"/>
      <c r="AP137" s="37" t="s">
        <v>1204</v>
      </c>
      <c r="AQ137" s="37" t="s">
        <v>1249</v>
      </c>
    </row>
    <row r="138" spans="3:43" ht="15" hidden="1">
      <c r="C138" s="80">
        <v>99133</v>
      </c>
      <c r="D138" s="62" t="s">
        <v>387</v>
      </c>
      <c r="E138" s="133" t="s">
        <v>388</v>
      </c>
      <c r="F138" s="142" t="s">
        <v>915</v>
      </c>
      <c r="G138" s="122">
        <v>6114</v>
      </c>
      <c r="H138" s="18" t="s">
        <v>622</v>
      </c>
      <c r="I138" s="18" t="s">
        <v>2</v>
      </c>
      <c r="J138" s="19" t="s">
        <v>600</v>
      </c>
      <c r="K138" s="103">
        <v>13668</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0</v>
      </c>
      <c r="O138" s="106" t="b">
        <f t="shared" si="4"/>
        <v>1</v>
      </c>
      <c r="P138" s="214"/>
      <c r="Q138" s="129">
        <f>rrcworking[[#This Row],[Last Month Closing Stock]]</f>
        <v>0</v>
      </c>
      <c r="R138" s="214"/>
      <c r="S138" s="149">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Production Vol]]-rrcworking[[#This Row],[Oil Production]]</f>
        <v>0</v>
      </c>
      <c r="V138" s="148">
        <f>IF(ISERROR(INDEX(Table2[GAS],MATCH(rrcworking[[#This Row],[Magnum Wolfpak '#]],Table2[Rox Wolf'#],0))),0,INDEX(Table2[GAS],MATCH(rrcworking[[#This Row],[Magnum Wolfpak '#]],Table2[Rox Wolf'#],0)))</f>
        <v>0</v>
      </c>
      <c r="W138" s="24"/>
      <c r="X138" s="137">
        <f>IF(rrcworking[[#This Row],[Pressure Base]]=14.73,rrcworking[[#This Row],[Gas Sales Statement Volume (MCF)]]*$R$2,rrcworking[[#This Row],[Gas Sales Statement Volume (MCF)]])</f>
        <v>0</v>
      </c>
      <c r="Y138" s="60"/>
      <c r="Z138" s="60"/>
      <c r="AA138" s="148">
        <f>IF(ISERROR(INDEX(Table2[LEASE USE],MATCH(rrcworking[[#This Row],[Magnum Wolfpak '#]],Table2[Rox Wolf'#],0))),0,INDEX(Table2[LEASE USE],MATCH(rrcworking[[#This Row],[Magnum Wolfpak '#]],Table2[Rox Wolf'#],0)))</f>
        <v>0</v>
      </c>
      <c r="AB138" s="57">
        <f>rrcworking[[#This Row],[Disposition Volume (MCF) @ 14.65 MCF]]+rrcworking[[#This Row],[Lease Use (MCF)]]</f>
        <v>0</v>
      </c>
      <c r="AC138" s="63"/>
      <c r="AD138" s="37"/>
      <c r="AE138" s="220">
        <f>COUNTIF(FilterList,rrcworking[[#This Row],[Magnum Wolfpak '#]])</f>
        <v>1</v>
      </c>
      <c r="AF138" s="217"/>
      <c r="AG138" s="218"/>
      <c r="AH138" s="37"/>
      <c r="AI138" s="37"/>
      <c r="AJ138" s="219"/>
      <c r="AK138" s="219"/>
      <c r="AL138" s="219"/>
      <c r="AM138" s="219"/>
      <c r="AN138" s="219"/>
      <c r="AO138" s="219"/>
      <c r="AP138" s="37" t="s">
        <v>1204</v>
      </c>
      <c r="AQ138" s="37"/>
    </row>
    <row r="139" spans="3:43" ht="15" hidden="1">
      <c r="C139" s="80" t="e">
        <v>#N/A</v>
      </c>
      <c r="D139" s="62" t="s">
        <v>389</v>
      </c>
      <c r="E139" s="133" t="s">
        <v>390</v>
      </c>
      <c r="F139" s="131">
        <v>0</v>
      </c>
      <c r="G139" s="122" t="s">
        <v>1097</v>
      </c>
      <c r="H139" s="18" t="s">
        <v>622</v>
      </c>
      <c r="I139" s="18" t="s">
        <v>2</v>
      </c>
      <c r="J139" s="19" t="s">
        <v>601</v>
      </c>
      <c r="K139" s="103">
        <v>13664</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64</v>
      </c>
      <c r="O139" s="106" t="b">
        <f t="shared" si="4"/>
        <v>1</v>
      </c>
      <c r="P139" s="214">
        <v>0</v>
      </c>
      <c r="Q139" s="129">
        <f>rrcworking[[#This Row],[Last Month Closing Stock]]</f>
        <v>64</v>
      </c>
      <c r="R139" s="214">
        <f>rrcworking[[#This Row],[Opening Oil Stock]]</f>
        <v>64</v>
      </c>
      <c r="S139" s="148">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Production Vol]]-rrcworking[[#This Row],[Oil Production]]</f>
        <v>0</v>
      </c>
      <c r="V139" s="148">
        <f>IF(ISERROR(INDEX(Table2[GAS],MATCH(rrcworking[[#This Row],[Magnum Wolfpak '#]],Table2[Rox Wolf'#],0))),0,INDEX(Table2[GAS],MATCH(rrcworking[[#This Row],[Magnum Wolfpak '#]],Table2[Rox Wolf'#],0)))</f>
        <v>0</v>
      </c>
      <c r="W139" s="24"/>
      <c r="X139" s="137">
        <f>IF(rrcworking[[#This Row],[Pressure Base]]=14.73,rrcworking[[#This Row],[Gas Sales Statement Volume (MCF)]]*$R$2,rrcworking[[#This Row],[Gas Sales Statement Volume (MCF)]])</f>
        <v>0</v>
      </c>
      <c r="Y139" s="60"/>
      <c r="Z139" s="60"/>
      <c r="AA139" s="148">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220">
        <f>COUNTIF(FilterList,rrcworking[[#This Row],[Magnum Wolfpak '#]])</f>
        <v>0</v>
      </c>
      <c r="AF139" s="217"/>
      <c r="AG139" s="218"/>
      <c r="AH139" s="37"/>
      <c r="AI139" s="37"/>
      <c r="AJ139" s="37"/>
      <c r="AK139" s="37"/>
      <c r="AL139" s="37"/>
      <c r="AM139" s="37"/>
      <c r="AN139" s="37"/>
      <c r="AO139" s="37"/>
      <c r="AP139" s="37"/>
      <c r="AQ139" s="37"/>
    </row>
    <row r="140" spans="3:43" ht="15" hidden="1">
      <c r="C140" s="80" t="e">
        <v>#N/A</v>
      </c>
      <c r="D140" s="62" t="s">
        <v>365</v>
      </c>
      <c r="E140" s="133" t="s">
        <v>366</v>
      </c>
      <c r="F140" s="131">
        <v>2</v>
      </c>
      <c r="G140" s="122" t="s">
        <v>1097</v>
      </c>
      <c r="H140" s="18" t="s">
        <v>622</v>
      </c>
      <c r="I140" s="18" t="s">
        <v>59</v>
      </c>
      <c r="J140" s="19" t="s">
        <v>587</v>
      </c>
      <c r="K140" s="103">
        <v>192315</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0</v>
      </c>
      <c r="O140" s="106" t="b">
        <f t="shared" si="4"/>
        <v>1</v>
      </c>
      <c r="P140" s="214"/>
      <c r="Q140" s="129">
        <f>rrcworking[[#This Row],[Last Month Closing Stock]]</f>
        <v>0</v>
      </c>
      <c r="R140" s="214"/>
      <c r="S140" s="148">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Production Vol]]-rrcworking[[#This Row],[Oil Production]]</f>
        <v>0</v>
      </c>
      <c r="V140" s="148">
        <f>IF(ISERROR(INDEX(Table2[GAS],MATCH(rrcworking[[#This Row],[Magnum Wolfpak '#]],Table2[Rox Wolf'#],0))),0,INDEX(Table2[GAS],MATCH(rrcworking[[#This Row],[Magnum Wolfpak '#]],Table2[Rox Wolf'#],0)))</f>
        <v>0</v>
      </c>
      <c r="W140" s="24"/>
      <c r="X140" s="137">
        <f>IF(rrcworking[[#This Row],[Pressure Base]]=14.73,rrcworking[[#This Row],[Gas Sales Statement Volume (MCF)]]*$R$2,rrcworking[[#This Row],[Gas Sales Statement Volume (MCF)]])</f>
        <v>0</v>
      </c>
      <c r="Y140" s="60"/>
      <c r="Z140" s="60"/>
      <c r="AA140" s="148">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220">
        <f>COUNTIF(FilterList,rrcworking[[#This Row],[Magnum Wolfpak '#]])</f>
        <v>0</v>
      </c>
      <c r="AF140" s="217"/>
      <c r="AG140" s="218"/>
      <c r="AH140" s="37"/>
      <c r="AI140" s="37"/>
      <c r="AJ140" s="37"/>
      <c r="AK140" s="37"/>
      <c r="AL140" s="37"/>
      <c r="AM140" s="37"/>
      <c r="AN140" s="37"/>
      <c r="AO140" s="37"/>
      <c r="AP140" s="37"/>
      <c r="AQ140" s="37"/>
    </row>
    <row r="141" spans="3:43" ht="15" hidden="1">
      <c r="C141" s="80" t="e">
        <v>#N/A</v>
      </c>
      <c r="D141" s="62" t="s">
        <v>210</v>
      </c>
      <c r="E141" s="133" t="s">
        <v>214</v>
      </c>
      <c r="F141" s="131">
        <v>1</v>
      </c>
      <c r="G141" s="122" t="s">
        <v>1097</v>
      </c>
      <c r="H141" s="18" t="s">
        <v>621</v>
      </c>
      <c r="I141" s="18" t="s">
        <v>59</v>
      </c>
      <c r="J141" s="19" t="s">
        <v>494</v>
      </c>
      <c r="K141" s="103">
        <v>279165</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214"/>
      <c r="Q141" s="129">
        <f>rrcworking[[#This Row],[Last Month Closing Stock]]</f>
        <v>0</v>
      </c>
      <c r="R141" s="214"/>
      <c r="S141" s="148">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Production Vol]]-rrcworking[[#This Row],[Oil Production]]</f>
        <v>0</v>
      </c>
      <c r="V141" s="148">
        <f>IF(ISERROR(INDEX(Table2[GAS],MATCH(rrcworking[[#This Row],[Magnum Wolfpak '#]],Table2[Rox Wolf'#],0))),0,INDEX(Table2[GAS],MATCH(rrcworking[[#This Row],[Magnum Wolfpak '#]],Table2[Rox Wolf'#],0)))</f>
        <v>0</v>
      </c>
      <c r="W141" s="24"/>
      <c r="X141" s="137">
        <f>IF(rrcworking[[#This Row],[Pressure Base]]=14.73,rrcworking[[#This Row],[Gas Sales Statement Volume (MCF)]]*$R$2,rrcworking[[#This Row],[Gas Sales Statement Volume (MCF)]])</f>
        <v>0</v>
      </c>
      <c r="Y141" s="60"/>
      <c r="Z141" s="60"/>
      <c r="AA141" s="148">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220">
        <f>COUNTIF(FilterList,rrcworking[[#This Row],[Magnum Wolfpak '#]])</f>
        <v>0</v>
      </c>
      <c r="AF141" s="217"/>
      <c r="AG141" s="218"/>
      <c r="AH141" s="37"/>
      <c r="AI141" s="37"/>
      <c r="AJ141" s="37"/>
      <c r="AK141" s="37"/>
      <c r="AL141" s="37"/>
      <c r="AM141" s="37"/>
      <c r="AN141" s="37"/>
      <c r="AO141" s="37"/>
      <c r="AP141" s="37"/>
      <c r="AQ141" s="37"/>
    </row>
    <row r="142" spans="3:43" ht="15" hidden="1">
      <c r="C142" s="80" t="e">
        <v>#N/A</v>
      </c>
      <c r="D142" s="62" t="s">
        <v>127</v>
      </c>
      <c r="E142" s="133" t="s">
        <v>128</v>
      </c>
      <c r="F142" s="131">
        <v>0</v>
      </c>
      <c r="G142" s="122" t="s">
        <v>1097</v>
      </c>
      <c r="H142" s="18" t="s">
        <v>620</v>
      </c>
      <c r="I142" s="18" t="s">
        <v>2</v>
      </c>
      <c r="J142" s="19" t="s">
        <v>446</v>
      </c>
      <c r="K142" s="103">
        <v>4248</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213</v>
      </c>
      <c r="O142" s="106" t="b">
        <f t="shared" si="4"/>
        <v>1</v>
      </c>
      <c r="P142" s="214">
        <v>0</v>
      </c>
      <c r="Q142" s="129">
        <f>rrcworking[[#This Row],[Last Month Closing Stock]]</f>
        <v>213</v>
      </c>
      <c r="R142" s="214">
        <f>rrcworking[[#This Row],[Opening Oil Stock]]</f>
        <v>213</v>
      </c>
      <c r="S142" s="148">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Production Vol]]-rrcworking[[#This Row],[Oil Production]]</f>
        <v>0</v>
      </c>
      <c r="V142" s="148">
        <f>IF(ISERROR(INDEX(Table2[GAS],MATCH(rrcworking[[#This Row],[Magnum Wolfpak '#]],Table2[Rox Wolf'#],0))),0,INDEX(Table2[GAS],MATCH(rrcworking[[#This Row],[Magnum Wolfpak '#]],Table2[Rox Wolf'#],0)))</f>
        <v>0</v>
      </c>
      <c r="W142" s="24"/>
      <c r="X142" s="137">
        <f>IF(rrcworking[[#This Row],[Pressure Base]]=14.73,rrcworking[[#This Row],[Gas Sales Statement Volume (MCF)]]*$R$2,rrcworking[[#This Row],[Gas Sales Statement Volume (MCF)]])</f>
        <v>0</v>
      </c>
      <c r="Y142" s="60"/>
      <c r="Z142" s="60"/>
      <c r="AA142" s="148">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220">
        <f>COUNTIF(FilterList,rrcworking[[#This Row],[Magnum Wolfpak '#]])</f>
        <v>0</v>
      </c>
      <c r="AF142" s="217"/>
      <c r="AG142" s="218"/>
      <c r="AH142" s="37"/>
      <c r="AI142" s="37"/>
      <c r="AJ142" s="37"/>
      <c r="AK142" s="37"/>
      <c r="AL142" s="37"/>
      <c r="AM142" s="37"/>
      <c r="AN142" s="37"/>
      <c r="AO142" s="37"/>
      <c r="AP142" s="37"/>
      <c r="AQ142" s="37"/>
    </row>
    <row r="143" spans="3:43" ht="15" hidden="1">
      <c r="C143" s="80" t="e">
        <v>#N/A</v>
      </c>
      <c r="D143" s="62" t="s">
        <v>271</v>
      </c>
      <c r="E143" s="133" t="s">
        <v>272</v>
      </c>
      <c r="F143" s="131">
        <v>1</v>
      </c>
      <c r="G143" s="122" t="s">
        <v>1097</v>
      </c>
      <c r="H143" s="18" t="s">
        <v>621</v>
      </c>
      <c r="I143" s="18" t="s">
        <v>59</v>
      </c>
      <c r="J143" s="19" t="s">
        <v>526</v>
      </c>
      <c r="K143" s="103">
        <v>58664</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214"/>
      <c r="Q143" s="129">
        <f>rrcworking[[#This Row],[Last Month Closing Stock]]</f>
        <v>0</v>
      </c>
      <c r="R143" s="214"/>
      <c r="S143" s="148">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Production Vol]]-rrcworking[[#This Row],[Oil Production]]</f>
        <v>0</v>
      </c>
      <c r="V143" s="148">
        <f>IF(ISERROR(INDEX(Table2[GAS],MATCH(rrcworking[[#This Row],[Magnum Wolfpak '#]],Table2[Rox Wolf'#],0))),0,INDEX(Table2[GAS],MATCH(rrcworking[[#This Row],[Magnum Wolfpak '#]],Table2[Rox Wolf'#],0)))</f>
        <v>0</v>
      </c>
      <c r="W143" s="24"/>
      <c r="X143" s="137">
        <f>IF(rrcworking[[#This Row],[Pressure Base]]=14.73,rrcworking[[#This Row],[Gas Sales Statement Volume (MCF)]]*$R$2,rrcworking[[#This Row],[Gas Sales Statement Volume (MCF)]])</f>
        <v>0</v>
      </c>
      <c r="Y143" s="60"/>
      <c r="Z143" s="60"/>
      <c r="AA143" s="148">
        <f>IF(ISERROR(INDEX(Table2[LEASE USE],MATCH(rrcworking[[#This Row],[Magnum Wolfpak '#]],Table2[Rox Wolf'#],0))),0,INDEX(Table2[LEASE USE],MATCH(rrcworking[[#This Row],[Magnum Wolfpak '#]],Table2[Rox Wolf'#],0)))</f>
        <v>0</v>
      </c>
      <c r="AB143" s="57">
        <f>rrcworking[[#This Row],[Disposition Volume (MCF) @ 14.65 MCF]]+rrcworking[[#This Row],[Lease Use (MCF)]]</f>
        <v>0</v>
      </c>
      <c r="AC143" s="97"/>
      <c r="AD143" s="37"/>
      <c r="AE143" s="220">
        <f>COUNTIF(FilterList,rrcworking[[#This Row],[Magnum Wolfpak '#]])</f>
        <v>0</v>
      </c>
      <c r="AF143" s="217"/>
      <c r="AG143" s="218"/>
      <c r="AH143" s="37"/>
      <c r="AI143" s="37"/>
      <c r="AJ143" s="37"/>
      <c r="AK143" s="37"/>
      <c r="AL143" s="37"/>
      <c r="AM143" s="37"/>
      <c r="AN143" s="37"/>
      <c r="AO143" s="37"/>
      <c r="AP143" s="37"/>
      <c r="AQ143" s="37"/>
    </row>
    <row r="144" spans="3:43" ht="15" hidden="1">
      <c r="C144" s="80" t="e">
        <v>#N/A</v>
      </c>
      <c r="D144" s="62" t="s">
        <v>112</v>
      </c>
      <c r="E144" s="133" t="s">
        <v>113</v>
      </c>
      <c r="F144" s="131">
        <v>5</v>
      </c>
      <c r="G144" s="122">
        <v>5048</v>
      </c>
      <c r="H144" s="18" t="s">
        <v>620</v>
      </c>
      <c r="I144" s="18" t="s">
        <v>59</v>
      </c>
      <c r="J144" s="19" t="s">
        <v>436</v>
      </c>
      <c r="K144" s="103">
        <v>198005</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214"/>
      <c r="Q144" s="129">
        <f>rrcworking[[#This Row],[Last Month Closing Stock]]</f>
        <v>0</v>
      </c>
      <c r="R144" s="214"/>
      <c r="S144" s="148">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Production Vol]]-rrcworking[[#This Row],[Oil Production]]</f>
        <v>0</v>
      </c>
      <c r="V144" s="148">
        <f>IF(ISERROR(INDEX(Table2[GAS],MATCH(rrcworking[[#This Row],[Magnum Wolfpak '#]],Table2[Rox Wolf'#],0))),0,INDEX(Table2[GAS],MATCH(rrcworking[[#This Row],[Magnum Wolfpak '#]],Table2[Rox Wolf'#],0)))</f>
        <v>0</v>
      </c>
      <c r="W144" s="24"/>
      <c r="X144" s="137">
        <f>IF(rrcworking[[#This Row],[Pressure Base]]=14.73,rrcworking[[#This Row],[Gas Sales Statement Volume (MCF)]]*$R$2,rrcworking[[#This Row],[Gas Sales Statement Volume (MCF)]])</f>
        <v>0</v>
      </c>
      <c r="Y144" s="60"/>
      <c r="Z144" s="60"/>
      <c r="AA144" s="148">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7"/>
      <c r="AD144" s="37"/>
      <c r="AE144" s="220">
        <f>COUNTIF(FilterList,rrcworking[[#This Row],[Magnum Wolfpak '#]])</f>
        <v>0</v>
      </c>
      <c r="AF144" s="217"/>
      <c r="AG144" s="218"/>
      <c r="AH144" s="37"/>
      <c r="AI144" s="37"/>
      <c r="AJ144" s="37"/>
      <c r="AK144" s="37"/>
      <c r="AL144" s="37"/>
      <c r="AM144" s="37"/>
      <c r="AN144" s="37"/>
      <c r="AO144" s="37"/>
      <c r="AP144" s="37"/>
      <c r="AQ144" s="37"/>
    </row>
    <row r="145" spans="3:43" ht="15" hidden="1">
      <c r="C145" s="80" t="e">
        <v>#N/A</v>
      </c>
      <c r="D145" s="62" t="s">
        <v>129</v>
      </c>
      <c r="E145" s="133" t="s">
        <v>113</v>
      </c>
      <c r="F145" s="131">
        <v>3</v>
      </c>
      <c r="G145" s="122">
        <v>5048</v>
      </c>
      <c r="H145" s="18" t="s">
        <v>620</v>
      </c>
      <c r="I145" s="18" t="s">
        <v>59</v>
      </c>
      <c r="J145" s="19" t="s">
        <v>447</v>
      </c>
      <c r="K145" s="103">
        <v>184558</v>
      </c>
      <c r="L145" s="101">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6" t="b">
        <f t="shared" si="4"/>
        <v>1</v>
      </c>
      <c r="P145" s="214"/>
      <c r="Q145" s="129">
        <f>rrcworking[[#This Row],[Last Month Closing Stock]]</f>
        <v>0</v>
      </c>
      <c r="R145" s="214"/>
      <c r="S145" s="148">
        <f>IF(ISERROR(INDEX(Table2[OIL],MATCH(rrcworking[[#This Row],[Magnum Wolfpak '#]],Table2[Rox Wolf'#],0))),0,INDEX(Table2[OIL],MATCH(rrcworking[[#This Row],[Magnum Wolfpak '#]],Table2[Rox Wolf'#],0)))</f>
        <v>0</v>
      </c>
      <c r="T145" s="35">
        <f>rrcworking[[#This Row],[Closing Stock (Oil)]]+rrcworking[[#This Row],[Sales/Dispostion]]-rrcworking[[#This Row],[Opening Oil Stock]]</f>
        <v>0</v>
      </c>
      <c r="U145" s="112">
        <f>rrcworking[[#This Row],[Gauge Sheet Production Vol]]-rrcworking[[#This Row],[Oil Production]]</f>
        <v>0</v>
      </c>
      <c r="V145" s="148">
        <f>IF(ISERROR(INDEX(Table2[GAS],MATCH(rrcworking[[#This Row],[Magnum Wolfpak '#]],Table2[Rox Wolf'#],0))),0,INDEX(Table2[GAS],MATCH(rrcworking[[#This Row],[Magnum Wolfpak '#]],Table2[Rox Wolf'#],0)))</f>
        <v>0</v>
      </c>
      <c r="W145" s="24"/>
      <c r="X145" s="137">
        <f>IF(rrcworking[[#This Row],[Pressure Base]]=14.73,rrcworking[[#This Row],[Gas Sales Statement Volume (MCF)]]*$R$2,rrcworking[[#This Row],[Gas Sales Statement Volume (MCF)]])</f>
        <v>0</v>
      </c>
      <c r="Y145" s="60"/>
      <c r="Z145" s="60"/>
      <c r="AA145" s="148">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220">
        <f>COUNTIF(FilterList,rrcworking[[#This Row],[Magnum Wolfpak '#]])</f>
        <v>0</v>
      </c>
      <c r="AF145" s="217"/>
      <c r="AG145" s="218"/>
      <c r="AH145" s="37"/>
      <c r="AI145" s="37"/>
      <c r="AJ145" s="37"/>
      <c r="AK145" s="37"/>
      <c r="AL145" s="37"/>
      <c r="AM145" s="37"/>
      <c r="AN145" s="37"/>
      <c r="AO145" s="37"/>
      <c r="AP145" s="37"/>
      <c r="AQ145" s="37"/>
    </row>
    <row r="146" spans="3:43" ht="15" hidden="1">
      <c r="C146" s="80" t="e">
        <v>#N/A</v>
      </c>
      <c r="D146" s="62" t="s">
        <v>110</v>
      </c>
      <c r="E146" s="133" t="s">
        <v>111</v>
      </c>
      <c r="F146" s="131">
        <v>1</v>
      </c>
      <c r="G146" s="122" t="s">
        <v>1097</v>
      </c>
      <c r="H146" s="18" t="s">
        <v>620</v>
      </c>
      <c r="I146" s="18" t="s">
        <v>59</v>
      </c>
      <c r="J146" s="19" t="s">
        <v>434</v>
      </c>
      <c r="K146" s="103">
        <v>172874</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214"/>
      <c r="Q146" s="129">
        <f>rrcworking[[#This Row],[Last Month Closing Stock]]</f>
        <v>0</v>
      </c>
      <c r="R146" s="214"/>
      <c r="S146" s="148">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Production Vol]]-rrcworking[[#This Row],[Oil Production]]</f>
        <v>0</v>
      </c>
      <c r="V146" s="148">
        <f>IF(ISERROR(INDEX(Table2[GAS],MATCH(rrcworking[[#This Row],[Magnum Wolfpak '#]],Table2[Rox Wolf'#],0))),0,INDEX(Table2[GAS],MATCH(rrcworking[[#This Row],[Magnum Wolfpak '#]],Table2[Rox Wolf'#],0)))</f>
        <v>0</v>
      </c>
      <c r="W146" s="24"/>
      <c r="X146" s="137">
        <f>IF(rrcworking[[#This Row],[Pressure Base]]=14.73,rrcworking[[#This Row],[Gas Sales Statement Volume (MCF)]]*$R$2,rrcworking[[#This Row],[Gas Sales Statement Volume (MCF)]])</f>
        <v>0</v>
      </c>
      <c r="Y146" s="60"/>
      <c r="Z146" s="60"/>
      <c r="AA146" s="148">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220">
        <f>COUNTIF(FilterList,rrcworking[[#This Row],[Magnum Wolfpak '#]])</f>
        <v>0</v>
      </c>
      <c r="AF146" s="217"/>
      <c r="AG146" s="218"/>
      <c r="AH146" s="37"/>
      <c r="AI146" s="37"/>
      <c r="AJ146" s="37"/>
      <c r="AK146" s="37"/>
      <c r="AL146" s="37"/>
      <c r="AM146" s="37"/>
      <c r="AN146" s="37"/>
      <c r="AO146" s="37"/>
      <c r="AP146" s="37"/>
      <c r="AQ146" s="37"/>
    </row>
    <row r="147" spans="3:43" ht="15">
      <c r="C147" s="80">
        <v>99256</v>
      </c>
      <c r="D147" s="62" t="s">
        <v>112</v>
      </c>
      <c r="E147" s="133" t="s">
        <v>111</v>
      </c>
      <c r="F147" s="131">
        <v>1</v>
      </c>
      <c r="G147" s="122">
        <v>5048</v>
      </c>
      <c r="H147" s="18" t="s">
        <v>620</v>
      </c>
      <c r="I147" s="18" t="s">
        <v>59</v>
      </c>
      <c r="J147" s="19" t="s">
        <v>435</v>
      </c>
      <c r="K147" s="103">
        <v>180461</v>
      </c>
      <c r="L147" s="101">
        <f>INDEX(Table1[Production],MATCH(rrcworking[[#This Row],[RRC ID Number]],Table1[RRC Identifier],0))</f>
        <v>26</v>
      </c>
      <c r="M147" s="30">
        <f>INDEX(Table1[Formation Production],MATCH(rrcworking[[#This Row],[RRC ID Number]],Table1[RRC Identifier],0))</f>
        <v>2279</v>
      </c>
      <c r="N147" s="31">
        <f>INDEX(Table1[On Hand End of Month],MATCH(rrcworking[[#This Row],[RRC ID Number]],Table1[RRC Identifier],0))</f>
        <v>105</v>
      </c>
      <c r="O147" s="106" t="b">
        <f t="shared" si="4"/>
        <v>0</v>
      </c>
      <c r="P147" s="214">
        <v>48</v>
      </c>
      <c r="Q147" s="129">
        <f>rrcworking[[#This Row],[Last Month Closing Stock]]</f>
        <v>105</v>
      </c>
      <c r="R147" s="215">
        <v>154</v>
      </c>
      <c r="S147" s="148">
        <f>IF(ISERROR(INDEX(Table2[OIL],MATCH(rrcworking[[#This Row],[Magnum Wolfpak '#]],Table2[Rox Wolf'#],0))),0,INDEX(Table2[OIL],MATCH(rrcworking[[#This Row],[Magnum Wolfpak '#]],Table2[Rox Wolf'#],0)))</f>
        <v>0</v>
      </c>
      <c r="T147" s="35">
        <f>rrcworking[[#This Row],[Closing Stock (Oil)]]+rrcworking[[#This Row],[Sales/Dispostion]]-rrcworking[[#This Row],[Opening Oil Stock]]</f>
        <v>49</v>
      </c>
      <c r="U147" s="112">
        <f>rrcworking[[#This Row],[Gauge Sheet Production Vol]]-rrcworking[[#This Row],[Oil Production]]</f>
        <v>-1</v>
      </c>
      <c r="V147" s="148">
        <f>IF(ISERROR(INDEX(Table2[GAS],MATCH(rrcworking[[#This Row],[Magnum Wolfpak '#]],Table2[Rox Wolf'#],0))),0,INDEX(Table2[GAS],MATCH(rrcworking[[#This Row],[Magnum Wolfpak '#]],Table2[Rox Wolf'#],0)))</f>
        <v>2179</v>
      </c>
      <c r="W147" s="24"/>
      <c r="X147" s="137">
        <f>IF(rrcworking[[#This Row],[Pressure Base]]=14.73,rrcworking[[#This Row],[Gas Sales Statement Volume (MCF)]]*$R$2,rrcworking[[#This Row],[Gas Sales Statement Volume (MCF)]])</f>
        <v>2179</v>
      </c>
      <c r="Y147" s="60"/>
      <c r="Z147" s="60"/>
      <c r="AA147" s="148">
        <f>IF(ISERROR(INDEX(Table2[LEASE USE],MATCH(rrcworking[[#This Row],[Magnum Wolfpak '#]],Table2[Rox Wolf'#],0))),0,INDEX(Table2[LEASE USE],MATCH(rrcworking[[#This Row],[Magnum Wolfpak '#]],Table2[Rox Wolf'#],0)))</f>
        <v>0</v>
      </c>
      <c r="AB147" s="57">
        <f>rrcworking[[#This Row],[Disposition Volume (MCF) @ 14.65 MCF]]+rrcworking[[#This Row],[Lease Use (MCF)]]</f>
        <v>2179</v>
      </c>
      <c r="AC147" s="37"/>
      <c r="AD147" s="37"/>
      <c r="AE147" s="220">
        <f>COUNTIF(FilterList,rrcworking[[#This Row],[Magnum Wolfpak '#]])</f>
        <v>0</v>
      </c>
      <c r="AF147" s="217"/>
      <c r="AG147" s="218"/>
      <c r="AH147" s="37">
        <v>48</v>
      </c>
      <c r="AI147" s="218">
        <v>154</v>
      </c>
      <c r="AJ147" s="37">
        <v>2</v>
      </c>
      <c r="AK147" s="37" t="s">
        <v>1206</v>
      </c>
      <c r="AL147" s="37" t="s">
        <v>1206</v>
      </c>
      <c r="AM147" s="37" t="s">
        <v>1260</v>
      </c>
      <c r="AN147" s="37" t="s">
        <v>1206</v>
      </c>
      <c r="AO147" s="37" t="s">
        <v>1261</v>
      </c>
      <c r="AP147" s="37" t="s">
        <v>1262</v>
      </c>
      <c r="AQ147" s="37"/>
    </row>
    <row r="148" spans="3:43" ht="15" hidden="1">
      <c r="C148" s="80" t="e">
        <v>#N/A</v>
      </c>
      <c r="D148" s="62" t="s">
        <v>108</v>
      </c>
      <c r="E148" s="133" t="s">
        <v>109</v>
      </c>
      <c r="F148" s="131">
        <v>1</v>
      </c>
      <c r="G148" s="122" t="s">
        <v>1097</v>
      </c>
      <c r="H148" s="18" t="s">
        <v>620</v>
      </c>
      <c r="I148" s="18" t="s">
        <v>59</v>
      </c>
      <c r="J148" s="19" t="s">
        <v>433</v>
      </c>
      <c r="K148" s="103">
        <v>253815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0</v>
      </c>
      <c r="O148" s="106" t="b">
        <f t="shared" si="4"/>
        <v>1</v>
      </c>
      <c r="P148" s="214"/>
      <c r="Q148" s="129">
        <f>rrcworking[[#This Row],[Last Month Closing Stock]]</f>
        <v>0</v>
      </c>
      <c r="R148" s="214"/>
      <c r="S148" s="148">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Production Vol]]-rrcworking[[#This Row],[Oil Production]]</f>
        <v>0</v>
      </c>
      <c r="V148" s="148">
        <f>IF(ISERROR(INDEX(Table2[GAS],MATCH(rrcworking[[#This Row],[Magnum Wolfpak '#]],Table2[Rox Wolf'#],0))),0,INDEX(Table2[GAS],MATCH(rrcworking[[#This Row],[Magnum Wolfpak '#]],Table2[Rox Wolf'#],0)))</f>
        <v>0</v>
      </c>
      <c r="W148" s="24"/>
      <c r="X148" s="137">
        <f>IF(rrcworking[[#This Row],[Pressure Base]]=14.73,rrcworking[[#This Row],[Gas Sales Statement Volume (MCF)]]*$R$2,rrcworking[[#This Row],[Gas Sales Statement Volume (MCF)]])</f>
        <v>0</v>
      </c>
      <c r="Y148" s="60"/>
      <c r="Z148" s="60"/>
      <c r="AA148" s="148">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220">
        <f>COUNTIF(FilterList,rrcworking[[#This Row],[Magnum Wolfpak '#]])</f>
        <v>0</v>
      </c>
      <c r="AF148" s="217"/>
      <c r="AG148" s="218"/>
      <c r="AH148" s="37"/>
      <c r="AI148" s="37"/>
      <c r="AJ148" s="37"/>
      <c r="AK148" s="37"/>
      <c r="AL148" s="37"/>
      <c r="AM148" s="37"/>
      <c r="AN148" s="37"/>
      <c r="AO148" s="37"/>
      <c r="AP148" s="37"/>
      <c r="AQ148" s="37"/>
    </row>
    <row r="149" spans="3:43" ht="15" hidden="1">
      <c r="C149" s="80" t="e">
        <v>#N/A</v>
      </c>
      <c r="D149" s="62" t="s">
        <v>195</v>
      </c>
      <c r="E149" s="133" t="s">
        <v>196</v>
      </c>
      <c r="F149" s="131">
        <v>0</v>
      </c>
      <c r="G149" s="122" t="s">
        <v>1097</v>
      </c>
      <c r="H149" s="18" t="s">
        <v>621</v>
      </c>
      <c r="I149" s="18" t="s">
        <v>2</v>
      </c>
      <c r="J149" s="19" t="s">
        <v>487</v>
      </c>
      <c r="K149" s="103">
        <v>24246</v>
      </c>
      <c r="L149" s="101">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52</v>
      </c>
      <c r="O149" s="106" t="b">
        <f t="shared" si="4"/>
        <v>1</v>
      </c>
      <c r="P149" s="214">
        <v>0</v>
      </c>
      <c r="Q149" s="129">
        <f>rrcworking[[#This Row],[Last Month Closing Stock]]</f>
        <v>52</v>
      </c>
      <c r="R149" s="214">
        <f>rrcworking[[#This Row],[Opening Oil Stock]]</f>
        <v>52</v>
      </c>
      <c r="S149" s="148">
        <f>IF(ISERROR(INDEX(Table2[OIL],MATCH(rrcworking[[#This Row],[Magnum Wolfpak '#]],Table2[Rox Wolf'#],0))),0,INDEX(Table2[OIL],MATCH(rrcworking[[#This Row],[Magnum Wolfpak '#]],Table2[Rox Wolf'#],0)))</f>
        <v>0</v>
      </c>
      <c r="T149" s="35">
        <f>rrcworking[[#This Row],[Closing Stock (Oil)]]+rrcworking[[#This Row],[Sales/Dispostion]]-rrcworking[[#This Row],[Opening Oil Stock]]</f>
        <v>0</v>
      </c>
      <c r="U149" s="112">
        <f>rrcworking[[#This Row],[Gauge Sheet Production Vol]]-rrcworking[[#This Row],[Oil Production]]</f>
        <v>0</v>
      </c>
      <c r="V149" s="148">
        <f>IF(ISERROR(INDEX(Table2[GAS],MATCH(rrcworking[[#This Row],[Magnum Wolfpak '#]],Table2[Rox Wolf'#],0))),0,INDEX(Table2[GAS],MATCH(rrcworking[[#This Row],[Magnum Wolfpak '#]],Table2[Rox Wolf'#],0)))</f>
        <v>0</v>
      </c>
      <c r="W149" s="24"/>
      <c r="X149" s="137">
        <f>IF(rrcworking[[#This Row],[Pressure Base]]=14.73,rrcworking[[#This Row],[Gas Sales Statement Volume (MCF)]]*$R$2,rrcworking[[#This Row],[Gas Sales Statement Volume (MCF)]])</f>
        <v>0</v>
      </c>
      <c r="Y149" s="60"/>
      <c r="Z149" s="60"/>
      <c r="AA149" s="148">
        <f>IF(ISERROR(INDEX(Table2[LEASE USE],MATCH(rrcworking[[#This Row],[Magnum Wolfpak '#]],Table2[Rox Wolf'#],0))),0,INDEX(Table2[LEASE USE],MATCH(rrcworking[[#This Row],[Magnum Wolfpak '#]],Table2[Rox Wolf'#],0)))</f>
        <v>0</v>
      </c>
      <c r="AB149" s="57">
        <f>rrcworking[[#This Row],[Disposition Volume (MCF) @ 14.65 MCF]]+rrcworking[[#This Row],[Lease Use (MCF)]]</f>
        <v>0</v>
      </c>
      <c r="AC149" s="63"/>
      <c r="AD149" s="37"/>
      <c r="AE149" s="220">
        <f>COUNTIF(FilterList,rrcworking[[#This Row],[Magnum Wolfpak '#]])</f>
        <v>0</v>
      </c>
      <c r="AF149" s="217"/>
      <c r="AG149" s="218"/>
      <c r="AH149" s="37"/>
      <c r="AI149" s="37"/>
      <c r="AJ149" s="37"/>
      <c r="AK149" s="37"/>
      <c r="AL149" s="37"/>
      <c r="AM149" s="37"/>
      <c r="AN149" s="37"/>
      <c r="AO149" s="37"/>
      <c r="AP149" s="37"/>
      <c r="AQ149" s="37"/>
    </row>
    <row r="150" spans="3:43" ht="15" hidden="1">
      <c r="C150" s="80" t="e">
        <v>#N/A</v>
      </c>
      <c r="D150" s="62" t="s">
        <v>150</v>
      </c>
      <c r="E150" s="133" t="s">
        <v>151</v>
      </c>
      <c r="F150" s="131">
        <v>1</v>
      </c>
      <c r="G150" s="122" t="s">
        <v>1097</v>
      </c>
      <c r="H150" s="18" t="s">
        <v>621</v>
      </c>
      <c r="I150" s="18" t="s">
        <v>59</v>
      </c>
      <c r="J150" s="19" t="s">
        <v>460</v>
      </c>
      <c r="K150" s="103">
        <v>253385</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53</v>
      </c>
      <c r="O150" s="106" t="b">
        <f t="shared" si="4"/>
        <v>1</v>
      </c>
      <c r="P150" s="214">
        <v>0</v>
      </c>
      <c r="Q150" s="129">
        <f>rrcworking[[#This Row],[Last Month Closing Stock]]</f>
        <v>53</v>
      </c>
      <c r="R150" s="214">
        <f>rrcworking[[#This Row],[Opening Oil Stock]]</f>
        <v>53</v>
      </c>
      <c r="S150" s="148">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Production Vol]]-rrcworking[[#This Row],[Oil Production]]</f>
        <v>0</v>
      </c>
      <c r="V150" s="148">
        <f>IF(ISERROR(INDEX(Table2[GAS],MATCH(rrcworking[[#This Row],[Magnum Wolfpak '#]],Table2[Rox Wolf'#],0))),0,INDEX(Table2[GAS],MATCH(rrcworking[[#This Row],[Magnum Wolfpak '#]],Table2[Rox Wolf'#],0)))</f>
        <v>0</v>
      </c>
      <c r="W150" s="24"/>
      <c r="X150" s="137">
        <f>IF(rrcworking[[#This Row],[Pressure Base]]=14.73,rrcworking[[#This Row],[Gas Sales Statement Volume (MCF)]]*$R$2,rrcworking[[#This Row],[Gas Sales Statement Volume (MCF)]])</f>
        <v>0</v>
      </c>
      <c r="Y150" s="60"/>
      <c r="Z150" s="60"/>
      <c r="AA150" s="148">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220">
        <f>COUNTIF(FilterList,rrcworking[[#This Row],[Magnum Wolfpak '#]])</f>
        <v>0</v>
      </c>
      <c r="AF150" s="217"/>
      <c r="AG150" s="218"/>
      <c r="AH150" s="37"/>
      <c r="AI150" s="37"/>
      <c r="AJ150" s="37"/>
      <c r="AK150" s="37"/>
      <c r="AL150" s="37"/>
      <c r="AM150" s="37"/>
      <c r="AN150" s="37"/>
      <c r="AO150" s="37"/>
      <c r="AP150" s="37"/>
      <c r="AQ150" s="37"/>
    </row>
    <row r="151" spans="3:43" ht="60" hidden="1">
      <c r="C151" s="80">
        <v>98910</v>
      </c>
      <c r="D151" s="62" t="s">
        <v>282</v>
      </c>
      <c r="E151" s="133" t="s">
        <v>283</v>
      </c>
      <c r="F151" s="131">
        <v>0</v>
      </c>
      <c r="G151" s="122" t="s">
        <v>1097</v>
      </c>
      <c r="H151" s="18" t="s">
        <v>621</v>
      </c>
      <c r="I151" s="18" t="s">
        <v>2</v>
      </c>
      <c r="J151" s="19" t="s">
        <v>537</v>
      </c>
      <c r="K151" s="103">
        <v>11349</v>
      </c>
      <c r="L151" s="101">
        <f>INDEX(Table1[Production],MATCH(rrcworking[[#This Row],[RRC ID Number]],Table1[RRC Identifier],0))</f>
        <v>1228</v>
      </c>
      <c r="M151" s="30">
        <f>INDEX(Table1[Formation Production],MATCH(rrcworking[[#This Row],[RRC ID Number]],Table1[RRC Identifier],0))</f>
        <v>124</v>
      </c>
      <c r="N151" s="31">
        <f>INDEX(Table1[On Hand End of Month],MATCH(rrcworking[[#This Row],[RRC ID Number]],Table1[RRC Identifier],0))</f>
        <v>172</v>
      </c>
      <c r="O151" s="106" t="b">
        <f t="shared" si="4"/>
        <v>0</v>
      </c>
      <c r="P151" s="214">
        <v>1142</v>
      </c>
      <c r="Q151" s="129">
        <f>rrcworking[[#This Row],[Last Month Closing Stock]]</f>
        <v>172</v>
      </c>
      <c r="R151" s="215">
        <v>205</v>
      </c>
      <c r="S151" s="148">
        <f>IF(ISERROR(INDEX(Table2[OIL],MATCH(rrcworking[[#This Row],[Magnum Wolfpak '#]],Table2[Rox Wolf'#],0))),0,INDEX(Table2[OIL],MATCH(rrcworking[[#This Row],[Magnum Wolfpak '#]],Table2[Rox Wolf'#],0)))</f>
        <v>1144</v>
      </c>
      <c r="T151" s="35">
        <f>rrcworking[[#This Row],[Closing Stock (Oil)]]+rrcworking[[#This Row],[Sales/Dispostion]]-rrcworking[[#This Row],[Opening Oil Stock]]</f>
        <v>1177</v>
      </c>
      <c r="U151" s="112">
        <f>rrcworking[[#This Row],[Gauge Sheet Production Vol]]-rrcworking[[#This Row],[Oil Production]]</f>
        <v>-35</v>
      </c>
      <c r="V151" s="148">
        <f>IF(ISERROR(INDEX(Table2[GAS],MATCH(rrcworking[[#This Row],[Magnum Wolfpak '#]],Table2[Rox Wolf'#],0))),0,INDEX(Table2[GAS],MATCH(rrcworking[[#This Row],[Magnum Wolfpak '#]],Table2[Rox Wolf'#],0)))</f>
        <v>0</v>
      </c>
      <c r="W151" s="24"/>
      <c r="X151" s="137">
        <f>IF(rrcworking[[#This Row],[Pressure Base]]=14.73,rrcworking[[#This Row],[Gas Sales Statement Volume (MCF)]]*$R$2,rrcworking[[#This Row],[Gas Sales Statement Volume (MCF)]])</f>
        <v>0</v>
      </c>
      <c r="Y151" s="60"/>
      <c r="Z151" s="60">
        <v>4</v>
      </c>
      <c r="AA151" s="148">
        <f>IF(ISERROR(INDEX(Table2[LEASE USE],MATCH(rrcworking[[#This Row],[Magnum Wolfpak '#]],Table2[Rox Wolf'#],0))),0,INDEX(Table2[LEASE USE],MATCH(rrcworking[[#This Row],[Magnum Wolfpak '#]],Table2[Rox Wolf'#],0)))</f>
        <v>120</v>
      </c>
      <c r="AB151" s="57">
        <f>rrcworking[[#This Row],[Disposition Volume (MCF) @ 14.65 MCF]]+rrcworking[[#This Row],[Lease Use (MCF)]]</f>
        <v>120</v>
      </c>
      <c r="AC151" s="37"/>
      <c r="AD151" s="37" t="s">
        <v>1175</v>
      </c>
      <c r="AE151" s="220">
        <f>COUNTIF(FilterList,rrcworking[[#This Row],[Magnum Wolfpak '#]])</f>
        <v>0</v>
      </c>
      <c r="AF151" s="217"/>
      <c r="AG151" s="218"/>
      <c r="AH151" s="37"/>
      <c r="AI151" s="218"/>
      <c r="AJ151" s="219"/>
      <c r="AK151" s="219"/>
      <c r="AL151" s="219"/>
      <c r="AM151" s="219"/>
      <c r="AN151" s="219"/>
      <c r="AO151" s="219"/>
      <c r="AP151" s="37" t="s">
        <v>1204</v>
      </c>
      <c r="AQ151" s="37" t="s">
        <v>1240</v>
      </c>
    </row>
    <row r="152" spans="3:43" ht="15" hidden="1">
      <c r="C152" s="80" t="e">
        <v>#N/A</v>
      </c>
      <c r="D152" s="62" t="s">
        <v>322</v>
      </c>
      <c r="E152" s="133" t="s">
        <v>323</v>
      </c>
      <c r="F152" s="131">
        <v>1</v>
      </c>
      <c r="G152" s="122" t="s">
        <v>1097</v>
      </c>
      <c r="H152" s="18" t="s">
        <v>622</v>
      </c>
      <c r="I152" s="18" t="s">
        <v>59</v>
      </c>
      <c r="J152" s="19" t="s">
        <v>561</v>
      </c>
      <c r="K152" s="103">
        <v>167923</v>
      </c>
      <c r="L152" s="101">
        <f>INDEX(Table1[Production],MATCH(rrcworking[[#This Row],[RRC ID Number]],Table1[RRC Identifier],0))</f>
        <v>0</v>
      </c>
      <c r="M152" s="30">
        <f>INDEX(Table1[Formation Production],MATCH(rrcworking[[#This Row],[RRC ID Number]],Table1[RRC Identifier],0))</f>
        <v>0</v>
      </c>
      <c r="N152" s="31">
        <f>INDEX(Table1[On Hand End of Month],MATCH(rrcworking[[#This Row],[RRC ID Number]],Table1[RRC Identifier],0))</f>
        <v>0</v>
      </c>
      <c r="O152" s="106" t="b">
        <f t="shared" si="4"/>
        <v>1</v>
      </c>
      <c r="P152" s="214"/>
      <c r="Q152" s="129">
        <f>rrcworking[[#This Row],[Last Month Closing Stock]]</f>
        <v>0</v>
      </c>
      <c r="R152" s="214"/>
      <c r="S152" s="148">
        <f>IF(ISERROR(INDEX(Table2[OIL],MATCH(rrcworking[[#This Row],[Magnum Wolfpak '#]],Table2[Rox Wolf'#],0))),0,INDEX(Table2[OIL],MATCH(rrcworking[[#This Row],[Magnum Wolfpak '#]],Table2[Rox Wolf'#],0)))</f>
        <v>0</v>
      </c>
      <c r="T152" s="35">
        <f>rrcworking[[#This Row],[Closing Stock (Oil)]]+rrcworking[[#This Row],[Sales/Dispostion]]-rrcworking[[#This Row],[Opening Oil Stock]]</f>
        <v>0</v>
      </c>
      <c r="U152" s="112">
        <f>rrcworking[[#This Row],[Gauge Sheet Production Vol]]-rrcworking[[#This Row],[Oil Production]]</f>
        <v>0</v>
      </c>
      <c r="V152" s="148">
        <f>IF(ISERROR(INDEX(Table2[GAS],MATCH(rrcworking[[#This Row],[Magnum Wolfpak '#]],Table2[Rox Wolf'#],0))),0,INDEX(Table2[GAS],MATCH(rrcworking[[#This Row],[Magnum Wolfpak '#]],Table2[Rox Wolf'#],0)))</f>
        <v>0</v>
      </c>
      <c r="W152" s="24"/>
      <c r="X152" s="137">
        <f>IF(rrcworking[[#This Row],[Pressure Base]]=14.73,rrcworking[[#This Row],[Gas Sales Statement Volume (MCF)]]*$R$2,rrcworking[[#This Row],[Gas Sales Statement Volume (MCF)]])</f>
        <v>0</v>
      </c>
      <c r="Y152" s="60"/>
      <c r="Z152" s="60"/>
      <c r="AA152" s="148">
        <f>IF(ISERROR(INDEX(Table2[LEASE USE],MATCH(rrcworking[[#This Row],[Magnum Wolfpak '#]],Table2[Rox Wolf'#],0))),0,INDEX(Table2[LEASE USE],MATCH(rrcworking[[#This Row],[Magnum Wolfpak '#]],Table2[Rox Wolf'#],0)))</f>
        <v>0</v>
      </c>
      <c r="AB152" s="57">
        <f>rrcworking[[#This Row],[Disposition Volume (MCF) @ 14.65 MCF]]+rrcworking[[#This Row],[Lease Use (MCF)]]</f>
        <v>0</v>
      </c>
      <c r="AC152" s="37"/>
      <c r="AD152" s="37"/>
      <c r="AE152" s="220">
        <f>COUNTIF(FilterList,rrcworking[[#This Row],[Magnum Wolfpak '#]])</f>
        <v>0</v>
      </c>
      <c r="AF152" s="217"/>
      <c r="AG152" s="218"/>
      <c r="AH152" s="37"/>
      <c r="AI152" s="37"/>
      <c r="AJ152" s="37"/>
      <c r="AK152" s="37"/>
      <c r="AL152" s="37"/>
      <c r="AM152" s="37"/>
      <c r="AN152" s="37"/>
      <c r="AO152" s="37"/>
      <c r="AP152" s="37"/>
      <c r="AQ152" s="37"/>
    </row>
    <row r="153" spans="3:43" ht="15" hidden="1">
      <c r="C153" s="80" t="e">
        <v>#N/A</v>
      </c>
      <c r="D153" s="62" t="s">
        <v>263</v>
      </c>
      <c r="E153" s="133" t="s">
        <v>264</v>
      </c>
      <c r="F153" s="131">
        <v>1</v>
      </c>
      <c r="G153" s="122" t="s">
        <v>1097</v>
      </c>
      <c r="H153" s="18" t="s">
        <v>621</v>
      </c>
      <c r="I153" s="18" t="s">
        <v>59</v>
      </c>
      <c r="J153" s="19" t="s">
        <v>522</v>
      </c>
      <c r="K153" s="103">
        <v>47134</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214"/>
      <c r="Q153" s="129">
        <f>rrcworking[[#This Row],[Last Month Closing Stock]]</f>
        <v>0</v>
      </c>
      <c r="R153" s="214"/>
      <c r="S153" s="148">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Production Vol]]-rrcworking[[#This Row],[Oil Production]]</f>
        <v>0</v>
      </c>
      <c r="V153" s="148">
        <f>IF(ISERROR(INDEX(Table2[GAS],MATCH(rrcworking[[#This Row],[Magnum Wolfpak '#]],Table2[Rox Wolf'#],0))),0,INDEX(Table2[GAS],MATCH(rrcworking[[#This Row],[Magnum Wolfpak '#]],Table2[Rox Wolf'#],0)))</f>
        <v>0</v>
      </c>
      <c r="W153" s="24"/>
      <c r="X153" s="137">
        <f>IF(rrcworking[[#This Row],[Pressure Base]]=14.73,rrcworking[[#This Row],[Gas Sales Statement Volume (MCF)]]*$R$2,rrcworking[[#This Row],[Gas Sales Statement Volume (MCF)]])</f>
        <v>0</v>
      </c>
      <c r="Y153" s="60"/>
      <c r="Z153" s="60"/>
      <c r="AA153" s="148">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220">
        <f>COUNTIF(FilterList,rrcworking[[#This Row],[Magnum Wolfpak '#]])</f>
        <v>0</v>
      </c>
      <c r="AF153" s="217"/>
      <c r="AG153" s="218"/>
      <c r="AH153" s="37"/>
      <c r="AI153" s="37"/>
      <c r="AJ153" s="37"/>
      <c r="AK153" s="37"/>
      <c r="AL153" s="37"/>
      <c r="AM153" s="37"/>
      <c r="AN153" s="37"/>
      <c r="AO153" s="37"/>
      <c r="AP153" s="37"/>
      <c r="AQ153" s="37"/>
    </row>
    <row r="154" spans="3:43" ht="15">
      <c r="C154" s="80">
        <v>98401</v>
      </c>
      <c r="D154" s="62" t="s">
        <v>261</v>
      </c>
      <c r="E154" s="133" t="s">
        <v>262</v>
      </c>
      <c r="F154" s="131">
        <v>2</v>
      </c>
      <c r="G154" s="122" t="s">
        <v>1097</v>
      </c>
      <c r="H154" s="18" t="s">
        <v>621</v>
      </c>
      <c r="I154" s="18" t="s">
        <v>59</v>
      </c>
      <c r="J154" s="19" t="s">
        <v>521</v>
      </c>
      <c r="K154" s="103">
        <v>193384</v>
      </c>
      <c r="L154" s="101">
        <f>INDEX(Table1[Production],MATCH(rrcworking[[#This Row],[RRC ID Number]],Table1[RRC Identifier],0))</f>
        <v>28</v>
      </c>
      <c r="M154" s="30">
        <f>INDEX(Table1[Formation Production],MATCH(rrcworking[[#This Row],[RRC ID Number]],Table1[RRC Identifier],0))</f>
        <v>1694</v>
      </c>
      <c r="N154" s="31">
        <f>INDEX(Table1[On Hand End of Month],MATCH(rrcworking[[#This Row],[RRC ID Number]],Table1[RRC Identifier],0))</f>
        <v>210</v>
      </c>
      <c r="O154" s="106" t="b">
        <f t="shared" si="4"/>
        <v>0</v>
      </c>
      <c r="P154" s="214">
        <v>0</v>
      </c>
      <c r="Q154" s="129">
        <f>rrcworking[[#This Row],[Last Month Closing Stock]]</f>
        <v>210</v>
      </c>
      <c r="R154" s="215">
        <v>51</v>
      </c>
      <c r="S154" s="148">
        <f>IF(ISERROR(INDEX(Table2[OIL],MATCH(rrcworking[[#This Row],[Magnum Wolfpak '#]],Table2[Rox Wolf'#],0))),0,INDEX(Table2[OIL],MATCH(rrcworking[[#This Row],[Magnum Wolfpak '#]],Table2[Rox Wolf'#],0)))</f>
        <v>159</v>
      </c>
      <c r="T154" s="35">
        <f>rrcworking[[#This Row],[Closing Stock (Oil)]]+rrcworking[[#This Row],[Sales/Dispostion]]-rrcworking[[#This Row],[Opening Oil Stock]]</f>
        <v>0</v>
      </c>
      <c r="U154" s="112">
        <f>rrcworking[[#This Row],[Gauge Sheet Production Vol]]-rrcworking[[#This Row],[Oil Production]]</f>
        <v>0</v>
      </c>
      <c r="V154" s="148">
        <f>IF(ISERROR(INDEX(Table2[GAS],MATCH(rrcworking[[#This Row],[Magnum Wolfpak '#]],Table2[Rox Wolf'#],0))),0,INDEX(Table2[GAS],MATCH(rrcworking[[#This Row],[Magnum Wolfpak '#]],Table2[Rox Wolf'#],0)))</f>
        <v>0</v>
      </c>
      <c r="W154" s="24"/>
      <c r="X154" s="137">
        <f>IF(rrcworking[[#This Row],[Pressure Base]]=14.73,rrcworking[[#This Row],[Gas Sales Statement Volume (MCF)]]*$R$2,rrcworking[[#This Row],[Gas Sales Statement Volume (MCF)]])</f>
        <v>0</v>
      </c>
      <c r="Y154" s="85"/>
      <c r="Z154" s="60">
        <v>3</v>
      </c>
      <c r="AA154" s="148">
        <f>IF(ISERROR(INDEX(Table2[LEASE USE],MATCH(rrcworking[[#This Row],[Magnum Wolfpak '#]],Table2[Rox Wolf'#],0))),0,INDEX(Table2[LEASE USE],MATCH(rrcworking[[#This Row],[Magnum Wolfpak '#]],Table2[Rox Wolf'#],0)))</f>
        <v>0</v>
      </c>
      <c r="AB154" s="57">
        <f>rrcworking[[#This Row],[Disposition Volume (MCF) @ 14.65 MCF]]+rrcworking[[#This Row],[Lease Use (MCF)]]</f>
        <v>0</v>
      </c>
      <c r="AC154" s="37"/>
      <c r="AD154" s="37"/>
      <c r="AE154" s="220">
        <f>COUNTIF(FilterList,rrcworking[[#This Row],[Magnum Wolfpak '#]])</f>
        <v>0</v>
      </c>
      <c r="AF154" s="217"/>
      <c r="AG154" s="218"/>
      <c r="AH154" s="37">
        <v>0</v>
      </c>
      <c r="AI154" s="218">
        <v>51</v>
      </c>
      <c r="AJ154" s="37">
        <v>2</v>
      </c>
      <c r="AK154" s="37" t="s">
        <v>1206</v>
      </c>
      <c r="AL154" s="37" t="s">
        <v>1206</v>
      </c>
      <c r="AM154" s="37" t="s">
        <v>1255</v>
      </c>
      <c r="AN154" s="37" t="s">
        <v>1206</v>
      </c>
      <c r="AO154" s="37" t="s">
        <v>1217</v>
      </c>
      <c r="AP154" s="37" t="s">
        <v>1263</v>
      </c>
      <c r="AQ154" s="37"/>
    </row>
    <row r="155" spans="3:43" ht="15" hidden="1">
      <c r="C155" s="80" t="e">
        <v>#N/A</v>
      </c>
      <c r="D155" s="62" t="s">
        <v>269</v>
      </c>
      <c r="E155" s="133" t="s">
        <v>270</v>
      </c>
      <c r="F155" s="131">
        <v>2</v>
      </c>
      <c r="G155" s="122" t="s">
        <v>1097</v>
      </c>
      <c r="H155" s="18" t="s">
        <v>621</v>
      </c>
      <c r="I155" s="18" t="s">
        <v>59</v>
      </c>
      <c r="J155" s="19" t="s">
        <v>525</v>
      </c>
      <c r="K155" s="103">
        <v>214235</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214"/>
      <c r="Q155" s="129">
        <f>rrcworking[[#This Row],[Last Month Closing Stock]]</f>
        <v>0</v>
      </c>
      <c r="R155" s="214"/>
      <c r="S155" s="148">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Production Vol]]-rrcworking[[#This Row],[Oil Production]]</f>
        <v>0</v>
      </c>
      <c r="V155" s="148">
        <f>IF(ISERROR(INDEX(Table2[GAS],MATCH(rrcworking[[#This Row],[Magnum Wolfpak '#]],Table2[Rox Wolf'#],0))),0,INDEX(Table2[GAS],MATCH(rrcworking[[#This Row],[Magnum Wolfpak '#]],Table2[Rox Wolf'#],0)))</f>
        <v>0</v>
      </c>
      <c r="W155" s="24"/>
      <c r="X155" s="137">
        <f>IF(rrcworking[[#This Row],[Pressure Base]]=14.73,rrcworking[[#This Row],[Gas Sales Statement Volume (MCF)]]*$R$2,rrcworking[[#This Row],[Gas Sales Statement Volume (MCF)]])</f>
        <v>0</v>
      </c>
      <c r="Y155" s="60"/>
      <c r="Z155" s="60"/>
      <c r="AA155" s="148">
        <f>IF(ISERROR(INDEX(Table2[LEASE USE],MATCH(rrcworking[[#This Row],[Magnum Wolfpak '#]],Table2[Rox Wolf'#],0))),0,INDEX(Table2[LEASE USE],MATCH(rrcworking[[#This Row],[Magnum Wolfpak '#]],Table2[Rox Wolf'#],0)))</f>
        <v>0</v>
      </c>
      <c r="AB155" s="57">
        <f>rrcworking[[#This Row],[Disposition Volume (MCF) @ 14.65 MCF]]+rrcworking[[#This Row],[Lease Use (MCF)]]</f>
        <v>0</v>
      </c>
      <c r="AC155" s="97"/>
      <c r="AD155" s="37"/>
      <c r="AE155" s="220">
        <f>COUNTIF(FilterList,rrcworking[[#This Row],[Magnum Wolfpak '#]])</f>
        <v>0</v>
      </c>
      <c r="AF155" s="217"/>
      <c r="AG155" s="218"/>
      <c r="AH155" s="37"/>
      <c r="AI155" s="37"/>
      <c r="AJ155" s="37"/>
      <c r="AK155" s="37"/>
      <c r="AL155" s="37"/>
      <c r="AM155" s="37"/>
      <c r="AN155" s="37"/>
      <c r="AO155" s="37"/>
      <c r="AP155" s="37"/>
      <c r="AQ155" s="37"/>
    </row>
    <row r="156" spans="3:43" ht="90">
      <c r="C156" s="80">
        <v>96901</v>
      </c>
      <c r="D156" s="62" t="s">
        <v>265</v>
      </c>
      <c r="E156" s="133" t="s">
        <v>266</v>
      </c>
      <c r="F156" s="131">
        <v>1</v>
      </c>
      <c r="G156" s="122" t="s">
        <v>1097</v>
      </c>
      <c r="H156" s="18" t="s">
        <v>621</v>
      </c>
      <c r="I156" s="18" t="s">
        <v>59</v>
      </c>
      <c r="J156" s="19" t="s">
        <v>523</v>
      </c>
      <c r="K156" s="103">
        <v>158691</v>
      </c>
      <c r="L156" s="101">
        <f>INDEX(Table1[Production],MATCH(rrcworking[[#This Row],[RRC ID Number]],Table1[RRC Identifier],0))</f>
        <v>0</v>
      </c>
      <c r="M156" s="30">
        <f>INDEX(Table1[Formation Production],MATCH(rrcworking[[#This Row],[RRC ID Number]],Table1[RRC Identifier],0))</f>
        <v>657</v>
      </c>
      <c r="N156" s="31">
        <f>INDEX(Table1[On Hand End of Month],MATCH(rrcworking[[#This Row],[RRC ID Number]],Table1[RRC Identifier],0))</f>
        <v>125</v>
      </c>
      <c r="O156" s="106" t="b">
        <f t="shared" si="4"/>
        <v>0</v>
      </c>
      <c r="P156" s="214">
        <v>19</v>
      </c>
      <c r="Q156" s="129">
        <f>rrcworking[[#This Row],[Last Month Closing Stock]]</f>
        <v>125</v>
      </c>
      <c r="R156" s="215">
        <v>144</v>
      </c>
      <c r="S156" s="148">
        <f>IF(ISERROR(INDEX(Table2[OIL],MATCH(rrcworking[[#This Row],[Magnum Wolfpak '#]],Table2[Rox Wolf'#],0))),0,INDEX(Table2[OIL],MATCH(rrcworking[[#This Row],[Magnum Wolfpak '#]],Table2[Rox Wolf'#],0)))</f>
        <v>0</v>
      </c>
      <c r="T156" s="35">
        <f>rrcworking[[#This Row],[Closing Stock (Oil)]]+rrcworking[[#This Row],[Sales/Dispostion]]-rrcworking[[#This Row],[Opening Oil Stock]]</f>
        <v>19</v>
      </c>
      <c r="U156" s="112">
        <f>rrcworking[[#This Row],[Gauge Sheet Production Vol]]-rrcworking[[#This Row],[Oil Production]]</f>
        <v>0</v>
      </c>
      <c r="V156" s="148">
        <f>IF(ISERROR(INDEX(Table2[GAS],MATCH(rrcworking[[#This Row],[Magnum Wolfpak '#]],Table2[Rox Wolf'#],0))),0,INDEX(Table2[GAS],MATCH(rrcworking[[#This Row],[Magnum Wolfpak '#]],Table2[Rox Wolf'#],0)))</f>
        <v>2</v>
      </c>
      <c r="W156" s="24"/>
      <c r="X156" s="137">
        <f>IF(rrcworking[[#This Row],[Pressure Base]]=14.73,rrcworking[[#This Row],[Gas Sales Statement Volume (MCF)]]*$R$2,rrcworking[[#This Row],[Gas Sales Statement Volume (MCF)]])</f>
        <v>2</v>
      </c>
      <c r="Y156" s="85"/>
      <c r="Z156" s="60">
        <v>1</v>
      </c>
      <c r="AA156" s="148">
        <f>IF(ISERROR(INDEX(Table2[LEASE USE],MATCH(rrcworking[[#This Row],[Magnum Wolfpak '#]],Table2[Rox Wolf'#],0))),0,INDEX(Table2[LEASE USE],MATCH(rrcworking[[#This Row],[Magnum Wolfpak '#]],Table2[Rox Wolf'#],0)))</f>
        <v>30</v>
      </c>
      <c r="AB156" s="57">
        <f>rrcworking[[#This Row],[Disposition Volume (MCF) @ 14.65 MCF]]+rrcworking[[#This Row],[Lease Use (MCF)]]</f>
        <v>32</v>
      </c>
      <c r="AC156" s="37"/>
      <c r="AD156" s="37" t="s">
        <v>1183</v>
      </c>
      <c r="AE156" s="220">
        <f>COUNTIF(FilterList,rrcworking[[#This Row],[Magnum Wolfpak '#]])</f>
        <v>0</v>
      </c>
      <c r="AF156" s="217"/>
      <c r="AG156" s="218"/>
      <c r="AH156" s="37">
        <v>19</v>
      </c>
      <c r="AI156" s="218">
        <v>54</v>
      </c>
      <c r="AJ156" s="37">
        <v>1</v>
      </c>
      <c r="AK156" s="37" t="s">
        <v>1206</v>
      </c>
      <c r="AL156" s="37" t="s">
        <v>1206</v>
      </c>
      <c r="AM156" s="37" t="s">
        <v>1235</v>
      </c>
      <c r="AN156" s="37" t="s">
        <v>1206</v>
      </c>
      <c r="AO156" s="37" t="s">
        <v>1217</v>
      </c>
      <c r="AP156" s="37" t="s">
        <v>1263</v>
      </c>
      <c r="AQ156" s="37"/>
    </row>
    <row r="157" spans="3:43" ht="15" hidden="1">
      <c r="C157" s="80" t="e">
        <v>#N/A</v>
      </c>
      <c r="D157" s="62" t="s">
        <v>240</v>
      </c>
      <c r="E157" s="133" t="s">
        <v>241</v>
      </c>
      <c r="F157" s="131">
        <v>1</v>
      </c>
      <c r="G157" s="122" t="s">
        <v>1097</v>
      </c>
      <c r="H157" s="18" t="s">
        <v>621</v>
      </c>
      <c r="I157" s="18" t="s">
        <v>59</v>
      </c>
      <c r="J157" s="19" t="s">
        <v>510</v>
      </c>
      <c r="K157" s="103">
        <v>214543</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214"/>
      <c r="Q157" s="129">
        <f>rrcworking[[#This Row],[Last Month Closing Stock]]</f>
        <v>0</v>
      </c>
      <c r="R157" s="214"/>
      <c r="S157" s="148">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Production Vol]]-rrcworking[[#This Row],[Oil Production]]</f>
        <v>0</v>
      </c>
      <c r="V157" s="148">
        <f>IF(ISERROR(INDEX(Table2[GAS],MATCH(rrcworking[[#This Row],[Magnum Wolfpak '#]],Table2[Rox Wolf'#],0))),0,INDEX(Table2[GAS],MATCH(rrcworking[[#This Row],[Magnum Wolfpak '#]],Table2[Rox Wolf'#],0)))</f>
        <v>0</v>
      </c>
      <c r="W157" s="24"/>
      <c r="X157" s="137">
        <f>IF(rrcworking[[#This Row],[Pressure Base]]=14.73,rrcworking[[#This Row],[Gas Sales Statement Volume (MCF)]]*$R$2,rrcworking[[#This Row],[Gas Sales Statement Volume (MCF)]])</f>
        <v>0</v>
      </c>
      <c r="Y157" s="60"/>
      <c r="Z157" s="60"/>
      <c r="AA157" s="148">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220">
        <f>COUNTIF(FilterList,rrcworking[[#This Row],[Magnum Wolfpak '#]])</f>
        <v>0</v>
      </c>
      <c r="AF157" s="217"/>
      <c r="AG157" s="218"/>
      <c r="AH157" s="37"/>
      <c r="AI157" s="37"/>
      <c r="AJ157" s="37"/>
      <c r="AK157" s="37"/>
      <c r="AL157" s="37"/>
      <c r="AM157" s="37"/>
      <c r="AN157" s="37"/>
      <c r="AO157" s="37"/>
      <c r="AP157" s="37"/>
      <c r="AQ157" s="37"/>
    </row>
    <row r="158" spans="3:43" ht="15">
      <c r="C158" s="80">
        <v>99101</v>
      </c>
      <c r="D158" s="62" t="s">
        <v>207</v>
      </c>
      <c r="E158" s="133" t="s">
        <v>208</v>
      </c>
      <c r="F158" s="131" t="s">
        <v>209</v>
      </c>
      <c r="G158" s="122" t="s">
        <v>1097</v>
      </c>
      <c r="H158" s="18" t="s">
        <v>621</v>
      </c>
      <c r="I158" s="18" t="s">
        <v>59</v>
      </c>
      <c r="J158" s="19" t="s">
        <v>493</v>
      </c>
      <c r="K158" s="103">
        <v>284976</v>
      </c>
      <c r="L158" s="101">
        <f>INDEX(Table1[Production],MATCH(rrcworking[[#This Row],[RRC ID Number]],Table1[RRC Identifier],0))</f>
        <v>167</v>
      </c>
      <c r="M158" s="30">
        <f>INDEX(Table1[Formation Production],MATCH(rrcworking[[#This Row],[RRC ID Number]],Table1[RRC Identifier],0))</f>
        <v>16949</v>
      </c>
      <c r="N158" s="31">
        <f>INDEX(Table1[On Hand End of Month],MATCH(rrcworking[[#This Row],[RRC ID Number]],Table1[RRC Identifier],0))</f>
        <v>271</v>
      </c>
      <c r="O158" s="106" t="b">
        <f t="shared" si="4"/>
        <v>0</v>
      </c>
      <c r="P158" s="214">
        <v>162</v>
      </c>
      <c r="Q158" s="129">
        <f>rrcworking[[#This Row],[Last Month Closing Stock]]</f>
        <v>271</v>
      </c>
      <c r="R158" s="215">
        <v>255</v>
      </c>
      <c r="S158" s="148">
        <f>IF(ISERROR(INDEX(Table2[OIL],MATCH(rrcworking[[#This Row],[Magnum Wolfpak '#]],Table2[Rox Wolf'#],0))),0,INDEX(Table2[OIL],MATCH(rrcworking[[#This Row],[Magnum Wolfpak '#]],Table2[Rox Wolf'#],0)))</f>
        <v>175</v>
      </c>
      <c r="T158" s="35">
        <f>rrcworking[[#This Row],[Closing Stock (Oil)]]+rrcworking[[#This Row],[Sales/Dispostion]]-rrcworking[[#This Row],[Opening Oil Stock]]</f>
        <v>159</v>
      </c>
      <c r="U158" s="112">
        <f>rrcworking[[#This Row],[Gauge Sheet Production Vol]]-rrcworking[[#This Row],[Oil Production]]</f>
        <v>3</v>
      </c>
      <c r="V158" s="148">
        <f>IF(ISERROR(INDEX(Table2[GAS],MATCH(rrcworking[[#This Row],[Magnum Wolfpak '#]],Table2[Rox Wolf'#],0))),0,INDEX(Table2[GAS],MATCH(rrcworking[[#This Row],[Magnum Wolfpak '#]],Table2[Rox Wolf'#],0)))</f>
        <v>16745</v>
      </c>
      <c r="W158" s="24"/>
      <c r="X158" s="137">
        <f>IF(rrcworking[[#This Row],[Pressure Base]]=14.73,rrcworking[[#This Row],[Gas Sales Statement Volume (MCF)]]*$R$2,rrcworking[[#This Row],[Gas Sales Statement Volume (MCF)]])</f>
        <v>16745</v>
      </c>
      <c r="Y158" s="60"/>
      <c r="Z158" s="60"/>
      <c r="AA158" s="148">
        <f>IF(ISERROR(INDEX(Table2[LEASE USE],MATCH(rrcworking[[#This Row],[Magnum Wolfpak '#]],Table2[Rox Wolf'#],0))),0,INDEX(Table2[LEASE USE],MATCH(rrcworking[[#This Row],[Magnum Wolfpak '#]],Table2[Rox Wolf'#],0)))</f>
        <v>0</v>
      </c>
      <c r="AB158" s="57">
        <f>rrcworking[[#This Row],[Disposition Volume (MCF) @ 14.65 MCF]]+rrcworking[[#This Row],[Lease Use (MCF)]]</f>
        <v>16745</v>
      </c>
      <c r="AC158" s="37"/>
      <c r="AD158" s="37"/>
      <c r="AE158" s="220">
        <f>COUNTIF(FilterList,rrcworking[[#This Row],[Magnum Wolfpak '#]])</f>
        <v>0</v>
      </c>
      <c r="AF158" s="217"/>
      <c r="AG158" s="218"/>
      <c r="AH158" s="37">
        <v>162</v>
      </c>
      <c r="AI158" s="218">
        <v>255</v>
      </c>
      <c r="AJ158" s="37">
        <v>3</v>
      </c>
      <c r="AK158" s="37" t="s">
        <v>1152</v>
      </c>
      <c r="AL158" s="37" t="s">
        <v>1152</v>
      </c>
      <c r="AM158" s="37" t="s">
        <v>1220</v>
      </c>
      <c r="AN158" s="37" t="s">
        <v>1152</v>
      </c>
      <c r="AO158" s="37" t="s">
        <v>1217</v>
      </c>
      <c r="AP158" s="37" t="s">
        <v>1264</v>
      </c>
      <c r="AQ158" s="37"/>
    </row>
    <row r="159" spans="3:43" ht="15" hidden="1">
      <c r="C159" s="80" t="e">
        <v>#N/A</v>
      </c>
      <c r="D159" s="62" t="s">
        <v>293</v>
      </c>
      <c r="E159" s="133" t="s">
        <v>294</v>
      </c>
      <c r="F159" s="131">
        <v>5</v>
      </c>
      <c r="G159" s="122" t="s">
        <v>1097</v>
      </c>
      <c r="H159" s="18" t="s">
        <v>621</v>
      </c>
      <c r="I159" s="18" t="s">
        <v>59</v>
      </c>
      <c r="J159" s="19" t="s">
        <v>544</v>
      </c>
      <c r="K159" s="103">
        <v>179674</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214"/>
      <c r="Q159" s="129">
        <f>rrcworking[[#This Row],[Last Month Closing Stock]]</f>
        <v>0</v>
      </c>
      <c r="R159" s="214"/>
      <c r="S159" s="148">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Production Vol]]-rrcworking[[#This Row],[Oil Production]]</f>
        <v>0</v>
      </c>
      <c r="V159" s="148">
        <f>IF(ISERROR(INDEX(Table2[GAS],MATCH(rrcworking[[#This Row],[Magnum Wolfpak '#]],Table2[Rox Wolf'#],0))),0,INDEX(Table2[GAS],MATCH(rrcworking[[#This Row],[Magnum Wolfpak '#]],Table2[Rox Wolf'#],0)))</f>
        <v>0</v>
      </c>
      <c r="W159" s="24"/>
      <c r="X159" s="137">
        <f>IF(rrcworking[[#This Row],[Pressure Base]]=14.73,rrcworking[[#This Row],[Gas Sales Statement Volume (MCF)]]*$R$2,rrcworking[[#This Row],[Gas Sales Statement Volume (MCF)]])</f>
        <v>0</v>
      </c>
      <c r="Y159" s="60"/>
      <c r="Z159" s="60"/>
      <c r="AA159" s="148">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220">
        <f>COUNTIF(FilterList,rrcworking[[#This Row],[Magnum Wolfpak '#]])</f>
        <v>0</v>
      </c>
      <c r="AF159" s="217"/>
      <c r="AG159" s="218"/>
      <c r="AH159" s="37"/>
      <c r="AI159" s="37"/>
      <c r="AJ159" s="37"/>
      <c r="AK159" s="37"/>
      <c r="AL159" s="37"/>
      <c r="AM159" s="37"/>
      <c r="AN159" s="37"/>
      <c r="AO159" s="37"/>
      <c r="AP159" s="37"/>
      <c r="AQ159" s="37"/>
    </row>
    <row r="160" spans="3:43" ht="15" hidden="1">
      <c r="C160" s="80" t="e">
        <v>#N/A</v>
      </c>
      <c r="D160" s="62" t="s">
        <v>376</v>
      </c>
      <c r="E160" s="133" t="s">
        <v>377</v>
      </c>
      <c r="F160" s="131">
        <v>2</v>
      </c>
      <c r="G160" s="122" t="s">
        <v>1097</v>
      </c>
      <c r="H160" s="18" t="s">
        <v>622</v>
      </c>
      <c r="I160" s="18" t="s">
        <v>59</v>
      </c>
      <c r="J160" s="19" t="s">
        <v>594</v>
      </c>
      <c r="K160" s="103">
        <v>142434</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49</v>
      </c>
      <c r="O160" s="106" t="b">
        <f t="shared" si="4"/>
        <v>1</v>
      </c>
      <c r="P160" s="214">
        <v>0</v>
      </c>
      <c r="Q160" s="129">
        <f>rrcworking[[#This Row],[Last Month Closing Stock]]</f>
        <v>49</v>
      </c>
      <c r="R160" s="214">
        <f>rrcworking[[#This Row],[Opening Oil Stock]]</f>
        <v>49</v>
      </c>
      <c r="S160" s="148">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Production Vol]]-rrcworking[[#This Row],[Oil Production]]</f>
        <v>0</v>
      </c>
      <c r="V160" s="148">
        <f>IF(ISERROR(INDEX(Table2[GAS],MATCH(rrcworking[[#This Row],[Magnum Wolfpak '#]],Table2[Rox Wolf'#],0))),0,INDEX(Table2[GAS],MATCH(rrcworking[[#This Row],[Magnum Wolfpak '#]],Table2[Rox Wolf'#],0)))</f>
        <v>0</v>
      </c>
      <c r="W160" s="24"/>
      <c r="X160" s="137">
        <f>IF(rrcworking[[#This Row],[Pressure Base]]=14.73,rrcworking[[#This Row],[Gas Sales Statement Volume (MCF)]]*$R$2,rrcworking[[#This Row],[Gas Sales Statement Volume (MCF)]])</f>
        <v>0</v>
      </c>
      <c r="Y160" s="60"/>
      <c r="Z160" s="60"/>
      <c r="AA160" s="148">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220">
        <f>COUNTIF(FilterList,rrcworking[[#This Row],[Magnum Wolfpak '#]])</f>
        <v>0</v>
      </c>
      <c r="AF160" s="217"/>
      <c r="AG160" s="218"/>
      <c r="AH160" s="37"/>
      <c r="AI160" s="37"/>
      <c r="AJ160" s="37"/>
      <c r="AK160" s="37"/>
      <c r="AL160" s="37"/>
      <c r="AM160" s="37"/>
      <c r="AN160" s="37"/>
      <c r="AO160" s="37"/>
      <c r="AP160" s="37"/>
      <c r="AQ160" s="37"/>
    </row>
    <row r="161" spans="3:43" ht="15" hidden="1">
      <c r="C161" s="80" t="e">
        <v>#N/A</v>
      </c>
      <c r="D161" s="62" t="s">
        <v>378</v>
      </c>
      <c r="E161" s="133" t="s">
        <v>379</v>
      </c>
      <c r="F161" s="131">
        <v>1</v>
      </c>
      <c r="G161" s="122" t="s">
        <v>1097</v>
      </c>
      <c r="H161" s="18" t="s">
        <v>622</v>
      </c>
      <c r="I161" s="18" t="s">
        <v>59</v>
      </c>
      <c r="J161" s="19" t="s">
        <v>595</v>
      </c>
      <c r="K161" s="103">
        <v>142269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0</v>
      </c>
      <c r="O161" s="106" t="b">
        <f t="shared" si="4"/>
        <v>1</v>
      </c>
      <c r="P161" s="214"/>
      <c r="Q161" s="129">
        <f>rrcworking[[#This Row],[Last Month Closing Stock]]</f>
        <v>0</v>
      </c>
      <c r="R161" s="214"/>
      <c r="S161" s="148">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Production Vol]]-rrcworking[[#This Row],[Oil Production]]</f>
        <v>0</v>
      </c>
      <c r="V161" s="148">
        <f>IF(ISERROR(INDEX(Table2[GAS],MATCH(rrcworking[[#This Row],[Magnum Wolfpak '#]],Table2[Rox Wolf'#],0))),0,INDEX(Table2[GAS],MATCH(rrcworking[[#This Row],[Magnum Wolfpak '#]],Table2[Rox Wolf'#],0)))</f>
        <v>0</v>
      </c>
      <c r="W161" s="24"/>
      <c r="X161" s="137">
        <f>IF(rrcworking[[#This Row],[Pressure Base]]=14.73,rrcworking[[#This Row],[Gas Sales Statement Volume (MCF)]]*$R$2,rrcworking[[#This Row],[Gas Sales Statement Volume (MCF)]])</f>
        <v>0</v>
      </c>
      <c r="Y161" s="60"/>
      <c r="Z161" s="60"/>
      <c r="AA161" s="148">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220">
        <f>COUNTIF(FilterList,rrcworking[[#This Row],[Magnum Wolfpak '#]])</f>
        <v>0</v>
      </c>
      <c r="AF161" s="217"/>
      <c r="AG161" s="218"/>
      <c r="AH161" s="37"/>
      <c r="AI161" s="37"/>
      <c r="AJ161" s="37"/>
      <c r="AK161" s="37"/>
      <c r="AL161" s="37"/>
      <c r="AM161" s="37"/>
      <c r="AN161" s="37"/>
      <c r="AO161" s="37"/>
      <c r="AP161" s="37"/>
      <c r="AQ161" s="37"/>
    </row>
    <row r="162" spans="3:43" ht="15" hidden="1">
      <c r="C162" s="80" t="e">
        <v>#N/A</v>
      </c>
      <c r="D162" s="62" t="s">
        <v>273</v>
      </c>
      <c r="E162" s="133" t="s">
        <v>274</v>
      </c>
      <c r="F162" s="131">
        <v>1</v>
      </c>
      <c r="G162" s="122" t="s">
        <v>1097</v>
      </c>
      <c r="H162" s="18" t="s">
        <v>621</v>
      </c>
      <c r="I162" s="18" t="s">
        <v>59</v>
      </c>
      <c r="J162" s="19" t="s">
        <v>527</v>
      </c>
      <c r="K162" s="103">
        <v>238352</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6" t="b">
        <f t="shared" si="4"/>
        <v>1</v>
      </c>
      <c r="P162" s="214"/>
      <c r="Q162" s="129">
        <f>rrcworking[[#This Row],[Last Month Closing Stock]]</f>
        <v>0</v>
      </c>
      <c r="R162" s="214"/>
      <c r="S162" s="148">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Production Vol]]-rrcworking[[#This Row],[Oil Production]]</f>
        <v>0</v>
      </c>
      <c r="V162" s="148">
        <f>IF(ISERROR(INDEX(Table2[GAS],MATCH(rrcworking[[#This Row],[Magnum Wolfpak '#]],Table2[Rox Wolf'#],0))),0,INDEX(Table2[GAS],MATCH(rrcworking[[#This Row],[Magnum Wolfpak '#]],Table2[Rox Wolf'#],0)))</f>
        <v>0</v>
      </c>
      <c r="W162" s="24"/>
      <c r="X162" s="137">
        <f>IF(rrcworking[[#This Row],[Pressure Base]]=14.73,rrcworking[[#This Row],[Gas Sales Statement Volume (MCF)]]*$R$2,rrcworking[[#This Row],[Gas Sales Statement Volume (MCF)]])</f>
        <v>0</v>
      </c>
      <c r="Y162" s="60"/>
      <c r="Z162" s="60"/>
      <c r="AA162" s="148">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220">
        <f>COUNTIF(FilterList,rrcworking[[#This Row],[Magnum Wolfpak '#]])</f>
        <v>0</v>
      </c>
      <c r="AF162" s="217"/>
      <c r="AG162" s="218"/>
      <c r="AH162" s="37"/>
      <c r="AI162" s="37"/>
      <c r="AJ162" s="37"/>
      <c r="AK162" s="37"/>
      <c r="AL162" s="37"/>
      <c r="AM162" s="37"/>
      <c r="AN162" s="37"/>
      <c r="AO162" s="37"/>
      <c r="AP162" s="37"/>
      <c r="AQ162" s="37"/>
    </row>
    <row r="163" spans="3:43" ht="15" hidden="1">
      <c r="C163" s="80" t="e">
        <v>#N/A</v>
      </c>
      <c r="D163" s="62" t="s">
        <v>197</v>
      </c>
      <c r="E163" s="133" t="s">
        <v>198</v>
      </c>
      <c r="F163" s="131">
        <v>0</v>
      </c>
      <c r="G163" s="122" t="s">
        <v>1097</v>
      </c>
      <c r="H163" s="18" t="s">
        <v>621</v>
      </c>
      <c r="I163" s="18" t="s">
        <v>2</v>
      </c>
      <c r="J163" s="19" t="s">
        <v>488</v>
      </c>
      <c r="K163" s="103">
        <v>27279</v>
      </c>
      <c r="L163" s="101">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229</v>
      </c>
      <c r="O163" s="106" t="b">
        <f t="shared" si="4"/>
        <v>1</v>
      </c>
      <c r="P163" s="214">
        <v>0</v>
      </c>
      <c r="Q163" s="129">
        <f>rrcworking[[#This Row],[Last Month Closing Stock]]</f>
        <v>229</v>
      </c>
      <c r="R163" s="214">
        <f>rrcworking[[#This Row],[Opening Oil Stock]]</f>
        <v>229</v>
      </c>
      <c r="S163" s="148">
        <f>IF(ISERROR(INDEX(Table2[OIL],MATCH(rrcworking[[#This Row],[Magnum Wolfpak '#]],Table2[Rox Wolf'#],0))),0,INDEX(Table2[OIL],MATCH(rrcworking[[#This Row],[Magnum Wolfpak '#]],Table2[Rox Wolf'#],0)))</f>
        <v>0</v>
      </c>
      <c r="T163" s="35">
        <f>rrcworking[[#This Row],[Closing Stock (Oil)]]+rrcworking[[#This Row],[Sales/Dispostion]]-rrcworking[[#This Row],[Opening Oil Stock]]</f>
        <v>0</v>
      </c>
      <c r="U163" s="112">
        <f>rrcworking[[#This Row],[Gauge Sheet Production Vol]]-rrcworking[[#This Row],[Oil Production]]</f>
        <v>0</v>
      </c>
      <c r="V163" s="148">
        <f>IF(ISERROR(INDEX(Table2[GAS],MATCH(rrcworking[[#This Row],[Magnum Wolfpak '#]],Table2[Rox Wolf'#],0))),0,INDEX(Table2[GAS],MATCH(rrcworking[[#This Row],[Magnum Wolfpak '#]],Table2[Rox Wolf'#],0)))</f>
        <v>0</v>
      </c>
      <c r="W163" s="24"/>
      <c r="X163" s="137">
        <f>IF(rrcworking[[#This Row],[Pressure Base]]=14.73,rrcworking[[#This Row],[Gas Sales Statement Volume (MCF)]]*$R$2,rrcworking[[#This Row],[Gas Sales Statement Volume (MCF)]])</f>
        <v>0</v>
      </c>
      <c r="Y163" s="60"/>
      <c r="Z163" s="60"/>
      <c r="AA163" s="148">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220">
        <f>COUNTIF(FilterList,rrcworking[[#This Row],[Magnum Wolfpak '#]])</f>
        <v>0</v>
      </c>
      <c r="AF163" s="217"/>
      <c r="AG163" s="218"/>
      <c r="AH163" s="37"/>
      <c r="AI163" s="37"/>
      <c r="AJ163" s="37"/>
      <c r="AK163" s="37"/>
      <c r="AL163" s="37"/>
      <c r="AM163" s="37"/>
      <c r="AN163" s="37"/>
      <c r="AO163" s="37"/>
      <c r="AP163" s="37"/>
      <c r="AQ163" s="37"/>
    </row>
    <row r="164" spans="3:43" ht="15" hidden="1">
      <c r="C164" s="80" t="e">
        <v>#N/A</v>
      </c>
      <c r="D164" s="62" t="s">
        <v>100</v>
      </c>
      <c r="E164" s="133" t="s">
        <v>101</v>
      </c>
      <c r="F164" s="131">
        <v>1</v>
      </c>
      <c r="G164" s="122" t="s">
        <v>1097</v>
      </c>
      <c r="H164" s="18" t="s">
        <v>620</v>
      </c>
      <c r="I164" s="18" t="s">
        <v>59</v>
      </c>
      <c r="J164" s="19" t="s">
        <v>429</v>
      </c>
      <c r="K164" s="103">
        <v>192476</v>
      </c>
      <c r="L164" s="101">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116</v>
      </c>
      <c r="O164" s="106" t="b">
        <f t="shared" si="4"/>
        <v>1</v>
      </c>
      <c r="P164" s="214">
        <v>0</v>
      </c>
      <c r="Q164" s="129">
        <f>rrcworking[[#This Row],[Last Month Closing Stock]]</f>
        <v>116</v>
      </c>
      <c r="R164" s="214">
        <f>rrcworking[[#This Row],[Opening Oil Stock]]</f>
        <v>116</v>
      </c>
      <c r="S164" s="148">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Production Vol]]-rrcworking[[#This Row],[Oil Production]]</f>
        <v>0</v>
      </c>
      <c r="V164" s="148">
        <f>IF(ISERROR(INDEX(Table2[GAS],MATCH(rrcworking[[#This Row],[Magnum Wolfpak '#]],Table2[Rox Wolf'#],0))),0,INDEX(Table2[GAS],MATCH(rrcworking[[#This Row],[Magnum Wolfpak '#]],Table2[Rox Wolf'#],0)))</f>
        <v>0</v>
      </c>
      <c r="W164" s="24"/>
      <c r="X164" s="137">
        <f>IF(rrcworking[[#This Row],[Pressure Base]]=14.73,rrcworking[[#This Row],[Gas Sales Statement Volume (MCF)]]*$R$2,rrcworking[[#This Row],[Gas Sales Statement Volume (MCF)]])</f>
        <v>0</v>
      </c>
      <c r="Y164" s="60"/>
      <c r="Z164" s="60"/>
      <c r="AA164" s="148">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220">
        <f>COUNTIF(FilterList,rrcworking[[#This Row],[Magnum Wolfpak '#]])</f>
        <v>0</v>
      </c>
      <c r="AF164" s="217"/>
      <c r="AG164" s="218"/>
      <c r="AH164" s="37"/>
      <c r="AI164" s="37"/>
      <c r="AJ164" s="37"/>
      <c r="AK164" s="37"/>
      <c r="AL164" s="37"/>
      <c r="AM164" s="37"/>
      <c r="AN164" s="37"/>
      <c r="AO164" s="37"/>
      <c r="AP164" s="37"/>
      <c r="AQ164" s="37"/>
    </row>
    <row r="165" spans="3:43" ht="15" hidden="1">
      <c r="C165" s="80">
        <v>99026</v>
      </c>
      <c r="D165" s="62" t="s">
        <v>193</v>
      </c>
      <c r="E165" s="133" t="s">
        <v>194</v>
      </c>
      <c r="F165" s="131">
        <v>0</v>
      </c>
      <c r="G165" s="122" t="s">
        <v>1097</v>
      </c>
      <c r="H165" s="18" t="s">
        <v>621</v>
      </c>
      <c r="I165" s="18" t="s">
        <v>2</v>
      </c>
      <c r="J165" s="19" t="s">
        <v>486</v>
      </c>
      <c r="K165" s="103">
        <v>2099</v>
      </c>
      <c r="L165" s="101">
        <f>INDEX(Table1[Production],MATCH(rrcworking[[#This Row],[RRC ID Number]],Table1[RRC Identifier],0))</f>
        <v>0</v>
      </c>
      <c r="M165" s="30">
        <f>INDEX(Table1[Formation Production],MATCH(rrcworking[[#This Row],[RRC ID Number]],Table1[RRC Identifier],0))</f>
        <v>0</v>
      </c>
      <c r="N165" s="31">
        <f>INDEX(Table1[On Hand End of Month],MATCH(rrcworking[[#This Row],[RRC ID Number]],Table1[RRC Identifier],0))</f>
        <v>118</v>
      </c>
      <c r="O165" s="106" t="b">
        <f t="shared" si="4"/>
        <v>1</v>
      </c>
      <c r="P165" s="214">
        <v>400</v>
      </c>
      <c r="Q165" s="129">
        <f>rrcworking[[#This Row],[Last Month Closing Stock]]</f>
        <v>118</v>
      </c>
      <c r="R165" s="214">
        <v>178</v>
      </c>
      <c r="S165" s="148">
        <f>IF(ISERROR(INDEX(Table2[OIL],MATCH(rrcworking[[#This Row],[Magnum Wolfpak '#]],Table2[Rox Wolf'#],0))),0,INDEX(Table2[OIL],MATCH(rrcworking[[#This Row],[Magnum Wolfpak '#]],Table2[Rox Wolf'#],0)))</f>
        <v>337</v>
      </c>
      <c r="T165" s="35">
        <f>rrcworking[[#This Row],[Closing Stock (Oil)]]+rrcworking[[#This Row],[Sales/Dispostion]]-rrcworking[[#This Row],[Opening Oil Stock]]</f>
        <v>397</v>
      </c>
      <c r="U165" s="112">
        <f>rrcworking[[#This Row],[Gauge Sheet Production Vol]]-rrcworking[[#This Row],[Oil Production]]</f>
        <v>3</v>
      </c>
      <c r="V165" s="148">
        <f>IF(ISERROR(INDEX(Table2[GAS],MATCH(rrcworking[[#This Row],[Magnum Wolfpak '#]],Table2[Rox Wolf'#],0))),0,INDEX(Table2[GAS],MATCH(rrcworking[[#This Row],[Magnum Wolfpak '#]],Table2[Rox Wolf'#],0)))</f>
        <v>0</v>
      </c>
      <c r="W165" s="24"/>
      <c r="X165" s="137">
        <f>IF(rrcworking[[#This Row],[Pressure Base]]=14.73,rrcworking[[#This Row],[Gas Sales Statement Volume (MCF)]]*$R$2,rrcworking[[#This Row],[Gas Sales Statement Volume (MCF)]])</f>
        <v>0</v>
      </c>
      <c r="Y165" s="60"/>
      <c r="Z165" s="60"/>
      <c r="AA165" s="148">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220">
        <f>COUNTIF(FilterList,rrcworking[[#This Row],[Magnum Wolfpak '#]])</f>
        <v>0</v>
      </c>
      <c r="AF165" s="217"/>
      <c r="AG165" s="218"/>
      <c r="AH165" s="37"/>
      <c r="AI165" s="37"/>
      <c r="AJ165" s="219"/>
      <c r="AK165" s="219"/>
      <c r="AL165" s="219"/>
      <c r="AM165" s="219"/>
      <c r="AN165" s="219"/>
      <c r="AO165" s="219"/>
      <c r="AP165" s="37" t="s">
        <v>1204</v>
      </c>
      <c r="AQ165" s="37" t="s">
        <v>1240</v>
      </c>
    </row>
    <row r="166" spans="3:43" ht="15">
      <c r="C166" s="80">
        <v>99312</v>
      </c>
      <c r="D166" s="62" t="s">
        <v>256</v>
      </c>
      <c r="E166" s="133" t="s">
        <v>252</v>
      </c>
      <c r="F166" s="131" t="s">
        <v>227</v>
      </c>
      <c r="G166" s="122" t="s">
        <v>1097</v>
      </c>
      <c r="H166" s="18" t="s">
        <v>621</v>
      </c>
      <c r="I166" s="18" t="s">
        <v>59</v>
      </c>
      <c r="J166" s="19" t="s">
        <v>518</v>
      </c>
      <c r="K166" s="103">
        <v>285001</v>
      </c>
      <c r="L166" s="101">
        <f>INDEX(Table1[Production],MATCH(rrcworking[[#This Row],[RRC ID Number]],Table1[RRC Identifier],0))</f>
        <v>38</v>
      </c>
      <c r="M166" s="30">
        <f>INDEX(Table1[Formation Production],MATCH(rrcworking[[#This Row],[RRC ID Number]],Table1[RRC Identifier],0))</f>
        <v>13452</v>
      </c>
      <c r="N166" s="31">
        <f>INDEX(Table1[On Hand End of Month],MATCH(rrcworking[[#This Row],[RRC ID Number]],Table1[RRC Identifier],0))</f>
        <v>120</v>
      </c>
      <c r="O166" s="106" t="b">
        <f t="shared" si="4"/>
        <v>0</v>
      </c>
      <c r="P166" s="214">
        <v>35</v>
      </c>
      <c r="Q166" s="129">
        <f>rrcworking[[#This Row],[Last Month Closing Stock]]</f>
        <v>120</v>
      </c>
      <c r="R166" s="215">
        <v>38</v>
      </c>
      <c r="S166" s="148">
        <f>IF(ISERROR(INDEX(Table2[OIL],MATCH(rrcworking[[#This Row],[Magnum Wolfpak '#]],Table2[Rox Wolf'#],0))),0,INDEX(Table2[OIL],MATCH(rrcworking[[#This Row],[Magnum Wolfpak '#]],Table2[Rox Wolf'#],0)))</f>
        <v>180</v>
      </c>
      <c r="T166" s="35">
        <f>rrcworking[[#This Row],[Closing Stock (Oil)]]+rrcworking[[#This Row],[Sales/Dispostion]]-rrcworking[[#This Row],[Opening Oil Stock]]</f>
        <v>98</v>
      </c>
      <c r="U166" s="112">
        <f>rrcworking[[#This Row],[Gauge Sheet Production Vol]]-rrcworking[[#This Row],[Oil Production]]</f>
        <v>-63</v>
      </c>
      <c r="V166" s="148">
        <f>IF(ISERROR(INDEX(Table2[GAS],MATCH(rrcworking[[#This Row],[Magnum Wolfpak '#]],Table2[Rox Wolf'#],0))),0,INDEX(Table2[GAS],MATCH(rrcworking[[#This Row],[Magnum Wolfpak '#]],Table2[Rox Wolf'#],0)))</f>
        <v>10800</v>
      </c>
      <c r="W166" s="24"/>
      <c r="X166" s="137">
        <f>IF(rrcworking[[#This Row],[Pressure Base]]=14.73,rrcworking[[#This Row],[Gas Sales Statement Volume (MCF)]]*$R$2,rrcworking[[#This Row],[Gas Sales Statement Volume (MCF)]])</f>
        <v>10800</v>
      </c>
      <c r="Y166" s="85"/>
      <c r="Z166" s="60">
        <v>21</v>
      </c>
      <c r="AA166" s="148">
        <f>IF(ISERROR(INDEX(Table2[LEASE USE],MATCH(rrcworking[[#This Row],[Magnum Wolfpak '#]],Table2[Rox Wolf'#],0))),0,INDEX(Table2[LEASE USE],MATCH(rrcworking[[#This Row],[Magnum Wolfpak '#]],Table2[Rox Wolf'#],0)))</f>
        <v>0</v>
      </c>
      <c r="AB166" s="57">
        <f>rrcworking[[#This Row],[Disposition Volume (MCF) @ 14.65 MCF]]+rrcworking[[#This Row],[Lease Use (MCF)]]</f>
        <v>10800</v>
      </c>
      <c r="AC166" s="37"/>
      <c r="AD166" s="37"/>
      <c r="AE166" s="220">
        <f>COUNTIF(FilterList,rrcworking[[#This Row],[Magnum Wolfpak '#]])</f>
        <v>0</v>
      </c>
      <c r="AF166" s="217"/>
      <c r="AG166" s="218"/>
      <c r="AH166" s="37">
        <v>35</v>
      </c>
      <c r="AI166" s="218">
        <v>38</v>
      </c>
      <c r="AJ166" s="37">
        <v>1</v>
      </c>
      <c r="AK166" s="37" t="s">
        <v>1152</v>
      </c>
      <c r="AL166" s="37" t="s">
        <v>1152</v>
      </c>
      <c r="AM166" s="37" t="s">
        <v>1216</v>
      </c>
      <c r="AN166" s="37" t="s">
        <v>1152</v>
      </c>
      <c r="AO166" s="37" t="s">
        <v>1217</v>
      </c>
      <c r="AP166" s="37" t="s">
        <v>1265</v>
      </c>
      <c r="AQ166" s="37"/>
    </row>
    <row r="167" spans="3:43" ht="15">
      <c r="C167" s="80">
        <v>99246</v>
      </c>
      <c r="D167" s="62" t="s">
        <v>251</v>
      </c>
      <c r="E167" s="133" t="s">
        <v>252</v>
      </c>
      <c r="F167" s="131" t="s">
        <v>253</v>
      </c>
      <c r="G167" s="122" t="s">
        <v>1097</v>
      </c>
      <c r="H167" s="18" t="s">
        <v>621</v>
      </c>
      <c r="I167" s="18" t="s">
        <v>59</v>
      </c>
      <c r="J167" s="19" t="s">
        <v>516</v>
      </c>
      <c r="K167" s="103">
        <v>284977</v>
      </c>
      <c r="L167" s="101">
        <f>INDEX(Table1[Production],MATCH(rrcworking[[#This Row],[RRC ID Number]],Table1[RRC Identifier],0))</f>
        <v>131</v>
      </c>
      <c r="M167" s="30">
        <f>INDEX(Table1[Formation Production],MATCH(rrcworking[[#This Row],[RRC ID Number]],Table1[RRC Identifier],0))</f>
        <v>19768</v>
      </c>
      <c r="N167" s="31">
        <f>INDEX(Table1[On Hand End of Month],MATCH(rrcworking[[#This Row],[RRC ID Number]],Table1[RRC Identifier],0))</f>
        <v>170</v>
      </c>
      <c r="O167" s="106" t="b">
        <f t="shared" ref="O167:O196" si="5">IF(AND(L167=0,M167=0), TRUE, FALSE)</f>
        <v>0</v>
      </c>
      <c r="P167" s="214">
        <v>47</v>
      </c>
      <c r="Q167" s="129">
        <f>rrcworking[[#This Row],[Last Month Closing Stock]]</f>
        <v>170</v>
      </c>
      <c r="R167" s="215">
        <v>73</v>
      </c>
      <c r="S167" s="148">
        <f>IF(ISERROR(INDEX(Table2[OIL],MATCH(rrcworking[[#This Row],[Magnum Wolfpak '#]],Table2[Rox Wolf'#],0))),0,INDEX(Table2[OIL],MATCH(rrcworking[[#This Row],[Magnum Wolfpak '#]],Table2[Rox Wolf'#],0)))</f>
        <v>179</v>
      </c>
      <c r="T167" s="35">
        <f>rrcworking[[#This Row],[Closing Stock (Oil)]]+rrcworking[[#This Row],[Sales/Dispostion]]-rrcworking[[#This Row],[Opening Oil Stock]]</f>
        <v>82</v>
      </c>
      <c r="U167" s="112">
        <f>rrcworking[[#This Row],[Gauge Sheet Production Vol]]-rrcworking[[#This Row],[Oil Production]]</f>
        <v>-35</v>
      </c>
      <c r="V167" s="148">
        <f>IF(ISERROR(INDEX(Table2[GAS],MATCH(rrcworking[[#This Row],[Magnum Wolfpak '#]],Table2[Rox Wolf'#],0))),0,INDEX(Table2[GAS],MATCH(rrcworking[[#This Row],[Magnum Wolfpak '#]],Table2[Rox Wolf'#],0)))</f>
        <v>17115</v>
      </c>
      <c r="W167" s="24"/>
      <c r="X167" s="137">
        <f>IF(rrcworking[[#This Row],[Pressure Base]]=14.73,rrcworking[[#This Row],[Gas Sales Statement Volume (MCF)]]*$R$2,rrcworking[[#This Row],[Gas Sales Statement Volume (MCF)]])</f>
        <v>17115</v>
      </c>
      <c r="Y167" s="85"/>
      <c r="Z167" s="60">
        <v>25</v>
      </c>
      <c r="AA167" s="148">
        <f>IF(ISERROR(INDEX(Table2[LEASE USE],MATCH(rrcworking[[#This Row],[Magnum Wolfpak '#]],Table2[Rox Wolf'#],0))),0,INDEX(Table2[LEASE USE],MATCH(rrcworking[[#This Row],[Magnum Wolfpak '#]],Table2[Rox Wolf'#],0)))</f>
        <v>750</v>
      </c>
      <c r="AB167" s="57">
        <f>rrcworking[[#This Row],[Disposition Volume (MCF) @ 14.65 MCF]]+rrcworking[[#This Row],[Lease Use (MCF)]]</f>
        <v>17865</v>
      </c>
      <c r="AC167" s="37"/>
      <c r="AD167" s="37"/>
      <c r="AE167" s="220">
        <f>COUNTIF(FilterList,rrcworking[[#This Row],[Magnum Wolfpak '#]])</f>
        <v>0</v>
      </c>
      <c r="AF167" s="217"/>
      <c r="AG167" s="218"/>
      <c r="AH167" s="37">
        <v>47</v>
      </c>
      <c r="AI167" s="218">
        <v>73</v>
      </c>
      <c r="AJ167" s="37">
        <v>2</v>
      </c>
      <c r="AK167" s="37" t="s">
        <v>1152</v>
      </c>
      <c r="AL167" s="37" t="s">
        <v>1152</v>
      </c>
      <c r="AM167" s="37" t="s">
        <v>1223</v>
      </c>
      <c r="AN167" s="37" t="s">
        <v>1152</v>
      </c>
      <c r="AO167" s="37" t="s">
        <v>1217</v>
      </c>
      <c r="AP167" s="37" t="s">
        <v>1266</v>
      </c>
      <c r="AQ167" s="37"/>
    </row>
    <row r="168" spans="3:43" ht="15" hidden="1">
      <c r="C168" s="80" t="e">
        <v>#N/A</v>
      </c>
      <c r="D168" s="62" t="s">
        <v>300</v>
      </c>
      <c r="E168" s="133" t="s">
        <v>301</v>
      </c>
      <c r="F168" s="131" t="s">
        <v>302</v>
      </c>
      <c r="G168" s="122" t="s">
        <v>1097</v>
      </c>
      <c r="H168" s="18" t="s">
        <v>621</v>
      </c>
      <c r="I168" s="18" t="s">
        <v>59</v>
      </c>
      <c r="J168" s="19" t="s">
        <v>550</v>
      </c>
      <c r="K168" s="103">
        <v>201104</v>
      </c>
      <c r="L168" s="101">
        <f>INDEX(Table1[Production],MATCH(rrcworking[[#This Row],[RRC ID Number]],Table1[RRC Identifier],0))</f>
        <v>0</v>
      </c>
      <c r="M168" s="30">
        <f>INDEX(Table1[Formation Production],MATCH(rrcworking[[#This Row],[RRC ID Number]],Table1[RRC Identifier],0))</f>
        <v>0</v>
      </c>
      <c r="N168" s="31">
        <f>INDEX(Table1[On Hand End of Month],MATCH(rrcworking[[#This Row],[RRC ID Number]],Table1[RRC Identifier],0))</f>
        <v>0</v>
      </c>
      <c r="O168" s="106" t="b">
        <f t="shared" si="5"/>
        <v>1</v>
      </c>
      <c r="P168" s="214"/>
      <c r="Q168" s="129">
        <f>rrcworking[[#This Row],[Last Month Closing Stock]]</f>
        <v>0</v>
      </c>
      <c r="R168" s="214"/>
      <c r="S168" s="148">
        <f>IF(ISERROR(INDEX(Table2[OIL],MATCH(rrcworking[[#This Row],[Magnum Wolfpak '#]],Table2[Rox Wolf'#],0))),0,INDEX(Table2[OIL],MATCH(rrcworking[[#This Row],[Magnum Wolfpak '#]],Table2[Rox Wolf'#],0)))</f>
        <v>0</v>
      </c>
      <c r="T168" s="35">
        <f>rrcworking[[#This Row],[Closing Stock (Oil)]]+rrcworking[[#This Row],[Sales/Dispostion]]-rrcworking[[#This Row],[Opening Oil Stock]]</f>
        <v>0</v>
      </c>
      <c r="U168" s="112">
        <f>rrcworking[[#This Row],[Gauge Sheet Production Vol]]-rrcworking[[#This Row],[Oil Production]]</f>
        <v>0</v>
      </c>
      <c r="V168" s="148">
        <f>IF(ISERROR(INDEX(Table2[GAS],MATCH(rrcworking[[#This Row],[Magnum Wolfpak '#]],Table2[Rox Wolf'#],0))),0,INDEX(Table2[GAS],MATCH(rrcworking[[#This Row],[Magnum Wolfpak '#]],Table2[Rox Wolf'#],0)))</f>
        <v>0</v>
      </c>
      <c r="W168" s="24"/>
      <c r="X168" s="137">
        <f>IF(rrcworking[[#This Row],[Pressure Base]]=14.73,rrcworking[[#This Row],[Gas Sales Statement Volume (MCF)]]*$R$2,rrcworking[[#This Row],[Gas Sales Statement Volume (MCF)]])</f>
        <v>0</v>
      </c>
      <c r="Y168" s="60"/>
      <c r="Z168" s="60"/>
      <c r="AA168" s="148">
        <f>IF(ISERROR(INDEX(Table2[LEASE USE],MATCH(rrcworking[[#This Row],[Magnum Wolfpak '#]],Table2[Rox Wolf'#],0))),0,INDEX(Table2[LEASE USE],MATCH(rrcworking[[#This Row],[Magnum Wolfpak '#]],Table2[Rox Wolf'#],0)))</f>
        <v>0</v>
      </c>
      <c r="AB168" s="57">
        <f>rrcworking[[#This Row],[Disposition Volume (MCF) @ 14.65 MCF]]+rrcworking[[#This Row],[Lease Use (MCF)]]</f>
        <v>0</v>
      </c>
      <c r="AC168" s="37"/>
      <c r="AD168" s="37"/>
      <c r="AE168" s="220">
        <f>COUNTIF(FilterList,rrcworking[[#This Row],[Magnum Wolfpak '#]])</f>
        <v>0</v>
      </c>
      <c r="AF168" s="217"/>
      <c r="AG168" s="218"/>
      <c r="AH168" s="37"/>
      <c r="AI168" s="37"/>
      <c r="AJ168" s="37"/>
      <c r="AK168" s="37"/>
      <c r="AL168" s="37"/>
      <c r="AM168" s="37"/>
      <c r="AN168" s="37"/>
      <c r="AO168" s="37"/>
      <c r="AP168" s="37"/>
      <c r="AQ168" s="37"/>
    </row>
    <row r="169" spans="3:43" ht="135" hidden="1">
      <c r="C169" s="80">
        <v>99140</v>
      </c>
      <c r="D169" s="62" t="s">
        <v>188</v>
      </c>
      <c r="E169" s="133" t="s">
        <v>189</v>
      </c>
      <c r="F169" s="131">
        <v>0</v>
      </c>
      <c r="G169" s="122" t="s">
        <v>1097</v>
      </c>
      <c r="H169" s="18" t="s">
        <v>621</v>
      </c>
      <c r="I169" s="18" t="s">
        <v>2</v>
      </c>
      <c r="J169" s="19" t="s">
        <v>483</v>
      </c>
      <c r="K169" s="103">
        <v>26501</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114</v>
      </c>
      <c r="O169" s="106" t="b">
        <f t="shared" si="5"/>
        <v>1</v>
      </c>
      <c r="P169" s="214">
        <v>0</v>
      </c>
      <c r="Q169" s="129">
        <f>rrcworking[[#This Row],[Last Month Closing Stock]]</f>
        <v>114</v>
      </c>
      <c r="R169" s="214">
        <v>114</v>
      </c>
      <c r="S169" s="148">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Production Vol]]-rrcworking[[#This Row],[Oil Production]]</f>
        <v>0</v>
      </c>
      <c r="V169" s="148">
        <f>IF(ISERROR(INDEX(Table2[GAS],MATCH(rrcworking[[#This Row],[Magnum Wolfpak '#]],Table2[Rox Wolf'#],0))),0,INDEX(Table2[GAS],MATCH(rrcworking[[#This Row],[Magnum Wolfpak '#]],Table2[Rox Wolf'#],0)))</f>
        <v>0</v>
      </c>
      <c r="W169" s="24"/>
      <c r="X169" s="137">
        <f>IF(rrcworking[[#This Row],[Pressure Base]]=14.73,rrcworking[[#This Row],[Gas Sales Statement Volume (MCF)]]*$R$2,rrcworking[[#This Row],[Gas Sales Statement Volume (MCF)]])</f>
        <v>0</v>
      </c>
      <c r="Y169" s="60"/>
      <c r="Z169" s="60"/>
      <c r="AA169" s="148">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t="s">
        <v>1181</v>
      </c>
      <c r="AE169" s="220">
        <f>COUNTIF(FilterList,rrcworking[[#This Row],[Magnum Wolfpak '#]])</f>
        <v>0</v>
      </c>
      <c r="AF169" s="217"/>
      <c r="AG169" s="218"/>
      <c r="AH169" s="37"/>
      <c r="AI169" s="37"/>
      <c r="AJ169" s="37"/>
      <c r="AK169" s="37"/>
      <c r="AL169" s="37"/>
      <c r="AM169" s="37"/>
      <c r="AN169" s="37"/>
      <c r="AO169" s="37"/>
      <c r="AP169" s="37" t="s">
        <v>1204</v>
      </c>
      <c r="AQ169" s="37" t="s">
        <v>1267</v>
      </c>
    </row>
    <row r="170" spans="3:43" ht="15">
      <c r="C170" s="80">
        <v>98979</v>
      </c>
      <c r="D170" s="62" t="s">
        <v>309</v>
      </c>
      <c r="E170" s="133" t="s">
        <v>310</v>
      </c>
      <c r="F170" s="131">
        <v>0</v>
      </c>
      <c r="G170" s="122" t="s">
        <v>1097</v>
      </c>
      <c r="H170" s="18" t="s">
        <v>622</v>
      </c>
      <c r="I170" s="18" t="s">
        <v>2</v>
      </c>
      <c r="J170" s="19" t="s">
        <v>555</v>
      </c>
      <c r="K170" s="103">
        <v>13355</v>
      </c>
      <c r="L170" s="101">
        <f>INDEX(Table1[Production],MATCH(rrcworking[[#This Row],[RRC ID Number]],Table1[RRC Identifier],0))</f>
        <v>62</v>
      </c>
      <c r="M170" s="30">
        <f>INDEX(Table1[Formation Production],MATCH(rrcworking[[#This Row],[RRC ID Number]],Table1[RRC Identifier],0))</f>
        <v>251</v>
      </c>
      <c r="N170" s="31">
        <f>INDEX(Table1[On Hand End of Month],MATCH(rrcworking[[#This Row],[RRC ID Number]],Table1[RRC Identifier],0))</f>
        <v>93</v>
      </c>
      <c r="O170" s="106" t="b">
        <f t="shared" si="5"/>
        <v>0</v>
      </c>
      <c r="P170" s="214">
        <v>72</v>
      </c>
      <c r="Q170" s="129">
        <f>rrcworking[[#This Row],[Last Month Closing Stock]]</f>
        <v>93</v>
      </c>
      <c r="R170" s="215">
        <v>165</v>
      </c>
      <c r="S170" s="148">
        <f>IF(ISERROR(INDEX(Table2[OIL],MATCH(rrcworking[[#This Row],[Magnum Wolfpak '#]],Table2[Rox Wolf'#],0))),0,INDEX(Table2[OIL],MATCH(rrcworking[[#This Row],[Magnum Wolfpak '#]],Table2[Rox Wolf'#],0)))</f>
        <v>0</v>
      </c>
      <c r="T170" s="35">
        <f>rrcworking[[#This Row],[Closing Stock (Oil)]]+rrcworking[[#This Row],[Sales/Dispostion]]-rrcworking[[#This Row],[Opening Oil Stock]]</f>
        <v>72</v>
      </c>
      <c r="U170" s="112">
        <f>rrcworking[[#This Row],[Gauge Sheet Production Vol]]-rrcworking[[#This Row],[Oil Production]]</f>
        <v>0</v>
      </c>
      <c r="V170" s="148">
        <f>IF(ISERROR(INDEX(Table2[GAS],MATCH(rrcworking[[#This Row],[Magnum Wolfpak '#]],Table2[Rox Wolf'#],0))),0,INDEX(Table2[GAS],MATCH(rrcworking[[#This Row],[Magnum Wolfpak '#]],Table2[Rox Wolf'#],0)))</f>
        <v>239</v>
      </c>
      <c r="W170" s="24"/>
      <c r="X170" s="137">
        <f>IF(rrcworking[[#This Row],[Pressure Base]]=14.73,rrcworking[[#This Row],[Gas Sales Statement Volume (MCF)]]*$R$2,rrcworking[[#This Row],[Gas Sales Statement Volume (MCF)]])</f>
        <v>239</v>
      </c>
      <c r="Y170" s="60"/>
      <c r="Z170" s="60">
        <v>0</v>
      </c>
      <c r="AA170" s="148">
        <f>IF(ISERROR(INDEX(Table2[LEASE USE],MATCH(rrcworking[[#This Row],[Magnum Wolfpak '#]],Table2[Rox Wolf'#],0))),0,INDEX(Table2[LEASE USE],MATCH(rrcworking[[#This Row],[Magnum Wolfpak '#]],Table2[Rox Wolf'#],0)))</f>
        <v>0</v>
      </c>
      <c r="AB170" s="57">
        <f>rrcworking[[#This Row],[Disposition Volume (MCF) @ 14.65 MCF]]+rrcworking[[#This Row],[Lease Use (MCF)]]</f>
        <v>239</v>
      </c>
      <c r="AC170" s="37"/>
      <c r="AD170" s="37"/>
      <c r="AE170" s="220">
        <f>COUNTIF(FilterList,rrcworking[[#This Row],[Magnum Wolfpak '#]])</f>
        <v>0</v>
      </c>
      <c r="AF170" s="217"/>
      <c r="AG170" s="218"/>
      <c r="AH170" s="37">
        <v>72</v>
      </c>
      <c r="AI170" s="218">
        <v>165</v>
      </c>
      <c r="AJ170" s="37">
        <v>2</v>
      </c>
      <c r="AK170" s="37" t="s">
        <v>1206</v>
      </c>
      <c r="AL170" s="37" t="s">
        <v>1206</v>
      </c>
      <c r="AM170" s="37" t="s">
        <v>1238</v>
      </c>
      <c r="AN170" s="37" t="s">
        <v>1206</v>
      </c>
      <c r="AO170" s="37" t="s">
        <v>1212</v>
      </c>
      <c r="AP170" s="37" t="s">
        <v>1259</v>
      </c>
      <c r="AQ170" s="37"/>
    </row>
    <row r="171" spans="3:43" ht="15" hidden="1">
      <c r="C171" s="80" t="e">
        <v>#N/A</v>
      </c>
      <c r="D171" s="62" t="s">
        <v>95</v>
      </c>
      <c r="E171" s="133" t="s">
        <v>92</v>
      </c>
      <c r="F171" s="131">
        <v>5</v>
      </c>
      <c r="G171" s="122" t="s">
        <v>1097</v>
      </c>
      <c r="H171" s="18" t="s">
        <v>620</v>
      </c>
      <c r="I171" s="18" t="s">
        <v>59</v>
      </c>
      <c r="J171" s="19" t="s">
        <v>425</v>
      </c>
      <c r="K171" s="103">
        <v>145447</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214"/>
      <c r="Q171" s="129">
        <f>rrcworking[[#This Row],[Last Month Closing Stock]]</f>
        <v>0</v>
      </c>
      <c r="R171" s="214"/>
      <c r="S171" s="148">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Production Vol]]-rrcworking[[#This Row],[Oil Production]]</f>
        <v>0</v>
      </c>
      <c r="V171" s="148">
        <f>IF(ISERROR(INDEX(Table2[GAS],MATCH(rrcworking[[#This Row],[Magnum Wolfpak '#]],Table2[Rox Wolf'#],0))),0,INDEX(Table2[GAS],MATCH(rrcworking[[#This Row],[Magnum Wolfpak '#]],Table2[Rox Wolf'#],0)))</f>
        <v>0</v>
      </c>
      <c r="W171" s="24"/>
      <c r="X171" s="137">
        <f>IF(rrcworking[[#This Row],[Pressure Base]]=14.73,rrcworking[[#This Row],[Gas Sales Statement Volume (MCF)]]*$R$2,rrcworking[[#This Row],[Gas Sales Statement Volume (MCF)]])</f>
        <v>0</v>
      </c>
      <c r="Y171" s="60"/>
      <c r="Z171" s="60"/>
      <c r="AA171" s="148">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220">
        <f>COUNTIF(FilterList,rrcworking[[#This Row],[Magnum Wolfpak '#]])</f>
        <v>0</v>
      </c>
      <c r="AF171" s="217"/>
      <c r="AG171" s="218"/>
      <c r="AH171" s="37"/>
      <c r="AI171" s="37"/>
      <c r="AJ171" s="37"/>
      <c r="AK171" s="37"/>
      <c r="AL171" s="37"/>
      <c r="AM171" s="37"/>
      <c r="AN171" s="37"/>
      <c r="AO171" s="37"/>
      <c r="AP171" s="37"/>
      <c r="AQ171" s="37"/>
    </row>
    <row r="172" spans="3:43" ht="30" hidden="1">
      <c r="C172" s="80">
        <v>34001</v>
      </c>
      <c r="D172" s="62" t="s">
        <v>91</v>
      </c>
      <c r="E172" s="133" t="s">
        <v>92</v>
      </c>
      <c r="F172" s="131">
        <v>0</v>
      </c>
      <c r="G172" s="122" t="s">
        <v>1097</v>
      </c>
      <c r="H172" s="18" t="s">
        <v>620</v>
      </c>
      <c r="I172" s="18" t="s">
        <v>2</v>
      </c>
      <c r="J172" s="19" t="s">
        <v>423</v>
      </c>
      <c r="K172" s="103">
        <v>394</v>
      </c>
      <c r="L172" s="101">
        <f>INDEX(Table1[Production],MATCH(rrcworking[[#This Row],[RRC ID Number]],Table1[RRC Identifier],0))</f>
        <v>334</v>
      </c>
      <c r="M172" s="30">
        <f>INDEX(Table1[Formation Production],MATCH(rrcworking[[#This Row],[RRC ID Number]],Table1[RRC Identifier],0))</f>
        <v>0</v>
      </c>
      <c r="N172" s="31">
        <f>INDEX(Table1[On Hand End of Month],MATCH(rrcworking[[#This Row],[RRC ID Number]],Table1[RRC Identifier],0))</f>
        <v>270</v>
      </c>
      <c r="O172" s="106" t="b">
        <f t="shared" si="5"/>
        <v>0</v>
      </c>
      <c r="P172" s="214">
        <v>546</v>
      </c>
      <c r="Q172" s="129">
        <f>rrcworking[[#This Row],[Last Month Closing Stock]]</f>
        <v>270</v>
      </c>
      <c r="R172" s="215">
        <v>300</v>
      </c>
      <c r="S172" s="148">
        <f>IF(ISERROR(INDEX(Table2[OIL],MATCH(rrcworking[[#This Row],[Magnum Wolfpak '#]],Table2[Rox Wolf'#],0))),0,INDEX(Table2[OIL],MATCH(rrcworking[[#This Row],[Magnum Wolfpak '#]],Table2[Rox Wolf'#],0)))</f>
        <v>496</v>
      </c>
      <c r="T172" s="35">
        <f>rrcworking[[#This Row],[Closing Stock (Oil)]]+rrcworking[[#This Row],[Sales/Dispostion]]-rrcworking[[#This Row],[Opening Oil Stock]]</f>
        <v>526</v>
      </c>
      <c r="U172" s="112">
        <f>rrcworking[[#This Row],[Gauge Sheet Production Vol]]-rrcworking[[#This Row],[Oil Production]]</f>
        <v>20</v>
      </c>
      <c r="V172" s="148">
        <f>IF(ISERROR(INDEX(Table2[GAS],MATCH(rrcworking[[#This Row],[Magnum Wolfpak '#]],Table2[Rox Wolf'#],0))),0,INDEX(Table2[GAS],MATCH(rrcworking[[#This Row],[Magnum Wolfpak '#]],Table2[Rox Wolf'#],0)))</f>
        <v>0</v>
      </c>
      <c r="W172" s="24"/>
      <c r="X172" s="137">
        <f>IF(rrcworking[[#This Row],[Pressure Base]]=14.73,rrcworking[[#This Row],[Gas Sales Statement Volume (MCF)]]*$R$2,rrcworking[[#This Row],[Gas Sales Statement Volume (MCF)]])</f>
        <v>0</v>
      </c>
      <c r="Y172" s="60"/>
      <c r="Z172" s="60"/>
      <c r="AA172" s="148">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220">
        <f>COUNTIF(FilterList,rrcworking[[#This Row],[Magnum Wolfpak '#]])</f>
        <v>0</v>
      </c>
      <c r="AF172" s="217"/>
      <c r="AG172" s="218"/>
      <c r="AH172" s="37"/>
      <c r="AI172" s="218"/>
      <c r="AJ172" s="219"/>
      <c r="AK172" s="219"/>
      <c r="AL172" s="219"/>
      <c r="AM172" s="219"/>
      <c r="AN172" s="219"/>
      <c r="AO172" s="219"/>
      <c r="AP172" s="37" t="s">
        <v>1204</v>
      </c>
      <c r="AQ172" s="37" t="s">
        <v>1210</v>
      </c>
    </row>
    <row r="173" spans="3:43" ht="15" hidden="1">
      <c r="C173" s="80" t="e">
        <v>#N/A</v>
      </c>
      <c r="D173" s="62" t="s">
        <v>324</v>
      </c>
      <c r="E173" s="133" t="s">
        <v>325</v>
      </c>
      <c r="F173" s="131">
        <v>0</v>
      </c>
      <c r="G173" s="122" t="s">
        <v>1097</v>
      </c>
      <c r="H173" s="18" t="s">
        <v>622</v>
      </c>
      <c r="I173" s="18" t="s">
        <v>2</v>
      </c>
      <c r="J173" s="19" t="s">
        <v>562</v>
      </c>
      <c r="K173" s="103">
        <v>12863</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214"/>
      <c r="Q173" s="129">
        <f>rrcworking[[#This Row],[Last Month Closing Stock]]</f>
        <v>0</v>
      </c>
      <c r="R173" s="214"/>
      <c r="S173" s="148">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Production Vol]]-rrcworking[[#This Row],[Oil Production]]</f>
        <v>0</v>
      </c>
      <c r="V173" s="148">
        <f>IF(ISERROR(INDEX(Table2[GAS],MATCH(rrcworking[[#This Row],[Magnum Wolfpak '#]],Table2[Rox Wolf'#],0))),0,INDEX(Table2[GAS],MATCH(rrcworking[[#This Row],[Magnum Wolfpak '#]],Table2[Rox Wolf'#],0)))</f>
        <v>0</v>
      </c>
      <c r="W173" s="24"/>
      <c r="X173" s="137">
        <f>IF(rrcworking[[#This Row],[Pressure Base]]=14.73,rrcworking[[#This Row],[Gas Sales Statement Volume (MCF)]]*$R$2,rrcworking[[#This Row],[Gas Sales Statement Volume (MCF)]])</f>
        <v>0</v>
      </c>
      <c r="Y173" s="60"/>
      <c r="Z173" s="60"/>
      <c r="AA173" s="148">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220">
        <f>COUNTIF(FilterList,rrcworking[[#This Row],[Magnum Wolfpak '#]])</f>
        <v>0</v>
      </c>
      <c r="AF173" s="217"/>
      <c r="AG173" s="218"/>
      <c r="AH173" s="37"/>
      <c r="AI173" s="37"/>
      <c r="AJ173" s="37"/>
      <c r="AK173" s="37"/>
      <c r="AL173" s="37"/>
      <c r="AM173" s="37"/>
      <c r="AN173" s="37"/>
      <c r="AO173" s="37"/>
      <c r="AP173" s="37"/>
      <c r="AQ173" s="37"/>
    </row>
    <row r="174" spans="3:43" ht="15" hidden="1">
      <c r="C174" s="80" t="e">
        <v>#N/A</v>
      </c>
      <c r="D174" s="62" t="s">
        <v>136</v>
      </c>
      <c r="E174" s="133" t="s">
        <v>137</v>
      </c>
      <c r="F174" s="131">
        <v>0</v>
      </c>
      <c r="G174" s="122" t="s">
        <v>1097</v>
      </c>
      <c r="H174" s="18" t="s">
        <v>620</v>
      </c>
      <c r="I174" s="18" t="s">
        <v>2</v>
      </c>
      <c r="J174" s="19" t="s">
        <v>452</v>
      </c>
      <c r="K174" s="103">
        <v>10778</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214"/>
      <c r="Q174" s="129">
        <f>rrcworking[[#This Row],[Last Month Closing Stock]]</f>
        <v>0</v>
      </c>
      <c r="R174" s="214"/>
      <c r="S174" s="148">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Production Vol]]-rrcworking[[#This Row],[Oil Production]]</f>
        <v>0</v>
      </c>
      <c r="V174" s="148">
        <f>IF(ISERROR(INDEX(Table2[GAS],MATCH(rrcworking[[#This Row],[Magnum Wolfpak '#]],Table2[Rox Wolf'#],0))),0,INDEX(Table2[GAS],MATCH(rrcworking[[#This Row],[Magnum Wolfpak '#]],Table2[Rox Wolf'#],0)))</f>
        <v>0</v>
      </c>
      <c r="W174" s="24"/>
      <c r="X174" s="137">
        <f>IF(rrcworking[[#This Row],[Pressure Base]]=14.73,rrcworking[[#This Row],[Gas Sales Statement Volume (MCF)]]*$R$2,rrcworking[[#This Row],[Gas Sales Statement Volume (MCF)]])</f>
        <v>0</v>
      </c>
      <c r="Y174" s="60"/>
      <c r="Z174" s="60"/>
      <c r="AA174" s="148">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220">
        <f>COUNTIF(FilterList,rrcworking[[#This Row],[Magnum Wolfpak '#]])</f>
        <v>0</v>
      </c>
      <c r="AF174" s="217"/>
      <c r="AG174" s="218"/>
      <c r="AH174" s="37"/>
      <c r="AI174" s="37"/>
      <c r="AJ174" s="37"/>
      <c r="AK174" s="37"/>
      <c r="AL174" s="37"/>
      <c r="AM174" s="37"/>
      <c r="AN174" s="37"/>
      <c r="AO174" s="37"/>
      <c r="AP174" s="37"/>
      <c r="AQ174" s="37"/>
    </row>
    <row r="175" spans="3:43" ht="15" hidden="1">
      <c r="C175" s="80" t="e">
        <v>#N/A</v>
      </c>
      <c r="D175" s="62" t="s">
        <v>136</v>
      </c>
      <c r="E175" s="133" t="s">
        <v>138</v>
      </c>
      <c r="F175" s="131">
        <v>1</v>
      </c>
      <c r="G175" s="122" t="s">
        <v>1097</v>
      </c>
      <c r="H175" s="18" t="s">
        <v>620</v>
      </c>
      <c r="I175" s="18" t="s">
        <v>59</v>
      </c>
      <c r="J175" s="19" t="s">
        <v>451</v>
      </c>
      <c r="K175" s="103">
        <v>280417</v>
      </c>
      <c r="L175" s="101">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6" t="b">
        <f t="shared" si="5"/>
        <v>1</v>
      </c>
      <c r="P175" s="214"/>
      <c r="Q175" s="129">
        <f>rrcworking[[#This Row],[Last Month Closing Stock]]</f>
        <v>0</v>
      </c>
      <c r="R175" s="214"/>
      <c r="S175" s="148">
        <f>IF(ISERROR(INDEX(Table2[OIL],MATCH(rrcworking[[#This Row],[Magnum Wolfpak '#]],Table2[Rox Wolf'#],0))),0,INDEX(Table2[OIL],MATCH(rrcworking[[#This Row],[Magnum Wolfpak '#]],Table2[Rox Wolf'#],0)))</f>
        <v>0</v>
      </c>
      <c r="T175" s="35">
        <f>rrcworking[[#This Row],[Closing Stock (Oil)]]+rrcworking[[#This Row],[Sales/Dispostion]]-rrcworking[[#This Row],[Opening Oil Stock]]</f>
        <v>0</v>
      </c>
      <c r="U175" s="112">
        <f>rrcworking[[#This Row],[Gauge Sheet Production Vol]]-rrcworking[[#This Row],[Oil Production]]</f>
        <v>0</v>
      </c>
      <c r="V175" s="148">
        <f>IF(ISERROR(INDEX(Table2[GAS],MATCH(rrcworking[[#This Row],[Magnum Wolfpak '#]],Table2[Rox Wolf'#],0))),0,INDEX(Table2[GAS],MATCH(rrcworking[[#This Row],[Magnum Wolfpak '#]],Table2[Rox Wolf'#],0)))</f>
        <v>0</v>
      </c>
      <c r="W175" s="24"/>
      <c r="X175" s="137">
        <f>IF(rrcworking[[#This Row],[Pressure Base]]=14.73,rrcworking[[#This Row],[Gas Sales Statement Volume (MCF)]]*$R$2,rrcworking[[#This Row],[Gas Sales Statement Volume (MCF)]])</f>
        <v>0</v>
      </c>
      <c r="Y175" s="60"/>
      <c r="Z175" s="60"/>
      <c r="AA175" s="148">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220">
        <f>COUNTIF(FilterList,rrcworking[[#This Row],[Magnum Wolfpak '#]])</f>
        <v>0</v>
      </c>
      <c r="AF175" s="217"/>
      <c r="AG175" s="218"/>
      <c r="AH175" s="37"/>
      <c r="AI175" s="37"/>
      <c r="AJ175" s="37"/>
      <c r="AK175" s="37"/>
      <c r="AL175" s="37"/>
      <c r="AM175" s="37"/>
      <c r="AN175" s="37"/>
      <c r="AO175" s="37"/>
      <c r="AP175" s="37"/>
      <c r="AQ175" s="37"/>
    </row>
    <row r="176" spans="3:43" ht="15" hidden="1">
      <c r="C176" s="80" t="e">
        <v>#N/A</v>
      </c>
      <c r="D176" s="62" t="s">
        <v>237</v>
      </c>
      <c r="E176" s="133" t="s">
        <v>234</v>
      </c>
      <c r="F176" s="131">
        <v>3</v>
      </c>
      <c r="G176" s="122" t="s">
        <v>1097</v>
      </c>
      <c r="H176" s="18" t="s">
        <v>621</v>
      </c>
      <c r="I176" s="18" t="s">
        <v>59</v>
      </c>
      <c r="J176" s="19" t="s">
        <v>508</v>
      </c>
      <c r="K176" s="103">
        <v>38467</v>
      </c>
      <c r="L176" s="101">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6" t="b">
        <f t="shared" si="5"/>
        <v>1</v>
      </c>
      <c r="P176" s="214"/>
      <c r="Q176" s="129">
        <f>rrcworking[[#This Row],[Last Month Closing Stock]]</f>
        <v>0</v>
      </c>
      <c r="R176" s="214"/>
      <c r="S176" s="148">
        <f>IF(ISERROR(INDEX(Table2[OIL],MATCH(rrcworking[[#This Row],[Magnum Wolfpak '#]],Table2[Rox Wolf'#],0))),0,INDEX(Table2[OIL],MATCH(rrcworking[[#This Row],[Magnum Wolfpak '#]],Table2[Rox Wolf'#],0)))</f>
        <v>0</v>
      </c>
      <c r="T176" s="35">
        <f>rrcworking[[#This Row],[Closing Stock (Oil)]]+rrcworking[[#This Row],[Sales/Dispostion]]-rrcworking[[#This Row],[Opening Oil Stock]]</f>
        <v>0</v>
      </c>
      <c r="U176" s="112">
        <f>rrcworking[[#This Row],[Gauge Sheet Production Vol]]-rrcworking[[#This Row],[Oil Production]]</f>
        <v>0</v>
      </c>
      <c r="V176" s="148">
        <f>IF(ISERROR(INDEX(Table2[GAS],MATCH(rrcworking[[#This Row],[Magnum Wolfpak '#]],Table2[Rox Wolf'#],0))),0,INDEX(Table2[GAS],MATCH(rrcworking[[#This Row],[Magnum Wolfpak '#]],Table2[Rox Wolf'#],0)))</f>
        <v>0</v>
      </c>
      <c r="W176" s="24"/>
      <c r="X176" s="137">
        <f>IF(rrcworking[[#This Row],[Pressure Base]]=14.73,rrcworking[[#This Row],[Gas Sales Statement Volume (MCF)]]*$R$2,rrcworking[[#This Row],[Gas Sales Statement Volume (MCF)]])</f>
        <v>0</v>
      </c>
      <c r="Y176" s="60"/>
      <c r="Z176" s="60"/>
      <c r="AA176" s="148">
        <f>IF(ISERROR(INDEX(Table2[LEASE USE],MATCH(rrcworking[[#This Row],[Magnum Wolfpak '#]],Table2[Rox Wolf'#],0))),0,INDEX(Table2[LEASE USE],MATCH(rrcworking[[#This Row],[Magnum Wolfpak '#]],Table2[Rox Wolf'#],0)))</f>
        <v>0</v>
      </c>
      <c r="AB176" s="57">
        <f>rrcworking[[#This Row],[Disposition Volume (MCF) @ 14.65 MCF]]+rrcworking[[#This Row],[Lease Use (MCF)]]</f>
        <v>0</v>
      </c>
      <c r="AC176" s="97"/>
      <c r="AD176" s="37"/>
      <c r="AE176" s="220">
        <f>COUNTIF(FilterList,rrcworking[[#This Row],[Magnum Wolfpak '#]])</f>
        <v>0</v>
      </c>
      <c r="AF176" s="217"/>
      <c r="AG176" s="218"/>
      <c r="AH176" s="37"/>
      <c r="AI176" s="37"/>
      <c r="AJ176" s="37"/>
      <c r="AK176" s="37"/>
      <c r="AL176" s="37"/>
      <c r="AM176" s="37"/>
      <c r="AN176" s="37"/>
      <c r="AO176" s="37"/>
      <c r="AP176" s="37"/>
      <c r="AQ176" s="37"/>
    </row>
    <row r="177" spans="3:43" ht="15" hidden="1">
      <c r="C177" s="81">
        <v>599109</v>
      </c>
      <c r="D177" s="62" t="s">
        <v>233</v>
      </c>
      <c r="E177" s="133" t="s">
        <v>234</v>
      </c>
      <c r="F177" s="131">
        <v>5</v>
      </c>
      <c r="G177" s="122" t="s">
        <v>1097</v>
      </c>
      <c r="H177" s="18" t="s">
        <v>621</v>
      </c>
      <c r="I177" s="18" t="s">
        <v>59</v>
      </c>
      <c r="J177" s="19" t="s">
        <v>506</v>
      </c>
      <c r="K177" s="103">
        <v>184787</v>
      </c>
      <c r="L177" s="101">
        <f>INDEX(Table1[Production],MATCH(rrcworking[[#This Row],[RRC ID Number]],Table1[RRC Identifier],0))</f>
        <v>285</v>
      </c>
      <c r="M177" s="30">
        <f>INDEX(Table1[Formation Production],MATCH(rrcworking[[#This Row],[RRC ID Number]],Table1[RRC Identifier],0))</f>
        <v>17501</v>
      </c>
      <c r="N177" s="31">
        <f>INDEX(Table1[On Hand End of Month],MATCH(rrcworking[[#This Row],[RRC ID Number]],Table1[RRC Identifier],0))</f>
        <v>155</v>
      </c>
      <c r="O177" s="106" t="b">
        <f t="shared" si="5"/>
        <v>0</v>
      </c>
      <c r="P177" s="214">
        <v>175</v>
      </c>
      <c r="Q177" s="129">
        <f>rrcworking[[#This Row],[Last Month Closing Stock]]</f>
        <v>155</v>
      </c>
      <c r="R177" s="215">
        <v>159</v>
      </c>
      <c r="S177" s="148">
        <f>IF(ISERROR(INDEX(Table2[OIL],MATCH(rrcworking[[#This Row],[Magnum Wolfpak '#]],Table2[Rox Wolf'#],0))),0,INDEX(Table2[OIL],MATCH(rrcworking[[#This Row],[Magnum Wolfpak '#]],Table2[Rox Wolf'#],0)))</f>
        <v>169</v>
      </c>
      <c r="T177" s="35">
        <f>rrcworking[[#This Row],[Closing Stock (Oil)]]+rrcworking[[#This Row],[Sales/Dispostion]]-rrcworking[[#This Row],[Opening Oil Stock]]</f>
        <v>173</v>
      </c>
      <c r="U177" s="112">
        <f>rrcworking[[#This Row],[Gauge Sheet Production Vol]]-rrcworking[[#This Row],[Oil Production]]</f>
        <v>2</v>
      </c>
      <c r="V177" s="148">
        <f>IF(ISERROR(INDEX(Table2[GAS],MATCH(rrcworking[[#This Row],[Magnum Wolfpak '#]],Table2[Rox Wolf'#],0))),0,INDEX(Table2[GAS],MATCH(rrcworking[[#This Row],[Magnum Wolfpak '#]],Table2[Rox Wolf'#],0)))</f>
        <v>15440</v>
      </c>
      <c r="W177" s="24"/>
      <c r="X177" s="137">
        <f>IF(rrcworking[[#This Row],[Pressure Base]]=14.73,rrcworking[[#This Row],[Gas Sales Statement Volume (MCF)]]*$R$2,rrcworking[[#This Row],[Gas Sales Statement Volume (MCF)]])</f>
        <v>15440</v>
      </c>
      <c r="Y177" s="135"/>
      <c r="Z177" s="60">
        <v>15</v>
      </c>
      <c r="AA177" s="148">
        <f>IF(ISERROR(INDEX(Table2[LEASE USE],MATCH(rrcworking[[#This Row],[Magnum Wolfpak '#]],Table2[Rox Wolf'#],0))),0,INDEX(Table2[LEASE USE],MATCH(rrcworking[[#This Row],[Magnum Wolfpak '#]],Table2[Rox Wolf'#],0)))</f>
        <v>450</v>
      </c>
      <c r="AB177" s="57">
        <f>rrcworking[[#This Row],[Disposition Volume (MCF) @ 14.65 MCF]]+rrcworking[[#This Row],[Lease Use (MCF)]]</f>
        <v>15890</v>
      </c>
      <c r="AC177" s="37"/>
      <c r="AD177" s="37"/>
      <c r="AE177" s="220">
        <f>COUNTIF(FilterList,rrcworking[[#This Row],[Magnum Wolfpak '#]])</f>
        <v>0</v>
      </c>
      <c r="AF177" s="217"/>
      <c r="AG177" s="218"/>
      <c r="AH177" s="37"/>
      <c r="AI177" s="218"/>
      <c r="AJ177" s="219"/>
      <c r="AK177" s="219"/>
      <c r="AL177" s="219"/>
      <c r="AM177" s="219"/>
      <c r="AN177" s="219"/>
      <c r="AO177" s="219"/>
      <c r="AP177" s="37" t="s">
        <v>1204</v>
      </c>
      <c r="AQ177" s="37" t="s">
        <v>1240</v>
      </c>
    </row>
    <row r="178" spans="3:43" ht="135" hidden="1">
      <c r="C178" s="81">
        <v>699109</v>
      </c>
      <c r="D178" s="62" t="s">
        <v>235</v>
      </c>
      <c r="E178" s="133" t="s">
        <v>236</v>
      </c>
      <c r="F178" s="131">
        <v>23</v>
      </c>
      <c r="G178" s="122" t="s">
        <v>1097</v>
      </c>
      <c r="H178" s="18" t="s">
        <v>621</v>
      </c>
      <c r="I178" s="18" t="s">
        <v>59</v>
      </c>
      <c r="J178" s="19" t="s">
        <v>507</v>
      </c>
      <c r="K178" s="103">
        <v>113719</v>
      </c>
      <c r="L178" s="101">
        <f>INDEX(Table1[Production],MATCH(rrcworking[[#This Row],[RRC ID Number]],Table1[RRC Identifier],0))</f>
        <v>15</v>
      </c>
      <c r="M178" s="30">
        <f>INDEX(Table1[Formation Production],MATCH(rrcworking[[#This Row],[RRC ID Number]],Table1[RRC Identifier],0))</f>
        <v>1425</v>
      </c>
      <c r="N178" s="31">
        <f>INDEX(Table1[On Hand End of Month],MATCH(rrcworking[[#This Row],[RRC ID Number]],Table1[RRC Identifier],0))</f>
        <v>57</v>
      </c>
      <c r="O178" s="106" t="b">
        <f t="shared" si="5"/>
        <v>0</v>
      </c>
      <c r="P178" s="214">
        <v>20</v>
      </c>
      <c r="Q178" s="129">
        <f>rrcworking[[#This Row],[Last Month Closing Stock]]</f>
        <v>57</v>
      </c>
      <c r="R178" s="215">
        <v>77</v>
      </c>
      <c r="S178" s="148">
        <f>IF(ISERROR(INDEX(Table2[OIL],MATCH(rrcworking[[#This Row],[Magnum Wolfpak '#]],Table2[Rox Wolf'#],0))),0,INDEX(Table2[OIL],MATCH(rrcworking[[#This Row],[Magnum Wolfpak '#]],Table2[Rox Wolf'#],0)))</f>
        <v>0</v>
      </c>
      <c r="T178" s="35">
        <f>rrcworking[[#This Row],[Closing Stock (Oil)]]+rrcworking[[#This Row],[Sales/Dispostion]]-rrcworking[[#This Row],[Opening Oil Stock]]</f>
        <v>20</v>
      </c>
      <c r="U178" s="112">
        <f>rrcworking[[#This Row],[Gauge Sheet Production Vol]]-rrcworking[[#This Row],[Oil Production]]</f>
        <v>0</v>
      </c>
      <c r="V178" s="148">
        <f>IF(ISERROR(INDEX(Table2[GAS],MATCH(rrcworking[[#This Row],[Magnum Wolfpak '#]],Table2[Rox Wolf'#],0))),0,INDEX(Table2[GAS],MATCH(rrcworking[[#This Row],[Magnum Wolfpak '#]],Table2[Rox Wolf'#],0)))</f>
        <v>1349</v>
      </c>
      <c r="W178" s="24"/>
      <c r="X178" s="137">
        <f>IF(rrcworking[[#This Row],[Pressure Base]]=14.73,rrcworking[[#This Row],[Gas Sales Statement Volume (MCF)]]*$R$2,rrcworking[[#This Row],[Gas Sales Statement Volume (MCF)]])</f>
        <v>1349</v>
      </c>
      <c r="Y178" s="60"/>
      <c r="Z178" s="60"/>
      <c r="AA178" s="148">
        <f>IF(ISERROR(INDEX(Table2[LEASE USE],MATCH(rrcworking[[#This Row],[Magnum Wolfpak '#]],Table2[Rox Wolf'#],0))),0,INDEX(Table2[LEASE USE],MATCH(rrcworking[[#This Row],[Magnum Wolfpak '#]],Table2[Rox Wolf'#],0)))</f>
        <v>0</v>
      </c>
      <c r="AB178" s="57">
        <f>rrcworking[[#This Row],[Disposition Volume (MCF) @ 14.65 MCF]]+rrcworking[[#This Row],[Lease Use (MCF)]]</f>
        <v>1349</v>
      </c>
      <c r="AC178" s="37"/>
      <c r="AD178" s="37" t="s">
        <v>1185</v>
      </c>
      <c r="AE178" s="220">
        <f>COUNTIF(FilterList,rrcworking[[#This Row],[Magnum Wolfpak '#]])</f>
        <v>0</v>
      </c>
      <c r="AF178" s="217"/>
      <c r="AG178" s="218"/>
      <c r="AH178" s="37"/>
      <c r="AI178" s="218"/>
      <c r="AJ178" s="219"/>
      <c r="AK178" s="219"/>
      <c r="AL178" s="219"/>
      <c r="AM178" s="219"/>
      <c r="AN178" s="219"/>
      <c r="AO178" s="219"/>
      <c r="AP178" s="37" t="s">
        <v>1204</v>
      </c>
      <c r="AQ178" s="37" t="s">
        <v>1240</v>
      </c>
    </row>
    <row r="179" spans="3:43" ht="15" hidden="1">
      <c r="C179" s="80" t="e">
        <v>#N/A</v>
      </c>
      <c r="D179" s="62" t="s">
        <v>141</v>
      </c>
      <c r="E179" s="133" t="s">
        <v>142</v>
      </c>
      <c r="F179" s="131">
        <v>1</v>
      </c>
      <c r="G179" s="122" t="s">
        <v>1097</v>
      </c>
      <c r="H179" s="18" t="s">
        <v>620</v>
      </c>
      <c r="I179" s="18" t="s">
        <v>59</v>
      </c>
      <c r="J179" s="19" t="s">
        <v>454</v>
      </c>
      <c r="K179" s="103">
        <v>53255</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214"/>
      <c r="Q179" s="129">
        <f>rrcworking[[#This Row],[Last Month Closing Stock]]</f>
        <v>0</v>
      </c>
      <c r="R179" s="214"/>
      <c r="S179" s="148">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Production Vol]]-rrcworking[[#This Row],[Oil Production]]</f>
        <v>0</v>
      </c>
      <c r="V179" s="148">
        <f>IF(ISERROR(INDEX(Table2[GAS],MATCH(rrcworking[[#This Row],[Magnum Wolfpak '#]],Table2[Rox Wolf'#],0))),0,INDEX(Table2[GAS],MATCH(rrcworking[[#This Row],[Magnum Wolfpak '#]],Table2[Rox Wolf'#],0)))</f>
        <v>0</v>
      </c>
      <c r="W179" s="24"/>
      <c r="X179" s="137">
        <f>IF(rrcworking[[#This Row],[Pressure Base]]=14.73,rrcworking[[#This Row],[Gas Sales Statement Volume (MCF)]]*$R$2,rrcworking[[#This Row],[Gas Sales Statement Volume (MCF)]])</f>
        <v>0</v>
      </c>
      <c r="Y179" s="60"/>
      <c r="Z179" s="60"/>
      <c r="AA179" s="148">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220">
        <f>COUNTIF(FilterList,rrcworking[[#This Row],[Magnum Wolfpak '#]])</f>
        <v>0</v>
      </c>
      <c r="AF179" s="217"/>
      <c r="AG179" s="218"/>
      <c r="AH179" s="37"/>
      <c r="AI179" s="37"/>
      <c r="AJ179" s="37"/>
      <c r="AK179" s="37"/>
      <c r="AL179" s="37"/>
      <c r="AM179" s="37"/>
      <c r="AN179" s="37"/>
      <c r="AO179" s="37"/>
      <c r="AP179" s="37"/>
      <c r="AQ179" s="37"/>
    </row>
    <row r="180" spans="3:43" ht="15" hidden="1">
      <c r="C180" s="80" t="e">
        <v>#N/A</v>
      </c>
      <c r="D180" s="62" t="s">
        <v>141</v>
      </c>
      <c r="E180" s="133" t="s">
        <v>142</v>
      </c>
      <c r="F180" s="131">
        <v>2</v>
      </c>
      <c r="G180" s="122" t="s">
        <v>1097</v>
      </c>
      <c r="H180" s="18" t="s">
        <v>620</v>
      </c>
      <c r="I180" s="18" t="s">
        <v>59</v>
      </c>
      <c r="J180" s="19" t="s">
        <v>455</v>
      </c>
      <c r="K180" s="103">
        <v>59225</v>
      </c>
      <c r="L180" s="101">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6" t="b">
        <f t="shared" si="5"/>
        <v>1</v>
      </c>
      <c r="P180" s="214"/>
      <c r="Q180" s="129">
        <f>rrcworking[[#This Row],[Last Month Closing Stock]]</f>
        <v>0</v>
      </c>
      <c r="R180" s="214"/>
      <c r="S180" s="148">
        <f>IF(ISERROR(INDEX(Table2[OIL],MATCH(rrcworking[[#This Row],[Magnum Wolfpak '#]],Table2[Rox Wolf'#],0))),0,INDEX(Table2[OIL],MATCH(rrcworking[[#This Row],[Magnum Wolfpak '#]],Table2[Rox Wolf'#],0)))</f>
        <v>0</v>
      </c>
      <c r="T180" s="35">
        <f>rrcworking[[#This Row],[Closing Stock (Oil)]]+rrcworking[[#This Row],[Sales/Dispostion]]-rrcworking[[#This Row],[Opening Oil Stock]]</f>
        <v>0</v>
      </c>
      <c r="U180" s="112">
        <f>rrcworking[[#This Row],[Gauge Sheet Production Vol]]-rrcworking[[#This Row],[Oil Production]]</f>
        <v>0</v>
      </c>
      <c r="V180" s="148">
        <f>IF(ISERROR(INDEX(Table2[GAS],MATCH(rrcworking[[#This Row],[Magnum Wolfpak '#]],Table2[Rox Wolf'#],0))),0,INDEX(Table2[GAS],MATCH(rrcworking[[#This Row],[Magnum Wolfpak '#]],Table2[Rox Wolf'#],0)))</f>
        <v>0</v>
      </c>
      <c r="W180" s="24"/>
      <c r="X180" s="137">
        <f>IF(rrcworking[[#This Row],[Pressure Base]]=14.73,rrcworking[[#This Row],[Gas Sales Statement Volume (MCF)]]*$R$2,rrcworking[[#This Row],[Gas Sales Statement Volume (MCF)]])</f>
        <v>0</v>
      </c>
      <c r="Y180" s="60"/>
      <c r="Z180" s="60"/>
      <c r="AA180" s="148">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220">
        <f>COUNTIF(FilterList,rrcworking[[#This Row],[Magnum Wolfpak '#]])</f>
        <v>0</v>
      </c>
      <c r="AF180" s="217"/>
      <c r="AG180" s="218"/>
      <c r="AH180" s="37"/>
      <c r="AI180" s="37"/>
      <c r="AJ180" s="37"/>
      <c r="AK180" s="37"/>
      <c r="AL180" s="37"/>
      <c r="AM180" s="37"/>
      <c r="AN180" s="37"/>
      <c r="AO180" s="37"/>
      <c r="AP180" s="37"/>
      <c r="AQ180" s="37"/>
    </row>
    <row r="181" spans="3:43" ht="15" hidden="1">
      <c r="C181" s="80" t="e">
        <v>#N/A</v>
      </c>
      <c r="D181" s="62" t="s">
        <v>139</v>
      </c>
      <c r="E181" s="133" t="s">
        <v>140</v>
      </c>
      <c r="F181" s="131">
        <v>1</v>
      </c>
      <c r="G181" s="122" t="s">
        <v>1097</v>
      </c>
      <c r="H181" s="18" t="s">
        <v>620</v>
      </c>
      <c r="I181" s="18" t="s">
        <v>59</v>
      </c>
      <c r="J181" s="19" t="s">
        <v>453</v>
      </c>
      <c r="K181" s="103">
        <v>138470</v>
      </c>
      <c r="L181" s="101">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6" t="b">
        <f t="shared" si="5"/>
        <v>1</v>
      </c>
      <c r="P181" s="214"/>
      <c r="Q181" s="129">
        <f>rrcworking[[#This Row],[Last Month Closing Stock]]</f>
        <v>0</v>
      </c>
      <c r="R181" s="214"/>
      <c r="S181" s="148">
        <f>IF(ISERROR(INDEX(Table2[OIL],MATCH(rrcworking[[#This Row],[Magnum Wolfpak '#]],Table2[Rox Wolf'#],0))),0,INDEX(Table2[OIL],MATCH(rrcworking[[#This Row],[Magnum Wolfpak '#]],Table2[Rox Wolf'#],0)))</f>
        <v>0</v>
      </c>
      <c r="T181" s="35">
        <f>rrcworking[[#This Row],[Closing Stock (Oil)]]+rrcworking[[#This Row],[Sales/Dispostion]]-rrcworking[[#This Row],[Opening Oil Stock]]</f>
        <v>0</v>
      </c>
      <c r="U181" s="112">
        <f>rrcworking[[#This Row],[Gauge Sheet Production Vol]]-rrcworking[[#This Row],[Oil Production]]</f>
        <v>0</v>
      </c>
      <c r="V181" s="148">
        <f>IF(ISERROR(INDEX(Table2[GAS],MATCH(rrcworking[[#This Row],[Magnum Wolfpak '#]],Table2[Rox Wolf'#],0))),0,INDEX(Table2[GAS],MATCH(rrcworking[[#This Row],[Magnum Wolfpak '#]],Table2[Rox Wolf'#],0)))</f>
        <v>0</v>
      </c>
      <c r="W181" s="24"/>
      <c r="X181" s="137">
        <f>IF(rrcworking[[#This Row],[Pressure Base]]=14.73,rrcworking[[#This Row],[Gas Sales Statement Volume (MCF)]]*$R$2,rrcworking[[#This Row],[Gas Sales Statement Volume (MCF)]])</f>
        <v>0</v>
      </c>
      <c r="Y181" s="60"/>
      <c r="Z181" s="60"/>
      <c r="AA181" s="148">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220">
        <f>COUNTIF(FilterList,rrcworking[[#This Row],[Magnum Wolfpak '#]])</f>
        <v>0</v>
      </c>
      <c r="AF181" s="217"/>
      <c r="AG181" s="218"/>
      <c r="AH181" s="37"/>
      <c r="AI181" s="37"/>
      <c r="AJ181" s="37"/>
      <c r="AK181" s="37"/>
      <c r="AL181" s="37"/>
      <c r="AM181" s="37"/>
      <c r="AN181" s="37"/>
      <c r="AO181" s="37"/>
      <c r="AP181" s="37"/>
      <c r="AQ181" s="37"/>
    </row>
    <row r="182" spans="3:43" ht="15">
      <c r="C182" s="80">
        <v>99270</v>
      </c>
      <c r="D182" s="62" t="s">
        <v>148</v>
      </c>
      <c r="E182" s="133" t="s">
        <v>149</v>
      </c>
      <c r="F182" s="131">
        <v>1</v>
      </c>
      <c r="G182" s="122" t="s">
        <v>1097</v>
      </c>
      <c r="H182" s="18" t="s">
        <v>621</v>
      </c>
      <c r="I182" s="18" t="s">
        <v>59</v>
      </c>
      <c r="J182" s="19" t="s">
        <v>459</v>
      </c>
      <c r="K182" s="103">
        <v>280236</v>
      </c>
      <c r="L182" s="101">
        <f>INDEX(Table1[Production],MATCH(rrcworking[[#This Row],[RRC ID Number]],Table1[RRC Identifier],0))</f>
        <v>3107</v>
      </c>
      <c r="M182" s="30">
        <f>INDEX(Table1[Formation Production],MATCH(rrcworking[[#This Row],[RRC ID Number]],Table1[RRC Identifier],0))</f>
        <v>123229</v>
      </c>
      <c r="N182" s="31">
        <f>INDEX(Table1[On Hand End of Month],MATCH(rrcworking[[#This Row],[RRC ID Number]],Table1[RRC Identifier],0))</f>
        <v>381</v>
      </c>
      <c r="O182" s="106" t="b">
        <f t="shared" si="5"/>
        <v>0</v>
      </c>
      <c r="P182" s="214">
        <v>2550</v>
      </c>
      <c r="Q182" s="129">
        <f>rrcworking[[#This Row],[Last Month Closing Stock]]</f>
        <v>381</v>
      </c>
      <c r="R182" s="215">
        <v>431</v>
      </c>
      <c r="S182" s="148">
        <f>IF(ISERROR(INDEX(Table2[OIL],MATCH(rrcworking[[#This Row],[Magnum Wolfpak '#]],Table2[Rox Wolf'#],0))),0,INDEX(Table2[OIL],MATCH(rrcworking[[#This Row],[Magnum Wolfpak '#]],Table2[Rox Wolf'#],0)))</f>
        <v>2486</v>
      </c>
      <c r="T182" s="35">
        <f>rrcworking[[#This Row],[Closing Stock (Oil)]]+rrcworking[[#This Row],[Sales/Dispostion]]-rrcworking[[#This Row],[Opening Oil Stock]]</f>
        <v>2536</v>
      </c>
      <c r="U182" s="112">
        <f>rrcworking[[#This Row],[Gauge Sheet Production Vol]]-rrcworking[[#This Row],[Oil Production]]</f>
        <v>14</v>
      </c>
      <c r="V182" s="148">
        <f>IF(ISERROR(INDEX(Table2[GAS],MATCH(rrcworking[[#This Row],[Magnum Wolfpak '#]],Table2[Rox Wolf'#],0))),0,INDEX(Table2[GAS],MATCH(rrcworking[[#This Row],[Magnum Wolfpak '#]],Table2[Rox Wolf'#],0)))</f>
        <v>114227</v>
      </c>
      <c r="W182" s="24"/>
      <c r="X182" s="137">
        <f>IF(rrcworking[[#This Row],[Pressure Base]]=14.73,rrcworking[[#This Row],[Gas Sales Statement Volume (MCF)]]*$R$2,rrcworking[[#This Row],[Gas Sales Statement Volume (MCF)]])</f>
        <v>114227</v>
      </c>
      <c r="Y182" s="85"/>
      <c r="Z182" s="60">
        <v>21</v>
      </c>
      <c r="AA182" s="148">
        <f>IF(ISERROR(INDEX(Table2[LEASE USE],MATCH(rrcworking[[#This Row],[Magnum Wolfpak '#]],Table2[Rox Wolf'#],0))),0,INDEX(Table2[LEASE USE],MATCH(rrcworking[[#This Row],[Magnum Wolfpak '#]],Table2[Rox Wolf'#],0)))</f>
        <v>630</v>
      </c>
      <c r="AB182" s="57">
        <f>rrcworking[[#This Row],[Disposition Volume (MCF) @ 14.65 MCF]]+rrcworking[[#This Row],[Lease Use (MCF)]]</f>
        <v>114857</v>
      </c>
      <c r="AC182" s="37"/>
      <c r="AD182" s="37"/>
      <c r="AE182" s="220">
        <f>COUNTIF(FilterList,rrcworking[[#This Row],[Magnum Wolfpak '#]])</f>
        <v>0</v>
      </c>
      <c r="AF182" s="217"/>
      <c r="AG182" s="218"/>
      <c r="AH182" s="37">
        <v>2550</v>
      </c>
      <c r="AI182" s="218">
        <v>431</v>
      </c>
      <c r="AJ182" s="37">
        <v>2</v>
      </c>
      <c r="AK182" s="37" t="s">
        <v>1152</v>
      </c>
      <c r="AL182" s="37" t="s">
        <v>1152</v>
      </c>
      <c r="AM182" s="37" t="s">
        <v>1223</v>
      </c>
      <c r="AN182" s="37" t="s">
        <v>1152</v>
      </c>
      <c r="AO182" s="37" t="s">
        <v>1217</v>
      </c>
      <c r="AP182" s="37" t="s">
        <v>1268</v>
      </c>
      <c r="AQ182" s="37"/>
    </row>
    <row r="183" spans="3:43" ht="15">
      <c r="C183" s="80">
        <v>99247</v>
      </c>
      <c r="D183" s="62" t="s">
        <v>144</v>
      </c>
      <c r="E183" s="133" t="s">
        <v>145</v>
      </c>
      <c r="F183" s="131">
        <v>0</v>
      </c>
      <c r="G183" s="122" t="s">
        <v>1097</v>
      </c>
      <c r="H183" s="18" t="s">
        <v>620</v>
      </c>
      <c r="I183" s="18" t="s">
        <v>2</v>
      </c>
      <c r="J183" s="19" t="s">
        <v>457</v>
      </c>
      <c r="K183" s="103">
        <v>10230</v>
      </c>
      <c r="L183" s="101">
        <f>INDEX(Table1[Production],MATCH(rrcworking[[#This Row],[RRC ID Number]],Table1[RRC Identifier],0))</f>
        <v>88</v>
      </c>
      <c r="M183" s="30">
        <f>INDEX(Table1[Formation Production],MATCH(rrcworking[[#This Row],[RRC ID Number]],Table1[RRC Identifier],0))</f>
        <v>0</v>
      </c>
      <c r="N183" s="31">
        <f>INDEX(Table1[On Hand End of Month],MATCH(rrcworking[[#This Row],[RRC ID Number]],Table1[RRC Identifier],0))</f>
        <v>102</v>
      </c>
      <c r="O183" s="106" t="b">
        <f t="shared" si="5"/>
        <v>0</v>
      </c>
      <c r="P183" s="214">
        <v>78</v>
      </c>
      <c r="Q183" s="129">
        <f>rrcworking[[#This Row],[Last Month Closing Stock]]</f>
        <v>102</v>
      </c>
      <c r="R183" s="215">
        <v>180</v>
      </c>
      <c r="S183" s="148">
        <f>IF(ISERROR(INDEX(Table2[OIL],MATCH(rrcworking[[#This Row],[Magnum Wolfpak '#]],Table2[Rox Wolf'#],0))),0,INDEX(Table2[OIL],MATCH(rrcworking[[#This Row],[Magnum Wolfpak '#]],Table2[Rox Wolf'#],0)))</f>
        <v>0</v>
      </c>
      <c r="T183" s="35">
        <f>rrcworking[[#This Row],[Closing Stock (Oil)]]+rrcworking[[#This Row],[Sales/Dispostion]]-rrcworking[[#This Row],[Opening Oil Stock]]</f>
        <v>78</v>
      </c>
      <c r="U183" s="112">
        <f>rrcworking[[#This Row],[Gauge Sheet Production Vol]]-rrcworking[[#This Row],[Oil Production]]</f>
        <v>0</v>
      </c>
      <c r="V183" s="148">
        <f>IF(ISERROR(INDEX(Table2[GAS],MATCH(rrcworking[[#This Row],[Magnum Wolfpak '#]],Table2[Rox Wolf'#],0))),0,INDEX(Table2[GAS],MATCH(rrcworking[[#This Row],[Magnum Wolfpak '#]],Table2[Rox Wolf'#],0)))</f>
        <v>0</v>
      </c>
      <c r="W183" s="24"/>
      <c r="X183" s="137">
        <f>IF(rrcworking[[#This Row],[Pressure Base]]=14.73,rrcworking[[#This Row],[Gas Sales Statement Volume (MCF)]]*$R$2,rrcworking[[#This Row],[Gas Sales Statement Volume (MCF)]])</f>
        <v>0</v>
      </c>
      <c r="Y183" s="60"/>
      <c r="Z183" s="60"/>
      <c r="AA183" s="148">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c r="AE183" s="220">
        <f>COUNTIF(FilterList,rrcworking[[#This Row],[Magnum Wolfpak '#]])</f>
        <v>1</v>
      </c>
      <c r="AF183" s="217"/>
      <c r="AG183" s="218"/>
      <c r="AH183" s="37">
        <v>78</v>
      </c>
      <c r="AI183" s="218">
        <v>180</v>
      </c>
      <c r="AJ183" s="37">
        <v>2</v>
      </c>
      <c r="AK183" s="37" t="s">
        <v>1152</v>
      </c>
      <c r="AL183" s="37" t="s">
        <v>1206</v>
      </c>
      <c r="AM183" s="37" t="s">
        <v>1238</v>
      </c>
      <c r="AN183" s="37" t="s">
        <v>1152</v>
      </c>
      <c r="AO183" s="37" t="s">
        <v>1212</v>
      </c>
      <c r="AP183" s="37" t="s">
        <v>1269</v>
      </c>
      <c r="AQ183" s="37"/>
    </row>
    <row r="184" spans="3:43" ht="75">
      <c r="C184" s="80">
        <v>98983</v>
      </c>
      <c r="D184" s="62" t="s">
        <v>393</v>
      </c>
      <c r="E184" s="133" t="s">
        <v>394</v>
      </c>
      <c r="F184" s="131">
        <v>0</v>
      </c>
      <c r="G184" s="122" t="s">
        <v>1097</v>
      </c>
      <c r="H184" s="21" t="s">
        <v>622</v>
      </c>
      <c r="I184" s="21" t="s">
        <v>2</v>
      </c>
      <c r="J184" s="19" t="s">
        <v>603</v>
      </c>
      <c r="K184" s="103">
        <v>12360</v>
      </c>
      <c r="L184" s="101">
        <f>INDEX(Table1[Production],MATCH(rrcworking[[#This Row],[RRC ID Number]],Table1[RRC Identifier],0))</f>
        <v>0</v>
      </c>
      <c r="M184" s="30">
        <f>INDEX(Table1[Formation Production],MATCH(rrcworking[[#This Row],[RRC ID Number]],Table1[RRC Identifier],0))</f>
        <v>0</v>
      </c>
      <c r="N184" s="31">
        <f>INDEX(Table1[On Hand End of Month],MATCH(rrcworking[[#This Row],[RRC ID Number]],Table1[RRC Identifier],0))</f>
        <v>63</v>
      </c>
      <c r="O184" s="106" t="b">
        <f t="shared" si="5"/>
        <v>1</v>
      </c>
      <c r="P184" s="214">
        <v>0</v>
      </c>
      <c r="Q184" s="129">
        <f>rrcworking[[#This Row],[Last Month Closing Stock]]</f>
        <v>63</v>
      </c>
      <c r="R184" s="214">
        <v>63</v>
      </c>
      <c r="S184" s="148">
        <f>IF(ISERROR(INDEX(Table2[OIL],MATCH(rrcworking[[#This Row],[Magnum Wolfpak '#]],Table2[Rox Wolf'#],0))),0,INDEX(Table2[OIL],MATCH(rrcworking[[#This Row],[Magnum Wolfpak '#]],Table2[Rox Wolf'#],0)))</f>
        <v>0</v>
      </c>
      <c r="T184" s="35">
        <f>rrcworking[[#This Row],[Closing Stock (Oil)]]+rrcworking[[#This Row],[Sales/Dispostion]]-rrcworking[[#This Row],[Opening Oil Stock]]</f>
        <v>0</v>
      </c>
      <c r="U184" s="112">
        <f>rrcworking[[#This Row],[Gauge Sheet Production Vol]]-rrcworking[[#This Row],[Oil Production]]</f>
        <v>0</v>
      </c>
      <c r="V184" s="148">
        <f>IF(ISERROR(INDEX(Table2[GAS],MATCH(rrcworking[[#This Row],[Magnum Wolfpak '#]],Table2[Rox Wolf'#],0))),0,INDEX(Table2[GAS],MATCH(rrcworking[[#This Row],[Magnum Wolfpak '#]],Table2[Rox Wolf'#],0)))</f>
        <v>0</v>
      </c>
      <c r="W184" s="24"/>
      <c r="X184" s="137">
        <f>IF(rrcworking[[#This Row],[Pressure Base]]=14.73,rrcworking[[#This Row],[Gas Sales Statement Volume (MCF)]]*$R$2,rrcworking[[#This Row],[Gas Sales Statement Volume (MCF)]])</f>
        <v>0</v>
      </c>
      <c r="Y184" s="60"/>
      <c r="Z184" s="60"/>
      <c r="AA184" s="148">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t="s">
        <v>1115</v>
      </c>
      <c r="AE184" s="220">
        <f>COUNTIF(FilterList,rrcworking[[#This Row],[Magnum Wolfpak '#]])</f>
        <v>0</v>
      </c>
      <c r="AF184" s="217"/>
      <c r="AG184" s="218"/>
      <c r="AH184" s="37">
        <v>0</v>
      </c>
      <c r="AI184" s="37">
        <v>63</v>
      </c>
      <c r="AJ184" s="37">
        <v>2</v>
      </c>
      <c r="AK184" s="37" t="s">
        <v>1206</v>
      </c>
      <c r="AL184" s="37" t="s">
        <v>1206</v>
      </c>
      <c r="AM184" s="37" t="s">
        <v>1238</v>
      </c>
      <c r="AN184" s="37" t="s">
        <v>1206</v>
      </c>
      <c r="AO184" s="37" t="s">
        <v>1212</v>
      </c>
      <c r="AP184" s="37" t="s">
        <v>1285</v>
      </c>
      <c r="AQ184" s="37"/>
    </row>
    <row r="185" spans="3:43" ht="15">
      <c r="C185" s="80">
        <v>99161</v>
      </c>
      <c r="D185" s="62" t="s">
        <v>220</v>
      </c>
      <c r="E185" s="133" t="s">
        <v>221</v>
      </c>
      <c r="F185" s="131">
        <v>6</v>
      </c>
      <c r="G185" s="122" t="s">
        <v>1097</v>
      </c>
      <c r="H185" s="18" t="s">
        <v>621</v>
      </c>
      <c r="I185" s="18" t="s">
        <v>59</v>
      </c>
      <c r="J185" s="19" t="s">
        <v>500</v>
      </c>
      <c r="K185" s="103">
        <v>150672</v>
      </c>
      <c r="L185" s="101">
        <f>INDEX(Table1[Production],MATCH(rrcworking[[#This Row],[RRC ID Number]],Table1[RRC Identifier],0))</f>
        <v>96</v>
      </c>
      <c r="M185" s="30">
        <f>INDEX(Table1[Formation Production],MATCH(rrcworking[[#This Row],[RRC ID Number]],Table1[RRC Identifier],0))</f>
        <v>0</v>
      </c>
      <c r="N185" s="31">
        <f>INDEX(Table1[On Hand End of Month],MATCH(rrcworking[[#This Row],[RRC ID Number]],Table1[RRC Identifier],0))</f>
        <v>154</v>
      </c>
      <c r="O185" s="106" t="b">
        <f t="shared" si="5"/>
        <v>0</v>
      </c>
      <c r="P185" s="214">
        <v>242</v>
      </c>
      <c r="Q185" s="129">
        <f>rrcworking[[#This Row],[Last Month Closing Stock]]</f>
        <v>154</v>
      </c>
      <c r="R185" s="215">
        <v>225</v>
      </c>
      <c r="S185" s="148">
        <f>IF(ISERROR(INDEX(Table2[OIL],MATCH(rrcworking[[#This Row],[Magnum Wolfpak '#]],Table2[Rox Wolf'#],0))),0,INDEX(Table2[OIL],MATCH(rrcworking[[#This Row],[Magnum Wolfpak '#]],Table2[Rox Wolf'#],0)))</f>
        <v>170</v>
      </c>
      <c r="T185" s="35">
        <f>rrcworking[[#This Row],[Closing Stock (Oil)]]+rrcworking[[#This Row],[Sales/Dispostion]]-rrcworking[[#This Row],[Opening Oil Stock]]</f>
        <v>241</v>
      </c>
      <c r="U185" s="112">
        <f>rrcworking[[#This Row],[Gauge Sheet Production Vol]]-rrcworking[[#This Row],[Oil Production]]</f>
        <v>1</v>
      </c>
      <c r="V185" s="148">
        <f>IF(ISERROR(INDEX(Table2[GAS],MATCH(rrcworking[[#This Row],[Magnum Wolfpak '#]],Table2[Rox Wolf'#],0))),0,INDEX(Table2[GAS],MATCH(rrcworking[[#This Row],[Magnum Wolfpak '#]],Table2[Rox Wolf'#],0)))</f>
        <v>0</v>
      </c>
      <c r="W185" s="24"/>
      <c r="X185" s="137">
        <f>IF(rrcworking[[#This Row],[Pressure Base]]=14.73,rrcworking[[#This Row],[Gas Sales Statement Volume (MCF)]]*$R$2,rrcworking[[#This Row],[Gas Sales Statement Volume (MCF)]])</f>
        <v>0</v>
      </c>
      <c r="Y185" s="60"/>
      <c r="Z185" s="60">
        <v>4</v>
      </c>
      <c r="AA185" s="148">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220">
        <f>COUNTIF(FilterList,rrcworking[[#This Row],[Magnum Wolfpak '#]])</f>
        <v>0</v>
      </c>
      <c r="AF185" s="217"/>
      <c r="AG185" s="218"/>
      <c r="AH185" s="37">
        <v>242</v>
      </c>
      <c r="AI185" s="218">
        <v>225</v>
      </c>
      <c r="AJ185" s="37">
        <v>2</v>
      </c>
      <c r="AK185" s="37" t="s">
        <v>1206</v>
      </c>
      <c r="AL185" s="37" t="s">
        <v>1206</v>
      </c>
      <c r="AM185" s="37" t="s">
        <v>1270</v>
      </c>
      <c r="AN185" s="37" t="s">
        <v>1206</v>
      </c>
      <c r="AO185" s="37" t="s">
        <v>1271</v>
      </c>
      <c r="AP185" s="37" t="s">
        <v>1247</v>
      </c>
      <c r="AQ185" s="37" t="s">
        <v>1272</v>
      </c>
    </row>
    <row r="186" spans="3:43" ht="15">
      <c r="C186" s="82">
        <v>48001</v>
      </c>
      <c r="D186" s="98" t="s">
        <v>246</v>
      </c>
      <c r="E186" s="134" t="s">
        <v>247</v>
      </c>
      <c r="F186" s="130">
        <v>0</v>
      </c>
      <c r="G186" s="123" t="s">
        <v>1097</v>
      </c>
      <c r="H186" s="127" t="s">
        <v>621</v>
      </c>
      <c r="I186" s="127" t="s">
        <v>2</v>
      </c>
      <c r="J186" s="83" t="s">
        <v>513</v>
      </c>
      <c r="K186" s="104">
        <v>24861</v>
      </c>
      <c r="L186" s="99">
        <f>INDEX(Table1[Production],MATCH(rrcworking[[#This Row],[RRC ID Number]],Table1[RRC Identifier],0))</f>
        <v>0</v>
      </c>
      <c r="M186" s="99">
        <f>INDEX(Table1[Formation Production],MATCH(rrcworking[[#This Row],[RRC ID Number]],Table1[RRC Identifier],0))</f>
        <v>24</v>
      </c>
      <c r="N186" s="99">
        <f>INDEX(Table1[On Hand End of Month],MATCH(rrcworking[[#This Row],[RRC ID Number]],Table1[RRC Identifier],0))</f>
        <v>30</v>
      </c>
      <c r="O186" s="107" t="b">
        <f t="shared" si="5"/>
        <v>0</v>
      </c>
      <c r="P186" s="214">
        <v>0</v>
      </c>
      <c r="Q186" s="129">
        <f>rrcworking[[#This Row],[Last Month Closing Stock]]</f>
        <v>30</v>
      </c>
      <c r="R186" s="214">
        <v>30</v>
      </c>
      <c r="S186" s="148">
        <f>IF(ISERROR(INDEX(Table2[OIL],MATCH(rrcworking[[#This Row],[Magnum Wolfpak '#]],Table2[Rox Wolf'#],0))),0,INDEX(Table2[OIL],MATCH(rrcworking[[#This Row],[Magnum Wolfpak '#]],Table2[Rox Wolf'#],0)))</f>
        <v>0</v>
      </c>
      <c r="T186" s="100">
        <f>rrcworking[[#This Row],[Closing Stock (Oil)]]+rrcworking[[#This Row],[Sales/Dispostion]]-rrcworking[[#This Row],[Opening Oil Stock]]</f>
        <v>0</v>
      </c>
      <c r="U186" s="113">
        <f>rrcworking[[#This Row],[Gauge Sheet Production Vol]]-rrcworking[[#This Row],[Oil Production]]</f>
        <v>0</v>
      </c>
      <c r="V186" s="148">
        <f>IF(ISERROR(INDEX(Table2[GAS],MATCH(rrcworking[[#This Row],[Magnum Wolfpak '#]],Table2[Rox Wolf'#],0))),0,INDEX(Table2[GAS],MATCH(rrcworking[[#This Row],[Magnum Wolfpak '#]],Table2[Rox Wolf'#],0)))</f>
        <v>20</v>
      </c>
      <c r="W186" s="84"/>
      <c r="X186" s="138">
        <f>IF(rrcworking[[#This Row],[Pressure Base]]=14.73,rrcworking[[#This Row],[Gas Sales Statement Volume (MCF)]]*$R$2,rrcworking[[#This Row],[Gas Sales Statement Volume (MCF)]])</f>
        <v>20</v>
      </c>
      <c r="Y186" s="85"/>
      <c r="Z186" s="85">
        <v>1</v>
      </c>
      <c r="AA186" s="148">
        <f>IF(ISERROR(INDEX(Table2[LEASE USE],MATCH(rrcworking[[#This Row],[Magnum Wolfpak '#]],Table2[Rox Wolf'#],0))),0,INDEX(Table2[LEASE USE],MATCH(rrcworking[[#This Row],[Magnum Wolfpak '#]],Table2[Rox Wolf'#],0)))</f>
        <v>15</v>
      </c>
      <c r="AB186" s="86">
        <f>rrcworking[[#This Row],[Disposition Volume (MCF) @ 14.65 MCF]]+rrcworking[[#This Row],[Lease Use (MCF)]]</f>
        <v>35</v>
      </c>
      <c r="AC186" s="87"/>
      <c r="AD186" s="87"/>
      <c r="AE186" s="221">
        <f>COUNTIF(FilterList,rrcworking[[#This Row],[Magnum Wolfpak '#]])</f>
        <v>0</v>
      </c>
      <c r="AF186" s="217"/>
      <c r="AG186" s="218"/>
      <c r="AH186" s="37">
        <v>0</v>
      </c>
      <c r="AI186" s="37">
        <v>30</v>
      </c>
      <c r="AJ186" s="37">
        <v>1</v>
      </c>
      <c r="AK186" s="37" t="s">
        <v>1206</v>
      </c>
      <c r="AL186" s="37" t="s">
        <v>1206</v>
      </c>
      <c r="AM186" s="37" t="s">
        <v>1238</v>
      </c>
      <c r="AN186" s="37" t="s">
        <v>1152</v>
      </c>
      <c r="AO186" s="37" t="s">
        <v>1212</v>
      </c>
      <c r="AP186" s="37" t="s">
        <v>1257</v>
      </c>
      <c r="AQ186" s="37"/>
    </row>
    <row r="187" spans="3:43" ht="15" hidden="1">
      <c r="C187" s="80" t="e">
        <v>#N/A</v>
      </c>
      <c r="D187" s="62" t="s">
        <v>173</v>
      </c>
      <c r="E187" s="133" t="s">
        <v>174</v>
      </c>
      <c r="F187" s="131">
        <v>0</v>
      </c>
      <c r="G187" s="122" t="s">
        <v>1097</v>
      </c>
      <c r="H187" s="18" t="s">
        <v>621</v>
      </c>
      <c r="I187" s="18" t="s">
        <v>2</v>
      </c>
      <c r="J187" s="19" t="s">
        <v>474</v>
      </c>
      <c r="K187" s="103">
        <v>15252</v>
      </c>
      <c r="L187" s="101">
        <f>INDEX(Table1[Production],MATCH(rrcworking[[#This Row],[RRC ID Number]],Table1[RRC Identifier],0))</f>
        <v>0</v>
      </c>
      <c r="M187" s="30">
        <f>INDEX(Table1[Formation Production],MATCH(rrcworking[[#This Row],[RRC ID Number]],Table1[RRC Identifier],0))</f>
        <v>0</v>
      </c>
      <c r="N187" s="31">
        <f>INDEX(Table1[On Hand End of Month],MATCH(rrcworking[[#This Row],[RRC ID Number]],Table1[RRC Identifier],0))</f>
        <v>0</v>
      </c>
      <c r="O187" s="106" t="b">
        <f t="shared" si="5"/>
        <v>1</v>
      </c>
      <c r="P187" s="214"/>
      <c r="Q187" s="129">
        <f>rrcworking[[#This Row],[Last Month Closing Stock]]</f>
        <v>0</v>
      </c>
      <c r="R187" s="214"/>
      <c r="S187" s="148">
        <f>IF(ISERROR(INDEX(Table2[OIL],MATCH(rrcworking[[#This Row],[Magnum Wolfpak '#]],Table2[Rox Wolf'#],0))),0,INDEX(Table2[OIL],MATCH(rrcworking[[#This Row],[Magnum Wolfpak '#]],Table2[Rox Wolf'#],0)))</f>
        <v>0</v>
      </c>
      <c r="T187" s="35">
        <f>rrcworking[[#This Row],[Closing Stock (Oil)]]+rrcworking[[#This Row],[Sales/Dispostion]]-rrcworking[[#This Row],[Opening Oil Stock]]</f>
        <v>0</v>
      </c>
      <c r="U187" s="112">
        <f>rrcworking[[#This Row],[Gauge Sheet Production Vol]]-rrcworking[[#This Row],[Oil Production]]</f>
        <v>0</v>
      </c>
      <c r="V187" s="148">
        <f>IF(ISERROR(INDEX(Table2[GAS],MATCH(rrcworking[[#This Row],[Magnum Wolfpak '#]],Table2[Rox Wolf'#],0))),0,INDEX(Table2[GAS],MATCH(rrcworking[[#This Row],[Magnum Wolfpak '#]],Table2[Rox Wolf'#],0)))</f>
        <v>0</v>
      </c>
      <c r="W187" s="24"/>
      <c r="X187" s="137">
        <f>IF(rrcworking[[#This Row],[Pressure Base]]=14.73,rrcworking[[#This Row],[Gas Sales Statement Volume (MCF)]]*$R$2,rrcworking[[#This Row],[Gas Sales Statement Volume (MCF)]])</f>
        <v>0</v>
      </c>
      <c r="Y187" s="60"/>
      <c r="Z187" s="60"/>
      <c r="AA187" s="148">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c r="AE187" s="220">
        <f>COUNTIF(FilterList,rrcworking[[#This Row],[Magnum Wolfpak '#]])</f>
        <v>0</v>
      </c>
      <c r="AF187" s="217"/>
      <c r="AG187" s="218"/>
      <c r="AH187" s="37"/>
      <c r="AI187" s="37"/>
      <c r="AJ187" s="37"/>
      <c r="AK187" s="37"/>
      <c r="AL187" s="37"/>
      <c r="AM187" s="37"/>
      <c r="AN187" s="37"/>
      <c r="AO187" s="37"/>
      <c r="AP187" s="37"/>
      <c r="AQ187" s="37"/>
    </row>
    <row r="188" spans="3:43" ht="15" hidden="1">
      <c r="C188" s="80" t="e">
        <v>#N/A</v>
      </c>
      <c r="D188" s="62" t="s">
        <v>369</v>
      </c>
      <c r="E188" s="133" t="s">
        <v>370</v>
      </c>
      <c r="F188" s="131">
        <v>1</v>
      </c>
      <c r="G188" s="122" t="s">
        <v>1097</v>
      </c>
      <c r="H188" s="18" t="s">
        <v>622</v>
      </c>
      <c r="I188" s="18" t="s">
        <v>59</v>
      </c>
      <c r="J188" s="19" t="s">
        <v>589</v>
      </c>
      <c r="K188" s="103">
        <v>120373</v>
      </c>
      <c r="L188" s="101">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6" t="b">
        <f t="shared" si="5"/>
        <v>1</v>
      </c>
      <c r="P188" s="214"/>
      <c r="Q188" s="129">
        <f>rrcworking[[#This Row],[Last Month Closing Stock]]</f>
        <v>0</v>
      </c>
      <c r="R188" s="214"/>
      <c r="S188" s="148">
        <f>IF(ISERROR(INDEX(Table2[OIL],MATCH(rrcworking[[#This Row],[Magnum Wolfpak '#]],Table2[Rox Wolf'#],0))),0,INDEX(Table2[OIL],MATCH(rrcworking[[#This Row],[Magnum Wolfpak '#]],Table2[Rox Wolf'#],0)))</f>
        <v>0</v>
      </c>
      <c r="T188" s="35">
        <f>rrcworking[[#This Row],[Closing Stock (Oil)]]+rrcworking[[#This Row],[Sales/Dispostion]]-rrcworking[[#This Row],[Opening Oil Stock]]</f>
        <v>0</v>
      </c>
      <c r="U188" s="112">
        <f>rrcworking[[#This Row],[Gauge Sheet Production Vol]]-rrcworking[[#This Row],[Oil Production]]</f>
        <v>0</v>
      </c>
      <c r="V188" s="148">
        <f>IF(ISERROR(INDEX(Table2[GAS],MATCH(rrcworking[[#This Row],[Magnum Wolfpak '#]],Table2[Rox Wolf'#],0))),0,INDEX(Table2[GAS],MATCH(rrcworking[[#This Row],[Magnum Wolfpak '#]],Table2[Rox Wolf'#],0)))</f>
        <v>0</v>
      </c>
      <c r="W188" s="24"/>
      <c r="X188" s="137">
        <f>IF(rrcworking[[#This Row],[Pressure Base]]=14.73,rrcworking[[#This Row],[Gas Sales Statement Volume (MCF)]]*$R$2,rrcworking[[#This Row],[Gas Sales Statement Volume (MCF)]])</f>
        <v>0</v>
      </c>
      <c r="Y188" s="60"/>
      <c r="Z188" s="60"/>
      <c r="AA188" s="148">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220">
        <f>COUNTIF(FilterList,rrcworking[[#This Row],[Magnum Wolfpak '#]])</f>
        <v>0</v>
      </c>
      <c r="AF188" s="217"/>
      <c r="AG188" s="218"/>
      <c r="AH188" s="37"/>
      <c r="AI188" s="37"/>
      <c r="AJ188" s="37"/>
      <c r="AK188" s="37"/>
      <c r="AL188" s="37"/>
      <c r="AM188" s="37"/>
      <c r="AN188" s="37"/>
      <c r="AO188" s="37"/>
      <c r="AP188" s="37"/>
      <c r="AQ188" s="37"/>
    </row>
    <row r="189" spans="3:43" ht="15">
      <c r="C189" s="80">
        <v>99305</v>
      </c>
      <c r="D189" s="62" t="s">
        <v>202</v>
      </c>
      <c r="E189" s="133" t="s">
        <v>203</v>
      </c>
      <c r="F189" s="131">
        <v>0</v>
      </c>
      <c r="G189" s="122" t="s">
        <v>1097</v>
      </c>
      <c r="H189" s="18" t="s">
        <v>621</v>
      </c>
      <c r="I189" s="18" t="s">
        <v>2</v>
      </c>
      <c r="J189" s="19" t="s">
        <v>491</v>
      </c>
      <c r="K189" s="103">
        <v>27401</v>
      </c>
      <c r="L189" s="101">
        <f>INDEX(Table1[Production],MATCH(rrcworking[[#This Row],[RRC ID Number]],Table1[RRC Identifier],0))</f>
        <v>796</v>
      </c>
      <c r="M189" s="30">
        <f>INDEX(Table1[Formation Production],MATCH(rrcworking[[#This Row],[RRC ID Number]],Table1[RRC Identifier],0))</f>
        <v>0</v>
      </c>
      <c r="N189" s="31">
        <f>INDEX(Table1[On Hand End of Month],MATCH(rrcworking[[#This Row],[RRC ID Number]],Table1[RRC Identifier],0))</f>
        <v>511</v>
      </c>
      <c r="O189" s="106" t="b">
        <f t="shared" si="5"/>
        <v>0</v>
      </c>
      <c r="P189" s="214">
        <v>336</v>
      </c>
      <c r="Q189" s="129">
        <f>rrcworking[[#This Row],[Last Month Closing Stock]]</f>
        <v>511</v>
      </c>
      <c r="R189" s="215">
        <v>299</v>
      </c>
      <c r="S189" s="148">
        <f>IF(ISERROR(INDEX(Table2[OIL],MATCH(rrcworking[[#This Row],[Magnum Wolfpak '#]],Table2[Rox Wolf'#],0))),0,INDEX(Table2[OIL],MATCH(rrcworking[[#This Row],[Magnum Wolfpak '#]],Table2[Rox Wolf'#],0)))</f>
        <v>530</v>
      </c>
      <c r="T189" s="35">
        <f>rrcworking[[#This Row],[Closing Stock (Oil)]]+rrcworking[[#This Row],[Sales/Dispostion]]-rrcworking[[#This Row],[Opening Oil Stock]]</f>
        <v>318</v>
      </c>
      <c r="U189" s="112">
        <f>rrcworking[[#This Row],[Gauge Sheet Production Vol]]-rrcworking[[#This Row],[Oil Production]]</f>
        <v>18</v>
      </c>
      <c r="V189" s="148">
        <f>IF(ISERROR(INDEX(Table2[GAS],MATCH(rrcworking[[#This Row],[Magnum Wolfpak '#]],Table2[Rox Wolf'#],0))),0,INDEX(Table2[GAS],MATCH(rrcworking[[#This Row],[Magnum Wolfpak '#]],Table2[Rox Wolf'#],0)))</f>
        <v>0</v>
      </c>
      <c r="W189" s="24"/>
      <c r="X189" s="137">
        <f>IF(rrcworking[[#This Row],[Pressure Base]]=14.73,rrcworking[[#This Row],[Gas Sales Statement Volume (MCF)]]*$R$2,rrcworking[[#This Row],[Gas Sales Statement Volume (MCF)]])</f>
        <v>0</v>
      </c>
      <c r="Y189" s="60"/>
      <c r="Z189" s="60"/>
      <c r="AA189" s="148">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220">
        <f>COUNTIF(FilterList,rrcworking[[#This Row],[Magnum Wolfpak '#]])</f>
        <v>0</v>
      </c>
      <c r="AF189" s="217"/>
      <c r="AG189" s="218"/>
      <c r="AH189" s="37">
        <v>336</v>
      </c>
      <c r="AI189" s="218">
        <v>299</v>
      </c>
      <c r="AJ189" s="37">
        <v>3</v>
      </c>
      <c r="AK189" s="37" t="s">
        <v>1152</v>
      </c>
      <c r="AL189" s="37" t="s">
        <v>1206</v>
      </c>
      <c r="AM189" s="37" t="s">
        <v>1220</v>
      </c>
      <c r="AN189" s="37" t="s">
        <v>1206</v>
      </c>
      <c r="AO189" s="37" t="s">
        <v>1217</v>
      </c>
      <c r="AP189" s="37" t="s">
        <v>1282</v>
      </c>
      <c r="AQ189" s="37"/>
    </row>
    <row r="190" spans="3:43" ht="15">
      <c r="C190" s="80">
        <v>99302</v>
      </c>
      <c r="D190" s="62" t="s">
        <v>199</v>
      </c>
      <c r="E190" s="133" t="s">
        <v>200</v>
      </c>
      <c r="F190" s="131">
        <v>0</v>
      </c>
      <c r="G190" s="122" t="s">
        <v>1097</v>
      </c>
      <c r="H190" s="18" t="s">
        <v>621</v>
      </c>
      <c r="I190" s="18" t="s">
        <v>2</v>
      </c>
      <c r="J190" s="19" t="s">
        <v>489</v>
      </c>
      <c r="K190" s="103">
        <v>27495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108</v>
      </c>
      <c r="O190" s="106" t="b">
        <f t="shared" si="5"/>
        <v>1</v>
      </c>
      <c r="P190" s="214">
        <v>57</v>
      </c>
      <c r="Q190" s="129">
        <f>rrcworking[[#This Row],[Last Month Closing Stock]]</f>
        <v>108</v>
      </c>
      <c r="R190" s="214">
        <v>164</v>
      </c>
      <c r="S190" s="148">
        <f>IF(ISERROR(INDEX(Table2[OIL],MATCH(rrcworking[[#This Row],[Magnum Wolfpak '#]],Table2[Rox Wolf'#],0))),0,INDEX(Table2[OIL],MATCH(rrcworking[[#This Row],[Magnum Wolfpak '#]],Table2[Rox Wolf'#],0)))</f>
        <v>0</v>
      </c>
      <c r="T190" s="35">
        <f>rrcworking[[#This Row],[Closing Stock (Oil)]]+rrcworking[[#This Row],[Sales/Dispostion]]-rrcworking[[#This Row],[Opening Oil Stock]]</f>
        <v>56</v>
      </c>
      <c r="U190" s="112">
        <f>rrcworking[[#This Row],[Gauge Sheet Production Vol]]-rrcworking[[#This Row],[Oil Production]]</f>
        <v>1</v>
      </c>
      <c r="V190" s="148">
        <f>IF(ISERROR(INDEX(Table2[GAS],MATCH(rrcworking[[#This Row],[Magnum Wolfpak '#]],Table2[Rox Wolf'#],0))),0,INDEX(Table2[GAS],MATCH(rrcworking[[#This Row],[Magnum Wolfpak '#]],Table2[Rox Wolf'#],0)))</f>
        <v>0</v>
      </c>
      <c r="W190" s="24"/>
      <c r="X190" s="137">
        <f>IF(rrcworking[[#This Row],[Pressure Base]]=14.73,rrcworking[[#This Row],[Gas Sales Statement Volume (MCF)]]*$R$2,rrcworking[[#This Row],[Gas Sales Statement Volume (MCF)]])</f>
        <v>0</v>
      </c>
      <c r="Y190" s="60"/>
      <c r="Z190" s="60"/>
      <c r="AA190" s="148">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220">
        <f>COUNTIF(FilterList,rrcworking[[#This Row],[Magnum Wolfpak '#]])</f>
        <v>0</v>
      </c>
      <c r="AF190" s="217"/>
      <c r="AG190" s="218"/>
      <c r="AH190" s="37">
        <v>57</v>
      </c>
      <c r="AI190" s="37">
        <v>164</v>
      </c>
      <c r="AJ190" s="37">
        <v>1</v>
      </c>
      <c r="AK190" s="37" t="s">
        <v>1152</v>
      </c>
      <c r="AL190" s="37" t="s">
        <v>1206</v>
      </c>
      <c r="AM190" s="37" t="s">
        <v>1216</v>
      </c>
      <c r="AN190" s="37" t="s">
        <v>1206</v>
      </c>
      <c r="AO190" s="37" t="s">
        <v>1217</v>
      </c>
      <c r="AP190" s="37" t="s">
        <v>1283</v>
      </c>
      <c r="AQ190" s="37" t="s">
        <v>1219</v>
      </c>
    </row>
    <row r="191" spans="3:43" ht="15">
      <c r="C191" s="80">
        <v>99296</v>
      </c>
      <c r="D191" s="62" t="s">
        <v>199</v>
      </c>
      <c r="E191" s="133" t="s">
        <v>201</v>
      </c>
      <c r="F191" s="131">
        <v>0</v>
      </c>
      <c r="G191" s="122" t="s">
        <v>1097</v>
      </c>
      <c r="H191" s="18" t="s">
        <v>621</v>
      </c>
      <c r="I191" s="18" t="s">
        <v>2</v>
      </c>
      <c r="J191" s="19" t="s">
        <v>490</v>
      </c>
      <c r="K191" s="103">
        <v>27499</v>
      </c>
      <c r="L191" s="101">
        <f>INDEX(Table1[Production],MATCH(rrcworking[[#This Row],[RRC ID Number]],Table1[RRC Identifier],0))</f>
        <v>172</v>
      </c>
      <c r="M191" s="30">
        <f>INDEX(Table1[Formation Production],MATCH(rrcworking[[#This Row],[RRC ID Number]],Table1[RRC Identifier],0))</f>
        <v>0</v>
      </c>
      <c r="N191" s="31">
        <f>INDEX(Table1[On Hand End of Month],MATCH(rrcworking[[#This Row],[RRC ID Number]],Table1[RRC Identifier],0))</f>
        <v>469</v>
      </c>
      <c r="O191" s="106" t="b">
        <f t="shared" si="5"/>
        <v>0</v>
      </c>
      <c r="P191" s="214">
        <v>127</v>
      </c>
      <c r="Q191" s="129">
        <f>rrcworking[[#This Row],[Last Month Closing Stock]]</f>
        <v>469</v>
      </c>
      <c r="R191" s="215">
        <v>508</v>
      </c>
      <c r="S191" s="148">
        <f>IF(ISERROR(INDEX(Table2[OIL],MATCH(rrcworking[[#This Row],[Magnum Wolfpak '#]],Table2[Rox Wolf'#],0))),0,INDEX(Table2[OIL],MATCH(rrcworking[[#This Row],[Magnum Wolfpak '#]],Table2[Rox Wolf'#],0)))</f>
        <v>0</v>
      </c>
      <c r="T191" s="35">
        <f>rrcworking[[#This Row],[Closing Stock (Oil)]]+rrcworking[[#This Row],[Sales/Dispostion]]-rrcworking[[#This Row],[Opening Oil Stock]]</f>
        <v>39</v>
      </c>
      <c r="U191" s="112">
        <f>rrcworking[[#This Row],[Gauge Sheet Production Vol]]-rrcworking[[#This Row],[Oil Production]]</f>
        <v>88</v>
      </c>
      <c r="V191" s="148">
        <f>IF(ISERROR(INDEX(Table2[GAS],MATCH(rrcworking[[#This Row],[Magnum Wolfpak '#]],Table2[Rox Wolf'#],0))),0,INDEX(Table2[GAS],MATCH(rrcworking[[#This Row],[Magnum Wolfpak '#]],Table2[Rox Wolf'#],0)))</f>
        <v>0</v>
      </c>
      <c r="W191" s="24"/>
      <c r="X191" s="137">
        <f>IF(rrcworking[[#This Row],[Pressure Base]]=14.73,rrcworking[[#This Row],[Gas Sales Statement Volume (MCF)]]*$R$2,rrcworking[[#This Row],[Gas Sales Statement Volume (MCF)]])</f>
        <v>0</v>
      </c>
      <c r="Y191" s="60"/>
      <c r="Z191" s="60"/>
      <c r="AA191" s="148">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220">
        <f>COUNTIF(FilterList,rrcworking[[#This Row],[Magnum Wolfpak '#]])</f>
        <v>0</v>
      </c>
      <c r="AF191" s="217"/>
      <c r="AG191" s="218"/>
      <c r="AH191" s="37">
        <v>127</v>
      </c>
      <c r="AI191" s="218">
        <v>508</v>
      </c>
      <c r="AJ191" s="37">
        <v>3</v>
      </c>
      <c r="AK191" s="37" t="s">
        <v>1152</v>
      </c>
      <c r="AL191" s="37" t="s">
        <v>1206</v>
      </c>
      <c r="AM191" s="37" t="s">
        <v>1220</v>
      </c>
      <c r="AN191" s="37" t="s">
        <v>1206</v>
      </c>
      <c r="AO191" s="37" t="s">
        <v>1217</v>
      </c>
      <c r="AP191" s="37" t="s">
        <v>1284</v>
      </c>
      <c r="AQ191" s="37"/>
    </row>
    <row r="192" spans="3:43" ht="15" hidden="1">
      <c r="C192" s="80" t="e">
        <v>#N/A</v>
      </c>
      <c r="D192" s="62" t="s">
        <v>115</v>
      </c>
      <c r="E192" s="133" t="s">
        <v>117</v>
      </c>
      <c r="F192" s="131">
        <v>2</v>
      </c>
      <c r="G192" s="122">
        <v>5113</v>
      </c>
      <c r="H192" s="18" t="s">
        <v>620</v>
      </c>
      <c r="I192" s="18" t="s">
        <v>59</v>
      </c>
      <c r="J192" s="19" t="s">
        <v>439</v>
      </c>
      <c r="K192" s="103">
        <v>189915</v>
      </c>
      <c r="L192" s="101">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0</v>
      </c>
      <c r="O192" s="106" t="b">
        <f t="shared" si="5"/>
        <v>1</v>
      </c>
      <c r="P192" s="214"/>
      <c r="Q192" s="129">
        <f>rrcworking[[#This Row],[Last Month Closing Stock]]</f>
        <v>0</v>
      </c>
      <c r="R192" s="214"/>
      <c r="S192" s="148">
        <f>IF(ISERROR(INDEX(Table2[OIL],MATCH(rrcworking[[#This Row],[Magnum Wolfpak '#]],Table2[Rox Wolf'#],0))),0,INDEX(Table2[OIL],MATCH(rrcworking[[#This Row],[Magnum Wolfpak '#]],Table2[Rox Wolf'#],0)))</f>
        <v>0</v>
      </c>
      <c r="T192" s="35">
        <f>rrcworking[[#This Row],[Closing Stock (Oil)]]+rrcworking[[#This Row],[Sales/Dispostion]]-rrcworking[[#This Row],[Opening Oil Stock]]</f>
        <v>0</v>
      </c>
      <c r="U192" s="112">
        <f>rrcworking[[#This Row],[Gauge Sheet Production Vol]]-rrcworking[[#This Row],[Oil Production]]</f>
        <v>0</v>
      </c>
      <c r="V192" s="148">
        <f>IF(ISERROR(INDEX(Table2[GAS],MATCH(rrcworking[[#This Row],[Magnum Wolfpak '#]],Table2[Rox Wolf'#],0))),0,INDEX(Table2[GAS],MATCH(rrcworking[[#This Row],[Magnum Wolfpak '#]],Table2[Rox Wolf'#],0)))</f>
        <v>0</v>
      </c>
      <c r="W192" s="24"/>
      <c r="X192" s="137">
        <f>IF(rrcworking[[#This Row],[Pressure Base]]=14.73,rrcworking[[#This Row],[Gas Sales Statement Volume (MCF)]]*$R$2,rrcworking[[#This Row],[Gas Sales Statement Volume (MCF)]])</f>
        <v>0</v>
      </c>
      <c r="Y192" s="60"/>
      <c r="Z192" s="60"/>
      <c r="AA192" s="148">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c r="AE192" s="220">
        <f>COUNTIF(FilterList,rrcworking[[#This Row],[Magnum Wolfpak '#]])</f>
        <v>0</v>
      </c>
      <c r="AF192" s="217"/>
      <c r="AG192" s="218"/>
      <c r="AH192" s="37"/>
      <c r="AI192" s="37"/>
      <c r="AJ192" s="37"/>
      <c r="AK192" s="37"/>
      <c r="AL192" s="37"/>
      <c r="AM192" s="37"/>
      <c r="AN192" s="37"/>
      <c r="AO192" s="37"/>
      <c r="AP192" s="37"/>
      <c r="AQ192" s="37"/>
    </row>
    <row r="193" spans="3:43" ht="15" hidden="1">
      <c r="C193" s="80" t="e">
        <v>#N/A</v>
      </c>
      <c r="D193" s="62" t="s">
        <v>166</v>
      </c>
      <c r="E193" s="133" t="s">
        <v>167</v>
      </c>
      <c r="F193" s="131">
        <v>1</v>
      </c>
      <c r="G193" s="122" t="s">
        <v>1097</v>
      </c>
      <c r="H193" s="18" t="s">
        <v>621</v>
      </c>
      <c r="I193" s="18" t="s">
        <v>59</v>
      </c>
      <c r="J193" s="19" t="s">
        <v>470</v>
      </c>
      <c r="K193" s="103">
        <v>192497</v>
      </c>
      <c r="L193" s="101">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6" t="b">
        <f t="shared" si="5"/>
        <v>1</v>
      </c>
      <c r="P193" s="214"/>
      <c r="Q193" s="129">
        <f>rrcworking[[#This Row],[Last Month Closing Stock]]</f>
        <v>0</v>
      </c>
      <c r="R193" s="214"/>
      <c r="S193" s="148">
        <f>IF(ISERROR(INDEX(Table2[OIL],MATCH(rrcworking[[#This Row],[Magnum Wolfpak '#]],Table2[Rox Wolf'#],0))),0,INDEX(Table2[OIL],MATCH(rrcworking[[#This Row],[Magnum Wolfpak '#]],Table2[Rox Wolf'#],0)))</f>
        <v>0</v>
      </c>
      <c r="T193" s="35">
        <f>rrcworking[[#This Row],[Closing Stock (Oil)]]+rrcworking[[#This Row],[Sales/Dispostion]]-rrcworking[[#This Row],[Opening Oil Stock]]</f>
        <v>0</v>
      </c>
      <c r="U193" s="112">
        <f>rrcworking[[#This Row],[Gauge Sheet Production Vol]]-rrcworking[[#This Row],[Oil Production]]</f>
        <v>0</v>
      </c>
      <c r="V193" s="148">
        <f>IF(ISERROR(INDEX(Table2[GAS],MATCH(rrcworking[[#This Row],[Magnum Wolfpak '#]],Table2[Rox Wolf'#],0))),0,INDEX(Table2[GAS],MATCH(rrcworking[[#This Row],[Magnum Wolfpak '#]],Table2[Rox Wolf'#],0)))</f>
        <v>0</v>
      </c>
      <c r="W193" s="24"/>
      <c r="X193" s="137">
        <f>IF(rrcworking[[#This Row],[Pressure Base]]=14.73,rrcworking[[#This Row],[Gas Sales Statement Volume (MCF)]]*$R$2,rrcworking[[#This Row],[Gas Sales Statement Volume (MCF)]])</f>
        <v>0</v>
      </c>
      <c r="Y193" s="60"/>
      <c r="Z193" s="60"/>
      <c r="AA193" s="148">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220">
        <f>COUNTIF(FilterList,rrcworking[[#This Row],[Magnum Wolfpak '#]])</f>
        <v>0</v>
      </c>
      <c r="AF193" s="217"/>
      <c r="AG193" s="218"/>
      <c r="AH193" s="37"/>
      <c r="AI193" s="37"/>
      <c r="AJ193" s="37"/>
      <c r="AK193" s="37"/>
      <c r="AL193" s="37"/>
      <c r="AM193" s="37"/>
      <c r="AN193" s="37"/>
      <c r="AO193" s="37"/>
      <c r="AP193" s="37"/>
      <c r="AQ193" s="37"/>
    </row>
    <row r="194" spans="3:43" ht="15">
      <c r="C194" s="80">
        <v>99194</v>
      </c>
      <c r="D194" s="62" t="s">
        <v>168</v>
      </c>
      <c r="E194" s="133" t="s">
        <v>169</v>
      </c>
      <c r="F194" s="131">
        <v>0</v>
      </c>
      <c r="G194" s="122" t="s">
        <v>1097</v>
      </c>
      <c r="H194" s="18" t="s">
        <v>621</v>
      </c>
      <c r="I194" s="18" t="s">
        <v>2</v>
      </c>
      <c r="J194" s="19" t="s">
        <v>471</v>
      </c>
      <c r="K194" s="103">
        <v>21610</v>
      </c>
      <c r="L194" s="101">
        <f>INDEX(Table1[Production],MATCH(rrcworking[[#This Row],[RRC ID Number]],Table1[RRC Identifier],0))</f>
        <v>761</v>
      </c>
      <c r="M194" s="30">
        <f>INDEX(Table1[Formation Production],MATCH(rrcworking[[#This Row],[RRC ID Number]],Table1[RRC Identifier],0))</f>
        <v>0</v>
      </c>
      <c r="N194" s="31">
        <f>INDEX(Table1[On Hand End of Month],MATCH(rrcworking[[#This Row],[RRC ID Number]],Table1[RRC Identifier],0))</f>
        <v>385</v>
      </c>
      <c r="O194" s="106" t="b">
        <f t="shared" si="5"/>
        <v>0</v>
      </c>
      <c r="P194" s="214">
        <v>599</v>
      </c>
      <c r="Q194" s="129">
        <f>rrcworking[[#This Row],[Last Month Closing Stock]]</f>
        <v>385</v>
      </c>
      <c r="R194" s="215">
        <v>281</v>
      </c>
      <c r="S194" s="148">
        <f>IF(ISERROR(INDEX(Table2[OIL],MATCH(rrcworking[[#This Row],[Magnum Wolfpak '#]],Table2[Rox Wolf'#],0))),0,INDEX(Table2[OIL],MATCH(rrcworking[[#This Row],[Magnum Wolfpak '#]],Table2[Rox Wolf'#],0)))</f>
        <v>692</v>
      </c>
      <c r="T194" s="35">
        <f>rrcworking[[#This Row],[Closing Stock (Oil)]]+rrcworking[[#This Row],[Sales/Dispostion]]-rrcworking[[#This Row],[Opening Oil Stock]]</f>
        <v>588</v>
      </c>
      <c r="U194" s="112">
        <f>rrcworking[[#This Row],[Gauge Sheet Production Vol]]-rrcworking[[#This Row],[Oil Production]]</f>
        <v>11</v>
      </c>
      <c r="V194" s="148">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8">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220">
        <f>COUNTIF(FilterList,rrcworking[[#This Row],[Magnum Wolfpak '#]])</f>
        <v>0</v>
      </c>
      <c r="AF194" s="217"/>
      <c r="AG194" s="218"/>
      <c r="AH194" s="37">
        <v>599</v>
      </c>
      <c r="AI194" s="218">
        <v>281</v>
      </c>
      <c r="AJ194" s="37">
        <v>2</v>
      </c>
      <c r="AK194" s="37" t="s">
        <v>1206</v>
      </c>
      <c r="AL194" s="37" t="s">
        <v>1206</v>
      </c>
      <c r="AM194" s="37" t="s">
        <v>1273</v>
      </c>
      <c r="AN194" s="37" t="s">
        <v>1206</v>
      </c>
      <c r="AO194" s="37" t="s">
        <v>1274</v>
      </c>
      <c r="AP194" s="37" t="s">
        <v>1275</v>
      </c>
      <c r="AQ194" s="37" t="s">
        <v>1237</v>
      </c>
    </row>
    <row r="195" spans="3:43" ht="15.75" thickBot="1">
      <c r="C195" s="80">
        <v>80001</v>
      </c>
      <c r="D195" s="62" t="s">
        <v>267</v>
      </c>
      <c r="E195" s="133" t="s">
        <v>268</v>
      </c>
      <c r="F195" s="131">
        <v>1</v>
      </c>
      <c r="G195" s="122" t="s">
        <v>1097</v>
      </c>
      <c r="H195" s="18" t="s">
        <v>621</v>
      </c>
      <c r="I195" s="18" t="s">
        <v>59</v>
      </c>
      <c r="J195" s="19" t="s">
        <v>524</v>
      </c>
      <c r="K195" s="103">
        <v>91859</v>
      </c>
      <c r="L195" s="102">
        <f>INDEX(Table1[Production],MATCH(rrcworking[[#This Row],[RRC ID Number]],Table1[RRC Identifier],0))</f>
        <v>19</v>
      </c>
      <c r="M195" s="32">
        <f>INDEX(Table1[Formation Production],MATCH(rrcworking[[#This Row],[RRC ID Number]],Table1[RRC Identifier],0))</f>
        <v>763</v>
      </c>
      <c r="N195" s="33">
        <f>INDEX(Table1[On Hand End of Month],MATCH(rrcworking[[#This Row],[RRC ID Number]],Table1[RRC Identifier],0))</f>
        <v>77</v>
      </c>
      <c r="O195" s="108" t="b">
        <f t="shared" si="5"/>
        <v>0</v>
      </c>
      <c r="P195" s="214">
        <v>0</v>
      </c>
      <c r="Q195" s="129">
        <f>rrcworking[[#This Row],[Last Month Closing Stock]]</f>
        <v>77</v>
      </c>
      <c r="R195" s="215">
        <v>77</v>
      </c>
      <c r="S195" s="148">
        <f>IF(ISERROR(INDEX(Table2[OIL],MATCH(rrcworking[[#This Row],[Magnum Wolfpak '#]],Table2[Rox Wolf'#],0))),0,INDEX(Table2[OIL],MATCH(rrcworking[[#This Row],[Magnum Wolfpak '#]],Table2[Rox Wolf'#],0)))</f>
        <v>0</v>
      </c>
      <c r="T195" s="35">
        <f>rrcworking[[#This Row],[Closing Stock (Oil)]]+rrcworking[[#This Row],[Sales/Dispostion]]-rrcworking[[#This Row],[Opening Oil Stock]]</f>
        <v>0</v>
      </c>
      <c r="U195" s="112">
        <f>rrcworking[[#This Row],[Gauge Sheet Production Vol]]-rrcworking[[#This Row],[Oil Production]]</f>
        <v>0</v>
      </c>
      <c r="V195" s="148">
        <f>IF(ISERROR(INDEX(Table2[GAS],MATCH(rrcworking[[#This Row],[Magnum Wolfpak '#]],Table2[Rox Wolf'#],0))),0,INDEX(Table2[GAS],MATCH(rrcworking[[#This Row],[Magnum Wolfpak '#]],Table2[Rox Wolf'#],0)))</f>
        <v>0</v>
      </c>
      <c r="W195" s="24"/>
      <c r="X195" s="137">
        <f>IF(rrcworking[[#This Row],[Pressure Base]]=14.73,rrcworking[[#This Row],[Gas Sales Statement Volume (MCF)]]*$R$2,rrcworking[[#This Row],[Gas Sales Statement Volume (MCF)]])</f>
        <v>0</v>
      </c>
      <c r="Y195" s="152"/>
      <c r="Z195" s="61">
        <v>4</v>
      </c>
      <c r="AA195" s="148">
        <f>IF(ISERROR(INDEX(Table2[LEASE USE],MATCH(rrcworking[[#This Row],[Magnum Wolfpak '#]],Table2[Rox Wolf'#],0))),0,INDEX(Table2[LEASE USE],MATCH(rrcworking[[#This Row],[Magnum Wolfpak '#]],Table2[Rox Wolf'#],0)))</f>
        <v>0</v>
      </c>
      <c r="AB195" s="58">
        <f>rrcworking[[#This Row],[Disposition Volume (MCF) @ 14.65 MCF]]+rrcworking[[#This Row],[Lease Use (MCF)]]</f>
        <v>0</v>
      </c>
      <c r="AC195" s="37"/>
      <c r="AD195" s="37"/>
      <c r="AE195" s="220">
        <f>COUNTIF(FilterList,rrcworking[[#This Row],[Magnum Wolfpak '#]])</f>
        <v>0</v>
      </c>
      <c r="AF195" s="217"/>
      <c r="AG195" s="218"/>
      <c r="AH195" s="37">
        <v>0</v>
      </c>
      <c r="AI195" s="218">
        <v>77</v>
      </c>
      <c r="AJ195" s="37">
        <v>2</v>
      </c>
      <c r="AK195" s="37" t="s">
        <v>1206</v>
      </c>
      <c r="AL195" s="37" t="s">
        <v>1206</v>
      </c>
      <c r="AM195" s="37" t="s">
        <v>1255</v>
      </c>
      <c r="AN195" s="37" t="s">
        <v>1206</v>
      </c>
      <c r="AO195" s="37" t="s">
        <v>1217</v>
      </c>
      <c r="AP195" s="37" t="s">
        <v>1263</v>
      </c>
      <c r="AQ195" s="37"/>
    </row>
    <row r="196" spans="3:43" ht="16.5" hidden="1" thickTop="1" thickBot="1">
      <c r="C196" s="80" t="e">
        <v>#N/A</v>
      </c>
      <c r="D196" s="62" t="s">
        <v>85</v>
      </c>
      <c r="E196" s="133" t="s">
        <v>86</v>
      </c>
      <c r="F196" s="131">
        <v>1</v>
      </c>
      <c r="G196" s="122" t="s">
        <v>1097</v>
      </c>
      <c r="H196" s="18" t="s">
        <v>620</v>
      </c>
      <c r="I196" s="18" t="s">
        <v>59</v>
      </c>
      <c r="J196" s="19" t="s">
        <v>420</v>
      </c>
      <c r="K196" s="103">
        <v>200152</v>
      </c>
      <c r="L196" s="101">
        <f>INDEX(Table1[Production],MATCH(rrcworking[[#This Row],[RRC ID Number]],Table1[RRC Identifier],0))</f>
        <v>0</v>
      </c>
      <c r="M196" s="30">
        <f>INDEX(Table1[Formation Production],MATCH(rrcworking[[#This Row],[RRC ID Number]],Table1[RRC Identifier],0))</f>
        <v>0</v>
      </c>
      <c r="N196" s="31">
        <f>INDEX(Table1[On Hand End of Month],MATCH(rrcworking[[#This Row],[RRC ID Number]],Table1[RRC Identifier],0))</f>
        <v>0</v>
      </c>
      <c r="O196" s="106" t="b">
        <f t="shared" si="5"/>
        <v>1</v>
      </c>
      <c r="P196" s="214"/>
      <c r="Q196" s="129">
        <f>rrcworking[[#This Row],[Last Month Closing Stock]]</f>
        <v>0</v>
      </c>
      <c r="R196" s="214"/>
      <c r="S196" s="148">
        <f>IF(ISERROR(INDEX(Table2[OIL],MATCH(rrcworking[[#This Row],[Magnum Wolfpak '#]],Table2[Rox Wolf'#],0))),0,INDEX(Table2[OIL],MATCH(rrcworking[[#This Row],[Magnum Wolfpak '#]],Table2[Rox Wolf'#],0)))</f>
        <v>0</v>
      </c>
      <c r="T196" s="36">
        <f>rrcworking[[#This Row],[Closing Stock (Oil)]]+rrcworking[[#This Row],[Sales/Dispostion]]-rrcworking[[#This Row],[Opening Oil Stock]]</f>
        <v>0</v>
      </c>
      <c r="U196" s="112">
        <f>rrcworking[[#This Row],[Gauge Sheet Production Vol]]-rrcworking[[#This Row],[Oil Production]]</f>
        <v>0</v>
      </c>
      <c r="V196" s="148">
        <f>IF(ISERROR(INDEX(Table2[GAS],MATCH(rrcworking[[#This Row],[Magnum Wolfpak '#]],Table2[Rox Wolf'#],0))),0,INDEX(Table2[GAS],MATCH(rrcworking[[#This Row],[Magnum Wolfpak '#]],Table2[Rox Wolf'#],0)))</f>
        <v>0</v>
      </c>
      <c r="W196" s="24"/>
      <c r="X196" s="139">
        <f>IF(rrcworking[[#This Row],[Pressure Base]]=14.73,rrcworking[[#This Row],[Gas Sales Statement Volume (MCF)]]*$R$2,rrcworking[[#This Row],[Gas Sales Statement Volume (MCF)]])</f>
        <v>0</v>
      </c>
      <c r="Y196" s="60"/>
      <c r="Z196" s="60"/>
      <c r="AA196" s="148">
        <f>IF(ISERROR(INDEX(Table2[LEASE USE],MATCH(rrcworking[[#This Row],[Magnum Wolfpak '#]],Table2[Rox Wolf'#],0))),0,INDEX(Table2[LEASE USE],MATCH(rrcworking[[#This Row],[Magnum Wolfpak '#]],Table2[Rox Wolf'#],0)))</f>
        <v>0</v>
      </c>
      <c r="AB196" s="60">
        <f>rrcworking[[#This Row],[Disposition Volume (MCF) @ 14.65 MCF]]+rrcworking[[#This Row],[Lease Use (MCF)]]</f>
        <v>0</v>
      </c>
      <c r="AC196" s="37"/>
      <c r="AD196" s="37"/>
      <c r="AE196" s="220">
        <f>COUNTIF(FilterList,rrcworking[[#This Row],[Magnum Wolfpak '#]])</f>
        <v>0</v>
      </c>
      <c r="AF196" s="217"/>
      <c r="AG196" s="218"/>
      <c r="AH196" s="37"/>
      <c r="AI196" s="37"/>
      <c r="AJ196" s="37"/>
      <c r="AK196" s="37"/>
      <c r="AL196" s="37"/>
      <c r="AM196" s="37"/>
      <c r="AN196" s="37"/>
      <c r="AO196" s="37"/>
      <c r="AP196" s="37"/>
      <c r="AQ196" s="37"/>
    </row>
    <row r="197" spans="3:43" ht="15.75" thickTop="1">
      <c r="C197" s="20">
        <f>SUBTOTAL(103,rrcworking[Magnum Wolfpak '#])</f>
        <v>37</v>
      </c>
      <c r="D197" s="20"/>
      <c r="E197" s="20" t="s">
        <v>628</v>
      </c>
      <c r="F197" s="145">
        <f>SUBTOTAL(103,rrcworking[Well Number])</f>
        <v>37</v>
      </c>
      <c r="G197" s="145"/>
      <c r="H197" s="145"/>
      <c r="I197" s="145"/>
      <c r="J197" s="205"/>
      <c r="K197" s="209"/>
      <c r="L197" s="146">
        <f>SUBTOTAL(109,rrcworking[[ Last Month Oil Production]])</f>
        <v>10662</v>
      </c>
      <c r="M197" s="20">
        <f>SUBTOTAL(109,rrcworking[Last Month Gas Prod])</f>
        <v>267016</v>
      </c>
      <c r="N197" s="20">
        <f>SUBTOTAL(109,rrcworking[Last Month Closing Stock])</f>
        <v>6829</v>
      </c>
      <c r="O197" s="147"/>
      <c r="P197" s="147"/>
      <c r="Q197" s="146">
        <f>SUBTOTAL(109,rrcworking[Opening Oil Stock])</f>
        <v>6829</v>
      </c>
      <c r="R197" s="20">
        <f>SUBTOTAL(109,rrcworking[Closing Stock (Oil)])</f>
        <v>6662</v>
      </c>
      <c r="S197" s="20">
        <f>SUBTOTAL(109,rrcworking[Sales/Dispostion])</f>
        <v>13300</v>
      </c>
      <c r="T197" s="20">
        <f>SUBTOTAL(109,rrcworking[Oil Production])</f>
        <v>13133</v>
      </c>
      <c r="U197" s="20"/>
      <c r="V197" s="171">
        <f>SUBTOTAL(109,rrcworking[Gas Sales Statement Volume (MCF)])</f>
        <v>239016</v>
      </c>
      <c r="W197" s="20"/>
      <c r="X197" s="148">
        <f>SUBTOTAL(109,rrcworking[Disposition Volume (MCF) @ 14.65 MCF])</f>
        <v>239016</v>
      </c>
      <c r="Y197" s="20"/>
      <c r="Z197" s="20"/>
      <c r="AA197" s="20">
        <f>SUBTOTAL(109,rrcworking[Lease Use (MCF)])</f>
        <v>2703</v>
      </c>
      <c r="AB197" s="148">
        <f>SUBTOTAL(109,rrcworking[Formation Production (MCF) @ 14.65 psi])</f>
        <v>241719</v>
      </c>
      <c r="AC197">
        <f>SUBTOTAL(103,rrcworking[Gas Comments])</f>
        <v>0</v>
      </c>
      <c r="AE197" s="20"/>
    </row>
    <row r="200" spans="3:43">
      <c r="V200" s="5"/>
    </row>
  </sheetData>
  <mergeCells count="8">
    <mergeCell ref="AC4:AD4"/>
    <mergeCell ref="AH3:AP3"/>
    <mergeCell ref="C2:G2"/>
    <mergeCell ref="V4:AB4"/>
    <mergeCell ref="P4:U4"/>
    <mergeCell ref="L4:O4"/>
    <mergeCell ref="C4:K4"/>
    <mergeCell ref="Z3:AB3"/>
  </mergeCells>
  <phoneticPr fontId="64" type="noConversion"/>
  <conditionalFormatting sqref="U6:U196">
    <cfRule type="expression" dxfId="10" priority="2">
      <formula>ABS($U6)&gt;20</formula>
    </cfRule>
  </conditionalFormatting>
  <conditionalFormatting sqref="T6:T196">
    <cfRule type="cellIs" dxfId="9" priority="1" operator="lessThan">
      <formula>0</formula>
    </cfRule>
  </conditionalFormatting>
  <pageMargins left="0.25" right="0.25" top="0.75" bottom="0.75" header="0.3" footer="0.3"/>
  <pageSetup scale="19" orientation="landscape" horizontalDpi="1200" verticalDpi="1200" r:id="rId1"/>
  <ignoredErrors>
    <ignoredError sqref="F45:F49"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1103</v>
      </c>
      <c r="E1" t="s">
        <v>1101</v>
      </c>
      <c r="F1" t="s">
        <v>1102</v>
      </c>
    </row>
    <row r="2" spans="1:6" ht="19.5">
      <c r="A2" s="45" t="s">
        <v>660</v>
      </c>
      <c r="E2" t="s">
        <v>75</v>
      </c>
    </row>
    <row r="3" spans="1:6" ht="19.5">
      <c r="A3" s="45" t="s">
        <v>679</v>
      </c>
      <c r="E3" t="s">
        <v>78</v>
      </c>
      <c r="F3">
        <v>99228</v>
      </c>
    </row>
    <row r="4" spans="1:6" ht="19.5">
      <c r="A4" s="45" t="s">
        <v>714</v>
      </c>
      <c r="E4" t="s">
        <v>81</v>
      </c>
      <c r="F4">
        <v>99017</v>
      </c>
    </row>
    <row r="5" spans="1:6" ht="19.5">
      <c r="A5" s="45" t="s">
        <v>716</v>
      </c>
      <c r="E5" t="s">
        <v>83</v>
      </c>
    </row>
    <row r="6" spans="1:6" ht="19.5">
      <c r="A6" s="45" t="s">
        <v>722</v>
      </c>
      <c r="E6" t="s">
        <v>86</v>
      </c>
    </row>
    <row r="7" spans="1:6" ht="19.5">
      <c r="A7" s="45" t="s">
        <v>724</v>
      </c>
      <c r="E7" t="s">
        <v>87</v>
      </c>
    </row>
    <row r="8" spans="1:6" ht="19.5">
      <c r="A8" s="45" t="s">
        <v>726</v>
      </c>
      <c r="E8" t="s">
        <v>89</v>
      </c>
    </row>
    <row r="9" spans="1:6" ht="19.5">
      <c r="A9" s="45" t="s">
        <v>728</v>
      </c>
      <c r="E9" t="s">
        <v>92</v>
      </c>
      <c r="F9">
        <v>34001</v>
      </c>
    </row>
    <row r="10" spans="1:6" ht="19.5">
      <c r="A10" s="45" t="s">
        <v>732</v>
      </c>
      <c r="E10" t="s">
        <v>94</v>
      </c>
      <c r="F10">
        <v>93701</v>
      </c>
    </row>
    <row r="11" spans="1:6" ht="19.5">
      <c r="A11" s="45" t="s">
        <v>741</v>
      </c>
      <c r="E11" t="s">
        <v>92</v>
      </c>
    </row>
    <row r="12" spans="1:6" ht="19.5">
      <c r="A12" s="128" t="s">
        <v>742</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814</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819</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797</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Q93"/>
  <sheetViews>
    <sheetView topLeftCell="A36" workbookViewId="0">
      <selection activeCell="B44" sqref="B44"/>
    </sheetView>
  </sheetViews>
  <sheetFormatPr defaultRowHeight="12.75"/>
  <cols>
    <col min="1" max="1" width="16.6640625" style="25" customWidth="1"/>
    <col min="2" max="2" width="30.83203125" style="17" bestFit="1" customWidth="1"/>
    <col min="3" max="3" width="9.33203125" style="161"/>
    <col min="4" max="4" width="22.33203125" style="161"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384" width="9.33203125" style="25"/>
  </cols>
  <sheetData>
    <row r="1" spans="1:17" s="154" customFormat="1" ht="21">
      <c r="A1" s="234"/>
      <c r="B1" s="234"/>
      <c r="C1" s="234"/>
      <c r="D1" s="234"/>
      <c r="E1" s="234"/>
    </row>
    <row r="2" spans="1:17" s="154" customFormat="1" ht="21">
      <c r="A2" s="235"/>
      <c r="B2" s="235"/>
      <c r="C2" s="235"/>
      <c r="D2" s="235"/>
      <c r="E2" s="235"/>
      <c r="F2" s="164" t="s">
        <v>1173</v>
      </c>
    </row>
    <row r="3" spans="1:17" s="154" customFormat="1" ht="21">
      <c r="B3" s="155"/>
      <c r="C3" s="156"/>
      <c r="D3" s="156"/>
      <c r="E3" s="155"/>
    </row>
    <row r="4" spans="1:17" ht="48.75" customHeight="1">
      <c r="A4" s="157" t="s">
        <v>1122</v>
      </c>
      <c r="B4" s="158" t="s">
        <v>827</v>
      </c>
      <c r="C4" s="159" t="s">
        <v>748</v>
      </c>
      <c r="D4" s="160" t="s">
        <v>749</v>
      </c>
      <c r="E4" s="159" t="s">
        <v>750</v>
      </c>
      <c r="F4" s="25" t="s">
        <v>1116</v>
      </c>
      <c r="G4" s="25" t="s">
        <v>1117</v>
      </c>
      <c r="H4" s="25" t="s">
        <v>1118</v>
      </c>
      <c r="I4" s="25" t="s">
        <v>1119</v>
      </c>
      <c r="J4" s="25" t="s">
        <v>1120</v>
      </c>
      <c r="K4" s="157" t="s">
        <v>1138</v>
      </c>
      <c r="M4" s="169" t="s">
        <v>1128</v>
      </c>
    </row>
    <row r="5" spans="1:17" s="154" customFormat="1" ht="21">
      <c r="A5">
        <v>99265</v>
      </c>
      <c r="B5" t="s">
        <v>1127</v>
      </c>
      <c r="C5" s="167">
        <f>ROUND(INDEX(Table4[OIL],MATCH(Table2[[#This Row],[Rox Wolf'#]],Table4[Wolf],0)),0)</f>
        <v>0</v>
      </c>
      <c r="D5" s="167">
        <f>INDEX(Table4[GAS],MATCH(Table2[[#This Row],[Rox Wolf'#]],Table4[Wolf],0))</f>
        <v>2713</v>
      </c>
      <c r="E5" s="167">
        <f>INDEX(Table4[LEASE USE],MATCH(Table2[[#This Row],[Rox Wolf'#]],Table4[Wolf],0))</f>
        <v>167</v>
      </c>
      <c r="F5" s="170"/>
      <c r="G5" s="170"/>
      <c r="H5" s="170"/>
      <c r="I5" s="170"/>
      <c r="J5" s="165">
        <f>COUNTIF(FilterList,#REF!)</f>
        <v>0</v>
      </c>
      <c r="K5" s="170"/>
      <c r="M5" s="25"/>
      <c r="N5" s="25"/>
      <c r="Q5" s="210">
        <v>99265</v>
      </c>
    </row>
    <row r="6" spans="1:17" ht="15">
      <c r="A6">
        <v>99266</v>
      </c>
      <c r="B6" t="s">
        <v>1129</v>
      </c>
      <c r="C6" s="167">
        <f>ROUND(INDEX(Table4[OIL],MATCH(Table2[[#This Row],[Rox Wolf'#]],Table4[Wolf],0)),0)</f>
        <v>0</v>
      </c>
      <c r="D6" s="177">
        <f>INDEX(Table4[GAS],MATCH(Table2[[#This Row],[Rox Wolf'#]],Table4[Wolf],0))</f>
        <v>2305</v>
      </c>
      <c r="E6" s="177">
        <f>INDEX(Table4[LEASE USE],MATCH(Table2[[#This Row],[Rox Wolf'#]],Table4[Wolf],0))</f>
        <v>141</v>
      </c>
      <c r="F6" s="170"/>
      <c r="G6" s="170"/>
      <c r="H6" s="170"/>
      <c r="I6" s="170"/>
      <c r="J6" s="165">
        <f>COUNTIF(FilterList,#REF!)</f>
        <v>0</v>
      </c>
      <c r="K6" s="170"/>
      <c r="Q6" s="211">
        <v>99266</v>
      </c>
    </row>
    <row r="7" spans="1:17" ht="15">
      <c r="A7">
        <v>99267</v>
      </c>
      <c r="B7" t="s">
        <v>1130</v>
      </c>
      <c r="C7" s="167">
        <f>ROUND(INDEX(Table4[OIL],MATCH(Table2[[#This Row],[Rox Wolf'#]],Table4[Wolf],0)),0)</f>
        <v>0</v>
      </c>
      <c r="D7" s="177">
        <f>INDEX(Table4[GAS],MATCH(Table2[[#This Row],[Rox Wolf'#]],Table4[Wolf],0))</f>
        <v>470</v>
      </c>
      <c r="E7" s="177">
        <f>INDEX(Table4[LEASE USE],MATCH(Table2[[#This Row],[Rox Wolf'#]],Table4[Wolf],0))</f>
        <v>20</v>
      </c>
      <c r="F7" s="170"/>
      <c r="G7" s="170"/>
      <c r="H7" s="170"/>
      <c r="I7" s="170"/>
      <c r="J7" s="165">
        <f>COUNTIF(FilterList,#REF!)</f>
        <v>0</v>
      </c>
      <c r="K7" s="170"/>
      <c r="Q7" s="210">
        <v>99267</v>
      </c>
    </row>
    <row r="8" spans="1:17" ht="15">
      <c r="A8">
        <v>99229</v>
      </c>
      <c r="B8" t="s">
        <v>751</v>
      </c>
      <c r="C8" s="168">
        <f>ROUND(INDEX(Table4[OIL],MATCH(Table2[[#This Row],[Rox Wolf'#]],Table4[Wolf],0)),0)</f>
        <v>540</v>
      </c>
      <c r="D8" s="176">
        <f>INDEX(Table4[GAS],MATCH(Table2[[#This Row],[Rox Wolf'#]],Table4[Wolf],0))</f>
        <v>384</v>
      </c>
      <c r="E8" s="168">
        <f>INDEX(Table4[LEASE USE],MATCH(Table2[[#This Row],[Rox Wolf'#]],Table4[Wolf],0))</f>
        <v>30</v>
      </c>
      <c r="F8" s="170"/>
      <c r="G8" s="170"/>
      <c r="H8" s="170"/>
      <c r="I8" s="170"/>
      <c r="J8" s="165">
        <f>COUNTIF(FilterList,#REF!)</f>
        <v>0</v>
      </c>
      <c r="K8" s="170"/>
      <c r="Q8" s="211">
        <v>99229</v>
      </c>
    </row>
    <row r="9" spans="1:17" ht="15">
      <c r="A9">
        <v>93701</v>
      </c>
      <c r="B9" t="s">
        <v>798</v>
      </c>
      <c r="C9" s="168">
        <f>ROUND(INDEX(Table4[OIL],MATCH(Table2[[#This Row],[Rox Wolf'#]],Table4[Wolf],0)),0)</f>
        <v>0</v>
      </c>
      <c r="D9" s="176">
        <f>INDEX(Table4[GAS],MATCH(Table2[[#This Row],[Rox Wolf'#]],Table4[Wolf],0))</f>
        <v>6</v>
      </c>
      <c r="E9" s="168">
        <f>INDEX(Table4[LEASE USE],MATCH(Table2[[#This Row],[Rox Wolf'#]],Table4[Wolf],0))</f>
        <v>0</v>
      </c>
      <c r="F9" s="170"/>
      <c r="G9" s="170"/>
      <c r="H9" s="170"/>
      <c r="I9" s="170"/>
      <c r="J9" s="165">
        <f>COUNTIF(FilterList,#REF!)</f>
        <v>0</v>
      </c>
      <c r="K9" s="170"/>
      <c r="Q9" s="210">
        <v>93701</v>
      </c>
    </row>
    <row r="10" spans="1:17" ht="15" hidden="1">
      <c r="A10">
        <v>99170</v>
      </c>
      <c r="B10" t="s">
        <v>800</v>
      </c>
      <c r="C10" s="168">
        <f>ROUND(INDEX(Table4[OIL],MATCH(Table2[[#This Row],[Rox Wolf'#]],Table4[Wolf],0)),0)</f>
        <v>0</v>
      </c>
      <c r="D10" s="176">
        <f>INDEX(Table4[GAS],MATCH(Table2[[#This Row],[Rox Wolf'#]],Table4[Wolf],0))</f>
        <v>0</v>
      </c>
      <c r="E10" s="168">
        <f>INDEX(Table4[LEASE USE],MATCH(Table2[[#This Row],[Rox Wolf'#]],Table4[Wolf],0))</f>
        <v>0</v>
      </c>
      <c r="F10" s="170"/>
      <c r="G10" s="170"/>
      <c r="H10" s="170"/>
      <c r="I10" s="170"/>
      <c r="J10" s="165">
        <f>COUNTIF(FilterList,#REF!)</f>
        <v>0</v>
      </c>
      <c r="K10" s="172" t="s">
        <v>1139</v>
      </c>
      <c r="Q10" s="211">
        <v>99230</v>
      </c>
    </row>
    <row r="11" spans="1:17" ht="15">
      <c r="A11">
        <v>96701</v>
      </c>
      <c r="B11" t="s">
        <v>752</v>
      </c>
      <c r="C11" s="168">
        <f>ROUND(INDEX(Table4[OIL],MATCH(Table2[[#This Row],[Rox Wolf'#]],Table4[Wolf],0)),0)</f>
        <v>0</v>
      </c>
      <c r="D11" s="176">
        <f>INDEX(Table4[GAS],MATCH(Table2[[#This Row],[Rox Wolf'#]],Table4[Wolf],0))</f>
        <v>0</v>
      </c>
      <c r="E11" s="168">
        <f>INDEX(Table4[LEASE USE],MATCH(Table2[[#This Row],[Rox Wolf'#]],Table4[Wolf],0))</f>
        <v>0</v>
      </c>
      <c r="F11" s="170"/>
      <c r="G11" s="170"/>
      <c r="H11" s="170"/>
      <c r="I11" s="170"/>
      <c r="J11" s="165">
        <f>COUNTIF(FilterList,#REF!)</f>
        <v>0</v>
      </c>
      <c r="K11" s="170"/>
      <c r="M11"/>
      <c r="N11"/>
      <c r="Q11" s="210">
        <v>98201</v>
      </c>
    </row>
    <row r="12" spans="1:17" ht="15">
      <c r="A12">
        <v>82001</v>
      </c>
      <c r="B12" t="s">
        <v>753</v>
      </c>
      <c r="C12" s="168">
        <f>ROUND(INDEX(Table4[OIL],MATCH(Table2[[#This Row],[Rox Wolf'#]],Table4[Wolf],0)),0)</f>
        <v>0</v>
      </c>
      <c r="D12" s="176">
        <f>INDEX(Table4[GAS],MATCH(Table2[[#This Row],[Rox Wolf'#]],Table4[Wolf],0))</f>
        <v>0</v>
      </c>
      <c r="E12" s="168">
        <f>INDEX(Table4[LEASE USE],MATCH(Table2[[#This Row],[Rox Wolf'#]],Table4[Wolf],0))</f>
        <v>0</v>
      </c>
      <c r="F12" s="170"/>
      <c r="G12" s="170"/>
      <c r="H12" s="170"/>
      <c r="I12" s="170"/>
      <c r="J12" s="165">
        <f>COUNTIF(FilterList,#REF!)</f>
        <v>0</v>
      </c>
      <c r="K12" s="170"/>
      <c r="M12"/>
      <c r="N12"/>
      <c r="Q12" s="211">
        <v>99294</v>
      </c>
    </row>
    <row r="13" spans="1:17" ht="15">
      <c r="A13">
        <v>96501</v>
      </c>
      <c r="B13" t="s">
        <v>754</v>
      </c>
      <c r="C13" s="168">
        <f>ROUND(INDEX(Table4[OIL],MATCH(Table2[[#This Row],[Rox Wolf'#]],Table4[Wolf],0)),0)</f>
        <v>0</v>
      </c>
      <c r="D13" s="176">
        <f>INDEX(Table4[GAS],MATCH(Table2[[#This Row],[Rox Wolf'#]],Table4[Wolf],0))</f>
        <v>0</v>
      </c>
      <c r="E13" s="168">
        <f>INDEX(Table4[LEASE USE],MATCH(Table2[[#This Row],[Rox Wolf'#]],Table4[Wolf],0))</f>
        <v>18</v>
      </c>
      <c r="F13" s="170"/>
      <c r="G13" s="170"/>
      <c r="H13" s="170"/>
      <c r="I13" s="170"/>
      <c r="J13" s="165">
        <f>COUNTIF(FilterList,#REF!)</f>
        <v>0</v>
      </c>
      <c r="K13" s="170"/>
      <c r="M13"/>
      <c r="N13"/>
      <c r="Q13" s="210">
        <v>99293</v>
      </c>
    </row>
    <row r="14" spans="1:17" ht="15">
      <c r="A14">
        <v>99230</v>
      </c>
      <c r="B14" t="s">
        <v>755</v>
      </c>
      <c r="C14" s="168">
        <f>ROUND(INDEX(Table4[OIL],MATCH(Table2[[#This Row],[Rox Wolf'#]],Table4[Wolf],0)),0)</f>
        <v>188</v>
      </c>
      <c r="D14" s="176">
        <f>INDEX(Table4[GAS],MATCH(Table2[[#This Row],[Rox Wolf'#]],Table4[Wolf],0))</f>
        <v>363</v>
      </c>
      <c r="E14" s="168">
        <f>INDEX(Table4[LEASE USE],MATCH(Table2[[#This Row],[Rox Wolf'#]],Table4[Wolf],0))</f>
        <v>0</v>
      </c>
      <c r="F14" s="170"/>
      <c r="G14" s="170"/>
      <c r="H14" s="170"/>
      <c r="I14" s="170"/>
      <c r="J14" s="165">
        <f>COUNTIF(FilterList,#REF!)</f>
        <v>0</v>
      </c>
      <c r="K14" s="170"/>
      <c r="L14"/>
      <c r="M14"/>
      <c r="N14"/>
      <c r="O14"/>
      <c r="Q14" s="211">
        <v>99286</v>
      </c>
    </row>
    <row r="15" spans="1:17" ht="15">
      <c r="A15">
        <v>99286</v>
      </c>
      <c r="B15" t="s">
        <v>756</v>
      </c>
      <c r="C15" s="168">
        <f>ROUND(INDEX(Table4[OIL],MATCH(Table2[[#This Row],[Rox Wolf'#]],Table4[Wolf],0)),0)</f>
        <v>840</v>
      </c>
      <c r="D15" s="176">
        <f>INDEX(Table4[GAS],MATCH(Table2[[#This Row],[Rox Wolf'#]],Table4[Wolf],0))</f>
        <v>781</v>
      </c>
      <c r="E15" s="168">
        <f>INDEX(Table4[LEASE USE],MATCH(Table2[[#This Row],[Rox Wolf'#]],Table4[Wolf],0))</f>
        <v>60</v>
      </c>
      <c r="F15" s="170"/>
      <c r="G15" s="170"/>
      <c r="H15" s="170"/>
      <c r="I15" s="170"/>
      <c r="J15" s="165">
        <f>COUNTIF(FilterList,#REF!)</f>
        <v>0</v>
      </c>
      <c r="K15" s="170"/>
      <c r="L15"/>
      <c r="M15"/>
      <c r="N15"/>
      <c r="O15"/>
      <c r="Q15" s="210">
        <v>99295</v>
      </c>
    </row>
    <row r="16" spans="1:17" ht="15">
      <c r="A16">
        <v>99294</v>
      </c>
      <c r="B16" t="s">
        <v>757</v>
      </c>
      <c r="C16" s="168">
        <f>ROUND(INDEX(Table4[OIL],MATCH(Table2[[#This Row],[Rox Wolf'#]],Table4[Wolf],0)),0)</f>
        <v>887</v>
      </c>
      <c r="D16" s="176">
        <f>INDEX(Table4[GAS],MATCH(Table2[[#This Row],[Rox Wolf'#]],Table4[Wolf],0))</f>
        <v>639</v>
      </c>
      <c r="E16" s="168">
        <f>INDEX(Table4[LEASE USE],MATCH(Table2[[#This Row],[Rox Wolf'#]],Table4[Wolf],0))</f>
        <v>30</v>
      </c>
      <c r="F16" s="170"/>
      <c r="G16" s="170"/>
      <c r="H16" s="170"/>
      <c r="I16" s="170"/>
      <c r="J16" s="165">
        <f>COUNTIF(FilterList,#REF!)</f>
        <v>0</v>
      </c>
      <c r="K16" s="170"/>
      <c r="L16"/>
      <c r="M16"/>
      <c r="N16"/>
      <c r="O16"/>
      <c r="Q16" s="211">
        <v>99228</v>
      </c>
    </row>
    <row r="17" spans="1:17" ht="15">
      <c r="A17">
        <v>99293</v>
      </c>
      <c r="B17" t="s">
        <v>758</v>
      </c>
      <c r="C17" s="168">
        <f>ROUND(INDEX(Table4[OIL],MATCH(Table2[[#This Row],[Rox Wolf'#]],Table4[Wolf],0)),0)</f>
        <v>582</v>
      </c>
      <c r="D17" s="176">
        <f>INDEX(Table4[GAS],MATCH(Table2[[#This Row],[Rox Wolf'#]],Table4[Wolf],0))</f>
        <v>491</v>
      </c>
      <c r="E17" s="168">
        <f>INDEX(Table4[LEASE USE],MATCH(Table2[[#This Row],[Rox Wolf'#]],Table4[Wolf],0))</f>
        <v>30</v>
      </c>
      <c r="F17" s="170"/>
      <c r="G17" s="170"/>
      <c r="H17" s="170"/>
      <c r="I17" s="170"/>
      <c r="J17" s="165">
        <f>COUNTIF(FilterList,#REF!)</f>
        <v>0</v>
      </c>
      <c r="K17" s="170"/>
      <c r="L17"/>
      <c r="M17"/>
      <c r="N17"/>
      <c r="O17"/>
      <c r="Q17" s="210">
        <v>99255</v>
      </c>
    </row>
    <row r="18" spans="1:17" ht="15">
      <c r="A18">
        <v>99295</v>
      </c>
      <c r="B18" t="s">
        <v>759</v>
      </c>
      <c r="C18" s="168">
        <f>ROUND(INDEX(Table4[OIL],MATCH(Table2[[#This Row],[Rox Wolf'#]],Table4[Wolf],0)),0)</f>
        <v>2442</v>
      </c>
      <c r="D18" s="176">
        <f>INDEX(Table4[GAS],MATCH(Table2[[#This Row],[Rox Wolf'#]],Table4[Wolf],0))</f>
        <v>2572</v>
      </c>
      <c r="E18" s="168">
        <f>INDEX(Table4[LEASE USE],MATCH(Table2[[#This Row],[Rox Wolf'#]],Table4[Wolf],0))</f>
        <v>210</v>
      </c>
      <c r="F18" s="170"/>
      <c r="G18" s="170"/>
      <c r="H18" s="170"/>
      <c r="I18" s="170"/>
      <c r="J18" s="165">
        <f>COUNTIF(FilterList,#REF!)</f>
        <v>0</v>
      </c>
      <c r="K18" s="170"/>
      <c r="L18"/>
      <c r="M18"/>
      <c r="N18"/>
      <c r="O18"/>
      <c r="Q18" s="211">
        <v>98921</v>
      </c>
    </row>
    <row r="19" spans="1:17" ht="15">
      <c r="A19">
        <v>99228</v>
      </c>
      <c r="B19" t="s">
        <v>78</v>
      </c>
      <c r="C19" s="168">
        <f>ROUND(INDEX(Table4[OIL],MATCH(Table2[[#This Row],[Rox Wolf'#]],Table4[Wolf],0)),0)</f>
        <v>0</v>
      </c>
      <c r="D19" s="175">
        <f>INDEX(Table4[GAS],MATCH(Table2[[#This Row],[Rox Wolf'#]],Table4[Wolf],0))</f>
        <v>0</v>
      </c>
      <c r="E19" s="168">
        <f>INDEX(Table4[LEASE USE],MATCH(Table2[[#This Row],[Rox Wolf'#]],Table4[Wolf],0))</f>
        <v>0</v>
      </c>
      <c r="F19" s="170"/>
      <c r="G19" s="170"/>
      <c r="H19" s="170"/>
      <c r="I19" s="170"/>
      <c r="J19" s="165">
        <f>COUNTIF(FilterList,#REF!)</f>
        <v>0</v>
      </c>
      <c r="K19" s="170"/>
      <c r="L19"/>
      <c r="O19"/>
      <c r="Q19" s="210">
        <v>99017</v>
      </c>
    </row>
    <row r="20" spans="1:17" ht="15" hidden="1">
      <c r="A20">
        <v>99200</v>
      </c>
      <c r="B20" t="s">
        <v>802</v>
      </c>
      <c r="C20" s="168">
        <f>ROUND(INDEX(Table4[OIL],MATCH(Table2[[#This Row],[Rox Wolf'#]],Table4[Wolf],0)),0)</f>
        <v>1683</v>
      </c>
      <c r="D20" s="176">
        <f>INDEX(Table4[GAS],MATCH(Table2[[#This Row],[Rox Wolf'#]],Table4[Wolf],0))</f>
        <v>0</v>
      </c>
      <c r="E20" s="168">
        <f>INDEX(Table4[LEASE USE],MATCH(Table2[[#This Row],[Rox Wolf'#]],Table4[Wolf],0))</f>
        <v>0</v>
      </c>
      <c r="F20" s="170"/>
      <c r="G20" s="170"/>
      <c r="H20" s="170"/>
      <c r="I20" s="170"/>
      <c r="J20" s="165">
        <f>COUNTIF(FilterList,#REF!)</f>
        <v>0</v>
      </c>
      <c r="K20" s="172" t="s">
        <v>1140</v>
      </c>
      <c r="L20"/>
      <c r="O20"/>
      <c r="Q20" s="211">
        <v>99067</v>
      </c>
    </row>
    <row r="21" spans="1:17" ht="15">
      <c r="A21">
        <v>99255</v>
      </c>
      <c r="B21" t="s">
        <v>760</v>
      </c>
      <c r="C21" s="168">
        <f>ROUND(INDEX(Table4[OIL],MATCH(Table2[[#This Row],[Rox Wolf'#]],Table4[Wolf],0)),0)</f>
        <v>0</v>
      </c>
      <c r="D21" s="176">
        <f>INDEX(Table4[GAS],MATCH(Table2[[#This Row],[Rox Wolf'#]],Table4[Wolf],0))</f>
        <v>0</v>
      </c>
      <c r="E21" s="168">
        <f>INDEX(Table4[LEASE USE],MATCH(Table2[[#This Row],[Rox Wolf'#]],Table4[Wolf],0))</f>
        <v>0</v>
      </c>
      <c r="F21" s="170"/>
      <c r="G21" s="170"/>
      <c r="H21" s="170"/>
      <c r="I21" s="170"/>
      <c r="J21" s="165">
        <f>COUNTIF(FilterList,#REF!)</f>
        <v>0</v>
      </c>
      <c r="K21" s="170"/>
      <c r="L21"/>
      <c r="O21"/>
      <c r="Q21" s="210">
        <v>98915</v>
      </c>
    </row>
    <row r="22" spans="1:17" ht="15">
      <c r="A22">
        <v>98921</v>
      </c>
      <c r="B22" t="s">
        <v>803</v>
      </c>
      <c r="C22" s="168">
        <f>ROUND(INDEX(Table4[OIL],MATCH(Table2[[#This Row],[Rox Wolf'#]],Table4[Wolf],0)),0)</f>
        <v>169</v>
      </c>
      <c r="D22" s="176">
        <f>INDEX(Table4[GAS],MATCH(Table2[[#This Row],[Rox Wolf'#]],Table4[Wolf],0))</f>
        <v>0</v>
      </c>
      <c r="E22" s="168">
        <f>INDEX(Table4[LEASE USE],MATCH(Table2[[#This Row],[Rox Wolf'#]],Table4[Wolf],0))</f>
        <v>0</v>
      </c>
      <c r="F22" s="170"/>
      <c r="G22" s="170"/>
      <c r="H22" s="170"/>
      <c r="I22" s="170"/>
      <c r="J22" s="165">
        <f>COUNTIF(FilterList,#REF!)</f>
        <v>0</v>
      </c>
      <c r="K22" s="170"/>
      <c r="Q22" s="211">
        <v>99069</v>
      </c>
    </row>
    <row r="23" spans="1:17" ht="15">
      <c r="A23">
        <v>99017</v>
      </c>
      <c r="B23" t="s">
        <v>761</v>
      </c>
      <c r="C23" s="168">
        <f>ROUND(INDEX(Table4[OIL],MATCH(Table2[[#This Row],[Rox Wolf'#]],Table4[Wolf],0)),0)</f>
        <v>0</v>
      </c>
      <c r="D23" s="176">
        <f>INDEX(Table4[GAS],MATCH(Table2[[#This Row],[Rox Wolf'#]],Table4[Wolf],0))</f>
        <v>4938</v>
      </c>
      <c r="E23" s="168">
        <f>INDEX(Table4[LEASE USE],MATCH(Table2[[#This Row],[Rox Wolf'#]],Table4[Wolf],0))</f>
        <v>210</v>
      </c>
      <c r="F23" s="170"/>
      <c r="G23" s="170"/>
      <c r="H23" s="170"/>
      <c r="I23" s="170"/>
      <c r="J23" s="165">
        <f>COUNTIF(FilterList,#REF!)</f>
        <v>0</v>
      </c>
      <c r="K23" s="170"/>
      <c r="Q23" s="210">
        <v>98965</v>
      </c>
    </row>
    <row r="24" spans="1:17" ht="15">
      <c r="A24">
        <v>99067</v>
      </c>
      <c r="B24" t="s">
        <v>762</v>
      </c>
      <c r="C24" s="168">
        <f>ROUND(INDEX(Table4[OIL],MATCH(Table2[[#This Row],[Rox Wolf'#]],Table4[Wolf],0)),0)</f>
        <v>0</v>
      </c>
      <c r="D24" s="176">
        <f>INDEX(Table4[GAS],MATCH(Table2[[#This Row],[Rox Wolf'#]],Table4[Wolf],0))</f>
        <v>340</v>
      </c>
      <c r="E24" s="168">
        <f>INDEX(Table4[LEASE USE],MATCH(Table2[[#This Row],[Rox Wolf'#]],Table4[Wolf],0))</f>
        <v>0</v>
      </c>
      <c r="F24" s="170"/>
      <c r="G24" s="170"/>
      <c r="H24" s="170"/>
      <c r="I24" s="170"/>
      <c r="J24" s="165">
        <f>COUNTIF(FilterList,#REF!)</f>
        <v>0</v>
      </c>
      <c r="K24" s="170"/>
      <c r="Q24" s="211">
        <v>99225</v>
      </c>
    </row>
    <row r="25" spans="1:17" ht="15">
      <c r="A25">
        <v>99169</v>
      </c>
      <c r="B25" t="s">
        <v>804</v>
      </c>
      <c r="C25" s="168">
        <f>ROUND(INDEX(Table4[OIL],MATCH(Table2[[#This Row],[Rox Wolf'#]],Table4[Wolf],0)),0)</f>
        <v>0</v>
      </c>
      <c r="D25" s="176">
        <f>INDEX(Table4[GAS],MATCH(Table2[[#This Row],[Rox Wolf'#]],Table4[Wolf],0))</f>
        <v>0</v>
      </c>
      <c r="E25" s="168">
        <f>INDEX(Table4[LEASE USE],MATCH(Table2[[#This Row],[Rox Wolf'#]],Table4[Wolf],0))</f>
        <v>0</v>
      </c>
      <c r="F25" s="170"/>
      <c r="G25" s="170"/>
      <c r="H25" s="170"/>
      <c r="I25" s="170"/>
      <c r="J25" s="165">
        <f>COUNTIF(FilterList,#REF!)</f>
        <v>0</v>
      </c>
      <c r="K25" s="170"/>
      <c r="Q25" s="210">
        <v>99307</v>
      </c>
    </row>
    <row r="26" spans="1:17" ht="15">
      <c r="A26">
        <v>99069</v>
      </c>
      <c r="B26" t="s">
        <v>763</v>
      </c>
      <c r="C26" s="168">
        <f>ROUND(INDEX(Table4[OIL],MATCH(Table2[[#This Row],[Rox Wolf'#]],Table4[Wolf],0)),0)</f>
        <v>0</v>
      </c>
      <c r="D26" s="176">
        <f>INDEX(Table4[GAS],MATCH(Table2[[#This Row],[Rox Wolf'#]],Table4[Wolf],0))</f>
        <v>2311</v>
      </c>
      <c r="E26" s="168">
        <f>INDEX(Table4[LEASE USE],MATCH(Table2[[#This Row],[Rox Wolf'#]],Table4[Wolf],0))</f>
        <v>84</v>
      </c>
      <c r="F26" s="170"/>
      <c r="G26" s="170"/>
      <c r="H26" s="170"/>
      <c r="I26" s="170"/>
      <c r="J26" s="165">
        <f>COUNTIF(FilterList,#REF!)</f>
        <v>0</v>
      </c>
      <c r="K26" s="170"/>
      <c r="Q26" s="211">
        <v>93806</v>
      </c>
    </row>
    <row r="27" spans="1:17" ht="15">
      <c r="A27">
        <v>98965</v>
      </c>
      <c r="B27" t="s">
        <v>764</v>
      </c>
      <c r="C27" s="168">
        <f>ROUND(INDEX(Table4[OIL],MATCH(Table2[[#This Row],[Rox Wolf'#]],Table4[Wolf],0)),0)</f>
        <v>0</v>
      </c>
      <c r="D27" s="176">
        <f>INDEX(Table4[GAS],MATCH(Table2[[#This Row],[Rox Wolf'#]],Table4[Wolf],0))</f>
        <v>0</v>
      </c>
      <c r="E27" s="168">
        <f>INDEX(Table4[LEASE USE],MATCH(Table2[[#This Row],[Rox Wolf'#]],Table4[Wolf],0))</f>
        <v>3</v>
      </c>
      <c r="F27" s="170"/>
      <c r="G27" s="170"/>
      <c r="H27" s="170"/>
      <c r="I27" s="170"/>
      <c r="J27" s="165">
        <f>COUNTIF(FilterList,#REF!)</f>
        <v>0</v>
      </c>
      <c r="K27" s="170"/>
      <c r="Q27" s="210">
        <v>99007</v>
      </c>
    </row>
    <row r="28" spans="1:17" ht="15">
      <c r="A28">
        <v>99225</v>
      </c>
      <c r="B28" t="s">
        <v>1131</v>
      </c>
      <c r="C28" s="168">
        <f>ROUND(INDEX(Table4[OIL],MATCH(Table2[[#This Row],[Rox Wolf'#]],Table4[Wolf],0)),0)</f>
        <v>0</v>
      </c>
      <c r="D28" s="176">
        <f>INDEX(Table4[GAS],MATCH(Table2[[#This Row],[Rox Wolf'#]],Table4[Wolf],0))</f>
        <v>0</v>
      </c>
      <c r="E28" s="168">
        <f>INDEX(Table4[LEASE USE],MATCH(Table2[[#This Row],[Rox Wolf'#]],Table4[Wolf],0))</f>
        <v>0</v>
      </c>
      <c r="F28" s="170"/>
      <c r="G28" s="170"/>
      <c r="H28" s="170"/>
      <c r="I28" s="170"/>
      <c r="J28" s="165">
        <f>COUNTIF(FilterList,#REF!)</f>
        <v>0</v>
      </c>
      <c r="K28" s="170"/>
      <c r="Q28" s="211">
        <v>98988</v>
      </c>
    </row>
    <row r="29" spans="1:17" ht="15">
      <c r="A29">
        <v>48001</v>
      </c>
      <c r="B29" t="s">
        <v>765</v>
      </c>
      <c r="C29" s="168">
        <f>ROUND(INDEX(Table4[OIL],MATCH(Table2[[#This Row],[Rox Wolf'#]],Table4[Wolf],0)),0)</f>
        <v>0</v>
      </c>
      <c r="D29" s="176">
        <f>INDEX(Table4[GAS],MATCH(Table2[[#This Row],[Rox Wolf'#]],Table4[Wolf],0))</f>
        <v>20</v>
      </c>
      <c r="E29" s="168">
        <f>INDEX(Table4[LEASE USE],MATCH(Table2[[#This Row],[Rox Wolf'#]],Table4[Wolf],0))</f>
        <v>15</v>
      </c>
      <c r="F29" s="170"/>
      <c r="G29" s="170"/>
      <c r="H29" s="170"/>
      <c r="I29" s="170"/>
      <c r="J29" s="165">
        <f>COUNTIF(FilterList,#REF!)</f>
        <v>0</v>
      </c>
      <c r="K29" s="170"/>
      <c r="Q29" s="210">
        <v>98987</v>
      </c>
    </row>
    <row r="30" spans="1:17" ht="15">
      <c r="A30">
        <v>93806</v>
      </c>
      <c r="B30" t="s">
        <v>805</v>
      </c>
      <c r="C30" s="168">
        <f>ROUND(INDEX(Table4[OIL],MATCH(Table2[[#This Row],[Rox Wolf'#]],Table4[Wolf],0)),0)</f>
        <v>0</v>
      </c>
      <c r="D30" s="176">
        <f>INDEX(Table4[GAS],MATCH(Table2[[#This Row],[Rox Wolf'#]],Table4[Wolf],0))</f>
        <v>0</v>
      </c>
      <c r="E30" s="168">
        <f>INDEX(Table4[LEASE USE],MATCH(Table2[[#This Row],[Rox Wolf'#]],Table4[Wolf],0))</f>
        <v>0</v>
      </c>
      <c r="F30" s="170"/>
      <c r="G30" s="170"/>
      <c r="H30" s="170"/>
      <c r="I30" s="170"/>
      <c r="J30" s="165">
        <f>COUNTIF(FilterList,#REF!)</f>
        <v>0</v>
      </c>
      <c r="K30" s="170"/>
      <c r="Q30" s="211">
        <v>98956</v>
      </c>
    </row>
    <row r="31" spans="1:17" ht="15">
      <c r="A31">
        <v>98961</v>
      </c>
      <c r="B31" t="s">
        <v>806</v>
      </c>
      <c r="C31" s="168">
        <f>ROUND(INDEX(Table4[OIL],MATCH(Table2[[#This Row],[Rox Wolf'#]],Table4[Wolf],0)),0)</f>
        <v>154</v>
      </c>
      <c r="D31" s="176">
        <f>INDEX(Table4[GAS],MATCH(Table2[[#This Row],[Rox Wolf'#]],Table4[Wolf],0))</f>
        <v>2169</v>
      </c>
      <c r="E31" s="168">
        <f>INDEX(Table4[LEASE USE],MATCH(Table2[[#This Row],[Rox Wolf'#]],Table4[Wolf],0))</f>
        <v>0</v>
      </c>
      <c r="F31" s="170"/>
      <c r="G31" s="170"/>
      <c r="H31" s="170"/>
      <c r="I31" s="170"/>
      <c r="J31" s="165">
        <f>COUNTIF(FilterList,#REF!)</f>
        <v>0</v>
      </c>
      <c r="K31" s="170"/>
      <c r="Q31" s="210">
        <v>98959</v>
      </c>
    </row>
    <row r="32" spans="1:17" ht="15">
      <c r="A32">
        <v>99307</v>
      </c>
      <c r="B32" t="s">
        <v>766</v>
      </c>
      <c r="C32" s="168">
        <f>ROUND(INDEX(Table4[OIL],MATCH(Table2[[#This Row],[Rox Wolf'#]],Table4[Wolf],0)),0)</f>
        <v>179</v>
      </c>
      <c r="D32" s="176">
        <f>INDEX(Table4[GAS],MATCH(Table2[[#This Row],[Rox Wolf'#]],Table4[Wolf],0))</f>
        <v>545</v>
      </c>
      <c r="E32" s="168">
        <f>INDEX(Table4[LEASE USE],MATCH(Table2[[#This Row],[Rox Wolf'#]],Table4[Wolf],0))</f>
        <v>0</v>
      </c>
      <c r="F32" s="170"/>
      <c r="G32" s="170"/>
      <c r="H32" s="170"/>
      <c r="I32" s="170"/>
      <c r="J32" s="165">
        <f>COUNTIF(FilterList,#REF!)</f>
        <v>0</v>
      </c>
      <c r="K32" s="170"/>
      <c r="Q32" s="211">
        <v>98958</v>
      </c>
    </row>
    <row r="33" spans="1:17" ht="15">
      <c r="A33">
        <v>98987</v>
      </c>
      <c r="B33" t="s">
        <v>767</v>
      </c>
      <c r="C33" s="168">
        <f>ROUND(INDEX(Table4[OIL],MATCH(Table2[[#This Row],[Rox Wolf'#]],Table4[Wolf],0)),0)</f>
        <v>0</v>
      </c>
      <c r="D33" s="176">
        <f>INDEX(Table4[GAS],MATCH(Table2[[#This Row],[Rox Wolf'#]],Table4[Wolf],0))</f>
        <v>249</v>
      </c>
      <c r="E33" s="168">
        <f>INDEX(Table4[LEASE USE],MATCH(Table2[[#This Row],[Rox Wolf'#]],Table4[Wolf],0))</f>
        <v>10</v>
      </c>
      <c r="F33" s="170"/>
      <c r="G33" s="170"/>
      <c r="H33" s="170"/>
      <c r="I33" s="170"/>
      <c r="J33" s="165">
        <f>COUNTIF(FilterList,#REF!)</f>
        <v>0</v>
      </c>
      <c r="K33" s="170"/>
      <c r="Q33" s="210">
        <v>99093</v>
      </c>
    </row>
    <row r="34" spans="1:17" ht="15">
      <c r="A34">
        <v>98988</v>
      </c>
      <c r="B34" t="s">
        <v>768</v>
      </c>
      <c r="C34" s="168">
        <f>ROUND(INDEX(Table4[OIL],MATCH(Table2[[#This Row],[Rox Wolf'#]],Table4[Wolf],0)),0)</f>
        <v>0</v>
      </c>
      <c r="D34" s="176">
        <f>INDEX(Table4[GAS],MATCH(Table2[[#This Row],[Rox Wolf'#]],Table4[Wolf],0))</f>
        <v>0</v>
      </c>
      <c r="E34" s="168">
        <f>INDEX(Table4[LEASE USE],MATCH(Table2[[#This Row],[Rox Wolf'#]],Table4[Wolf],0))</f>
        <v>0</v>
      </c>
      <c r="F34" s="170"/>
      <c r="G34" s="170"/>
      <c r="H34" s="170"/>
      <c r="I34" s="170"/>
      <c r="J34" s="165">
        <f>COUNTIF(FilterList,#REF!)</f>
        <v>0</v>
      </c>
      <c r="K34" s="170"/>
      <c r="Q34" s="211">
        <v>99095</v>
      </c>
    </row>
    <row r="35" spans="1:17" ht="15">
      <c r="A35">
        <v>99007</v>
      </c>
      <c r="B35" t="s">
        <v>769</v>
      </c>
      <c r="C35" s="168">
        <f>ROUND(INDEX(Table4[OIL],MATCH(Table2[[#This Row],[Rox Wolf'#]],Table4[Wolf],0)),0)</f>
        <v>0</v>
      </c>
      <c r="D35" s="176">
        <f>INDEX(Table4[GAS],MATCH(Table2[[#This Row],[Rox Wolf'#]],Table4[Wolf],0))</f>
        <v>283</v>
      </c>
      <c r="E35" s="168">
        <f>INDEX(Table4[LEASE USE],MATCH(Table2[[#This Row],[Rox Wolf'#]],Table4[Wolf],0))</f>
        <v>7</v>
      </c>
      <c r="F35" s="170"/>
      <c r="G35" s="170"/>
      <c r="H35" s="170"/>
      <c r="I35" s="170"/>
      <c r="J35" s="165">
        <f>COUNTIF(FilterList,#REF!)</f>
        <v>0</v>
      </c>
      <c r="K35" s="170"/>
      <c r="Q35" s="210">
        <v>99094</v>
      </c>
    </row>
    <row r="36" spans="1:17" ht="15">
      <c r="A36">
        <v>98956</v>
      </c>
      <c r="B36" t="s">
        <v>770</v>
      </c>
      <c r="C36" s="168">
        <f>ROUND(INDEX(Table4[OIL],MATCH(Table2[[#This Row],[Rox Wolf'#]],Table4[Wolf],0)),0)</f>
        <v>176</v>
      </c>
      <c r="D36" s="176">
        <f>INDEX(Table4[GAS],MATCH(Table2[[#This Row],[Rox Wolf'#]],Table4[Wolf],0))</f>
        <v>797</v>
      </c>
      <c r="E36" s="168">
        <f>INDEX(Table4[LEASE USE],MATCH(Table2[[#This Row],[Rox Wolf'#]],Table4[Wolf],0))</f>
        <v>60</v>
      </c>
      <c r="F36" s="170"/>
      <c r="G36" s="170"/>
      <c r="H36" s="170"/>
      <c r="I36" s="170"/>
      <c r="J36" s="165">
        <f>COUNTIF(FilterList,#REF!)</f>
        <v>0</v>
      </c>
      <c r="K36" s="170"/>
      <c r="Q36" s="211">
        <v>82001</v>
      </c>
    </row>
    <row r="37" spans="1:17" ht="15">
      <c r="A37">
        <v>98958</v>
      </c>
      <c r="B37" t="s">
        <v>771</v>
      </c>
      <c r="C37" s="168">
        <f>ROUND(INDEX(Table4[OIL],MATCH(Table2[[#This Row],[Rox Wolf'#]],Table4[Wolf],0)),0)</f>
        <v>0</v>
      </c>
      <c r="D37" s="176">
        <f>INDEX(Table4[GAS],MATCH(Table2[[#This Row],[Rox Wolf'#]],Table4[Wolf],0))</f>
        <v>2841</v>
      </c>
      <c r="E37" s="168">
        <f>INDEX(Table4[LEASE USE],MATCH(Table2[[#This Row],[Rox Wolf'#]],Table4[Wolf],0))</f>
        <v>120</v>
      </c>
      <c r="F37" s="170"/>
      <c r="G37" s="170"/>
      <c r="H37" s="170"/>
      <c r="I37" s="170"/>
      <c r="J37" s="165">
        <f>COUNTIF(FilterList,#REF!)</f>
        <v>0</v>
      </c>
      <c r="K37" s="170"/>
      <c r="Q37" s="210">
        <v>96701</v>
      </c>
    </row>
    <row r="38" spans="1:17" ht="15">
      <c r="A38">
        <v>98959</v>
      </c>
      <c r="B38" t="s">
        <v>772</v>
      </c>
      <c r="C38" s="168">
        <f>ROUND(INDEX(Table4[OIL],MATCH(Table2[[#This Row],[Rox Wolf'#]],Table4[Wolf],0)),0)</f>
        <v>0</v>
      </c>
      <c r="D38" s="176">
        <f>INDEX(Table4[GAS],MATCH(Table2[[#This Row],[Rox Wolf'#]],Table4[Wolf],0))</f>
        <v>82</v>
      </c>
      <c r="E38" s="168">
        <f>INDEX(Table4[LEASE USE],MATCH(Table2[[#This Row],[Rox Wolf'#]],Table4[Wolf],0))</f>
        <v>0</v>
      </c>
      <c r="F38" s="170"/>
      <c r="G38" s="170"/>
      <c r="H38" s="170"/>
      <c r="I38" s="170"/>
      <c r="J38" s="165">
        <f>COUNTIF(FilterList,#REF!)</f>
        <v>0</v>
      </c>
      <c r="K38" s="170"/>
      <c r="Q38" s="211">
        <v>96501</v>
      </c>
    </row>
    <row r="39" spans="1:17" ht="15">
      <c r="A39">
        <v>99093</v>
      </c>
      <c r="B39" t="s">
        <v>773</v>
      </c>
      <c r="C39" s="168">
        <f>ROUND(INDEX(Table4[OIL],MATCH(Table2[[#This Row],[Rox Wolf'#]],Table4[Wolf],0)),0)</f>
        <v>0</v>
      </c>
      <c r="D39" s="176">
        <f>INDEX(Table4[GAS],MATCH(Table2[[#This Row],[Rox Wolf'#]],Table4[Wolf],0))</f>
        <v>2998</v>
      </c>
      <c r="E39" s="168">
        <f>INDEX(Table4[LEASE USE],MATCH(Table2[[#This Row],[Rox Wolf'#]],Table4[Wolf],0))</f>
        <v>120</v>
      </c>
      <c r="F39" s="170"/>
      <c r="G39" s="170"/>
      <c r="H39" s="170"/>
      <c r="I39" s="170"/>
      <c r="J39" s="165">
        <f>COUNTIF(FilterList,#REF!)</f>
        <v>0</v>
      </c>
      <c r="K39" s="170"/>
      <c r="Q39" s="210">
        <v>99065</v>
      </c>
    </row>
    <row r="40" spans="1:17" ht="15">
      <c r="A40">
        <v>99094</v>
      </c>
      <c r="B40" t="s">
        <v>774</v>
      </c>
      <c r="C40" s="168">
        <f>ROUND(INDEX(Table4[OIL],MATCH(Table2[[#This Row],[Rox Wolf'#]],Table4[Wolf],0)),0)</f>
        <v>0</v>
      </c>
      <c r="D40" s="176">
        <f>INDEX(Table4[GAS],MATCH(Table2[[#This Row],[Rox Wolf'#]],Table4[Wolf],0))</f>
        <v>3012</v>
      </c>
      <c r="E40" s="168">
        <f>INDEX(Table4[LEASE USE],MATCH(Table2[[#This Row],[Rox Wolf'#]],Table4[Wolf],0))</f>
        <v>120</v>
      </c>
      <c r="F40" s="170"/>
      <c r="G40" s="170"/>
      <c r="H40" s="170"/>
      <c r="I40" s="170"/>
      <c r="J40" s="165">
        <f>COUNTIF(FilterList,#REF!)</f>
        <v>0</v>
      </c>
      <c r="K40" s="170"/>
      <c r="Q40" s="211">
        <v>99113</v>
      </c>
    </row>
    <row r="41" spans="1:17" ht="15">
      <c r="A41">
        <v>99095</v>
      </c>
      <c r="B41" t="s">
        <v>775</v>
      </c>
      <c r="C41" s="168">
        <f>ROUND(INDEX(Table4[OIL],MATCH(Table2[[#This Row],[Rox Wolf'#]],Table4[Wolf],0)),0)</f>
        <v>0</v>
      </c>
      <c r="D41" s="176">
        <f>INDEX(Table4[GAS],MATCH(Table2[[#This Row],[Rox Wolf'#]],Table4[Wolf],0))</f>
        <v>1151</v>
      </c>
      <c r="E41" s="168">
        <f>INDEX(Table4[LEASE USE],MATCH(Table2[[#This Row],[Rox Wolf'#]],Table4[Wolf],0))</f>
        <v>30</v>
      </c>
      <c r="F41" s="170"/>
      <c r="G41" s="170"/>
      <c r="H41" s="170"/>
      <c r="I41" s="170"/>
      <c r="J41" s="165">
        <f>COUNTIF(FilterList,#REF!)</f>
        <v>0</v>
      </c>
      <c r="K41" s="170"/>
      <c r="Q41" s="210">
        <v>99278</v>
      </c>
    </row>
    <row r="42" spans="1:17" ht="15">
      <c r="A42">
        <v>98801</v>
      </c>
      <c r="B42" t="s">
        <v>776</v>
      </c>
      <c r="C42" s="168">
        <f>ROUND(INDEX(Table4[OIL],MATCH(Table2[[#This Row],[Rox Wolf'#]],Table4[Wolf],0)),0)</f>
        <v>0</v>
      </c>
      <c r="D42" s="176">
        <f>INDEX(Table4[GAS],MATCH(Table2[[#This Row],[Rox Wolf'#]],Table4[Wolf],0))</f>
        <v>1735</v>
      </c>
      <c r="E42" s="168">
        <f>INDEX(Table4[LEASE USE],MATCH(Table2[[#This Row],[Rox Wolf'#]],Table4[Wolf],0))</f>
        <v>105</v>
      </c>
      <c r="F42" s="170"/>
      <c r="G42" s="170"/>
      <c r="H42" s="170"/>
      <c r="I42" s="170"/>
      <c r="J42" s="165">
        <f>COUNTIF(FilterList,#REF!)</f>
        <v>0</v>
      </c>
      <c r="K42" s="170"/>
      <c r="Q42" s="211">
        <v>98990</v>
      </c>
    </row>
    <row r="43" spans="1:17" ht="15" hidden="1">
      <c r="A43">
        <v>94601</v>
      </c>
      <c r="B43" t="s">
        <v>807</v>
      </c>
      <c r="C43" s="168">
        <f>ROUND(INDEX(Table4[OIL],MATCH(Table2[[#This Row],[Rox Wolf'#]],Table4[Wolf],0)),0)</f>
        <v>538</v>
      </c>
      <c r="D43" s="176">
        <f>INDEX(Table4[GAS],MATCH(Table2[[#This Row],[Rox Wolf'#]],Table4[Wolf],0))</f>
        <v>2421</v>
      </c>
      <c r="E43" s="168">
        <f>INDEX(Table4[LEASE USE],MATCH(Table2[[#This Row],[Rox Wolf'#]],Table4[Wolf],0))</f>
        <v>0</v>
      </c>
      <c r="F43" s="170"/>
      <c r="G43" s="170"/>
      <c r="H43" s="170"/>
      <c r="I43" s="170"/>
      <c r="J43" s="165">
        <f>COUNTIF(FilterList,#REF!)</f>
        <v>0</v>
      </c>
      <c r="K43" s="172" t="s">
        <v>1140</v>
      </c>
      <c r="Q43" s="210">
        <v>93901</v>
      </c>
    </row>
    <row r="44" spans="1:17" ht="15">
      <c r="A44">
        <v>99113</v>
      </c>
      <c r="B44" t="s">
        <v>777</v>
      </c>
      <c r="C44" s="168">
        <f>ROUND(INDEX(Table4[OIL],MATCH(Table2[[#This Row],[Rox Wolf'#]],Table4[Wolf],0)),0)</f>
        <v>0</v>
      </c>
      <c r="D44" s="176">
        <f>INDEX(Table4[GAS],MATCH(Table2[[#This Row],[Rox Wolf'#]],Table4[Wolf],0))</f>
        <v>187</v>
      </c>
      <c r="E44" s="168">
        <f>INDEX(Table4[LEASE USE],MATCH(Table2[[#This Row],[Rox Wolf'#]],Table4[Wolf],0))</f>
        <v>0</v>
      </c>
      <c r="F44" s="170"/>
      <c r="G44" s="170"/>
      <c r="H44" s="170"/>
      <c r="I44" s="170"/>
      <c r="J44" s="165">
        <f>COUNTIF(FilterList,#REF!)</f>
        <v>0</v>
      </c>
      <c r="K44" s="170"/>
      <c r="Q44" s="211">
        <v>99159</v>
      </c>
    </row>
    <row r="45" spans="1:17" ht="15">
      <c r="A45">
        <v>99066</v>
      </c>
      <c r="B45" t="s">
        <v>778</v>
      </c>
      <c r="C45" s="168">
        <f>ROUND(INDEX(Table4[OIL],MATCH(Table2[[#This Row],[Rox Wolf'#]],Table4[Wolf],0)),0)</f>
        <v>0</v>
      </c>
      <c r="D45" s="176">
        <f>INDEX(Table4[GAS],MATCH(Table2[[#This Row],[Rox Wolf'#]],Table4[Wolf],0))</f>
        <v>827</v>
      </c>
      <c r="E45" s="168">
        <f>INDEX(Table4[LEASE USE],MATCH(Table2[[#This Row],[Rox Wolf'#]],Table4[Wolf],0))</f>
        <v>0</v>
      </c>
      <c r="F45" s="170"/>
      <c r="G45" s="170"/>
      <c r="H45" s="170"/>
      <c r="I45" s="170"/>
      <c r="J45" s="165">
        <f>COUNTIF(FilterList,#REF!)</f>
        <v>0</v>
      </c>
      <c r="K45" s="170"/>
      <c r="Q45" s="210">
        <v>98955</v>
      </c>
    </row>
    <row r="46" spans="1:17" ht="15">
      <c r="A46">
        <v>99065</v>
      </c>
      <c r="B46" t="s">
        <v>779</v>
      </c>
      <c r="C46" s="168">
        <f>ROUND(INDEX(Table4[OIL],MATCH(Table2[[#This Row],[Rox Wolf'#]],Table4[Wolf],0)),0)</f>
        <v>0</v>
      </c>
      <c r="D46" s="176">
        <f>INDEX(Table4[GAS],MATCH(Table2[[#This Row],[Rox Wolf'#]],Table4[Wolf],0))</f>
        <v>0</v>
      </c>
      <c r="E46" s="168">
        <f>INDEX(Table4[LEASE USE],MATCH(Table2[[#This Row],[Rox Wolf'#]],Table4[Wolf],0))</f>
        <v>0</v>
      </c>
      <c r="F46" s="170"/>
      <c r="G46" s="170"/>
      <c r="H46" s="170"/>
      <c r="I46" s="170"/>
      <c r="J46" s="165">
        <f>COUNTIF(FilterList,#REF!)</f>
        <v>0</v>
      </c>
      <c r="K46" s="170"/>
      <c r="Q46" s="211">
        <v>99269</v>
      </c>
    </row>
    <row r="47" spans="1:17" ht="15">
      <c r="A47">
        <v>99278</v>
      </c>
      <c r="B47" t="s">
        <v>780</v>
      </c>
      <c r="C47" s="168">
        <f>ROUND(INDEX(Table4[OIL],MATCH(Table2[[#This Row],[Rox Wolf'#]],Table4[Wolf],0)),0)</f>
        <v>0</v>
      </c>
      <c r="D47" s="176">
        <f>INDEX(Table4[GAS],MATCH(Table2[[#This Row],[Rox Wolf'#]],Table4[Wolf],0))</f>
        <v>8533</v>
      </c>
      <c r="E47" s="168">
        <f>INDEX(Table4[LEASE USE],MATCH(Table2[[#This Row],[Rox Wolf'#]],Table4[Wolf],0))</f>
        <v>390</v>
      </c>
      <c r="F47" s="170"/>
      <c r="G47" s="170"/>
      <c r="H47" s="170"/>
      <c r="I47" s="170"/>
      <c r="J47" s="165">
        <f>COUNTIF(FilterList,#REF!)</f>
        <v>0</v>
      </c>
      <c r="K47" s="170"/>
      <c r="Q47" s="210">
        <v>92001</v>
      </c>
    </row>
    <row r="48" spans="1:17" ht="15">
      <c r="A48">
        <v>98990</v>
      </c>
      <c r="B48" t="s">
        <v>781</v>
      </c>
      <c r="C48" s="168">
        <f>ROUND(INDEX(Table4[OIL],MATCH(Table2[[#This Row],[Rox Wolf'#]],Table4[Wolf],0)),0)</f>
        <v>0</v>
      </c>
      <c r="D48" s="176">
        <f>INDEX(Table4[GAS],MATCH(Table2[[#This Row],[Rox Wolf'#]],Table4[Wolf],0))</f>
        <v>52</v>
      </c>
      <c r="E48" s="168">
        <f>INDEX(Table4[LEASE USE],MATCH(Table2[[#This Row],[Rox Wolf'#]],Table4[Wolf],0))</f>
        <v>0</v>
      </c>
      <c r="F48" s="170"/>
      <c r="G48" s="170"/>
      <c r="H48" s="170"/>
      <c r="I48" s="170"/>
      <c r="J48" s="165">
        <f>COUNTIF(FilterList,#REF!)</f>
        <v>0</v>
      </c>
      <c r="K48" s="170"/>
      <c r="Q48" s="211">
        <v>99058</v>
      </c>
    </row>
    <row r="49" spans="1:17" ht="15">
      <c r="A49">
        <v>98976</v>
      </c>
      <c r="B49" t="s">
        <v>782</v>
      </c>
      <c r="C49" s="168">
        <f>ROUND(INDEX(Table4[OIL],MATCH(Table2[[#This Row],[Rox Wolf'#]],Table4[Wolf],0)),0)</f>
        <v>0</v>
      </c>
      <c r="D49" s="176">
        <f>INDEX(Table4[GAS],MATCH(Table2[[#This Row],[Rox Wolf'#]],Table4[Wolf],0))</f>
        <v>22</v>
      </c>
      <c r="E49" s="168">
        <f>INDEX(Table4[LEASE USE],MATCH(Table2[[#This Row],[Rox Wolf'#]],Table4[Wolf],0))</f>
        <v>0</v>
      </c>
      <c r="F49" s="170"/>
      <c r="G49" s="170"/>
      <c r="H49" s="170"/>
      <c r="I49" s="170"/>
      <c r="J49" s="165">
        <f>COUNTIF(FilterList,#REF!)</f>
        <v>0</v>
      </c>
      <c r="K49" s="170"/>
      <c r="Q49" s="210">
        <v>99128</v>
      </c>
    </row>
    <row r="50" spans="1:17" ht="15">
      <c r="A50">
        <v>93901</v>
      </c>
      <c r="B50" t="s">
        <v>1132</v>
      </c>
      <c r="C50" s="168">
        <f>ROUND(INDEX(Table4[OIL],MATCH(Table2[[#This Row],[Rox Wolf'#]],Table4[Wolf],0)),0)</f>
        <v>0</v>
      </c>
      <c r="D50" s="176">
        <f>INDEX(Table4[GAS],MATCH(Table2[[#This Row],[Rox Wolf'#]],Table4[Wolf],0))</f>
        <v>0</v>
      </c>
      <c r="E50" s="168">
        <f>INDEX(Table4[LEASE USE],MATCH(Table2[[#This Row],[Rox Wolf'#]],Table4[Wolf],0))</f>
        <v>0</v>
      </c>
      <c r="F50" s="170"/>
      <c r="G50" s="170"/>
      <c r="H50" s="170"/>
      <c r="I50" s="170"/>
      <c r="J50" s="165">
        <f>COUNTIF(FilterList,#REF!)</f>
        <v>0</v>
      </c>
      <c r="K50" s="170"/>
      <c r="Q50" s="211">
        <v>99134</v>
      </c>
    </row>
    <row r="51" spans="1:17" ht="15">
      <c r="A51">
        <v>99159</v>
      </c>
      <c r="B51" t="s">
        <v>783</v>
      </c>
      <c r="C51" s="168">
        <f>ROUND(INDEX(Table4[OIL],MATCH(Table2[[#This Row],[Rox Wolf'#]],Table4[Wolf],0)),0)</f>
        <v>0</v>
      </c>
      <c r="D51" s="176">
        <f>INDEX(Table4[GAS],MATCH(Table2[[#This Row],[Rox Wolf'#]],Table4[Wolf],0))</f>
        <v>4560</v>
      </c>
      <c r="E51" s="168">
        <f>INDEX(Table4[LEASE USE],MATCH(Table2[[#This Row],[Rox Wolf'#]],Table4[Wolf],0))</f>
        <v>156</v>
      </c>
      <c r="F51" s="170"/>
      <c r="G51" s="170"/>
      <c r="H51" s="170"/>
      <c r="I51" s="170"/>
      <c r="J51" s="165">
        <f>COUNTIF(FilterList,#REF!)</f>
        <v>0</v>
      </c>
      <c r="K51" s="170"/>
      <c r="Q51" s="210">
        <v>99216</v>
      </c>
    </row>
    <row r="52" spans="1:17" ht="15">
      <c r="A52">
        <v>98955</v>
      </c>
      <c r="B52" t="s">
        <v>280</v>
      </c>
      <c r="C52" s="168">
        <f>ROUND(INDEX(Table4[OIL],MATCH(Table2[[#This Row],[Rox Wolf'#]],Table4[Wolf],0)),0)</f>
        <v>0</v>
      </c>
      <c r="D52" s="176">
        <f>INDEX(Table4[GAS],MATCH(Table2[[#This Row],[Rox Wolf'#]],Table4[Wolf],0))</f>
        <v>895</v>
      </c>
      <c r="E52" s="168">
        <f>INDEX(Table4[LEASE USE],MATCH(Table2[[#This Row],[Rox Wolf'#]],Table4[Wolf],0))</f>
        <v>30</v>
      </c>
      <c r="F52" s="170"/>
      <c r="G52" s="170"/>
      <c r="H52" s="170"/>
      <c r="I52" s="170"/>
      <c r="J52" s="165">
        <f>COUNTIF(FilterList,#REF!)</f>
        <v>0</v>
      </c>
      <c r="K52" s="170"/>
      <c r="Q52" s="211">
        <v>99186</v>
      </c>
    </row>
    <row r="53" spans="1:17" ht="15">
      <c r="A53">
        <v>99269</v>
      </c>
      <c r="B53" t="s">
        <v>1133</v>
      </c>
      <c r="C53" s="167">
        <f>ROUND(INDEX(Table4[OIL],MATCH(Table2[[#This Row],[Rox Wolf'#]],Table4[Wolf],0)),0)</f>
        <v>0</v>
      </c>
      <c r="D53" s="177">
        <f>INDEX(Table4[GAS],MATCH(Table2[[#This Row],[Rox Wolf'#]],Table4[Wolf],0))</f>
        <v>881</v>
      </c>
      <c r="E53" s="177">
        <f>INDEX(Table4[LEASE USE],MATCH(Table2[[#This Row],[Rox Wolf'#]],Table4[Wolf],0))</f>
        <v>300</v>
      </c>
      <c r="F53" s="170"/>
      <c r="G53" s="170"/>
      <c r="H53" s="170"/>
      <c r="I53" s="170"/>
      <c r="J53" s="165">
        <f>COUNTIF(FilterList,#REF!)</f>
        <v>0</v>
      </c>
      <c r="K53" s="170"/>
      <c r="Q53" s="210">
        <v>99288</v>
      </c>
    </row>
    <row r="54" spans="1:17" ht="15">
      <c r="A54">
        <v>92001</v>
      </c>
      <c r="B54" t="s">
        <v>232</v>
      </c>
      <c r="C54" s="168">
        <f>ROUND(INDEX(Table4[OIL],MATCH(Table2[[#This Row],[Rox Wolf'#]],Table4[Wolf],0)),0)</f>
        <v>149</v>
      </c>
      <c r="D54" s="176">
        <f>INDEX(Table4[GAS],MATCH(Table2[[#This Row],[Rox Wolf'#]],Table4[Wolf],0))</f>
        <v>0</v>
      </c>
      <c r="E54" s="168">
        <f>INDEX(Table4[LEASE USE],MATCH(Table2[[#This Row],[Rox Wolf'#]],Table4[Wolf],0))</f>
        <v>0</v>
      </c>
      <c r="F54" s="170"/>
      <c r="G54" s="170"/>
      <c r="H54" s="170"/>
      <c r="I54" s="170"/>
      <c r="J54" s="165">
        <f>COUNTIF(FilterList,#REF!)</f>
        <v>0</v>
      </c>
      <c r="K54" s="170"/>
      <c r="Q54" s="211">
        <v>99297</v>
      </c>
    </row>
    <row r="55" spans="1:17" ht="15">
      <c r="A55">
        <v>99058</v>
      </c>
      <c r="B55" t="s">
        <v>784</v>
      </c>
      <c r="C55" s="168">
        <f>ROUND(INDEX(Table4[OIL],MATCH(Table2[[#This Row],[Rox Wolf'#]],Table4[Wolf],0)),0)</f>
        <v>0</v>
      </c>
      <c r="D55" s="176">
        <f>INDEX(Table4[GAS],MATCH(Table2[[#This Row],[Rox Wolf'#]],Table4[Wolf],0))</f>
        <v>350</v>
      </c>
      <c r="E55" s="168">
        <f>INDEX(Table4[LEASE USE],MATCH(Table2[[#This Row],[Rox Wolf'#]],Table4[Wolf],0))</f>
        <v>0</v>
      </c>
      <c r="F55" s="170"/>
      <c r="G55" s="170"/>
      <c r="H55" s="170"/>
      <c r="I55" s="170"/>
      <c r="J55" s="165">
        <f>COUNTIF(FilterList,#REF!)</f>
        <v>0</v>
      </c>
      <c r="K55" s="170"/>
      <c r="Q55" s="210">
        <v>99268</v>
      </c>
    </row>
    <row r="56" spans="1:17" ht="15">
      <c r="A56">
        <v>99186</v>
      </c>
      <c r="B56" t="s">
        <v>809</v>
      </c>
      <c r="C56" s="168">
        <f>ROUND(INDEX(Table4[OIL],MATCH(Table2[[#This Row],[Rox Wolf'#]],Table4[Wolf],0)),0)</f>
        <v>0</v>
      </c>
      <c r="D56" s="176">
        <f>INDEX(Table4[GAS],MATCH(Table2[[#This Row],[Rox Wolf'#]],Table4[Wolf],0))</f>
        <v>0</v>
      </c>
      <c r="E56" s="168">
        <f>INDEX(Table4[LEASE USE],MATCH(Table2[[#This Row],[Rox Wolf'#]],Table4[Wolf],0))</f>
        <v>0</v>
      </c>
      <c r="F56" s="170"/>
      <c r="G56" s="170"/>
      <c r="H56" s="170"/>
      <c r="I56" s="170"/>
      <c r="J56" s="165">
        <f>COUNTIF(FilterList,#REF!)</f>
        <v>0</v>
      </c>
      <c r="K56" s="170"/>
      <c r="Q56" s="211">
        <v>99102</v>
      </c>
    </row>
    <row r="57" spans="1:17" ht="15">
      <c r="A57">
        <v>99288</v>
      </c>
      <c r="B57" t="s">
        <v>1126</v>
      </c>
      <c r="C57" s="168">
        <f>ROUND(INDEX(Table4[OIL],MATCH(Table2[[#This Row],[Rox Wolf'#]],Table4[Wolf],0)),0)</f>
        <v>0</v>
      </c>
      <c r="D57" s="176">
        <f>INDEX(Table4[GAS],MATCH(Table2[[#This Row],[Rox Wolf'#]],Table4[Wolf],0))</f>
        <v>0</v>
      </c>
      <c r="E57" s="168">
        <f>INDEX(Table4[LEASE USE],MATCH(Table2[[#This Row],[Rox Wolf'#]],Table4[Wolf],0))</f>
        <v>0</v>
      </c>
      <c r="F57" s="170"/>
      <c r="G57" s="170"/>
      <c r="H57" s="170"/>
      <c r="I57" s="170"/>
      <c r="J57" s="165">
        <f>COUNTIF(FilterList,#REF!)</f>
        <v>0</v>
      </c>
      <c r="K57" s="170"/>
      <c r="Q57" s="210">
        <v>98801</v>
      </c>
    </row>
    <row r="58" spans="1:17" ht="15">
      <c r="A58">
        <v>99297</v>
      </c>
      <c r="B58" t="s">
        <v>785</v>
      </c>
      <c r="C58" s="168">
        <f>ROUND(INDEX(Table4[OIL],MATCH(Table2[[#This Row],[Rox Wolf'#]],Table4[Wolf],0)),0)</f>
        <v>2492</v>
      </c>
      <c r="D58" s="176">
        <f>INDEX(Table4[GAS],MATCH(Table2[[#This Row],[Rox Wolf'#]],Table4[Wolf],0))</f>
        <v>570</v>
      </c>
      <c r="E58" s="168">
        <f>INDEX(Table4[LEASE USE],MATCH(Table2[[#This Row],[Rox Wolf'#]],Table4[Wolf],0))</f>
        <v>0</v>
      </c>
      <c r="F58" s="170"/>
      <c r="G58" s="170"/>
      <c r="H58" s="170"/>
      <c r="I58" s="170"/>
      <c r="J58" s="165">
        <f>COUNTIF(FilterList,#REF!)</f>
        <v>0</v>
      </c>
      <c r="K58" s="170"/>
      <c r="Q58" s="211">
        <v>99259</v>
      </c>
    </row>
    <row r="59" spans="1:17" ht="15">
      <c r="A59">
        <v>99268</v>
      </c>
      <c r="B59" t="s">
        <v>1134</v>
      </c>
      <c r="C59" s="167">
        <f>ROUND(INDEX(Table4[OIL],MATCH(Table2[[#This Row],[Rox Wolf'#]],Table4[Wolf],0)),0)</f>
        <v>0</v>
      </c>
      <c r="D59" s="177">
        <f>INDEX(Table4[GAS],MATCH(Table2[[#This Row],[Rox Wolf'#]],Table4[Wolf],0))</f>
        <v>6866</v>
      </c>
      <c r="E59" s="177">
        <f>INDEX(Table4[LEASE USE],MATCH(Table2[[#This Row],[Rox Wolf'#]],Table4[Wolf],0))</f>
        <v>288</v>
      </c>
      <c r="F59" s="170"/>
      <c r="G59" s="170"/>
      <c r="H59" s="170"/>
      <c r="I59" s="170"/>
      <c r="J59" s="165">
        <f>COUNTIF(FilterList,#REF!)</f>
        <v>0</v>
      </c>
      <c r="K59" s="170"/>
      <c r="Q59" s="210">
        <v>95801</v>
      </c>
    </row>
    <row r="60" spans="1:17" ht="15">
      <c r="A60">
        <v>99102</v>
      </c>
      <c r="B60" t="s">
        <v>786</v>
      </c>
      <c r="C60" s="168">
        <f>ROUND(INDEX(Table4[OIL],MATCH(Table2[[#This Row],[Rox Wolf'#]],Table4[Wolf],0)),0)</f>
        <v>766</v>
      </c>
      <c r="D60" s="176">
        <f>INDEX(Table4[GAS],MATCH(Table2[[#This Row],[Rox Wolf'#]],Table4[Wolf],0))</f>
        <v>49577</v>
      </c>
      <c r="E60" s="168">
        <f>INDEX(Table4[LEASE USE],MATCH(Table2[[#This Row],[Rox Wolf'#]],Table4[Wolf],0))</f>
        <v>0</v>
      </c>
      <c r="F60" s="170"/>
      <c r="G60" s="170"/>
      <c r="H60" s="170"/>
      <c r="I60" s="170"/>
      <c r="J60" s="165">
        <f>COUNTIF(FilterList,#REF!)</f>
        <v>0</v>
      </c>
      <c r="K60" s="170"/>
      <c r="Q60" s="211">
        <v>98961</v>
      </c>
    </row>
    <row r="61" spans="1:17" ht="15">
      <c r="A61">
        <v>95801</v>
      </c>
      <c r="B61" t="s">
        <v>1135</v>
      </c>
      <c r="C61" s="168">
        <f>ROUND(INDEX(Table4[OIL],MATCH(Table2[[#This Row],[Rox Wolf'#]],Table4[Wolf],0)),0)</f>
        <v>0</v>
      </c>
      <c r="D61" s="176">
        <f>INDEX(Table4[GAS],MATCH(Table2[[#This Row],[Rox Wolf'#]],Table4[Wolf],0))</f>
        <v>0</v>
      </c>
      <c r="E61" s="168">
        <f>INDEX(Table4[LEASE USE],MATCH(Table2[[#This Row],[Rox Wolf'#]],Table4[Wolf],0))</f>
        <v>0</v>
      </c>
      <c r="F61" s="170"/>
      <c r="G61" s="170"/>
      <c r="H61" s="170"/>
      <c r="I61" s="170"/>
      <c r="J61" s="165">
        <f>COUNTIF(FilterList,#REF!)</f>
        <v>0</v>
      </c>
      <c r="K61" s="170"/>
      <c r="Q61" s="210">
        <v>99132</v>
      </c>
    </row>
    <row r="62" spans="1:17" ht="15">
      <c r="A62">
        <v>99259</v>
      </c>
      <c r="B62" t="s">
        <v>1108</v>
      </c>
      <c r="C62" s="168">
        <f>ROUND(INDEX(Table4[OIL],MATCH(Table2[[#This Row],[Rox Wolf'#]],Table4[Wolf],0)),0)</f>
        <v>184</v>
      </c>
      <c r="D62" s="176">
        <f>INDEX(Table4[GAS],MATCH(Table2[[#This Row],[Rox Wolf'#]],Table4[Wolf],0))</f>
        <v>0</v>
      </c>
      <c r="E62" s="168">
        <f>INDEX(Table4[LEASE USE],MATCH(Table2[[#This Row],[Rox Wolf'#]],Table4[Wolf],0))</f>
        <v>0</v>
      </c>
      <c r="F62" s="170"/>
      <c r="G62" s="170"/>
      <c r="H62" s="170"/>
      <c r="I62" s="170"/>
      <c r="J62" s="165">
        <f>COUNTIF(FilterList,#REF!)</f>
        <v>0</v>
      </c>
      <c r="K62" s="170"/>
      <c r="Q62" s="211">
        <v>99133</v>
      </c>
    </row>
    <row r="63" spans="1:17" ht="15">
      <c r="A63">
        <v>99132</v>
      </c>
      <c r="B63" t="s">
        <v>1109</v>
      </c>
      <c r="C63" s="168">
        <f>ROUND(INDEX(Table4[OIL],MATCH(Table2[[#This Row],[Rox Wolf'#]],Table4[Wolf],0)),0)</f>
        <v>0</v>
      </c>
      <c r="D63" s="176">
        <f>INDEX(Table4[GAS],MATCH(Table2[[#This Row],[Rox Wolf'#]],Table4[Wolf],0))</f>
        <v>0</v>
      </c>
      <c r="E63" s="168">
        <f>INDEX(Table4[LEASE USE],MATCH(Table2[[#This Row],[Rox Wolf'#]],Table4[Wolf],0))</f>
        <v>0</v>
      </c>
      <c r="F63" s="170"/>
      <c r="G63" s="170"/>
      <c r="H63" s="170"/>
      <c r="I63" s="170"/>
      <c r="J63" s="165">
        <f>COUNTIF(FilterList,#REF!)</f>
        <v>0</v>
      </c>
      <c r="K63" s="170"/>
      <c r="Q63" s="210">
        <v>99256</v>
      </c>
    </row>
    <row r="64" spans="1:17" ht="15">
      <c r="A64">
        <v>99133</v>
      </c>
      <c r="B64" t="s">
        <v>1110</v>
      </c>
      <c r="C64" s="168">
        <f>ROUND(INDEX(Table4[OIL],MATCH(Table2[[#This Row],[Rox Wolf'#]],Table4[Wolf],0)),0)</f>
        <v>0</v>
      </c>
      <c r="D64" s="176">
        <f>INDEX(Table4[GAS],MATCH(Table2[[#This Row],[Rox Wolf'#]],Table4[Wolf],0))</f>
        <v>0</v>
      </c>
      <c r="E64" s="168">
        <f>INDEX(Table4[LEASE USE],MATCH(Table2[[#This Row],[Rox Wolf'#]],Table4[Wolf],0))</f>
        <v>0</v>
      </c>
      <c r="F64" s="170"/>
      <c r="G64" s="170"/>
      <c r="H64" s="170"/>
      <c r="I64" s="170"/>
      <c r="J64" s="165">
        <f>COUNTIF(FilterList,#REF!)</f>
        <v>0</v>
      </c>
      <c r="K64" s="170"/>
      <c r="Q64" s="211">
        <v>98910</v>
      </c>
    </row>
    <row r="65" spans="1:17" ht="15">
      <c r="A65">
        <v>99128</v>
      </c>
      <c r="B65" t="s">
        <v>810</v>
      </c>
      <c r="C65" s="168">
        <f>ROUND(INDEX(Table4[OIL],MATCH(Table2[[#This Row],[Rox Wolf'#]],Table4[Wolf],0)),0)</f>
        <v>0</v>
      </c>
      <c r="D65" s="176">
        <f>INDEX(Table4[GAS],MATCH(Table2[[#This Row],[Rox Wolf'#]],Table4[Wolf],0))</f>
        <v>8552</v>
      </c>
      <c r="E65" s="168">
        <f>INDEX(Table4[LEASE USE],MATCH(Table2[[#This Row],[Rox Wolf'#]],Table4[Wolf],0))</f>
        <v>300</v>
      </c>
      <c r="F65" s="170"/>
      <c r="G65" s="170"/>
      <c r="H65" s="170"/>
      <c r="I65" s="170"/>
      <c r="J65" s="165">
        <f>COUNTIF(FilterList,#REF!)</f>
        <v>0</v>
      </c>
      <c r="K65" s="170"/>
      <c r="Q65" s="210">
        <v>98401</v>
      </c>
    </row>
    <row r="66" spans="1:17" ht="15">
      <c r="A66">
        <v>99134</v>
      </c>
      <c r="B66" t="s">
        <v>811</v>
      </c>
      <c r="C66" s="168">
        <f>ROUND(INDEX(Table4[OIL],MATCH(Table2[[#This Row],[Rox Wolf'#]],Table4[Wolf],0)),0)</f>
        <v>0</v>
      </c>
      <c r="D66" s="176">
        <f>INDEX(Table4[GAS],MATCH(Table2[[#This Row],[Rox Wolf'#]],Table4[Wolf],0))</f>
        <v>3365</v>
      </c>
      <c r="E66" s="168">
        <f>INDEX(Table4[LEASE USE],MATCH(Table2[[#This Row],[Rox Wolf'#]],Table4[Wolf],0))</f>
        <v>0</v>
      </c>
      <c r="F66" s="170"/>
      <c r="G66" s="170"/>
      <c r="H66" s="170"/>
      <c r="I66" s="170"/>
      <c r="J66" s="165">
        <f>COUNTIF(FilterList,#REF!)</f>
        <v>0</v>
      </c>
      <c r="K66" s="170"/>
      <c r="Q66" s="211">
        <v>96901</v>
      </c>
    </row>
    <row r="67" spans="1:17" ht="15">
      <c r="A67">
        <v>99256</v>
      </c>
      <c r="B67" t="s">
        <v>113</v>
      </c>
      <c r="C67" s="168">
        <f>ROUND(INDEX(Table4[OIL],MATCH(Table2[[#This Row],[Rox Wolf'#]],Table4[Wolf],0)),0)</f>
        <v>0</v>
      </c>
      <c r="D67" s="176">
        <f>INDEX(Table4[GAS],MATCH(Table2[[#This Row],[Rox Wolf'#]],Table4[Wolf],0))</f>
        <v>2179</v>
      </c>
      <c r="E67" s="168">
        <f>INDEX(Table4[LEASE USE],MATCH(Table2[[#This Row],[Rox Wolf'#]],Table4[Wolf],0))</f>
        <v>0</v>
      </c>
      <c r="F67" s="170"/>
      <c r="G67" s="170"/>
      <c r="H67" s="170"/>
      <c r="I67" s="170"/>
      <c r="J67" s="165">
        <f>COUNTIF(FilterList,#REF!)</f>
        <v>0</v>
      </c>
      <c r="K67" s="170"/>
      <c r="Q67" s="210">
        <v>99101</v>
      </c>
    </row>
    <row r="68" spans="1:17" ht="15">
      <c r="A68">
        <v>98910</v>
      </c>
      <c r="B68" t="s">
        <v>812</v>
      </c>
      <c r="C68" s="168">
        <f>ROUND(INDEX(Table4[OIL],MATCH(Table2[[#This Row],[Rox Wolf'#]],Table4[Wolf],0)),0)</f>
        <v>1144</v>
      </c>
      <c r="D68" s="176">
        <f>INDEX(Table4[GAS],MATCH(Table2[[#This Row],[Rox Wolf'#]],Table4[Wolf],0))</f>
        <v>0</v>
      </c>
      <c r="E68" s="168">
        <f>INDEX(Table4[LEASE USE],MATCH(Table2[[#This Row],[Rox Wolf'#]],Table4[Wolf],0))</f>
        <v>120</v>
      </c>
      <c r="F68" s="170"/>
      <c r="G68" s="170"/>
      <c r="H68" s="170"/>
      <c r="I68" s="170"/>
      <c r="J68" s="165">
        <f>COUNTIF(FilterList,#REF!)</f>
        <v>0</v>
      </c>
      <c r="K68" s="170"/>
      <c r="Q68" s="211">
        <v>99026</v>
      </c>
    </row>
    <row r="69" spans="1:17" ht="15">
      <c r="A69">
        <v>98401</v>
      </c>
      <c r="B69" t="s">
        <v>787</v>
      </c>
      <c r="C69" s="168">
        <f>ROUND(INDEX(Table4[OIL],MATCH(Table2[[#This Row],[Rox Wolf'#]],Table4[Wolf],0)),0)</f>
        <v>159</v>
      </c>
      <c r="D69" s="176">
        <f>INDEX(Table4[GAS],MATCH(Table2[[#This Row],[Rox Wolf'#]],Table4[Wolf],0))</f>
        <v>0</v>
      </c>
      <c r="E69" s="168">
        <f>INDEX(Table4[LEASE USE],MATCH(Table2[[#This Row],[Rox Wolf'#]],Table4[Wolf],0))</f>
        <v>0</v>
      </c>
      <c r="F69" s="170"/>
      <c r="G69" s="170"/>
      <c r="H69" s="170"/>
      <c r="I69" s="170"/>
      <c r="J69" s="165">
        <f>COUNTIF(FilterList,#REF!)</f>
        <v>0</v>
      </c>
      <c r="K69" s="170"/>
      <c r="Q69" s="210">
        <v>99312</v>
      </c>
    </row>
    <row r="70" spans="1:17" ht="15">
      <c r="A70">
        <v>96901</v>
      </c>
      <c r="B70" t="s">
        <v>788</v>
      </c>
      <c r="C70" s="168">
        <f>ROUND(INDEX(Table4[OIL],MATCH(Table2[[#This Row],[Rox Wolf'#]],Table4[Wolf],0)),0)</f>
        <v>0</v>
      </c>
      <c r="D70" s="176">
        <f>INDEX(Table4[GAS],MATCH(Table2[[#This Row],[Rox Wolf'#]],Table4[Wolf],0))</f>
        <v>2</v>
      </c>
      <c r="E70" s="168">
        <f>INDEX(Table4[LEASE USE],MATCH(Table2[[#This Row],[Rox Wolf'#]],Table4[Wolf],0))</f>
        <v>30</v>
      </c>
      <c r="F70" s="170"/>
      <c r="G70" s="170"/>
      <c r="H70" s="170"/>
      <c r="I70" s="170"/>
      <c r="J70" s="165">
        <f>COUNTIF(FilterList,#REF!)</f>
        <v>0</v>
      </c>
      <c r="K70" s="170"/>
      <c r="Q70" s="211">
        <v>99246</v>
      </c>
    </row>
    <row r="71" spans="1:17" ht="15">
      <c r="A71">
        <v>99101</v>
      </c>
      <c r="B71" t="s">
        <v>813</v>
      </c>
      <c r="C71" s="168">
        <f>ROUND(INDEX(Table4[OIL],MATCH(Table2[[#This Row],[Rox Wolf'#]],Table4[Wolf],0)),0)</f>
        <v>175</v>
      </c>
      <c r="D71" s="176">
        <f>INDEX(Table4[GAS],MATCH(Table2[[#This Row],[Rox Wolf'#]],Table4[Wolf],0))</f>
        <v>16745</v>
      </c>
      <c r="E71" s="168">
        <f>INDEX(Table4[LEASE USE],MATCH(Table2[[#This Row],[Rox Wolf'#]],Table4[Wolf],0))</f>
        <v>0</v>
      </c>
      <c r="F71" s="170"/>
      <c r="G71" s="170"/>
      <c r="H71" s="170"/>
      <c r="I71" s="170"/>
      <c r="J71" s="165">
        <f>COUNTIF(FilterList,#REF!)</f>
        <v>0</v>
      </c>
      <c r="K71" s="170"/>
      <c r="Q71" s="210">
        <v>99140</v>
      </c>
    </row>
    <row r="72" spans="1:17" ht="15">
      <c r="A72">
        <v>99026</v>
      </c>
      <c r="B72" t="s">
        <v>815</v>
      </c>
      <c r="C72" s="168">
        <f>ROUND(INDEX(Table4[OIL],MATCH(Table2[[#This Row],[Rox Wolf'#]],Table4[Wolf],0)),0)</f>
        <v>337</v>
      </c>
      <c r="D72" s="176">
        <f>INDEX(Table4[GAS],MATCH(Table2[[#This Row],[Rox Wolf'#]],Table4[Wolf],0))</f>
        <v>0</v>
      </c>
      <c r="E72" s="168">
        <f>INDEX(Table4[LEASE USE],MATCH(Table2[[#This Row],[Rox Wolf'#]],Table4[Wolf],0))</f>
        <v>0</v>
      </c>
      <c r="F72" s="170"/>
      <c r="G72" s="170"/>
      <c r="H72" s="170"/>
      <c r="I72" s="170"/>
      <c r="J72" s="165">
        <f>COUNTIF(FilterList,#REF!)</f>
        <v>0</v>
      </c>
      <c r="K72" s="170"/>
      <c r="Q72" s="211">
        <v>98979</v>
      </c>
    </row>
    <row r="73" spans="1:17" ht="15">
      <c r="A73">
        <v>99246</v>
      </c>
      <c r="B73" t="s">
        <v>789</v>
      </c>
      <c r="C73" s="168">
        <f>ROUND(INDEX(Table4[OIL],MATCH(Table2[[#This Row],[Rox Wolf'#]],Table4[Wolf],0)),0)</f>
        <v>179</v>
      </c>
      <c r="D73" s="176">
        <f>INDEX(Table4[GAS],MATCH(Table2[[#This Row],[Rox Wolf'#]],Table4[Wolf],0))</f>
        <v>17115</v>
      </c>
      <c r="E73" s="168">
        <f>INDEX(Table4[LEASE USE],MATCH(Table2[[#This Row],[Rox Wolf'#]],Table4[Wolf],0))</f>
        <v>750</v>
      </c>
      <c r="F73" s="170"/>
      <c r="G73" s="170"/>
      <c r="H73" s="170"/>
      <c r="I73" s="170"/>
      <c r="J73" s="165">
        <f>COUNTIF(FilterList,#REF!)</f>
        <v>0</v>
      </c>
      <c r="K73" s="170"/>
      <c r="Q73" s="210">
        <v>34001</v>
      </c>
    </row>
    <row r="74" spans="1:17" ht="15">
      <c r="A74">
        <v>99312</v>
      </c>
      <c r="B74" t="s">
        <v>790</v>
      </c>
      <c r="C74" s="168">
        <f>ROUND(INDEX(Table4[OIL],MATCH(Table2[[#This Row],[Rox Wolf'#]],Table4[Wolf],0)),0)</f>
        <v>180</v>
      </c>
      <c r="D74" s="176">
        <f>INDEX(Table4[GAS],MATCH(Table2[[#This Row],[Rox Wolf'#]],Table4[Wolf],0))</f>
        <v>10800</v>
      </c>
      <c r="E74" s="168">
        <f>INDEX(Table4[LEASE USE],MATCH(Table2[[#This Row],[Rox Wolf'#]],Table4[Wolf],0))</f>
        <v>0</v>
      </c>
      <c r="F74" s="170"/>
      <c r="G74" s="170"/>
      <c r="H74" s="170"/>
      <c r="I74" s="170"/>
      <c r="J74" s="165">
        <f>COUNTIF(FilterList,#REF!)</f>
        <v>0</v>
      </c>
      <c r="K74" s="170"/>
      <c r="Q74" s="212">
        <v>599109</v>
      </c>
    </row>
    <row r="75" spans="1:17" ht="15">
      <c r="A75">
        <v>99140</v>
      </c>
      <c r="B75" t="s">
        <v>816</v>
      </c>
      <c r="C75" s="168">
        <f>ROUND(INDEX(Table4[OIL],MATCH(Table2[[#This Row],[Rox Wolf'#]],Table4[Wolf],0)),0)</f>
        <v>0</v>
      </c>
      <c r="D75" s="176">
        <f>INDEX(Table4[GAS],MATCH(Table2[[#This Row],[Rox Wolf'#]],Table4[Wolf],0))</f>
        <v>0</v>
      </c>
      <c r="E75" s="168">
        <f>INDEX(Table4[LEASE USE],MATCH(Table2[[#This Row],[Rox Wolf'#]],Table4[Wolf],0))</f>
        <v>0</v>
      </c>
      <c r="F75" s="170"/>
      <c r="G75" s="170"/>
      <c r="H75" s="170"/>
      <c r="I75" s="170"/>
      <c r="J75" s="165">
        <f>COUNTIF(FilterList,#REF!)</f>
        <v>0</v>
      </c>
      <c r="K75" s="170"/>
      <c r="Q75" s="213">
        <v>699109</v>
      </c>
    </row>
    <row r="76" spans="1:17" ht="15">
      <c r="A76">
        <v>98979</v>
      </c>
      <c r="B76" t="s">
        <v>310</v>
      </c>
      <c r="C76" s="168">
        <f>ROUND(INDEX(Table4[OIL],MATCH(Table2[[#This Row],[Rox Wolf'#]],Table4[Wolf],0)),0)</f>
        <v>0</v>
      </c>
      <c r="D76" s="176">
        <f>INDEX(Table4[GAS],MATCH(Table2[[#This Row],[Rox Wolf'#]],Table4[Wolf],0))</f>
        <v>239</v>
      </c>
      <c r="E76" s="168">
        <f>INDEX(Table4[LEASE USE],MATCH(Table2[[#This Row],[Rox Wolf'#]],Table4[Wolf],0))</f>
        <v>0</v>
      </c>
      <c r="F76" s="170"/>
      <c r="G76" s="170"/>
      <c r="H76" s="170"/>
      <c r="I76" s="170"/>
      <c r="J76" s="165">
        <f>COUNTIF(FilterList,#REF!)</f>
        <v>0</v>
      </c>
      <c r="K76" s="170"/>
      <c r="Q76" s="211">
        <v>99270</v>
      </c>
    </row>
    <row r="77" spans="1:17" ht="15">
      <c r="A77">
        <v>34001</v>
      </c>
      <c r="B77" t="s">
        <v>817</v>
      </c>
      <c r="C77" s="168">
        <f>ROUND(INDEX(Table4[OIL],MATCH(Table2[[#This Row],[Rox Wolf'#]],Table4[Wolf],0)),0)</f>
        <v>496</v>
      </c>
      <c r="D77" s="176">
        <f>INDEX(Table4[GAS],MATCH(Table2[[#This Row],[Rox Wolf'#]],Table4[Wolf],0))</f>
        <v>0</v>
      </c>
      <c r="E77" s="168">
        <f>INDEX(Table4[LEASE USE],MATCH(Table2[[#This Row],[Rox Wolf'#]],Table4[Wolf],0))</f>
        <v>0</v>
      </c>
      <c r="F77" s="170"/>
      <c r="G77" s="170"/>
      <c r="H77" s="170"/>
      <c r="I77" s="170"/>
      <c r="J77" s="165">
        <f>COUNTIF(FilterList,#REF!)</f>
        <v>0</v>
      </c>
      <c r="K77" s="170"/>
      <c r="Q77" s="210">
        <v>99247</v>
      </c>
    </row>
    <row r="78" spans="1:17" ht="15">
      <c r="A78">
        <v>599109</v>
      </c>
      <c r="B78" t="s">
        <v>791</v>
      </c>
      <c r="C78" s="168">
        <f>ROUND(INDEX(Table4[OIL],MATCH(Table2[[#This Row],[Rox Wolf'#]],Table4[Wolf],0)),0)</f>
        <v>169</v>
      </c>
      <c r="D78" s="176">
        <f>INDEX(Table4[GAS],MATCH(Table2[[#This Row],[Rox Wolf'#]],Table4[Wolf],0))</f>
        <v>15440</v>
      </c>
      <c r="E78" s="168">
        <f>INDEX(Table4[LEASE USE],MATCH(Table2[[#This Row],[Rox Wolf'#]],Table4[Wolf],0))</f>
        <v>450</v>
      </c>
      <c r="F78" s="170"/>
      <c r="G78" s="170"/>
      <c r="H78" s="170"/>
      <c r="I78" s="170"/>
      <c r="J78" s="165">
        <f>COUNTIF(FilterList,#REF!)</f>
        <v>0</v>
      </c>
      <c r="K78" s="170"/>
      <c r="Q78" s="211">
        <v>98983</v>
      </c>
    </row>
    <row r="79" spans="1:17" ht="15">
      <c r="A79">
        <v>699109</v>
      </c>
      <c r="B79" t="s">
        <v>792</v>
      </c>
      <c r="C79" s="168">
        <f>ROUND(INDEX(Table4[OIL],MATCH(Table2[[#This Row],[Rox Wolf'#]],Table4[Wolf],0)),0)</f>
        <v>0</v>
      </c>
      <c r="D79" s="176">
        <f>INDEX(Table4[GAS],MATCH(Table2[[#This Row],[Rox Wolf'#]],Table4[Wolf],0))</f>
        <v>1349</v>
      </c>
      <c r="E79" s="168">
        <f>INDEX(Table4[LEASE USE],MATCH(Table2[[#This Row],[Rox Wolf'#]],Table4[Wolf],0))</f>
        <v>0</v>
      </c>
      <c r="F79" s="170"/>
      <c r="G79" s="170"/>
      <c r="H79" s="170"/>
      <c r="I79" s="170"/>
      <c r="J79" s="165">
        <f>COUNTIF(FilterList,#REF!)</f>
        <v>0</v>
      </c>
      <c r="K79" s="170"/>
      <c r="Q79" s="210">
        <v>99161</v>
      </c>
    </row>
    <row r="80" spans="1:17" ht="15">
      <c r="A80">
        <v>98915</v>
      </c>
      <c r="B80" t="s">
        <v>793</v>
      </c>
      <c r="C80" s="168">
        <f>ROUND(INDEX(Table4[OIL],MATCH(Table2[[#This Row],[Rox Wolf'#]],Table4[Wolf],0)),0)</f>
        <v>0</v>
      </c>
      <c r="D80" s="176">
        <f>INDEX(Table4[GAS],MATCH(Table2[[#This Row],[Rox Wolf'#]],Table4[Wolf],0))</f>
        <v>0</v>
      </c>
      <c r="E80" s="168">
        <f>INDEX(Table4[LEASE USE],MATCH(Table2[[#This Row],[Rox Wolf'#]],Table4[Wolf],0))</f>
        <v>0</v>
      </c>
      <c r="F80" s="170"/>
      <c r="G80" s="170"/>
      <c r="H80" s="170"/>
      <c r="I80" s="170"/>
      <c r="J80" s="165">
        <f>COUNTIF(FilterList,#REF!)</f>
        <v>0</v>
      </c>
      <c r="K80" s="170"/>
      <c r="Q80" s="211">
        <v>48001</v>
      </c>
    </row>
    <row r="81" spans="1:17" ht="15">
      <c r="A81">
        <v>99270</v>
      </c>
      <c r="B81" t="s">
        <v>149</v>
      </c>
      <c r="C81" s="168">
        <f>ROUND(INDEX(Table4[OIL],MATCH(Table2[[#This Row],[Rox Wolf'#]],Table4[Wolf],0)),0)</f>
        <v>2486</v>
      </c>
      <c r="D81" s="176">
        <f>INDEX(Table4[GAS],MATCH(Table2[[#This Row],[Rox Wolf'#]],Table4[Wolf],0))</f>
        <v>114227</v>
      </c>
      <c r="E81" s="168">
        <f>INDEX(Table4[LEASE USE],MATCH(Table2[[#This Row],[Rox Wolf'#]],Table4[Wolf],0))</f>
        <v>630</v>
      </c>
      <c r="F81" s="170"/>
      <c r="G81" s="170"/>
      <c r="H81" s="170"/>
      <c r="I81" s="170"/>
      <c r="J81" s="165">
        <f>COUNTIF(FilterList,#REF!)</f>
        <v>0</v>
      </c>
      <c r="K81" s="170"/>
      <c r="Q81" s="210">
        <v>99305</v>
      </c>
    </row>
    <row r="82" spans="1:17" ht="15">
      <c r="A82">
        <v>99247</v>
      </c>
      <c r="B82" t="s">
        <v>1136</v>
      </c>
      <c r="C82" s="168">
        <f>ROUND(INDEX(Table4[OIL],MATCH(Table2[[#This Row],[Rox Wolf'#]],Table4[Wolf],0)),0)</f>
        <v>0</v>
      </c>
      <c r="D82" s="176">
        <f>INDEX(Table4[GAS],MATCH(Table2[[#This Row],[Rox Wolf'#]],Table4[Wolf],0))</f>
        <v>0</v>
      </c>
      <c r="E82" s="168">
        <f>INDEX(Table4[LEASE USE],MATCH(Table2[[#This Row],[Rox Wolf'#]],Table4[Wolf],0))</f>
        <v>0</v>
      </c>
      <c r="F82" s="170"/>
      <c r="G82" s="170"/>
      <c r="H82" s="170"/>
      <c r="I82" s="170"/>
      <c r="J82" s="165">
        <f>COUNTIF(FilterList,#REF!)</f>
        <v>0</v>
      </c>
      <c r="K82" s="170"/>
      <c r="Q82" s="211">
        <v>99302</v>
      </c>
    </row>
    <row r="83" spans="1:17" ht="15">
      <c r="A83">
        <v>98983</v>
      </c>
      <c r="B83" t="s">
        <v>1111</v>
      </c>
      <c r="C83" s="168">
        <f>ROUND(INDEX(Table4[OIL],MATCH(Table2[[#This Row],[Rox Wolf'#]],Table4[Wolf],0)),0)</f>
        <v>0</v>
      </c>
      <c r="D83" s="176">
        <f>INDEX(Table4[GAS],MATCH(Table2[[#This Row],[Rox Wolf'#]],Table4[Wolf],0))</f>
        <v>0</v>
      </c>
      <c r="E83" s="168">
        <f>INDEX(Table4[LEASE USE],MATCH(Table2[[#This Row],[Rox Wolf'#]],Table4[Wolf],0))</f>
        <v>0</v>
      </c>
      <c r="F83" s="170"/>
      <c r="G83" s="170"/>
      <c r="H83" s="170"/>
      <c r="I83" s="170"/>
      <c r="J83" s="165">
        <f>COUNTIF(FilterList,#REF!)</f>
        <v>0</v>
      </c>
      <c r="K83" s="170"/>
      <c r="Q83" s="210">
        <v>99296</v>
      </c>
    </row>
    <row r="84" spans="1:17" ht="15">
      <c r="A84">
        <v>99161</v>
      </c>
      <c r="B84" t="s">
        <v>820</v>
      </c>
      <c r="C84" s="168">
        <f>ROUND(INDEX(Table4[OIL],MATCH(Table2[[#This Row],[Rox Wolf'#]],Table4[Wolf],0)),0)</f>
        <v>170</v>
      </c>
      <c r="D84" s="176">
        <f>INDEX(Table4[GAS],MATCH(Table2[[#This Row],[Rox Wolf'#]],Table4[Wolf],0))</f>
        <v>0</v>
      </c>
      <c r="E84" s="168">
        <f>INDEX(Table4[LEASE USE],MATCH(Table2[[#This Row],[Rox Wolf'#]],Table4[Wolf],0))</f>
        <v>0</v>
      </c>
      <c r="F84" s="170"/>
      <c r="G84" s="170"/>
      <c r="H84" s="170"/>
      <c r="I84" s="170"/>
      <c r="J84" s="165">
        <f>COUNTIF(FilterList,#REF!)</f>
        <v>0</v>
      </c>
      <c r="K84" s="170"/>
      <c r="Q84" s="211">
        <v>99194</v>
      </c>
    </row>
    <row r="85" spans="1:17" ht="15">
      <c r="A85">
        <v>99305</v>
      </c>
      <c r="B85" t="s">
        <v>821</v>
      </c>
      <c r="C85" s="168">
        <f>ROUND(INDEX(Table4[OIL],MATCH(Table2[[#This Row],[Rox Wolf'#]],Table4[Wolf],0)),0)</f>
        <v>530</v>
      </c>
      <c r="D85" s="176">
        <f>INDEX(Table4[GAS],MATCH(Table2[[#This Row],[Rox Wolf'#]],Table4[Wolf],0))</f>
        <v>0</v>
      </c>
      <c r="E85" s="168">
        <f>INDEX(Table4[LEASE USE],MATCH(Table2[[#This Row],[Rox Wolf'#]],Table4[Wolf],0))</f>
        <v>0</v>
      </c>
      <c r="F85" s="170"/>
      <c r="G85" s="170"/>
      <c r="H85" s="170"/>
      <c r="I85" s="170"/>
      <c r="J85" s="165">
        <f>COUNTIF(FilterList,#REF!)</f>
        <v>0</v>
      </c>
      <c r="K85" s="170"/>
      <c r="Q85" s="210">
        <v>80001</v>
      </c>
    </row>
    <row r="86" spans="1:17" ht="15">
      <c r="A86">
        <v>99302</v>
      </c>
      <c r="B86" t="s">
        <v>822</v>
      </c>
      <c r="C86" s="168">
        <f>ROUND(INDEX(Table4[OIL],MATCH(Table2[[#This Row],[Rox Wolf'#]],Table4[Wolf],0)),0)</f>
        <v>0</v>
      </c>
      <c r="D86" s="176">
        <f>INDEX(Table4[GAS],MATCH(Table2[[#This Row],[Rox Wolf'#]],Table4[Wolf],0))</f>
        <v>0</v>
      </c>
      <c r="E86" s="168">
        <f>INDEX(Table4[LEASE USE],MATCH(Table2[[#This Row],[Rox Wolf'#]],Table4[Wolf],0))</f>
        <v>0</v>
      </c>
      <c r="F86" s="170"/>
      <c r="G86" s="170"/>
      <c r="H86" s="170"/>
      <c r="I86" s="170"/>
      <c r="J86" s="165">
        <f>COUNTIF(FilterList,#REF!)</f>
        <v>0</v>
      </c>
      <c r="K86" s="170"/>
    </row>
    <row r="87" spans="1:17" ht="15">
      <c r="A87">
        <v>99296</v>
      </c>
      <c r="B87" t="s">
        <v>823</v>
      </c>
      <c r="C87" s="168">
        <f>ROUND(INDEX(Table4[OIL],MATCH(Table2[[#This Row],[Rox Wolf'#]],Table4[Wolf],0)),0)</f>
        <v>0</v>
      </c>
      <c r="D87" s="176">
        <f>INDEX(Table4[GAS],MATCH(Table2[[#This Row],[Rox Wolf'#]],Table4[Wolf],0))</f>
        <v>0</v>
      </c>
      <c r="E87" s="168">
        <f>INDEX(Table4[LEASE USE],MATCH(Table2[[#This Row],[Rox Wolf'#]],Table4[Wolf],0))</f>
        <v>0</v>
      </c>
      <c r="F87" s="170"/>
      <c r="G87" s="170"/>
      <c r="H87" s="170"/>
      <c r="I87" s="170"/>
      <c r="J87" s="165">
        <f>COUNTIF(FilterList,#REF!)</f>
        <v>0</v>
      </c>
      <c r="K87" s="170"/>
    </row>
    <row r="88" spans="1:17" ht="15">
      <c r="A88">
        <v>99194</v>
      </c>
      <c r="B88" t="s">
        <v>1112</v>
      </c>
      <c r="C88" s="168">
        <f>ROUND(INDEX(Table4[OIL],MATCH(Table2[[#This Row],[Rox Wolf'#]],Table4[Wolf],0)),0)</f>
        <v>692</v>
      </c>
      <c r="D88" s="176">
        <f>INDEX(Table4[GAS],MATCH(Table2[[#This Row],[Rox Wolf'#]],Table4[Wolf],0))</f>
        <v>0</v>
      </c>
      <c r="E88" s="168">
        <f>INDEX(Table4[LEASE USE],MATCH(Table2[[#This Row],[Rox Wolf'#]],Table4[Wolf],0))</f>
        <v>0</v>
      </c>
      <c r="F88" s="170"/>
      <c r="G88" s="170"/>
      <c r="H88" s="170"/>
      <c r="I88" s="170"/>
      <c r="J88" s="165">
        <f>COUNTIF(FilterList,#REF!)</f>
        <v>0</v>
      </c>
      <c r="K88" s="170"/>
    </row>
    <row r="89" spans="1:17" ht="15" hidden="1">
      <c r="A89">
        <v>99171</v>
      </c>
      <c r="B89" t="s">
        <v>824</v>
      </c>
      <c r="C89" s="168">
        <f>ROUND(INDEX(Table4[OIL],MATCH(Table2[[#This Row],[Rox Wolf'#]],Table4[Wolf],0)),0)</f>
        <v>362</v>
      </c>
      <c r="D89" s="176">
        <f>INDEX(Table4[GAS],MATCH(Table2[[#This Row],[Rox Wolf'#]],Table4[Wolf],0))</f>
        <v>0</v>
      </c>
      <c r="E89" s="168">
        <f>INDEX(Table4[LEASE USE],MATCH(Table2[[#This Row],[Rox Wolf'#]],Table4[Wolf],0))</f>
        <v>0</v>
      </c>
      <c r="F89" s="170"/>
      <c r="G89" s="170"/>
      <c r="H89" s="170"/>
      <c r="I89" s="170"/>
      <c r="J89" s="165">
        <f>COUNTIF(FilterList,#REF!)</f>
        <v>0</v>
      </c>
      <c r="K89" s="172" t="s">
        <v>1139</v>
      </c>
    </row>
    <row r="90" spans="1:17" ht="15" hidden="1">
      <c r="A90">
        <v>99172</v>
      </c>
      <c r="B90" t="s">
        <v>1137</v>
      </c>
      <c r="C90" s="168">
        <f>ROUND(INDEX(Table4[OIL],MATCH(Table2[[#This Row],[Rox Wolf'#]],Table4[Wolf],0)),0)</f>
        <v>0</v>
      </c>
      <c r="D90" s="176">
        <f>INDEX(Table4[GAS],MATCH(Table2[[#This Row],[Rox Wolf'#]],Table4[Wolf],0))</f>
        <v>0</v>
      </c>
      <c r="E90" s="168">
        <f>INDEX(Table4[LEASE USE],MATCH(Table2[[#This Row],[Rox Wolf'#]],Table4[Wolf],0))</f>
        <v>0</v>
      </c>
      <c r="F90" s="170"/>
      <c r="G90" s="170"/>
      <c r="H90" s="170"/>
      <c r="I90" s="170"/>
      <c r="J90" s="165">
        <f>COUNTIF(FilterList,#REF!)</f>
        <v>0</v>
      </c>
      <c r="K90" s="172" t="s">
        <v>1139</v>
      </c>
    </row>
    <row r="91" spans="1:17" ht="15" hidden="1">
      <c r="A91">
        <v>99173</v>
      </c>
      <c r="B91" t="s">
        <v>825</v>
      </c>
      <c r="C91" s="168">
        <f>ROUND(INDEX(Table4[OIL],MATCH(Table2[[#This Row],[Rox Wolf'#]],Table4[Wolf],0)),0)</f>
        <v>179</v>
      </c>
      <c r="D91" s="176">
        <f>INDEX(Table4[GAS],MATCH(Table2[[#This Row],[Rox Wolf'#]],Table4[Wolf],0))</f>
        <v>0</v>
      </c>
      <c r="E91" s="168">
        <f>INDEX(Table4[LEASE USE],MATCH(Table2[[#This Row],[Rox Wolf'#]],Table4[Wolf],0))</f>
        <v>0</v>
      </c>
      <c r="F91" s="170"/>
      <c r="G91" s="170"/>
      <c r="H91" s="170"/>
      <c r="I91" s="170"/>
      <c r="J91" s="165">
        <f>COUNTIF(FilterList,#REF!)</f>
        <v>0</v>
      </c>
      <c r="K91" s="172" t="s">
        <v>1139</v>
      </c>
    </row>
    <row r="92" spans="1:17" ht="15">
      <c r="A92">
        <v>80001</v>
      </c>
      <c r="B92" t="s">
        <v>794</v>
      </c>
      <c r="C92" s="168">
        <f>ROUND(INDEX(Table4[OIL],MATCH(Table2[[#This Row],[Rox Wolf'#]],Table4[Wolf],0)),0)</f>
        <v>0</v>
      </c>
      <c r="D92" s="176">
        <f>INDEX(Table4[GAS],MATCH(Table2[[#This Row],[Rox Wolf'#]],Table4[Wolf],0))</f>
        <v>0</v>
      </c>
      <c r="E92" s="168">
        <f>INDEX(Table4[LEASE USE],MATCH(Table2[[#This Row],[Rox Wolf'#]],Table4[Wolf],0))</f>
        <v>0</v>
      </c>
      <c r="F92" s="170"/>
      <c r="G92" s="170"/>
      <c r="H92" s="170"/>
      <c r="I92" s="170"/>
      <c r="J92" s="165">
        <f>COUNTIF(FilterList,#REF!)</f>
        <v>0</v>
      </c>
      <c r="K92" s="170"/>
    </row>
    <row r="93" spans="1:17">
      <c r="A93">
        <f>SUBTOTAL(103,Table2[Rox Wolf'#])</f>
        <v>82</v>
      </c>
      <c r="B93"/>
      <c r="C93">
        <f>SUBTOTAL(109,Table2[OIL])</f>
        <v>16465</v>
      </c>
      <c r="D93" s="5">
        <f>SUBTOTAL(109,Table2[GAS])</f>
        <v>297528</v>
      </c>
      <c r="E93">
        <f>SUBTOTAL(109,Table2[LEASE USE])</f>
        <v>5034</v>
      </c>
      <c r="F93"/>
      <c r="G93"/>
      <c r="H93"/>
      <c r="I93"/>
      <c r="J93">
        <f>SUBTOTAL(109,Table2[Filter])</f>
        <v>0</v>
      </c>
    </row>
  </sheetData>
  <mergeCells count="2">
    <mergeCell ref="A1:E1"/>
    <mergeCell ref="A2:E2"/>
  </mergeCells>
  <phoneticPr fontId="64" type="noConversion"/>
  <conditionalFormatting sqref="A5:A92">
    <cfRule type="duplicateValues" dxfId="8" priority="27"/>
  </conditionalFormatting>
  <conditionalFormatting sqref="Q5:Q85 A5:A92">
    <cfRule type="duplicateValues" dxfId="7" priority="1"/>
  </conditionalFormatting>
  <pageMargins left="0.25" right="0.25" top="0.75" bottom="0.75" header="0.3" footer="0.3"/>
  <pageSetup scale="3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776AC-1D90-4F61-B02A-F027A43A1572}">
  <dimension ref="A1:L114"/>
  <sheetViews>
    <sheetView zoomScaleNormal="100" workbookViewId="0">
      <selection activeCell="I6" sqref="I6"/>
    </sheetView>
  </sheetViews>
  <sheetFormatPr defaultRowHeight="15"/>
  <cols>
    <col min="1" max="1" width="12.83203125" style="192" customWidth="1"/>
    <col min="2" max="2" width="30" style="192" bestFit="1" customWidth="1"/>
    <col min="3" max="3" width="9.33203125" style="196"/>
    <col min="4" max="4" width="9.33203125" style="198"/>
    <col min="5" max="5" width="14.1640625" style="196" customWidth="1"/>
    <col min="6" max="6" width="15.5" style="192" customWidth="1"/>
    <col min="7" max="7" width="13" style="192" customWidth="1"/>
    <col min="8" max="8" width="15.83203125" style="192" customWidth="1"/>
    <col min="9" max="16384" width="9.33203125" style="192"/>
  </cols>
  <sheetData>
    <row r="1" spans="1:9" s="189" customFormat="1" ht="21">
      <c r="A1" s="237" t="s">
        <v>630</v>
      </c>
      <c r="B1" s="237"/>
      <c r="C1" s="237"/>
      <c r="D1" s="237"/>
      <c r="E1" s="237"/>
    </row>
    <row r="2" spans="1:9" s="189" customFormat="1" ht="21">
      <c r="A2" s="236">
        <v>43770</v>
      </c>
      <c r="B2" s="237"/>
      <c r="C2" s="237"/>
      <c r="D2" s="237"/>
      <c r="E2" s="237"/>
    </row>
    <row r="3" spans="1:9" s="189" customFormat="1" ht="21">
      <c r="C3" s="190"/>
      <c r="D3" s="191"/>
      <c r="E3" s="190"/>
    </row>
    <row r="4" spans="1:9">
      <c r="A4" s="204" t="s">
        <v>1171</v>
      </c>
      <c r="B4" s="193" t="s">
        <v>1172</v>
      </c>
      <c r="C4" s="194" t="s">
        <v>748</v>
      </c>
      <c r="D4" s="195" t="s">
        <v>749</v>
      </c>
      <c r="E4" s="196" t="s">
        <v>750</v>
      </c>
      <c r="F4" s="192" t="s">
        <v>1116</v>
      </c>
      <c r="G4" s="193" t="s">
        <v>1117</v>
      </c>
      <c r="H4" s="192" t="s">
        <v>1118</v>
      </c>
      <c r="I4" s="193" t="s">
        <v>1119</v>
      </c>
    </row>
    <row r="5" spans="1:9">
      <c r="A5" s="192">
        <v>34001</v>
      </c>
      <c r="B5" s="192" t="s">
        <v>817</v>
      </c>
      <c r="C5" s="197">
        <v>496.05</v>
      </c>
      <c r="E5" s="196">
        <f t="shared" ref="E5:E11" si="0">(F5*G5)+(H5*I5)</f>
        <v>0</v>
      </c>
    </row>
    <row r="6" spans="1:9">
      <c r="A6" s="192">
        <v>48001</v>
      </c>
      <c r="B6" s="192" t="s">
        <v>765</v>
      </c>
      <c r="C6" s="197"/>
      <c r="D6" s="198">
        <v>20</v>
      </c>
      <c r="E6" s="196">
        <f t="shared" si="0"/>
        <v>15</v>
      </c>
      <c r="F6" s="199">
        <v>1</v>
      </c>
      <c r="G6" s="199">
        <v>15</v>
      </c>
    </row>
    <row r="7" spans="1:9">
      <c r="A7" s="192">
        <v>80001</v>
      </c>
      <c r="B7" s="192" t="s">
        <v>794</v>
      </c>
      <c r="C7" s="197"/>
      <c r="D7" s="198">
        <v>0</v>
      </c>
      <c r="E7" s="196">
        <f t="shared" si="0"/>
        <v>0</v>
      </c>
      <c r="F7" s="199">
        <v>4</v>
      </c>
      <c r="G7" s="199">
        <v>0</v>
      </c>
    </row>
    <row r="8" spans="1:9">
      <c r="A8" s="192">
        <v>82001</v>
      </c>
      <c r="B8" s="192" t="s">
        <v>753</v>
      </c>
      <c r="C8" s="197"/>
      <c r="E8" s="196">
        <f t="shared" si="0"/>
        <v>0</v>
      </c>
    </row>
    <row r="9" spans="1:9">
      <c r="A9" s="192">
        <v>92001</v>
      </c>
      <c r="B9" s="192" t="s">
        <v>232</v>
      </c>
      <c r="C9" s="197">
        <v>149.18</v>
      </c>
      <c r="E9" s="196">
        <f t="shared" si="0"/>
        <v>0</v>
      </c>
    </row>
    <row r="10" spans="1:9">
      <c r="A10" s="192">
        <v>93701</v>
      </c>
      <c r="B10" s="192" t="s">
        <v>798</v>
      </c>
      <c r="C10" s="197"/>
      <c r="D10" s="198">
        <v>6</v>
      </c>
      <c r="E10" s="196">
        <f t="shared" si="0"/>
        <v>0</v>
      </c>
    </row>
    <row r="11" spans="1:9">
      <c r="A11" s="192">
        <v>93806</v>
      </c>
      <c r="B11" s="192" t="s">
        <v>805</v>
      </c>
      <c r="C11" s="197"/>
      <c r="E11" s="196">
        <f t="shared" si="0"/>
        <v>0</v>
      </c>
    </row>
    <row r="12" spans="1:9">
      <c r="A12" s="192">
        <v>93901</v>
      </c>
      <c r="B12" s="192" t="s">
        <v>1132</v>
      </c>
      <c r="C12" s="197"/>
    </row>
    <row r="13" spans="1:9">
      <c r="A13" s="192">
        <v>94601</v>
      </c>
      <c r="B13" s="192" t="s">
        <v>807</v>
      </c>
      <c r="C13" s="197">
        <v>538.37</v>
      </c>
      <c r="D13" s="198">
        <v>2421</v>
      </c>
      <c r="E13" s="196">
        <f>(F13*G13)+(H13*I13)</f>
        <v>0</v>
      </c>
    </row>
    <row r="14" spans="1:9">
      <c r="A14" s="192">
        <v>95801</v>
      </c>
      <c r="B14" s="192" t="s">
        <v>1135</v>
      </c>
      <c r="C14" s="197"/>
    </row>
    <row r="15" spans="1:9">
      <c r="A15" s="192">
        <v>96501</v>
      </c>
      <c r="B15" s="192" t="s">
        <v>754</v>
      </c>
      <c r="C15" s="197"/>
      <c r="E15" s="196">
        <f t="shared" ref="E15:E58" si="1">(F15*G15)+(H15*I15)</f>
        <v>18</v>
      </c>
      <c r="F15" s="199">
        <v>3</v>
      </c>
      <c r="G15" s="199">
        <v>6</v>
      </c>
    </row>
    <row r="16" spans="1:9">
      <c r="A16" s="192">
        <v>96701</v>
      </c>
      <c r="B16" s="192" t="s">
        <v>752</v>
      </c>
      <c r="C16" s="197"/>
      <c r="E16" s="196">
        <f t="shared" si="1"/>
        <v>0</v>
      </c>
    </row>
    <row r="17" spans="1:9">
      <c r="A17" s="192">
        <v>96901</v>
      </c>
      <c r="B17" s="192" t="s">
        <v>788</v>
      </c>
      <c r="C17" s="197"/>
      <c r="D17" s="198">
        <v>2</v>
      </c>
      <c r="E17" s="196">
        <f t="shared" si="1"/>
        <v>30</v>
      </c>
      <c r="F17" s="199">
        <v>1</v>
      </c>
      <c r="G17" s="199">
        <v>30</v>
      </c>
    </row>
    <row r="18" spans="1:9">
      <c r="A18" s="192">
        <v>98401</v>
      </c>
      <c r="B18" s="192" t="s">
        <v>787</v>
      </c>
      <c r="C18" s="197">
        <v>159</v>
      </c>
      <c r="D18" s="198">
        <v>0</v>
      </c>
      <c r="E18" s="196">
        <f t="shared" si="1"/>
        <v>0</v>
      </c>
      <c r="F18" s="199">
        <v>3</v>
      </c>
      <c r="G18" s="199">
        <v>0</v>
      </c>
    </row>
    <row r="19" spans="1:9">
      <c r="A19" s="192">
        <v>98801</v>
      </c>
      <c r="B19" s="192" t="s">
        <v>776</v>
      </c>
      <c r="C19" s="197"/>
      <c r="D19" s="198">
        <v>1735</v>
      </c>
      <c r="E19" s="196">
        <f t="shared" si="1"/>
        <v>105</v>
      </c>
      <c r="F19" s="199">
        <v>7</v>
      </c>
      <c r="G19" s="199">
        <v>15</v>
      </c>
    </row>
    <row r="20" spans="1:9">
      <c r="A20" s="192">
        <v>98910</v>
      </c>
      <c r="B20" s="192" t="s">
        <v>812</v>
      </c>
      <c r="C20" s="197">
        <v>1144.1199999999999</v>
      </c>
      <c r="E20" s="196">
        <f t="shared" si="1"/>
        <v>120</v>
      </c>
      <c r="H20" s="199">
        <v>4</v>
      </c>
      <c r="I20" s="199">
        <v>30</v>
      </c>
    </row>
    <row r="21" spans="1:9">
      <c r="A21" s="192">
        <v>98915</v>
      </c>
      <c r="B21" s="192" t="s">
        <v>793</v>
      </c>
      <c r="C21" s="197"/>
      <c r="E21" s="196">
        <f t="shared" si="1"/>
        <v>0</v>
      </c>
    </row>
    <row r="22" spans="1:9">
      <c r="A22" s="192">
        <v>98921</v>
      </c>
      <c r="B22" s="192" t="s">
        <v>803</v>
      </c>
      <c r="C22" s="197">
        <v>169.2</v>
      </c>
      <c r="E22" s="196">
        <f t="shared" si="1"/>
        <v>0</v>
      </c>
    </row>
    <row r="23" spans="1:9">
      <c r="A23" s="192">
        <v>98955</v>
      </c>
      <c r="B23" s="192" t="s">
        <v>280</v>
      </c>
      <c r="C23" s="197"/>
      <c r="D23" s="198">
        <v>895</v>
      </c>
      <c r="E23" s="196">
        <f t="shared" si="1"/>
        <v>30</v>
      </c>
      <c r="F23" s="199">
        <v>1</v>
      </c>
      <c r="G23" s="199">
        <v>30</v>
      </c>
    </row>
    <row r="24" spans="1:9">
      <c r="A24" s="192">
        <v>98956</v>
      </c>
      <c r="B24" s="192" t="s">
        <v>770</v>
      </c>
      <c r="C24" s="197">
        <v>176</v>
      </c>
      <c r="D24" s="198">
        <v>797</v>
      </c>
      <c r="E24" s="196">
        <f t="shared" si="1"/>
        <v>60</v>
      </c>
      <c r="F24" s="199">
        <v>2</v>
      </c>
      <c r="G24" s="199">
        <v>30</v>
      </c>
    </row>
    <row r="25" spans="1:9">
      <c r="A25" s="192">
        <v>98958</v>
      </c>
      <c r="B25" s="192" t="s">
        <v>771</v>
      </c>
      <c r="C25" s="197"/>
      <c r="D25" s="198">
        <v>2841</v>
      </c>
      <c r="E25" s="196">
        <f t="shared" si="1"/>
        <v>120</v>
      </c>
      <c r="F25" s="199">
        <v>6</v>
      </c>
      <c r="G25" s="199">
        <v>20</v>
      </c>
    </row>
    <row r="26" spans="1:9">
      <c r="A26" s="192">
        <v>98959</v>
      </c>
      <c r="B26" s="192" t="s">
        <v>772</v>
      </c>
      <c r="C26" s="197"/>
      <c r="D26" s="198">
        <v>82</v>
      </c>
      <c r="E26" s="196">
        <f t="shared" si="1"/>
        <v>0</v>
      </c>
    </row>
    <row r="27" spans="1:9">
      <c r="A27" s="192">
        <v>98961</v>
      </c>
      <c r="B27" s="192" t="s">
        <v>806</v>
      </c>
      <c r="C27" s="197">
        <v>154.33000000000001</v>
      </c>
      <c r="D27" s="198">
        <v>2169</v>
      </c>
      <c r="E27" s="196">
        <f t="shared" si="1"/>
        <v>0</v>
      </c>
    </row>
    <row r="28" spans="1:9">
      <c r="A28" s="192">
        <v>98965</v>
      </c>
      <c r="B28" s="192" t="s">
        <v>764</v>
      </c>
      <c r="C28" s="197"/>
      <c r="D28" s="198">
        <v>0</v>
      </c>
      <c r="E28" s="196">
        <f t="shared" si="1"/>
        <v>3</v>
      </c>
      <c r="F28" s="199">
        <v>1</v>
      </c>
      <c r="G28" s="199">
        <v>3</v>
      </c>
    </row>
    <row r="29" spans="1:9">
      <c r="A29" s="192">
        <v>98976</v>
      </c>
      <c r="B29" s="192" t="s">
        <v>782</v>
      </c>
      <c r="C29" s="197"/>
      <c r="D29" s="198">
        <v>22</v>
      </c>
      <c r="E29" s="196">
        <f t="shared" si="1"/>
        <v>0</v>
      </c>
    </row>
    <row r="30" spans="1:9">
      <c r="A30" s="192">
        <v>98979</v>
      </c>
      <c r="B30" s="192" t="s">
        <v>310</v>
      </c>
      <c r="C30" s="197"/>
      <c r="D30" s="198">
        <v>239</v>
      </c>
      <c r="E30" s="196">
        <f t="shared" si="1"/>
        <v>0</v>
      </c>
    </row>
    <row r="31" spans="1:9">
      <c r="A31" s="192">
        <v>98983</v>
      </c>
      <c r="B31" s="192" t="s">
        <v>1111</v>
      </c>
      <c r="C31" s="197"/>
      <c r="E31" s="196">
        <f t="shared" si="1"/>
        <v>0</v>
      </c>
    </row>
    <row r="32" spans="1:9" ht="15.75" customHeight="1">
      <c r="A32" s="192">
        <v>98987</v>
      </c>
      <c r="B32" s="192" t="s">
        <v>767</v>
      </c>
      <c r="C32" s="197"/>
      <c r="D32" s="198">
        <v>249</v>
      </c>
      <c r="E32" s="196">
        <f t="shared" si="1"/>
        <v>10</v>
      </c>
      <c r="F32" s="199">
        <v>1</v>
      </c>
      <c r="G32" s="199">
        <v>10</v>
      </c>
    </row>
    <row r="33" spans="1:7">
      <c r="A33" s="192">
        <v>98988</v>
      </c>
      <c r="B33" s="192" t="s">
        <v>768</v>
      </c>
      <c r="C33" s="197"/>
      <c r="D33" s="198">
        <v>0</v>
      </c>
      <c r="E33" s="196">
        <f t="shared" si="1"/>
        <v>0</v>
      </c>
      <c r="F33" s="199">
        <v>5</v>
      </c>
      <c r="G33" s="199"/>
    </row>
    <row r="34" spans="1:7">
      <c r="A34" s="192">
        <v>98990</v>
      </c>
      <c r="B34" s="192" t="s">
        <v>781</v>
      </c>
      <c r="C34" s="197"/>
      <c r="D34" s="198">
        <v>52</v>
      </c>
      <c r="E34" s="196">
        <f t="shared" si="1"/>
        <v>0</v>
      </c>
    </row>
    <row r="35" spans="1:7">
      <c r="A35" s="192">
        <v>99007</v>
      </c>
      <c r="B35" s="192" t="s">
        <v>769</v>
      </c>
      <c r="C35" s="197"/>
      <c r="D35" s="198">
        <v>283</v>
      </c>
      <c r="E35" s="196">
        <f t="shared" si="1"/>
        <v>7</v>
      </c>
      <c r="F35" s="199">
        <v>1</v>
      </c>
      <c r="G35" s="199">
        <v>7</v>
      </c>
    </row>
    <row r="36" spans="1:7">
      <c r="A36" s="192">
        <v>99017</v>
      </c>
      <c r="B36" s="192" t="s">
        <v>761</v>
      </c>
      <c r="C36" s="197"/>
      <c r="D36" s="198">
        <v>4938</v>
      </c>
      <c r="E36" s="196">
        <f t="shared" si="1"/>
        <v>210</v>
      </c>
      <c r="F36" s="199">
        <v>7</v>
      </c>
      <c r="G36" s="199">
        <v>30</v>
      </c>
    </row>
    <row r="37" spans="1:7">
      <c r="A37" s="192">
        <v>99026</v>
      </c>
      <c r="B37" s="192" t="s">
        <v>815</v>
      </c>
      <c r="C37" s="197">
        <v>336.53</v>
      </c>
      <c r="E37" s="196">
        <f t="shared" si="1"/>
        <v>0</v>
      </c>
    </row>
    <row r="38" spans="1:7">
      <c r="A38" s="192">
        <v>99058</v>
      </c>
      <c r="B38" s="192" t="s">
        <v>784</v>
      </c>
      <c r="C38" s="197"/>
      <c r="D38" s="198">
        <v>350</v>
      </c>
      <c r="E38" s="196">
        <f t="shared" si="1"/>
        <v>0</v>
      </c>
    </row>
    <row r="39" spans="1:7">
      <c r="A39" s="192">
        <v>99065</v>
      </c>
      <c r="B39" s="192" t="s">
        <v>779</v>
      </c>
      <c r="C39" s="197"/>
      <c r="D39" s="198">
        <v>0</v>
      </c>
      <c r="E39" s="196">
        <f t="shared" si="1"/>
        <v>0</v>
      </c>
    </row>
    <row r="40" spans="1:7">
      <c r="A40" s="192">
        <v>99066</v>
      </c>
      <c r="B40" s="192" t="s">
        <v>778</v>
      </c>
      <c r="C40" s="197"/>
      <c r="D40" s="198">
        <v>827</v>
      </c>
      <c r="E40" s="196">
        <f t="shared" si="1"/>
        <v>0</v>
      </c>
    </row>
    <row r="41" spans="1:7">
      <c r="A41" s="192">
        <v>99067</v>
      </c>
      <c r="B41" s="192" t="s">
        <v>762</v>
      </c>
      <c r="C41" s="197"/>
      <c r="D41" s="198">
        <v>340</v>
      </c>
      <c r="E41" s="196">
        <f t="shared" si="1"/>
        <v>0</v>
      </c>
    </row>
    <row r="42" spans="1:7">
      <c r="A42" s="192">
        <v>99069</v>
      </c>
      <c r="B42" s="192" t="s">
        <v>763</v>
      </c>
      <c r="C42" s="197"/>
      <c r="D42" s="198">
        <v>2311</v>
      </c>
      <c r="E42" s="196">
        <f t="shared" si="1"/>
        <v>84</v>
      </c>
      <c r="F42" s="199">
        <v>3</v>
      </c>
      <c r="G42" s="199">
        <v>28</v>
      </c>
    </row>
    <row r="43" spans="1:7">
      <c r="A43" s="192">
        <v>99093</v>
      </c>
      <c r="B43" s="192" t="s">
        <v>773</v>
      </c>
      <c r="C43" s="197"/>
      <c r="D43" s="198">
        <v>2998</v>
      </c>
      <c r="E43" s="196">
        <f t="shared" si="1"/>
        <v>120</v>
      </c>
      <c r="F43" s="199">
        <v>4</v>
      </c>
      <c r="G43" s="199">
        <v>30</v>
      </c>
    </row>
    <row r="44" spans="1:7">
      <c r="A44" s="192">
        <v>99094</v>
      </c>
      <c r="B44" s="192" t="s">
        <v>774</v>
      </c>
      <c r="C44" s="197"/>
      <c r="D44" s="198">
        <v>3012</v>
      </c>
      <c r="E44" s="196">
        <f t="shared" si="1"/>
        <v>120</v>
      </c>
      <c r="F44" s="199">
        <v>4</v>
      </c>
      <c r="G44" s="199">
        <v>30</v>
      </c>
    </row>
    <row r="45" spans="1:7">
      <c r="A45" s="192">
        <v>99095</v>
      </c>
      <c r="B45" s="192" t="s">
        <v>775</v>
      </c>
      <c r="C45" s="197"/>
      <c r="D45" s="198">
        <v>1151</v>
      </c>
      <c r="E45" s="196">
        <f t="shared" si="1"/>
        <v>30</v>
      </c>
      <c r="F45" s="199">
        <v>1</v>
      </c>
      <c r="G45" s="199">
        <v>30</v>
      </c>
    </row>
    <row r="46" spans="1:7">
      <c r="A46" s="192">
        <v>99101</v>
      </c>
      <c r="B46" s="192" t="s">
        <v>813</v>
      </c>
      <c r="C46" s="197">
        <v>175</v>
      </c>
      <c r="D46" s="198">
        <v>16745</v>
      </c>
      <c r="E46" s="196">
        <f t="shared" si="1"/>
        <v>0</v>
      </c>
    </row>
    <row r="47" spans="1:7">
      <c r="A47" s="192">
        <v>99102</v>
      </c>
      <c r="B47" s="192" t="s">
        <v>786</v>
      </c>
      <c r="C47" s="197">
        <v>766</v>
      </c>
      <c r="D47" s="198">
        <v>49577</v>
      </c>
      <c r="E47" s="196">
        <f t="shared" si="1"/>
        <v>0</v>
      </c>
    </row>
    <row r="48" spans="1:7">
      <c r="A48" s="192">
        <v>99113</v>
      </c>
      <c r="B48" s="192" t="s">
        <v>777</v>
      </c>
      <c r="C48" s="197"/>
      <c r="D48" s="198">
        <v>187</v>
      </c>
      <c r="E48" s="196">
        <f t="shared" si="1"/>
        <v>0</v>
      </c>
    </row>
    <row r="49" spans="1:10">
      <c r="A49" s="192">
        <v>99128</v>
      </c>
      <c r="B49" s="192" t="s">
        <v>810</v>
      </c>
      <c r="C49" s="197"/>
      <c r="D49" s="198">
        <v>8552</v>
      </c>
      <c r="E49" s="196">
        <f t="shared" si="1"/>
        <v>300</v>
      </c>
      <c r="F49" s="199">
        <v>10</v>
      </c>
      <c r="G49" s="199">
        <v>30</v>
      </c>
    </row>
    <row r="50" spans="1:10">
      <c r="A50" s="192">
        <v>99132</v>
      </c>
      <c r="B50" s="192" t="s">
        <v>1109</v>
      </c>
      <c r="C50" s="197"/>
      <c r="D50" s="198">
        <v>0</v>
      </c>
      <c r="E50" s="196">
        <f t="shared" si="1"/>
        <v>0</v>
      </c>
      <c r="H50" s="199">
        <v>4</v>
      </c>
      <c r="I50" s="199"/>
    </row>
    <row r="51" spans="1:10">
      <c r="A51" s="192">
        <v>99133</v>
      </c>
      <c r="B51" s="192" t="s">
        <v>1110</v>
      </c>
      <c r="C51" s="197"/>
      <c r="D51" s="198">
        <v>0</v>
      </c>
      <c r="E51" s="196">
        <f t="shared" si="1"/>
        <v>0</v>
      </c>
    </row>
    <row r="52" spans="1:10">
      <c r="A52" s="192">
        <v>99134</v>
      </c>
      <c r="B52" s="192" t="s">
        <v>811</v>
      </c>
      <c r="C52" s="197"/>
      <c r="D52" s="198">
        <v>3365</v>
      </c>
      <c r="E52" s="196">
        <f t="shared" si="1"/>
        <v>0</v>
      </c>
    </row>
    <row r="53" spans="1:10">
      <c r="A53" s="192">
        <v>99140</v>
      </c>
      <c r="B53" s="192" t="s">
        <v>816</v>
      </c>
      <c r="C53" s="197"/>
      <c r="E53" s="196">
        <f t="shared" si="1"/>
        <v>0</v>
      </c>
    </row>
    <row r="54" spans="1:10">
      <c r="A54" s="192">
        <v>99159</v>
      </c>
      <c r="B54" s="192" t="s">
        <v>783</v>
      </c>
      <c r="C54" s="197"/>
      <c r="D54" s="198">
        <v>4560</v>
      </c>
      <c r="E54" s="196">
        <f t="shared" si="1"/>
        <v>156</v>
      </c>
      <c r="F54" s="199">
        <v>6</v>
      </c>
      <c r="G54" s="199">
        <v>26</v>
      </c>
    </row>
    <row r="55" spans="1:10">
      <c r="A55" s="192">
        <v>99161</v>
      </c>
      <c r="B55" s="192" t="s">
        <v>820</v>
      </c>
      <c r="C55" s="197">
        <v>170.46</v>
      </c>
      <c r="D55" s="198">
        <v>0</v>
      </c>
      <c r="E55" s="196">
        <f t="shared" si="1"/>
        <v>0</v>
      </c>
      <c r="H55" s="199">
        <v>4</v>
      </c>
      <c r="I55" s="199"/>
    </row>
    <row r="56" spans="1:10">
      <c r="A56" s="192">
        <v>99169</v>
      </c>
      <c r="B56" s="192" t="s">
        <v>804</v>
      </c>
      <c r="C56" s="197"/>
      <c r="E56" s="196">
        <f t="shared" si="1"/>
        <v>0</v>
      </c>
      <c r="J56" s="192" t="s">
        <v>1155</v>
      </c>
    </row>
    <row r="57" spans="1:10">
      <c r="A57" s="192">
        <v>99170</v>
      </c>
      <c r="B57" s="192" t="s">
        <v>800</v>
      </c>
      <c r="C57" s="197"/>
      <c r="E57" s="196">
        <f t="shared" si="1"/>
        <v>0</v>
      </c>
    </row>
    <row r="58" spans="1:10">
      <c r="A58" s="192">
        <v>99171</v>
      </c>
      <c r="B58" s="192" t="s">
        <v>824</v>
      </c>
      <c r="C58" s="197">
        <v>362.03</v>
      </c>
      <c r="E58" s="196">
        <f t="shared" si="1"/>
        <v>0</v>
      </c>
    </row>
    <row r="59" spans="1:10">
      <c r="A59" s="192">
        <v>99172</v>
      </c>
      <c r="B59" s="192" t="s">
        <v>1137</v>
      </c>
      <c r="C59" s="197">
        <v>0</v>
      </c>
      <c r="E59" s="196">
        <v>0</v>
      </c>
    </row>
    <row r="60" spans="1:10">
      <c r="A60" s="192">
        <v>99173</v>
      </c>
      <c r="B60" s="192" t="s">
        <v>825</v>
      </c>
      <c r="C60" s="197">
        <v>179.03</v>
      </c>
      <c r="E60" s="196">
        <f>(F60*G60)+(H60*I60)</f>
        <v>0</v>
      </c>
    </row>
    <row r="61" spans="1:10">
      <c r="A61" s="192">
        <v>99186</v>
      </c>
      <c r="B61" s="192" t="s">
        <v>809</v>
      </c>
      <c r="C61" s="197"/>
      <c r="E61" s="196">
        <f>(F61*G61)+(H61*I61)</f>
        <v>0</v>
      </c>
      <c r="F61" s="199">
        <v>2</v>
      </c>
      <c r="G61" s="199">
        <v>0</v>
      </c>
      <c r="H61" s="199">
        <v>4</v>
      </c>
      <c r="I61" s="199">
        <v>0</v>
      </c>
    </row>
    <row r="62" spans="1:10">
      <c r="A62" s="192">
        <v>99194</v>
      </c>
      <c r="B62" s="192" t="s">
        <v>1112</v>
      </c>
      <c r="C62" s="197">
        <v>692.13</v>
      </c>
      <c r="E62" s="196">
        <f>(F62*G62)+(H62*I62)</f>
        <v>0</v>
      </c>
    </row>
    <row r="63" spans="1:10">
      <c r="A63" s="192">
        <v>99200</v>
      </c>
      <c r="B63" s="192" t="s">
        <v>802</v>
      </c>
      <c r="C63" s="197">
        <v>1683.16</v>
      </c>
      <c r="E63" s="196">
        <f>(F63*G63)+(H63*I63)</f>
        <v>0</v>
      </c>
    </row>
    <row r="64" spans="1:10">
      <c r="A64" s="192">
        <v>99225</v>
      </c>
      <c r="B64" s="192" t="s">
        <v>1131</v>
      </c>
      <c r="C64" s="197"/>
    </row>
    <row r="65" spans="1:12">
      <c r="A65" s="192">
        <v>99228</v>
      </c>
      <c r="B65" s="192" t="s">
        <v>78</v>
      </c>
      <c r="C65" s="197"/>
      <c r="D65" s="196">
        <v>0</v>
      </c>
      <c r="E65" s="196">
        <f>(F65*G65)+(H65*I65)</f>
        <v>0</v>
      </c>
      <c r="F65" s="199">
        <v>1</v>
      </c>
      <c r="G65" s="199">
        <v>0</v>
      </c>
    </row>
    <row r="66" spans="1:12">
      <c r="A66" s="192">
        <v>99229</v>
      </c>
      <c r="B66" s="192" t="s">
        <v>751</v>
      </c>
      <c r="C66" s="197">
        <v>539.86</v>
      </c>
      <c r="D66" s="198">
        <v>384</v>
      </c>
      <c r="E66" s="196">
        <f>(F66*G66)+(H66*I66)</f>
        <v>30</v>
      </c>
      <c r="F66" s="199">
        <v>1</v>
      </c>
      <c r="G66" s="199">
        <v>30</v>
      </c>
    </row>
    <row r="67" spans="1:12">
      <c r="A67" s="192">
        <v>99230</v>
      </c>
      <c r="B67" s="192" t="s">
        <v>755</v>
      </c>
      <c r="C67" s="197">
        <v>187.63</v>
      </c>
      <c r="D67" s="198">
        <v>363</v>
      </c>
      <c r="E67" s="196">
        <f>(F67*G67)+(H67*I67)</f>
        <v>0</v>
      </c>
    </row>
    <row r="68" spans="1:12">
      <c r="A68" s="192">
        <v>99246</v>
      </c>
      <c r="B68" s="192" t="s">
        <v>789</v>
      </c>
      <c r="C68" s="197">
        <v>179.07</v>
      </c>
      <c r="D68" s="198">
        <v>17115</v>
      </c>
      <c r="E68" s="196">
        <f>(F68*G68)+(H68*I68)</f>
        <v>750</v>
      </c>
      <c r="F68" s="199">
        <v>25</v>
      </c>
      <c r="G68" s="199">
        <v>30</v>
      </c>
    </row>
    <row r="69" spans="1:12">
      <c r="A69" s="192">
        <v>99247</v>
      </c>
      <c r="B69" s="192" t="s">
        <v>1136</v>
      </c>
      <c r="C69" s="197"/>
      <c r="D69" s="198">
        <v>0</v>
      </c>
      <c r="F69" s="199"/>
      <c r="G69" s="199"/>
    </row>
    <row r="70" spans="1:12">
      <c r="A70" s="192">
        <v>99255</v>
      </c>
      <c r="B70" s="192" t="s">
        <v>760</v>
      </c>
      <c r="C70" s="197"/>
      <c r="D70" s="198">
        <v>0</v>
      </c>
      <c r="E70" s="196">
        <f>(F70*G70)+(H70*I70)</f>
        <v>0</v>
      </c>
      <c r="F70" s="199">
        <v>1</v>
      </c>
      <c r="G70" s="199">
        <v>0</v>
      </c>
    </row>
    <row r="71" spans="1:12">
      <c r="A71" s="192">
        <v>99256</v>
      </c>
      <c r="B71" s="192" t="s">
        <v>113</v>
      </c>
      <c r="C71" s="197"/>
      <c r="D71" s="198">
        <v>2179</v>
      </c>
      <c r="E71" s="196">
        <f>(F71*G71)+(H71*I71)</f>
        <v>0</v>
      </c>
    </row>
    <row r="72" spans="1:12">
      <c r="A72" s="192">
        <v>99259</v>
      </c>
      <c r="B72" s="192" t="s">
        <v>1108</v>
      </c>
      <c r="C72" s="197">
        <v>184.24</v>
      </c>
      <c r="D72" s="198">
        <v>0</v>
      </c>
      <c r="E72" s="196">
        <f>(F72*G72)+(H72*I72)</f>
        <v>0</v>
      </c>
    </row>
    <row r="73" spans="1:12">
      <c r="A73" s="192">
        <v>99265</v>
      </c>
      <c r="B73" s="192" t="s">
        <v>1127</v>
      </c>
      <c r="C73" s="200"/>
      <c r="D73" s="201">
        <v>2713</v>
      </c>
      <c r="E73" s="201">
        <v>167</v>
      </c>
      <c r="F73" s="192">
        <v>6</v>
      </c>
      <c r="J73" s="202" t="s">
        <v>1128</v>
      </c>
      <c r="K73" s="202"/>
      <c r="L73" s="202"/>
    </row>
    <row r="74" spans="1:12">
      <c r="A74" s="192">
        <v>99266</v>
      </c>
      <c r="B74" s="192" t="s">
        <v>1129</v>
      </c>
      <c r="C74" s="200"/>
      <c r="D74" s="201">
        <v>2305</v>
      </c>
      <c r="E74" s="201">
        <v>141</v>
      </c>
      <c r="F74" s="192">
        <v>5</v>
      </c>
      <c r="J74" s="202" t="s">
        <v>1128</v>
      </c>
      <c r="K74" s="202"/>
      <c r="L74" s="202"/>
    </row>
    <row r="75" spans="1:12">
      <c r="A75" s="192">
        <v>99267</v>
      </c>
      <c r="B75" s="192" t="s">
        <v>1130</v>
      </c>
      <c r="C75" s="200"/>
      <c r="D75" s="201">
        <v>470</v>
      </c>
      <c r="E75" s="201">
        <v>20</v>
      </c>
      <c r="F75" s="192">
        <v>2</v>
      </c>
      <c r="J75" s="202" t="s">
        <v>1128</v>
      </c>
      <c r="K75" s="202"/>
      <c r="L75" s="202"/>
    </row>
    <row r="76" spans="1:12">
      <c r="A76" s="192">
        <v>99268</v>
      </c>
      <c r="B76" s="192" t="s">
        <v>1134</v>
      </c>
      <c r="C76" s="200"/>
      <c r="D76" s="201">
        <v>6866</v>
      </c>
      <c r="E76" s="201">
        <v>288</v>
      </c>
      <c r="F76" s="192">
        <v>9</v>
      </c>
      <c r="J76" s="202" t="s">
        <v>1128</v>
      </c>
      <c r="K76" s="202"/>
      <c r="L76" s="202"/>
    </row>
    <row r="77" spans="1:12">
      <c r="A77" s="192">
        <v>99269</v>
      </c>
      <c r="B77" s="192" t="s">
        <v>1133</v>
      </c>
      <c r="C77" s="200"/>
      <c r="D77" s="201">
        <v>881</v>
      </c>
      <c r="E77" s="201">
        <v>300</v>
      </c>
      <c r="F77" s="192">
        <v>10</v>
      </c>
      <c r="J77" s="202" t="s">
        <v>1128</v>
      </c>
      <c r="K77" s="202"/>
      <c r="L77" s="202"/>
    </row>
    <row r="78" spans="1:12">
      <c r="A78" s="192">
        <v>99270</v>
      </c>
      <c r="B78" s="192" t="s">
        <v>149</v>
      </c>
      <c r="C78" s="197">
        <v>2486.1999999999998</v>
      </c>
      <c r="D78" s="198">
        <v>114227</v>
      </c>
      <c r="E78" s="196">
        <f t="shared" ref="E78:E92" si="2">(F78*G78)+(H78*I78)</f>
        <v>630</v>
      </c>
      <c r="F78" s="199">
        <v>21</v>
      </c>
      <c r="G78" s="199">
        <v>30</v>
      </c>
    </row>
    <row r="79" spans="1:12">
      <c r="A79" s="192">
        <v>99278</v>
      </c>
      <c r="B79" s="192" t="s">
        <v>780</v>
      </c>
      <c r="C79" s="197"/>
      <c r="D79" s="198">
        <v>8533</v>
      </c>
      <c r="E79" s="196">
        <f t="shared" si="2"/>
        <v>390</v>
      </c>
      <c r="F79" s="199">
        <v>13</v>
      </c>
      <c r="G79" s="199">
        <v>30</v>
      </c>
    </row>
    <row r="80" spans="1:12">
      <c r="A80" s="192">
        <v>99286</v>
      </c>
      <c r="B80" s="192" t="s">
        <v>756</v>
      </c>
      <c r="C80" s="197">
        <v>839.52</v>
      </c>
      <c r="D80" s="198">
        <v>781</v>
      </c>
      <c r="E80" s="196">
        <f t="shared" si="2"/>
        <v>60</v>
      </c>
      <c r="F80" s="199">
        <v>2</v>
      </c>
      <c r="G80" s="199">
        <v>30</v>
      </c>
    </row>
    <row r="81" spans="1:8">
      <c r="A81" s="192">
        <v>99288</v>
      </c>
      <c r="B81" s="192" t="s">
        <v>1126</v>
      </c>
      <c r="C81" s="197"/>
      <c r="E81" s="196">
        <f t="shared" si="2"/>
        <v>0</v>
      </c>
    </row>
    <row r="82" spans="1:8">
      <c r="A82" s="192">
        <v>99293</v>
      </c>
      <c r="B82" s="192" t="s">
        <v>758</v>
      </c>
      <c r="C82" s="197">
        <v>582.13</v>
      </c>
      <c r="D82" s="198">
        <v>491</v>
      </c>
      <c r="E82" s="196">
        <f t="shared" si="2"/>
        <v>30</v>
      </c>
      <c r="F82" s="199">
        <v>1</v>
      </c>
      <c r="G82" s="199">
        <v>30</v>
      </c>
    </row>
    <row r="83" spans="1:8">
      <c r="A83" s="192">
        <v>99294</v>
      </c>
      <c r="B83" s="192" t="s">
        <v>757</v>
      </c>
      <c r="C83" s="197">
        <v>886.95</v>
      </c>
      <c r="D83" s="198">
        <v>639</v>
      </c>
      <c r="E83" s="196">
        <f t="shared" si="2"/>
        <v>30</v>
      </c>
      <c r="F83" s="199">
        <v>1</v>
      </c>
      <c r="G83" s="199">
        <v>30</v>
      </c>
    </row>
    <row r="84" spans="1:8">
      <c r="A84" s="192">
        <v>99295</v>
      </c>
      <c r="B84" s="192" t="s">
        <v>759</v>
      </c>
      <c r="C84" s="197">
        <v>2441.81</v>
      </c>
      <c r="D84" s="198">
        <v>2572</v>
      </c>
      <c r="E84" s="196">
        <f t="shared" si="2"/>
        <v>210</v>
      </c>
      <c r="F84" s="199">
        <v>7</v>
      </c>
      <c r="G84" s="199">
        <v>30</v>
      </c>
    </row>
    <row r="85" spans="1:8">
      <c r="A85" s="192">
        <v>99296</v>
      </c>
      <c r="B85" s="192" t="s">
        <v>823</v>
      </c>
      <c r="C85" s="197">
        <v>0</v>
      </c>
      <c r="D85" s="198">
        <v>0</v>
      </c>
      <c r="E85" s="196">
        <f t="shared" si="2"/>
        <v>0</v>
      </c>
    </row>
    <row r="86" spans="1:8">
      <c r="A86" s="192">
        <v>99297</v>
      </c>
      <c r="B86" s="192" t="s">
        <v>785</v>
      </c>
      <c r="C86" s="197">
        <v>2492.1</v>
      </c>
      <c r="D86" s="198">
        <v>570</v>
      </c>
      <c r="E86" s="196">
        <f t="shared" si="2"/>
        <v>0</v>
      </c>
    </row>
    <row r="87" spans="1:8">
      <c r="A87" s="192">
        <v>99302</v>
      </c>
      <c r="B87" s="192" t="s">
        <v>822</v>
      </c>
      <c r="C87" s="197">
        <v>0</v>
      </c>
      <c r="D87" s="198">
        <v>0</v>
      </c>
      <c r="E87" s="196">
        <f t="shared" si="2"/>
        <v>0</v>
      </c>
    </row>
    <row r="88" spans="1:8">
      <c r="A88" s="192">
        <v>99305</v>
      </c>
      <c r="B88" s="192" t="s">
        <v>821</v>
      </c>
      <c r="C88" s="197">
        <v>529.61</v>
      </c>
      <c r="D88" s="198">
        <v>0</v>
      </c>
      <c r="E88" s="196">
        <f t="shared" si="2"/>
        <v>0</v>
      </c>
    </row>
    <row r="89" spans="1:8">
      <c r="A89" s="192">
        <v>99307</v>
      </c>
      <c r="B89" s="192" t="s">
        <v>766</v>
      </c>
      <c r="C89" s="197">
        <v>179.11</v>
      </c>
      <c r="D89" s="198">
        <v>545</v>
      </c>
      <c r="E89" s="196">
        <f t="shared" si="2"/>
        <v>0</v>
      </c>
    </row>
    <row r="90" spans="1:8">
      <c r="A90" s="192">
        <v>99312</v>
      </c>
      <c r="B90" s="192" t="s">
        <v>790</v>
      </c>
      <c r="C90" s="197">
        <v>180.19</v>
      </c>
      <c r="D90" s="198">
        <v>10800</v>
      </c>
      <c r="E90" s="196">
        <f t="shared" si="2"/>
        <v>0</v>
      </c>
      <c r="F90" s="199">
        <v>21</v>
      </c>
      <c r="G90" s="199"/>
    </row>
    <row r="91" spans="1:8">
      <c r="A91" s="192">
        <v>599109</v>
      </c>
      <c r="B91" s="192" t="s">
        <v>791</v>
      </c>
      <c r="C91" s="197">
        <v>169</v>
      </c>
      <c r="D91" s="198">
        <v>15440</v>
      </c>
      <c r="E91" s="196">
        <f t="shared" si="2"/>
        <v>450</v>
      </c>
      <c r="F91" s="199">
        <v>15</v>
      </c>
      <c r="G91" s="199">
        <v>30</v>
      </c>
    </row>
    <row r="92" spans="1:8">
      <c r="A92" s="192">
        <v>699109</v>
      </c>
      <c r="B92" s="192" t="s">
        <v>792</v>
      </c>
      <c r="C92" s="197"/>
      <c r="D92" s="198">
        <v>1349</v>
      </c>
      <c r="E92" s="196">
        <f t="shared" si="2"/>
        <v>0</v>
      </c>
    </row>
    <row r="93" spans="1:8">
      <c r="A93" s="205" t="s">
        <v>628</v>
      </c>
      <c r="B93" s="205"/>
      <c r="C93" s="206">
        <f>SUBTOTAL(109,Table4[OIL])</f>
        <v>19228.009999999998</v>
      </c>
      <c r="D93" s="208">
        <f>SUBTOTAL(109,Table4[GAS])</f>
        <v>299949</v>
      </c>
      <c r="E93" s="207">
        <f>SUBTOTAL(109,Table4[LEASE USE])</f>
        <v>5034</v>
      </c>
      <c r="F93" s="205"/>
      <c r="G93" s="205"/>
      <c r="H93" s="205">
        <f>SUBTOTAL(109,Table4[PU PER DAY])</f>
        <v>16</v>
      </c>
    </row>
    <row r="94" spans="1:8" s="189" customFormat="1" ht="21">
      <c r="A94" s="192"/>
      <c r="B94" s="192"/>
      <c r="C94" s="196"/>
      <c r="D94" s="198"/>
      <c r="E94" s="196"/>
      <c r="F94" s="192"/>
      <c r="G94" s="192"/>
      <c r="H94" s="192"/>
    </row>
    <row r="95" spans="1:8" s="189" customFormat="1" ht="21">
      <c r="A95" s="237" t="s">
        <v>1156</v>
      </c>
      <c r="B95" s="237"/>
      <c r="C95" s="237"/>
      <c r="D95" s="237"/>
      <c r="E95" s="237"/>
    </row>
    <row r="96" spans="1:8" ht="21">
      <c r="A96" s="236">
        <f>A2</f>
        <v>43770</v>
      </c>
      <c r="B96" s="237"/>
      <c r="C96" s="237"/>
      <c r="D96" s="237"/>
      <c r="E96" s="237"/>
      <c r="F96" s="189"/>
      <c r="G96" s="189"/>
      <c r="H96" s="189"/>
    </row>
    <row r="98" spans="1:8">
      <c r="A98" s="192">
        <v>10000</v>
      </c>
      <c r="B98" s="192" t="s">
        <v>1157</v>
      </c>
      <c r="C98" s="197"/>
      <c r="D98" s="198">
        <v>2818</v>
      </c>
      <c r="E98" s="196">
        <f>(F98*G98)+(H98*I97)</f>
        <v>224</v>
      </c>
      <c r="F98" s="199">
        <v>14</v>
      </c>
      <c r="G98" s="199">
        <v>16</v>
      </c>
    </row>
    <row r="99" spans="1:8" s="189" customFormat="1" ht="21">
      <c r="A99" s="192"/>
      <c r="B99" s="192"/>
      <c r="C99" s="196"/>
      <c r="D99" s="198"/>
      <c r="E99" s="196"/>
      <c r="F99" s="192"/>
      <c r="G99" s="192"/>
      <c r="H99" s="192"/>
    </row>
    <row r="100" spans="1:8" s="189" customFormat="1" ht="21">
      <c r="A100" s="237" t="s">
        <v>1158</v>
      </c>
      <c r="B100" s="237"/>
      <c r="C100" s="237"/>
      <c r="D100" s="237"/>
      <c r="E100" s="237"/>
    </row>
    <row r="101" spans="1:8" s="189" customFormat="1" ht="21">
      <c r="A101" s="236">
        <f>A2</f>
        <v>43770</v>
      </c>
      <c r="B101" s="237"/>
      <c r="C101" s="237"/>
      <c r="D101" s="237"/>
      <c r="E101" s="237"/>
    </row>
    <row r="102" spans="1:8" ht="21">
      <c r="A102" s="203"/>
      <c r="B102" s="190"/>
      <c r="C102" s="190"/>
      <c r="D102" s="190"/>
      <c r="E102" s="190"/>
      <c r="F102" s="189"/>
      <c r="G102" s="189"/>
      <c r="H102" s="189"/>
    </row>
    <row r="103" spans="1:8">
      <c r="A103" s="192">
        <v>14003</v>
      </c>
      <c r="B103" s="192" t="s">
        <v>1159</v>
      </c>
      <c r="C103" s="197"/>
    </row>
    <row r="104" spans="1:8">
      <c r="A104" s="192">
        <v>14006</v>
      </c>
      <c r="B104" s="192" t="s">
        <v>1160</v>
      </c>
      <c r="C104" s="197">
        <v>61.79</v>
      </c>
    </row>
    <row r="105" spans="1:8">
      <c r="A105" s="192">
        <v>14007</v>
      </c>
      <c r="B105" s="192" t="s">
        <v>1161</v>
      </c>
      <c r="C105" s="197"/>
    </row>
    <row r="106" spans="1:8">
      <c r="A106" s="192">
        <v>14008</v>
      </c>
      <c r="B106" s="192" t="s">
        <v>1162</v>
      </c>
      <c r="C106" s="197"/>
    </row>
    <row r="107" spans="1:8">
      <c r="A107" s="192">
        <v>14010</v>
      </c>
      <c r="B107" s="192" t="s">
        <v>1163</v>
      </c>
      <c r="C107" s="197"/>
    </row>
    <row r="108" spans="1:8">
      <c r="A108" s="192">
        <v>14012</v>
      </c>
      <c r="B108" s="192" t="s">
        <v>1164</v>
      </c>
      <c r="C108" s="197"/>
    </row>
    <row r="109" spans="1:8">
      <c r="A109" s="192">
        <v>14018</v>
      </c>
      <c r="B109" s="192" t="s">
        <v>1165</v>
      </c>
      <c r="C109" s="197">
        <v>41.19</v>
      </c>
    </row>
    <row r="110" spans="1:8">
      <c r="A110" s="192">
        <v>14022</v>
      </c>
      <c r="B110" s="192" t="s">
        <v>1166</v>
      </c>
      <c r="C110" s="197">
        <v>61.79</v>
      </c>
    </row>
    <row r="111" spans="1:8">
      <c r="A111" s="192">
        <v>15001</v>
      </c>
      <c r="B111" s="192" t="s">
        <v>1167</v>
      </c>
      <c r="C111" s="197"/>
    </row>
    <row r="112" spans="1:8">
      <c r="A112" s="192">
        <v>20001</v>
      </c>
      <c r="B112" s="192" t="s">
        <v>1168</v>
      </c>
      <c r="C112" s="197"/>
      <c r="D112" s="198">
        <v>3184</v>
      </c>
    </row>
    <row r="113" spans="1:3">
      <c r="A113" s="192">
        <v>23001</v>
      </c>
      <c r="B113" s="192" t="s">
        <v>1169</v>
      </c>
      <c r="C113" s="197">
        <v>362.64</v>
      </c>
    </row>
    <row r="114" spans="1:3">
      <c r="A114" s="192">
        <v>60001</v>
      </c>
      <c r="B114" s="192" t="s">
        <v>1170</v>
      </c>
      <c r="C114" s="197"/>
    </row>
  </sheetData>
  <mergeCells count="6">
    <mergeCell ref="A101:E101"/>
    <mergeCell ref="A1:E1"/>
    <mergeCell ref="A2:E2"/>
    <mergeCell ref="A95:E95"/>
    <mergeCell ref="A96:E96"/>
    <mergeCell ref="A100:E100"/>
  </mergeCells>
  <pageMargins left="0.7" right="0.7" top="0.75" bottom="0.75" header="0.3" footer="0.3"/>
  <pageSetup scale="68"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35"/>
  <sheetViews>
    <sheetView topLeftCell="E1" zoomScaleNormal="100" workbookViewId="0">
      <pane ySplit="8" topLeftCell="A9" activePane="bottomLeft" state="frozen"/>
      <selection pane="bottomLeft" activeCell="N235" sqref="N235"/>
    </sheetView>
  </sheetViews>
  <sheetFormatPr defaultRowHeight="12.75"/>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202.5">
      <c r="A4" s="13" t="s">
        <v>399</v>
      </c>
      <c r="B4" s="13"/>
      <c r="C4" s="13"/>
      <c r="D4" s="132">
        <v>43709</v>
      </c>
      <c r="E4" s="13"/>
      <c r="F4" s="182" t="s">
        <v>1153</v>
      </c>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1" t="s">
        <v>405</v>
      </c>
      <c r="B8" s="151" t="s">
        <v>8</v>
      </c>
      <c r="C8" s="151" t="s">
        <v>7</v>
      </c>
      <c r="D8" s="151" t="s">
        <v>71</v>
      </c>
      <c r="E8" s="151" t="s">
        <v>47</v>
      </c>
      <c r="F8" s="151" t="s">
        <v>48</v>
      </c>
      <c r="G8" s="151" t="s">
        <v>72</v>
      </c>
      <c r="H8" s="151" t="s">
        <v>406</v>
      </c>
      <c r="I8" s="151" t="s">
        <v>407</v>
      </c>
      <c r="J8" s="151" t="s">
        <v>408</v>
      </c>
      <c r="K8" s="151" t="s">
        <v>409</v>
      </c>
      <c r="L8" s="151" t="s">
        <v>410</v>
      </c>
      <c r="M8" s="151" t="s">
        <v>411</v>
      </c>
      <c r="N8" s="151" t="s">
        <v>412</v>
      </c>
      <c r="O8" s="151" t="s">
        <v>413</v>
      </c>
      <c r="P8" s="151" t="s">
        <v>414</v>
      </c>
      <c r="Q8" s="151" t="s">
        <v>415</v>
      </c>
    </row>
    <row r="9" spans="1:17" hidden="1">
      <c r="B9" t="s">
        <v>73</v>
      </c>
      <c r="C9">
        <v>2</v>
      </c>
      <c r="D9">
        <v>127436</v>
      </c>
      <c r="E9" t="s">
        <v>74</v>
      </c>
      <c r="F9" t="s">
        <v>75</v>
      </c>
      <c r="G9" t="s">
        <v>76</v>
      </c>
      <c r="J9">
        <v>0</v>
      </c>
      <c r="K9">
        <v>0</v>
      </c>
      <c r="N9">
        <v>0</v>
      </c>
      <c r="O9">
        <v>0</v>
      </c>
    </row>
    <row r="10" spans="1:17" hidden="1">
      <c r="B10" t="s">
        <v>73</v>
      </c>
      <c r="C10">
        <v>2</v>
      </c>
      <c r="D10">
        <v>272206</v>
      </c>
      <c r="E10" t="s">
        <v>77</v>
      </c>
      <c r="F10" t="s">
        <v>78</v>
      </c>
      <c r="G10" t="s">
        <v>79</v>
      </c>
      <c r="J10">
        <v>149</v>
      </c>
      <c r="K10">
        <v>0</v>
      </c>
      <c r="N10">
        <v>149</v>
      </c>
      <c r="O10">
        <v>61</v>
      </c>
      <c r="P10">
        <v>2</v>
      </c>
      <c r="Q10">
        <v>1</v>
      </c>
    </row>
    <row r="11" spans="1:17" hidden="1">
      <c r="P11">
        <v>59</v>
      </c>
      <c r="Q11">
        <v>2</v>
      </c>
    </row>
    <row r="12" spans="1:17" hidden="1">
      <c r="B12" t="s">
        <v>73</v>
      </c>
      <c r="C12">
        <v>2</v>
      </c>
      <c r="D12">
        <v>250887</v>
      </c>
      <c r="E12" t="s">
        <v>80</v>
      </c>
      <c r="F12" t="s">
        <v>81</v>
      </c>
      <c r="G12">
        <v>1</v>
      </c>
      <c r="J12">
        <v>0</v>
      </c>
      <c r="K12">
        <v>0</v>
      </c>
      <c r="N12">
        <v>0</v>
      </c>
      <c r="O12" s="166">
        <v>5014</v>
      </c>
      <c r="P12">
        <v>203</v>
      </c>
      <c r="Q12">
        <v>1</v>
      </c>
    </row>
    <row r="13" spans="1:17" hidden="1">
      <c r="P13" s="166">
        <v>4811</v>
      </c>
      <c r="Q13">
        <v>2</v>
      </c>
    </row>
    <row r="14" spans="1:17" hidden="1">
      <c r="B14" t="s">
        <v>73</v>
      </c>
      <c r="C14">
        <v>2</v>
      </c>
      <c r="D14">
        <v>270531</v>
      </c>
      <c r="E14" t="s">
        <v>82</v>
      </c>
      <c r="F14" t="s">
        <v>83</v>
      </c>
      <c r="G14" t="s">
        <v>84</v>
      </c>
      <c r="J14">
        <v>26</v>
      </c>
      <c r="K14">
        <v>0</v>
      </c>
      <c r="N14">
        <v>26</v>
      </c>
      <c r="O14">
        <v>0</v>
      </c>
    </row>
    <row r="15" spans="1:17" hidden="1">
      <c r="B15" t="s">
        <v>73</v>
      </c>
      <c r="C15">
        <v>2</v>
      </c>
      <c r="D15">
        <v>200152</v>
      </c>
      <c r="E15" t="s">
        <v>85</v>
      </c>
      <c r="F15" t="s">
        <v>86</v>
      </c>
      <c r="G15">
        <v>1</v>
      </c>
      <c r="J15">
        <v>0</v>
      </c>
      <c r="K15">
        <v>0</v>
      </c>
      <c r="N15">
        <v>0</v>
      </c>
      <c r="O15">
        <v>0</v>
      </c>
    </row>
    <row r="16" spans="1:17" hidden="1">
      <c r="B16" t="s">
        <v>73</v>
      </c>
      <c r="C16">
        <v>2</v>
      </c>
      <c r="D16">
        <v>200525</v>
      </c>
      <c r="E16" t="s">
        <v>85</v>
      </c>
      <c r="F16" t="s">
        <v>87</v>
      </c>
      <c r="G16">
        <v>1</v>
      </c>
      <c r="J16">
        <v>0</v>
      </c>
      <c r="K16">
        <v>0</v>
      </c>
      <c r="N16">
        <v>0</v>
      </c>
      <c r="O16">
        <v>0</v>
      </c>
    </row>
    <row r="17" spans="2:17" hidden="1">
      <c r="B17" t="s">
        <v>73</v>
      </c>
      <c r="C17">
        <v>2</v>
      </c>
      <c r="D17">
        <v>258014</v>
      </c>
      <c r="E17" t="s">
        <v>88</v>
      </c>
      <c r="F17" t="s">
        <v>89</v>
      </c>
      <c r="G17">
        <v>1</v>
      </c>
      <c r="J17">
        <v>132</v>
      </c>
      <c r="K17">
        <v>0</v>
      </c>
      <c r="N17">
        <v>132</v>
      </c>
      <c r="O17">
        <v>0</v>
      </c>
    </row>
    <row r="18" spans="2:17" hidden="1">
      <c r="B18" t="s">
        <v>90</v>
      </c>
      <c r="C18">
        <v>2</v>
      </c>
      <c r="D18">
        <v>394</v>
      </c>
      <c r="E18" t="s">
        <v>91</v>
      </c>
      <c r="F18" t="s">
        <v>92</v>
      </c>
      <c r="J18">
        <v>267</v>
      </c>
      <c r="K18">
        <v>334</v>
      </c>
      <c r="L18">
        <v>331</v>
      </c>
      <c r="M18">
        <v>1</v>
      </c>
      <c r="N18">
        <v>270</v>
      </c>
      <c r="O18">
        <v>0</v>
      </c>
    </row>
    <row r="19" spans="2:17" hidden="1">
      <c r="B19" t="s">
        <v>73</v>
      </c>
      <c r="C19">
        <v>2</v>
      </c>
      <c r="D19">
        <v>207897</v>
      </c>
      <c r="E19" t="s">
        <v>93</v>
      </c>
      <c r="F19" t="s">
        <v>94</v>
      </c>
      <c r="G19">
        <v>1</v>
      </c>
      <c r="J19">
        <v>0</v>
      </c>
      <c r="K19">
        <v>0</v>
      </c>
      <c r="N19">
        <v>0</v>
      </c>
      <c r="O19">
        <v>14</v>
      </c>
      <c r="P19">
        <v>14</v>
      </c>
      <c r="Q19">
        <v>2</v>
      </c>
    </row>
    <row r="20" spans="2:17" hidden="1">
      <c r="B20" t="s">
        <v>73</v>
      </c>
      <c r="C20">
        <v>2</v>
      </c>
      <c r="D20">
        <v>145447</v>
      </c>
      <c r="E20" t="s">
        <v>95</v>
      </c>
      <c r="F20" t="s">
        <v>92</v>
      </c>
      <c r="G20">
        <v>5</v>
      </c>
      <c r="J20">
        <v>0</v>
      </c>
      <c r="K20">
        <v>0</v>
      </c>
      <c r="N20">
        <v>0</v>
      </c>
      <c r="O20">
        <v>0</v>
      </c>
    </row>
    <row r="21" spans="2:17" hidden="1">
      <c r="B21" t="s">
        <v>90</v>
      </c>
      <c r="C21">
        <v>2</v>
      </c>
      <c r="D21">
        <v>5446</v>
      </c>
      <c r="E21" t="s">
        <v>96</v>
      </c>
      <c r="F21" t="s">
        <v>97</v>
      </c>
      <c r="J21">
        <v>133</v>
      </c>
      <c r="K21">
        <v>26</v>
      </c>
      <c r="N21">
        <v>159</v>
      </c>
      <c r="O21">
        <v>0</v>
      </c>
    </row>
    <row r="22" spans="2:17" hidden="1">
      <c r="B22" t="s">
        <v>90</v>
      </c>
      <c r="C22">
        <v>2</v>
      </c>
      <c r="D22">
        <v>6169</v>
      </c>
      <c r="E22" t="s">
        <v>96</v>
      </c>
      <c r="F22" t="s">
        <v>98</v>
      </c>
      <c r="J22">
        <v>200</v>
      </c>
      <c r="K22">
        <v>17</v>
      </c>
      <c r="L22">
        <v>174</v>
      </c>
      <c r="M22">
        <v>1</v>
      </c>
      <c r="N22">
        <v>43</v>
      </c>
      <c r="O22">
        <v>0</v>
      </c>
    </row>
    <row r="23" spans="2:17" hidden="1">
      <c r="B23" t="s">
        <v>90</v>
      </c>
      <c r="C23">
        <v>2</v>
      </c>
      <c r="D23">
        <v>8462</v>
      </c>
      <c r="E23" t="s">
        <v>99</v>
      </c>
      <c r="F23" t="s">
        <v>97</v>
      </c>
      <c r="J23">
        <v>0</v>
      </c>
      <c r="K23">
        <v>0</v>
      </c>
      <c r="N23">
        <v>0</v>
      </c>
      <c r="O23">
        <v>0</v>
      </c>
    </row>
    <row r="24" spans="2:17" hidden="1">
      <c r="B24" t="s">
        <v>73</v>
      </c>
      <c r="C24">
        <v>2</v>
      </c>
      <c r="D24">
        <v>192476</v>
      </c>
      <c r="E24" t="s">
        <v>100</v>
      </c>
      <c r="F24" t="s">
        <v>101</v>
      </c>
      <c r="G24">
        <v>1</v>
      </c>
      <c r="J24">
        <v>116</v>
      </c>
      <c r="K24">
        <v>0</v>
      </c>
      <c r="N24">
        <v>116</v>
      </c>
      <c r="O24">
        <v>0</v>
      </c>
    </row>
    <row r="25" spans="2:17" hidden="1">
      <c r="B25" t="s">
        <v>73</v>
      </c>
      <c r="C25">
        <v>2</v>
      </c>
      <c r="D25">
        <v>245422</v>
      </c>
      <c r="E25" t="s">
        <v>102</v>
      </c>
      <c r="F25" t="s">
        <v>103</v>
      </c>
      <c r="G25">
        <v>1</v>
      </c>
      <c r="J25">
        <v>453</v>
      </c>
      <c r="K25">
        <v>728</v>
      </c>
      <c r="L25">
        <v>950</v>
      </c>
      <c r="M25">
        <v>1</v>
      </c>
      <c r="N25">
        <v>231</v>
      </c>
      <c r="O25" s="166">
        <v>59653</v>
      </c>
      <c r="P25" s="166">
        <v>59653</v>
      </c>
      <c r="Q25">
        <v>2</v>
      </c>
    </row>
    <row r="26" spans="2:17" hidden="1">
      <c r="B26" t="s">
        <v>90</v>
      </c>
      <c r="C26">
        <v>2</v>
      </c>
      <c r="D26">
        <v>8646</v>
      </c>
      <c r="E26" t="s">
        <v>104</v>
      </c>
      <c r="F26" t="s">
        <v>105</v>
      </c>
      <c r="J26">
        <v>86</v>
      </c>
      <c r="K26">
        <v>211</v>
      </c>
      <c r="L26">
        <v>168</v>
      </c>
      <c r="M26">
        <v>1</v>
      </c>
      <c r="N26">
        <v>129</v>
      </c>
      <c r="O26">
        <v>0</v>
      </c>
    </row>
    <row r="27" spans="2:17" hidden="1">
      <c r="B27" t="s">
        <v>73</v>
      </c>
      <c r="C27">
        <v>2</v>
      </c>
      <c r="D27">
        <v>52283</v>
      </c>
      <c r="E27" t="s">
        <v>106</v>
      </c>
      <c r="F27" t="s">
        <v>107</v>
      </c>
      <c r="G27">
        <v>1</v>
      </c>
      <c r="J27">
        <v>240</v>
      </c>
      <c r="K27">
        <v>0</v>
      </c>
      <c r="N27">
        <v>240</v>
      </c>
      <c r="O27">
        <v>0</v>
      </c>
    </row>
    <row r="28" spans="2:17" hidden="1">
      <c r="B28" t="s">
        <v>73</v>
      </c>
      <c r="C28">
        <v>2</v>
      </c>
      <c r="D28">
        <v>253815</v>
      </c>
      <c r="E28" t="s">
        <v>108</v>
      </c>
      <c r="F28" t="s">
        <v>109</v>
      </c>
      <c r="G28">
        <v>1</v>
      </c>
      <c r="J28">
        <v>0</v>
      </c>
      <c r="K28">
        <v>0</v>
      </c>
      <c r="N28">
        <v>0</v>
      </c>
      <c r="O28">
        <v>0</v>
      </c>
    </row>
    <row r="29" spans="2:17" hidden="1">
      <c r="B29" t="s">
        <v>73</v>
      </c>
      <c r="C29">
        <v>2</v>
      </c>
      <c r="D29">
        <v>172874</v>
      </c>
      <c r="E29" t="s">
        <v>110</v>
      </c>
      <c r="F29" t="s">
        <v>111</v>
      </c>
      <c r="G29">
        <v>1</v>
      </c>
      <c r="J29">
        <v>0</v>
      </c>
      <c r="K29">
        <v>0</v>
      </c>
      <c r="N29">
        <v>0</v>
      </c>
      <c r="O29">
        <v>0</v>
      </c>
    </row>
    <row r="30" spans="2:17" hidden="1">
      <c r="B30" t="s">
        <v>73</v>
      </c>
      <c r="C30">
        <v>2</v>
      </c>
      <c r="D30">
        <v>180461</v>
      </c>
      <c r="E30" t="s">
        <v>112</v>
      </c>
      <c r="F30" t="s">
        <v>111</v>
      </c>
      <c r="G30">
        <v>1</v>
      </c>
      <c r="I30">
        <v>5048</v>
      </c>
      <c r="J30">
        <v>262</v>
      </c>
      <c r="K30">
        <v>26</v>
      </c>
      <c r="L30">
        <v>183</v>
      </c>
      <c r="M30">
        <v>1</v>
      </c>
      <c r="N30">
        <v>105</v>
      </c>
      <c r="O30" s="166">
        <v>2279</v>
      </c>
      <c r="P30" s="166">
        <v>2279</v>
      </c>
      <c r="Q30">
        <v>2</v>
      </c>
    </row>
    <row r="31" spans="2:17" hidden="1">
      <c r="B31" t="s">
        <v>73</v>
      </c>
      <c r="C31">
        <v>2</v>
      </c>
      <c r="D31">
        <v>198005</v>
      </c>
      <c r="E31" t="s">
        <v>112</v>
      </c>
      <c r="F31" t="s">
        <v>113</v>
      </c>
      <c r="G31">
        <v>5</v>
      </c>
      <c r="I31">
        <v>5048</v>
      </c>
      <c r="J31">
        <v>0</v>
      </c>
      <c r="K31">
        <v>0</v>
      </c>
      <c r="N31">
        <v>0</v>
      </c>
      <c r="O31">
        <v>0</v>
      </c>
    </row>
    <row r="32" spans="2:17" hidden="1">
      <c r="B32" t="s">
        <v>73</v>
      </c>
      <c r="C32">
        <v>2</v>
      </c>
      <c r="D32">
        <v>286124</v>
      </c>
      <c r="E32" t="s">
        <v>114</v>
      </c>
      <c r="F32" t="s">
        <v>89</v>
      </c>
      <c r="G32">
        <v>1</v>
      </c>
      <c r="J32">
        <v>80</v>
      </c>
      <c r="K32">
        <v>0</v>
      </c>
      <c r="N32">
        <v>80</v>
      </c>
      <c r="O32">
        <v>154</v>
      </c>
      <c r="P32">
        <v>9</v>
      </c>
      <c r="Q32">
        <v>1</v>
      </c>
    </row>
    <row r="33" spans="2:17" hidden="1">
      <c r="P33">
        <v>145</v>
      </c>
      <c r="Q33">
        <v>2</v>
      </c>
    </row>
    <row r="34" spans="2:17" hidden="1">
      <c r="B34" t="s">
        <v>73</v>
      </c>
      <c r="C34">
        <v>2</v>
      </c>
      <c r="D34">
        <v>132690</v>
      </c>
      <c r="E34" t="s">
        <v>115</v>
      </c>
      <c r="F34" t="s">
        <v>116</v>
      </c>
      <c r="G34">
        <v>1</v>
      </c>
      <c r="I34">
        <v>5113</v>
      </c>
      <c r="J34">
        <v>84</v>
      </c>
      <c r="K34">
        <v>0</v>
      </c>
      <c r="N34">
        <v>84</v>
      </c>
      <c r="O34">
        <v>0</v>
      </c>
    </row>
    <row r="35" spans="2:17" hidden="1">
      <c r="B35" t="s">
        <v>73</v>
      </c>
      <c r="C35">
        <v>2</v>
      </c>
      <c r="D35">
        <v>189915</v>
      </c>
      <c r="E35" t="s">
        <v>115</v>
      </c>
      <c r="F35" t="s">
        <v>117</v>
      </c>
      <c r="G35">
        <v>2</v>
      </c>
      <c r="I35">
        <v>5113</v>
      </c>
      <c r="J35">
        <v>0</v>
      </c>
      <c r="K35">
        <v>0</v>
      </c>
      <c r="N35">
        <v>0</v>
      </c>
      <c r="O35">
        <v>0</v>
      </c>
    </row>
    <row r="36" spans="2:17" hidden="1">
      <c r="B36" t="s">
        <v>90</v>
      </c>
      <c r="C36">
        <v>2</v>
      </c>
      <c r="D36">
        <v>5086</v>
      </c>
      <c r="E36" t="s">
        <v>118</v>
      </c>
      <c r="F36" t="s">
        <v>119</v>
      </c>
      <c r="J36">
        <v>0</v>
      </c>
      <c r="K36">
        <v>0</v>
      </c>
      <c r="N36">
        <v>0</v>
      </c>
      <c r="O36">
        <v>0</v>
      </c>
    </row>
    <row r="37" spans="2:17" hidden="1">
      <c r="B37" t="s">
        <v>90</v>
      </c>
      <c r="C37">
        <v>2</v>
      </c>
      <c r="D37">
        <v>6739</v>
      </c>
      <c r="E37" t="s">
        <v>120</v>
      </c>
      <c r="F37" t="s">
        <v>121</v>
      </c>
      <c r="J37">
        <v>0</v>
      </c>
      <c r="K37">
        <v>0</v>
      </c>
      <c r="N37">
        <v>0</v>
      </c>
      <c r="O37">
        <v>0</v>
      </c>
    </row>
    <row r="38" spans="2:17" hidden="1">
      <c r="B38" t="s">
        <v>90</v>
      </c>
      <c r="C38">
        <v>2</v>
      </c>
      <c r="D38">
        <v>8169</v>
      </c>
      <c r="E38" t="s">
        <v>122</v>
      </c>
      <c r="F38" t="s">
        <v>121</v>
      </c>
      <c r="J38">
        <v>0</v>
      </c>
      <c r="K38">
        <v>0</v>
      </c>
      <c r="N38">
        <v>0</v>
      </c>
      <c r="O38">
        <v>0</v>
      </c>
    </row>
    <row r="39" spans="2:17" hidden="1">
      <c r="B39" t="s">
        <v>90</v>
      </c>
      <c r="C39">
        <v>2</v>
      </c>
      <c r="D39">
        <v>8635</v>
      </c>
      <c r="E39" t="s">
        <v>123</v>
      </c>
      <c r="F39" t="s">
        <v>124</v>
      </c>
      <c r="J39">
        <v>0</v>
      </c>
      <c r="K39">
        <v>0</v>
      </c>
      <c r="N39">
        <v>0</v>
      </c>
      <c r="O39">
        <v>0</v>
      </c>
    </row>
    <row r="40" spans="2:17" hidden="1">
      <c r="B40" t="s">
        <v>90</v>
      </c>
      <c r="C40">
        <v>2</v>
      </c>
      <c r="D40">
        <v>8247</v>
      </c>
      <c r="E40" t="s">
        <v>125</v>
      </c>
      <c r="F40" t="s">
        <v>124</v>
      </c>
      <c r="J40">
        <v>0</v>
      </c>
      <c r="K40">
        <v>0</v>
      </c>
      <c r="N40">
        <v>0</v>
      </c>
      <c r="O40">
        <v>0</v>
      </c>
    </row>
    <row r="41" spans="2:17" hidden="1">
      <c r="B41" t="s">
        <v>73</v>
      </c>
      <c r="C41">
        <v>2</v>
      </c>
      <c r="D41">
        <v>182045</v>
      </c>
      <c r="E41" t="s">
        <v>126</v>
      </c>
      <c r="F41" t="s">
        <v>124</v>
      </c>
      <c r="G41">
        <v>5</v>
      </c>
      <c r="J41">
        <v>0</v>
      </c>
      <c r="K41">
        <v>0</v>
      </c>
      <c r="N41">
        <v>0</v>
      </c>
      <c r="O41">
        <v>0</v>
      </c>
    </row>
    <row r="42" spans="2:17" hidden="1">
      <c r="B42" t="s">
        <v>90</v>
      </c>
      <c r="C42">
        <v>2</v>
      </c>
      <c r="D42">
        <v>4248</v>
      </c>
      <c r="E42" t="s">
        <v>127</v>
      </c>
      <c r="F42" t="s">
        <v>128</v>
      </c>
      <c r="J42">
        <v>213</v>
      </c>
      <c r="K42">
        <v>0</v>
      </c>
      <c r="N42">
        <v>213</v>
      </c>
      <c r="O42">
        <v>0</v>
      </c>
    </row>
    <row r="43" spans="2:17" hidden="1">
      <c r="B43" t="s">
        <v>73</v>
      </c>
      <c r="C43">
        <v>2</v>
      </c>
      <c r="D43">
        <v>184558</v>
      </c>
      <c r="E43" t="s">
        <v>129</v>
      </c>
      <c r="F43" t="s">
        <v>113</v>
      </c>
      <c r="G43">
        <v>3</v>
      </c>
      <c r="I43">
        <v>5048</v>
      </c>
      <c r="J43">
        <v>0</v>
      </c>
      <c r="K43">
        <v>0</v>
      </c>
      <c r="N43">
        <v>0</v>
      </c>
      <c r="O43">
        <v>0</v>
      </c>
    </row>
    <row r="44" spans="2:17" hidden="1">
      <c r="B44" t="s">
        <v>73</v>
      </c>
      <c r="C44">
        <v>2</v>
      </c>
      <c r="D44">
        <v>133437</v>
      </c>
      <c r="E44" t="s">
        <v>130</v>
      </c>
      <c r="F44" t="s">
        <v>131</v>
      </c>
      <c r="G44">
        <v>1</v>
      </c>
      <c r="J44">
        <v>166</v>
      </c>
      <c r="K44">
        <v>0</v>
      </c>
      <c r="N44">
        <v>166</v>
      </c>
      <c r="O44">
        <v>0</v>
      </c>
    </row>
    <row r="45" spans="2:17" hidden="1">
      <c r="B45" t="s">
        <v>73</v>
      </c>
      <c r="C45">
        <v>2</v>
      </c>
      <c r="D45">
        <v>264004</v>
      </c>
      <c r="E45" t="s">
        <v>132</v>
      </c>
      <c r="F45" t="s">
        <v>133</v>
      </c>
      <c r="G45">
        <v>1</v>
      </c>
      <c r="J45">
        <v>0</v>
      </c>
      <c r="K45">
        <v>0</v>
      </c>
      <c r="N45">
        <v>0</v>
      </c>
      <c r="O45">
        <v>0</v>
      </c>
    </row>
    <row r="46" spans="2:17" hidden="1">
      <c r="B46" t="s">
        <v>73</v>
      </c>
      <c r="C46">
        <v>2</v>
      </c>
      <c r="D46">
        <v>220079</v>
      </c>
      <c r="E46" t="s">
        <v>134</v>
      </c>
      <c r="F46" t="s">
        <v>135</v>
      </c>
      <c r="G46">
        <v>2</v>
      </c>
      <c r="J46">
        <v>0</v>
      </c>
      <c r="K46">
        <v>0</v>
      </c>
      <c r="N46">
        <v>0</v>
      </c>
      <c r="O46">
        <v>0</v>
      </c>
    </row>
    <row r="47" spans="2:17" hidden="1">
      <c r="B47" t="s">
        <v>90</v>
      </c>
      <c r="C47">
        <v>2</v>
      </c>
      <c r="D47">
        <v>10778</v>
      </c>
      <c r="E47" t="s">
        <v>136</v>
      </c>
      <c r="F47" t="s">
        <v>137</v>
      </c>
      <c r="J47">
        <v>0</v>
      </c>
      <c r="K47">
        <v>0</v>
      </c>
      <c r="N47">
        <v>0</v>
      </c>
      <c r="O47">
        <v>0</v>
      </c>
    </row>
    <row r="48" spans="2:17" hidden="1">
      <c r="B48" t="s">
        <v>73</v>
      </c>
      <c r="C48">
        <v>2</v>
      </c>
      <c r="D48">
        <v>280417</v>
      </c>
      <c r="E48" t="s">
        <v>136</v>
      </c>
      <c r="F48" t="s">
        <v>138</v>
      </c>
      <c r="G48">
        <v>1</v>
      </c>
      <c r="J48">
        <v>0</v>
      </c>
      <c r="K48">
        <v>0</v>
      </c>
      <c r="N48">
        <v>0</v>
      </c>
      <c r="O48">
        <v>0</v>
      </c>
    </row>
    <row r="49" spans="2:17" hidden="1">
      <c r="B49" t="s">
        <v>73</v>
      </c>
      <c r="C49">
        <v>2</v>
      </c>
      <c r="D49">
        <v>138470</v>
      </c>
      <c r="E49" t="s">
        <v>139</v>
      </c>
      <c r="F49" t="s">
        <v>140</v>
      </c>
      <c r="G49">
        <v>1</v>
      </c>
      <c r="J49">
        <v>0</v>
      </c>
      <c r="K49">
        <v>0</v>
      </c>
      <c r="N49">
        <v>0</v>
      </c>
      <c r="O49">
        <v>0</v>
      </c>
    </row>
    <row r="50" spans="2:17" hidden="1">
      <c r="B50" t="s">
        <v>73</v>
      </c>
      <c r="C50">
        <v>2</v>
      </c>
      <c r="D50">
        <v>53255</v>
      </c>
      <c r="E50" t="s">
        <v>141</v>
      </c>
      <c r="F50" t="s">
        <v>142</v>
      </c>
      <c r="G50">
        <v>1</v>
      </c>
      <c r="J50">
        <v>0</v>
      </c>
      <c r="K50">
        <v>0</v>
      </c>
      <c r="N50">
        <v>0</v>
      </c>
      <c r="O50">
        <v>0</v>
      </c>
    </row>
    <row r="51" spans="2:17" hidden="1">
      <c r="B51" t="s">
        <v>73</v>
      </c>
      <c r="C51">
        <v>2</v>
      </c>
      <c r="D51">
        <v>59225</v>
      </c>
      <c r="E51" t="s">
        <v>141</v>
      </c>
      <c r="F51" t="s">
        <v>142</v>
      </c>
      <c r="G51">
        <v>2</v>
      </c>
      <c r="J51">
        <v>0</v>
      </c>
      <c r="K51">
        <v>0</v>
      </c>
      <c r="N51">
        <v>0</v>
      </c>
      <c r="O51">
        <v>0</v>
      </c>
    </row>
    <row r="52" spans="2:17" hidden="1">
      <c r="B52" t="s">
        <v>73</v>
      </c>
      <c r="C52">
        <v>2</v>
      </c>
      <c r="D52">
        <v>174916</v>
      </c>
      <c r="E52" t="s">
        <v>141</v>
      </c>
      <c r="F52" t="s">
        <v>143</v>
      </c>
      <c r="G52">
        <v>4</v>
      </c>
      <c r="J52">
        <v>0</v>
      </c>
      <c r="K52">
        <v>0</v>
      </c>
      <c r="N52">
        <v>0</v>
      </c>
      <c r="O52">
        <v>147</v>
      </c>
      <c r="P52">
        <v>147</v>
      </c>
      <c r="Q52">
        <v>2</v>
      </c>
    </row>
    <row r="53" spans="2:17" hidden="1">
      <c r="B53" t="s">
        <v>90</v>
      </c>
      <c r="C53">
        <v>2</v>
      </c>
      <c r="D53">
        <v>10230</v>
      </c>
      <c r="E53" t="s">
        <v>144</v>
      </c>
      <c r="F53" t="s">
        <v>145</v>
      </c>
      <c r="J53">
        <v>380</v>
      </c>
      <c r="K53">
        <v>88</v>
      </c>
      <c r="L53">
        <v>366</v>
      </c>
      <c r="M53">
        <v>1</v>
      </c>
      <c r="N53">
        <v>102</v>
      </c>
      <c r="O53">
        <v>0</v>
      </c>
    </row>
    <row r="54" spans="2:17" hidden="1">
      <c r="B54" t="s">
        <v>90</v>
      </c>
      <c r="C54">
        <v>3</v>
      </c>
      <c r="D54">
        <v>27142</v>
      </c>
      <c r="E54" t="s">
        <v>146</v>
      </c>
      <c r="F54" t="s">
        <v>147</v>
      </c>
      <c r="J54">
        <v>0</v>
      </c>
      <c r="K54">
        <v>0</v>
      </c>
      <c r="N54">
        <v>0</v>
      </c>
      <c r="O54">
        <v>0</v>
      </c>
    </row>
    <row r="55" spans="2:17" hidden="1">
      <c r="B55" t="s">
        <v>73</v>
      </c>
      <c r="C55">
        <v>3</v>
      </c>
      <c r="D55">
        <v>280236</v>
      </c>
      <c r="E55" t="s">
        <v>148</v>
      </c>
      <c r="F55" t="s">
        <v>149</v>
      </c>
      <c r="G55">
        <v>1</v>
      </c>
      <c r="J55">
        <v>535</v>
      </c>
      <c r="K55" s="166">
        <v>3107</v>
      </c>
      <c r="L55" s="166">
        <v>3261</v>
      </c>
      <c r="M55">
        <v>1</v>
      </c>
      <c r="N55">
        <v>381</v>
      </c>
      <c r="O55" s="166">
        <v>123229</v>
      </c>
      <c r="P55">
        <v>651</v>
      </c>
      <c r="Q55">
        <v>1</v>
      </c>
    </row>
    <row r="56" spans="2:17" hidden="1">
      <c r="P56" s="166">
        <v>122578</v>
      </c>
      <c r="Q56">
        <v>2</v>
      </c>
    </row>
    <row r="57" spans="2:17" hidden="1">
      <c r="B57" t="s">
        <v>73</v>
      </c>
      <c r="C57">
        <v>3</v>
      </c>
      <c r="D57">
        <v>253385</v>
      </c>
      <c r="E57" t="s">
        <v>150</v>
      </c>
      <c r="F57" t="s">
        <v>151</v>
      </c>
      <c r="G57">
        <v>1</v>
      </c>
      <c r="J57">
        <v>53</v>
      </c>
      <c r="K57">
        <v>0</v>
      </c>
      <c r="N57">
        <v>53</v>
      </c>
      <c r="O57">
        <v>0</v>
      </c>
    </row>
    <row r="58" spans="2:17" hidden="1">
      <c r="B58" t="s">
        <v>90</v>
      </c>
      <c r="C58">
        <v>3</v>
      </c>
      <c r="D58">
        <v>26482</v>
      </c>
      <c r="E58" t="s">
        <v>152</v>
      </c>
      <c r="F58" t="s">
        <v>153</v>
      </c>
      <c r="J58">
        <v>139</v>
      </c>
      <c r="K58">
        <v>0</v>
      </c>
      <c r="N58">
        <v>139</v>
      </c>
      <c r="O58">
        <v>0</v>
      </c>
    </row>
    <row r="59" spans="2:17" hidden="1">
      <c r="B59" t="s">
        <v>90</v>
      </c>
      <c r="C59">
        <v>3</v>
      </c>
      <c r="D59">
        <v>27150</v>
      </c>
      <c r="E59" t="s">
        <v>152</v>
      </c>
      <c r="F59" t="s">
        <v>154</v>
      </c>
      <c r="J59">
        <v>0</v>
      </c>
      <c r="K59">
        <v>0</v>
      </c>
      <c r="N59">
        <v>0</v>
      </c>
      <c r="O59">
        <v>0</v>
      </c>
    </row>
    <row r="60" spans="2:17" hidden="1">
      <c r="B60" t="s">
        <v>90</v>
      </c>
      <c r="C60">
        <v>3</v>
      </c>
      <c r="D60">
        <v>26262</v>
      </c>
      <c r="E60" t="s">
        <v>155</v>
      </c>
      <c r="F60" t="s">
        <v>153</v>
      </c>
      <c r="J60">
        <v>187</v>
      </c>
      <c r="K60">
        <v>0</v>
      </c>
      <c r="L60">
        <v>159</v>
      </c>
      <c r="M60">
        <v>1</v>
      </c>
      <c r="N60">
        <v>28</v>
      </c>
      <c r="O60">
        <v>0</v>
      </c>
    </row>
    <row r="61" spans="2:17" hidden="1">
      <c r="B61" t="s">
        <v>90</v>
      </c>
      <c r="C61">
        <v>3</v>
      </c>
      <c r="D61">
        <v>27348</v>
      </c>
      <c r="E61" t="s">
        <v>155</v>
      </c>
      <c r="F61" t="s">
        <v>156</v>
      </c>
      <c r="J61">
        <v>187</v>
      </c>
      <c r="K61">
        <v>0</v>
      </c>
      <c r="N61">
        <v>187</v>
      </c>
      <c r="O61">
        <v>267</v>
      </c>
      <c r="P61">
        <v>267</v>
      </c>
      <c r="Q61">
        <v>2</v>
      </c>
    </row>
    <row r="62" spans="2:17" hidden="1">
      <c r="B62" t="s">
        <v>73</v>
      </c>
      <c r="C62">
        <v>3</v>
      </c>
      <c r="D62">
        <v>223401</v>
      </c>
      <c r="E62" t="s">
        <v>157</v>
      </c>
      <c r="F62" t="s">
        <v>158</v>
      </c>
      <c r="G62">
        <v>5</v>
      </c>
      <c r="J62">
        <v>0</v>
      </c>
      <c r="K62">
        <v>0</v>
      </c>
      <c r="N62">
        <v>0</v>
      </c>
      <c r="O62">
        <v>0</v>
      </c>
    </row>
    <row r="63" spans="2:17" hidden="1">
      <c r="B63" t="s">
        <v>90</v>
      </c>
      <c r="C63">
        <v>3</v>
      </c>
      <c r="D63">
        <v>26909</v>
      </c>
      <c r="E63" t="s">
        <v>159</v>
      </c>
      <c r="F63" t="s">
        <v>153</v>
      </c>
      <c r="J63">
        <v>32</v>
      </c>
      <c r="K63">
        <v>0</v>
      </c>
      <c r="N63">
        <v>32</v>
      </c>
      <c r="O63">
        <v>0</v>
      </c>
    </row>
    <row r="64" spans="2:17" hidden="1">
      <c r="B64" t="s">
        <v>73</v>
      </c>
      <c r="C64">
        <v>3</v>
      </c>
      <c r="D64">
        <v>233975</v>
      </c>
      <c r="E64" t="s">
        <v>160</v>
      </c>
      <c r="F64" t="s">
        <v>161</v>
      </c>
      <c r="G64">
        <v>1</v>
      </c>
      <c r="J64">
        <v>0</v>
      </c>
      <c r="K64">
        <v>0</v>
      </c>
      <c r="N64">
        <v>0</v>
      </c>
      <c r="O64">
        <v>0</v>
      </c>
    </row>
    <row r="65" spans="2:17" hidden="1">
      <c r="B65" t="s">
        <v>73</v>
      </c>
      <c r="C65">
        <v>3</v>
      </c>
      <c r="D65">
        <v>250605</v>
      </c>
      <c r="E65" t="s">
        <v>162</v>
      </c>
      <c r="F65" t="s">
        <v>163</v>
      </c>
      <c r="G65">
        <v>7</v>
      </c>
      <c r="J65">
        <v>0</v>
      </c>
      <c r="K65">
        <v>0</v>
      </c>
      <c r="N65">
        <v>0</v>
      </c>
      <c r="O65">
        <v>0</v>
      </c>
    </row>
    <row r="66" spans="2:17" hidden="1">
      <c r="B66" t="s">
        <v>90</v>
      </c>
      <c r="C66">
        <v>3</v>
      </c>
      <c r="D66">
        <v>27151</v>
      </c>
      <c r="E66" t="s">
        <v>164</v>
      </c>
      <c r="F66" t="s">
        <v>165</v>
      </c>
      <c r="J66">
        <v>108</v>
      </c>
      <c r="K66">
        <v>0</v>
      </c>
      <c r="N66">
        <v>108</v>
      </c>
      <c r="O66">
        <v>0</v>
      </c>
    </row>
    <row r="67" spans="2:17" hidden="1">
      <c r="B67" t="s">
        <v>73</v>
      </c>
      <c r="C67">
        <v>3</v>
      </c>
      <c r="D67">
        <v>192497</v>
      </c>
      <c r="E67" t="s">
        <v>166</v>
      </c>
      <c r="F67" t="s">
        <v>167</v>
      </c>
      <c r="G67">
        <v>1</v>
      </c>
      <c r="J67">
        <v>0</v>
      </c>
      <c r="K67">
        <v>0</v>
      </c>
      <c r="N67">
        <v>0</v>
      </c>
      <c r="O67">
        <v>0</v>
      </c>
    </row>
    <row r="68" spans="2:17" hidden="1">
      <c r="B68" t="s">
        <v>90</v>
      </c>
      <c r="C68">
        <v>3</v>
      </c>
      <c r="D68">
        <v>21610</v>
      </c>
      <c r="E68" t="s">
        <v>168</v>
      </c>
      <c r="F68" t="s">
        <v>169</v>
      </c>
      <c r="J68">
        <v>283</v>
      </c>
      <c r="K68">
        <v>761</v>
      </c>
      <c r="L68">
        <v>659</v>
      </c>
      <c r="M68">
        <v>1</v>
      </c>
      <c r="N68">
        <v>385</v>
      </c>
      <c r="O68">
        <v>0</v>
      </c>
    </row>
    <row r="69" spans="2:17" hidden="1">
      <c r="B69" t="s">
        <v>73</v>
      </c>
      <c r="C69">
        <v>3</v>
      </c>
      <c r="D69">
        <v>272614</v>
      </c>
      <c r="E69" t="s">
        <v>170</v>
      </c>
      <c r="F69" t="s">
        <v>171</v>
      </c>
      <c r="G69">
        <v>1</v>
      </c>
      <c r="J69">
        <v>0</v>
      </c>
      <c r="K69">
        <v>0</v>
      </c>
      <c r="N69">
        <v>0</v>
      </c>
      <c r="O69">
        <v>0</v>
      </c>
    </row>
    <row r="70" spans="2:17" hidden="1">
      <c r="B70" t="s">
        <v>73</v>
      </c>
      <c r="C70">
        <v>3</v>
      </c>
      <c r="D70">
        <v>279199</v>
      </c>
      <c r="E70" t="s">
        <v>172</v>
      </c>
      <c r="F70" t="s">
        <v>171</v>
      </c>
      <c r="G70">
        <v>2</v>
      </c>
      <c r="J70">
        <v>50</v>
      </c>
      <c r="K70">
        <v>77</v>
      </c>
      <c r="N70">
        <v>127</v>
      </c>
      <c r="O70">
        <v>485</v>
      </c>
      <c r="P70">
        <v>485</v>
      </c>
      <c r="Q70">
        <v>2</v>
      </c>
    </row>
    <row r="71" spans="2:17" hidden="1">
      <c r="B71" t="s">
        <v>90</v>
      </c>
      <c r="C71">
        <v>3</v>
      </c>
      <c r="D71">
        <v>15252</v>
      </c>
      <c r="E71" t="s">
        <v>173</v>
      </c>
      <c r="F71" t="s">
        <v>174</v>
      </c>
      <c r="J71">
        <v>0</v>
      </c>
      <c r="K71">
        <v>0</v>
      </c>
      <c r="N71">
        <v>0</v>
      </c>
      <c r="O71">
        <v>0</v>
      </c>
    </row>
    <row r="72" spans="2:17">
      <c r="B72" t="s">
        <v>73</v>
      </c>
      <c r="C72">
        <v>3</v>
      </c>
      <c r="D72">
        <v>206045</v>
      </c>
      <c r="E72" t="s">
        <v>175</v>
      </c>
      <c r="F72" t="s">
        <v>176</v>
      </c>
      <c r="G72" t="s">
        <v>177</v>
      </c>
      <c r="J72">
        <v>0</v>
      </c>
      <c r="K72">
        <v>0</v>
      </c>
      <c r="N72">
        <v>140</v>
      </c>
      <c r="O72" s="166">
        <v>9044</v>
      </c>
      <c r="P72">
        <v>403</v>
      </c>
      <c r="Q72">
        <v>1</v>
      </c>
    </row>
    <row r="73" spans="2:17" hidden="1">
      <c r="P73" s="166">
        <v>8641</v>
      </c>
      <c r="Q73">
        <v>2</v>
      </c>
    </row>
    <row r="74" spans="2:17" hidden="1">
      <c r="B74" t="s">
        <v>73</v>
      </c>
      <c r="C74">
        <v>3</v>
      </c>
      <c r="D74">
        <v>188081</v>
      </c>
      <c r="E74" t="s">
        <v>178</v>
      </c>
      <c r="F74" t="s">
        <v>158</v>
      </c>
      <c r="G74">
        <v>1</v>
      </c>
      <c r="J74">
        <v>0</v>
      </c>
      <c r="K74">
        <v>0</v>
      </c>
      <c r="N74">
        <v>0</v>
      </c>
      <c r="O74">
        <v>0</v>
      </c>
    </row>
    <row r="75" spans="2:17" hidden="1">
      <c r="B75" t="s">
        <v>73</v>
      </c>
      <c r="C75">
        <v>3</v>
      </c>
      <c r="D75">
        <v>160307</v>
      </c>
      <c r="E75" t="s">
        <v>179</v>
      </c>
      <c r="F75" t="s">
        <v>180</v>
      </c>
      <c r="G75">
        <v>1</v>
      </c>
      <c r="J75">
        <v>173</v>
      </c>
      <c r="K75">
        <v>0</v>
      </c>
      <c r="N75">
        <v>173</v>
      </c>
      <c r="O75">
        <v>0</v>
      </c>
    </row>
    <row r="76" spans="2:17" hidden="1">
      <c r="B76" t="s">
        <v>90</v>
      </c>
      <c r="C76">
        <v>3</v>
      </c>
      <c r="D76">
        <v>27285</v>
      </c>
      <c r="E76" t="s">
        <v>181</v>
      </c>
      <c r="F76" t="s">
        <v>182</v>
      </c>
      <c r="J76">
        <v>334</v>
      </c>
      <c r="K76">
        <v>379</v>
      </c>
      <c r="L76">
        <v>377</v>
      </c>
      <c r="M76">
        <v>1</v>
      </c>
      <c r="N76">
        <v>336</v>
      </c>
      <c r="O76">
        <v>447</v>
      </c>
      <c r="P76">
        <v>29</v>
      </c>
      <c r="Q76">
        <v>1</v>
      </c>
    </row>
    <row r="77" spans="2:17" hidden="1">
      <c r="P77">
        <v>418</v>
      </c>
      <c r="Q77">
        <v>2</v>
      </c>
    </row>
    <row r="78" spans="2:17" hidden="1">
      <c r="B78" t="s">
        <v>90</v>
      </c>
      <c r="C78">
        <v>3</v>
      </c>
      <c r="D78">
        <v>27418</v>
      </c>
      <c r="E78" t="s">
        <v>183</v>
      </c>
      <c r="F78" t="s">
        <v>182</v>
      </c>
      <c r="J78">
        <v>661</v>
      </c>
      <c r="K78" s="166">
        <v>1626</v>
      </c>
      <c r="L78" s="166">
        <v>2082</v>
      </c>
      <c r="M78">
        <v>1</v>
      </c>
      <c r="N78">
        <v>205</v>
      </c>
      <c r="O78" s="166">
        <v>1691</v>
      </c>
      <c r="P78">
        <v>161</v>
      </c>
      <c r="Q78">
        <v>1</v>
      </c>
    </row>
    <row r="79" spans="2:17" hidden="1">
      <c r="P79" s="166">
        <v>1530</v>
      </c>
      <c r="Q79">
        <v>2</v>
      </c>
    </row>
    <row r="80" spans="2:17" hidden="1">
      <c r="B80" t="s">
        <v>73</v>
      </c>
      <c r="C80">
        <v>3</v>
      </c>
      <c r="D80">
        <v>282350</v>
      </c>
      <c r="E80" t="s">
        <v>183</v>
      </c>
      <c r="F80" t="s">
        <v>182</v>
      </c>
      <c r="G80" t="s">
        <v>184</v>
      </c>
      <c r="J80">
        <v>237</v>
      </c>
      <c r="K80">
        <v>594</v>
      </c>
      <c r="L80">
        <v>537</v>
      </c>
      <c r="M80">
        <v>1</v>
      </c>
      <c r="N80">
        <v>294</v>
      </c>
      <c r="O80">
        <v>758</v>
      </c>
      <c r="P80">
        <v>60</v>
      </c>
      <c r="Q80">
        <v>1</v>
      </c>
    </row>
    <row r="81" spans="2:17" hidden="1">
      <c r="P81">
        <v>698</v>
      </c>
      <c r="Q81">
        <v>2</v>
      </c>
    </row>
    <row r="82" spans="2:17" hidden="1">
      <c r="B82" t="s">
        <v>90</v>
      </c>
      <c r="C82">
        <v>3</v>
      </c>
      <c r="D82">
        <v>27236</v>
      </c>
      <c r="E82" t="s">
        <v>185</v>
      </c>
      <c r="F82" t="s">
        <v>182</v>
      </c>
      <c r="J82">
        <v>144</v>
      </c>
      <c r="K82">
        <v>428</v>
      </c>
      <c r="L82">
        <v>358</v>
      </c>
      <c r="M82">
        <v>1</v>
      </c>
      <c r="N82">
        <v>214</v>
      </c>
      <c r="O82">
        <v>579</v>
      </c>
      <c r="P82">
        <v>30</v>
      </c>
      <c r="Q82">
        <v>1</v>
      </c>
    </row>
    <row r="83" spans="2:17" hidden="1">
      <c r="P83">
        <v>549</v>
      </c>
      <c r="Q83">
        <v>2</v>
      </c>
    </row>
    <row r="84" spans="2:17" hidden="1">
      <c r="B84" t="s">
        <v>73</v>
      </c>
      <c r="C84">
        <v>3</v>
      </c>
      <c r="D84">
        <v>264922</v>
      </c>
      <c r="E84" t="s">
        <v>186</v>
      </c>
      <c r="F84" t="s">
        <v>187</v>
      </c>
      <c r="G84">
        <v>1</v>
      </c>
      <c r="J84">
        <v>0</v>
      </c>
      <c r="K84">
        <v>0</v>
      </c>
      <c r="N84">
        <v>0</v>
      </c>
      <c r="O84">
        <v>0</v>
      </c>
    </row>
    <row r="85" spans="2:17" hidden="1">
      <c r="B85" t="s">
        <v>90</v>
      </c>
      <c r="C85">
        <v>3</v>
      </c>
      <c r="D85">
        <v>26501</v>
      </c>
      <c r="E85" t="s">
        <v>188</v>
      </c>
      <c r="F85" t="s">
        <v>189</v>
      </c>
      <c r="J85">
        <v>114</v>
      </c>
      <c r="K85">
        <v>0</v>
      </c>
      <c r="N85">
        <v>114</v>
      </c>
      <c r="O85">
        <v>0</v>
      </c>
    </row>
    <row r="86" spans="2:17" hidden="1">
      <c r="B86" t="s">
        <v>90</v>
      </c>
      <c r="C86">
        <v>3</v>
      </c>
      <c r="D86">
        <v>24455</v>
      </c>
      <c r="E86" t="s">
        <v>190</v>
      </c>
      <c r="F86" t="s">
        <v>191</v>
      </c>
      <c r="J86">
        <v>0</v>
      </c>
      <c r="K86">
        <v>0</v>
      </c>
      <c r="N86">
        <v>0</v>
      </c>
      <c r="O86">
        <v>0</v>
      </c>
    </row>
    <row r="87" spans="2:17" hidden="1">
      <c r="B87" t="s">
        <v>73</v>
      </c>
      <c r="C87">
        <v>3</v>
      </c>
      <c r="D87">
        <v>278004</v>
      </c>
      <c r="E87" t="s">
        <v>190</v>
      </c>
      <c r="F87" t="s">
        <v>192</v>
      </c>
      <c r="G87">
        <v>3</v>
      </c>
      <c r="J87">
        <v>234</v>
      </c>
      <c r="K87">
        <v>45</v>
      </c>
      <c r="L87">
        <v>189</v>
      </c>
      <c r="M87">
        <v>1</v>
      </c>
      <c r="N87">
        <v>90</v>
      </c>
      <c r="O87" s="166">
        <v>1218</v>
      </c>
      <c r="P87">
        <v>30</v>
      </c>
      <c r="Q87">
        <v>1</v>
      </c>
    </row>
    <row r="88" spans="2:17" hidden="1">
      <c r="P88" s="166">
        <v>1188</v>
      </c>
      <c r="Q88">
        <v>2</v>
      </c>
    </row>
    <row r="89" spans="2:17" hidden="1">
      <c r="B89" t="s">
        <v>90</v>
      </c>
      <c r="C89">
        <v>3</v>
      </c>
      <c r="D89">
        <v>2099</v>
      </c>
      <c r="E89" t="s">
        <v>193</v>
      </c>
      <c r="F89" t="s">
        <v>194</v>
      </c>
      <c r="J89">
        <v>118</v>
      </c>
      <c r="K89">
        <v>0</v>
      </c>
      <c r="N89">
        <v>118</v>
      </c>
      <c r="O89">
        <v>0</v>
      </c>
    </row>
    <row r="90" spans="2:17" hidden="1">
      <c r="B90" t="s">
        <v>90</v>
      </c>
      <c r="C90">
        <v>3</v>
      </c>
      <c r="D90">
        <v>24246</v>
      </c>
      <c r="E90" t="s">
        <v>195</v>
      </c>
      <c r="F90" t="s">
        <v>196</v>
      </c>
      <c r="J90">
        <v>52</v>
      </c>
      <c r="K90">
        <v>0</v>
      </c>
      <c r="N90">
        <v>52</v>
      </c>
      <c r="O90">
        <v>0</v>
      </c>
    </row>
    <row r="91" spans="2:17" hidden="1">
      <c r="B91" t="s">
        <v>90</v>
      </c>
      <c r="C91">
        <v>3</v>
      </c>
      <c r="D91">
        <v>27279</v>
      </c>
      <c r="E91" t="s">
        <v>197</v>
      </c>
      <c r="F91" t="s">
        <v>198</v>
      </c>
      <c r="J91">
        <v>229</v>
      </c>
      <c r="K91">
        <v>0</v>
      </c>
      <c r="N91">
        <v>229</v>
      </c>
      <c r="O91">
        <v>0</v>
      </c>
    </row>
    <row r="92" spans="2:17" hidden="1">
      <c r="B92" t="s">
        <v>90</v>
      </c>
      <c r="C92">
        <v>3</v>
      </c>
      <c r="D92">
        <v>27495</v>
      </c>
      <c r="E92" t="s">
        <v>199</v>
      </c>
      <c r="F92" t="s">
        <v>200</v>
      </c>
      <c r="J92">
        <v>108</v>
      </c>
      <c r="K92">
        <v>0</v>
      </c>
      <c r="N92">
        <v>108</v>
      </c>
      <c r="O92">
        <v>0</v>
      </c>
    </row>
    <row r="93" spans="2:17" hidden="1">
      <c r="B93" t="s">
        <v>90</v>
      </c>
      <c r="C93">
        <v>3</v>
      </c>
      <c r="D93">
        <v>27499</v>
      </c>
      <c r="E93" t="s">
        <v>199</v>
      </c>
      <c r="F93" t="s">
        <v>201</v>
      </c>
      <c r="J93">
        <v>631</v>
      </c>
      <c r="K93">
        <v>172</v>
      </c>
      <c r="L93">
        <v>334</v>
      </c>
      <c r="M93">
        <v>1</v>
      </c>
      <c r="N93">
        <v>469</v>
      </c>
      <c r="O93">
        <v>0</v>
      </c>
    </row>
    <row r="94" spans="2:17" hidden="1">
      <c r="B94" t="s">
        <v>90</v>
      </c>
      <c r="C94">
        <v>3</v>
      </c>
      <c r="D94">
        <v>27401</v>
      </c>
      <c r="E94" t="s">
        <v>202</v>
      </c>
      <c r="F94" t="s">
        <v>203</v>
      </c>
      <c r="J94">
        <v>588</v>
      </c>
      <c r="K94">
        <v>796</v>
      </c>
      <c r="L94">
        <v>873</v>
      </c>
      <c r="M94">
        <v>1</v>
      </c>
      <c r="N94">
        <v>511</v>
      </c>
      <c r="O94">
        <v>0</v>
      </c>
    </row>
    <row r="95" spans="2:17" hidden="1">
      <c r="B95" t="s">
        <v>73</v>
      </c>
      <c r="C95">
        <v>3</v>
      </c>
      <c r="D95">
        <v>177442</v>
      </c>
      <c r="E95" t="s">
        <v>204</v>
      </c>
      <c r="F95" t="s">
        <v>205</v>
      </c>
      <c r="G95" t="s">
        <v>206</v>
      </c>
      <c r="J95">
        <v>0</v>
      </c>
      <c r="K95">
        <v>0</v>
      </c>
      <c r="N95">
        <v>0</v>
      </c>
      <c r="O95">
        <v>0</v>
      </c>
    </row>
    <row r="96" spans="2:17" hidden="1">
      <c r="B96" t="s">
        <v>73</v>
      </c>
      <c r="C96">
        <v>3</v>
      </c>
      <c r="D96">
        <v>284976</v>
      </c>
      <c r="E96" t="s">
        <v>207</v>
      </c>
      <c r="F96" t="s">
        <v>208</v>
      </c>
      <c r="G96" t="s">
        <v>209</v>
      </c>
      <c r="J96">
        <v>296</v>
      </c>
      <c r="K96">
        <v>167</v>
      </c>
      <c r="L96">
        <v>192</v>
      </c>
      <c r="M96">
        <v>1</v>
      </c>
      <c r="N96">
        <v>271</v>
      </c>
      <c r="O96" s="166">
        <v>16949</v>
      </c>
      <c r="P96" s="166">
        <v>16949</v>
      </c>
      <c r="Q96">
        <v>2</v>
      </c>
    </row>
    <row r="97" spans="2:17" hidden="1">
      <c r="B97" t="s">
        <v>90</v>
      </c>
      <c r="C97">
        <v>3</v>
      </c>
      <c r="D97">
        <v>2812</v>
      </c>
      <c r="E97" t="s">
        <v>210</v>
      </c>
      <c r="F97" t="s">
        <v>211</v>
      </c>
      <c r="J97">
        <v>81</v>
      </c>
      <c r="K97">
        <v>0</v>
      </c>
      <c r="N97">
        <v>81</v>
      </c>
      <c r="O97">
        <v>0</v>
      </c>
    </row>
    <row r="98" spans="2:17" hidden="1">
      <c r="B98" t="s">
        <v>90</v>
      </c>
      <c r="C98">
        <v>3</v>
      </c>
      <c r="D98">
        <v>26743</v>
      </c>
      <c r="E98" t="s">
        <v>210</v>
      </c>
      <c r="F98" t="s">
        <v>213</v>
      </c>
      <c r="J98">
        <v>0</v>
      </c>
      <c r="K98">
        <v>0</v>
      </c>
      <c r="N98">
        <v>0</v>
      </c>
      <c r="O98">
        <v>0</v>
      </c>
    </row>
    <row r="99" spans="2:17" hidden="1">
      <c r="B99" t="s">
        <v>90</v>
      </c>
      <c r="C99">
        <v>3</v>
      </c>
      <c r="D99">
        <v>27533</v>
      </c>
      <c r="E99" t="s">
        <v>210</v>
      </c>
      <c r="F99" t="s">
        <v>219</v>
      </c>
      <c r="J99">
        <v>79</v>
      </c>
      <c r="K99">
        <v>0</v>
      </c>
      <c r="N99">
        <v>79</v>
      </c>
      <c r="O99">
        <v>0</v>
      </c>
    </row>
    <row r="100" spans="2:17" hidden="1">
      <c r="B100" t="s">
        <v>73</v>
      </c>
      <c r="C100">
        <v>3</v>
      </c>
      <c r="D100">
        <v>279165</v>
      </c>
      <c r="E100" t="s">
        <v>210</v>
      </c>
      <c r="F100" t="s">
        <v>214</v>
      </c>
      <c r="G100">
        <v>1</v>
      </c>
      <c r="J100">
        <v>0</v>
      </c>
      <c r="K100">
        <v>0</v>
      </c>
      <c r="N100">
        <v>0</v>
      </c>
      <c r="O100">
        <v>0</v>
      </c>
    </row>
    <row r="101" spans="2:17" hidden="1">
      <c r="B101" t="s">
        <v>73</v>
      </c>
      <c r="C101">
        <v>3</v>
      </c>
      <c r="D101">
        <v>287522</v>
      </c>
      <c r="E101" t="s">
        <v>210</v>
      </c>
      <c r="F101" t="s">
        <v>212</v>
      </c>
      <c r="G101">
        <v>5</v>
      </c>
      <c r="I101">
        <v>1471</v>
      </c>
      <c r="J101" t="s">
        <v>1151</v>
      </c>
      <c r="K101">
        <v>10</v>
      </c>
      <c r="N101">
        <v>156</v>
      </c>
      <c r="O101" s="166">
        <v>3276</v>
      </c>
      <c r="P101">
        <v>186</v>
      </c>
      <c r="Q101">
        <v>1</v>
      </c>
    </row>
    <row r="102" spans="2:17" hidden="1">
      <c r="P102" s="166">
        <v>3090</v>
      </c>
      <c r="Q102">
        <v>2</v>
      </c>
    </row>
    <row r="103" spans="2:17" hidden="1">
      <c r="B103" t="s">
        <v>73</v>
      </c>
      <c r="C103">
        <v>3</v>
      </c>
      <c r="D103">
        <v>133198</v>
      </c>
      <c r="E103" t="s">
        <v>215</v>
      </c>
      <c r="F103" t="s">
        <v>212</v>
      </c>
      <c r="G103">
        <v>7</v>
      </c>
      <c r="I103">
        <v>1471</v>
      </c>
      <c r="J103">
        <v>0</v>
      </c>
      <c r="K103">
        <v>0</v>
      </c>
      <c r="N103">
        <v>0</v>
      </c>
      <c r="O103">
        <v>0</v>
      </c>
    </row>
    <row r="104" spans="2:17" hidden="1">
      <c r="B104" t="s">
        <v>90</v>
      </c>
      <c r="C104">
        <v>3</v>
      </c>
      <c r="D104">
        <v>22393</v>
      </c>
      <c r="E104" t="s">
        <v>216</v>
      </c>
      <c r="F104" t="s">
        <v>217</v>
      </c>
      <c r="I104">
        <v>1471</v>
      </c>
      <c r="J104">
        <v>0</v>
      </c>
      <c r="K104">
        <v>0</v>
      </c>
      <c r="N104">
        <v>0</v>
      </c>
      <c r="O104">
        <v>0</v>
      </c>
    </row>
    <row r="105" spans="2:17" hidden="1">
      <c r="B105" t="s">
        <v>73</v>
      </c>
      <c r="C105">
        <v>3</v>
      </c>
      <c r="D105">
        <v>229081</v>
      </c>
      <c r="E105" t="s">
        <v>218</v>
      </c>
      <c r="F105" t="s">
        <v>219</v>
      </c>
      <c r="G105">
        <v>7</v>
      </c>
      <c r="J105">
        <v>0</v>
      </c>
      <c r="K105">
        <v>0</v>
      </c>
      <c r="N105">
        <v>0</v>
      </c>
      <c r="O105">
        <v>0</v>
      </c>
    </row>
    <row r="106" spans="2:17" hidden="1">
      <c r="B106" t="s">
        <v>73</v>
      </c>
      <c r="C106">
        <v>3</v>
      </c>
      <c r="D106">
        <v>150672</v>
      </c>
      <c r="E106" t="s">
        <v>220</v>
      </c>
      <c r="F106" t="s">
        <v>221</v>
      </c>
      <c r="G106">
        <v>6</v>
      </c>
      <c r="J106">
        <v>58</v>
      </c>
      <c r="K106">
        <v>96</v>
      </c>
      <c r="N106">
        <v>154</v>
      </c>
      <c r="O106">
        <v>0</v>
      </c>
    </row>
    <row r="107" spans="2:17" hidden="1">
      <c r="B107" t="s">
        <v>90</v>
      </c>
      <c r="C107">
        <v>3</v>
      </c>
      <c r="D107">
        <v>26834</v>
      </c>
      <c r="E107" t="s">
        <v>222</v>
      </c>
      <c r="F107" t="s">
        <v>223</v>
      </c>
      <c r="J107">
        <v>423</v>
      </c>
      <c r="K107">
        <v>460</v>
      </c>
      <c r="L107">
        <v>706</v>
      </c>
      <c r="M107">
        <v>1</v>
      </c>
      <c r="N107">
        <v>177</v>
      </c>
      <c r="O107">
        <v>215</v>
      </c>
      <c r="P107">
        <v>215</v>
      </c>
      <c r="Q107">
        <v>2</v>
      </c>
    </row>
    <row r="108" spans="2:17" hidden="1">
      <c r="B108" t="s">
        <v>90</v>
      </c>
      <c r="C108">
        <v>3</v>
      </c>
      <c r="D108">
        <v>26193</v>
      </c>
      <c r="E108" t="s">
        <v>224</v>
      </c>
      <c r="F108" t="s">
        <v>225</v>
      </c>
      <c r="J108">
        <v>68</v>
      </c>
      <c r="K108">
        <v>0</v>
      </c>
      <c r="N108">
        <v>68</v>
      </c>
      <c r="O108">
        <v>0</v>
      </c>
    </row>
    <row r="109" spans="2:17" hidden="1">
      <c r="B109" t="s">
        <v>73</v>
      </c>
      <c r="C109">
        <v>3</v>
      </c>
      <c r="D109">
        <v>275419</v>
      </c>
      <c r="E109" t="s">
        <v>226</v>
      </c>
      <c r="F109" t="s">
        <v>223</v>
      </c>
      <c r="G109" t="s">
        <v>227</v>
      </c>
      <c r="J109">
        <v>0</v>
      </c>
      <c r="K109">
        <v>0</v>
      </c>
      <c r="N109">
        <v>0</v>
      </c>
      <c r="O109">
        <v>0</v>
      </c>
    </row>
    <row r="110" spans="2:17" hidden="1">
      <c r="B110" t="s">
        <v>73</v>
      </c>
      <c r="C110">
        <v>3</v>
      </c>
      <c r="D110">
        <v>139199</v>
      </c>
      <c r="E110" t="s">
        <v>228</v>
      </c>
      <c r="F110" t="s">
        <v>229</v>
      </c>
      <c r="G110">
        <v>1</v>
      </c>
      <c r="J110">
        <v>0</v>
      </c>
      <c r="K110">
        <v>0</v>
      </c>
      <c r="N110">
        <v>0</v>
      </c>
      <c r="O110">
        <v>0</v>
      </c>
    </row>
    <row r="111" spans="2:17" hidden="1">
      <c r="B111" t="s">
        <v>90</v>
      </c>
      <c r="C111">
        <v>3</v>
      </c>
      <c r="D111">
        <v>18769</v>
      </c>
      <c r="E111" t="s">
        <v>231</v>
      </c>
      <c r="F111" t="s">
        <v>232</v>
      </c>
      <c r="J111">
        <v>70</v>
      </c>
      <c r="K111">
        <v>40</v>
      </c>
      <c r="N111">
        <v>110</v>
      </c>
      <c r="O111">
        <v>0</v>
      </c>
    </row>
    <row r="112" spans="2:17" hidden="1">
      <c r="B112" t="s">
        <v>73</v>
      </c>
      <c r="C112">
        <v>3</v>
      </c>
      <c r="D112">
        <v>184787</v>
      </c>
      <c r="E112" t="s">
        <v>233</v>
      </c>
      <c r="F112" t="s">
        <v>234</v>
      </c>
      <c r="G112">
        <v>5</v>
      </c>
      <c r="J112">
        <v>240</v>
      </c>
      <c r="K112">
        <v>285</v>
      </c>
      <c r="L112">
        <v>370</v>
      </c>
      <c r="M112">
        <v>1</v>
      </c>
      <c r="N112">
        <v>155</v>
      </c>
      <c r="O112" s="166">
        <v>17501</v>
      </c>
      <c r="P112">
        <v>465</v>
      </c>
      <c r="Q112">
        <v>1</v>
      </c>
    </row>
    <row r="113" spans="2:17" hidden="1">
      <c r="P113" s="166">
        <v>17036</v>
      </c>
      <c r="Q113">
        <v>2</v>
      </c>
    </row>
    <row r="114" spans="2:17" hidden="1">
      <c r="B114" t="s">
        <v>73</v>
      </c>
      <c r="C114">
        <v>3</v>
      </c>
      <c r="D114">
        <v>113719</v>
      </c>
      <c r="E114" t="s">
        <v>235</v>
      </c>
      <c r="F114" t="s">
        <v>236</v>
      </c>
      <c r="G114">
        <v>23</v>
      </c>
      <c r="J114">
        <v>42</v>
      </c>
      <c r="K114">
        <v>15</v>
      </c>
      <c r="N114">
        <v>57</v>
      </c>
      <c r="O114" s="166">
        <v>1425</v>
      </c>
      <c r="P114" s="166">
        <v>1425</v>
      </c>
      <c r="Q114">
        <v>2</v>
      </c>
    </row>
    <row r="115" spans="2:17" hidden="1">
      <c r="B115" t="s">
        <v>73</v>
      </c>
      <c r="C115">
        <v>3</v>
      </c>
      <c r="D115">
        <v>38467</v>
      </c>
      <c r="E115" t="s">
        <v>237</v>
      </c>
      <c r="F115" t="s">
        <v>234</v>
      </c>
      <c r="G115">
        <v>3</v>
      </c>
      <c r="J115">
        <v>0</v>
      </c>
      <c r="K115">
        <v>0</v>
      </c>
      <c r="N115">
        <v>0</v>
      </c>
      <c r="O115">
        <v>0</v>
      </c>
    </row>
    <row r="116" spans="2:17" hidden="1">
      <c r="B116" t="s">
        <v>90</v>
      </c>
      <c r="C116">
        <v>3</v>
      </c>
      <c r="D116">
        <v>12721</v>
      </c>
      <c r="E116" t="s">
        <v>238</v>
      </c>
      <c r="F116" t="s">
        <v>239</v>
      </c>
      <c r="J116">
        <v>0</v>
      </c>
      <c r="K116">
        <v>0</v>
      </c>
      <c r="N116">
        <v>0</v>
      </c>
      <c r="O116">
        <v>0</v>
      </c>
    </row>
    <row r="117" spans="2:17" hidden="1">
      <c r="B117" t="s">
        <v>73</v>
      </c>
      <c r="C117">
        <v>3</v>
      </c>
      <c r="D117">
        <v>214543</v>
      </c>
      <c r="E117" t="s">
        <v>240</v>
      </c>
      <c r="F117" t="s">
        <v>241</v>
      </c>
      <c r="G117">
        <v>1</v>
      </c>
      <c r="J117">
        <v>0</v>
      </c>
      <c r="K117">
        <v>0</v>
      </c>
      <c r="N117">
        <v>0</v>
      </c>
      <c r="O117">
        <v>0</v>
      </c>
    </row>
    <row r="118" spans="2:17" hidden="1">
      <c r="B118" t="s">
        <v>73</v>
      </c>
      <c r="C118">
        <v>3</v>
      </c>
      <c r="D118">
        <v>235116</v>
      </c>
      <c r="E118" t="s">
        <v>242</v>
      </c>
      <c r="F118" t="s">
        <v>243</v>
      </c>
      <c r="G118">
        <v>2</v>
      </c>
      <c r="J118">
        <v>0</v>
      </c>
      <c r="K118">
        <v>0</v>
      </c>
      <c r="N118">
        <v>0</v>
      </c>
      <c r="O118">
        <v>0</v>
      </c>
    </row>
    <row r="119" spans="2:17" hidden="1">
      <c r="B119" t="s">
        <v>73</v>
      </c>
      <c r="C119">
        <v>3</v>
      </c>
      <c r="D119">
        <v>164970</v>
      </c>
      <c r="E119" t="s">
        <v>244</v>
      </c>
      <c r="F119" t="s">
        <v>245</v>
      </c>
      <c r="G119">
        <v>1</v>
      </c>
      <c r="J119">
        <v>49</v>
      </c>
      <c r="K119">
        <v>21</v>
      </c>
      <c r="N119">
        <v>70</v>
      </c>
      <c r="O119" s="166">
        <v>2226</v>
      </c>
      <c r="P119">
        <v>98</v>
      </c>
      <c r="Q119">
        <v>1</v>
      </c>
    </row>
    <row r="120" spans="2:17" hidden="1">
      <c r="P120" s="166">
        <v>2128</v>
      </c>
      <c r="Q120">
        <v>2</v>
      </c>
    </row>
    <row r="121" spans="2:17" hidden="1">
      <c r="B121" t="s">
        <v>90</v>
      </c>
      <c r="C121">
        <v>3</v>
      </c>
      <c r="D121">
        <v>24861</v>
      </c>
      <c r="E121" t="s">
        <v>246</v>
      </c>
      <c r="F121" t="s">
        <v>247</v>
      </c>
      <c r="J121">
        <v>30</v>
      </c>
      <c r="K121">
        <v>0</v>
      </c>
      <c r="N121">
        <v>30</v>
      </c>
      <c r="O121">
        <v>24</v>
      </c>
      <c r="P121">
        <v>7</v>
      </c>
      <c r="Q121">
        <v>1</v>
      </c>
    </row>
    <row r="122" spans="2:17" hidden="1">
      <c r="P122">
        <v>17</v>
      </c>
      <c r="Q122">
        <v>2</v>
      </c>
    </row>
    <row r="123" spans="2:17" hidden="1">
      <c r="B123" t="s">
        <v>73</v>
      </c>
      <c r="C123">
        <v>3</v>
      </c>
      <c r="D123">
        <v>194105</v>
      </c>
      <c r="E123" t="s">
        <v>248</v>
      </c>
      <c r="F123" t="s">
        <v>249</v>
      </c>
      <c r="G123">
        <v>2</v>
      </c>
      <c r="J123">
        <v>0</v>
      </c>
      <c r="K123">
        <v>0</v>
      </c>
      <c r="N123">
        <v>0</v>
      </c>
      <c r="O123">
        <v>0</v>
      </c>
    </row>
    <row r="124" spans="2:17" hidden="1">
      <c r="B124" t="s">
        <v>73</v>
      </c>
      <c r="C124">
        <v>3</v>
      </c>
      <c r="D124">
        <v>130820</v>
      </c>
      <c r="E124" t="s">
        <v>250</v>
      </c>
      <c r="F124" t="s">
        <v>249</v>
      </c>
      <c r="G124">
        <v>1</v>
      </c>
      <c r="J124">
        <v>0</v>
      </c>
      <c r="K124">
        <v>0</v>
      </c>
      <c r="N124">
        <v>0</v>
      </c>
      <c r="O124">
        <v>0</v>
      </c>
    </row>
    <row r="125" spans="2:17" hidden="1">
      <c r="B125" t="s">
        <v>73</v>
      </c>
      <c r="C125">
        <v>3</v>
      </c>
      <c r="D125">
        <v>284977</v>
      </c>
      <c r="E125" t="s">
        <v>251</v>
      </c>
      <c r="F125" t="s">
        <v>252</v>
      </c>
      <c r="G125" t="s">
        <v>253</v>
      </c>
      <c r="J125">
        <v>222</v>
      </c>
      <c r="K125">
        <v>131</v>
      </c>
      <c r="L125">
        <v>183</v>
      </c>
      <c r="M125">
        <v>1</v>
      </c>
      <c r="N125">
        <v>170</v>
      </c>
      <c r="O125" s="166">
        <v>19768</v>
      </c>
      <c r="P125">
        <v>775</v>
      </c>
      <c r="Q125">
        <v>1</v>
      </c>
    </row>
    <row r="126" spans="2:17" hidden="1">
      <c r="P126" s="166">
        <v>18993</v>
      </c>
      <c r="Q126">
        <v>2</v>
      </c>
    </row>
    <row r="127" spans="2:17" hidden="1">
      <c r="B127" t="s">
        <v>73</v>
      </c>
      <c r="C127">
        <v>3</v>
      </c>
      <c r="D127">
        <v>247945</v>
      </c>
      <c r="E127" t="s">
        <v>254</v>
      </c>
      <c r="F127" t="s">
        <v>255</v>
      </c>
      <c r="G127">
        <v>2</v>
      </c>
      <c r="J127">
        <v>225</v>
      </c>
      <c r="K127">
        <v>8</v>
      </c>
      <c r="N127">
        <v>233</v>
      </c>
      <c r="O127">
        <v>537</v>
      </c>
      <c r="P127">
        <v>537</v>
      </c>
      <c r="Q127">
        <v>2</v>
      </c>
    </row>
    <row r="128" spans="2:17" hidden="1">
      <c r="B128" t="s">
        <v>73</v>
      </c>
      <c r="C128">
        <v>3</v>
      </c>
      <c r="D128">
        <v>285001</v>
      </c>
      <c r="E128" t="s">
        <v>256</v>
      </c>
      <c r="F128" t="s">
        <v>252</v>
      </c>
      <c r="G128" t="s">
        <v>227</v>
      </c>
      <c r="J128">
        <v>82</v>
      </c>
      <c r="K128">
        <v>38</v>
      </c>
      <c r="N128">
        <v>120</v>
      </c>
      <c r="O128" s="166">
        <v>13452</v>
      </c>
      <c r="P128">
        <v>651</v>
      </c>
      <c r="Q128">
        <v>1</v>
      </c>
    </row>
    <row r="129" spans="2:17" hidden="1">
      <c r="P129" s="166">
        <v>12801</v>
      </c>
      <c r="Q129">
        <v>2</v>
      </c>
    </row>
    <row r="130" spans="2:17" hidden="1">
      <c r="B130" t="s">
        <v>90</v>
      </c>
      <c r="C130">
        <v>3</v>
      </c>
      <c r="D130">
        <v>21879</v>
      </c>
      <c r="E130" t="s">
        <v>257</v>
      </c>
      <c r="F130" t="s">
        <v>258</v>
      </c>
      <c r="J130">
        <v>0</v>
      </c>
      <c r="K130">
        <v>0</v>
      </c>
      <c r="N130">
        <v>0</v>
      </c>
      <c r="O130">
        <v>0</v>
      </c>
    </row>
    <row r="131" spans="2:17" hidden="1">
      <c r="B131" t="s">
        <v>73</v>
      </c>
      <c r="C131">
        <v>3</v>
      </c>
      <c r="D131">
        <v>158027</v>
      </c>
      <c r="E131" t="s">
        <v>259</v>
      </c>
      <c r="F131" t="s">
        <v>260</v>
      </c>
      <c r="G131">
        <v>1</v>
      </c>
      <c r="J131">
        <v>0</v>
      </c>
      <c r="K131">
        <v>0</v>
      </c>
      <c r="N131">
        <v>0</v>
      </c>
      <c r="O131">
        <v>0</v>
      </c>
    </row>
    <row r="132" spans="2:17" hidden="1">
      <c r="B132" t="s">
        <v>73</v>
      </c>
      <c r="C132">
        <v>3</v>
      </c>
      <c r="D132">
        <v>193384</v>
      </c>
      <c r="E132" t="s">
        <v>261</v>
      </c>
      <c r="F132" t="s">
        <v>262</v>
      </c>
      <c r="G132">
        <v>2</v>
      </c>
      <c r="J132">
        <v>182</v>
      </c>
      <c r="K132">
        <v>28</v>
      </c>
      <c r="N132">
        <v>210</v>
      </c>
      <c r="O132" s="166">
        <v>1694</v>
      </c>
      <c r="P132">
        <v>66</v>
      </c>
      <c r="Q132">
        <v>1</v>
      </c>
    </row>
    <row r="133" spans="2:17" hidden="1">
      <c r="P133" s="166">
        <v>1628</v>
      </c>
      <c r="Q133">
        <v>2</v>
      </c>
    </row>
    <row r="134" spans="2:17" hidden="1">
      <c r="B134" t="s">
        <v>73</v>
      </c>
      <c r="C134">
        <v>3</v>
      </c>
      <c r="D134">
        <v>47134</v>
      </c>
      <c r="E134" t="s">
        <v>263</v>
      </c>
      <c r="F134" t="s">
        <v>264</v>
      </c>
      <c r="G134">
        <v>1</v>
      </c>
      <c r="J134">
        <v>0</v>
      </c>
      <c r="K134">
        <v>0</v>
      </c>
      <c r="N134">
        <v>0</v>
      </c>
      <c r="O134">
        <v>0</v>
      </c>
    </row>
    <row r="135" spans="2:17" hidden="1">
      <c r="B135" t="s">
        <v>73</v>
      </c>
      <c r="C135">
        <v>3</v>
      </c>
      <c r="D135">
        <v>158691</v>
      </c>
      <c r="E135" t="s">
        <v>265</v>
      </c>
      <c r="F135" t="s">
        <v>266</v>
      </c>
      <c r="G135">
        <v>1</v>
      </c>
      <c r="J135">
        <v>125</v>
      </c>
      <c r="K135">
        <v>0</v>
      </c>
      <c r="N135">
        <v>125</v>
      </c>
      <c r="O135">
        <v>657</v>
      </c>
      <c r="P135">
        <v>22</v>
      </c>
      <c r="Q135">
        <v>1</v>
      </c>
    </row>
    <row r="136" spans="2:17" hidden="1">
      <c r="P136">
        <v>635</v>
      </c>
      <c r="Q136">
        <v>2</v>
      </c>
    </row>
    <row r="137" spans="2:17" hidden="1">
      <c r="B137" t="s">
        <v>73</v>
      </c>
      <c r="C137">
        <v>3</v>
      </c>
      <c r="D137">
        <v>91859</v>
      </c>
      <c r="E137" t="s">
        <v>267</v>
      </c>
      <c r="F137" t="s">
        <v>268</v>
      </c>
      <c r="G137">
        <v>1</v>
      </c>
      <c r="J137">
        <v>58</v>
      </c>
      <c r="K137">
        <v>19</v>
      </c>
      <c r="N137">
        <v>77</v>
      </c>
      <c r="O137">
        <v>763</v>
      </c>
      <c r="P137">
        <v>96</v>
      </c>
      <c r="Q137">
        <v>1</v>
      </c>
    </row>
    <row r="138" spans="2:17" hidden="1">
      <c r="P138">
        <v>667</v>
      </c>
      <c r="Q138">
        <v>2</v>
      </c>
    </row>
    <row r="139" spans="2:17" hidden="1">
      <c r="B139" t="s">
        <v>73</v>
      </c>
      <c r="C139">
        <v>3</v>
      </c>
      <c r="D139">
        <v>214235</v>
      </c>
      <c r="E139" t="s">
        <v>269</v>
      </c>
      <c r="F139" t="s">
        <v>270</v>
      </c>
      <c r="G139">
        <v>2</v>
      </c>
      <c r="J139">
        <v>0</v>
      </c>
      <c r="K139">
        <v>0</v>
      </c>
      <c r="N139">
        <v>0</v>
      </c>
      <c r="O139">
        <v>0</v>
      </c>
    </row>
    <row r="140" spans="2:17" hidden="1">
      <c r="B140" t="s">
        <v>73</v>
      </c>
      <c r="C140">
        <v>3</v>
      </c>
      <c r="D140">
        <v>58664</v>
      </c>
      <c r="E140" t="s">
        <v>271</v>
      </c>
      <c r="F140" t="s">
        <v>272</v>
      </c>
      <c r="G140">
        <v>1</v>
      </c>
      <c r="J140">
        <v>0</v>
      </c>
      <c r="K140">
        <v>0</v>
      </c>
      <c r="N140">
        <v>0</v>
      </c>
      <c r="O140">
        <v>0</v>
      </c>
    </row>
    <row r="141" spans="2:17" hidden="1">
      <c r="B141" t="s">
        <v>73</v>
      </c>
      <c r="C141">
        <v>3</v>
      </c>
      <c r="D141">
        <v>238352</v>
      </c>
      <c r="E141" t="s">
        <v>273</v>
      </c>
      <c r="F141" t="s">
        <v>274</v>
      </c>
      <c r="G141">
        <v>1</v>
      </c>
      <c r="J141">
        <v>0</v>
      </c>
      <c r="K141">
        <v>0</v>
      </c>
      <c r="N141">
        <v>0</v>
      </c>
      <c r="O141">
        <v>0</v>
      </c>
    </row>
    <row r="142" spans="2:17" hidden="1">
      <c r="B142" t="s">
        <v>73</v>
      </c>
      <c r="C142">
        <v>3</v>
      </c>
      <c r="D142">
        <v>163161</v>
      </c>
      <c r="E142" t="s">
        <v>275</v>
      </c>
      <c r="F142" t="s">
        <v>276</v>
      </c>
      <c r="G142">
        <v>4</v>
      </c>
      <c r="I142">
        <v>1988</v>
      </c>
      <c r="J142">
        <v>0</v>
      </c>
      <c r="K142">
        <v>0</v>
      </c>
      <c r="N142">
        <v>0</v>
      </c>
      <c r="O142">
        <v>0</v>
      </c>
    </row>
    <row r="143" spans="2:17" hidden="1">
      <c r="B143" t="s">
        <v>73</v>
      </c>
      <c r="C143">
        <v>3</v>
      </c>
      <c r="D143">
        <v>183638</v>
      </c>
      <c r="E143" t="s">
        <v>275</v>
      </c>
      <c r="F143" t="s">
        <v>277</v>
      </c>
      <c r="G143">
        <v>1</v>
      </c>
      <c r="J143">
        <v>0</v>
      </c>
      <c r="K143">
        <v>0</v>
      </c>
      <c r="N143">
        <v>0</v>
      </c>
      <c r="O143">
        <v>199</v>
      </c>
      <c r="P143">
        <v>8</v>
      </c>
      <c r="Q143">
        <v>1</v>
      </c>
    </row>
    <row r="144" spans="2:17" hidden="1">
      <c r="P144">
        <v>191</v>
      </c>
      <c r="Q144">
        <v>2</v>
      </c>
    </row>
    <row r="145" spans="2:17" hidden="1">
      <c r="B145" t="s">
        <v>73</v>
      </c>
      <c r="C145">
        <v>3</v>
      </c>
      <c r="D145">
        <v>199834</v>
      </c>
      <c r="E145" t="s">
        <v>275</v>
      </c>
      <c r="F145" t="s">
        <v>278</v>
      </c>
      <c r="G145">
        <v>1</v>
      </c>
      <c r="I145">
        <v>1988</v>
      </c>
      <c r="J145">
        <v>119</v>
      </c>
      <c r="K145">
        <v>0</v>
      </c>
      <c r="N145">
        <v>119</v>
      </c>
      <c r="O145" s="166">
        <v>1386</v>
      </c>
      <c r="P145">
        <v>62</v>
      </c>
      <c r="Q145">
        <v>1</v>
      </c>
    </row>
    <row r="146" spans="2:17" hidden="1">
      <c r="P146" s="166">
        <v>1324</v>
      </c>
      <c r="Q146">
        <v>2</v>
      </c>
    </row>
    <row r="147" spans="2:17" hidden="1">
      <c r="B147" t="s">
        <v>73</v>
      </c>
      <c r="C147">
        <v>3</v>
      </c>
      <c r="D147">
        <v>201550</v>
      </c>
      <c r="E147" t="s">
        <v>275</v>
      </c>
      <c r="F147" t="s">
        <v>279</v>
      </c>
      <c r="G147">
        <v>3</v>
      </c>
      <c r="I147">
        <v>1988</v>
      </c>
      <c r="J147">
        <v>0</v>
      </c>
      <c r="K147">
        <v>0</v>
      </c>
      <c r="N147">
        <v>0</v>
      </c>
      <c r="O147">
        <v>89</v>
      </c>
      <c r="P147">
        <v>89</v>
      </c>
      <c r="Q147">
        <v>2</v>
      </c>
    </row>
    <row r="148" spans="2:17" hidden="1">
      <c r="B148" t="s">
        <v>73</v>
      </c>
      <c r="C148">
        <v>3</v>
      </c>
      <c r="D148">
        <v>210199</v>
      </c>
      <c r="E148" t="s">
        <v>275</v>
      </c>
      <c r="F148" t="s">
        <v>280</v>
      </c>
      <c r="G148">
        <v>1</v>
      </c>
      <c r="J148">
        <v>63</v>
      </c>
      <c r="K148">
        <v>0</v>
      </c>
      <c r="N148">
        <v>63</v>
      </c>
      <c r="O148" s="166">
        <v>1057</v>
      </c>
      <c r="P148">
        <v>30</v>
      </c>
      <c r="Q148">
        <v>1</v>
      </c>
    </row>
    <row r="149" spans="2:17" hidden="1">
      <c r="P149" s="166">
        <v>1027</v>
      </c>
      <c r="Q149">
        <v>2</v>
      </c>
    </row>
    <row r="150" spans="2:17" hidden="1">
      <c r="B150" t="s">
        <v>73</v>
      </c>
      <c r="C150">
        <v>3</v>
      </c>
      <c r="D150">
        <v>210200</v>
      </c>
      <c r="E150" t="s">
        <v>275</v>
      </c>
      <c r="F150" t="s">
        <v>281</v>
      </c>
      <c r="G150">
        <v>6</v>
      </c>
      <c r="J150">
        <v>33</v>
      </c>
      <c r="K150">
        <v>0</v>
      </c>
      <c r="N150">
        <v>33</v>
      </c>
      <c r="O150">
        <v>299</v>
      </c>
      <c r="P150">
        <v>12</v>
      </c>
      <c r="Q150">
        <v>1</v>
      </c>
    </row>
    <row r="151" spans="2:17" hidden="1">
      <c r="P151">
        <v>287</v>
      </c>
      <c r="Q151">
        <v>2</v>
      </c>
    </row>
    <row r="152" spans="2:17" hidden="1">
      <c r="B152" t="s">
        <v>73</v>
      </c>
      <c r="C152">
        <v>3</v>
      </c>
      <c r="D152">
        <v>215622</v>
      </c>
      <c r="E152" t="s">
        <v>275</v>
      </c>
      <c r="F152" t="s">
        <v>281</v>
      </c>
      <c r="G152">
        <v>2</v>
      </c>
      <c r="J152">
        <v>98</v>
      </c>
      <c r="K152">
        <v>0</v>
      </c>
      <c r="N152">
        <v>98</v>
      </c>
      <c r="O152">
        <v>0</v>
      </c>
    </row>
    <row r="153" spans="2:17" hidden="1">
      <c r="B153" t="s">
        <v>73</v>
      </c>
      <c r="C153">
        <v>3</v>
      </c>
      <c r="D153">
        <v>216963</v>
      </c>
      <c r="E153" t="s">
        <v>275</v>
      </c>
      <c r="F153" t="s">
        <v>279</v>
      </c>
      <c r="G153">
        <v>5</v>
      </c>
      <c r="J153">
        <v>0</v>
      </c>
      <c r="K153">
        <v>0</v>
      </c>
      <c r="N153">
        <v>0</v>
      </c>
      <c r="O153">
        <v>0</v>
      </c>
    </row>
    <row r="154" spans="2:17" hidden="1">
      <c r="B154" t="s">
        <v>73</v>
      </c>
      <c r="C154">
        <v>3</v>
      </c>
      <c r="D154">
        <v>217825</v>
      </c>
      <c r="E154" t="s">
        <v>275</v>
      </c>
      <c r="F154" t="s">
        <v>279</v>
      </c>
      <c r="G154">
        <v>1</v>
      </c>
      <c r="J154">
        <v>0</v>
      </c>
      <c r="K154">
        <v>0</v>
      </c>
      <c r="N154">
        <v>0</v>
      </c>
      <c r="O154" s="166">
        <v>1940</v>
      </c>
      <c r="P154">
        <v>78</v>
      </c>
      <c r="Q154">
        <v>1</v>
      </c>
    </row>
    <row r="155" spans="2:17" hidden="1">
      <c r="P155" s="166">
        <v>1862</v>
      </c>
      <c r="Q155">
        <v>2</v>
      </c>
    </row>
    <row r="156" spans="2:17" hidden="1">
      <c r="B156" t="s">
        <v>90</v>
      </c>
      <c r="C156">
        <v>3</v>
      </c>
      <c r="D156">
        <v>11349</v>
      </c>
      <c r="E156" t="s">
        <v>282</v>
      </c>
      <c r="F156" t="s">
        <v>283</v>
      </c>
      <c r="J156">
        <v>285</v>
      </c>
      <c r="K156" s="166">
        <v>1228</v>
      </c>
      <c r="L156" s="166">
        <v>1341</v>
      </c>
      <c r="M156">
        <v>1</v>
      </c>
      <c r="N156">
        <v>172</v>
      </c>
      <c r="O156">
        <v>124</v>
      </c>
      <c r="P156">
        <v>124</v>
      </c>
      <c r="Q156">
        <v>1</v>
      </c>
    </row>
    <row r="157" spans="2:17" hidden="1">
      <c r="B157" t="s">
        <v>90</v>
      </c>
      <c r="C157">
        <v>3</v>
      </c>
      <c r="D157">
        <v>27162</v>
      </c>
      <c r="E157" t="s">
        <v>282</v>
      </c>
      <c r="F157" t="s">
        <v>284</v>
      </c>
      <c r="J157">
        <v>0</v>
      </c>
      <c r="K157">
        <v>0</v>
      </c>
      <c r="N157">
        <v>0</v>
      </c>
      <c r="O157">
        <v>0</v>
      </c>
    </row>
    <row r="158" spans="2:17" hidden="1">
      <c r="B158" t="s">
        <v>73</v>
      </c>
      <c r="C158">
        <v>3</v>
      </c>
      <c r="D158">
        <v>280832</v>
      </c>
      <c r="E158" t="s">
        <v>285</v>
      </c>
      <c r="F158" t="s">
        <v>286</v>
      </c>
      <c r="G158">
        <v>1</v>
      </c>
      <c r="J158">
        <v>43</v>
      </c>
      <c r="K158">
        <v>0</v>
      </c>
      <c r="N158">
        <v>43</v>
      </c>
      <c r="O158">
        <v>45</v>
      </c>
      <c r="P158">
        <v>45</v>
      </c>
      <c r="Q158">
        <v>2</v>
      </c>
    </row>
    <row r="159" spans="2:17" hidden="1">
      <c r="B159" t="s">
        <v>73</v>
      </c>
      <c r="C159">
        <v>3</v>
      </c>
      <c r="D159">
        <v>161374</v>
      </c>
      <c r="E159" t="s">
        <v>287</v>
      </c>
      <c r="F159" t="s">
        <v>288</v>
      </c>
      <c r="G159">
        <v>1</v>
      </c>
      <c r="J159">
        <v>227</v>
      </c>
      <c r="K159">
        <v>6</v>
      </c>
      <c r="N159">
        <v>233</v>
      </c>
      <c r="O159" s="166">
        <v>1485</v>
      </c>
      <c r="P159">
        <v>60</v>
      </c>
      <c r="Q159">
        <v>1</v>
      </c>
    </row>
    <row r="160" spans="2:17" hidden="1">
      <c r="P160" s="166">
        <v>1425</v>
      </c>
      <c r="Q160">
        <v>2</v>
      </c>
    </row>
    <row r="161" spans="2:17" hidden="1">
      <c r="B161" t="s">
        <v>90</v>
      </c>
      <c r="C161">
        <v>3</v>
      </c>
      <c r="D161">
        <v>19798</v>
      </c>
      <c r="E161" t="s">
        <v>289</v>
      </c>
      <c r="F161" t="s">
        <v>290</v>
      </c>
      <c r="J161">
        <v>70</v>
      </c>
      <c r="K161">
        <v>0</v>
      </c>
      <c r="N161">
        <v>70</v>
      </c>
      <c r="O161">
        <v>0</v>
      </c>
    </row>
    <row r="162" spans="2:17" hidden="1">
      <c r="B162" t="s">
        <v>90</v>
      </c>
      <c r="C162">
        <v>3</v>
      </c>
      <c r="D162">
        <v>25782</v>
      </c>
      <c r="E162" t="s">
        <v>291</v>
      </c>
      <c r="F162" t="s">
        <v>292</v>
      </c>
      <c r="J162">
        <v>109</v>
      </c>
      <c r="K162">
        <v>65</v>
      </c>
      <c r="N162">
        <v>174</v>
      </c>
      <c r="O162">
        <v>57</v>
      </c>
      <c r="P162">
        <v>57</v>
      </c>
      <c r="Q162">
        <v>2</v>
      </c>
    </row>
    <row r="163" spans="2:17" hidden="1">
      <c r="B163" t="s">
        <v>90</v>
      </c>
      <c r="C163">
        <v>3</v>
      </c>
      <c r="D163">
        <v>25785</v>
      </c>
      <c r="E163" t="s">
        <v>291</v>
      </c>
      <c r="F163" t="s">
        <v>286</v>
      </c>
      <c r="J163">
        <v>0</v>
      </c>
      <c r="K163">
        <v>0</v>
      </c>
      <c r="N163">
        <v>0</v>
      </c>
      <c r="O163">
        <v>0</v>
      </c>
    </row>
    <row r="164" spans="2:17" hidden="1">
      <c r="B164" t="s">
        <v>73</v>
      </c>
      <c r="C164">
        <v>3</v>
      </c>
      <c r="D164">
        <v>179674</v>
      </c>
      <c r="E164" t="s">
        <v>293</v>
      </c>
      <c r="F164" t="s">
        <v>294</v>
      </c>
      <c r="G164">
        <v>5</v>
      </c>
      <c r="J164">
        <v>0</v>
      </c>
      <c r="K164">
        <v>0</v>
      </c>
      <c r="N164">
        <v>0</v>
      </c>
      <c r="O164">
        <v>0</v>
      </c>
    </row>
    <row r="165" spans="2:17" hidden="1">
      <c r="B165" t="s">
        <v>90</v>
      </c>
      <c r="C165">
        <v>3</v>
      </c>
      <c r="D165">
        <v>24644</v>
      </c>
      <c r="E165" t="s">
        <v>295</v>
      </c>
      <c r="F165" t="s">
        <v>296</v>
      </c>
      <c r="J165">
        <v>153</v>
      </c>
      <c r="K165">
        <v>313</v>
      </c>
      <c r="L165">
        <v>340</v>
      </c>
      <c r="M165">
        <v>1</v>
      </c>
      <c r="N165">
        <v>126</v>
      </c>
      <c r="O165" s="166">
        <v>2054</v>
      </c>
      <c r="P165" s="166">
        <v>2054</v>
      </c>
      <c r="Q165">
        <v>2</v>
      </c>
    </row>
    <row r="166" spans="2:17" hidden="1">
      <c r="B166" t="s">
        <v>73</v>
      </c>
      <c r="C166">
        <v>3</v>
      </c>
      <c r="D166">
        <v>129832</v>
      </c>
      <c r="E166" t="s">
        <v>295</v>
      </c>
      <c r="F166" t="s">
        <v>296</v>
      </c>
      <c r="G166">
        <v>3</v>
      </c>
      <c r="J166">
        <v>0</v>
      </c>
      <c r="K166">
        <v>0</v>
      </c>
      <c r="N166">
        <v>0</v>
      </c>
      <c r="O166">
        <v>0</v>
      </c>
    </row>
    <row r="167" spans="2:17" hidden="1">
      <c r="B167" t="s">
        <v>73</v>
      </c>
      <c r="C167">
        <v>3</v>
      </c>
      <c r="D167">
        <v>127418</v>
      </c>
      <c r="E167" t="s">
        <v>297</v>
      </c>
      <c r="F167" t="s">
        <v>296</v>
      </c>
      <c r="G167">
        <v>5</v>
      </c>
      <c r="J167">
        <v>0</v>
      </c>
      <c r="K167">
        <v>0</v>
      </c>
      <c r="N167">
        <v>0</v>
      </c>
      <c r="O167">
        <v>0</v>
      </c>
    </row>
    <row r="168" spans="2:17" hidden="1">
      <c r="B168" t="s">
        <v>73</v>
      </c>
      <c r="C168">
        <v>3</v>
      </c>
      <c r="D168">
        <v>128149</v>
      </c>
      <c r="E168" t="s">
        <v>297</v>
      </c>
      <c r="F168" t="s">
        <v>296</v>
      </c>
      <c r="G168">
        <v>4</v>
      </c>
      <c r="J168">
        <v>0</v>
      </c>
      <c r="K168">
        <v>0</v>
      </c>
      <c r="N168">
        <v>0</v>
      </c>
      <c r="O168">
        <v>0</v>
      </c>
    </row>
    <row r="169" spans="2:17" hidden="1">
      <c r="B169" t="s">
        <v>90</v>
      </c>
      <c r="C169">
        <v>3</v>
      </c>
      <c r="D169">
        <v>24414</v>
      </c>
      <c r="E169" t="s">
        <v>298</v>
      </c>
      <c r="F169" t="s">
        <v>299</v>
      </c>
      <c r="J169">
        <v>0</v>
      </c>
      <c r="K169">
        <v>0</v>
      </c>
      <c r="N169">
        <v>0</v>
      </c>
      <c r="O169">
        <v>0</v>
      </c>
    </row>
    <row r="170" spans="2:17" hidden="1">
      <c r="B170" t="s">
        <v>73</v>
      </c>
      <c r="C170">
        <v>3</v>
      </c>
      <c r="D170">
        <v>201104</v>
      </c>
      <c r="E170" t="s">
        <v>300</v>
      </c>
      <c r="F170" t="s">
        <v>301</v>
      </c>
      <c r="G170" t="s">
        <v>302</v>
      </c>
      <c r="J170">
        <v>0</v>
      </c>
      <c r="K170">
        <v>0</v>
      </c>
      <c r="N170">
        <v>0</v>
      </c>
      <c r="O170">
        <v>0</v>
      </c>
    </row>
    <row r="171" spans="2:17" hidden="1">
      <c r="B171" t="s">
        <v>90</v>
      </c>
      <c r="C171">
        <v>3</v>
      </c>
      <c r="D171">
        <v>22499</v>
      </c>
      <c r="E171" t="s">
        <v>303</v>
      </c>
      <c r="F171" t="s">
        <v>304</v>
      </c>
      <c r="J171">
        <v>0</v>
      </c>
      <c r="K171">
        <v>0</v>
      </c>
      <c r="N171">
        <v>0</v>
      </c>
      <c r="O171">
        <v>0</v>
      </c>
    </row>
    <row r="172" spans="2:17" hidden="1">
      <c r="B172" t="s">
        <v>73</v>
      </c>
      <c r="C172">
        <v>3</v>
      </c>
      <c r="D172">
        <v>200844</v>
      </c>
      <c r="E172" t="s">
        <v>305</v>
      </c>
      <c r="F172" t="s">
        <v>306</v>
      </c>
      <c r="G172">
        <v>1</v>
      </c>
      <c r="J172">
        <v>135</v>
      </c>
      <c r="K172">
        <v>0</v>
      </c>
      <c r="N172">
        <v>135</v>
      </c>
      <c r="O172">
        <v>0</v>
      </c>
    </row>
    <row r="173" spans="2:17" hidden="1">
      <c r="B173" t="s">
        <v>73</v>
      </c>
      <c r="C173">
        <v>3</v>
      </c>
      <c r="D173">
        <v>283360</v>
      </c>
      <c r="E173" t="s">
        <v>307</v>
      </c>
      <c r="F173" t="s">
        <v>182</v>
      </c>
      <c r="G173" t="s">
        <v>308</v>
      </c>
      <c r="J173">
        <v>134</v>
      </c>
      <c r="K173">
        <v>0</v>
      </c>
      <c r="N173">
        <v>134</v>
      </c>
      <c r="O173">
        <v>0</v>
      </c>
    </row>
    <row r="174" spans="2:17" hidden="1">
      <c r="B174" t="s">
        <v>90</v>
      </c>
      <c r="C174">
        <v>4</v>
      </c>
      <c r="D174">
        <v>13355</v>
      </c>
      <c r="E174" t="s">
        <v>309</v>
      </c>
      <c r="F174" t="s">
        <v>310</v>
      </c>
      <c r="J174">
        <v>212</v>
      </c>
      <c r="K174">
        <v>62</v>
      </c>
      <c r="L174">
        <v>181</v>
      </c>
      <c r="M174">
        <v>1</v>
      </c>
      <c r="N174">
        <v>93</v>
      </c>
      <c r="O174">
        <v>251</v>
      </c>
      <c r="P174">
        <v>251</v>
      </c>
      <c r="Q174">
        <v>2</v>
      </c>
    </row>
    <row r="175" spans="2:17" hidden="1">
      <c r="B175" t="s">
        <v>73</v>
      </c>
      <c r="C175">
        <v>4</v>
      </c>
      <c r="D175">
        <v>225615</v>
      </c>
      <c r="E175" t="s">
        <v>309</v>
      </c>
      <c r="F175" t="s">
        <v>311</v>
      </c>
      <c r="G175">
        <v>1</v>
      </c>
      <c r="J175">
        <v>0</v>
      </c>
      <c r="K175">
        <v>0</v>
      </c>
      <c r="N175">
        <v>0</v>
      </c>
      <c r="O175">
        <v>0</v>
      </c>
    </row>
    <row r="176" spans="2:17" hidden="1">
      <c r="B176" t="s">
        <v>73</v>
      </c>
      <c r="C176">
        <v>4</v>
      </c>
      <c r="D176">
        <v>115364</v>
      </c>
      <c r="E176" t="s">
        <v>312</v>
      </c>
      <c r="F176" t="s">
        <v>313</v>
      </c>
      <c r="G176">
        <v>1</v>
      </c>
      <c r="J176">
        <v>0</v>
      </c>
      <c r="K176">
        <v>0</v>
      </c>
      <c r="N176">
        <v>0</v>
      </c>
      <c r="O176">
        <v>0</v>
      </c>
    </row>
    <row r="177" spans="1:17" hidden="1">
      <c r="A177" t="s">
        <v>1152</v>
      </c>
      <c r="B177" t="s">
        <v>90</v>
      </c>
      <c r="C177">
        <v>4</v>
      </c>
      <c r="D177">
        <v>13410</v>
      </c>
      <c r="E177" t="s">
        <v>314</v>
      </c>
      <c r="F177" t="s">
        <v>315</v>
      </c>
      <c r="J177">
        <v>235</v>
      </c>
      <c r="K177">
        <v>0</v>
      </c>
      <c r="N177">
        <v>235</v>
      </c>
      <c r="O177">
        <v>0</v>
      </c>
    </row>
    <row r="178" spans="1:17" hidden="1">
      <c r="B178" t="s">
        <v>73</v>
      </c>
      <c r="C178">
        <v>4</v>
      </c>
      <c r="D178">
        <v>255120</v>
      </c>
      <c r="E178" t="s">
        <v>316</v>
      </c>
      <c r="F178" t="s">
        <v>317</v>
      </c>
      <c r="G178">
        <v>1</v>
      </c>
      <c r="J178">
        <v>0</v>
      </c>
      <c r="K178">
        <v>0</v>
      </c>
      <c r="N178">
        <v>0</v>
      </c>
      <c r="O178" s="166">
        <v>1636</v>
      </c>
      <c r="P178">
        <v>310</v>
      </c>
      <c r="Q178">
        <v>1</v>
      </c>
    </row>
    <row r="179" spans="1:17" hidden="1">
      <c r="P179" s="166">
        <v>1326</v>
      </c>
      <c r="Q179">
        <v>2</v>
      </c>
    </row>
    <row r="180" spans="1:17" hidden="1">
      <c r="B180" t="s">
        <v>73</v>
      </c>
      <c r="C180">
        <v>4</v>
      </c>
      <c r="D180">
        <v>39333</v>
      </c>
      <c r="E180" t="s">
        <v>318</v>
      </c>
      <c r="F180" t="s">
        <v>319</v>
      </c>
      <c r="G180">
        <v>1</v>
      </c>
      <c r="J180">
        <v>0</v>
      </c>
      <c r="K180">
        <v>0</v>
      </c>
      <c r="N180">
        <v>0</v>
      </c>
      <c r="O180">
        <v>0</v>
      </c>
    </row>
    <row r="181" spans="1:17" hidden="1">
      <c r="B181" t="s">
        <v>90</v>
      </c>
      <c r="C181">
        <v>4</v>
      </c>
      <c r="D181">
        <v>13726</v>
      </c>
      <c r="E181" t="s">
        <v>320</v>
      </c>
      <c r="F181" t="s">
        <v>321</v>
      </c>
      <c r="J181">
        <v>90</v>
      </c>
      <c r="K181">
        <v>0</v>
      </c>
      <c r="N181">
        <v>90</v>
      </c>
      <c r="O181">
        <v>0</v>
      </c>
    </row>
    <row r="182" spans="1:17" hidden="1">
      <c r="B182" t="s">
        <v>73</v>
      </c>
      <c r="C182">
        <v>4</v>
      </c>
      <c r="D182">
        <v>167923</v>
      </c>
      <c r="E182" t="s">
        <v>322</v>
      </c>
      <c r="F182" t="s">
        <v>323</v>
      </c>
      <c r="G182">
        <v>1</v>
      </c>
      <c r="J182">
        <v>0</v>
      </c>
      <c r="K182">
        <v>0</v>
      </c>
      <c r="N182">
        <v>0</v>
      </c>
      <c r="O182">
        <v>0</v>
      </c>
    </row>
    <row r="183" spans="1:17" hidden="1">
      <c r="B183" t="s">
        <v>90</v>
      </c>
      <c r="C183">
        <v>4</v>
      </c>
      <c r="D183">
        <v>12863</v>
      </c>
      <c r="E183" t="s">
        <v>324</v>
      </c>
      <c r="F183" t="s">
        <v>325</v>
      </c>
      <c r="J183">
        <v>0</v>
      </c>
      <c r="K183">
        <v>0</v>
      </c>
      <c r="N183">
        <v>0</v>
      </c>
      <c r="O183">
        <v>0</v>
      </c>
    </row>
    <row r="184" spans="1:17" hidden="1">
      <c r="B184" t="s">
        <v>73</v>
      </c>
      <c r="C184">
        <v>4</v>
      </c>
      <c r="D184">
        <v>244496</v>
      </c>
      <c r="E184" t="s">
        <v>326</v>
      </c>
      <c r="F184" t="s">
        <v>327</v>
      </c>
      <c r="G184">
        <v>1</v>
      </c>
      <c r="J184">
        <v>162</v>
      </c>
      <c r="K184">
        <v>0</v>
      </c>
      <c r="N184">
        <v>162</v>
      </c>
      <c r="O184" s="166">
        <v>3251</v>
      </c>
      <c r="P184">
        <v>163</v>
      </c>
      <c r="Q184">
        <v>1</v>
      </c>
    </row>
    <row r="185" spans="1:17" hidden="1">
      <c r="P185" s="166">
        <v>3088</v>
      </c>
      <c r="Q185">
        <v>2</v>
      </c>
    </row>
    <row r="186" spans="1:17" hidden="1">
      <c r="B186" t="s">
        <v>73</v>
      </c>
      <c r="C186">
        <v>4</v>
      </c>
      <c r="D186">
        <v>248176</v>
      </c>
      <c r="E186" t="s">
        <v>326</v>
      </c>
      <c r="F186" t="s">
        <v>327</v>
      </c>
      <c r="G186">
        <v>2</v>
      </c>
      <c r="J186">
        <v>0</v>
      </c>
      <c r="K186">
        <v>0</v>
      </c>
      <c r="N186">
        <v>0</v>
      </c>
      <c r="O186" s="166">
        <v>2684</v>
      </c>
      <c r="P186">
        <v>134</v>
      </c>
      <c r="Q186">
        <v>1</v>
      </c>
    </row>
    <row r="187" spans="1:17" hidden="1">
      <c r="P187" s="166">
        <v>2550</v>
      </c>
      <c r="Q187">
        <v>2</v>
      </c>
    </row>
    <row r="188" spans="1:17" hidden="1">
      <c r="B188" t="s">
        <v>73</v>
      </c>
      <c r="C188">
        <v>4</v>
      </c>
      <c r="D188">
        <v>250087</v>
      </c>
      <c r="E188" t="s">
        <v>326</v>
      </c>
      <c r="F188" t="s">
        <v>328</v>
      </c>
      <c r="G188">
        <v>1</v>
      </c>
      <c r="J188">
        <v>24</v>
      </c>
      <c r="K188">
        <v>0</v>
      </c>
      <c r="N188">
        <v>24</v>
      </c>
      <c r="O188" s="166">
        <v>4711</v>
      </c>
      <c r="P188">
        <v>294</v>
      </c>
      <c r="Q188">
        <v>1</v>
      </c>
    </row>
    <row r="189" spans="1:17" hidden="1">
      <c r="P189" s="166">
        <v>4417</v>
      </c>
      <c r="Q189">
        <v>2</v>
      </c>
    </row>
    <row r="190" spans="1:17" hidden="1">
      <c r="B190" t="s">
        <v>73</v>
      </c>
      <c r="C190">
        <v>4</v>
      </c>
      <c r="D190">
        <v>255119</v>
      </c>
      <c r="E190" t="s">
        <v>326</v>
      </c>
      <c r="F190" t="s">
        <v>327</v>
      </c>
      <c r="G190">
        <v>3</v>
      </c>
      <c r="J190">
        <v>0</v>
      </c>
      <c r="K190">
        <v>0</v>
      </c>
      <c r="N190">
        <v>0</v>
      </c>
      <c r="O190">
        <v>579</v>
      </c>
      <c r="P190">
        <v>36</v>
      </c>
      <c r="Q190">
        <v>1</v>
      </c>
    </row>
    <row r="191" spans="1:17" hidden="1">
      <c r="P191">
        <v>543</v>
      </c>
      <c r="Q191">
        <v>2</v>
      </c>
    </row>
    <row r="192" spans="1:17" hidden="1">
      <c r="B192" t="s">
        <v>90</v>
      </c>
      <c r="C192">
        <v>4</v>
      </c>
      <c r="D192">
        <v>12696</v>
      </c>
      <c r="E192" t="s">
        <v>329</v>
      </c>
      <c r="F192" t="s">
        <v>330</v>
      </c>
      <c r="J192">
        <v>47</v>
      </c>
      <c r="K192">
        <v>0</v>
      </c>
      <c r="N192">
        <v>47</v>
      </c>
      <c r="O192">
        <v>0</v>
      </c>
    </row>
    <row r="193" spans="2:17" hidden="1">
      <c r="B193" t="s">
        <v>90</v>
      </c>
      <c r="C193">
        <v>4</v>
      </c>
      <c r="D193">
        <v>13742</v>
      </c>
      <c r="E193" t="s">
        <v>331</v>
      </c>
      <c r="F193" t="s">
        <v>332</v>
      </c>
      <c r="J193">
        <v>52</v>
      </c>
      <c r="K193">
        <v>0</v>
      </c>
      <c r="N193">
        <v>52</v>
      </c>
      <c r="O193">
        <v>0</v>
      </c>
    </row>
    <row r="194" spans="2:17" hidden="1">
      <c r="B194" t="s">
        <v>73</v>
      </c>
      <c r="C194">
        <v>4</v>
      </c>
      <c r="D194">
        <v>54242</v>
      </c>
      <c r="E194" t="s">
        <v>333</v>
      </c>
      <c r="F194" t="s">
        <v>334</v>
      </c>
      <c r="G194">
        <v>2</v>
      </c>
      <c r="J194">
        <v>0</v>
      </c>
      <c r="K194">
        <v>0</v>
      </c>
      <c r="N194">
        <v>0</v>
      </c>
      <c r="O194">
        <v>0</v>
      </c>
    </row>
    <row r="195" spans="2:17" hidden="1">
      <c r="B195" t="s">
        <v>90</v>
      </c>
      <c r="C195">
        <v>4</v>
      </c>
      <c r="D195">
        <v>10325</v>
      </c>
      <c r="E195" t="s">
        <v>335</v>
      </c>
      <c r="F195" t="s">
        <v>336</v>
      </c>
      <c r="J195">
        <v>160</v>
      </c>
      <c r="K195">
        <v>3</v>
      </c>
      <c r="L195">
        <v>106</v>
      </c>
      <c r="M195">
        <v>1</v>
      </c>
      <c r="N195">
        <v>57</v>
      </c>
      <c r="O195">
        <v>0</v>
      </c>
    </row>
    <row r="196" spans="2:17" hidden="1">
      <c r="B196" t="s">
        <v>90</v>
      </c>
      <c r="C196">
        <v>4</v>
      </c>
      <c r="D196">
        <v>10563</v>
      </c>
      <c r="E196" t="s">
        <v>335</v>
      </c>
      <c r="F196" t="s">
        <v>337</v>
      </c>
      <c r="J196">
        <v>69</v>
      </c>
      <c r="K196">
        <v>0</v>
      </c>
      <c r="N196">
        <v>69</v>
      </c>
      <c r="O196">
        <v>0</v>
      </c>
    </row>
    <row r="197" spans="2:17" hidden="1">
      <c r="B197" t="s">
        <v>73</v>
      </c>
      <c r="C197">
        <v>4</v>
      </c>
      <c r="D197">
        <v>212342</v>
      </c>
      <c r="E197" t="s">
        <v>338</v>
      </c>
      <c r="F197" t="s">
        <v>339</v>
      </c>
      <c r="G197">
        <v>2</v>
      </c>
      <c r="J197">
        <v>0</v>
      </c>
      <c r="K197">
        <v>0</v>
      </c>
      <c r="N197">
        <v>0</v>
      </c>
      <c r="O197" s="166">
        <v>2734</v>
      </c>
      <c r="P197">
        <v>124</v>
      </c>
      <c r="Q197">
        <v>1</v>
      </c>
    </row>
    <row r="198" spans="2:17" hidden="1">
      <c r="P198" s="166">
        <v>2610</v>
      </c>
      <c r="Q198">
        <v>2</v>
      </c>
    </row>
    <row r="199" spans="2:17" hidden="1">
      <c r="B199" t="s">
        <v>73</v>
      </c>
      <c r="C199">
        <v>4</v>
      </c>
      <c r="D199">
        <v>213792</v>
      </c>
      <c r="E199" t="s">
        <v>338</v>
      </c>
      <c r="F199" t="s">
        <v>339</v>
      </c>
      <c r="G199">
        <v>1</v>
      </c>
      <c r="J199">
        <v>43</v>
      </c>
      <c r="K199">
        <v>0</v>
      </c>
      <c r="N199">
        <v>43</v>
      </c>
      <c r="O199">
        <v>0</v>
      </c>
    </row>
    <row r="200" spans="2:17" hidden="1">
      <c r="B200" t="s">
        <v>73</v>
      </c>
      <c r="C200">
        <v>4</v>
      </c>
      <c r="D200">
        <v>173434</v>
      </c>
      <c r="E200" t="s">
        <v>340</v>
      </c>
      <c r="F200" t="s">
        <v>341</v>
      </c>
      <c r="G200">
        <v>2</v>
      </c>
      <c r="J200">
        <v>169</v>
      </c>
      <c r="K200">
        <v>0</v>
      </c>
      <c r="N200">
        <v>169</v>
      </c>
      <c r="O200">
        <v>122</v>
      </c>
      <c r="P200">
        <v>122</v>
      </c>
      <c r="Q200">
        <v>2</v>
      </c>
    </row>
    <row r="201" spans="2:17" hidden="1">
      <c r="B201" t="s">
        <v>73</v>
      </c>
      <c r="C201">
        <v>4</v>
      </c>
      <c r="D201">
        <v>252973</v>
      </c>
      <c r="E201" t="s">
        <v>342</v>
      </c>
      <c r="F201" t="s">
        <v>343</v>
      </c>
      <c r="G201">
        <v>1</v>
      </c>
      <c r="J201">
        <v>93</v>
      </c>
      <c r="K201">
        <v>0</v>
      </c>
      <c r="N201">
        <v>93</v>
      </c>
      <c r="O201">
        <v>0</v>
      </c>
    </row>
    <row r="202" spans="2:17" hidden="1">
      <c r="B202" t="s">
        <v>73</v>
      </c>
      <c r="C202">
        <v>4</v>
      </c>
      <c r="D202">
        <v>201238</v>
      </c>
      <c r="E202" t="s">
        <v>344</v>
      </c>
      <c r="F202" t="s">
        <v>345</v>
      </c>
      <c r="G202" t="s">
        <v>346</v>
      </c>
      <c r="J202">
        <v>39</v>
      </c>
      <c r="K202">
        <v>0</v>
      </c>
      <c r="N202">
        <v>39</v>
      </c>
      <c r="O202" s="166">
        <v>5855</v>
      </c>
      <c r="P202" s="166">
        <v>5855</v>
      </c>
      <c r="Q202">
        <v>2</v>
      </c>
    </row>
    <row r="203" spans="2:17" hidden="1">
      <c r="B203" t="s">
        <v>73</v>
      </c>
      <c r="C203">
        <v>4</v>
      </c>
      <c r="D203">
        <v>242290</v>
      </c>
      <c r="E203" t="s">
        <v>347</v>
      </c>
      <c r="F203" t="s">
        <v>345</v>
      </c>
      <c r="G203">
        <v>20</v>
      </c>
      <c r="J203">
        <v>0</v>
      </c>
      <c r="K203">
        <v>0</v>
      </c>
      <c r="N203">
        <v>0</v>
      </c>
      <c r="O203">
        <v>0</v>
      </c>
    </row>
    <row r="204" spans="2:17" hidden="1">
      <c r="B204" t="s">
        <v>73</v>
      </c>
      <c r="C204">
        <v>4</v>
      </c>
      <c r="D204">
        <v>198253</v>
      </c>
      <c r="E204" t="s">
        <v>348</v>
      </c>
      <c r="F204" t="s">
        <v>345</v>
      </c>
      <c r="G204" t="s">
        <v>349</v>
      </c>
      <c r="J204">
        <v>0</v>
      </c>
      <c r="K204">
        <v>0</v>
      </c>
      <c r="N204">
        <v>0</v>
      </c>
      <c r="O204">
        <v>0</v>
      </c>
    </row>
    <row r="205" spans="2:17" hidden="1">
      <c r="B205" t="s">
        <v>73</v>
      </c>
      <c r="C205">
        <v>4</v>
      </c>
      <c r="D205">
        <v>159856</v>
      </c>
      <c r="E205" t="s">
        <v>350</v>
      </c>
      <c r="F205" t="s">
        <v>345</v>
      </c>
      <c r="G205" t="s">
        <v>351</v>
      </c>
      <c r="J205">
        <v>0</v>
      </c>
      <c r="K205">
        <v>0</v>
      </c>
      <c r="N205">
        <v>0</v>
      </c>
      <c r="O205">
        <v>0</v>
      </c>
    </row>
    <row r="206" spans="2:17" hidden="1">
      <c r="B206" t="s">
        <v>73</v>
      </c>
      <c r="C206">
        <v>4</v>
      </c>
      <c r="D206">
        <v>162080</v>
      </c>
      <c r="E206" t="s">
        <v>352</v>
      </c>
      <c r="F206" t="s">
        <v>353</v>
      </c>
      <c r="G206">
        <v>14</v>
      </c>
      <c r="J206">
        <v>3</v>
      </c>
      <c r="K206">
        <v>0</v>
      </c>
      <c r="N206">
        <v>3</v>
      </c>
      <c r="O206">
        <v>491</v>
      </c>
      <c r="P206">
        <v>491</v>
      </c>
      <c r="Q206">
        <v>2</v>
      </c>
    </row>
    <row r="207" spans="2:17" hidden="1">
      <c r="B207" t="s">
        <v>73</v>
      </c>
      <c r="C207">
        <v>4</v>
      </c>
      <c r="D207">
        <v>11877</v>
      </c>
      <c r="E207" t="s">
        <v>354</v>
      </c>
      <c r="F207" t="s">
        <v>355</v>
      </c>
      <c r="G207">
        <v>1</v>
      </c>
      <c r="J207">
        <v>0</v>
      </c>
      <c r="K207">
        <v>0</v>
      </c>
      <c r="N207">
        <v>0</v>
      </c>
      <c r="O207">
        <v>281</v>
      </c>
      <c r="P207">
        <v>281</v>
      </c>
      <c r="Q207">
        <v>2</v>
      </c>
    </row>
    <row r="208" spans="2:17" hidden="1">
      <c r="B208" t="s">
        <v>73</v>
      </c>
      <c r="C208">
        <v>4</v>
      </c>
      <c r="D208">
        <v>11885</v>
      </c>
      <c r="E208" t="s">
        <v>354</v>
      </c>
      <c r="F208" t="s">
        <v>356</v>
      </c>
      <c r="G208">
        <v>2</v>
      </c>
      <c r="J208">
        <v>0</v>
      </c>
      <c r="K208">
        <v>0</v>
      </c>
      <c r="N208">
        <v>0</v>
      </c>
      <c r="O208">
        <v>0</v>
      </c>
    </row>
    <row r="209" spans="2:17" hidden="1">
      <c r="B209" t="s">
        <v>73</v>
      </c>
      <c r="C209">
        <v>4</v>
      </c>
      <c r="D209">
        <v>191863</v>
      </c>
      <c r="E209" t="s">
        <v>354</v>
      </c>
      <c r="F209" t="s">
        <v>357</v>
      </c>
      <c r="G209">
        <v>3</v>
      </c>
      <c r="J209">
        <v>0</v>
      </c>
      <c r="K209">
        <v>0</v>
      </c>
      <c r="N209">
        <v>0</v>
      </c>
      <c r="O209">
        <v>0</v>
      </c>
    </row>
    <row r="210" spans="2:17" hidden="1">
      <c r="B210" t="s">
        <v>73</v>
      </c>
      <c r="C210">
        <v>4</v>
      </c>
      <c r="D210">
        <v>194224</v>
      </c>
      <c r="E210" t="s">
        <v>358</v>
      </c>
      <c r="F210" t="s">
        <v>359</v>
      </c>
      <c r="G210">
        <v>2</v>
      </c>
      <c r="J210">
        <v>246</v>
      </c>
      <c r="K210">
        <v>10</v>
      </c>
      <c r="N210">
        <v>256</v>
      </c>
      <c r="O210" s="166">
        <v>1672</v>
      </c>
      <c r="P210">
        <v>75</v>
      </c>
      <c r="Q210">
        <v>1</v>
      </c>
    </row>
    <row r="211" spans="2:17" hidden="1">
      <c r="P211" s="166">
        <v>1597</v>
      </c>
      <c r="Q211">
        <v>2</v>
      </c>
    </row>
    <row r="212" spans="2:17" hidden="1">
      <c r="B212" t="s">
        <v>73</v>
      </c>
      <c r="C212">
        <v>4</v>
      </c>
      <c r="D212">
        <v>127818</v>
      </c>
      <c r="E212" t="s">
        <v>360</v>
      </c>
      <c r="F212" t="s">
        <v>361</v>
      </c>
      <c r="G212">
        <v>1</v>
      </c>
      <c r="J212">
        <v>166</v>
      </c>
      <c r="K212">
        <v>0</v>
      </c>
      <c r="N212">
        <v>166</v>
      </c>
      <c r="O212">
        <v>0</v>
      </c>
    </row>
    <row r="213" spans="2:17" hidden="1">
      <c r="B213" t="s">
        <v>73</v>
      </c>
      <c r="C213">
        <v>4</v>
      </c>
      <c r="D213">
        <v>276012</v>
      </c>
      <c r="E213" t="s">
        <v>362</v>
      </c>
      <c r="F213" t="s">
        <v>363</v>
      </c>
      <c r="G213" t="s">
        <v>364</v>
      </c>
      <c r="I213">
        <v>5050</v>
      </c>
      <c r="J213">
        <v>62</v>
      </c>
      <c r="K213">
        <v>0</v>
      </c>
      <c r="N213">
        <v>62</v>
      </c>
      <c r="O213" s="166">
        <v>3471</v>
      </c>
      <c r="P213" s="166">
        <v>3471</v>
      </c>
      <c r="Q213">
        <v>2</v>
      </c>
    </row>
    <row r="214" spans="2:17" hidden="1">
      <c r="B214" t="s">
        <v>73</v>
      </c>
      <c r="C214">
        <v>4</v>
      </c>
      <c r="D214">
        <v>192315</v>
      </c>
      <c r="E214" t="s">
        <v>365</v>
      </c>
      <c r="F214" t="s">
        <v>366</v>
      </c>
      <c r="G214">
        <v>2</v>
      </c>
      <c r="J214">
        <v>0</v>
      </c>
      <c r="K214">
        <v>0</v>
      </c>
      <c r="N214">
        <v>0</v>
      </c>
      <c r="O214">
        <v>0</v>
      </c>
    </row>
    <row r="215" spans="2:17" hidden="1">
      <c r="B215" t="s">
        <v>73</v>
      </c>
      <c r="C215">
        <v>4</v>
      </c>
      <c r="D215">
        <v>140637</v>
      </c>
      <c r="E215" t="s">
        <v>367</v>
      </c>
      <c r="F215" t="s">
        <v>368</v>
      </c>
      <c r="G215">
        <v>1</v>
      </c>
      <c r="J215">
        <v>92</v>
      </c>
      <c r="K215">
        <v>0</v>
      </c>
      <c r="N215">
        <v>92</v>
      </c>
      <c r="O215">
        <v>0</v>
      </c>
    </row>
    <row r="216" spans="2:17" hidden="1">
      <c r="B216" t="s">
        <v>73</v>
      </c>
      <c r="C216">
        <v>4</v>
      </c>
      <c r="D216">
        <v>120373</v>
      </c>
      <c r="E216" t="s">
        <v>369</v>
      </c>
      <c r="F216" t="s">
        <v>370</v>
      </c>
      <c r="G216">
        <v>1</v>
      </c>
      <c r="J216">
        <v>0</v>
      </c>
      <c r="K216">
        <v>0</v>
      </c>
      <c r="N216">
        <v>0</v>
      </c>
      <c r="O216">
        <v>0</v>
      </c>
    </row>
    <row r="217" spans="2:17" hidden="1">
      <c r="B217" t="s">
        <v>90</v>
      </c>
      <c r="C217">
        <v>4</v>
      </c>
      <c r="D217">
        <v>14061</v>
      </c>
      <c r="E217" t="s">
        <v>371</v>
      </c>
      <c r="F217" t="s">
        <v>372</v>
      </c>
      <c r="J217">
        <v>157</v>
      </c>
      <c r="K217">
        <v>275</v>
      </c>
      <c r="L217">
        <v>318</v>
      </c>
      <c r="M217">
        <v>1</v>
      </c>
      <c r="N217">
        <v>114</v>
      </c>
      <c r="O217">
        <v>0</v>
      </c>
    </row>
    <row r="218" spans="2:17" hidden="1">
      <c r="B218" t="s">
        <v>73</v>
      </c>
      <c r="C218">
        <v>4</v>
      </c>
      <c r="D218">
        <v>195786</v>
      </c>
      <c r="E218" t="s">
        <v>373</v>
      </c>
      <c r="F218" t="s">
        <v>374</v>
      </c>
      <c r="G218">
        <v>2</v>
      </c>
      <c r="J218">
        <v>0</v>
      </c>
      <c r="K218">
        <v>0</v>
      </c>
      <c r="N218">
        <v>0</v>
      </c>
      <c r="O218">
        <v>0</v>
      </c>
    </row>
    <row r="219" spans="2:17" hidden="1">
      <c r="B219" t="s">
        <v>73</v>
      </c>
      <c r="C219">
        <v>4</v>
      </c>
      <c r="D219">
        <v>226100</v>
      </c>
      <c r="E219" t="s">
        <v>375</v>
      </c>
      <c r="F219" t="s">
        <v>339</v>
      </c>
      <c r="G219">
        <v>5</v>
      </c>
      <c r="J219">
        <v>0</v>
      </c>
      <c r="K219">
        <v>0</v>
      </c>
      <c r="N219">
        <v>0</v>
      </c>
      <c r="O219">
        <v>992</v>
      </c>
      <c r="P219">
        <v>31</v>
      </c>
      <c r="Q219">
        <v>1</v>
      </c>
    </row>
    <row r="220" spans="2:17" hidden="1">
      <c r="P220">
        <v>961</v>
      </c>
      <c r="Q220">
        <v>2</v>
      </c>
    </row>
    <row r="221" spans="2:17" hidden="1">
      <c r="B221" t="s">
        <v>73</v>
      </c>
      <c r="C221">
        <v>4</v>
      </c>
      <c r="D221">
        <v>233961</v>
      </c>
      <c r="E221" t="s">
        <v>375</v>
      </c>
      <c r="F221" t="s">
        <v>339</v>
      </c>
      <c r="G221">
        <v>3</v>
      </c>
      <c r="J221">
        <v>0</v>
      </c>
      <c r="K221">
        <v>0</v>
      </c>
      <c r="N221">
        <v>0</v>
      </c>
      <c r="O221" s="166">
        <v>2734</v>
      </c>
      <c r="P221">
        <v>124</v>
      </c>
      <c r="Q221">
        <v>1</v>
      </c>
    </row>
    <row r="222" spans="2:17" hidden="1">
      <c r="P222" s="166">
        <v>2610</v>
      </c>
      <c r="Q222">
        <v>2</v>
      </c>
    </row>
    <row r="223" spans="2:17" hidden="1">
      <c r="B223" t="s">
        <v>73</v>
      </c>
      <c r="C223">
        <v>4</v>
      </c>
      <c r="D223">
        <v>142434</v>
      </c>
      <c r="E223" t="s">
        <v>376</v>
      </c>
      <c r="F223" t="s">
        <v>377</v>
      </c>
      <c r="G223">
        <v>2</v>
      </c>
      <c r="J223">
        <v>49</v>
      </c>
      <c r="K223">
        <v>0</v>
      </c>
      <c r="N223">
        <v>49</v>
      </c>
      <c r="O223">
        <v>0</v>
      </c>
    </row>
    <row r="224" spans="2:17" hidden="1">
      <c r="B224" t="s">
        <v>73</v>
      </c>
      <c r="C224">
        <v>4</v>
      </c>
      <c r="D224">
        <v>142269</v>
      </c>
      <c r="E224" t="s">
        <v>378</v>
      </c>
      <c r="F224" t="s">
        <v>379</v>
      </c>
      <c r="G224">
        <v>1</v>
      </c>
      <c r="J224">
        <v>0</v>
      </c>
      <c r="K224">
        <v>0</v>
      </c>
      <c r="N224">
        <v>0</v>
      </c>
      <c r="O224">
        <v>0</v>
      </c>
    </row>
    <row r="225" spans="1:17" hidden="1">
      <c r="B225" t="s">
        <v>90</v>
      </c>
      <c r="C225">
        <v>4</v>
      </c>
      <c r="D225">
        <v>12803</v>
      </c>
      <c r="E225" t="s">
        <v>380</v>
      </c>
      <c r="F225" t="s">
        <v>381</v>
      </c>
      <c r="J225">
        <v>0</v>
      </c>
      <c r="K225">
        <v>0</v>
      </c>
      <c r="N225">
        <v>0</v>
      </c>
      <c r="O225">
        <v>0</v>
      </c>
    </row>
    <row r="226" spans="1:17" hidden="1">
      <c r="B226" t="s">
        <v>90</v>
      </c>
      <c r="C226">
        <v>4</v>
      </c>
      <c r="D226">
        <v>3212</v>
      </c>
      <c r="E226" t="s">
        <v>382</v>
      </c>
      <c r="F226" t="s">
        <v>383</v>
      </c>
      <c r="I226">
        <v>6114</v>
      </c>
      <c r="J226">
        <v>89</v>
      </c>
      <c r="K226">
        <v>68</v>
      </c>
      <c r="N226">
        <v>157</v>
      </c>
      <c r="O226">
        <v>0</v>
      </c>
    </row>
    <row r="227" spans="1:17" hidden="1">
      <c r="B227" t="s">
        <v>90</v>
      </c>
      <c r="C227">
        <v>4</v>
      </c>
      <c r="D227">
        <v>8717</v>
      </c>
      <c r="E227" t="s">
        <v>382</v>
      </c>
      <c r="F227" t="s">
        <v>384</v>
      </c>
      <c r="J227">
        <v>0</v>
      </c>
      <c r="K227">
        <v>0</v>
      </c>
      <c r="N227">
        <v>0</v>
      </c>
      <c r="O227">
        <v>0</v>
      </c>
    </row>
    <row r="228" spans="1:17" hidden="1">
      <c r="B228" t="s">
        <v>73</v>
      </c>
      <c r="C228">
        <v>4</v>
      </c>
      <c r="D228">
        <v>190124</v>
      </c>
      <c r="E228" t="s">
        <v>385</v>
      </c>
      <c r="F228" t="s">
        <v>386</v>
      </c>
      <c r="G228">
        <v>4</v>
      </c>
      <c r="J228">
        <v>0</v>
      </c>
      <c r="K228">
        <v>0</v>
      </c>
      <c r="N228">
        <v>0</v>
      </c>
      <c r="O228">
        <v>0</v>
      </c>
    </row>
    <row r="229" spans="1:17" hidden="1">
      <c r="B229" t="s">
        <v>90</v>
      </c>
      <c r="C229">
        <v>4</v>
      </c>
      <c r="D229">
        <v>13668</v>
      </c>
      <c r="E229" t="s">
        <v>387</v>
      </c>
      <c r="F229" t="s">
        <v>388</v>
      </c>
      <c r="I229">
        <v>6114</v>
      </c>
      <c r="J229">
        <v>0</v>
      </c>
      <c r="K229">
        <v>0</v>
      </c>
      <c r="N229">
        <v>0</v>
      </c>
      <c r="O229">
        <v>0</v>
      </c>
    </row>
    <row r="230" spans="1:17" hidden="1">
      <c r="B230" t="s">
        <v>90</v>
      </c>
      <c r="C230">
        <v>4</v>
      </c>
      <c r="D230">
        <v>13664</v>
      </c>
      <c r="E230" t="s">
        <v>389</v>
      </c>
      <c r="F230" t="s">
        <v>390</v>
      </c>
      <c r="J230">
        <v>64</v>
      </c>
      <c r="K230">
        <v>0</v>
      </c>
      <c r="N230">
        <v>64</v>
      </c>
      <c r="O230">
        <v>0</v>
      </c>
    </row>
    <row r="231" spans="1:17" hidden="1">
      <c r="B231" t="s">
        <v>73</v>
      </c>
      <c r="C231">
        <v>4</v>
      </c>
      <c r="D231">
        <v>66093</v>
      </c>
      <c r="E231" t="s">
        <v>391</v>
      </c>
      <c r="F231" t="s">
        <v>386</v>
      </c>
      <c r="G231" t="s">
        <v>392</v>
      </c>
      <c r="I231">
        <v>5050</v>
      </c>
      <c r="J231">
        <v>85</v>
      </c>
      <c r="K231">
        <v>18</v>
      </c>
      <c r="L231">
        <v>77</v>
      </c>
      <c r="M231">
        <v>1</v>
      </c>
      <c r="N231">
        <v>26</v>
      </c>
      <c r="O231" s="166">
        <v>3240</v>
      </c>
      <c r="P231">
        <v>90</v>
      </c>
      <c r="Q231">
        <v>1</v>
      </c>
    </row>
    <row r="232" spans="1:17" hidden="1">
      <c r="P232" s="166">
        <v>3150</v>
      </c>
      <c r="Q232">
        <v>2</v>
      </c>
    </row>
    <row r="233" spans="1:17" hidden="1">
      <c r="B233" t="s">
        <v>90</v>
      </c>
      <c r="C233">
        <v>4</v>
      </c>
      <c r="D233">
        <v>12360</v>
      </c>
      <c r="E233" t="s">
        <v>393</v>
      </c>
      <c r="F233" t="s">
        <v>394</v>
      </c>
      <c r="J233">
        <v>127</v>
      </c>
      <c r="K233">
        <v>0</v>
      </c>
      <c r="L233">
        <v>64</v>
      </c>
      <c r="M233">
        <v>1</v>
      </c>
      <c r="N233">
        <v>63</v>
      </c>
      <c r="O233">
        <v>0</v>
      </c>
    </row>
    <row r="234" spans="1:17" ht="13.5" hidden="1" thickBot="1">
      <c r="A234" s="179"/>
      <c r="B234" s="179"/>
      <c r="C234" s="179"/>
      <c r="D234" s="179">
        <v>834804</v>
      </c>
      <c r="E234" s="183" t="s">
        <v>1113</v>
      </c>
      <c r="F234" s="183" t="s">
        <v>797</v>
      </c>
      <c r="G234" s="179"/>
      <c r="H234" s="179"/>
      <c r="I234" s="179"/>
      <c r="J234" s="184">
        <v>203</v>
      </c>
      <c r="K234" s="185">
        <v>756</v>
      </c>
      <c r="L234" s="185">
        <v>661</v>
      </c>
      <c r="M234" s="186">
        <v>1</v>
      </c>
      <c r="N234" s="185">
        <v>298</v>
      </c>
      <c r="O234" s="185">
        <v>900</v>
      </c>
      <c r="P234" s="185">
        <v>900</v>
      </c>
      <c r="Q234" s="187">
        <v>2</v>
      </c>
    </row>
    <row r="235" spans="1:17" ht="15">
      <c r="A235" s="180" t="s">
        <v>628</v>
      </c>
      <c r="B235" s="180"/>
      <c r="C235" s="180"/>
      <c r="D235" s="180"/>
      <c r="E235" s="180">
        <f>SUBTOTAL(103,Table1[Field Name])</f>
        <v>1</v>
      </c>
      <c r="F235" s="180">
        <f>SUBTOTAL(103,Table1[Lease Name])</f>
        <v>1</v>
      </c>
      <c r="G235" s="180"/>
      <c r="H235" s="180"/>
      <c r="I235" s="180"/>
      <c r="J235" s="181">
        <f>SUBTOTAL(109,Table1[On Hand Beginning of Month])</f>
        <v>0</v>
      </c>
      <c r="K235" s="180">
        <f>SUBTOTAL(109,Table1[Production])</f>
        <v>0</v>
      </c>
      <c r="L235" s="180">
        <f>SUBTOTAL(109,Table1[Volume])</f>
        <v>0</v>
      </c>
      <c r="M235" s="180"/>
      <c r="N235" s="180">
        <f>SUBTOTAL(109,Table1[On Hand End of Month])</f>
        <v>140</v>
      </c>
      <c r="O235" s="181">
        <f>SUBTOTAL(109,Table1[Formation Production])</f>
        <v>9044</v>
      </c>
      <c r="P235" s="180">
        <f>SUBTOTAL(109,Table1[Volume2])</f>
        <v>403</v>
      </c>
      <c r="Q235" s="180"/>
    </row>
  </sheetData>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630</v>
      </c>
    </row>
    <row r="2" spans="1:15" ht="30.75">
      <c r="A2" s="38" t="s">
        <v>631</v>
      </c>
      <c r="E2" s="42" t="s">
        <v>632</v>
      </c>
      <c r="F2" s="42"/>
    </row>
    <row r="3" spans="1:15">
      <c r="A3" s="38" t="s">
        <v>633</v>
      </c>
    </row>
    <row r="4" spans="1:15">
      <c r="A4" s="38" t="s">
        <v>634</v>
      </c>
    </row>
    <row r="5" spans="1:15">
      <c r="G5" s="43" t="s">
        <v>635</v>
      </c>
    </row>
    <row r="6" spans="1:15">
      <c r="B6" s="44"/>
      <c r="C6" s="44"/>
      <c r="D6" s="44"/>
    </row>
    <row r="8" spans="1:15" ht="30" customHeight="1">
      <c r="A8" s="45" t="s">
        <v>635</v>
      </c>
      <c r="B8" s="45" t="s">
        <v>636</v>
      </c>
      <c r="C8" s="45" t="s">
        <v>637</v>
      </c>
      <c r="D8" s="45" t="s">
        <v>638</v>
      </c>
      <c r="E8" s="45" t="s">
        <v>639</v>
      </c>
      <c r="F8" s="46" t="s">
        <v>640</v>
      </c>
      <c r="G8" s="45" t="s">
        <v>641</v>
      </c>
      <c r="H8" s="47" t="s">
        <v>636</v>
      </c>
      <c r="I8" s="47" t="s">
        <v>642</v>
      </c>
      <c r="J8" s="45" t="s">
        <v>643</v>
      </c>
      <c r="K8" s="45" t="s">
        <v>644</v>
      </c>
      <c r="L8" s="45" t="s">
        <v>645</v>
      </c>
      <c r="M8" s="45" t="s">
        <v>646</v>
      </c>
      <c r="N8" s="45" t="s">
        <v>645</v>
      </c>
    </row>
    <row r="9" spans="1:15" ht="30" customHeight="1">
      <c r="A9" s="45" t="s">
        <v>642</v>
      </c>
      <c r="B9" s="45" t="s">
        <v>647</v>
      </c>
      <c r="C9" s="45" t="s">
        <v>648</v>
      </c>
      <c r="D9" s="45" t="s">
        <v>649</v>
      </c>
      <c r="E9" s="45" t="s">
        <v>650</v>
      </c>
      <c r="F9" s="45" t="s">
        <v>650</v>
      </c>
      <c r="G9" s="45" t="s">
        <v>651</v>
      </c>
      <c r="H9" s="47" t="s">
        <v>652</v>
      </c>
      <c r="I9" s="47" t="s">
        <v>652</v>
      </c>
      <c r="J9" s="45" t="s">
        <v>653</v>
      </c>
      <c r="K9" s="45" t="s">
        <v>653</v>
      </c>
      <c r="L9" s="45" t="s">
        <v>650</v>
      </c>
      <c r="M9" s="45" t="s">
        <v>654</v>
      </c>
      <c r="N9" s="45" t="s">
        <v>655</v>
      </c>
      <c r="O9" s="41" t="s">
        <v>1104</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656</v>
      </c>
      <c r="B11" s="45" t="s">
        <v>657</v>
      </c>
      <c r="C11" s="49" t="s">
        <v>658</v>
      </c>
      <c r="D11" s="50" t="s">
        <v>659</v>
      </c>
      <c r="E11" s="51">
        <v>200</v>
      </c>
      <c r="F11" s="51">
        <v>40</v>
      </c>
      <c r="G11" s="51">
        <v>50</v>
      </c>
      <c r="H11" s="52" t="e">
        <f>(F11+#REF!)/E11</f>
        <v>#REF!</v>
      </c>
      <c r="I11" s="52">
        <f>F11/E11</f>
        <v>0.2</v>
      </c>
      <c r="J11" s="53">
        <v>40</v>
      </c>
      <c r="K11" s="51">
        <v>800</v>
      </c>
      <c r="L11" s="51">
        <v>0</v>
      </c>
      <c r="M11" s="51"/>
      <c r="N11" s="51"/>
    </row>
    <row r="12" spans="1:15" ht="30" hidden="1" customHeight="1">
      <c r="A12" s="45" t="s">
        <v>660</v>
      </c>
      <c r="B12" s="45" t="s">
        <v>657</v>
      </c>
      <c r="C12" s="49" t="s">
        <v>661</v>
      </c>
      <c r="D12" s="50" t="s">
        <v>662</v>
      </c>
      <c r="E12" s="51">
        <v>100</v>
      </c>
      <c r="F12" s="51">
        <v>20</v>
      </c>
      <c r="G12" s="51">
        <v>35</v>
      </c>
      <c r="H12" s="52">
        <f>F12/E12</f>
        <v>0.2</v>
      </c>
      <c r="I12" s="52">
        <f>F12/E12</f>
        <v>0.2</v>
      </c>
      <c r="J12" s="53">
        <v>60</v>
      </c>
      <c r="K12" s="51">
        <v>650</v>
      </c>
      <c r="L12" s="51">
        <f>I12*G12*8*24*0.001</f>
        <v>1.3440000000000001</v>
      </c>
      <c r="M12" s="51"/>
      <c r="N12" s="51"/>
    </row>
    <row r="13" spans="1:15" ht="30" customHeight="1">
      <c r="A13" s="45" t="s">
        <v>660</v>
      </c>
      <c r="B13" s="45" t="s">
        <v>663</v>
      </c>
      <c r="C13" s="49" t="s">
        <v>664</v>
      </c>
      <c r="D13" s="50"/>
      <c r="E13" s="51"/>
      <c r="F13" s="51"/>
      <c r="G13" s="51"/>
      <c r="H13" s="52"/>
      <c r="I13" s="52"/>
      <c r="J13" s="53"/>
      <c r="K13" s="51"/>
      <c r="L13" s="51">
        <v>4</v>
      </c>
      <c r="M13" s="51"/>
      <c r="N13" s="51" t="s">
        <v>665</v>
      </c>
      <c r="O13" s="41" t="s">
        <v>1105</v>
      </c>
    </row>
    <row r="14" spans="1:15" ht="30" hidden="1" customHeight="1">
      <c r="A14" s="45" t="s">
        <v>666</v>
      </c>
      <c r="B14" s="45" t="s">
        <v>657</v>
      </c>
      <c r="C14" s="54" t="s">
        <v>667</v>
      </c>
      <c r="D14" s="50" t="s">
        <v>662</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668</v>
      </c>
      <c r="B15" s="45" t="s">
        <v>657</v>
      </c>
      <c r="C15" s="54" t="s">
        <v>667</v>
      </c>
      <c r="D15" s="50" t="s">
        <v>662</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669</v>
      </c>
      <c r="B16" s="45" t="s">
        <v>657</v>
      </c>
      <c r="C16" s="54" t="s">
        <v>670</v>
      </c>
      <c r="D16" s="50" t="s">
        <v>662</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671</v>
      </c>
      <c r="B17" s="45" t="s">
        <v>657</v>
      </c>
      <c r="C17" s="54" t="s">
        <v>672</v>
      </c>
      <c r="D17" s="50" t="s">
        <v>659</v>
      </c>
      <c r="E17" s="51"/>
      <c r="F17" s="51"/>
      <c r="G17" s="51"/>
      <c r="H17" s="52"/>
      <c r="I17" s="52"/>
      <c r="J17" s="53"/>
      <c r="K17" s="51"/>
      <c r="L17" s="51"/>
      <c r="M17" s="51"/>
      <c r="N17" s="51"/>
    </row>
    <row r="18" spans="1:15" ht="30" hidden="1" customHeight="1">
      <c r="A18" s="45" t="s">
        <v>673</v>
      </c>
      <c r="B18" s="45" t="s">
        <v>657</v>
      </c>
      <c r="C18" s="54" t="s">
        <v>674</v>
      </c>
      <c r="D18" s="50" t="s">
        <v>662</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675</v>
      </c>
      <c r="B19" s="45" t="s">
        <v>657</v>
      </c>
      <c r="C19" s="54" t="s">
        <v>674</v>
      </c>
      <c r="D19" s="50" t="s">
        <v>662</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676</v>
      </c>
      <c r="B20" s="45" t="s">
        <v>657</v>
      </c>
      <c r="C20" s="54" t="s">
        <v>674</v>
      </c>
      <c r="D20" s="50" t="s">
        <v>662</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677</v>
      </c>
      <c r="B21" s="45" t="s">
        <v>657</v>
      </c>
      <c r="C21" s="54" t="s">
        <v>674</v>
      </c>
      <c r="D21" s="50" t="s">
        <v>662</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678</v>
      </c>
      <c r="B22" s="45" t="s">
        <v>657</v>
      </c>
      <c r="C22" s="54" t="s">
        <v>672</v>
      </c>
      <c r="D22" s="50" t="s">
        <v>662</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679</v>
      </c>
      <c r="B23" s="45" t="s">
        <v>663</v>
      </c>
      <c r="C23" s="54" t="s">
        <v>680</v>
      </c>
      <c r="D23" s="50" t="s">
        <v>659</v>
      </c>
      <c r="E23" s="51"/>
      <c r="F23" s="51"/>
      <c r="G23" s="51"/>
      <c r="H23" s="52"/>
      <c r="I23" s="52"/>
      <c r="J23" s="53"/>
      <c r="K23" s="51"/>
      <c r="L23" s="51">
        <v>4</v>
      </c>
      <c r="M23" s="51"/>
      <c r="N23" s="51" t="s">
        <v>665</v>
      </c>
      <c r="O23" s="41" t="s">
        <v>1105</v>
      </c>
    </row>
    <row r="24" spans="1:15" ht="30" hidden="1" customHeight="1">
      <c r="A24" s="45" t="s">
        <v>681</v>
      </c>
      <c r="B24" s="45" t="s">
        <v>657</v>
      </c>
      <c r="C24" s="54" t="s">
        <v>670</v>
      </c>
      <c r="D24" s="50" t="s">
        <v>662</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682</v>
      </c>
      <c r="B25" s="45" t="s">
        <v>657</v>
      </c>
      <c r="C25" s="54" t="s">
        <v>667</v>
      </c>
      <c r="D25" s="50" t="s">
        <v>662</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683</v>
      </c>
      <c r="B26" s="45" t="s">
        <v>657</v>
      </c>
      <c r="C26" s="54" t="s">
        <v>670</v>
      </c>
      <c r="D26" s="50" t="s">
        <v>662</v>
      </c>
      <c r="E26" s="51">
        <v>350</v>
      </c>
      <c r="F26" s="51">
        <v>140</v>
      </c>
      <c r="G26" s="51">
        <v>87</v>
      </c>
      <c r="H26" s="52">
        <f>(F26+F24)/E26</f>
        <v>0.45714285714285713</v>
      </c>
      <c r="I26" s="52">
        <f>F26/E26</f>
        <v>0.4</v>
      </c>
      <c r="J26" s="53">
        <v>100</v>
      </c>
      <c r="K26" s="51">
        <v>1075</v>
      </c>
      <c r="L26" s="51">
        <f>I26*G26*8*24*0.001</f>
        <v>6.6816000000000004</v>
      </c>
      <c r="M26" s="51"/>
      <c r="N26" s="51" t="s">
        <v>635</v>
      </c>
    </row>
    <row r="27" spans="1:15" ht="30" hidden="1" customHeight="1">
      <c r="A27" s="45" t="s">
        <v>684</v>
      </c>
      <c r="B27" s="45" t="s">
        <v>657</v>
      </c>
      <c r="C27" s="49" t="s">
        <v>685</v>
      </c>
      <c r="D27" s="50" t="s">
        <v>662</v>
      </c>
      <c r="E27" s="51"/>
      <c r="F27" s="51"/>
      <c r="G27" s="51"/>
      <c r="H27" s="52"/>
      <c r="I27" s="52"/>
      <c r="J27" s="53"/>
      <c r="K27" s="51"/>
      <c r="L27" s="51"/>
      <c r="M27" s="51"/>
      <c r="N27" s="51" t="s">
        <v>686</v>
      </c>
    </row>
    <row r="28" spans="1:15" ht="30" hidden="1" customHeight="1">
      <c r="A28" s="45" t="s">
        <v>687</v>
      </c>
      <c r="B28" s="45" t="s">
        <v>657</v>
      </c>
      <c r="C28" s="49" t="s">
        <v>658</v>
      </c>
      <c r="D28" s="50" t="s">
        <v>662</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688</v>
      </c>
      <c r="B29" s="45" t="s">
        <v>657</v>
      </c>
      <c r="C29" s="54" t="s">
        <v>672</v>
      </c>
      <c r="D29" s="50" t="s">
        <v>662</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689</v>
      </c>
      <c r="B30" s="45" t="s">
        <v>657</v>
      </c>
      <c r="C30" s="54" t="s">
        <v>690</v>
      </c>
      <c r="D30" s="50" t="s">
        <v>662</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691</v>
      </c>
      <c r="B31" s="45" t="s">
        <v>657</v>
      </c>
      <c r="C31" s="54" t="s">
        <v>690</v>
      </c>
      <c r="D31" s="50" t="s">
        <v>662</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692</v>
      </c>
      <c r="B32" s="45" t="s">
        <v>657</v>
      </c>
      <c r="C32" s="54" t="s">
        <v>690</v>
      </c>
      <c r="D32" s="50" t="s">
        <v>662</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693</v>
      </c>
      <c r="B33" s="45" t="s">
        <v>657</v>
      </c>
      <c r="C33" s="54" t="s">
        <v>670</v>
      </c>
      <c r="D33" s="50" t="s">
        <v>662</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686</v>
      </c>
    </row>
    <row r="34" spans="1:14" ht="30" hidden="1" customHeight="1">
      <c r="A34" s="45" t="s">
        <v>694</v>
      </c>
      <c r="B34" s="45" t="s">
        <v>657</v>
      </c>
      <c r="C34" s="54" t="s">
        <v>670</v>
      </c>
      <c r="D34" s="50" t="s">
        <v>662</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686</v>
      </c>
    </row>
    <row r="35" spans="1:14" ht="30" hidden="1" customHeight="1">
      <c r="A35" s="45" t="s">
        <v>695</v>
      </c>
      <c r="B35" s="45" t="s">
        <v>657</v>
      </c>
      <c r="C35" s="54" t="s">
        <v>670</v>
      </c>
      <c r="D35" s="50" t="s">
        <v>662</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686</v>
      </c>
    </row>
    <row r="36" spans="1:14" ht="30" hidden="1" customHeight="1">
      <c r="A36" s="45" t="s">
        <v>696</v>
      </c>
      <c r="B36" s="45" t="s">
        <v>657</v>
      </c>
      <c r="C36" s="54" t="s">
        <v>670</v>
      </c>
      <c r="D36" s="50" t="s">
        <v>662</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686</v>
      </c>
    </row>
    <row r="37" spans="1:14" ht="30" hidden="1" customHeight="1">
      <c r="A37" s="45" t="s">
        <v>697</v>
      </c>
      <c r="B37" s="45" t="s">
        <v>657</v>
      </c>
      <c r="C37" s="54" t="s">
        <v>670</v>
      </c>
      <c r="D37" s="50" t="s">
        <v>662</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686</v>
      </c>
    </row>
    <row r="38" spans="1:14" ht="30" hidden="1" customHeight="1">
      <c r="A38" s="45" t="s">
        <v>698</v>
      </c>
      <c r="B38" s="45" t="s">
        <v>657</v>
      </c>
      <c r="C38" s="54" t="s">
        <v>670</v>
      </c>
      <c r="D38" s="50" t="s">
        <v>662</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686</v>
      </c>
    </row>
    <row r="39" spans="1:14" ht="30" hidden="1" customHeight="1">
      <c r="A39" s="45" t="s">
        <v>699</v>
      </c>
      <c r="B39" s="45" t="s">
        <v>657</v>
      </c>
      <c r="C39" s="49" t="s">
        <v>658</v>
      </c>
      <c r="D39" s="50" t="s">
        <v>659</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700</v>
      </c>
      <c r="B40" s="45" t="s">
        <v>657</v>
      </c>
      <c r="C40" s="49" t="s">
        <v>658</v>
      </c>
      <c r="D40" s="50" t="s">
        <v>662</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701</v>
      </c>
      <c r="B41" s="45" t="s">
        <v>657</v>
      </c>
      <c r="C41" s="49" t="s">
        <v>658</v>
      </c>
      <c r="D41" s="50" t="s">
        <v>662</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702</v>
      </c>
      <c r="B42" s="45" t="s">
        <v>657</v>
      </c>
      <c r="C42" s="49" t="s">
        <v>658</v>
      </c>
      <c r="D42" s="50" t="s">
        <v>662</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703</v>
      </c>
      <c r="B43" s="45" t="s">
        <v>657</v>
      </c>
      <c r="C43" s="49" t="s">
        <v>685</v>
      </c>
      <c r="D43" s="50" t="s">
        <v>662</v>
      </c>
      <c r="E43" s="51" t="s">
        <v>635</v>
      </c>
      <c r="F43" s="51" t="s">
        <v>635</v>
      </c>
      <c r="G43" s="51" t="s">
        <v>635</v>
      </c>
      <c r="H43" s="52" t="s">
        <v>635</v>
      </c>
      <c r="I43" s="52" t="s">
        <v>635</v>
      </c>
      <c r="J43" s="53" t="s">
        <v>635</v>
      </c>
      <c r="K43" s="51" t="s">
        <v>635</v>
      </c>
      <c r="L43" s="51" t="s">
        <v>635</v>
      </c>
      <c r="M43" s="51"/>
      <c r="N43" s="51" t="s">
        <v>686</v>
      </c>
    </row>
    <row r="44" spans="1:14" ht="30" hidden="1" customHeight="1">
      <c r="A44" s="45" t="s">
        <v>704</v>
      </c>
      <c r="B44" s="45" t="s">
        <v>657</v>
      </c>
      <c r="C44" s="49" t="s">
        <v>685</v>
      </c>
      <c r="D44" s="50" t="s">
        <v>662</v>
      </c>
      <c r="E44" s="51"/>
      <c r="F44" s="51"/>
      <c r="G44" s="51"/>
      <c r="H44" s="52"/>
      <c r="I44" s="52"/>
      <c r="J44" s="53"/>
      <c r="K44" s="51"/>
      <c r="L44" s="51"/>
      <c r="M44" s="51"/>
      <c r="N44" s="51" t="s">
        <v>686</v>
      </c>
    </row>
    <row r="45" spans="1:14" ht="30" hidden="1" customHeight="1">
      <c r="A45" s="45" t="s">
        <v>705</v>
      </c>
      <c r="B45" s="45" t="s">
        <v>657</v>
      </c>
      <c r="C45" s="49" t="s">
        <v>685</v>
      </c>
      <c r="D45" s="50" t="s">
        <v>662</v>
      </c>
      <c r="E45" s="51"/>
      <c r="F45" s="51"/>
      <c r="G45" s="51"/>
      <c r="H45" s="52"/>
      <c r="I45" s="52"/>
      <c r="J45" s="53"/>
      <c r="K45" s="51"/>
      <c r="L45" s="51"/>
      <c r="M45" s="51"/>
      <c r="N45" s="51" t="s">
        <v>686</v>
      </c>
    </row>
    <row r="46" spans="1:14" ht="30" hidden="1" customHeight="1">
      <c r="A46" s="45" t="s">
        <v>706</v>
      </c>
      <c r="B46" s="45" t="s">
        <v>657</v>
      </c>
      <c r="C46" s="54" t="s">
        <v>670</v>
      </c>
      <c r="D46" s="50" t="s">
        <v>662</v>
      </c>
      <c r="E46" s="51">
        <v>400</v>
      </c>
      <c r="F46" s="51">
        <v>300</v>
      </c>
      <c r="G46" s="51">
        <v>87</v>
      </c>
      <c r="H46" s="52">
        <f>(F46)/E46</f>
        <v>0.75</v>
      </c>
      <c r="I46" s="52">
        <f>F46/E46</f>
        <v>0.75</v>
      </c>
      <c r="J46" s="53">
        <v>50</v>
      </c>
      <c r="K46" s="51">
        <v>600</v>
      </c>
      <c r="L46" s="51">
        <f>I46*G46*8*24*0.001</f>
        <v>12.528</v>
      </c>
      <c r="M46" s="51"/>
      <c r="N46" s="51"/>
    </row>
    <row r="47" spans="1:14" ht="30" hidden="1" customHeight="1">
      <c r="A47" s="45" t="s">
        <v>707</v>
      </c>
      <c r="B47" s="45" t="s">
        <v>657</v>
      </c>
      <c r="C47" s="49" t="s">
        <v>658</v>
      </c>
      <c r="D47" s="50" t="s">
        <v>662</v>
      </c>
      <c r="E47" s="51">
        <v>200</v>
      </c>
      <c r="F47" s="51">
        <v>130</v>
      </c>
      <c r="G47" s="51">
        <v>50</v>
      </c>
      <c r="H47" s="52">
        <f>(F47+F54)/E47</f>
        <v>0.9</v>
      </c>
      <c r="I47" s="52">
        <f>F47/E47</f>
        <v>0.65</v>
      </c>
      <c r="J47" s="53">
        <v>50</v>
      </c>
      <c r="K47" s="51">
        <v>700</v>
      </c>
      <c r="L47" s="51">
        <f>I47*G47*8*24*0.001</f>
        <v>6.24</v>
      </c>
      <c r="M47" s="51"/>
      <c r="N47" s="51"/>
    </row>
    <row r="48" spans="1:14" ht="30" hidden="1" customHeight="1">
      <c r="A48" s="45" t="s">
        <v>708</v>
      </c>
      <c r="B48" s="45" t="s">
        <v>657</v>
      </c>
      <c r="C48" s="54" t="s">
        <v>670</v>
      </c>
      <c r="D48" s="50" t="s">
        <v>662</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686</v>
      </c>
    </row>
    <row r="49" spans="1:15" ht="30" hidden="1" customHeight="1">
      <c r="A49" s="45" t="s">
        <v>709</v>
      </c>
      <c r="B49" s="45" t="s">
        <v>657</v>
      </c>
      <c r="C49" s="49" t="s">
        <v>710</v>
      </c>
      <c r="D49" s="50" t="s">
        <v>662</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711</v>
      </c>
      <c r="B50" s="45" t="s">
        <v>657</v>
      </c>
      <c r="C50" s="49" t="s">
        <v>685</v>
      </c>
      <c r="D50" s="50" t="s">
        <v>662</v>
      </c>
      <c r="E50" s="51"/>
      <c r="F50" s="51"/>
      <c r="G50" s="51" t="s">
        <v>635</v>
      </c>
      <c r="H50" s="52"/>
      <c r="I50" s="52"/>
      <c r="J50" s="53"/>
      <c r="K50" s="51"/>
      <c r="L50" s="51"/>
      <c r="M50" s="51"/>
      <c r="N50" s="51" t="s">
        <v>686</v>
      </c>
    </row>
    <row r="51" spans="1:15" ht="30" hidden="1" customHeight="1">
      <c r="A51" s="45" t="s">
        <v>712</v>
      </c>
      <c r="B51" s="45" t="s">
        <v>657</v>
      </c>
      <c r="C51" s="54" t="s">
        <v>670</v>
      </c>
      <c r="D51" s="50" t="s">
        <v>662</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713</v>
      </c>
      <c r="B52" s="45" t="s">
        <v>657</v>
      </c>
      <c r="C52" s="54" t="s">
        <v>670</v>
      </c>
      <c r="D52" s="50" t="s">
        <v>659</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714</v>
      </c>
      <c r="B53" s="45" t="s">
        <v>663</v>
      </c>
      <c r="C53" s="54" t="s">
        <v>715</v>
      </c>
      <c r="D53" s="50" t="s">
        <v>659</v>
      </c>
      <c r="E53" s="51"/>
      <c r="F53" s="51"/>
      <c r="G53" s="51"/>
      <c r="H53" s="52"/>
      <c r="I53" s="52"/>
      <c r="J53" s="53"/>
      <c r="K53" s="51"/>
      <c r="L53" s="51">
        <v>4</v>
      </c>
      <c r="M53" s="51"/>
      <c r="N53" s="51" t="s">
        <v>665</v>
      </c>
      <c r="O53" s="41" t="s">
        <v>1105</v>
      </c>
    </row>
    <row r="54" spans="1:15" ht="30" hidden="1" customHeight="1">
      <c r="A54" s="45" t="s">
        <v>716</v>
      </c>
      <c r="B54" s="45" t="s">
        <v>657</v>
      </c>
      <c r="C54" s="54" t="s">
        <v>717</v>
      </c>
      <c r="D54" s="50" t="s">
        <v>662</v>
      </c>
      <c r="E54" s="51">
        <v>200</v>
      </c>
      <c r="F54" s="51">
        <v>50</v>
      </c>
      <c r="G54" s="51">
        <v>50</v>
      </c>
      <c r="H54" s="52">
        <f>(F54+F47)/E54</f>
        <v>0.9</v>
      </c>
      <c r="I54" s="52">
        <f>F54/E54</f>
        <v>0.25</v>
      </c>
      <c r="J54" s="53">
        <v>50</v>
      </c>
      <c r="K54" s="51">
        <v>700</v>
      </c>
      <c r="L54" s="51">
        <f>I54*G54*8*24*0.001</f>
        <v>2.4</v>
      </c>
      <c r="M54" s="51"/>
      <c r="N54" s="51"/>
    </row>
    <row r="55" spans="1:15" ht="30" customHeight="1">
      <c r="A55" s="45" t="s">
        <v>716</v>
      </c>
      <c r="B55" s="45" t="s">
        <v>663</v>
      </c>
      <c r="C55" s="54" t="s">
        <v>718</v>
      </c>
      <c r="D55" s="50" t="s">
        <v>659</v>
      </c>
      <c r="E55" s="51"/>
      <c r="F55" s="51"/>
      <c r="G55" s="51"/>
      <c r="H55" s="52"/>
      <c r="I55" s="52"/>
      <c r="J55" s="53"/>
      <c r="K55" s="51"/>
      <c r="L55" s="51">
        <v>4</v>
      </c>
      <c r="M55" s="51"/>
      <c r="N55" s="51" t="s">
        <v>665</v>
      </c>
      <c r="O55" s="41">
        <v>99186</v>
      </c>
    </row>
    <row r="56" spans="1:15" ht="30" hidden="1" customHeight="1">
      <c r="A56" s="45" t="s">
        <v>719</v>
      </c>
      <c r="B56" s="45" t="s">
        <v>657</v>
      </c>
      <c r="C56" s="54" t="s">
        <v>670</v>
      </c>
      <c r="D56" s="50" t="s">
        <v>662</v>
      </c>
      <c r="E56" s="51">
        <v>350</v>
      </c>
      <c r="F56" s="51">
        <v>150</v>
      </c>
      <c r="G56" s="51">
        <v>80</v>
      </c>
      <c r="H56" s="52">
        <f>(F56+F74)/E56</f>
        <v>0.47142857142857142</v>
      </c>
      <c r="I56" s="52">
        <f>F56/E56</f>
        <v>0.42857142857142855</v>
      </c>
      <c r="J56" s="53">
        <v>30</v>
      </c>
      <c r="K56" s="51">
        <v>900</v>
      </c>
      <c r="L56" s="51">
        <f>I56*G56*8*24*0.001</f>
        <v>6.5828571428571436</v>
      </c>
      <c r="M56" s="51"/>
      <c r="N56" s="51" t="s">
        <v>686</v>
      </c>
    </row>
    <row r="57" spans="1:15" ht="30" hidden="1" customHeight="1">
      <c r="A57" s="45" t="s">
        <v>720</v>
      </c>
      <c r="B57" s="45" t="s">
        <v>657</v>
      </c>
      <c r="C57" s="54" t="s">
        <v>670</v>
      </c>
      <c r="D57" s="50" t="s">
        <v>662</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721</v>
      </c>
      <c r="B58" s="45" t="s">
        <v>657</v>
      </c>
      <c r="C58" s="49" t="s">
        <v>685</v>
      </c>
      <c r="D58" s="50" t="s">
        <v>659</v>
      </c>
      <c r="E58" s="51">
        <v>700</v>
      </c>
      <c r="F58" s="51" t="s">
        <v>635</v>
      </c>
      <c r="G58" s="51">
        <v>125</v>
      </c>
      <c r="H58" s="52">
        <f>(F58)/E58</f>
        <v>0</v>
      </c>
      <c r="I58" s="52">
        <f>F58/E58</f>
        <v>0</v>
      </c>
      <c r="J58" s="53">
        <v>100</v>
      </c>
      <c r="K58" s="51">
        <v>600</v>
      </c>
      <c r="L58" s="51">
        <f>I58*G58*8*24*0.001</f>
        <v>0</v>
      </c>
      <c r="M58" s="51"/>
      <c r="N58" s="51"/>
    </row>
    <row r="59" spans="1:15" ht="30" customHeight="1">
      <c r="A59" s="45" t="s">
        <v>722</v>
      </c>
      <c r="B59" s="45" t="s">
        <v>663</v>
      </c>
      <c r="C59" s="45" t="s">
        <v>723</v>
      </c>
      <c r="D59" s="50" t="s">
        <v>635</v>
      </c>
      <c r="E59" s="51"/>
      <c r="F59" s="51"/>
      <c r="G59" s="51"/>
      <c r="H59" s="52"/>
      <c r="I59" s="52"/>
      <c r="J59" s="53"/>
      <c r="K59" s="51"/>
      <c r="L59" s="51">
        <v>0</v>
      </c>
      <c r="M59" s="51" t="s">
        <v>635</v>
      </c>
      <c r="N59" s="51" t="s">
        <v>635</v>
      </c>
      <c r="O59" s="41" t="s">
        <v>1105</v>
      </c>
    </row>
    <row r="60" spans="1:15" ht="30" customHeight="1">
      <c r="A60" s="45" t="s">
        <v>724</v>
      </c>
      <c r="B60" s="45" t="s">
        <v>663</v>
      </c>
      <c r="C60" s="54" t="s">
        <v>725</v>
      </c>
      <c r="D60" s="50" t="s">
        <v>662</v>
      </c>
      <c r="E60" s="51" t="s">
        <v>635</v>
      </c>
      <c r="F60" s="51" t="s">
        <v>635</v>
      </c>
      <c r="G60" s="51" t="s">
        <v>635</v>
      </c>
      <c r="H60" s="52" t="s">
        <v>635</v>
      </c>
      <c r="I60" s="52" t="s">
        <v>635</v>
      </c>
      <c r="J60" s="53" t="s">
        <v>635</v>
      </c>
      <c r="K60" s="51" t="s">
        <v>635</v>
      </c>
      <c r="L60" s="51">
        <v>4</v>
      </c>
      <c r="M60" s="51"/>
      <c r="N60" s="51" t="s">
        <v>665</v>
      </c>
      <c r="O60" s="41" t="s">
        <v>1105</v>
      </c>
    </row>
    <row r="61" spans="1:15" ht="30" customHeight="1">
      <c r="A61" s="45" t="s">
        <v>726</v>
      </c>
      <c r="B61" s="45" t="s">
        <v>663</v>
      </c>
      <c r="C61" s="54" t="s">
        <v>727</v>
      </c>
      <c r="D61" s="50" t="s">
        <v>662</v>
      </c>
      <c r="E61" s="51">
        <v>400</v>
      </c>
      <c r="F61" s="51">
        <v>0</v>
      </c>
      <c r="G61" s="51">
        <v>85</v>
      </c>
      <c r="H61" s="52" t="e">
        <f>(F61+#REF!)/E61</f>
        <v>#REF!</v>
      </c>
      <c r="I61" s="52">
        <f>F61/E61</f>
        <v>0</v>
      </c>
      <c r="J61" s="53">
        <v>30</v>
      </c>
      <c r="K61" s="51">
        <v>420</v>
      </c>
      <c r="L61" s="51">
        <v>4</v>
      </c>
      <c r="M61" s="51"/>
      <c r="N61" s="51" t="s">
        <v>665</v>
      </c>
      <c r="O61" s="41">
        <v>99132</v>
      </c>
    </row>
    <row r="62" spans="1:15" ht="30" customHeight="1">
      <c r="A62" s="45" t="s">
        <v>728</v>
      </c>
      <c r="B62" s="45" t="s">
        <v>663</v>
      </c>
      <c r="C62" s="45" t="s">
        <v>635</v>
      </c>
      <c r="D62" s="50" t="s">
        <v>662</v>
      </c>
      <c r="E62" s="51"/>
      <c r="F62" s="51"/>
      <c r="G62" s="51"/>
      <c r="H62" s="52" t="s">
        <v>635</v>
      </c>
      <c r="I62" s="52"/>
      <c r="J62" s="53"/>
      <c r="K62" s="51"/>
      <c r="L62" s="51">
        <v>4</v>
      </c>
      <c r="M62" s="51"/>
      <c r="N62" s="51" t="s">
        <v>665</v>
      </c>
      <c r="O62" s="41">
        <v>98910</v>
      </c>
    </row>
    <row r="63" spans="1:15" ht="30" hidden="1" customHeight="1">
      <c r="A63" s="45" t="s">
        <v>729</v>
      </c>
      <c r="B63" s="45" t="s">
        <v>657</v>
      </c>
      <c r="C63" s="49" t="s">
        <v>730</v>
      </c>
      <c r="D63" s="50" t="s">
        <v>662</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731</v>
      </c>
      <c r="B64" s="45" t="s">
        <v>657</v>
      </c>
      <c r="C64" s="49" t="s">
        <v>730</v>
      </c>
      <c r="D64" s="50" t="s">
        <v>662</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732</v>
      </c>
      <c r="B65" s="45" t="s">
        <v>663</v>
      </c>
      <c r="C65" s="45" t="s">
        <v>723</v>
      </c>
      <c r="D65" s="50"/>
      <c r="E65" s="51"/>
      <c r="F65" s="51"/>
      <c r="G65" s="51"/>
      <c r="H65" s="52"/>
      <c r="I65" s="52"/>
      <c r="J65" s="53"/>
      <c r="K65" s="51"/>
      <c r="L65" s="51">
        <v>0</v>
      </c>
      <c r="M65" s="51"/>
      <c r="N65" s="51"/>
    </row>
    <row r="66" spans="1:15" ht="30" hidden="1" customHeight="1">
      <c r="A66" s="45" t="s">
        <v>733</v>
      </c>
      <c r="B66" s="45" t="s">
        <v>657</v>
      </c>
      <c r="C66" s="49" t="s">
        <v>734</v>
      </c>
      <c r="D66" s="50" t="s">
        <v>662</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735</v>
      </c>
      <c r="B67" s="45" t="s">
        <v>657</v>
      </c>
      <c r="C67" s="54" t="s">
        <v>674</v>
      </c>
      <c r="D67" s="50" t="s">
        <v>662</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736</v>
      </c>
      <c r="B68" s="45" t="s">
        <v>657</v>
      </c>
      <c r="C68" s="55" t="s">
        <v>737</v>
      </c>
      <c r="D68" s="50" t="s">
        <v>662</v>
      </c>
      <c r="E68" s="51">
        <v>1250</v>
      </c>
      <c r="F68" s="51"/>
      <c r="G68" s="51">
        <v>275</v>
      </c>
      <c r="H68" s="52"/>
      <c r="I68" s="52"/>
      <c r="J68" s="53">
        <v>45</v>
      </c>
      <c r="K68" s="51">
        <v>800</v>
      </c>
      <c r="L68" s="51"/>
      <c r="M68" s="51"/>
      <c r="N68" s="51" t="s">
        <v>665</v>
      </c>
    </row>
    <row r="69" spans="1:15" ht="30" hidden="1" customHeight="1">
      <c r="A69" s="45" t="s">
        <v>738</v>
      </c>
      <c r="B69" s="45" t="s">
        <v>657</v>
      </c>
      <c r="C69" s="54" t="s">
        <v>739</v>
      </c>
      <c r="D69" s="51" t="s">
        <v>662</v>
      </c>
      <c r="E69" s="51">
        <v>700</v>
      </c>
      <c r="F69" s="51">
        <v>640</v>
      </c>
      <c r="G69" s="51">
        <v>87</v>
      </c>
      <c r="H69" s="52">
        <f>(F69+F70)/E69</f>
        <v>0.91428571428571426</v>
      </c>
      <c r="I69" s="52">
        <f>F69/E69</f>
        <v>0.91428571428571426</v>
      </c>
      <c r="J69" s="53">
        <v>30</v>
      </c>
      <c r="K69" s="51">
        <v>600</v>
      </c>
      <c r="L69" s="51">
        <f>I69*G69*8*24*0.001</f>
        <v>15.272228571428572</v>
      </c>
      <c r="M69" s="51"/>
      <c r="N69" s="51" t="s">
        <v>686</v>
      </c>
    </row>
    <row r="70" spans="1:15" ht="30" hidden="1" customHeight="1">
      <c r="A70" s="45" t="s">
        <v>740</v>
      </c>
      <c r="B70" s="45" t="s">
        <v>657</v>
      </c>
      <c r="C70" s="54" t="s">
        <v>739</v>
      </c>
      <c r="D70" s="50" t="s">
        <v>659</v>
      </c>
      <c r="E70" s="51">
        <v>700</v>
      </c>
      <c r="F70" s="51">
        <v>0</v>
      </c>
      <c r="G70" s="51">
        <v>87</v>
      </c>
      <c r="H70" s="52">
        <f>(F70+F69)/E70</f>
        <v>0.91428571428571426</v>
      </c>
      <c r="I70" s="52">
        <f>F70/E70</f>
        <v>0</v>
      </c>
      <c r="J70" s="53">
        <v>30</v>
      </c>
      <c r="K70" s="51">
        <v>600</v>
      </c>
      <c r="L70" s="51">
        <f>I70*G70*8*24*0.001</f>
        <v>0</v>
      </c>
      <c r="M70" s="51"/>
      <c r="N70" s="51" t="s">
        <v>686</v>
      </c>
    </row>
    <row r="71" spans="1:15" ht="30" customHeight="1">
      <c r="A71" s="45" t="s">
        <v>741</v>
      </c>
      <c r="B71" s="45" t="s">
        <v>663</v>
      </c>
      <c r="C71" s="45" t="s">
        <v>723</v>
      </c>
      <c r="D71" s="50" t="s">
        <v>635</v>
      </c>
      <c r="E71" s="51"/>
      <c r="F71" s="51"/>
      <c r="G71" s="51"/>
      <c r="H71" s="52"/>
      <c r="I71" s="52"/>
      <c r="J71" s="53"/>
      <c r="K71" s="51"/>
      <c r="L71" s="51">
        <v>0</v>
      </c>
      <c r="M71" s="51"/>
      <c r="N71" s="51" t="s">
        <v>635</v>
      </c>
    </row>
    <row r="72" spans="1:15" ht="30" customHeight="1">
      <c r="A72" s="45" t="s">
        <v>742</v>
      </c>
      <c r="B72" s="45" t="s">
        <v>663</v>
      </c>
      <c r="C72" s="54" t="s">
        <v>743</v>
      </c>
      <c r="D72" s="50" t="s">
        <v>662</v>
      </c>
      <c r="E72" s="51" t="s">
        <v>635</v>
      </c>
      <c r="F72" s="51" t="s">
        <v>635</v>
      </c>
      <c r="G72" s="51" t="s">
        <v>635</v>
      </c>
      <c r="H72" s="52" t="s">
        <v>635</v>
      </c>
      <c r="I72" s="52" t="s">
        <v>635</v>
      </c>
      <c r="J72" s="53" t="s">
        <v>635</v>
      </c>
      <c r="K72" s="51" t="s">
        <v>635</v>
      </c>
      <c r="L72" s="51">
        <v>4</v>
      </c>
      <c r="M72" s="51"/>
      <c r="N72" s="51" t="s">
        <v>665</v>
      </c>
      <c r="O72" s="41">
        <v>99161</v>
      </c>
    </row>
    <row r="73" spans="1:15" ht="30" hidden="1" customHeight="1">
      <c r="A73" s="45" t="s">
        <v>744</v>
      </c>
      <c r="B73" s="45" t="s">
        <v>657</v>
      </c>
      <c r="C73" s="49" t="s">
        <v>734</v>
      </c>
      <c r="D73" s="50" t="s">
        <v>662</v>
      </c>
      <c r="E73" s="51">
        <v>450</v>
      </c>
      <c r="F73" s="51">
        <v>400</v>
      </c>
      <c r="G73" s="51">
        <v>125</v>
      </c>
      <c r="H73" s="52">
        <f>F73/E73</f>
        <v>0.88888888888888884</v>
      </c>
      <c r="I73" s="52">
        <f>F73/E73</f>
        <v>0.88888888888888884</v>
      </c>
      <c r="J73" s="53">
        <v>25</v>
      </c>
      <c r="K73" s="51">
        <v>1300</v>
      </c>
      <c r="L73" s="51">
        <f>I73*G73*8*24*0.001</f>
        <v>21.333333333333332</v>
      </c>
      <c r="M73" s="51"/>
      <c r="N73" s="51" t="s">
        <v>686</v>
      </c>
    </row>
    <row r="74" spans="1:15" ht="30" hidden="1" customHeight="1">
      <c r="A74" s="45" t="s">
        <v>745</v>
      </c>
      <c r="B74" s="45" t="s">
        <v>657</v>
      </c>
      <c r="C74" s="54" t="s">
        <v>670</v>
      </c>
      <c r="D74" s="50" t="s">
        <v>662</v>
      </c>
      <c r="E74" s="51">
        <v>350</v>
      </c>
      <c r="F74" s="51">
        <v>15</v>
      </c>
      <c r="G74" s="51">
        <v>80</v>
      </c>
      <c r="H74" s="52">
        <f>(F74+F56)/E74</f>
        <v>0.47142857142857142</v>
      </c>
      <c r="I74" s="52">
        <f>F74/E74</f>
        <v>4.2857142857142858E-2</v>
      </c>
      <c r="J74" s="53">
        <v>30</v>
      </c>
      <c r="K74" s="51">
        <v>900</v>
      </c>
      <c r="L74" s="51">
        <f>I74*G74*8*24*0.001</f>
        <v>0.65828571428571436</v>
      </c>
      <c r="M74" s="51"/>
      <c r="N74" s="51" t="s">
        <v>686</v>
      </c>
    </row>
    <row r="75" spans="1:15" ht="30" hidden="1" customHeight="1">
      <c r="A75" s="45" t="s">
        <v>746</v>
      </c>
      <c r="B75" s="45" t="s">
        <v>657</v>
      </c>
      <c r="C75" s="54" t="s">
        <v>670</v>
      </c>
      <c r="D75" s="50" t="s">
        <v>659</v>
      </c>
      <c r="E75" s="51">
        <v>350</v>
      </c>
      <c r="F75" s="51">
        <v>0</v>
      </c>
      <c r="G75" s="51">
        <v>80</v>
      </c>
      <c r="H75" s="52">
        <f>F75/E75</f>
        <v>0</v>
      </c>
      <c r="I75" s="52">
        <f>F75/E75</f>
        <v>0</v>
      </c>
      <c r="J75" s="53">
        <v>40</v>
      </c>
      <c r="K75" s="51">
        <v>850</v>
      </c>
      <c r="L75" s="51">
        <f>I75*G75*8*24*0.001</f>
        <v>0</v>
      </c>
      <c r="M75" s="51"/>
      <c r="N75" s="51"/>
    </row>
    <row r="76" spans="1:15" ht="30" hidden="1" customHeight="1">
      <c r="A76" s="45" t="s">
        <v>747</v>
      </c>
      <c r="B76" s="45" t="s">
        <v>657</v>
      </c>
      <c r="C76" s="49" t="s">
        <v>730</v>
      </c>
      <c r="D76" s="50" t="s">
        <v>662</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635</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44" fitToHeight="2" orientation="portrait" r:id="rId1"/>
  <headerFooter alignWithMargins="0">
    <oddFooter>&amp;L&amp;Z&amp;F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workbookViewId="0">
      <selection activeCell="B4" sqref="B4"/>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900</v>
      </c>
    </row>
    <row r="3" spans="1:25" ht="15">
      <c r="A3" s="67" t="s">
        <v>889</v>
      </c>
      <c r="B3" s="66" t="s">
        <v>898</v>
      </c>
      <c r="C3" s="66" t="s">
        <v>899</v>
      </c>
      <c r="D3" s="66" t="s">
        <v>890</v>
      </c>
      <c r="E3" s="66" t="s">
        <v>891</v>
      </c>
      <c r="F3" s="66" t="s">
        <v>892</v>
      </c>
      <c r="G3" s="66" t="s">
        <v>893</v>
      </c>
      <c r="H3" s="66" t="s">
        <v>894</v>
      </c>
      <c r="I3" s="66" t="s">
        <v>895</v>
      </c>
      <c r="J3" s="66" t="s">
        <v>896</v>
      </c>
      <c r="K3" t="s">
        <v>897</v>
      </c>
    </row>
    <row r="4" spans="1:25" ht="15">
      <c r="A4" s="68">
        <v>560101</v>
      </c>
      <c r="B4" s="69" t="s">
        <v>829</v>
      </c>
      <c r="C4" s="69" t="s">
        <v>830</v>
      </c>
      <c r="D4" s="70">
        <v>2.355</v>
      </c>
      <c r="E4" s="68">
        <v>67</v>
      </c>
      <c r="F4" s="68">
        <v>76</v>
      </c>
      <c r="G4" s="68">
        <v>172</v>
      </c>
      <c r="H4" s="70">
        <v>0.70399999999999996</v>
      </c>
      <c r="J4" s="66"/>
      <c r="K4" s="78">
        <v>743.9</v>
      </c>
      <c r="M4" s="64" t="s">
        <v>826</v>
      </c>
      <c r="N4" s="64" t="s">
        <v>889</v>
      </c>
      <c r="O4" s="64" t="s">
        <v>898</v>
      </c>
      <c r="P4" s="64" t="s">
        <v>899</v>
      </c>
      <c r="Q4" s="64" t="s">
        <v>890</v>
      </c>
      <c r="R4" s="64" t="s">
        <v>891</v>
      </c>
      <c r="S4" s="64" t="s">
        <v>892</v>
      </c>
      <c r="T4" s="64" t="s">
        <v>893</v>
      </c>
      <c r="U4" s="64" t="s">
        <v>894</v>
      </c>
      <c r="V4" s="64" t="s">
        <v>895</v>
      </c>
      <c r="W4" s="64" t="s">
        <v>896</v>
      </c>
      <c r="X4" s="64" t="s">
        <v>897</v>
      </c>
      <c r="Y4" s="64" t="s">
        <v>828</v>
      </c>
    </row>
    <row r="5" spans="1:25" ht="15">
      <c r="A5" s="68">
        <v>561100</v>
      </c>
      <c r="B5" s="69" t="s">
        <v>831</v>
      </c>
      <c r="C5" s="69" t="s">
        <v>832</v>
      </c>
      <c r="D5" s="71">
        <v>0</v>
      </c>
      <c r="E5" s="68">
        <v>120</v>
      </c>
      <c r="F5" s="71">
        <v>0</v>
      </c>
      <c r="G5" s="68">
        <v>776</v>
      </c>
      <c r="H5" s="70">
        <v>0.64</v>
      </c>
      <c r="J5" s="66"/>
      <c r="K5" s="78">
        <v>19.8</v>
      </c>
      <c r="M5">
        <v>99229</v>
      </c>
      <c r="Q5" s="65"/>
      <c r="Y5" s="65">
        <v>0</v>
      </c>
    </row>
    <row r="6" spans="1:25" ht="15">
      <c r="A6" s="68">
        <v>561105</v>
      </c>
      <c r="B6" s="69" t="s">
        <v>833</v>
      </c>
      <c r="C6" s="69" t="s">
        <v>834</v>
      </c>
      <c r="D6" s="71">
        <v>0</v>
      </c>
      <c r="E6" s="68">
        <v>216</v>
      </c>
      <c r="F6" s="71">
        <v>0</v>
      </c>
      <c r="G6" s="68">
        <v>700</v>
      </c>
      <c r="H6" s="70">
        <v>0.64</v>
      </c>
      <c r="J6" s="66"/>
      <c r="K6" s="78">
        <v>27.4</v>
      </c>
      <c r="M6">
        <v>93701</v>
      </c>
      <c r="N6">
        <v>567105</v>
      </c>
      <c r="O6" t="s">
        <v>858</v>
      </c>
      <c r="P6" t="s">
        <v>859</v>
      </c>
      <c r="Q6" s="65">
        <v>62</v>
      </c>
      <c r="R6">
        <v>4</v>
      </c>
      <c r="S6">
        <v>4</v>
      </c>
      <c r="T6">
        <v>64</v>
      </c>
      <c r="U6">
        <v>0.56000000000000005</v>
      </c>
      <c r="X6">
        <v>420.3</v>
      </c>
      <c r="Y6" s="65">
        <v>0.8496428925630084</v>
      </c>
    </row>
    <row r="7" spans="1:25" ht="15">
      <c r="A7" s="68">
        <v>562100</v>
      </c>
      <c r="B7" s="69" t="s">
        <v>835</v>
      </c>
      <c r="C7" s="69" t="s">
        <v>836</v>
      </c>
      <c r="D7" s="71">
        <v>0</v>
      </c>
      <c r="E7" s="68">
        <v>14</v>
      </c>
      <c r="F7" s="71">
        <v>0</v>
      </c>
      <c r="G7" s="68">
        <v>73</v>
      </c>
      <c r="H7" s="70">
        <v>0.64</v>
      </c>
      <c r="J7" s="66"/>
      <c r="K7" s="78">
        <v>142.80000000000001</v>
      </c>
      <c r="M7" t="s">
        <v>799</v>
      </c>
      <c r="Q7" s="65"/>
      <c r="Y7" s="65">
        <v>0</v>
      </c>
    </row>
    <row r="8" spans="1:25" ht="15">
      <c r="A8" s="68">
        <v>565100</v>
      </c>
      <c r="B8" s="69" t="s">
        <v>752</v>
      </c>
      <c r="C8" s="69" t="s">
        <v>837</v>
      </c>
      <c r="D8" s="71">
        <v>0</v>
      </c>
      <c r="E8" s="68">
        <v>0</v>
      </c>
      <c r="F8" s="71">
        <v>0</v>
      </c>
      <c r="G8" s="68">
        <v>0</v>
      </c>
      <c r="H8" s="70">
        <v>0.66</v>
      </c>
      <c r="J8" s="66"/>
      <c r="K8" s="78">
        <v>0</v>
      </c>
      <c r="M8">
        <v>96701</v>
      </c>
      <c r="N8">
        <v>565100</v>
      </c>
      <c r="O8" t="s">
        <v>752</v>
      </c>
      <c r="P8" t="s">
        <v>837</v>
      </c>
      <c r="Q8" s="65">
        <v>0</v>
      </c>
      <c r="R8">
        <v>0</v>
      </c>
      <c r="S8">
        <v>0</v>
      </c>
      <c r="T8">
        <v>0</v>
      </c>
      <c r="U8">
        <v>0.66</v>
      </c>
      <c r="X8">
        <v>0</v>
      </c>
      <c r="Y8" s="65">
        <v>1</v>
      </c>
    </row>
    <row r="9" spans="1:25" ht="15">
      <c r="A9" s="68">
        <v>565105</v>
      </c>
      <c r="B9" s="69" t="s">
        <v>753</v>
      </c>
      <c r="C9" s="69" t="s">
        <v>838</v>
      </c>
      <c r="D9" s="68">
        <v>412</v>
      </c>
      <c r="E9" s="68">
        <v>17</v>
      </c>
      <c r="F9" s="68">
        <v>19</v>
      </c>
      <c r="G9" s="68">
        <v>57</v>
      </c>
      <c r="H9" s="70">
        <v>0.69599999999999995</v>
      </c>
      <c r="J9" s="66"/>
      <c r="K9" s="78">
        <v>528</v>
      </c>
      <c r="M9">
        <v>82001</v>
      </c>
      <c r="N9">
        <v>565105</v>
      </c>
      <c r="O9" t="s">
        <v>753</v>
      </c>
      <c r="P9" t="s">
        <v>838</v>
      </c>
      <c r="Q9" s="65">
        <v>412</v>
      </c>
      <c r="R9">
        <v>17</v>
      </c>
      <c r="S9">
        <v>19</v>
      </c>
      <c r="T9">
        <v>57</v>
      </c>
      <c r="U9">
        <v>0.69599999999999995</v>
      </c>
      <c r="X9">
        <v>528</v>
      </c>
      <c r="Y9" s="65">
        <v>1</v>
      </c>
    </row>
    <row r="10" spans="1:25" ht="15">
      <c r="A10" s="68">
        <v>565110</v>
      </c>
      <c r="B10" s="69" t="s">
        <v>754</v>
      </c>
      <c r="C10" s="69" t="s">
        <v>839</v>
      </c>
      <c r="D10" s="70">
        <v>3.77</v>
      </c>
      <c r="E10" s="68">
        <v>105</v>
      </c>
      <c r="F10" s="68">
        <v>122</v>
      </c>
      <c r="G10" s="68">
        <v>60</v>
      </c>
      <c r="H10" s="70">
        <v>0.73199999999999998</v>
      </c>
      <c r="J10" s="66"/>
      <c r="K10" s="78">
        <v>743.2</v>
      </c>
      <c r="M10">
        <v>96501</v>
      </c>
      <c r="N10">
        <v>565110</v>
      </c>
      <c r="O10" t="s">
        <v>754</v>
      </c>
      <c r="P10" t="s">
        <v>839</v>
      </c>
      <c r="Q10" s="65">
        <v>3.77</v>
      </c>
      <c r="R10">
        <v>105</v>
      </c>
      <c r="S10">
        <v>122</v>
      </c>
      <c r="T10">
        <v>60</v>
      </c>
      <c r="U10">
        <v>0.73199999999999998</v>
      </c>
      <c r="X10">
        <v>743.2</v>
      </c>
      <c r="Y10" s="65">
        <v>1</v>
      </c>
    </row>
    <row r="11" spans="1:25" ht="30">
      <c r="A11" s="68">
        <v>565115</v>
      </c>
      <c r="B11" s="69" t="s">
        <v>840</v>
      </c>
      <c r="C11" s="69" t="s">
        <v>841</v>
      </c>
      <c r="D11" s="72">
        <v>3067</v>
      </c>
      <c r="E11" s="68">
        <v>89</v>
      </c>
      <c r="F11" s="68">
        <v>99</v>
      </c>
      <c r="G11" s="68">
        <v>544</v>
      </c>
      <c r="H11" s="70">
        <v>0.70299999999999996</v>
      </c>
      <c r="J11" s="66"/>
      <c r="K11" s="78">
        <v>744.1</v>
      </c>
      <c r="M11">
        <v>99230</v>
      </c>
      <c r="Q11" s="65"/>
      <c r="Y11" s="65">
        <v>0</v>
      </c>
    </row>
    <row r="12" spans="1:25" ht="30">
      <c r="A12" s="68">
        <v>566100</v>
      </c>
      <c r="B12" s="69" t="s">
        <v>842</v>
      </c>
      <c r="C12" s="69" t="s">
        <v>843</v>
      </c>
      <c r="D12" s="70">
        <v>5.78</v>
      </c>
      <c r="E12" s="68">
        <v>171</v>
      </c>
      <c r="F12" s="68">
        <v>186</v>
      </c>
      <c r="G12" s="68">
        <v>696</v>
      </c>
      <c r="H12" s="70">
        <v>0.66300000000000003</v>
      </c>
      <c r="J12" s="66"/>
      <c r="K12" s="78">
        <v>744.4</v>
      </c>
      <c r="M12">
        <v>99286</v>
      </c>
      <c r="Q12" s="65"/>
      <c r="Y12" s="65">
        <v>0</v>
      </c>
    </row>
    <row r="13" spans="1:25" ht="15">
      <c r="A13" s="68">
        <v>566105</v>
      </c>
      <c r="B13" s="69" t="s">
        <v>844</v>
      </c>
      <c r="C13" s="69" t="s">
        <v>845</v>
      </c>
      <c r="D13" s="70">
        <v>6.9969999999999999</v>
      </c>
      <c r="E13" s="68">
        <v>315</v>
      </c>
      <c r="F13" s="68">
        <v>370</v>
      </c>
      <c r="G13" s="68">
        <v>65</v>
      </c>
      <c r="H13" s="70">
        <v>0.73199999999999998</v>
      </c>
      <c r="J13" s="66"/>
      <c r="K13" s="78">
        <v>454.4</v>
      </c>
      <c r="M13">
        <v>99294</v>
      </c>
      <c r="Q13" s="65"/>
      <c r="Y13" s="65">
        <v>0</v>
      </c>
    </row>
    <row r="14" spans="1:25" ht="15">
      <c r="A14" s="68">
        <v>566110</v>
      </c>
      <c r="B14" s="69" t="s">
        <v>846</v>
      </c>
      <c r="C14" s="69" t="s">
        <v>847</v>
      </c>
      <c r="D14" s="71">
        <v>0</v>
      </c>
      <c r="E14" s="68">
        <v>8</v>
      </c>
      <c r="F14" s="71">
        <v>0</v>
      </c>
      <c r="G14" s="68">
        <v>49</v>
      </c>
      <c r="H14" s="70">
        <v>0.74399999999999999</v>
      </c>
      <c r="J14" s="66"/>
      <c r="K14" s="78">
        <v>33.9</v>
      </c>
      <c r="M14">
        <v>99293</v>
      </c>
      <c r="Q14" s="65"/>
      <c r="Y14" s="65">
        <v>0</v>
      </c>
    </row>
    <row r="15" spans="1:25" ht="30">
      <c r="A15" s="68">
        <v>566115</v>
      </c>
      <c r="B15" s="69" t="s">
        <v>848</v>
      </c>
      <c r="C15" s="69" t="s">
        <v>849</v>
      </c>
      <c r="D15" s="70">
        <v>4.069</v>
      </c>
      <c r="E15" s="68">
        <v>184</v>
      </c>
      <c r="F15" s="68">
        <v>213</v>
      </c>
      <c r="G15" s="68">
        <v>739</v>
      </c>
      <c r="H15" s="70">
        <v>0.72799999999999998</v>
      </c>
      <c r="J15" s="66"/>
      <c r="K15" s="78">
        <v>458.6</v>
      </c>
      <c r="M15">
        <v>99295</v>
      </c>
      <c r="Q15" s="65"/>
      <c r="Y15" s="65">
        <v>0</v>
      </c>
    </row>
    <row r="16" spans="1:25" ht="30">
      <c r="A16" s="68">
        <v>566120</v>
      </c>
      <c r="B16" s="69" t="s">
        <v>850</v>
      </c>
      <c r="C16" s="69" t="s">
        <v>851</v>
      </c>
      <c r="D16" s="70">
        <v>5.0759999999999996</v>
      </c>
      <c r="E16" s="68">
        <v>232</v>
      </c>
      <c r="F16" s="68">
        <v>269</v>
      </c>
      <c r="G16" s="68">
        <v>63</v>
      </c>
      <c r="H16" s="70">
        <v>0.72799999999999998</v>
      </c>
      <c r="J16" s="66"/>
      <c r="K16" s="78">
        <v>452.8</v>
      </c>
      <c r="M16">
        <v>99228</v>
      </c>
      <c r="N16">
        <v>585100</v>
      </c>
      <c r="O16" t="s">
        <v>881</v>
      </c>
      <c r="P16" t="s">
        <v>882</v>
      </c>
      <c r="Q16" s="65">
        <v>0</v>
      </c>
      <c r="R16">
        <v>0</v>
      </c>
      <c r="S16">
        <v>0</v>
      </c>
      <c r="T16">
        <v>0</v>
      </c>
      <c r="U16">
        <v>0.69399999999999995</v>
      </c>
      <c r="X16">
        <v>0</v>
      </c>
      <c r="Y16" s="65">
        <v>0.96389264549316622</v>
      </c>
    </row>
    <row r="17" spans="1:25" ht="30">
      <c r="A17" s="68">
        <v>566125</v>
      </c>
      <c r="B17" s="69" t="s">
        <v>852</v>
      </c>
      <c r="C17" s="69" t="s">
        <v>853</v>
      </c>
      <c r="D17" s="70">
        <v>3.6240000000000001</v>
      </c>
      <c r="E17" s="68">
        <v>168</v>
      </c>
      <c r="F17" s="68">
        <v>195</v>
      </c>
      <c r="G17" s="68">
        <v>763</v>
      </c>
      <c r="H17" s="70">
        <v>0.72799999999999998</v>
      </c>
      <c r="J17" s="66"/>
      <c r="K17" s="78">
        <v>447</v>
      </c>
      <c r="M17" t="s">
        <v>801</v>
      </c>
      <c r="Q17" s="65"/>
      <c r="Y17" s="65">
        <v>0</v>
      </c>
    </row>
    <row r="18" spans="1:25" ht="30">
      <c r="A18" s="68">
        <v>566130</v>
      </c>
      <c r="B18" s="69" t="s">
        <v>854</v>
      </c>
      <c r="C18" s="69" t="s">
        <v>855</v>
      </c>
      <c r="D18" s="70">
        <v>4.3499999999999996</v>
      </c>
      <c r="E18" s="68">
        <v>198</v>
      </c>
      <c r="F18" s="68">
        <v>230</v>
      </c>
      <c r="G18" s="68">
        <v>62</v>
      </c>
      <c r="H18" s="70">
        <v>0.72799999999999998</v>
      </c>
      <c r="J18" s="66"/>
      <c r="K18" s="78">
        <v>454.3</v>
      </c>
      <c r="M18">
        <v>99255</v>
      </c>
      <c r="N18">
        <v>595101</v>
      </c>
      <c r="O18" t="s">
        <v>884</v>
      </c>
      <c r="P18" t="s">
        <v>885</v>
      </c>
      <c r="Q18" s="65">
        <v>788</v>
      </c>
      <c r="R18">
        <v>56</v>
      </c>
      <c r="S18">
        <v>62</v>
      </c>
      <c r="T18">
        <v>125</v>
      </c>
      <c r="U18">
        <v>0.622</v>
      </c>
      <c r="X18">
        <v>306.8</v>
      </c>
      <c r="Y18" s="65">
        <v>1</v>
      </c>
    </row>
    <row r="19" spans="1:25" ht="15">
      <c r="A19" s="68">
        <v>567100</v>
      </c>
      <c r="B19" s="69" t="s">
        <v>856</v>
      </c>
      <c r="C19" s="69" t="s">
        <v>857</v>
      </c>
      <c r="D19" s="71">
        <v>0</v>
      </c>
      <c r="E19" s="68">
        <v>315</v>
      </c>
      <c r="F19" s="71">
        <v>0</v>
      </c>
      <c r="G19" s="68">
        <v>180</v>
      </c>
      <c r="H19" s="70">
        <v>0.65</v>
      </c>
      <c r="J19" s="66"/>
      <c r="K19" s="78">
        <v>744</v>
      </c>
      <c r="Q19" s="65"/>
      <c r="Y19" s="65">
        <v>0</v>
      </c>
    </row>
    <row r="20" spans="1:25" ht="30">
      <c r="A20" s="68">
        <v>567105</v>
      </c>
      <c r="B20" s="69" t="s">
        <v>858</v>
      </c>
      <c r="C20" s="69" t="s">
        <v>859</v>
      </c>
      <c r="D20" s="68">
        <v>62</v>
      </c>
      <c r="E20" s="68">
        <v>4</v>
      </c>
      <c r="F20" s="71">
        <v>4</v>
      </c>
      <c r="G20" s="68">
        <v>64</v>
      </c>
      <c r="H20" s="70">
        <v>0.56000000000000005</v>
      </c>
      <c r="J20" s="66"/>
      <c r="K20" s="78">
        <v>420.3</v>
      </c>
      <c r="M20">
        <v>98921</v>
      </c>
      <c r="Q20" s="65"/>
      <c r="Y20" s="65">
        <v>0</v>
      </c>
    </row>
    <row r="21" spans="1:25" ht="30">
      <c r="A21" s="68">
        <v>567110</v>
      </c>
      <c r="B21" s="69" t="s">
        <v>860</v>
      </c>
      <c r="C21" s="73" t="s">
        <v>861</v>
      </c>
      <c r="D21" s="70">
        <v>1.48</v>
      </c>
      <c r="E21" s="68">
        <v>44</v>
      </c>
      <c r="F21" s="68">
        <v>48</v>
      </c>
      <c r="G21" s="68">
        <v>51</v>
      </c>
      <c r="H21" s="70">
        <v>0.65400000000000003</v>
      </c>
      <c r="J21" s="66"/>
      <c r="K21" s="78">
        <v>744.4</v>
      </c>
      <c r="M21">
        <v>99017</v>
      </c>
      <c r="N21">
        <v>575100</v>
      </c>
      <c r="O21" t="s">
        <v>876</v>
      </c>
      <c r="P21" t="s">
        <v>877</v>
      </c>
      <c r="Q21" s="65">
        <v>4.4630000000000001</v>
      </c>
      <c r="R21">
        <v>143</v>
      </c>
      <c r="S21">
        <v>144</v>
      </c>
      <c r="T21">
        <v>83</v>
      </c>
      <c r="U21">
        <v>0.55700000000000005</v>
      </c>
      <c r="X21">
        <v>743.9</v>
      </c>
      <c r="Y21" s="65">
        <v>0.961741324690499</v>
      </c>
    </row>
    <row r="22" spans="1:25" ht="15">
      <c r="A22" s="68">
        <v>568115</v>
      </c>
      <c r="B22" s="69" t="s">
        <v>862</v>
      </c>
      <c r="C22" s="69" t="s">
        <v>863</v>
      </c>
      <c r="D22" s="71">
        <v>0</v>
      </c>
      <c r="E22" s="68">
        <v>292</v>
      </c>
      <c r="F22" s="71">
        <v>0</v>
      </c>
      <c r="G22" s="68">
        <v>53</v>
      </c>
      <c r="H22" s="70">
        <v>0.6</v>
      </c>
      <c r="J22" s="66"/>
      <c r="K22" s="79">
        <v>508</v>
      </c>
      <c r="M22">
        <v>99067</v>
      </c>
      <c r="Q22" s="65"/>
      <c r="Y22" s="65">
        <v>0</v>
      </c>
    </row>
    <row r="23" spans="1:25" ht="15">
      <c r="A23" s="68">
        <v>568120</v>
      </c>
      <c r="B23" s="69" t="s">
        <v>865</v>
      </c>
      <c r="C23" s="69" t="s">
        <v>866</v>
      </c>
      <c r="D23" s="71">
        <v>0</v>
      </c>
      <c r="E23" s="68">
        <v>115</v>
      </c>
      <c r="F23" s="71">
        <v>0</v>
      </c>
      <c r="G23" s="68">
        <v>830</v>
      </c>
      <c r="H23" s="70">
        <v>0.6</v>
      </c>
      <c r="J23" s="66"/>
      <c r="K23" s="78">
        <v>743.8</v>
      </c>
      <c r="M23" t="s">
        <v>799</v>
      </c>
      <c r="Q23" s="65"/>
      <c r="Y23" s="65">
        <v>0</v>
      </c>
    </row>
    <row r="24" spans="1:25" ht="15">
      <c r="A24" s="68">
        <v>568125</v>
      </c>
      <c r="B24" s="69" t="s">
        <v>867</v>
      </c>
      <c r="C24" s="69" t="s">
        <v>868</v>
      </c>
      <c r="D24" s="71">
        <v>0</v>
      </c>
      <c r="E24" s="68">
        <v>6</v>
      </c>
      <c r="F24" s="71">
        <v>0</v>
      </c>
      <c r="G24" s="68">
        <v>45</v>
      </c>
      <c r="H24" s="70">
        <v>0.6</v>
      </c>
      <c r="J24" s="66"/>
      <c r="K24" s="78">
        <v>743.8</v>
      </c>
      <c r="M24">
        <v>99069</v>
      </c>
      <c r="Q24" s="65"/>
      <c r="Y24" s="65">
        <v>0</v>
      </c>
    </row>
    <row r="25" spans="1:25" ht="32.25">
      <c r="A25" s="68">
        <v>570100</v>
      </c>
      <c r="B25" s="69" t="s">
        <v>869</v>
      </c>
      <c r="C25" s="69" t="s">
        <v>870</v>
      </c>
      <c r="D25" s="70">
        <v>2.0169999999999999</v>
      </c>
      <c r="E25" s="68">
        <v>59</v>
      </c>
      <c r="F25" s="68">
        <v>65</v>
      </c>
      <c r="G25" s="68">
        <v>58</v>
      </c>
      <c r="H25" s="70">
        <v>0.67800000000000005</v>
      </c>
      <c r="J25" s="66"/>
      <c r="K25" s="78">
        <v>743.9</v>
      </c>
      <c r="M25">
        <v>98965</v>
      </c>
      <c r="Q25" s="65"/>
      <c r="Y25" s="65">
        <v>0</v>
      </c>
    </row>
    <row r="26" spans="1:25" ht="30">
      <c r="A26" s="68">
        <v>570105</v>
      </c>
      <c r="B26" s="69" t="s">
        <v>871</v>
      </c>
      <c r="C26" s="69" t="s">
        <v>872</v>
      </c>
      <c r="D26" s="70">
        <v>1.278</v>
      </c>
      <c r="E26" s="68">
        <v>43</v>
      </c>
      <c r="F26" s="68">
        <v>47</v>
      </c>
      <c r="G26" s="68">
        <v>59</v>
      </c>
      <c r="H26" s="70">
        <v>0.66100000000000003</v>
      </c>
      <c r="J26" s="66"/>
      <c r="K26" s="78">
        <v>656.4</v>
      </c>
      <c r="M26">
        <v>48001</v>
      </c>
      <c r="N26">
        <v>566110</v>
      </c>
      <c r="O26" t="s">
        <v>846</v>
      </c>
      <c r="P26" t="s">
        <v>847</v>
      </c>
      <c r="Q26" s="65">
        <v>0</v>
      </c>
      <c r="R26">
        <v>8</v>
      </c>
      <c r="S26">
        <v>0</v>
      </c>
      <c r="T26">
        <v>49</v>
      </c>
      <c r="U26">
        <v>0.74399999999999999</v>
      </c>
      <c r="X26">
        <v>33.9</v>
      </c>
      <c r="Y26" s="65">
        <v>0.95248731265651232</v>
      </c>
    </row>
    <row r="27" spans="1:25" ht="15">
      <c r="A27" s="68">
        <v>570110</v>
      </c>
      <c r="B27" s="69" t="s">
        <v>873</v>
      </c>
      <c r="C27" s="69" t="s">
        <v>874</v>
      </c>
      <c r="D27" s="70">
        <v>2.1080000000000001</v>
      </c>
      <c r="E27" s="68">
        <v>97</v>
      </c>
      <c r="F27" s="68">
        <v>107</v>
      </c>
      <c r="G27" s="68">
        <v>97</v>
      </c>
      <c r="H27" s="70">
        <v>0.68600000000000005</v>
      </c>
      <c r="J27" s="66"/>
      <c r="K27" s="78">
        <v>470.7</v>
      </c>
      <c r="M27">
        <v>93806</v>
      </c>
      <c r="Q27" s="65"/>
      <c r="Y27" s="65">
        <v>0</v>
      </c>
    </row>
    <row r="28" spans="1:25" ht="15">
      <c r="A28" s="68">
        <v>570115</v>
      </c>
      <c r="B28" s="69" t="s">
        <v>794</v>
      </c>
      <c r="C28" s="69" t="s">
        <v>875</v>
      </c>
      <c r="D28" s="70">
        <v>1.3480000000000001</v>
      </c>
      <c r="E28" s="68">
        <v>50</v>
      </c>
      <c r="F28" s="68">
        <v>54</v>
      </c>
      <c r="G28" s="68">
        <v>98</v>
      </c>
      <c r="H28" s="70">
        <v>0.70199999999999996</v>
      </c>
      <c r="J28" s="66"/>
      <c r="K28" s="78">
        <v>595.4</v>
      </c>
      <c r="M28">
        <v>98961</v>
      </c>
      <c r="Q28" s="65"/>
      <c r="Y28" s="65">
        <v>0</v>
      </c>
    </row>
    <row r="29" spans="1:25" ht="15">
      <c r="A29" s="68">
        <v>575100</v>
      </c>
      <c r="B29" s="69" t="s">
        <v>876</v>
      </c>
      <c r="C29" s="69" t="s">
        <v>877</v>
      </c>
      <c r="D29" s="70">
        <v>4.4630000000000001</v>
      </c>
      <c r="E29" s="68">
        <v>143</v>
      </c>
      <c r="F29" s="68">
        <v>144</v>
      </c>
      <c r="G29" s="68">
        <v>83</v>
      </c>
      <c r="H29" s="70">
        <v>0.55700000000000005</v>
      </c>
      <c r="J29" s="66"/>
      <c r="K29" s="78">
        <v>743.9</v>
      </c>
      <c r="M29">
        <v>99307</v>
      </c>
      <c r="Q29" s="65"/>
      <c r="Y29" s="65">
        <v>0</v>
      </c>
    </row>
    <row r="30" spans="1:25" ht="30">
      <c r="A30" s="68">
        <v>575105</v>
      </c>
      <c r="B30" s="69" t="s">
        <v>878</v>
      </c>
      <c r="C30" s="69" t="s">
        <v>879</v>
      </c>
      <c r="D30" s="71">
        <v>0</v>
      </c>
      <c r="E30" s="68">
        <v>206</v>
      </c>
      <c r="F30" s="71">
        <v>0</v>
      </c>
      <c r="G30" s="68">
        <v>1032</v>
      </c>
      <c r="H30" s="70">
        <v>0.65</v>
      </c>
      <c r="J30" s="66"/>
      <c r="K30" s="78">
        <v>744.1</v>
      </c>
      <c r="M30">
        <v>98987</v>
      </c>
      <c r="Q30" s="65"/>
      <c r="Y30" s="65">
        <v>0</v>
      </c>
    </row>
    <row r="31" spans="1:25" ht="30">
      <c r="A31" s="68">
        <v>580100</v>
      </c>
      <c r="B31" s="69" t="s">
        <v>786</v>
      </c>
      <c r="C31" s="69" t="s">
        <v>880</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881</v>
      </c>
      <c r="C32" s="69" t="s">
        <v>882</v>
      </c>
      <c r="D32" s="71">
        <v>0</v>
      </c>
      <c r="E32" s="68">
        <v>0</v>
      </c>
      <c r="F32" s="71">
        <v>0</v>
      </c>
      <c r="G32" s="68">
        <v>0</v>
      </c>
      <c r="H32" s="70">
        <v>0.69399999999999995</v>
      </c>
      <c r="J32" s="66"/>
      <c r="K32" s="78">
        <v>0</v>
      </c>
      <c r="M32">
        <v>99007</v>
      </c>
      <c r="Q32" s="65"/>
      <c r="Y32" s="65">
        <v>0</v>
      </c>
    </row>
    <row r="33" spans="1:25" ht="30">
      <c r="A33" s="68">
        <v>585105</v>
      </c>
      <c r="B33" s="69" t="s">
        <v>883</v>
      </c>
      <c r="C33" s="69" t="s">
        <v>882</v>
      </c>
      <c r="D33" s="71">
        <v>0</v>
      </c>
      <c r="E33" s="68">
        <v>0</v>
      </c>
      <c r="F33" s="71">
        <v>0</v>
      </c>
      <c r="G33" s="68">
        <v>0</v>
      </c>
      <c r="H33" s="70">
        <v>0.69399999999999995</v>
      </c>
      <c r="J33" s="66"/>
      <c r="K33" s="78">
        <v>0</v>
      </c>
      <c r="M33">
        <v>98956</v>
      </c>
      <c r="Q33" s="65"/>
      <c r="Y33" s="65">
        <v>0</v>
      </c>
    </row>
    <row r="34" spans="1:25" ht="15">
      <c r="A34" s="68">
        <v>595101</v>
      </c>
      <c r="B34" s="69" t="s">
        <v>884</v>
      </c>
      <c r="C34" s="69" t="s">
        <v>885</v>
      </c>
      <c r="D34" s="68">
        <v>788</v>
      </c>
      <c r="E34" s="68">
        <v>56</v>
      </c>
      <c r="F34" s="68">
        <v>62</v>
      </c>
      <c r="G34" s="68">
        <v>125</v>
      </c>
      <c r="H34" s="70">
        <v>0.622</v>
      </c>
      <c r="J34" s="66"/>
      <c r="K34" s="78">
        <v>306.8</v>
      </c>
      <c r="M34">
        <v>89858</v>
      </c>
      <c r="Q34" s="65"/>
      <c r="Y34" s="65">
        <v>0</v>
      </c>
    </row>
    <row r="35" spans="1:25" ht="31.5">
      <c r="A35" s="74"/>
      <c r="B35" s="74"/>
      <c r="C35" s="75" t="s">
        <v>886</v>
      </c>
      <c r="D35" s="76" t="s">
        <v>887</v>
      </c>
      <c r="E35" s="74"/>
      <c r="F35" s="74"/>
      <c r="G35" s="74"/>
      <c r="H35" s="74"/>
      <c r="I35" s="74"/>
      <c r="J35" s="66"/>
      <c r="M35">
        <v>98959</v>
      </c>
      <c r="Q35" s="65"/>
      <c r="Y35" s="65">
        <v>0</v>
      </c>
    </row>
    <row r="36" spans="1:25" ht="15">
      <c r="A36" s="74"/>
      <c r="B36" s="69" t="s">
        <v>888</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801</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856</v>
      </c>
      <c r="P44" t="s">
        <v>857</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808</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786</v>
      </c>
      <c r="P52" t="s">
        <v>880</v>
      </c>
      <c r="Q52" s="65">
        <v>69.777000000000001</v>
      </c>
      <c r="R52">
        <v>2.1080000000000001</v>
      </c>
      <c r="S52">
        <v>2.2509999999999999</v>
      </c>
      <c r="T52">
        <v>640</v>
      </c>
      <c r="U52">
        <v>0.65300000000000002</v>
      </c>
      <c r="X52">
        <v>743.9</v>
      </c>
      <c r="Y52" s="65">
        <v>1</v>
      </c>
    </row>
    <row r="53" spans="13:25">
      <c r="M53">
        <v>99128</v>
      </c>
      <c r="N53">
        <v>568115</v>
      </c>
      <c r="O53" t="s">
        <v>862</v>
      </c>
      <c r="P53" t="s">
        <v>863</v>
      </c>
      <c r="Q53" s="65">
        <v>0</v>
      </c>
      <c r="R53">
        <v>292</v>
      </c>
      <c r="S53">
        <v>0</v>
      </c>
      <c r="T53">
        <v>53</v>
      </c>
      <c r="U53">
        <v>0.6</v>
      </c>
      <c r="X53" t="s">
        <v>864</v>
      </c>
      <c r="Y53" s="65">
        <v>0.61904761904761907</v>
      </c>
    </row>
    <row r="54" spans="13:25">
      <c r="M54">
        <v>99134</v>
      </c>
      <c r="N54">
        <v>568120</v>
      </c>
      <c r="O54" t="s">
        <v>865</v>
      </c>
      <c r="P54" t="s">
        <v>866</v>
      </c>
      <c r="Q54" s="65">
        <v>0</v>
      </c>
      <c r="R54">
        <v>115</v>
      </c>
      <c r="S54">
        <v>0</v>
      </c>
      <c r="T54">
        <v>830</v>
      </c>
      <c r="U54">
        <v>0.6</v>
      </c>
      <c r="X54">
        <v>743.8</v>
      </c>
      <c r="Y54" s="65">
        <v>0.98654708520179368</v>
      </c>
    </row>
    <row r="55" spans="13:25">
      <c r="M55">
        <v>99256</v>
      </c>
      <c r="N55">
        <v>560101</v>
      </c>
      <c r="O55" t="s">
        <v>829</v>
      </c>
      <c r="P55" t="s">
        <v>830</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873</v>
      </c>
      <c r="P57" t="s">
        <v>874</v>
      </c>
      <c r="Q57" s="65">
        <v>2.1080000000000001</v>
      </c>
      <c r="R57">
        <v>97</v>
      </c>
      <c r="S57">
        <v>107</v>
      </c>
      <c r="T57">
        <v>97</v>
      </c>
      <c r="U57">
        <v>0.68600000000000005</v>
      </c>
      <c r="X57">
        <v>470.7</v>
      </c>
      <c r="Y57" s="65">
        <v>1</v>
      </c>
    </row>
    <row r="58" spans="13:25">
      <c r="M58">
        <v>96901</v>
      </c>
      <c r="N58">
        <v>570100</v>
      </c>
      <c r="O58" t="s">
        <v>901</v>
      </c>
      <c r="P58" t="s">
        <v>870</v>
      </c>
      <c r="Q58" s="65">
        <v>2.0169999999999999</v>
      </c>
      <c r="R58">
        <v>59</v>
      </c>
      <c r="S58">
        <v>65</v>
      </c>
      <c r="T58">
        <v>58</v>
      </c>
      <c r="U58">
        <v>0.67800000000000005</v>
      </c>
      <c r="X58">
        <v>743.9</v>
      </c>
      <c r="Y58" s="65">
        <v>0.88888888888888895</v>
      </c>
    </row>
    <row r="59" spans="13:25">
      <c r="M59">
        <v>99101</v>
      </c>
      <c r="Q59" s="65"/>
      <c r="Y59" s="65">
        <v>0</v>
      </c>
    </row>
    <row r="60" spans="13:25">
      <c r="M60" t="s">
        <v>814</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835</v>
      </c>
      <c r="P64" t="s">
        <v>836</v>
      </c>
      <c r="Q64" s="65">
        <v>0</v>
      </c>
      <c r="R64">
        <v>14</v>
      </c>
      <c r="S64">
        <v>0</v>
      </c>
      <c r="T64">
        <v>73</v>
      </c>
      <c r="U64">
        <v>0.64</v>
      </c>
      <c r="X64">
        <v>142.80000000000001</v>
      </c>
      <c r="Y64" s="65">
        <v>0.95</v>
      </c>
    </row>
    <row r="65" spans="13:25">
      <c r="M65">
        <v>34001</v>
      </c>
      <c r="N65">
        <v>567110</v>
      </c>
      <c r="O65" t="s">
        <v>860</v>
      </c>
      <c r="P65" t="s">
        <v>902</v>
      </c>
      <c r="Q65" s="65">
        <v>1.48</v>
      </c>
      <c r="R65">
        <v>44</v>
      </c>
      <c r="S65">
        <v>48</v>
      </c>
      <c r="T65">
        <v>51</v>
      </c>
      <c r="U65">
        <v>0.65400000000000003</v>
      </c>
      <c r="X65">
        <v>744.4</v>
      </c>
      <c r="Y65" s="65">
        <v>0.84174725847204079</v>
      </c>
    </row>
    <row r="66" spans="13:25">
      <c r="M66" t="s">
        <v>818</v>
      </c>
      <c r="Q66" s="65"/>
      <c r="Y66" s="65">
        <v>0</v>
      </c>
    </row>
    <row r="67" spans="13:25">
      <c r="M67" t="s">
        <v>819</v>
      </c>
      <c r="Q67" s="65"/>
      <c r="Y67" s="65">
        <v>0</v>
      </c>
    </row>
    <row r="68" spans="13:25">
      <c r="M68">
        <v>98915</v>
      </c>
      <c r="N68">
        <v>561105</v>
      </c>
      <c r="O68" t="s">
        <v>833</v>
      </c>
      <c r="P68" t="s">
        <v>834</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799</v>
      </c>
      <c r="Q74" s="65"/>
      <c r="Y74" s="65">
        <v>0</v>
      </c>
    </row>
    <row r="75" spans="13:25">
      <c r="M75" t="s">
        <v>799</v>
      </c>
      <c r="Q75" s="65"/>
      <c r="Y75" s="65">
        <v>0</v>
      </c>
    </row>
    <row r="76" spans="13:25">
      <c r="M76">
        <v>80001</v>
      </c>
      <c r="N76">
        <v>570115</v>
      </c>
      <c r="O76" t="s">
        <v>794</v>
      </c>
      <c r="P76" t="s">
        <v>875</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1" t="s">
        <v>618</v>
      </c>
      <c r="C3" s="92" t="s">
        <v>903</v>
      </c>
      <c r="D3" s="94" t="s">
        <v>907</v>
      </c>
      <c r="E3" s="25" t="s">
        <v>908</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797</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619</v>
      </c>
      <c r="C156" s="93">
        <v>4720</v>
      </c>
      <c r="D156" s="95">
        <v>330675</v>
      </c>
      <c r="E156" s="96">
        <v>349304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624</v>
      </c>
    </row>
    <row r="4" spans="3:3">
      <c r="C4">
        <v>14.65</v>
      </c>
    </row>
    <row r="5" spans="3:3">
      <c r="C5">
        <v>14.73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4" sqref="F4"/>
    </sheetView>
  </sheetViews>
  <sheetFormatPr defaultRowHeight="12.75"/>
  <sheetData>
    <row r="2" spans="3:3">
      <c r="C2" t="s">
        <v>905</v>
      </c>
    </row>
    <row r="3" spans="3:3">
      <c r="C3" t="s">
        <v>904</v>
      </c>
    </row>
    <row r="4" spans="3:3" ht="15">
      <c r="C4" s="162">
        <v>98201</v>
      </c>
    </row>
    <row r="5" spans="3:3" ht="15">
      <c r="C5" s="163">
        <v>99269</v>
      </c>
    </row>
    <row r="6" spans="3:3" ht="15">
      <c r="C6" s="162">
        <v>99288</v>
      </c>
    </row>
    <row r="7" spans="3:3" ht="15">
      <c r="C7" s="163">
        <v>99132</v>
      </c>
    </row>
    <row r="8" spans="3:3" ht="15">
      <c r="C8" s="162">
        <v>99133</v>
      </c>
    </row>
    <row r="9" spans="3:3" ht="15">
      <c r="C9" s="163">
        <v>99247</v>
      </c>
    </row>
    <row r="10" spans="3:3">
      <c r="C10" s="153"/>
    </row>
    <row r="11" spans="3:3">
      <c r="C11" s="153"/>
    </row>
    <row r="12" spans="3:3">
      <c r="C12" s="153"/>
    </row>
    <row r="13" spans="3:3" ht="15">
      <c r="C13" s="141"/>
    </row>
    <row r="14" spans="3:3" ht="15">
      <c r="C14" s="140"/>
    </row>
    <row r="15" spans="3:3" ht="15">
      <c r="C15" s="141"/>
    </row>
    <row r="16" spans="3:3" ht="15">
      <c r="C16" s="140"/>
    </row>
    <row r="17" spans="3:3" ht="15">
      <c r="C17" s="141"/>
    </row>
    <row r="18" spans="3:3" ht="15">
      <c r="C18" s="140"/>
    </row>
    <row r="19" spans="3:3" ht="15">
      <c r="C19" s="141"/>
    </row>
    <row r="20" spans="3:3" ht="15">
      <c r="C20" s="140"/>
    </row>
    <row r="21" spans="3:3" ht="15">
      <c r="C21" s="141"/>
    </row>
    <row r="22" spans="3:3" ht="15">
      <c r="C22" s="140"/>
    </row>
    <row r="23" spans="3:3" ht="15">
      <c r="C23" s="141"/>
    </row>
    <row r="24" spans="3:3" ht="15">
      <c r="C24" s="140"/>
    </row>
    <row r="25" spans="3:3" ht="15">
      <c r="C25" s="88"/>
    </row>
    <row r="26" spans="3:3" ht="15">
      <c r="C26" s="89"/>
    </row>
    <row r="27" spans="3:3" ht="15">
      <c r="C27" s="88"/>
    </row>
    <row r="28" spans="3:3" ht="15">
      <c r="C28" s="89"/>
    </row>
    <row r="29" spans="3:3" ht="15">
      <c r="C29" s="88"/>
    </row>
    <row r="30" spans="3:3" ht="15">
      <c r="C30" s="89"/>
    </row>
    <row r="31" spans="3:3" ht="15">
      <c r="C31" s="88"/>
    </row>
    <row r="32" spans="3:3" ht="15">
      <c r="C32" s="89"/>
    </row>
    <row r="33" spans="3:3" ht="15">
      <c r="C33" s="88"/>
    </row>
    <row r="34" spans="3:3" ht="15">
      <c r="C34" s="89"/>
    </row>
    <row r="35" spans="3:3" ht="15">
      <c r="C35" s="88"/>
    </row>
    <row r="36" spans="3:3" ht="15">
      <c r="C36" s="89"/>
    </row>
    <row r="37" spans="3:3" ht="15">
      <c r="C37" s="88"/>
    </row>
    <row r="38" spans="3:3" ht="15">
      <c r="C38" s="89"/>
    </row>
    <row r="39" spans="3:3" ht="15">
      <c r="C39" s="88"/>
    </row>
    <row r="40" spans="3:3" ht="15">
      <c r="C40" s="89"/>
    </row>
    <row r="41" spans="3:3" ht="15">
      <c r="C41" s="88"/>
    </row>
    <row r="42" spans="3:3" ht="15">
      <c r="C42" s="89"/>
    </row>
    <row r="43" spans="3:3" ht="15">
      <c r="C43" s="88"/>
    </row>
    <row r="44" spans="3:3" ht="15">
      <c r="C44" s="89"/>
    </row>
    <row r="45" spans="3:3" ht="15">
      <c r="C45" s="90"/>
    </row>
    <row r="46" spans="3:3" ht="15">
      <c r="C46" s="89"/>
    </row>
    <row r="47" spans="3:3" ht="15">
      <c r="C47" s="88"/>
    </row>
    <row r="48" spans="3:3" ht="15">
      <c r="C48" s="89"/>
    </row>
    <row r="49" spans="3:3" ht="15">
      <c r="C49" s="88"/>
    </row>
    <row r="50" spans="3:3" ht="15">
      <c r="C50" s="89"/>
    </row>
    <row r="51" spans="3:3" ht="15">
      <c r="C51" s="88"/>
    </row>
    <row r="52" spans="3:3" ht="15">
      <c r="C52" s="89"/>
    </row>
    <row r="53" spans="3:3" ht="15">
      <c r="C53" s="88"/>
    </row>
    <row r="54" spans="3:3" ht="15">
      <c r="C54" s="89"/>
    </row>
    <row r="55" spans="3:3" ht="15">
      <c r="C55" s="88"/>
    </row>
    <row r="56" spans="3:3" ht="15">
      <c r="C56" s="89"/>
    </row>
    <row r="57" spans="3:3" ht="15">
      <c r="C57" s="88"/>
    </row>
    <row r="58" spans="3:3" ht="15">
      <c r="C58" s="89"/>
    </row>
    <row r="59" spans="3:3" ht="15">
      <c r="C59" s="88"/>
    </row>
    <row r="60" spans="3:3" ht="15">
      <c r="C60" s="89"/>
    </row>
    <row r="61" spans="3:3" ht="15">
      <c r="C61" s="88"/>
    </row>
    <row r="62" spans="3:3" ht="15">
      <c r="C62" s="89"/>
    </row>
    <row r="63" spans="3:3" ht="15">
      <c r="C63" s="88"/>
    </row>
    <row r="64" spans="3:3" ht="15">
      <c r="C64" s="89"/>
    </row>
    <row r="65" spans="3:3" ht="15">
      <c r="C65" s="88"/>
    </row>
    <row r="66" spans="3:3" ht="15">
      <c r="C66" s="89"/>
    </row>
    <row r="67" spans="3:3" ht="15">
      <c r="C67" s="88"/>
    </row>
    <row r="68" spans="3:3" ht="15">
      <c r="C68" s="89"/>
    </row>
  </sheetData>
  <conditionalFormatting sqref="C25:C67">
    <cfRule type="duplicateValues" dxfId="6" priority="25"/>
  </conditionalFormatting>
  <conditionalFormatting sqref="C17:C24">
    <cfRule type="duplicateValues" dxfId="5" priority="22"/>
  </conditionalFormatting>
  <conditionalFormatting sqref="C17:C23">
    <cfRule type="duplicateValues" dxfId="4" priority="21"/>
  </conditionalFormatting>
  <conditionalFormatting sqref="C13:C16">
    <cfRule type="duplicateValues" dxfId="3" priority="14"/>
  </conditionalFormatting>
  <conditionalFormatting sqref="C13:C16">
    <cfRule type="duplicateValues" dxfId="2" priority="13"/>
  </conditionalFormatting>
  <conditionalFormatting sqref="C10:C12">
    <cfRule type="duplicateValues" dxfId="1" priority="8"/>
  </conditionalFormatting>
  <conditionalFormatting sqref="C4:C9">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November 2019 EDI</vt:lpstr>
      <vt:lpstr>Working Spreadsheet November 19</vt:lpstr>
      <vt:lpstr>FuzzyLookup_AddIn_Undo_Sheet</vt:lpstr>
      <vt:lpstr>Allocations</vt:lpstr>
      <vt:lpstr>Raw Copy Allocations</vt:lpstr>
      <vt:lpstr>Oct 2019 RRC Export</vt:lpstr>
      <vt:lpstr>2019 Fuel May</vt:lpstr>
      <vt:lpstr>South Texas Meter Statement</vt:lpstr>
      <vt:lpstr>SummaryTable</vt:lpstr>
      <vt:lpstr>Dropdown Controller</vt:lpstr>
      <vt:lpstr>FilterList</vt:lpstr>
      <vt:lpstr>FilterList</vt:lpstr>
      <vt:lpstr>'2019 Fuel May'!Print_Area</vt:lpstr>
      <vt:lpstr>'2019 Fuel May'!Print_Area_MI</vt:lpstr>
      <vt:lpstr>'Raw Copy Allocations'!Print_Titles</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2020-02-04T16:47:19Z</cp:lastPrinted>
  <dcterms:created xsi:type="dcterms:W3CDTF">2004-06-23T14:48:05Z</dcterms:created>
  <dcterms:modified xsi:type="dcterms:W3CDTF">2020-02-04T17:41:39Z</dcterms:modified>
</cp:coreProperties>
</file>