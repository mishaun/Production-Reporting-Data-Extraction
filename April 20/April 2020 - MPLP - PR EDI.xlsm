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91AB8045-AFC0-B76E-F17D-A240E00664AE}"/>
  <workbookPr codeName="ThisWorkbook" autoCompressPictures="0"/>
  <bookViews>
    <workbookView xWindow="38600" yWindow="3540" windowWidth="38180" windowHeight="21080" tabRatio="898" activeTab="1"/>
  </bookViews>
  <sheets>
    <sheet name="Mar 2020 EDI" sheetId="4" r:id="rId1"/>
    <sheet name="Working Spreadsheet Apr 20" sheetId="8" r:id="rId2"/>
    <sheet name="FuzzyLookup_AddIn_Undo_Sheet" sheetId="14" state="hidden" r:id="rId3"/>
    <sheet name="Pulled &amp; Formatted Allocations" sheetId="13" r:id="rId4"/>
    <sheet name="Raw Copy Allocations" sheetId="17" r:id="rId5"/>
    <sheet name="Mar 2020 RRC Export" sheetId="6" r:id="rId6"/>
    <sheet name="Removed RRC ID" sheetId="18" r:id="rId7"/>
    <sheet name="2019 Fuel May" sheetId="11" r:id="rId8"/>
    <sheet name="South Texas Meter Statement" sheetId="15" r:id="rId9"/>
    <sheet name="SummaryTable" sheetId="9" r:id="rId10"/>
    <sheet name="Dropdown Controller" sheetId="10" r:id="rId11"/>
    <sheet name="FilterList" sheetId="16" r:id="rId12"/>
    <sheet name="Sheet1" sheetId="19" r:id="rId13"/>
  </sheets>
  <externalReferences>
    <externalReference r:id="rId14"/>
  </externalReferences>
  <definedNames>
    <definedName name="_Fill" localSheetId="7" hidden="1">'2019 Fuel May'!#REF!</definedName>
    <definedName name="_Fill" hidden="1">#REF!</definedName>
    <definedName name="_xlnm._FilterDatabase" localSheetId="7" hidden="1">'2019 Fuel May'!$A$9:$O$76</definedName>
    <definedName name="_xlnm._FilterDatabase" localSheetId="0" hidden="1">'Mar 2020 EDI'!$A$3:$AT$190</definedName>
    <definedName name="_Key1" localSheetId="7" hidden="1">'2019 Fuel May'!#REF!</definedName>
    <definedName name="_Key1" hidden="1">#REF!</definedName>
    <definedName name="_Key2" localSheetId="7" hidden="1">'2019 Fuel May'!#REF!</definedName>
    <definedName name="_Key2" hidden="1">#REF!</definedName>
    <definedName name="_Order1" hidden="1">255</definedName>
    <definedName name="_Order2" hidden="1">255</definedName>
    <definedName name="_Sort" localSheetId="7" hidden="1">'2019 Fuel May'!$A$29:$H$29</definedName>
    <definedName name="_Sort" hidden="1">#REF!</definedName>
    <definedName name="aa" localSheetId="7" hidden="1">#REF!</definedName>
    <definedName name="aa" hidden="1">#REF!</definedName>
    <definedName name="aaa" localSheetId="7" hidden="1">#REF!</definedName>
    <definedName name="aaa" hidden="1">#REF!</definedName>
    <definedName name="aab" localSheetId="7" hidden="1">#REF!</definedName>
    <definedName name="aab" hidden="1">#REF!</definedName>
    <definedName name="aac" localSheetId="7" hidden="1">#REF!</definedName>
    <definedName name="aac" hidden="1">#REF!</definedName>
    <definedName name="aad" localSheetId="7" hidden="1">#REF!</definedName>
    <definedName name="aad" hidden="1">#REF!</definedName>
    <definedName name="aae" localSheetId="7" hidden="1">#REF!</definedName>
    <definedName name="aae" hidden="1">#REF!</definedName>
    <definedName name="aaf" localSheetId="7" hidden="1">#REF!</definedName>
    <definedName name="aaf" hidden="1">#REF!</definedName>
    <definedName name="aah" localSheetId="7" hidden="1">#REF!</definedName>
    <definedName name="aah" hidden="1">#REF!</definedName>
    <definedName name="aai" localSheetId="7" hidden="1">#REF!</definedName>
    <definedName name="aai" hidden="1">#REF!</definedName>
    <definedName name="abc" localSheetId="7" hidden="1">#REF!</definedName>
    <definedName name="abc" hidden="1">#REF!</definedName>
    <definedName name="bb" localSheetId="7" hidden="1">#REF!</definedName>
    <definedName name="bb" hidden="1">#REF!</definedName>
    <definedName name="cc" localSheetId="7" hidden="1">#REF!</definedName>
    <definedName name="cc" hidden="1">#REF!</definedName>
    <definedName name="dd" localSheetId="7" hidden="1">#REF!</definedName>
    <definedName name="dd" hidden="1">#REF!</definedName>
    <definedName name="ee" localSheetId="7" hidden="1">#REF!</definedName>
    <definedName name="ee" hidden="1">#REF!</definedName>
    <definedName name="eee" localSheetId="7" hidden="1">#REF!</definedName>
    <definedName name="eee" hidden="1">#REF!</definedName>
    <definedName name="eqr" localSheetId="7" hidden="1">#REF!</definedName>
    <definedName name="eqr" hidden="1">#REF!</definedName>
    <definedName name="eqw" localSheetId="7" hidden="1">#REF!</definedName>
    <definedName name="eqw" hidden="1">#REF!</definedName>
    <definedName name="ewq" localSheetId="7" hidden="1">#REF!</definedName>
    <definedName name="ewq" hidden="1">#REF!</definedName>
    <definedName name="ff" localSheetId="7" hidden="1">#REF!</definedName>
    <definedName name="ff" hidden="1">#REF!</definedName>
    <definedName name="filteridlist">[1]FilterList!$B:$B</definedName>
    <definedName name="FilterList">FilterList!$C:$C</definedName>
    <definedName name="gg" localSheetId="7" hidden="1">#REF!</definedName>
    <definedName name="gg" hidden="1">#REF!</definedName>
    <definedName name="ghe" localSheetId="7" hidden="1">#REF!</definedName>
    <definedName name="ghe" hidden="1">#REF!</definedName>
    <definedName name="ghr" localSheetId="7" hidden="1">#REF!</definedName>
    <definedName name="ghr" hidden="1">#REF!</definedName>
    <definedName name="ght" localSheetId="7" hidden="1">#REF!</definedName>
    <definedName name="ght" hidden="1">#REF!</definedName>
    <definedName name="ghy" localSheetId="7" hidden="1">#REF!</definedName>
    <definedName name="ghy" hidden="1">#REF!</definedName>
    <definedName name="hat" localSheetId="7" hidden="1">#REF!</definedName>
    <definedName name="hat" hidden="1">#REF!</definedName>
    <definedName name="help" localSheetId="7" hidden="1">#REF!</definedName>
    <definedName name="help" hidden="1">#REF!</definedName>
    <definedName name="hh" localSheetId="7" hidden="1">#REF!</definedName>
    <definedName name="hh" hidden="1">#REF!</definedName>
    <definedName name="January2011Compressors" localSheetId="7" hidden="1">#REF!</definedName>
    <definedName name="January2011Compressors" hidden="1">#REF!</definedName>
    <definedName name="jj" localSheetId="7" hidden="1">#REF!</definedName>
    <definedName name="jj" hidden="1">#REF!</definedName>
    <definedName name="jk" localSheetId="7" hidden="1">#REF!</definedName>
    <definedName name="jk" hidden="1">#REF!</definedName>
    <definedName name="Key" localSheetId="7" hidden="1">#REF!</definedName>
    <definedName name="Key" hidden="1">#REF!</definedName>
    <definedName name="kk" localSheetId="7" hidden="1">#REF!</definedName>
    <definedName name="kk" hidden="1">#REF!</definedName>
    <definedName name="ll" localSheetId="7" hidden="1">#REF!</definedName>
    <definedName name="ll" hidden="1">#REF!</definedName>
    <definedName name="mm" localSheetId="7" hidden="1">#REF!</definedName>
    <definedName name="mm" hidden="1">#REF!</definedName>
    <definedName name="numb" localSheetId="7" hidden="1">#REF!</definedName>
    <definedName name="numb" hidden="1">#REF!</definedName>
    <definedName name="_xlnm.Print_Area" localSheetId="7">'2019 Fuel May'!$A$1:$N$76</definedName>
    <definedName name="Print_Area_MI" localSheetId="7">'2019 Fuel May'!$A$1:$E$194</definedName>
    <definedName name="_xlnm.Print_Titles" localSheetId="4">'Raw Copy Allocations'!$4:$4</definedName>
    <definedName name="qq" localSheetId="7" hidden="1">#REF!</definedName>
    <definedName name="qq" hidden="1">#REF!</definedName>
    <definedName name="qqe" localSheetId="7" hidden="1">#REF!</definedName>
    <definedName name="qqe" hidden="1">#REF!</definedName>
    <definedName name="qqi" localSheetId="7" hidden="1">#REF!</definedName>
    <definedName name="qqi" hidden="1">#REF!</definedName>
    <definedName name="qqo" localSheetId="7" hidden="1">#REF!</definedName>
    <definedName name="qqo" hidden="1">#REF!</definedName>
    <definedName name="qqp" localSheetId="7" hidden="1">#REF!</definedName>
    <definedName name="qqp" hidden="1">#REF!</definedName>
    <definedName name="qqq" localSheetId="7" hidden="1">#REF!</definedName>
    <definedName name="qqq" hidden="1">#REF!</definedName>
    <definedName name="qqr" localSheetId="7" hidden="1">#REF!</definedName>
    <definedName name="qqr" hidden="1">#REF!</definedName>
    <definedName name="qqt" localSheetId="7" hidden="1">#REF!</definedName>
    <definedName name="qqt" hidden="1">#REF!</definedName>
    <definedName name="qqu" localSheetId="7" hidden="1">#REF!</definedName>
    <definedName name="qqu" hidden="1">#REF!</definedName>
    <definedName name="qqy" localSheetId="7" hidden="1">#REF!</definedName>
    <definedName name="qqy" hidden="1">#REF!</definedName>
    <definedName name="qw" localSheetId="7" hidden="1">#REF!</definedName>
    <definedName name="qw" hidden="1">#REF!</definedName>
    <definedName name="qwe" localSheetId="7" hidden="1">#REF!</definedName>
    <definedName name="qwe" hidden="1">#REF!</definedName>
    <definedName name="qwr" localSheetId="7" hidden="1">#REF!</definedName>
    <definedName name="qwr" hidden="1">#REF!</definedName>
    <definedName name="qww" localSheetId="7" hidden="1">#REF!</definedName>
    <definedName name="qww" hidden="1">#REF!</definedName>
    <definedName name="rrr" localSheetId="7" hidden="1">#REF!</definedName>
    <definedName name="rrr" hidden="1">#REF!</definedName>
    <definedName name="sl" localSheetId="7" hidden="1">#REF!</definedName>
    <definedName name="sl" hidden="1">#REF!</definedName>
    <definedName name="wer" localSheetId="7" hidden="1">#REF!</definedName>
    <definedName name="wer" hidden="1">#REF!</definedName>
    <definedName name="wqe" localSheetId="7" hidden="1">#REF!</definedName>
    <definedName name="wqe" hidden="1">#REF!</definedName>
    <definedName name="wqi" localSheetId="7" hidden="1">#REF!</definedName>
    <definedName name="wqi" hidden="1">#REF!</definedName>
    <definedName name="wqo" localSheetId="7" hidden="1">#REF!</definedName>
    <definedName name="wqo" hidden="1">#REF!</definedName>
    <definedName name="wqp" localSheetId="7" hidden="1">#REF!</definedName>
    <definedName name="wqp" hidden="1">#REF!</definedName>
    <definedName name="wqt" localSheetId="7" hidden="1">#REF!</definedName>
    <definedName name="wqt" hidden="1">#REF!</definedName>
    <definedName name="wqu" localSheetId="7" hidden="1">#REF!</definedName>
    <definedName name="wqu" hidden="1">#REF!</definedName>
    <definedName name="wqy" localSheetId="7" hidden="1">#REF!</definedName>
    <definedName name="wqy" hidden="1">#REF!</definedName>
    <definedName name="wwe" localSheetId="7" hidden="1">#REF!</definedName>
    <definedName name="wwe" hidden="1">#REF!</definedName>
    <definedName name="wwi" localSheetId="7" hidden="1">#REF!</definedName>
    <definedName name="wwi" hidden="1">#REF!</definedName>
    <definedName name="wwo" localSheetId="7" hidden="1">#REF!</definedName>
    <definedName name="wwo" hidden="1">#REF!</definedName>
    <definedName name="wwp" localSheetId="7" hidden="1">#REF!</definedName>
    <definedName name="wwp" hidden="1">#REF!</definedName>
    <definedName name="wwq" localSheetId="7" hidden="1">#REF!</definedName>
    <definedName name="wwq" hidden="1">#REF!</definedName>
    <definedName name="wwr" localSheetId="7" hidden="1">#REF!</definedName>
    <definedName name="wwr" hidden="1">#REF!</definedName>
    <definedName name="wwt" localSheetId="7" hidden="1">#REF!</definedName>
    <definedName name="wwt" hidden="1">#REF!</definedName>
    <definedName name="wwu" localSheetId="7" hidden="1">#REF!</definedName>
    <definedName name="wwu" hidden="1">#REF!</definedName>
    <definedName name="www" localSheetId="7" hidden="1">#REF!</definedName>
    <definedName name="www" hidden="1">#REF!</definedName>
    <definedName name="wwy" localSheetId="7" hidden="1">#REF!</definedName>
    <definedName name="wwy" hidden="1">#REF!</definedName>
    <definedName name="y" localSheetId="7" hidden="1">#REF!</definedName>
    <definedName name="y" hidden="1">#REF!</definedName>
    <definedName name="yy" localSheetId="7" hidden="1">#REF!</definedName>
    <definedName name="yy" hidden="1">#REF!</definedName>
  </definedNames>
  <calcPr calcId="140001" concurrentCalc="0"/>
  <pivotCaches>
    <pivotCache cacheId="0" r:id="rId15"/>
  </pivotCaches>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13" i="8" l="1"/>
  <c r="Q113" i="8"/>
  <c r="R113" i="8"/>
  <c r="N102" i="8"/>
  <c r="Q102" i="8"/>
  <c r="R102" i="8"/>
  <c r="N89" i="8"/>
  <c r="Q89" i="8"/>
  <c r="R89" i="8"/>
  <c r="N46" i="8"/>
  <c r="Q46" i="8"/>
  <c r="R46" i="8"/>
  <c r="N36" i="8"/>
  <c r="Q36" i="8"/>
  <c r="R36" i="8"/>
  <c r="N9" i="8"/>
  <c r="Q9" i="8"/>
  <c r="R9" i="8"/>
  <c r="N8" i="8"/>
  <c r="Q8" i="8"/>
  <c r="R8" i="8"/>
  <c r="N7" i="8"/>
  <c r="Q7" i="8"/>
  <c r="R7" i="8"/>
  <c r="N194" i="8"/>
  <c r="Q194" i="8"/>
  <c r="R194" i="8"/>
  <c r="N191" i="8"/>
  <c r="Q191" i="8"/>
  <c r="R191" i="8"/>
  <c r="N190" i="8"/>
  <c r="Q190" i="8"/>
  <c r="R190" i="8"/>
  <c r="N186" i="8"/>
  <c r="Q186" i="8"/>
  <c r="R186" i="8"/>
  <c r="N185" i="8"/>
  <c r="Q185" i="8"/>
  <c r="R185" i="8"/>
  <c r="N179" i="8"/>
  <c r="Q179" i="8"/>
  <c r="R179" i="8"/>
  <c r="N178" i="8"/>
  <c r="Q178" i="8"/>
  <c r="R178" i="8"/>
  <c r="N177" i="8"/>
  <c r="Q177" i="8"/>
  <c r="R177" i="8"/>
  <c r="N174" i="8"/>
  <c r="Q174" i="8"/>
  <c r="R174" i="8"/>
  <c r="N173" i="8"/>
  <c r="Q173" i="8"/>
  <c r="R173" i="8"/>
  <c r="N172" i="8"/>
  <c r="Q172" i="8"/>
  <c r="R172" i="8"/>
  <c r="N171" i="8"/>
  <c r="Q171" i="8"/>
  <c r="R171" i="8"/>
  <c r="N169" i="8"/>
  <c r="Q169" i="8"/>
  <c r="R169" i="8"/>
  <c r="N166" i="8"/>
  <c r="Q166" i="8"/>
  <c r="R166" i="8"/>
  <c r="N162" i="8"/>
  <c r="Q162" i="8"/>
  <c r="R162" i="8"/>
  <c r="N161" i="8"/>
  <c r="Q161" i="8"/>
  <c r="R161" i="8"/>
  <c r="N160" i="8"/>
  <c r="Q160" i="8"/>
  <c r="R160" i="8"/>
  <c r="N159" i="8"/>
  <c r="Q159" i="8"/>
  <c r="R159" i="8"/>
  <c r="N158" i="8"/>
  <c r="Q158" i="8"/>
  <c r="R158" i="8"/>
  <c r="N157" i="8"/>
  <c r="Q157" i="8"/>
  <c r="R157" i="8"/>
  <c r="N155" i="8"/>
  <c r="Q155" i="8"/>
  <c r="R155" i="8"/>
  <c r="N153" i="8"/>
  <c r="Q153" i="8"/>
  <c r="R153" i="8"/>
  <c r="N151" i="8"/>
  <c r="Q151" i="8"/>
  <c r="R151" i="8"/>
  <c r="N150" i="8"/>
  <c r="Q150" i="8"/>
  <c r="R150" i="8"/>
  <c r="N148" i="8"/>
  <c r="Q148" i="8"/>
  <c r="R148" i="8"/>
  <c r="N147" i="8"/>
  <c r="Q147" i="8"/>
  <c r="R147" i="8"/>
  <c r="N146" i="8"/>
  <c r="Q146" i="8"/>
  <c r="R146" i="8"/>
  <c r="N144" i="8"/>
  <c r="Q144" i="8"/>
  <c r="R144" i="8"/>
  <c r="N143" i="8"/>
  <c r="Q143" i="8"/>
  <c r="R143" i="8"/>
  <c r="N142" i="8"/>
  <c r="Q142" i="8"/>
  <c r="R142" i="8"/>
  <c r="N141" i="8"/>
  <c r="Q141" i="8"/>
  <c r="R141" i="8"/>
  <c r="N140" i="8"/>
  <c r="Q140" i="8"/>
  <c r="R140" i="8"/>
  <c r="N139" i="8"/>
  <c r="Q139" i="8"/>
  <c r="R139" i="8"/>
  <c r="N138" i="8"/>
  <c r="Q138" i="8"/>
  <c r="R138" i="8"/>
  <c r="N135" i="8"/>
  <c r="Q135" i="8"/>
  <c r="R135" i="8"/>
  <c r="N134" i="8"/>
  <c r="Q134" i="8"/>
  <c r="R134" i="8"/>
  <c r="N133" i="8"/>
  <c r="Q133" i="8"/>
  <c r="R133" i="8"/>
  <c r="N131" i="8"/>
  <c r="Q131" i="8"/>
  <c r="R131" i="8"/>
  <c r="N130" i="8"/>
  <c r="Q130" i="8"/>
  <c r="R130" i="8"/>
  <c r="N126" i="8"/>
  <c r="Q126" i="8"/>
  <c r="R126" i="8"/>
  <c r="N125" i="8"/>
  <c r="Q125" i="8"/>
  <c r="R125" i="8"/>
  <c r="N122" i="8"/>
  <c r="Q122" i="8"/>
  <c r="R122" i="8"/>
  <c r="N119" i="8"/>
  <c r="Q119" i="8"/>
  <c r="R119" i="8"/>
  <c r="N118" i="8"/>
  <c r="Q118" i="8"/>
  <c r="R118" i="8"/>
  <c r="N117" i="8"/>
  <c r="Q117" i="8"/>
  <c r="R117" i="8"/>
  <c r="N116" i="8"/>
  <c r="Q116" i="8"/>
  <c r="R116" i="8"/>
  <c r="N115" i="8"/>
  <c r="Q115" i="8"/>
  <c r="R115" i="8"/>
  <c r="N110" i="8"/>
  <c r="Q110" i="8"/>
  <c r="R110" i="8"/>
  <c r="N109" i="8"/>
  <c r="Q109" i="8"/>
  <c r="R109" i="8"/>
  <c r="N108" i="8"/>
  <c r="Q108" i="8"/>
  <c r="R108" i="8"/>
  <c r="N107" i="8"/>
  <c r="Q107" i="8"/>
  <c r="R107" i="8"/>
  <c r="N106" i="8"/>
  <c r="Q106" i="8"/>
  <c r="R106" i="8"/>
  <c r="N103" i="8"/>
  <c r="Q103" i="8"/>
  <c r="R103" i="8"/>
  <c r="N101" i="8"/>
  <c r="Q101" i="8"/>
  <c r="R101" i="8"/>
  <c r="N100" i="8"/>
  <c r="Q100" i="8"/>
  <c r="R100" i="8"/>
  <c r="N99" i="8"/>
  <c r="Q99" i="8"/>
  <c r="R99" i="8"/>
  <c r="N97" i="8"/>
  <c r="Q97" i="8"/>
  <c r="R97" i="8"/>
  <c r="N95" i="8"/>
  <c r="Q95" i="8"/>
  <c r="R95" i="8"/>
  <c r="N92" i="8"/>
  <c r="Q92" i="8"/>
  <c r="R92" i="8"/>
  <c r="N91" i="8"/>
  <c r="Q91" i="8"/>
  <c r="R91" i="8"/>
  <c r="N87" i="8"/>
  <c r="Q87" i="8"/>
  <c r="R87" i="8"/>
  <c r="N86" i="8"/>
  <c r="Q86" i="8"/>
  <c r="R86" i="8"/>
  <c r="N85" i="8"/>
  <c r="Q85" i="8"/>
  <c r="R85" i="8"/>
  <c r="N84" i="8"/>
  <c r="Q84" i="8"/>
  <c r="R84" i="8"/>
  <c r="N82" i="8"/>
  <c r="Q82" i="8"/>
  <c r="R82" i="8"/>
  <c r="N79" i="8"/>
  <c r="Q79" i="8"/>
  <c r="R79" i="8"/>
  <c r="N78" i="8"/>
  <c r="Q78" i="8"/>
  <c r="R78" i="8"/>
  <c r="N77" i="8"/>
  <c r="Q77" i="8"/>
  <c r="R77" i="8"/>
  <c r="N76" i="8"/>
  <c r="Q76" i="8"/>
  <c r="R76" i="8"/>
  <c r="N74" i="8"/>
  <c r="Q74" i="8"/>
  <c r="R74" i="8"/>
  <c r="N70" i="8"/>
  <c r="Q70" i="8"/>
  <c r="R70" i="8"/>
  <c r="N67" i="8"/>
  <c r="Q67" i="8"/>
  <c r="R67" i="8"/>
  <c r="N62" i="8"/>
  <c r="Q62" i="8"/>
  <c r="R62" i="8"/>
  <c r="N61" i="8"/>
  <c r="Q61" i="8"/>
  <c r="R61" i="8"/>
  <c r="N60" i="8"/>
  <c r="Q60" i="8"/>
  <c r="R60" i="8"/>
  <c r="N59" i="8"/>
  <c r="Q59" i="8"/>
  <c r="R59" i="8"/>
  <c r="N58" i="8"/>
  <c r="Q58" i="8"/>
  <c r="R58" i="8"/>
  <c r="N57" i="8"/>
  <c r="Q57" i="8"/>
  <c r="R57" i="8"/>
  <c r="N55" i="8"/>
  <c r="Q55" i="8"/>
  <c r="R55" i="8"/>
  <c r="N53" i="8"/>
  <c r="Q53" i="8"/>
  <c r="R53" i="8"/>
  <c r="N52" i="8"/>
  <c r="Q52" i="8"/>
  <c r="R52" i="8"/>
  <c r="N51" i="8"/>
  <c r="Q51" i="8"/>
  <c r="R51" i="8"/>
  <c r="N50" i="8"/>
  <c r="Q50" i="8"/>
  <c r="R50" i="8"/>
  <c r="N49" i="8"/>
  <c r="Q49" i="8"/>
  <c r="R49" i="8"/>
  <c r="N48" i="8"/>
  <c r="Q48" i="8"/>
  <c r="R48" i="8"/>
  <c r="N47" i="8"/>
  <c r="Q47" i="8"/>
  <c r="R47" i="8"/>
  <c r="N45" i="8"/>
  <c r="Q45" i="8"/>
  <c r="R45" i="8"/>
  <c r="N44" i="8"/>
  <c r="Q44" i="8"/>
  <c r="R44" i="8"/>
  <c r="N43" i="8"/>
  <c r="Q43" i="8"/>
  <c r="R43" i="8"/>
  <c r="N41" i="8"/>
  <c r="Q41" i="8"/>
  <c r="R41" i="8"/>
  <c r="N40" i="8"/>
  <c r="Q40" i="8"/>
  <c r="R40" i="8"/>
  <c r="N39" i="8"/>
  <c r="Q39" i="8"/>
  <c r="R39" i="8"/>
  <c r="N34" i="8"/>
  <c r="Q34" i="8"/>
  <c r="R34" i="8"/>
  <c r="N33" i="8"/>
  <c r="Q33" i="8"/>
  <c r="R33" i="8"/>
  <c r="N31" i="8"/>
  <c r="Q31" i="8"/>
  <c r="R31" i="8"/>
  <c r="N30" i="8"/>
  <c r="Q30" i="8"/>
  <c r="R30" i="8"/>
  <c r="N28" i="8"/>
  <c r="Q28" i="8"/>
  <c r="R28" i="8"/>
  <c r="N23" i="8"/>
  <c r="Q23" i="8"/>
  <c r="R23" i="8"/>
  <c r="N20" i="8"/>
  <c r="Q20" i="8"/>
  <c r="R20" i="8"/>
  <c r="N19" i="8"/>
  <c r="Q19" i="8"/>
  <c r="R19" i="8"/>
  <c r="N18" i="8"/>
  <c r="Q18" i="8"/>
  <c r="R18" i="8"/>
  <c r="N16" i="8"/>
  <c r="Q16" i="8"/>
  <c r="R16" i="8"/>
  <c r="N15" i="8"/>
  <c r="Q15" i="8"/>
  <c r="R15" i="8"/>
  <c r="N12" i="8"/>
  <c r="Q12" i="8"/>
  <c r="R12" i="8"/>
  <c r="N11" i="8"/>
  <c r="Q11" i="8"/>
  <c r="R11" i="8"/>
  <c r="N6" i="8"/>
  <c r="Q6" i="8"/>
  <c r="R6" i="8"/>
  <c r="V93" i="8"/>
  <c r="R192" i="4"/>
  <c r="N73" i="8"/>
  <c r="Q73" i="8"/>
  <c r="N72" i="8"/>
  <c r="Q72" i="8"/>
  <c r="N71" i="8"/>
  <c r="Q71" i="8"/>
  <c r="C95" i="13"/>
  <c r="D95" i="13"/>
  <c r="E95" i="13"/>
  <c r="J95" i="13"/>
  <c r="C9" i="13"/>
  <c r="D9" i="13"/>
  <c r="E9" i="13"/>
  <c r="J9" i="13"/>
  <c r="N13" i="8"/>
  <c r="N75" i="8"/>
  <c r="Q75" i="8"/>
  <c r="N123" i="8"/>
  <c r="Q123" i="8"/>
  <c r="N114" i="8"/>
  <c r="Q114" i="8"/>
  <c r="N112" i="8"/>
  <c r="Q112" i="8"/>
  <c r="N64" i="8"/>
  <c r="Q64" i="8"/>
  <c r="N65" i="8"/>
  <c r="Q65" i="8"/>
  <c r="N63" i="8"/>
  <c r="Q63" i="8"/>
  <c r="N37" i="8"/>
  <c r="Q37" i="8"/>
  <c r="N29" i="8"/>
  <c r="Q29" i="8"/>
  <c r="N21" i="8"/>
  <c r="Q21" i="8"/>
  <c r="N14" i="8"/>
  <c r="Q14" i="8"/>
  <c r="N10" i="8"/>
  <c r="Q10" i="8"/>
  <c r="Q13" i="8"/>
  <c r="N17" i="8"/>
  <c r="Q17" i="8"/>
  <c r="N22" i="8"/>
  <c r="Q22" i="8"/>
  <c r="N24" i="8"/>
  <c r="Q24" i="8"/>
  <c r="N25" i="8"/>
  <c r="Q25" i="8"/>
  <c r="N26" i="8"/>
  <c r="Q26" i="8"/>
  <c r="N27" i="8"/>
  <c r="Q27" i="8"/>
  <c r="N32" i="8"/>
  <c r="Q32" i="8"/>
  <c r="N35" i="8"/>
  <c r="Q35" i="8"/>
  <c r="N38" i="8"/>
  <c r="Q38" i="8"/>
  <c r="N42" i="8"/>
  <c r="Q42" i="8"/>
  <c r="N54" i="8"/>
  <c r="Q54" i="8"/>
  <c r="N56" i="8"/>
  <c r="Q56" i="8"/>
  <c r="N66" i="8"/>
  <c r="Q66" i="8"/>
  <c r="N68" i="8"/>
  <c r="Q68" i="8"/>
  <c r="N69" i="8"/>
  <c r="Q69" i="8"/>
  <c r="N80" i="8"/>
  <c r="Q80" i="8"/>
  <c r="N81" i="8"/>
  <c r="Q81" i="8"/>
  <c r="N83" i="8"/>
  <c r="Q83" i="8"/>
  <c r="N88" i="8"/>
  <c r="Q88" i="8"/>
  <c r="N90" i="8"/>
  <c r="Q90" i="8"/>
  <c r="N93" i="8"/>
  <c r="Q93" i="8"/>
  <c r="N94" i="8"/>
  <c r="Q94" i="8"/>
  <c r="N96" i="8"/>
  <c r="Q96" i="8"/>
  <c r="N98" i="8"/>
  <c r="Q98" i="8"/>
  <c r="N104" i="8"/>
  <c r="Q104" i="8"/>
  <c r="N105" i="8"/>
  <c r="Q105" i="8"/>
  <c r="N111" i="8"/>
  <c r="Q111" i="8"/>
  <c r="N120" i="8"/>
  <c r="Q120" i="8"/>
  <c r="N121" i="8"/>
  <c r="Q121" i="8"/>
  <c r="N124" i="8"/>
  <c r="Q124" i="8"/>
  <c r="N127" i="8"/>
  <c r="Q127" i="8"/>
  <c r="N128" i="8"/>
  <c r="Q128" i="8"/>
  <c r="N129" i="8"/>
  <c r="Q129" i="8"/>
  <c r="N132" i="8"/>
  <c r="Q132" i="8"/>
  <c r="N136" i="8"/>
  <c r="Q136" i="8"/>
  <c r="N137" i="8"/>
  <c r="Q137" i="8"/>
  <c r="N145" i="8"/>
  <c r="Q145" i="8"/>
  <c r="N149" i="8"/>
  <c r="Q149" i="8"/>
  <c r="N152" i="8"/>
  <c r="Q152" i="8"/>
  <c r="N154" i="8"/>
  <c r="Q154" i="8"/>
  <c r="N156" i="8"/>
  <c r="Q156" i="8"/>
  <c r="N163" i="8"/>
  <c r="Q163" i="8"/>
  <c r="N164" i="8"/>
  <c r="Q164" i="8"/>
  <c r="N165" i="8"/>
  <c r="Q165" i="8"/>
  <c r="N167" i="8"/>
  <c r="Q167" i="8"/>
  <c r="N168" i="8"/>
  <c r="Q168" i="8"/>
  <c r="N170" i="8"/>
  <c r="Q170" i="8"/>
  <c r="N175" i="8"/>
  <c r="Q175" i="8"/>
  <c r="N176" i="8"/>
  <c r="Q176" i="8"/>
  <c r="N180" i="8"/>
  <c r="Q180" i="8"/>
  <c r="N181" i="8"/>
  <c r="Q181" i="8"/>
  <c r="N182" i="8"/>
  <c r="Q182" i="8"/>
  <c r="N183" i="8"/>
  <c r="Q183" i="8"/>
  <c r="N184" i="8"/>
  <c r="Q184" i="8"/>
  <c r="N187" i="8"/>
  <c r="Q187" i="8"/>
  <c r="N188" i="8"/>
  <c r="Q188" i="8"/>
  <c r="N189" i="8"/>
  <c r="Q189" i="8"/>
  <c r="N192" i="8"/>
  <c r="Q192" i="8"/>
  <c r="N193" i="8"/>
  <c r="Q193" i="8"/>
  <c r="AQ192" i="4"/>
  <c r="L13" i="8"/>
  <c r="M13" i="8"/>
  <c r="S13" i="8"/>
  <c r="AA192" i="4"/>
  <c r="X13" i="8"/>
  <c r="AE13" i="8"/>
  <c r="O13" i="8"/>
  <c r="AB13" i="8"/>
  <c r="N192" i="4"/>
  <c r="T13" i="8"/>
  <c r="U13" i="8"/>
  <c r="Y192" i="4"/>
  <c r="N230" i="6"/>
  <c r="C60" i="13"/>
  <c r="D60" i="13"/>
  <c r="E60" i="13"/>
  <c r="J60" i="13"/>
  <c r="B96" i="17"/>
  <c r="E96" i="17"/>
  <c r="C96" i="17"/>
  <c r="D96" i="17"/>
  <c r="C5" i="13"/>
  <c r="C6" i="13"/>
  <c r="C7" i="13"/>
  <c r="C8"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S90" i="8"/>
  <c r="C49" i="13"/>
  <c r="C50" i="13"/>
  <c r="C51" i="13"/>
  <c r="C52" i="13"/>
  <c r="C53" i="13"/>
  <c r="C54" i="13"/>
  <c r="C55" i="13"/>
  <c r="C56" i="13"/>
  <c r="C57" i="13"/>
  <c r="C58" i="13"/>
  <c r="C59" i="13"/>
  <c r="C61" i="13"/>
  <c r="C62" i="13"/>
  <c r="C64" i="13"/>
  <c r="C63"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E5" i="13"/>
  <c r="E6" i="13"/>
  <c r="E7" i="13"/>
  <c r="E29" i="13"/>
  <c r="E51" i="13"/>
  <c r="E54" i="13"/>
  <c r="E61" i="13"/>
  <c r="E64" i="13"/>
  <c r="E84" i="13"/>
  <c r="E92" i="13"/>
  <c r="D5" i="13"/>
  <c r="D6" i="13"/>
  <c r="D7" i="13"/>
  <c r="D8"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1" i="13"/>
  <c r="D62" i="13"/>
  <c r="D64" i="13"/>
  <c r="D63"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E81" i="13"/>
  <c r="E80" i="13"/>
  <c r="E76" i="13"/>
  <c r="E33" i="13"/>
  <c r="E87" i="13"/>
  <c r="E88" i="13"/>
  <c r="E59" i="13"/>
  <c r="E89" i="13"/>
  <c r="E19" i="13"/>
  <c r="E17" i="13"/>
  <c r="E18" i="13"/>
  <c r="E58" i="13"/>
  <c r="E16" i="13"/>
  <c r="E48" i="13"/>
  <c r="E83" i="13"/>
  <c r="E63" i="13"/>
  <c r="E69" i="13"/>
  <c r="E22" i="13"/>
  <c r="E75" i="13"/>
  <c r="E15" i="13"/>
  <c r="E8" i="13"/>
  <c r="E20" i="13"/>
  <c r="E21" i="13"/>
  <c r="E90" i="13"/>
  <c r="E57" i="13"/>
  <c r="E93" i="13"/>
  <c r="E91" i="13"/>
  <c r="E11" i="13"/>
  <c r="E26" i="13"/>
  <c r="E86" i="13"/>
  <c r="E52" i="13"/>
  <c r="E77" i="13"/>
  <c r="E68" i="13"/>
  <c r="E66" i="13"/>
  <c r="E65" i="13"/>
  <c r="E67" i="13"/>
  <c r="E45" i="13"/>
  <c r="E62" i="13"/>
  <c r="E73" i="13"/>
  <c r="E42" i="13"/>
  <c r="E41" i="13"/>
  <c r="E40" i="13"/>
  <c r="E27" i="13"/>
  <c r="E25" i="13"/>
  <c r="E46" i="13"/>
  <c r="E47" i="13"/>
  <c r="E56" i="13"/>
  <c r="E74" i="13"/>
  <c r="E24" i="13"/>
  <c r="E36" i="13"/>
  <c r="E49" i="13"/>
  <c r="E35" i="13"/>
  <c r="E34" i="13"/>
  <c r="E85" i="13"/>
  <c r="E78" i="13"/>
  <c r="E28" i="13"/>
  <c r="E32" i="13"/>
  <c r="E39" i="13"/>
  <c r="E38" i="13"/>
  <c r="E37" i="13"/>
  <c r="E53" i="13"/>
  <c r="E23" i="13"/>
  <c r="E82" i="13"/>
  <c r="E70" i="13"/>
  <c r="E43" i="13"/>
  <c r="E71" i="13"/>
  <c r="E72" i="13"/>
  <c r="E12" i="13"/>
  <c r="E14" i="13"/>
  <c r="E44" i="13"/>
  <c r="E31" i="13"/>
  <c r="E10" i="13"/>
  <c r="E55" i="13"/>
  <c r="E13" i="13"/>
  <c r="E94" i="13"/>
  <c r="E30" i="13"/>
  <c r="E79" i="13"/>
  <c r="E50" i="13"/>
  <c r="F230" i="6"/>
  <c r="J230" i="6"/>
  <c r="P230" i="6"/>
  <c r="L230" i="6"/>
  <c r="M121"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L121" i="8"/>
  <c r="O230" i="6"/>
  <c r="K230" i="6"/>
  <c r="E230" i="6"/>
  <c r="I76" i="11"/>
  <c r="L76" i="11"/>
  <c r="H76" i="11"/>
  <c r="I75" i="11"/>
  <c r="L75" i="11"/>
  <c r="H75" i="11"/>
  <c r="I74" i="11"/>
  <c r="L74" i="11"/>
  <c r="H74" i="11"/>
  <c r="I73" i="11"/>
  <c r="L73" i="11"/>
  <c r="H73" i="11"/>
  <c r="I70" i="11"/>
  <c r="L70" i="11"/>
  <c r="H70" i="11"/>
  <c r="I69" i="11"/>
  <c r="L69" i="11"/>
  <c r="H69" i="11"/>
  <c r="I67" i="11"/>
  <c r="L67" i="11"/>
  <c r="H67" i="11"/>
  <c r="I66" i="11"/>
  <c r="L66" i="11"/>
  <c r="H66" i="11"/>
  <c r="I64" i="11"/>
  <c r="L64" i="11"/>
  <c r="H64" i="11"/>
  <c r="I63" i="11"/>
  <c r="L63" i="11"/>
  <c r="H63" i="11"/>
  <c r="I61" i="11"/>
  <c r="H61" i="11"/>
  <c r="I58" i="11"/>
  <c r="L58" i="11"/>
  <c r="H58" i="11"/>
  <c r="I57" i="11"/>
  <c r="L57" i="11"/>
  <c r="H57" i="11"/>
  <c r="I56" i="11"/>
  <c r="L56" i="11"/>
  <c r="H56" i="11"/>
  <c r="I54" i="11"/>
  <c r="L54" i="11"/>
  <c r="H54" i="11"/>
  <c r="I52" i="11"/>
  <c r="L52" i="11"/>
  <c r="H52" i="11"/>
  <c r="I51" i="11"/>
  <c r="L51" i="11"/>
  <c r="H51" i="11"/>
  <c r="I49" i="11"/>
  <c r="L49" i="11"/>
  <c r="H49" i="11"/>
  <c r="I48" i="11"/>
  <c r="L48" i="11"/>
  <c r="H48" i="11"/>
  <c r="I47" i="11"/>
  <c r="L47" i="11"/>
  <c r="H47" i="11"/>
  <c r="I46" i="11"/>
  <c r="L46" i="11"/>
  <c r="H46" i="11"/>
  <c r="I42" i="11"/>
  <c r="L42" i="11"/>
  <c r="H42" i="11"/>
  <c r="I41" i="11"/>
  <c r="L41" i="11"/>
  <c r="H41" i="11"/>
  <c r="I40" i="11"/>
  <c r="L40" i="11"/>
  <c r="H40" i="11"/>
  <c r="I39" i="11"/>
  <c r="L39" i="11"/>
  <c r="H39" i="11"/>
  <c r="I38" i="11"/>
  <c r="L38" i="11"/>
  <c r="H38" i="11"/>
  <c r="I37" i="11"/>
  <c r="L37" i="11"/>
  <c r="H37" i="11"/>
  <c r="I36" i="11"/>
  <c r="L36" i="11"/>
  <c r="H36" i="11"/>
  <c r="I35" i="11"/>
  <c r="L35" i="11"/>
  <c r="H35" i="11"/>
  <c r="I34" i="11"/>
  <c r="L34" i="11"/>
  <c r="H34" i="11"/>
  <c r="I33" i="11"/>
  <c r="L33" i="11"/>
  <c r="H33" i="11"/>
  <c r="I32" i="11"/>
  <c r="L32" i="11"/>
  <c r="H32" i="11"/>
  <c r="I31" i="11"/>
  <c r="L31" i="11"/>
  <c r="H31" i="11"/>
  <c r="I30" i="11"/>
  <c r="L30" i="11"/>
  <c r="H30" i="11"/>
  <c r="I29" i="11"/>
  <c r="L29" i="11"/>
  <c r="H29" i="11"/>
  <c r="I28" i="11"/>
  <c r="L28" i="11"/>
  <c r="H28" i="11"/>
  <c r="I26" i="11"/>
  <c r="L26" i="11"/>
  <c r="H26" i="11"/>
  <c r="I25" i="11"/>
  <c r="L25" i="11"/>
  <c r="H25" i="11"/>
  <c r="I24" i="11"/>
  <c r="L24" i="11"/>
  <c r="H24" i="11"/>
  <c r="I22" i="11"/>
  <c r="L22" i="11"/>
  <c r="H22" i="11"/>
  <c r="I21" i="11"/>
  <c r="L21" i="11"/>
  <c r="H21" i="11"/>
  <c r="I20" i="11"/>
  <c r="L20" i="11"/>
  <c r="H20" i="11"/>
  <c r="I19" i="11"/>
  <c r="L19" i="11"/>
  <c r="H19" i="11"/>
  <c r="I18" i="11"/>
  <c r="L18" i="11"/>
  <c r="H18" i="11"/>
  <c r="I16" i="11"/>
  <c r="L16" i="11"/>
  <c r="H16" i="11"/>
  <c r="I15" i="11"/>
  <c r="L15" i="11"/>
  <c r="H15" i="11"/>
  <c r="I14" i="11"/>
  <c r="L14" i="11"/>
  <c r="H14" i="11"/>
  <c r="I12" i="11"/>
  <c r="L12" i="11"/>
  <c r="H12" i="11"/>
  <c r="I11" i="11"/>
  <c r="H11" i="11"/>
  <c r="E96" i="13"/>
  <c r="D96" i="13"/>
  <c r="C96" i="13"/>
  <c r="A96"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3" i="13"/>
  <c r="J64" i="13"/>
  <c r="J62" i="13"/>
  <c r="J61"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8" i="13"/>
  <c r="J7" i="13"/>
  <c r="J6" i="13"/>
  <c r="J5" i="13"/>
  <c r="AC195" i="8"/>
  <c r="F195" i="8"/>
  <c r="C195" i="8"/>
  <c r="AE194" i="8"/>
  <c r="AA194" i="8"/>
  <c r="V194" i="8"/>
  <c r="X194" i="8"/>
  <c r="S194" i="8"/>
  <c r="M194" i="8"/>
  <c r="L194" i="8"/>
  <c r="AE193" i="8"/>
  <c r="AA193" i="8"/>
  <c r="V193" i="8"/>
  <c r="X193" i="8"/>
  <c r="S193" i="8"/>
  <c r="M193" i="8"/>
  <c r="L193" i="8"/>
  <c r="AE192" i="8"/>
  <c r="AA192" i="8"/>
  <c r="V192" i="8"/>
  <c r="X192" i="8"/>
  <c r="S192" i="8"/>
  <c r="M192" i="8"/>
  <c r="L192" i="8"/>
  <c r="AE191" i="8"/>
  <c r="AA191" i="8"/>
  <c r="V191" i="8"/>
  <c r="X191" i="8"/>
  <c r="S191" i="8"/>
  <c r="M191" i="8"/>
  <c r="L191" i="8"/>
  <c r="AE190" i="8"/>
  <c r="AA190" i="8"/>
  <c r="V190" i="8"/>
  <c r="X190" i="8"/>
  <c r="S190" i="8"/>
  <c r="M190" i="8"/>
  <c r="L190" i="8"/>
  <c r="AE189" i="8"/>
  <c r="AA189" i="8"/>
  <c r="V189" i="8"/>
  <c r="X189" i="8"/>
  <c r="S189" i="8"/>
  <c r="M189" i="8"/>
  <c r="L189" i="8"/>
  <c r="AE188" i="8"/>
  <c r="AA188" i="8"/>
  <c r="V188" i="8"/>
  <c r="X188" i="8"/>
  <c r="S188" i="8"/>
  <c r="M188" i="8"/>
  <c r="L188" i="8"/>
  <c r="AE187" i="8"/>
  <c r="AA187" i="8"/>
  <c r="V187" i="8"/>
  <c r="X187" i="8"/>
  <c r="S187" i="8"/>
  <c r="M187" i="8"/>
  <c r="L187" i="8"/>
  <c r="AE186" i="8"/>
  <c r="AA186" i="8"/>
  <c r="V186" i="8"/>
  <c r="X186" i="8"/>
  <c r="S186" i="8"/>
  <c r="M186" i="8"/>
  <c r="L186" i="8"/>
  <c r="AE185" i="8"/>
  <c r="AA185" i="8"/>
  <c r="V185" i="8"/>
  <c r="X185" i="8"/>
  <c r="S185" i="8"/>
  <c r="M185" i="8"/>
  <c r="L185" i="8"/>
  <c r="AE184" i="8"/>
  <c r="AA184" i="8"/>
  <c r="V184" i="8"/>
  <c r="X184" i="8"/>
  <c r="S184" i="8"/>
  <c r="M184" i="8"/>
  <c r="L184" i="8"/>
  <c r="AE183" i="8"/>
  <c r="AA183" i="8"/>
  <c r="V183" i="8"/>
  <c r="X183" i="8"/>
  <c r="S183" i="8"/>
  <c r="M183" i="8"/>
  <c r="L183" i="8"/>
  <c r="AE182" i="8"/>
  <c r="AA182" i="8"/>
  <c r="V182" i="8"/>
  <c r="X182" i="8"/>
  <c r="S182" i="8"/>
  <c r="M182" i="8"/>
  <c r="L182" i="8"/>
  <c r="AE181" i="8"/>
  <c r="AA181" i="8"/>
  <c r="V181" i="8"/>
  <c r="X181" i="8"/>
  <c r="S181" i="8"/>
  <c r="M181" i="8"/>
  <c r="L181" i="8"/>
  <c r="AE180" i="8"/>
  <c r="AA180" i="8"/>
  <c r="V180" i="8"/>
  <c r="X180" i="8"/>
  <c r="S180" i="8"/>
  <c r="M180" i="8"/>
  <c r="L180" i="8"/>
  <c r="AE179" i="8"/>
  <c r="AA179" i="8"/>
  <c r="V179" i="8"/>
  <c r="X179" i="8"/>
  <c r="S179" i="8"/>
  <c r="M179" i="8"/>
  <c r="L179" i="8"/>
  <c r="AE178" i="8"/>
  <c r="AA178" i="8"/>
  <c r="V178" i="8"/>
  <c r="X178" i="8"/>
  <c r="S178" i="8"/>
  <c r="M178" i="8"/>
  <c r="L178" i="8"/>
  <c r="AE177" i="8"/>
  <c r="AA177" i="8"/>
  <c r="V177" i="8"/>
  <c r="X177" i="8"/>
  <c r="S177" i="8"/>
  <c r="M177" i="8"/>
  <c r="L177" i="8"/>
  <c r="AE176" i="8"/>
  <c r="AA176" i="8"/>
  <c r="V176" i="8"/>
  <c r="X176" i="8"/>
  <c r="S176" i="8"/>
  <c r="M176" i="8"/>
  <c r="L176" i="8"/>
  <c r="AE175" i="8"/>
  <c r="AA175" i="8"/>
  <c r="V175" i="8"/>
  <c r="X175" i="8"/>
  <c r="S175" i="8"/>
  <c r="M175" i="8"/>
  <c r="L175" i="8"/>
  <c r="AE174" i="8"/>
  <c r="AA174" i="8"/>
  <c r="V174" i="8"/>
  <c r="X174" i="8"/>
  <c r="S174" i="8"/>
  <c r="M174" i="8"/>
  <c r="L174" i="8"/>
  <c r="AE173" i="8"/>
  <c r="AA173" i="8"/>
  <c r="V173" i="8"/>
  <c r="X173" i="8"/>
  <c r="S173" i="8"/>
  <c r="M173" i="8"/>
  <c r="L173" i="8"/>
  <c r="AE172" i="8"/>
  <c r="AA172" i="8"/>
  <c r="V172" i="8"/>
  <c r="X172" i="8"/>
  <c r="S172" i="8"/>
  <c r="M172" i="8"/>
  <c r="L172" i="8"/>
  <c r="AE171" i="8"/>
  <c r="AA171" i="8"/>
  <c r="V171" i="8"/>
  <c r="X171" i="8"/>
  <c r="S171" i="8"/>
  <c r="M171" i="8"/>
  <c r="L171" i="8"/>
  <c r="AE170" i="8"/>
  <c r="AA170" i="8"/>
  <c r="V170" i="8"/>
  <c r="X170" i="8"/>
  <c r="S170" i="8"/>
  <c r="M170" i="8"/>
  <c r="L170" i="8"/>
  <c r="AE169" i="8"/>
  <c r="AA169" i="8"/>
  <c r="V169" i="8"/>
  <c r="X169" i="8"/>
  <c r="S169" i="8"/>
  <c r="M169" i="8"/>
  <c r="L169" i="8"/>
  <c r="AE168" i="8"/>
  <c r="AA168" i="8"/>
  <c r="V168" i="8"/>
  <c r="X168" i="8"/>
  <c r="S168" i="8"/>
  <c r="M168" i="8"/>
  <c r="L168" i="8"/>
  <c r="AE167" i="8"/>
  <c r="AA167" i="8"/>
  <c r="V167" i="8"/>
  <c r="X167" i="8"/>
  <c r="S167" i="8"/>
  <c r="M167" i="8"/>
  <c r="L167" i="8"/>
  <c r="AE166" i="8"/>
  <c r="AA166" i="8"/>
  <c r="V166" i="8"/>
  <c r="X166" i="8"/>
  <c r="S166" i="8"/>
  <c r="M166" i="8"/>
  <c r="L166" i="8"/>
  <c r="AE165" i="8"/>
  <c r="AA165" i="8"/>
  <c r="V165" i="8"/>
  <c r="X165" i="8"/>
  <c r="S165" i="8"/>
  <c r="M165" i="8"/>
  <c r="L165" i="8"/>
  <c r="AE164" i="8"/>
  <c r="AA164" i="8"/>
  <c r="V164" i="8"/>
  <c r="X164" i="8"/>
  <c r="S164" i="8"/>
  <c r="M164" i="8"/>
  <c r="L164" i="8"/>
  <c r="AE163" i="8"/>
  <c r="AA163" i="8"/>
  <c r="V163" i="8"/>
  <c r="X163" i="8"/>
  <c r="S163" i="8"/>
  <c r="M163" i="8"/>
  <c r="L163" i="8"/>
  <c r="AE162" i="8"/>
  <c r="AA162" i="8"/>
  <c r="V162" i="8"/>
  <c r="X162" i="8"/>
  <c r="S162" i="8"/>
  <c r="M162" i="8"/>
  <c r="L162" i="8"/>
  <c r="AE161" i="8"/>
  <c r="AA161" i="8"/>
  <c r="V161" i="8"/>
  <c r="X161" i="8"/>
  <c r="S161" i="8"/>
  <c r="M161" i="8"/>
  <c r="L161" i="8"/>
  <c r="AE160" i="8"/>
  <c r="AA160" i="8"/>
  <c r="V160" i="8"/>
  <c r="X160" i="8"/>
  <c r="S160" i="8"/>
  <c r="M160" i="8"/>
  <c r="L160" i="8"/>
  <c r="AE159" i="8"/>
  <c r="AA159" i="8"/>
  <c r="V159" i="8"/>
  <c r="X159" i="8"/>
  <c r="S159" i="8"/>
  <c r="M159" i="8"/>
  <c r="L159" i="8"/>
  <c r="AE158" i="8"/>
  <c r="AA158" i="8"/>
  <c r="V158" i="8"/>
  <c r="X158" i="8"/>
  <c r="S158" i="8"/>
  <c r="M158" i="8"/>
  <c r="L158" i="8"/>
  <c r="AE157" i="8"/>
  <c r="AA157" i="8"/>
  <c r="V157" i="8"/>
  <c r="X157" i="8"/>
  <c r="S157" i="8"/>
  <c r="M157" i="8"/>
  <c r="L157" i="8"/>
  <c r="AE156" i="8"/>
  <c r="AA156" i="8"/>
  <c r="V156" i="8"/>
  <c r="X156" i="8"/>
  <c r="S156" i="8"/>
  <c r="M156" i="8"/>
  <c r="L156" i="8"/>
  <c r="AE155" i="8"/>
  <c r="AA155" i="8"/>
  <c r="V155" i="8"/>
  <c r="X155" i="8"/>
  <c r="S155" i="8"/>
  <c r="M155" i="8"/>
  <c r="L155" i="8"/>
  <c r="AE154" i="8"/>
  <c r="AA154" i="8"/>
  <c r="V154" i="8"/>
  <c r="X154" i="8"/>
  <c r="S154" i="8"/>
  <c r="M154" i="8"/>
  <c r="L154" i="8"/>
  <c r="AE153" i="8"/>
  <c r="AA153" i="8"/>
  <c r="V153" i="8"/>
  <c r="X153" i="8"/>
  <c r="S153" i="8"/>
  <c r="M153" i="8"/>
  <c r="L153" i="8"/>
  <c r="AE152" i="8"/>
  <c r="AA152" i="8"/>
  <c r="V152" i="8"/>
  <c r="X152" i="8"/>
  <c r="S152" i="8"/>
  <c r="M152" i="8"/>
  <c r="L152" i="8"/>
  <c r="AE151" i="8"/>
  <c r="AA151" i="8"/>
  <c r="V151" i="8"/>
  <c r="X151" i="8"/>
  <c r="S151" i="8"/>
  <c r="M151" i="8"/>
  <c r="L151" i="8"/>
  <c r="AE150" i="8"/>
  <c r="AA150" i="8"/>
  <c r="V150" i="8"/>
  <c r="X150" i="8"/>
  <c r="S150" i="8"/>
  <c r="M150" i="8"/>
  <c r="L150" i="8"/>
  <c r="AE149" i="8"/>
  <c r="AA149" i="8"/>
  <c r="V149" i="8"/>
  <c r="X149" i="8"/>
  <c r="S149" i="8"/>
  <c r="M149" i="8"/>
  <c r="L149" i="8"/>
  <c r="AE148" i="8"/>
  <c r="AA148" i="8"/>
  <c r="V148" i="8"/>
  <c r="X148" i="8"/>
  <c r="S148" i="8"/>
  <c r="M148" i="8"/>
  <c r="L148" i="8"/>
  <c r="AE147" i="8"/>
  <c r="AA147" i="8"/>
  <c r="V147" i="8"/>
  <c r="X147" i="8"/>
  <c r="S147" i="8"/>
  <c r="M147" i="8"/>
  <c r="L147" i="8"/>
  <c r="AE146" i="8"/>
  <c r="AA146" i="8"/>
  <c r="V146" i="8"/>
  <c r="X146" i="8"/>
  <c r="S146" i="8"/>
  <c r="M146" i="8"/>
  <c r="L146" i="8"/>
  <c r="AE145" i="8"/>
  <c r="AA145" i="8"/>
  <c r="V145" i="8"/>
  <c r="X145" i="8"/>
  <c r="S145" i="8"/>
  <c r="M145" i="8"/>
  <c r="L145" i="8"/>
  <c r="AE144" i="8"/>
  <c r="AA144" i="8"/>
  <c r="V144" i="8"/>
  <c r="X144" i="8"/>
  <c r="S144" i="8"/>
  <c r="M144" i="8"/>
  <c r="L144" i="8"/>
  <c r="AE143" i="8"/>
  <c r="AA143" i="8"/>
  <c r="V143" i="8"/>
  <c r="X143" i="8"/>
  <c r="S143" i="8"/>
  <c r="M143" i="8"/>
  <c r="L143" i="8"/>
  <c r="AE142" i="8"/>
  <c r="AA142" i="8"/>
  <c r="V142" i="8"/>
  <c r="X142" i="8"/>
  <c r="S142" i="8"/>
  <c r="M142" i="8"/>
  <c r="L142" i="8"/>
  <c r="AE141" i="8"/>
  <c r="AA141" i="8"/>
  <c r="V141" i="8"/>
  <c r="X141" i="8"/>
  <c r="S141" i="8"/>
  <c r="M141" i="8"/>
  <c r="L141" i="8"/>
  <c r="AE140" i="8"/>
  <c r="AA140" i="8"/>
  <c r="V140" i="8"/>
  <c r="X140" i="8"/>
  <c r="S140" i="8"/>
  <c r="M140" i="8"/>
  <c r="L140" i="8"/>
  <c r="AE139" i="8"/>
  <c r="AA139" i="8"/>
  <c r="V139" i="8"/>
  <c r="X139" i="8"/>
  <c r="S139" i="8"/>
  <c r="M139" i="8"/>
  <c r="L139" i="8"/>
  <c r="AE138" i="8"/>
  <c r="AA138" i="8"/>
  <c r="V138" i="8"/>
  <c r="X138" i="8"/>
  <c r="S138" i="8"/>
  <c r="M138" i="8"/>
  <c r="L138" i="8"/>
  <c r="AE137" i="8"/>
  <c r="AA137" i="8"/>
  <c r="V137" i="8"/>
  <c r="X137" i="8"/>
  <c r="S137" i="8"/>
  <c r="M137" i="8"/>
  <c r="L137" i="8"/>
  <c r="AE136" i="8"/>
  <c r="AA136" i="8"/>
  <c r="V136" i="8"/>
  <c r="X136" i="8"/>
  <c r="S136" i="8"/>
  <c r="M136" i="8"/>
  <c r="L136" i="8"/>
  <c r="AE135" i="8"/>
  <c r="AA135" i="8"/>
  <c r="V135" i="8"/>
  <c r="X135" i="8"/>
  <c r="S135" i="8"/>
  <c r="M135" i="8"/>
  <c r="L135" i="8"/>
  <c r="AE134" i="8"/>
  <c r="AA134" i="8"/>
  <c r="V134" i="8"/>
  <c r="X134" i="8"/>
  <c r="S134" i="8"/>
  <c r="M134" i="8"/>
  <c r="L134" i="8"/>
  <c r="AE133" i="8"/>
  <c r="AA133" i="8"/>
  <c r="V133" i="8"/>
  <c r="X133" i="8"/>
  <c r="S133" i="8"/>
  <c r="M133" i="8"/>
  <c r="L133" i="8"/>
  <c r="AE132" i="8"/>
  <c r="AA132" i="8"/>
  <c r="V132" i="8"/>
  <c r="X132" i="8"/>
  <c r="S132" i="8"/>
  <c r="M132" i="8"/>
  <c r="L132" i="8"/>
  <c r="AE131" i="8"/>
  <c r="AA131" i="8"/>
  <c r="V131" i="8"/>
  <c r="X131" i="8"/>
  <c r="S131" i="8"/>
  <c r="M131" i="8"/>
  <c r="L131" i="8"/>
  <c r="AE130" i="8"/>
  <c r="AA130" i="8"/>
  <c r="V130" i="8"/>
  <c r="X130" i="8"/>
  <c r="S130" i="8"/>
  <c r="M130" i="8"/>
  <c r="L130" i="8"/>
  <c r="AE129" i="8"/>
  <c r="AA129" i="8"/>
  <c r="V129" i="8"/>
  <c r="X129" i="8"/>
  <c r="S129" i="8"/>
  <c r="M129" i="8"/>
  <c r="L129" i="8"/>
  <c r="AE128" i="8"/>
  <c r="AA128" i="8"/>
  <c r="V128" i="8"/>
  <c r="X128" i="8"/>
  <c r="S128" i="8"/>
  <c r="M128" i="8"/>
  <c r="L128" i="8"/>
  <c r="AE127" i="8"/>
  <c r="AA127" i="8"/>
  <c r="V127" i="8"/>
  <c r="X127" i="8"/>
  <c r="S127" i="8"/>
  <c r="M127" i="8"/>
  <c r="L127" i="8"/>
  <c r="AE126" i="8"/>
  <c r="AA126" i="8"/>
  <c r="V126" i="8"/>
  <c r="X126" i="8"/>
  <c r="S126" i="8"/>
  <c r="M126" i="8"/>
  <c r="L126" i="8"/>
  <c r="AE125" i="8"/>
  <c r="AA125" i="8"/>
  <c r="V125" i="8"/>
  <c r="X125" i="8"/>
  <c r="S125" i="8"/>
  <c r="M125" i="8"/>
  <c r="L125" i="8"/>
  <c r="AE124" i="8"/>
  <c r="AA124" i="8"/>
  <c r="V124" i="8"/>
  <c r="X124" i="8"/>
  <c r="S124" i="8"/>
  <c r="M124" i="8"/>
  <c r="L124" i="8"/>
  <c r="AE123" i="8"/>
  <c r="AA123" i="8"/>
  <c r="V123" i="8"/>
  <c r="X123" i="8"/>
  <c r="S123" i="8"/>
  <c r="M123" i="8"/>
  <c r="L123" i="8"/>
  <c r="AE122" i="8"/>
  <c r="AA122" i="8"/>
  <c r="V122" i="8"/>
  <c r="X122" i="8"/>
  <c r="S122" i="8"/>
  <c r="M122" i="8"/>
  <c r="L122" i="8"/>
  <c r="AE121" i="8"/>
  <c r="AA121" i="8"/>
  <c r="V121" i="8"/>
  <c r="X121" i="8"/>
  <c r="S121" i="8"/>
  <c r="O121" i="8"/>
  <c r="AE120" i="8"/>
  <c r="AA120" i="8"/>
  <c r="V120" i="8"/>
  <c r="X120" i="8"/>
  <c r="S120" i="8"/>
  <c r="L120" i="8"/>
  <c r="AE119" i="8"/>
  <c r="AA119" i="8"/>
  <c r="V119" i="8"/>
  <c r="X119" i="8"/>
  <c r="S119" i="8"/>
  <c r="L119" i="8"/>
  <c r="AE118" i="8"/>
  <c r="AA118" i="8"/>
  <c r="V118" i="8"/>
  <c r="X118" i="8"/>
  <c r="S118" i="8"/>
  <c r="L118" i="8"/>
  <c r="AE117" i="8"/>
  <c r="AA117" i="8"/>
  <c r="V117" i="8"/>
  <c r="X117" i="8"/>
  <c r="S117" i="8"/>
  <c r="L117" i="8"/>
  <c r="AE116" i="8"/>
  <c r="AA116" i="8"/>
  <c r="V116" i="8"/>
  <c r="X116" i="8"/>
  <c r="S116" i="8"/>
  <c r="L116" i="8"/>
  <c r="AE115" i="8"/>
  <c r="AA115" i="8"/>
  <c r="V115" i="8"/>
  <c r="X115" i="8"/>
  <c r="S115" i="8"/>
  <c r="L115" i="8"/>
  <c r="AE114" i="8"/>
  <c r="AA114" i="8"/>
  <c r="V114" i="8"/>
  <c r="X114" i="8"/>
  <c r="S114" i="8"/>
  <c r="L114" i="8"/>
  <c r="AE113" i="8"/>
  <c r="AA113" i="8"/>
  <c r="V113" i="8"/>
  <c r="X113" i="8"/>
  <c r="S113" i="8"/>
  <c r="L113" i="8"/>
  <c r="AE112" i="8"/>
  <c r="AA112" i="8"/>
  <c r="V112" i="8"/>
  <c r="X112" i="8"/>
  <c r="S112" i="8"/>
  <c r="L112" i="8"/>
  <c r="AE111" i="8"/>
  <c r="AA111" i="8"/>
  <c r="V111" i="8"/>
  <c r="X111" i="8"/>
  <c r="S111" i="8"/>
  <c r="L111" i="8"/>
  <c r="AE110" i="8"/>
  <c r="AA110" i="8"/>
  <c r="V110" i="8"/>
  <c r="X110" i="8"/>
  <c r="S110" i="8"/>
  <c r="L110" i="8"/>
  <c r="AE109" i="8"/>
  <c r="AA109" i="8"/>
  <c r="V109" i="8"/>
  <c r="X109" i="8"/>
  <c r="S109" i="8"/>
  <c r="L109" i="8"/>
  <c r="AE108" i="8"/>
  <c r="AA108" i="8"/>
  <c r="V108" i="8"/>
  <c r="X108" i="8"/>
  <c r="S108" i="8"/>
  <c r="L108" i="8"/>
  <c r="AE107" i="8"/>
  <c r="AA107" i="8"/>
  <c r="V107" i="8"/>
  <c r="X107" i="8"/>
  <c r="S107" i="8"/>
  <c r="L107" i="8"/>
  <c r="AE106" i="8"/>
  <c r="AA106" i="8"/>
  <c r="V106" i="8"/>
  <c r="X106" i="8"/>
  <c r="S106" i="8"/>
  <c r="L106" i="8"/>
  <c r="AE105" i="8"/>
  <c r="AA105" i="8"/>
  <c r="V105" i="8"/>
  <c r="X105" i="8"/>
  <c r="S105" i="8"/>
  <c r="L105" i="8"/>
  <c r="AE104" i="8"/>
  <c r="AA104" i="8"/>
  <c r="V104" i="8"/>
  <c r="X104" i="8"/>
  <c r="S104" i="8"/>
  <c r="L104" i="8"/>
  <c r="AE103" i="8"/>
  <c r="AA103" i="8"/>
  <c r="V103" i="8"/>
  <c r="X103" i="8"/>
  <c r="S103" i="8"/>
  <c r="L103" i="8"/>
  <c r="AE102" i="8"/>
  <c r="AA102" i="8"/>
  <c r="V102" i="8"/>
  <c r="X102" i="8"/>
  <c r="S102" i="8"/>
  <c r="L102" i="8"/>
  <c r="AE101" i="8"/>
  <c r="AA101" i="8"/>
  <c r="V101" i="8"/>
  <c r="X101" i="8"/>
  <c r="S101" i="8"/>
  <c r="L101" i="8"/>
  <c r="AE100" i="8"/>
  <c r="AA100" i="8"/>
  <c r="V100" i="8"/>
  <c r="X100" i="8"/>
  <c r="S100" i="8"/>
  <c r="L100" i="8"/>
  <c r="AE99" i="8"/>
  <c r="AA99" i="8"/>
  <c r="V99" i="8"/>
  <c r="X99" i="8"/>
  <c r="S99" i="8"/>
  <c r="L99" i="8"/>
  <c r="AE98" i="8"/>
  <c r="AA98" i="8"/>
  <c r="V98" i="8"/>
  <c r="X98" i="8"/>
  <c r="S98" i="8"/>
  <c r="L98" i="8"/>
  <c r="AE97" i="8"/>
  <c r="AA97" i="8"/>
  <c r="V97" i="8"/>
  <c r="X97" i="8"/>
  <c r="S97" i="8"/>
  <c r="L97" i="8"/>
  <c r="AE96" i="8"/>
  <c r="AA96" i="8"/>
  <c r="V96" i="8"/>
  <c r="X96" i="8"/>
  <c r="S96" i="8"/>
  <c r="L96" i="8"/>
  <c r="AE95" i="8"/>
  <c r="AA95" i="8"/>
  <c r="V95" i="8"/>
  <c r="X95" i="8"/>
  <c r="S95" i="8"/>
  <c r="L95" i="8"/>
  <c r="AE94" i="8"/>
  <c r="AA94" i="8"/>
  <c r="V94" i="8"/>
  <c r="X94" i="8"/>
  <c r="S94" i="8"/>
  <c r="L94" i="8"/>
  <c r="AE93" i="8"/>
  <c r="AA93" i="8"/>
  <c r="X93" i="8"/>
  <c r="P160" i="4"/>
  <c r="S93" i="8"/>
  <c r="L93" i="8"/>
  <c r="AE92" i="8"/>
  <c r="AA92" i="8"/>
  <c r="V92" i="8"/>
  <c r="X92" i="8"/>
  <c r="S92" i="8"/>
  <c r="L92" i="8"/>
  <c r="AE91" i="8"/>
  <c r="AA91" i="8"/>
  <c r="V91" i="8"/>
  <c r="X91" i="8"/>
  <c r="S91" i="8"/>
  <c r="L91" i="8"/>
  <c r="AE90" i="8"/>
  <c r="AA90" i="8"/>
  <c r="V90" i="8"/>
  <c r="X90" i="8"/>
  <c r="AA62" i="4"/>
  <c r="L90" i="8"/>
  <c r="AE89" i="8"/>
  <c r="AA89" i="8"/>
  <c r="V89" i="8"/>
  <c r="X89" i="8"/>
  <c r="S89" i="8"/>
  <c r="L89" i="8"/>
  <c r="AE88" i="8"/>
  <c r="AA88" i="8"/>
  <c r="V88" i="8"/>
  <c r="X88" i="8"/>
  <c r="S88" i="8"/>
  <c r="L88" i="8"/>
  <c r="AE87" i="8"/>
  <c r="AA87" i="8"/>
  <c r="V87" i="8"/>
  <c r="X87" i="8"/>
  <c r="S87" i="8"/>
  <c r="L87" i="8"/>
  <c r="AE86" i="8"/>
  <c r="AA86" i="8"/>
  <c r="V86" i="8"/>
  <c r="X86" i="8"/>
  <c r="S86" i="8"/>
  <c r="L86" i="8"/>
  <c r="AE85" i="8"/>
  <c r="AA85" i="8"/>
  <c r="V85" i="8"/>
  <c r="X85" i="8"/>
  <c r="S85" i="8"/>
  <c r="L85" i="8"/>
  <c r="AE84" i="8"/>
  <c r="AA84" i="8"/>
  <c r="V84" i="8"/>
  <c r="X84" i="8"/>
  <c r="S84" i="8"/>
  <c r="L84" i="8"/>
  <c r="AE83" i="8"/>
  <c r="AA83" i="8"/>
  <c r="V83" i="8"/>
  <c r="X83" i="8"/>
  <c r="S83" i="8"/>
  <c r="L83" i="8"/>
  <c r="AE82" i="8"/>
  <c r="AA82" i="8"/>
  <c r="V82" i="8"/>
  <c r="X82" i="8"/>
  <c r="S82" i="8"/>
  <c r="L82" i="8"/>
  <c r="AE81" i="8"/>
  <c r="AA81" i="8"/>
  <c r="V81" i="8"/>
  <c r="X81" i="8"/>
  <c r="S81" i="8"/>
  <c r="L81" i="8"/>
  <c r="AE80" i="8"/>
  <c r="AA80" i="8"/>
  <c r="V80" i="8"/>
  <c r="X80" i="8"/>
  <c r="S80" i="8"/>
  <c r="L80" i="8"/>
  <c r="AE79" i="8"/>
  <c r="AA79" i="8"/>
  <c r="V79" i="8"/>
  <c r="X79" i="8"/>
  <c r="S79" i="8"/>
  <c r="L79" i="8"/>
  <c r="AE78" i="8"/>
  <c r="AA78" i="8"/>
  <c r="V78" i="8"/>
  <c r="X78" i="8"/>
  <c r="S78" i="8"/>
  <c r="L78" i="8"/>
  <c r="AE77" i="8"/>
  <c r="AA77" i="8"/>
  <c r="V77" i="8"/>
  <c r="X77" i="8"/>
  <c r="S77" i="8"/>
  <c r="L77" i="8"/>
  <c r="AE76" i="8"/>
  <c r="AA76" i="8"/>
  <c r="V76" i="8"/>
  <c r="X76" i="8"/>
  <c r="S76" i="8"/>
  <c r="L76" i="8"/>
  <c r="AE75" i="8"/>
  <c r="AA75" i="8"/>
  <c r="V75" i="8"/>
  <c r="X75" i="8"/>
  <c r="S75" i="8"/>
  <c r="L75" i="8"/>
  <c r="AE74" i="8"/>
  <c r="AA74" i="8"/>
  <c r="V74" i="8"/>
  <c r="X74" i="8"/>
  <c r="S74" i="8"/>
  <c r="L74" i="8"/>
  <c r="AE73" i="8"/>
  <c r="AA73" i="8"/>
  <c r="V73" i="8"/>
  <c r="X73" i="8"/>
  <c r="S73" i="8"/>
  <c r="L73" i="8"/>
  <c r="AE72" i="8"/>
  <c r="AA72" i="8"/>
  <c r="V72" i="8"/>
  <c r="X72" i="8"/>
  <c r="S72" i="8"/>
  <c r="L72" i="8"/>
  <c r="AE71" i="8"/>
  <c r="AA71" i="8"/>
  <c r="V71" i="8"/>
  <c r="X71" i="8"/>
  <c r="S71" i="8"/>
  <c r="L71" i="8"/>
  <c r="AE70" i="8"/>
  <c r="AA70" i="8"/>
  <c r="V70" i="8"/>
  <c r="X70" i="8"/>
  <c r="S70" i="8"/>
  <c r="L70" i="8"/>
  <c r="AE69" i="8"/>
  <c r="AA69" i="8"/>
  <c r="V69" i="8"/>
  <c r="X69" i="8"/>
  <c r="S69" i="8"/>
  <c r="L69" i="8"/>
  <c r="AE68" i="8"/>
  <c r="AA68" i="8"/>
  <c r="V68" i="8"/>
  <c r="X68" i="8"/>
  <c r="S68" i="8"/>
  <c r="L68" i="8"/>
  <c r="AE67" i="8"/>
  <c r="AA67" i="8"/>
  <c r="V67" i="8"/>
  <c r="X67" i="8"/>
  <c r="S67" i="8"/>
  <c r="L67" i="8"/>
  <c r="AE66" i="8"/>
  <c r="AA66" i="8"/>
  <c r="V66" i="8"/>
  <c r="X66" i="8"/>
  <c r="S66" i="8"/>
  <c r="L66" i="8"/>
  <c r="AE65" i="8"/>
  <c r="AA65" i="8"/>
  <c r="V65" i="8"/>
  <c r="X65" i="8"/>
  <c r="S65" i="8"/>
  <c r="L65" i="8"/>
  <c r="AE64" i="8"/>
  <c r="AA64" i="8"/>
  <c r="V64" i="8"/>
  <c r="X64" i="8"/>
  <c r="S64" i="8"/>
  <c r="L64" i="8"/>
  <c r="AE63" i="8"/>
  <c r="AA63" i="8"/>
  <c r="V63" i="8"/>
  <c r="X63" i="8"/>
  <c r="S63" i="8"/>
  <c r="L63" i="8"/>
  <c r="AE62" i="8"/>
  <c r="AA62" i="8"/>
  <c r="V62" i="8"/>
  <c r="X62" i="8"/>
  <c r="S62" i="8"/>
  <c r="L62" i="8"/>
  <c r="AE61" i="8"/>
  <c r="AA61" i="8"/>
  <c r="V61" i="8"/>
  <c r="X61" i="8"/>
  <c r="S61" i="8"/>
  <c r="L61" i="8"/>
  <c r="AE60" i="8"/>
  <c r="AA60" i="8"/>
  <c r="V60" i="8"/>
  <c r="X60" i="8"/>
  <c r="S60" i="8"/>
  <c r="L60" i="8"/>
  <c r="AE59" i="8"/>
  <c r="AA59" i="8"/>
  <c r="V59" i="8"/>
  <c r="X59" i="8"/>
  <c r="S59" i="8"/>
  <c r="L59" i="8"/>
  <c r="AE58" i="8"/>
  <c r="AA58" i="8"/>
  <c r="V58" i="8"/>
  <c r="X58" i="8"/>
  <c r="S58" i="8"/>
  <c r="L58" i="8"/>
  <c r="AE57" i="8"/>
  <c r="AA57" i="8"/>
  <c r="V57" i="8"/>
  <c r="X57" i="8"/>
  <c r="S57" i="8"/>
  <c r="L57" i="8"/>
  <c r="AE56" i="8"/>
  <c r="AA56" i="8"/>
  <c r="V56" i="8"/>
  <c r="X56" i="8"/>
  <c r="S56" i="8"/>
  <c r="L56" i="8"/>
  <c r="AE55" i="8"/>
  <c r="AA55" i="8"/>
  <c r="V55" i="8"/>
  <c r="X55" i="8"/>
  <c r="S55" i="8"/>
  <c r="L55" i="8"/>
  <c r="AE54" i="8"/>
  <c r="AA54" i="8"/>
  <c r="V54" i="8"/>
  <c r="X54" i="8"/>
  <c r="S54" i="8"/>
  <c r="L54" i="8"/>
  <c r="AE53" i="8"/>
  <c r="AA53" i="8"/>
  <c r="V53" i="8"/>
  <c r="X53" i="8"/>
  <c r="S53" i="8"/>
  <c r="L53" i="8"/>
  <c r="AE52" i="8"/>
  <c r="AA52" i="8"/>
  <c r="V52" i="8"/>
  <c r="X52" i="8"/>
  <c r="S52" i="8"/>
  <c r="L52" i="8"/>
  <c r="AE51" i="8"/>
  <c r="AA51" i="8"/>
  <c r="V51" i="8"/>
  <c r="X51" i="8"/>
  <c r="S51" i="8"/>
  <c r="L51" i="8"/>
  <c r="AE50" i="8"/>
  <c r="AA50" i="8"/>
  <c r="V50" i="8"/>
  <c r="X50" i="8"/>
  <c r="S50" i="8"/>
  <c r="L50" i="8"/>
  <c r="AE49" i="8"/>
  <c r="AA49" i="8"/>
  <c r="V49" i="8"/>
  <c r="X49" i="8"/>
  <c r="S49" i="8"/>
  <c r="L49" i="8"/>
  <c r="AE48" i="8"/>
  <c r="AA48" i="8"/>
  <c r="V48" i="8"/>
  <c r="X48" i="8"/>
  <c r="S48" i="8"/>
  <c r="L48" i="8"/>
  <c r="AE47" i="8"/>
  <c r="AA47" i="8"/>
  <c r="V47" i="8"/>
  <c r="X47" i="8"/>
  <c r="S47" i="8"/>
  <c r="L47" i="8"/>
  <c r="AE46" i="8"/>
  <c r="AA46" i="8"/>
  <c r="V46" i="8"/>
  <c r="X46" i="8"/>
  <c r="S46" i="8"/>
  <c r="L46" i="8"/>
  <c r="AE45" i="8"/>
  <c r="AA45" i="8"/>
  <c r="V45" i="8"/>
  <c r="X45" i="8"/>
  <c r="S45" i="8"/>
  <c r="L45" i="8"/>
  <c r="AE44" i="8"/>
  <c r="AA44" i="8"/>
  <c r="V44" i="8"/>
  <c r="X44" i="8"/>
  <c r="S44" i="8"/>
  <c r="L44" i="8"/>
  <c r="AE43" i="8"/>
  <c r="AA43" i="8"/>
  <c r="V43" i="8"/>
  <c r="X43" i="8"/>
  <c r="S43" i="8"/>
  <c r="L43" i="8"/>
  <c r="AE42" i="8"/>
  <c r="AA42" i="8"/>
  <c r="V42" i="8"/>
  <c r="X42" i="8"/>
  <c r="S42" i="8"/>
  <c r="L42" i="8"/>
  <c r="AE41" i="8"/>
  <c r="AA41" i="8"/>
  <c r="V41" i="8"/>
  <c r="X41" i="8"/>
  <c r="S41" i="8"/>
  <c r="L41" i="8"/>
  <c r="AE40" i="8"/>
  <c r="AA40" i="8"/>
  <c r="V40" i="8"/>
  <c r="X40" i="8"/>
  <c r="S40" i="8"/>
  <c r="L40" i="8"/>
  <c r="AE39" i="8"/>
  <c r="AA39" i="8"/>
  <c r="V39" i="8"/>
  <c r="X39" i="8"/>
  <c r="S39" i="8"/>
  <c r="L39" i="8"/>
  <c r="AE38" i="8"/>
  <c r="AA38" i="8"/>
  <c r="V38" i="8"/>
  <c r="X38" i="8"/>
  <c r="S38" i="8"/>
  <c r="L38" i="8"/>
  <c r="AE37" i="8"/>
  <c r="AA37" i="8"/>
  <c r="V37" i="8"/>
  <c r="X37" i="8"/>
  <c r="S37" i="8"/>
  <c r="L37" i="8"/>
  <c r="AE36" i="8"/>
  <c r="AA36" i="8"/>
  <c r="V36" i="8"/>
  <c r="X36" i="8"/>
  <c r="S36" i="8"/>
  <c r="L36" i="8"/>
  <c r="AE35" i="8"/>
  <c r="AA35" i="8"/>
  <c r="V35" i="8"/>
  <c r="X35" i="8"/>
  <c r="S35" i="8"/>
  <c r="L35" i="8"/>
  <c r="AE34" i="8"/>
  <c r="AA34" i="8"/>
  <c r="V34" i="8"/>
  <c r="X34" i="8"/>
  <c r="S34" i="8"/>
  <c r="L34" i="8"/>
  <c r="AE33" i="8"/>
  <c r="AA33" i="8"/>
  <c r="V33" i="8"/>
  <c r="X33" i="8"/>
  <c r="S33" i="8"/>
  <c r="L33" i="8"/>
  <c r="AE32" i="8"/>
  <c r="AA32" i="8"/>
  <c r="V32" i="8"/>
  <c r="X32" i="8"/>
  <c r="S32" i="8"/>
  <c r="L32" i="8"/>
  <c r="AE31" i="8"/>
  <c r="AA31" i="8"/>
  <c r="V31" i="8"/>
  <c r="X31" i="8"/>
  <c r="S31" i="8"/>
  <c r="L31" i="8"/>
  <c r="AE30" i="8"/>
  <c r="AA30" i="8"/>
  <c r="V30" i="8"/>
  <c r="X30" i="8"/>
  <c r="S30" i="8"/>
  <c r="L30" i="8"/>
  <c r="AE29" i="8"/>
  <c r="AA29" i="8"/>
  <c r="V29" i="8"/>
  <c r="X29" i="8"/>
  <c r="S29" i="8"/>
  <c r="L29" i="8"/>
  <c r="AE28" i="8"/>
  <c r="AA28" i="8"/>
  <c r="V28" i="8"/>
  <c r="X28" i="8"/>
  <c r="S28" i="8"/>
  <c r="L28" i="8"/>
  <c r="AE27" i="8"/>
  <c r="AA27" i="8"/>
  <c r="V27" i="8"/>
  <c r="X27" i="8"/>
  <c r="S27" i="8"/>
  <c r="L27" i="8"/>
  <c r="AE26" i="8"/>
  <c r="AA26" i="8"/>
  <c r="V26" i="8"/>
  <c r="X26" i="8"/>
  <c r="S26" i="8"/>
  <c r="L26" i="8"/>
  <c r="AE25" i="8"/>
  <c r="AA25" i="8"/>
  <c r="V25" i="8"/>
  <c r="X25" i="8"/>
  <c r="S25" i="8"/>
  <c r="L25" i="8"/>
  <c r="AE24" i="8"/>
  <c r="AA24" i="8"/>
  <c r="V24" i="8"/>
  <c r="X24" i="8"/>
  <c r="S24" i="8"/>
  <c r="L24" i="8"/>
  <c r="AE23" i="8"/>
  <c r="AA23" i="8"/>
  <c r="V23" i="8"/>
  <c r="X23" i="8"/>
  <c r="S23" i="8"/>
  <c r="L23" i="8"/>
  <c r="AE22" i="8"/>
  <c r="AA22" i="8"/>
  <c r="V22" i="8"/>
  <c r="X22" i="8"/>
  <c r="S22" i="8"/>
  <c r="L22" i="8"/>
  <c r="AE21" i="8"/>
  <c r="AA21" i="8"/>
  <c r="V21" i="8"/>
  <c r="X21" i="8"/>
  <c r="S21" i="8"/>
  <c r="L21" i="8"/>
  <c r="AE20" i="8"/>
  <c r="AA20" i="8"/>
  <c r="V20" i="8"/>
  <c r="X20" i="8"/>
  <c r="S20" i="8"/>
  <c r="L20" i="8"/>
  <c r="AE19" i="8"/>
  <c r="AA19" i="8"/>
  <c r="V19" i="8"/>
  <c r="X19" i="8"/>
  <c r="S19" i="8"/>
  <c r="L19" i="8"/>
  <c r="AE18" i="8"/>
  <c r="AA18" i="8"/>
  <c r="V18" i="8"/>
  <c r="X18" i="8"/>
  <c r="S18" i="8"/>
  <c r="L18" i="8"/>
  <c r="AE17" i="8"/>
  <c r="AA17" i="8"/>
  <c r="V17" i="8"/>
  <c r="X17" i="8"/>
  <c r="S17" i="8"/>
  <c r="L17" i="8"/>
  <c r="AE16" i="8"/>
  <c r="AA16" i="8"/>
  <c r="V16" i="8"/>
  <c r="X16" i="8"/>
  <c r="S16" i="8"/>
  <c r="L16" i="8"/>
  <c r="AE15" i="8"/>
  <c r="AA15" i="8"/>
  <c r="V15" i="8"/>
  <c r="X15" i="8"/>
  <c r="S15" i="8"/>
  <c r="L15" i="8"/>
  <c r="AE14" i="8"/>
  <c r="AA14" i="8"/>
  <c r="V14" i="8"/>
  <c r="X14" i="8"/>
  <c r="S14" i="8"/>
  <c r="L14" i="8"/>
  <c r="AE12" i="8"/>
  <c r="AA12" i="8"/>
  <c r="V12" i="8"/>
  <c r="X12" i="8"/>
  <c r="S12" i="8"/>
  <c r="L12" i="8"/>
  <c r="AE11" i="8"/>
  <c r="AA11" i="8"/>
  <c r="V11" i="8"/>
  <c r="X11" i="8"/>
  <c r="S11" i="8"/>
  <c r="L11" i="8"/>
  <c r="AE10" i="8"/>
  <c r="AA10" i="8"/>
  <c r="V10" i="8"/>
  <c r="S10" i="8"/>
  <c r="L10" i="8"/>
  <c r="AE9" i="8"/>
  <c r="AA9" i="8"/>
  <c r="V9" i="8"/>
  <c r="X9" i="8"/>
  <c r="S9" i="8"/>
  <c r="L9" i="8"/>
  <c r="AE8" i="8"/>
  <c r="AA8" i="8"/>
  <c r="V8" i="8"/>
  <c r="X8" i="8"/>
  <c r="S8" i="8"/>
  <c r="L8" i="8"/>
  <c r="AE7" i="8"/>
  <c r="AA7" i="8"/>
  <c r="V7" i="8"/>
  <c r="X7" i="8"/>
  <c r="S7" i="8"/>
  <c r="L7" i="8"/>
  <c r="AE6" i="8"/>
  <c r="AA6" i="8"/>
  <c r="V6" i="8"/>
  <c r="X6" i="8"/>
  <c r="S6" i="8"/>
  <c r="M6" i="8"/>
  <c r="L6" i="8"/>
  <c r="AQ190" i="4"/>
  <c r="AQ189" i="4"/>
  <c r="AQ188" i="4"/>
  <c r="AQ183" i="4"/>
  <c r="AQ176" i="4"/>
  <c r="AQ170" i="4"/>
  <c r="AQ156" i="4"/>
  <c r="AQ151" i="4"/>
  <c r="AQ141" i="4"/>
  <c r="AQ132" i="4"/>
  <c r="AQ123" i="4"/>
  <c r="AQ110" i="4"/>
  <c r="AQ109" i="4"/>
  <c r="AQ107" i="4"/>
  <c r="AQ104" i="4"/>
  <c r="AQ103" i="4"/>
  <c r="AQ102" i="4"/>
  <c r="AQ98" i="4"/>
  <c r="AQ93" i="4"/>
  <c r="AQ92" i="4"/>
  <c r="AQ91" i="4"/>
  <c r="AQ87" i="4"/>
  <c r="AQ86" i="4"/>
  <c r="AQ81" i="4"/>
  <c r="AQ79" i="4"/>
  <c r="AQ77" i="4"/>
  <c r="AQ76" i="4"/>
  <c r="AQ75" i="4"/>
  <c r="AQ72" i="4"/>
  <c r="AQ70" i="4"/>
  <c r="AQ68" i="4"/>
  <c r="AQ67" i="4"/>
  <c r="AQ66" i="4"/>
  <c r="AQ65" i="4"/>
  <c r="AQ62" i="4"/>
  <c r="AQ60" i="4"/>
  <c r="AQ58" i="4"/>
  <c r="AQ46" i="4"/>
  <c r="AQ44" i="4"/>
  <c r="AQ22" i="4"/>
  <c r="AQ18" i="4"/>
  <c r="AQ17" i="4"/>
  <c r="AQ14" i="4"/>
  <c r="AQ13" i="4"/>
  <c r="AQ10" i="4"/>
  <c r="AQ5" i="4"/>
  <c r="AQ99" i="4"/>
  <c r="T184" i="8"/>
  <c r="AQ69" i="4"/>
  <c r="AQ57" i="4"/>
  <c r="AQ97" i="4"/>
  <c r="T162" i="8"/>
  <c r="AQ118" i="4"/>
  <c r="AQ162" i="4"/>
  <c r="T105" i="8"/>
  <c r="AQ191" i="4"/>
  <c r="T114" i="8"/>
  <c r="AQ51" i="4"/>
  <c r="T120" i="8"/>
  <c r="T23" i="8"/>
  <c r="T41" i="8"/>
  <c r="AQ50" i="4"/>
  <c r="T46" i="8"/>
  <c r="AQ146" i="4"/>
  <c r="AQ158" i="4"/>
  <c r="AQ128" i="4"/>
  <c r="T80" i="8"/>
  <c r="AQ125" i="4"/>
  <c r="T81" i="8"/>
  <c r="AQ126" i="4"/>
  <c r="T83" i="8"/>
  <c r="AQ168" i="4"/>
  <c r="T91" i="8"/>
  <c r="T92" i="8"/>
  <c r="AQ160" i="4"/>
  <c r="T93" i="8"/>
  <c r="AQ26" i="4"/>
  <c r="AQ187" i="4"/>
  <c r="T155" i="8"/>
  <c r="T173" i="8"/>
  <c r="T179" i="8"/>
  <c r="T185" i="8"/>
  <c r="AQ89" i="4"/>
  <c r="AQ45" i="4"/>
  <c r="AQ137" i="4"/>
  <c r="AQ4" i="4"/>
  <c r="AQ59" i="4"/>
  <c r="AQ182" i="4"/>
  <c r="T20" i="8"/>
  <c r="AQ124" i="4"/>
  <c r="AQ105" i="4"/>
  <c r="AQ177" i="4"/>
  <c r="AQ71" i="4"/>
  <c r="AQ78" i="4"/>
  <c r="T48" i="8"/>
  <c r="T49" i="8"/>
  <c r="AQ63" i="4"/>
  <c r="AQ55" i="4"/>
  <c r="AQ54" i="4"/>
  <c r="T53" i="8"/>
  <c r="AQ15" i="4"/>
  <c r="T59" i="8"/>
  <c r="AQ106" i="4"/>
  <c r="AQ114" i="4"/>
  <c r="T70" i="8"/>
  <c r="AQ135" i="4"/>
  <c r="AQ28" i="4"/>
  <c r="AQ29" i="4"/>
  <c r="AQ129" i="4"/>
  <c r="AQ100" i="4"/>
  <c r="T86" i="8"/>
  <c r="AQ169" i="4"/>
  <c r="AQ83" i="4"/>
  <c r="AQ84" i="4"/>
  <c r="AQ37" i="4"/>
  <c r="AQ163" i="4"/>
  <c r="T107" i="8"/>
  <c r="AQ165" i="4"/>
  <c r="AQ95" i="4"/>
  <c r="T110" i="8"/>
  <c r="T115" i="8"/>
  <c r="T117" i="8"/>
  <c r="AQ131" i="4"/>
  <c r="T139" i="8"/>
  <c r="T144" i="8"/>
  <c r="AQ147" i="4"/>
  <c r="T174" i="8"/>
  <c r="AQ175" i="4"/>
  <c r="AA152" i="4"/>
  <c r="P56" i="4"/>
  <c r="P59" i="4"/>
  <c r="P24" i="4"/>
  <c r="P177" i="4"/>
  <c r="P43" i="4"/>
  <c r="P49" i="4"/>
  <c r="P54" i="4"/>
  <c r="P115" i="4"/>
  <c r="P122" i="4"/>
  <c r="O152" i="4"/>
  <c r="O60" i="4"/>
  <c r="O68" i="4"/>
  <c r="O67" i="4"/>
  <c r="O18" i="4"/>
  <c r="O6" i="4"/>
  <c r="O157" i="4"/>
  <c r="O50" i="4"/>
  <c r="O52" i="4"/>
  <c r="O13" i="4"/>
  <c r="O138" i="4"/>
  <c r="O115" i="4"/>
  <c r="O178" i="4"/>
  <c r="O90" i="4"/>
  <c r="P151" i="4"/>
  <c r="AA17" i="4"/>
  <c r="O176" i="4"/>
  <c r="AA27" i="4"/>
  <c r="O133" i="4"/>
  <c r="AA183" i="4"/>
  <c r="P33" i="4"/>
  <c r="AA112" i="4"/>
  <c r="O22" i="4"/>
  <c r="P20" i="4"/>
  <c r="AA73" i="4"/>
  <c r="O108" i="4"/>
  <c r="P107" i="4"/>
  <c r="O130" i="4"/>
  <c r="P180" i="4"/>
  <c r="AA181" i="4"/>
  <c r="O72" i="4"/>
  <c r="P104" i="4"/>
  <c r="AA102" i="4"/>
  <c r="O12" i="4"/>
  <c r="AA148" i="4"/>
  <c r="O92" i="4"/>
  <c r="P93" i="4"/>
  <c r="AA41" i="4"/>
  <c r="O44" i="4"/>
  <c r="P189" i="4"/>
  <c r="AA86" i="4"/>
  <c r="O77" i="4"/>
  <c r="P75" i="4"/>
  <c r="AA76" i="4"/>
  <c r="O110" i="4"/>
  <c r="AA56" i="4"/>
  <c r="P45" i="4"/>
  <c r="P65" i="4"/>
  <c r="P70" i="4"/>
  <c r="P50" i="4"/>
  <c r="P103" i="4"/>
  <c r="P13" i="4"/>
  <c r="P145" i="4"/>
  <c r="P106" i="4"/>
  <c r="P117" i="4"/>
  <c r="P28" i="4"/>
  <c r="O56" i="4"/>
  <c r="O87" i="4"/>
  <c r="O45" i="4"/>
  <c r="O137" i="4"/>
  <c r="O184" i="4"/>
  <c r="O139" i="4"/>
  <c r="O5" i="4"/>
  <c r="O43" i="4"/>
  <c r="O70" i="4"/>
  <c r="O78" i="4"/>
  <c r="O49" i="4"/>
  <c r="O103" i="4"/>
  <c r="O154" i="4"/>
  <c r="O120" i="4"/>
  <c r="O158" i="4"/>
  <c r="P17" i="4"/>
  <c r="AA36" i="4"/>
  <c r="O156" i="4"/>
  <c r="P27" i="4"/>
  <c r="AA142" i="4"/>
  <c r="O134" i="4"/>
  <c r="P183" i="4"/>
  <c r="AA186" i="4"/>
  <c r="O33" i="4"/>
  <c r="P112" i="4"/>
  <c r="O20" i="4"/>
  <c r="AA47" i="4"/>
  <c r="O107" i="4"/>
  <c r="P111" i="4"/>
  <c r="AA109" i="4"/>
  <c r="O180" i="4"/>
  <c r="AA113" i="4"/>
  <c r="O104" i="4"/>
  <c r="P102" i="4"/>
  <c r="AA136" i="4"/>
  <c r="O10" i="4"/>
  <c r="P148" i="4"/>
  <c r="AA39" i="4"/>
  <c r="O93" i="4"/>
  <c r="P41" i="4"/>
  <c r="AA42" i="4"/>
  <c r="O189" i="4"/>
  <c r="P86" i="4"/>
  <c r="AA99" i="4"/>
  <c r="O75" i="4"/>
  <c r="P76" i="4"/>
  <c r="AA26" i="4"/>
  <c r="O8" i="4"/>
  <c r="P60" i="4"/>
  <c r="P68" i="4"/>
  <c r="P5" i="4"/>
  <c r="P105" i="4"/>
  <c r="P6" i="4"/>
  <c r="P55" i="4"/>
  <c r="P119" i="4"/>
  <c r="O149" i="4"/>
  <c r="O11" i="4"/>
  <c r="O59" i="4"/>
  <c r="O182" i="4"/>
  <c r="O65" i="4"/>
  <c r="O24" i="4"/>
  <c r="O105" i="4"/>
  <c r="O166" i="4"/>
  <c r="O7" i="4"/>
  <c r="O54" i="4"/>
  <c r="O15" i="4"/>
  <c r="O145" i="4"/>
  <c r="O119" i="4"/>
  <c r="O117" i="4"/>
  <c r="O80" i="4"/>
  <c r="O151" i="4"/>
  <c r="O17" i="4"/>
  <c r="P36" i="4"/>
  <c r="AA97" i="4"/>
  <c r="O27" i="4"/>
  <c r="P142" i="4"/>
  <c r="AA132" i="4"/>
  <c r="O183" i="4"/>
  <c r="P186" i="4"/>
  <c r="AA187" i="4"/>
  <c r="O112" i="4"/>
  <c r="AA34" i="4"/>
  <c r="O73" i="4"/>
  <c r="P47" i="4"/>
  <c r="AA123" i="4"/>
  <c r="O111" i="4"/>
  <c r="P109" i="4"/>
  <c r="AA96" i="4"/>
  <c r="O181" i="4"/>
  <c r="P113" i="4"/>
  <c r="AA74" i="4"/>
  <c r="O102" i="4"/>
  <c r="P136" i="4"/>
  <c r="AA69" i="4"/>
  <c r="O148" i="4"/>
  <c r="P39" i="4"/>
  <c r="AA38" i="4"/>
  <c r="O41" i="4"/>
  <c r="AA40" i="4"/>
  <c r="AA61" i="4"/>
  <c r="O76" i="4"/>
  <c r="P26" i="4"/>
  <c r="AA57" i="4"/>
  <c r="AA150" i="4"/>
  <c r="AA45" i="4"/>
  <c r="AA137" i="4"/>
  <c r="AA60" i="4"/>
  <c r="AA59" i="4"/>
  <c r="AA182" i="4"/>
  <c r="AA184" i="4"/>
  <c r="AA35" i="4"/>
  <c r="AA68" i="4"/>
  <c r="AA65" i="4"/>
  <c r="AA66" i="4"/>
  <c r="AA67" i="4"/>
  <c r="AA5" i="4"/>
  <c r="AA9" i="4"/>
  <c r="AA24" i="4"/>
  <c r="AA124" i="4"/>
  <c r="AA105" i="4"/>
  <c r="AA143" i="4"/>
  <c r="AA6" i="4"/>
  <c r="AA166" i="4"/>
  <c r="AA43" i="4"/>
  <c r="AA170" i="4"/>
  <c r="AA157" i="4"/>
  <c r="AA7" i="4"/>
  <c r="AA64" i="4"/>
  <c r="AA70" i="4"/>
  <c r="AA71" i="4"/>
  <c r="AA78" i="4"/>
  <c r="AA48" i="4"/>
  <c r="AA50" i="4"/>
  <c r="AA53" i="4"/>
  <c r="AA49" i="4"/>
  <c r="AA52" i="4"/>
  <c r="AA63" i="4"/>
  <c r="AA55" i="4"/>
  <c r="AA54" i="4"/>
  <c r="AA140" i="4"/>
  <c r="AA103" i="4"/>
  <c r="AA15" i="4"/>
  <c r="AA13" i="4"/>
  <c r="AA153" i="4"/>
  <c r="AA154" i="4"/>
  <c r="AA145" i="4"/>
  <c r="AA146" i="4"/>
  <c r="AA138" i="4"/>
  <c r="AA106" i="4"/>
  <c r="AA119" i="4"/>
  <c r="AA120" i="4"/>
  <c r="AA115" i="4"/>
  <c r="AA116" i="4"/>
  <c r="AA114" i="4"/>
  <c r="AA117" i="4"/>
  <c r="AA122" i="4"/>
  <c r="AA121" i="4"/>
  <c r="AA178" i="4"/>
  <c r="AA179" i="4"/>
  <c r="AA159" i="4"/>
  <c r="AA80" i="4"/>
  <c r="AA88" i="4"/>
  <c r="AA28" i="4"/>
  <c r="AA29" i="4"/>
  <c r="AA128" i="4"/>
  <c r="AA125" i="4"/>
  <c r="AA129" i="4"/>
  <c r="AA126" i="4"/>
  <c r="AA127" i="4"/>
  <c r="AA100" i="4"/>
  <c r="AA101" i="4"/>
  <c r="AA169" i="4"/>
  <c r="AA168" i="4"/>
  <c r="AA167" i="4"/>
  <c r="AA25" i="4"/>
  <c r="AA171" i="4"/>
  <c r="AA160" i="4"/>
  <c r="AA14" i="4"/>
  <c r="AA83" i="4"/>
  <c r="AA81" i="4"/>
  <c r="AA84" i="4"/>
  <c r="AA118" i="4"/>
  <c r="AA19" i="4"/>
  <c r="AA174" i="4"/>
  <c r="AA37" i="4"/>
  <c r="AA144" i="4"/>
  <c r="AA161" i="4"/>
  <c r="AA91" i="4"/>
  <c r="AA162" i="4"/>
  <c r="AA164" i="4"/>
  <c r="AA165" i="4"/>
  <c r="AA95" i="4"/>
  <c r="AA185" i="4"/>
  <c r="AA188" i="4"/>
  <c r="AA172" i="4"/>
  <c r="AA82" i="4"/>
  <c r="AA191" i="4"/>
  <c r="AA85" i="4"/>
  <c r="AA155" i="4"/>
  <c r="AA30" i="4"/>
  <c r="AA31" i="4"/>
  <c r="AA32" i="4"/>
  <c r="AA51" i="4"/>
  <c r="O36" i="4"/>
  <c r="P97" i="4"/>
  <c r="AA98" i="4"/>
  <c r="O142" i="4"/>
  <c r="P132" i="4"/>
  <c r="AA131" i="4"/>
  <c r="O186" i="4"/>
  <c r="AA173" i="4"/>
  <c r="O23" i="4"/>
  <c r="P34" i="4"/>
  <c r="AA21" i="4"/>
  <c r="O47" i="4"/>
  <c r="P123" i="4"/>
  <c r="AA147" i="4"/>
  <c r="O109" i="4"/>
  <c r="P96" i="4"/>
  <c r="AA79" i="4"/>
  <c r="O113" i="4"/>
  <c r="P74" i="4"/>
  <c r="AA16" i="4"/>
  <c r="O136" i="4"/>
  <c r="P69" i="4"/>
  <c r="AA141" i="4"/>
  <c r="O39" i="4"/>
  <c r="P38" i="4"/>
  <c r="AA94" i="4"/>
  <c r="O42" i="4"/>
  <c r="AA46" i="4"/>
  <c r="O99" i="4"/>
  <c r="P61" i="4"/>
  <c r="AA175" i="4"/>
  <c r="O26" i="4"/>
  <c r="P57" i="4"/>
  <c r="AA58" i="4"/>
  <c r="P89" i="4"/>
  <c r="P4" i="4"/>
  <c r="P139" i="4"/>
  <c r="P7" i="4"/>
  <c r="P71" i="4"/>
  <c r="P120" i="4"/>
  <c r="P114" i="4"/>
  <c r="P158" i="4"/>
  <c r="P125" i="4"/>
  <c r="P129" i="4"/>
  <c r="P100" i="4"/>
  <c r="P101" i="4"/>
  <c r="P169" i="4"/>
  <c r="P62" i="4"/>
  <c r="P14" i="4"/>
  <c r="P81" i="4"/>
  <c r="P84" i="4"/>
  <c r="P19" i="4"/>
  <c r="P144" i="4"/>
  <c r="P161" i="4"/>
  <c r="P163" i="4"/>
  <c r="P165" i="4"/>
  <c r="P95" i="4"/>
  <c r="P188" i="4"/>
  <c r="P172" i="4"/>
  <c r="P82" i="4"/>
  <c r="P85" i="4"/>
  <c r="P155" i="4"/>
  <c r="P30" i="4"/>
  <c r="P31" i="4"/>
  <c r="P32" i="4"/>
  <c r="AA90" i="4"/>
  <c r="O97" i="4"/>
  <c r="P98" i="4"/>
  <c r="AA176" i="4"/>
  <c r="O132" i="4"/>
  <c r="P131" i="4"/>
  <c r="AA133" i="4"/>
  <c r="O187" i="4"/>
  <c r="P173" i="4"/>
  <c r="O34" i="4"/>
  <c r="P21" i="4"/>
  <c r="O123" i="4"/>
  <c r="AA108" i="4"/>
  <c r="O96" i="4"/>
  <c r="P79" i="4"/>
  <c r="AA130" i="4"/>
  <c r="O74" i="4"/>
  <c r="P16" i="4"/>
  <c r="AA72" i="4"/>
  <c r="O69" i="4"/>
  <c r="P141" i="4"/>
  <c r="AA12" i="4"/>
  <c r="O38" i="4"/>
  <c r="P94" i="4"/>
  <c r="AA92" i="4"/>
  <c r="O40" i="4"/>
  <c r="P46" i="4"/>
  <c r="AA44" i="4"/>
  <c r="O61" i="4"/>
  <c r="P175" i="4"/>
  <c r="AA77" i="4"/>
  <c r="O57" i="4"/>
  <c r="P58" i="4"/>
  <c r="AA110" i="4"/>
  <c r="AA149" i="4"/>
  <c r="P11" i="4"/>
  <c r="P67" i="4"/>
  <c r="P9" i="4"/>
  <c r="P52" i="4"/>
  <c r="P63" i="4"/>
  <c r="P15" i="4"/>
  <c r="P116" i="4"/>
  <c r="P159" i="4"/>
  <c r="P88" i="4"/>
  <c r="O150" i="4"/>
  <c r="O89" i="4"/>
  <c r="O4" i="4"/>
  <c r="O35" i="4"/>
  <c r="O66" i="4"/>
  <c r="O9" i="4"/>
  <c r="O124" i="4"/>
  <c r="O177" i="4"/>
  <c r="O143" i="4"/>
  <c r="O170" i="4"/>
  <c r="O64" i="4"/>
  <c r="O71" i="4"/>
  <c r="O48" i="4"/>
  <c r="O53" i="4"/>
  <c r="O55" i="4"/>
  <c r="O140" i="4"/>
  <c r="O153" i="4"/>
  <c r="O146" i="4"/>
  <c r="O106" i="4"/>
  <c r="O116" i="4"/>
  <c r="O114" i="4"/>
  <c r="O122" i="4"/>
  <c r="O121" i="4"/>
  <c r="O179" i="4"/>
  <c r="O159" i="4"/>
  <c r="O88" i="4"/>
  <c r="O135" i="4"/>
  <c r="O28" i="4"/>
  <c r="O29" i="4"/>
  <c r="O128" i="4"/>
  <c r="O125" i="4"/>
  <c r="O129" i="4"/>
  <c r="O126" i="4"/>
  <c r="O127" i="4"/>
  <c r="O100" i="4"/>
  <c r="O101" i="4"/>
  <c r="O169" i="4"/>
  <c r="O168" i="4"/>
  <c r="O167" i="4"/>
  <c r="O62" i="4"/>
  <c r="O25" i="4"/>
  <c r="O171" i="4"/>
  <c r="O160" i="4"/>
  <c r="O14" i="4"/>
  <c r="O83" i="4"/>
  <c r="O81" i="4"/>
  <c r="O84" i="4"/>
  <c r="O118" i="4"/>
  <c r="O19" i="4"/>
  <c r="O174" i="4"/>
  <c r="O37" i="4"/>
  <c r="O144" i="4"/>
  <c r="O161" i="4"/>
  <c r="O91" i="4"/>
  <c r="O162" i="4"/>
  <c r="O163" i="4"/>
  <c r="O164" i="4"/>
  <c r="O165" i="4"/>
  <c r="O95" i="4"/>
  <c r="O185" i="4"/>
  <c r="O188" i="4"/>
  <c r="O172" i="4"/>
  <c r="O82" i="4"/>
  <c r="O191" i="4"/>
  <c r="O85" i="4"/>
  <c r="O155" i="4"/>
  <c r="O30" i="4"/>
  <c r="O31" i="4"/>
  <c r="O32" i="4"/>
  <c r="O51" i="4"/>
  <c r="O190" i="4"/>
  <c r="P90" i="4"/>
  <c r="AA151" i="4"/>
  <c r="O98" i="4"/>
  <c r="P176" i="4"/>
  <c r="AA156" i="4"/>
  <c r="O131" i="4"/>
  <c r="P133" i="4"/>
  <c r="AA134" i="4"/>
  <c r="O173" i="4"/>
  <c r="AA33" i="4"/>
  <c r="O21" i="4"/>
  <c r="P22" i="4"/>
  <c r="AA20" i="4"/>
  <c r="O147" i="4"/>
  <c r="P108" i="4"/>
  <c r="AA107" i="4"/>
  <c r="O79" i="4"/>
  <c r="P130" i="4"/>
  <c r="AA180" i="4"/>
  <c r="O16" i="4"/>
  <c r="P72" i="4"/>
  <c r="AA104" i="4"/>
  <c r="O141" i="4"/>
  <c r="P12" i="4"/>
  <c r="AA10" i="4"/>
  <c r="O94" i="4"/>
  <c r="AA93" i="4"/>
  <c r="O46" i="4"/>
  <c r="O175" i="4"/>
  <c r="AA75" i="4"/>
  <c r="O58" i="4"/>
  <c r="P110" i="4"/>
  <c r="AA8" i="4"/>
  <c r="AQ24" i="4"/>
  <c r="AQ166" i="4"/>
  <c r="T154" i="8"/>
  <c r="T175" i="8"/>
  <c r="T181" i="8"/>
  <c r="AQ172" i="4"/>
  <c r="T163" i="8"/>
  <c r="T124" i="8"/>
  <c r="T136" i="8"/>
  <c r="T165" i="8"/>
  <c r="T183" i="8"/>
  <c r="T128" i="8"/>
  <c r="T145" i="8"/>
  <c r="AQ56" i="4"/>
  <c r="J96" i="13"/>
  <c r="AB61" i="8"/>
  <c r="AB70" i="8"/>
  <c r="AB72" i="8"/>
  <c r="AB77" i="8"/>
  <c r="AB84" i="8"/>
  <c r="AB89" i="8"/>
  <c r="AB91" i="8"/>
  <c r="AB92" i="8"/>
  <c r="AB98" i="8"/>
  <c r="AB101" i="8"/>
  <c r="AB104" i="8"/>
  <c r="AB170" i="8"/>
  <c r="P25" i="4"/>
  <c r="AB183" i="8"/>
  <c r="T96" i="8"/>
  <c r="AB147" i="8"/>
  <c r="T149" i="8"/>
  <c r="AB194" i="8"/>
  <c r="AB95" i="8"/>
  <c r="P83" i="4"/>
  <c r="AB175" i="8"/>
  <c r="P92" i="4"/>
  <c r="O86" i="4"/>
  <c r="T22" i="8"/>
  <c r="AB181" i="8"/>
  <c r="P135" i="4"/>
  <c r="AB12" i="8"/>
  <c r="AB15" i="8"/>
  <c r="AB23" i="8"/>
  <c r="AB27" i="8"/>
  <c r="AB53" i="8"/>
  <c r="AB55" i="8"/>
  <c r="AB177" i="8"/>
  <c r="T121" i="8"/>
  <c r="O156" i="8"/>
  <c r="O159" i="8"/>
  <c r="O184" i="8"/>
  <c r="O127" i="8"/>
  <c r="O77" i="8"/>
  <c r="O39" i="8"/>
  <c r="O10" i="8"/>
  <c r="O28" i="8"/>
  <c r="O34" i="8"/>
  <c r="O110" i="8"/>
  <c r="O35" i="8"/>
  <c r="O87" i="8"/>
  <c r="O15" i="8"/>
  <c r="O20" i="8"/>
  <c r="O26" i="8"/>
  <c r="O54" i="8"/>
  <c r="O65" i="8"/>
  <c r="O74" i="8"/>
  <c r="O81" i="8"/>
  <c r="O133" i="8"/>
  <c r="O138" i="8"/>
  <c r="O92" i="8"/>
  <c r="O158" i="8"/>
  <c r="O164" i="8"/>
  <c r="O125" i="8"/>
  <c r="O166" i="8"/>
  <c r="O12" i="8"/>
  <c r="O62" i="8"/>
  <c r="O151" i="8"/>
  <c r="O182" i="8"/>
  <c r="O16" i="8"/>
  <c r="O31" i="8"/>
  <c r="O42" i="8"/>
  <c r="O48" i="8"/>
  <c r="O57" i="8"/>
  <c r="O67" i="8"/>
  <c r="O71" i="8"/>
  <c r="O82" i="8"/>
  <c r="O86" i="8"/>
  <c r="O126" i="8"/>
  <c r="O157" i="8"/>
  <c r="O165" i="8"/>
  <c r="T182" i="8"/>
  <c r="O44" i="8"/>
  <c r="O73" i="8"/>
  <c r="O132" i="8"/>
  <c r="O137" i="8"/>
  <c r="O150" i="8"/>
  <c r="O167" i="8"/>
  <c r="O176" i="8"/>
  <c r="O51" i="8"/>
  <c r="O52" i="8"/>
  <c r="O60" i="8"/>
  <c r="O103" i="8"/>
  <c r="O116" i="8"/>
  <c r="O124" i="8"/>
  <c r="T127" i="8"/>
  <c r="O129" i="8"/>
  <c r="O130" i="8"/>
  <c r="O141" i="8"/>
  <c r="O162" i="8"/>
  <c r="O169" i="8"/>
  <c r="T164" i="8"/>
  <c r="O9" i="8"/>
  <c r="T32" i="8"/>
  <c r="O101" i="8"/>
  <c r="O123" i="8"/>
  <c r="T176" i="8"/>
  <c r="O185" i="8"/>
  <c r="O190" i="8"/>
  <c r="O21" i="8"/>
  <c r="O22" i="8"/>
  <c r="O30" i="8"/>
  <c r="O43" i="8"/>
  <c r="O53" i="8"/>
  <c r="O64" i="8"/>
  <c r="O68" i="8"/>
  <c r="O89" i="8"/>
  <c r="O95" i="8"/>
  <c r="O109" i="8"/>
  <c r="O179" i="8"/>
  <c r="O191" i="8"/>
  <c r="O99" i="8"/>
  <c r="O120" i="8"/>
  <c r="O134" i="8"/>
  <c r="O147" i="8"/>
  <c r="O24" i="8"/>
  <c r="O41" i="8"/>
  <c r="O45" i="8"/>
  <c r="T56" i="8"/>
  <c r="O188" i="8"/>
  <c r="O8" i="8"/>
  <c r="O33" i="8"/>
  <c r="O37" i="8"/>
  <c r="O46" i="8"/>
  <c r="O78" i="8"/>
  <c r="O111" i="8"/>
  <c r="O152" i="8"/>
  <c r="O173" i="8"/>
  <c r="O194" i="8"/>
  <c r="AB45" i="8"/>
  <c r="P48" i="4"/>
  <c r="AB129" i="8"/>
  <c r="P156" i="4"/>
  <c r="P127" i="4"/>
  <c r="AB113" i="8"/>
  <c r="T170" i="8"/>
  <c r="AB187" i="8"/>
  <c r="T189" i="8"/>
  <c r="AB192" i="8"/>
  <c r="P178" i="4"/>
  <c r="AB49" i="8"/>
  <c r="AB149" i="8"/>
  <c r="AB188" i="8"/>
  <c r="AB193" i="8"/>
  <c r="P73" i="4"/>
  <c r="T25" i="8"/>
  <c r="AB43" i="8"/>
  <c r="T94" i="8"/>
  <c r="AB128" i="8"/>
  <c r="AA4" i="4"/>
  <c r="AB80" i="8"/>
  <c r="AB83" i="8"/>
  <c r="AB107" i="8"/>
  <c r="AB167" i="8"/>
  <c r="AB73" i="8"/>
  <c r="P179" i="4"/>
  <c r="AB135" i="8"/>
  <c r="P134" i="4"/>
  <c r="AB114" i="8"/>
  <c r="P191" i="4"/>
  <c r="AB184" i="8"/>
  <c r="P99" i="4"/>
  <c r="AB41" i="8"/>
  <c r="P64" i="4"/>
  <c r="AB47" i="8"/>
  <c r="P53" i="4"/>
  <c r="AB79" i="8"/>
  <c r="P29" i="4"/>
  <c r="AB110" i="8"/>
  <c r="P185" i="4"/>
  <c r="AB142" i="8"/>
  <c r="P23" i="4"/>
  <c r="AB178" i="8"/>
  <c r="P42" i="4"/>
  <c r="AB36" i="8"/>
  <c r="P166" i="4"/>
  <c r="AB179" i="8"/>
  <c r="P40" i="4"/>
  <c r="AA111" i="4"/>
  <c r="P126" i="4"/>
  <c r="AB33" i="8"/>
  <c r="AB40" i="8"/>
  <c r="AB122" i="8"/>
  <c r="AB176" i="8"/>
  <c r="AB71" i="8"/>
  <c r="AB96" i="8"/>
  <c r="AB127" i="8"/>
  <c r="P128" i="4"/>
  <c r="AB16" i="8"/>
  <c r="T21" i="8"/>
  <c r="AB48" i="8"/>
  <c r="AB65" i="8"/>
  <c r="AB69" i="8"/>
  <c r="AB75" i="8"/>
  <c r="AB99" i="8"/>
  <c r="AB121" i="8"/>
  <c r="AB156" i="8"/>
  <c r="AA23" i="4"/>
  <c r="P10" i="4"/>
  <c r="AB130" i="8"/>
  <c r="AB190" i="8"/>
  <c r="AA22" i="4"/>
  <c r="P167" i="4"/>
  <c r="P171" i="4"/>
  <c r="AB21" i="8"/>
  <c r="AB46" i="8"/>
  <c r="AB62" i="8"/>
  <c r="AB66" i="8"/>
  <c r="AB124" i="8"/>
  <c r="T132" i="8"/>
  <c r="AB133" i="8"/>
  <c r="AB144" i="8"/>
  <c r="AB148" i="8"/>
  <c r="AB165" i="8"/>
  <c r="AB173" i="8"/>
  <c r="T192" i="8"/>
  <c r="AB32" i="8"/>
  <c r="P18" i="4"/>
  <c r="AB44" i="8"/>
  <c r="P78" i="4"/>
  <c r="AB88" i="8"/>
  <c r="P168" i="4"/>
  <c r="AB120" i="8"/>
  <c r="P51" i="4"/>
  <c r="S195" i="8"/>
  <c r="AA11" i="4"/>
  <c r="AA158" i="4"/>
  <c r="P8" i="4"/>
  <c r="AA18" i="4"/>
  <c r="AQ35" i="4"/>
  <c r="AA87" i="4"/>
  <c r="AA89" i="4"/>
  <c r="P164" i="4"/>
  <c r="P190" i="4"/>
  <c r="AB6" i="8"/>
  <c r="AB18" i="8"/>
  <c r="O29" i="8"/>
  <c r="AB29" i="8"/>
  <c r="O32" i="8"/>
  <c r="AB54" i="8"/>
  <c r="AB90" i="8"/>
  <c r="O100" i="8"/>
  <c r="O142" i="8"/>
  <c r="AB150" i="8"/>
  <c r="P147" i="4"/>
  <c r="P138" i="4"/>
  <c r="P140" i="4"/>
  <c r="AA190" i="4"/>
  <c r="AA135" i="4"/>
  <c r="AB138" i="8"/>
  <c r="P187" i="4"/>
  <c r="P37" i="4"/>
  <c r="P80" i="4"/>
  <c r="P118" i="4"/>
  <c r="P121" i="4"/>
  <c r="P137" i="4"/>
  <c r="AB11" i="8"/>
  <c r="AB42" i="8"/>
  <c r="AB57" i="8"/>
  <c r="P153" i="4"/>
  <c r="O104" i="8"/>
  <c r="P44" i="4"/>
  <c r="P77" i="4"/>
  <c r="P91" i="4"/>
  <c r="AA189" i="4"/>
  <c r="O7" i="8"/>
  <c r="N195" i="8"/>
  <c r="AB22" i="8"/>
  <c r="O25" i="8"/>
  <c r="AB25" i="8"/>
  <c r="AB28" i="8"/>
  <c r="AB31" i="8"/>
  <c r="O80" i="8"/>
  <c r="AB100" i="8"/>
  <c r="P174" i="4"/>
  <c r="AB159" i="8"/>
  <c r="P181" i="4"/>
  <c r="AA163" i="4"/>
  <c r="V195" i="8"/>
  <c r="O17" i="8"/>
  <c r="O18" i="8"/>
  <c r="O19" i="8"/>
  <c r="O23" i="8"/>
  <c r="AB26" i="8"/>
  <c r="T27" i="8"/>
  <c r="O36" i="8"/>
  <c r="AB37" i="8"/>
  <c r="O49" i="8"/>
  <c r="T54" i="8"/>
  <c r="AB64" i="8"/>
  <c r="O66" i="8"/>
  <c r="AB76" i="8"/>
  <c r="AB86" i="8"/>
  <c r="O88" i="8"/>
  <c r="O98" i="8"/>
  <c r="AB115" i="8"/>
  <c r="O117" i="8"/>
  <c r="AB118" i="8"/>
  <c r="O85" i="8"/>
  <c r="T90" i="8"/>
  <c r="AB97" i="8"/>
  <c r="AB103" i="8"/>
  <c r="O115" i="8"/>
  <c r="O146" i="8"/>
  <c r="AB163" i="8"/>
  <c r="AB169" i="8"/>
  <c r="M195" i="8"/>
  <c r="O11" i="8"/>
  <c r="O14" i="8"/>
  <c r="AB17" i="8"/>
  <c r="AB30" i="8"/>
  <c r="AB35" i="8"/>
  <c r="O38" i="8"/>
  <c r="O47" i="8"/>
  <c r="O58" i="8"/>
  <c r="AB59" i="8"/>
  <c r="O61" i="8"/>
  <c r="AB68" i="8"/>
  <c r="O75" i="8"/>
  <c r="AB81" i="8"/>
  <c r="O83" i="8"/>
  <c r="O90" i="8"/>
  <c r="AB93" i="8"/>
  <c r="O97" i="8"/>
  <c r="AB109" i="8"/>
  <c r="AB111" i="8"/>
  <c r="O113" i="8"/>
  <c r="O131" i="8"/>
  <c r="O154" i="8"/>
  <c r="AB154" i="8"/>
  <c r="O186" i="8"/>
  <c r="AB186" i="8"/>
  <c r="O69" i="8"/>
  <c r="T98" i="8"/>
  <c r="T104" i="8"/>
  <c r="O105" i="8"/>
  <c r="O114" i="8"/>
  <c r="T123" i="8"/>
  <c r="AB125" i="8"/>
  <c r="AB131" i="8"/>
  <c r="O161" i="8"/>
  <c r="O174" i="8"/>
  <c r="O180" i="8"/>
  <c r="O192" i="8"/>
  <c r="O50" i="8"/>
  <c r="AB50" i="8"/>
  <c r="O56" i="8"/>
  <c r="O70" i="8"/>
  <c r="O72" i="8"/>
  <c r="AB74" i="8"/>
  <c r="O76" i="8"/>
  <c r="AB78" i="8"/>
  <c r="O84" i="8"/>
  <c r="AB85" i="8"/>
  <c r="O91" i="8"/>
  <c r="O93" i="8"/>
  <c r="O96" i="8"/>
  <c r="AB106" i="8"/>
  <c r="AB108" i="8"/>
  <c r="AB112" i="8"/>
  <c r="AB116" i="8"/>
  <c r="O144" i="8"/>
  <c r="O145" i="8"/>
  <c r="AB145" i="8"/>
  <c r="T152" i="8"/>
  <c r="AB153" i="8"/>
  <c r="T168" i="8"/>
  <c r="AB171" i="8"/>
  <c r="O177" i="8"/>
  <c r="O181" i="8"/>
  <c r="AB185" i="8"/>
  <c r="T187" i="8"/>
  <c r="O108" i="8"/>
  <c r="AB117" i="8"/>
  <c r="AB123" i="8"/>
  <c r="O135" i="8"/>
  <c r="O136" i="8"/>
  <c r="AB136" i="8"/>
  <c r="O140" i="8"/>
  <c r="O143" i="8"/>
  <c r="O149" i="8"/>
  <c r="AB152" i="8"/>
  <c r="AB155" i="8"/>
  <c r="O160" i="8"/>
  <c r="AB160" i="8"/>
  <c r="O172" i="8"/>
  <c r="O189" i="8"/>
  <c r="AB140" i="8"/>
  <c r="O155" i="8"/>
  <c r="T167" i="8"/>
  <c r="O170" i="8"/>
  <c r="AB174" i="8"/>
  <c r="O178" i="8"/>
  <c r="AB182" i="8"/>
  <c r="O187" i="8"/>
  <c r="T188" i="8"/>
  <c r="AB189" i="8"/>
  <c r="O193" i="8"/>
  <c r="AQ149" i="4"/>
  <c r="T7" i="8"/>
  <c r="AQ119" i="4"/>
  <c r="T63" i="8"/>
  <c r="AB58" i="8"/>
  <c r="P154" i="4"/>
  <c r="T66" i="8"/>
  <c r="AQ116" i="4"/>
  <c r="AB105" i="8"/>
  <c r="P162" i="4"/>
  <c r="P124" i="4"/>
  <c r="O6" i="8"/>
  <c r="AB8" i="8"/>
  <c r="P150" i="4"/>
  <c r="AB14" i="8"/>
  <c r="T17" i="8"/>
  <c r="T24" i="8"/>
  <c r="T26" i="8"/>
  <c r="T38" i="8"/>
  <c r="T64" i="8"/>
  <c r="AQ120" i="4"/>
  <c r="AA177" i="4"/>
  <c r="AB24" i="8"/>
  <c r="AB38" i="8"/>
  <c r="P170" i="4"/>
  <c r="O40" i="8"/>
  <c r="AB51" i="8"/>
  <c r="AB7" i="8"/>
  <c r="P149" i="4"/>
  <c r="AB9" i="8"/>
  <c r="P152" i="4"/>
  <c r="AB20" i="8"/>
  <c r="P184" i="4"/>
  <c r="O63" i="4"/>
  <c r="T19" i="8"/>
  <c r="AA139" i="4"/>
  <c r="AB60" i="8"/>
  <c r="P146" i="4"/>
  <c r="P35" i="4"/>
  <c r="P66" i="4"/>
  <c r="AB19" i="8"/>
  <c r="P182" i="4"/>
  <c r="O27" i="8"/>
  <c r="AB34" i="8"/>
  <c r="P143" i="4"/>
  <c r="AB39" i="8"/>
  <c r="P157" i="4"/>
  <c r="T42" i="8"/>
  <c r="AB52" i="8"/>
  <c r="X10" i="8"/>
  <c r="O55" i="8"/>
  <c r="O63" i="8"/>
  <c r="AB67" i="8"/>
  <c r="O79" i="8"/>
  <c r="AB82" i="8"/>
  <c r="AA195" i="8"/>
  <c r="AB56" i="8"/>
  <c r="L195" i="8"/>
  <c r="O59" i="8"/>
  <c r="AB63" i="8"/>
  <c r="AB87" i="8"/>
  <c r="O107" i="8"/>
  <c r="O106" i="8"/>
  <c r="T111" i="8"/>
  <c r="O112" i="8"/>
  <c r="T129" i="8"/>
  <c r="O94" i="8"/>
  <c r="O102" i="8"/>
  <c r="O118" i="8"/>
  <c r="AB119" i="8"/>
  <c r="AB126" i="8"/>
  <c r="O163" i="8"/>
  <c r="AB164" i="8"/>
  <c r="O175" i="8"/>
  <c r="AB94" i="8"/>
  <c r="AB102" i="8"/>
  <c r="AB137" i="8"/>
  <c r="AB146" i="8"/>
  <c r="O153" i="8"/>
  <c r="AB166" i="8"/>
  <c r="AB134" i="8"/>
  <c r="AB143" i="8"/>
  <c r="T156" i="8"/>
  <c r="AB162" i="8"/>
  <c r="O168" i="8"/>
  <c r="AB168" i="8"/>
  <c r="O171" i="8"/>
  <c r="AB172" i="8"/>
  <c r="T180" i="8"/>
  <c r="AB191" i="8"/>
  <c r="T193" i="8"/>
  <c r="O122" i="8"/>
  <c r="O128" i="8"/>
  <c r="AB161" i="8"/>
  <c r="O139" i="8"/>
  <c r="O148" i="8"/>
  <c r="AB151" i="8"/>
  <c r="AB158" i="8"/>
  <c r="AB180" i="8"/>
  <c r="O183" i="8"/>
  <c r="O119" i="8"/>
  <c r="AB132" i="8"/>
  <c r="AB139" i="8"/>
  <c r="AB141" i="8"/>
  <c r="AB157" i="8"/>
  <c r="AQ19" i="4"/>
  <c r="T99" i="8"/>
  <c r="T11" i="8"/>
  <c r="Y89" i="4"/>
  <c r="T44" i="8"/>
  <c r="T133" i="8"/>
  <c r="T190" i="8"/>
  <c r="U190" i="8"/>
  <c r="AQ117" i="4"/>
  <c r="T68" i="8"/>
  <c r="AQ8" i="4"/>
  <c r="T194" i="8"/>
  <c r="AQ134" i="4"/>
  <c r="T135" i="8"/>
  <c r="Y134" i="4"/>
  <c r="AQ159" i="4"/>
  <c r="T74" i="8"/>
  <c r="T28" i="8"/>
  <c r="U28" i="8"/>
  <c r="AQ9" i="4"/>
  <c r="T158" i="8"/>
  <c r="AQ180" i="4"/>
  <c r="AQ80" i="4"/>
  <c r="T75" i="8"/>
  <c r="AQ154" i="4"/>
  <c r="T58" i="8"/>
  <c r="U58" i="8"/>
  <c r="AQ174" i="4"/>
  <c r="T100" i="8"/>
  <c r="Y174" i="4"/>
  <c r="AQ53" i="4"/>
  <c r="T47" i="8"/>
  <c r="T40" i="8"/>
  <c r="U40" i="8"/>
  <c r="AQ7" i="4"/>
  <c r="AQ34" i="4"/>
  <c r="T143" i="8"/>
  <c r="Y34" i="4"/>
  <c r="AQ178" i="4"/>
  <c r="T72" i="8"/>
  <c r="AQ115" i="4"/>
  <c r="T65" i="8"/>
  <c r="Y115" i="4"/>
  <c r="AQ33" i="4"/>
  <c r="T140" i="8"/>
  <c r="U140" i="8"/>
  <c r="T84" i="8"/>
  <c r="AQ127" i="4"/>
  <c r="AQ43" i="4"/>
  <c r="T37" i="8"/>
  <c r="U37" i="8"/>
  <c r="AQ161" i="4"/>
  <c r="T103" i="8"/>
  <c r="Y161" i="4"/>
  <c r="AQ6" i="4"/>
  <c r="T35" i="8"/>
  <c r="AQ139" i="4"/>
  <c r="T71" i="8"/>
  <c r="Y158" i="4"/>
  <c r="T191" i="8"/>
  <c r="T138" i="8"/>
  <c r="U138" i="8"/>
  <c r="T126" i="8"/>
  <c r="T88" i="8"/>
  <c r="T76" i="8"/>
  <c r="U76" i="8"/>
  <c r="AQ88" i="4"/>
  <c r="AQ157" i="4"/>
  <c r="T39" i="8"/>
  <c r="U39" i="8"/>
  <c r="T161" i="8"/>
  <c r="AQ74" i="4"/>
  <c r="AQ167" i="4"/>
  <c r="T89" i="8"/>
  <c r="U89" i="8"/>
  <c r="T45" i="8"/>
  <c r="AQ48" i="4"/>
  <c r="AQ150" i="4"/>
  <c r="T8" i="8"/>
  <c r="T57" i="8"/>
  <c r="U57" i="8"/>
  <c r="AQ153" i="4"/>
  <c r="AQ144" i="4"/>
  <c r="T102" i="8"/>
  <c r="U102" i="8"/>
  <c r="AQ138" i="4"/>
  <c r="T61" i="8"/>
  <c r="AQ20" i="4"/>
  <c r="T146" i="8"/>
  <c r="U146" i="8"/>
  <c r="AQ122" i="4"/>
  <c r="T69" i="8"/>
  <c r="Y122" i="4"/>
  <c r="AQ152" i="4"/>
  <c r="T9" i="8"/>
  <c r="AQ179" i="4"/>
  <c r="T73" i="8"/>
  <c r="U73" i="8"/>
  <c r="T34" i="8"/>
  <c r="AQ143" i="4"/>
  <c r="AQ11" i="4"/>
  <c r="T14" i="8"/>
  <c r="T12" i="8"/>
  <c r="U12" i="8"/>
  <c r="T109" i="8"/>
  <c r="U109" i="8"/>
  <c r="T52" i="8"/>
  <c r="U52" i="8"/>
  <c r="T85" i="8"/>
  <c r="Y100" i="4"/>
  <c r="T33" i="8"/>
  <c r="T97" i="8"/>
  <c r="U97" i="8"/>
  <c r="T95" i="8"/>
  <c r="U95" i="8"/>
  <c r="AQ186" i="4"/>
  <c r="AQ82" i="4"/>
  <c r="T62" i="8"/>
  <c r="Y106" i="4"/>
  <c r="T79" i="8"/>
  <c r="U79" i="8"/>
  <c r="T108" i="8"/>
  <c r="U108" i="8"/>
  <c r="AQ94" i="4"/>
  <c r="AQ85" i="4"/>
  <c r="AQ38" i="4"/>
  <c r="T30" i="8"/>
  <c r="U30" i="8"/>
  <c r="T150" i="8"/>
  <c r="Y147" i="4"/>
  <c r="T55" i="8"/>
  <c r="U55" i="8"/>
  <c r="T16" i="8"/>
  <c r="U16" i="8"/>
  <c r="T87" i="8"/>
  <c r="U87" i="8"/>
  <c r="T77" i="8"/>
  <c r="U77" i="8"/>
  <c r="T50" i="8"/>
  <c r="U50" i="8"/>
  <c r="T67" i="8"/>
  <c r="Y114" i="4"/>
  <c r="T18" i="8"/>
  <c r="U18" i="8"/>
  <c r="AQ185" i="4"/>
  <c r="AQ49" i="4"/>
  <c r="T106" i="8"/>
  <c r="U106" i="8"/>
  <c r="T101" i="8"/>
  <c r="U101" i="8"/>
  <c r="T78" i="8"/>
  <c r="U78" i="8"/>
  <c r="T43" i="8"/>
  <c r="Y71" i="4"/>
  <c r="T82" i="8"/>
  <c r="Y129" i="4"/>
  <c r="AQ173" i="4"/>
  <c r="AQ164" i="4"/>
  <c r="AQ140" i="4"/>
  <c r="AQ184" i="4"/>
  <c r="T31" i="8"/>
  <c r="U31" i="8"/>
  <c r="T51" i="8"/>
  <c r="U51" i="8"/>
  <c r="T15" i="8"/>
  <c r="U15" i="8"/>
  <c r="AQ40" i="4"/>
  <c r="T186" i="8"/>
  <c r="U186" i="8"/>
  <c r="AQ21" i="4"/>
  <c r="AQ30" i="4"/>
  <c r="AQ101" i="4"/>
  <c r="AQ121" i="4"/>
  <c r="AQ145" i="4"/>
  <c r="AQ52" i="4"/>
  <c r="AQ61" i="4"/>
  <c r="AQ96" i="4"/>
  <c r="N114" i="4"/>
  <c r="N182" i="4"/>
  <c r="N183" i="4"/>
  <c r="N180" i="4"/>
  <c r="N54" i="4"/>
  <c r="N55" i="4"/>
  <c r="N65" i="4"/>
  <c r="N61" i="4"/>
  <c r="N161" i="4"/>
  <c r="N88" i="4"/>
  <c r="N173" i="4"/>
  <c r="N108" i="4"/>
  <c r="N133" i="4"/>
  <c r="N144" i="4"/>
  <c r="N97" i="4"/>
  <c r="N169" i="4"/>
  <c r="N184" i="4"/>
  <c r="N11" i="4"/>
  <c r="N162" i="4"/>
  <c r="N151" i="4"/>
  <c r="N22" i="4"/>
  <c r="N165" i="4"/>
  <c r="N100" i="4"/>
  <c r="N160" i="4"/>
  <c r="N117" i="4"/>
  <c r="N6" i="4"/>
  <c r="N84" i="4"/>
  <c r="N85" i="4"/>
  <c r="N43" i="4"/>
  <c r="N153" i="4"/>
  <c r="N103" i="4"/>
  <c r="N56" i="4"/>
  <c r="N78" i="4"/>
  <c r="N131" i="4"/>
  <c r="N50" i="4"/>
  <c r="N26" i="4"/>
  <c r="N122" i="4"/>
  <c r="N7" i="4"/>
  <c r="N69" i="4"/>
  <c r="N126" i="4"/>
  <c r="U110" i="8"/>
  <c r="N156" i="4"/>
  <c r="U88" i="8"/>
  <c r="U176" i="8"/>
  <c r="U80" i="8"/>
  <c r="U121" i="8"/>
  <c r="N137" i="4"/>
  <c r="N44" i="4"/>
  <c r="N83" i="4"/>
  <c r="N86" i="4"/>
  <c r="N171" i="4"/>
  <c r="N121" i="4"/>
  <c r="N189" i="4"/>
  <c r="N30" i="4"/>
  <c r="N187" i="4"/>
  <c r="U132" i="8"/>
  <c r="N35" i="4"/>
  <c r="N27" i="4"/>
  <c r="N115" i="4"/>
  <c r="N98" i="4"/>
  <c r="N177" i="4"/>
  <c r="N166" i="4"/>
  <c r="N23" i="4"/>
  <c r="N53" i="4"/>
  <c r="N191" i="4"/>
  <c r="U161" i="8"/>
  <c r="N128" i="4"/>
  <c r="U94" i="8"/>
  <c r="N52" i="4"/>
  <c r="U44" i="8"/>
  <c r="N41" i="4"/>
  <c r="N45" i="4"/>
  <c r="U22" i="8"/>
  <c r="N8" i="4"/>
  <c r="N25" i="4"/>
  <c r="N138" i="4"/>
  <c r="N12" i="4"/>
  <c r="N70" i="4"/>
  <c r="N51" i="4"/>
  <c r="N38" i="4"/>
  <c r="N17" i="4"/>
  <c r="N19" i="4"/>
  <c r="N49" i="4"/>
  <c r="N81" i="4"/>
  <c r="U53" i="8"/>
  <c r="N110" i="4"/>
  <c r="N48" i="4"/>
  <c r="N15" i="4"/>
  <c r="N10" i="4"/>
  <c r="N167" i="4"/>
  <c r="N132" i="4"/>
  <c r="N141" i="4"/>
  <c r="N136" i="4"/>
  <c r="N32" i="4"/>
  <c r="N13" i="4"/>
  <c r="N163" i="4"/>
  <c r="N124" i="4"/>
  <c r="N20" i="4"/>
  <c r="N94" i="4"/>
  <c r="N96" i="4"/>
  <c r="N109" i="4"/>
  <c r="N95" i="4"/>
  <c r="N125" i="4"/>
  <c r="N60" i="4"/>
  <c r="N67" i="4"/>
  <c r="N174" i="4"/>
  <c r="N105" i="4"/>
  <c r="N62" i="4"/>
  <c r="N24" i="4"/>
  <c r="N102" i="4"/>
  <c r="N158" i="4"/>
  <c r="N185" i="4"/>
  <c r="N64" i="4"/>
  <c r="N134" i="4"/>
  <c r="N164" i="4"/>
  <c r="U45" i="8"/>
  <c r="N75" i="4"/>
  <c r="N58" i="4"/>
  <c r="N82" i="4"/>
  <c r="N140" i="4"/>
  <c r="N73" i="4"/>
  <c r="N91" i="4"/>
  <c r="N127" i="4"/>
  <c r="U92" i="8"/>
  <c r="N175" i="4"/>
  <c r="N157" i="4"/>
  <c r="N146" i="4"/>
  <c r="N152" i="4"/>
  <c r="N170" i="4"/>
  <c r="N150" i="4"/>
  <c r="N148" i="4"/>
  <c r="N28" i="4"/>
  <c r="N72" i="4"/>
  <c r="N186" i="4"/>
  <c r="N143" i="4"/>
  <c r="N149" i="4"/>
  <c r="N154" i="4"/>
  <c r="N76" i="4"/>
  <c r="N107" i="4"/>
  <c r="N111" i="4"/>
  <c r="N155" i="4"/>
  <c r="N159" i="4"/>
  <c r="N142" i="4"/>
  <c r="N31" i="4"/>
  <c r="N101" i="4"/>
  <c r="N9" i="4"/>
  <c r="N89" i="4"/>
  <c r="N147" i="4"/>
  <c r="N168" i="4"/>
  <c r="N18" i="4"/>
  <c r="N47" i="4"/>
  <c r="N116" i="4"/>
  <c r="N79" i="4"/>
  <c r="N4" i="4"/>
  <c r="N93" i="4"/>
  <c r="N71" i="4"/>
  <c r="N123" i="4"/>
  <c r="U189" i="8"/>
  <c r="U182" i="8"/>
  <c r="N5" i="4"/>
  <c r="U75" i="8"/>
  <c r="N92" i="4"/>
  <c r="N37" i="4"/>
  <c r="N135" i="4"/>
  <c r="U154" i="8"/>
  <c r="N14" i="4"/>
  <c r="N119" i="4"/>
  <c r="N33" i="4"/>
  <c r="N113" i="4"/>
  <c r="N68" i="4"/>
  <c r="N57" i="4"/>
  <c r="N63" i="4"/>
  <c r="N188" i="4"/>
  <c r="N145" i="4"/>
  <c r="N120" i="4"/>
  <c r="N16" i="4"/>
  <c r="N104" i="4"/>
  <c r="N130" i="4"/>
  <c r="N46" i="4"/>
  <c r="N74" i="4"/>
  <c r="N112" i="4"/>
  <c r="N39" i="4"/>
  <c r="N34" i="4"/>
  <c r="N129" i="4"/>
  <c r="N172" i="4"/>
  <c r="N36" i="4"/>
  <c r="N181" i="4"/>
  <c r="N66" i="4"/>
  <c r="N59" i="4"/>
  <c r="N21" i="4"/>
  <c r="N106" i="4"/>
  <c r="N190" i="4"/>
  <c r="N80" i="4"/>
  <c r="Y150" i="4"/>
  <c r="N90" i="4"/>
  <c r="N40" i="4"/>
  <c r="N42" i="4"/>
  <c r="N29" i="4"/>
  <c r="N99" i="4"/>
  <c r="N179" i="4"/>
  <c r="N176" i="4"/>
  <c r="Y66" i="4"/>
  <c r="N77" i="4"/>
  <c r="U32" i="8"/>
  <c r="N139" i="4"/>
  <c r="Y81" i="4"/>
  <c r="N118" i="4"/>
  <c r="N178" i="4"/>
  <c r="U145" i="8"/>
  <c r="U136" i="8"/>
  <c r="T29" i="8"/>
  <c r="U29" i="8"/>
  <c r="T36" i="8"/>
  <c r="Y166" i="4"/>
  <c r="AQ27" i="4"/>
  <c r="AQ31" i="4"/>
  <c r="AQ42" i="4"/>
  <c r="AQ23" i="4"/>
  <c r="AQ181" i="4"/>
  <c r="AQ155" i="4"/>
  <c r="AQ39" i="4"/>
  <c r="AQ136" i="4"/>
  <c r="T147" i="8"/>
  <c r="AQ133" i="4"/>
  <c r="AQ113" i="4"/>
  <c r="AQ36" i="4"/>
  <c r="AQ25" i="4"/>
  <c r="AQ90" i="4"/>
  <c r="AQ111" i="4"/>
  <c r="AQ142" i="4"/>
  <c r="AQ41" i="4"/>
  <c r="AQ112" i="4"/>
  <c r="AQ130" i="4"/>
  <c r="AQ32" i="4"/>
  <c r="AQ148" i="4"/>
  <c r="AQ108" i="4"/>
  <c r="AQ12" i="4"/>
  <c r="T148" i="8"/>
  <c r="T112" i="8"/>
  <c r="U149" i="8"/>
  <c r="Q195" i="8"/>
  <c r="U20" i="8"/>
  <c r="T6" i="8"/>
  <c r="T60" i="8"/>
  <c r="AQ171" i="4"/>
  <c r="AQ64" i="4"/>
  <c r="AQ16" i="4"/>
  <c r="Y168" i="4"/>
  <c r="Y190" i="4"/>
  <c r="Y109" i="4"/>
  <c r="U96" i="8"/>
  <c r="Y128" i="4"/>
  <c r="Y29" i="4"/>
  <c r="Y80" i="4"/>
  <c r="Y123" i="4"/>
  <c r="Y68" i="4"/>
  <c r="Y18" i="4"/>
  <c r="Y14" i="4"/>
  <c r="Y93" i="4"/>
  <c r="Y171" i="4"/>
  <c r="Y78" i="4"/>
  <c r="Y189" i="4"/>
  <c r="U86" i="8"/>
  <c r="Y101" i="4"/>
  <c r="Y154" i="4"/>
  <c r="U48" i="8"/>
  <c r="Y49" i="4"/>
  <c r="U35" i="8"/>
  <c r="Y6" i="4"/>
  <c r="U8" i="8"/>
  <c r="U25" i="8"/>
  <c r="Y22" i="4"/>
  <c r="Y74" i="4"/>
  <c r="U127" i="8"/>
  <c r="Y98" i="4"/>
  <c r="Y183" i="4"/>
  <c r="U165" i="8"/>
  <c r="Y102" i="4"/>
  <c r="Y48" i="4"/>
  <c r="Y76" i="4"/>
  <c r="U175" i="8"/>
  <c r="Y92" i="4"/>
  <c r="U163" i="8"/>
  <c r="Y72" i="4"/>
  <c r="U181" i="8"/>
  <c r="Y44" i="4"/>
  <c r="Y63" i="4"/>
  <c r="U56" i="8"/>
  <c r="Y13" i="4"/>
  <c r="U107" i="8"/>
  <c r="Y164" i="4"/>
  <c r="U14" i="8"/>
  <c r="Y11" i="4"/>
  <c r="U144" i="8"/>
  <c r="Y21" i="4"/>
  <c r="U164" i="8"/>
  <c r="Y104" i="4"/>
  <c r="Y185" i="4"/>
  <c r="U155" i="8"/>
  <c r="Y96" i="4"/>
  <c r="U170" i="8"/>
  <c r="Y10" i="4"/>
  <c r="Y132" i="4"/>
  <c r="U184" i="8"/>
  <c r="Y99" i="4"/>
  <c r="Y140" i="4"/>
  <c r="U120" i="8"/>
  <c r="Y51" i="4"/>
  <c r="Y184" i="4"/>
  <c r="U126" i="8"/>
  <c r="Y97" i="4"/>
  <c r="U139" i="8"/>
  <c r="Y173" i="4"/>
  <c r="U21" i="8"/>
  <c r="Y35" i="4"/>
  <c r="U192" i="8"/>
  <c r="Y58" i="4"/>
  <c r="U133" i="8"/>
  <c r="Y131" i="4"/>
  <c r="U49" i="8"/>
  <c r="Y52" i="4"/>
  <c r="U54" i="8"/>
  <c r="Y103" i="4"/>
  <c r="U84" i="8"/>
  <c r="Y127" i="4"/>
  <c r="U194" i="8"/>
  <c r="Y8" i="4"/>
  <c r="U124" i="8"/>
  <c r="Y17" i="4"/>
  <c r="U152" i="8"/>
  <c r="Y107" i="4"/>
  <c r="U47" i="8"/>
  <c r="Y53" i="4"/>
  <c r="U65" i="8"/>
  <c r="U188" i="8"/>
  <c r="Y75" i="4"/>
  <c r="U104" i="8"/>
  <c r="Y91" i="4"/>
  <c r="U93" i="8"/>
  <c r="Y160" i="4"/>
  <c r="U167" i="8"/>
  <c r="Y69" i="4"/>
  <c r="U174" i="8"/>
  <c r="Y94" i="4"/>
  <c r="U98" i="8"/>
  <c r="Y118" i="4"/>
  <c r="U162" i="8"/>
  <c r="Y16" i="4"/>
  <c r="U90" i="8"/>
  <c r="Y62" i="4"/>
  <c r="U70" i="8"/>
  <c r="Y121" i="4"/>
  <c r="U99" i="8"/>
  <c r="Y19" i="4"/>
  <c r="U191" i="8"/>
  <c r="Y57" i="4"/>
  <c r="U168" i="8"/>
  <c r="Y141" i="4"/>
  <c r="U123" i="8"/>
  <c r="Y151" i="4"/>
  <c r="U115" i="8"/>
  <c r="Y85" i="4"/>
  <c r="U158" i="8"/>
  <c r="Y180" i="4"/>
  <c r="U187" i="8"/>
  <c r="Y77" i="4"/>
  <c r="U179" i="8"/>
  <c r="Y40" i="4"/>
  <c r="Y30" i="4"/>
  <c r="U117" i="8"/>
  <c r="U91" i="8"/>
  <c r="Y25" i="4"/>
  <c r="Y5" i="4"/>
  <c r="U27" i="8"/>
  <c r="U63" i="8"/>
  <c r="Y119" i="4"/>
  <c r="U41" i="8"/>
  <c r="Y64" i="4"/>
  <c r="U180" i="8"/>
  <c r="Y46" i="4"/>
  <c r="U156" i="8"/>
  <c r="Y79" i="4"/>
  <c r="U129" i="8"/>
  <c r="Y156" i="4"/>
  <c r="U83" i="8"/>
  <c r="Y126" i="4"/>
  <c r="U74" i="8"/>
  <c r="Y159" i="4"/>
  <c r="U34" i="8"/>
  <c r="Y143" i="4"/>
  <c r="U33" i="8"/>
  <c r="Y177" i="4"/>
  <c r="U38" i="8"/>
  <c r="Y170" i="4"/>
  <c r="U183" i="8"/>
  <c r="Y86" i="4"/>
  <c r="U19" i="8"/>
  <c r="Y182" i="4"/>
  <c r="U68" i="8"/>
  <c r="Y117" i="4"/>
  <c r="Y124" i="4"/>
  <c r="U61" i="8"/>
  <c r="Y138" i="4"/>
  <c r="U46" i="8"/>
  <c r="Y50" i="4"/>
  <c r="U26" i="8"/>
  <c r="Y67" i="4"/>
  <c r="U193" i="8"/>
  <c r="Y110" i="4"/>
  <c r="U114" i="8"/>
  <c r="Y191" i="4"/>
  <c r="U59" i="8"/>
  <c r="Y145" i="4"/>
  <c r="U81" i="8"/>
  <c r="Y125" i="4"/>
  <c r="X195" i="8"/>
  <c r="AB10" i="8"/>
  <c r="P87" i="4"/>
  <c r="U42" i="8"/>
  <c r="Y70" i="4"/>
  <c r="U24" i="8"/>
  <c r="Y65" i="4"/>
  <c r="U66" i="8"/>
  <c r="Y116" i="4"/>
  <c r="U105" i="8"/>
  <c r="Y162" i="4"/>
  <c r="U72" i="8"/>
  <c r="Y178" i="4"/>
  <c r="U23" i="8"/>
  <c r="Y139" i="4"/>
  <c r="U9" i="8"/>
  <c r="Y152" i="4"/>
  <c r="U64" i="8"/>
  <c r="Y120" i="4"/>
  <c r="U7" i="8"/>
  <c r="Y149" i="4"/>
  <c r="U185" i="8"/>
  <c r="Y61" i="4"/>
  <c r="U173" i="8"/>
  <c r="Y38" i="4"/>
  <c r="U128" i="8"/>
  <c r="Y176" i="4"/>
  <c r="U111" i="8"/>
  <c r="Y188" i="4"/>
  <c r="T10" i="8"/>
  <c r="U17" i="8"/>
  <c r="Y60" i="4"/>
  <c r="Y26" i="4"/>
  <c r="U11" i="8"/>
  <c r="Y7" i="4"/>
  <c r="Y88" i="4"/>
  <c r="U69" i="8"/>
  <c r="Y157" i="4"/>
  <c r="Y144" i="4"/>
  <c r="Y153" i="4"/>
  <c r="Y187" i="4"/>
  <c r="U103" i="8"/>
  <c r="U100" i="8"/>
  <c r="U143" i="8"/>
  <c r="U135" i="8"/>
  <c r="Y43" i="4"/>
  <c r="Y167" i="4"/>
  <c r="Y179" i="4"/>
  <c r="U71" i="8"/>
  <c r="Y20" i="4"/>
  <c r="Y33" i="4"/>
  <c r="Y9" i="4"/>
  <c r="Y45" i="4"/>
  <c r="Y95" i="4"/>
  <c r="Y54" i="4"/>
  <c r="Y165" i="4"/>
  <c r="Y169" i="4"/>
  <c r="Y84" i="4"/>
  <c r="Y83" i="4"/>
  <c r="U43" i="8"/>
  <c r="U85" i="8"/>
  <c r="U62" i="8"/>
  <c r="Y135" i="4"/>
  <c r="Y163" i="4"/>
  <c r="U82" i="8"/>
  <c r="Y4" i="4"/>
  <c r="Y24" i="4"/>
  <c r="Y59" i="4"/>
  <c r="Y15" i="4"/>
  <c r="Y105" i="4"/>
  <c r="T113" i="8"/>
  <c r="Y37" i="4"/>
  <c r="Y175" i="4"/>
  <c r="T137" i="8"/>
  <c r="Y55" i="4"/>
  <c r="U150" i="8"/>
  <c r="Y28" i="4"/>
  <c r="Y137" i="4"/>
  <c r="U67" i="8"/>
  <c r="U36" i="8"/>
  <c r="U147" i="8"/>
  <c r="Y172" i="4"/>
  <c r="U60" i="8"/>
  <c r="U148" i="8"/>
  <c r="U6" i="8"/>
  <c r="T153" i="8"/>
  <c r="AQ47" i="4"/>
  <c r="T141" i="8"/>
  <c r="AQ73" i="4"/>
  <c r="T177" i="8"/>
  <c r="T119" i="8"/>
  <c r="T178" i="8"/>
  <c r="T169" i="8"/>
  <c r="T125" i="8"/>
  <c r="T171" i="8"/>
  <c r="T122" i="8"/>
  <c r="T160" i="8"/>
  <c r="T166" i="8"/>
  <c r="T159" i="8"/>
  <c r="T118" i="8"/>
  <c r="T134" i="8"/>
  <c r="T172" i="8"/>
  <c r="T142" i="8"/>
  <c r="T130" i="8"/>
  <c r="T151" i="8"/>
  <c r="T157" i="8"/>
  <c r="T131" i="8"/>
  <c r="T116" i="8"/>
  <c r="Y73" i="4"/>
  <c r="Y47" i="4"/>
  <c r="U112" i="8"/>
  <c r="Y146" i="4"/>
  <c r="Y56" i="4"/>
  <c r="AB195" i="8"/>
  <c r="N87" i="4"/>
  <c r="U10" i="8"/>
  <c r="Y87" i="4"/>
  <c r="Y82" i="4"/>
  <c r="U113" i="8"/>
  <c r="U137" i="8"/>
  <c r="Y186" i="4"/>
  <c r="U177" i="8"/>
  <c r="U141" i="8"/>
  <c r="U153" i="8"/>
  <c r="Y111" i="4"/>
  <c r="T195" i="8"/>
  <c r="Y41" i="4"/>
  <c r="Y112" i="4"/>
  <c r="U171" i="8"/>
  <c r="Y148" i="4"/>
  <c r="Y36" i="4"/>
  <c r="U125" i="8"/>
  <c r="U122" i="8"/>
  <c r="Y90" i="4"/>
  <c r="U169" i="8"/>
  <c r="Y12" i="4"/>
  <c r="U178" i="8"/>
  <c r="Y42" i="4"/>
  <c r="U119" i="8"/>
  <c r="Y32" i="4"/>
  <c r="U157" i="8"/>
  <c r="Y130" i="4"/>
  <c r="Y108" i="4"/>
  <c r="U151" i="8"/>
  <c r="U118" i="8"/>
  <c r="Y31" i="4"/>
  <c r="U130" i="8"/>
  <c r="Y27" i="4"/>
  <c r="U159" i="8"/>
  <c r="Y181" i="4"/>
  <c r="U142" i="8"/>
  <c r="Y23" i="4"/>
  <c r="U166" i="8"/>
  <c r="Y136" i="4"/>
  <c r="Y39" i="4"/>
  <c r="U172" i="8"/>
  <c r="Y113" i="4"/>
  <c r="U160" i="8"/>
  <c r="U116" i="8"/>
  <c r="Y155" i="4"/>
  <c r="U131" i="8"/>
  <c r="Y142" i="4"/>
  <c r="Y133" i="4"/>
  <c r="U134" i="8"/>
</calcChain>
</file>

<file path=xl/sharedStrings.xml><?xml version="1.0" encoding="utf-8"?>
<sst xmlns="http://schemas.openxmlformats.org/spreadsheetml/2006/main" count="5052" uniqueCount="1309">
  <si>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</si>
  <si>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</si>
  <si>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</si>
  <si>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</si>
  <si>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</si>
  <si>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</si>
  <si>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</si>
  <si>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</si>
  <si>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</si>
  <si>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</si>
  <si>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</si>
  <si>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</si>
  <si>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</si>
  <si>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</si>
  <si>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</si>
  <si>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</si>
  <si>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</si>
  <si>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</si>
  <si>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</si>
  <si>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</si>
  <si>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</si>
  <si>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</si>
  <si>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</si>
  <si>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</si>
  <si>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</si>
  <si>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</si>
  <si>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</si>
  <si>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</si>
  <si>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</si>
  <si>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</si>
  <si>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</si>
  <si>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</si>
  <si>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</si>
  <si>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</si>
  <si>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</si>
  <si>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</si>
  <si>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</si>
  <si>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</si>
  <si>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</si>
  <si>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</si>
  <si>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</si>
  <si>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</si>
  <si>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</si>
  <si>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</si>
  <si>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</si>
  <si>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</si>
  <si>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</si>
  <si>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</si>
  <si>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</si>
  <si>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</si>
  <si>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</si>
  <si>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</si>
  <si>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</si>
  <si>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</si>
  <si>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</si>
  <si>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</si>
  <si>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</si>
  <si>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</si>
  <si>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</si>
  <si>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</si>
  <si>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</si>
  <si>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</si>
  <si>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</si>
  <si>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</si>
  <si>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</si>
  <si>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</si>
  <si>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</si>
  <si>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</si>
  <si>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</si>
  <si>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</si>
  <si>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</si>
  <si>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</si>
  <si>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</si>
  <si>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</si>
  <si>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</si>
  <si>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</si>
  <si>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</si>
  <si>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</si>
  <si>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</si>
  <si>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</si>
  <si>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</si>
  <si>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</si>
  <si>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</si>
  <si>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</si>
  <si>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</si>
  <si>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</si>
  <si>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</si>
  <si>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</si>
  <si>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</si>
  <si>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</si>
  <si>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</si>
  <si>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</si>
  <si>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</si>
  <si>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</si>
  <si>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</si>
  <si>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</si>
  <si>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</si>
  <si>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</si>
  <si>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</si>
  <si>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</si>
  <si>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</si>
  <si>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</si>
  <si>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</si>
  <si>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</si>
  <si>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</si>
  <si>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</si>
  <si>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</si>
  <si>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</si>
  <si>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</si>
  <si>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</si>
  <si>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</si>
  <si>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</si>
  <si>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</si>
  <si>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</si>
  <si>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</si>
  <si>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</si>
  <si>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</si>
  <si>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</si>
  <si>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</si>
  <si>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</si>
  <si>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</si>
  <si>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</si>
  <si>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</si>
  <si>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</si>
  <si>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</si>
  <si>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</si>
  <si>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</si>
  <si>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</si>
  <si>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</si>
  <si>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</si>
  <si>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</si>
  <si>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</si>
  <si>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</si>
  <si>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</si>
  <si>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</si>
  <si>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</si>
  <si>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</si>
  <si>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</si>
  <si>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</si>
  <si>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</si>
  <si>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</si>
  <si>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</si>
  <si>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</si>
  <si>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</si>
  <si>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</si>
  <si>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</si>
  <si>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</si>
  <si>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</si>
  <si>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</si>
  <si>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</si>
  <si>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</si>
  <si>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</si>
  <si>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</si>
  <si>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</si>
  <si>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</si>
  <si>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</si>
  <si>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</si>
  <si>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</si>
  <si>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</si>
  <si>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</si>
  <si>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</si>
  <si>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</si>
  <si>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</si>
  <si>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</si>
  <si>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</si>
  <si>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</si>
  <si>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</si>
  <si>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</si>
  <si>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</si>
  <si>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</si>
  <si>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</si>
  <si>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</si>
  <si>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</si>
  <si>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</si>
  <si>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</si>
  <si>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</si>
  <si>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</si>
  <si>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</si>
  <si>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</si>
  <si>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</si>
  <si>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</si>
  <si>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</si>
  <si>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</si>
  <si>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</si>
  <si>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</si>
  <si>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</si>
  <si>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</si>
  <si>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</si>
  <si>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</si>
  <si>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</si>
  <si>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</si>
  <si>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</si>
  <si>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</si>
  <si>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</si>
  <si>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</si>
  <si>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</si>
  <si>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</si>
  <si>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</si>
  <si>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</si>
  <si>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</si>
  <si>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</si>
  <si>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</si>
  <si>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</si>
  <si>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</si>
  <si>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</si>
  <si>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</si>
  <si>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</si>
  <si>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</si>
  <si>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</si>
  <si>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</si>
  <si>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</si>
  <si>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</si>
  <si>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</si>
  <si>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</si>
  <si>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</si>
  <si>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</si>
  <si>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</si>
  <si>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</si>
  <si>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</si>
  <si>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</si>
  <si>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</si>
  <si>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</si>
  <si>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</si>
  <si>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</si>
  <si>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</si>
  <si>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</si>
  <si>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</si>
  <si>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</si>
  <si>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</si>
  <si>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</si>
  <si>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</si>
  <si>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</si>
  <si>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</si>
  <si>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</si>
  <si>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</si>
  <si>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</si>
  <si>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</si>
  <si>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</si>
  <si>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</si>
  <si>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</si>
  <si>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</si>
  <si>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</si>
  <si>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</si>
  <si>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</si>
  <si>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</si>
  <si>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</si>
  <si>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</si>
  <si>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</si>
  <si>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</si>
  <si>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</si>
  <si>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</si>
  <si>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</si>
  <si>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</si>
  <si>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</si>
  <si>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</si>
  <si>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</si>
  <si>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</si>
  <si>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</si>
  <si>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</si>
  <si>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</si>
  <si>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</si>
  <si>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</si>
  <si>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</si>
  <si>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</si>
  <si>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</si>
  <si>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</si>
  <si>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</si>
  <si>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</si>
  <si>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</si>
  <si>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</si>
  <si>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</si>
  <si>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</si>
  <si>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</si>
  <si>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</si>
  <si>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</si>
  <si>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</si>
  <si>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</si>
  <si>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</si>
  <si>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</si>
  <si>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</si>
  <si>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</si>
  <si>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</si>
  <si>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</si>
  <si>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</si>
  <si>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</si>
  <si>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</si>
  <si>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</si>
  <si>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</si>
  <si>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</si>
  <si>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</si>
  <si>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</si>
  <si>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</si>
  <si>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</si>
  <si>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</si>
  <si>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</si>
  <si>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</si>
  <si>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</si>
  <si>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</si>
  <si>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</si>
  <si>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</si>
  <si>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</si>
  <si>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</si>
  <si>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</si>
  <si>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</si>
  <si>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</si>
  <si>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</si>
  <si>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</si>
  <si>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</si>
  <si>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</si>
  <si>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</si>
  <si>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</si>
  <si>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</si>
  <si>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</si>
  <si>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</si>
  <si>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</si>
  <si>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</si>
  <si>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</si>
  <si>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</si>
  <si>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</si>
  <si>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</si>
  <si>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</si>
  <si>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</si>
  <si>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</si>
  <si>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</si>
  <si>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</si>
  <si>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</si>
  <si>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</si>
  <si>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</si>
  <si>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</si>
  <si>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</si>
  <si>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</si>
  <si>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</si>
  <si>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</si>
  <si>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</si>
  <si>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</si>
  <si>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</si>
  <si>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</si>
  <si>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</si>
  <si>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</si>
  <si>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</si>
  <si>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</si>
  <si>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</si>
  <si>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</si>
  <si>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</si>
  <si>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</si>
  <si>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</si>
  <si>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</si>
  <si>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</si>
  <si>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</si>
  <si>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</si>
  <si>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</si>
  <si>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</si>
  <si>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</si>
  <si>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</si>
  <si>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</si>
  <si>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</si>
  <si>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</si>
  <si>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</si>
  <si>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</si>
  <si>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</si>
  <si>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</si>
  <si>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</si>
  <si>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</si>
  <si>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</si>
  <si>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</si>
  <si>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</si>
  <si>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</si>
  <si>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</si>
  <si>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</si>
  <si>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</si>
  <si>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</si>
  <si>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</si>
  <si>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</si>
  <si>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</si>
  <si>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</si>
  <si>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</si>
  <si>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</si>
  <si>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</si>
  <si>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</si>
  <si>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</si>
  <si>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</si>
  <si>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</si>
  <si>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</si>
  <si>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</si>
  <si>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</si>
  <si>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</si>
  <si>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</si>
  <si>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</si>
  <si>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</si>
  <si>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</si>
  <si>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</si>
  <si>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</si>
  <si>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</si>
  <si>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</si>
  <si>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</si>
  <si>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</si>
  <si>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</si>
  <si>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</si>
  <si>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</si>
  <si>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</si>
  <si>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</si>
  <si>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</si>
  <si>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</si>
  <si>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</si>
  <si>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</si>
  <si>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</si>
  <si>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</si>
  <si>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</si>
  <si>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</si>
  <si>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</si>
  <si>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</si>
  <si>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</si>
  <si>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</si>
  <si>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</si>
  <si>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</si>
  <si>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</si>
  <si>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</si>
  <si>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</si>
  <si>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</si>
  <si>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</si>
  <si>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</si>
  <si>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</si>
  <si>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</si>
  <si>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</si>
  <si>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</si>
  <si>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</si>
  <si>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</si>
  <si>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</si>
  <si>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</si>
  <si>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</si>
  <si>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</si>
  <si>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</si>
  <si>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</si>
  <si>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</si>
  <si>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</si>
  <si>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</si>
  <si>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</si>
  <si>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</si>
  <si>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</si>
  <si>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</si>
  <si>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</si>
  <si>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</si>
  <si>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</si>
  <si>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</si>
  <si>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</si>
  <si>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</si>
  <si>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</si>
  <si>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</si>
  <si>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</si>
  <si>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</si>
  <si>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</si>
  <si>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</si>
  <si>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</si>
  <si>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</si>
  <si>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</si>
  <si>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</si>
  <si>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</si>
  <si>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</si>
  <si>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</si>
  <si>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</si>
  <si>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</si>
  <si>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</si>
  <si>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</si>
  <si>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</si>
  <si>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</si>
  <si>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</si>
  <si>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</si>
  <si>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</si>
  <si>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</si>
  <si>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</si>
  <si>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</si>
  <si>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</si>
  <si>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</si>
  <si>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</si>
  <si>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</si>
  <si>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</si>
  <si>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</si>
  <si>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</si>
  <si>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</si>
  <si>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</si>
  <si>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</si>
  <si>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</si>
  <si>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</si>
  <si>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</si>
  <si>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</si>
  <si>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</si>
  <si>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</si>
  <si>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</si>
  <si>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</si>
  <si>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</si>
  <si>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</si>
  <si>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</si>
  <si>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</si>
  <si>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</si>
  <si>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</si>
  <si>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</si>
  <si>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</si>
  <si>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</si>
  <si>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</si>
  <si>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</si>
  <si>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</si>
  <si>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</si>
  <si>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</si>
  <si>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</si>
  <si>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</si>
  <si>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</si>
  <si>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</si>
  <si>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</si>
  <si>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</si>
  <si>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</si>
  <si>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</si>
  <si>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</si>
  <si>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</si>
  <si>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</si>
  <si>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</si>
  <si>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</si>
  <si>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</si>
  <si>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</si>
  <si>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</si>
  <si>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</si>
  <si>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</si>
  <si>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</si>
  <si>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</si>
  <si>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</si>
  <si>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</si>
  <si>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</si>
  <si>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</si>
  <si>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</si>
  <si>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</si>
  <si>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</si>
  <si>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</si>
  <si>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</si>
  <si>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</si>
  <si>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</si>
  <si>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</si>
  <si>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</si>
  <si>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</si>
  <si>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</si>
  <si>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</si>
  <si>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</si>
  <si>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</si>
  <si>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</si>
  <si>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</si>
  <si>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</si>
  <si>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</si>
  <si>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</si>
  <si>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</si>
  <si>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</si>
  <si>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</si>
  <si>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</si>
  <si>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</si>
  <si>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</si>
  <si>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</si>
  <si>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</si>
  <si>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</si>
  <si>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</si>
  <si>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</si>
  <si>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</si>
  <si>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</si>
  <si>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</si>
  <si>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</si>
  <si>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</si>
  <si>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</si>
  <si>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</si>
  <si>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</si>
  <si>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</si>
  <si>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</si>
  <si>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</si>
  <si>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</si>
  <si>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</si>
  <si>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</si>
  <si>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</si>
  <si>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</si>
  <si>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</si>
  <si>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</si>
  <si>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</si>
  <si>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</si>
  <si>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</si>
  <si>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</si>
  <si>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</si>
  <si>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</si>
  <si>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</si>
  <si>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</si>
  <si>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</si>
  <si>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</si>
  <si>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</si>
  <si>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</si>
  <si>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</si>
  <si>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</si>
  <si>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</si>
  <si>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</si>
  <si>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</si>
  <si>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</si>
  <si>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</si>
  <si>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</si>
  <si>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</si>
  <si>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</si>
  <si>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</si>
  <si>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</si>
  <si>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</si>
  <si>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</si>
  <si>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</si>
  <si>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</si>
  <si>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</si>
  <si>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</si>
  <si>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</si>
  <si>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</si>
  <si>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</si>
  <si>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</si>
  <si>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</si>
  <si>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</si>
  <si>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</si>
  <si>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</si>
  <si>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</si>
  <si>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</si>
  <si>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</si>
  <si>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</si>
  <si>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</si>
  <si>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</si>
  <si>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</si>
  <si>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</si>
  <si>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</si>
  <si>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</si>
  <si>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</si>
  <si>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</si>
  <si>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</si>
  <si>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</si>
  <si>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</si>
  <si>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</si>
  <si>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</si>
  <si>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</si>
  <si>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</si>
  <si>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</si>
  <si>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</si>
  <si>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</si>
  <si>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</si>
  <si>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</si>
  <si>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</si>
  <si>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</si>
  <si>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</si>
  <si>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</si>
  <si>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</si>
  <si>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</si>
  <si>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</si>
  <si>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</si>
  <si>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</si>
  <si>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</si>
  <si>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</si>
  <si>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</si>
  <si>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</si>
  <si>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</si>
  <si>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</si>
  <si>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</si>
  <si>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</si>
  <si>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</si>
  <si>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</si>
  <si>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</si>
  <si>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</si>
  <si>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</si>
  <si>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</si>
  <si>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</si>
  <si>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</si>
  <si>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</si>
  <si>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</si>
  <si>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</si>
  <si>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</si>
  <si>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</si>
  <si>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</si>
  <si>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</si>
  <si>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</si>
  <si>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</si>
  <si>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</si>
  <si>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</si>
  <si>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</si>
  <si>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</si>
  <si>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</si>
  <si>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</si>
  <si>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</si>
  <si>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</si>
  <si>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</si>
  <si>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</si>
  <si>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</si>
  <si>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</si>
  <si>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</si>
  <si>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</si>
  <si>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</si>
  <si>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</si>
  <si>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</si>
  <si>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</si>
  <si>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</si>
  <si>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</si>
  <si>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</si>
  <si>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</si>
  <si>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</si>
  <si>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</si>
  <si>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</si>
  <si>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</si>
  <si>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</si>
  <si>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</si>
  <si>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</si>
  <si>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</si>
  <si>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</si>
  <si>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</si>
  <si>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</si>
  <si>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</si>
  <si>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</si>
  <si>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</si>
  <si>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</si>
  <si>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</si>
  <si>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</si>
  <si>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</si>
  <si>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</si>
  <si>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</si>
  <si>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</si>
  <si>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</si>
  <si>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</si>
  <si>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</si>
  <si>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</si>
  <si>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</si>
  <si>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</si>
  <si>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</si>
  <si>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</si>
  <si>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</si>
  <si>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</si>
  <si>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</si>
  <si>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</si>
  <si>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</si>
  <si>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</si>
  <si>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</si>
  <si>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</si>
  <si>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</si>
  <si>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</si>
  <si>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</si>
  <si>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</si>
  <si>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</si>
  <si>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</si>
  <si>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</si>
  <si>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</si>
  <si>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</si>
  <si>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</si>
  <si>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</si>
  <si>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</si>
  <si>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</si>
  <si>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</si>
  <si>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</si>
  <si>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</si>
  <si>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</si>
  <si>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</si>
  <si>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</si>
  <si>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</si>
  <si>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</si>
  <si>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</si>
  <si>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</si>
  <si>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</si>
  <si>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</si>
  <si>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</si>
  <si>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</si>
  <si>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</si>
  <si>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</si>
  <si>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</si>
  <si>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</si>
  <si>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</si>
  <si>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</si>
  <si>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</si>
  <si>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</si>
  <si>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</si>
  <si>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</si>
  <si>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</si>
  <si>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</si>
  <si>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</si>
  <si>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</si>
  <si>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</si>
  <si>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</si>
  <si>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</si>
  <si>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</si>
  <si>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</si>
  <si>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</si>
  <si>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</si>
  <si>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</si>
  <si>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</si>
  <si>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</si>
  <si>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</si>
  <si>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</si>
  <si>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</si>
  <si>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</si>
  <si>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</si>
  <si>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</si>
  <si>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</si>
  <si>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</si>
  <si>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</si>
  <si>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</si>
  <si>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</si>
  <si>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</si>
  <si>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</si>
  <si>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</si>
  <si>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</si>
  <si>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</si>
  <si>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</si>
  <si>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</si>
  <si>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</si>
  <si>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</si>
  <si>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</si>
  <si>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</si>
  <si>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</si>
  <si>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</si>
  <si>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</si>
  <si>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</si>
  <si>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</si>
  <si>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</si>
  <si>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</si>
  <si>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</si>
  <si>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</si>
  <si>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</si>
  <si>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</si>
  <si>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</si>
  <si>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</si>
  <si>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</si>
  <si>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</si>
  <si>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</si>
  <si>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</si>
  <si>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</si>
  <si>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</si>
  <si>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</si>
  <si>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</si>
  <si>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</si>
  <si>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</si>
  <si>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</si>
  <si>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</si>
  <si>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</si>
  <si>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</si>
  <si>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</si>
  <si>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</si>
  <si>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</si>
  <si>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</si>
  <si>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</si>
  <si>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</si>
  <si>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</si>
  <si>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</si>
  <si>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</si>
  <si>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</si>
  <si>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</si>
  <si>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</si>
  <si>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</si>
  <si>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</si>
  <si>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</si>
  <si>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</si>
  <si>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</si>
  <si>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</si>
  <si>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</si>
  <si>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</si>
  <si>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</si>
  <si>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</si>
  <si>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</si>
  <si>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</si>
  <si>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</si>
  <si>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</si>
  <si>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</si>
  <si>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</si>
  <si>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</si>
  <si>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</si>
  <si>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</si>
  <si>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</si>
  <si>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</si>
  <si>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</si>
  <si>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</si>
  <si>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</si>
  <si>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</si>
  <si>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</si>
  <si>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</si>
  <si>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</si>
  <si>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</si>
  <si>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</si>
  <si>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</si>
  <si>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</si>
  <si>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</si>
  <si>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</si>
  <si>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</si>
  <si>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</si>
  <si>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</si>
  <si>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</si>
  <si>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</si>
  <si>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</si>
  <si>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</si>
  <si>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</si>
  <si>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</si>
  <si>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</si>
  <si>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</si>
  <si>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</si>
  <si>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</si>
  <si>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</si>
  <si>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</si>
  <si>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</si>
  <si>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</si>
  <si>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</si>
  <si>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</si>
  <si>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</si>
  <si>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</si>
  <si>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</si>
  <si>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</si>
  <si>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</si>
  <si>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</si>
  <si>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</si>
  <si>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</si>
  <si>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</si>
  <si>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</si>
  <si>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</si>
  <si>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</si>
  <si>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</si>
  <si>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</si>
  <si>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</si>
  <si>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</si>
  <si>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</si>
  <si>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</si>
  <si>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</si>
  <si>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</si>
  <si>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</si>
  <si>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</si>
  <si>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</si>
  <si>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</si>
  <si>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</si>
  <si>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</si>
  <si>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</si>
  <si>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</si>
  <si>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</si>
  <si>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</si>
  <si>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</si>
  <si>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</si>
  <si>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</si>
  <si>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</si>
  <si>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</si>
  <si>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</si>
  <si>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</si>
  <si>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</si>
  <si>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</si>
  <si>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</si>
  <si>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</si>
  <si>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</si>
  <si>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</si>
  <si>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</si>
  <si>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</si>
  <si>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</si>
  <si>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</si>
  <si>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</si>
  <si>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</si>
  <si>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</si>
  <si>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</si>
  <si>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</si>
  <si>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</si>
  <si>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</si>
  <si>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</si>
  <si>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</si>
  <si>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</si>
  <si>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</si>
  <si>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</si>
  <si>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</si>
  <si>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</si>
  <si>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</si>
  <si>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</si>
  <si>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</si>
  <si>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</si>
  <si>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</si>
  <si>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</si>
  <si>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</si>
  <si>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</si>
  <si>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</si>
  <si>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</si>
  <si>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</si>
  <si>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</si>
  <si>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</si>
  <si>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</si>
  <si>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</si>
  <si>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</si>
  <si>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</si>
  <si>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</si>
  <si>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</si>
  <si>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</si>
  <si>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</si>
  <si>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</si>
  <si>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</si>
  <si>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</si>
  <si>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</si>
  <si>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</si>
  <si>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</si>
  <si>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</si>
  <si>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</si>
  <si>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</si>
  <si>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</si>
  <si>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</si>
  <si>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</si>
  <si>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</si>
  <si>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</si>
  <si>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</si>
  <si>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</si>
  <si>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</si>
  <si>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</si>
  <si>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</si>
  <si>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</si>
  <si>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</si>
  <si>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</si>
  <si>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</si>
  <si>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</si>
  <si>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</si>
  <si>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</si>
  <si>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</si>
  <si>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</si>
  <si>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</si>
  <si>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</si>
  <si>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</si>
  <si>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</si>
  <si>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</si>
  <si>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</si>
  <si>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</si>
  <si>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</si>
  <si>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</si>
  <si>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</si>
  <si>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</si>
  <si>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</si>
  <si>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</si>
  <si>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</si>
  <si>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</si>
  <si>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</si>
  <si>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</si>
  <si>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</si>
  <si>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</si>
  <si>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</si>
  <si>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</si>
  <si>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</si>
  <si>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</si>
  <si>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</si>
  <si>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</si>
  <si>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</si>
  <si>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</si>
  <si>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</si>
  <si>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</si>
  <si>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</si>
  <si>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</si>
  <si>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</si>
  <si>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</si>
  <si>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</si>
  <si>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</si>
  <si>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</si>
  <si>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</si>
  <si>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</si>
  <si>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</si>
  <si>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</si>
  <si>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</si>
  <si>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</si>
  <si>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</si>
  <si>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</si>
  <si>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</si>
  <si>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</si>
  <si>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</si>
  <si>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</si>
  <si>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</si>
  <si>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</si>
  <si>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</si>
  <si>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</si>
  <si>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</si>
  <si>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</si>
  <si>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</si>
  <si>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</si>
  <si>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</si>
  <si>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</si>
  <si>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</si>
  <si>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</si>
  <si>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</si>
  <si>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</si>
  <si>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</si>
  <si>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</si>
  <si>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</si>
  <si>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</si>
  <si>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</si>
  <si>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</si>
  <si>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</si>
  <si>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</si>
  <si>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</si>
  <si>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</si>
  <si>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</si>
  <si>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</si>
  <si>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</si>
  <si>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</si>
  <si>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</si>
  <si>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</si>
  <si>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</si>
  <si>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</si>
  <si>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</si>
  <si>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</si>
  <si>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</si>
  <si>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</si>
  <si>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</si>
  <si>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</si>
  <si>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</si>
  <si>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</si>
  <si>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</si>
  <si>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</si>
  <si>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</si>
  <si>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</si>
  <si>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</si>
  <si>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</si>
  <si>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</si>
  <si>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</si>
  <si>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</si>
  <si>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</si>
  <si>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</si>
  <si>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</si>
  <si>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</si>
  <si>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</si>
  <si>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</si>
  <si>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</si>
  <si>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</si>
  <si>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</si>
  <si>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</si>
  <si>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</si>
  <si>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</si>
  <si>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</si>
  <si>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Disposition Volume (MCF) @ 14.65 MCF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</si>
  <si>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</si>
  <si>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</si>
  <si>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</si>
  <si>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</si>
  <si>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</si>
  <si>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</si>
  <si>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</si>
  <si>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</si>
  <si>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</si>
  <si>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</si>
  <si>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</si>
  <si>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</si>
  <si>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</si>
  <si>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</si>
  <si>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</si>
  <si>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</si>
  <si>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</si>
  <si>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</si>
  <si>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</si>
  <si>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</si>
  <si>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</si>
  <si>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</si>
  <si>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</si>
  <si>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</si>
  <si>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</si>
  <si>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</si>
  <si>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</si>
  <si>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</si>
  <si>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</si>
  <si>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</si>
  <si>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</si>
  <si>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cannot find why mismatch occurs. Stocks are correct</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</si>
  <si>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</si>
  <si>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</si>
  <si>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</si>
  <si>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</si>
  <si>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</si>
  <si>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</si>
  <si>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</si>
  <si>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</si>
  <si>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</si>
  <si>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</si>
  <si>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</si>
  <si>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</si>
  <si>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</si>
  <si>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</si>
  <si>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</si>
  <si>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</si>
  <si>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</si>
  <si>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</si>
  <si>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</si>
  <si>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</si>
  <si>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</si>
  <si>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</si>
  <si>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</si>
  <si>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</si>
  <si>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</si>
  <si>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</si>
  <si>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</si>
  <si>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</si>
  <si>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</si>
  <si>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</si>
  <si>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</si>
  <si>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</si>
  <si>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</si>
  <si>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</si>
  <si>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</si>
  <si>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</si>
  <si>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</si>
  <si>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</si>
  <si>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</si>
  <si>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</si>
  <si>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</si>
  <si>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</si>
  <si>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</si>
  <si>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</si>
  <si>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</si>
  <si>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</si>
  <si>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</si>
  <si>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</si>
  <si>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</si>
  <si>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</si>
  <si>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</si>
  <si>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</si>
  <si>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</si>
  <si>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</si>
  <si>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</si>
  <si>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</si>
  <si>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</si>
  <si>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</si>
  <si>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</si>
  <si>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</si>
  <si>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</si>
  <si>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</si>
  <si>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</si>
  <si>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</si>
  <si>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</si>
  <si>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</si>
  <si>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</si>
  <si>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</si>
  <si>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</si>
  <si>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</si>
  <si>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</si>
  <si>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</si>
  <si>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</si>
  <si>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</si>
  <si>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</si>
  <si>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</si>
  <si>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</si>
  <si>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</si>
  <si>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</si>
  <si>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</si>
  <si>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</si>
  <si>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</si>
  <si>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</si>
  <si>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</si>
  <si>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</si>
  <si>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3T</t>
  </si>
  <si>
    <t xml:space="preserve">2C </t>
  </si>
  <si>
    <t>Black stone Minerals # 2-C 2020.xlsx</t>
  </si>
  <si>
    <t>LOUISE.xlsx</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</si>
  <si>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</si>
  <si>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</si>
  <si>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</si>
  <si>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</si>
  <si>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</si>
  <si>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</si>
  <si>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</si>
  <si>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</si>
  <si>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</si>
  <si>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</si>
  <si>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</si>
  <si>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January 2020: updating rrc id to 02817 - not keeping old gas rrc id of 150672</t>
  </si>
  <si>
    <t>02817</t>
  </si>
  <si>
    <t>BIG HILL ( HACKBERRY SAND)</t>
  </si>
  <si>
    <t>MCLEAN</t>
  </si>
  <si>
    <t>27617</t>
  </si>
  <si>
    <t xml:space="preserve">lease is filed under pending - rrc will have to issue a lease id.  January 2020: RRC ID issued </t>
  </si>
  <si>
    <t>Mi West.xlsx</t>
  </si>
  <si>
    <t>D39,G39,J39,M39</t>
  </si>
  <si>
    <t>January 2020: gauger uses 4th tank which was not previously accounted for.  Will add starting 2020 as part of closing stock and count production all in one month. Will use this stock going forward</t>
  </si>
  <si>
    <t>LUCKY, WEST (FRIO 8100)</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</si>
  <si>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</si>
  <si>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</si>
  <si>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</si>
  <si>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</si>
  <si>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</si>
  <si>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</si>
  <si>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</si>
  <si>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</si>
  <si>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</si>
  <si>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WALLACE HOUSTON</t>
  </si>
  <si>
    <t>AL44</t>
  </si>
  <si>
    <t>L14,L44</t>
  </si>
  <si>
    <t>December 2019: gauge sheet unavaialbe - had issues with gauger and had to fire him; February 2020: New gauger with new gauge sheet layout - adapted map - HOWEVER Feb 2020 was unable to be tested due to gauger not filling in information to the bottom of the sheet</t>
  </si>
  <si>
    <t>Feb 2020: 36 bbl diff is becauseoil tanks bottoms were pulled - no error</t>
  </si>
  <si>
    <t>Feb 2020: could not find gauge sheet - used march 2020 opening stock as closing stock for feb</t>
  </si>
  <si>
    <t>December 2019: Gauge sheet unavailable - gauger was fired.  Assuming same produciton as last month to keep active.  January 2020:  do not have gauge sheet - I have feb 2020 and I see it did not produce but has a closing stock of 45 bbls, so going to put 15 prod for jan 2020; Feb 2020 gauge sheet was incomplete - treid to use matrch 2020 opening stock but does not appear to be right - keeping closing stock from column AL</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</si>
  <si>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 Feb 2020: gauge sheet incomplete - looked ahead to march 2020 - there is a dispotsiton in march of 190 bbl so will balance closing stock next month</t>
  </si>
  <si>
    <t>Record was dropped in Jan 2020 - removing it from pr edi</t>
  </si>
  <si>
    <t>91</t>
  </si>
  <si>
    <t xml:space="preserve"> Comments</t>
  </si>
  <si>
    <t>Repoprt Month Removed</t>
  </si>
  <si>
    <t>Roxanne Wolfpak #'s Reported</t>
  </si>
  <si>
    <t>HOUSTON WALLACE</t>
  </si>
  <si>
    <t>Feb 2020: well showed revenue for the first time since I have been reporting - I have never seen its gauge sheet -after looking it was w-h #4 - I will file corrective report dating 5/19 to cover production for this sale - there was oil transferred from the gun barrel tank that rrc stock never accounted for - according to gauge sheet 19 bbls remain in stock after sale - will correct reports accordingly</t>
  </si>
  <si>
    <t>HOUSTON, WALLACE W-H #4</t>
  </si>
  <si>
    <t>Feb 2020: no gauge sheet - will have to correct if necessary - using last month prod</t>
  </si>
  <si>
    <t>Closing Stock (Oil)</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</si>
  <si>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 Feb 2020: no gauge sheet - will have to correct if necessary;  Mar 2020: manipulating prod to try and reduce stock</t>
  </si>
  <si>
    <t>Feb 2020: no gauge sheet - will have to correct if necessary - using last month prod;  Mar 2020: noticed pr reports have excess stock - will have to manipulate prod until sale</t>
  </si>
  <si>
    <t xml:space="preserve">November 2019: Opening stock listed on gauger's sheet is off - will have to let it fix its self - explains 30 bbl diff between gauge and calculated for pr. December 2019 same 30 bbl diff as before; Jan 2020: same ~30 bbl as before; Feb 2020: no gauge sheet - will have to correct if necessary - using last month prod; March 2020 - run was taken 4/1 and is on gauger's spreadsheet but non on purchase statemetn - no error; </t>
  </si>
  <si>
    <t xml:space="preserve">Feb 2020: gauger had put sale of oil picked up on 3/1/2020 on feb gauge sheet- accounting has put sale for march.  Therefore, I will carry the stock as if there were no sale, and place the sale in march pr; </t>
  </si>
  <si>
    <t xml:space="preserve">March 2020:  sale took place and bottoms were pulled - therefore gauge sheet stock is less than on rrc record - will have to file correction in the future to reduce prod from previous month or wait until another sale when well is prod.  Force stock to make prod match gauge sheet, which is 0; </t>
  </si>
  <si>
    <t>N8,NL38</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</si>
  <si>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 mar 2020: gauger did appear to mark daily prod column even tho stock increeased</t>
  </si>
  <si>
    <t>LUCKY, EAST (HUEBNER)</t>
  </si>
  <si>
    <t>Gas 04 No sales pipeline - flare permit # is 38810</t>
  </si>
  <si>
    <t>27736</t>
  </si>
  <si>
    <t>Gauge Sheet Prod Volume (oil)</t>
  </si>
  <si>
    <t>Gauge Sheet Prod Vol</t>
  </si>
  <si>
    <t>March 2020: sale took place 2/28 - not in accounting system - therefore will force closing stock to keep the 180 bbl sale to match gauge sheet prod.  In april I will have to force the stock;  April 2020: forcing closing stock to match gauge sheet prod - another 170 bbl sale in april was not recorded on purchase statement for accounting to input</t>
  </si>
  <si>
    <t>March 2020: sale occurred 4/1/20 - accounted for on gauge sheet but not in accounting sales - no error; April 2020: no error - evens out from march;</t>
  </si>
  <si>
    <t>April 2020:  bsm #2T was put in BSM #3C tank - subracted added stock in tank #1 from BSM #3 stock, and added it to BSM #2T stock</t>
  </si>
  <si>
    <t>April 2020: pulled 36 bbls of bottom's of oil tank..forcing stock to keep stock - alternative is to go back to 2019 and reduce production to account for these 36 bbls</t>
  </si>
  <si>
    <t>November 2019 comment: appears load from october was put on november sales ticket and is why we are off 185 bbls  - no error.  December 2019:  -189 is from November's ticket - no error.  Feb 2020: no error; Mar 2020 - no error, sale from 2/29 was placed in march in accounting;  April 2020: 10 bbls of the error occur from sales purchase statement being 10 less bbls than gauger reported pulled</t>
  </si>
  <si>
    <t>November 2019: Gauger drained 43 bbls of water from oil tank - this is why 45 bbl difference- no error - gauger didn't account for this in his prod column.  Feb 2020: drained water that is why there is 26 bbl difference - no error; April 2020: not worrying about 30 bbl diff</t>
  </si>
  <si>
    <t xml:space="preserve">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 Feb 2020 - force closing stock;  March 2020: having to force stock to higher value on gauge sheet to avoid negative production - therefore, showing less prod than actually occured; april 2020: forcing closing stock to prevent negative production - showing half the prod that of gauger; </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</si>
  <si>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  Feb 2020: following notes of jan 2020; following notes from before - it looks like transferred stock to other tank was sold and not allocated to this well; April 2020: forcing stock - will correct when their is a disposition</t>
  </si>
  <si>
    <t>November 2019: Missed reporting oil for this well over previous months - making up for it this month.   March 2020: may plant tab on gauge sheet has 70 more bbls than on pr records - will have to file correction if stock is sold and theree isn't enough to cover it; April 2020: same as march comment</t>
  </si>
  <si>
    <t>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  Feb 2020: using shared tank tab closing stock + nelson 4 closing stock (102 + 25) - this will overreport actual production to rrc by 49 bbls;  Mar 2020 - transferred oil from oen tank to shared tank - reporting closing stock gauger has mentioned on shared tank tab;  April 2020: forcing stock to be less than gauge sheet - well did not produce but had a sale of 160 bbls - if well produces in the future can maniuplate month's production to make up for the 26 bbl difference</t>
  </si>
  <si>
    <t>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  April 2020:  appears stocks for ola mcann 2A and #1L were flip flopped based on allocation of disposition - there was 104 bbls transfered from a water tank to an oil tank that justifies olamcann 2A reporting production - forcing stock to have 15 bbls remaining in case there is another disposition in the future</t>
  </si>
  <si>
    <t xml:space="preserve">September comment: moved 80 bbls from water tank to oil tank 9/2019 (counting it as production - called rrc how to report this - they wanted details and lease number so probably not the best route.  Feb 2020: transferred oil from water tank to oil tank - causing a 35 bbl over report from gauge sheet;  April 2020:  appears stocks for ola mcann 2A and #1L were flip flopped based on allocation of disposition - there was 104 bbls transfered from a water tank to an oil tank that justifies olamcann 2A reporting production - ola mcann 2A and 1L will have 50 bbls in excess stock from here on out from gaug sheet;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</si>
</sst>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0.00_);\(&quot;$&quot;#,##0.00\)"/>
    <numFmt numFmtId="165" formatCode="0.0000"/>
    <numFmt numFmtId="166" formatCode="###0;###0"/>
    <numFmt numFmtId="167" formatCode="###0.000;###0.000"/>
    <numFmt numFmtId="168" formatCode="###0.0;###0.0"/>
    <numFmt numFmtId="169" formatCode="#,##0;#,##0"/>
  </numFmts>
  <fonts count="80" x14ac:knownFonts="1">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
      <b/>
      <sz val="10"/>
      <color theme="0"/>
      <name val="Times New Roman"/>
      <family val="1"/>
    </font>
    <font>
      <b/>
      <u/>
      <sz val="10"/>
      <color theme="0"/>
      <name val="Times New Roman"/>
      <family val="1"/>
    </font>
    <font>
      <b/>
      <sz val="10"/>
      <color theme="1"/>
      <name val="Times New Roman"/>
      <family val="1"/>
    </font>
    <font>
      <u/>
      <sz val="10"/>
      <color theme="11"/>
      <name val="Times New Roman"/>
      <family val="1"/>
    </font>
  </fonts>
  <fills count="46">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theme="4"/>
        <bgColor theme="4"/>
      </patternFill>
    </fill>
    <fill>
      <patternFill patternType="solid">
        <fgColor rgb="FFDCE6F1"/>
        <bgColor rgb="FFDCE6F1"/>
      </patternFill>
    </fill>
  </fills>
  <borders count="45">
    <border>
      <left/>
      <right/>
      <top/>
      <bottom/>
      <diagonal/>
    </border>
    <border>
      <left style="thin">
        <color auto="1"/>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auto="1"/>
      </left>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auto="1"/>
      </right>
      <top/>
      <bottom/>
      <diagonal/>
    </border>
    <border>
      <left/>
      <right style="thick">
        <color auto="1"/>
      </right>
      <top style="thin">
        <color auto="1"/>
      </top>
      <bottom/>
      <diagonal/>
    </border>
    <border>
      <left/>
      <right style="thick">
        <color auto="1"/>
      </right>
      <top/>
      <bottom style="thin">
        <color auto="1"/>
      </bottom>
      <diagonal/>
    </border>
    <border>
      <left style="thick">
        <color auto="1"/>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
      <left/>
      <right/>
      <top style="thin">
        <color theme="4" tint="0.39997558519241921"/>
      </top>
      <bottom style="thin">
        <color theme="4" tint="0.39997558519241921"/>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right style="thin">
        <color auto="1"/>
      </right>
      <top style="double">
        <color theme="4"/>
      </top>
      <bottom style="thin">
        <color theme="4" tint="0.39997558519241921"/>
      </bottom>
      <diagonal/>
    </border>
    <border>
      <left style="thin">
        <color auto="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95B3D7"/>
      </left>
      <right/>
      <top style="thin">
        <color rgb="FF95B3D7"/>
      </top>
      <bottom style="thin">
        <color rgb="FF95B3D7"/>
      </bottom>
      <diagonal/>
    </border>
  </borders>
  <cellStyleXfs count="121">
    <xf numFmtId="0" fontId="0" fillId="0" borderId="0"/>
    <xf numFmtId="0" fontId="27" fillId="2" borderId="0" applyNumberFormat="0" applyBorder="0" applyAlignment="0" applyProtection="0"/>
    <xf numFmtId="0" fontId="27" fillId="3" borderId="0" applyNumberFormat="0" applyBorder="0" applyAlignment="0" applyProtection="0"/>
    <xf numFmtId="0" fontId="27" fillId="4" borderId="0" applyNumberFormat="0" applyBorder="0" applyAlignment="0" applyProtection="0"/>
    <xf numFmtId="0" fontId="27" fillId="5" borderId="0" applyNumberFormat="0" applyBorder="0" applyAlignment="0" applyProtection="0"/>
    <xf numFmtId="0" fontId="27" fillId="6" borderId="0" applyNumberFormat="0" applyBorder="0" applyAlignment="0" applyProtection="0"/>
    <xf numFmtId="0" fontId="27" fillId="7" borderId="0" applyNumberFormat="0" applyBorder="0" applyAlignment="0" applyProtection="0"/>
    <xf numFmtId="0" fontId="27" fillId="8"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11" borderId="0" applyNumberFormat="0" applyBorder="0" applyAlignment="0" applyProtection="0"/>
    <xf numFmtId="0" fontId="27" fillId="12" borderId="0" applyNumberFormat="0" applyBorder="0" applyAlignment="0" applyProtection="0"/>
    <xf numFmtId="0" fontId="27"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28" fillId="18" borderId="0" applyNumberFormat="0" applyBorder="0" applyAlignment="0" applyProtection="0"/>
    <xf numFmtId="0" fontId="28"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29" fillId="26" borderId="0" applyNumberFormat="0" applyBorder="0" applyAlignment="0" applyProtection="0"/>
    <xf numFmtId="0" fontId="30" fillId="27" borderId="2" applyNumberFormat="0" applyAlignment="0" applyProtection="0"/>
    <xf numFmtId="0" fontId="31" fillId="28" borderId="3" applyNumberFormat="0" applyAlignment="0" applyProtection="0"/>
    <xf numFmtId="0" fontId="32" fillId="0" borderId="0" applyNumberFormat="0" applyFill="0" applyBorder="0" applyAlignment="0" applyProtection="0"/>
    <xf numFmtId="0" fontId="33" fillId="29" borderId="0" applyNumberFormat="0" applyBorder="0" applyAlignment="0" applyProtection="0"/>
    <xf numFmtId="0" fontId="34" fillId="0" borderId="4" applyNumberFormat="0" applyFill="0" applyAlignment="0" applyProtection="0"/>
    <xf numFmtId="0" fontId="35" fillId="0" borderId="5" applyNumberFormat="0" applyFill="0" applyAlignment="0" applyProtection="0"/>
    <xf numFmtId="0" fontId="36" fillId="0" borderId="6" applyNumberFormat="0" applyFill="0" applyAlignment="0" applyProtection="0"/>
    <xf numFmtId="0" fontId="36" fillId="0" borderId="0" applyNumberFormat="0" applyFill="0" applyBorder="0" applyAlignment="0" applyProtection="0"/>
    <xf numFmtId="0" fontId="24" fillId="0" borderId="0" applyNumberFormat="0" applyFill="0" applyBorder="0" applyAlignment="0" applyProtection="0">
      <alignment vertical="top"/>
      <protection locked="0"/>
    </xf>
    <xf numFmtId="0" fontId="37" fillId="30" borderId="2" applyNumberFormat="0" applyAlignment="0" applyProtection="0"/>
    <xf numFmtId="0" fontId="38" fillId="0" borderId="7" applyNumberFormat="0" applyFill="0" applyAlignment="0" applyProtection="0"/>
    <xf numFmtId="0" fontId="39" fillId="31" borderId="0" applyNumberFormat="0" applyBorder="0" applyAlignment="0" applyProtection="0"/>
    <xf numFmtId="0" fontId="27" fillId="0" borderId="0"/>
    <xf numFmtId="0" fontId="27" fillId="32" borderId="8" applyNumberFormat="0" applyFont="0" applyAlignment="0" applyProtection="0"/>
    <xf numFmtId="0" fontId="40" fillId="27" borderId="9" applyNumberFormat="0" applyAlignment="0" applyProtection="0"/>
    <xf numFmtId="0" fontId="41" fillId="0" borderId="0" applyNumberFormat="0" applyFill="0" applyBorder="0" applyAlignment="0" applyProtection="0"/>
    <xf numFmtId="0" fontId="42" fillId="0" borderId="10" applyNumberFormat="0" applyFill="0" applyAlignment="0" applyProtection="0"/>
    <xf numFmtId="0" fontId="43" fillId="0" borderId="0" applyNumberFormat="0" applyFill="0" applyBorder="0" applyAlignment="0" applyProtection="0"/>
    <xf numFmtId="0" fontId="47" fillId="0" borderId="0"/>
    <xf numFmtId="0" fontId="52" fillId="0" borderId="0"/>
    <xf numFmtId="0" fontId="23" fillId="0" borderId="0"/>
    <xf numFmtId="0" fontId="22" fillId="0" borderId="0"/>
    <xf numFmtId="0" fontId="20" fillId="0" borderId="0"/>
    <xf numFmtId="0" fontId="20" fillId="32" borderId="8" applyNumberFormat="0" applyFont="0" applyAlignment="0" applyProtection="0"/>
    <xf numFmtId="0" fontId="20" fillId="2" borderId="0" applyNumberFormat="0" applyBorder="0" applyAlignment="0" applyProtection="0"/>
    <xf numFmtId="0" fontId="20" fillId="8" borderId="0" applyNumberFormat="0" applyBorder="0" applyAlignment="0" applyProtection="0"/>
    <xf numFmtId="0" fontId="20" fillId="3" borderId="0" applyNumberFormat="0" applyBorder="0" applyAlignment="0" applyProtection="0"/>
    <xf numFmtId="0" fontId="20" fillId="9" borderId="0" applyNumberFormat="0" applyBorder="0" applyAlignment="0" applyProtection="0"/>
    <xf numFmtId="0" fontId="20" fillId="4" borderId="0" applyNumberFormat="0" applyBorder="0" applyAlignment="0" applyProtection="0"/>
    <xf numFmtId="0" fontId="20" fillId="10" borderId="0" applyNumberFormat="0" applyBorder="0" applyAlignment="0" applyProtection="0"/>
    <xf numFmtId="0" fontId="20" fillId="5" borderId="0" applyNumberFormat="0" applyBorder="0" applyAlignment="0" applyProtection="0"/>
    <xf numFmtId="0" fontId="20" fillId="11" borderId="0" applyNumberFormat="0" applyBorder="0" applyAlignment="0" applyProtection="0"/>
    <xf numFmtId="0" fontId="20" fillId="6" borderId="0" applyNumberFormat="0" applyBorder="0" applyAlignment="0" applyProtection="0"/>
    <xf numFmtId="0" fontId="20" fillId="12" borderId="0" applyNumberFormat="0" applyBorder="0" applyAlignment="0" applyProtection="0"/>
    <xf numFmtId="0" fontId="20" fillId="7" borderId="0" applyNumberFormat="0" applyBorder="0" applyAlignment="0" applyProtection="0"/>
    <xf numFmtId="0" fontId="20" fillId="13" borderId="0" applyNumberFormat="0" applyBorder="0" applyAlignment="0" applyProtection="0"/>
    <xf numFmtId="0" fontId="19" fillId="0" borderId="0"/>
    <xf numFmtId="0" fontId="17" fillId="0" borderId="0"/>
    <xf numFmtId="0" fontId="25"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0" borderId="0"/>
    <xf numFmtId="0" fontId="16" fillId="32" borderId="8" applyNumberFormat="0" applyFont="0" applyAlignment="0" applyProtection="0"/>
    <xf numFmtId="0" fontId="16" fillId="0" borderId="0"/>
    <xf numFmtId="0" fontId="16" fillId="0" borderId="0"/>
    <xf numFmtId="0" fontId="15" fillId="0" borderId="0"/>
    <xf numFmtId="0" fontId="15" fillId="32" borderId="8" applyNumberFormat="0" applyFont="0" applyAlignment="0" applyProtection="0"/>
    <xf numFmtId="0" fontId="15" fillId="2" borderId="0" applyNumberFormat="0" applyBorder="0" applyAlignment="0" applyProtection="0"/>
    <xf numFmtId="0" fontId="15" fillId="8" borderId="0" applyNumberFormat="0" applyBorder="0" applyAlignment="0" applyProtection="0"/>
    <xf numFmtId="0" fontId="15" fillId="3" borderId="0" applyNumberFormat="0" applyBorder="0" applyAlignment="0" applyProtection="0"/>
    <xf numFmtId="0" fontId="15" fillId="9" borderId="0" applyNumberFormat="0" applyBorder="0" applyAlignment="0" applyProtection="0"/>
    <xf numFmtId="0" fontId="15" fillId="4"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11" borderId="0" applyNumberFormat="0" applyBorder="0" applyAlignment="0" applyProtection="0"/>
    <xf numFmtId="0" fontId="15" fillId="6" borderId="0" applyNumberFormat="0" applyBorder="0" applyAlignment="0" applyProtection="0"/>
    <xf numFmtId="0" fontId="15" fillId="12" borderId="0" applyNumberFormat="0" applyBorder="0" applyAlignment="0" applyProtection="0"/>
    <xf numFmtId="0" fontId="15" fillId="7" borderId="0" applyNumberFormat="0" applyBorder="0" applyAlignment="0" applyProtection="0"/>
    <xf numFmtId="0" fontId="15" fillId="13" borderId="0" applyNumberFormat="0" applyBorder="0" applyAlignment="0" applyProtection="0"/>
    <xf numFmtId="0" fontId="13" fillId="0" borderId="0"/>
    <xf numFmtId="0" fontId="12" fillId="0" borderId="0"/>
    <xf numFmtId="0" fontId="10" fillId="0" borderId="0"/>
    <xf numFmtId="0" fontId="9" fillId="0" borderId="0"/>
    <xf numFmtId="0" fontId="8" fillId="0" borderId="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cellStyleXfs>
  <cellXfs count="273">
    <xf numFmtId="0" fontId="0" fillId="0" borderId="0" xfId="0"/>
    <xf numFmtId="49" fontId="0" fillId="0" borderId="0" xfId="0" applyNumberFormat="1"/>
    <xf numFmtId="49" fontId="24" fillId="0" borderId="0" xfId="34" applyNumberFormat="1" applyAlignment="1" applyProtection="1"/>
    <xf numFmtId="0" fontId="25" fillId="0" borderId="0" xfId="0" applyFont="1"/>
    <xf numFmtId="49" fontId="25" fillId="0" borderId="0" xfId="0" applyNumberFormat="1" applyFont="1" applyBorder="1"/>
    <xf numFmtId="1" fontId="0" fillId="0" borderId="0" xfId="0" applyNumberFormat="1"/>
    <xf numFmtId="49" fontId="25" fillId="0" borderId="0" xfId="0" applyNumberFormat="1" applyFont="1" applyBorder="1" applyAlignment="1">
      <alignment horizontal="center" wrapText="1"/>
    </xf>
    <xf numFmtId="1" fontId="25" fillId="0" borderId="0" xfId="0" applyNumberFormat="1" applyFont="1" applyBorder="1" applyAlignment="1">
      <alignment horizontal="center" wrapText="1"/>
    </xf>
    <xf numFmtId="0" fontId="25" fillId="0" borderId="0" xfId="0" applyFont="1" applyAlignment="1">
      <alignment horizontal="center" wrapText="1"/>
    </xf>
    <xf numFmtId="49" fontId="25" fillId="0" borderId="0" xfId="0" applyNumberFormat="1" applyFont="1" applyAlignment="1">
      <alignment horizontal="center" wrapText="1"/>
    </xf>
    <xf numFmtId="49" fontId="25" fillId="0" borderId="0" xfId="0" applyNumberFormat="1" applyFont="1"/>
    <xf numFmtId="1" fontId="25" fillId="0" borderId="0" xfId="0" applyNumberFormat="1" applyFont="1"/>
    <xf numFmtId="49" fontId="0" fillId="0" borderId="0" xfId="0" applyNumberFormat="1" applyAlignment="1">
      <alignment horizontal="right"/>
    </xf>
    <xf numFmtId="0" fontId="27" fillId="0" borderId="0" xfId="38"/>
    <xf numFmtId="0" fontId="27" fillId="0" borderId="1" xfId="38" applyBorder="1"/>
    <xf numFmtId="3" fontId="27" fillId="0" borderId="1" xfId="38" applyNumberFormat="1" applyBorder="1"/>
    <xf numFmtId="0" fontId="26" fillId="0" borderId="0" xfId="0" applyFont="1" applyAlignment="1">
      <alignment horizontal="center" wrapText="1"/>
    </xf>
    <xf numFmtId="0" fontId="0" fillId="0" borderId="0" xfId="0" applyAlignment="1">
      <alignment horizontal="center" wrapText="1"/>
    </xf>
    <xf numFmtId="49" fontId="23" fillId="0" borderId="0" xfId="38" applyNumberFormat="1" applyFont="1" applyAlignment="1">
      <alignment horizontal="center"/>
    </xf>
    <xf numFmtId="49" fontId="23" fillId="0" borderId="0" xfId="38" applyNumberFormat="1" applyFont="1"/>
    <xf numFmtId="0" fontId="45" fillId="0" borderId="0" xfId="0" applyFont="1"/>
    <xf numFmtId="49" fontId="45" fillId="0" borderId="0" xfId="0" applyNumberFormat="1" applyFont="1" applyAlignment="1">
      <alignment horizontal="center"/>
    </xf>
    <xf numFmtId="0" fontId="0" fillId="0" borderId="0" xfId="0" applyAlignment="1">
      <alignment horizontal="left"/>
    </xf>
    <xf numFmtId="0" fontId="25" fillId="0" borderId="11" xfId="0" applyFont="1" applyBorder="1" applyAlignment="1">
      <alignment horizontal="center" wrapText="1"/>
    </xf>
    <xf numFmtId="0" fontId="46"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5" fillId="33" borderId="16" xfId="0" applyFont="1" applyFill="1" applyBorder="1" applyAlignment="1">
      <alignment horizontal="center"/>
    </xf>
    <xf numFmtId="0" fontId="45" fillId="0" borderId="16" xfId="0" applyFont="1" applyBorder="1" applyAlignment="1">
      <alignment horizontal="center"/>
    </xf>
    <xf numFmtId="0" fontId="45" fillId="33" borderId="0" xfId="0" applyFont="1" applyFill="1" applyBorder="1" applyAlignment="1">
      <alignment horizontal="center"/>
    </xf>
    <xf numFmtId="0" fontId="45" fillId="0" borderId="0" xfId="0" applyFont="1" applyBorder="1" applyAlignment="1">
      <alignment horizontal="center"/>
    </xf>
    <xf numFmtId="0" fontId="45" fillId="33" borderId="17" xfId="0" applyFont="1" applyFill="1" applyBorder="1" applyAlignment="1">
      <alignment horizontal="center"/>
    </xf>
    <xf numFmtId="0" fontId="45" fillId="0" borderId="17" xfId="0" applyFont="1" applyBorder="1" applyAlignment="1">
      <alignment horizontal="center"/>
    </xf>
    <xf numFmtId="0" fontId="45" fillId="0" borderId="22" xfId="0" applyFont="1" applyBorder="1"/>
    <xf numFmtId="0" fontId="45" fillId="0" borderId="23" xfId="0" applyFont="1" applyBorder="1"/>
    <xf numFmtId="0" fontId="45" fillId="0" borderId="24" xfId="0" applyFont="1" applyBorder="1"/>
    <xf numFmtId="0" fontId="45" fillId="0" borderId="0" xfId="0" applyFont="1" applyAlignment="1">
      <alignment wrapText="1"/>
    </xf>
    <xf numFmtId="0" fontId="48" fillId="0" borderId="0" xfId="44" applyFont="1" applyAlignment="1">
      <alignment horizontal="left"/>
    </xf>
    <xf numFmtId="0" fontId="48" fillId="0" borderId="0" xfId="44" applyFont="1" applyAlignment="1">
      <alignment horizontal="center"/>
    </xf>
    <xf numFmtId="10" fontId="48" fillId="0" borderId="0" xfId="44" applyNumberFormat="1" applyFont="1" applyAlignment="1">
      <alignment horizontal="center"/>
    </xf>
    <xf numFmtId="0" fontId="48" fillId="0" borderId="0" xfId="44" applyFont="1"/>
    <xf numFmtId="0" fontId="49" fillId="0" borderId="0" xfId="44" applyFont="1"/>
    <xf numFmtId="0" fontId="50" fillId="0" borderId="0" xfId="44" applyFont="1" applyAlignment="1">
      <alignment horizontal="center"/>
    </xf>
    <xf numFmtId="0" fontId="51" fillId="0" borderId="0" xfId="44" applyFont="1" applyAlignment="1">
      <alignment horizontal="center"/>
    </xf>
    <xf numFmtId="0" fontId="48" fillId="0" borderId="18" xfId="44" applyFont="1" applyBorder="1" applyAlignment="1">
      <alignment horizontal="center"/>
    </xf>
    <xf numFmtId="16" fontId="48" fillId="0" borderId="18" xfId="44" quotePrefix="1" applyNumberFormat="1" applyFont="1" applyBorder="1" applyAlignment="1">
      <alignment horizontal="center"/>
    </xf>
    <xf numFmtId="10" fontId="48" fillId="0" borderId="18" xfId="44" applyNumberFormat="1" applyFont="1" applyBorder="1" applyAlignment="1">
      <alignment horizontal="center"/>
    </xf>
    <xf numFmtId="0" fontId="48" fillId="0" borderId="0" xfId="44" applyFont="1" applyBorder="1"/>
    <xf numFmtId="0" fontId="53" fillId="0" borderId="0" xfId="45" applyFont="1" applyAlignment="1">
      <alignment horizontal="left"/>
    </xf>
    <xf numFmtId="164" fontId="48" fillId="0" borderId="18" xfId="44" applyNumberFormat="1" applyFont="1" applyBorder="1" applyAlignment="1" applyProtection="1">
      <alignment horizontal="center"/>
    </xf>
    <xf numFmtId="1" fontId="48" fillId="0" borderId="18" xfId="44" applyNumberFormat="1" applyFont="1" applyBorder="1" applyAlignment="1">
      <alignment horizontal="center"/>
    </xf>
    <xf numFmtId="10" fontId="48" fillId="0" borderId="18" xfId="44" applyNumberFormat="1" applyFont="1" applyBorder="1" applyAlignment="1" applyProtection="1">
      <alignment horizontal="center"/>
    </xf>
    <xf numFmtId="1" fontId="48" fillId="0" borderId="18" xfId="44" applyNumberFormat="1" applyFont="1" applyBorder="1" applyAlignment="1" applyProtection="1">
      <alignment horizontal="center"/>
    </xf>
    <xf numFmtId="0" fontId="47" fillId="0" borderId="18" xfId="44" applyFont="1" applyBorder="1"/>
    <xf numFmtId="0" fontId="54" fillId="0" borderId="0" xfId="44" applyFont="1" applyAlignment="1">
      <alignment horizontal="left"/>
    </xf>
    <xf numFmtId="1" fontId="46" fillId="0" borderId="19" xfId="0" applyNumberFormat="1" applyFont="1" applyBorder="1"/>
    <xf numFmtId="1" fontId="46" fillId="0" borderId="20" xfId="0" applyNumberFormat="1" applyFont="1" applyBorder="1"/>
    <xf numFmtId="1" fontId="46" fillId="0" borderId="21" xfId="0" applyNumberFormat="1" applyFont="1" applyBorder="1"/>
    <xf numFmtId="1" fontId="46" fillId="0" borderId="16" xfId="0" applyNumberFormat="1" applyFont="1" applyBorder="1"/>
    <xf numFmtId="1" fontId="46" fillId="0" borderId="0" xfId="0" applyNumberFormat="1" applyFont="1" applyBorder="1"/>
    <xf numFmtId="1" fontId="46" fillId="0" borderId="17" xfId="0" applyNumberFormat="1" applyFont="1" applyBorder="1"/>
    <xf numFmtId="0" fontId="46" fillId="0" borderId="0" xfId="0" applyNumberFormat="1" applyFont="1"/>
    <xf numFmtId="0" fontId="45" fillId="0" borderId="25" xfId="0" applyFont="1" applyBorder="1" applyAlignment="1">
      <alignment wrapText="1"/>
    </xf>
    <xf numFmtId="0" fontId="36" fillId="0" borderId="0" xfId="33"/>
    <xf numFmtId="165" fontId="0" fillId="0" borderId="0" xfId="0" applyNumberFormat="1"/>
    <xf numFmtId="0" fontId="57" fillId="0" borderId="0" xfId="0" applyFont="1" applyAlignment="1">
      <alignment vertical="top" wrapText="1"/>
    </xf>
    <xf numFmtId="0" fontId="59" fillId="0" borderId="0" xfId="0" applyFont="1" applyAlignment="1">
      <alignment horizontal="left" vertical="top"/>
    </xf>
    <xf numFmtId="166" fontId="58" fillId="0" borderId="0" xfId="0" applyNumberFormat="1" applyFont="1" applyAlignment="1">
      <alignment horizontal="left" vertical="top" wrapText="1"/>
    </xf>
    <xf numFmtId="0" fontId="59" fillId="0" borderId="0" xfId="0" applyFont="1" applyAlignment="1">
      <alignment horizontal="left" vertical="top" wrapText="1"/>
    </xf>
    <xf numFmtId="167" fontId="58" fillId="0" borderId="0" xfId="0" applyNumberFormat="1" applyFont="1" applyAlignment="1">
      <alignment horizontal="left" vertical="top" wrapText="1"/>
    </xf>
    <xf numFmtId="166" fontId="58" fillId="0" borderId="0" xfId="0" applyNumberFormat="1" applyFont="1" applyAlignment="1">
      <alignment horizontal="right" vertical="top" wrapText="1"/>
    </xf>
    <xf numFmtId="169" fontId="58" fillId="0" borderId="0" xfId="0" applyNumberFormat="1" applyFont="1" applyAlignment="1">
      <alignment horizontal="left" vertical="top" wrapText="1"/>
    </xf>
    <xf numFmtId="0" fontId="60" fillId="0" borderId="0" xfId="0" applyFont="1" applyAlignment="1">
      <alignment horizontal="left" vertical="top" wrapText="1"/>
    </xf>
    <xf numFmtId="0" fontId="57" fillId="0" borderId="0" xfId="0" applyFont="1" applyAlignment="1">
      <alignment horizontal="left" vertical="top" wrapText="1"/>
    </xf>
    <xf numFmtId="0" fontId="62" fillId="0" borderId="0" xfId="0" applyFont="1" applyAlignment="1">
      <alignment horizontal="left" vertical="top" wrapText="1"/>
    </xf>
    <xf numFmtId="0" fontId="63" fillId="0" borderId="0" xfId="0" applyFont="1" applyAlignment="1">
      <alignment horizontal="left" vertical="top" wrapText="1"/>
    </xf>
    <xf numFmtId="0" fontId="64" fillId="0" borderId="0" xfId="0" applyFont="1"/>
    <xf numFmtId="168" fontId="58" fillId="36" borderId="0" xfId="0" applyNumberFormat="1" applyFont="1" applyFill="1" applyAlignment="1">
      <alignment horizontal="left" vertical="top" wrapText="1"/>
    </xf>
    <xf numFmtId="0" fontId="59" fillId="36" borderId="0" xfId="0" applyFont="1" applyFill="1" applyAlignment="1">
      <alignment horizontal="left" vertical="top" wrapText="1"/>
    </xf>
    <xf numFmtId="0" fontId="65" fillId="0" borderId="0" xfId="0" applyNumberFormat="1" applyFont="1"/>
    <xf numFmtId="0" fontId="65" fillId="0" borderId="0" xfId="0" applyNumberFormat="1" applyFont="1" applyAlignment="1">
      <alignment horizontal="right"/>
    </xf>
    <xf numFmtId="0" fontId="65" fillId="0" borderId="0" xfId="0" applyNumberFormat="1" applyFont="1" applyFill="1"/>
    <xf numFmtId="49" fontId="23" fillId="0" borderId="0" xfId="38" applyNumberFormat="1" applyFont="1" applyFill="1"/>
    <xf numFmtId="0" fontId="46" fillId="0" borderId="0" xfId="0" applyFont="1" applyFill="1"/>
    <xf numFmtId="1" fontId="46" fillId="0" borderId="0" xfId="0" applyNumberFormat="1" applyFont="1" applyFill="1" applyBorder="1"/>
    <xf numFmtId="1" fontId="46" fillId="0" borderId="20" xfId="0" applyNumberFormat="1" applyFont="1" applyFill="1" applyBorder="1"/>
    <xf numFmtId="0" fontId="45" fillId="0" borderId="0" xfId="0" applyFont="1" applyFill="1" applyAlignment="1">
      <alignment wrapText="1"/>
    </xf>
    <xf numFmtId="0" fontId="21" fillId="0" borderId="26" xfId="47" applyNumberFormat="1" applyFont="1" applyBorder="1" applyAlignment="1"/>
    <xf numFmtId="0" fontId="21" fillId="37" borderId="26" xfId="47" applyNumberFormat="1" applyFont="1" applyFill="1" applyBorder="1" applyAlignment="1"/>
    <xf numFmtId="0" fontId="21"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5" fillId="0" borderId="0" xfId="0" applyFont="1" applyBorder="1" applyAlignment="1">
      <alignment wrapText="1"/>
    </xf>
    <xf numFmtId="0" fontId="46" fillId="0" borderId="0" xfId="0" applyNumberFormat="1" applyFont="1" applyFill="1"/>
    <xf numFmtId="0" fontId="45" fillId="0" borderId="0" xfId="0" applyFont="1" applyFill="1" applyBorder="1" applyAlignment="1">
      <alignment horizontal="center"/>
    </xf>
    <xf numFmtId="0" fontId="45" fillId="0" borderId="23" xfId="0" applyFont="1" applyFill="1" applyBorder="1"/>
    <xf numFmtId="0" fontId="45" fillId="34" borderId="0" xfId="0" applyFont="1" applyFill="1" applyBorder="1" applyAlignment="1">
      <alignment horizontal="center"/>
    </xf>
    <xf numFmtId="0" fontId="45" fillId="34" borderId="17" xfId="0" applyFont="1" applyFill="1" applyBorder="1" applyAlignment="1">
      <alignment horizontal="center"/>
    </xf>
    <xf numFmtId="0" fontId="23" fillId="0" borderId="28" xfId="38" applyNumberFormat="1" applyFont="1" applyBorder="1"/>
    <xf numFmtId="0" fontId="23" fillId="0" borderId="28" xfId="38" applyNumberFormat="1" applyFont="1" applyFill="1" applyBorder="1"/>
    <xf numFmtId="0" fontId="45" fillId="0" borderId="29" xfId="0" applyFont="1" applyBorder="1" applyAlignment="1">
      <alignment horizontal="center"/>
    </xf>
    <xf numFmtId="0" fontId="45" fillId="0" borderId="28" xfId="0" applyFont="1" applyBorder="1" applyAlignment="1">
      <alignment horizontal="center"/>
    </xf>
    <xf numFmtId="0" fontId="45" fillId="0" borderId="28" xfId="0" applyFont="1" applyFill="1" applyBorder="1" applyAlignment="1">
      <alignment horizontal="center"/>
    </xf>
    <xf numFmtId="0" fontId="45" fillId="0" borderId="30" xfId="0" applyFont="1" applyBorder="1" applyAlignment="1">
      <alignment horizontal="center"/>
    </xf>
    <xf numFmtId="0" fontId="25" fillId="0" borderId="31" xfId="0" applyFont="1" applyBorder="1" applyAlignment="1">
      <alignment horizontal="center" wrapText="1"/>
    </xf>
    <xf numFmtId="0" fontId="25" fillId="0" borderId="17" xfId="0" applyFont="1" applyBorder="1" applyAlignment="1">
      <alignment horizontal="center" wrapText="1"/>
    </xf>
    <xf numFmtId="0" fontId="25" fillId="0" borderId="30" xfId="0" applyFont="1" applyBorder="1" applyAlignment="1">
      <alignment horizontal="center" wrapText="1"/>
    </xf>
    <xf numFmtId="0" fontId="45" fillId="0" borderId="28" xfId="0" applyFont="1" applyBorder="1"/>
    <xf numFmtId="0" fontId="45" fillId="0" borderId="28" xfId="0" applyFont="1" applyFill="1" applyBorder="1"/>
    <xf numFmtId="0" fontId="45" fillId="36" borderId="28" xfId="0" applyFont="1" applyFill="1" applyBorder="1"/>
    <xf numFmtId="0" fontId="25" fillId="0" borderId="0" xfId="0" applyFont="1" applyBorder="1" applyAlignment="1">
      <alignment horizontal="center" wrapText="1"/>
    </xf>
    <xf numFmtId="0" fontId="25" fillId="0" borderId="28" xfId="0" applyFont="1" applyBorder="1" applyAlignment="1">
      <alignment horizontal="center" wrapText="1"/>
    </xf>
    <xf numFmtId="0" fontId="44" fillId="0" borderId="0" xfId="0" applyFont="1" applyAlignment="1">
      <alignment wrapText="1"/>
    </xf>
    <xf numFmtId="17" fontId="44" fillId="0" borderId="0" xfId="0" applyNumberFormat="1" applyFont="1" applyAlignment="1">
      <alignment wrapText="1"/>
    </xf>
    <xf numFmtId="0" fontId="67" fillId="0" borderId="0" xfId="0" applyFont="1" applyAlignment="1">
      <alignment wrapText="1"/>
    </xf>
    <xf numFmtId="0" fontId="45" fillId="0" borderId="0" xfId="0" applyNumberFormat="1" applyFont="1" applyAlignment="1">
      <alignment horizontal="center"/>
    </xf>
    <xf numFmtId="0" fontId="45" fillId="0" borderId="0" xfId="0" applyNumberFormat="1" applyFont="1" applyFill="1" applyAlignment="1">
      <alignment horizontal="center"/>
    </xf>
    <xf numFmtId="49" fontId="25" fillId="0" borderId="0" xfId="0" applyNumberFormat="1" applyFont="1" applyFill="1"/>
    <xf numFmtId="49" fontId="0" fillId="0" borderId="0" xfId="0" applyNumberFormat="1" applyFill="1"/>
    <xf numFmtId="49" fontId="25" fillId="0" borderId="0" xfId="0" applyNumberFormat="1" applyFont="1" applyFill="1" applyBorder="1" applyAlignment="1">
      <alignment horizontal="center" wrapText="1"/>
    </xf>
    <xf numFmtId="49" fontId="23" fillId="0" borderId="0" xfId="38" applyNumberFormat="1" applyFont="1" applyFill="1" applyAlignment="1">
      <alignment horizontal="center"/>
    </xf>
    <xf numFmtId="0" fontId="48" fillId="0" borderId="32" xfId="44" applyFont="1" applyBorder="1" applyAlignment="1">
      <alignment horizontal="center"/>
    </xf>
    <xf numFmtId="0" fontId="45"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7" fillId="0" borderId="0" xfId="38" applyNumberFormat="1"/>
    <xf numFmtId="0" fontId="0" fillId="0" borderId="0" xfId="0" applyFont="1"/>
    <xf numFmtId="0" fontId="0" fillId="0" borderId="0" xfId="0" applyFont="1" applyFill="1"/>
    <xf numFmtId="1" fontId="45" fillId="0" borderId="0" xfId="0" applyNumberFormat="1" applyFont="1" applyFill="1" applyBorder="1"/>
    <xf numFmtId="1" fontId="46" fillId="0" borderId="33" xfId="0" applyNumberFormat="1" applyFont="1" applyBorder="1"/>
    <xf numFmtId="1" fontId="46" fillId="0" borderId="34" xfId="0" applyNumberFormat="1" applyFont="1" applyBorder="1"/>
    <xf numFmtId="1" fontId="46" fillId="0" borderId="34" xfId="0" applyNumberFormat="1" applyFont="1" applyFill="1" applyBorder="1"/>
    <xf numFmtId="1" fontId="46" fillId="0" borderId="35" xfId="0" applyNumberFormat="1" applyFont="1" applyBorder="1"/>
    <xf numFmtId="0" fontId="18" fillId="37" borderId="26" xfId="62" applyNumberFormat="1" applyFont="1" applyFill="1" applyBorder="1" applyAlignment="1"/>
    <xf numFmtId="0" fontId="18" fillId="0" borderId="26" xfId="62" applyNumberFormat="1" applyFont="1" applyBorder="1" applyAlignment="1"/>
    <xf numFmtId="49" fontId="25" fillId="0" borderId="0" xfId="0" applyNumberFormat="1" applyFont="1" applyAlignment="1">
      <alignment horizontal="center"/>
    </xf>
    <xf numFmtId="0" fontId="45" fillId="34" borderId="16" xfId="0" applyFont="1" applyFill="1" applyBorder="1" applyAlignment="1">
      <alignment horizontal="center"/>
    </xf>
    <xf numFmtId="0" fontId="45" fillId="34" borderId="0" xfId="0" applyFont="1" applyFill="1" applyBorder="1" applyAlignment="1">
      <alignment horizontal="center" wrapText="1"/>
    </xf>
    <xf numFmtId="1" fontId="45" fillId="0" borderId="0" xfId="0" applyNumberFormat="1" applyFont="1"/>
    <xf numFmtId="1" fontId="45" fillId="0" borderId="0" xfId="0" applyNumberFormat="1" applyFont="1" applyFill="1"/>
    <xf numFmtId="49" fontId="25" fillId="0" borderId="0" xfId="64" applyNumberFormat="1" applyFont="1"/>
    <xf numFmtId="0" fontId="15" fillId="0" borderId="0" xfId="81"/>
    <xf numFmtId="1" fontId="46" fillId="0" borderId="17" xfId="0" applyNumberFormat="1" applyFont="1" applyFill="1" applyBorder="1"/>
    <xf numFmtId="0" fontId="68" fillId="0" borderId="26" xfId="0" applyFont="1" applyBorder="1"/>
    <xf numFmtId="0" fontId="56" fillId="0" borderId="0" xfId="0" applyFont="1" applyAlignment="1">
      <alignment wrapText="1"/>
    </xf>
    <xf numFmtId="0" fontId="56" fillId="0" borderId="0" xfId="0" applyFont="1" applyAlignment="1">
      <alignment horizontal="center" wrapText="1"/>
    </xf>
    <xf numFmtId="1" fontId="56" fillId="0" borderId="0" xfId="0" applyNumberFormat="1" applyFont="1" applyAlignment="1">
      <alignment horizontal="center" wrapText="1"/>
    </xf>
    <xf numFmtId="0" fontId="25" fillId="0" borderId="0" xfId="0" applyFont="1" applyAlignment="1">
      <alignment wrapText="1"/>
    </xf>
    <xf numFmtId="0" fontId="42" fillId="0" borderId="0" xfId="0" applyFont="1" applyAlignment="1">
      <alignment wrapText="1"/>
    </xf>
    <xf numFmtId="0" fontId="42" fillId="0" borderId="0" xfId="0" applyFont="1" applyAlignment="1">
      <alignment horizontal="center" wrapText="1"/>
    </xf>
    <xf numFmtId="1" fontId="42" fillId="0" borderId="0" xfId="0" applyNumberFormat="1" applyFont="1" applyAlignment="1">
      <alignment horizontal="center" wrapText="1"/>
    </xf>
    <xf numFmtId="1" fontId="0" fillId="0" borderId="0" xfId="0" applyNumberFormat="1" applyAlignment="1">
      <alignment horizontal="center" wrapText="1"/>
    </xf>
    <xf numFmtId="0" fontId="14" fillId="37" borderId="36" xfId="0" applyNumberFormat="1" applyFont="1" applyFill="1" applyBorder="1"/>
    <xf numFmtId="0" fontId="14"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12" fillId="0" borderId="0" xfId="96" applyFill="1" applyAlignment="1">
      <alignment wrapText="1"/>
    </xf>
    <xf numFmtId="0" fontId="11" fillId="0" borderId="0" xfId="96" applyFont="1" applyFill="1" applyAlignment="1">
      <alignment wrapText="1"/>
    </xf>
    <xf numFmtId="49" fontId="10" fillId="0" borderId="0" xfId="38" applyNumberFormat="1" applyFont="1"/>
    <xf numFmtId="49" fontId="10" fillId="0" borderId="0" xfId="38" applyNumberFormat="1" applyFont="1" applyAlignment="1">
      <alignment horizontal="center"/>
    </xf>
    <xf numFmtId="0" fontId="10" fillId="0" borderId="0" xfId="97" applyAlignment="1">
      <alignment horizontal="center"/>
    </xf>
    <xf numFmtId="1" fontId="10" fillId="0" borderId="0" xfId="97" applyNumberFormat="1" applyAlignment="1">
      <alignment horizontal="center"/>
    </xf>
    <xf numFmtId="1" fontId="10" fillId="33" borderId="0" xfId="97" applyNumberFormat="1" applyFill="1" applyAlignment="1">
      <alignment horizontal="center"/>
    </xf>
    <xf numFmtId="0" fontId="45" fillId="0" borderId="0" xfId="0" applyNumberFormat="1" applyFont="1"/>
    <xf numFmtId="49" fontId="9" fillId="0" borderId="0" xfId="38" applyNumberFormat="1" applyFont="1" applyAlignment="1">
      <alignment horizontal="center"/>
    </xf>
    <xf numFmtId="0" fontId="56" fillId="0" borderId="0" xfId="98" applyFont="1"/>
    <xf numFmtId="1" fontId="56" fillId="0" borderId="0" xfId="98" applyNumberFormat="1" applyFont="1" applyAlignment="1">
      <alignment horizontal="center"/>
    </xf>
    <xf numFmtId="0" fontId="9" fillId="0" borderId="0" xfId="98"/>
    <xf numFmtId="0" fontId="42" fillId="0" borderId="0" xfId="98" applyFont="1"/>
    <xf numFmtId="0" fontId="42" fillId="0" borderId="0" xfId="98" applyFont="1" applyAlignment="1">
      <alignment horizontal="center"/>
    </xf>
    <xf numFmtId="1" fontId="42" fillId="0" borderId="0" xfId="98" applyNumberFormat="1" applyFont="1" applyAlignment="1">
      <alignment horizontal="center"/>
    </xf>
    <xf numFmtId="0" fontId="9" fillId="0" borderId="0" xfId="98" applyAlignment="1">
      <alignment horizontal="center"/>
    </xf>
    <xf numFmtId="1" fontId="9" fillId="0" borderId="0" xfId="98" applyNumberFormat="1" applyAlignment="1">
      <alignment horizontal="center"/>
    </xf>
    <xf numFmtId="0" fontId="8" fillId="0" borderId="0" xfId="98" applyFont="1"/>
    <xf numFmtId="0" fontId="71" fillId="0" borderId="0" xfId="0" applyFont="1" applyAlignment="1">
      <alignment horizontal="center" wrapText="1"/>
    </xf>
    <xf numFmtId="0" fontId="45" fillId="0" borderId="0" xfId="0" applyFont="1" applyAlignment="1">
      <alignment horizontal="center" wrapText="1"/>
    </xf>
    <xf numFmtId="0" fontId="45" fillId="0" borderId="12" xfId="0" applyFont="1" applyBorder="1" applyAlignment="1">
      <alignment wrapText="1"/>
    </xf>
    <xf numFmtId="0" fontId="45" fillId="42" borderId="0" xfId="0" applyFont="1" applyFill="1" applyAlignment="1">
      <alignment wrapText="1"/>
    </xf>
    <xf numFmtId="0" fontId="65" fillId="0" borderId="37" xfId="0" applyFont="1" applyBorder="1"/>
    <xf numFmtId="0" fontId="65" fillId="0" borderId="37" xfId="0" applyFont="1" applyFill="1" applyBorder="1"/>
    <xf numFmtId="0" fontId="0" fillId="0" borderId="37" xfId="0" applyBorder="1" applyAlignment="1">
      <alignment horizontal="center" wrapText="1"/>
    </xf>
    <xf numFmtId="0" fontId="44" fillId="0" borderId="18" xfId="0" applyFont="1" applyBorder="1" applyAlignment="1">
      <alignment wrapText="1"/>
    </xf>
    <xf numFmtId="0" fontId="71" fillId="0" borderId="13" xfId="0" applyFont="1" applyBorder="1" applyAlignment="1">
      <alignment horizontal="center" wrapText="1"/>
    </xf>
    <xf numFmtId="0" fontId="71" fillId="0" borderId="14" xfId="0" applyFont="1" applyBorder="1" applyAlignment="1">
      <alignment horizontal="center" wrapText="1"/>
    </xf>
    <xf numFmtId="0" fontId="71" fillId="0" borderId="15" xfId="0" applyFont="1" applyBorder="1" applyAlignment="1">
      <alignment horizontal="center" wrapText="1"/>
    </xf>
    <xf numFmtId="0" fontId="56" fillId="0" borderId="0" xfId="98" applyFont="1" applyAlignment="1">
      <alignment horizontal="center"/>
    </xf>
    <xf numFmtId="0" fontId="73" fillId="0" borderId="0" xfId="0" applyFont="1"/>
    <xf numFmtId="0" fontId="74" fillId="36" borderId="0" xfId="0" applyFont="1" applyFill="1" applyAlignment="1"/>
    <xf numFmtId="0" fontId="56" fillId="36" borderId="0" xfId="0" applyFont="1" applyFill="1" applyAlignment="1">
      <alignment wrapText="1"/>
    </xf>
    <xf numFmtId="0" fontId="7" fillId="0" borderId="0" xfId="96" applyFont="1" applyFill="1" applyAlignment="1">
      <alignment wrapText="1"/>
    </xf>
    <xf numFmtId="49" fontId="6" fillId="0" borderId="0" xfId="38" applyNumberFormat="1" applyFont="1"/>
    <xf numFmtId="49" fontId="5" fillId="0" borderId="0" xfId="38" applyNumberFormat="1" applyFont="1"/>
    <xf numFmtId="0" fontId="73" fillId="0" borderId="0" xfId="98" applyFont="1" applyFill="1"/>
    <xf numFmtId="0" fontId="75" fillId="43" borderId="0" xfId="98" applyFont="1" applyFill="1" applyAlignment="1">
      <alignment horizontal="center"/>
    </xf>
    <xf numFmtId="1" fontId="75" fillId="0" borderId="0" xfId="98" applyNumberFormat="1" applyFont="1" applyFill="1" applyAlignment="1">
      <alignment horizontal="center"/>
    </xf>
    <xf numFmtId="0" fontId="75" fillId="0" borderId="0" xfId="98" applyFont="1" applyFill="1" applyAlignment="1">
      <alignment horizontal="center"/>
    </xf>
    <xf numFmtId="0" fontId="65" fillId="36" borderId="0" xfId="0" applyNumberFormat="1" applyFont="1" applyFill="1"/>
    <xf numFmtId="0" fontId="45"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5" fillId="36" borderId="0" xfId="0" applyNumberFormat="1" applyFont="1" applyFill="1" applyAlignment="1">
      <alignment horizontal="center"/>
    </xf>
    <xf numFmtId="49" fontId="23" fillId="36" borderId="0" xfId="38" applyNumberFormat="1" applyFont="1" applyFill="1" applyAlignment="1">
      <alignment horizontal="center"/>
    </xf>
    <xf numFmtId="0" fontId="0" fillId="36" borderId="0" xfId="0" applyFill="1"/>
    <xf numFmtId="49" fontId="4" fillId="36" borderId="0" xfId="38" applyNumberFormat="1" applyFont="1" applyFill="1"/>
    <xf numFmtId="0" fontId="0" fillId="36" borderId="0" xfId="0" applyFill="1" applyAlignment="1">
      <alignment wrapText="1"/>
    </xf>
    <xf numFmtId="49" fontId="3" fillId="0" borderId="0" xfId="38" applyNumberFormat="1" applyFont="1" applyAlignment="1">
      <alignment horizontal="center"/>
    </xf>
    <xf numFmtId="0" fontId="76" fillId="44" borderId="26" xfId="0" applyFont="1" applyFill="1" applyBorder="1" applyAlignment="1">
      <alignment horizontal="center" wrapText="1"/>
    </xf>
    <xf numFmtId="0" fontId="76" fillId="44" borderId="38" xfId="0" applyFont="1" applyFill="1" applyBorder="1" applyAlignment="1">
      <alignment horizontal="center" wrapText="1"/>
    </xf>
    <xf numFmtId="0" fontId="2" fillId="0" borderId="38" xfId="0" applyNumberFormat="1" applyFont="1" applyBorder="1"/>
    <xf numFmtId="0" fontId="68" fillId="0" borderId="38" xfId="0" applyFont="1" applyBorder="1"/>
    <xf numFmtId="49" fontId="68" fillId="0" borderId="38" xfId="0" applyNumberFormat="1" applyFont="1" applyBorder="1" applyAlignment="1">
      <alignment horizontal="center"/>
    </xf>
    <xf numFmtId="0" fontId="2" fillId="0" borderId="26" xfId="0" applyNumberFormat="1" applyFont="1" applyBorder="1"/>
    <xf numFmtId="0" fontId="2" fillId="37" borderId="26" xfId="0" applyNumberFormat="1" applyFont="1" applyFill="1" applyBorder="1"/>
    <xf numFmtId="0" fontId="2" fillId="37" borderId="38" xfId="0" applyNumberFormat="1" applyFont="1" applyFill="1" applyBorder="1"/>
    <xf numFmtId="0" fontId="68" fillId="37" borderId="38" xfId="0" applyFont="1" applyFill="1" applyBorder="1"/>
    <xf numFmtId="49" fontId="68" fillId="37" borderId="38" xfId="0" applyNumberFormat="1" applyFont="1" applyFill="1" applyBorder="1" applyAlignment="1">
      <alignment horizontal="center"/>
    </xf>
    <xf numFmtId="0" fontId="2" fillId="0" borderId="38" xfId="0" applyFont="1" applyBorder="1" applyAlignment="1">
      <alignment wrapText="1"/>
    </xf>
    <xf numFmtId="0" fontId="2" fillId="37" borderId="38" xfId="0" applyFont="1" applyFill="1" applyBorder="1" applyAlignment="1">
      <alignment wrapText="1"/>
    </xf>
    <xf numFmtId="0" fontId="77" fillId="44" borderId="38" xfId="0" applyFont="1" applyFill="1" applyBorder="1" applyAlignment="1">
      <alignment horizontal="center" wrapText="1"/>
    </xf>
    <xf numFmtId="49" fontId="2" fillId="37" borderId="38" xfId="38" applyNumberFormat="1" applyFont="1" applyFill="1" applyBorder="1" applyAlignment="1">
      <alignment horizontal="center"/>
    </xf>
    <xf numFmtId="49" fontId="2" fillId="37" borderId="38" xfId="38" applyNumberFormat="1" applyFont="1" applyFill="1" applyBorder="1" applyAlignment="1"/>
    <xf numFmtId="49" fontId="2" fillId="0" borderId="38" xfId="38" applyNumberFormat="1" applyFont="1" applyBorder="1" applyAlignment="1">
      <alignment horizontal="center"/>
    </xf>
    <xf numFmtId="49" fontId="2" fillId="0" borderId="38" xfId="38" applyNumberFormat="1" applyFont="1" applyBorder="1" applyAlignment="1"/>
    <xf numFmtId="0" fontId="42" fillId="0" borderId="39" xfId="0" applyFont="1" applyBorder="1"/>
    <xf numFmtId="0" fontId="42" fillId="0" borderId="40" xfId="0" applyFont="1" applyBorder="1"/>
    <xf numFmtId="0" fontId="42" fillId="0" borderId="40" xfId="0" applyFont="1" applyBorder="1" applyAlignment="1">
      <alignment horizontal="center"/>
    </xf>
    <xf numFmtId="0" fontId="42" fillId="0" borderId="40" xfId="0" applyNumberFormat="1" applyFont="1" applyBorder="1" applyAlignment="1"/>
    <xf numFmtId="0" fontId="42" fillId="0" borderId="41" xfId="0" applyNumberFormat="1" applyFont="1" applyBorder="1" applyAlignment="1"/>
    <xf numFmtId="0" fontId="42" fillId="0" borderId="42" xfId="0" applyFont="1" applyBorder="1"/>
    <xf numFmtId="0" fontId="42" fillId="0" borderId="41" xfId="0" applyFont="1" applyBorder="1"/>
    <xf numFmtId="1" fontId="42" fillId="0" borderId="42" xfId="0" applyNumberFormat="1" applyFont="1" applyBorder="1"/>
    <xf numFmtId="1" fontId="42" fillId="0" borderId="40" xfId="0" applyNumberFormat="1" applyFont="1" applyBorder="1"/>
    <xf numFmtId="0" fontId="78" fillId="0" borderId="40" xfId="0" applyFont="1" applyBorder="1"/>
    <xf numFmtId="0" fontId="78" fillId="0" borderId="43" xfId="0" applyFont="1" applyBorder="1"/>
    <xf numFmtId="0" fontId="76" fillId="44" borderId="0" xfId="0" applyFont="1" applyFill="1" applyBorder="1" applyAlignment="1">
      <alignment horizontal="center" wrapText="1"/>
    </xf>
    <xf numFmtId="17" fontId="0" fillId="0" borderId="0" xfId="0" applyNumberFormat="1"/>
    <xf numFmtId="0" fontId="73" fillId="45" borderId="44" xfId="0" applyFont="1" applyFill="1" applyBorder="1"/>
    <xf numFmtId="0" fontId="73" fillId="0" borderId="44" xfId="0" applyFont="1" applyBorder="1"/>
    <xf numFmtId="0" fontId="0" fillId="0" borderId="27" xfId="0" applyFont="1" applyBorder="1" applyAlignment="1">
      <alignment horizontal="center" wrapText="1"/>
    </xf>
    <xf numFmtId="0" fontId="0" fillId="0" borderId="0" xfId="0" applyFont="1" applyBorder="1" applyAlignment="1">
      <alignment horizontal="center" wrapText="1"/>
    </xf>
    <xf numFmtId="0" fontId="42" fillId="0" borderId="39" xfId="0" applyNumberFormat="1" applyFont="1" applyBorder="1" applyAlignment="1"/>
    <xf numFmtId="0" fontId="42" fillId="0" borderId="42" xfId="0" applyNumberFormat="1" applyFont="1" applyBorder="1" applyAlignment="1"/>
    <xf numFmtId="0" fontId="42" fillId="0" borderId="43" xfId="0" applyNumberFormat="1" applyFont="1" applyBorder="1" applyAlignment="1"/>
    <xf numFmtId="1" fontId="45" fillId="36" borderId="0" xfId="0" applyNumberFormat="1" applyFont="1" applyFill="1"/>
    <xf numFmtId="0" fontId="1" fillId="0" borderId="0" xfId="0" applyNumberFormat="1" applyFont="1" applyFill="1" applyBorder="1" applyAlignment="1" applyProtection="1"/>
    <xf numFmtId="0" fontId="1" fillId="41"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49" fontId="25" fillId="0" borderId="0" xfId="0" applyNumberFormat="1" applyFont="1" applyFill="1" applyBorder="1"/>
    <xf numFmtId="1" fontId="0" fillId="0" borderId="0" xfId="0" applyNumberFormat="1" applyFill="1"/>
    <xf numFmtId="49" fontId="25" fillId="0" borderId="0" xfId="64" applyNumberFormat="1" applyFont="1" applyFill="1"/>
    <xf numFmtId="0" fontId="0" fillId="0" borderId="0" xfId="0" applyFill="1"/>
    <xf numFmtId="49" fontId="1" fillId="36" borderId="0" xfId="38" applyNumberFormat="1" applyFont="1" applyFill="1" applyAlignment="1">
      <alignment horizontal="center"/>
    </xf>
    <xf numFmtId="0" fontId="44" fillId="0" borderId="13" xfId="0" applyFont="1" applyBorder="1" applyAlignment="1">
      <alignment horizontal="center" wrapText="1"/>
    </xf>
    <xf numFmtId="0" fontId="44" fillId="0" borderId="15" xfId="0" applyFont="1" applyBorder="1" applyAlignment="1">
      <alignment horizontal="center" wrapText="1"/>
    </xf>
    <xf numFmtId="0" fontId="72" fillId="0" borderId="13" xfId="0" applyFont="1" applyBorder="1" applyAlignment="1">
      <alignment horizontal="center"/>
    </xf>
    <xf numFmtId="0" fontId="72" fillId="0" borderId="14" xfId="0" applyFont="1" applyBorder="1" applyAlignment="1">
      <alignment horizontal="center"/>
    </xf>
    <xf numFmtId="0" fontId="72" fillId="0" borderId="15" xfId="0" applyFont="1" applyBorder="1" applyAlignment="1">
      <alignment horizontal="center"/>
    </xf>
    <xf numFmtId="0" fontId="55" fillId="0" borderId="0" xfId="0" applyFont="1" applyFill="1" applyAlignment="1">
      <alignment horizontal="center" wrapText="1"/>
    </xf>
    <xf numFmtId="0" fontId="66" fillId="0" borderId="0" xfId="0" applyFont="1" applyFill="1" applyAlignment="1">
      <alignment horizontal="center" wrapText="1"/>
    </xf>
    <xf numFmtId="0" fontId="44" fillId="0" borderId="14" xfId="0" applyFont="1" applyBorder="1" applyAlignment="1">
      <alignment horizontal="center" wrapText="1"/>
    </xf>
    <xf numFmtId="0" fontId="69" fillId="0" borderId="17" xfId="0" applyFont="1" applyBorder="1" applyAlignment="1">
      <alignment horizontal="left" wrapText="1"/>
    </xf>
    <xf numFmtId="0" fontId="56" fillId="0" borderId="0" xfId="0" applyFont="1" applyAlignment="1">
      <alignment horizontal="center" wrapText="1"/>
    </xf>
    <xf numFmtId="17" fontId="56" fillId="0" borderId="0" xfId="0" applyNumberFormat="1" applyFont="1" applyAlignment="1">
      <alignment horizontal="center" wrapText="1"/>
    </xf>
    <xf numFmtId="0" fontId="56" fillId="0" borderId="0" xfId="98" applyFont="1" applyAlignment="1">
      <alignment horizontal="center"/>
    </xf>
    <xf numFmtId="17" fontId="56" fillId="0" borderId="0" xfId="98" applyNumberFormat="1" applyFont="1" applyAlignment="1">
      <alignment horizontal="center"/>
    </xf>
  </cellXfs>
  <cellStyles count="121">
    <cellStyle name="20% - Accent1" xfId="1" builtinId="30" customBuiltin="1"/>
    <cellStyle name="20% - Accent1 2" xfId="50"/>
    <cellStyle name="20% - Accent1 3" xfId="65"/>
    <cellStyle name="20% - Accent1 4" xfId="83"/>
    <cellStyle name="20% - Accent2" xfId="2" builtinId="34" customBuiltin="1"/>
    <cellStyle name="20% - Accent2 2" xfId="52"/>
    <cellStyle name="20% - Accent2 3" xfId="66"/>
    <cellStyle name="20% - Accent2 4" xfId="85"/>
    <cellStyle name="20% - Accent3" xfId="3" builtinId="38" customBuiltin="1"/>
    <cellStyle name="20% - Accent3 2" xfId="54"/>
    <cellStyle name="20% - Accent3 3" xfId="67"/>
    <cellStyle name="20% - Accent3 4" xfId="87"/>
    <cellStyle name="20% - Accent4" xfId="4" builtinId="42" customBuiltin="1"/>
    <cellStyle name="20% - Accent4 2" xfId="56"/>
    <cellStyle name="20% - Accent4 3" xfId="68"/>
    <cellStyle name="20% - Accent4 4" xfId="89"/>
    <cellStyle name="20% - Accent5" xfId="5" builtinId="46" customBuiltin="1"/>
    <cellStyle name="20% - Accent5 2" xfId="58"/>
    <cellStyle name="20% - Accent5 3" xfId="69"/>
    <cellStyle name="20% - Accent5 4" xfId="91"/>
    <cellStyle name="20% - Accent6" xfId="6" builtinId="50" customBuiltin="1"/>
    <cellStyle name="20% - Accent6 2" xfId="60"/>
    <cellStyle name="20% - Accent6 3" xfId="70"/>
    <cellStyle name="20% - Accent6 4" xfId="93"/>
    <cellStyle name="40% - Accent1" xfId="7" builtinId="31" customBuiltin="1"/>
    <cellStyle name="40% - Accent1 2" xfId="51"/>
    <cellStyle name="40% - Accent1 3" xfId="71"/>
    <cellStyle name="40% - Accent1 4" xfId="84"/>
    <cellStyle name="40% - Accent2" xfId="8" builtinId="35" customBuiltin="1"/>
    <cellStyle name="40% - Accent2 2" xfId="53"/>
    <cellStyle name="40% - Accent2 3" xfId="72"/>
    <cellStyle name="40% - Accent2 4" xfId="86"/>
    <cellStyle name="40% - Accent3" xfId="9" builtinId="39" customBuiltin="1"/>
    <cellStyle name="40% - Accent3 2" xfId="55"/>
    <cellStyle name="40% - Accent3 3" xfId="73"/>
    <cellStyle name="40% - Accent3 4" xfId="88"/>
    <cellStyle name="40% - Accent4" xfId="10" builtinId="43" customBuiltin="1"/>
    <cellStyle name="40% - Accent4 2" xfId="57"/>
    <cellStyle name="40% - Accent4 3" xfId="74"/>
    <cellStyle name="40% - Accent4 4" xfId="90"/>
    <cellStyle name="40% - Accent5" xfId="11" builtinId="47" customBuiltin="1"/>
    <cellStyle name="40% - Accent5 2" xfId="59"/>
    <cellStyle name="40% - Accent5 3" xfId="75"/>
    <cellStyle name="40% - Accent5 4" xfId="92"/>
    <cellStyle name="40% - Accent6" xfId="12" builtinId="51" customBuiltin="1"/>
    <cellStyle name="40% - Accent6 2" xfId="61"/>
    <cellStyle name="40% - Accent6 3" xfId="76"/>
    <cellStyle name="40% - Accent6 4" xfId="94"/>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cellStyle name="Normal 11" xfId="95"/>
    <cellStyle name="Normal 12" xfId="96"/>
    <cellStyle name="Normal 13" xfId="97"/>
    <cellStyle name="Normal 14" xfId="98"/>
    <cellStyle name="Normal 2" xfId="38"/>
    <cellStyle name="Normal 2 2" xfId="45"/>
    <cellStyle name="Normal 2 3" xfId="77"/>
    <cellStyle name="Normal 2 4" xfId="99"/>
    <cellStyle name="Normal 3" xfId="44"/>
    <cellStyle name="Normal 4" xfId="46"/>
    <cellStyle name="Normal 4 2" xfId="79"/>
    <cellStyle name="Normal 5" xfId="47"/>
    <cellStyle name="Normal 5 2" xfId="80"/>
    <cellStyle name="Normal 6" xfId="48"/>
    <cellStyle name="Normal 7" xfId="62"/>
    <cellStyle name="Normal 8" xfId="63"/>
    <cellStyle name="Normal 9" xfId="64"/>
    <cellStyle name="Note 2" xfId="39"/>
    <cellStyle name="Note 2 2" xfId="78"/>
    <cellStyle name="Note 3" xfId="49"/>
    <cellStyle name="Note 4" xfId="82"/>
    <cellStyle name="Output" xfId="40" builtinId="21" customBuiltin="1"/>
    <cellStyle name="Title" xfId="41" builtinId="15" customBuiltin="1"/>
    <cellStyle name="Total" xfId="42" builtinId="25" customBuiltin="1"/>
    <cellStyle name="Warning Text" xfId="43" builtinId="11" customBuiltin="1"/>
  </cellStyles>
  <dxfs count="166">
    <dxf>
      <font>
        <b/>
        <i val="0"/>
        <strike val="0"/>
        <condense val="0"/>
        <extend val="0"/>
        <outline val="0"/>
        <shadow val="0"/>
        <u val="none"/>
        <vertAlign val="baseline"/>
        <sz val="10"/>
        <color theme="1"/>
        <name val="Times New Roman"/>
        <scheme val="none"/>
      </font>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theme="4" tint="0.39997558519241921"/>
        </left>
        <right/>
        <top style="double">
          <color theme="4"/>
        </top>
        <bottom style="thin">
          <color theme="4" tint="0.39997558519241921"/>
        </bottom>
      </border>
    </dxf>
    <dxf>
      <fill>
        <patternFill patternType="solid">
          <fgColor rgb="FFFFFF00"/>
          <bgColor rgb="FF000000"/>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8"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7"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border diagonalUp="0" diagonalDown="0">
        <left style="thin">
          <color indexed="64"/>
        </left>
        <right/>
        <top/>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border diagonalUp="0" diagonalDown="0">
        <left style="thin">
          <color indexed="64"/>
        </left>
        <right/>
        <top/>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theme="4" tint="0.39997558519241921"/>
        </left>
        <right/>
        <top style="double">
          <color theme="4"/>
        </top>
        <bottom style="thin">
          <color theme="4" tint="0.39997558519241921"/>
        </bottom>
      </border>
    </dxf>
    <dxf>
      <font>
        <sz val="11"/>
        <color rgb="FF000000"/>
        <name val="Calibri"/>
      </font>
      <alignment horizontal="center" vertical="bottom" textRotation="0" wrapText="0" indent="0" justifyLastLine="0" shrinkToFit="0" readingOrder="0"/>
    </dxf>
    <dxf>
      <font>
        <sz val="11"/>
        <color rgb="FF000000"/>
        <name val="Calibri"/>
      </font>
      <numFmt numFmtId="1" formatCode="0"/>
      <alignment horizontal="center" vertical="bottom" textRotation="0" wrapText="0" indent="0" justifyLastLine="0" shrinkToFit="0" readingOrder="0"/>
    </dxf>
    <dxf>
      <font>
        <sz val="11"/>
        <color rgb="FF000000"/>
        <name val="Calibri"/>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dxf>
    <dxf>
      <font>
        <b val="0"/>
        <i val="0"/>
        <strike val="0"/>
        <condense val="0"/>
        <extend val="0"/>
        <outline val="0"/>
        <shadow val="0"/>
        <u val="none"/>
        <vertAlign val="baseline"/>
        <sz val="11"/>
        <color rgb="FF000000"/>
        <name val="Calibri"/>
        <scheme val="none"/>
      </font>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z val="11"/>
        <name val="Calibri"/>
        <scheme val="minor"/>
      </font>
      <fill>
        <patternFill patternType="none">
          <fgColor indexed="64"/>
          <bgColor indexed="65"/>
        </patternFill>
      </fill>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
      <font>
        <color rgb="FF9C0006"/>
      </font>
      <fill>
        <patternFill>
          <bgColor rgb="FFFFC7CE"/>
        </patternFill>
      </fill>
    </dxf>
    <dxf>
      <fill>
        <patternFill>
          <bgColor rgb="FFFFFF00"/>
        </patternFill>
      </fill>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externalLink" Target="externalLinks/externalLink1.xml"/><Relationship Id="rId15" Type="http://schemas.openxmlformats.org/officeDocument/2006/relationships/pivotCacheDefinition" Target="pivotCache/pivotCacheDefinition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90.516458564816" createdVersion="4" refreshedVersion="6" minRefreshableVersion="3" recordCount="19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62">
      <pivotArea field="2" type="button" dataOnly="0" labelOnly="1" outline="0" axis="axisRow" fieldPosition="0"/>
    </format>
    <format dxfId="61">
      <pivotArea dataOnly="0" labelOnly="1" outline="0" fieldPosition="0">
        <references count="1">
          <reference field="4294967294" count="2">
            <x v="0"/>
            <x v="1"/>
          </reference>
        </references>
      </pivotArea>
    </format>
    <format dxfId="60">
      <pivotArea dataOnly="0" outline="0" fieldPosition="0">
        <references count="1">
          <reference field="4294967294" count="2">
            <x v="0"/>
            <x v="1"/>
          </reference>
        </references>
      </pivotArea>
    </format>
    <format dxfId="59">
      <pivotArea dataOnly="0" outline="0" fieldPosition="0">
        <references count="1">
          <reference field="4294967294" count="1">
            <x v="0"/>
          </reference>
        </references>
      </pivotArea>
    </format>
    <format dxfId="58">
      <pivotArea dataOnly="0" outline="0" fieldPosition="0">
        <references count="1">
          <reference field="4294967294" count="1">
            <x v="1"/>
          </reference>
        </references>
      </pivotArea>
    </format>
    <format dxfId="57">
      <pivotArea dataOnly="0" outline="0" fieldPosition="0">
        <references count="1">
          <reference field="4294967294" count="1">
            <x v="0"/>
          </reference>
        </references>
      </pivotArea>
    </format>
    <format dxfId="56">
      <pivotArea dataOnly="0" outline="0" fieldPosition="0">
        <references count="1">
          <reference field="4294967294" count="1">
            <x v="1"/>
          </reference>
        </references>
      </pivotArea>
    </format>
    <format dxfId="55">
      <pivotArea outline="0" fieldPosition="0">
        <references count="1">
          <reference field="4294967294" count="1">
            <x v="2"/>
          </reference>
        </references>
      </pivotArea>
    </format>
    <format dxfId="54">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6" name="rrcworking" displayName="rrcworking" ref="C5:AQ195" totalsRowCount="1" headerRowDxfId="163" dataDxfId="162">
  <autoFilter ref="C5:AQ194">
    <filterColumn colId="0">
      <filters>
        <filter val="34001"/>
        <filter val="48001"/>
        <filter val="599109"/>
        <filter val="699109"/>
        <filter val="80001"/>
        <filter val="82001"/>
        <filter val="92001"/>
        <filter val="93701"/>
        <filter val="93806"/>
        <filter val="93901"/>
        <filter val="95801"/>
        <filter val="96501"/>
        <filter val="96701"/>
        <filter val="96901"/>
        <filter val="98201"/>
        <filter val="98401"/>
        <filter val="98801"/>
        <filter val="98910"/>
        <filter val="98915"/>
        <filter val="98921"/>
        <filter val="98955"/>
        <filter val="98956"/>
        <filter val="98958"/>
        <filter val="98959"/>
        <filter val="98961"/>
        <filter val="98965"/>
        <filter val="98979"/>
        <filter val="98983"/>
        <filter val="98987"/>
        <filter val="98988"/>
        <filter val="98990"/>
        <filter val="99007"/>
        <filter val="99017"/>
        <filter val="99026"/>
        <filter val="99058"/>
        <filter val="99066"/>
        <filter val="99067"/>
        <filter val="99069"/>
        <filter val="99093"/>
        <filter val="99094"/>
        <filter val="99095"/>
        <filter val="99101"/>
        <filter val="99102"/>
        <filter val="99113"/>
        <filter val="99128"/>
        <filter val="99132"/>
        <filter val="99133"/>
        <filter val="99134"/>
        <filter val="99140"/>
        <filter val="99158"/>
        <filter val="99159"/>
        <filter val="99161"/>
        <filter val="99186"/>
        <filter val="99194"/>
        <filter val="99216"/>
        <filter val="99225"/>
        <filter val="99228"/>
        <filter val="99229"/>
        <filter val="99230"/>
        <filter val="99246"/>
        <filter val="99247"/>
        <filter val="99255"/>
        <filter val="99256"/>
        <filter val="99259"/>
        <filter val="99265"/>
        <filter val="99266"/>
        <filter val="99267"/>
        <filter val="99268"/>
        <filter val="99269"/>
        <filter val="99270"/>
        <filter val="99278"/>
        <filter val="99282"/>
        <filter val="99286"/>
        <filter val="99288"/>
        <filter val="99293"/>
        <filter val="99294"/>
        <filter val="99295"/>
        <filter val="99296"/>
        <filter val="99297"/>
        <filter val="99302"/>
        <filter val="99305"/>
        <filter val="99307"/>
        <filter val="99312"/>
      </filters>
    </filterColumn>
    <filterColumn colId="18">
      <colorFilter dxfId="41"/>
    </filterColumn>
  </autoFilter>
  <sortState ref="C6:AE197">
    <sortCondition ref="E5:E197"/>
  </sortState>
  <tableColumns count="41">
    <tableColumn id="14" name="Magnum Wolfpak #" totalsRowFunction="count" dataDxfId="161" totalsRowDxfId="40"/>
    <tableColumn id="28" name="Field Name" dataDxfId="160" totalsRowDxfId="39"/>
    <tableColumn id="1" name="Lease Name" totalsRowLabel="Total" dataDxfId="159" totalsRowDxfId="38"/>
    <tableColumn id="4" name="Well Number" totalsRowFunction="count" dataDxfId="158" totalsRowDxfId="37"/>
    <tableColumn id="29" name="Commingle Permit Number" dataDxfId="157" totalsRowDxfId="36"/>
    <tableColumn id="16" name="District" dataDxfId="156" totalsRowDxfId="35"/>
    <tableColumn id="30" name="Lease Type" dataDxfId="155" totalsRowDxfId="34"/>
    <tableColumn id="2" name="RRC ID" dataDxfId="154" totalsRowDxfId="33" dataCellStyle="Normal 2"/>
    <tableColumn id="3" name="RRC ID Number" dataDxfId="153" totalsRowDxfId="32" dataCellStyle="Normal 2"/>
    <tableColumn id="5" name=" Last Month Oil Production" totalsRowFunction="sum" dataDxfId="152" totalsRowDxfId="31">
      <calculatedColumnFormula>INDEX(Table1[Production],MATCH(rrcworking[[#This Row],[RRC ID Number]],Table1[RRC Identifier],0))</calculatedColumnFormula>
    </tableColumn>
    <tableColumn id="6" name="Last Month Gas Prod" totalsRowFunction="sum" dataDxfId="151" totalsRowDxfId="30">
      <calculatedColumnFormula>INDEX(Table1[Formation Production],MATCH(rrcworking[[#This Row],[RRC ID Number]],Table1[RRC Identifier],0))</calculatedColumnFormula>
    </tableColumn>
    <tableColumn id="7" name="Last Month Closing Stock" totalsRowFunction="sum" dataDxfId="150" totalsRowDxfId="29">
      <calculatedColumnFormula>INDEX(Table1[On Hand End of Month],MATCH(rrcworking[[#This Row],[RRC ID Number]],Table1[RRC Identifier],0))</calculatedColumnFormula>
    </tableColumn>
    <tableColumn id="8" name="No activity?" dataDxfId="149" totalsRowDxfId="28">
      <calculatedColumnFormula>IF(AND(L6=0,M6=0), TRUE, FALSE)</calculatedColumnFormula>
    </tableColumn>
    <tableColumn id="23" name="Gauge Sheet Prod Volume (oil)" dataDxfId="148" totalsRowDxfId="27" dataCellStyle="Normal 9"/>
    <tableColumn id="9" name="Opening Oil Stock" totalsRowFunction="sum" dataDxfId="147" totalsRowDxfId="26">
      <calculatedColumnFormula>rrcworking[[#This Row],[Last Month Closing Stock]]</calculatedColumnFormula>
    </tableColumn>
    <tableColumn id="10" name="Closing Stock (Oil)" dataDxfId="146" totalsRowDxfId="25" dataCellStyle="Normal 9"/>
    <tableColumn id="11" name="Sales/Dispostion" totalsRowFunction="sum" dataDxfId="145" totalsRowDxfId="24">
      <calculatedColumnFormula>IF(ISERROR(INDEX(Table2[OIL],MATCH(rrcworking[[#This Row],[Magnum Wolfpak '#]],Table2[Rox Wolf'#],0))),0,INDEX(Table2[OIL],MATCH(rrcworking[[#This Row],[Magnum Wolfpak '#]],Table2[Rox Wolf'#],0)))</calculatedColumnFormula>
    </tableColumn>
    <tableColumn id="12" name="Oil Production" totalsRowFunction="sum" dataDxfId="144" totalsRowDxfId="23">
      <calculatedColumnFormula>rrcworking[[#This Row],[Closing Stock (Oil)]]+rrcworking[[#This Row],[Sales/Dispostion]]-rrcworking[[#This Row],[Opening Oil Stock]]</calculatedColumnFormula>
    </tableColumn>
    <tableColumn id="26" name="Prod Calc vs Gauge Sheet" dataDxfId="143" totalsRowDxfId="22">
      <calculatedColumnFormula>rrcworking[[#This Row],[Gauge Sheet Prod Volume (oil)]]-rrcworking[[#This Row],[Oil Production]]</calculatedColumnFormula>
    </tableColumn>
    <tableColumn id="17" name="Gas Sales Statement Volume (MCF)" totalsRowFunction="sum" dataDxfId="142" totalsRowDxfId="21">
      <calculatedColumnFormula>IF(ISERROR(INDEX(Table2[GAS],MATCH(rrcworking[[#This Row],[Magnum Wolfpak '#]],Table2[Rox Wolf'#],0))),0,INDEX(Table2[GAS],MATCH(rrcworking[[#This Row],[Magnum Wolfpak '#]],Table2[Rox Wolf'#],0)))</calculatedColumnFormula>
    </tableColumn>
    <tableColumn id="18" name="Pressure Base" dataDxfId="141" totalsRowDxfId="20"/>
    <tableColumn id="21" name="Disposition Volume (MCF) @ 14.65 MCF" totalsRowFunction="sum" dataDxfId="140" totalsRowDxfId="19">
      <calculatedColumnFormula>IF(rrcworking[[#This Row],[Pressure Base]]=14.73,rrcworking[[#This Row],[Gas Sales Statement Volume (MCF)]]*$R$2,rrcworking[[#This Row],[Gas Sales Statement Volume (MCF)]])</calculatedColumnFormula>
    </tableColumn>
    <tableColumn id="25" name="Hours Operated" dataDxfId="139" totalsRowDxfId="18"/>
    <tableColumn id="27" name="Compressor Fuel Rate MCFD" dataDxfId="138" totalsRowDxfId="17"/>
    <tableColumn id="19" name="Lease Use (MCF)" totalsRowFunction="sum" dataDxfId="137" totalsRowDxfId="16">
      <calculatedColumnFormula>IF(ISERROR(INDEX(Table2[LEASE USE],MATCH(rrcworking[[#This Row],[Magnum Wolfpak '#]],Table2[Rox Wolf'#],0))),0,INDEX(Table2[LEASE USE],MATCH(rrcworking[[#This Row],[Magnum Wolfpak '#]],Table2[Rox Wolf'#],0)))</calculatedColumnFormula>
    </tableColumn>
    <tableColumn id="20" name="Formation Production (MCF) @ 14.65 psi" totalsRowFunction="sum" dataDxfId="136" totalsRowDxfId="15">
      <calculatedColumnFormula>rrcworking[[#This Row],[Disposition Volume (MCF) @ 14.65 MCF]]+rrcworking[[#This Row],[Lease Use (MCF)]]</calculatedColumnFormula>
    </tableColumn>
    <tableColumn id="24" name="Gas Comments" totalsRowFunction="count" dataDxfId="135" totalsRowDxfId="14"/>
    <tableColumn id="22" name="Oil Comments" dataDxfId="134" totalsRowDxfId="13"/>
    <tableColumn id="15" name="FilterList" dataDxfId="133" totalsRowDxfId="12">
      <calculatedColumnFormula>COUNTIF(FilterList,rrcworking[[#This Row],[Magnum Wolfpak '#]])</calculatedColumnFormula>
    </tableColumn>
    <tableColumn id="13" name="Gauge Sheet Prod Vol" dataDxfId="132" totalsRowDxfId="11"/>
    <tableColumn id="31" name="Closing Oil Stock" dataDxfId="131" totalsRowDxfId="10"/>
    <tableColumn id="32" name="Manual Extraction Gauge Sheet Prod" dataDxfId="130" totalsRowDxfId="9"/>
    <tableColumn id="33" name="Manual Extraction Closing Stock" dataDxfId="129" totalsRowDxfId="8"/>
    <tableColumn id="34" name="Number of Oil Tanks" dataDxfId="128" totalsRowDxfId="7"/>
    <tableColumn id="35" name="Monthly Tabs" dataDxfId="127" totalsRowDxfId="6"/>
    <tableColumn id="36" name="Multiple Years" dataDxfId="126" totalsRowDxfId="5"/>
    <tableColumn id="39" name="Oil Stock Cell" dataDxfId="125" totalsRowDxfId="4"/>
    <tableColumn id="40" name="Shift Up Required" dataDxfId="124" totalsRowDxfId="3"/>
    <tableColumn id="41" name="Gauge Sheet Oil Production" dataDxfId="123" totalsRowDxfId="2"/>
    <tableColumn id="42" name="Filename" dataDxfId="122" totalsRowDxfId="1"/>
    <tableColumn id="43" name="Comments" dataDxfId="121" totalsRowDxfId="0"/>
  </tableColumns>
  <tableStyleInfo name="TableStyleMedium2" showFirstColumn="0" showLastColumn="0" showRowStripes="1" showColumnStripes="0"/>
</table>
</file>

<file path=xl/tables/table2.xml><?xml version="1.0" encoding="utf-8"?>
<table xmlns="http://schemas.openxmlformats.org/spreadsheetml/2006/main" id="12" name="Table213" displayName="Table213" ref="A1:A12" totalsRowShown="0" dataDxfId="120" tableBorderDxfId="119" dataCellStyle="Normal 3">
  <autoFilter ref="A1:A12"/>
  <tableColumns count="1">
    <tableColumn id="1" name="well" dataDxfId="118" dataCellStyle="Normal 3"/>
  </tableColumns>
  <tableStyleInfo name="TableStyleMedium2" showFirstColumn="0" showLastColumn="0" showRowStripes="1" showColumnStripes="0"/>
</table>
</file>

<file path=xl/tables/table3.xml><?xml version="1.0" encoding="utf-8"?>
<table xmlns="http://schemas.openxmlformats.org/spreadsheetml/2006/main" id="13" name="Table314" displayName="Table314" ref="E1:F192" totalsRowShown="0">
  <autoFilter ref="E1:F192"/>
  <tableColumns count="2">
    <tableColumn id="1" name="name"/>
    <tableColumn id="2" name="wolf"/>
  </tableColumns>
  <tableStyleInfo name="TableStyleMedium2" showFirstColumn="0" showLastColumn="0" showRowStripes="1" showColumnStripes="0"/>
</table>
</file>

<file path=xl/tables/table4.xml><?xml version="1.0" encoding="utf-8"?>
<table xmlns="http://schemas.openxmlformats.org/spreadsheetml/2006/main" id="2" name="Table2" displayName="Table2" ref="A4:K96" totalsRowCount="1" headerRowDxfId="114" dataDxfId="113" totalsRowDxfId="112">
  <autoFilter ref="A4:K95">
    <filterColumn colId="10">
      <filters blank="1"/>
    </filterColumn>
  </autoFilter>
  <sortState ref="A5:K93">
    <sortCondition ref="B4:B93"/>
  </sortState>
  <tableColumns count="11">
    <tableColumn id="11" name="Rox Wolf#" totalsRowFunction="count" dataDxfId="111" dataCellStyle="Normal 12"/>
    <tableColumn id="2" name="Well Name" dataDxfId="110" dataCellStyle="Normal 12"/>
    <tableColumn id="3" name="OIL" totalsRowFunction="sum" dataDxfId="109" dataCellStyle="Normal 12">
      <calculatedColumnFormula>ROUND(INDEX(Table4[OIL],MATCH(Table2[[#This Row],[Rox Wolf'#]],Table4[Wolf],0)),0)</calculatedColumnFormula>
    </tableColumn>
    <tableColumn id="4" name="GAS" totalsRowFunction="sum" dataDxfId="108" totalsRowDxfId="107" dataCellStyle="Normal 13">
      <calculatedColumnFormula>INDEX(Table4[GAS],MATCH(Table2[[#This Row],[Rox Wolf'#]],Table4[Wolf],0))</calculatedColumnFormula>
    </tableColumn>
    <tableColumn id="5" name="LEASE USE" totalsRowFunction="sum" dataDxfId="106" dataCellStyle="Normal 12">
      <calculatedColumnFormula>INDEX(Table4[LEASE USE],MATCH(Table2[[#This Row],[Rox Wolf'#]],Table4[Wolf],0))</calculatedColumnFormula>
    </tableColumn>
    <tableColumn id="6" name="LU PER DAY" dataDxfId="105" dataCellStyle="Normal 12"/>
    <tableColumn id="7" name="DAYS ON" dataDxfId="104" dataCellStyle="Normal 12"/>
    <tableColumn id="8" name="PU PER DAY" dataDxfId="103" dataCellStyle="Normal 12"/>
    <tableColumn id="9" name="PU ON" dataDxfId="102" dataCellStyle="Normal 12"/>
    <tableColumn id="10" name="Filter" totalsRowFunction="sum" dataDxfId="101">
      <calculatedColumnFormula>COUNTIF(FilterList,#REF!)</calculatedColumnFormula>
    </tableColumn>
    <tableColumn id="12" name="state" dataDxfId="100" totalsRowDxfId="99" dataCellStyle="Normal 12"/>
  </tableColumns>
  <tableStyleInfo name="TableStyleMedium2" showFirstColumn="0" showLastColumn="0" showRowStripes="1" showColumnStripes="0"/>
</table>
</file>

<file path=xl/tables/table5.xml><?xml version="1.0" encoding="utf-8"?>
<table xmlns="http://schemas.openxmlformats.org/spreadsheetml/2006/main" id="4" name="Table4" displayName="Table4" ref="A4:E96" totalsRowCount="1">
  <autoFilter ref="A4:E95"/>
  <sortState ref="A5:E5">
    <sortCondition ref="B4"/>
  </sortState>
  <tableColumns count="5">
    <tableColumn id="1" name="Wolf" totalsRowLabel="Total" dataDxfId="98" totalsRowDxfId="46" dataCellStyle="Normal 14"/>
    <tableColumn id="2" name="Lease" totalsRowFunction="count" dataDxfId="97" totalsRowDxfId="45" dataCellStyle="Normal 14"/>
    <tableColumn id="3" name="OIL" totalsRowFunction="sum" dataDxfId="96" totalsRowDxfId="44" dataCellStyle="Normal 14"/>
    <tableColumn id="4" name="GAS" totalsRowFunction="sum" dataDxfId="95" totalsRowDxfId="43" dataCellStyle="Normal 14"/>
    <tableColumn id="5" name="LEASE USE" totalsRowFunction="sum" dataDxfId="94" totalsRowDxfId="42" dataCellStyle="Normal 14"/>
  </tableColumns>
  <tableStyleInfo name="TableStyleMedium2" showFirstColumn="0" showLastColumn="0" showRowStripes="1" showColumnStripes="0"/>
</table>
</file>

<file path=xl/tables/table6.xml><?xml version="1.0" encoding="utf-8"?>
<table xmlns="http://schemas.openxmlformats.org/spreadsheetml/2006/main" id="1" name="Table1" displayName="Table1" ref="A8:Q230" totalsRowCount="1" dataCellStyle="Normal 2">
  <autoFilter ref="A8:Q229"/>
  <tableColumns count="17">
    <tableColumn id="1" name="Multiple Reports" totalsRowLabel="Total" totalsRowDxfId="93" dataCellStyle="Normal 2"/>
    <tableColumn id="2" name="Lease Type" totalsRowDxfId="92" dataCellStyle="Normal 2"/>
    <tableColumn id="3" name="District" totalsRowDxfId="91" dataCellStyle="Normal 2"/>
    <tableColumn id="4" name="RRC Identifier" totalsRowDxfId="90" dataCellStyle="Normal 2"/>
    <tableColumn id="5" name="Field Name" totalsRowFunction="count" totalsRowDxfId="89" dataCellStyle="Normal 2"/>
    <tableColumn id="6" name="Lease Name" totalsRowFunction="count" totalsRowDxfId="88" dataCellStyle="Normal 2"/>
    <tableColumn id="7" name="Gas Well ID" totalsRowDxfId="87" dataCellStyle="Normal 2"/>
    <tableColumn id="8" name="Lease Total" totalsRowDxfId="86" dataCellStyle="Normal 2"/>
    <tableColumn id="9" name="Commingle Permit No." totalsRowDxfId="85" dataCellStyle="Normal 2"/>
    <tableColumn id="10" name="On Hand Beginning of Month" totalsRowFunction="sum" dataDxfId="84" totalsRowDxfId="83" dataCellStyle="Normal 2"/>
    <tableColumn id="11" name="Production" totalsRowFunction="sum" totalsRowDxfId="82" dataCellStyle="Normal 2"/>
    <tableColumn id="12" name="Volume" totalsRowFunction="sum" totalsRowDxfId="81" dataCellStyle="Normal 2"/>
    <tableColumn id="13" name="Code" totalsRowDxfId="80" dataCellStyle="Normal 2"/>
    <tableColumn id="14" name="On Hand End of Month" totalsRowFunction="sum" totalsRowDxfId="79" dataCellStyle="Normal 2"/>
    <tableColumn id="17" name="Formation Production" totalsRowFunction="sum" dataDxfId="78" totalsRowDxfId="77" dataCellStyle="Normal 2"/>
    <tableColumn id="18" name="Volume2" totalsRowFunction="sum" totalsRowDxfId="76" dataCellStyle="Normal 2"/>
    <tableColumn id="19" name="Code3" totalsRowDxfId="75" dataCellStyle="Normal 2"/>
  </tableColumns>
  <tableStyleInfo name="TableStyleMedium2" showFirstColumn="0" showLastColumn="0" showRowStripes="1" showColumnStripes="0"/>
</table>
</file>

<file path=xl/tables/table7.xml><?xml version="1.0" encoding="utf-8"?>
<table xmlns="http://schemas.openxmlformats.org/spreadsheetml/2006/main" id="9" name="Table9" displayName="Table9" ref="A3:K34" totalsRowShown="0" headerRowDxfId="74" dataDxfId="73">
  <autoFilter ref="A3:K34"/>
  <tableColumns count="11">
    <tableColumn id="1" name="STATION" dataDxfId="72"/>
    <tableColumn id="2" name="STATION NAME" dataDxfId="71"/>
    <tableColumn id="3" name="Column1" dataDxfId="70"/>
    <tableColumn id="4" name="MCF" dataDxfId="69"/>
    <tableColumn id="5" name="BTU" dataDxfId="68"/>
    <tableColumn id="6" name="MMBTU" dataDxfId="67"/>
    <tableColumn id="7" name="MCF/D" dataDxfId="66"/>
    <tableColumn id="8" name="MMBTU/D" dataDxfId="65"/>
    <tableColumn id="9" name="PSIG"/>
    <tableColumn id="10" name="GRAVITY" dataDxfId="64"/>
    <tableColumn id="11" name="HOURS" dataDxfId="6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 Id="rId2"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P192"/>
  <sheetViews>
    <sheetView zoomScale="115" zoomScaleNormal="115" zoomScalePageLayoutView="115" workbookViewId="0">
      <pane ySplit="3" topLeftCell="A168" activePane="bottomLeft" state="frozen"/>
      <selection pane="bottomLeft" activeCell="R193" sqref="R193"/>
    </sheetView>
  </sheetViews>
  <sheetFormatPr baseColWidth="10" defaultColWidth="8.83203125" defaultRowHeight="12" x14ac:dyDescent="0"/>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3"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2"/>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65</v>
      </c>
      <c r="C2" s="10" t="s">
        <v>66</v>
      </c>
      <c r="D2" s="2" t="s">
        <v>67</v>
      </c>
      <c r="E2" s="10" t="s">
        <v>68</v>
      </c>
      <c r="F2" s="5">
        <v>189</v>
      </c>
      <c r="G2" s="12" t="s">
        <v>3</v>
      </c>
    </row>
    <row r="3" spans="1:250" s="3" customFormat="1" ht="54.75" customHeight="1">
      <c r="A3" s="6" t="s">
        <v>4</v>
      </c>
      <c r="B3" s="6" t="s">
        <v>5</v>
      </c>
      <c r="C3" s="6" t="s">
        <v>6</v>
      </c>
      <c r="D3" s="6" t="s">
        <v>7</v>
      </c>
      <c r="E3" s="6" t="s">
        <v>8</v>
      </c>
      <c r="F3" s="6" t="s">
        <v>9</v>
      </c>
      <c r="G3" s="6" t="s">
        <v>10</v>
      </c>
      <c r="H3" s="6" t="s">
        <v>11</v>
      </c>
      <c r="I3" s="6" t="s">
        <v>12</v>
      </c>
      <c r="J3" s="124"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909</v>
      </c>
      <c r="D4" s="10" t="s">
        <v>617</v>
      </c>
      <c r="E4" s="1" t="s">
        <v>59</v>
      </c>
      <c r="F4" s="1" t="s">
        <v>415</v>
      </c>
      <c r="I4" s="1" t="s">
        <v>3</v>
      </c>
      <c r="J4" s="123" t="s">
        <v>3</v>
      </c>
      <c r="K4" s="1" t="s">
        <v>1090</v>
      </c>
      <c r="M4" s="5">
        <v>202003</v>
      </c>
      <c r="N4" s="5">
        <f>INDEX(rrcworking[Formation Production (MCF) @ 14.65 psi],MATCH('Mar 2020 EDI'!F4,rrcworking[RRC ID],0))</f>
        <v>0</v>
      </c>
      <c r="O4" s="5">
        <f>INDEX(rrcworking[Lease Use (MCF)],MATCH('Mar 2020 EDI'!F4,rrcworking[RRC ID],0))</f>
        <v>0</v>
      </c>
      <c r="P4" s="5">
        <f>INDEX(rrcworking[Disposition Volume (MCF) @ 14.65 MCF],MATCH('Mar 2020 EDI'!F4,rrcworking[RRC ID],0))</f>
        <v>0</v>
      </c>
      <c r="Y4" s="5">
        <f>INDEX(rrcworking[Oil Production],MATCH('Mar 2020 EDI'!F4,rrcworking[RRC ID],0))</f>
        <v>0</v>
      </c>
      <c r="AA4" s="5">
        <f>INDEX(rrcworking[Sales/Dispostion],MATCH('Mar 2020 EDI'!F4,rrcworking[RRC ID],0))</f>
        <v>0</v>
      </c>
      <c r="AQ4" s="5">
        <f>INDEX(rrcworking[Closing Stock (Oil)],MATCH('Mar 2020 EDI'!F4,rrcworking[RRC ID],0))</f>
        <v>0</v>
      </c>
    </row>
    <row r="5" spans="1:250">
      <c r="A5" s="4" t="s">
        <v>1</v>
      </c>
      <c r="B5" s="1" t="s">
        <v>1132</v>
      </c>
      <c r="C5" s="10" t="s">
        <v>909</v>
      </c>
      <c r="D5" s="1" t="s">
        <v>617</v>
      </c>
      <c r="E5" s="1" t="s">
        <v>59</v>
      </c>
      <c r="F5" s="1" t="s">
        <v>416</v>
      </c>
      <c r="I5" s="1" t="s">
        <v>3</v>
      </c>
      <c r="J5" s="123" t="s">
        <v>3</v>
      </c>
      <c r="K5" s="1" t="s">
        <v>1090</v>
      </c>
      <c r="M5" s="5">
        <v>202003</v>
      </c>
      <c r="N5" s="5">
        <f>INDEX(rrcworking[Formation Production (MCF) @ 14.65 psi],MATCH('Mar 2020 EDI'!F5,rrcworking[RRC ID],0))</f>
        <v>0</v>
      </c>
      <c r="O5" s="5">
        <f>INDEX(rrcworking[Lease Use (MCF)],MATCH('Mar 2020 EDI'!F5,rrcworking[RRC ID],0))</f>
        <v>0</v>
      </c>
      <c r="P5" s="5">
        <f>INDEX(rrcworking[Disposition Volume (MCF) @ 14.65 MCF],MATCH('Mar 2020 EDI'!F5,rrcworking[RRC ID],0))</f>
        <v>0</v>
      </c>
      <c r="Y5" s="5">
        <f>INDEX(rrcworking[Oil Production],MATCH('Mar 2020 EDI'!F5,rrcworking[RRC ID],0))</f>
        <v>0</v>
      </c>
      <c r="AA5" s="5">
        <f>INDEX(rrcworking[Sales/Dispostion],MATCH('Mar 2020 EDI'!F5,rrcworking[RRC ID],0))</f>
        <v>0</v>
      </c>
      <c r="AQ5" s="5">
        <f>INDEX(rrcworking[Closing Stock (Oil)],MATCH('Mar 2020 EDI'!F5,rrcworking[RRC ID],0))</f>
        <v>149</v>
      </c>
    </row>
    <row r="6" spans="1:250">
      <c r="A6" s="4" t="s">
        <v>1</v>
      </c>
      <c r="B6" s="1" t="s">
        <v>58</v>
      </c>
      <c r="C6" s="10" t="s">
        <v>909</v>
      </c>
      <c r="D6" s="1" t="s">
        <v>617</v>
      </c>
      <c r="E6" s="1" t="s">
        <v>59</v>
      </c>
      <c r="F6" s="1" t="s">
        <v>417</v>
      </c>
      <c r="I6" s="1" t="s">
        <v>3</v>
      </c>
      <c r="J6" s="123" t="s">
        <v>3</v>
      </c>
      <c r="K6" s="1" t="s">
        <v>1090</v>
      </c>
      <c r="M6" s="5">
        <v>202003</v>
      </c>
      <c r="N6" s="5">
        <f>INDEX(rrcworking[Formation Production (MCF) @ 14.65 psi],MATCH('Mar 2020 EDI'!F6,rrcworking[RRC ID],0))</f>
        <v>4634</v>
      </c>
      <c r="O6" s="5">
        <f>INDEX(rrcworking[Lease Use (MCF)],MATCH('Mar 2020 EDI'!F6,rrcworking[RRC ID],0))</f>
        <v>210</v>
      </c>
      <c r="P6" s="5">
        <f>INDEX(rrcworking[Disposition Volume (MCF) @ 14.65 MCF],MATCH('Mar 2020 EDI'!F6,rrcworking[RRC ID],0))</f>
        <v>4424</v>
      </c>
      <c r="Y6" s="5">
        <f>INDEX(rrcworking[Oil Production],MATCH('Mar 2020 EDI'!F6,rrcworking[RRC ID],0))</f>
        <v>0</v>
      </c>
      <c r="AA6" s="5">
        <f>INDEX(rrcworking[Sales/Dispostion],MATCH('Mar 2020 EDI'!F6,rrcworking[RRC ID],0))</f>
        <v>0</v>
      </c>
      <c r="AQ6" s="5">
        <f>INDEX(rrcworking[Closing Stock (Oil)],MATCH('Mar 2020 EDI'!F6,rrcworking[RRC ID],0))</f>
        <v>0</v>
      </c>
    </row>
    <row r="7" spans="1:250">
      <c r="A7" s="4" t="s">
        <v>1</v>
      </c>
      <c r="B7" s="1" t="s">
        <v>61</v>
      </c>
      <c r="C7" s="10" t="s">
        <v>909</v>
      </c>
      <c r="D7" s="1" t="s">
        <v>617</v>
      </c>
      <c r="E7" s="1" t="s">
        <v>59</v>
      </c>
      <c r="F7" s="1" t="s">
        <v>418</v>
      </c>
      <c r="I7" s="1" t="s">
        <v>3</v>
      </c>
      <c r="J7" s="123" t="s">
        <v>3</v>
      </c>
      <c r="K7" s="1" t="s">
        <v>1090</v>
      </c>
      <c r="M7" s="5">
        <v>202003</v>
      </c>
      <c r="N7" s="5">
        <f>INDEX(rrcworking[Formation Production (MCF) @ 14.65 psi],MATCH('Mar 2020 EDI'!F7,rrcworking[RRC ID],0))</f>
        <v>0</v>
      </c>
      <c r="O7" s="5">
        <f>INDEX(rrcworking[Lease Use (MCF)],MATCH('Mar 2020 EDI'!F7,rrcworking[RRC ID],0))</f>
        <v>0</v>
      </c>
      <c r="P7" s="5">
        <f>INDEX(rrcworking[Disposition Volume (MCF) @ 14.65 MCF],MATCH('Mar 2020 EDI'!F7,rrcworking[RRC ID],0))</f>
        <v>0</v>
      </c>
      <c r="Y7" s="5">
        <f>INDEX(rrcworking[Oil Production],MATCH('Mar 2020 EDI'!F7,rrcworking[RRC ID],0))</f>
        <v>0</v>
      </c>
      <c r="AA7" s="5">
        <f>INDEX(rrcworking[Sales/Dispostion],MATCH('Mar 2020 EDI'!F7,rrcworking[RRC ID],0))</f>
        <v>0</v>
      </c>
      <c r="AQ7" s="5">
        <f>INDEX(rrcworking[Closing Stock (Oil)],MATCH('Mar 2020 EDI'!F7,rrcworking[RRC ID],0))</f>
        <v>26</v>
      </c>
    </row>
    <row r="8" spans="1:250">
      <c r="A8" s="4" t="s">
        <v>1</v>
      </c>
      <c r="B8" s="1" t="s">
        <v>62</v>
      </c>
      <c r="C8" s="10" t="s">
        <v>909</v>
      </c>
      <c r="D8" s="1" t="s">
        <v>617</v>
      </c>
      <c r="E8" s="1" t="s">
        <v>59</v>
      </c>
      <c r="F8" s="1" t="s">
        <v>419</v>
      </c>
      <c r="I8" s="1" t="s">
        <v>3</v>
      </c>
      <c r="J8" s="122" t="s">
        <v>3</v>
      </c>
      <c r="K8" s="1" t="s">
        <v>1090</v>
      </c>
      <c r="M8" s="5">
        <v>202003</v>
      </c>
      <c r="N8" s="5">
        <f>INDEX(rrcworking[Formation Production (MCF) @ 14.65 psi],MATCH('Mar 2020 EDI'!F8,rrcworking[RRC ID],0))</f>
        <v>0</v>
      </c>
      <c r="O8" s="5">
        <f>INDEX(rrcworking[Lease Use (MCF)],MATCH('Mar 2020 EDI'!F8,rrcworking[RRC ID],0))</f>
        <v>0</v>
      </c>
      <c r="P8" s="5">
        <f>INDEX(rrcworking[Disposition Volume (MCF) @ 14.65 MCF],MATCH('Mar 2020 EDI'!F8,rrcworking[RRC ID],0))</f>
        <v>0</v>
      </c>
      <c r="Y8" s="5">
        <f>INDEX(rrcworking[Oil Production],MATCH('Mar 2020 EDI'!F8,rrcworking[RRC ID],0))</f>
        <v>0</v>
      </c>
      <c r="AA8" s="5">
        <f>INDEX(rrcworking[Sales/Dispostion],MATCH('Mar 2020 EDI'!F8,rrcworking[RRC ID],0))</f>
        <v>0</v>
      </c>
      <c r="AQ8" s="5">
        <f>INDEX(rrcworking[Closing Stock (Oil)],MATCH('Mar 2020 EDI'!F8,rrcworking[RRC ID],0))</f>
        <v>0</v>
      </c>
    </row>
    <row r="9" spans="1:250">
      <c r="A9" s="4" t="s">
        <v>1</v>
      </c>
      <c r="B9" s="1" t="s">
        <v>63</v>
      </c>
      <c r="C9" s="10" t="s">
        <v>909</v>
      </c>
      <c r="D9" s="1" t="s">
        <v>617</v>
      </c>
      <c r="E9" s="1" t="s">
        <v>59</v>
      </c>
      <c r="F9" s="1" t="s">
        <v>421</v>
      </c>
      <c r="I9" s="10" t="s">
        <v>3</v>
      </c>
      <c r="J9" s="123" t="s">
        <v>3</v>
      </c>
      <c r="K9" s="1" t="s">
        <v>1090</v>
      </c>
      <c r="M9" s="5">
        <v>202003</v>
      </c>
      <c r="N9" s="5">
        <f>INDEX(rrcworking[Formation Production (MCF) @ 14.65 psi],MATCH('Mar 2020 EDI'!F9,rrcworking[RRC ID],0))</f>
        <v>0</v>
      </c>
      <c r="O9" s="5">
        <f>INDEX(rrcworking[Lease Use (MCF)],MATCH('Mar 2020 EDI'!F9,rrcworking[RRC ID],0))</f>
        <v>0</v>
      </c>
      <c r="P9" s="5">
        <f>INDEX(rrcworking[Disposition Volume (MCF) @ 14.65 MCF],MATCH('Mar 2020 EDI'!F9,rrcworking[RRC ID],0))</f>
        <v>0</v>
      </c>
      <c r="Y9" s="5">
        <f>INDEX(rrcworking[Oil Production],MATCH('Mar 2020 EDI'!F9,rrcworking[RRC ID],0))</f>
        <v>0</v>
      </c>
      <c r="AA9" s="5">
        <f>INDEX(rrcworking[Sales/Dispostion],MATCH('Mar 2020 EDI'!F9,rrcworking[RRC ID],0))</f>
        <v>0</v>
      </c>
      <c r="AQ9" s="5">
        <f>INDEX(rrcworking[Closing Stock (Oil)],MATCH('Mar 2020 EDI'!F9,rrcworking[RRC ID],0))</f>
        <v>132</v>
      </c>
    </row>
    <row r="10" spans="1:250">
      <c r="A10" s="4" t="s">
        <v>1</v>
      </c>
      <c r="B10" s="1" t="s">
        <v>64</v>
      </c>
      <c r="C10" s="10" t="s">
        <v>909</v>
      </c>
      <c r="D10" s="1" t="s">
        <v>617</v>
      </c>
      <c r="E10" s="1" t="s">
        <v>2</v>
      </c>
      <c r="F10" s="1" t="s">
        <v>422</v>
      </c>
      <c r="I10" s="10" t="s">
        <v>3</v>
      </c>
      <c r="J10" s="123" t="s">
        <v>3</v>
      </c>
      <c r="K10" s="1" t="s">
        <v>1090</v>
      </c>
      <c r="M10" s="5">
        <v>202003</v>
      </c>
      <c r="N10" s="5">
        <f>INDEX(rrcworking[Formation Production (MCF) @ 14.65 psi],MATCH('Mar 2020 EDI'!F10,rrcworking[RRC ID],0))</f>
        <v>0</v>
      </c>
      <c r="O10" s="5">
        <f>INDEX(rrcworking[Lease Use (MCF)],MATCH('Mar 2020 EDI'!F10,rrcworking[RRC ID],0))</f>
        <v>0</v>
      </c>
      <c r="P10" s="5">
        <f>INDEX(rrcworking[Disposition Volume (MCF) @ 14.65 MCF],MATCH('Mar 2020 EDI'!F10,rrcworking[RRC ID],0))</f>
        <v>0</v>
      </c>
      <c r="Y10" s="5">
        <f>INDEX(rrcworking[Oil Production],MATCH('Mar 2020 EDI'!F10,rrcworking[RRC ID],0))</f>
        <v>544</v>
      </c>
      <c r="AA10" s="5">
        <f>INDEX(rrcworking[Sales/Dispostion],MATCH('Mar 2020 EDI'!F10,rrcworking[RRC ID],0))</f>
        <v>719</v>
      </c>
      <c r="AQ10" s="5">
        <f>INDEX(rrcworking[Closing Stock (Oil)],MATCH('Mar 2020 EDI'!F10,rrcworking[RRC ID],0))</f>
        <v>231</v>
      </c>
    </row>
    <row r="11" spans="1:250">
      <c r="A11" s="4" t="s">
        <v>1</v>
      </c>
      <c r="B11" s="1" t="s">
        <v>910</v>
      </c>
      <c r="C11" s="10" t="s">
        <v>909</v>
      </c>
      <c r="D11" s="1" t="s">
        <v>617</v>
      </c>
      <c r="E11" s="1" t="s">
        <v>59</v>
      </c>
      <c r="F11" s="1" t="s">
        <v>423</v>
      </c>
      <c r="I11" s="10" t="s">
        <v>3</v>
      </c>
      <c r="J11" s="123" t="s">
        <v>3</v>
      </c>
      <c r="K11" s="1" t="s">
        <v>1090</v>
      </c>
      <c r="M11" s="5">
        <v>202003</v>
      </c>
      <c r="N11" s="5">
        <f>INDEX(rrcworking[Formation Production (MCF) @ 14.65 psi],MATCH('Mar 2020 EDI'!F11,rrcworking[RRC ID],0))</f>
        <v>6</v>
      </c>
      <c r="O11" s="5">
        <f>INDEX(rrcworking[Lease Use (MCF)],MATCH('Mar 2020 EDI'!F11,rrcworking[RRC ID],0))</f>
        <v>0</v>
      </c>
      <c r="P11" s="5">
        <f>INDEX(rrcworking[Disposition Volume (MCF) @ 14.65 MCF],MATCH('Mar 2020 EDI'!F11,rrcworking[RRC ID],0))</f>
        <v>6</v>
      </c>
      <c r="Y11" s="5">
        <f>INDEX(rrcworking[Oil Production],MATCH('Mar 2020 EDI'!F11,rrcworking[RRC ID],0))</f>
        <v>0</v>
      </c>
      <c r="AA11" s="5">
        <f>INDEX(rrcworking[Sales/Dispostion],MATCH('Mar 2020 EDI'!F11,rrcworking[RRC ID],0))</f>
        <v>0</v>
      </c>
      <c r="AQ11" s="5">
        <f>INDEX(rrcworking[Closing Stock (Oil)],MATCH('Mar 2020 EDI'!F11,rrcworking[RRC ID],0))</f>
        <v>0</v>
      </c>
    </row>
    <row r="12" spans="1:250">
      <c r="A12" s="4" t="s">
        <v>1</v>
      </c>
      <c r="B12" s="1" t="s">
        <v>911</v>
      </c>
      <c r="C12" s="10" t="s">
        <v>909</v>
      </c>
      <c r="D12" s="1" t="s">
        <v>617</v>
      </c>
      <c r="E12" s="1" t="s">
        <v>59</v>
      </c>
      <c r="F12" s="1" t="s">
        <v>424</v>
      </c>
      <c r="I12" s="10" t="s">
        <v>3</v>
      </c>
      <c r="J12" s="123" t="s">
        <v>3</v>
      </c>
      <c r="K12" s="1" t="s">
        <v>1090</v>
      </c>
      <c r="M12" s="5">
        <v>202003</v>
      </c>
      <c r="N12" s="5">
        <f>INDEX(rrcworking[Formation Production (MCF) @ 14.65 psi],MATCH('Mar 2020 EDI'!F12,rrcworking[RRC ID],0))</f>
        <v>0</v>
      </c>
      <c r="O12" s="5">
        <f>INDEX(rrcworking[Lease Use (MCF)],MATCH('Mar 2020 EDI'!F12,rrcworking[RRC ID],0))</f>
        <v>0</v>
      </c>
      <c r="P12" s="5">
        <f>INDEX(rrcworking[Disposition Volume (MCF) @ 14.65 MCF],MATCH('Mar 2020 EDI'!F12,rrcworking[RRC ID],0))</f>
        <v>0</v>
      </c>
      <c r="Y12" s="5">
        <f>INDEX(rrcworking[Oil Production],MATCH('Mar 2020 EDI'!F12,rrcworking[RRC ID],0))</f>
        <v>0</v>
      </c>
      <c r="AA12" s="5">
        <f>INDEX(rrcworking[Sales/Dispostion],MATCH('Mar 2020 EDI'!F12,rrcworking[RRC ID],0))</f>
        <v>0</v>
      </c>
      <c r="AQ12" s="5">
        <f>INDEX(rrcworking[Closing Stock (Oil)],MATCH('Mar 2020 EDI'!F12,rrcworking[RRC ID],0))</f>
        <v>0</v>
      </c>
    </row>
    <row r="13" spans="1:250">
      <c r="A13" s="4" t="s">
        <v>1</v>
      </c>
      <c r="B13" s="1" t="s">
        <v>60</v>
      </c>
      <c r="C13" s="10" t="s">
        <v>909</v>
      </c>
      <c r="D13" s="1" t="s">
        <v>617</v>
      </c>
      <c r="E13" s="1" t="s">
        <v>2</v>
      </c>
      <c r="F13" s="1" t="s">
        <v>425</v>
      </c>
      <c r="I13" s="10" t="s">
        <v>3</v>
      </c>
      <c r="J13" s="123" t="s">
        <v>3</v>
      </c>
      <c r="K13" s="1" t="s">
        <v>1090</v>
      </c>
      <c r="M13" s="5">
        <v>202003</v>
      </c>
      <c r="N13" s="5">
        <f>INDEX(rrcworking[Formation Production (MCF) @ 14.65 psi],MATCH('Mar 2020 EDI'!F13,rrcworking[RRC ID],0))</f>
        <v>0</v>
      </c>
      <c r="O13" s="5">
        <f>INDEX(rrcworking[Lease Use (MCF)],MATCH('Mar 2020 EDI'!F13,rrcworking[RRC ID],0))</f>
        <v>0</v>
      </c>
      <c r="P13" s="5">
        <f>INDEX(rrcworking[Disposition Volume (MCF) @ 14.65 MCF],MATCH('Mar 2020 EDI'!F13,rrcworking[RRC ID],0))</f>
        <v>0</v>
      </c>
      <c r="Y13" s="5">
        <f>INDEX(rrcworking[Oil Production],MATCH('Mar 2020 EDI'!F13,rrcworking[RRC ID],0))</f>
        <v>16</v>
      </c>
      <c r="AA13" s="5">
        <f>INDEX(rrcworking[Sales/Dispostion],MATCH('Mar 2020 EDI'!F13,rrcworking[RRC ID],0))</f>
        <v>0</v>
      </c>
      <c r="AQ13" s="5">
        <f>INDEX(rrcworking[Closing Stock (Oil)],MATCH('Mar 2020 EDI'!F13,rrcworking[RRC ID],0))</f>
        <v>101</v>
      </c>
    </row>
    <row r="14" spans="1:250">
      <c r="A14" s="4" t="s">
        <v>1</v>
      </c>
      <c r="B14" s="1" t="s">
        <v>912</v>
      </c>
      <c r="C14" s="10" t="s">
        <v>909</v>
      </c>
      <c r="D14" s="1" t="s">
        <v>617</v>
      </c>
      <c r="E14" s="1" t="s">
        <v>2</v>
      </c>
      <c r="F14" s="1" t="s">
        <v>426</v>
      </c>
      <c r="I14" s="10" t="s">
        <v>3</v>
      </c>
      <c r="J14" s="123" t="s">
        <v>3</v>
      </c>
      <c r="K14" s="1" t="s">
        <v>1090</v>
      </c>
      <c r="M14" s="5">
        <v>202003</v>
      </c>
      <c r="N14" s="5">
        <f>INDEX(rrcworking[Formation Production (MCF) @ 14.65 psi],MATCH('Mar 2020 EDI'!F14,rrcworking[RRC ID],0))</f>
        <v>0</v>
      </c>
      <c r="O14" s="5">
        <f>INDEX(rrcworking[Lease Use (MCF)],MATCH('Mar 2020 EDI'!F14,rrcworking[RRC ID],0))</f>
        <v>0</v>
      </c>
      <c r="P14" s="5">
        <f>INDEX(rrcworking[Disposition Volume (MCF) @ 14.65 MCF],MATCH('Mar 2020 EDI'!F14,rrcworking[RRC ID],0))</f>
        <v>0</v>
      </c>
      <c r="Y14" s="5">
        <f>INDEX(rrcworking[Oil Production],MATCH('Mar 2020 EDI'!F14,rrcworking[RRC ID],0))</f>
        <v>13</v>
      </c>
      <c r="AA14" s="5">
        <f>INDEX(rrcworking[Sales/Dispostion],MATCH('Mar 2020 EDI'!F14,rrcworking[RRC ID],0))</f>
        <v>126</v>
      </c>
      <c r="AQ14" s="5">
        <f>INDEX(rrcworking[Closing Stock (Oil)],MATCH('Mar 2020 EDI'!F14,rrcworking[RRC ID],0))</f>
        <v>27</v>
      </c>
    </row>
    <row r="15" spans="1:250">
      <c r="A15" s="4" t="s">
        <v>1</v>
      </c>
      <c r="B15" s="1" t="s">
        <v>913</v>
      </c>
      <c r="C15" s="10" t="s">
        <v>909</v>
      </c>
      <c r="D15" s="1" t="s">
        <v>617</v>
      </c>
      <c r="E15" s="1" t="s">
        <v>2</v>
      </c>
      <c r="F15" s="1" t="s">
        <v>427</v>
      </c>
      <c r="I15" s="10" t="s">
        <v>3</v>
      </c>
      <c r="J15" s="123" t="s">
        <v>3</v>
      </c>
      <c r="K15" s="1" t="s">
        <v>1090</v>
      </c>
      <c r="M15" s="5">
        <v>202003</v>
      </c>
      <c r="N15" s="5">
        <f>INDEX(rrcworking[Formation Production (MCF) @ 14.65 psi],MATCH('Mar 2020 EDI'!F15,rrcworking[RRC ID],0))</f>
        <v>0</v>
      </c>
      <c r="O15" s="5">
        <f>INDEX(rrcworking[Lease Use (MCF)],MATCH('Mar 2020 EDI'!F15,rrcworking[RRC ID],0))</f>
        <v>0</v>
      </c>
      <c r="P15" s="5">
        <f>INDEX(rrcworking[Disposition Volume (MCF) @ 14.65 MCF],MATCH('Mar 2020 EDI'!F15,rrcworking[RRC ID],0))</f>
        <v>0</v>
      </c>
      <c r="Y15" s="5">
        <f>INDEX(rrcworking[Oil Production],MATCH('Mar 2020 EDI'!F15,rrcworking[RRC ID],0))</f>
        <v>0</v>
      </c>
      <c r="AA15" s="5">
        <f>INDEX(rrcworking[Sales/Dispostion],MATCH('Mar 2020 EDI'!F15,rrcworking[RRC ID],0))</f>
        <v>0</v>
      </c>
      <c r="AQ15" s="5">
        <f>INDEX(rrcworking[Closing Stock (Oil)],MATCH('Mar 2020 EDI'!F15,rrcworking[RRC ID],0))</f>
        <v>0</v>
      </c>
    </row>
    <row r="16" spans="1:250">
      <c r="A16" s="4" t="s">
        <v>1</v>
      </c>
      <c r="B16" s="1" t="s">
        <v>914</v>
      </c>
      <c r="C16" s="10" t="s">
        <v>909</v>
      </c>
      <c r="D16" s="1" t="s">
        <v>617</v>
      </c>
      <c r="E16" s="1" t="s">
        <v>59</v>
      </c>
      <c r="F16" s="1" t="s">
        <v>428</v>
      </c>
      <c r="I16" s="10" t="s">
        <v>3</v>
      </c>
      <c r="J16" s="123" t="s">
        <v>3</v>
      </c>
      <c r="K16" s="1" t="s">
        <v>1090</v>
      </c>
      <c r="M16" s="5">
        <v>202003</v>
      </c>
      <c r="N16" s="5">
        <f>INDEX(rrcworking[Formation Production (MCF) @ 14.65 psi],MATCH('Mar 2020 EDI'!F16,rrcworking[RRC ID],0))</f>
        <v>0</v>
      </c>
      <c r="O16" s="5">
        <f>INDEX(rrcworking[Lease Use (MCF)],MATCH('Mar 2020 EDI'!F16,rrcworking[RRC ID],0))</f>
        <v>0</v>
      </c>
      <c r="P16" s="5">
        <f>INDEX(rrcworking[Disposition Volume (MCF) @ 14.65 MCF],MATCH('Mar 2020 EDI'!F16,rrcworking[RRC ID],0))</f>
        <v>0</v>
      </c>
      <c r="Y16" s="5">
        <f>INDEX(rrcworking[Oil Production],MATCH('Mar 2020 EDI'!F16,rrcworking[RRC ID],0))</f>
        <v>0</v>
      </c>
      <c r="AA16" s="5">
        <f>INDEX(rrcworking[Sales/Dispostion],MATCH('Mar 2020 EDI'!F16,rrcworking[RRC ID],0))</f>
        <v>0</v>
      </c>
      <c r="AQ16" s="5">
        <f>INDEX(rrcworking[Closing Stock (Oil)],MATCH('Mar 2020 EDI'!F16,rrcworking[RRC ID],0))</f>
        <v>116</v>
      </c>
    </row>
    <row r="17" spans="1:43">
      <c r="A17" s="4" t="s">
        <v>1</v>
      </c>
      <c r="B17" s="1" t="s">
        <v>915</v>
      </c>
      <c r="C17" s="10" t="s">
        <v>909</v>
      </c>
      <c r="D17" s="1" t="s">
        <v>617</v>
      </c>
      <c r="E17" s="1" t="s">
        <v>59</v>
      </c>
      <c r="F17" s="1" t="s">
        <v>429</v>
      </c>
      <c r="I17" s="10" t="s">
        <v>3</v>
      </c>
      <c r="J17" s="123" t="s">
        <v>3</v>
      </c>
      <c r="K17" s="1" t="s">
        <v>1090</v>
      </c>
      <c r="M17" s="5">
        <v>202003</v>
      </c>
      <c r="N17" s="5">
        <f>INDEX(rrcworking[Formation Production (MCF) @ 14.65 psi],MATCH('Mar 2020 EDI'!F17,rrcworking[RRC ID],0))</f>
        <v>43108</v>
      </c>
      <c r="O17" s="5">
        <f>INDEX(rrcworking[Lease Use (MCF)],MATCH('Mar 2020 EDI'!F17,rrcworking[RRC ID],0))</f>
        <v>0</v>
      </c>
      <c r="P17" s="5">
        <f>INDEX(rrcworking[Disposition Volume (MCF) @ 14.65 MCF],MATCH('Mar 2020 EDI'!F17,rrcworking[RRC ID],0))</f>
        <v>43108</v>
      </c>
      <c r="Y17" s="5">
        <f>INDEX(rrcworking[Oil Production],MATCH('Mar 2020 EDI'!F17,rrcworking[RRC ID],0))</f>
        <v>602</v>
      </c>
      <c r="AA17" s="5">
        <f>INDEX(rrcworking[Sales/Dispostion],MATCH('Mar 2020 EDI'!F17,rrcworking[RRC ID],0))</f>
        <v>764</v>
      </c>
      <c r="AQ17" s="5">
        <f>INDEX(rrcworking[Closing Stock (Oil)],MATCH('Mar 2020 EDI'!F17,rrcworking[RRC ID],0))</f>
        <v>154</v>
      </c>
    </row>
    <row r="18" spans="1:43">
      <c r="A18" s="4" t="s">
        <v>1</v>
      </c>
      <c r="B18" s="1" t="s">
        <v>916</v>
      </c>
      <c r="C18" s="10" t="s">
        <v>909</v>
      </c>
      <c r="D18" s="1" t="s">
        <v>617</v>
      </c>
      <c r="E18" s="1" t="s">
        <v>2</v>
      </c>
      <c r="F18" s="1" t="s">
        <v>430</v>
      </c>
      <c r="I18" s="10" t="s">
        <v>3</v>
      </c>
      <c r="J18" s="123" t="s">
        <v>3</v>
      </c>
      <c r="K18" s="1" t="s">
        <v>1090</v>
      </c>
      <c r="M18" s="5">
        <v>202003</v>
      </c>
      <c r="N18" s="5">
        <f>INDEX(rrcworking[Formation Production (MCF) @ 14.65 psi],MATCH('Mar 2020 EDI'!F18,rrcworking[RRC ID],0))</f>
        <v>0</v>
      </c>
      <c r="O18" s="5">
        <f>INDEX(rrcworking[Lease Use (MCF)],MATCH('Mar 2020 EDI'!F18,rrcworking[RRC ID],0))</f>
        <v>0</v>
      </c>
      <c r="P18" s="5">
        <f>INDEX(rrcworking[Disposition Volume (MCF) @ 14.65 MCF],MATCH('Mar 2020 EDI'!F18,rrcworking[RRC ID],0))</f>
        <v>0</v>
      </c>
      <c r="Y18" s="5">
        <f>INDEX(rrcworking[Oil Production],MATCH('Mar 2020 EDI'!F18,rrcworking[RRC ID],0))</f>
        <v>7</v>
      </c>
      <c r="AA18" s="5">
        <f>INDEX(rrcworking[Sales/Dispostion],MATCH('Mar 2020 EDI'!F18,rrcworking[RRC ID],0))</f>
        <v>0</v>
      </c>
      <c r="AQ18" s="5">
        <f>INDEX(rrcworking[Closing Stock (Oil)],MATCH('Mar 2020 EDI'!F18,rrcworking[RRC ID],0))</f>
        <v>123</v>
      </c>
    </row>
    <row r="19" spans="1:43">
      <c r="A19" s="4" t="s">
        <v>1</v>
      </c>
      <c r="B19" s="1" t="s">
        <v>917</v>
      </c>
      <c r="C19" s="10" t="s">
        <v>909</v>
      </c>
      <c r="D19" s="1" t="s">
        <v>617</v>
      </c>
      <c r="E19" s="1" t="s">
        <v>59</v>
      </c>
      <c r="F19" s="1" t="s">
        <v>431</v>
      </c>
      <c r="I19" s="10" t="s">
        <v>3</v>
      </c>
      <c r="J19" s="123" t="s">
        <v>3</v>
      </c>
      <c r="K19" s="1" t="s">
        <v>1090</v>
      </c>
      <c r="M19" s="5">
        <v>202003</v>
      </c>
      <c r="N19" s="5">
        <f>INDEX(rrcworking[Formation Production (MCF) @ 14.65 psi],MATCH('Mar 2020 EDI'!F19,rrcworking[RRC ID],0))</f>
        <v>0</v>
      </c>
      <c r="O19" s="5">
        <f>INDEX(rrcworking[Lease Use (MCF)],MATCH('Mar 2020 EDI'!F19,rrcworking[RRC ID],0))</f>
        <v>0</v>
      </c>
      <c r="P19" s="5">
        <f>INDEX(rrcworking[Disposition Volume (MCF) @ 14.65 MCF],MATCH('Mar 2020 EDI'!F19,rrcworking[RRC ID],0))</f>
        <v>0</v>
      </c>
      <c r="Y19" s="5">
        <f>INDEX(rrcworking[Oil Production],MATCH('Mar 2020 EDI'!F19,rrcworking[RRC ID],0))</f>
        <v>0</v>
      </c>
      <c r="AA19" s="5">
        <f>INDEX(rrcworking[Sales/Dispostion],MATCH('Mar 2020 EDI'!F19,rrcworking[RRC ID],0))</f>
        <v>0</v>
      </c>
      <c r="AQ19" s="5">
        <f>INDEX(rrcworking[Closing Stock (Oil)],MATCH('Mar 2020 EDI'!F19,rrcworking[RRC ID],0))</f>
        <v>240</v>
      </c>
    </row>
    <row r="20" spans="1:43">
      <c r="A20" s="4" t="s">
        <v>1</v>
      </c>
      <c r="B20" s="1" t="s">
        <v>918</v>
      </c>
      <c r="C20" s="10" t="s">
        <v>909</v>
      </c>
      <c r="D20" s="1" t="s">
        <v>617</v>
      </c>
      <c r="E20" s="1" t="s">
        <v>59</v>
      </c>
      <c r="F20" s="1" t="s">
        <v>432</v>
      </c>
      <c r="I20" s="10" t="s">
        <v>3</v>
      </c>
      <c r="J20" s="123" t="s">
        <v>3</v>
      </c>
      <c r="K20" s="1" t="s">
        <v>1090</v>
      </c>
      <c r="M20" s="5">
        <v>202003</v>
      </c>
      <c r="N20" s="5">
        <f>INDEX(rrcworking[Formation Production (MCF) @ 14.65 psi],MATCH('Mar 2020 EDI'!F20,rrcworking[RRC ID],0))</f>
        <v>0</v>
      </c>
      <c r="O20" s="5">
        <f>INDEX(rrcworking[Lease Use (MCF)],MATCH('Mar 2020 EDI'!F20,rrcworking[RRC ID],0))</f>
        <v>0</v>
      </c>
      <c r="P20" s="5">
        <f>INDEX(rrcworking[Disposition Volume (MCF) @ 14.65 MCF],MATCH('Mar 2020 EDI'!F20,rrcworking[RRC ID],0))</f>
        <v>0</v>
      </c>
      <c r="Y20" s="5">
        <f>INDEX(rrcworking[Oil Production],MATCH('Mar 2020 EDI'!F20,rrcworking[RRC ID],0))</f>
        <v>0</v>
      </c>
      <c r="AA20" s="5">
        <f>INDEX(rrcworking[Sales/Dispostion],MATCH('Mar 2020 EDI'!F20,rrcworking[RRC ID],0))</f>
        <v>0</v>
      </c>
      <c r="AQ20" s="5">
        <f>INDEX(rrcworking[Closing Stock (Oil)],MATCH('Mar 2020 EDI'!F20,rrcworking[RRC ID],0))</f>
        <v>0</v>
      </c>
    </row>
    <row r="21" spans="1:43">
      <c r="A21" s="4" t="s">
        <v>1</v>
      </c>
      <c r="B21" s="1" t="s">
        <v>919</v>
      </c>
      <c r="C21" s="10" t="s">
        <v>909</v>
      </c>
      <c r="D21" s="1" t="s">
        <v>617</v>
      </c>
      <c r="E21" s="1" t="s">
        <v>59</v>
      </c>
      <c r="F21" s="1" t="s">
        <v>433</v>
      </c>
      <c r="I21" s="10" t="s">
        <v>3</v>
      </c>
      <c r="J21" s="123" t="s">
        <v>3</v>
      </c>
      <c r="K21" s="1" t="s">
        <v>1090</v>
      </c>
      <c r="M21" s="5">
        <v>202003</v>
      </c>
      <c r="N21" s="5">
        <f>INDEX(rrcworking[Formation Production (MCF) @ 14.65 psi],MATCH('Mar 2020 EDI'!F21,rrcworking[RRC ID],0))</f>
        <v>0</v>
      </c>
      <c r="O21" s="5">
        <f>INDEX(rrcworking[Lease Use (MCF)],MATCH('Mar 2020 EDI'!F21,rrcworking[RRC ID],0))</f>
        <v>0</v>
      </c>
      <c r="P21" s="5">
        <f>INDEX(rrcworking[Disposition Volume (MCF) @ 14.65 MCF],MATCH('Mar 2020 EDI'!F21,rrcworking[RRC ID],0))</f>
        <v>0</v>
      </c>
      <c r="Y21" s="5">
        <f>INDEX(rrcworking[Oil Production],MATCH('Mar 2020 EDI'!F21,rrcworking[RRC ID],0))</f>
        <v>0</v>
      </c>
      <c r="AA21" s="5">
        <f>INDEX(rrcworking[Sales/Dispostion],MATCH('Mar 2020 EDI'!F21,rrcworking[RRC ID],0))</f>
        <v>0</v>
      </c>
      <c r="AQ21" s="5">
        <f>INDEX(rrcworking[Closing Stock (Oil)],MATCH('Mar 2020 EDI'!F21,rrcworking[RRC ID],0))</f>
        <v>0</v>
      </c>
    </row>
    <row r="22" spans="1:43">
      <c r="A22" s="4" t="s">
        <v>1</v>
      </c>
      <c r="B22" s="1" t="s">
        <v>920</v>
      </c>
      <c r="C22" s="10" t="s">
        <v>909</v>
      </c>
      <c r="D22" s="1" t="s">
        <v>617</v>
      </c>
      <c r="E22" s="1" t="s">
        <v>59</v>
      </c>
      <c r="F22" s="1" t="s">
        <v>434</v>
      </c>
      <c r="I22" s="10" t="s">
        <v>3</v>
      </c>
      <c r="J22" s="123" t="s">
        <v>3</v>
      </c>
      <c r="K22" s="1">
        <v>5048</v>
      </c>
      <c r="M22" s="5">
        <v>202003</v>
      </c>
      <c r="N22" s="5">
        <f>INDEX(rrcworking[Formation Production (MCF) @ 14.65 psi],MATCH('Mar 2020 EDI'!F22,rrcworking[RRC ID],0))</f>
        <v>0</v>
      </c>
      <c r="O22" s="5">
        <f>INDEX(rrcworking[Lease Use (MCF)],MATCH('Mar 2020 EDI'!F22,rrcworking[RRC ID],0))</f>
        <v>0</v>
      </c>
      <c r="P22" s="5">
        <f>INDEX(rrcworking[Disposition Volume (MCF) @ 14.65 MCF],MATCH('Mar 2020 EDI'!F22,rrcworking[RRC ID],0))</f>
        <v>0</v>
      </c>
      <c r="Y22" s="5">
        <f>INDEX(rrcworking[Oil Production],MATCH('Mar 2020 EDI'!F22,rrcworking[RRC ID],0))</f>
        <v>36</v>
      </c>
      <c r="AA22" s="5">
        <f>INDEX(rrcworking[Sales/Dispostion],MATCH('Mar 2020 EDI'!F22,rrcworking[RRC ID],0))</f>
        <v>0</v>
      </c>
      <c r="AQ22" s="5">
        <f>INDEX(rrcworking[Closing Stock (Oil)],MATCH('Mar 2020 EDI'!F22,rrcworking[RRC ID],0))</f>
        <v>200</v>
      </c>
    </row>
    <row r="23" spans="1:43">
      <c r="A23" s="4" t="s">
        <v>1</v>
      </c>
      <c r="B23" s="1" t="s">
        <v>921</v>
      </c>
      <c r="C23" s="10" t="s">
        <v>909</v>
      </c>
      <c r="D23" s="1" t="s">
        <v>617</v>
      </c>
      <c r="E23" s="1" t="s">
        <v>59</v>
      </c>
      <c r="F23" s="1" t="s">
        <v>435</v>
      </c>
      <c r="I23" s="10" t="s">
        <v>3</v>
      </c>
      <c r="J23" s="123" t="s">
        <v>3</v>
      </c>
      <c r="K23" s="1">
        <v>5048</v>
      </c>
      <c r="M23" s="5">
        <v>202003</v>
      </c>
      <c r="N23" s="5">
        <f>INDEX(rrcworking[Formation Production (MCF) @ 14.65 psi],MATCH('Mar 2020 EDI'!F23,rrcworking[RRC ID],0))</f>
        <v>0</v>
      </c>
      <c r="O23" s="5">
        <f>INDEX(rrcworking[Lease Use (MCF)],MATCH('Mar 2020 EDI'!F23,rrcworking[RRC ID],0))</f>
        <v>0</v>
      </c>
      <c r="P23" s="5">
        <f>INDEX(rrcworking[Disposition Volume (MCF) @ 14.65 MCF],MATCH('Mar 2020 EDI'!F23,rrcworking[RRC ID],0))</f>
        <v>0</v>
      </c>
      <c r="Y23" s="5">
        <f>INDEX(rrcworking[Oil Production],MATCH('Mar 2020 EDI'!F23,rrcworking[RRC ID],0))</f>
        <v>0</v>
      </c>
      <c r="AA23" s="5">
        <f>INDEX(rrcworking[Sales/Dispostion],MATCH('Mar 2020 EDI'!F23,rrcworking[RRC ID],0))</f>
        <v>0</v>
      </c>
      <c r="AQ23" s="5">
        <f>INDEX(rrcworking[Closing Stock (Oil)],MATCH('Mar 2020 EDI'!F23,rrcworking[RRC ID],0))</f>
        <v>0</v>
      </c>
    </row>
    <row r="24" spans="1:43">
      <c r="A24" s="4" t="s">
        <v>1</v>
      </c>
      <c r="B24" s="1" t="s">
        <v>922</v>
      </c>
      <c r="C24" s="10" t="s">
        <v>909</v>
      </c>
      <c r="D24" s="1" t="s">
        <v>617</v>
      </c>
      <c r="E24" s="1" t="s">
        <v>59</v>
      </c>
      <c r="F24" s="1" t="s">
        <v>436</v>
      </c>
      <c r="I24" s="10" t="s">
        <v>3</v>
      </c>
      <c r="J24" s="123" t="s">
        <v>3</v>
      </c>
      <c r="K24" s="1" t="s">
        <v>1090</v>
      </c>
      <c r="M24" s="5">
        <v>202003</v>
      </c>
      <c r="N24" s="5">
        <f>INDEX(rrcworking[Formation Production (MCF) @ 14.65 psi],MATCH('Mar 2020 EDI'!F24,rrcworking[RRC ID],0))</f>
        <v>0</v>
      </c>
      <c r="O24" s="5">
        <f>INDEX(rrcworking[Lease Use (MCF)],MATCH('Mar 2020 EDI'!F24,rrcworking[RRC ID],0))</f>
        <v>0</v>
      </c>
      <c r="P24" s="5">
        <f>INDEX(rrcworking[Disposition Volume (MCF) @ 14.65 MCF],MATCH('Mar 2020 EDI'!F24,rrcworking[RRC ID],0))</f>
        <v>0</v>
      </c>
      <c r="Y24" s="5">
        <f>INDEX(rrcworking[Oil Production],MATCH('Mar 2020 EDI'!F24,rrcworking[RRC ID],0))</f>
        <v>0</v>
      </c>
      <c r="AA24" s="5">
        <f>INDEX(rrcworking[Sales/Dispostion],MATCH('Mar 2020 EDI'!F24,rrcworking[RRC ID],0))</f>
        <v>0</v>
      </c>
      <c r="AQ24" s="5">
        <f>INDEX(rrcworking[Closing Stock (Oil)],MATCH('Mar 2020 EDI'!F24,rrcworking[RRC ID],0))</f>
        <v>80</v>
      </c>
    </row>
    <row r="25" spans="1:43">
      <c r="A25" s="4" t="s">
        <v>1</v>
      </c>
      <c r="B25" s="1" t="s">
        <v>923</v>
      </c>
      <c r="C25" s="10" t="s">
        <v>909</v>
      </c>
      <c r="D25" s="1" t="s">
        <v>617</v>
      </c>
      <c r="E25" s="1" t="s">
        <v>59</v>
      </c>
      <c r="F25" s="1" t="s">
        <v>437</v>
      </c>
      <c r="I25" s="10" t="s">
        <v>3</v>
      </c>
      <c r="J25" s="123" t="s">
        <v>3</v>
      </c>
      <c r="K25" s="1">
        <v>5113</v>
      </c>
      <c r="M25" s="5">
        <v>202003</v>
      </c>
      <c r="N25" s="5">
        <f>INDEX(rrcworking[Formation Production (MCF) @ 14.65 psi],MATCH('Mar 2020 EDI'!F25,rrcworking[RRC ID],0))</f>
        <v>0</v>
      </c>
      <c r="O25" s="5">
        <f>INDEX(rrcworking[Lease Use (MCF)],MATCH('Mar 2020 EDI'!F25,rrcworking[RRC ID],0))</f>
        <v>0</v>
      </c>
      <c r="P25" s="5">
        <f>INDEX(rrcworking[Disposition Volume (MCF) @ 14.65 MCF],MATCH('Mar 2020 EDI'!F25,rrcworking[RRC ID],0))</f>
        <v>0</v>
      </c>
      <c r="Y25" s="5">
        <f>INDEX(rrcworking[Oil Production],MATCH('Mar 2020 EDI'!F25,rrcworking[RRC ID],0))</f>
        <v>0</v>
      </c>
      <c r="AA25" s="5">
        <f>INDEX(rrcworking[Sales/Dispostion],MATCH('Mar 2020 EDI'!F25,rrcworking[RRC ID],0))</f>
        <v>0</v>
      </c>
      <c r="AQ25" s="5">
        <f>INDEX(rrcworking[Closing Stock (Oil)],MATCH('Mar 2020 EDI'!F25,rrcworking[RRC ID],0))</f>
        <v>84</v>
      </c>
    </row>
    <row r="26" spans="1:43">
      <c r="A26" s="4" t="s">
        <v>1</v>
      </c>
      <c r="B26" s="1" t="s">
        <v>924</v>
      </c>
      <c r="C26" s="10" t="s">
        <v>909</v>
      </c>
      <c r="D26" s="1" t="s">
        <v>617</v>
      </c>
      <c r="E26" s="1" t="s">
        <v>59</v>
      </c>
      <c r="F26" s="1" t="s">
        <v>438</v>
      </c>
      <c r="I26" s="10" t="s">
        <v>3</v>
      </c>
      <c r="J26" s="123" t="s">
        <v>3</v>
      </c>
      <c r="K26" s="1">
        <v>5113</v>
      </c>
      <c r="M26" s="5">
        <v>202003</v>
      </c>
      <c r="N26" s="5">
        <f>INDEX(rrcworking[Formation Production (MCF) @ 14.65 psi],MATCH('Mar 2020 EDI'!F26,rrcworking[RRC ID],0))</f>
        <v>0</v>
      </c>
      <c r="O26" s="5">
        <f>INDEX(rrcworking[Lease Use (MCF)],MATCH('Mar 2020 EDI'!F26,rrcworking[RRC ID],0))</f>
        <v>0</v>
      </c>
      <c r="P26" s="5">
        <f>INDEX(rrcworking[Disposition Volume (MCF) @ 14.65 MCF],MATCH('Mar 2020 EDI'!F26,rrcworking[RRC ID],0))</f>
        <v>0</v>
      </c>
      <c r="Y26" s="5">
        <f>INDEX(rrcworking[Oil Production],MATCH('Mar 2020 EDI'!F26,rrcworking[RRC ID],0))</f>
        <v>0</v>
      </c>
      <c r="AA26" s="5">
        <f>INDEX(rrcworking[Sales/Dispostion],MATCH('Mar 2020 EDI'!F26,rrcworking[RRC ID],0))</f>
        <v>0</v>
      </c>
      <c r="AQ26" s="5">
        <f>INDEX(rrcworking[Closing Stock (Oil)],MATCH('Mar 2020 EDI'!F26,rrcworking[RRC ID],0))</f>
        <v>0</v>
      </c>
    </row>
    <row r="27" spans="1:43">
      <c r="A27" s="4" t="s">
        <v>1</v>
      </c>
      <c r="B27" s="1" t="s">
        <v>925</v>
      </c>
      <c r="C27" s="10" t="s">
        <v>909</v>
      </c>
      <c r="D27" s="1" t="s">
        <v>617</v>
      </c>
      <c r="E27" s="1" t="s">
        <v>2</v>
      </c>
      <c r="F27" s="1" t="s">
        <v>439</v>
      </c>
      <c r="I27" s="10" t="s">
        <v>3</v>
      </c>
      <c r="J27" s="123" t="s">
        <v>3</v>
      </c>
      <c r="K27" s="1" t="s">
        <v>1090</v>
      </c>
      <c r="M27" s="5">
        <v>202003</v>
      </c>
      <c r="N27" s="5">
        <f>INDEX(rrcworking[Formation Production (MCF) @ 14.65 psi],MATCH('Mar 2020 EDI'!F27,rrcworking[RRC ID],0))</f>
        <v>0</v>
      </c>
      <c r="O27" s="5">
        <f>INDEX(rrcworking[Lease Use (MCF)],MATCH('Mar 2020 EDI'!F27,rrcworking[RRC ID],0))</f>
        <v>0</v>
      </c>
      <c r="P27" s="5">
        <f>INDEX(rrcworking[Disposition Volume (MCF) @ 14.65 MCF],MATCH('Mar 2020 EDI'!F27,rrcworking[RRC ID],0))</f>
        <v>0</v>
      </c>
      <c r="Y27" s="5">
        <f>INDEX(rrcworking[Oil Production],MATCH('Mar 2020 EDI'!F27,rrcworking[RRC ID],0))</f>
        <v>0</v>
      </c>
      <c r="AA27" s="5">
        <f>INDEX(rrcworking[Sales/Dispostion],MATCH('Mar 2020 EDI'!F27,rrcworking[RRC ID],0))</f>
        <v>0</v>
      </c>
      <c r="AQ27" s="5">
        <f>INDEX(rrcworking[Closing Stock (Oil)],MATCH('Mar 2020 EDI'!F27,rrcworking[RRC ID],0))</f>
        <v>0</v>
      </c>
    </row>
    <row r="28" spans="1:43">
      <c r="A28" s="4" t="s">
        <v>1</v>
      </c>
      <c r="B28" s="1" t="s">
        <v>926</v>
      </c>
      <c r="C28" s="10" t="s">
        <v>909</v>
      </c>
      <c r="D28" s="1" t="s">
        <v>617</v>
      </c>
      <c r="E28" s="1" t="s">
        <v>2</v>
      </c>
      <c r="F28" s="1" t="s">
        <v>440</v>
      </c>
      <c r="I28" s="10" t="s">
        <v>3</v>
      </c>
      <c r="J28" s="123" t="s">
        <v>3</v>
      </c>
      <c r="K28" s="1" t="s">
        <v>1090</v>
      </c>
      <c r="M28" s="5">
        <v>202003</v>
      </c>
      <c r="N28" s="5">
        <f>INDEX(rrcworking[Formation Production (MCF) @ 14.65 psi],MATCH('Mar 2020 EDI'!F28,rrcworking[RRC ID],0))</f>
        <v>0</v>
      </c>
      <c r="O28" s="5">
        <f>INDEX(rrcworking[Lease Use (MCF)],MATCH('Mar 2020 EDI'!F28,rrcworking[RRC ID],0))</f>
        <v>0</v>
      </c>
      <c r="P28" s="5">
        <f>INDEX(rrcworking[Disposition Volume (MCF) @ 14.65 MCF],MATCH('Mar 2020 EDI'!F28,rrcworking[RRC ID],0))</f>
        <v>0</v>
      </c>
      <c r="Y28" s="5">
        <f>INDEX(rrcworking[Oil Production],MATCH('Mar 2020 EDI'!F28,rrcworking[RRC ID],0))</f>
        <v>0</v>
      </c>
      <c r="AA28" s="5">
        <f>INDEX(rrcworking[Sales/Dispostion],MATCH('Mar 2020 EDI'!F28,rrcworking[RRC ID],0))</f>
        <v>0</v>
      </c>
      <c r="AQ28" s="5">
        <f>INDEX(rrcworking[Closing Stock (Oil)],MATCH('Mar 2020 EDI'!F28,rrcworking[RRC ID],0))</f>
        <v>0</v>
      </c>
    </row>
    <row r="29" spans="1:43">
      <c r="A29" s="4" t="s">
        <v>1</v>
      </c>
      <c r="B29" s="1" t="s">
        <v>927</v>
      </c>
      <c r="C29" s="10" t="s">
        <v>909</v>
      </c>
      <c r="D29" s="1" t="s">
        <v>617</v>
      </c>
      <c r="E29" s="1" t="s">
        <v>2</v>
      </c>
      <c r="F29" s="1" t="s">
        <v>441</v>
      </c>
      <c r="I29" s="10" t="s">
        <v>3</v>
      </c>
      <c r="J29" s="123" t="s">
        <v>3</v>
      </c>
      <c r="K29" s="1" t="s">
        <v>1090</v>
      </c>
      <c r="M29" s="5">
        <v>202003</v>
      </c>
      <c r="N29" s="5">
        <f>INDEX(rrcworking[Formation Production (MCF) @ 14.65 psi],MATCH('Mar 2020 EDI'!F29,rrcworking[RRC ID],0))</f>
        <v>0</v>
      </c>
      <c r="O29" s="5">
        <f>INDEX(rrcworking[Lease Use (MCF)],MATCH('Mar 2020 EDI'!F29,rrcworking[RRC ID],0))</f>
        <v>0</v>
      </c>
      <c r="P29" s="5">
        <f>INDEX(rrcworking[Disposition Volume (MCF) @ 14.65 MCF],MATCH('Mar 2020 EDI'!F29,rrcworking[RRC ID],0))</f>
        <v>0</v>
      </c>
      <c r="Y29" s="5">
        <f>INDEX(rrcworking[Oil Production],MATCH('Mar 2020 EDI'!F29,rrcworking[RRC ID],0))</f>
        <v>0</v>
      </c>
      <c r="AA29" s="5">
        <f>INDEX(rrcworking[Sales/Dispostion],MATCH('Mar 2020 EDI'!F29,rrcworking[RRC ID],0))</f>
        <v>0</v>
      </c>
      <c r="AQ29" s="5">
        <f>INDEX(rrcworking[Closing Stock (Oil)],MATCH('Mar 2020 EDI'!F29,rrcworking[RRC ID],0))</f>
        <v>0</v>
      </c>
    </row>
    <row r="30" spans="1:43">
      <c r="A30" s="4" t="s">
        <v>1</v>
      </c>
      <c r="B30" s="1" t="s">
        <v>928</v>
      </c>
      <c r="C30" s="10" t="s">
        <v>909</v>
      </c>
      <c r="D30" s="1" t="s">
        <v>617</v>
      </c>
      <c r="E30" s="1" t="s">
        <v>2</v>
      </c>
      <c r="F30" s="1" t="s">
        <v>442</v>
      </c>
      <c r="I30" s="10" t="s">
        <v>3</v>
      </c>
      <c r="J30" s="123" t="s">
        <v>3</v>
      </c>
      <c r="K30" s="1" t="s">
        <v>1090</v>
      </c>
      <c r="M30" s="5">
        <v>202003</v>
      </c>
      <c r="N30" s="5">
        <f>INDEX(rrcworking[Formation Production (MCF) @ 14.65 psi],MATCH('Mar 2020 EDI'!F30,rrcworking[RRC ID],0))</f>
        <v>0</v>
      </c>
      <c r="O30" s="5">
        <f>INDEX(rrcworking[Lease Use (MCF)],MATCH('Mar 2020 EDI'!F30,rrcworking[RRC ID],0))</f>
        <v>0</v>
      </c>
      <c r="P30" s="5">
        <f>INDEX(rrcworking[Disposition Volume (MCF) @ 14.65 MCF],MATCH('Mar 2020 EDI'!F30,rrcworking[RRC ID],0))</f>
        <v>0</v>
      </c>
      <c r="Y30" s="5">
        <f>INDEX(rrcworking[Oil Production],MATCH('Mar 2020 EDI'!F30,rrcworking[RRC ID],0))</f>
        <v>0</v>
      </c>
      <c r="AA30" s="5">
        <f>INDEX(rrcworking[Sales/Dispostion],MATCH('Mar 2020 EDI'!F30,rrcworking[RRC ID],0))</f>
        <v>0</v>
      </c>
      <c r="AQ30" s="5">
        <f>INDEX(rrcworking[Closing Stock (Oil)],MATCH('Mar 2020 EDI'!F30,rrcworking[RRC ID],0))</f>
        <v>0</v>
      </c>
    </row>
    <row r="31" spans="1:43">
      <c r="A31" s="4" t="s">
        <v>1</v>
      </c>
      <c r="B31" s="1" t="s">
        <v>929</v>
      </c>
      <c r="C31" s="10" t="s">
        <v>909</v>
      </c>
      <c r="D31" s="1" t="s">
        <v>617</v>
      </c>
      <c r="E31" s="1" t="s">
        <v>2</v>
      </c>
      <c r="F31" s="1" t="s">
        <v>443</v>
      </c>
      <c r="I31" s="10" t="s">
        <v>3</v>
      </c>
      <c r="J31" s="123" t="s">
        <v>3</v>
      </c>
      <c r="K31" s="1" t="s">
        <v>1090</v>
      </c>
      <c r="M31" s="5">
        <v>202003</v>
      </c>
      <c r="N31" s="5">
        <f>INDEX(rrcworking[Formation Production (MCF) @ 14.65 psi],MATCH('Mar 2020 EDI'!F31,rrcworking[RRC ID],0))</f>
        <v>0</v>
      </c>
      <c r="O31" s="5">
        <f>INDEX(rrcworking[Lease Use (MCF)],MATCH('Mar 2020 EDI'!F31,rrcworking[RRC ID],0))</f>
        <v>0</v>
      </c>
      <c r="P31" s="5">
        <f>INDEX(rrcworking[Disposition Volume (MCF) @ 14.65 MCF],MATCH('Mar 2020 EDI'!F31,rrcworking[RRC ID],0))</f>
        <v>0</v>
      </c>
      <c r="Y31" s="5">
        <f>INDEX(rrcworking[Oil Production],MATCH('Mar 2020 EDI'!F31,rrcworking[RRC ID],0))</f>
        <v>0</v>
      </c>
      <c r="AA31" s="5">
        <f>INDEX(rrcworking[Sales/Dispostion],MATCH('Mar 2020 EDI'!F31,rrcworking[RRC ID],0))</f>
        <v>0</v>
      </c>
      <c r="AQ31" s="5">
        <f>INDEX(rrcworking[Closing Stock (Oil)],MATCH('Mar 2020 EDI'!F31,rrcworking[RRC ID],0))</f>
        <v>0</v>
      </c>
    </row>
    <row r="32" spans="1:43">
      <c r="A32" s="4" t="s">
        <v>1</v>
      </c>
      <c r="B32" s="1" t="s">
        <v>930</v>
      </c>
      <c r="C32" s="10" t="s">
        <v>909</v>
      </c>
      <c r="D32" s="1" t="s">
        <v>617</v>
      </c>
      <c r="E32" s="1" t="s">
        <v>59</v>
      </c>
      <c r="F32" s="1" t="s">
        <v>444</v>
      </c>
      <c r="I32" s="10" t="s">
        <v>3</v>
      </c>
      <c r="J32" s="123" t="s">
        <v>3</v>
      </c>
      <c r="K32" s="1" t="s">
        <v>1090</v>
      </c>
      <c r="M32" s="5">
        <v>202003</v>
      </c>
      <c r="N32" s="5">
        <f>INDEX(rrcworking[Formation Production (MCF) @ 14.65 psi],MATCH('Mar 2020 EDI'!F32,rrcworking[RRC ID],0))</f>
        <v>0</v>
      </c>
      <c r="O32" s="5">
        <f>INDEX(rrcworking[Lease Use (MCF)],MATCH('Mar 2020 EDI'!F32,rrcworking[RRC ID],0))</f>
        <v>0</v>
      </c>
      <c r="P32" s="5">
        <f>INDEX(rrcworking[Disposition Volume (MCF) @ 14.65 MCF],MATCH('Mar 2020 EDI'!F32,rrcworking[RRC ID],0))</f>
        <v>0</v>
      </c>
      <c r="Y32" s="5">
        <f>INDEX(rrcworking[Oil Production],MATCH('Mar 2020 EDI'!F32,rrcworking[RRC ID],0))</f>
        <v>0</v>
      </c>
      <c r="AA32" s="5">
        <f>INDEX(rrcworking[Sales/Dispostion],MATCH('Mar 2020 EDI'!F32,rrcworking[RRC ID],0))</f>
        <v>0</v>
      </c>
      <c r="AQ32" s="5">
        <f>INDEX(rrcworking[Closing Stock (Oil)],MATCH('Mar 2020 EDI'!F32,rrcworking[RRC ID],0))</f>
        <v>0</v>
      </c>
    </row>
    <row r="33" spans="1:43">
      <c r="A33" s="4" t="s">
        <v>1</v>
      </c>
      <c r="B33" s="1" t="s">
        <v>931</v>
      </c>
      <c r="C33" s="10" t="s">
        <v>909</v>
      </c>
      <c r="D33" s="1" t="s">
        <v>617</v>
      </c>
      <c r="E33" s="1" t="s">
        <v>2</v>
      </c>
      <c r="F33" s="1" t="s">
        <v>445</v>
      </c>
      <c r="I33" s="10" t="s">
        <v>3</v>
      </c>
      <c r="J33" s="123" t="s">
        <v>3</v>
      </c>
      <c r="K33" s="1" t="s">
        <v>1090</v>
      </c>
      <c r="M33" s="5">
        <v>202003</v>
      </c>
      <c r="N33" s="5">
        <f>INDEX(rrcworking[Formation Production (MCF) @ 14.65 psi],MATCH('Mar 2020 EDI'!F33,rrcworking[RRC ID],0))</f>
        <v>0</v>
      </c>
      <c r="O33" s="5">
        <f>INDEX(rrcworking[Lease Use (MCF)],MATCH('Mar 2020 EDI'!F33,rrcworking[RRC ID],0))</f>
        <v>0</v>
      </c>
      <c r="P33" s="5">
        <f>INDEX(rrcworking[Disposition Volume (MCF) @ 14.65 MCF],MATCH('Mar 2020 EDI'!F33,rrcworking[RRC ID],0))</f>
        <v>0</v>
      </c>
      <c r="Y33" s="5">
        <f>INDEX(rrcworking[Oil Production],MATCH('Mar 2020 EDI'!F33,rrcworking[RRC ID],0))</f>
        <v>0</v>
      </c>
      <c r="AA33" s="5">
        <f>INDEX(rrcworking[Sales/Dispostion],MATCH('Mar 2020 EDI'!F33,rrcworking[RRC ID],0))</f>
        <v>0</v>
      </c>
      <c r="AQ33" s="5">
        <f>INDEX(rrcworking[Closing Stock (Oil)],MATCH('Mar 2020 EDI'!F33,rrcworking[RRC ID],0))</f>
        <v>213</v>
      </c>
    </row>
    <row r="34" spans="1:43">
      <c r="A34" s="4" t="s">
        <v>1</v>
      </c>
      <c r="B34" s="1" t="s">
        <v>932</v>
      </c>
      <c r="C34" s="10" t="s">
        <v>909</v>
      </c>
      <c r="D34" s="1" t="s">
        <v>617</v>
      </c>
      <c r="E34" s="1" t="s">
        <v>59</v>
      </c>
      <c r="F34" s="1" t="s">
        <v>446</v>
      </c>
      <c r="I34" s="10" t="s">
        <v>3</v>
      </c>
      <c r="J34" s="123" t="s">
        <v>3</v>
      </c>
      <c r="K34" s="1">
        <v>5048</v>
      </c>
      <c r="M34" s="5">
        <v>202003</v>
      </c>
      <c r="N34" s="5">
        <f>INDEX(rrcworking[Formation Production (MCF) @ 14.65 psi],MATCH('Mar 2020 EDI'!F34,rrcworking[RRC ID],0))</f>
        <v>0</v>
      </c>
      <c r="O34" s="5">
        <f>INDEX(rrcworking[Lease Use (MCF)],MATCH('Mar 2020 EDI'!F34,rrcworking[RRC ID],0))</f>
        <v>0</v>
      </c>
      <c r="P34" s="5">
        <f>INDEX(rrcworking[Disposition Volume (MCF) @ 14.65 MCF],MATCH('Mar 2020 EDI'!F34,rrcworking[RRC ID],0))</f>
        <v>0</v>
      </c>
      <c r="Y34" s="5">
        <f>INDEX(rrcworking[Oil Production],MATCH('Mar 2020 EDI'!F34,rrcworking[RRC ID],0))</f>
        <v>0</v>
      </c>
      <c r="AA34" s="5">
        <f>INDEX(rrcworking[Sales/Dispostion],MATCH('Mar 2020 EDI'!F34,rrcworking[RRC ID],0))</f>
        <v>0</v>
      </c>
      <c r="AQ34" s="5">
        <f>INDEX(rrcworking[Closing Stock (Oil)],MATCH('Mar 2020 EDI'!F34,rrcworking[RRC ID],0))</f>
        <v>0</v>
      </c>
    </row>
    <row r="35" spans="1:43">
      <c r="A35" s="4" t="s">
        <v>1</v>
      </c>
      <c r="B35" s="1" t="s">
        <v>933</v>
      </c>
      <c r="C35" s="10" t="s">
        <v>909</v>
      </c>
      <c r="D35" s="1" t="s">
        <v>617</v>
      </c>
      <c r="E35" s="1" t="s">
        <v>59</v>
      </c>
      <c r="F35" s="1" t="s">
        <v>447</v>
      </c>
      <c r="I35" s="10" t="s">
        <v>3</v>
      </c>
      <c r="J35" s="123" t="s">
        <v>3</v>
      </c>
      <c r="K35" s="1" t="s">
        <v>1090</v>
      </c>
      <c r="M35" s="5">
        <v>202003</v>
      </c>
      <c r="N35" s="5">
        <f>INDEX(rrcworking[Formation Production (MCF) @ 14.65 psi],MATCH('Mar 2020 EDI'!F35,rrcworking[RRC ID],0))</f>
        <v>0</v>
      </c>
      <c r="O35" s="5">
        <f>INDEX(rrcworking[Lease Use (MCF)],MATCH('Mar 2020 EDI'!F35,rrcworking[RRC ID],0))</f>
        <v>0</v>
      </c>
      <c r="P35" s="5">
        <f>INDEX(rrcworking[Disposition Volume (MCF) @ 14.65 MCF],MATCH('Mar 2020 EDI'!F35,rrcworking[RRC ID],0))</f>
        <v>0</v>
      </c>
      <c r="Y35" s="5">
        <f>INDEX(rrcworking[Oil Production],MATCH('Mar 2020 EDI'!F35,rrcworking[RRC ID],0))</f>
        <v>0</v>
      </c>
      <c r="AA35" s="5">
        <f>INDEX(rrcworking[Sales/Dispostion],MATCH('Mar 2020 EDI'!F35,rrcworking[RRC ID],0))</f>
        <v>0</v>
      </c>
      <c r="AQ35" s="5">
        <f>INDEX(rrcworking[Closing Stock (Oil)],MATCH('Mar 2020 EDI'!F35,rrcworking[RRC ID],0))</f>
        <v>166</v>
      </c>
    </row>
    <row r="36" spans="1:43">
      <c r="A36" s="4" t="s">
        <v>1</v>
      </c>
      <c r="B36" s="1" t="s">
        <v>934</v>
      </c>
      <c r="C36" s="10" t="s">
        <v>909</v>
      </c>
      <c r="D36" s="1" t="s">
        <v>617</v>
      </c>
      <c r="E36" s="1" t="s">
        <v>59</v>
      </c>
      <c r="F36" s="1" t="s">
        <v>448</v>
      </c>
      <c r="I36" s="10" t="s">
        <v>3</v>
      </c>
      <c r="J36" s="123" t="s">
        <v>3</v>
      </c>
      <c r="K36" s="1" t="s">
        <v>1090</v>
      </c>
      <c r="M36" s="5">
        <v>202003</v>
      </c>
      <c r="N36" s="5">
        <f>INDEX(rrcworking[Formation Production (MCF) @ 14.65 psi],MATCH('Mar 2020 EDI'!F36,rrcworking[RRC ID],0))</f>
        <v>0</v>
      </c>
      <c r="O36" s="5">
        <f>INDEX(rrcworking[Lease Use (MCF)],MATCH('Mar 2020 EDI'!F36,rrcworking[RRC ID],0))</f>
        <v>0</v>
      </c>
      <c r="P36" s="5">
        <f>INDEX(rrcworking[Disposition Volume (MCF) @ 14.65 MCF],MATCH('Mar 2020 EDI'!F36,rrcworking[RRC ID],0))</f>
        <v>0</v>
      </c>
      <c r="Y36" s="5">
        <f>INDEX(rrcworking[Oil Production],MATCH('Mar 2020 EDI'!F36,rrcworking[RRC ID],0))</f>
        <v>0</v>
      </c>
      <c r="AA36" s="5">
        <f>INDEX(rrcworking[Sales/Dispostion],MATCH('Mar 2020 EDI'!F36,rrcworking[RRC ID],0))</f>
        <v>0</v>
      </c>
      <c r="AQ36" s="5">
        <f>INDEX(rrcworking[Closing Stock (Oil)],MATCH('Mar 2020 EDI'!F36,rrcworking[RRC ID],0))</f>
        <v>0</v>
      </c>
    </row>
    <row r="37" spans="1:43">
      <c r="A37" s="4" t="s">
        <v>1</v>
      </c>
      <c r="B37" s="1" t="s">
        <v>935</v>
      </c>
      <c r="C37" s="10" t="s">
        <v>909</v>
      </c>
      <c r="D37" s="1" t="s">
        <v>617</v>
      </c>
      <c r="E37" s="1" t="s">
        <v>59</v>
      </c>
      <c r="F37" s="1" t="s">
        <v>449</v>
      </c>
      <c r="I37" s="10" t="s">
        <v>3</v>
      </c>
      <c r="J37" s="123" t="s">
        <v>3</v>
      </c>
      <c r="K37" s="1" t="s">
        <v>1090</v>
      </c>
      <c r="M37" s="5">
        <v>202003</v>
      </c>
      <c r="N37" s="5">
        <f>INDEX(rrcworking[Formation Production (MCF) @ 14.65 psi],MATCH('Mar 2020 EDI'!F37,rrcworking[RRC ID],0))</f>
        <v>0</v>
      </c>
      <c r="O37" s="5">
        <f>INDEX(rrcworking[Lease Use (MCF)],MATCH('Mar 2020 EDI'!F37,rrcworking[RRC ID],0))</f>
        <v>0</v>
      </c>
      <c r="P37" s="5">
        <f>INDEX(rrcworking[Disposition Volume (MCF) @ 14.65 MCF],MATCH('Mar 2020 EDI'!F37,rrcworking[RRC ID],0))</f>
        <v>0</v>
      </c>
      <c r="Y37" s="5">
        <f>INDEX(rrcworking[Oil Production],MATCH('Mar 2020 EDI'!F37,rrcworking[RRC ID],0))</f>
        <v>0</v>
      </c>
      <c r="AA37" s="5">
        <f>INDEX(rrcworking[Sales/Dispostion],MATCH('Mar 2020 EDI'!F37,rrcworking[RRC ID],0))</f>
        <v>0</v>
      </c>
      <c r="AQ37" s="5">
        <f>INDEX(rrcworking[Closing Stock (Oil)],MATCH('Mar 2020 EDI'!F37,rrcworking[RRC ID],0))</f>
        <v>0</v>
      </c>
    </row>
    <row r="38" spans="1:43">
      <c r="A38" s="4" t="s">
        <v>1</v>
      </c>
      <c r="B38" s="1" t="s">
        <v>936</v>
      </c>
      <c r="C38" s="10" t="s">
        <v>909</v>
      </c>
      <c r="D38" s="1" t="s">
        <v>617</v>
      </c>
      <c r="E38" s="1" t="s">
        <v>59</v>
      </c>
      <c r="F38" s="1" t="s">
        <v>450</v>
      </c>
      <c r="I38" s="10" t="s">
        <v>3</v>
      </c>
      <c r="J38" s="123" t="s">
        <v>3</v>
      </c>
      <c r="K38" s="1" t="s">
        <v>1090</v>
      </c>
      <c r="M38" s="5">
        <v>202003</v>
      </c>
      <c r="N38" s="5">
        <f>INDEX(rrcworking[Formation Production (MCF) @ 14.65 psi],MATCH('Mar 2020 EDI'!F38,rrcworking[RRC ID],0))</f>
        <v>0</v>
      </c>
      <c r="O38" s="5">
        <f>INDEX(rrcworking[Lease Use (MCF)],MATCH('Mar 2020 EDI'!F38,rrcworking[RRC ID],0))</f>
        <v>0</v>
      </c>
      <c r="P38" s="5">
        <f>INDEX(rrcworking[Disposition Volume (MCF) @ 14.65 MCF],MATCH('Mar 2020 EDI'!F38,rrcworking[RRC ID],0))</f>
        <v>0</v>
      </c>
      <c r="Y38" s="5">
        <f>INDEX(rrcworking[Oil Production],MATCH('Mar 2020 EDI'!F38,rrcworking[RRC ID],0))</f>
        <v>0</v>
      </c>
      <c r="AA38" s="5">
        <f>INDEX(rrcworking[Sales/Dispostion],MATCH('Mar 2020 EDI'!F38,rrcworking[RRC ID],0))</f>
        <v>0</v>
      </c>
      <c r="AQ38" s="5">
        <f>INDEX(rrcworking[Closing Stock (Oil)],MATCH('Mar 2020 EDI'!F38,rrcworking[RRC ID],0))</f>
        <v>0</v>
      </c>
    </row>
    <row r="39" spans="1:43">
      <c r="A39" s="4" t="s">
        <v>1</v>
      </c>
      <c r="B39" s="1" t="s">
        <v>937</v>
      </c>
      <c r="C39" s="10" t="s">
        <v>909</v>
      </c>
      <c r="D39" s="1" t="s">
        <v>617</v>
      </c>
      <c r="E39" s="1" t="s">
        <v>2</v>
      </c>
      <c r="F39" s="1" t="s">
        <v>451</v>
      </c>
      <c r="I39" s="10" t="s">
        <v>3</v>
      </c>
      <c r="J39" s="123" t="s">
        <v>3</v>
      </c>
      <c r="K39" s="1" t="s">
        <v>1090</v>
      </c>
      <c r="M39" s="5">
        <v>202003</v>
      </c>
      <c r="N39" s="5">
        <f>INDEX(rrcworking[Formation Production (MCF) @ 14.65 psi],MATCH('Mar 2020 EDI'!F39,rrcworking[RRC ID],0))</f>
        <v>0</v>
      </c>
      <c r="O39" s="5">
        <f>INDEX(rrcworking[Lease Use (MCF)],MATCH('Mar 2020 EDI'!F39,rrcworking[RRC ID],0))</f>
        <v>0</v>
      </c>
      <c r="P39" s="5">
        <f>INDEX(rrcworking[Disposition Volume (MCF) @ 14.65 MCF],MATCH('Mar 2020 EDI'!F39,rrcworking[RRC ID],0))</f>
        <v>0</v>
      </c>
      <c r="Y39" s="5">
        <f>INDEX(rrcworking[Oil Production],MATCH('Mar 2020 EDI'!F39,rrcworking[RRC ID],0))</f>
        <v>0</v>
      </c>
      <c r="AA39" s="5">
        <f>INDEX(rrcworking[Sales/Dispostion],MATCH('Mar 2020 EDI'!F39,rrcworking[RRC ID],0))</f>
        <v>0</v>
      </c>
      <c r="AQ39" s="5">
        <f>INDEX(rrcworking[Closing Stock (Oil)],MATCH('Mar 2020 EDI'!F39,rrcworking[RRC ID],0))</f>
        <v>0</v>
      </c>
    </row>
    <row r="40" spans="1:43">
      <c r="A40" s="4" t="s">
        <v>1</v>
      </c>
      <c r="B40" s="1" t="s">
        <v>938</v>
      </c>
      <c r="C40" s="10" t="s">
        <v>909</v>
      </c>
      <c r="D40" s="1" t="s">
        <v>617</v>
      </c>
      <c r="E40" s="1" t="s">
        <v>59</v>
      </c>
      <c r="F40" s="1" t="s">
        <v>452</v>
      </c>
      <c r="I40" s="10" t="s">
        <v>3</v>
      </c>
      <c r="J40" s="123" t="s">
        <v>3</v>
      </c>
      <c r="K40" s="1" t="s">
        <v>1090</v>
      </c>
      <c r="M40" s="5">
        <v>202003</v>
      </c>
      <c r="N40" s="5">
        <f>INDEX(rrcworking[Formation Production (MCF) @ 14.65 psi],MATCH('Mar 2020 EDI'!F40,rrcworking[RRC ID],0))</f>
        <v>0</v>
      </c>
      <c r="O40" s="5">
        <f>INDEX(rrcworking[Lease Use (MCF)],MATCH('Mar 2020 EDI'!F40,rrcworking[RRC ID],0))</f>
        <v>0</v>
      </c>
      <c r="P40" s="5">
        <f>INDEX(rrcworking[Disposition Volume (MCF) @ 14.65 MCF],MATCH('Mar 2020 EDI'!F40,rrcworking[RRC ID],0))</f>
        <v>0</v>
      </c>
      <c r="Y40" s="5">
        <f>INDEX(rrcworking[Oil Production],MATCH('Mar 2020 EDI'!F40,rrcworking[RRC ID],0))</f>
        <v>0</v>
      </c>
      <c r="AA40" s="5">
        <f>INDEX(rrcworking[Sales/Dispostion],MATCH('Mar 2020 EDI'!F40,rrcworking[RRC ID],0))</f>
        <v>0</v>
      </c>
      <c r="AQ40" s="5">
        <f>INDEX(rrcworking[Closing Stock (Oil)],MATCH('Mar 2020 EDI'!F40,rrcworking[RRC ID],0))</f>
        <v>0</v>
      </c>
    </row>
    <row r="41" spans="1:43">
      <c r="A41" s="4" t="s">
        <v>1</v>
      </c>
      <c r="B41" s="1" t="s">
        <v>939</v>
      </c>
      <c r="C41" s="10" t="s">
        <v>909</v>
      </c>
      <c r="D41" s="1" t="s">
        <v>617</v>
      </c>
      <c r="E41" s="1" t="s">
        <v>59</v>
      </c>
      <c r="F41" s="1" t="s">
        <v>453</v>
      </c>
      <c r="I41" s="10" t="s">
        <v>3</v>
      </c>
      <c r="J41" s="123" t="s">
        <v>3</v>
      </c>
      <c r="K41" s="1" t="s">
        <v>1090</v>
      </c>
      <c r="M41" s="5">
        <v>202003</v>
      </c>
      <c r="N41" s="5">
        <f>INDEX(rrcworking[Formation Production (MCF) @ 14.65 psi],MATCH('Mar 2020 EDI'!F41,rrcworking[RRC ID],0))</f>
        <v>0</v>
      </c>
      <c r="O41" s="5">
        <f>INDEX(rrcworking[Lease Use (MCF)],MATCH('Mar 2020 EDI'!F41,rrcworking[RRC ID],0))</f>
        <v>0</v>
      </c>
      <c r="P41" s="5">
        <f>INDEX(rrcworking[Disposition Volume (MCF) @ 14.65 MCF],MATCH('Mar 2020 EDI'!F41,rrcworking[RRC ID],0))</f>
        <v>0</v>
      </c>
      <c r="Y41" s="5">
        <f>INDEX(rrcworking[Oil Production],MATCH('Mar 2020 EDI'!F41,rrcworking[RRC ID],0))</f>
        <v>0</v>
      </c>
      <c r="AA41" s="5">
        <f>INDEX(rrcworking[Sales/Dispostion],MATCH('Mar 2020 EDI'!F41,rrcworking[RRC ID],0))</f>
        <v>0</v>
      </c>
      <c r="AQ41" s="5">
        <f>INDEX(rrcworking[Closing Stock (Oil)],MATCH('Mar 2020 EDI'!F41,rrcworking[RRC ID],0))</f>
        <v>0</v>
      </c>
    </row>
    <row r="42" spans="1:43">
      <c r="A42" s="4" t="s">
        <v>1</v>
      </c>
      <c r="B42" s="1" t="s">
        <v>940</v>
      </c>
      <c r="C42" s="10" t="s">
        <v>909</v>
      </c>
      <c r="D42" s="1" t="s">
        <v>617</v>
      </c>
      <c r="E42" s="1" t="s">
        <v>59</v>
      </c>
      <c r="F42" s="1" t="s">
        <v>454</v>
      </c>
      <c r="I42" s="10" t="s">
        <v>3</v>
      </c>
      <c r="J42" s="123" t="s">
        <v>3</v>
      </c>
      <c r="K42" s="1" t="s">
        <v>1090</v>
      </c>
      <c r="M42" s="5">
        <v>202003</v>
      </c>
      <c r="N42" s="5">
        <f>INDEX(rrcworking[Formation Production (MCF) @ 14.65 psi],MATCH('Mar 2020 EDI'!F42,rrcworking[RRC ID],0))</f>
        <v>0</v>
      </c>
      <c r="O42" s="5">
        <f>INDEX(rrcworking[Lease Use (MCF)],MATCH('Mar 2020 EDI'!F42,rrcworking[RRC ID],0))</f>
        <v>0</v>
      </c>
      <c r="P42" s="5">
        <f>INDEX(rrcworking[Disposition Volume (MCF) @ 14.65 MCF],MATCH('Mar 2020 EDI'!F42,rrcworking[RRC ID],0))</f>
        <v>0</v>
      </c>
      <c r="Y42" s="5">
        <f>INDEX(rrcworking[Oil Production],MATCH('Mar 2020 EDI'!F42,rrcworking[RRC ID],0))</f>
        <v>0</v>
      </c>
      <c r="AA42" s="5">
        <f>INDEX(rrcworking[Sales/Dispostion],MATCH('Mar 2020 EDI'!F42,rrcworking[RRC ID],0))</f>
        <v>0</v>
      </c>
      <c r="AQ42" s="5">
        <f>INDEX(rrcworking[Closing Stock (Oil)],MATCH('Mar 2020 EDI'!F42,rrcworking[RRC ID],0))</f>
        <v>0</v>
      </c>
    </row>
    <row r="43" spans="1:43">
      <c r="A43" s="4" t="s">
        <v>1</v>
      </c>
      <c r="B43" s="1" t="s">
        <v>941</v>
      </c>
      <c r="C43" s="10" t="s">
        <v>909</v>
      </c>
      <c r="D43" s="1" t="s">
        <v>617</v>
      </c>
      <c r="E43" s="1" t="s">
        <v>59</v>
      </c>
      <c r="F43" s="1" t="s">
        <v>455</v>
      </c>
      <c r="I43" s="10" t="s">
        <v>3</v>
      </c>
      <c r="J43" s="123" t="s">
        <v>3</v>
      </c>
      <c r="K43" s="1" t="s">
        <v>1090</v>
      </c>
      <c r="M43" s="5">
        <v>202003</v>
      </c>
      <c r="N43" s="5">
        <f>INDEX(rrcworking[Formation Production (MCF) @ 14.65 psi],MATCH('Mar 2020 EDI'!F43,rrcworking[RRC ID],0))</f>
        <v>52</v>
      </c>
      <c r="O43" s="5">
        <f>INDEX(rrcworking[Lease Use (MCF)],MATCH('Mar 2020 EDI'!F43,rrcworking[RRC ID],0))</f>
        <v>0</v>
      </c>
      <c r="P43" s="5">
        <f>INDEX(rrcworking[Disposition Volume (MCF) @ 14.65 MCF],MATCH('Mar 2020 EDI'!F43,rrcworking[RRC ID],0))</f>
        <v>52</v>
      </c>
      <c r="Y43" s="5">
        <f>INDEX(rrcworking[Oil Production],MATCH('Mar 2020 EDI'!F43,rrcworking[RRC ID],0))</f>
        <v>0</v>
      </c>
      <c r="AA43" s="5">
        <f>INDEX(rrcworking[Sales/Dispostion],MATCH('Mar 2020 EDI'!F43,rrcworking[RRC ID],0))</f>
        <v>0</v>
      </c>
      <c r="AQ43" s="5">
        <f>INDEX(rrcworking[Closing Stock (Oil)],MATCH('Mar 2020 EDI'!F43,rrcworking[RRC ID],0))</f>
        <v>0</v>
      </c>
    </row>
    <row r="44" spans="1:43">
      <c r="A44" s="4" t="s">
        <v>1</v>
      </c>
      <c r="B44" s="1" t="s">
        <v>942</v>
      </c>
      <c r="C44" s="10" t="s">
        <v>909</v>
      </c>
      <c r="D44" s="1" t="s">
        <v>617</v>
      </c>
      <c r="E44" s="1" t="s">
        <v>2</v>
      </c>
      <c r="F44" s="1" t="s">
        <v>456</v>
      </c>
      <c r="I44" s="10" t="s">
        <v>3</v>
      </c>
      <c r="J44" s="123" t="s">
        <v>3</v>
      </c>
      <c r="K44" s="1" t="s">
        <v>1090</v>
      </c>
      <c r="M44" s="5">
        <v>202003</v>
      </c>
      <c r="N44" s="5">
        <f>INDEX(rrcworking[Formation Production (MCF) @ 14.65 psi],MATCH('Mar 2020 EDI'!F44,rrcworking[RRC ID],0))</f>
        <v>0</v>
      </c>
      <c r="O44" s="5">
        <f>INDEX(rrcworking[Lease Use (MCF)],MATCH('Mar 2020 EDI'!F44,rrcworking[RRC ID],0))</f>
        <v>0</v>
      </c>
      <c r="P44" s="5">
        <f>INDEX(rrcworking[Disposition Volume (MCF) @ 14.65 MCF],MATCH('Mar 2020 EDI'!F44,rrcworking[RRC ID],0))</f>
        <v>0</v>
      </c>
      <c r="Y44" s="5">
        <f>INDEX(rrcworking[Oil Production],MATCH('Mar 2020 EDI'!F44,rrcworking[RRC ID],0))</f>
        <v>74</v>
      </c>
      <c r="AA44" s="5">
        <f>INDEX(rrcworking[Sales/Dispostion],MATCH('Mar 2020 EDI'!F44,rrcworking[RRC ID],0))</f>
        <v>0</v>
      </c>
      <c r="AQ44" s="5">
        <f>INDEX(rrcworking[Closing Stock (Oil)],MATCH('Mar 2020 EDI'!F44,rrcworking[RRC ID],0))</f>
        <v>251</v>
      </c>
    </row>
    <row r="45" spans="1:43">
      <c r="A45" s="4" t="s">
        <v>1</v>
      </c>
      <c r="B45" s="1" t="s">
        <v>943</v>
      </c>
      <c r="C45" s="10" t="s">
        <v>909</v>
      </c>
      <c r="D45" s="1" t="s">
        <v>618</v>
      </c>
      <c r="E45" s="1" t="s">
        <v>2</v>
      </c>
      <c r="F45" s="1" t="s">
        <v>457</v>
      </c>
      <c r="I45" s="10" t="s">
        <v>3</v>
      </c>
      <c r="J45" s="123" t="s">
        <v>3</v>
      </c>
      <c r="K45" s="1" t="s">
        <v>1090</v>
      </c>
      <c r="M45" s="5">
        <v>202003</v>
      </c>
      <c r="N45" s="5">
        <f>INDEX(rrcworking[Formation Production (MCF) @ 14.65 psi],MATCH('Mar 2020 EDI'!F45,rrcworking[RRC ID],0))</f>
        <v>0</v>
      </c>
      <c r="O45" s="5">
        <f>INDEX(rrcworking[Lease Use (MCF)],MATCH('Mar 2020 EDI'!F45,rrcworking[RRC ID],0))</f>
        <v>0</v>
      </c>
      <c r="P45" s="5">
        <f>INDEX(rrcworking[Disposition Volume (MCF) @ 14.65 MCF],MATCH('Mar 2020 EDI'!F45,rrcworking[RRC ID],0))</f>
        <v>0</v>
      </c>
      <c r="Y45" s="5">
        <f>INDEX(rrcworking[Oil Production],MATCH('Mar 2020 EDI'!F45,rrcworking[RRC ID],0))</f>
        <v>0</v>
      </c>
      <c r="AA45" s="5">
        <f>INDEX(rrcworking[Sales/Dispostion],MATCH('Mar 2020 EDI'!F45,rrcworking[RRC ID],0))</f>
        <v>0</v>
      </c>
      <c r="AQ45" s="5">
        <f>INDEX(rrcworking[Closing Stock (Oil)],MATCH('Mar 2020 EDI'!F45,rrcworking[RRC ID],0))</f>
        <v>0</v>
      </c>
    </row>
    <row r="46" spans="1:43">
      <c r="A46" s="4" t="s">
        <v>1</v>
      </c>
      <c r="B46" s="1" t="s">
        <v>944</v>
      </c>
      <c r="C46" s="10" t="s">
        <v>909</v>
      </c>
      <c r="D46" s="1" t="s">
        <v>618</v>
      </c>
      <c r="E46" s="1" t="s">
        <v>59</v>
      </c>
      <c r="F46" s="1" t="s">
        <v>458</v>
      </c>
      <c r="I46" s="10" t="s">
        <v>3</v>
      </c>
      <c r="J46" s="123" t="s">
        <v>3</v>
      </c>
      <c r="K46" s="1" t="s">
        <v>1090</v>
      </c>
      <c r="M46" s="5">
        <v>202003</v>
      </c>
      <c r="N46" s="5">
        <f>INDEX(rrcworking[Formation Production (MCF) @ 14.65 psi],MATCH('Mar 2020 EDI'!F46,rrcworking[RRC ID],0))</f>
        <v>0</v>
      </c>
      <c r="O46" s="5">
        <f>INDEX(rrcworking[Lease Use (MCF)],MATCH('Mar 2020 EDI'!F46,rrcworking[RRC ID],0))</f>
        <v>0</v>
      </c>
      <c r="P46" s="5">
        <f>INDEX(rrcworking[Disposition Volume (MCF) @ 14.65 MCF],MATCH('Mar 2020 EDI'!F46,rrcworking[RRC ID],0))</f>
        <v>0</v>
      </c>
      <c r="Y46" s="5">
        <f>INDEX(rrcworking[Oil Production],MATCH('Mar 2020 EDI'!F46,rrcworking[RRC ID],0))</f>
        <v>0</v>
      </c>
      <c r="AA46" s="5">
        <f>INDEX(rrcworking[Sales/Dispostion],MATCH('Mar 2020 EDI'!F46,rrcworking[RRC ID],0))</f>
        <v>0</v>
      </c>
      <c r="AQ46" s="5">
        <f>INDEX(rrcworking[Closing Stock (Oil)],MATCH('Mar 2020 EDI'!F46,rrcworking[RRC ID],0))</f>
        <v>218</v>
      </c>
    </row>
    <row r="47" spans="1:43">
      <c r="A47" s="4" t="s">
        <v>1</v>
      </c>
      <c r="B47" s="1" t="s">
        <v>945</v>
      </c>
      <c r="C47" s="10" t="s">
        <v>909</v>
      </c>
      <c r="D47" s="1" t="s">
        <v>618</v>
      </c>
      <c r="E47" s="1" t="s">
        <v>59</v>
      </c>
      <c r="F47" s="1" t="s">
        <v>459</v>
      </c>
      <c r="I47" s="10" t="s">
        <v>3</v>
      </c>
      <c r="J47" s="123" t="s">
        <v>3</v>
      </c>
      <c r="K47" s="1" t="s">
        <v>1090</v>
      </c>
      <c r="M47" s="5">
        <v>202003</v>
      </c>
      <c r="N47" s="5">
        <f>INDEX(rrcworking[Formation Production (MCF) @ 14.65 psi],MATCH('Mar 2020 EDI'!F47,rrcworking[RRC ID],0))</f>
        <v>0</v>
      </c>
      <c r="O47" s="5">
        <f>INDEX(rrcworking[Lease Use (MCF)],MATCH('Mar 2020 EDI'!F47,rrcworking[RRC ID],0))</f>
        <v>0</v>
      </c>
      <c r="P47" s="5">
        <f>INDEX(rrcworking[Disposition Volume (MCF) @ 14.65 MCF],MATCH('Mar 2020 EDI'!F47,rrcworking[RRC ID],0))</f>
        <v>0</v>
      </c>
      <c r="Y47" s="5">
        <f>INDEX(rrcworking[Oil Production],MATCH('Mar 2020 EDI'!F47,rrcworking[RRC ID],0))</f>
        <v>0</v>
      </c>
      <c r="AA47" s="5">
        <f>INDEX(rrcworking[Sales/Dispostion],MATCH('Mar 2020 EDI'!F47,rrcworking[RRC ID],0))</f>
        <v>0</v>
      </c>
      <c r="AQ47" s="5">
        <f>INDEX(rrcworking[Closing Stock (Oil)],MATCH('Mar 2020 EDI'!F47,rrcworking[RRC ID],0))</f>
        <v>53</v>
      </c>
    </row>
    <row r="48" spans="1:43">
      <c r="A48" s="4" t="s">
        <v>1</v>
      </c>
      <c r="B48" s="1" t="s">
        <v>946</v>
      </c>
      <c r="C48" s="10" t="s">
        <v>909</v>
      </c>
      <c r="D48" s="1" t="s">
        <v>618</v>
      </c>
      <c r="E48" s="1" t="s">
        <v>2</v>
      </c>
      <c r="F48" s="1" t="s">
        <v>460</v>
      </c>
      <c r="I48" s="10" t="s">
        <v>3</v>
      </c>
      <c r="J48" s="123" t="s">
        <v>3</v>
      </c>
      <c r="K48" s="1" t="s">
        <v>1090</v>
      </c>
      <c r="M48" s="5">
        <v>202003</v>
      </c>
      <c r="N48" s="5">
        <f>INDEX(rrcworking[Formation Production (MCF) @ 14.65 psi],MATCH('Mar 2020 EDI'!F48,rrcworking[RRC ID],0))</f>
        <v>0</v>
      </c>
      <c r="O48" s="5">
        <f>INDEX(rrcworking[Lease Use (MCF)],MATCH('Mar 2020 EDI'!F48,rrcworking[RRC ID],0))</f>
        <v>0</v>
      </c>
      <c r="P48" s="5">
        <f>INDEX(rrcworking[Disposition Volume (MCF) @ 14.65 MCF],MATCH('Mar 2020 EDI'!F48,rrcworking[RRC ID],0))</f>
        <v>0</v>
      </c>
      <c r="Y48" s="5">
        <f>INDEX(rrcworking[Oil Production],MATCH('Mar 2020 EDI'!F48,rrcworking[RRC ID],0))</f>
        <v>0</v>
      </c>
      <c r="AA48" s="5">
        <f>INDEX(rrcworking[Sales/Dispostion],MATCH('Mar 2020 EDI'!F48,rrcworking[RRC ID],0))</f>
        <v>0</v>
      </c>
      <c r="AQ48" s="5">
        <f>INDEX(rrcworking[Closing Stock (Oil)],MATCH('Mar 2020 EDI'!F48,rrcworking[RRC ID],0))</f>
        <v>139</v>
      </c>
    </row>
    <row r="49" spans="1:43">
      <c r="A49" s="4" t="s">
        <v>1</v>
      </c>
      <c r="B49" s="1" t="s">
        <v>947</v>
      </c>
      <c r="C49" s="10" t="s">
        <v>909</v>
      </c>
      <c r="D49" s="1" t="s">
        <v>618</v>
      </c>
      <c r="E49" s="1" t="s">
        <v>2</v>
      </c>
      <c r="F49" s="1" t="s">
        <v>461</v>
      </c>
      <c r="I49" s="10" t="s">
        <v>3</v>
      </c>
      <c r="J49" s="123" t="s">
        <v>3</v>
      </c>
      <c r="K49" s="1" t="s">
        <v>1090</v>
      </c>
      <c r="M49" s="5">
        <v>202003</v>
      </c>
      <c r="N49" s="5">
        <f>INDEX(rrcworking[Formation Production (MCF) @ 14.65 psi],MATCH('Mar 2020 EDI'!F49,rrcworking[RRC ID],0))</f>
        <v>0</v>
      </c>
      <c r="O49" s="5">
        <f>INDEX(rrcworking[Lease Use (MCF)],MATCH('Mar 2020 EDI'!F49,rrcworking[RRC ID],0))</f>
        <v>0</v>
      </c>
      <c r="P49" s="5">
        <f>INDEX(rrcworking[Disposition Volume (MCF) @ 14.65 MCF],MATCH('Mar 2020 EDI'!F49,rrcworking[RRC ID],0))</f>
        <v>0</v>
      </c>
      <c r="Y49" s="5">
        <f>INDEX(rrcworking[Oil Production],MATCH('Mar 2020 EDI'!F49,rrcworking[RRC ID],0))</f>
        <v>0</v>
      </c>
      <c r="AA49" s="5">
        <f>INDEX(rrcworking[Sales/Dispostion],MATCH('Mar 2020 EDI'!F49,rrcworking[RRC ID],0))</f>
        <v>0</v>
      </c>
      <c r="AQ49" s="5">
        <f>INDEX(rrcworking[Closing Stock (Oil)],MATCH('Mar 2020 EDI'!F49,rrcworking[RRC ID],0))</f>
        <v>0</v>
      </c>
    </row>
    <row r="50" spans="1:43">
      <c r="A50" s="4" t="s">
        <v>1</v>
      </c>
      <c r="B50" s="1" t="s">
        <v>948</v>
      </c>
      <c r="C50" s="10" t="s">
        <v>909</v>
      </c>
      <c r="D50" s="1" t="s">
        <v>618</v>
      </c>
      <c r="E50" s="1" t="s">
        <v>2</v>
      </c>
      <c r="F50" s="1" t="s">
        <v>462</v>
      </c>
      <c r="I50" s="10" t="s">
        <v>3</v>
      </c>
      <c r="J50" s="123" t="s">
        <v>3</v>
      </c>
      <c r="K50" s="1" t="s">
        <v>1090</v>
      </c>
      <c r="M50" s="5">
        <v>202003</v>
      </c>
      <c r="N50" s="5">
        <f>INDEX(rrcworking[Formation Production (MCF) @ 14.65 psi],MATCH('Mar 2020 EDI'!F50,rrcworking[RRC ID],0))</f>
        <v>0</v>
      </c>
      <c r="O50" s="5">
        <f>INDEX(rrcworking[Lease Use (MCF)],MATCH('Mar 2020 EDI'!F50,rrcworking[RRC ID],0))</f>
        <v>0</v>
      </c>
      <c r="P50" s="5">
        <f>INDEX(rrcworking[Disposition Volume (MCF) @ 14.65 MCF],MATCH('Mar 2020 EDI'!F50,rrcworking[RRC ID],0))</f>
        <v>0</v>
      </c>
      <c r="Y50" s="5">
        <f>INDEX(rrcworking[Oil Production],MATCH('Mar 2020 EDI'!F50,rrcworking[RRC ID],0))</f>
        <v>0</v>
      </c>
      <c r="AA50" s="5">
        <f>INDEX(rrcworking[Sales/Dispostion],MATCH('Mar 2020 EDI'!F50,rrcworking[RRC ID],0))</f>
        <v>0</v>
      </c>
      <c r="AQ50" s="5">
        <f>INDEX(rrcworking[Closing Stock (Oil)],MATCH('Mar 2020 EDI'!F50,rrcworking[RRC ID],0))</f>
        <v>28</v>
      </c>
    </row>
    <row r="51" spans="1:43">
      <c r="A51" s="4" t="s">
        <v>1</v>
      </c>
      <c r="B51" s="1" t="s">
        <v>949</v>
      </c>
      <c r="C51" s="10" t="s">
        <v>909</v>
      </c>
      <c r="D51" s="1" t="s">
        <v>618</v>
      </c>
      <c r="E51" s="1" t="s">
        <v>2</v>
      </c>
      <c r="F51" s="1" t="s">
        <v>463</v>
      </c>
      <c r="I51" s="10" t="s">
        <v>3</v>
      </c>
      <c r="J51" s="123" t="s">
        <v>3</v>
      </c>
      <c r="K51" s="1" t="s">
        <v>1090</v>
      </c>
      <c r="M51" s="5">
        <v>202003</v>
      </c>
      <c r="N51" s="5">
        <f>INDEX(rrcworking[Formation Production (MCF) @ 14.65 psi],MATCH('Mar 2020 EDI'!F51,rrcworking[RRC ID],0))</f>
        <v>460</v>
      </c>
      <c r="O51" s="5">
        <f>INDEX(rrcworking[Lease Use (MCF)],MATCH('Mar 2020 EDI'!F51,rrcworking[RRC ID],0))</f>
        <v>0</v>
      </c>
      <c r="P51" s="5">
        <f>INDEX(rrcworking[Disposition Volume (MCF) @ 14.65 MCF],MATCH('Mar 2020 EDI'!F51,rrcworking[RRC ID],0))</f>
        <v>460</v>
      </c>
      <c r="Y51" s="5">
        <f>INDEX(rrcworking[Oil Production],MATCH('Mar 2020 EDI'!F51,rrcworking[RRC ID],0))</f>
        <v>0</v>
      </c>
      <c r="AA51" s="5">
        <f>INDEX(rrcworking[Sales/Dispostion],MATCH('Mar 2020 EDI'!F51,rrcworking[RRC ID],0))</f>
        <v>0</v>
      </c>
      <c r="AQ51" s="5">
        <f>INDEX(rrcworking[Closing Stock (Oil)],MATCH('Mar 2020 EDI'!F51,rrcworking[RRC ID],0))</f>
        <v>51</v>
      </c>
    </row>
    <row r="52" spans="1:43">
      <c r="A52" s="4" t="s">
        <v>1</v>
      </c>
      <c r="B52" s="1" t="s">
        <v>950</v>
      </c>
      <c r="C52" s="10" t="s">
        <v>909</v>
      </c>
      <c r="D52" s="1" t="s">
        <v>618</v>
      </c>
      <c r="E52" s="1" t="s">
        <v>59</v>
      </c>
      <c r="F52" s="1" t="s">
        <v>464</v>
      </c>
      <c r="I52" s="10" t="s">
        <v>3</v>
      </c>
      <c r="J52" s="123" t="s">
        <v>3</v>
      </c>
      <c r="K52" s="1" t="s">
        <v>1090</v>
      </c>
      <c r="M52" s="5">
        <v>202003</v>
      </c>
      <c r="N52" s="5">
        <f>INDEX(rrcworking[Formation Production (MCF) @ 14.65 psi],MATCH('Mar 2020 EDI'!F52,rrcworking[RRC ID],0))</f>
        <v>0</v>
      </c>
      <c r="O52" s="5">
        <f>INDEX(rrcworking[Lease Use (MCF)],MATCH('Mar 2020 EDI'!F52,rrcworking[RRC ID],0))</f>
        <v>0</v>
      </c>
      <c r="P52" s="5">
        <f>INDEX(rrcworking[Disposition Volume (MCF) @ 14.65 MCF],MATCH('Mar 2020 EDI'!F52,rrcworking[RRC ID],0))</f>
        <v>0</v>
      </c>
      <c r="Y52" s="5">
        <f>INDEX(rrcworking[Oil Production],MATCH('Mar 2020 EDI'!F52,rrcworking[RRC ID],0))</f>
        <v>0</v>
      </c>
      <c r="AA52" s="5">
        <f>INDEX(rrcworking[Sales/Dispostion],MATCH('Mar 2020 EDI'!F52,rrcworking[RRC ID],0))</f>
        <v>0</v>
      </c>
      <c r="AQ52" s="5">
        <f>INDEX(rrcworking[Closing Stock (Oil)],MATCH('Mar 2020 EDI'!F52,rrcworking[RRC ID],0))</f>
        <v>0</v>
      </c>
    </row>
    <row r="53" spans="1:43">
      <c r="A53" s="4" t="s">
        <v>1</v>
      </c>
      <c r="B53" s="1" t="s">
        <v>951</v>
      </c>
      <c r="C53" s="10" t="s">
        <v>909</v>
      </c>
      <c r="D53" s="1" t="s">
        <v>618</v>
      </c>
      <c r="E53" s="1" t="s">
        <v>2</v>
      </c>
      <c r="F53" s="1" t="s">
        <v>465</v>
      </c>
      <c r="I53" s="10" t="s">
        <v>3</v>
      </c>
      <c r="J53" s="123" t="s">
        <v>3</v>
      </c>
      <c r="K53" s="1" t="s">
        <v>1090</v>
      </c>
      <c r="M53" s="5">
        <v>202003</v>
      </c>
      <c r="N53" s="5">
        <f>INDEX(rrcworking[Formation Production (MCF) @ 14.65 psi],MATCH('Mar 2020 EDI'!F53,rrcworking[RRC ID],0))</f>
        <v>0</v>
      </c>
      <c r="O53" s="5">
        <f>INDEX(rrcworking[Lease Use (MCF)],MATCH('Mar 2020 EDI'!F53,rrcworking[RRC ID],0))</f>
        <v>0</v>
      </c>
      <c r="P53" s="5">
        <f>INDEX(rrcworking[Disposition Volume (MCF) @ 14.65 MCF],MATCH('Mar 2020 EDI'!F53,rrcworking[RRC ID],0))</f>
        <v>0</v>
      </c>
      <c r="Y53" s="5">
        <f>INDEX(rrcworking[Oil Production],MATCH('Mar 2020 EDI'!F53,rrcworking[RRC ID],0))</f>
        <v>0</v>
      </c>
      <c r="AA53" s="5">
        <f>INDEX(rrcworking[Sales/Dispostion],MATCH('Mar 2020 EDI'!F53,rrcworking[RRC ID],0))</f>
        <v>0</v>
      </c>
      <c r="AQ53" s="5">
        <f>INDEX(rrcworking[Closing Stock (Oil)],MATCH('Mar 2020 EDI'!F53,rrcworking[RRC ID],0))</f>
        <v>32</v>
      </c>
    </row>
    <row r="54" spans="1:43">
      <c r="A54" s="4" t="s">
        <v>1</v>
      </c>
      <c r="B54" s="1" t="s">
        <v>952</v>
      </c>
      <c r="C54" s="10" t="s">
        <v>909</v>
      </c>
      <c r="D54" s="1" t="s">
        <v>618</v>
      </c>
      <c r="E54" s="1" t="s">
        <v>59</v>
      </c>
      <c r="F54" s="1" t="s">
        <v>466</v>
      </c>
      <c r="I54" s="10" t="s">
        <v>3</v>
      </c>
      <c r="J54" s="123" t="s">
        <v>3</v>
      </c>
      <c r="K54" s="1" t="s">
        <v>1090</v>
      </c>
      <c r="M54" s="5">
        <v>202003</v>
      </c>
      <c r="N54" s="5">
        <f>INDEX(rrcworking[Formation Production (MCF) @ 14.65 psi],MATCH('Mar 2020 EDI'!F54,rrcworking[RRC ID],0))</f>
        <v>0</v>
      </c>
      <c r="O54" s="5">
        <f>INDEX(rrcworking[Lease Use (MCF)],MATCH('Mar 2020 EDI'!F54,rrcworking[RRC ID],0))</f>
        <v>0</v>
      </c>
      <c r="P54" s="5">
        <f>INDEX(rrcworking[Disposition Volume (MCF) @ 14.65 MCF],MATCH('Mar 2020 EDI'!F54,rrcworking[RRC ID],0))</f>
        <v>0</v>
      </c>
      <c r="Y54" s="5">
        <f>INDEX(rrcworking[Oil Production],MATCH('Mar 2020 EDI'!F54,rrcworking[RRC ID],0))</f>
        <v>0</v>
      </c>
      <c r="AA54" s="5">
        <f>INDEX(rrcworking[Sales/Dispostion],MATCH('Mar 2020 EDI'!F54,rrcworking[RRC ID],0))</f>
        <v>0</v>
      </c>
      <c r="AQ54" s="5">
        <f>INDEX(rrcworking[Closing Stock (Oil)],MATCH('Mar 2020 EDI'!F54,rrcworking[RRC ID],0))</f>
        <v>0</v>
      </c>
    </row>
    <row r="55" spans="1:43">
      <c r="A55" s="4" t="s">
        <v>1</v>
      </c>
      <c r="B55" s="1" t="s">
        <v>953</v>
      </c>
      <c r="C55" s="10" t="s">
        <v>909</v>
      </c>
      <c r="D55" s="1" t="s">
        <v>618</v>
      </c>
      <c r="E55" s="1" t="s">
        <v>59</v>
      </c>
      <c r="F55" s="1" t="s">
        <v>467</v>
      </c>
      <c r="I55" s="10" t="s">
        <v>3</v>
      </c>
      <c r="J55" s="123" t="s">
        <v>3</v>
      </c>
      <c r="K55" s="1" t="s">
        <v>1090</v>
      </c>
      <c r="M55" s="5">
        <v>202003</v>
      </c>
      <c r="N55" s="5">
        <f>INDEX(rrcworking[Formation Production (MCF) @ 14.65 psi],MATCH('Mar 2020 EDI'!F55,rrcworking[RRC ID],0))</f>
        <v>0</v>
      </c>
      <c r="O55" s="5">
        <f>INDEX(rrcworking[Lease Use (MCF)],MATCH('Mar 2020 EDI'!F55,rrcworking[RRC ID],0))</f>
        <v>0</v>
      </c>
      <c r="P55" s="5">
        <f>INDEX(rrcworking[Disposition Volume (MCF) @ 14.65 MCF],MATCH('Mar 2020 EDI'!F55,rrcworking[RRC ID],0))</f>
        <v>0</v>
      </c>
      <c r="Y55" s="5">
        <f>INDEX(rrcworking[Oil Production],MATCH('Mar 2020 EDI'!F55,rrcworking[RRC ID],0))</f>
        <v>0</v>
      </c>
      <c r="AA55" s="5">
        <f>INDEX(rrcworking[Sales/Dispostion],MATCH('Mar 2020 EDI'!F55,rrcworking[RRC ID],0))</f>
        <v>0</v>
      </c>
      <c r="AQ55" s="5">
        <f>INDEX(rrcworking[Closing Stock (Oil)],MATCH('Mar 2020 EDI'!F55,rrcworking[RRC ID],0))</f>
        <v>0</v>
      </c>
    </row>
    <row r="56" spans="1:43">
      <c r="A56" s="4" t="s">
        <v>1</v>
      </c>
      <c r="B56" s="1" t="s">
        <v>954</v>
      </c>
      <c r="C56" s="10" t="s">
        <v>909</v>
      </c>
      <c r="D56" s="1" t="s">
        <v>618</v>
      </c>
      <c r="E56" s="1" t="s">
        <v>2</v>
      </c>
      <c r="F56" s="1" t="s">
        <v>468</v>
      </c>
      <c r="I56" s="10" t="s">
        <v>3</v>
      </c>
      <c r="J56" s="123" t="s">
        <v>3</v>
      </c>
      <c r="K56" s="1" t="s">
        <v>1090</v>
      </c>
      <c r="M56" s="5">
        <v>202003</v>
      </c>
      <c r="N56" s="5">
        <f>INDEX(rrcworking[Formation Production (MCF) @ 14.65 psi],MATCH('Mar 2020 EDI'!F56,rrcworking[RRC ID],0))</f>
        <v>0</v>
      </c>
      <c r="O56" s="5">
        <f>INDEX(rrcworking[Lease Use (MCF)],MATCH('Mar 2020 EDI'!F56,rrcworking[RRC ID],0))</f>
        <v>0</v>
      </c>
      <c r="P56" s="5">
        <f>INDEX(rrcworking[Disposition Volume (MCF) @ 14.65 MCF],MATCH('Mar 2020 EDI'!F56,rrcworking[RRC ID],0))</f>
        <v>0</v>
      </c>
      <c r="Y56" s="5">
        <f>INDEX(rrcworking[Oil Production],MATCH('Mar 2020 EDI'!F56,rrcworking[RRC ID],0))</f>
        <v>0</v>
      </c>
      <c r="AA56" s="5">
        <f>INDEX(rrcworking[Sales/Dispostion],MATCH('Mar 2020 EDI'!F56,rrcworking[RRC ID],0))</f>
        <v>0</v>
      </c>
      <c r="AQ56" s="5">
        <f>INDEX(rrcworking[Closing Stock (Oil)],MATCH('Mar 2020 EDI'!F56,rrcworking[RRC ID],0))</f>
        <v>108</v>
      </c>
    </row>
    <row r="57" spans="1:43">
      <c r="A57" s="4" t="s">
        <v>1</v>
      </c>
      <c r="B57" s="1" t="s">
        <v>955</v>
      </c>
      <c r="C57" s="10" t="s">
        <v>909</v>
      </c>
      <c r="D57" s="1" t="s">
        <v>618</v>
      </c>
      <c r="E57" s="1" t="s">
        <v>59</v>
      </c>
      <c r="F57" s="1" t="s">
        <v>469</v>
      </c>
      <c r="I57" s="10" t="s">
        <v>3</v>
      </c>
      <c r="J57" s="123" t="s">
        <v>3</v>
      </c>
      <c r="K57" s="1" t="s">
        <v>1090</v>
      </c>
      <c r="M57" s="5">
        <v>202003</v>
      </c>
      <c r="N57" s="5">
        <f>INDEX(rrcworking[Formation Production (MCF) @ 14.65 psi],MATCH('Mar 2020 EDI'!F57,rrcworking[RRC ID],0))</f>
        <v>0</v>
      </c>
      <c r="O57" s="5">
        <f>INDEX(rrcworking[Lease Use (MCF)],MATCH('Mar 2020 EDI'!F57,rrcworking[RRC ID],0))</f>
        <v>0</v>
      </c>
      <c r="P57" s="5">
        <f>INDEX(rrcworking[Disposition Volume (MCF) @ 14.65 MCF],MATCH('Mar 2020 EDI'!F57,rrcworking[RRC ID],0))</f>
        <v>0</v>
      </c>
      <c r="Y57" s="5">
        <f>INDEX(rrcworking[Oil Production],MATCH('Mar 2020 EDI'!F57,rrcworking[RRC ID],0))</f>
        <v>0</v>
      </c>
      <c r="AA57" s="5">
        <f>INDEX(rrcworking[Sales/Dispostion],MATCH('Mar 2020 EDI'!F57,rrcworking[RRC ID],0))</f>
        <v>0</v>
      </c>
      <c r="AQ57" s="5">
        <f>INDEX(rrcworking[Closing Stock (Oil)],MATCH('Mar 2020 EDI'!F57,rrcworking[RRC ID],0))</f>
        <v>0</v>
      </c>
    </row>
    <row r="58" spans="1:43">
      <c r="A58" s="4" t="s">
        <v>1</v>
      </c>
      <c r="B58" s="1" t="s">
        <v>956</v>
      </c>
      <c r="C58" s="10" t="s">
        <v>909</v>
      </c>
      <c r="D58" s="1" t="s">
        <v>618</v>
      </c>
      <c r="E58" s="1" t="s">
        <v>2</v>
      </c>
      <c r="F58" s="1" t="s">
        <v>470</v>
      </c>
      <c r="I58" s="10" t="s">
        <v>3</v>
      </c>
      <c r="J58" s="123" t="s">
        <v>3</v>
      </c>
      <c r="K58" s="1" t="s">
        <v>1090</v>
      </c>
      <c r="M58" s="5">
        <v>202003</v>
      </c>
      <c r="N58" s="5">
        <f>INDEX(rrcworking[Formation Production (MCF) @ 14.65 psi],MATCH('Mar 2020 EDI'!F58,rrcworking[RRC ID],0))</f>
        <v>0</v>
      </c>
      <c r="O58" s="5">
        <f>INDEX(rrcworking[Lease Use (MCF)],MATCH('Mar 2020 EDI'!F58,rrcworking[RRC ID],0))</f>
        <v>0</v>
      </c>
      <c r="P58" s="5">
        <f>INDEX(rrcworking[Disposition Volume (MCF) @ 14.65 MCF],MATCH('Mar 2020 EDI'!F58,rrcworking[RRC ID],0))</f>
        <v>0</v>
      </c>
      <c r="Y58" s="5">
        <f>INDEX(rrcworking[Oil Production],MATCH('Mar 2020 EDI'!F58,rrcworking[RRC ID],0))</f>
        <v>5</v>
      </c>
      <c r="AA58" s="5">
        <f>INDEX(rrcworking[Sales/Dispostion],MATCH('Mar 2020 EDI'!F58,rrcworking[RRC ID],0))</f>
        <v>0</v>
      </c>
      <c r="AQ58" s="5">
        <f>INDEX(rrcworking[Closing Stock (Oil)],MATCH('Mar 2020 EDI'!F58,rrcworking[RRC ID],0))</f>
        <v>154</v>
      </c>
    </row>
    <row r="59" spans="1:43">
      <c r="A59" s="4" t="s">
        <v>1</v>
      </c>
      <c r="B59" s="1" t="s">
        <v>957</v>
      </c>
      <c r="C59" s="10" t="s">
        <v>909</v>
      </c>
      <c r="D59" s="1" t="s">
        <v>618</v>
      </c>
      <c r="E59" s="1" t="s">
        <v>59</v>
      </c>
      <c r="F59" s="1" t="s">
        <v>471</v>
      </c>
      <c r="I59" s="10" t="s">
        <v>3</v>
      </c>
      <c r="J59" s="123" t="s">
        <v>3</v>
      </c>
      <c r="K59" s="1" t="s">
        <v>1090</v>
      </c>
      <c r="M59" s="5">
        <v>202003</v>
      </c>
      <c r="N59" s="5">
        <f>INDEX(rrcworking[Formation Production (MCF) @ 14.65 psi],MATCH('Mar 2020 EDI'!F59,rrcworking[RRC ID],0))</f>
        <v>0</v>
      </c>
      <c r="O59" s="5">
        <f>INDEX(rrcworking[Lease Use (MCF)],MATCH('Mar 2020 EDI'!F59,rrcworking[RRC ID],0))</f>
        <v>0</v>
      </c>
      <c r="P59" s="5">
        <f>INDEX(rrcworking[Disposition Volume (MCF) @ 14.65 MCF],MATCH('Mar 2020 EDI'!F59,rrcworking[RRC ID],0))</f>
        <v>0</v>
      </c>
      <c r="Y59" s="5">
        <f>INDEX(rrcworking[Oil Production],MATCH('Mar 2020 EDI'!F59,rrcworking[RRC ID],0))</f>
        <v>0</v>
      </c>
      <c r="AA59" s="5">
        <f>INDEX(rrcworking[Sales/Dispostion],MATCH('Mar 2020 EDI'!F59,rrcworking[RRC ID],0))</f>
        <v>0</v>
      </c>
      <c r="AQ59" s="5">
        <f>INDEX(rrcworking[Closing Stock (Oil)],MATCH('Mar 2020 EDI'!F59,rrcworking[RRC ID],0))</f>
        <v>0</v>
      </c>
    </row>
    <row r="60" spans="1:43">
      <c r="A60" s="4" t="s">
        <v>1</v>
      </c>
      <c r="B60" s="1" t="s">
        <v>958</v>
      </c>
      <c r="C60" s="10" t="s">
        <v>909</v>
      </c>
      <c r="D60" s="1" t="s">
        <v>618</v>
      </c>
      <c r="E60" s="1" t="s">
        <v>59</v>
      </c>
      <c r="F60" s="1" t="s">
        <v>472</v>
      </c>
      <c r="I60" s="10" t="s">
        <v>3</v>
      </c>
      <c r="J60" s="123" t="s">
        <v>3</v>
      </c>
      <c r="K60" s="1" t="s">
        <v>1090</v>
      </c>
      <c r="M60" s="5">
        <v>202003</v>
      </c>
      <c r="N60" s="5">
        <f>INDEX(rrcworking[Formation Production (MCF) @ 14.65 psi],MATCH('Mar 2020 EDI'!F60,rrcworking[RRC ID],0))</f>
        <v>1905</v>
      </c>
      <c r="O60" s="5">
        <f>INDEX(rrcworking[Lease Use (MCF)],MATCH('Mar 2020 EDI'!F60,rrcworking[RRC ID],0))</f>
        <v>0</v>
      </c>
      <c r="P60" s="5">
        <f>INDEX(rrcworking[Disposition Volume (MCF) @ 14.65 MCF],MATCH('Mar 2020 EDI'!F60,rrcworking[RRC ID],0))</f>
        <v>1905</v>
      </c>
      <c r="Y60" s="5">
        <f>INDEX(rrcworking[Oil Production],MATCH('Mar 2020 EDI'!F60,rrcworking[RRC ID],0))</f>
        <v>402</v>
      </c>
      <c r="AA60" s="5">
        <f>INDEX(rrcworking[Sales/Dispostion],MATCH('Mar 2020 EDI'!F60,rrcworking[RRC ID],0))</f>
        <v>350</v>
      </c>
      <c r="AQ60" s="5">
        <f>INDEX(rrcworking[Closing Stock (Oil)],MATCH('Mar 2020 EDI'!F60,rrcworking[RRC ID],0))</f>
        <v>100</v>
      </c>
    </row>
    <row r="61" spans="1:43">
      <c r="A61" s="4" t="s">
        <v>1</v>
      </c>
      <c r="B61" s="1" t="s">
        <v>959</v>
      </c>
      <c r="C61" s="10" t="s">
        <v>909</v>
      </c>
      <c r="D61" s="1" t="s">
        <v>618</v>
      </c>
      <c r="E61" s="1" t="s">
        <v>2</v>
      </c>
      <c r="F61" s="1" t="s">
        <v>473</v>
      </c>
      <c r="I61" s="10" t="s">
        <v>3</v>
      </c>
      <c r="J61" s="123" t="s">
        <v>3</v>
      </c>
      <c r="K61" s="1" t="s">
        <v>1090</v>
      </c>
      <c r="M61" s="5">
        <v>202003</v>
      </c>
      <c r="N61" s="5">
        <f>INDEX(rrcworking[Formation Production (MCF) @ 14.65 psi],MATCH('Mar 2020 EDI'!F61,rrcworking[RRC ID],0))</f>
        <v>0</v>
      </c>
      <c r="O61" s="5">
        <f>INDEX(rrcworking[Lease Use (MCF)],MATCH('Mar 2020 EDI'!F61,rrcworking[RRC ID],0))</f>
        <v>0</v>
      </c>
      <c r="P61" s="5">
        <f>INDEX(rrcworking[Disposition Volume (MCF) @ 14.65 MCF],MATCH('Mar 2020 EDI'!F61,rrcworking[RRC ID],0))</f>
        <v>0</v>
      </c>
      <c r="Y61" s="5">
        <f>INDEX(rrcworking[Oil Production],MATCH('Mar 2020 EDI'!F61,rrcworking[RRC ID],0))</f>
        <v>0</v>
      </c>
      <c r="AA61" s="5">
        <f>INDEX(rrcworking[Sales/Dispostion],MATCH('Mar 2020 EDI'!F61,rrcworking[RRC ID],0))</f>
        <v>0</v>
      </c>
      <c r="AQ61" s="5">
        <f>INDEX(rrcworking[Closing Stock (Oil)],MATCH('Mar 2020 EDI'!F61,rrcworking[RRC ID],0))</f>
        <v>0</v>
      </c>
    </row>
    <row r="62" spans="1:43">
      <c r="A62" s="4" t="s">
        <v>1</v>
      </c>
      <c r="B62" s="1" t="s">
        <v>960</v>
      </c>
      <c r="C62" s="10" t="s">
        <v>909</v>
      </c>
      <c r="D62" s="1" t="s">
        <v>618</v>
      </c>
      <c r="E62" s="1" t="s">
        <v>59</v>
      </c>
      <c r="F62" s="1" t="s">
        <v>474</v>
      </c>
      <c r="I62" s="10" t="s">
        <v>3</v>
      </c>
      <c r="J62" s="123" t="s">
        <v>3</v>
      </c>
      <c r="K62" s="1" t="s">
        <v>1090</v>
      </c>
      <c r="M62" s="5">
        <v>202003</v>
      </c>
      <c r="N62" s="5">
        <f>INDEX(rrcworking[Formation Production (MCF) @ 14.65 psi],MATCH('Mar 2020 EDI'!F62,rrcworking[RRC ID],0))</f>
        <v>7186</v>
      </c>
      <c r="O62" s="5">
        <f>INDEX(rrcworking[Lease Use (MCF)],MATCH('Mar 2020 EDI'!F62,rrcworking[RRC ID],0))</f>
        <v>390</v>
      </c>
      <c r="P62" s="5">
        <f>INDEX(rrcworking[Disposition Volume (MCF) @ 14.65 MCF],MATCH('Mar 2020 EDI'!F62,rrcworking[RRC ID],0))</f>
        <v>6796</v>
      </c>
      <c r="Y62" s="5">
        <f>INDEX(rrcworking[Oil Production],MATCH('Mar 2020 EDI'!F62,rrcworking[RRC ID],0))</f>
        <v>25</v>
      </c>
      <c r="AA62" s="5">
        <f>INDEX(rrcworking[Sales/Dispostion],MATCH('Mar 2020 EDI'!F62,rrcworking[RRC ID],0))</f>
        <v>0</v>
      </c>
      <c r="AQ62" s="5">
        <f>INDEX(rrcworking[Closing Stock (Oil)],MATCH('Mar 2020 EDI'!F62,rrcworking[RRC ID],0))</f>
        <v>149</v>
      </c>
    </row>
    <row r="63" spans="1:43">
      <c r="A63" s="4" t="s">
        <v>1</v>
      </c>
      <c r="B63" s="1" t="s">
        <v>961</v>
      </c>
      <c r="C63" s="10" t="s">
        <v>909</v>
      </c>
      <c r="D63" s="1" t="s">
        <v>618</v>
      </c>
      <c r="E63" s="1" t="s">
        <v>59</v>
      </c>
      <c r="F63" s="1" t="s">
        <v>475</v>
      </c>
      <c r="I63" s="10" t="s">
        <v>3</v>
      </c>
      <c r="J63" s="123" t="s">
        <v>3</v>
      </c>
      <c r="K63" s="1" t="s">
        <v>1090</v>
      </c>
      <c r="M63" s="5">
        <v>202003</v>
      </c>
      <c r="N63" s="5">
        <f>INDEX(rrcworking[Formation Production (MCF) @ 14.65 psi],MATCH('Mar 2020 EDI'!F63,rrcworking[RRC ID],0))</f>
        <v>0</v>
      </c>
      <c r="O63" s="5">
        <f>INDEX(rrcworking[Lease Use (MCF)],MATCH('Mar 2020 EDI'!F63,rrcworking[RRC ID],0))</f>
        <v>0</v>
      </c>
      <c r="P63" s="5">
        <f>INDEX(rrcworking[Disposition Volume (MCF) @ 14.65 MCF],MATCH('Mar 2020 EDI'!F63,rrcworking[RRC ID],0))</f>
        <v>0</v>
      </c>
      <c r="Y63" s="5">
        <f>INDEX(rrcworking[Oil Production],MATCH('Mar 2020 EDI'!F63,rrcworking[RRC ID],0))</f>
        <v>0</v>
      </c>
      <c r="AA63" s="5">
        <f>INDEX(rrcworking[Sales/Dispostion],MATCH('Mar 2020 EDI'!F63,rrcworking[RRC ID],0))</f>
        <v>0</v>
      </c>
      <c r="AQ63" s="5">
        <f>INDEX(rrcworking[Closing Stock (Oil)],MATCH('Mar 2020 EDI'!F63,rrcworking[RRC ID],0))</f>
        <v>0</v>
      </c>
    </row>
    <row r="64" spans="1:43">
      <c r="A64" s="4" t="s">
        <v>1</v>
      </c>
      <c r="B64" s="1" t="s">
        <v>962</v>
      </c>
      <c r="C64" s="10" t="s">
        <v>909</v>
      </c>
      <c r="D64" s="1" t="s">
        <v>618</v>
      </c>
      <c r="E64" s="1" t="s">
        <v>59</v>
      </c>
      <c r="F64" s="1" t="s">
        <v>476</v>
      </c>
      <c r="I64" s="10" t="s">
        <v>3</v>
      </c>
      <c r="J64" s="123" t="s">
        <v>3</v>
      </c>
      <c r="K64" s="1" t="s">
        <v>1090</v>
      </c>
      <c r="M64" s="5">
        <v>202003</v>
      </c>
      <c r="N64" s="5">
        <f>INDEX(rrcworking[Formation Production (MCF) @ 14.65 psi],MATCH('Mar 2020 EDI'!F64,rrcworking[RRC ID],0))</f>
        <v>0</v>
      </c>
      <c r="O64" s="5">
        <f>INDEX(rrcworking[Lease Use (MCF)],MATCH('Mar 2020 EDI'!F64,rrcworking[RRC ID],0))</f>
        <v>0</v>
      </c>
      <c r="P64" s="5">
        <f>INDEX(rrcworking[Disposition Volume (MCF) @ 14.65 MCF],MATCH('Mar 2020 EDI'!F64,rrcworking[RRC ID],0))</f>
        <v>0</v>
      </c>
      <c r="Y64" s="5">
        <f>INDEX(rrcworking[Oil Production],MATCH('Mar 2020 EDI'!F64,rrcworking[RRC ID],0))</f>
        <v>0</v>
      </c>
      <c r="AA64" s="5">
        <f>INDEX(rrcworking[Sales/Dispostion],MATCH('Mar 2020 EDI'!F64,rrcworking[RRC ID],0))</f>
        <v>0</v>
      </c>
      <c r="AQ64" s="5">
        <f>INDEX(rrcworking[Closing Stock (Oil)],MATCH('Mar 2020 EDI'!F64,rrcworking[RRC ID],0))</f>
        <v>173</v>
      </c>
    </row>
    <row r="65" spans="1:46">
      <c r="A65" s="4" t="s">
        <v>1</v>
      </c>
      <c r="B65" s="1" t="s">
        <v>963</v>
      </c>
      <c r="C65" s="10" t="s">
        <v>909</v>
      </c>
      <c r="D65" s="1" t="s">
        <v>618</v>
      </c>
      <c r="E65" s="1" t="s">
        <v>2</v>
      </c>
      <c r="F65" s="1" t="s">
        <v>477</v>
      </c>
      <c r="I65" s="10" t="s">
        <v>3</v>
      </c>
      <c r="J65" s="123" t="s">
        <v>3</v>
      </c>
      <c r="K65" s="1" t="s">
        <v>1090</v>
      </c>
      <c r="M65" s="5">
        <v>202003</v>
      </c>
      <c r="N65" s="5">
        <f>INDEX(rrcworking[Formation Production (MCF) @ 14.65 psi],MATCH('Mar 2020 EDI'!F65,rrcworking[RRC ID],0))</f>
        <v>169</v>
      </c>
      <c r="O65" s="5">
        <f>INDEX(rrcworking[Lease Use (MCF)],MATCH('Mar 2020 EDI'!F65,rrcworking[RRC ID],0))</f>
        <v>30</v>
      </c>
      <c r="P65" s="5">
        <f>INDEX(rrcworking[Disposition Volume (MCF) @ 14.65 MCF],MATCH('Mar 2020 EDI'!F65,rrcworking[RRC ID],0))</f>
        <v>139</v>
      </c>
      <c r="Y65" s="5">
        <f>INDEX(rrcworking[Oil Production],MATCH('Mar 2020 EDI'!F65,rrcworking[RRC ID],0))</f>
        <v>58</v>
      </c>
      <c r="AA65" s="5">
        <f>INDEX(rrcworking[Sales/Dispostion],MATCH('Mar 2020 EDI'!F65,rrcworking[RRC ID],0))</f>
        <v>0</v>
      </c>
      <c r="AQ65" s="5">
        <f>INDEX(rrcworking[Closing Stock (Oil)],MATCH('Mar 2020 EDI'!F65,rrcworking[RRC ID],0))</f>
        <v>432</v>
      </c>
      <c r="AT65" s="10"/>
    </row>
    <row r="66" spans="1:46">
      <c r="A66" s="4" t="s">
        <v>1</v>
      </c>
      <c r="B66" s="1" t="s">
        <v>964</v>
      </c>
      <c r="C66" s="10" t="s">
        <v>909</v>
      </c>
      <c r="D66" s="1" t="s">
        <v>618</v>
      </c>
      <c r="E66" s="1" t="s">
        <v>59</v>
      </c>
      <c r="F66" s="1" t="s">
        <v>478</v>
      </c>
      <c r="I66" s="10" t="s">
        <v>3</v>
      </c>
      <c r="J66" s="123" t="s">
        <v>3</v>
      </c>
      <c r="K66" s="1" t="s">
        <v>1090</v>
      </c>
      <c r="M66" s="5">
        <v>202003</v>
      </c>
      <c r="N66" s="5">
        <f>INDEX(rrcworking[Formation Production (MCF) @ 14.65 psi],MATCH('Mar 2020 EDI'!F66,rrcworking[RRC ID],0))</f>
        <v>822</v>
      </c>
      <c r="O66" s="5">
        <f>INDEX(rrcworking[Lease Use (MCF)],MATCH('Mar 2020 EDI'!F66,rrcworking[RRC ID],0))</f>
        <v>60</v>
      </c>
      <c r="P66" s="5">
        <f>INDEX(rrcworking[Disposition Volume (MCF) @ 14.65 MCF],MATCH('Mar 2020 EDI'!F66,rrcworking[RRC ID],0))</f>
        <v>762</v>
      </c>
      <c r="Y66" s="5">
        <f>INDEX(rrcworking[Oil Production],MATCH('Mar 2020 EDI'!F66,rrcworking[RRC ID],0))</f>
        <v>0</v>
      </c>
      <c r="AA66" s="5">
        <f>INDEX(rrcworking[Sales/Dispostion],MATCH('Mar 2020 EDI'!F66,rrcworking[RRC ID],0))</f>
        <v>0</v>
      </c>
      <c r="AQ66" s="5">
        <f>INDEX(rrcworking[Closing Stock (Oil)],MATCH('Mar 2020 EDI'!F66,rrcworking[RRC ID],0))</f>
        <v>384</v>
      </c>
    </row>
    <row r="67" spans="1:46">
      <c r="A67" s="4" t="s">
        <v>1</v>
      </c>
      <c r="B67" s="1" t="s">
        <v>965</v>
      </c>
      <c r="C67" s="10" t="s">
        <v>909</v>
      </c>
      <c r="D67" s="1" t="s">
        <v>618</v>
      </c>
      <c r="E67" s="1" t="s">
        <v>2</v>
      </c>
      <c r="F67" s="1" t="s">
        <v>479</v>
      </c>
      <c r="I67" s="10" t="s">
        <v>3</v>
      </c>
      <c r="J67" s="123" t="s">
        <v>3</v>
      </c>
      <c r="K67" s="1" t="s">
        <v>1090</v>
      </c>
      <c r="M67" s="5">
        <v>202003</v>
      </c>
      <c r="N67" s="5">
        <f>INDEX(rrcworking[Formation Production (MCF) @ 14.65 psi],MATCH('Mar 2020 EDI'!F67,rrcworking[RRC ID],0))</f>
        <v>1038</v>
      </c>
      <c r="O67" s="5">
        <f>INDEX(rrcworking[Lease Use (MCF)],MATCH('Mar 2020 EDI'!F67,rrcworking[RRC ID],0))</f>
        <v>210</v>
      </c>
      <c r="P67" s="5">
        <f>INDEX(rrcworking[Disposition Volume (MCF) @ 14.65 MCF],MATCH('Mar 2020 EDI'!F67,rrcworking[RRC ID],0))</f>
        <v>828</v>
      </c>
      <c r="Y67" s="5">
        <f>INDEX(rrcworking[Oil Production],MATCH('Mar 2020 EDI'!F67,rrcworking[RRC ID],0))</f>
        <v>667</v>
      </c>
      <c r="AA67" s="5">
        <f>INDEX(rrcworking[Sales/Dispostion],MATCH('Mar 2020 EDI'!F67,rrcworking[RRC ID],0))</f>
        <v>1091</v>
      </c>
      <c r="AQ67" s="5">
        <f>INDEX(rrcworking[Closing Stock (Oil)],MATCH('Mar 2020 EDI'!F67,rrcworking[RRC ID],0))</f>
        <v>182</v>
      </c>
      <c r="AT67" s="10"/>
    </row>
    <row r="68" spans="1:46">
      <c r="A68" s="4" t="s">
        <v>1</v>
      </c>
      <c r="B68" s="1" t="s">
        <v>966</v>
      </c>
      <c r="C68" s="10" t="s">
        <v>909</v>
      </c>
      <c r="D68" s="1" t="s">
        <v>618</v>
      </c>
      <c r="E68" s="1" t="s">
        <v>2</v>
      </c>
      <c r="F68" s="1" t="s">
        <v>480</v>
      </c>
      <c r="I68" s="10" t="s">
        <v>3</v>
      </c>
      <c r="J68" s="123" t="s">
        <v>3</v>
      </c>
      <c r="K68" s="1" t="s">
        <v>1090</v>
      </c>
      <c r="M68" s="5">
        <v>202003</v>
      </c>
      <c r="N68" s="5">
        <f>INDEX(rrcworking[Formation Production (MCF) @ 14.65 psi],MATCH('Mar 2020 EDI'!F68,rrcworking[RRC ID],0))</f>
        <v>1242</v>
      </c>
      <c r="O68" s="5">
        <f>INDEX(rrcworking[Lease Use (MCF)],MATCH('Mar 2020 EDI'!F68,rrcworking[RRC ID],0))</f>
        <v>30</v>
      </c>
      <c r="P68" s="5">
        <f>INDEX(rrcworking[Disposition Volume (MCF) @ 14.65 MCF],MATCH('Mar 2020 EDI'!F68,rrcworking[RRC ID],0))</f>
        <v>1212</v>
      </c>
      <c r="Y68" s="5">
        <f>INDEX(rrcworking[Oil Production],MATCH('Mar 2020 EDI'!F68,rrcworking[RRC ID],0))</f>
        <v>988</v>
      </c>
      <c r="AA68" s="5">
        <f>INDEX(rrcworking[Sales/Dispostion],MATCH('Mar 2020 EDI'!F68,rrcworking[RRC ID],0))</f>
        <v>718</v>
      </c>
      <c r="AQ68" s="5">
        <f>INDEX(rrcworking[Closing Stock (Oil)],MATCH('Mar 2020 EDI'!F68,rrcworking[RRC ID],0))</f>
        <v>494</v>
      </c>
      <c r="AT68" s="10"/>
    </row>
    <row r="69" spans="1:46">
      <c r="A69" s="4" t="s">
        <v>1</v>
      </c>
      <c r="B69" s="1" t="s">
        <v>967</v>
      </c>
      <c r="C69" s="10" t="s">
        <v>909</v>
      </c>
      <c r="D69" s="1" t="s">
        <v>618</v>
      </c>
      <c r="E69" s="1" t="s">
        <v>2</v>
      </c>
      <c r="F69" s="1" t="s">
        <v>482</v>
      </c>
      <c r="I69" s="10" t="s">
        <v>3</v>
      </c>
      <c r="J69" s="123" t="s">
        <v>3</v>
      </c>
      <c r="K69" s="1" t="s">
        <v>1090</v>
      </c>
      <c r="M69" s="5">
        <v>202003</v>
      </c>
      <c r="N69" s="5">
        <f>INDEX(rrcworking[Formation Production (MCF) @ 14.65 psi],MATCH('Mar 2020 EDI'!F69,rrcworking[RRC ID],0))</f>
        <v>0</v>
      </c>
      <c r="O69" s="5">
        <f>INDEX(rrcworking[Lease Use (MCF)],MATCH('Mar 2020 EDI'!F69,rrcworking[RRC ID],0))</f>
        <v>0</v>
      </c>
      <c r="P69" s="5">
        <f>INDEX(rrcworking[Disposition Volume (MCF) @ 14.65 MCF],MATCH('Mar 2020 EDI'!F69,rrcworking[RRC ID],0))</f>
        <v>0</v>
      </c>
      <c r="Y69" s="5">
        <f>INDEX(rrcworking[Oil Production],MATCH('Mar 2020 EDI'!F69,rrcworking[RRC ID],0))</f>
        <v>0</v>
      </c>
      <c r="AA69" s="5">
        <f>INDEX(rrcworking[Sales/Dispostion],MATCH('Mar 2020 EDI'!F69,rrcworking[RRC ID],0))</f>
        <v>0</v>
      </c>
      <c r="AQ69" s="5">
        <f>INDEX(rrcworking[Closing Stock (Oil)],MATCH('Mar 2020 EDI'!F69,rrcworking[RRC ID],0))</f>
        <v>114</v>
      </c>
    </row>
    <row r="70" spans="1:46">
      <c r="A70" s="4" t="s">
        <v>1</v>
      </c>
      <c r="B70" s="1" t="s">
        <v>968</v>
      </c>
      <c r="C70" s="10" t="s">
        <v>909</v>
      </c>
      <c r="D70" s="1" t="s">
        <v>618</v>
      </c>
      <c r="E70" s="1" t="s">
        <v>59</v>
      </c>
      <c r="F70" s="1" t="s">
        <v>483</v>
      </c>
      <c r="I70" s="10" t="s">
        <v>3</v>
      </c>
      <c r="J70" s="123" t="s">
        <v>3</v>
      </c>
      <c r="K70" s="1" t="s">
        <v>1090</v>
      </c>
      <c r="M70" s="5">
        <v>202003</v>
      </c>
      <c r="N70" s="5">
        <f>INDEX(rrcworking[Formation Production (MCF) @ 14.65 psi],MATCH('Mar 2020 EDI'!F70,rrcworking[RRC ID],0))</f>
        <v>1078</v>
      </c>
      <c r="O70" s="5">
        <f>INDEX(rrcworking[Lease Use (MCF)],MATCH('Mar 2020 EDI'!F70,rrcworking[RRC ID],0))</f>
        <v>30</v>
      </c>
      <c r="P70" s="5">
        <f>INDEX(rrcworking[Disposition Volume (MCF) @ 14.65 MCF],MATCH('Mar 2020 EDI'!F70,rrcworking[RRC ID],0))</f>
        <v>1048</v>
      </c>
      <c r="Y70" s="5">
        <f>INDEX(rrcworking[Oil Production],MATCH('Mar 2020 EDI'!F70,rrcworking[RRC ID],0))</f>
        <v>31</v>
      </c>
      <c r="AA70" s="5">
        <f>INDEX(rrcworking[Sales/Dispostion],MATCH('Mar 2020 EDI'!F70,rrcworking[RRC ID],0))</f>
        <v>0</v>
      </c>
      <c r="AQ70" s="5">
        <f>INDEX(rrcworking[Closing Stock (Oil)],MATCH('Mar 2020 EDI'!F70,rrcworking[RRC ID],0))</f>
        <v>104</v>
      </c>
    </row>
    <row r="71" spans="1:46">
      <c r="A71" s="4" t="s">
        <v>1</v>
      </c>
      <c r="B71" s="1" t="s">
        <v>969</v>
      </c>
      <c r="C71" s="10" t="s">
        <v>909</v>
      </c>
      <c r="D71" s="1" t="s">
        <v>618</v>
      </c>
      <c r="E71" s="1" t="s">
        <v>2</v>
      </c>
      <c r="F71" s="1" t="s">
        <v>484</v>
      </c>
      <c r="I71" s="10" t="s">
        <v>3</v>
      </c>
      <c r="J71" s="123" t="s">
        <v>3</v>
      </c>
      <c r="K71" s="1" t="s">
        <v>1090</v>
      </c>
      <c r="M71" s="5">
        <v>202003</v>
      </c>
      <c r="N71" s="5">
        <f>INDEX(rrcworking[Formation Production (MCF) @ 14.65 psi],MATCH('Mar 2020 EDI'!F71,rrcworking[RRC ID],0))</f>
        <v>0</v>
      </c>
      <c r="O71" s="5">
        <f>INDEX(rrcworking[Lease Use (MCF)],MATCH('Mar 2020 EDI'!F71,rrcworking[RRC ID],0))</f>
        <v>0</v>
      </c>
      <c r="P71" s="5">
        <f>INDEX(rrcworking[Disposition Volume (MCF) @ 14.65 MCF],MATCH('Mar 2020 EDI'!F71,rrcworking[RRC ID],0))</f>
        <v>0</v>
      </c>
      <c r="Y71" s="5">
        <f>INDEX(rrcworking[Oil Production],MATCH('Mar 2020 EDI'!F71,rrcworking[RRC ID],0))</f>
        <v>0</v>
      </c>
      <c r="AA71" s="5">
        <f>INDEX(rrcworking[Sales/Dispostion],MATCH('Mar 2020 EDI'!F71,rrcworking[RRC ID],0))</f>
        <v>0</v>
      </c>
      <c r="AQ71" s="5">
        <f>INDEX(rrcworking[Closing Stock (Oil)],MATCH('Mar 2020 EDI'!F71,rrcworking[RRC ID],0))</f>
        <v>0</v>
      </c>
    </row>
    <row r="72" spans="1:46">
      <c r="A72" s="4" t="s">
        <v>1</v>
      </c>
      <c r="B72" s="1" t="s">
        <v>970</v>
      </c>
      <c r="C72" s="10" t="s">
        <v>909</v>
      </c>
      <c r="D72" s="1" t="s">
        <v>618</v>
      </c>
      <c r="E72" s="1" t="s">
        <v>2</v>
      </c>
      <c r="F72" s="1" t="s">
        <v>485</v>
      </c>
      <c r="I72" s="10" t="s">
        <v>3</v>
      </c>
      <c r="J72" s="123" t="s">
        <v>3</v>
      </c>
      <c r="K72" s="1" t="s">
        <v>1090</v>
      </c>
      <c r="M72" s="5">
        <v>202003</v>
      </c>
      <c r="N72" s="5">
        <f>INDEX(rrcworking[Formation Production (MCF) @ 14.65 psi],MATCH('Mar 2020 EDI'!F72,rrcworking[RRC ID],0))</f>
        <v>0</v>
      </c>
      <c r="O72" s="5">
        <f>INDEX(rrcworking[Lease Use (MCF)],MATCH('Mar 2020 EDI'!F72,rrcworking[RRC ID],0))</f>
        <v>0</v>
      </c>
      <c r="P72" s="5">
        <f>INDEX(rrcworking[Disposition Volume (MCF) @ 14.65 MCF],MATCH('Mar 2020 EDI'!F72,rrcworking[RRC ID],0))</f>
        <v>0</v>
      </c>
      <c r="Y72" s="5">
        <f>INDEX(rrcworking[Oil Production],MATCH('Mar 2020 EDI'!F72,rrcworking[RRC ID],0))</f>
        <v>366</v>
      </c>
      <c r="AA72" s="5">
        <f>INDEX(rrcworking[Sales/Dispostion],MATCH('Mar 2020 EDI'!F72,rrcworking[RRC ID],0))</f>
        <v>337</v>
      </c>
      <c r="AQ72" s="5">
        <f>INDEX(rrcworking[Closing Stock (Oil)],MATCH('Mar 2020 EDI'!F72,rrcworking[RRC ID],0))</f>
        <v>311</v>
      </c>
    </row>
    <row r="73" spans="1:46">
      <c r="A73" s="4" t="s">
        <v>1</v>
      </c>
      <c r="B73" s="1" t="s">
        <v>971</v>
      </c>
      <c r="C73" s="10" t="s">
        <v>909</v>
      </c>
      <c r="D73" s="1" t="s">
        <v>618</v>
      </c>
      <c r="E73" s="1" t="s">
        <v>2</v>
      </c>
      <c r="F73" s="1" t="s">
        <v>486</v>
      </c>
      <c r="I73" s="10" t="s">
        <v>3</v>
      </c>
      <c r="J73" s="123" t="s">
        <v>3</v>
      </c>
      <c r="K73" s="1" t="s">
        <v>1090</v>
      </c>
      <c r="M73" s="5">
        <v>202003</v>
      </c>
      <c r="N73" s="5">
        <f>INDEX(rrcworking[Formation Production (MCF) @ 14.65 psi],MATCH('Mar 2020 EDI'!F73,rrcworking[RRC ID],0))</f>
        <v>0</v>
      </c>
      <c r="O73" s="5">
        <f>INDEX(rrcworking[Lease Use (MCF)],MATCH('Mar 2020 EDI'!F73,rrcworking[RRC ID],0))</f>
        <v>0</v>
      </c>
      <c r="P73" s="5">
        <f>INDEX(rrcworking[Disposition Volume (MCF) @ 14.65 MCF],MATCH('Mar 2020 EDI'!F73,rrcworking[RRC ID],0))</f>
        <v>0</v>
      </c>
      <c r="Y73" s="5">
        <f>INDEX(rrcworking[Oil Production],MATCH('Mar 2020 EDI'!F73,rrcworking[RRC ID],0))</f>
        <v>0</v>
      </c>
      <c r="AA73" s="5">
        <f>INDEX(rrcworking[Sales/Dispostion],MATCH('Mar 2020 EDI'!F73,rrcworking[RRC ID],0))</f>
        <v>0</v>
      </c>
      <c r="AQ73" s="5">
        <f>INDEX(rrcworking[Closing Stock (Oil)],MATCH('Mar 2020 EDI'!F73,rrcworking[RRC ID],0))</f>
        <v>52</v>
      </c>
    </row>
    <row r="74" spans="1:46">
      <c r="A74" s="4" t="s">
        <v>1</v>
      </c>
      <c r="B74" s="1" t="s">
        <v>972</v>
      </c>
      <c r="C74" s="10" t="s">
        <v>909</v>
      </c>
      <c r="D74" s="1" t="s">
        <v>618</v>
      </c>
      <c r="E74" s="1" t="s">
        <v>2</v>
      </c>
      <c r="F74" s="1" t="s">
        <v>487</v>
      </c>
      <c r="I74" s="10" t="s">
        <v>3</v>
      </c>
      <c r="J74" s="123" t="s">
        <v>3</v>
      </c>
      <c r="K74" s="1" t="s">
        <v>1090</v>
      </c>
      <c r="M74" s="5">
        <v>202003</v>
      </c>
      <c r="N74" s="5">
        <f>INDEX(rrcworking[Formation Production (MCF) @ 14.65 psi],MATCH('Mar 2020 EDI'!F74,rrcworking[RRC ID],0))</f>
        <v>0</v>
      </c>
      <c r="O74" s="5">
        <f>INDEX(rrcworking[Lease Use (MCF)],MATCH('Mar 2020 EDI'!F74,rrcworking[RRC ID],0))</f>
        <v>0</v>
      </c>
      <c r="P74" s="5">
        <f>INDEX(rrcworking[Disposition Volume (MCF) @ 14.65 MCF],MATCH('Mar 2020 EDI'!F74,rrcworking[RRC ID],0))</f>
        <v>0</v>
      </c>
      <c r="Y74" s="5">
        <f>INDEX(rrcworking[Oil Production],MATCH('Mar 2020 EDI'!F74,rrcworking[RRC ID],0))</f>
        <v>0</v>
      </c>
      <c r="AA74" s="5">
        <f>INDEX(rrcworking[Sales/Dispostion],MATCH('Mar 2020 EDI'!F74,rrcworking[RRC ID],0))</f>
        <v>0</v>
      </c>
      <c r="AQ74" s="5">
        <f>INDEX(rrcworking[Closing Stock (Oil)],MATCH('Mar 2020 EDI'!F74,rrcworking[RRC ID],0))</f>
        <v>229</v>
      </c>
    </row>
    <row r="75" spans="1:46">
      <c r="A75" s="4" t="s">
        <v>1</v>
      </c>
      <c r="B75" s="1" t="s">
        <v>973</v>
      </c>
      <c r="C75" s="10" t="s">
        <v>909</v>
      </c>
      <c r="D75" s="1" t="s">
        <v>618</v>
      </c>
      <c r="E75" s="1" t="s">
        <v>2</v>
      </c>
      <c r="F75" s="1" t="s">
        <v>488</v>
      </c>
      <c r="I75" s="10" t="s">
        <v>3</v>
      </c>
      <c r="J75" s="123" t="s">
        <v>3</v>
      </c>
      <c r="K75" s="1" t="s">
        <v>1090</v>
      </c>
      <c r="M75" s="5">
        <v>202003</v>
      </c>
      <c r="N75" s="5">
        <f>INDEX(rrcworking[Formation Production (MCF) @ 14.65 psi],MATCH('Mar 2020 EDI'!F75,rrcworking[RRC ID],0))</f>
        <v>0</v>
      </c>
      <c r="O75" s="5">
        <f>INDEX(rrcworking[Lease Use (MCF)],MATCH('Mar 2020 EDI'!F75,rrcworking[RRC ID],0))</f>
        <v>0</v>
      </c>
      <c r="P75" s="5">
        <f>INDEX(rrcworking[Disposition Volume (MCF) @ 14.65 MCF],MATCH('Mar 2020 EDI'!F75,rrcworking[RRC ID],0))</f>
        <v>0</v>
      </c>
      <c r="Y75" s="5">
        <f>INDEX(rrcworking[Oil Production],MATCH('Mar 2020 EDI'!F75,rrcworking[RRC ID],0))</f>
        <v>0</v>
      </c>
      <c r="AA75" s="5">
        <f>INDEX(rrcworking[Sales/Dispostion],MATCH('Mar 2020 EDI'!F75,rrcworking[RRC ID],0))</f>
        <v>0</v>
      </c>
      <c r="AQ75" s="5">
        <f>INDEX(rrcworking[Closing Stock (Oil)],MATCH('Mar 2020 EDI'!F75,rrcworking[RRC ID],0))</f>
        <v>250</v>
      </c>
    </row>
    <row r="76" spans="1:46">
      <c r="A76" s="4" t="s">
        <v>1</v>
      </c>
      <c r="B76" s="1" t="s">
        <v>974</v>
      </c>
      <c r="C76" s="10" t="s">
        <v>909</v>
      </c>
      <c r="D76" s="1" t="s">
        <v>618</v>
      </c>
      <c r="E76" s="1" t="s">
        <v>2</v>
      </c>
      <c r="F76" s="1" t="s">
        <v>489</v>
      </c>
      <c r="I76" s="10" t="s">
        <v>3</v>
      </c>
      <c r="J76" s="123" t="s">
        <v>3</v>
      </c>
      <c r="K76" s="1" t="s">
        <v>1090</v>
      </c>
      <c r="M76" s="5">
        <v>202003</v>
      </c>
      <c r="N76" s="5">
        <f>INDEX(rrcworking[Formation Production (MCF) @ 14.65 psi],MATCH('Mar 2020 EDI'!F76,rrcworking[RRC ID],0))</f>
        <v>0</v>
      </c>
      <c r="O76" s="5">
        <f>INDEX(rrcworking[Lease Use (MCF)],MATCH('Mar 2020 EDI'!F76,rrcworking[RRC ID],0))</f>
        <v>0</v>
      </c>
      <c r="P76" s="5">
        <f>INDEX(rrcworking[Disposition Volume (MCF) @ 14.65 MCF],MATCH('Mar 2020 EDI'!F76,rrcworking[RRC ID],0))</f>
        <v>0</v>
      </c>
      <c r="Y76" s="5">
        <f>INDEX(rrcworking[Oil Production],MATCH('Mar 2020 EDI'!F76,rrcworking[RRC ID],0))</f>
        <v>0</v>
      </c>
      <c r="AA76" s="5">
        <f>INDEX(rrcworking[Sales/Dispostion],MATCH('Mar 2020 EDI'!F76,rrcworking[RRC ID],0))</f>
        <v>0</v>
      </c>
      <c r="AQ76" s="5">
        <f>INDEX(rrcworking[Closing Stock (Oil)],MATCH('Mar 2020 EDI'!F76,rrcworking[RRC ID],0))</f>
        <v>297</v>
      </c>
    </row>
    <row r="77" spans="1:46">
      <c r="A77" s="4" t="s">
        <v>1</v>
      </c>
      <c r="B77" s="1" t="s">
        <v>975</v>
      </c>
      <c r="C77" s="10" t="s">
        <v>909</v>
      </c>
      <c r="D77" s="1" t="s">
        <v>618</v>
      </c>
      <c r="E77" s="1" t="s">
        <v>2</v>
      </c>
      <c r="F77" s="1" t="s">
        <v>490</v>
      </c>
      <c r="I77" s="10" t="s">
        <v>3</v>
      </c>
      <c r="J77" s="123" t="s">
        <v>3</v>
      </c>
      <c r="K77" s="1" t="s">
        <v>1090</v>
      </c>
      <c r="M77" s="5">
        <v>202003</v>
      </c>
      <c r="N77" s="5">
        <f>INDEX(rrcworking[Formation Production (MCF) @ 14.65 psi],MATCH('Mar 2020 EDI'!F77,rrcworking[RRC ID],0))</f>
        <v>0</v>
      </c>
      <c r="O77" s="5">
        <f>INDEX(rrcworking[Lease Use (MCF)],MATCH('Mar 2020 EDI'!F77,rrcworking[RRC ID],0))</f>
        <v>0</v>
      </c>
      <c r="P77" s="5">
        <f>INDEX(rrcworking[Disposition Volume (MCF) @ 14.65 MCF],MATCH('Mar 2020 EDI'!F77,rrcworking[RRC ID],0))</f>
        <v>0</v>
      </c>
      <c r="Y77" s="5">
        <f>INDEX(rrcworking[Oil Production],MATCH('Mar 2020 EDI'!F77,rrcworking[RRC ID],0))</f>
        <v>0</v>
      </c>
      <c r="AA77" s="5">
        <f>INDEX(rrcworking[Sales/Dispostion],MATCH('Mar 2020 EDI'!F77,rrcworking[RRC ID],0))</f>
        <v>0</v>
      </c>
      <c r="AQ77" s="5">
        <f>INDEX(rrcworking[Closing Stock (Oil)],MATCH('Mar 2020 EDI'!F77,rrcworking[RRC ID],0))</f>
        <v>410</v>
      </c>
    </row>
    <row r="78" spans="1:46">
      <c r="A78" s="4" t="s">
        <v>1</v>
      </c>
      <c r="B78" s="1" t="s">
        <v>976</v>
      </c>
      <c r="C78" s="10" t="s">
        <v>909</v>
      </c>
      <c r="D78" s="1" t="s">
        <v>618</v>
      </c>
      <c r="E78" s="1" t="s">
        <v>59</v>
      </c>
      <c r="F78" s="1" t="s">
        <v>491</v>
      </c>
      <c r="I78" s="10" t="s">
        <v>3</v>
      </c>
      <c r="J78" s="123" t="s">
        <v>3</v>
      </c>
      <c r="K78" s="1" t="s">
        <v>1090</v>
      </c>
      <c r="M78" s="5">
        <v>202003</v>
      </c>
      <c r="N78" s="5">
        <f>INDEX(rrcworking[Formation Production (MCF) @ 14.65 psi],MATCH('Mar 2020 EDI'!F78,rrcworking[RRC ID],0))</f>
        <v>0</v>
      </c>
      <c r="O78" s="5">
        <f>INDEX(rrcworking[Lease Use (MCF)],MATCH('Mar 2020 EDI'!F78,rrcworking[RRC ID],0))</f>
        <v>0</v>
      </c>
      <c r="P78" s="5">
        <f>INDEX(rrcworking[Disposition Volume (MCF) @ 14.65 MCF],MATCH('Mar 2020 EDI'!F78,rrcworking[RRC ID],0))</f>
        <v>0</v>
      </c>
      <c r="Y78" s="5">
        <f>INDEX(rrcworking[Oil Production],MATCH('Mar 2020 EDI'!F78,rrcworking[RRC ID],0))</f>
        <v>0</v>
      </c>
      <c r="AA78" s="5">
        <f>INDEX(rrcworking[Sales/Dispostion],MATCH('Mar 2020 EDI'!F78,rrcworking[RRC ID],0))</f>
        <v>0</v>
      </c>
      <c r="AQ78" s="5">
        <f>INDEX(rrcworking[Closing Stock (Oil)],MATCH('Mar 2020 EDI'!F78,rrcworking[RRC ID],0))</f>
        <v>0</v>
      </c>
    </row>
    <row r="79" spans="1:46">
      <c r="A79" s="4" t="s">
        <v>1</v>
      </c>
      <c r="B79" s="1" t="s">
        <v>977</v>
      </c>
      <c r="C79" s="10" t="s">
        <v>909</v>
      </c>
      <c r="D79" s="1" t="s">
        <v>618</v>
      </c>
      <c r="E79" s="1" t="s">
        <v>59</v>
      </c>
      <c r="F79" s="1" t="s">
        <v>492</v>
      </c>
      <c r="I79" s="10" t="s">
        <v>3</v>
      </c>
      <c r="J79" s="123" t="s">
        <v>3</v>
      </c>
      <c r="K79" s="1" t="s">
        <v>1090</v>
      </c>
      <c r="M79" s="5">
        <v>202003</v>
      </c>
      <c r="N79" s="5">
        <f>INDEX(rrcworking[Formation Production (MCF) @ 14.65 psi],MATCH('Mar 2020 EDI'!F79,rrcworking[RRC ID],0))</f>
        <v>0</v>
      </c>
      <c r="O79" s="5">
        <f>INDEX(rrcworking[Lease Use (MCF)],MATCH('Mar 2020 EDI'!F79,rrcworking[RRC ID],0))</f>
        <v>0</v>
      </c>
      <c r="P79" s="5">
        <f>INDEX(rrcworking[Disposition Volume (MCF) @ 14.65 MCF],MATCH('Mar 2020 EDI'!F79,rrcworking[RRC ID],0))</f>
        <v>0</v>
      </c>
      <c r="Y79" s="5">
        <f>INDEX(rrcworking[Oil Production],MATCH('Mar 2020 EDI'!F79,rrcworking[RRC ID],0))</f>
        <v>0</v>
      </c>
      <c r="AA79" s="5">
        <f>INDEX(rrcworking[Sales/Dispostion],MATCH('Mar 2020 EDI'!F79,rrcworking[RRC ID],0))</f>
        <v>0</v>
      </c>
      <c r="AQ79" s="5">
        <f>INDEX(rrcworking[Closing Stock (Oil)],MATCH('Mar 2020 EDI'!F79,rrcworking[RRC ID],0))</f>
        <v>150</v>
      </c>
    </row>
    <row r="80" spans="1:46">
      <c r="A80" s="4" t="s">
        <v>1</v>
      </c>
      <c r="B80" s="1" t="s">
        <v>978</v>
      </c>
      <c r="C80" s="10" t="s">
        <v>909</v>
      </c>
      <c r="D80" s="1" t="s">
        <v>618</v>
      </c>
      <c r="E80" s="1" t="s">
        <v>2</v>
      </c>
      <c r="F80" s="1" t="s">
        <v>494</v>
      </c>
      <c r="I80" s="10" t="s">
        <v>3</v>
      </c>
      <c r="J80" s="123" t="s">
        <v>3</v>
      </c>
      <c r="K80" s="1" t="s">
        <v>1090</v>
      </c>
      <c r="M80" s="5">
        <v>202003</v>
      </c>
      <c r="N80" s="5">
        <f>INDEX(rrcworking[Formation Production (MCF) @ 14.65 psi],MATCH('Mar 2020 EDI'!F80,rrcworking[RRC ID],0))</f>
        <v>0</v>
      </c>
      <c r="O80" s="5">
        <f>INDEX(rrcworking[Lease Use (MCF)],MATCH('Mar 2020 EDI'!F80,rrcworking[RRC ID],0))</f>
        <v>0</v>
      </c>
      <c r="P80" s="5">
        <f>INDEX(rrcworking[Disposition Volume (MCF) @ 14.65 MCF],MATCH('Mar 2020 EDI'!F80,rrcworking[RRC ID],0))</f>
        <v>0</v>
      </c>
      <c r="Y80" s="5">
        <f>INDEX(rrcworking[Oil Production],MATCH('Mar 2020 EDI'!F80,rrcworking[RRC ID],0))</f>
        <v>0</v>
      </c>
      <c r="AA80" s="5">
        <f>INDEX(rrcworking[Sales/Dispostion],MATCH('Mar 2020 EDI'!F80,rrcworking[RRC ID],0))</f>
        <v>0</v>
      </c>
      <c r="AQ80" s="5">
        <f>INDEX(rrcworking[Closing Stock (Oil)],MATCH('Mar 2020 EDI'!F80,rrcworking[RRC ID],0))</f>
        <v>18</v>
      </c>
    </row>
    <row r="81" spans="1:43">
      <c r="A81" s="4" t="s">
        <v>1</v>
      </c>
      <c r="B81" s="1" t="s">
        <v>979</v>
      </c>
      <c r="C81" s="10" t="s">
        <v>909</v>
      </c>
      <c r="D81" s="1" t="s">
        <v>618</v>
      </c>
      <c r="E81" s="1" t="s">
        <v>59</v>
      </c>
      <c r="F81" s="1" t="s">
        <v>1133</v>
      </c>
      <c r="I81" s="10" t="s">
        <v>3</v>
      </c>
      <c r="J81" s="123" t="s">
        <v>3</v>
      </c>
      <c r="M81" s="5">
        <v>202003</v>
      </c>
      <c r="N81" s="5">
        <f>INDEX(rrcworking[Formation Production (MCF) @ 14.65 psi],MATCH('Mar 2020 EDI'!F81,rrcworking[RRC ID],0))</f>
        <v>3536</v>
      </c>
      <c r="O81" s="5">
        <f>INDEX(rrcworking[Lease Use (MCF)],MATCH('Mar 2020 EDI'!F81,rrcworking[RRC ID],0))</f>
        <v>168</v>
      </c>
      <c r="P81" s="5">
        <f>INDEX(rrcworking[Disposition Volume (MCF) @ 14.65 MCF],MATCH('Mar 2020 EDI'!F81,rrcworking[RRC ID],0))</f>
        <v>3368</v>
      </c>
      <c r="Y81" s="5">
        <f>INDEX(rrcworking[Oil Production],MATCH('Mar 2020 EDI'!F81,rrcworking[RRC ID],0))</f>
        <v>15</v>
      </c>
      <c r="AA81" s="5">
        <f>INDEX(rrcworking[Sales/Dispostion],MATCH('Mar 2020 EDI'!F81,rrcworking[RRC ID],0))</f>
        <v>0</v>
      </c>
      <c r="AQ81" s="5">
        <f>INDEX(rrcworking[Closing Stock (Oil)],MATCH('Mar 2020 EDI'!F81,rrcworking[RRC ID],0))</f>
        <v>81</v>
      </c>
    </row>
    <row r="82" spans="1:43">
      <c r="A82" s="4" t="s">
        <v>1</v>
      </c>
      <c r="B82" s="1" t="s">
        <v>980</v>
      </c>
      <c r="C82" s="10" t="s">
        <v>909</v>
      </c>
      <c r="D82" s="1" t="s">
        <v>618</v>
      </c>
      <c r="E82" s="1" t="s">
        <v>2</v>
      </c>
      <c r="F82" s="1" t="s">
        <v>495</v>
      </c>
      <c r="I82" s="10" t="s">
        <v>3</v>
      </c>
      <c r="J82" s="123" t="s">
        <v>3</v>
      </c>
      <c r="K82" s="1" t="s">
        <v>1090</v>
      </c>
      <c r="M82" s="5">
        <v>202003</v>
      </c>
      <c r="N82" s="5">
        <f>INDEX(rrcworking[Formation Production (MCF) @ 14.65 psi],MATCH('Mar 2020 EDI'!F82,rrcworking[RRC ID],0))</f>
        <v>0</v>
      </c>
      <c r="O82" s="5">
        <f>INDEX(rrcworking[Lease Use (MCF)],MATCH('Mar 2020 EDI'!F82,rrcworking[RRC ID],0))</f>
        <v>0</v>
      </c>
      <c r="P82" s="5">
        <f>INDEX(rrcworking[Disposition Volume (MCF) @ 14.65 MCF],MATCH('Mar 2020 EDI'!F82,rrcworking[RRC ID],0))</f>
        <v>0</v>
      </c>
      <c r="Y82" s="5">
        <f>INDEX(rrcworking[Oil Production],MATCH('Mar 2020 EDI'!F82,rrcworking[RRC ID],0))</f>
        <v>0</v>
      </c>
      <c r="AA82" s="5">
        <f>INDEX(rrcworking[Sales/Dispostion],MATCH('Mar 2020 EDI'!F82,rrcworking[RRC ID],0))</f>
        <v>0</v>
      </c>
      <c r="AQ82" s="5">
        <f>INDEX(rrcworking[Closing Stock (Oil)],MATCH('Mar 2020 EDI'!F82,rrcworking[RRC ID],0))</f>
        <v>0</v>
      </c>
    </row>
    <row r="83" spans="1:43">
      <c r="A83" s="4" t="s">
        <v>1</v>
      </c>
      <c r="B83" s="1" t="s">
        <v>981</v>
      </c>
      <c r="C83" s="10" t="s">
        <v>909</v>
      </c>
      <c r="D83" s="1" t="s">
        <v>618</v>
      </c>
      <c r="E83" s="1" t="s">
        <v>59</v>
      </c>
      <c r="F83" s="1" t="s">
        <v>496</v>
      </c>
      <c r="I83" s="10" t="s">
        <v>3</v>
      </c>
      <c r="J83" s="123" t="s">
        <v>3</v>
      </c>
      <c r="K83" s="1">
        <v>1471</v>
      </c>
      <c r="M83" s="5">
        <v>202003</v>
      </c>
      <c r="N83" s="5">
        <f>INDEX(rrcworking[Formation Production (MCF) @ 14.65 psi],MATCH('Mar 2020 EDI'!F83,rrcworking[RRC ID],0))</f>
        <v>0</v>
      </c>
      <c r="O83" s="5">
        <f>INDEX(rrcworking[Lease Use (MCF)],MATCH('Mar 2020 EDI'!F83,rrcworking[RRC ID],0))</f>
        <v>0</v>
      </c>
      <c r="P83" s="5">
        <f>INDEX(rrcworking[Disposition Volume (MCF) @ 14.65 MCF],MATCH('Mar 2020 EDI'!F83,rrcworking[RRC ID],0))</f>
        <v>0</v>
      </c>
      <c r="Y83" s="5">
        <f>INDEX(rrcworking[Oil Production],MATCH('Mar 2020 EDI'!F83,rrcworking[RRC ID],0))</f>
        <v>0</v>
      </c>
      <c r="AA83" s="5">
        <f>INDEX(rrcworking[Sales/Dispostion],MATCH('Mar 2020 EDI'!F83,rrcworking[RRC ID],0))</f>
        <v>0</v>
      </c>
      <c r="AQ83" s="5">
        <f>INDEX(rrcworking[Closing Stock (Oil)],MATCH('Mar 2020 EDI'!F83,rrcworking[RRC ID],0))</f>
        <v>0</v>
      </c>
    </row>
    <row r="84" spans="1:43">
      <c r="A84" s="4" t="s">
        <v>1</v>
      </c>
      <c r="B84" s="1" t="s">
        <v>982</v>
      </c>
      <c r="C84" s="10" t="s">
        <v>909</v>
      </c>
      <c r="D84" s="1" t="s">
        <v>618</v>
      </c>
      <c r="E84" s="1" t="s">
        <v>2</v>
      </c>
      <c r="F84" s="1" t="s">
        <v>497</v>
      </c>
      <c r="I84" s="10" t="s">
        <v>3</v>
      </c>
      <c r="J84" s="123" t="s">
        <v>3</v>
      </c>
      <c r="K84" s="1">
        <v>1471</v>
      </c>
      <c r="M84" s="5">
        <v>202003</v>
      </c>
      <c r="N84" s="5">
        <f>INDEX(rrcworking[Formation Production (MCF) @ 14.65 psi],MATCH('Mar 2020 EDI'!F84,rrcworking[RRC ID],0))</f>
        <v>0</v>
      </c>
      <c r="O84" s="5">
        <f>INDEX(rrcworking[Lease Use (MCF)],MATCH('Mar 2020 EDI'!F84,rrcworking[RRC ID],0))</f>
        <v>0</v>
      </c>
      <c r="P84" s="5">
        <f>INDEX(rrcworking[Disposition Volume (MCF) @ 14.65 MCF],MATCH('Mar 2020 EDI'!F84,rrcworking[RRC ID],0))</f>
        <v>0</v>
      </c>
      <c r="Y84" s="5">
        <f>INDEX(rrcworking[Oil Production],MATCH('Mar 2020 EDI'!F84,rrcworking[RRC ID],0))</f>
        <v>0</v>
      </c>
      <c r="AA84" s="5">
        <f>INDEX(rrcworking[Sales/Dispostion],MATCH('Mar 2020 EDI'!F84,rrcworking[RRC ID],0))</f>
        <v>0</v>
      </c>
      <c r="AQ84" s="5">
        <f>INDEX(rrcworking[Closing Stock (Oil)],MATCH('Mar 2020 EDI'!F84,rrcworking[RRC ID],0))</f>
        <v>0</v>
      </c>
    </row>
    <row r="85" spans="1:43">
      <c r="A85" s="4" t="s">
        <v>1</v>
      </c>
      <c r="B85" s="1" t="s">
        <v>983</v>
      </c>
      <c r="C85" s="10" t="s">
        <v>909</v>
      </c>
      <c r="D85" s="1" t="s">
        <v>618</v>
      </c>
      <c r="E85" s="1" t="s">
        <v>59</v>
      </c>
      <c r="F85" s="1" t="s">
        <v>498</v>
      </c>
      <c r="I85" s="10" t="s">
        <v>3</v>
      </c>
      <c r="J85" s="123" t="s">
        <v>3</v>
      </c>
      <c r="K85" s="1" t="s">
        <v>1090</v>
      </c>
      <c r="M85" s="5">
        <v>202003</v>
      </c>
      <c r="N85" s="5">
        <f>INDEX(rrcworking[Formation Production (MCF) @ 14.65 psi],MATCH('Mar 2020 EDI'!F85,rrcworking[RRC ID],0))</f>
        <v>0</v>
      </c>
      <c r="O85" s="5">
        <f>INDEX(rrcworking[Lease Use (MCF)],MATCH('Mar 2020 EDI'!F85,rrcworking[RRC ID],0))</f>
        <v>0</v>
      </c>
      <c r="P85" s="5">
        <f>INDEX(rrcworking[Disposition Volume (MCF) @ 14.65 MCF],MATCH('Mar 2020 EDI'!F85,rrcworking[RRC ID],0))</f>
        <v>0</v>
      </c>
      <c r="Y85" s="5">
        <f>INDEX(rrcworking[Oil Production],MATCH('Mar 2020 EDI'!F85,rrcworking[RRC ID],0))</f>
        <v>0</v>
      </c>
      <c r="AA85" s="5">
        <f>INDEX(rrcworking[Sales/Dispostion],MATCH('Mar 2020 EDI'!F85,rrcworking[RRC ID],0))</f>
        <v>0</v>
      </c>
      <c r="AQ85" s="5">
        <f>INDEX(rrcworking[Closing Stock (Oil)],MATCH('Mar 2020 EDI'!F85,rrcworking[RRC ID],0))</f>
        <v>0</v>
      </c>
    </row>
    <row r="86" spans="1:43">
      <c r="A86" s="4" t="s">
        <v>1</v>
      </c>
      <c r="B86" s="1" t="s">
        <v>984</v>
      </c>
      <c r="C86" s="10" t="s">
        <v>909</v>
      </c>
      <c r="D86" s="1" t="s">
        <v>618</v>
      </c>
      <c r="E86" s="1" t="s">
        <v>2</v>
      </c>
      <c r="F86" s="10" t="s">
        <v>1249</v>
      </c>
      <c r="I86" s="10" t="s">
        <v>3</v>
      </c>
      <c r="J86" s="123" t="s">
        <v>3</v>
      </c>
      <c r="K86" s="1" t="s">
        <v>1090</v>
      </c>
      <c r="M86" s="5">
        <v>202003</v>
      </c>
      <c r="N86" s="5">
        <f>INDEX(rrcworking[Formation Production (MCF) @ 14.65 psi],MATCH('Mar 2020 EDI'!F86,rrcworking[RRC ID],0))</f>
        <v>88</v>
      </c>
      <c r="O86" s="5">
        <f>INDEX(rrcworking[Lease Use (MCF)],MATCH('Mar 2020 EDI'!F86,rrcworking[RRC ID],0))</f>
        <v>88</v>
      </c>
      <c r="P86" s="5">
        <f>INDEX(rrcworking[Disposition Volume (MCF) @ 14.65 MCF],MATCH('Mar 2020 EDI'!F86,rrcworking[RRC ID],0))</f>
        <v>0</v>
      </c>
      <c r="Y86" s="5">
        <f>INDEX(rrcworking[Oil Production],MATCH('Mar 2020 EDI'!F86,rrcworking[RRC ID],0))</f>
        <v>177</v>
      </c>
      <c r="AA86" s="5">
        <f>INDEX(rrcworking[Sales/Dispostion],MATCH('Mar 2020 EDI'!F86,rrcworking[RRC ID],0))</f>
        <v>169</v>
      </c>
      <c r="AQ86" s="5">
        <f>INDEX(rrcworking[Closing Stock (Oil)],MATCH('Mar 2020 EDI'!F86,rrcworking[RRC ID],0))</f>
        <v>167</v>
      </c>
    </row>
    <row r="87" spans="1:43">
      <c r="A87" s="4" t="s">
        <v>1</v>
      </c>
      <c r="B87" s="1" t="s">
        <v>985</v>
      </c>
      <c r="C87" s="10" t="s">
        <v>909</v>
      </c>
      <c r="D87" s="1" t="s">
        <v>618</v>
      </c>
      <c r="E87" s="1" t="s">
        <v>2</v>
      </c>
      <c r="F87" s="1" t="s">
        <v>499</v>
      </c>
      <c r="I87" s="10" t="s">
        <v>3</v>
      </c>
      <c r="J87" s="123" t="s">
        <v>3</v>
      </c>
      <c r="K87" s="1" t="s">
        <v>1090</v>
      </c>
      <c r="M87" s="5">
        <v>202003</v>
      </c>
      <c r="N87" s="5">
        <f>INDEX(rrcworking[Formation Production (MCF) @ 14.65 psi],MATCH('Mar 2020 EDI'!F87,rrcworking[RRC ID],0))</f>
        <v>0</v>
      </c>
      <c r="O87" s="5">
        <f>INDEX(rrcworking[Lease Use (MCF)],MATCH('Mar 2020 EDI'!F87,rrcworking[RRC ID],0))</f>
        <v>0</v>
      </c>
      <c r="P87" s="5">
        <f>INDEX(rrcworking[Disposition Volume (MCF) @ 14.65 MCF],MATCH('Mar 2020 EDI'!F87,rrcworking[RRC ID],0))</f>
        <v>0</v>
      </c>
      <c r="Y87" s="5">
        <f>INDEX(rrcworking[Oil Production],MATCH('Mar 2020 EDI'!F87,rrcworking[RRC ID],0))</f>
        <v>0</v>
      </c>
      <c r="AA87" s="5">
        <f>INDEX(rrcworking[Sales/Dispostion],MATCH('Mar 2020 EDI'!F87,rrcworking[RRC ID],0))</f>
        <v>176</v>
      </c>
      <c r="AQ87" s="5">
        <f>INDEX(rrcworking[Closing Stock (Oil)],MATCH('Mar 2020 EDI'!F87,rrcworking[RRC ID],0))</f>
        <v>86</v>
      </c>
    </row>
    <row r="88" spans="1:43">
      <c r="A88" s="4" t="s">
        <v>1</v>
      </c>
      <c r="B88" s="1" t="s">
        <v>986</v>
      </c>
      <c r="C88" s="10" t="s">
        <v>909</v>
      </c>
      <c r="D88" s="1" t="s">
        <v>618</v>
      </c>
      <c r="E88" s="1" t="s">
        <v>2</v>
      </c>
      <c r="F88" s="1" t="s">
        <v>500</v>
      </c>
      <c r="I88" s="10" t="s">
        <v>3</v>
      </c>
      <c r="J88" s="123" t="s">
        <v>3</v>
      </c>
      <c r="K88" s="1" t="s">
        <v>1090</v>
      </c>
      <c r="M88" s="5">
        <v>202003</v>
      </c>
      <c r="N88" s="5">
        <f>INDEX(rrcworking[Formation Production (MCF) @ 14.65 psi],MATCH('Mar 2020 EDI'!F88,rrcworking[RRC ID],0))</f>
        <v>0</v>
      </c>
      <c r="O88" s="5">
        <f>INDEX(rrcworking[Lease Use (MCF)],MATCH('Mar 2020 EDI'!F88,rrcworking[RRC ID],0))</f>
        <v>0</v>
      </c>
      <c r="P88" s="5">
        <f>INDEX(rrcworking[Disposition Volume (MCF) @ 14.65 MCF],MATCH('Mar 2020 EDI'!F88,rrcworking[RRC ID],0))</f>
        <v>0</v>
      </c>
      <c r="Y88" s="5">
        <f>INDEX(rrcworking[Oil Production],MATCH('Mar 2020 EDI'!F88,rrcworking[RRC ID],0))</f>
        <v>0</v>
      </c>
      <c r="AA88" s="5">
        <f>INDEX(rrcworking[Sales/Dispostion],MATCH('Mar 2020 EDI'!F88,rrcworking[RRC ID],0))</f>
        <v>0</v>
      </c>
      <c r="AQ88" s="5">
        <f>INDEX(rrcworking[Closing Stock (Oil)],MATCH('Mar 2020 EDI'!F88,rrcworking[RRC ID],0))</f>
        <v>68</v>
      </c>
    </row>
    <row r="89" spans="1:43">
      <c r="A89" s="4" t="s">
        <v>1</v>
      </c>
      <c r="B89" s="1" t="s">
        <v>987</v>
      </c>
      <c r="C89" s="10" t="s">
        <v>909</v>
      </c>
      <c r="D89" s="1" t="s">
        <v>618</v>
      </c>
      <c r="E89" s="1" t="s">
        <v>59</v>
      </c>
      <c r="F89" s="1" t="s">
        <v>501</v>
      </c>
      <c r="I89" s="10" t="s">
        <v>3</v>
      </c>
      <c r="J89" s="123" t="s">
        <v>3</v>
      </c>
      <c r="K89" s="1" t="s">
        <v>1090</v>
      </c>
      <c r="M89" s="5">
        <v>202003</v>
      </c>
      <c r="N89" s="5">
        <f>INDEX(rrcworking[Formation Production (MCF) @ 14.65 psi],MATCH('Mar 2020 EDI'!F89,rrcworking[RRC ID],0))</f>
        <v>0</v>
      </c>
      <c r="O89" s="5">
        <f>INDEX(rrcworking[Lease Use (MCF)],MATCH('Mar 2020 EDI'!F89,rrcworking[RRC ID],0))</f>
        <v>0</v>
      </c>
      <c r="P89" s="5">
        <f>INDEX(rrcworking[Disposition Volume (MCF) @ 14.65 MCF],MATCH('Mar 2020 EDI'!F89,rrcworking[RRC ID],0))</f>
        <v>0</v>
      </c>
      <c r="Y89" s="5">
        <f>INDEX(rrcworking[Oil Production],MATCH('Mar 2020 EDI'!F89,rrcworking[RRC ID],0))</f>
        <v>0</v>
      </c>
      <c r="AA89" s="5">
        <f>INDEX(rrcworking[Sales/Dispostion],MATCH('Mar 2020 EDI'!F89,rrcworking[RRC ID],0))</f>
        <v>0</v>
      </c>
      <c r="AQ89" s="5">
        <f>INDEX(rrcworking[Closing Stock (Oil)],MATCH('Mar 2020 EDI'!F89,rrcworking[RRC ID],0))</f>
        <v>0</v>
      </c>
    </row>
    <row r="90" spans="1:43">
      <c r="A90" s="4" t="s">
        <v>1</v>
      </c>
      <c r="B90" s="1" t="s">
        <v>988</v>
      </c>
      <c r="C90" s="10" t="s">
        <v>909</v>
      </c>
      <c r="D90" s="1" t="s">
        <v>618</v>
      </c>
      <c r="E90" s="1" t="s">
        <v>59</v>
      </c>
      <c r="F90" s="1" t="s">
        <v>502</v>
      </c>
      <c r="I90" s="10" t="s">
        <v>3</v>
      </c>
      <c r="J90" s="123" t="s">
        <v>3</v>
      </c>
      <c r="K90" s="1" t="s">
        <v>1090</v>
      </c>
      <c r="M90" s="5">
        <v>202003</v>
      </c>
      <c r="N90" s="5">
        <f>INDEX(rrcworking[Formation Production (MCF) @ 14.65 psi],MATCH('Mar 2020 EDI'!F90,rrcworking[RRC ID],0))</f>
        <v>0</v>
      </c>
      <c r="O90" s="5">
        <f>INDEX(rrcworking[Lease Use (MCF)],MATCH('Mar 2020 EDI'!F90,rrcworking[RRC ID],0))</f>
        <v>0</v>
      </c>
      <c r="P90" s="5">
        <f>INDEX(rrcworking[Disposition Volume (MCF) @ 14.65 MCF],MATCH('Mar 2020 EDI'!F90,rrcworking[RRC ID],0))</f>
        <v>0</v>
      </c>
      <c r="Y90" s="5">
        <f>INDEX(rrcworking[Oil Production],MATCH('Mar 2020 EDI'!F90,rrcworking[RRC ID],0))</f>
        <v>0</v>
      </c>
      <c r="AA90" s="5">
        <f>INDEX(rrcworking[Sales/Dispostion],MATCH('Mar 2020 EDI'!F90,rrcworking[RRC ID],0))</f>
        <v>0</v>
      </c>
      <c r="AQ90" s="5">
        <f>INDEX(rrcworking[Closing Stock (Oil)],MATCH('Mar 2020 EDI'!F90,rrcworking[RRC ID],0))</f>
        <v>0</v>
      </c>
    </row>
    <row r="91" spans="1:43">
      <c r="A91" s="4" t="s">
        <v>1</v>
      </c>
      <c r="B91" s="1" t="s">
        <v>989</v>
      </c>
      <c r="C91" s="10" t="s">
        <v>909</v>
      </c>
      <c r="D91" s="1" t="s">
        <v>618</v>
      </c>
      <c r="E91" s="1" t="s">
        <v>2</v>
      </c>
      <c r="F91" s="1" t="s">
        <v>503</v>
      </c>
      <c r="I91" s="10" t="s">
        <v>3</v>
      </c>
      <c r="J91" s="123" t="s">
        <v>3</v>
      </c>
      <c r="K91" s="1" t="s">
        <v>1090</v>
      </c>
      <c r="M91" s="5">
        <v>202003</v>
      </c>
      <c r="N91" s="5">
        <f>INDEX(rrcworking[Formation Production (MCF) @ 14.65 psi],MATCH('Mar 2020 EDI'!F91,rrcworking[RRC ID],0))</f>
        <v>0</v>
      </c>
      <c r="O91" s="5">
        <f>INDEX(rrcworking[Lease Use (MCF)],MATCH('Mar 2020 EDI'!F91,rrcworking[RRC ID],0))</f>
        <v>0</v>
      </c>
      <c r="P91" s="5">
        <f>INDEX(rrcworking[Disposition Volume (MCF) @ 14.65 MCF],MATCH('Mar 2020 EDI'!F91,rrcworking[RRC ID],0))</f>
        <v>0</v>
      </c>
      <c r="Y91" s="5">
        <f>INDEX(rrcworking[Oil Production],MATCH('Mar 2020 EDI'!F91,rrcworking[RRC ID],0))</f>
        <v>20</v>
      </c>
      <c r="AA91" s="5">
        <f>INDEX(rrcworking[Sales/Dispostion],MATCH('Mar 2020 EDI'!F91,rrcworking[RRC ID],0))</f>
        <v>0</v>
      </c>
      <c r="AQ91" s="5">
        <f>INDEX(rrcworking[Closing Stock (Oil)],MATCH('Mar 2020 EDI'!F91,rrcworking[RRC ID],0))</f>
        <v>147</v>
      </c>
    </row>
    <row r="92" spans="1:43">
      <c r="A92" s="4" t="s">
        <v>1</v>
      </c>
      <c r="B92" s="1" t="s">
        <v>990</v>
      </c>
      <c r="C92" s="10" t="s">
        <v>909</v>
      </c>
      <c r="D92" s="1" t="s">
        <v>618</v>
      </c>
      <c r="E92" s="1" t="s">
        <v>59</v>
      </c>
      <c r="F92" s="1" t="s">
        <v>504</v>
      </c>
      <c r="I92" s="10" t="s">
        <v>3</v>
      </c>
      <c r="J92" s="123" t="s">
        <v>3</v>
      </c>
      <c r="K92" s="1" t="s">
        <v>1090</v>
      </c>
      <c r="M92" s="5">
        <v>202003</v>
      </c>
      <c r="N92" s="5">
        <f>INDEX(rrcworking[Formation Production (MCF) @ 14.65 psi],MATCH('Mar 2020 EDI'!F92,rrcworking[RRC ID],0))</f>
        <v>11565</v>
      </c>
      <c r="O92" s="5">
        <f>INDEX(rrcworking[Lease Use (MCF)],MATCH('Mar 2020 EDI'!F92,rrcworking[RRC ID],0))</f>
        <v>450</v>
      </c>
      <c r="P92" s="5">
        <f>INDEX(rrcworking[Disposition Volume (MCF) @ 14.65 MCF],MATCH('Mar 2020 EDI'!F92,rrcworking[RRC ID],0))</f>
        <v>11115</v>
      </c>
      <c r="Y92" s="5">
        <f>INDEX(rrcworking[Oil Production],MATCH('Mar 2020 EDI'!F92,rrcworking[RRC ID],0))</f>
        <v>128</v>
      </c>
      <c r="AA92" s="5">
        <f>INDEX(rrcworking[Sales/Dispostion],MATCH('Mar 2020 EDI'!F92,rrcworking[RRC ID],0))</f>
        <v>179</v>
      </c>
      <c r="AQ92" s="5">
        <f>INDEX(rrcworking[Closing Stock (Oil)],MATCH('Mar 2020 EDI'!F92,rrcworking[RRC ID],0))</f>
        <v>121</v>
      </c>
    </row>
    <row r="93" spans="1:43">
      <c r="A93" s="4" t="s">
        <v>1</v>
      </c>
      <c r="B93" s="1" t="s">
        <v>991</v>
      </c>
      <c r="C93" s="10" t="s">
        <v>909</v>
      </c>
      <c r="D93" s="1" t="s">
        <v>618</v>
      </c>
      <c r="E93" s="1" t="s">
        <v>59</v>
      </c>
      <c r="F93" s="1" t="s">
        <v>505</v>
      </c>
      <c r="I93" s="10" t="s">
        <v>3</v>
      </c>
      <c r="J93" s="123" t="s">
        <v>3</v>
      </c>
      <c r="K93" s="1" t="s">
        <v>1090</v>
      </c>
      <c r="M93" s="5">
        <v>202003</v>
      </c>
      <c r="N93" s="5">
        <f>INDEX(rrcworking[Formation Production (MCF) @ 14.65 psi],MATCH('Mar 2020 EDI'!F93,rrcworking[RRC ID],0))</f>
        <v>1726</v>
      </c>
      <c r="O93" s="5">
        <f>INDEX(rrcworking[Lease Use (MCF)],MATCH('Mar 2020 EDI'!F93,rrcworking[RRC ID],0))</f>
        <v>0</v>
      </c>
      <c r="P93" s="5">
        <f>INDEX(rrcworking[Disposition Volume (MCF) @ 14.65 MCF],MATCH('Mar 2020 EDI'!F93,rrcworking[RRC ID],0))</f>
        <v>1726</v>
      </c>
      <c r="Y93" s="5">
        <f>INDEX(rrcworking[Oil Production],MATCH('Mar 2020 EDI'!F93,rrcworking[RRC ID],0))</f>
        <v>12</v>
      </c>
      <c r="AA93" s="5">
        <f>INDEX(rrcworking[Sales/Dispostion],MATCH('Mar 2020 EDI'!F93,rrcworking[RRC ID],0))</f>
        <v>0</v>
      </c>
      <c r="AQ93" s="5">
        <f>INDEX(rrcworking[Closing Stock (Oil)],MATCH('Mar 2020 EDI'!F93,rrcworking[RRC ID],0))</f>
        <v>122</v>
      </c>
    </row>
    <row r="94" spans="1:43">
      <c r="A94" s="4" t="s">
        <v>1</v>
      </c>
      <c r="B94" s="1" t="s">
        <v>1276</v>
      </c>
      <c r="C94" s="10" t="s">
        <v>909</v>
      </c>
      <c r="D94" s="1" t="s">
        <v>618</v>
      </c>
      <c r="E94" s="1" t="s">
        <v>59</v>
      </c>
      <c r="F94" s="1" t="s">
        <v>506</v>
      </c>
      <c r="I94" s="10" t="s">
        <v>3</v>
      </c>
      <c r="J94" s="123" t="s">
        <v>3</v>
      </c>
      <c r="K94" s="1" t="s">
        <v>1090</v>
      </c>
      <c r="M94" s="5">
        <v>202003</v>
      </c>
      <c r="N94" s="5">
        <f>INDEX(rrcworking[Formation Production (MCF) @ 14.65 psi],MATCH('Mar 2020 EDI'!F94,rrcworking[RRC ID],0))</f>
        <v>0</v>
      </c>
      <c r="O94" s="5">
        <f>INDEX(rrcworking[Lease Use (MCF)],MATCH('Mar 2020 EDI'!F94,rrcworking[RRC ID],0))</f>
        <v>0</v>
      </c>
      <c r="P94" s="5">
        <f>INDEX(rrcworking[Disposition Volume (MCF) @ 14.65 MCF],MATCH('Mar 2020 EDI'!F94,rrcworking[RRC ID],0))</f>
        <v>0</v>
      </c>
      <c r="Y94" s="5">
        <f>INDEX(rrcworking[Oil Production],MATCH('Mar 2020 EDI'!F94,rrcworking[RRC ID],0))</f>
        <v>0</v>
      </c>
      <c r="AA94" s="5">
        <f>INDEX(rrcworking[Sales/Dispostion],MATCH('Mar 2020 EDI'!F94,rrcworking[RRC ID],0))</f>
        <v>0</v>
      </c>
      <c r="AQ94" s="5">
        <f>INDEX(rrcworking[Closing Stock (Oil)],MATCH('Mar 2020 EDI'!F94,rrcworking[RRC ID],0))</f>
        <v>0</v>
      </c>
    </row>
    <row r="95" spans="1:43">
      <c r="A95" s="4" t="s">
        <v>1</v>
      </c>
      <c r="B95" s="1" t="s">
        <v>992</v>
      </c>
      <c r="C95" s="10" t="s">
        <v>909</v>
      </c>
      <c r="D95" s="1" t="s">
        <v>618</v>
      </c>
      <c r="E95" s="1" t="s">
        <v>2</v>
      </c>
      <c r="F95" s="1" t="s">
        <v>507</v>
      </c>
      <c r="I95" s="10" t="s">
        <v>3</v>
      </c>
      <c r="J95" s="123" t="s">
        <v>3</v>
      </c>
      <c r="K95" s="1" t="s">
        <v>1090</v>
      </c>
      <c r="M95" s="5">
        <v>202003</v>
      </c>
      <c r="N95" s="5">
        <f>INDEX(rrcworking[Formation Production (MCF) @ 14.65 psi],MATCH('Mar 2020 EDI'!F95,rrcworking[RRC ID],0))</f>
        <v>0</v>
      </c>
      <c r="O95" s="5">
        <f>INDEX(rrcworking[Lease Use (MCF)],MATCH('Mar 2020 EDI'!F95,rrcworking[RRC ID],0))</f>
        <v>0</v>
      </c>
      <c r="P95" s="5">
        <f>INDEX(rrcworking[Disposition Volume (MCF) @ 14.65 MCF],MATCH('Mar 2020 EDI'!F95,rrcworking[RRC ID],0))</f>
        <v>0</v>
      </c>
      <c r="Y95" s="5">
        <f>INDEX(rrcworking[Oil Production],MATCH('Mar 2020 EDI'!F95,rrcworking[RRC ID],0))</f>
        <v>0</v>
      </c>
      <c r="AA95" s="5">
        <f>INDEX(rrcworking[Sales/Dispostion],MATCH('Mar 2020 EDI'!F95,rrcworking[RRC ID],0))</f>
        <v>0</v>
      </c>
      <c r="AQ95" s="5">
        <f>INDEX(rrcworking[Closing Stock (Oil)],MATCH('Mar 2020 EDI'!F95,rrcworking[RRC ID],0))</f>
        <v>0</v>
      </c>
    </row>
    <row r="96" spans="1:43">
      <c r="A96" s="4" t="s">
        <v>1</v>
      </c>
      <c r="B96" s="1" t="s">
        <v>993</v>
      </c>
      <c r="C96" s="10" t="s">
        <v>909</v>
      </c>
      <c r="D96" s="1" t="s">
        <v>618</v>
      </c>
      <c r="E96" s="1" t="s">
        <v>59</v>
      </c>
      <c r="F96" s="1" t="s">
        <v>508</v>
      </c>
      <c r="I96" s="10" t="s">
        <v>3</v>
      </c>
      <c r="J96" s="123" t="s">
        <v>3</v>
      </c>
      <c r="K96" s="1" t="s">
        <v>1090</v>
      </c>
      <c r="M96" s="5">
        <v>202003</v>
      </c>
      <c r="N96" s="5">
        <f>INDEX(rrcworking[Formation Production (MCF) @ 14.65 psi],MATCH('Mar 2020 EDI'!F96,rrcworking[RRC ID],0))</f>
        <v>0</v>
      </c>
      <c r="O96" s="5">
        <f>INDEX(rrcworking[Lease Use (MCF)],MATCH('Mar 2020 EDI'!F96,rrcworking[RRC ID],0))</f>
        <v>0</v>
      </c>
      <c r="P96" s="5">
        <f>INDEX(rrcworking[Disposition Volume (MCF) @ 14.65 MCF],MATCH('Mar 2020 EDI'!F96,rrcworking[RRC ID],0))</f>
        <v>0</v>
      </c>
      <c r="Y96" s="5">
        <f>INDEX(rrcworking[Oil Production],MATCH('Mar 2020 EDI'!F96,rrcworking[RRC ID],0))</f>
        <v>0</v>
      </c>
      <c r="AA96" s="5">
        <f>INDEX(rrcworking[Sales/Dispostion],MATCH('Mar 2020 EDI'!F96,rrcworking[RRC ID],0))</f>
        <v>0</v>
      </c>
      <c r="AQ96" s="5">
        <f>INDEX(rrcworking[Closing Stock (Oil)],MATCH('Mar 2020 EDI'!F96,rrcworking[RRC ID],0))</f>
        <v>0</v>
      </c>
    </row>
    <row r="97" spans="1:43">
      <c r="A97" s="4" t="s">
        <v>1</v>
      </c>
      <c r="B97" s="1" t="s">
        <v>994</v>
      </c>
      <c r="C97" s="10" t="s">
        <v>909</v>
      </c>
      <c r="D97" s="1" t="s">
        <v>618</v>
      </c>
      <c r="E97" s="1" t="s">
        <v>59</v>
      </c>
      <c r="F97" s="1" t="s">
        <v>509</v>
      </c>
      <c r="I97" s="10" t="s">
        <v>3</v>
      </c>
      <c r="J97" s="123" t="s">
        <v>3</v>
      </c>
      <c r="K97" s="1" t="s">
        <v>1090</v>
      </c>
      <c r="M97" s="5">
        <v>202003</v>
      </c>
      <c r="N97" s="5">
        <f>INDEX(rrcworking[Formation Production (MCF) @ 14.65 psi],MATCH('Mar 2020 EDI'!F97,rrcworking[RRC ID],0))</f>
        <v>0</v>
      </c>
      <c r="O97" s="5">
        <f>INDEX(rrcworking[Lease Use (MCF)],MATCH('Mar 2020 EDI'!F97,rrcworking[RRC ID],0))</f>
        <v>0</v>
      </c>
      <c r="P97" s="5">
        <f>INDEX(rrcworking[Disposition Volume (MCF) @ 14.65 MCF],MATCH('Mar 2020 EDI'!F97,rrcworking[RRC ID],0))</f>
        <v>0</v>
      </c>
      <c r="Y97" s="5">
        <f>INDEX(rrcworking[Oil Production],MATCH('Mar 2020 EDI'!F97,rrcworking[RRC ID],0))</f>
        <v>0</v>
      </c>
      <c r="AA97" s="5">
        <f>INDEX(rrcworking[Sales/Dispostion],MATCH('Mar 2020 EDI'!F97,rrcworking[RRC ID],0))</f>
        <v>0</v>
      </c>
      <c r="AQ97" s="5">
        <f>INDEX(rrcworking[Closing Stock (Oil)],MATCH('Mar 2020 EDI'!F97,rrcworking[RRC ID],0))</f>
        <v>0</v>
      </c>
    </row>
    <row r="98" spans="1:43">
      <c r="A98" s="4" t="s">
        <v>1</v>
      </c>
      <c r="B98" s="1" t="s">
        <v>995</v>
      </c>
      <c r="C98" s="10" t="s">
        <v>909</v>
      </c>
      <c r="D98" s="1" t="s">
        <v>618</v>
      </c>
      <c r="E98" s="1" t="s">
        <v>59</v>
      </c>
      <c r="F98" s="1" t="s">
        <v>510</v>
      </c>
      <c r="I98" s="10" t="s">
        <v>3</v>
      </c>
      <c r="J98" s="123" t="s">
        <v>3</v>
      </c>
      <c r="K98" s="1" t="s">
        <v>1090</v>
      </c>
      <c r="M98" s="5">
        <v>202003</v>
      </c>
      <c r="N98" s="5">
        <f>INDEX(rrcworking[Formation Production (MCF) @ 14.65 psi],MATCH('Mar 2020 EDI'!F98,rrcworking[RRC ID],0))</f>
        <v>5954</v>
      </c>
      <c r="O98" s="5">
        <f>INDEX(rrcworking[Lease Use (MCF)],MATCH('Mar 2020 EDI'!F98,rrcworking[RRC ID],0))</f>
        <v>210</v>
      </c>
      <c r="P98" s="5">
        <f>INDEX(rrcworking[Disposition Volume (MCF) @ 14.65 MCF],MATCH('Mar 2020 EDI'!F98,rrcworking[RRC ID],0))</f>
        <v>5744</v>
      </c>
      <c r="Y98" s="5">
        <f>INDEX(rrcworking[Oil Production],MATCH('Mar 2020 EDI'!F98,rrcworking[RRC ID],0))</f>
        <v>64</v>
      </c>
      <c r="AA98" s="5">
        <f>INDEX(rrcworking[Sales/Dispostion],MATCH('Mar 2020 EDI'!F98,rrcworking[RRC ID],0))</f>
        <v>0</v>
      </c>
      <c r="AQ98" s="5">
        <f>INDEX(rrcworking[Closing Stock (Oil)],MATCH('Mar 2020 EDI'!F98,rrcworking[RRC ID],0))</f>
        <v>127</v>
      </c>
    </row>
    <row r="99" spans="1:43">
      <c r="A99" s="4" t="s">
        <v>1</v>
      </c>
      <c r="B99" s="1" t="s">
        <v>996</v>
      </c>
      <c r="C99" s="10" t="s">
        <v>909</v>
      </c>
      <c r="D99" s="1" t="s">
        <v>618</v>
      </c>
      <c r="E99" s="1" t="s">
        <v>2</v>
      </c>
      <c r="F99" s="1" t="s">
        <v>511</v>
      </c>
      <c r="I99" s="10" t="s">
        <v>3</v>
      </c>
      <c r="J99" s="123" t="s">
        <v>3</v>
      </c>
      <c r="K99" s="1" t="s">
        <v>1090</v>
      </c>
      <c r="M99" s="5">
        <v>202003</v>
      </c>
      <c r="N99" s="5">
        <f>INDEX(rrcworking[Formation Production (MCF) @ 14.65 psi],MATCH('Mar 2020 EDI'!F99,rrcworking[RRC ID],0))</f>
        <v>211</v>
      </c>
      <c r="O99" s="5">
        <f>INDEX(rrcworking[Lease Use (MCF)],MATCH('Mar 2020 EDI'!F99,rrcworking[RRC ID],0))</f>
        <v>30</v>
      </c>
      <c r="P99" s="5">
        <f>INDEX(rrcworking[Disposition Volume (MCF) @ 14.65 MCF],MATCH('Mar 2020 EDI'!F99,rrcworking[RRC ID],0))</f>
        <v>181</v>
      </c>
      <c r="Y99" s="5">
        <f>INDEX(rrcworking[Oil Production],MATCH('Mar 2020 EDI'!F99,rrcworking[RRC ID],0))</f>
        <v>0</v>
      </c>
      <c r="AA99" s="5">
        <f>INDEX(rrcworking[Sales/Dispostion],MATCH('Mar 2020 EDI'!F99,rrcworking[RRC ID],0))</f>
        <v>0</v>
      </c>
      <c r="AQ99" s="5">
        <f>INDEX(rrcworking[Closing Stock (Oil)],MATCH('Mar 2020 EDI'!F99,rrcworking[RRC ID],0))</f>
        <v>45</v>
      </c>
    </row>
    <row r="100" spans="1:43">
      <c r="A100" s="4" t="s">
        <v>1</v>
      </c>
      <c r="B100" s="1" t="s">
        <v>997</v>
      </c>
      <c r="C100" s="10" t="s">
        <v>909</v>
      </c>
      <c r="D100" s="1" t="s">
        <v>618</v>
      </c>
      <c r="E100" s="1" t="s">
        <v>59</v>
      </c>
      <c r="F100" s="1" t="s">
        <v>512</v>
      </c>
      <c r="I100" s="10" t="s">
        <v>3</v>
      </c>
      <c r="J100" s="123" t="s">
        <v>3</v>
      </c>
      <c r="K100" s="1" t="s">
        <v>1090</v>
      </c>
      <c r="M100" s="5">
        <v>202003</v>
      </c>
      <c r="N100" s="5">
        <f>INDEX(rrcworking[Formation Production (MCF) @ 14.65 psi],MATCH('Mar 2020 EDI'!F100,rrcworking[RRC ID],0))</f>
        <v>0</v>
      </c>
      <c r="O100" s="5">
        <f>INDEX(rrcworking[Lease Use (MCF)],MATCH('Mar 2020 EDI'!F100,rrcworking[RRC ID],0))</f>
        <v>0</v>
      </c>
      <c r="P100" s="5">
        <f>INDEX(rrcworking[Disposition Volume (MCF) @ 14.65 MCF],MATCH('Mar 2020 EDI'!F100,rrcworking[RRC ID],0))</f>
        <v>0</v>
      </c>
      <c r="Y100" s="5">
        <f>INDEX(rrcworking[Oil Production],MATCH('Mar 2020 EDI'!F100,rrcworking[RRC ID],0))</f>
        <v>0</v>
      </c>
      <c r="AA100" s="5">
        <f>INDEX(rrcworking[Sales/Dispostion],MATCH('Mar 2020 EDI'!F100,rrcworking[RRC ID],0))</f>
        <v>0</v>
      </c>
      <c r="AQ100" s="5">
        <f>INDEX(rrcworking[Closing Stock (Oil)],MATCH('Mar 2020 EDI'!F100,rrcworking[RRC ID],0))</f>
        <v>0</v>
      </c>
    </row>
    <row r="101" spans="1:43">
      <c r="A101" s="4" t="s">
        <v>1</v>
      </c>
      <c r="B101" s="1" t="s">
        <v>998</v>
      </c>
      <c r="C101" s="10" t="s">
        <v>909</v>
      </c>
      <c r="D101" s="1" t="s">
        <v>618</v>
      </c>
      <c r="E101" s="1" t="s">
        <v>59</v>
      </c>
      <c r="F101" s="1" t="s">
        <v>513</v>
      </c>
      <c r="I101" s="10" t="s">
        <v>3</v>
      </c>
      <c r="J101" s="123" t="s">
        <v>3</v>
      </c>
      <c r="K101" s="1" t="s">
        <v>1090</v>
      </c>
      <c r="M101" s="5">
        <v>202003</v>
      </c>
      <c r="N101" s="5">
        <f>INDEX(rrcworking[Formation Production (MCF) @ 14.65 psi],MATCH('Mar 2020 EDI'!F101,rrcworking[RRC ID],0))</f>
        <v>0</v>
      </c>
      <c r="O101" s="5">
        <f>INDEX(rrcworking[Lease Use (MCF)],MATCH('Mar 2020 EDI'!F101,rrcworking[RRC ID],0))</f>
        <v>0</v>
      </c>
      <c r="P101" s="5">
        <f>INDEX(rrcworking[Disposition Volume (MCF) @ 14.65 MCF],MATCH('Mar 2020 EDI'!F101,rrcworking[RRC ID],0))</f>
        <v>0</v>
      </c>
      <c r="Y101" s="5">
        <f>INDEX(rrcworking[Oil Production],MATCH('Mar 2020 EDI'!F101,rrcworking[RRC ID],0))</f>
        <v>0</v>
      </c>
      <c r="AA101" s="5">
        <f>INDEX(rrcworking[Sales/Dispostion],MATCH('Mar 2020 EDI'!F101,rrcworking[RRC ID],0))</f>
        <v>0</v>
      </c>
      <c r="AQ101" s="5">
        <f>INDEX(rrcworking[Closing Stock (Oil)],MATCH('Mar 2020 EDI'!F101,rrcworking[RRC ID],0))</f>
        <v>0</v>
      </c>
    </row>
    <row r="102" spans="1:43">
      <c r="A102" s="4" t="s">
        <v>1</v>
      </c>
      <c r="B102" s="1" t="s">
        <v>999</v>
      </c>
      <c r="C102" s="10" t="s">
        <v>909</v>
      </c>
      <c r="D102" s="1" t="s">
        <v>618</v>
      </c>
      <c r="E102" s="1" t="s">
        <v>59</v>
      </c>
      <c r="F102" s="1" t="s">
        <v>514</v>
      </c>
      <c r="I102" s="10" t="s">
        <v>3</v>
      </c>
      <c r="J102" s="123" t="s">
        <v>3</v>
      </c>
      <c r="K102" s="1" t="s">
        <v>1090</v>
      </c>
      <c r="M102" s="5">
        <v>202003</v>
      </c>
      <c r="N102" s="5">
        <f>INDEX(rrcworking[Formation Production (MCF) @ 14.65 psi],MATCH('Mar 2020 EDI'!F102,rrcworking[RRC ID],0))</f>
        <v>19144</v>
      </c>
      <c r="O102" s="5">
        <f>INDEX(rrcworking[Lease Use (MCF)],MATCH('Mar 2020 EDI'!F102,rrcworking[RRC ID],0))</f>
        <v>750</v>
      </c>
      <c r="P102" s="5">
        <f>INDEX(rrcworking[Disposition Volume (MCF) @ 14.65 MCF],MATCH('Mar 2020 EDI'!F102,rrcworking[RRC ID],0))</f>
        <v>18394</v>
      </c>
      <c r="Y102" s="5">
        <f>INDEX(rrcworking[Oil Production],MATCH('Mar 2020 EDI'!F102,rrcworking[RRC ID],0))</f>
        <v>162</v>
      </c>
      <c r="AA102" s="5">
        <f>INDEX(rrcworking[Sales/Dispostion],MATCH('Mar 2020 EDI'!F102,rrcworking[RRC ID],0))</f>
        <v>0</v>
      </c>
      <c r="AQ102" s="5">
        <f>INDEX(rrcworking[Closing Stock (Oil)],MATCH('Mar 2020 EDI'!F102,rrcworking[RRC ID],0))</f>
        <v>299</v>
      </c>
    </row>
    <row r="103" spans="1:43">
      <c r="A103" s="4" t="s">
        <v>1</v>
      </c>
      <c r="B103" s="1" t="s">
        <v>1000</v>
      </c>
      <c r="C103" s="10" t="s">
        <v>909</v>
      </c>
      <c r="D103" s="1" t="s">
        <v>618</v>
      </c>
      <c r="E103" s="1" t="s">
        <v>59</v>
      </c>
      <c r="F103" s="1" t="s">
        <v>515</v>
      </c>
      <c r="I103" s="10" t="s">
        <v>3</v>
      </c>
      <c r="J103" s="123" t="s">
        <v>3</v>
      </c>
      <c r="K103" s="1" t="s">
        <v>1090</v>
      </c>
      <c r="M103" s="5">
        <v>202003</v>
      </c>
      <c r="N103" s="5">
        <f>INDEX(rrcworking[Formation Production (MCF) @ 14.65 psi],MATCH('Mar 2020 EDI'!F103,rrcworking[RRC ID],0))</f>
        <v>510</v>
      </c>
      <c r="O103" s="5">
        <f>INDEX(rrcworking[Lease Use (MCF)],MATCH('Mar 2020 EDI'!F103,rrcworking[RRC ID],0))</f>
        <v>0</v>
      </c>
      <c r="P103" s="5">
        <f>INDEX(rrcworking[Disposition Volume (MCF) @ 14.65 MCF],MATCH('Mar 2020 EDI'!F103,rrcworking[RRC ID],0))</f>
        <v>510</v>
      </c>
      <c r="Y103" s="5">
        <f>INDEX(rrcworking[Oil Production],MATCH('Mar 2020 EDI'!F103,rrcworking[RRC ID],0))</f>
        <v>25</v>
      </c>
      <c r="AA103" s="5">
        <f>INDEX(rrcworking[Sales/Dispostion],MATCH('Mar 2020 EDI'!F103,rrcworking[RRC ID],0))</f>
        <v>0</v>
      </c>
      <c r="AQ103" s="5">
        <f>INDEX(rrcworking[Closing Stock (Oil)],MATCH('Mar 2020 EDI'!F103,rrcworking[RRC ID],0))</f>
        <v>150</v>
      </c>
    </row>
    <row r="104" spans="1:43">
      <c r="A104" s="4" t="s">
        <v>1</v>
      </c>
      <c r="B104" s="1" t="s">
        <v>1001</v>
      </c>
      <c r="C104" s="10" t="s">
        <v>909</v>
      </c>
      <c r="D104" s="1" t="s">
        <v>618</v>
      </c>
      <c r="E104" s="1" t="s">
        <v>59</v>
      </c>
      <c r="F104" s="1" t="s">
        <v>516</v>
      </c>
      <c r="I104" s="10" t="s">
        <v>3</v>
      </c>
      <c r="J104" s="123" t="s">
        <v>3</v>
      </c>
      <c r="K104" s="1" t="s">
        <v>1090</v>
      </c>
      <c r="M104" s="5">
        <v>202003</v>
      </c>
      <c r="N104" s="5">
        <f>INDEX(rrcworking[Formation Production (MCF) @ 14.65 psi],MATCH('Mar 2020 EDI'!F104,rrcworking[RRC ID],0))</f>
        <v>0</v>
      </c>
      <c r="O104" s="5">
        <f>INDEX(rrcworking[Lease Use (MCF)],MATCH('Mar 2020 EDI'!F104,rrcworking[RRC ID],0))</f>
        <v>0</v>
      </c>
      <c r="P104" s="5">
        <f>INDEX(rrcworking[Disposition Volume (MCF) @ 14.65 MCF],MATCH('Mar 2020 EDI'!F104,rrcworking[RRC ID],0))</f>
        <v>0</v>
      </c>
      <c r="Y104" s="5">
        <f>INDEX(rrcworking[Oil Production],MATCH('Mar 2020 EDI'!F104,rrcworking[RRC ID],0))</f>
        <v>0</v>
      </c>
      <c r="AA104" s="5">
        <f>INDEX(rrcworking[Sales/Dispostion],MATCH('Mar 2020 EDI'!F104,rrcworking[RRC ID],0))</f>
        <v>0</v>
      </c>
      <c r="AQ104" s="5">
        <f>INDEX(rrcworking[Closing Stock (Oil)],MATCH('Mar 2020 EDI'!F104,rrcworking[RRC ID],0))</f>
        <v>109</v>
      </c>
    </row>
    <row r="105" spans="1:43">
      <c r="A105" s="4" t="s">
        <v>1</v>
      </c>
      <c r="B105" s="1" t="s">
        <v>1002</v>
      </c>
      <c r="C105" s="10" t="s">
        <v>909</v>
      </c>
      <c r="D105" s="1" t="s">
        <v>618</v>
      </c>
      <c r="E105" s="1" t="s">
        <v>2</v>
      </c>
      <c r="F105" s="1" t="s">
        <v>517</v>
      </c>
      <c r="I105" s="10" t="s">
        <v>3</v>
      </c>
      <c r="J105" s="123" t="s">
        <v>3</v>
      </c>
      <c r="K105" s="1" t="s">
        <v>1090</v>
      </c>
      <c r="M105" s="5">
        <v>202003</v>
      </c>
      <c r="N105" s="5">
        <f>INDEX(rrcworking[Formation Production (MCF) @ 14.65 psi],MATCH('Mar 2020 EDI'!F105,rrcworking[RRC ID],0))</f>
        <v>0</v>
      </c>
      <c r="O105" s="5">
        <f>INDEX(rrcworking[Lease Use (MCF)],MATCH('Mar 2020 EDI'!F105,rrcworking[RRC ID],0))</f>
        <v>0</v>
      </c>
      <c r="P105" s="5">
        <f>INDEX(rrcworking[Disposition Volume (MCF) @ 14.65 MCF],MATCH('Mar 2020 EDI'!F105,rrcworking[RRC ID],0))</f>
        <v>0</v>
      </c>
      <c r="Y105" s="5">
        <f>INDEX(rrcworking[Oil Production],MATCH('Mar 2020 EDI'!F105,rrcworking[RRC ID],0))</f>
        <v>0</v>
      </c>
      <c r="AA105" s="5">
        <f>INDEX(rrcworking[Sales/Dispostion],MATCH('Mar 2020 EDI'!F105,rrcworking[RRC ID],0))</f>
        <v>0</v>
      </c>
      <c r="AQ105" s="5">
        <f>INDEX(rrcworking[Closing Stock (Oil)],MATCH('Mar 2020 EDI'!F105,rrcworking[RRC ID],0))</f>
        <v>0</v>
      </c>
    </row>
    <row r="106" spans="1:43">
      <c r="A106" s="4" t="s">
        <v>1</v>
      </c>
      <c r="B106" s="1" t="s">
        <v>1003</v>
      </c>
      <c r="C106" s="10" t="s">
        <v>909</v>
      </c>
      <c r="D106" s="1" t="s">
        <v>618</v>
      </c>
      <c r="E106" s="1" t="s">
        <v>59</v>
      </c>
      <c r="F106" s="1" t="s">
        <v>518</v>
      </c>
      <c r="I106" s="10" t="s">
        <v>3</v>
      </c>
      <c r="J106" s="123" t="s">
        <v>3</v>
      </c>
      <c r="K106" s="1" t="s">
        <v>1090</v>
      </c>
      <c r="M106" s="5">
        <v>202003</v>
      </c>
      <c r="N106" s="5">
        <f>INDEX(rrcworking[Formation Production (MCF) @ 14.65 psi],MATCH('Mar 2020 EDI'!F106,rrcworking[RRC ID],0))</f>
        <v>0</v>
      </c>
      <c r="O106" s="5">
        <f>INDEX(rrcworking[Lease Use (MCF)],MATCH('Mar 2020 EDI'!F106,rrcworking[RRC ID],0))</f>
        <v>0</v>
      </c>
      <c r="P106" s="5">
        <f>INDEX(rrcworking[Disposition Volume (MCF) @ 14.65 MCF],MATCH('Mar 2020 EDI'!F106,rrcworking[RRC ID],0))</f>
        <v>0</v>
      </c>
      <c r="Y106" s="5">
        <f>INDEX(rrcworking[Oil Production],MATCH('Mar 2020 EDI'!F106,rrcworking[RRC ID],0))</f>
        <v>0</v>
      </c>
      <c r="AA106" s="5">
        <f>INDEX(rrcworking[Sales/Dispostion],MATCH('Mar 2020 EDI'!F106,rrcworking[RRC ID],0))</f>
        <v>0</v>
      </c>
      <c r="AQ106" s="5">
        <f>INDEX(rrcworking[Closing Stock (Oil)],MATCH('Mar 2020 EDI'!F106,rrcworking[RRC ID],0))</f>
        <v>0</v>
      </c>
    </row>
    <row r="107" spans="1:43">
      <c r="A107" s="4" t="s">
        <v>1</v>
      </c>
      <c r="B107" s="1" t="s">
        <v>1004</v>
      </c>
      <c r="C107" s="10" t="s">
        <v>909</v>
      </c>
      <c r="D107" s="1" t="s">
        <v>618</v>
      </c>
      <c r="E107" s="1" t="s">
        <v>59</v>
      </c>
      <c r="F107" s="1" t="s">
        <v>519</v>
      </c>
      <c r="I107" s="10" t="s">
        <v>3</v>
      </c>
      <c r="J107" s="123" t="s">
        <v>3</v>
      </c>
      <c r="K107" s="1" t="s">
        <v>1090</v>
      </c>
      <c r="M107" s="5">
        <v>202003</v>
      </c>
      <c r="N107" s="5">
        <f>INDEX(rrcworking[Formation Production (MCF) @ 14.65 psi],MATCH('Mar 2020 EDI'!F107,rrcworking[RRC ID],0))</f>
        <v>3156</v>
      </c>
      <c r="O107" s="5">
        <f>INDEX(rrcworking[Lease Use (MCF)],MATCH('Mar 2020 EDI'!F107,rrcworking[RRC ID],0))</f>
        <v>63</v>
      </c>
      <c r="P107" s="5">
        <f>INDEX(rrcworking[Disposition Volume (MCF) @ 14.65 MCF],MATCH('Mar 2020 EDI'!F107,rrcworking[RRC ID],0))</f>
        <v>3093</v>
      </c>
      <c r="Y107" s="5">
        <f>INDEX(rrcworking[Oil Production],MATCH('Mar 2020 EDI'!F107,rrcworking[RRC ID],0))</f>
        <v>67</v>
      </c>
      <c r="AA107" s="5">
        <f>INDEX(rrcworking[Sales/Dispostion],MATCH('Mar 2020 EDI'!F107,rrcworking[RRC ID],0))</f>
        <v>0</v>
      </c>
      <c r="AQ107" s="5">
        <f>INDEX(rrcworking[Closing Stock (Oil)],MATCH('Mar 2020 EDI'!F107,rrcworking[RRC ID],0))</f>
        <v>196</v>
      </c>
    </row>
    <row r="108" spans="1:43">
      <c r="A108" s="4" t="s">
        <v>1</v>
      </c>
      <c r="B108" s="1" t="s">
        <v>1005</v>
      </c>
      <c r="C108" s="10" t="s">
        <v>909</v>
      </c>
      <c r="D108" s="1" t="s">
        <v>618</v>
      </c>
      <c r="E108" s="1" t="s">
        <v>59</v>
      </c>
      <c r="F108" s="1" t="s">
        <v>520</v>
      </c>
      <c r="I108" s="10" t="s">
        <v>3</v>
      </c>
      <c r="J108" s="123" t="s">
        <v>3</v>
      </c>
      <c r="K108" s="1" t="s">
        <v>1090</v>
      </c>
      <c r="M108" s="5">
        <v>202003</v>
      </c>
      <c r="N108" s="5">
        <f>INDEX(rrcworking[Formation Production (MCF) @ 14.65 psi],MATCH('Mar 2020 EDI'!F108,rrcworking[RRC ID],0))</f>
        <v>0</v>
      </c>
      <c r="O108" s="5">
        <f>INDEX(rrcworking[Lease Use (MCF)],MATCH('Mar 2020 EDI'!F108,rrcworking[RRC ID],0))</f>
        <v>0</v>
      </c>
      <c r="P108" s="5">
        <f>INDEX(rrcworking[Disposition Volume (MCF) @ 14.65 MCF],MATCH('Mar 2020 EDI'!F108,rrcworking[RRC ID],0))</f>
        <v>0</v>
      </c>
      <c r="Y108" s="5">
        <f>INDEX(rrcworking[Oil Production],MATCH('Mar 2020 EDI'!F108,rrcworking[RRC ID],0))</f>
        <v>0</v>
      </c>
      <c r="AA108" s="5">
        <f>INDEX(rrcworking[Sales/Dispostion],MATCH('Mar 2020 EDI'!F108,rrcworking[RRC ID],0))</f>
        <v>0</v>
      </c>
      <c r="AQ108" s="5">
        <f>INDEX(rrcworking[Closing Stock (Oil)],MATCH('Mar 2020 EDI'!F108,rrcworking[RRC ID],0))</f>
        <v>0</v>
      </c>
    </row>
    <row r="109" spans="1:43">
      <c r="A109" s="4" t="s">
        <v>1</v>
      </c>
      <c r="B109" s="1" t="s">
        <v>1006</v>
      </c>
      <c r="C109" s="10" t="s">
        <v>909</v>
      </c>
      <c r="D109" s="1" t="s">
        <v>618</v>
      </c>
      <c r="E109" s="1" t="s">
        <v>59</v>
      </c>
      <c r="F109" s="1" t="s">
        <v>521</v>
      </c>
      <c r="I109" s="10" t="s">
        <v>3</v>
      </c>
      <c r="J109" s="123" t="s">
        <v>3</v>
      </c>
      <c r="K109" s="1" t="s">
        <v>1090</v>
      </c>
      <c r="M109" s="5">
        <v>202003</v>
      </c>
      <c r="N109" s="5">
        <f>INDEX(rrcworking[Formation Production (MCF) @ 14.65 psi],MATCH('Mar 2020 EDI'!F109,rrcworking[RRC ID],0))</f>
        <v>1037</v>
      </c>
      <c r="O109" s="5">
        <f>INDEX(rrcworking[Lease Use (MCF)],MATCH('Mar 2020 EDI'!F109,rrcworking[RRC ID],0))</f>
        <v>21</v>
      </c>
      <c r="P109" s="5">
        <f>INDEX(rrcworking[Disposition Volume (MCF) @ 14.65 MCF],MATCH('Mar 2020 EDI'!F109,rrcworking[RRC ID],0))</f>
        <v>1016</v>
      </c>
      <c r="Y109" s="5">
        <f>INDEX(rrcworking[Oil Production],MATCH('Mar 2020 EDI'!F109,rrcworking[RRC ID],0))</f>
        <v>10</v>
      </c>
      <c r="AA109" s="5">
        <f>INDEX(rrcworking[Sales/Dispostion],MATCH('Mar 2020 EDI'!F109,rrcworking[RRC ID],0))</f>
        <v>0</v>
      </c>
      <c r="AQ109" s="5">
        <f>INDEX(rrcworking[Closing Stock (Oil)],MATCH('Mar 2020 EDI'!F109,rrcworking[RRC ID],0))</f>
        <v>75</v>
      </c>
    </row>
    <row r="110" spans="1:43">
      <c r="A110" s="4" t="s">
        <v>1</v>
      </c>
      <c r="B110" s="1" t="s">
        <v>1007</v>
      </c>
      <c r="C110" s="10" t="s">
        <v>909</v>
      </c>
      <c r="D110" s="1" t="s">
        <v>618</v>
      </c>
      <c r="E110" s="1" t="s">
        <v>59</v>
      </c>
      <c r="F110" s="1" t="s">
        <v>522</v>
      </c>
      <c r="I110" s="10" t="s">
        <v>3</v>
      </c>
      <c r="J110" s="123" t="s">
        <v>3</v>
      </c>
      <c r="K110" s="1" t="s">
        <v>1090</v>
      </c>
      <c r="M110" s="5">
        <v>202003</v>
      </c>
      <c r="N110" s="5">
        <f>INDEX(rrcworking[Formation Production (MCF) @ 14.65 psi],MATCH('Mar 2020 EDI'!F110,rrcworking[RRC ID],0))</f>
        <v>1707</v>
      </c>
      <c r="O110" s="5">
        <f>INDEX(rrcworking[Lease Use (MCF)],MATCH('Mar 2020 EDI'!F110,rrcworking[RRC ID],0))</f>
        <v>84</v>
      </c>
      <c r="P110" s="5">
        <f>INDEX(rrcworking[Disposition Volume (MCF) @ 14.65 MCF],MATCH('Mar 2020 EDI'!F110,rrcworking[RRC ID],0))</f>
        <v>1623</v>
      </c>
      <c r="Y110" s="5">
        <f>INDEX(rrcworking[Oil Production],MATCH('Mar 2020 EDI'!F110,rrcworking[RRC ID],0))</f>
        <v>16</v>
      </c>
      <c r="AA110" s="5">
        <f>INDEX(rrcworking[Sales/Dispostion],MATCH('Mar 2020 EDI'!F110,rrcworking[RRC ID],0))</f>
        <v>0</v>
      </c>
      <c r="AQ110" s="5">
        <f>INDEX(rrcworking[Closing Stock (Oil)],MATCH('Mar 2020 EDI'!F110,rrcworking[RRC ID],0))</f>
        <v>115</v>
      </c>
    </row>
    <row r="111" spans="1:43">
      <c r="A111" s="4" t="s">
        <v>1</v>
      </c>
      <c r="B111" s="1" t="s">
        <v>1008</v>
      </c>
      <c r="C111" s="10" t="s">
        <v>909</v>
      </c>
      <c r="D111" s="1" t="s">
        <v>618</v>
      </c>
      <c r="E111" s="1" t="s">
        <v>59</v>
      </c>
      <c r="F111" s="1" t="s">
        <v>523</v>
      </c>
      <c r="I111" s="10" t="s">
        <v>3</v>
      </c>
      <c r="J111" s="123" t="s">
        <v>3</v>
      </c>
      <c r="K111" s="1" t="s">
        <v>1090</v>
      </c>
      <c r="M111" s="5">
        <v>202003</v>
      </c>
      <c r="N111" s="5">
        <f>INDEX(rrcworking[Formation Production (MCF) @ 14.65 psi],MATCH('Mar 2020 EDI'!F111,rrcworking[RRC ID],0))</f>
        <v>0</v>
      </c>
      <c r="O111" s="5">
        <f>INDEX(rrcworking[Lease Use (MCF)],MATCH('Mar 2020 EDI'!F111,rrcworking[RRC ID],0))</f>
        <v>0</v>
      </c>
      <c r="P111" s="5">
        <f>INDEX(rrcworking[Disposition Volume (MCF) @ 14.65 MCF],MATCH('Mar 2020 EDI'!F111,rrcworking[RRC ID],0))</f>
        <v>0</v>
      </c>
      <c r="Y111" s="5">
        <f>INDEX(rrcworking[Oil Production],MATCH('Mar 2020 EDI'!F111,rrcworking[RRC ID],0))</f>
        <v>0</v>
      </c>
      <c r="AA111" s="5">
        <f>INDEX(rrcworking[Sales/Dispostion],MATCH('Mar 2020 EDI'!F111,rrcworking[RRC ID],0))</f>
        <v>0</v>
      </c>
      <c r="AQ111" s="5">
        <f>INDEX(rrcworking[Closing Stock (Oil)],MATCH('Mar 2020 EDI'!F111,rrcworking[RRC ID],0))</f>
        <v>0</v>
      </c>
    </row>
    <row r="112" spans="1:43">
      <c r="A112" s="4" t="s">
        <v>1</v>
      </c>
      <c r="B112" s="1" t="s">
        <v>1009</v>
      </c>
      <c r="C112" s="10" t="s">
        <v>909</v>
      </c>
      <c r="D112" s="1" t="s">
        <v>618</v>
      </c>
      <c r="E112" s="1" t="s">
        <v>59</v>
      </c>
      <c r="F112" s="1" t="s">
        <v>524</v>
      </c>
      <c r="I112" s="10" t="s">
        <v>3</v>
      </c>
      <c r="J112" s="123" t="s">
        <v>3</v>
      </c>
      <c r="K112" s="1" t="s">
        <v>1090</v>
      </c>
      <c r="M112" s="5">
        <v>202003</v>
      </c>
      <c r="N112" s="5">
        <f>INDEX(rrcworking[Formation Production (MCF) @ 14.65 psi],MATCH('Mar 2020 EDI'!F112,rrcworking[RRC ID],0))</f>
        <v>0</v>
      </c>
      <c r="O112" s="5">
        <f>INDEX(rrcworking[Lease Use (MCF)],MATCH('Mar 2020 EDI'!F112,rrcworking[RRC ID],0))</f>
        <v>0</v>
      </c>
      <c r="P112" s="5">
        <f>INDEX(rrcworking[Disposition Volume (MCF) @ 14.65 MCF],MATCH('Mar 2020 EDI'!F112,rrcworking[RRC ID],0))</f>
        <v>0</v>
      </c>
      <c r="Y112" s="5">
        <f>INDEX(rrcworking[Oil Production],MATCH('Mar 2020 EDI'!F112,rrcworking[RRC ID],0))</f>
        <v>0</v>
      </c>
      <c r="AA112" s="5">
        <f>INDEX(rrcworking[Sales/Dispostion],MATCH('Mar 2020 EDI'!F112,rrcworking[RRC ID],0))</f>
        <v>0</v>
      </c>
      <c r="AQ112" s="5">
        <f>INDEX(rrcworking[Closing Stock (Oil)],MATCH('Mar 2020 EDI'!F112,rrcworking[RRC ID],0))</f>
        <v>0</v>
      </c>
    </row>
    <row r="113" spans="1:43">
      <c r="A113" s="4" t="s">
        <v>1</v>
      </c>
      <c r="B113" s="1" t="s">
        <v>1010</v>
      </c>
      <c r="C113" s="10" t="s">
        <v>909</v>
      </c>
      <c r="D113" s="1" t="s">
        <v>618</v>
      </c>
      <c r="E113" s="1" t="s">
        <v>59</v>
      </c>
      <c r="F113" s="1" t="s">
        <v>525</v>
      </c>
      <c r="I113" s="10" t="s">
        <v>3</v>
      </c>
      <c r="J113" s="123" t="s">
        <v>3</v>
      </c>
      <c r="K113" s="1" t="s">
        <v>1090</v>
      </c>
      <c r="M113" s="5">
        <v>202003</v>
      </c>
      <c r="N113" s="5">
        <f>INDEX(rrcworking[Formation Production (MCF) @ 14.65 psi],MATCH('Mar 2020 EDI'!F113,rrcworking[RRC ID],0))</f>
        <v>0</v>
      </c>
      <c r="O113" s="5">
        <f>INDEX(rrcworking[Lease Use (MCF)],MATCH('Mar 2020 EDI'!F113,rrcworking[RRC ID],0))</f>
        <v>0</v>
      </c>
      <c r="P113" s="5">
        <f>INDEX(rrcworking[Disposition Volume (MCF) @ 14.65 MCF],MATCH('Mar 2020 EDI'!F113,rrcworking[RRC ID],0))</f>
        <v>0</v>
      </c>
      <c r="Y113" s="5">
        <f>INDEX(rrcworking[Oil Production],MATCH('Mar 2020 EDI'!F113,rrcworking[RRC ID],0))</f>
        <v>0</v>
      </c>
      <c r="AA113" s="5">
        <f>INDEX(rrcworking[Sales/Dispostion],MATCH('Mar 2020 EDI'!F113,rrcworking[RRC ID],0))</f>
        <v>0</v>
      </c>
      <c r="AQ113" s="5">
        <f>INDEX(rrcworking[Closing Stock (Oil)],MATCH('Mar 2020 EDI'!F113,rrcworking[RRC ID],0))</f>
        <v>0</v>
      </c>
    </row>
    <row r="114" spans="1:43">
      <c r="A114" s="4" t="s">
        <v>1</v>
      </c>
      <c r="B114" s="1" t="s">
        <v>1011</v>
      </c>
      <c r="C114" s="10" t="s">
        <v>909</v>
      </c>
      <c r="D114" s="1" t="s">
        <v>618</v>
      </c>
      <c r="E114" s="1" t="s">
        <v>59</v>
      </c>
      <c r="F114" s="1" t="s">
        <v>526</v>
      </c>
      <c r="I114" s="10" t="s">
        <v>3</v>
      </c>
      <c r="J114" s="123" t="s">
        <v>3</v>
      </c>
      <c r="K114" s="1">
        <v>1988</v>
      </c>
      <c r="M114" s="5">
        <v>202003</v>
      </c>
      <c r="N114" s="5">
        <f>INDEX(rrcworking[Formation Production (MCF) @ 14.65 psi],MATCH('Mar 2020 EDI'!F114,rrcworking[RRC ID],0))</f>
        <v>0</v>
      </c>
      <c r="O114" s="5">
        <f>INDEX(rrcworking[Lease Use (MCF)],MATCH('Mar 2020 EDI'!F114,rrcworking[RRC ID],0))</f>
        <v>0</v>
      </c>
      <c r="P114" s="5">
        <f>INDEX(rrcworking[Disposition Volume (MCF) @ 14.65 MCF],MATCH('Mar 2020 EDI'!F114,rrcworking[RRC ID],0))</f>
        <v>0</v>
      </c>
      <c r="Y114" s="5">
        <f>INDEX(rrcworking[Oil Production],MATCH('Mar 2020 EDI'!F114,rrcworking[RRC ID],0))</f>
        <v>0</v>
      </c>
      <c r="AA114" s="5">
        <f>INDEX(rrcworking[Sales/Dispostion],MATCH('Mar 2020 EDI'!F114,rrcworking[RRC ID],0))</f>
        <v>0</v>
      </c>
      <c r="AQ114" s="5">
        <f>INDEX(rrcworking[Closing Stock (Oil)],MATCH('Mar 2020 EDI'!F114,rrcworking[RRC ID],0))</f>
        <v>0</v>
      </c>
    </row>
    <row r="115" spans="1:43">
      <c r="A115" s="4" t="s">
        <v>1</v>
      </c>
      <c r="B115" s="1" t="s">
        <v>1012</v>
      </c>
      <c r="C115" s="10" t="s">
        <v>909</v>
      </c>
      <c r="D115" s="1" t="s">
        <v>618</v>
      </c>
      <c r="E115" s="1" t="s">
        <v>59</v>
      </c>
      <c r="F115" s="1" t="s">
        <v>527</v>
      </c>
      <c r="I115" s="10" t="s">
        <v>3</v>
      </c>
      <c r="J115" s="123" t="s">
        <v>3</v>
      </c>
      <c r="K115" s="1" t="s">
        <v>1090</v>
      </c>
      <c r="M115" s="5">
        <v>202003</v>
      </c>
      <c r="N115" s="5">
        <f>INDEX(rrcworking[Formation Production (MCF) @ 14.65 psi],MATCH('Mar 2020 EDI'!F115,rrcworking[RRC ID],0))</f>
        <v>0</v>
      </c>
      <c r="O115" s="5">
        <f>INDEX(rrcworking[Lease Use (MCF)],MATCH('Mar 2020 EDI'!F115,rrcworking[RRC ID],0))</f>
        <v>0</v>
      </c>
      <c r="P115" s="5">
        <f>INDEX(rrcworking[Disposition Volume (MCF) @ 14.65 MCF],MATCH('Mar 2020 EDI'!F115,rrcworking[RRC ID],0))</f>
        <v>0</v>
      </c>
      <c r="Y115" s="5">
        <f>INDEX(rrcworking[Oil Production],MATCH('Mar 2020 EDI'!F115,rrcworking[RRC ID],0))</f>
        <v>0</v>
      </c>
      <c r="AA115" s="5">
        <f>INDEX(rrcworking[Sales/Dispostion],MATCH('Mar 2020 EDI'!F115,rrcworking[RRC ID],0))</f>
        <v>0</v>
      </c>
      <c r="AQ115" s="5">
        <f>INDEX(rrcworking[Closing Stock (Oil)],MATCH('Mar 2020 EDI'!F115,rrcworking[RRC ID],0))</f>
        <v>0</v>
      </c>
    </row>
    <row r="116" spans="1:43">
      <c r="A116" s="4" t="s">
        <v>1</v>
      </c>
      <c r="B116" s="1" t="s">
        <v>1013</v>
      </c>
      <c r="C116" s="10" t="s">
        <v>909</v>
      </c>
      <c r="D116" s="1" t="s">
        <v>618</v>
      </c>
      <c r="E116" s="1" t="s">
        <v>59</v>
      </c>
      <c r="F116" s="1" t="s">
        <v>528</v>
      </c>
      <c r="I116" s="10" t="s">
        <v>3</v>
      </c>
      <c r="J116" s="123" t="s">
        <v>3</v>
      </c>
      <c r="K116" s="1">
        <v>1988</v>
      </c>
      <c r="M116" s="5">
        <v>202003</v>
      </c>
      <c r="N116" s="5">
        <f>INDEX(rrcworking[Formation Production (MCF) @ 14.65 psi],MATCH('Mar 2020 EDI'!F116,rrcworking[RRC ID],0))</f>
        <v>851</v>
      </c>
      <c r="O116" s="5">
        <f>INDEX(rrcworking[Lease Use (MCF)],MATCH('Mar 2020 EDI'!F116,rrcworking[RRC ID],0))</f>
        <v>56</v>
      </c>
      <c r="P116" s="5">
        <f>INDEX(rrcworking[Disposition Volume (MCF) @ 14.65 MCF],MATCH('Mar 2020 EDI'!F116,rrcworking[RRC ID],0))</f>
        <v>795</v>
      </c>
      <c r="Y116" s="5">
        <f>INDEX(rrcworking[Oil Production],MATCH('Mar 2020 EDI'!F116,rrcworking[RRC ID],0))</f>
        <v>40</v>
      </c>
      <c r="AA116" s="5">
        <f>INDEX(rrcworking[Sales/Dispostion],MATCH('Mar 2020 EDI'!F116,rrcworking[RRC ID],0))</f>
        <v>0</v>
      </c>
      <c r="AQ116" s="5">
        <f>INDEX(rrcworking[Closing Stock (Oil)],MATCH('Mar 2020 EDI'!F116,rrcworking[RRC ID],0))</f>
        <v>189</v>
      </c>
    </row>
    <row r="117" spans="1:43">
      <c r="A117" s="4" t="s">
        <v>1</v>
      </c>
      <c r="B117" s="1" t="s">
        <v>1014</v>
      </c>
      <c r="C117" s="10" t="s">
        <v>909</v>
      </c>
      <c r="D117" s="1" t="s">
        <v>618</v>
      </c>
      <c r="E117" s="1" t="s">
        <v>59</v>
      </c>
      <c r="F117" s="1" t="s">
        <v>529</v>
      </c>
      <c r="I117" s="10" t="s">
        <v>3</v>
      </c>
      <c r="J117" s="123" t="s">
        <v>3</v>
      </c>
      <c r="K117" s="1">
        <v>1988</v>
      </c>
      <c r="M117" s="5">
        <v>202003</v>
      </c>
      <c r="N117" s="5">
        <f>INDEX(rrcworking[Formation Production (MCF) @ 14.65 psi],MATCH('Mar 2020 EDI'!F117,rrcworking[RRC ID],0))</f>
        <v>31</v>
      </c>
      <c r="O117" s="5">
        <f>INDEX(rrcworking[Lease Use (MCF)],MATCH('Mar 2020 EDI'!F117,rrcworking[RRC ID],0))</f>
        <v>0</v>
      </c>
      <c r="P117" s="5">
        <f>INDEX(rrcworking[Disposition Volume (MCF) @ 14.65 MCF],MATCH('Mar 2020 EDI'!F117,rrcworking[RRC ID],0))</f>
        <v>31</v>
      </c>
      <c r="Y117" s="5">
        <f>INDEX(rrcworking[Oil Production],MATCH('Mar 2020 EDI'!F117,rrcworking[RRC ID],0))</f>
        <v>0</v>
      </c>
      <c r="AA117" s="5">
        <f>INDEX(rrcworking[Sales/Dispostion],MATCH('Mar 2020 EDI'!F117,rrcworking[RRC ID],0))</f>
        <v>0</v>
      </c>
      <c r="AQ117" s="5">
        <f>INDEX(rrcworking[Closing Stock (Oil)],MATCH('Mar 2020 EDI'!F117,rrcworking[RRC ID],0))</f>
        <v>0</v>
      </c>
    </row>
    <row r="118" spans="1:43">
      <c r="A118" s="4" t="s">
        <v>1</v>
      </c>
      <c r="B118" s="1" t="s">
        <v>1015</v>
      </c>
      <c r="C118" s="10" t="s">
        <v>909</v>
      </c>
      <c r="D118" s="1" t="s">
        <v>618</v>
      </c>
      <c r="E118" s="1" t="s">
        <v>59</v>
      </c>
      <c r="F118" s="1" t="s">
        <v>530</v>
      </c>
      <c r="I118" s="10" t="s">
        <v>3</v>
      </c>
      <c r="J118" s="123" t="s">
        <v>3</v>
      </c>
      <c r="K118" s="1" t="s">
        <v>1090</v>
      </c>
      <c r="M118" s="5">
        <v>202003</v>
      </c>
      <c r="N118" s="5">
        <f>INDEX(rrcworking[Formation Production (MCF) @ 14.65 psi],MATCH('Mar 2020 EDI'!F118,rrcworking[RRC ID],0))</f>
        <v>3368</v>
      </c>
      <c r="O118" s="5">
        <f>INDEX(rrcworking[Lease Use (MCF)],MATCH('Mar 2020 EDI'!F118,rrcworking[RRC ID],0))</f>
        <v>28</v>
      </c>
      <c r="P118" s="5">
        <f>INDEX(rrcworking[Disposition Volume (MCF) @ 14.65 MCF],MATCH('Mar 2020 EDI'!F118,rrcworking[RRC ID],0))</f>
        <v>3340</v>
      </c>
      <c r="Y118" s="5">
        <f>INDEX(rrcworking[Oil Production],MATCH('Mar 2020 EDI'!F118,rrcworking[RRC ID],0))</f>
        <v>0</v>
      </c>
      <c r="AA118" s="5">
        <f>INDEX(rrcworking[Sales/Dispostion],MATCH('Mar 2020 EDI'!F118,rrcworking[RRC ID],0))</f>
        <v>0</v>
      </c>
      <c r="AQ118" s="5">
        <f>INDEX(rrcworking[Closing Stock (Oil)],MATCH('Mar 2020 EDI'!F118,rrcworking[RRC ID],0))</f>
        <v>63</v>
      </c>
    </row>
    <row r="119" spans="1:43">
      <c r="A119" s="4" t="s">
        <v>1</v>
      </c>
      <c r="B119" s="1" t="s">
        <v>1016</v>
      </c>
      <c r="C119" s="10" t="s">
        <v>909</v>
      </c>
      <c r="D119" s="1" t="s">
        <v>618</v>
      </c>
      <c r="E119" s="1" t="s">
        <v>59</v>
      </c>
      <c r="F119" s="1" t="s">
        <v>531</v>
      </c>
      <c r="I119" s="10" t="s">
        <v>3</v>
      </c>
      <c r="J119" s="123" t="s">
        <v>3</v>
      </c>
      <c r="K119" s="1" t="s">
        <v>1090</v>
      </c>
      <c r="M119" s="5">
        <v>202003</v>
      </c>
      <c r="N119" s="5">
        <f>INDEX(rrcworking[Formation Production (MCF) @ 14.65 psi],MATCH('Mar 2020 EDI'!F119,rrcworking[RRC ID],0))</f>
        <v>32</v>
      </c>
      <c r="O119" s="5">
        <f>INDEX(rrcworking[Lease Use (MCF)],MATCH('Mar 2020 EDI'!F119,rrcworking[RRC ID],0))</f>
        <v>1</v>
      </c>
      <c r="P119" s="5">
        <f>INDEX(rrcworking[Disposition Volume (MCF) @ 14.65 MCF],MATCH('Mar 2020 EDI'!F119,rrcworking[RRC ID],0))</f>
        <v>31</v>
      </c>
      <c r="Y119" s="5">
        <f>INDEX(rrcworking[Oil Production],MATCH('Mar 2020 EDI'!F119,rrcworking[RRC ID],0))</f>
        <v>0</v>
      </c>
      <c r="AA119" s="5">
        <f>INDEX(rrcworking[Sales/Dispostion],MATCH('Mar 2020 EDI'!F119,rrcworking[RRC ID],0))</f>
        <v>0</v>
      </c>
      <c r="AQ119" s="5">
        <f>INDEX(rrcworking[Closing Stock (Oil)],MATCH('Mar 2020 EDI'!F119,rrcworking[RRC ID],0))</f>
        <v>33</v>
      </c>
    </row>
    <row r="120" spans="1:43">
      <c r="A120" s="4" t="s">
        <v>1</v>
      </c>
      <c r="B120" s="1" t="s">
        <v>1017</v>
      </c>
      <c r="C120" s="10" t="s">
        <v>909</v>
      </c>
      <c r="D120" s="1" t="s">
        <v>618</v>
      </c>
      <c r="E120" s="1" t="s">
        <v>59</v>
      </c>
      <c r="F120" s="1" t="s">
        <v>532</v>
      </c>
      <c r="I120" s="10" t="s">
        <v>3</v>
      </c>
      <c r="J120" s="123" t="s">
        <v>3</v>
      </c>
      <c r="K120" s="1" t="s">
        <v>1090</v>
      </c>
      <c r="M120" s="5">
        <v>202003</v>
      </c>
      <c r="N120" s="5">
        <f>INDEX(rrcworking[Formation Production (MCF) @ 14.65 psi],MATCH('Mar 2020 EDI'!F120,rrcworking[RRC ID],0))</f>
        <v>2723</v>
      </c>
      <c r="O120" s="5">
        <f>INDEX(rrcworking[Lease Use (MCF)],MATCH('Mar 2020 EDI'!F120,rrcworking[RRC ID],0))</f>
        <v>140</v>
      </c>
      <c r="P120" s="5">
        <f>INDEX(rrcworking[Disposition Volume (MCF) @ 14.65 MCF],MATCH('Mar 2020 EDI'!F120,rrcworking[RRC ID],0))</f>
        <v>2583</v>
      </c>
      <c r="Y120" s="5">
        <f>INDEX(rrcworking[Oil Production],MATCH('Mar 2020 EDI'!F120,rrcworking[RRC ID],0))</f>
        <v>0</v>
      </c>
      <c r="AA120" s="5">
        <f>INDEX(rrcworking[Sales/Dispostion],MATCH('Mar 2020 EDI'!F120,rrcworking[RRC ID],0))</f>
        <v>0</v>
      </c>
      <c r="AQ120" s="5">
        <f>INDEX(rrcworking[Closing Stock (Oil)],MATCH('Mar 2020 EDI'!F120,rrcworking[RRC ID],0))</f>
        <v>98</v>
      </c>
    </row>
    <row r="121" spans="1:43">
      <c r="A121" s="4" t="s">
        <v>1</v>
      </c>
      <c r="B121" s="1" t="s">
        <v>1018</v>
      </c>
      <c r="C121" s="10" t="s">
        <v>909</v>
      </c>
      <c r="D121" s="1" t="s">
        <v>618</v>
      </c>
      <c r="E121" s="1" t="s">
        <v>59</v>
      </c>
      <c r="F121" s="1" t="s">
        <v>533</v>
      </c>
      <c r="I121" s="10" t="s">
        <v>3</v>
      </c>
      <c r="J121" s="123" t="s">
        <v>3</v>
      </c>
      <c r="K121" s="1" t="s">
        <v>1090</v>
      </c>
      <c r="M121" s="5">
        <v>202003</v>
      </c>
      <c r="N121" s="5">
        <f>INDEX(rrcworking[Formation Production (MCF) @ 14.65 psi],MATCH('Mar 2020 EDI'!F121,rrcworking[RRC ID],0))</f>
        <v>0</v>
      </c>
      <c r="O121" s="5">
        <f>INDEX(rrcworking[Lease Use (MCF)],MATCH('Mar 2020 EDI'!F121,rrcworking[RRC ID],0))</f>
        <v>0</v>
      </c>
      <c r="P121" s="5">
        <f>INDEX(rrcworking[Disposition Volume (MCF) @ 14.65 MCF],MATCH('Mar 2020 EDI'!F121,rrcworking[RRC ID],0))</f>
        <v>0</v>
      </c>
      <c r="Y121" s="5">
        <f>INDEX(rrcworking[Oil Production],MATCH('Mar 2020 EDI'!F121,rrcworking[RRC ID],0))</f>
        <v>0</v>
      </c>
      <c r="AA121" s="5">
        <f>INDEX(rrcworking[Sales/Dispostion],MATCH('Mar 2020 EDI'!F121,rrcworking[RRC ID],0))</f>
        <v>0</v>
      </c>
      <c r="AQ121" s="5">
        <f>INDEX(rrcworking[Closing Stock (Oil)],MATCH('Mar 2020 EDI'!F121,rrcworking[RRC ID],0))</f>
        <v>0</v>
      </c>
    </row>
    <row r="122" spans="1:43">
      <c r="A122" s="4" t="s">
        <v>1</v>
      </c>
      <c r="B122" s="1" t="s">
        <v>1019</v>
      </c>
      <c r="C122" s="10" t="s">
        <v>909</v>
      </c>
      <c r="D122" s="1" t="s">
        <v>618</v>
      </c>
      <c r="E122" s="1" t="s">
        <v>59</v>
      </c>
      <c r="F122" s="1" t="s">
        <v>534</v>
      </c>
      <c r="I122" s="10" t="s">
        <v>3</v>
      </c>
      <c r="J122" s="123" t="s">
        <v>3</v>
      </c>
      <c r="K122" s="1" t="s">
        <v>1090</v>
      </c>
      <c r="M122" s="5">
        <v>202003</v>
      </c>
      <c r="N122" s="5">
        <f>INDEX(rrcworking[Formation Production (MCF) @ 14.65 psi],MATCH('Mar 2020 EDI'!F122,rrcworking[RRC ID],0))</f>
        <v>3771</v>
      </c>
      <c r="O122" s="5">
        <f>INDEX(rrcworking[Lease Use (MCF)],MATCH('Mar 2020 EDI'!F122,rrcworking[RRC ID],0))</f>
        <v>168</v>
      </c>
      <c r="P122" s="5">
        <f>INDEX(rrcworking[Disposition Volume (MCF) @ 14.65 MCF],MATCH('Mar 2020 EDI'!F122,rrcworking[RRC ID],0))</f>
        <v>3603</v>
      </c>
      <c r="Y122" s="5">
        <f>INDEX(rrcworking[Oil Production],MATCH('Mar 2020 EDI'!F122,rrcworking[RRC ID],0))</f>
        <v>0</v>
      </c>
      <c r="AA122" s="5">
        <f>INDEX(rrcworking[Sales/Dispostion],MATCH('Mar 2020 EDI'!F122,rrcworking[RRC ID],0))</f>
        <v>0</v>
      </c>
      <c r="AQ122" s="5">
        <f>INDEX(rrcworking[Closing Stock (Oil)],MATCH('Mar 2020 EDI'!F122,rrcworking[RRC ID],0))</f>
        <v>0</v>
      </c>
    </row>
    <row r="123" spans="1:43">
      <c r="A123" s="4" t="s">
        <v>1</v>
      </c>
      <c r="B123" s="1" t="s">
        <v>1020</v>
      </c>
      <c r="C123" s="10" t="s">
        <v>909</v>
      </c>
      <c r="D123" s="1" t="s">
        <v>618</v>
      </c>
      <c r="E123" s="1" t="s">
        <v>2</v>
      </c>
      <c r="F123" s="1" t="s">
        <v>535</v>
      </c>
      <c r="I123" s="10" t="s">
        <v>3</v>
      </c>
      <c r="J123" s="123" t="s">
        <v>3</v>
      </c>
      <c r="K123" s="1" t="s">
        <v>1090</v>
      </c>
      <c r="M123" s="5">
        <v>202003</v>
      </c>
      <c r="N123" s="5">
        <f>INDEX(rrcworking[Formation Production (MCF) @ 14.65 psi],MATCH('Mar 2020 EDI'!F123,rrcworking[RRC ID],0))</f>
        <v>120</v>
      </c>
      <c r="O123" s="5">
        <f>INDEX(rrcworking[Lease Use (MCF)],MATCH('Mar 2020 EDI'!F123,rrcworking[RRC ID],0))</f>
        <v>120</v>
      </c>
      <c r="P123" s="5">
        <f>INDEX(rrcworking[Disposition Volume (MCF) @ 14.65 MCF],MATCH('Mar 2020 EDI'!F123,rrcworking[RRC ID],0))</f>
        <v>0</v>
      </c>
      <c r="Y123" s="5">
        <f>INDEX(rrcworking[Oil Production],MATCH('Mar 2020 EDI'!F123,rrcworking[RRC ID],0))</f>
        <v>1113</v>
      </c>
      <c r="AA123" s="5">
        <f>INDEX(rrcworking[Sales/Dispostion],MATCH('Mar 2020 EDI'!F123,rrcworking[RRC ID],0))</f>
        <v>1321</v>
      </c>
      <c r="AQ123" s="5">
        <f>INDEX(rrcworking[Closing Stock (Oil)],MATCH('Mar 2020 EDI'!F123,rrcworking[RRC ID],0))</f>
        <v>0</v>
      </c>
    </row>
    <row r="124" spans="1:43">
      <c r="A124" s="4" t="s">
        <v>1</v>
      </c>
      <c r="B124" s="1" t="s">
        <v>1021</v>
      </c>
      <c r="C124" s="10" t="s">
        <v>909</v>
      </c>
      <c r="D124" s="1" t="s">
        <v>618</v>
      </c>
      <c r="E124" s="1" t="s">
        <v>2</v>
      </c>
      <c r="F124" s="1" t="s">
        <v>536</v>
      </c>
      <c r="I124" s="10" t="s">
        <v>3</v>
      </c>
      <c r="J124" s="123" t="s">
        <v>3</v>
      </c>
      <c r="K124" s="1" t="s">
        <v>1090</v>
      </c>
      <c r="M124" s="5">
        <v>202003</v>
      </c>
      <c r="N124" s="5">
        <f>INDEX(rrcworking[Formation Production (MCF) @ 14.65 psi],MATCH('Mar 2020 EDI'!F124,rrcworking[RRC ID],0))</f>
        <v>0</v>
      </c>
      <c r="O124" s="5">
        <f>INDEX(rrcworking[Lease Use (MCF)],MATCH('Mar 2020 EDI'!F124,rrcworking[RRC ID],0))</f>
        <v>0</v>
      </c>
      <c r="P124" s="5">
        <f>INDEX(rrcworking[Disposition Volume (MCF) @ 14.65 MCF],MATCH('Mar 2020 EDI'!F124,rrcworking[RRC ID],0))</f>
        <v>0</v>
      </c>
      <c r="Y124" s="5">
        <f>INDEX(rrcworking[Oil Production],MATCH('Mar 2020 EDI'!F124,rrcworking[RRC ID],0))</f>
        <v>0</v>
      </c>
      <c r="AA124" s="5">
        <f>INDEX(rrcworking[Sales/Dispostion],MATCH('Mar 2020 EDI'!F124,rrcworking[RRC ID],0))</f>
        <v>0</v>
      </c>
      <c r="AQ124" s="5">
        <f>INDEX(rrcworking[Closing Stock (Oil)],MATCH('Mar 2020 EDI'!F124,rrcworking[RRC ID],0))</f>
        <v>0</v>
      </c>
    </row>
    <row r="125" spans="1:43">
      <c r="A125" s="4" t="s">
        <v>1</v>
      </c>
      <c r="B125" s="1" t="s">
        <v>1022</v>
      </c>
      <c r="C125" s="10" t="s">
        <v>909</v>
      </c>
      <c r="D125" s="1" t="s">
        <v>618</v>
      </c>
      <c r="E125" s="1" t="s">
        <v>59</v>
      </c>
      <c r="F125" s="1" t="s">
        <v>537</v>
      </c>
      <c r="I125" s="10" t="s">
        <v>3</v>
      </c>
      <c r="J125" s="123" t="s">
        <v>3</v>
      </c>
      <c r="K125" s="1" t="s">
        <v>1090</v>
      </c>
      <c r="M125" s="5">
        <v>202003</v>
      </c>
      <c r="N125" s="5">
        <f>INDEX(rrcworking[Formation Production (MCF) @ 14.65 psi],MATCH('Mar 2020 EDI'!F125,rrcworking[RRC ID],0))</f>
        <v>0</v>
      </c>
      <c r="O125" s="5">
        <f>INDEX(rrcworking[Lease Use (MCF)],MATCH('Mar 2020 EDI'!F125,rrcworking[RRC ID],0))</f>
        <v>0</v>
      </c>
      <c r="P125" s="5">
        <f>INDEX(rrcworking[Disposition Volume (MCF) @ 14.65 MCF],MATCH('Mar 2020 EDI'!F125,rrcworking[RRC ID],0))</f>
        <v>0</v>
      </c>
      <c r="Y125" s="5">
        <f>INDEX(rrcworking[Oil Production],MATCH('Mar 2020 EDI'!F125,rrcworking[RRC ID],0))</f>
        <v>-48</v>
      </c>
      <c r="AA125" s="5">
        <f>INDEX(rrcworking[Sales/Dispostion],MATCH('Mar 2020 EDI'!F125,rrcworking[RRC ID],0))</f>
        <v>0</v>
      </c>
      <c r="AQ125" s="5">
        <f>INDEX(rrcworking[Closing Stock (Oil)],MATCH('Mar 2020 EDI'!F125,rrcworking[RRC ID],0))</f>
        <v>0</v>
      </c>
    </row>
    <row r="126" spans="1:43">
      <c r="A126" s="4" t="s">
        <v>1</v>
      </c>
      <c r="B126" s="1" t="s">
        <v>1023</v>
      </c>
      <c r="C126" s="10" t="s">
        <v>909</v>
      </c>
      <c r="D126" s="1" t="s">
        <v>618</v>
      </c>
      <c r="E126" s="1" t="s">
        <v>59</v>
      </c>
      <c r="F126" s="1" t="s">
        <v>538</v>
      </c>
      <c r="I126" s="10" t="s">
        <v>3</v>
      </c>
      <c r="J126" s="123" t="s">
        <v>3</v>
      </c>
      <c r="K126" s="1" t="s">
        <v>1090</v>
      </c>
      <c r="M126" s="5">
        <v>202003</v>
      </c>
      <c r="N126" s="5">
        <f>INDEX(rrcworking[Formation Production (MCF) @ 14.65 psi],MATCH('Mar 2020 EDI'!F126,rrcworking[RRC ID],0))</f>
        <v>232</v>
      </c>
      <c r="O126" s="5">
        <f>INDEX(rrcworking[Lease Use (MCF)],MATCH('Mar 2020 EDI'!F126,rrcworking[RRC ID],0))</f>
        <v>12</v>
      </c>
      <c r="P126" s="5">
        <f>INDEX(rrcworking[Disposition Volume (MCF) @ 14.65 MCF],MATCH('Mar 2020 EDI'!F126,rrcworking[RRC ID],0))</f>
        <v>220</v>
      </c>
      <c r="Y126" s="5">
        <f>INDEX(rrcworking[Oil Production],MATCH('Mar 2020 EDI'!F126,rrcworking[RRC ID],0))</f>
        <v>143</v>
      </c>
      <c r="AA126" s="5">
        <f>INDEX(rrcworking[Sales/Dispostion],MATCH('Mar 2020 EDI'!F126,rrcworking[RRC ID],0))</f>
        <v>381</v>
      </c>
      <c r="AQ126" s="5">
        <f>INDEX(rrcworking[Closing Stock (Oil)],MATCH('Mar 2020 EDI'!F126,rrcworking[RRC ID],0))</f>
        <v>0</v>
      </c>
    </row>
    <row r="127" spans="1:43">
      <c r="A127" s="4" t="s">
        <v>1</v>
      </c>
      <c r="B127" s="1" t="s">
        <v>1024</v>
      </c>
      <c r="C127" s="10" t="s">
        <v>909</v>
      </c>
      <c r="D127" s="1" t="s">
        <v>618</v>
      </c>
      <c r="E127" s="1" t="s">
        <v>2</v>
      </c>
      <c r="F127" s="1" t="s">
        <v>539</v>
      </c>
      <c r="I127" s="10" t="s">
        <v>3</v>
      </c>
      <c r="J127" s="123" t="s">
        <v>3</v>
      </c>
      <c r="K127" s="1" t="s">
        <v>1090</v>
      </c>
      <c r="M127" s="5">
        <v>202003</v>
      </c>
      <c r="N127" s="5">
        <f>INDEX(rrcworking[Formation Production (MCF) @ 14.65 psi],MATCH('Mar 2020 EDI'!F127,rrcworking[RRC ID],0))</f>
        <v>0</v>
      </c>
      <c r="O127" s="5">
        <f>INDEX(rrcworking[Lease Use (MCF)],MATCH('Mar 2020 EDI'!F127,rrcworking[RRC ID],0))</f>
        <v>0</v>
      </c>
      <c r="P127" s="5">
        <f>INDEX(rrcworking[Disposition Volume (MCF) @ 14.65 MCF],MATCH('Mar 2020 EDI'!F127,rrcworking[RRC ID],0))</f>
        <v>0</v>
      </c>
      <c r="Y127" s="5">
        <f>INDEX(rrcworking[Oil Production],MATCH('Mar 2020 EDI'!F127,rrcworking[RRC ID],0))</f>
        <v>0</v>
      </c>
      <c r="AA127" s="5">
        <f>INDEX(rrcworking[Sales/Dispostion],MATCH('Mar 2020 EDI'!F127,rrcworking[RRC ID],0))</f>
        <v>0</v>
      </c>
      <c r="AQ127" s="5">
        <f>INDEX(rrcworking[Closing Stock (Oil)],MATCH('Mar 2020 EDI'!F127,rrcworking[RRC ID],0))</f>
        <v>70</v>
      </c>
    </row>
    <row r="128" spans="1:43">
      <c r="A128" s="4" t="s">
        <v>1</v>
      </c>
      <c r="B128" s="1" t="s">
        <v>1025</v>
      </c>
      <c r="C128" s="10" t="s">
        <v>909</v>
      </c>
      <c r="D128" s="1" t="s">
        <v>618</v>
      </c>
      <c r="E128" s="1" t="s">
        <v>2</v>
      </c>
      <c r="F128" s="1" t="s">
        <v>540</v>
      </c>
      <c r="I128" s="10" t="s">
        <v>3</v>
      </c>
      <c r="J128" s="123" t="s">
        <v>3</v>
      </c>
      <c r="K128" s="1" t="s">
        <v>1090</v>
      </c>
      <c r="M128" s="5">
        <v>202003</v>
      </c>
      <c r="N128" s="5">
        <f>INDEX(rrcworking[Formation Production (MCF) @ 14.65 psi],MATCH('Mar 2020 EDI'!F128,rrcworking[RRC ID],0))</f>
        <v>48</v>
      </c>
      <c r="O128" s="5">
        <f>INDEX(rrcworking[Lease Use (MCF)],MATCH('Mar 2020 EDI'!F128,rrcworking[RRC ID],0))</f>
        <v>0</v>
      </c>
      <c r="P128" s="5">
        <f>INDEX(rrcworking[Disposition Volume (MCF) @ 14.65 MCF],MATCH('Mar 2020 EDI'!F128,rrcworking[RRC ID],0))</f>
        <v>48</v>
      </c>
      <c r="Y128" s="5">
        <f>INDEX(rrcworking[Oil Production],MATCH('Mar 2020 EDI'!F128,rrcworking[RRC ID],0))</f>
        <v>-235</v>
      </c>
      <c r="AA128" s="5">
        <f>INDEX(rrcworking[Sales/Dispostion],MATCH('Mar 2020 EDI'!F128,rrcworking[RRC ID],0))</f>
        <v>0</v>
      </c>
      <c r="AQ128" s="5">
        <f>INDEX(rrcworking[Closing Stock (Oil)],MATCH('Mar 2020 EDI'!F128,rrcworking[RRC ID],0))</f>
        <v>0</v>
      </c>
    </row>
    <row r="129" spans="1:43">
      <c r="A129" s="4" t="s">
        <v>1</v>
      </c>
      <c r="B129" s="1" t="s">
        <v>1026</v>
      </c>
      <c r="C129" s="10" t="s">
        <v>909</v>
      </c>
      <c r="D129" s="1" t="s">
        <v>618</v>
      </c>
      <c r="E129" s="1" t="s">
        <v>2</v>
      </c>
      <c r="F129" s="1" t="s">
        <v>541</v>
      </c>
      <c r="I129" s="10" t="s">
        <v>3</v>
      </c>
      <c r="J129" s="123" t="s">
        <v>3</v>
      </c>
      <c r="K129" s="1" t="s">
        <v>1090</v>
      </c>
      <c r="M129" s="5">
        <v>202003</v>
      </c>
      <c r="N129" s="5">
        <f>INDEX(rrcworking[Formation Production (MCF) @ 14.65 psi],MATCH('Mar 2020 EDI'!F129,rrcworking[RRC ID],0))</f>
        <v>0</v>
      </c>
      <c r="O129" s="5">
        <f>INDEX(rrcworking[Lease Use (MCF)],MATCH('Mar 2020 EDI'!F129,rrcworking[RRC ID],0))</f>
        <v>0</v>
      </c>
      <c r="P129" s="5">
        <f>INDEX(rrcworking[Disposition Volume (MCF) @ 14.65 MCF],MATCH('Mar 2020 EDI'!F129,rrcworking[RRC ID],0))</f>
        <v>0</v>
      </c>
      <c r="Y129" s="5">
        <f>INDEX(rrcworking[Oil Production],MATCH('Mar 2020 EDI'!F129,rrcworking[RRC ID],0))</f>
        <v>0</v>
      </c>
      <c r="AA129" s="5">
        <f>INDEX(rrcworking[Sales/Dispostion],MATCH('Mar 2020 EDI'!F129,rrcworking[RRC ID],0))</f>
        <v>0</v>
      </c>
      <c r="AQ129" s="5">
        <f>INDEX(rrcworking[Closing Stock (Oil)],MATCH('Mar 2020 EDI'!F129,rrcworking[RRC ID],0))</f>
        <v>0</v>
      </c>
    </row>
    <row r="130" spans="1:43">
      <c r="A130" s="4" t="s">
        <v>1</v>
      </c>
      <c r="B130" s="1" t="s">
        <v>1027</v>
      </c>
      <c r="C130" s="10" t="s">
        <v>909</v>
      </c>
      <c r="D130" s="1" t="s">
        <v>618</v>
      </c>
      <c r="E130" s="1" t="s">
        <v>59</v>
      </c>
      <c r="F130" s="1" t="s">
        <v>542</v>
      </c>
      <c r="I130" s="10" t="s">
        <v>3</v>
      </c>
      <c r="J130" s="123" t="s">
        <v>3</v>
      </c>
      <c r="K130" s="1" t="s">
        <v>1090</v>
      </c>
      <c r="M130" s="5">
        <v>202003</v>
      </c>
      <c r="N130" s="5">
        <f>INDEX(rrcworking[Formation Production (MCF) @ 14.65 psi],MATCH('Mar 2020 EDI'!F130,rrcworking[RRC ID],0))</f>
        <v>0</v>
      </c>
      <c r="O130" s="5">
        <f>INDEX(rrcworking[Lease Use (MCF)],MATCH('Mar 2020 EDI'!F130,rrcworking[RRC ID],0))</f>
        <v>0</v>
      </c>
      <c r="P130" s="5">
        <f>INDEX(rrcworking[Disposition Volume (MCF) @ 14.65 MCF],MATCH('Mar 2020 EDI'!F130,rrcworking[RRC ID],0))</f>
        <v>0</v>
      </c>
      <c r="Y130" s="5">
        <f>INDEX(rrcworking[Oil Production],MATCH('Mar 2020 EDI'!F130,rrcworking[RRC ID],0))</f>
        <v>0</v>
      </c>
      <c r="AA130" s="5">
        <f>INDEX(rrcworking[Sales/Dispostion],MATCH('Mar 2020 EDI'!F130,rrcworking[RRC ID],0))</f>
        <v>0</v>
      </c>
      <c r="AQ130" s="5">
        <f>INDEX(rrcworking[Closing Stock (Oil)],MATCH('Mar 2020 EDI'!F130,rrcworking[RRC ID],0))</f>
        <v>0</v>
      </c>
    </row>
    <row r="131" spans="1:43">
      <c r="A131" s="4" t="s">
        <v>1</v>
      </c>
      <c r="B131" s="1" t="s">
        <v>1028</v>
      </c>
      <c r="C131" s="10" t="s">
        <v>909</v>
      </c>
      <c r="D131" s="1" t="s">
        <v>618</v>
      </c>
      <c r="E131" s="1" t="s">
        <v>59</v>
      </c>
      <c r="F131" s="1" t="s">
        <v>543</v>
      </c>
      <c r="I131" s="10" t="s">
        <v>3</v>
      </c>
      <c r="J131" s="123" t="s">
        <v>3</v>
      </c>
      <c r="K131" s="1" t="s">
        <v>1090</v>
      </c>
      <c r="M131" s="5">
        <v>202003</v>
      </c>
      <c r="N131" s="5">
        <f>INDEX(rrcworking[Formation Production (MCF) @ 14.65 psi],MATCH('Mar 2020 EDI'!F131,rrcworking[RRC ID],0))</f>
        <v>0</v>
      </c>
      <c r="O131" s="5">
        <f>INDEX(rrcworking[Lease Use (MCF)],MATCH('Mar 2020 EDI'!F131,rrcworking[RRC ID],0))</f>
        <v>0</v>
      </c>
      <c r="P131" s="5">
        <f>INDEX(rrcworking[Disposition Volume (MCF) @ 14.65 MCF],MATCH('Mar 2020 EDI'!F131,rrcworking[RRC ID],0))</f>
        <v>0</v>
      </c>
      <c r="Y131" s="5">
        <f>INDEX(rrcworking[Oil Production],MATCH('Mar 2020 EDI'!F131,rrcworking[RRC ID],0))</f>
        <v>0</v>
      </c>
      <c r="AA131" s="5">
        <f>INDEX(rrcworking[Sales/Dispostion],MATCH('Mar 2020 EDI'!F131,rrcworking[RRC ID],0))</f>
        <v>0</v>
      </c>
      <c r="AQ131" s="5">
        <f>INDEX(rrcworking[Closing Stock (Oil)],MATCH('Mar 2020 EDI'!F131,rrcworking[RRC ID],0))</f>
        <v>0</v>
      </c>
    </row>
    <row r="132" spans="1:43">
      <c r="A132" s="4" t="s">
        <v>1</v>
      </c>
      <c r="B132" s="1" t="s">
        <v>1029</v>
      </c>
      <c r="C132" s="10" t="s">
        <v>909</v>
      </c>
      <c r="D132" s="1" t="s">
        <v>618</v>
      </c>
      <c r="E132" s="1" t="s">
        <v>2</v>
      </c>
      <c r="F132" s="1" t="s">
        <v>544</v>
      </c>
      <c r="I132" s="10" t="s">
        <v>3</v>
      </c>
      <c r="J132" s="123" t="s">
        <v>3</v>
      </c>
      <c r="K132" s="1" t="s">
        <v>1090</v>
      </c>
      <c r="M132" s="5">
        <v>202003</v>
      </c>
      <c r="N132" s="5">
        <f>INDEX(rrcworking[Formation Production (MCF) @ 14.65 psi],MATCH('Mar 2020 EDI'!F132,rrcworking[RRC ID],0))</f>
        <v>2141</v>
      </c>
      <c r="O132" s="5">
        <f>INDEX(rrcworking[Lease Use (MCF)],MATCH('Mar 2020 EDI'!F132,rrcworking[RRC ID],0))</f>
        <v>0</v>
      </c>
      <c r="P132" s="5">
        <f>INDEX(rrcworking[Disposition Volume (MCF) @ 14.65 MCF],MATCH('Mar 2020 EDI'!F132,rrcworking[RRC ID],0))</f>
        <v>2141</v>
      </c>
      <c r="Y132" s="5">
        <f>INDEX(rrcworking[Oil Production],MATCH('Mar 2020 EDI'!F132,rrcworking[RRC ID],0))</f>
        <v>457</v>
      </c>
      <c r="AA132" s="5">
        <f>INDEX(rrcworking[Sales/Dispostion],MATCH('Mar 2020 EDI'!F132,rrcworking[RRC ID],0))</f>
        <v>336</v>
      </c>
      <c r="AQ132" s="5">
        <f>INDEX(rrcworking[Closing Stock (Oil)],MATCH('Mar 2020 EDI'!F132,rrcworking[RRC ID],0))</f>
        <v>226</v>
      </c>
    </row>
    <row r="133" spans="1:43">
      <c r="A133" s="4" t="s">
        <v>1</v>
      </c>
      <c r="B133" s="1" t="s">
        <v>1030</v>
      </c>
      <c r="C133" s="10" t="s">
        <v>909</v>
      </c>
      <c r="D133" s="1" t="s">
        <v>618</v>
      </c>
      <c r="E133" s="1" t="s">
        <v>59</v>
      </c>
      <c r="F133" s="1" t="s">
        <v>545</v>
      </c>
      <c r="I133" s="10" t="s">
        <v>3</v>
      </c>
      <c r="J133" s="123" t="s">
        <v>3</v>
      </c>
      <c r="K133" s="1" t="s">
        <v>1090</v>
      </c>
      <c r="M133" s="5">
        <v>202003</v>
      </c>
      <c r="N133" s="5">
        <f>INDEX(rrcworking[Formation Production (MCF) @ 14.65 psi],MATCH('Mar 2020 EDI'!F133,rrcworking[RRC ID],0))</f>
        <v>0</v>
      </c>
      <c r="O133" s="5">
        <f>INDEX(rrcworking[Lease Use (MCF)],MATCH('Mar 2020 EDI'!F133,rrcworking[RRC ID],0))</f>
        <v>0</v>
      </c>
      <c r="P133" s="5">
        <f>INDEX(rrcworking[Disposition Volume (MCF) @ 14.65 MCF],MATCH('Mar 2020 EDI'!F133,rrcworking[RRC ID],0))</f>
        <v>0</v>
      </c>
      <c r="Y133" s="5">
        <f>INDEX(rrcworking[Oil Production],MATCH('Mar 2020 EDI'!F133,rrcworking[RRC ID],0))</f>
        <v>0</v>
      </c>
      <c r="AA133" s="5">
        <f>INDEX(rrcworking[Sales/Dispostion],MATCH('Mar 2020 EDI'!F133,rrcworking[RRC ID],0))</f>
        <v>0</v>
      </c>
      <c r="AQ133" s="5">
        <f>INDEX(rrcworking[Closing Stock (Oil)],MATCH('Mar 2020 EDI'!F133,rrcworking[RRC ID],0))</f>
        <v>0</v>
      </c>
    </row>
    <row r="134" spans="1:43">
      <c r="A134" s="4" t="s">
        <v>1</v>
      </c>
      <c r="B134" s="1" t="s">
        <v>1031</v>
      </c>
      <c r="C134" s="10" t="s">
        <v>909</v>
      </c>
      <c r="D134" s="1" t="s">
        <v>618</v>
      </c>
      <c r="E134" s="1" t="s">
        <v>59</v>
      </c>
      <c r="F134" s="1" t="s">
        <v>546</v>
      </c>
      <c r="I134" s="10" t="s">
        <v>3</v>
      </c>
      <c r="J134" s="123" t="s">
        <v>3</v>
      </c>
      <c r="K134" s="1" t="s">
        <v>1090</v>
      </c>
      <c r="M134" s="5">
        <v>202003</v>
      </c>
      <c r="N134" s="5">
        <f>INDEX(rrcworking[Formation Production (MCF) @ 14.65 psi],MATCH('Mar 2020 EDI'!F134,rrcworking[RRC ID],0))</f>
        <v>0</v>
      </c>
      <c r="O134" s="5">
        <f>INDEX(rrcworking[Lease Use (MCF)],MATCH('Mar 2020 EDI'!F134,rrcworking[RRC ID],0))</f>
        <v>0</v>
      </c>
      <c r="P134" s="5">
        <f>INDEX(rrcworking[Disposition Volume (MCF) @ 14.65 MCF],MATCH('Mar 2020 EDI'!F134,rrcworking[RRC ID],0))</f>
        <v>0</v>
      </c>
      <c r="Y134" s="5">
        <f>INDEX(rrcworking[Oil Production],MATCH('Mar 2020 EDI'!F134,rrcworking[RRC ID],0))</f>
        <v>0</v>
      </c>
      <c r="AA134" s="5">
        <f>INDEX(rrcworking[Sales/Dispostion],MATCH('Mar 2020 EDI'!F134,rrcworking[RRC ID],0))</f>
        <v>0</v>
      </c>
      <c r="AQ134" s="5">
        <f>INDEX(rrcworking[Closing Stock (Oil)],MATCH('Mar 2020 EDI'!F134,rrcworking[RRC ID],0))</f>
        <v>0</v>
      </c>
    </row>
    <row r="135" spans="1:43">
      <c r="A135" s="4" t="s">
        <v>1</v>
      </c>
      <c r="B135" s="1" t="s">
        <v>1032</v>
      </c>
      <c r="C135" s="10" t="s">
        <v>909</v>
      </c>
      <c r="D135" s="1" t="s">
        <v>618</v>
      </c>
      <c r="E135" s="1" t="s">
        <v>2</v>
      </c>
      <c r="F135" s="1" t="s">
        <v>547</v>
      </c>
      <c r="I135" s="10" t="s">
        <v>3</v>
      </c>
      <c r="J135" s="123" t="s">
        <v>3</v>
      </c>
      <c r="K135" s="1" t="s">
        <v>1090</v>
      </c>
      <c r="M135" s="5">
        <v>202003</v>
      </c>
      <c r="N135" s="5">
        <f>INDEX(rrcworking[Formation Production (MCF) @ 14.65 psi],MATCH('Mar 2020 EDI'!F135,rrcworking[RRC ID],0))</f>
        <v>0</v>
      </c>
      <c r="O135" s="5">
        <f>INDEX(rrcworking[Lease Use (MCF)],MATCH('Mar 2020 EDI'!F135,rrcworking[RRC ID],0))</f>
        <v>0</v>
      </c>
      <c r="P135" s="5">
        <f>INDEX(rrcworking[Disposition Volume (MCF) @ 14.65 MCF],MATCH('Mar 2020 EDI'!F135,rrcworking[RRC ID],0))</f>
        <v>0</v>
      </c>
      <c r="Y135" s="5">
        <f>INDEX(rrcworking[Oil Production],MATCH('Mar 2020 EDI'!F135,rrcworking[RRC ID],0))</f>
        <v>0</v>
      </c>
      <c r="AA135" s="5">
        <f>INDEX(rrcworking[Sales/Dispostion],MATCH('Mar 2020 EDI'!F135,rrcworking[RRC ID],0))</f>
        <v>0</v>
      </c>
      <c r="AQ135" s="5">
        <f>INDEX(rrcworking[Closing Stock (Oil)],MATCH('Mar 2020 EDI'!F135,rrcworking[RRC ID],0))</f>
        <v>0</v>
      </c>
    </row>
    <row r="136" spans="1:43">
      <c r="A136" s="4" t="s">
        <v>1</v>
      </c>
      <c r="B136" s="1" t="s">
        <v>1033</v>
      </c>
      <c r="C136" s="10" t="s">
        <v>909</v>
      </c>
      <c r="D136" s="1" t="s">
        <v>618</v>
      </c>
      <c r="E136" s="1" t="s">
        <v>59</v>
      </c>
      <c r="F136" s="1" t="s">
        <v>548</v>
      </c>
      <c r="I136" s="10" t="s">
        <v>3</v>
      </c>
      <c r="J136" s="123" t="s">
        <v>3</v>
      </c>
      <c r="K136" s="1" t="s">
        <v>1090</v>
      </c>
      <c r="M136" s="5">
        <v>202003</v>
      </c>
      <c r="N136" s="5">
        <f>INDEX(rrcworking[Formation Production (MCF) @ 14.65 psi],MATCH('Mar 2020 EDI'!F136,rrcworking[RRC ID],0))</f>
        <v>0</v>
      </c>
      <c r="O136" s="5">
        <f>INDEX(rrcworking[Lease Use (MCF)],MATCH('Mar 2020 EDI'!F136,rrcworking[RRC ID],0))</f>
        <v>0</v>
      </c>
      <c r="P136" s="5">
        <f>INDEX(rrcworking[Disposition Volume (MCF) @ 14.65 MCF],MATCH('Mar 2020 EDI'!F136,rrcworking[RRC ID],0))</f>
        <v>0</v>
      </c>
      <c r="Y136" s="5">
        <f>INDEX(rrcworking[Oil Production],MATCH('Mar 2020 EDI'!F136,rrcworking[RRC ID],0))</f>
        <v>0</v>
      </c>
      <c r="AA136" s="5">
        <f>INDEX(rrcworking[Sales/Dispostion],MATCH('Mar 2020 EDI'!F136,rrcworking[RRC ID],0))</f>
        <v>0</v>
      </c>
      <c r="AQ136" s="5">
        <f>INDEX(rrcworking[Closing Stock (Oil)],MATCH('Mar 2020 EDI'!F136,rrcworking[RRC ID],0))</f>
        <v>0</v>
      </c>
    </row>
    <row r="137" spans="1:43">
      <c r="A137" s="4" t="s">
        <v>1</v>
      </c>
      <c r="B137" s="1" t="s">
        <v>1034</v>
      </c>
      <c r="C137" s="10" t="s">
        <v>909</v>
      </c>
      <c r="D137" s="1" t="s">
        <v>618</v>
      </c>
      <c r="E137" s="1" t="s">
        <v>2</v>
      </c>
      <c r="F137" s="1" t="s">
        <v>549</v>
      </c>
      <c r="I137" s="10" t="s">
        <v>3</v>
      </c>
      <c r="J137" s="123" t="s">
        <v>3</v>
      </c>
      <c r="K137" s="1" t="s">
        <v>1090</v>
      </c>
      <c r="M137" s="5">
        <v>202003</v>
      </c>
      <c r="N137" s="5">
        <f>INDEX(rrcworking[Formation Production (MCF) @ 14.65 psi],MATCH('Mar 2020 EDI'!F137,rrcworking[RRC ID],0))</f>
        <v>0</v>
      </c>
      <c r="O137" s="5">
        <f>INDEX(rrcworking[Lease Use (MCF)],MATCH('Mar 2020 EDI'!F137,rrcworking[RRC ID],0))</f>
        <v>0</v>
      </c>
      <c r="P137" s="5">
        <f>INDEX(rrcworking[Disposition Volume (MCF) @ 14.65 MCF],MATCH('Mar 2020 EDI'!F137,rrcworking[RRC ID],0))</f>
        <v>0</v>
      </c>
      <c r="Y137" s="5">
        <f>INDEX(rrcworking[Oil Production],MATCH('Mar 2020 EDI'!F137,rrcworking[RRC ID],0))</f>
        <v>0</v>
      </c>
      <c r="AA137" s="5">
        <f>INDEX(rrcworking[Sales/Dispostion],MATCH('Mar 2020 EDI'!F137,rrcworking[RRC ID],0))</f>
        <v>0</v>
      </c>
      <c r="AQ137" s="5">
        <f>INDEX(rrcworking[Closing Stock (Oil)],MATCH('Mar 2020 EDI'!F137,rrcworking[RRC ID],0))</f>
        <v>0</v>
      </c>
    </row>
    <row r="138" spans="1:43">
      <c r="A138" s="4" t="s">
        <v>1</v>
      </c>
      <c r="B138" s="1" t="s">
        <v>1035</v>
      </c>
      <c r="C138" s="10" t="s">
        <v>909</v>
      </c>
      <c r="D138" s="1" t="s">
        <v>618</v>
      </c>
      <c r="E138" s="1" t="s">
        <v>59</v>
      </c>
      <c r="F138" s="1" t="s">
        <v>550</v>
      </c>
      <c r="I138" s="10" t="s">
        <v>3</v>
      </c>
      <c r="J138" s="123" t="s">
        <v>3</v>
      </c>
      <c r="K138" s="1" t="s">
        <v>1090</v>
      </c>
      <c r="M138" s="5">
        <v>202003</v>
      </c>
      <c r="N138" s="5">
        <f>INDEX(rrcworking[Formation Production (MCF) @ 14.65 psi],MATCH('Mar 2020 EDI'!F138,rrcworking[RRC ID],0))</f>
        <v>0</v>
      </c>
      <c r="O138" s="5">
        <f>INDEX(rrcworking[Lease Use (MCF)],MATCH('Mar 2020 EDI'!F138,rrcworking[RRC ID],0))</f>
        <v>0</v>
      </c>
      <c r="P138" s="5">
        <f>INDEX(rrcworking[Disposition Volume (MCF) @ 14.65 MCF],MATCH('Mar 2020 EDI'!F138,rrcworking[RRC ID],0))</f>
        <v>0</v>
      </c>
      <c r="Y138" s="5">
        <f>INDEX(rrcworking[Oil Production],MATCH('Mar 2020 EDI'!F138,rrcworking[RRC ID],0))</f>
        <v>0</v>
      </c>
      <c r="AA138" s="5">
        <f>INDEX(rrcworking[Sales/Dispostion],MATCH('Mar 2020 EDI'!F138,rrcworking[RRC ID],0))</f>
        <v>0</v>
      </c>
      <c r="AQ138" s="5">
        <f>INDEX(rrcworking[Closing Stock (Oil)],MATCH('Mar 2020 EDI'!F138,rrcworking[RRC ID],0))</f>
        <v>135</v>
      </c>
    </row>
    <row r="139" spans="1:43">
      <c r="A139" s="4" t="s">
        <v>1</v>
      </c>
      <c r="B139" s="1" t="s">
        <v>1036</v>
      </c>
      <c r="C139" s="10" t="s">
        <v>909</v>
      </c>
      <c r="D139" s="1" t="s">
        <v>618</v>
      </c>
      <c r="E139" s="1" t="s">
        <v>59</v>
      </c>
      <c r="F139" s="1" t="s">
        <v>551</v>
      </c>
      <c r="I139" s="10" t="s">
        <v>3</v>
      </c>
      <c r="J139" s="123" t="s">
        <v>3</v>
      </c>
      <c r="K139" s="1" t="s">
        <v>1090</v>
      </c>
      <c r="M139" s="5">
        <v>202003</v>
      </c>
      <c r="N139" s="5">
        <f>INDEX(rrcworking[Formation Production (MCF) @ 14.65 psi],MATCH('Mar 2020 EDI'!F139,rrcworking[RRC ID],0))</f>
        <v>0</v>
      </c>
      <c r="O139" s="5">
        <f>INDEX(rrcworking[Lease Use (MCF)],MATCH('Mar 2020 EDI'!F139,rrcworking[RRC ID],0))</f>
        <v>0</v>
      </c>
      <c r="P139" s="5">
        <f>INDEX(rrcworking[Disposition Volume (MCF) @ 14.65 MCF],MATCH('Mar 2020 EDI'!F139,rrcworking[RRC ID],0))</f>
        <v>0</v>
      </c>
      <c r="Y139" s="5">
        <f>INDEX(rrcworking[Oil Production],MATCH('Mar 2020 EDI'!F139,rrcworking[RRC ID],0))</f>
        <v>0</v>
      </c>
      <c r="AA139" s="5">
        <f>INDEX(rrcworking[Sales/Dispostion],MATCH('Mar 2020 EDI'!F139,rrcworking[RRC ID],0))</f>
        <v>0</v>
      </c>
      <c r="AQ139" s="5">
        <f>INDEX(rrcworking[Closing Stock (Oil)],MATCH('Mar 2020 EDI'!F139,rrcworking[RRC ID],0))</f>
        <v>134</v>
      </c>
    </row>
    <row r="140" spans="1:43">
      <c r="A140" s="4" t="s">
        <v>1</v>
      </c>
      <c r="B140" s="1" t="s">
        <v>1037</v>
      </c>
      <c r="C140" s="10" t="s">
        <v>909</v>
      </c>
      <c r="D140" s="1" t="s">
        <v>619</v>
      </c>
      <c r="E140" s="1" t="s">
        <v>59</v>
      </c>
      <c r="F140" s="1" t="s">
        <v>552</v>
      </c>
      <c r="I140" s="10" t="s">
        <v>3</v>
      </c>
      <c r="J140" s="123" t="s">
        <v>3</v>
      </c>
      <c r="K140" s="1" t="s">
        <v>1090</v>
      </c>
      <c r="M140" s="5">
        <v>202003</v>
      </c>
      <c r="N140" s="5">
        <f>INDEX(rrcworking[Formation Production (MCF) @ 14.65 psi],MATCH('Mar 2020 EDI'!F140,rrcworking[RRC ID],0))</f>
        <v>0</v>
      </c>
      <c r="O140" s="5">
        <f>INDEX(rrcworking[Lease Use (MCF)],MATCH('Mar 2020 EDI'!F140,rrcworking[RRC ID],0))</f>
        <v>0</v>
      </c>
      <c r="P140" s="5">
        <f>INDEX(rrcworking[Disposition Volume (MCF) @ 14.65 MCF],MATCH('Mar 2020 EDI'!F140,rrcworking[RRC ID],0))</f>
        <v>0</v>
      </c>
      <c r="Y140" s="5">
        <f>INDEX(rrcworking[Oil Production],MATCH('Mar 2020 EDI'!F140,rrcworking[RRC ID],0))</f>
        <v>0</v>
      </c>
      <c r="AA140" s="5">
        <f>INDEX(rrcworking[Sales/Dispostion],MATCH('Mar 2020 EDI'!F140,rrcworking[RRC ID],0))</f>
        <v>0</v>
      </c>
      <c r="AQ140" s="5">
        <f>INDEX(rrcworking[Closing Stock (Oil)],MATCH('Mar 2020 EDI'!F140,rrcworking[RRC ID],0))</f>
        <v>0</v>
      </c>
    </row>
    <row r="141" spans="1:43">
      <c r="A141" s="4" t="s">
        <v>1</v>
      </c>
      <c r="B141" s="1" t="s">
        <v>1038</v>
      </c>
      <c r="C141" s="10" t="s">
        <v>909</v>
      </c>
      <c r="D141" s="1" t="s">
        <v>619</v>
      </c>
      <c r="E141" s="1" t="s">
        <v>2</v>
      </c>
      <c r="F141" s="1" t="s">
        <v>553</v>
      </c>
      <c r="I141" s="10" t="s">
        <v>3</v>
      </c>
      <c r="J141" s="123" t="s">
        <v>3</v>
      </c>
      <c r="K141" s="1" t="s">
        <v>1090</v>
      </c>
      <c r="M141" s="5">
        <v>202003</v>
      </c>
      <c r="N141" s="5">
        <f>INDEX(rrcworking[Formation Production (MCF) @ 14.65 psi],MATCH('Mar 2020 EDI'!F141,rrcworking[RRC ID],0))</f>
        <v>242</v>
      </c>
      <c r="O141" s="5">
        <f>INDEX(rrcworking[Lease Use (MCF)],MATCH('Mar 2020 EDI'!F141,rrcworking[RRC ID],0))</f>
        <v>0</v>
      </c>
      <c r="P141" s="5">
        <f>INDEX(rrcworking[Disposition Volume (MCF) @ 14.65 MCF],MATCH('Mar 2020 EDI'!F141,rrcworking[RRC ID],0))</f>
        <v>242</v>
      </c>
      <c r="Y141" s="5">
        <f>INDEX(rrcworking[Oil Production],MATCH('Mar 2020 EDI'!F141,rrcworking[RRC ID],0))</f>
        <v>50</v>
      </c>
      <c r="AA141" s="5">
        <f>INDEX(rrcworking[Sales/Dispostion],MATCH('Mar 2020 EDI'!F141,rrcworking[RRC ID],0))</f>
        <v>0</v>
      </c>
      <c r="AQ141" s="5">
        <f>INDEX(rrcworking[Closing Stock (Oil)],MATCH('Mar 2020 EDI'!F141,rrcworking[RRC ID],0))</f>
        <v>95</v>
      </c>
    </row>
    <row r="142" spans="1:43">
      <c r="A142" s="4" t="s">
        <v>1</v>
      </c>
      <c r="B142" s="1" t="s">
        <v>1039</v>
      </c>
      <c r="C142" s="10" t="s">
        <v>909</v>
      </c>
      <c r="D142" s="1" t="s">
        <v>619</v>
      </c>
      <c r="E142" s="1" t="s">
        <v>59</v>
      </c>
      <c r="F142" s="1" t="s">
        <v>554</v>
      </c>
      <c r="I142" s="10" t="s">
        <v>3</v>
      </c>
      <c r="J142" s="123" t="s">
        <v>3</v>
      </c>
      <c r="K142" s="1" t="s">
        <v>1090</v>
      </c>
      <c r="M142" s="5">
        <v>202003</v>
      </c>
      <c r="N142" s="5">
        <f>INDEX(rrcworking[Formation Production (MCF) @ 14.65 psi],MATCH('Mar 2020 EDI'!F142,rrcworking[RRC ID],0))</f>
        <v>0</v>
      </c>
      <c r="O142" s="5">
        <f>INDEX(rrcworking[Lease Use (MCF)],MATCH('Mar 2020 EDI'!F142,rrcworking[RRC ID],0))</f>
        <v>0</v>
      </c>
      <c r="P142" s="5">
        <f>INDEX(rrcworking[Disposition Volume (MCF) @ 14.65 MCF],MATCH('Mar 2020 EDI'!F142,rrcworking[RRC ID],0))</f>
        <v>0</v>
      </c>
      <c r="Y142" s="5">
        <f>INDEX(rrcworking[Oil Production],MATCH('Mar 2020 EDI'!F142,rrcworking[RRC ID],0))</f>
        <v>0</v>
      </c>
      <c r="AA142" s="5">
        <f>INDEX(rrcworking[Sales/Dispostion],MATCH('Mar 2020 EDI'!F142,rrcworking[RRC ID],0))</f>
        <v>0</v>
      </c>
      <c r="AQ142" s="5">
        <f>INDEX(rrcworking[Closing Stock (Oil)],MATCH('Mar 2020 EDI'!F142,rrcworking[RRC ID],0))</f>
        <v>0</v>
      </c>
    </row>
    <row r="143" spans="1:43">
      <c r="A143" s="4" t="s">
        <v>1</v>
      </c>
      <c r="B143" s="1" t="s">
        <v>1040</v>
      </c>
      <c r="C143" s="10" t="s">
        <v>909</v>
      </c>
      <c r="D143" s="1" t="s">
        <v>619</v>
      </c>
      <c r="E143" s="1" t="s">
        <v>2</v>
      </c>
      <c r="F143" s="1" t="s">
        <v>555</v>
      </c>
      <c r="I143" s="10" t="s">
        <v>3</v>
      </c>
      <c r="J143" s="123" t="s">
        <v>3</v>
      </c>
      <c r="K143" s="1" t="s">
        <v>1090</v>
      </c>
      <c r="M143" s="5">
        <v>202003</v>
      </c>
      <c r="N143" s="5">
        <f>INDEX(rrcworking[Formation Production (MCF) @ 14.65 psi],MATCH('Mar 2020 EDI'!F143,rrcworking[RRC ID],0))</f>
        <v>0</v>
      </c>
      <c r="O143" s="5">
        <f>INDEX(rrcworking[Lease Use (MCF)],MATCH('Mar 2020 EDI'!F143,rrcworking[RRC ID],0))</f>
        <v>0</v>
      </c>
      <c r="P143" s="5">
        <f>INDEX(rrcworking[Disposition Volume (MCF) @ 14.65 MCF],MATCH('Mar 2020 EDI'!F143,rrcworking[RRC ID],0))</f>
        <v>0</v>
      </c>
      <c r="Y143" s="5">
        <f>INDEX(rrcworking[Oil Production],MATCH('Mar 2020 EDI'!F143,rrcworking[RRC ID],0))</f>
        <v>0</v>
      </c>
      <c r="AA143" s="5">
        <f>INDEX(rrcworking[Sales/Dispostion],MATCH('Mar 2020 EDI'!F143,rrcworking[RRC ID],0))</f>
        <v>0</v>
      </c>
      <c r="AQ143" s="5">
        <f>INDEX(rrcworking[Closing Stock (Oil)],MATCH('Mar 2020 EDI'!F143,rrcworking[RRC ID],0))</f>
        <v>235</v>
      </c>
    </row>
    <row r="144" spans="1:43">
      <c r="A144" s="4" t="s">
        <v>1</v>
      </c>
      <c r="B144" s="1" t="s">
        <v>1041</v>
      </c>
      <c r="C144" s="10" t="s">
        <v>909</v>
      </c>
      <c r="D144" s="1" t="s">
        <v>619</v>
      </c>
      <c r="E144" s="1" t="s">
        <v>59</v>
      </c>
      <c r="F144" s="1" t="s">
        <v>556</v>
      </c>
      <c r="I144" s="10" t="s">
        <v>3</v>
      </c>
      <c r="J144" s="123" t="s">
        <v>3</v>
      </c>
      <c r="K144" s="1" t="s">
        <v>1090</v>
      </c>
      <c r="M144" s="5">
        <v>202003</v>
      </c>
      <c r="N144" s="5">
        <f>INDEX(rrcworking[Formation Production (MCF) @ 14.65 psi],MATCH('Mar 2020 EDI'!F144,rrcworking[RRC ID],0))</f>
        <v>1566</v>
      </c>
      <c r="O144" s="5">
        <f>INDEX(rrcworking[Lease Use (MCF)],MATCH('Mar 2020 EDI'!F144,rrcworking[RRC ID],0))</f>
        <v>280</v>
      </c>
      <c r="P144" s="5">
        <f>INDEX(rrcworking[Disposition Volume (MCF) @ 14.65 MCF],MATCH('Mar 2020 EDI'!F144,rrcworking[RRC ID],0))</f>
        <v>1286</v>
      </c>
      <c r="Y144" s="5">
        <f>INDEX(rrcworking[Oil Production],MATCH('Mar 2020 EDI'!F144,rrcworking[RRC ID],0))</f>
        <v>0</v>
      </c>
      <c r="AA144" s="5">
        <f>INDEX(rrcworking[Sales/Dispostion],MATCH('Mar 2020 EDI'!F144,rrcworking[RRC ID],0))</f>
        <v>0</v>
      </c>
      <c r="AQ144" s="5">
        <f>INDEX(rrcworking[Closing Stock (Oil)],MATCH('Mar 2020 EDI'!F144,rrcworking[RRC ID],0))</f>
        <v>0</v>
      </c>
    </row>
    <row r="145" spans="1:43">
      <c r="A145" s="4" t="s">
        <v>1</v>
      </c>
      <c r="B145" s="1" t="s">
        <v>1042</v>
      </c>
      <c r="C145" s="10" t="s">
        <v>909</v>
      </c>
      <c r="D145" s="1" t="s">
        <v>619</v>
      </c>
      <c r="E145" s="1" t="s">
        <v>59</v>
      </c>
      <c r="F145" s="1" t="s">
        <v>557</v>
      </c>
      <c r="I145" s="10" t="s">
        <v>3</v>
      </c>
      <c r="J145" s="123" t="s">
        <v>3</v>
      </c>
      <c r="K145" s="1" t="s">
        <v>1090</v>
      </c>
      <c r="M145" s="5">
        <v>202003</v>
      </c>
      <c r="N145" s="5">
        <f>INDEX(rrcworking[Formation Production (MCF) @ 14.65 psi],MATCH('Mar 2020 EDI'!F145,rrcworking[RRC ID],0))</f>
        <v>0</v>
      </c>
      <c r="O145" s="5">
        <f>INDEX(rrcworking[Lease Use (MCF)],MATCH('Mar 2020 EDI'!F145,rrcworking[RRC ID],0))</f>
        <v>0</v>
      </c>
      <c r="P145" s="5">
        <f>INDEX(rrcworking[Disposition Volume (MCF) @ 14.65 MCF],MATCH('Mar 2020 EDI'!F145,rrcworking[RRC ID],0))</f>
        <v>0</v>
      </c>
      <c r="Y145" s="5">
        <f>INDEX(rrcworking[Oil Production],MATCH('Mar 2020 EDI'!F145,rrcworking[RRC ID],0))</f>
        <v>0</v>
      </c>
      <c r="AA145" s="5">
        <f>INDEX(rrcworking[Sales/Dispostion],MATCH('Mar 2020 EDI'!F145,rrcworking[RRC ID],0))</f>
        <v>0</v>
      </c>
      <c r="AQ145" s="5">
        <f>INDEX(rrcworking[Closing Stock (Oil)],MATCH('Mar 2020 EDI'!F145,rrcworking[RRC ID],0))</f>
        <v>0</v>
      </c>
    </row>
    <row r="146" spans="1:43">
      <c r="A146" s="4" t="s">
        <v>1</v>
      </c>
      <c r="B146" s="1" t="s">
        <v>1043</v>
      </c>
      <c r="C146" s="10" t="s">
        <v>909</v>
      </c>
      <c r="D146" s="1" t="s">
        <v>619</v>
      </c>
      <c r="E146" s="1" t="s">
        <v>2</v>
      </c>
      <c r="F146" s="1" t="s">
        <v>558</v>
      </c>
      <c r="I146" s="10" t="s">
        <v>3</v>
      </c>
      <c r="J146" s="123" t="s">
        <v>3</v>
      </c>
      <c r="K146" s="1" t="s">
        <v>1090</v>
      </c>
      <c r="M146" s="5">
        <v>202003</v>
      </c>
      <c r="N146" s="5">
        <f>INDEX(rrcworking[Formation Production (MCF) @ 14.65 psi],MATCH('Mar 2020 EDI'!F146,rrcworking[RRC ID],0))</f>
        <v>0</v>
      </c>
      <c r="O146" s="5">
        <f>INDEX(rrcworking[Lease Use (MCF)],MATCH('Mar 2020 EDI'!F146,rrcworking[RRC ID],0))</f>
        <v>0</v>
      </c>
      <c r="P146" s="5">
        <f>INDEX(rrcworking[Disposition Volume (MCF) @ 14.65 MCF],MATCH('Mar 2020 EDI'!F146,rrcworking[RRC ID],0))</f>
        <v>0</v>
      </c>
      <c r="Y146" s="5">
        <f>INDEX(rrcworking[Oil Production],MATCH('Mar 2020 EDI'!F146,rrcworking[RRC ID],0))</f>
        <v>0</v>
      </c>
      <c r="AA146" s="5">
        <f>INDEX(rrcworking[Sales/Dispostion],MATCH('Mar 2020 EDI'!F146,rrcworking[RRC ID],0))</f>
        <v>0</v>
      </c>
      <c r="AQ146" s="5">
        <f>INDEX(rrcworking[Closing Stock (Oil)],MATCH('Mar 2020 EDI'!F146,rrcworking[RRC ID],0))</f>
        <v>90</v>
      </c>
    </row>
    <row r="147" spans="1:43">
      <c r="A147" s="4" t="s">
        <v>1</v>
      </c>
      <c r="B147" s="1" t="s">
        <v>1044</v>
      </c>
      <c r="C147" s="10" t="s">
        <v>909</v>
      </c>
      <c r="D147" s="1" t="s">
        <v>619</v>
      </c>
      <c r="E147" s="1" t="s">
        <v>59</v>
      </c>
      <c r="F147" s="1" t="s">
        <v>559</v>
      </c>
      <c r="I147" s="10" t="s">
        <v>3</v>
      </c>
      <c r="J147" s="123" t="s">
        <v>3</v>
      </c>
      <c r="K147" s="1" t="s">
        <v>1090</v>
      </c>
      <c r="M147" s="5">
        <v>202003</v>
      </c>
      <c r="N147" s="5">
        <f>INDEX(rrcworking[Formation Production (MCF) @ 14.65 psi],MATCH('Mar 2020 EDI'!F147,rrcworking[RRC ID],0))</f>
        <v>0</v>
      </c>
      <c r="O147" s="5">
        <f>INDEX(rrcworking[Lease Use (MCF)],MATCH('Mar 2020 EDI'!F147,rrcworking[RRC ID],0))</f>
        <v>0</v>
      </c>
      <c r="P147" s="5">
        <f>INDEX(rrcworking[Disposition Volume (MCF) @ 14.65 MCF],MATCH('Mar 2020 EDI'!F147,rrcworking[RRC ID],0))</f>
        <v>0</v>
      </c>
      <c r="Y147" s="5">
        <f>INDEX(rrcworking[Oil Production],MATCH('Mar 2020 EDI'!F147,rrcworking[RRC ID],0))</f>
        <v>0</v>
      </c>
      <c r="AA147" s="5">
        <f>INDEX(rrcworking[Sales/Dispostion],MATCH('Mar 2020 EDI'!F147,rrcworking[RRC ID],0))</f>
        <v>0</v>
      </c>
      <c r="AQ147" s="5">
        <f>INDEX(rrcworking[Closing Stock (Oil)],MATCH('Mar 2020 EDI'!F147,rrcworking[RRC ID],0))</f>
        <v>0</v>
      </c>
    </row>
    <row r="148" spans="1:43">
      <c r="A148" s="4" t="s">
        <v>1</v>
      </c>
      <c r="B148" s="1" t="s">
        <v>1045</v>
      </c>
      <c r="C148" s="10" t="s">
        <v>909</v>
      </c>
      <c r="D148" s="1" t="s">
        <v>619</v>
      </c>
      <c r="E148" s="1" t="s">
        <v>2</v>
      </c>
      <c r="F148" s="1" t="s">
        <v>560</v>
      </c>
      <c r="I148" s="10" t="s">
        <v>3</v>
      </c>
      <c r="J148" s="123" t="s">
        <v>3</v>
      </c>
      <c r="K148" s="1" t="s">
        <v>1090</v>
      </c>
      <c r="M148" s="5">
        <v>202003</v>
      </c>
      <c r="N148" s="5">
        <f>INDEX(rrcworking[Formation Production (MCF) @ 14.65 psi],MATCH('Mar 2020 EDI'!F148,rrcworking[RRC ID],0))</f>
        <v>0</v>
      </c>
      <c r="O148" s="5">
        <f>INDEX(rrcworking[Lease Use (MCF)],MATCH('Mar 2020 EDI'!F148,rrcworking[RRC ID],0))</f>
        <v>0</v>
      </c>
      <c r="P148" s="5">
        <f>INDEX(rrcworking[Disposition Volume (MCF) @ 14.65 MCF],MATCH('Mar 2020 EDI'!F148,rrcworking[RRC ID],0))</f>
        <v>0</v>
      </c>
      <c r="Y148" s="5">
        <f>INDEX(rrcworking[Oil Production],MATCH('Mar 2020 EDI'!F148,rrcworking[RRC ID],0))</f>
        <v>0</v>
      </c>
      <c r="AA148" s="5">
        <f>INDEX(rrcworking[Sales/Dispostion],MATCH('Mar 2020 EDI'!F148,rrcworking[RRC ID],0))</f>
        <v>0</v>
      </c>
      <c r="AQ148" s="5">
        <f>INDEX(rrcworking[Closing Stock (Oil)],MATCH('Mar 2020 EDI'!F148,rrcworking[RRC ID],0))</f>
        <v>0</v>
      </c>
    </row>
    <row r="149" spans="1:43">
      <c r="A149" s="4" t="s">
        <v>1</v>
      </c>
      <c r="B149" s="1" t="s">
        <v>1046</v>
      </c>
      <c r="C149" s="10" t="s">
        <v>909</v>
      </c>
      <c r="D149" s="1" t="s">
        <v>619</v>
      </c>
      <c r="E149" s="1" t="s">
        <v>59</v>
      </c>
      <c r="F149" s="1" t="s">
        <v>561</v>
      </c>
      <c r="I149" s="10" t="s">
        <v>3</v>
      </c>
      <c r="J149" s="123" t="s">
        <v>3</v>
      </c>
      <c r="K149" s="1" t="s">
        <v>1090</v>
      </c>
      <c r="M149" s="5">
        <v>202003</v>
      </c>
      <c r="N149" s="5">
        <f>INDEX(rrcworking[Formation Production (MCF) @ 14.65 psi],MATCH('Mar 2020 EDI'!F149,rrcworking[RRC ID],0))</f>
        <v>6442</v>
      </c>
      <c r="O149" s="5">
        <f>INDEX(rrcworking[Lease Use (MCF)],MATCH('Mar 2020 EDI'!F149,rrcworking[RRC ID],0))</f>
        <v>216</v>
      </c>
      <c r="P149" s="5">
        <f>INDEX(rrcworking[Disposition Volume (MCF) @ 14.65 MCF],MATCH('Mar 2020 EDI'!F149,rrcworking[RRC ID],0))</f>
        <v>6226</v>
      </c>
      <c r="Y149" s="5">
        <f>INDEX(rrcworking[Oil Production],MATCH('Mar 2020 EDI'!F149,rrcworking[RRC ID],0))</f>
        <v>0</v>
      </c>
      <c r="AA149" s="5">
        <f>INDEX(rrcworking[Sales/Dispostion],MATCH('Mar 2020 EDI'!F149,rrcworking[RRC ID],0))</f>
        <v>0</v>
      </c>
      <c r="AQ149" s="5">
        <f>INDEX(rrcworking[Closing Stock (Oil)],MATCH('Mar 2020 EDI'!F149,rrcworking[RRC ID],0))</f>
        <v>162</v>
      </c>
    </row>
    <row r="150" spans="1:43">
      <c r="A150" s="4" t="s">
        <v>1</v>
      </c>
      <c r="B150" s="1" t="s">
        <v>1047</v>
      </c>
      <c r="C150" s="10" t="s">
        <v>909</v>
      </c>
      <c r="D150" s="1" t="s">
        <v>619</v>
      </c>
      <c r="E150" s="1" t="s">
        <v>59</v>
      </c>
      <c r="F150" s="1" t="s">
        <v>562</v>
      </c>
      <c r="I150" s="10" t="s">
        <v>3</v>
      </c>
      <c r="J150" s="123" t="s">
        <v>3</v>
      </c>
      <c r="K150" s="1" t="s">
        <v>1090</v>
      </c>
      <c r="M150" s="5">
        <v>202003</v>
      </c>
      <c r="N150" s="5">
        <f>INDEX(rrcworking[Formation Production (MCF) @ 14.65 psi],MATCH('Mar 2020 EDI'!F150,rrcworking[RRC ID],0))</f>
        <v>2418</v>
      </c>
      <c r="O150" s="5">
        <f>INDEX(rrcworking[Lease Use (MCF)],MATCH('Mar 2020 EDI'!F150,rrcworking[RRC ID],0))</f>
        <v>81</v>
      </c>
      <c r="P150" s="5">
        <f>INDEX(rrcworking[Disposition Volume (MCF) @ 14.65 MCF],MATCH('Mar 2020 EDI'!F150,rrcworking[RRC ID],0))</f>
        <v>2337</v>
      </c>
      <c r="Y150" s="5">
        <f>INDEX(rrcworking[Oil Production],MATCH('Mar 2020 EDI'!F150,rrcworking[RRC ID],0))</f>
        <v>0</v>
      </c>
      <c r="AA150" s="5">
        <f>INDEX(rrcworking[Sales/Dispostion],MATCH('Mar 2020 EDI'!F150,rrcworking[RRC ID],0))</f>
        <v>0</v>
      </c>
      <c r="AQ150" s="5">
        <f>INDEX(rrcworking[Closing Stock (Oil)],MATCH('Mar 2020 EDI'!F150,rrcworking[RRC ID],0))</f>
        <v>0</v>
      </c>
    </row>
    <row r="151" spans="1:43">
      <c r="A151" s="4" t="s">
        <v>1</v>
      </c>
      <c r="B151" s="1" t="s">
        <v>1048</v>
      </c>
      <c r="C151" s="10" t="s">
        <v>909</v>
      </c>
      <c r="D151" s="1" t="s">
        <v>619</v>
      </c>
      <c r="E151" s="1" t="s">
        <v>59</v>
      </c>
      <c r="F151" s="1" t="s">
        <v>563</v>
      </c>
      <c r="I151" s="10" t="s">
        <v>3</v>
      </c>
      <c r="J151" s="123" t="s">
        <v>3</v>
      </c>
      <c r="K151" s="1" t="s">
        <v>1090</v>
      </c>
      <c r="M151" s="5">
        <v>202003</v>
      </c>
      <c r="N151" s="5">
        <f>INDEX(rrcworking[Formation Production (MCF) @ 14.65 psi],MATCH('Mar 2020 EDI'!F151,rrcworking[RRC ID],0))</f>
        <v>4385</v>
      </c>
      <c r="O151" s="5">
        <f>INDEX(rrcworking[Lease Use (MCF)],MATCH('Mar 2020 EDI'!F151,rrcworking[RRC ID],0))</f>
        <v>295</v>
      </c>
      <c r="P151" s="5">
        <f>INDEX(rrcworking[Disposition Volume (MCF) @ 14.65 MCF],MATCH('Mar 2020 EDI'!F151,rrcworking[RRC ID],0))</f>
        <v>4090</v>
      </c>
      <c r="Y151" s="5">
        <f>INDEX(rrcworking[Oil Production],MATCH('Mar 2020 EDI'!F151,rrcworking[RRC ID],0))</f>
        <v>0</v>
      </c>
      <c r="AA151" s="5">
        <f>INDEX(rrcworking[Sales/Dispostion],MATCH('Mar 2020 EDI'!F151,rrcworking[RRC ID],0))</f>
        <v>0</v>
      </c>
      <c r="AQ151" s="5">
        <f>INDEX(rrcworking[Closing Stock (Oil)],MATCH('Mar 2020 EDI'!F151,rrcworking[RRC ID],0))</f>
        <v>24</v>
      </c>
    </row>
    <row r="152" spans="1:43">
      <c r="A152" s="4" t="s">
        <v>1</v>
      </c>
      <c r="B152" s="1" t="s">
        <v>1049</v>
      </c>
      <c r="C152" s="10" t="s">
        <v>909</v>
      </c>
      <c r="D152" s="1" t="s">
        <v>619</v>
      </c>
      <c r="E152" s="1" t="s">
        <v>59</v>
      </c>
      <c r="F152" s="1" t="s">
        <v>564</v>
      </c>
      <c r="I152" s="10" t="s">
        <v>3</v>
      </c>
      <c r="J152" s="123" t="s">
        <v>3</v>
      </c>
      <c r="K152" s="1" t="s">
        <v>1090</v>
      </c>
      <c r="M152" s="5">
        <v>202003</v>
      </c>
      <c r="N152" s="5">
        <f>INDEX(rrcworking[Formation Production (MCF) @ 14.65 psi],MATCH('Mar 2020 EDI'!F152,rrcworking[RRC ID],0))</f>
        <v>325</v>
      </c>
      <c r="O152" s="5">
        <f>INDEX(rrcworking[Lease Use (MCF)],MATCH('Mar 2020 EDI'!F152,rrcworking[RRC ID],0))</f>
        <v>22</v>
      </c>
      <c r="P152" s="5">
        <f>INDEX(rrcworking[Disposition Volume (MCF) @ 14.65 MCF],MATCH('Mar 2020 EDI'!F152,rrcworking[RRC ID],0))</f>
        <v>303</v>
      </c>
      <c r="Y152" s="5">
        <f>INDEX(rrcworking[Oil Production],MATCH('Mar 2020 EDI'!F152,rrcworking[RRC ID],0))</f>
        <v>0</v>
      </c>
      <c r="AA152" s="5">
        <f>INDEX(rrcworking[Sales/Dispostion],MATCH('Mar 2020 EDI'!F152,rrcworking[RRC ID],0))</f>
        <v>0</v>
      </c>
      <c r="AQ152" s="5">
        <f>INDEX(rrcworking[Closing Stock (Oil)],MATCH('Mar 2020 EDI'!F152,rrcworking[RRC ID],0))</f>
        <v>0</v>
      </c>
    </row>
    <row r="153" spans="1:43">
      <c r="A153" s="4" t="s">
        <v>1</v>
      </c>
      <c r="B153" s="1" t="s">
        <v>1050</v>
      </c>
      <c r="C153" s="10" t="s">
        <v>909</v>
      </c>
      <c r="D153" s="1" t="s">
        <v>619</v>
      </c>
      <c r="E153" s="1" t="s">
        <v>2</v>
      </c>
      <c r="F153" s="1" t="s">
        <v>565</v>
      </c>
      <c r="I153" s="10" t="s">
        <v>3</v>
      </c>
      <c r="J153" s="123" t="s">
        <v>3</v>
      </c>
      <c r="K153" s="1" t="s">
        <v>1090</v>
      </c>
      <c r="M153" s="5">
        <v>202003</v>
      </c>
      <c r="N153" s="5">
        <f>INDEX(rrcworking[Formation Production (MCF) @ 14.65 psi],MATCH('Mar 2020 EDI'!F153,rrcworking[RRC ID],0))</f>
        <v>0</v>
      </c>
      <c r="O153" s="5">
        <f>INDEX(rrcworking[Lease Use (MCF)],MATCH('Mar 2020 EDI'!F153,rrcworking[RRC ID],0))</f>
        <v>0</v>
      </c>
      <c r="P153" s="5">
        <f>INDEX(rrcworking[Disposition Volume (MCF) @ 14.65 MCF],MATCH('Mar 2020 EDI'!F153,rrcworking[RRC ID],0))</f>
        <v>0</v>
      </c>
      <c r="Y153" s="5">
        <f>INDEX(rrcworking[Oil Production],MATCH('Mar 2020 EDI'!F153,rrcworking[RRC ID],0))</f>
        <v>0</v>
      </c>
      <c r="AA153" s="5">
        <f>INDEX(rrcworking[Sales/Dispostion],MATCH('Mar 2020 EDI'!F153,rrcworking[RRC ID],0))</f>
        <v>0</v>
      </c>
      <c r="AQ153" s="5">
        <f>INDEX(rrcworking[Closing Stock (Oil)],MATCH('Mar 2020 EDI'!F153,rrcworking[RRC ID],0))</f>
        <v>47</v>
      </c>
    </row>
    <row r="154" spans="1:43">
      <c r="A154" s="4" t="s">
        <v>1</v>
      </c>
      <c r="B154" s="1" t="s">
        <v>1051</v>
      </c>
      <c r="C154" s="10" t="s">
        <v>909</v>
      </c>
      <c r="D154" s="1" t="s">
        <v>619</v>
      </c>
      <c r="E154" s="1" t="s">
        <v>2</v>
      </c>
      <c r="F154" s="1" t="s">
        <v>566</v>
      </c>
      <c r="I154" s="10" t="s">
        <v>3</v>
      </c>
      <c r="J154" s="123" t="s">
        <v>3</v>
      </c>
      <c r="K154" s="1" t="s">
        <v>1090</v>
      </c>
      <c r="M154" s="5">
        <v>202003</v>
      </c>
      <c r="N154" s="5">
        <f>INDEX(rrcworking[Formation Production (MCF) @ 14.65 psi],MATCH('Mar 2020 EDI'!F154,rrcworking[RRC ID],0))</f>
        <v>0</v>
      </c>
      <c r="O154" s="5">
        <f>INDEX(rrcworking[Lease Use (MCF)],MATCH('Mar 2020 EDI'!F154,rrcworking[RRC ID],0))</f>
        <v>0</v>
      </c>
      <c r="P154" s="5">
        <f>INDEX(rrcworking[Disposition Volume (MCF) @ 14.65 MCF],MATCH('Mar 2020 EDI'!F154,rrcworking[RRC ID],0))</f>
        <v>0</v>
      </c>
      <c r="Y154" s="5">
        <f>INDEX(rrcworking[Oil Production],MATCH('Mar 2020 EDI'!F154,rrcworking[RRC ID],0))</f>
        <v>0</v>
      </c>
      <c r="AA154" s="5">
        <f>INDEX(rrcworking[Sales/Dispostion],MATCH('Mar 2020 EDI'!F154,rrcworking[RRC ID],0))</f>
        <v>0</v>
      </c>
      <c r="AQ154" s="5">
        <f>INDEX(rrcworking[Closing Stock (Oil)],MATCH('Mar 2020 EDI'!F154,rrcworking[RRC ID],0))</f>
        <v>52</v>
      </c>
    </row>
    <row r="155" spans="1:43">
      <c r="A155" s="4" t="s">
        <v>1</v>
      </c>
      <c r="B155" s="1" t="s">
        <v>1052</v>
      </c>
      <c r="C155" s="10" t="s">
        <v>909</v>
      </c>
      <c r="D155" s="1" t="s">
        <v>619</v>
      </c>
      <c r="E155" s="1" t="s">
        <v>59</v>
      </c>
      <c r="F155" s="1" t="s">
        <v>567</v>
      </c>
      <c r="I155" s="10" t="s">
        <v>3</v>
      </c>
      <c r="J155" s="123" t="s">
        <v>3</v>
      </c>
      <c r="K155" s="1" t="s">
        <v>1090</v>
      </c>
      <c r="M155" s="5">
        <v>202003</v>
      </c>
      <c r="N155" s="5">
        <f>INDEX(rrcworking[Formation Production (MCF) @ 14.65 psi],MATCH('Mar 2020 EDI'!F155,rrcworking[RRC ID],0))</f>
        <v>0</v>
      </c>
      <c r="O155" s="5">
        <f>INDEX(rrcworking[Lease Use (MCF)],MATCH('Mar 2020 EDI'!F155,rrcworking[RRC ID],0))</f>
        <v>0</v>
      </c>
      <c r="P155" s="5">
        <f>INDEX(rrcworking[Disposition Volume (MCF) @ 14.65 MCF],MATCH('Mar 2020 EDI'!F155,rrcworking[RRC ID],0))</f>
        <v>0</v>
      </c>
      <c r="Y155" s="5">
        <f>INDEX(rrcworking[Oil Production],MATCH('Mar 2020 EDI'!F155,rrcworking[RRC ID],0))</f>
        <v>0</v>
      </c>
      <c r="AA155" s="5">
        <f>INDEX(rrcworking[Sales/Dispostion],MATCH('Mar 2020 EDI'!F155,rrcworking[RRC ID],0))</f>
        <v>0</v>
      </c>
      <c r="AQ155" s="5">
        <f>INDEX(rrcworking[Closing Stock (Oil)],MATCH('Mar 2020 EDI'!F155,rrcworking[RRC ID],0))</f>
        <v>0</v>
      </c>
    </row>
    <row r="156" spans="1:43">
      <c r="A156" s="4" t="s">
        <v>1</v>
      </c>
      <c r="B156" s="1" t="s">
        <v>1053</v>
      </c>
      <c r="C156" s="10" t="s">
        <v>909</v>
      </c>
      <c r="D156" s="1" t="s">
        <v>619</v>
      </c>
      <c r="E156" s="1" t="s">
        <v>2</v>
      </c>
      <c r="F156" s="1" t="s">
        <v>568</v>
      </c>
      <c r="I156" s="10" t="s">
        <v>3</v>
      </c>
      <c r="J156" s="123" t="s">
        <v>3</v>
      </c>
      <c r="K156" s="1" t="s">
        <v>1090</v>
      </c>
      <c r="M156" s="5">
        <v>202003</v>
      </c>
      <c r="N156" s="5">
        <f>INDEX(rrcworking[Formation Production (MCF) @ 14.65 psi],MATCH('Mar 2020 EDI'!F156,rrcworking[RRC ID],0))</f>
        <v>0</v>
      </c>
      <c r="O156" s="5">
        <f>INDEX(rrcworking[Lease Use (MCF)],MATCH('Mar 2020 EDI'!F156,rrcworking[RRC ID],0))</f>
        <v>0</v>
      </c>
      <c r="P156" s="5">
        <f>INDEX(rrcworking[Disposition Volume (MCF) @ 14.65 MCF],MATCH('Mar 2020 EDI'!F156,rrcworking[RRC ID],0))</f>
        <v>0</v>
      </c>
      <c r="Y156" s="5">
        <f>INDEX(rrcworking[Oil Production],MATCH('Mar 2020 EDI'!F156,rrcworking[RRC ID],0))</f>
        <v>0</v>
      </c>
      <c r="AA156" s="5">
        <f>INDEX(rrcworking[Sales/Dispostion],MATCH('Mar 2020 EDI'!F156,rrcworking[RRC ID],0))</f>
        <v>0</v>
      </c>
      <c r="AQ156" s="5">
        <f>INDEX(rrcworking[Closing Stock (Oil)],MATCH('Mar 2020 EDI'!F156,rrcworking[RRC ID],0))</f>
        <v>65</v>
      </c>
    </row>
    <row r="157" spans="1:43">
      <c r="A157" s="4" t="s">
        <v>1</v>
      </c>
      <c r="B157" s="1" t="s">
        <v>1054</v>
      </c>
      <c r="C157" s="10" t="s">
        <v>909</v>
      </c>
      <c r="D157" s="1" t="s">
        <v>619</v>
      </c>
      <c r="E157" s="1" t="s">
        <v>2</v>
      </c>
      <c r="F157" s="1" t="s">
        <v>569</v>
      </c>
      <c r="I157" s="10" t="s">
        <v>3</v>
      </c>
      <c r="J157" s="123" t="s">
        <v>3</v>
      </c>
      <c r="K157" s="1" t="s">
        <v>1090</v>
      </c>
      <c r="M157" s="5">
        <v>202003</v>
      </c>
      <c r="N157" s="5">
        <f>INDEX(rrcworking[Formation Production (MCF) @ 14.65 psi],MATCH('Mar 2020 EDI'!F157,rrcworking[RRC ID],0))</f>
        <v>0</v>
      </c>
      <c r="O157" s="5">
        <f>INDEX(rrcworking[Lease Use (MCF)],MATCH('Mar 2020 EDI'!F157,rrcworking[RRC ID],0))</f>
        <v>0</v>
      </c>
      <c r="P157" s="5">
        <f>INDEX(rrcworking[Disposition Volume (MCF) @ 14.65 MCF],MATCH('Mar 2020 EDI'!F157,rrcworking[RRC ID],0))</f>
        <v>0</v>
      </c>
      <c r="Y157" s="5">
        <f>INDEX(rrcworking[Oil Production],MATCH('Mar 2020 EDI'!F157,rrcworking[RRC ID],0))</f>
        <v>0</v>
      </c>
      <c r="AA157" s="5">
        <f>INDEX(rrcworking[Sales/Dispostion],MATCH('Mar 2020 EDI'!F157,rrcworking[RRC ID],0))</f>
        <v>0</v>
      </c>
      <c r="AQ157" s="5">
        <f>INDEX(rrcworking[Closing Stock (Oil)],MATCH('Mar 2020 EDI'!F157,rrcworking[RRC ID],0))</f>
        <v>69</v>
      </c>
    </row>
    <row r="158" spans="1:43">
      <c r="A158" s="4" t="s">
        <v>1</v>
      </c>
      <c r="B158" s="1" t="s">
        <v>1055</v>
      </c>
      <c r="C158" s="10" t="s">
        <v>909</v>
      </c>
      <c r="D158" s="1" t="s">
        <v>619</v>
      </c>
      <c r="E158" s="1" t="s">
        <v>59</v>
      </c>
      <c r="F158" s="1" t="s">
        <v>570</v>
      </c>
      <c r="I158" s="10" t="s">
        <v>3</v>
      </c>
      <c r="J158" s="123" t="s">
        <v>3</v>
      </c>
      <c r="K158" s="1" t="s">
        <v>1090</v>
      </c>
      <c r="M158" s="5">
        <v>202003</v>
      </c>
      <c r="N158" s="5">
        <f>INDEX(rrcworking[Formation Production (MCF) @ 14.65 psi],MATCH('Mar 2020 EDI'!F158,rrcworking[RRC ID],0))</f>
        <v>2843</v>
      </c>
      <c r="O158" s="5">
        <f>INDEX(rrcworking[Lease Use (MCF)],MATCH('Mar 2020 EDI'!F158,rrcworking[RRC ID],0))</f>
        <v>120</v>
      </c>
      <c r="P158" s="5">
        <f>INDEX(rrcworking[Disposition Volume (MCF) @ 14.65 MCF],MATCH('Mar 2020 EDI'!F158,rrcworking[RRC ID],0))</f>
        <v>2723</v>
      </c>
      <c r="Y158" s="5">
        <f>INDEX(rrcworking[Oil Production],MATCH('Mar 2020 EDI'!F158,rrcworking[RRC ID],0))</f>
        <v>0</v>
      </c>
      <c r="AA158" s="5">
        <f>INDEX(rrcworking[Sales/Dispostion],MATCH('Mar 2020 EDI'!F158,rrcworking[RRC ID],0))</f>
        <v>0</v>
      </c>
      <c r="AQ158" s="5">
        <f>INDEX(rrcworking[Closing Stock (Oil)],MATCH('Mar 2020 EDI'!F158,rrcworking[RRC ID],0))</f>
        <v>0</v>
      </c>
    </row>
    <row r="159" spans="1:43">
      <c r="A159" s="4" t="s">
        <v>1</v>
      </c>
      <c r="B159" s="1" t="s">
        <v>1056</v>
      </c>
      <c r="C159" s="10" t="s">
        <v>909</v>
      </c>
      <c r="D159" s="1" t="s">
        <v>619</v>
      </c>
      <c r="E159" s="1" t="s">
        <v>59</v>
      </c>
      <c r="F159" s="1" t="s">
        <v>571</v>
      </c>
      <c r="I159" s="10" t="s">
        <v>3</v>
      </c>
      <c r="J159" s="123" t="s">
        <v>3</v>
      </c>
      <c r="K159" s="1" t="s">
        <v>1090</v>
      </c>
      <c r="M159" s="5">
        <v>202003</v>
      </c>
      <c r="N159" s="5">
        <f>INDEX(rrcworking[Formation Production (MCF) @ 14.65 psi],MATCH('Mar 2020 EDI'!F159,rrcworking[RRC ID],0))</f>
        <v>0</v>
      </c>
      <c r="O159" s="5">
        <f>INDEX(rrcworking[Lease Use (MCF)],MATCH('Mar 2020 EDI'!F159,rrcworking[RRC ID],0))</f>
        <v>0</v>
      </c>
      <c r="P159" s="5">
        <f>INDEX(rrcworking[Disposition Volume (MCF) @ 14.65 MCF],MATCH('Mar 2020 EDI'!F159,rrcworking[RRC ID],0))</f>
        <v>0</v>
      </c>
      <c r="Y159" s="5">
        <f>INDEX(rrcworking[Oil Production],MATCH('Mar 2020 EDI'!F159,rrcworking[RRC ID],0))</f>
        <v>0</v>
      </c>
      <c r="AA159" s="5">
        <f>INDEX(rrcworking[Sales/Dispostion],MATCH('Mar 2020 EDI'!F159,rrcworking[RRC ID],0))</f>
        <v>0</v>
      </c>
      <c r="AQ159" s="5">
        <f>INDEX(rrcworking[Closing Stock (Oil)],MATCH('Mar 2020 EDI'!F159,rrcworking[RRC ID],0))</f>
        <v>43</v>
      </c>
    </row>
    <row r="160" spans="1:43">
      <c r="A160" s="4" t="s">
        <v>1</v>
      </c>
      <c r="B160" s="1" t="s">
        <v>1057</v>
      </c>
      <c r="C160" s="10" t="s">
        <v>909</v>
      </c>
      <c r="D160" s="1" t="s">
        <v>619</v>
      </c>
      <c r="E160" s="1" t="s">
        <v>59</v>
      </c>
      <c r="F160" s="1" t="s">
        <v>572</v>
      </c>
      <c r="I160" s="10" t="s">
        <v>3</v>
      </c>
      <c r="J160" s="123" t="s">
        <v>3</v>
      </c>
      <c r="K160" s="1" t="s">
        <v>1090</v>
      </c>
      <c r="M160" s="5">
        <v>202003</v>
      </c>
      <c r="N160" s="5">
        <f>INDEX(rrcworking[Formation Production (MCF) @ 14.65 psi],MATCH('Mar 2020 EDI'!F160,rrcworking[RRC ID],0))</f>
        <v>0</v>
      </c>
      <c r="O160" s="5">
        <f>INDEX(rrcworking[Lease Use (MCF)],MATCH('Mar 2020 EDI'!F160,rrcworking[RRC ID],0))</f>
        <v>0</v>
      </c>
      <c r="P160" s="5">
        <f>INDEX(rrcworking[Disposition Volume (MCF) @ 14.65 MCF],MATCH('Mar 2020 EDI'!F160,rrcworking[RRC ID],0))</f>
        <v>0</v>
      </c>
      <c r="Y160" s="5">
        <f>INDEX(rrcworking[Oil Production],MATCH('Mar 2020 EDI'!F160,rrcworking[RRC ID],0))</f>
        <v>0</v>
      </c>
      <c r="AA160" s="5">
        <f>INDEX(rrcworking[Sales/Dispostion],MATCH('Mar 2020 EDI'!F160,rrcworking[RRC ID],0))</f>
        <v>0</v>
      </c>
      <c r="AQ160" s="5">
        <f>INDEX(rrcworking[Closing Stock (Oil)],MATCH('Mar 2020 EDI'!F160,rrcworking[RRC ID],0))</f>
        <v>169</v>
      </c>
    </row>
    <row r="161" spans="1:43">
      <c r="A161" s="4" t="s">
        <v>1</v>
      </c>
      <c r="B161" s="1" t="s">
        <v>1058</v>
      </c>
      <c r="C161" s="10" t="s">
        <v>909</v>
      </c>
      <c r="D161" s="1" t="s">
        <v>619</v>
      </c>
      <c r="E161" s="1" t="s">
        <v>59</v>
      </c>
      <c r="F161" s="1" t="s">
        <v>573</v>
      </c>
      <c r="I161" s="10" t="s">
        <v>3</v>
      </c>
      <c r="J161" s="123" t="s">
        <v>3</v>
      </c>
      <c r="K161" s="1" t="s">
        <v>1090</v>
      </c>
      <c r="M161" s="5">
        <v>202003</v>
      </c>
      <c r="N161" s="5">
        <f>INDEX(rrcworking[Formation Production (MCF) @ 14.65 psi],MATCH('Mar 2020 EDI'!F161,rrcworking[RRC ID],0))</f>
        <v>0</v>
      </c>
      <c r="O161" s="5">
        <f>INDEX(rrcworking[Lease Use (MCF)],MATCH('Mar 2020 EDI'!F161,rrcworking[RRC ID],0))</f>
        <v>0</v>
      </c>
      <c r="P161" s="5">
        <f>INDEX(rrcworking[Disposition Volume (MCF) @ 14.65 MCF],MATCH('Mar 2020 EDI'!F161,rrcworking[RRC ID],0))</f>
        <v>0</v>
      </c>
      <c r="Y161" s="5">
        <f>INDEX(rrcworking[Oil Production],MATCH('Mar 2020 EDI'!F161,rrcworking[RRC ID],0))</f>
        <v>0</v>
      </c>
      <c r="AA161" s="5">
        <f>INDEX(rrcworking[Sales/Dispostion],MATCH('Mar 2020 EDI'!F161,rrcworking[RRC ID],0))</f>
        <v>0</v>
      </c>
      <c r="AQ161" s="5">
        <f>INDEX(rrcworking[Closing Stock (Oil)],MATCH('Mar 2020 EDI'!F161,rrcworking[RRC ID],0))</f>
        <v>93</v>
      </c>
    </row>
    <row r="162" spans="1:43">
      <c r="A162" s="4" t="s">
        <v>1</v>
      </c>
      <c r="B162" s="1" t="s">
        <v>1059</v>
      </c>
      <c r="C162" s="10" t="s">
        <v>909</v>
      </c>
      <c r="D162" s="1" t="s">
        <v>619</v>
      </c>
      <c r="E162" s="1" t="s">
        <v>59</v>
      </c>
      <c r="F162" s="1" t="s">
        <v>574</v>
      </c>
      <c r="I162" s="10" t="s">
        <v>3</v>
      </c>
      <c r="J162" s="123" t="s">
        <v>3</v>
      </c>
      <c r="K162" s="1" t="s">
        <v>1090</v>
      </c>
      <c r="M162" s="5">
        <v>202003</v>
      </c>
      <c r="N162" s="5">
        <f>INDEX(rrcworking[Formation Production (MCF) @ 14.65 psi],MATCH('Mar 2020 EDI'!F162,rrcworking[RRC ID],0))</f>
        <v>2596</v>
      </c>
      <c r="O162" s="5">
        <f>INDEX(rrcworking[Lease Use (MCF)],MATCH('Mar 2020 EDI'!F162,rrcworking[RRC ID],0))</f>
        <v>0</v>
      </c>
      <c r="P162" s="5">
        <f>INDEX(rrcworking[Disposition Volume (MCF) @ 14.65 MCF],MATCH('Mar 2020 EDI'!F162,rrcworking[RRC ID],0))</f>
        <v>2596</v>
      </c>
      <c r="Y162" s="5">
        <f>INDEX(rrcworking[Oil Production],MATCH('Mar 2020 EDI'!F162,rrcworking[RRC ID],0))</f>
        <v>2</v>
      </c>
      <c r="AA162" s="5">
        <f>INDEX(rrcworking[Sales/Dispostion],MATCH('Mar 2020 EDI'!F162,rrcworking[RRC ID],0))</f>
        <v>0</v>
      </c>
      <c r="AQ162" s="5">
        <f>INDEX(rrcworking[Closing Stock (Oil)],MATCH('Mar 2020 EDI'!F162,rrcworking[RRC ID],0))</f>
        <v>95</v>
      </c>
    </row>
    <row r="163" spans="1:43">
      <c r="A163" s="4" t="s">
        <v>1</v>
      </c>
      <c r="B163" s="1" t="s">
        <v>1060</v>
      </c>
      <c r="C163" s="10" t="s">
        <v>909</v>
      </c>
      <c r="D163" s="1" t="s">
        <v>619</v>
      </c>
      <c r="E163" s="1" t="s">
        <v>59</v>
      </c>
      <c r="F163" s="1" t="s">
        <v>575</v>
      </c>
      <c r="I163" s="10" t="s">
        <v>3</v>
      </c>
      <c r="J163" s="123" t="s">
        <v>3</v>
      </c>
      <c r="K163" s="1" t="s">
        <v>1090</v>
      </c>
      <c r="M163" s="5">
        <v>202003</v>
      </c>
      <c r="N163" s="5">
        <f>INDEX(rrcworking[Formation Production (MCF) @ 14.65 psi],MATCH('Mar 2020 EDI'!F163,rrcworking[RRC ID],0))</f>
        <v>0</v>
      </c>
      <c r="O163" s="5">
        <f>INDEX(rrcworking[Lease Use (MCF)],MATCH('Mar 2020 EDI'!F163,rrcworking[RRC ID],0))</f>
        <v>0</v>
      </c>
      <c r="P163" s="5">
        <f>INDEX(rrcworking[Disposition Volume (MCF) @ 14.65 MCF],MATCH('Mar 2020 EDI'!F163,rrcworking[RRC ID],0))</f>
        <v>0</v>
      </c>
      <c r="Y163" s="5">
        <f>INDEX(rrcworking[Oil Production],MATCH('Mar 2020 EDI'!F163,rrcworking[RRC ID],0))</f>
        <v>0</v>
      </c>
      <c r="AA163" s="5">
        <f>INDEX(rrcworking[Sales/Dispostion],MATCH('Mar 2020 EDI'!F163,rrcworking[RRC ID],0))</f>
        <v>0</v>
      </c>
      <c r="AQ163" s="5">
        <f>INDEX(rrcworking[Closing Stock (Oil)],MATCH('Mar 2020 EDI'!F163,rrcworking[RRC ID],0))</f>
        <v>0</v>
      </c>
    </row>
    <row r="164" spans="1:43">
      <c r="A164" s="4" t="s">
        <v>1</v>
      </c>
      <c r="B164" s="1" t="s">
        <v>1061</v>
      </c>
      <c r="C164" s="10" t="s">
        <v>909</v>
      </c>
      <c r="D164" s="1" t="s">
        <v>619</v>
      </c>
      <c r="E164" s="1" t="s">
        <v>59</v>
      </c>
      <c r="F164" s="1" t="s">
        <v>576</v>
      </c>
      <c r="I164" s="10" t="s">
        <v>3</v>
      </c>
      <c r="J164" s="123" t="s">
        <v>3</v>
      </c>
      <c r="K164" s="1" t="s">
        <v>1090</v>
      </c>
      <c r="M164" s="5">
        <v>202003</v>
      </c>
      <c r="N164" s="5">
        <f>INDEX(rrcworking[Formation Production (MCF) @ 14.65 psi],MATCH('Mar 2020 EDI'!F164,rrcworking[RRC ID],0))</f>
        <v>0</v>
      </c>
      <c r="O164" s="5">
        <f>INDEX(rrcworking[Lease Use (MCF)],MATCH('Mar 2020 EDI'!F164,rrcworking[RRC ID],0))</f>
        <v>0</v>
      </c>
      <c r="P164" s="5">
        <f>INDEX(rrcworking[Disposition Volume (MCF) @ 14.65 MCF],MATCH('Mar 2020 EDI'!F164,rrcworking[RRC ID],0))</f>
        <v>0</v>
      </c>
      <c r="Y164" s="5">
        <f>INDEX(rrcworking[Oil Production],MATCH('Mar 2020 EDI'!F164,rrcworking[RRC ID],0))</f>
        <v>0</v>
      </c>
      <c r="AA164" s="5">
        <f>INDEX(rrcworking[Sales/Dispostion],MATCH('Mar 2020 EDI'!F164,rrcworking[RRC ID],0))</f>
        <v>0</v>
      </c>
      <c r="AQ164" s="5">
        <f>INDEX(rrcworking[Closing Stock (Oil)],MATCH('Mar 2020 EDI'!F164,rrcworking[RRC ID],0))</f>
        <v>0</v>
      </c>
    </row>
    <row r="165" spans="1:43">
      <c r="A165" s="4" t="s">
        <v>1</v>
      </c>
      <c r="B165" s="1" t="s">
        <v>1062</v>
      </c>
      <c r="C165" s="10" t="s">
        <v>909</v>
      </c>
      <c r="D165" s="1" t="s">
        <v>619</v>
      </c>
      <c r="E165" s="1" t="s">
        <v>59</v>
      </c>
      <c r="F165" s="1" t="s">
        <v>577</v>
      </c>
      <c r="I165" s="10" t="s">
        <v>3</v>
      </c>
      <c r="J165" s="123" t="s">
        <v>3</v>
      </c>
      <c r="K165" s="1" t="s">
        <v>1090</v>
      </c>
      <c r="M165" s="5">
        <v>202003</v>
      </c>
      <c r="N165" s="5">
        <f>INDEX(rrcworking[Formation Production (MCF) @ 14.65 psi],MATCH('Mar 2020 EDI'!F165,rrcworking[RRC ID],0))</f>
        <v>0</v>
      </c>
      <c r="O165" s="5">
        <f>INDEX(rrcworking[Lease Use (MCF)],MATCH('Mar 2020 EDI'!F165,rrcworking[RRC ID],0))</f>
        <v>0</v>
      </c>
      <c r="P165" s="5">
        <f>INDEX(rrcworking[Disposition Volume (MCF) @ 14.65 MCF],MATCH('Mar 2020 EDI'!F165,rrcworking[RRC ID],0))</f>
        <v>0</v>
      </c>
      <c r="Y165" s="5">
        <f>INDEX(rrcworking[Oil Production],MATCH('Mar 2020 EDI'!F165,rrcworking[RRC ID],0))</f>
        <v>0</v>
      </c>
      <c r="AA165" s="5">
        <f>INDEX(rrcworking[Sales/Dispostion],MATCH('Mar 2020 EDI'!F165,rrcworking[RRC ID],0))</f>
        <v>0</v>
      </c>
      <c r="AQ165" s="5">
        <f>INDEX(rrcworking[Closing Stock (Oil)],MATCH('Mar 2020 EDI'!F165,rrcworking[RRC ID],0))</f>
        <v>0</v>
      </c>
    </row>
    <row r="166" spans="1:43">
      <c r="A166" s="4" t="s">
        <v>1</v>
      </c>
      <c r="B166" s="1" t="s">
        <v>1063</v>
      </c>
      <c r="C166" s="10" t="s">
        <v>909</v>
      </c>
      <c r="D166" s="1" t="s">
        <v>619</v>
      </c>
      <c r="E166" s="1" t="s">
        <v>59</v>
      </c>
      <c r="F166" s="1" t="s">
        <v>578</v>
      </c>
      <c r="I166" s="10" t="s">
        <v>3</v>
      </c>
      <c r="J166" s="123" t="s">
        <v>3</v>
      </c>
      <c r="K166" s="1" t="s">
        <v>1090</v>
      </c>
      <c r="M166" s="5">
        <v>202003</v>
      </c>
      <c r="N166" s="5">
        <f>INDEX(rrcworking[Formation Production (MCF) @ 14.65 psi],MATCH('Mar 2020 EDI'!F166,rrcworking[RRC ID],0))</f>
        <v>214</v>
      </c>
      <c r="O166" s="5">
        <f>INDEX(rrcworking[Lease Use (MCF)],MATCH('Mar 2020 EDI'!F166,rrcworking[RRC ID],0))</f>
        <v>0</v>
      </c>
      <c r="P166" s="5">
        <f>INDEX(rrcworking[Disposition Volume (MCF) @ 14.65 MCF],MATCH('Mar 2020 EDI'!F166,rrcworking[RRC ID],0))</f>
        <v>214</v>
      </c>
      <c r="Y166" s="5">
        <f>INDEX(rrcworking[Oil Production],MATCH('Mar 2020 EDI'!F166,rrcworking[RRC ID],0))</f>
        <v>0</v>
      </c>
      <c r="AA166" s="5">
        <f>INDEX(rrcworking[Sales/Dispostion],MATCH('Mar 2020 EDI'!F166,rrcworking[RRC ID],0))</f>
        <v>0</v>
      </c>
      <c r="AQ166" s="5">
        <f>INDEX(rrcworking[Closing Stock (Oil)],MATCH('Mar 2020 EDI'!F166,rrcworking[RRC ID],0))</f>
        <v>3</v>
      </c>
    </row>
    <row r="167" spans="1:43">
      <c r="A167" s="4" t="s">
        <v>1</v>
      </c>
      <c r="B167" s="1" t="s">
        <v>1064</v>
      </c>
      <c r="C167" s="10" t="s">
        <v>909</v>
      </c>
      <c r="D167" s="1" t="s">
        <v>619</v>
      </c>
      <c r="E167" s="1" t="s">
        <v>59</v>
      </c>
      <c r="F167" s="1" t="s">
        <v>579</v>
      </c>
      <c r="I167" s="10" t="s">
        <v>3</v>
      </c>
      <c r="J167" s="123" t="s">
        <v>3</v>
      </c>
      <c r="K167" s="1" t="s">
        <v>1090</v>
      </c>
      <c r="M167" s="5">
        <v>202003</v>
      </c>
      <c r="N167" s="5">
        <f>INDEX(rrcworking[Formation Production (MCF) @ 14.65 psi],MATCH('Mar 2020 EDI'!F167,rrcworking[RRC ID],0))</f>
        <v>199</v>
      </c>
      <c r="O167" s="5">
        <f>INDEX(rrcworking[Lease Use (MCF)],MATCH('Mar 2020 EDI'!F167,rrcworking[RRC ID],0))</f>
        <v>0</v>
      </c>
      <c r="P167" s="5">
        <f>INDEX(rrcworking[Disposition Volume (MCF) @ 14.65 MCF],MATCH('Mar 2020 EDI'!F167,rrcworking[RRC ID],0))</f>
        <v>199</v>
      </c>
      <c r="Y167" s="5">
        <f>INDEX(rrcworking[Oil Production],MATCH('Mar 2020 EDI'!F167,rrcworking[RRC ID],0))</f>
        <v>0</v>
      </c>
      <c r="AA167" s="5">
        <f>INDEX(rrcworking[Sales/Dispostion],MATCH('Mar 2020 EDI'!F167,rrcworking[RRC ID],0))</f>
        <v>0</v>
      </c>
      <c r="AQ167" s="5">
        <f>INDEX(rrcworking[Closing Stock (Oil)],MATCH('Mar 2020 EDI'!F167,rrcworking[RRC ID],0))</f>
        <v>0</v>
      </c>
    </row>
    <row r="168" spans="1:43">
      <c r="A168" s="4" t="s">
        <v>1</v>
      </c>
      <c r="B168" s="1" t="s">
        <v>1065</v>
      </c>
      <c r="C168" s="10" t="s">
        <v>909</v>
      </c>
      <c r="D168" s="1" t="s">
        <v>619</v>
      </c>
      <c r="E168" s="1" t="s">
        <v>59</v>
      </c>
      <c r="F168" s="1" t="s">
        <v>580</v>
      </c>
      <c r="I168" s="10" t="s">
        <v>3</v>
      </c>
      <c r="J168" s="123" t="s">
        <v>3</v>
      </c>
      <c r="K168" s="1" t="s">
        <v>1090</v>
      </c>
      <c r="M168" s="5">
        <v>202003</v>
      </c>
      <c r="N168" s="5">
        <f>INDEX(rrcworking[Formation Production (MCF) @ 14.65 psi],MATCH('Mar 2020 EDI'!F168,rrcworking[RRC ID],0))</f>
        <v>774</v>
      </c>
      <c r="O168" s="5">
        <f>INDEX(rrcworking[Lease Use (MCF)],MATCH('Mar 2020 EDI'!F168,rrcworking[RRC ID],0))</f>
        <v>0</v>
      </c>
      <c r="P168" s="5">
        <f>INDEX(rrcworking[Disposition Volume (MCF) @ 14.65 MCF],MATCH('Mar 2020 EDI'!F168,rrcworking[RRC ID],0))</f>
        <v>774</v>
      </c>
      <c r="Y168" s="5">
        <f>INDEX(rrcworking[Oil Production],MATCH('Mar 2020 EDI'!F168,rrcworking[RRC ID],0))</f>
        <v>0</v>
      </c>
      <c r="AA168" s="5">
        <f>INDEX(rrcworking[Sales/Dispostion],MATCH('Mar 2020 EDI'!F168,rrcworking[RRC ID],0))</f>
        <v>0</v>
      </c>
      <c r="AQ168" s="5">
        <f>INDEX(rrcworking[Closing Stock (Oil)],MATCH('Mar 2020 EDI'!F168,rrcworking[RRC ID],0))</f>
        <v>0</v>
      </c>
    </row>
    <row r="169" spans="1:43">
      <c r="A169" s="4" t="s">
        <v>1</v>
      </c>
      <c r="B169" s="1" t="s">
        <v>1066</v>
      </c>
      <c r="C169" s="10" t="s">
        <v>909</v>
      </c>
      <c r="D169" s="1" t="s">
        <v>619</v>
      </c>
      <c r="E169" s="1" t="s">
        <v>59</v>
      </c>
      <c r="F169" s="1" t="s">
        <v>581</v>
      </c>
      <c r="I169" s="10" t="s">
        <v>3</v>
      </c>
      <c r="J169" s="123" t="s">
        <v>3</v>
      </c>
      <c r="K169" s="1" t="s">
        <v>1090</v>
      </c>
      <c r="M169" s="5">
        <v>202003</v>
      </c>
      <c r="N169" s="5">
        <f>INDEX(rrcworking[Formation Production (MCF) @ 14.65 psi],MATCH('Mar 2020 EDI'!F169,rrcworking[RRC ID],0))</f>
        <v>0</v>
      </c>
      <c r="O169" s="5">
        <f>INDEX(rrcworking[Lease Use (MCF)],MATCH('Mar 2020 EDI'!F169,rrcworking[RRC ID],0))</f>
        <v>0</v>
      </c>
      <c r="P169" s="5">
        <f>INDEX(rrcworking[Disposition Volume (MCF) @ 14.65 MCF],MATCH('Mar 2020 EDI'!F169,rrcworking[RRC ID],0))</f>
        <v>0</v>
      </c>
      <c r="Y169" s="5">
        <f>INDEX(rrcworking[Oil Production],MATCH('Mar 2020 EDI'!F169,rrcworking[RRC ID],0))</f>
        <v>0</v>
      </c>
      <c r="AA169" s="5">
        <f>INDEX(rrcworking[Sales/Dispostion],MATCH('Mar 2020 EDI'!F169,rrcworking[RRC ID],0))</f>
        <v>0</v>
      </c>
      <c r="AQ169" s="5">
        <f>INDEX(rrcworking[Closing Stock (Oil)],MATCH('Mar 2020 EDI'!F169,rrcworking[RRC ID],0))</f>
        <v>0</v>
      </c>
    </row>
    <row r="170" spans="1:43">
      <c r="A170" s="4" t="s">
        <v>1</v>
      </c>
      <c r="B170" s="1" t="s">
        <v>1067</v>
      </c>
      <c r="C170" s="10" t="s">
        <v>909</v>
      </c>
      <c r="D170" s="1" t="s">
        <v>619</v>
      </c>
      <c r="E170" s="1" t="s">
        <v>59</v>
      </c>
      <c r="F170" s="1" t="s">
        <v>582</v>
      </c>
      <c r="I170" s="10" t="s">
        <v>3</v>
      </c>
      <c r="J170" s="123" t="s">
        <v>3</v>
      </c>
      <c r="K170" s="1" t="s">
        <v>1090</v>
      </c>
      <c r="M170" s="5">
        <v>202003</v>
      </c>
      <c r="N170" s="5">
        <f>INDEX(rrcworking[Formation Production (MCF) @ 14.65 psi],MATCH('Mar 2020 EDI'!F170,rrcworking[RRC ID],0))</f>
        <v>1049</v>
      </c>
      <c r="O170" s="5">
        <f>INDEX(rrcworking[Lease Use (MCF)],MATCH('Mar 2020 EDI'!F170,rrcworking[RRC ID],0))</f>
        <v>60</v>
      </c>
      <c r="P170" s="5">
        <f>INDEX(rrcworking[Disposition Volume (MCF) @ 14.65 MCF],MATCH('Mar 2020 EDI'!F170,rrcworking[RRC ID],0))</f>
        <v>989</v>
      </c>
      <c r="Y170" s="5">
        <f>INDEX(rrcworking[Oil Production],MATCH('Mar 2020 EDI'!F170,rrcworking[RRC ID],0))</f>
        <v>78</v>
      </c>
      <c r="AA170" s="5">
        <f>INDEX(rrcworking[Sales/Dispostion],MATCH('Mar 2020 EDI'!F170,rrcworking[RRC ID],0))</f>
        <v>345</v>
      </c>
      <c r="AQ170" s="5">
        <f>INDEX(rrcworking[Closing Stock (Oil)],MATCH('Mar 2020 EDI'!F170,rrcworking[RRC ID],0))</f>
        <v>27</v>
      </c>
    </row>
    <row r="171" spans="1:43">
      <c r="A171" s="4" t="s">
        <v>1</v>
      </c>
      <c r="B171" s="1" t="s">
        <v>1068</v>
      </c>
      <c r="C171" s="10" t="s">
        <v>909</v>
      </c>
      <c r="D171" s="1" t="s">
        <v>619</v>
      </c>
      <c r="E171" s="1" t="s">
        <v>59</v>
      </c>
      <c r="F171" s="1" t="s">
        <v>583</v>
      </c>
      <c r="I171" s="10" t="s">
        <v>3</v>
      </c>
      <c r="J171" s="123" t="s">
        <v>3</v>
      </c>
      <c r="K171" s="1" t="s">
        <v>1090</v>
      </c>
      <c r="M171" s="5">
        <v>202003</v>
      </c>
      <c r="N171" s="5">
        <f>INDEX(rrcworking[Formation Production (MCF) @ 14.65 psi],MATCH('Mar 2020 EDI'!F171,rrcworking[RRC ID],0))</f>
        <v>0</v>
      </c>
      <c r="O171" s="5">
        <f>INDEX(rrcworking[Lease Use (MCF)],MATCH('Mar 2020 EDI'!F171,rrcworking[RRC ID],0))</f>
        <v>0</v>
      </c>
      <c r="P171" s="5">
        <f>INDEX(rrcworking[Disposition Volume (MCF) @ 14.65 MCF],MATCH('Mar 2020 EDI'!F171,rrcworking[RRC ID],0))</f>
        <v>0</v>
      </c>
      <c r="Y171" s="5">
        <f>INDEX(rrcworking[Oil Production],MATCH('Mar 2020 EDI'!F171,rrcworking[RRC ID],0))</f>
        <v>0</v>
      </c>
      <c r="AA171" s="5">
        <f>INDEX(rrcworking[Sales/Dispostion],MATCH('Mar 2020 EDI'!F171,rrcworking[RRC ID],0))</f>
        <v>0</v>
      </c>
      <c r="AQ171" s="5">
        <f>INDEX(rrcworking[Closing Stock (Oil)],MATCH('Mar 2020 EDI'!F171,rrcworking[RRC ID],0))</f>
        <v>166</v>
      </c>
    </row>
    <row r="172" spans="1:43">
      <c r="A172" s="4" t="s">
        <v>1</v>
      </c>
      <c r="B172" s="1" t="s">
        <v>1069</v>
      </c>
      <c r="C172" s="10" t="s">
        <v>909</v>
      </c>
      <c r="D172" s="1" t="s">
        <v>619</v>
      </c>
      <c r="E172" s="1" t="s">
        <v>59</v>
      </c>
      <c r="F172" s="1" t="s">
        <v>584</v>
      </c>
      <c r="I172" s="10" t="s">
        <v>3</v>
      </c>
      <c r="J172" s="123" t="s">
        <v>3</v>
      </c>
      <c r="K172" s="1">
        <v>5050</v>
      </c>
      <c r="M172" s="5">
        <v>202003</v>
      </c>
      <c r="N172" s="5">
        <f>INDEX(rrcworking[Formation Production (MCF) @ 14.65 psi],MATCH('Mar 2020 EDI'!F172,rrcworking[RRC ID],0))</f>
        <v>3425</v>
      </c>
      <c r="O172" s="5">
        <f>INDEX(rrcworking[Lease Use (MCF)],MATCH('Mar 2020 EDI'!F172,rrcworking[RRC ID],0))</f>
        <v>0</v>
      </c>
      <c r="P172" s="5">
        <f>INDEX(rrcworking[Disposition Volume (MCF) @ 14.65 MCF],MATCH('Mar 2020 EDI'!F172,rrcworking[RRC ID],0))</f>
        <v>3425</v>
      </c>
      <c r="Y172" s="5">
        <f>INDEX(rrcworking[Oil Production],MATCH('Mar 2020 EDI'!F172,rrcworking[RRC ID],0))</f>
        <v>119</v>
      </c>
      <c r="AA172" s="5">
        <f>INDEX(rrcworking[Sales/Dispostion],MATCH('Mar 2020 EDI'!F172,rrcworking[RRC ID],0))</f>
        <v>140</v>
      </c>
      <c r="AQ172" s="5">
        <f>INDEX(rrcworking[Closing Stock (Oil)],MATCH('Mar 2020 EDI'!F172,rrcworking[RRC ID],0))</f>
        <v>15</v>
      </c>
    </row>
    <row r="173" spans="1:43">
      <c r="A173" s="4" t="s">
        <v>1</v>
      </c>
      <c r="B173" s="1" t="s">
        <v>1070</v>
      </c>
      <c r="C173" s="10" t="s">
        <v>909</v>
      </c>
      <c r="D173" s="1" t="s">
        <v>619</v>
      </c>
      <c r="E173" s="1" t="s">
        <v>59</v>
      </c>
      <c r="F173" s="1" t="s">
        <v>585</v>
      </c>
      <c r="I173" s="10" t="s">
        <v>3</v>
      </c>
      <c r="J173" s="123" t="s">
        <v>3</v>
      </c>
      <c r="K173" s="1" t="s">
        <v>1090</v>
      </c>
      <c r="M173" s="5">
        <v>202003</v>
      </c>
      <c r="N173" s="5">
        <f>INDEX(rrcworking[Formation Production (MCF) @ 14.65 psi],MATCH('Mar 2020 EDI'!F173,rrcworking[RRC ID],0))</f>
        <v>0</v>
      </c>
      <c r="O173" s="5">
        <f>INDEX(rrcworking[Lease Use (MCF)],MATCH('Mar 2020 EDI'!F173,rrcworking[RRC ID],0))</f>
        <v>0</v>
      </c>
      <c r="P173" s="5">
        <f>INDEX(rrcworking[Disposition Volume (MCF) @ 14.65 MCF],MATCH('Mar 2020 EDI'!F173,rrcworking[RRC ID],0))</f>
        <v>0</v>
      </c>
      <c r="Y173" s="5">
        <f>INDEX(rrcworking[Oil Production],MATCH('Mar 2020 EDI'!F173,rrcworking[RRC ID],0))</f>
        <v>0</v>
      </c>
      <c r="AA173" s="5">
        <f>INDEX(rrcworking[Sales/Dispostion],MATCH('Mar 2020 EDI'!F173,rrcworking[RRC ID],0))</f>
        <v>0</v>
      </c>
      <c r="AQ173" s="5">
        <f>INDEX(rrcworking[Closing Stock (Oil)],MATCH('Mar 2020 EDI'!F173,rrcworking[RRC ID],0))</f>
        <v>0</v>
      </c>
    </row>
    <row r="174" spans="1:43">
      <c r="A174" s="4" t="s">
        <v>1</v>
      </c>
      <c r="B174" s="1" t="s">
        <v>1071</v>
      </c>
      <c r="C174" s="10" t="s">
        <v>909</v>
      </c>
      <c r="D174" s="1" t="s">
        <v>619</v>
      </c>
      <c r="E174" s="1" t="s">
        <v>59</v>
      </c>
      <c r="F174" s="1" t="s">
        <v>586</v>
      </c>
      <c r="I174" s="10" t="s">
        <v>3</v>
      </c>
      <c r="J174" s="123" t="s">
        <v>3</v>
      </c>
      <c r="K174" s="1" t="s">
        <v>1090</v>
      </c>
      <c r="M174" s="5">
        <v>202003</v>
      </c>
      <c r="N174" s="5">
        <f>INDEX(rrcworking[Formation Production (MCF) @ 14.65 psi],MATCH('Mar 2020 EDI'!F174,rrcworking[RRC ID],0))</f>
        <v>0</v>
      </c>
      <c r="O174" s="5">
        <f>INDEX(rrcworking[Lease Use (MCF)],MATCH('Mar 2020 EDI'!F174,rrcworking[RRC ID],0))</f>
        <v>0</v>
      </c>
      <c r="P174" s="5">
        <f>INDEX(rrcworking[Disposition Volume (MCF) @ 14.65 MCF],MATCH('Mar 2020 EDI'!F174,rrcworking[RRC ID],0))</f>
        <v>0</v>
      </c>
      <c r="Y174" s="5">
        <f>INDEX(rrcworking[Oil Production],MATCH('Mar 2020 EDI'!F174,rrcworking[RRC ID],0))</f>
        <v>0</v>
      </c>
      <c r="AA174" s="5">
        <f>INDEX(rrcworking[Sales/Dispostion],MATCH('Mar 2020 EDI'!F174,rrcworking[RRC ID],0))</f>
        <v>0</v>
      </c>
      <c r="AQ174" s="5">
        <f>INDEX(rrcworking[Closing Stock (Oil)],MATCH('Mar 2020 EDI'!F174,rrcworking[RRC ID],0))</f>
        <v>92</v>
      </c>
    </row>
    <row r="175" spans="1:43">
      <c r="A175" s="4" t="s">
        <v>1</v>
      </c>
      <c r="B175" s="1" t="s">
        <v>1072</v>
      </c>
      <c r="C175" s="10" t="s">
        <v>909</v>
      </c>
      <c r="D175" s="1" t="s">
        <v>619</v>
      </c>
      <c r="E175" s="1" t="s">
        <v>59</v>
      </c>
      <c r="F175" s="1" t="s">
        <v>587</v>
      </c>
      <c r="I175" s="10" t="s">
        <v>3</v>
      </c>
      <c r="J175" s="123" t="s">
        <v>3</v>
      </c>
      <c r="K175" s="1" t="s">
        <v>1090</v>
      </c>
      <c r="M175" s="5">
        <v>202003</v>
      </c>
      <c r="N175" s="5">
        <f>INDEX(rrcworking[Formation Production (MCF) @ 14.65 psi],MATCH('Mar 2020 EDI'!F175,rrcworking[RRC ID],0))</f>
        <v>0</v>
      </c>
      <c r="O175" s="5">
        <f>INDEX(rrcworking[Lease Use (MCF)],MATCH('Mar 2020 EDI'!F175,rrcworking[RRC ID],0))</f>
        <v>0</v>
      </c>
      <c r="P175" s="5">
        <f>INDEX(rrcworking[Disposition Volume (MCF) @ 14.65 MCF],MATCH('Mar 2020 EDI'!F175,rrcworking[RRC ID],0))</f>
        <v>0</v>
      </c>
      <c r="Y175" s="5">
        <f>INDEX(rrcworking[Oil Production],MATCH('Mar 2020 EDI'!F175,rrcworking[RRC ID],0))</f>
        <v>0</v>
      </c>
      <c r="AA175" s="5">
        <f>INDEX(rrcworking[Sales/Dispostion],MATCH('Mar 2020 EDI'!F175,rrcworking[RRC ID],0))</f>
        <v>0</v>
      </c>
      <c r="AQ175" s="5">
        <f>INDEX(rrcworking[Closing Stock (Oil)],MATCH('Mar 2020 EDI'!F175,rrcworking[RRC ID],0))</f>
        <v>0</v>
      </c>
    </row>
    <row r="176" spans="1:43">
      <c r="A176" s="4" t="s">
        <v>1</v>
      </c>
      <c r="B176" s="1" t="s">
        <v>1073</v>
      </c>
      <c r="C176" s="10" t="s">
        <v>909</v>
      </c>
      <c r="D176" s="1" t="s">
        <v>619</v>
      </c>
      <c r="E176" s="1" t="s">
        <v>2</v>
      </c>
      <c r="F176" s="1" t="s">
        <v>588</v>
      </c>
      <c r="I176" s="10" t="s">
        <v>3</v>
      </c>
      <c r="J176" s="123" t="s">
        <v>3</v>
      </c>
      <c r="K176" s="1" t="s">
        <v>1090</v>
      </c>
      <c r="M176" s="5">
        <v>202003</v>
      </c>
      <c r="N176" s="5">
        <f>INDEX(rrcworking[Formation Production (MCF) @ 14.65 psi],MATCH('Mar 2020 EDI'!F176,rrcworking[RRC ID],0))</f>
        <v>0</v>
      </c>
      <c r="O176" s="5">
        <f>INDEX(rrcworking[Lease Use (MCF)],MATCH('Mar 2020 EDI'!F176,rrcworking[RRC ID],0))</f>
        <v>0</v>
      </c>
      <c r="P176" s="5">
        <f>INDEX(rrcworking[Disposition Volume (MCF) @ 14.65 MCF],MATCH('Mar 2020 EDI'!F176,rrcworking[RRC ID],0))</f>
        <v>0</v>
      </c>
      <c r="Y176" s="5">
        <f>INDEX(rrcworking[Oil Production],MATCH('Mar 2020 EDI'!F176,rrcworking[RRC ID],0))</f>
        <v>24</v>
      </c>
      <c r="AA176" s="5">
        <f>INDEX(rrcworking[Sales/Dispostion],MATCH('Mar 2020 EDI'!F176,rrcworking[RRC ID],0))</f>
        <v>161</v>
      </c>
      <c r="AQ176" s="5">
        <f>INDEX(rrcworking[Closing Stock (Oil)],MATCH('Mar 2020 EDI'!F176,rrcworking[RRC ID],0))</f>
        <v>117</v>
      </c>
    </row>
    <row r="177" spans="1:46">
      <c r="A177" s="4" t="s">
        <v>1</v>
      </c>
      <c r="B177" s="1" t="s">
        <v>1074</v>
      </c>
      <c r="C177" s="10" t="s">
        <v>909</v>
      </c>
      <c r="D177" s="1" t="s">
        <v>619</v>
      </c>
      <c r="E177" s="1" t="s">
        <v>59</v>
      </c>
      <c r="F177" s="1" t="s">
        <v>589</v>
      </c>
      <c r="I177" s="10" t="s">
        <v>3</v>
      </c>
      <c r="J177" s="123" t="s">
        <v>3</v>
      </c>
      <c r="K177" s="1" t="s">
        <v>1090</v>
      </c>
      <c r="M177" s="5">
        <v>202003</v>
      </c>
      <c r="N177" s="5">
        <f>INDEX(rrcworking[Formation Production (MCF) @ 14.65 psi],MATCH('Mar 2020 EDI'!F177,rrcworking[RRC ID],0))</f>
        <v>0</v>
      </c>
      <c r="O177" s="5">
        <f>INDEX(rrcworking[Lease Use (MCF)],MATCH('Mar 2020 EDI'!F177,rrcworking[RRC ID],0))</f>
        <v>0</v>
      </c>
      <c r="P177" s="5">
        <f>INDEX(rrcworking[Disposition Volume (MCF) @ 14.65 MCF],MATCH('Mar 2020 EDI'!F177,rrcworking[RRC ID],0))</f>
        <v>0</v>
      </c>
      <c r="Y177" s="5">
        <f>INDEX(rrcworking[Oil Production],MATCH('Mar 2020 EDI'!F177,rrcworking[RRC ID],0))</f>
        <v>0</v>
      </c>
      <c r="AA177" s="5">
        <f>INDEX(rrcworking[Sales/Dispostion],MATCH('Mar 2020 EDI'!F177,rrcworking[RRC ID],0))</f>
        <v>0</v>
      </c>
      <c r="AQ177" s="5">
        <f>INDEX(rrcworking[Closing Stock (Oil)],MATCH('Mar 2020 EDI'!F177,rrcworking[RRC ID],0))</f>
        <v>0</v>
      </c>
    </row>
    <row r="178" spans="1:46">
      <c r="A178" s="4" t="s">
        <v>1</v>
      </c>
      <c r="B178" s="1" t="s">
        <v>1075</v>
      </c>
      <c r="C178" s="10" t="s">
        <v>909</v>
      </c>
      <c r="D178" s="1" t="s">
        <v>619</v>
      </c>
      <c r="E178" s="1" t="s">
        <v>59</v>
      </c>
      <c r="F178" s="1" t="s">
        <v>590</v>
      </c>
      <c r="I178" s="10" t="s">
        <v>3</v>
      </c>
      <c r="J178" s="123" t="s">
        <v>3</v>
      </c>
      <c r="K178" s="1" t="s">
        <v>1090</v>
      </c>
      <c r="M178" s="5">
        <v>202003</v>
      </c>
      <c r="N178" s="5">
        <f>INDEX(rrcworking[Formation Production (MCF) @ 14.65 psi],MATCH('Mar 2020 EDI'!F178,rrcworking[RRC ID],0))</f>
        <v>1035</v>
      </c>
      <c r="O178" s="5">
        <f>INDEX(rrcworking[Lease Use (MCF)],MATCH('Mar 2020 EDI'!F178,rrcworking[RRC ID],0))</f>
        <v>30</v>
      </c>
      <c r="P178" s="5">
        <f>INDEX(rrcworking[Disposition Volume (MCF) @ 14.65 MCF],MATCH('Mar 2020 EDI'!F178,rrcworking[RRC ID],0))</f>
        <v>1005</v>
      </c>
      <c r="Y178" s="5">
        <f>INDEX(rrcworking[Oil Production],MATCH('Mar 2020 EDI'!F178,rrcworking[RRC ID],0))</f>
        <v>0</v>
      </c>
      <c r="AA178" s="5">
        <f>INDEX(rrcworking[Sales/Dispostion],MATCH('Mar 2020 EDI'!F178,rrcworking[RRC ID],0))</f>
        <v>0</v>
      </c>
      <c r="AQ178" s="5">
        <f>INDEX(rrcworking[Closing Stock (Oil)],MATCH('Mar 2020 EDI'!F178,rrcworking[RRC ID],0))</f>
        <v>0</v>
      </c>
    </row>
    <row r="179" spans="1:46">
      <c r="A179" s="4" t="s">
        <v>1</v>
      </c>
      <c r="B179" s="1" t="s">
        <v>1076</v>
      </c>
      <c r="C179" s="10" t="s">
        <v>909</v>
      </c>
      <c r="D179" s="1" t="s">
        <v>619</v>
      </c>
      <c r="E179" s="1" t="s">
        <v>59</v>
      </c>
      <c r="F179" s="1" t="s">
        <v>591</v>
      </c>
      <c r="I179" s="10" t="s">
        <v>3</v>
      </c>
      <c r="J179" s="123" t="s">
        <v>3</v>
      </c>
      <c r="K179" s="1" t="s">
        <v>1090</v>
      </c>
      <c r="M179" s="5">
        <v>202003</v>
      </c>
      <c r="N179" s="5">
        <f>INDEX(rrcworking[Formation Production (MCF) @ 14.65 psi],MATCH('Mar 2020 EDI'!F179,rrcworking[RRC ID],0))</f>
        <v>2696</v>
      </c>
      <c r="O179" s="5">
        <f>INDEX(rrcworking[Lease Use (MCF)],MATCH('Mar 2020 EDI'!F179,rrcworking[RRC ID],0))</f>
        <v>120</v>
      </c>
      <c r="P179" s="5">
        <f>INDEX(rrcworking[Disposition Volume (MCF) @ 14.65 MCF],MATCH('Mar 2020 EDI'!F179,rrcworking[RRC ID],0))</f>
        <v>2576</v>
      </c>
      <c r="Y179" s="5">
        <f>INDEX(rrcworking[Oil Production],MATCH('Mar 2020 EDI'!F179,rrcworking[RRC ID],0))</f>
        <v>0</v>
      </c>
      <c r="AA179" s="5">
        <f>INDEX(rrcworking[Sales/Dispostion],MATCH('Mar 2020 EDI'!F179,rrcworking[RRC ID],0))</f>
        <v>0</v>
      </c>
      <c r="AQ179" s="5">
        <f>INDEX(rrcworking[Closing Stock (Oil)],MATCH('Mar 2020 EDI'!F179,rrcworking[RRC ID],0))</f>
        <v>0</v>
      </c>
    </row>
    <row r="180" spans="1:46">
      <c r="A180" s="4" t="s">
        <v>1</v>
      </c>
      <c r="B180" s="1" t="s">
        <v>1077</v>
      </c>
      <c r="C180" s="10" t="s">
        <v>909</v>
      </c>
      <c r="D180" s="1" t="s">
        <v>619</v>
      </c>
      <c r="E180" s="1" t="s">
        <v>59</v>
      </c>
      <c r="F180" s="1" t="s">
        <v>592</v>
      </c>
      <c r="I180" s="10" t="s">
        <v>3</v>
      </c>
      <c r="J180" s="123" t="s">
        <v>3</v>
      </c>
      <c r="K180" s="1" t="s">
        <v>1090</v>
      </c>
      <c r="M180" s="5">
        <v>202003</v>
      </c>
      <c r="N180" s="5">
        <f>INDEX(rrcworking[Formation Production (MCF) @ 14.65 psi],MATCH('Mar 2020 EDI'!F180,rrcworking[RRC ID],0))</f>
        <v>0</v>
      </c>
      <c r="O180" s="5">
        <f>INDEX(rrcworking[Lease Use (MCF)],MATCH('Mar 2020 EDI'!F180,rrcworking[RRC ID],0))</f>
        <v>0</v>
      </c>
      <c r="P180" s="5">
        <f>INDEX(rrcworking[Disposition Volume (MCF) @ 14.65 MCF],MATCH('Mar 2020 EDI'!F180,rrcworking[RRC ID],0))</f>
        <v>0</v>
      </c>
      <c r="Y180" s="5">
        <f>INDEX(rrcworking[Oil Production],MATCH('Mar 2020 EDI'!F180,rrcworking[RRC ID],0))</f>
        <v>0</v>
      </c>
      <c r="AA180" s="5">
        <f>INDEX(rrcworking[Sales/Dispostion],MATCH('Mar 2020 EDI'!F180,rrcworking[RRC ID],0))</f>
        <v>0</v>
      </c>
      <c r="AQ180" s="5">
        <f>INDEX(rrcworking[Closing Stock (Oil)],MATCH('Mar 2020 EDI'!F180,rrcworking[RRC ID],0))</f>
        <v>49</v>
      </c>
    </row>
    <row r="181" spans="1:46">
      <c r="A181" s="4" t="s">
        <v>1</v>
      </c>
      <c r="B181" s="1" t="s">
        <v>1078</v>
      </c>
      <c r="C181" s="10" t="s">
        <v>909</v>
      </c>
      <c r="D181" s="1" t="s">
        <v>619</v>
      </c>
      <c r="E181" s="1" t="s">
        <v>59</v>
      </c>
      <c r="F181" s="1" t="s">
        <v>593</v>
      </c>
      <c r="I181" s="10" t="s">
        <v>3</v>
      </c>
      <c r="J181" s="123" t="s">
        <v>3</v>
      </c>
      <c r="K181" s="1" t="s">
        <v>1090</v>
      </c>
      <c r="M181" s="5">
        <v>202003</v>
      </c>
      <c r="N181" s="5">
        <f>INDEX(rrcworking[Formation Production (MCF) @ 14.65 psi],MATCH('Mar 2020 EDI'!F181,rrcworking[RRC ID],0))</f>
        <v>0</v>
      </c>
      <c r="O181" s="5">
        <f>INDEX(rrcworking[Lease Use (MCF)],MATCH('Mar 2020 EDI'!F181,rrcworking[RRC ID],0))</f>
        <v>0</v>
      </c>
      <c r="P181" s="5">
        <f>INDEX(rrcworking[Disposition Volume (MCF) @ 14.65 MCF],MATCH('Mar 2020 EDI'!F181,rrcworking[RRC ID],0))</f>
        <v>0</v>
      </c>
      <c r="Y181" s="5">
        <f>INDEX(rrcworking[Oil Production],MATCH('Mar 2020 EDI'!F181,rrcworking[RRC ID],0))</f>
        <v>0</v>
      </c>
      <c r="AA181" s="5">
        <f>INDEX(rrcworking[Sales/Dispostion],MATCH('Mar 2020 EDI'!F181,rrcworking[RRC ID],0))</f>
        <v>0</v>
      </c>
      <c r="AQ181" s="5">
        <f>INDEX(rrcworking[Closing Stock (Oil)],MATCH('Mar 2020 EDI'!F181,rrcworking[RRC ID],0))</f>
        <v>0</v>
      </c>
    </row>
    <row r="182" spans="1:46">
      <c r="A182" s="4" t="s">
        <v>1</v>
      </c>
      <c r="B182" s="1" t="s">
        <v>1079</v>
      </c>
      <c r="C182" s="10" t="s">
        <v>909</v>
      </c>
      <c r="D182" s="1" t="s">
        <v>619</v>
      </c>
      <c r="E182" s="1" t="s">
        <v>2</v>
      </c>
      <c r="F182" s="1" t="s">
        <v>594</v>
      </c>
      <c r="I182" s="10" t="s">
        <v>3</v>
      </c>
      <c r="J182" s="123" t="s">
        <v>3</v>
      </c>
      <c r="K182" s="1" t="s">
        <v>1090</v>
      </c>
      <c r="M182" s="5">
        <v>202003</v>
      </c>
      <c r="N182" s="5">
        <f>INDEX(rrcworking[Formation Production (MCF) @ 14.65 psi],MATCH('Mar 2020 EDI'!F182,rrcworking[RRC ID],0))</f>
        <v>0</v>
      </c>
      <c r="O182" s="5">
        <f>INDEX(rrcworking[Lease Use (MCF)],MATCH('Mar 2020 EDI'!F182,rrcworking[RRC ID],0))</f>
        <v>0</v>
      </c>
      <c r="P182" s="5">
        <f>INDEX(rrcworking[Disposition Volume (MCF) @ 14.65 MCF],MATCH('Mar 2020 EDI'!F182,rrcworking[RRC ID],0))</f>
        <v>0</v>
      </c>
      <c r="Y182" s="5">
        <f>INDEX(rrcworking[Oil Production],MATCH('Mar 2020 EDI'!F182,rrcworking[RRC ID],0))</f>
        <v>0</v>
      </c>
      <c r="AA182" s="5">
        <f>INDEX(rrcworking[Sales/Dispostion],MATCH('Mar 2020 EDI'!F182,rrcworking[RRC ID],0))</f>
        <v>0</v>
      </c>
      <c r="AQ182" s="5">
        <f>INDEX(rrcworking[Closing Stock (Oil)],MATCH('Mar 2020 EDI'!F182,rrcworking[RRC ID],0))</f>
        <v>0</v>
      </c>
    </row>
    <row r="183" spans="1:46">
      <c r="A183" s="4" t="s">
        <v>1</v>
      </c>
      <c r="B183" s="1" t="s">
        <v>1080</v>
      </c>
      <c r="C183" s="10" t="s">
        <v>909</v>
      </c>
      <c r="D183" s="1" t="s">
        <v>619</v>
      </c>
      <c r="E183" s="1" t="s">
        <v>2</v>
      </c>
      <c r="F183" s="1" t="s">
        <v>595</v>
      </c>
      <c r="I183" s="10" t="s">
        <v>3</v>
      </c>
      <c r="J183" s="123" t="s">
        <v>3</v>
      </c>
      <c r="K183" s="1">
        <v>6114</v>
      </c>
      <c r="M183" s="5">
        <v>202003</v>
      </c>
      <c r="N183" s="5">
        <f>INDEX(rrcworking[Formation Production (MCF) @ 14.65 psi],MATCH('Mar 2020 EDI'!F183,rrcworking[RRC ID],0))</f>
        <v>0</v>
      </c>
      <c r="O183" s="5">
        <f>INDEX(rrcworking[Lease Use (MCF)],MATCH('Mar 2020 EDI'!F183,rrcworking[RRC ID],0))</f>
        <v>0</v>
      </c>
      <c r="P183" s="5">
        <f>INDEX(rrcworking[Disposition Volume (MCF) @ 14.65 MCF],MATCH('Mar 2020 EDI'!F183,rrcworking[RRC ID],0))</f>
        <v>0</v>
      </c>
      <c r="Y183" s="5">
        <f>INDEX(rrcworking[Oil Production],MATCH('Mar 2020 EDI'!F183,rrcworking[RRC ID],0))</f>
        <v>0</v>
      </c>
      <c r="AA183" s="5">
        <f>INDEX(rrcworking[Sales/Dispostion],MATCH('Mar 2020 EDI'!F183,rrcworking[RRC ID],0))</f>
        <v>160</v>
      </c>
      <c r="AQ183" s="5">
        <f>INDEX(rrcworking[Closing Stock (Oil)],MATCH('Mar 2020 EDI'!F183,rrcworking[RRC ID],0))</f>
        <v>72</v>
      </c>
    </row>
    <row r="184" spans="1:46">
      <c r="A184" s="4" t="s">
        <v>1</v>
      </c>
      <c r="B184" s="1" t="s">
        <v>1081</v>
      </c>
      <c r="C184" s="10" t="s">
        <v>909</v>
      </c>
      <c r="D184" s="1" t="s">
        <v>619</v>
      </c>
      <c r="E184" s="1" t="s">
        <v>2</v>
      </c>
      <c r="F184" s="1" t="s">
        <v>596</v>
      </c>
      <c r="I184" s="10" t="s">
        <v>3</v>
      </c>
      <c r="J184" s="123" t="s">
        <v>3</v>
      </c>
      <c r="K184" s="1" t="s">
        <v>1090</v>
      </c>
      <c r="M184" s="5">
        <v>202003</v>
      </c>
      <c r="N184" s="5">
        <f>INDEX(rrcworking[Formation Production (MCF) @ 14.65 psi],MATCH('Mar 2020 EDI'!F184,rrcworking[RRC ID],0))</f>
        <v>0</v>
      </c>
      <c r="O184" s="5">
        <f>INDEX(rrcworking[Lease Use (MCF)],MATCH('Mar 2020 EDI'!F184,rrcworking[RRC ID],0))</f>
        <v>0</v>
      </c>
      <c r="P184" s="5">
        <f>INDEX(rrcworking[Disposition Volume (MCF) @ 14.65 MCF],MATCH('Mar 2020 EDI'!F184,rrcworking[RRC ID],0))</f>
        <v>0</v>
      </c>
      <c r="Y184" s="5">
        <f>INDEX(rrcworking[Oil Production],MATCH('Mar 2020 EDI'!F184,rrcworking[RRC ID],0))</f>
        <v>0</v>
      </c>
      <c r="AA184" s="5">
        <f>INDEX(rrcworking[Sales/Dispostion],MATCH('Mar 2020 EDI'!F184,rrcworking[RRC ID],0))</f>
        <v>0</v>
      </c>
      <c r="AQ184" s="5">
        <f>INDEX(rrcworking[Closing Stock (Oil)],MATCH('Mar 2020 EDI'!F184,rrcworking[RRC ID],0))</f>
        <v>0</v>
      </c>
    </row>
    <row r="185" spans="1:46">
      <c r="A185" s="4" t="s">
        <v>1</v>
      </c>
      <c r="B185" s="1" t="s">
        <v>1082</v>
      </c>
      <c r="C185" s="10" t="s">
        <v>909</v>
      </c>
      <c r="D185" s="1" t="s">
        <v>619</v>
      </c>
      <c r="E185" s="1" t="s">
        <v>59</v>
      </c>
      <c r="F185" s="1" t="s">
        <v>597</v>
      </c>
      <c r="I185" s="10" t="s">
        <v>3</v>
      </c>
      <c r="J185" s="123" t="s">
        <v>3</v>
      </c>
      <c r="K185" s="1" t="s">
        <v>1090</v>
      </c>
      <c r="M185" s="5">
        <v>202003</v>
      </c>
      <c r="N185" s="5">
        <f>INDEX(rrcworking[Formation Production (MCF) @ 14.65 psi],MATCH('Mar 2020 EDI'!F185,rrcworking[RRC ID],0))</f>
        <v>0</v>
      </c>
      <c r="O185" s="5">
        <f>INDEX(rrcworking[Lease Use (MCF)],MATCH('Mar 2020 EDI'!F185,rrcworking[RRC ID],0))</f>
        <v>0</v>
      </c>
      <c r="P185" s="5">
        <f>INDEX(rrcworking[Disposition Volume (MCF) @ 14.65 MCF],MATCH('Mar 2020 EDI'!F185,rrcworking[RRC ID],0))</f>
        <v>0</v>
      </c>
      <c r="Y185" s="5">
        <f>INDEX(rrcworking[Oil Production],MATCH('Mar 2020 EDI'!F185,rrcworking[RRC ID],0))</f>
        <v>0</v>
      </c>
      <c r="AA185" s="5">
        <f>INDEX(rrcworking[Sales/Dispostion],MATCH('Mar 2020 EDI'!F185,rrcworking[RRC ID],0))</f>
        <v>0</v>
      </c>
      <c r="AQ185" s="5">
        <f>INDEX(rrcworking[Closing Stock (Oil)],MATCH('Mar 2020 EDI'!F185,rrcworking[RRC ID],0))</f>
        <v>0</v>
      </c>
    </row>
    <row r="186" spans="1:46">
      <c r="A186" s="4" t="s">
        <v>1</v>
      </c>
      <c r="B186" s="1" t="s">
        <v>1083</v>
      </c>
      <c r="C186" s="10" t="s">
        <v>909</v>
      </c>
      <c r="D186" s="1" t="s">
        <v>619</v>
      </c>
      <c r="E186" s="1" t="s">
        <v>2</v>
      </c>
      <c r="F186" s="1" t="s">
        <v>598</v>
      </c>
      <c r="I186" s="10" t="s">
        <v>3</v>
      </c>
      <c r="J186" s="123" t="s">
        <v>3</v>
      </c>
      <c r="K186" s="1">
        <v>6114</v>
      </c>
      <c r="M186" s="5">
        <v>202003</v>
      </c>
      <c r="N186" s="5">
        <f>INDEX(rrcworking[Formation Production (MCF) @ 14.65 psi],MATCH('Mar 2020 EDI'!F186,rrcworking[RRC ID],0))</f>
        <v>0</v>
      </c>
      <c r="O186" s="5">
        <f>INDEX(rrcworking[Lease Use (MCF)],MATCH('Mar 2020 EDI'!F186,rrcworking[RRC ID],0))</f>
        <v>0</v>
      </c>
      <c r="P186" s="5">
        <f>INDEX(rrcworking[Disposition Volume (MCF) @ 14.65 MCF],MATCH('Mar 2020 EDI'!F186,rrcworking[RRC ID],0))</f>
        <v>0</v>
      </c>
      <c r="Y186" s="5">
        <f>INDEX(rrcworking[Oil Production],MATCH('Mar 2020 EDI'!F186,rrcworking[RRC ID],0))</f>
        <v>0</v>
      </c>
      <c r="AA186" s="5">
        <f>INDEX(rrcworking[Sales/Dispostion],MATCH('Mar 2020 EDI'!F186,rrcworking[RRC ID],0))</f>
        <v>0</v>
      </c>
      <c r="AQ186" s="5">
        <f>INDEX(rrcworking[Closing Stock (Oil)],MATCH('Mar 2020 EDI'!F186,rrcworking[RRC ID],0))</f>
        <v>0</v>
      </c>
    </row>
    <row r="187" spans="1:46">
      <c r="A187" s="4" t="s">
        <v>1</v>
      </c>
      <c r="B187" s="1" t="s">
        <v>1084</v>
      </c>
      <c r="C187" s="10" t="s">
        <v>909</v>
      </c>
      <c r="D187" s="1" t="s">
        <v>619</v>
      </c>
      <c r="E187" s="1" t="s">
        <v>2</v>
      </c>
      <c r="F187" s="1" t="s">
        <v>599</v>
      </c>
      <c r="I187" s="10" t="s">
        <v>3</v>
      </c>
      <c r="J187" s="123" t="s">
        <v>3</v>
      </c>
      <c r="K187" s="1" t="s">
        <v>1090</v>
      </c>
      <c r="M187" s="5">
        <v>202003</v>
      </c>
      <c r="N187" s="5">
        <f>INDEX(rrcworking[Formation Production (MCF) @ 14.65 psi],MATCH('Mar 2020 EDI'!F187,rrcworking[RRC ID],0))</f>
        <v>0</v>
      </c>
      <c r="O187" s="5">
        <f>INDEX(rrcworking[Lease Use (MCF)],MATCH('Mar 2020 EDI'!F187,rrcworking[RRC ID],0))</f>
        <v>0</v>
      </c>
      <c r="P187" s="5">
        <f>INDEX(rrcworking[Disposition Volume (MCF) @ 14.65 MCF],MATCH('Mar 2020 EDI'!F187,rrcworking[RRC ID],0))</f>
        <v>0</v>
      </c>
      <c r="Y187" s="5">
        <f>INDEX(rrcworking[Oil Production],MATCH('Mar 2020 EDI'!F187,rrcworking[RRC ID],0))</f>
        <v>0</v>
      </c>
      <c r="AA187" s="5">
        <f>INDEX(rrcworking[Sales/Dispostion],MATCH('Mar 2020 EDI'!F187,rrcworking[RRC ID],0))</f>
        <v>0</v>
      </c>
      <c r="AQ187" s="5">
        <f>INDEX(rrcworking[Closing Stock (Oil)],MATCH('Mar 2020 EDI'!F187,rrcworking[RRC ID],0))</f>
        <v>64</v>
      </c>
    </row>
    <row r="188" spans="1:46">
      <c r="A188" s="4" t="s">
        <v>1</v>
      </c>
      <c r="B188" s="1" t="s">
        <v>1085</v>
      </c>
      <c r="C188" s="10" t="s">
        <v>909</v>
      </c>
      <c r="D188" s="1" t="s">
        <v>619</v>
      </c>
      <c r="E188" s="1" t="s">
        <v>59</v>
      </c>
      <c r="F188" s="1" t="s">
        <v>600</v>
      </c>
      <c r="I188" s="10" t="s">
        <v>3</v>
      </c>
      <c r="J188" s="123" t="s">
        <v>3</v>
      </c>
      <c r="K188" s="1">
        <v>5050</v>
      </c>
      <c r="M188" s="5">
        <v>202003</v>
      </c>
      <c r="N188" s="5">
        <f>INDEX(rrcworking[Formation Production (MCF) @ 14.65 psi],MATCH('Mar 2020 EDI'!F188,rrcworking[RRC ID],0))</f>
        <v>605</v>
      </c>
      <c r="O188" s="5">
        <f>INDEX(rrcworking[Lease Use (MCF)],MATCH('Mar 2020 EDI'!F188,rrcworking[RRC ID],0))</f>
        <v>20</v>
      </c>
      <c r="P188" s="5">
        <f>INDEX(rrcworking[Disposition Volume (MCF) @ 14.65 MCF],MATCH('Mar 2020 EDI'!F188,rrcworking[RRC ID],0))</f>
        <v>585</v>
      </c>
      <c r="Y188" s="5">
        <f>INDEX(rrcworking[Oil Production],MATCH('Mar 2020 EDI'!F188,rrcworking[RRC ID],0))</f>
        <v>0</v>
      </c>
      <c r="AA188" s="5">
        <f>INDEX(rrcworking[Sales/Dispostion],MATCH('Mar 2020 EDI'!F188,rrcworking[RRC ID],0))</f>
        <v>18</v>
      </c>
      <c r="AQ188" s="5">
        <f>INDEX(rrcworking[Closing Stock (Oil)],MATCH('Mar 2020 EDI'!F188,rrcworking[RRC ID],0))</f>
        <v>186</v>
      </c>
    </row>
    <row r="189" spans="1:46">
      <c r="A189" s="4" t="s">
        <v>1</v>
      </c>
      <c r="B189" s="1" t="s">
        <v>1086</v>
      </c>
      <c r="C189" s="10" t="s">
        <v>909</v>
      </c>
      <c r="D189" s="1" t="s">
        <v>619</v>
      </c>
      <c r="E189" s="1" t="s">
        <v>2</v>
      </c>
      <c r="F189" s="1" t="s">
        <v>601</v>
      </c>
      <c r="I189" s="10" t="s">
        <v>3</v>
      </c>
      <c r="J189" s="123" t="s">
        <v>3</v>
      </c>
      <c r="K189" s="1" t="s">
        <v>1090</v>
      </c>
      <c r="M189" s="5">
        <v>202003</v>
      </c>
      <c r="N189" s="5">
        <f>INDEX(rrcworking[Formation Production (MCF) @ 14.65 psi],MATCH('Mar 2020 EDI'!F189,rrcworking[RRC ID],0))</f>
        <v>0</v>
      </c>
      <c r="O189" s="5">
        <f>INDEX(rrcworking[Lease Use (MCF)],MATCH('Mar 2020 EDI'!F189,rrcworking[RRC ID],0))</f>
        <v>0</v>
      </c>
      <c r="P189" s="5">
        <f>INDEX(rrcworking[Disposition Volume (MCF) @ 14.65 MCF],MATCH('Mar 2020 EDI'!F189,rrcworking[RRC ID],0))</f>
        <v>0</v>
      </c>
      <c r="Y189" s="5">
        <f>INDEX(rrcworking[Oil Production],MATCH('Mar 2020 EDI'!F189,rrcworking[RRC ID],0))</f>
        <v>0</v>
      </c>
      <c r="AA189" s="5">
        <f>INDEX(rrcworking[Sales/Dispostion],MATCH('Mar 2020 EDI'!F189,rrcworking[RRC ID],0))</f>
        <v>0</v>
      </c>
      <c r="AQ189" s="5">
        <f>INDEX(rrcworking[Closing Stock (Oil)],MATCH('Mar 2020 EDI'!F189,rrcworking[RRC ID],0))</f>
        <v>63</v>
      </c>
    </row>
    <row r="190" spans="1:46">
      <c r="A190" s="4" t="s">
        <v>1</v>
      </c>
      <c r="B190" s="1" t="s">
        <v>1087</v>
      </c>
      <c r="C190" s="10" t="s">
        <v>909</v>
      </c>
      <c r="D190" s="10" t="s">
        <v>618</v>
      </c>
      <c r="E190" s="10" t="s">
        <v>2</v>
      </c>
      <c r="F190" s="10" t="s">
        <v>1252</v>
      </c>
      <c r="I190" s="10" t="s">
        <v>3</v>
      </c>
      <c r="J190" s="123" t="s">
        <v>3</v>
      </c>
      <c r="M190" s="5">
        <v>202003</v>
      </c>
      <c r="N190" s="5">
        <f>INDEX(rrcworking[Formation Production (MCF) @ 14.65 psi],MATCH('Mar 2020 EDI'!F190,rrcworking[RRC ID],0))</f>
        <v>18</v>
      </c>
      <c r="O190" s="5">
        <f>INDEX(rrcworking[Lease Use (MCF)],MATCH('Mar 2020 EDI'!F190,rrcworking[RRC ID],0))</f>
        <v>0</v>
      </c>
      <c r="P190" s="5">
        <f>INDEX(rrcworking[Disposition Volume (MCF) @ 14.65 MCF],MATCH('Mar 2020 EDI'!F190,rrcworking[RRC ID],0))</f>
        <v>18</v>
      </c>
      <c r="Y190" s="5">
        <f>INDEX(rrcworking[Oil Production],MATCH('Mar 2020 EDI'!F190,rrcworking[RRC ID],0))</f>
        <v>1168</v>
      </c>
      <c r="AA190" s="5">
        <f>INDEX(rrcworking[Sales/Dispostion],MATCH('Mar 2020 EDI'!F190,rrcworking[RRC ID],0))</f>
        <v>1141</v>
      </c>
      <c r="AQ190" s="5">
        <f>INDEX(rrcworking[Closing Stock (Oil)],MATCH('Mar 2020 EDI'!F190,rrcworking[RRC ID],0))</f>
        <v>257</v>
      </c>
      <c r="AR190" s="145" t="s">
        <v>1106</v>
      </c>
      <c r="AS190" s="145" t="s">
        <v>1107</v>
      </c>
      <c r="AT190" s="145" t="s">
        <v>61</v>
      </c>
    </row>
    <row r="191" spans="1:46">
      <c r="A191" s="4" t="s">
        <v>1</v>
      </c>
      <c r="B191" s="1" t="s">
        <v>1088</v>
      </c>
      <c r="C191" s="10" t="s">
        <v>909</v>
      </c>
      <c r="D191" s="10" t="s">
        <v>618</v>
      </c>
      <c r="E191" s="10" t="s">
        <v>2</v>
      </c>
      <c r="F191" s="10" t="s">
        <v>1137</v>
      </c>
      <c r="I191" s="10" t="s">
        <v>3</v>
      </c>
      <c r="J191" s="123" t="s">
        <v>3</v>
      </c>
      <c r="M191" s="5">
        <v>202003</v>
      </c>
      <c r="N191" s="5">
        <f>INDEX(rrcworking[Formation Production (MCF) @ 14.65 psi],MATCH('Mar 2020 EDI'!F191,rrcworking[RRC ID],0))</f>
        <v>180</v>
      </c>
      <c r="O191" s="5">
        <f>INDEX(rrcworking[Lease Use (MCF)],MATCH('Mar 2020 EDI'!F191,rrcworking[RRC ID],0))</f>
        <v>180</v>
      </c>
      <c r="P191" s="5">
        <f>INDEX(rrcworking[Disposition Volume (MCF) @ 14.65 MCF],MATCH('Mar 2020 EDI'!F191,rrcworking[RRC ID],0))</f>
        <v>0</v>
      </c>
      <c r="Y191" s="5">
        <f>INDEX(rrcworking[Oil Production],MATCH('Mar 2020 EDI'!F191,rrcworking[RRC ID],0))</f>
        <v>358</v>
      </c>
      <c r="AA191" s="5">
        <f>INDEX(rrcworking[Sales/Dispostion],MATCH('Mar 2020 EDI'!F191,rrcworking[RRC ID],0))</f>
        <v>342</v>
      </c>
      <c r="AQ191" s="5">
        <f>INDEX(rrcworking[Closing Stock (Oil)],MATCH('Mar 2020 EDI'!F191,rrcworking[RRC ID],0))</f>
        <v>92</v>
      </c>
      <c r="AR191" s="145"/>
      <c r="AS191" s="145"/>
      <c r="AT191" s="145"/>
    </row>
    <row r="192" spans="1:46" s="258" customFormat="1">
      <c r="A192" s="255" t="s">
        <v>1</v>
      </c>
      <c r="B192" s="123" t="s">
        <v>1089</v>
      </c>
      <c r="C192" s="122" t="s">
        <v>909</v>
      </c>
      <c r="D192" s="122" t="s">
        <v>618</v>
      </c>
      <c r="E192" s="122" t="s">
        <v>2</v>
      </c>
      <c r="F192" s="122" t="s">
        <v>1294</v>
      </c>
      <c r="G192" s="123"/>
      <c r="H192" s="123"/>
      <c r="I192" s="122" t="s">
        <v>3</v>
      </c>
      <c r="J192" s="123" t="s">
        <v>3</v>
      </c>
      <c r="K192" s="123"/>
      <c r="L192" s="123"/>
      <c r="M192" s="256">
        <v>202003</v>
      </c>
      <c r="N192" s="256">
        <f>INDEX(rrcworking[Formation Production (MCF) @ 14.65 psi],MATCH('Mar 2020 EDI'!F192,rrcworking[RRC ID],0))</f>
        <v>6151</v>
      </c>
      <c r="O192" s="256"/>
      <c r="P192" s="256"/>
      <c r="Q192" s="256"/>
      <c r="R192" s="256">
        <f>INDEX(rrcworking[Lease Use (MCF)],MATCH('Mar 2020 EDI'!F192,rrcworking[RRC ID],0))</f>
        <v>6151</v>
      </c>
      <c r="S192" s="123" t="s">
        <v>1261</v>
      </c>
      <c r="T192" s="256"/>
      <c r="U192" s="256"/>
      <c r="V192" s="256"/>
      <c r="W192" s="123"/>
      <c r="X192" s="256"/>
      <c r="Y192" s="256">
        <f>INDEX(rrcworking[Oil Production],MATCH('Mar 2020 EDI'!F192,rrcworking[RRC ID],0))</f>
        <v>154</v>
      </c>
      <c r="Z192" s="256"/>
      <c r="AA192" s="256">
        <f>INDEX(rrcworking[Sales/Dispostion],MATCH('Mar 2020 EDI'!F192,rrcworking[RRC ID],0))</f>
        <v>179</v>
      </c>
      <c r="AB192" s="256"/>
      <c r="AC192" s="256"/>
      <c r="AD192" s="123"/>
      <c r="AE192" s="256"/>
      <c r="AF192" s="123"/>
      <c r="AG192" s="256"/>
      <c r="AH192" s="256"/>
      <c r="AI192" s="123"/>
      <c r="AJ192" s="256"/>
      <c r="AK192" s="256"/>
      <c r="AL192" s="256"/>
      <c r="AM192" s="256"/>
      <c r="AN192" s="256"/>
      <c r="AO192" s="123"/>
      <c r="AP192" s="256"/>
      <c r="AQ192" s="256">
        <f>INDEX(rrcworking[Closing Stock (Oil)],MATCH('Mar 2020 EDI'!F192,rrcworking[RRC ID],0))</f>
        <v>337</v>
      </c>
      <c r="AR192" s="257" t="s">
        <v>1263</v>
      </c>
      <c r="AS192" s="257" t="s">
        <v>1262</v>
      </c>
      <c r="AT192" s="257" t="s">
        <v>58</v>
      </c>
    </row>
  </sheetData>
  <autoFilter ref="A3:AT190"/>
  <phoneticPr fontId="0" type="noConversion"/>
  <hyperlinks>
    <hyperlink ref="D2" r:id="rId1"/>
  </hyperlink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enableFormatConditionsCalculation="0">
    <pageSetUpPr fitToPage="1"/>
  </sheetPr>
  <dimension ref="C1:AQ196"/>
  <sheetViews>
    <sheetView tabSelected="1" topLeftCell="A4" zoomScale="115" zoomScaleNormal="115" zoomScalePageLayoutView="115" workbookViewId="0">
      <pane xSplit="5" topLeftCell="K1" activePane="topRight" state="frozen"/>
      <selection pane="topRight" activeCell="L63" sqref="L63"/>
    </sheetView>
  </sheetViews>
  <sheetFormatPr baseColWidth="10" defaultColWidth="8.83203125" defaultRowHeight="12" x14ac:dyDescent="0"/>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hidden="1" customWidth="1"/>
    <col min="23" max="23" width="13" hidden="1" customWidth="1"/>
    <col min="24" max="24" width="14.33203125" style="25" hidden="1" customWidth="1"/>
    <col min="25" max="25" width="18.33203125" hidden="1" customWidth="1"/>
    <col min="26" max="26" width="16.83203125" hidden="1" customWidth="1"/>
    <col min="27" max="27" width="14.1640625" hidden="1" customWidth="1"/>
    <col min="28" max="28" width="22.83203125" hidden="1" customWidth="1"/>
    <col min="29" max="29" width="35.5" hidden="1" customWidth="1"/>
    <col min="30" max="30" width="52.83203125" customWidth="1"/>
    <col min="31" max="31" width="12.33203125" customWidth="1"/>
    <col min="34" max="35" width="8.83203125" customWidth="1"/>
    <col min="39" max="39" width="15.5" customWidth="1"/>
    <col min="40" max="40" width="15.33203125" customWidth="1"/>
    <col min="41" max="41" width="27.33203125" customWidth="1"/>
    <col min="42" max="42" width="48.6640625" customWidth="1"/>
    <col min="43" max="43" width="92.83203125" customWidth="1"/>
  </cols>
  <sheetData>
    <row r="1" spans="3:43" ht="42">
      <c r="C1" s="117" t="s">
        <v>614</v>
      </c>
      <c r="D1" s="118">
        <v>43922</v>
      </c>
    </row>
    <row r="2" spans="3:43" ht="50">
      <c r="C2" s="265"/>
      <c r="D2" s="266"/>
      <c r="E2" s="266"/>
      <c r="F2" s="266"/>
      <c r="G2" s="266"/>
      <c r="Q2" s="26" t="s">
        <v>626</v>
      </c>
      <c r="R2" s="27">
        <v>1.0054609999999999</v>
      </c>
      <c r="AD2" s="119" t="s">
        <v>908</v>
      </c>
    </row>
    <row r="3" spans="3:43" ht="43">
      <c r="Z3" s="268"/>
      <c r="AA3" s="268"/>
      <c r="AB3" s="268"/>
      <c r="AH3" s="262" t="s">
        <v>1232</v>
      </c>
      <c r="AI3" s="263"/>
      <c r="AJ3" s="263"/>
      <c r="AK3" s="263"/>
      <c r="AL3" s="263"/>
      <c r="AM3" s="263"/>
      <c r="AN3" s="263"/>
      <c r="AO3" s="263"/>
      <c r="AP3" s="263"/>
      <c r="AQ3" s="264"/>
    </row>
    <row r="4" spans="3:43" s="117" customFormat="1" ht="112">
      <c r="C4" s="260" t="s">
        <v>1099</v>
      </c>
      <c r="D4" s="267"/>
      <c r="E4" s="267"/>
      <c r="F4" s="267"/>
      <c r="G4" s="267"/>
      <c r="H4" s="267"/>
      <c r="I4" s="267"/>
      <c r="J4" s="267"/>
      <c r="K4" s="261"/>
      <c r="L4" s="260" t="s">
        <v>1100</v>
      </c>
      <c r="M4" s="267"/>
      <c r="N4" s="267"/>
      <c r="O4" s="261"/>
      <c r="P4" s="260" t="s">
        <v>609</v>
      </c>
      <c r="Q4" s="267"/>
      <c r="R4" s="267"/>
      <c r="S4" s="267"/>
      <c r="T4" s="267"/>
      <c r="U4" s="261"/>
      <c r="V4" s="260" t="s">
        <v>620</v>
      </c>
      <c r="W4" s="267"/>
      <c r="X4" s="267"/>
      <c r="Y4" s="267"/>
      <c r="Z4" s="267"/>
      <c r="AA4" s="267"/>
      <c r="AB4" s="261"/>
      <c r="AC4" s="260" t="s">
        <v>1231</v>
      </c>
      <c r="AD4" s="261"/>
      <c r="AE4" s="188" t="s">
        <v>1113</v>
      </c>
      <c r="AF4" s="181"/>
      <c r="AG4" s="181"/>
      <c r="AH4" s="189"/>
      <c r="AI4" s="190"/>
      <c r="AJ4" s="190"/>
      <c r="AK4" s="190" t="s">
        <v>1148</v>
      </c>
      <c r="AL4" s="190" t="s">
        <v>1149</v>
      </c>
      <c r="AM4" s="190" t="s">
        <v>1150</v>
      </c>
      <c r="AN4" s="190" t="s">
        <v>1151</v>
      </c>
      <c r="AO4" s="190" t="s">
        <v>1152</v>
      </c>
      <c r="AP4" s="190" t="s">
        <v>1153</v>
      </c>
      <c r="AQ4" s="191" t="s">
        <v>1244</v>
      </c>
    </row>
    <row r="5" spans="3:43" s="17" customFormat="1" ht="60">
      <c r="C5" s="8" t="s">
        <v>1116</v>
      </c>
      <c r="D5" s="8" t="s">
        <v>47</v>
      </c>
      <c r="E5" s="8" t="s">
        <v>48</v>
      </c>
      <c r="F5" s="8" t="s">
        <v>604</v>
      </c>
      <c r="G5" s="8" t="s">
        <v>14</v>
      </c>
      <c r="H5" s="8" t="s">
        <v>7</v>
      </c>
      <c r="I5" s="8" t="s">
        <v>8</v>
      </c>
      <c r="J5" s="16" t="s">
        <v>602</v>
      </c>
      <c r="K5" s="16" t="s">
        <v>603</v>
      </c>
      <c r="L5" s="109" t="s">
        <v>606</v>
      </c>
      <c r="M5" s="110" t="s">
        <v>605</v>
      </c>
      <c r="N5" s="110" t="s">
        <v>607</v>
      </c>
      <c r="O5" s="111" t="s">
        <v>608</v>
      </c>
      <c r="P5" s="245" t="s">
        <v>1295</v>
      </c>
      <c r="Q5" s="23" t="s">
        <v>610</v>
      </c>
      <c r="R5" s="246" t="s">
        <v>1284</v>
      </c>
      <c r="S5" s="115" t="s">
        <v>612</v>
      </c>
      <c r="T5" s="115" t="s">
        <v>613</v>
      </c>
      <c r="U5" s="116" t="s">
        <v>907</v>
      </c>
      <c r="V5" s="17" t="s">
        <v>623</v>
      </c>
      <c r="W5" s="17" t="s">
        <v>621</v>
      </c>
      <c r="X5" s="8" t="s">
        <v>1115</v>
      </c>
      <c r="Y5" s="8" t="s">
        <v>792</v>
      </c>
      <c r="Z5" s="8" t="s">
        <v>793</v>
      </c>
      <c r="AA5" s="17" t="s">
        <v>622</v>
      </c>
      <c r="AB5" s="17" t="s">
        <v>624</v>
      </c>
      <c r="AC5" s="8" t="s">
        <v>905</v>
      </c>
      <c r="AD5" s="8" t="s">
        <v>906</v>
      </c>
      <c r="AE5" s="187" t="s">
        <v>901</v>
      </c>
      <c r="AF5" s="246" t="s">
        <v>1296</v>
      </c>
      <c r="AG5" s="8" t="s">
        <v>611</v>
      </c>
      <c r="AH5" s="8" t="s">
        <v>1154</v>
      </c>
      <c r="AI5" s="8" t="s">
        <v>1155</v>
      </c>
      <c r="AJ5" s="17" t="s">
        <v>1156</v>
      </c>
      <c r="AK5" s="17" t="s">
        <v>1157</v>
      </c>
      <c r="AL5" s="17" t="s">
        <v>1158</v>
      </c>
      <c r="AM5" s="17" t="s">
        <v>1159</v>
      </c>
      <c r="AN5" s="17" t="s">
        <v>1160</v>
      </c>
      <c r="AO5" s="17" t="s">
        <v>1161</v>
      </c>
      <c r="AP5" s="17" t="s">
        <v>1162</v>
      </c>
      <c r="AQ5" s="17" t="s">
        <v>1163</v>
      </c>
    </row>
    <row r="6" spans="3:43" ht="15" hidden="1" customHeight="1" thickTop="1">
      <c r="C6" s="80" t="e">
        <v>#N/A</v>
      </c>
      <c r="D6" s="62" t="s">
        <v>163</v>
      </c>
      <c r="E6" s="131" t="s">
        <v>164</v>
      </c>
      <c r="F6" s="129">
        <v>0</v>
      </c>
      <c r="G6" s="120" t="s">
        <v>1090</v>
      </c>
      <c r="H6" s="18" t="s">
        <v>618</v>
      </c>
      <c r="I6" s="18" t="s">
        <v>2</v>
      </c>
      <c r="J6" s="19" t="s">
        <v>468</v>
      </c>
      <c r="K6" s="103">
        <v>27151</v>
      </c>
      <c r="L6" s="141">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Q6" s="127">
        <f>rrcworking[[#This Row],[Last Month Closing Stock]]</f>
        <v>108</v>
      </c>
      <c r="R6">
        <f>rrcworking[[#This Row],[Opening Oil Stock]]</f>
        <v>108</v>
      </c>
      <c r="S6" s="143">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 Volume (oil)]]-rrcworking[[#This Row],[Oil Production]]</f>
        <v>0</v>
      </c>
      <c r="V6" s="143">
        <f>IF(ISERROR(INDEX(Table2[GAS],MATCH(rrcworking[[#This Row],[Magnum Wolfpak '#]],Table2[Rox Wolf'#],0))),0,INDEX(Table2[GAS],MATCH(rrcworking[[#This Row],[Magnum Wolfpak '#]],Table2[Rox Wolf'#],0)))</f>
        <v>0</v>
      </c>
      <c r="W6" s="24"/>
      <c r="X6" s="134">
        <f>IF(rrcworking[[#This Row],[Pressure Base]]=14.73,rrcworking[[#This Row],[Gas Sales Statement Volume (MCF)]]*$R$2,rrcworking[[#This Row],[Gas Sales Statement Volume (MCF)]])</f>
        <v>0</v>
      </c>
      <c r="Y6" s="59"/>
      <c r="Z6" s="59"/>
      <c r="AA6" s="143">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185">
        <f>COUNTIF(FilterList,rrcworking[[#This Row],[Magnum Wolfpak '#]])</f>
        <v>0</v>
      </c>
      <c r="AF6" s="182"/>
      <c r="AG6" s="183"/>
      <c r="AH6" s="37"/>
      <c r="AI6" s="37"/>
      <c r="AJ6" s="37"/>
      <c r="AK6" s="37"/>
      <c r="AL6" s="37"/>
      <c r="AM6" s="37"/>
      <c r="AN6" s="37"/>
      <c r="AO6" s="37"/>
      <c r="AP6" s="37"/>
      <c r="AQ6" s="37"/>
    </row>
    <row r="7" spans="3:43" ht="14" hidden="1" customHeight="1">
      <c r="C7" s="80">
        <v>99265</v>
      </c>
      <c r="D7" s="62" t="s">
        <v>325</v>
      </c>
      <c r="E7" s="131" t="s">
        <v>326</v>
      </c>
      <c r="F7" s="129">
        <v>1</v>
      </c>
      <c r="G7" s="120" t="s">
        <v>1090</v>
      </c>
      <c r="H7" s="18" t="s">
        <v>619</v>
      </c>
      <c r="I7" s="18" t="s">
        <v>59</v>
      </c>
      <c r="J7" s="19" t="s">
        <v>561</v>
      </c>
      <c r="K7" s="103">
        <v>244496</v>
      </c>
      <c r="L7" s="101">
        <f>INDEX(Table1[Production],MATCH(rrcworking[[#This Row],[RRC ID Number]],Table1[RRC Identifier],0))</f>
        <v>0</v>
      </c>
      <c r="M7" s="30">
        <f>INDEX(Table1[Formation Production],MATCH(rrcworking[[#This Row],[RRC ID Number]],Table1[RRC Identifier],0))</f>
        <v>9108</v>
      </c>
      <c r="N7" s="31">
        <f>INDEX(Table1[On Hand End of Month],MATCH(rrcworking[[#This Row],[RRC ID Number]],Table1[RRC Identifier],0))</f>
        <v>162</v>
      </c>
      <c r="O7" s="106" t="b">
        <f t="shared" si="0"/>
        <v>0</v>
      </c>
      <c r="Q7" s="127">
        <f>rrcworking[[#This Row],[Last Month Closing Stock]]</f>
        <v>162</v>
      </c>
      <c r="R7">
        <f>rrcworking[[#This Row],[Opening Oil Stock]]</f>
        <v>162</v>
      </c>
      <c r="S7" s="143">
        <f>IF(ISERROR(INDEX(Table2[OIL],MATCH(rrcworking[[#This Row],[Magnum Wolfpak '#]],Table2[Rox Wolf'#],0))),0,INDEX(Table2[OIL],MATCH(rrcworking[[#This Row],[Magnum Wolfpak '#]],Table2[Rox Wolf'#],0)))</f>
        <v>0</v>
      </c>
      <c r="T7" s="35">
        <f>rrcworking[[#This Row],[Closing Stock (Oil)]]+rrcworking[[#This Row],[Sales/Dispostion]]-rrcworking[[#This Row],[Opening Oil Stock]]</f>
        <v>0</v>
      </c>
      <c r="U7" s="112">
        <f>rrcworking[[#This Row],[Gauge Sheet Prod Volume (oil)]]-rrcworking[[#This Row],[Oil Production]]</f>
        <v>0</v>
      </c>
      <c r="V7" s="143">
        <f>IF(ISERROR(INDEX(Table2[GAS],MATCH(rrcworking[[#This Row],[Magnum Wolfpak '#]],Table2[Rox Wolf'#],0))),0,INDEX(Table2[GAS],MATCH(rrcworking[[#This Row],[Magnum Wolfpak '#]],Table2[Rox Wolf'#],0)))</f>
        <v>6226</v>
      </c>
      <c r="W7" s="24"/>
      <c r="X7" s="135">
        <f>IF(rrcworking[[#This Row],[Pressure Base]]=14.73,rrcworking[[#This Row],[Gas Sales Statement Volume (MCF)]]*$R$2,rrcworking[[#This Row],[Gas Sales Statement Volume (MCF)]])</f>
        <v>6226</v>
      </c>
      <c r="Y7" s="60"/>
      <c r="Z7" s="60"/>
      <c r="AA7" s="143">
        <f>IF(ISERROR(INDEX(Table2[LEASE USE],MATCH(rrcworking[[#This Row],[Magnum Wolfpak '#]],Table2[Rox Wolf'#],0))),0,INDEX(Table2[LEASE USE],MATCH(rrcworking[[#This Row],[Magnum Wolfpak '#]],Table2[Rox Wolf'#],0)))</f>
        <v>216</v>
      </c>
      <c r="AB7" s="57">
        <f>rrcworking[[#This Row],[Disposition Volume (MCF) @ 14.65 MCF]]+rrcworking[[#This Row],[Lease Use (MCF)]]</f>
        <v>6442</v>
      </c>
      <c r="AC7" s="37"/>
      <c r="AD7" s="37"/>
      <c r="AE7" s="185">
        <f>COUNTIF(FilterList,rrcworking[[#This Row],[Magnum Wolfpak '#]])</f>
        <v>0</v>
      </c>
      <c r="AF7" s="182"/>
      <c r="AG7" s="183"/>
      <c r="AH7" s="37"/>
      <c r="AI7" s="37"/>
      <c r="AJ7" s="184"/>
      <c r="AK7" s="184"/>
      <c r="AL7" s="184"/>
      <c r="AM7" s="184"/>
      <c r="AN7" s="184"/>
      <c r="AO7" s="184"/>
      <c r="AP7" s="37" t="s">
        <v>1164</v>
      </c>
      <c r="AQ7" s="37" t="s">
        <v>1165</v>
      </c>
    </row>
    <row r="8" spans="3:43" ht="14" hidden="1" customHeight="1">
      <c r="C8" s="80">
        <v>99266</v>
      </c>
      <c r="D8" s="62" t="s">
        <v>325</v>
      </c>
      <c r="E8" s="131" t="s">
        <v>326</v>
      </c>
      <c r="F8" s="129">
        <v>2</v>
      </c>
      <c r="G8" s="120" t="s">
        <v>1090</v>
      </c>
      <c r="H8" s="18" t="s">
        <v>619</v>
      </c>
      <c r="I8" s="18" t="s">
        <v>59</v>
      </c>
      <c r="J8" s="19" t="s">
        <v>562</v>
      </c>
      <c r="K8" s="103">
        <v>248176</v>
      </c>
      <c r="L8" s="101">
        <f>INDEX(Table1[Production],MATCH(rrcworking[[#This Row],[RRC ID Number]],Table1[RRC Identifier],0))</f>
        <v>0</v>
      </c>
      <c r="M8" s="30">
        <f>INDEX(Table1[Formation Production],MATCH(rrcworking[[#This Row],[RRC ID Number]],Table1[RRC Identifier],0))</f>
        <v>3153</v>
      </c>
      <c r="N8" s="31">
        <f>INDEX(Table1[On Hand End of Month],MATCH(rrcworking[[#This Row],[RRC ID Number]],Table1[RRC Identifier],0))</f>
        <v>0</v>
      </c>
      <c r="O8" s="106" t="b">
        <f t="shared" si="0"/>
        <v>0</v>
      </c>
      <c r="Q8" s="127">
        <f>rrcworking[[#This Row],[Last Month Closing Stock]]</f>
        <v>0</v>
      </c>
      <c r="R8">
        <f>rrcworking[[#This Row],[Opening Oil Stock]]</f>
        <v>0</v>
      </c>
      <c r="S8" s="143">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 Volume (oil)]]-rrcworking[[#This Row],[Oil Production]]</f>
        <v>0</v>
      </c>
      <c r="V8" s="143">
        <f>IF(ISERROR(INDEX(Table2[GAS],MATCH(rrcworking[[#This Row],[Magnum Wolfpak '#]],Table2[Rox Wolf'#],0))),0,INDEX(Table2[GAS],MATCH(rrcworking[[#This Row],[Magnum Wolfpak '#]],Table2[Rox Wolf'#],0)))</f>
        <v>2337</v>
      </c>
      <c r="W8" s="24"/>
      <c r="X8" s="135">
        <f>IF(rrcworking[[#This Row],[Pressure Base]]=14.73,rrcworking[[#This Row],[Gas Sales Statement Volume (MCF)]]*$R$2,rrcworking[[#This Row],[Gas Sales Statement Volume (MCF)]])</f>
        <v>2337</v>
      </c>
      <c r="Y8" s="60"/>
      <c r="Z8" s="60"/>
      <c r="AA8" s="143">
        <f>IF(ISERROR(INDEX(Table2[LEASE USE],MATCH(rrcworking[[#This Row],[Magnum Wolfpak '#]],Table2[Rox Wolf'#],0))),0,INDEX(Table2[LEASE USE],MATCH(rrcworking[[#This Row],[Magnum Wolfpak '#]],Table2[Rox Wolf'#],0)))</f>
        <v>81</v>
      </c>
      <c r="AB8" s="57">
        <f>rrcworking[[#This Row],[Disposition Volume (MCF) @ 14.65 MCF]]+rrcworking[[#This Row],[Lease Use (MCF)]]</f>
        <v>2418</v>
      </c>
      <c r="AC8" s="37"/>
      <c r="AD8" s="37"/>
      <c r="AE8" s="185">
        <f>COUNTIF(FilterList,rrcworking[[#This Row],[Magnum Wolfpak '#]])</f>
        <v>0</v>
      </c>
      <c r="AF8" s="182"/>
      <c r="AG8" s="183"/>
      <c r="AH8" s="37"/>
      <c r="AI8" s="37"/>
      <c r="AJ8" s="184"/>
      <c r="AK8" s="184"/>
      <c r="AL8" s="184"/>
      <c r="AM8" s="184"/>
      <c r="AN8" s="184"/>
      <c r="AO8" s="184"/>
      <c r="AP8" s="37" t="s">
        <v>1164</v>
      </c>
      <c r="AQ8" s="37" t="s">
        <v>1165</v>
      </c>
    </row>
    <row r="9" spans="3:43" ht="14" hidden="1" customHeight="1">
      <c r="C9" s="80">
        <v>99267</v>
      </c>
      <c r="D9" s="62" t="s">
        <v>325</v>
      </c>
      <c r="E9" s="131" t="s">
        <v>326</v>
      </c>
      <c r="F9" s="129">
        <v>3</v>
      </c>
      <c r="G9" s="120" t="s">
        <v>1090</v>
      </c>
      <c r="H9" s="18" t="s">
        <v>619</v>
      </c>
      <c r="I9" s="18" t="s">
        <v>59</v>
      </c>
      <c r="J9" s="19" t="s">
        <v>564</v>
      </c>
      <c r="K9" s="103">
        <v>255119</v>
      </c>
      <c r="L9" s="101">
        <f>INDEX(Table1[Production],MATCH(rrcworking[[#This Row],[RRC ID Number]],Table1[RRC Identifier],0))</f>
        <v>0</v>
      </c>
      <c r="M9" s="30">
        <f>INDEX(Table1[Formation Production],MATCH(rrcworking[[#This Row],[RRC ID Number]],Table1[RRC Identifier],0))</f>
        <v>394</v>
      </c>
      <c r="N9" s="31">
        <f>INDEX(Table1[On Hand End of Month],MATCH(rrcworking[[#This Row],[RRC ID Number]],Table1[RRC Identifier],0))</f>
        <v>0</v>
      </c>
      <c r="O9" s="106" t="b">
        <f t="shared" si="0"/>
        <v>0</v>
      </c>
      <c r="Q9" s="127">
        <f>rrcworking[[#This Row],[Last Month Closing Stock]]</f>
        <v>0</v>
      </c>
      <c r="R9">
        <f>rrcworking[[#This Row],[Opening Oil Stock]]</f>
        <v>0</v>
      </c>
      <c r="S9" s="143">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 Volume (oil)]]-rrcworking[[#This Row],[Oil Production]]</f>
        <v>0</v>
      </c>
      <c r="V9" s="143">
        <f>IF(ISERROR(INDEX(Table2[GAS],MATCH(rrcworking[[#This Row],[Magnum Wolfpak '#]],Table2[Rox Wolf'#],0))),0,INDEX(Table2[GAS],MATCH(rrcworking[[#This Row],[Magnum Wolfpak '#]],Table2[Rox Wolf'#],0)))</f>
        <v>303</v>
      </c>
      <c r="W9" s="24"/>
      <c r="X9" s="135">
        <f>IF(rrcworking[[#This Row],[Pressure Base]]=14.73,rrcworking[[#This Row],[Gas Sales Statement Volume (MCF)]]*$R$2,rrcworking[[#This Row],[Gas Sales Statement Volume (MCF)]])</f>
        <v>303</v>
      </c>
      <c r="Y9" s="60"/>
      <c r="Z9" s="60"/>
      <c r="AA9" s="143">
        <f>IF(ISERROR(INDEX(Table2[LEASE USE],MATCH(rrcworking[[#This Row],[Magnum Wolfpak '#]],Table2[Rox Wolf'#],0))),0,INDEX(Table2[LEASE USE],MATCH(rrcworking[[#This Row],[Magnum Wolfpak '#]],Table2[Rox Wolf'#],0)))</f>
        <v>22</v>
      </c>
      <c r="AB9" s="57">
        <f>rrcworking[[#This Row],[Disposition Volume (MCF) @ 14.65 MCF]]+rrcworking[[#This Row],[Lease Use (MCF)]]</f>
        <v>325</v>
      </c>
      <c r="AC9" s="37"/>
      <c r="AD9" s="37"/>
      <c r="AE9" s="185">
        <f>COUNTIF(FilterList,rrcworking[[#This Row],[Magnum Wolfpak '#]])</f>
        <v>0</v>
      </c>
      <c r="AF9" s="182"/>
      <c r="AG9" s="183"/>
      <c r="AH9" s="37"/>
      <c r="AI9" s="37"/>
      <c r="AJ9" s="184"/>
      <c r="AK9" s="184"/>
      <c r="AL9" s="184"/>
      <c r="AM9" s="184"/>
      <c r="AN9" s="184"/>
      <c r="AO9" s="184"/>
      <c r="AP9" s="37" t="s">
        <v>1164</v>
      </c>
      <c r="AQ9" s="37" t="s">
        <v>1165</v>
      </c>
    </row>
    <row r="10" spans="3:43" ht="14" hidden="1" customHeight="1">
      <c r="C10" s="80">
        <v>99229</v>
      </c>
      <c r="D10" s="62" t="s">
        <v>221</v>
      </c>
      <c r="E10" s="131" t="s">
        <v>222</v>
      </c>
      <c r="F10" s="129">
        <v>0</v>
      </c>
      <c r="G10" s="120" t="s">
        <v>1090</v>
      </c>
      <c r="H10" s="18" t="s">
        <v>618</v>
      </c>
      <c r="I10" s="18" t="s">
        <v>2</v>
      </c>
      <c r="J10" s="19" t="s">
        <v>499</v>
      </c>
      <c r="K10" s="103">
        <v>26834</v>
      </c>
      <c r="L10" s="101">
        <f>INDEX(Table1[Production],MATCH(rrcworking[[#This Row],[RRC ID Number]],Table1[RRC Identifier],0))</f>
        <v>0</v>
      </c>
      <c r="M10" s="30">
        <f>INDEX(Table1[Formation Production],MATCH(rrcworking[[#This Row],[RRC ID Number]],Table1[RRC Identifier],0))</f>
        <v>0</v>
      </c>
      <c r="N10" s="31">
        <f>INDEX(Table1[On Hand End of Month],MATCH(rrcworking[[#This Row],[RRC ID Number]],Table1[RRC Identifier],0))</f>
        <v>262</v>
      </c>
      <c r="O10" s="106" t="b">
        <f t="shared" si="0"/>
        <v>1</v>
      </c>
      <c r="P10">
        <v>0</v>
      </c>
      <c r="Q10" s="127">
        <f>rrcworking[[#This Row],[Last Month Closing Stock]]</f>
        <v>262</v>
      </c>
      <c r="R10">
        <v>86</v>
      </c>
      <c r="S10" s="143">
        <f>IF(ISERROR(INDEX(Table2[OIL],MATCH(rrcworking[[#This Row],[Magnum Wolfpak '#]],Table2[Rox Wolf'#],0))),0,INDEX(Table2[OIL],MATCH(rrcworking[[#This Row],[Magnum Wolfpak '#]],Table2[Rox Wolf'#],0)))</f>
        <v>176</v>
      </c>
      <c r="T10" s="35">
        <f>rrcworking[[#This Row],[Closing Stock (Oil)]]+rrcworking[[#This Row],[Sales/Dispostion]]-rrcworking[[#This Row],[Opening Oil Stock]]</f>
        <v>0</v>
      </c>
      <c r="U10" s="112">
        <f>rrcworking[[#This Row],[Gauge Sheet Prod Volume (oil)]]-rrcworking[[#This Row],[Oil Production]]</f>
        <v>0</v>
      </c>
      <c r="V10" s="143">
        <f>IF(ISERROR(INDEX(Table2[GAS],MATCH(rrcworking[[#This Row],[Magnum Wolfpak '#]],Table2[Rox Wolf'#],0))),0,INDEX(Table2[GAS],MATCH(rrcworking[[#This Row],[Magnum Wolfpak '#]],Table2[Rox Wolf'#],0)))</f>
        <v>0</v>
      </c>
      <c r="W10" s="24"/>
      <c r="X10" s="135">
        <f>IF(rrcworking[[#This Row],[Pressure Base]]=14.73,rrcworking[[#This Row],[Gas Sales Statement Volume (MCF)]]*$R$2,rrcworking[[#This Row],[Gas Sales Statement Volume (MCF)]])</f>
        <v>0</v>
      </c>
      <c r="Y10" s="85"/>
      <c r="Z10" s="60">
        <v>1</v>
      </c>
      <c r="AA10" s="143">
        <f>IF(ISERROR(INDEX(Table2[LEASE USE],MATCH(rrcworking[[#This Row],[Magnum Wolfpak '#]],Table2[Rox Wolf'#],0))),0,INDEX(Table2[LEASE USE],MATCH(rrcworking[[#This Row],[Magnum Wolfpak '#]],Table2[Rox Wolf'#],0)))</f>
        <v>0</v>
      </c>
      <c r="AB10" s="57">
        <f>rrcworking[[#This Row],[Disposition Volume (MCF) @ 14.65 MCF]]+rrcworking[[#This Row],[Lease Use (MCF)]]</f>
        <v>0</v>
      </c>
      <c r="AC10" s="37"/>
      <c r="AD10" s="37" t="s">
        <v>1271</v>
      </c>
      <c r="AE10" s="185">
        <f>COUNTIF(FilterList,rrcworking[[#This Row],[Magnum Wolfpak '#]])</f>
        <v>0</v>
      </c>
      <c r="AF10" s="182"/>
      <c r="AG10" s="183"/>
      <c r="AH10" s="37"/>
      <c r="AI10" s="183"/>
      <c r="AJ10" s="184">
        <v>3</v>
      </c>
      <c r="AK10" s="184" t="s">
        <v>1140</v>
      </c>
      <c r="AL10" s="184" t="s">
        <v>1140</v>
      </c>
      <c r="AM10" s="184" t="s">
        <v>1167</v>
      </c>
      <c r="AN10" s="184" t="s">
        <v>1166</v>
      </c>
      <c r="AO10" s="184" t="s">
        <v>1168</v>
      </c>
      <c r="AP10" s="37" t="s">
        <v>1164</v>
      </c>
      <c r="AQ10" s="37" t="s">
        <v>1169</v>
      </c>
    </row>
    <row r="11" spans="3:43" ht="14" hidden="1" customHeight="1">
      <c r="C11" s="80" t="e">
        <v>#N/A</v>
      </c>
      <c r="D11" s="62" t="s">
        <v>225</v>
      </c>
      <c r="E11" s="131" t="s">
        <v>222</v>
      </c>
      <c r="F11" s="129" t="s">
        <v>226</v>
      </c>
      <c r="G11" s="120" t="s">
        <v>1090</v>
      </c>
      <c r="H11" s="18" t="s">
        <v>618</v>
      </c>
      <c r="I11" s="18" t="s">
        <v>59</v>
      </c>
      <c r="J11" s="19" t="s">
        <v>501</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Q11" s="127">
        <f>rrcworking[[#This Row],[Last Month Closing Stock]]</f>
        <v>0</v>
      </c>
      <c r="R11">
        <f>rrcworking[[#This Row],[Opening Oil Stock]]</f>
        <v>0</v>
      </c>
      <c r="S11" s="143">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 Volume (oil)]]-rrcworking[[#This Row],[Oil Production]]</f>
        <v>0</v>
      </c>
      <c r="V11" s="143">
        <f>IF(ISERROR(INDEX(Table2[GAS],MATCH(rrcworking[[#This Row],[Magnum Wolfpak '#]],Table2[Rox Wolf'#],0))),0,INDEX(Table2[GAS],MATCH(rrcworking[[#This Row],[Magnum Wolfpak '#]],Table2[Rox Wolf'#],0)))</f>
        <v>0</v>
      </c>
      <c r="W11" s="24"/>
      <c r="X11" s="135">
        <f>IF(rrcworking[[#This Row],[Pressure Base]]=14.73,rrcworking[[#This Row],[Gas Sales Statement Volume (MCF)]]*$R$2,rrcworking[[#This Row],[Gas Sales Statement Volume (MCF)]])</f>
        <v>0</v>
      </c>
      <c r="Y11" s="60"/>
      <c r="Z11" s="60"/>
      <c r="AA11" s="143">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185">
        <f>COUNTIF(FilterList,rrcworking[[#This Row],[Magnum Wolfpak '#]])</f>
        <v>0</v>
      </c>
      <c r="AF11" s="182"/>
      <c r="AG11" s="183"/>
      <c r="AH11" s="37"/>
      <c r="AI11" s="37"/>
      <c r="AJ11" s="37"/>
      <c r="AK11" s="37"/>
      <c r="AL11" s="37"/>
      <c r="AM11" s="37"/>
      <c r="AN11" s="37"/>
      <c r="AO11" s="37"/>
      <c r="AP11" s="37"/>
      <c r="AQ11" s="37"/>
    </row>
    <row r="12" spans="3:43" ht="14" hidden="1" customHeight="1">
      <c r="C12" s="80" t="e">
        <v>#N/A</v>
      </c>
      <c r="D12" s="62" t="s">
        <v>145</v>
      </c>
      <c r="E12" s="131" t="s">
        <v>146</v>
      </c>
      <c r="F12" s="129">
        <v>0</v>
      </c>
      <c r="G12" s="120" t="s">
        <v>1090</v>
      </c>
      <c r="H12" s="18" t="s">
        <v>618</v>
      </c>
      <c r="I12" s="18" t="s">
        <v>2</v>
      </c>
      <c r="J12" s="19" t="s">
        <v>457</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Q12" s="127">
        <f>rrcworking[[#This Row],[Last Month Closing Stock]]</f>
        <v>0</v>
      </c>
      <c r="R12">
        <f>rrcworking[[#This Row],[Opening Oil Stock]]</f>
        <v>0</v>
      </c>
      <c r="S12" s="143">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 Volume (oil)]]-rrcworking[[#This Row],[Oil Production]]</f>
        <v>0</v>
      </c>
      <c r="V12" s="143">
        <f>IF(ISERROR(INDEX(Table2[GAS],MATCH(rrcworking[[#This Row],[Magnum Wolfpak '#]],Table2[Rox Wolf'#],0))),0,INDEX(Table2[GAS],MATCH(rrcworking[[#This Row],[Magnum Wolfpak '#]],Table2[Rox Wolf'#],0)))</f>
        <v>0</v>
      </c>
      <c r="W12" s="24"/>
      <c r="X12" s="135">
        <f>IF(rrcworking[[#This Row],[Pressure Base]]=14.73,rrcworking[[#This Row],[Gas Sales Statement Volume (MCF)]]*$R$2,rrcworking[[#This Row],[Gas Sales Statement Volume (MCF)]])</f>
        <v>0</v>
      </c>
      <c r="Y12" s="60"/>
      <c r="Z12" s="60"/>
      <c r="AA12" s="143">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185">
        <f>COUNTIF(FilterList,rrcworking[[#This Row],[Magnum Wolfpak '#]])</f>
        <v>0</v>
      </c>
      <c r="AF12" s="182"/>
      <c r="AG12" s="183"/>
      <c r="AH12" s="37"/>
      <c r="AI12" s="37"/>
      <c r="AJ12" s="37"/>
      <c r="AK12" s="37"/>
      <c r="AL12" s="37"/>
      <c r="AM12" s="37"/>
      <c r="AN12" s="37"/>
      <c r="AO12" s="37"/>
      <c r="AP12" s="37"/>
      <c r="AQ12" s="37"/>
    </row>
    <row r="13" spans="3:43" ht="84" hidden="1">
      <c r="C13" s="203">
        <v>99282</v>
      </c>
      <c r="D13" s="204" t="s">
        <v>1257</v>
      </c>
      <c r="E13" s="205" t="s">
        <v>1265</v>
      </c>
      <c r="F13" s="206" t="s">
        <v>58</v>
      </c>
      <c r="G13" s="207"/>
      <c r="H13" s="208" t="s">
        <v>618</v>
      </c>
      <c r="I13" s="259" t="s">
        <v>2</v>
      </c>
      <c r="J13" s="210" t="s">
        <v>1294</v>
      </c>
      <c r="K13" s="103">
        <v>27736</v>
      </c>
      <c r="L13" s="101">
        <f>INDEX(Table1[Production],MATCH(rrcworking[[#This Row],[RRC ID Number]],Table1[RRC Identifier],0))</f>
        <v>155</v>
      </c>
      <c r="M13" s="30">
        <f>INDEX(Table1[Formation Production],MATCH(rrcworking[[#This Row],[RRC ID Number]],Table1[RRC Identifier],0))</f>
        <v>5455</v>
      </c>
      <c r="N13" s="31">
        <f>INDEX(Table1[On Hand End of Month],MATCH(rrcworking[[#This Row],[RRC ID Number]],Table1[RRC Identifier],0))</f>
        <v>362</v>
      </c>
      <c r="O13" s="106" t="b">
        <f>IF(AND(L13=0,M13=0), TRUE, FALSE)</f>
        <v>0</v>
      </c>
      <c r="P13">
        <v>154</v>
      </c>
      <c r="Q13" s="127">
        <f>rrcworking[[#This Row],[Last Month Closing Stock]]</f>
        <v>362</v>
      </c>
      <c r="R13">
        <v>337</v>
      </c>
      <c r="S13" s="143">
        <f>IF(ISERROR(INDEX(Table2[OIL],MATCH(rrcworking[[#This Row],[Magnum Wolfpak '#]],Table2[Rox Wolf'#],0))),0,INDEX(Table2[OIL],MATCH(rrcworking[[#This Row],[Magnum Wolfpak '#]],Table2[Rox Wolf'#],0)))</f>
        <v>179</v>
      </c>
      <c r="T13" s="35">
        <f>rrcworking[[#This Row],[Closing Stock (Oil)]]+rrcworking[[#This Row],[Sales/Dispostion]]-rrcworking[[#This Row],[Opening Oil Stock]]</f>
        <v>154</v>
      </c>
      <c r="U13" s="112">
        <f>rrcworking[[#This Row],[Gauge Sheet Prod Volume (oil)]]-rrcworking[[#This Row],[Oil Production]]</f>
        <v>0</v>
      </c>
      <c r="V13" s="143"/>
      <c r="W13" s="24"/>
      <c r="X13" s="135">
        <f>IF(rrcworking[[#This Row],[Pressure Base]]=14.73,rrcworking[[#This Row],[Gas Sales Statement Volume (MCF)]]*$R$2,rrcworking[[#This Row],[Gas Sales Statement Volume (MCF)]])</f>
        <v>0</v>
      </c>
      <c r="Y13" s="60"/>
      <c r="Z13" s="60"/>
      <c r="AA13" s="250">
        <v>6151</v>
      </c>
      <c r="AB13" s="57">
        <f>rrcworking[[#This Row],[Disposition Volume (MCF) @ 14.65 MCF]]+rrcworking[[#This Row],[Lease Use (MCF)]]</f>
        <v>6151</v>
      </c>
      <c r="AC13" s="37" t="s">
        <v>1260</v>
      </c>
      <c r="AD13" s="37" t="s">
        <v>1297</v>
      </c>
      <c r="AE13" s="185">
        <f>COUNTIF(FilterList,rrcworking[[#This Row],[Magnum Wolfpak '#]])</f>
        <v>0</v>
      </c>
      <c r="AF13" s="182"/>
      <c r="AG13" s="183"/>
      <c r="AH13" s="37"/>
      <c r="AI13" s="37"/>
      <c r="AJ13" s="37">
        <v>2</v>
      </c>
      <c r="AK13" s="37" t="s">
        <v>1140</v>
      </c>
      <c r="AL13" s="37" t="s">
        <v>1140</v>
      </c>
      <c r="AM13" s="37" t="s">
        <v>1202</v>
      </c>
      <c r="AN13" s="37" t="s">
        <v>1140</v>
      </c>
      <c r="AO13" s="37" t="s">
        <v>1204</v>
      </c>
      <c r="AP13" s="37" t="s">
        <v>1258</v>
      </c>
      <c r="AQ13" s="37" t="s">
        <v>1259</v>
      </c>
    </row>
    <row r="14" spans="3:43" ht="14" hidden="1" customHeight="1">
      <c r="C14" s="80">
        <v>93701</v>
      </c>
      <c r="D14" s="62" t="s">
        <v>92</v>
      </c>
      <c r="E14" s="131" t="s">
        <v>93</v>
      </c>
      <c r="F14" s="129">
        <v>1</v>
      </c>
      <c r="G14" s="120" t="s">
        <v>1090</v>
      </c>
      <c r="H14" s="18" t="s">
        <v>617</v>
      </c>
      <c r="I14" s="18" t="s">
        <v>59</v>
      </c>
      <c r="J14" s="19" t="s">
        <v>423</v>
      </c>
      <c r="K14" s="103">
        <v>207897</v>
      </c>
      <c r="L14" s="101">
        <f>INDEX(Table1[Production],MATCH(rrcworking[[#This Row],[RRC ID Number]],Table1[RRC Identifier],0))</f>
        <v>0</v>
      </c>
      <c r="M14" s="30">
        <f>INDEX(Table1[Formation Production],MATCH(rrcworking[[#This Row],[RRC ID Number]],Table1[RRC Identifier],0))</f>
        <v>10</v>
      </c>
      <c r="N14" s="31">
        <f>INDEX(Table1[On Hand End of Month],MATCH(rrcworking[[#This Row],[RRC ID Number]],Table1[RRC Identifier],0))</f>
        <v>0</v>
      </c>
      <c r="O14" s="106" t="b">
        <f t="shared" si="0"/>
        <v>0</v>
      </c>
      <c r="Q14" s="127">
        <f>rrcworking[[#This Row],[Last Month Closing Stock]]</f>
        <v>0</v>
      </c>
      <c r="R14">
        <v>0</v>
      </c>
      <c r="S14" s="143">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 Volume (oil)]]-rrcworking[[#This Row],[Oil Production]]</f>
        <v>0</v>
      </c>
      <c r="V14" s="143">
        <f>IF(ISERROR(INDEX(Table2[GAS],MATCH(rrcworking[[#This Row],[Magnum Wolfpak '#]],Table2[Rox Wolf'#],0))),0,INDEX(Table2[GAS],MATCH(rrcworking[[#This Row],[Magnum Wolfpak '#]],Table2[Rox Wolf'#],0)))</f>
        <v>6</v>
      </c>
      <c r="W14" s="24"/>
      <c r="X14" s="135">
        <f>IF(rrcworking[[#This Row],[Pressure Base]]=14.73,rrcworking[[#This Row],[Gas Sales Statement Volume (MCF)]]*$R$2,rrcworking[[#This Row],[Gas Sales Statement Volume (MCF)]])</f>
        <v>6</v>
      </c>
      <c r="Y14" s="60"/>
      <c r="Z14" s="60"/>
      <c r="AA14" s="143">
        <f>IF(ISERROR(INDEX(Table2[LEASE USE],MATCH(rrcworking[[#This Row],[Magnum Wolfpak '#]],Table2[Rox Wolf'#],0))),0,INDEX(Table2[LEASE USE],MATCH(rrcworking[[#This Row],[Magnum Wolfpak '#]],Table2[Rox Wolf'#],0)))</f>
        <v>0</v>
      </c>
      <c r="AB14" s="57">
        <f>rrcworking[[#This Row],[Disposition Volume (MCF) @ 14.65 MCF]]+rrcworking[[#This Row],[Lease Use (MCF)]]</f>
        <v>6</v>
      </c>
      <c r="AC14" s="37"/>
      <c r="AD14" s="37"/>
      <c r="AE14" s="185">
        <f>COUNTIF(FilterList,rrcworking[[#This Row],[Magnum Wolfpak '#]])</f>
        <v>0</v>
      </c>
      <c r="AF14" s="182"/>
      <c r="AG14" s="183"/>
      <c r="AH14" s="37"/>
      <c r="AI14" s="37"/>
      <c r="AJ14" s="37"/>
      <c r="AK14" s="37"/>
      <c r="AL14" s="37"/>
      <c r="AM14" s="37"/>
      <c r="AN14" s="37"/>
      <c r="AO14" s="37"/>
      <c r="AP14" s="37" t="s">
        <v>1164</v>
      </c>
      <c r="AQ14" s="37" t="s">
        <v>1170</v>
      </c>
    </row>
    <row r="15" spans="3:43" ht="14" hidden="1" customHeight="1">
      <c r="C15" s="80" t="e">
        <v>#N/A</v>
      </c>
      <c r="D15" s="62" t="s">
        <v>302</v>
      </c>
      <c r="E15" s="131" t="s">
        <v>303</v>
      </c>
      <c r="F15" s="129">
        <v>0</v>
      </c>
      <c r="G15" s="120" t="s">
        <v>1090</v>
      </c>
      <c r="H15" s="18" t="s">
        <v>618</v>
      </c>
      <c r="I15" s="18" t="s">
        <v>2</v>
      </c>
      <c r="J15" s="19" t="s">
        <v>549</v>
      </c>
      <c r="K15" s="103">
        <v>22499</v>
      </c>
      <c r="L15" s="101">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Q15" s="127">
        <f>rrcworking[[#This Row],[Last Month Closing Stock]]</f>
        <v>0</v>
      </c>
      <c r="R15">
        <f>rrcworking[[#This Row],[Opening Oil Stock]]</f>
        <v>0</v>
      </c>
      <c r="S15" s="143">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 Volume (oil)]]-rrcworking[[#This Row],[Oil Production]]</f>
        <v>0</v>
      </c>
      <c r="V15" s="143">
        <f>IF(ISERROR(INDEX(Table2[GAS],MATCH(rrcworking[[#This Row],[Magnum Wolfpak '#]],Table2[Rox Wolf'#],0))),0,INDEX(Table2[GAS],MATCH(rrcworking[[#This Row],[Magnum Wolfpak '#]],Table2[Rox Wolf'#],0)))</f>
        <v>0</v>
      </c>
      <c r="W15" s="24"/>
      <c r="X15" s="135">
        <f>IF(rrcworking[[#This Row],[Pressure Base]]=14.73,rrcworking[[#This Row],[Gas Sales Statement Volume (MCF)]]*$R$2,rrcworking[[#This Row],[Gas Sales Statement Volume (MCF)]])</f>
        <v>0</v>
      </c>
      <c r="Y15" s="60"/>
      <c r="Z15" s="60"/>
      <c r="AA15" s="143">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185">
        <f>COUNTIF(FilterList,rrcworking[[#This Row],[Magnum Wolfpak '#]])</f>
        <v>0</v>
      </c>
      <c r="AF15" s="182"/>
      <c r="AG15" s="183"/>
      <c r="AH15" s="37"/>
      <c r="AI15" s="37"/>
      <c r="AJ15" s="37"/>
      <c r="AK15" s="37"/>
      <c r="AL15" s="37"/>
      <c r="AM15" s="37"/>
      <c r="AN15" s="37"/>
      <c r="AO15" s="37"/>
      <c r="AP15" s="37"/>
      <c r="AQ15" s="37"/>
    </row>
    <row r="16" spans="3:43" ht="14" hidden="1" customHeight="1">
      <c r="C16" s="80" t="e">
        <v>#N/A</v>
      </c>
      <c r="D16" s="62" t="s">
        <v>73</v>
      </c>
      <c r="E16" s="131" t="s">
        <v>74</v>
      </c>
      <c r="F16" s="129" t="s">
        <v>75</v>
      </c>
      <c r="G16" s="120" t="s">
        <v>1090</v>
      </c>
      <c r="H16" s="18" t="s">
        <v>617</v>
      </c>
      <c r="I16" s="18" t="s">
        <v>59</v>
      </c>
      <c r="J16" s="19" t="s">
        <v>415</v>
      </c>
      <c r="K16" s="103">
        <v>127436</v>
      </c>
      <c r="L16" s="142">
        <f>INDEX(Table1[Production],MATCH(rrcworking[[#This Row],[RRC ID Number]],Table1[RRC Identifier],0))</f>
        <v>0</v>
      </c>
      <c r="M16" s="30">
        <f>INDEX(Table1[Formation Production],MATCH(rrcworking[[#This Row],[RRC ID Number]],Table1[RRC Identifier],0))</f>
        <v>0</v>
      </c>
      <c r="N16" s="31">
        <f>INDEX(Table1[On Hand End of Month],MATCH(rrcworking[[#This Row],[RRC ID Number]],Table1[RRC Identifier],0))</f>
        <v>0</v>
      </c>
      <c r="O16" s="106" t="b">
        <f t="shared" si="0"/>
        <v>1</v>
      </c>
      <c r="Q16" s="127">
        <f>rrcworking[[#This Row],[Last Month Closing Stock]]</f>
        <v>0</v>
      </c>
      <c r="R16">
        <f>rrcworking[[#This Row],[Opening Oil Stock]]</f>
        <v>0</v>
      </c>
      <c r="S16" s="143">
        <f>IF(ISERROR(INDEX(Table2[OIL],MATCH(rrcworking[[#This Row],[Magnum Wolfpak '#]],Table2[Rox Wolf'#],0))),0,INDEX(Table2[OIL],MATCH(rrcworking[[#This Row],[Magnum Wolfpak '#]],Table2[Rox Wolf'#],0)))</f>
        <v>0</v>
      </c>
      <c r="T16" s="35">
        <f>rrcworking[[#This Row],[Closing Stock (Oil)]]+rrcworking[[#This Row],[Sales/Dispostion]]-rrcworking[[#This Row],[Opening Oil Stock]]</f>
        <v>0</v>
      </c>
      <c r="U16" s="112">
        <f>rrcworking[[#This Row],[Gauge Sheet Prod Volume (oil)]]-rrcworking[[#This Row],[Oil Production]]</f>
        <v>0</v>
      </c>
      <c r="V16" s="143">
        <f>IF(ISERROR(INDEX(Table2[GAS],MATCH(rrcworking[[#This Row],[Magnum Wolfpak '#]],Table2[Rox Wolf'#],0))),0,INDEX(Table2[GAS],MATCH(rrcworking[[#This Row],[Magnum Wolfpak '#]],Table2[Rox Wolf'#],0)))</f>
        <v>0</v>
      </c>
      <c r="W16" s="24"/>
      <c r="X16" s="135">
        <f>IF(rrcworking[[#This Row],[Pressure Base]]=14.73,rrcworking[[#This Row],[Gas Sales Statement Volume (MCF)]]*$R$2,rrcworking[[#This Row],[Gas Sales Statement Volume (MCF)]])</f>
        <v>0</v>
      </c>
      <c r="Y16" s="60"/>
      <c r="Z16" s="60"/>
      <c r="AA16" s="143">
        <f>IF(ISERROR(INDEX(Table2[LEASE USE],MATCH(rrcworking[[#This Row],[Magnum Wolfpak '#]],Table2[Rox Wolf'#],0))),0,INDEX(Table2[LEASE USE],MATCH(rrcworking[[#This Row],[Magnum Wolfpak '#]],Table2[Rox Wolf'#],0)))</f>
        <v>0</v>
      </c>
      <c r="AB16" s="57">
        <f>rrcworking[[#This Row],[Disposition Volume (MCF) @ 14.65 MCF]]+rrcworking[[#This Row],[Lease Use (MCF)]]</f>
        <v>0</v>
      </c>
      <c r="AC16" s="37"/>
      <c r="AD16" s="37"/>
      <c r="AE16" s="185">
        <f>COUNTIF(FilterList,rrcworking[[#This Row],[Magnum Wolfpak '#]])</f>
        <v>0</v>
      </c>
      <c r="AF16" s="182"/>
      <c r="AG16" s="183"/>
      <c r="AH16" s="37"/>
      <c r="AI16" s="37"/>
      <c r="AJ16" s="37"/>
      <c r="AK16" s="37"/>
      <c r="AL16" s="37"/>
      <c r="AM16" s="37"/>
      <c r="AN16" s="37"/>
      <c r="AO16" s="37"/>
      <c r="AP16" s="37"/>
      <c r="AQ16" s="37"/>
    </row>
    <row r="17" spans="3:43" ht="42">
      <c r="C17" s="80">
        <v>99230</v>
      </c>
      <c r="D17" s="62" t="s">
        <v>171</v>
      </c>
      <c r="E17" s="132" t="s">
        <v>170</v>
      </c>
      <c r="F17" s="129">
        <v>2</v>
      </c>
      <c r="G17" s="120" t="s">
        <v>1090</v>
      </c>
      <c r="H17" s="18" t="s">
        <v>618</v>
      </c>
      <c r="I17" s="18" t="s">
        <v>59</v>
      </c>
      <c r="J17" s="19" t="s">
        <v>472</v>
      </c>
      <c r="K17" s="103">
        <v>279199</v>
      </c>
      <c r="L17" s="101">
        <f>INDEX(Table1[Production],MATCH(rrcworking[[#This Row],[RRC ID Number]],Table1[RRC Identifier],0))</f>
        <v>28</v>
      </c>
      <c r="M17" s="30">
        <f>INDEX(Table1[Formation Production],MATCH(rrcworking[[#This Row],[RRC ID Number]],Table1[RRC Identifier],0))</f>
        <v>2019</v>
      </c>
      <c r="N17" s="31">
        <f>INDEX(Table1[On Hand End of Month],MATCH(rrcworking[[#This Row],[RRC ID Number]],Table1[RRC Identifier],0))</f>
        <v>48</v>
      </c>
      <c r="O17" s="106" t="b">
        <f t="shared" si="0"/>
        <v>0</v>
      </c>
      <c r="P17">
        <v>224</v>
      </c>
      <c r="Q17" s="127">
        <f>rrcworking[[#This Row],[Last Month Closing Stock]]</f>
        <v>48</v>
      </c>
      <c r="R17">
        <v>100</v>
      </c>
      <c r="S17" s="143">
        <f>IF(ISERROR(INDEX(Table2[OIL],MATCH(rrcworking[[#This Row],[Magnum Wolfpak '#]],Table2[Rox Wolf'#],0))),0,INDEX(Table2[OIL],MATCH(rrcworking[[#This Row],[Magnum Wolfpak '#]],Table2[Rox Wolf'#],0)))</f>
        <v>350</v>
      </c>
      <c r="T17" s="35">
        <f>rrcworking[[#This Row],[Closing Stock (Oil)]]+rrcworking[[#This Row],[Sales/Dispostion]]-rrcworking[[#This Row],[Opening Oil Stock]]</f>
        <v>402</v>
      </c>
      <c r="U17" s="112">
        <f>rrcworking[[#This Row],[Gauge Sheet Prod Volume (oil)]]-rrcworking[[#This Row],[Oil Production]]</f>
        <v>-178</v>
      </c>
      <c r="V17" s="143">
        <f>IF(ISERROR(INDEX(Table2[GAS],MATCH(rrcworking[[#This Row],[Magnum Wolfpak '#]],Table2[Rox Wolf'#],0))),0,INDEX(Table2[GAS],MATCH(rrcworking[[#This Row],[Magnum Wolfpak '#]],Table2[Rox Wolf'#],0)))</f>
        <v>1905</v>
      </c>
      <c r="W17" s="24"/>
      <c r="X17" s="135">
        <f>IF(rrcworking[[#This Row],[Pressure Base]]=14.73,rrcworking[[#This Row],[Gas Sales Statement Volume (MCF)]]*$R$2,rrcworking[[#This Row],[Gas Sales Statement Volume (MCF)]])</f>
        <v>1905</v>
      </c>
      <c r="Y17" s="60"/>
      <c r="Z17" s="60"/>
      <c r="AA17" s="143">
        <f>IF(ISERROR(INDEX(Table2[LEASE USE],MATCH(rrcworking[[#This Row],[Magnum Wolfpak '#]],Table2[Rox Wolf'#],0))),0,INDEX(Table2[LEASE USE],MATCH(rrcworking[[#This Row],[Magnum Wolfpak '#]],Table2[Rox Wolf'#],0)))</f>
        <v>0</v>
      </c>
      <c r="AB17" s="57">
        <f>rrcworking[[#This Row],[Disposition Volume (MCF) @ 14.65 MCF]]+rrcworking[[#This Row],[Lease Use (MCF)]]</f>
        <v>1905</v>
      </c>
      <c r="AC17" s="37"/>
      <c r="AD17" s="37" t="s">
        <v>1298</v>
      </c>
      <c r="AE17" s="185">
        <f>COUNTIF(FilterList,rrcworking[[#This Row],[Magnum Wolfpak '#]])</f>
        <v>0</v>
      </c>
      <c r="AF17" s="182"/>
      <c r="AG17" s="183"/>
      <c r="AH17" s="37"/>
      <c r="AI17" s="183"/>
      <c r="AJ17" s="37">
        <v>1</v>
      </c>
      <c r="AK17" s="37" t="s">
        <v>1140</v>
      </c>
      <c r="AL17" s="37" t="s">
        <v>1140</v>
      </c>
      <c r="AM17" s="37" t="s">
        <v>1171</v>
      </c>
      <c r="AN17" s="37" t="s">
        <v>1140</v>
      </c>
      <c r="AO17" s="37" t="s">
        <v>1172</v>
      </c>
      <c r="AP17" s="37" t="s">
        <v>1173</v>
      </c>
      <c r="AQ17" s="37" t="s">
        <v>1174</v>
      </c>
    </row>
    <row r="18" spans="3:43" ht="14" hidden="1" customHeight="1">
      <c r="C18" s="80" t="e">
        <v>#N/A</v>
      </c>
      <c r="D18" s="62" t="s">
        <v>169</v>
      </c>
      <c r="E18" s="131" t="s">
        <v>170</v>
      </c>
      <c r="F18" s="129">
        <v>1</v>
      </c>
      <c r="G18" s="120" t="s">
        <v>1090</v>
      </c>
      <c r="H18" s="18" t="s">
        <v>618</v>
      </c>
      <c r="I18" s="18" t="s">
        <v>59</v>
      </c>
      <c r="J18" s="19" t="s">
        <v>471</v>
      </c>
      <c r="K18" s="103">
        <v>272614</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Q18" s="127">
        <f>rrcworking[[#This Row],[Last Month Closing Stock]]</f>
        <v>0</v>
      </c>
      <c r="R18">
        <f>rrcworking[[#This Row],[Opening Oil Stock]]</f>
        <v>0</v>
      </c>
      <c r="S18" s="143">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 Volume (oil)]]-rrcworking[[#This Row],[Oil Production]]</f>
        <v>0</v>
      </c>
      <c r="V18" s="143">
        <f>IF(ISERROR(INDEX(Table2[GAS],MATCH(rrcworking[[#This Row],[Magnum Wolfpak '#]],Table2[Rox Wolf'#],0))),0,INDEX(Table2[GAS],MATCH(rrcworking[[#This Row],[Magnum Wolfpak '#]],Table2[Rox Wolf'#],0)))</f>
        <v>0</v>
      </c>
      <c r="W18" s="24"/>
      <c r="X18" s="135">
        <f>IF(rrcworking[[#This Row],[Pressure Base]]=14.73,rrcworking[[#This Row],[Gas Sales Statement Volume (MCF)]]*$R$2,rrcworking[[#This Row],[Gas Sales Statement Volume (MCF)]])</f>
        <v>0</v>
      </c>
      <c r="Y18" s="60"/>
      <c r="Z18" s="60"/>
      <c r="AA18" s="143">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185">
        <f>COUNTIF(FilterList,rrcworking[[#This Row],[Magnum Wolfpak '#]])</f>
        <v>0</v>
      </c>
      <c r="AF18" s="182"/>
      <c r="AG18" s="183"/>
      <c r="AH18" s="37"/>
      <c r="AI18" s="37"/>
      <c r="AJ18" s="37"/>
      <c r="AK18" s="37"/>
      <c r="AL18" s="37"/>
      <c r="AM18" s="37"/>
      <c r="AN18" s="37"/>
      <c r="AO18" s="37"/>
      <c r="AP18" s="37"/>
      <c r="AQ18" s="37"/>
    </row>
    <row r="19" spans="3:43" ht="14" hidden="1" customHeight="1">
      <c r="C19" s="80" t="e">
        <v>#N/A</v>
      </c>
      <c r="D19" s="62" t="s">
        <v>379</v>
      </c>
      <c r="E19" s="131" t="s">
        <v>380</v>
      </c>
      <c r="F19" s="129">
        <v>0</v>
      </c>
      <c r="G19" s="120" t="s">
        <v>1090</v>
      </c>
      <c r="H19" s="18" t="s">
        <v>619</v>
      </c>
      <c r="I19" s="18" t="s">
        <v>2</v>
      </c>
      <c r="J19" s="19" t="s">
        <v>594</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Q19" s="127">
        <f>rrcworking[[#This Row],[Last Month Closing Stock]]</f>
        <v>0</v>
      </c>
      <c r="R19">
        <f>rrcworking[[#This Row],[Opening Oil Stock]]</f>
        <v>0</v>
      </c>
      <c r="S19" s="143">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 Volume (oil)]]-rrcworking[[#This Row],[Oil Production]]</f>
        <v>0</v>
      </c>
      <c r="V19" s="143">
        <f>IF(ISERROR(INDEX(Table2[GAS],MATCH(rrcworking[[#This Row],[Magnum Wolfpak '#]],Table2[Rox Wolf'#],0))),0,INDEX(Table2[GAS],MATCH(rrcworking[[#This Row],[Magnum Wolfpak '#]],Table2[Rox Wolf'#],0)))</f>
        <v>0</v>
      </c>
      <c r="W19" s="24"/>
      <c r="X19" s="135">
        <f>IF(rrcworking[[#This Row],[Pressure Base]]=14.73,rrcworking[[#This Row],[Gas Sales Statement Volume (MCF)]]*$R$2,rrcworking[[#This Row],[Gas Sales Statement Volume (MCF)]])</f>
        <v>0</v>
      </c>
      <c r="Y19" s="60"/>
      <c r="Z19" s="60"/>
      <c r="AA19" s="143">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185">
        <f>COUNTIF(FilterList,rrcworking[[#This Row],[Magnum Wolfpak '#]])</f>
        <v>0</v>
      </c>
      <c r="AF19" s="182"/>
      <c r="AG19" s="183"/>
      <c r="AH19" s="37"/>
      <c r="AI19" s="37"/>
      <c r="AJ19" s="37"/>
      <c r="AK19" s="37"/>
      <c r="AL19" s="37"/>
      <c r="AM19" s="37"/>
      <c r="AN19" s="37"/>
      <c r="AO19" s="37"/>
      <c r="AP19" s="37"/>
      <c r="AQ19" s="37"/>
    </row>
    <row r="20" spans="3:43" ht="14" hidden="1" customHeight="1">
      <c r="C20" s="80" t="e">
        <v>#N/A</v>
      </c>
      <c r="D20" s="62" t="s">
        <v>381</v>
      </c>
      <c r="E20" s="131" t="s">
        <v>383</v>
      </c>
      <c r="F20" s="129">
        <v>0</v>
      </c>
      <c r="G20" s="120" t="s">
        <v>1090</v>
      </c>
      <c r="H20" s="18" t="s">
        <v>619</v>
      </c>
      <c r="I20" s="18" t="s">
        <v>2</v>
      </c>
      <c r="J20" s="19" t="s">
        <v>596</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Q20" s="127">
        <f>rrcworking[[#This Row],[Last Month Closing Stock]]</f>
        <v>0</v>
      </c>
      <c r="R20">
        <f>rrcworking[[#This Row],[Opening Oil Stock]]</f>
        <v>0</v>
      </c>
      <c r="S20" s="143">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 Volume (oil)]]-rrcworking[[#This Row],[Oil Production]]</f>
        <v>0</v>
      </c>
      <c r="V20" s="143">
        <f>IF(ISERROR(INDEX(Table2[GAS],MATCH(rrcworking[[#This Row],[Magnum Wolfpak '#]],Table2[Rox Wolf'#],0))),0,INDEX(Table2[GAS],MATCH(rrcworking[[#This Row],[Magnum Wolfpak '#]],Table2[Rox Wolf'#],0)))</f>
        <v>0</v>
      </c>
      <c r="W20" s="24"/>
      <c r="X20" s="135">
        <f>IF(rrcworking[[#This Row],[Pressure Base]]=14.73,rrcworking[[#This Row],[Gas Sales Statement Volume (MCF)]]*$R$2,rrcworking[[#This Row],[Gas Sales Statement Volume (MCF)]])</f>
        <v>0</v>
      </c>
      <c r="Y20" s="60"/>
      <c r="Z20" s="60"/>
      <c r="AA20" s="143">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185">
        <f>COUNTIF(FilterList,rrcworking[[#This Row],[Magnum Wolfpak '#]])</f>
        <v>0</v>
      </c>
      <c r="AF20" s="182"/>
      <c r="AG20" s="183"/>
      <c r="AH20" s="37"/>
      <c r="AI20" s="37"/>
      <c r="AJ20" s="37"/>
      <c r="AK20" s="37"/>
      <c r="AL20" s="37"/>
      <c r="AM20" s="37"/>
      <c r="AN20" s="37"/>
      <c r="AO20" s="37"/>
      <c r="AP20" s="37"/>
      <c r="AQ20" s="37"/>
    </row>
    <row r="21" spans="3:43" ht="14" hidden="1" customHeight="1">
      <c r="C21" s="80">
        <v>98201</v>
      </c>
      <c r="D21" s="62" t="s">
        <v>129</v>
      </c>
      <c r="E21" s="131" t="s">
        <v>130</v>
      </c>
      <c r="F21" s="129">
        <v>1</v>
      </c>
      <c r="G21" s="120" t="s">
        <v>1090</v>
      </c>
      <c r="H21" s="18" t="s">
        <v>617</v>
      </c>
      <c r="I21" s="18" t="s">
        <v>59</v>
      </c>
      <c r="J21" s="19" t="s">
        <v>447</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Q21" s="127">
        <f>rrcworking[[#This Row],[Last Month Closing Stock]]</f>
        <v>166</v>
      </c>
      <c r="R21">
        <v>166</v>
      </c>
      <c r="S21" s="143">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 Volume (oil)]]-rrcworking[[#This Row],[Oil Production]]</f>
        <v>0</v>
      </c>
      <c r="V21" s="143">
        <f>IF(ISERROR(INDEX(Table2[GAS],MATCH(rrcworking[[#This Row],[Magnum Wolfpak '#]],Table2[Rox Wolf'#],0))),0,INDEX(Table2[GAS],MATCH(rrcworking[[#This Row],[Magnum Wolfpak '#]],Table2[Rox Wolf'#],0)))</f>
        <v>0</v>
      </c>
      <c r="W21" s="24"/>
      <c r="X21" s="135">
        <f>IF(rrcworking[[#This Row],[Pressure Base]]=14.73,rrcworking[[#This Row],[Gas Sales Statement Volume (MCF)]]*$R$2,rrcworking[[#This Row],[Gas Sales Statement Volume (MCF)]])</f>
        <v>0</v>
      </c>
      <c r="Y21" s="60"/>
      <c r="Z21" s="60"/>
      <c r="AA21" s="143">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185">
        <f>COUNTIF(FilterList,rrcworking[[#This Row],[Magnum Wolfpak '#]])</f>
        <v>1</v>
      </c>
      <c r="AF21" s="182"/>
      <c r="AG21" s="183"/>
      <c r="AH21" s="37"/>
      <c r="AI21" s="183"/>
      <c r="AJ21" s="184"/>
      <c r="AK21" s="184"/>
      <c r="AL21" s="184"/>
      <c r="AM21" s="184"/>
      <c r="AN21" s="184"/>
      <c r="AO21" s="184"/>
      <c r="AP21" s="37" t="s">
        <v>1164</v>
      </c>
      <c r="AQ21" s="37" t="s">
        <v>1175</v>
      </c>
    </row>
    <row r="22" spans="3:43" ht="31" customHeight="1">
      <c r="C22" s="80">
        <v>99294</v>
      </c>
      <c r="D22" s="62" t="s">
        <v>184</v>
      </c>
      <c r="E22" s="131" t="s">
        <v>181</v>
      </c>
      <c r="F22" s="140" t="s">
        <v>1093</v>
      </c>
      <c r="G22" s="120" t="s">
        <v>1090</v>
      </c>
      <c r="H22" s="18" t="s">
        <v>618</v>
      </c>
      <c r="I22" s="18" t="s">
        <v>2</v>
      </c>
      <c r="J22" s="19" t="s">
        <v>480</v>
      </c>
      <c r="K22" s="103">
        <v>27236</v>
      </c>
      <c r="L22" s="101">
        <f>INDEX(Table1[Production],MATCH(rrcworking[[#This Row],[RRC ID Number]],Table1[RRC Identifier],0))</f>
        <v>1228</v>
      </c>
      <c r="M22" s="30">
        <f>INDEX(Table1[Formation Production],MATCH(rrcworking[[#This Row],[RRC ID Number]],Table1[RRC Identifier],0))</f>
        <v>1561</v>
      </c>
      <c r="N22" s="31">
        <f>INDEX(Table1[On Hand End of Month],MATCH(rrcworking[[#This Row],[RRC ID Number]],Table1[RRC Identifier],0))</f>
        <v>224</v>
      </c>
      <c r="O22" s="106" t="b">
        <f t="shared" si="0"/>
        <v>0</v>
      </c>
      <c r="P22">
        <v>1361</v>
      </c>
      <c r="Q22" s="127">
        <f>rrcworking[[#This Row],[Last Month Closing Stock]]</f>
        <v>224</v>
      </c>
      <c r="R22">
        <v>494</v>
      </c>
      <c r="S22" s="143">
        <f>IF(ISERROR(INDEX(Table2[OIL],MATCH(rrcworking[[#This Row],[Magnum Wolfpak '#]],Table2[Rox Wolf'#],0))),0,INDEX(Table2[OIL],MATCH(rrcworking[[#This Row],[Magnum Wolfpak '#]],Table2[Rox Wolf'#],0)))</f>
        <v>718</v>
      </c>
      <c r="T22" s="35">
        <f>rrcworking[[#This Row],[Closing Stock (Oil)]]+rrcworking[[#This Row],[Sales/Dispostion]]-rrcworking[[#This Row],[Opening Oil Stock]]</f>
        <v>988</v>
      </c>
      <c r="U22" s="112">
        <f>rrcworking[[#This Row],[Gauge Sheet Prod Volume (oil)]]-rrcworking[[#This Row],[Oil Production]]</f>
        <v>373</v>
      </c>
      <c r="V22" s="143">
        <f>IF(ISERROR(INDEX(Table2[GAS],MATCH(rrcworking[[#This Row],[Magnum Wolfpak '#]],Table2[Rox Wolf'#],0))),0,INDEX(Table2[GAS],MATCH(rrcworking[[#This Row],[Magnum Wolfpak '#]],Table2[Rox Wolf'#],0)))</f>
        <v>1212</v>
      </c>
      <c r="W22" s="24"/>
      <c r="X22" s="135">
        <f>IF(rrcworking[[#This Row],[Pressure Base]]=14.73,rrcworking[[#This Row],[Gas Sales Statement Volume (MCF)]]*$R$2,rrcworking[[#This Row],[Gas Sales Statement Volume (MCF)]])</f>
        <v>1212</v>
      </c>
      <c r="Y22" s="85"/>
      <c r="Z22" s="60">
        <v>1</v>
      </c>
      <c r="AA22" s="143">
        <f>IF(ISERROR(INDEX(Table2[LEASE USE],MATCH(rrcworking[[#This Row],[Magnum Wolfpak '#]],Table2[Rox Wolf'#],0))),0,INDEX(Table2[LEASE USE],MATCH(rrcworking[[#This Row],[Magnum Wolfpak '#]],Table2[Rox Wolf'#],0)))</f>
        <v>30</v>
      </c>
      <c r="AB22" s="57">
        <f>rrcworking[[#This Row],[Disposition Volume (MCF) @ 14.65 MCF]]+rrcworking[[#This Row],[Lease Use (MCF)]]</f>
        <v>1242</v>
      </c>
      <c r="AC22" s="37"/>
      <c r="AD22" s="37" t="s">
        <v>1299</v>
      </c>
      <c r="AE22" s="185">
        <f>COUNTIF(FilterList,rrcworking[[#This Row],[Magnum Wolfpak '#]])</f>
        <v>0</v>
      </c>
      <c r="AF22" s="182"/>
      <c r="AG22" s="183"/>
      <c r="AH22" s="37"/>
      <c r="AI22" s="183"/>
      <c r="AJ22" s="37">
        <v>1</v>
      </c>
      <c r="AK22" s="37" t="s">
        <v>1140</v>
      </c>
      <c r="AL22" s="37" t="s">
        <v>1166</v>
      </c>
      <c r="AM22" s="37" t="s">
        <v>1176</v>
      </c>
      <c r="AN22" s="37" t="s">
        <v>1166</v>
      </c>
      <c r="AO22" s="37" t="s">
        <v>1177</v>
      </c>
      <c r="AP22" s="37" t="s">
        <v>1178</v>
      </c>
      <c r="AQ22" s="37" t="s">
        <v>1179</v>
      </c>
    </row>
    <row r="23" spans="3:43" ht="14" hidden="1" customHeight="1">
      <c r="C23" s="80" t="e">
        <v>#N/A</v>
      </c>
      <c r="D23" s="62" t="s">
        <v>306</v>
      </c>
      <c r="E23" s="131" t="s">
        <v>181</v>
      </c>
      <c r="F23" s="129" t="s">
        <v>1233</v>
      </c>
      <c r="G23" s="120" t="s">
        <v>1090</v>
      </c>
      <c r="H23" s="18" t="s">
        <v>618</v>
      </c>
      <c r="I23" s="18" t="s">
        <v>59</v>
      </c>
      <c r="J23" s="19" t="s">
        <v>551</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Q23" s="127">
        <f>rrcworking[[#This Row],[Last Month Closing Stock]]</f>
        <v>134</v>
      </c>
      <c r="R23">
        <f>rrcworking[[#This Row],[Opening Oil Stock]]</f>
        <v>134</v>
      </c>
      <c r="S23" s="143">
        <f>IF(ISERROR(INDEX(Table2[OIL],MATCH(rrcworking[[#This Row],[Magnum Wolfpak '#]],Table2[Rox Wolf'#],0))),0,INDEX(Table2[OIL],MATCH(rrcworking[[#This Row],[Magnum Wolfpak '#]],Table2[Rox Wolf'#],0)))</f>
        <v>0</v>
      </c>
      <c r="T23" s="35">
        <f>rrcworking[[#This Row],[Closing Stock (Oil)]]+rrcworking[[#This Row],[Sales/Dispostion]]-rrcworking[[#This Row],[Opening Oil Stock]]</f>
        <v>0</v>
      </c>
      <c r="U23" s="112">
        <f>rrcworking[[#This Row],[Gauge Sheet Prod Volume (oil)]]-rrcworking[[#This Row],[Oil Production]]</f>
        <v>0</v>
      </c>
      <c r="V23" s="143">
        <f>IF(ISERROR(INDEX(Table2[GAS],MATCH(rrcworking[[#This Row],[Magnum Wolfpak '#]],Table2[Rox Wolf'#],0))),0,INDEX(Table2[GAS],MATCH(rrcworking[[#This Row],[Magnum Wolfpak '#]],Table2[Rox Wolf'#],0)))</f>
        <v>0</v>
      </c>
      <c r="W23" s="24"/>
      <c r="X23" s="135">
        <f>IF(rrcworking[[#This Row],[Pressure Base]]=14.73,rrcworking[[#This Row],[Gas Sales Statement Volume (MCF)]]*$R$2,rrcworking[[#This Row],[Gas Sales Statement Volume (MCF)]])</f>
        <v>0</v>
      </c>
      <c r="Y23" s="60"/>
      <c r="Z23" s="60"/>
      <c r="AA23" s="143">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185">
        <f>COUNTIF(FilterList,rrcworking[[#This Row],[Magnum Wolfpak '#]])</f>
        <v>0</v>
      </c>
      <c r="AF23" s="182"/>
      <c r="AG23" s="183"/>
      <c r="AH23" s="37"/>
      <c r="AI23" s="37"/>
      <c r="AJ23" s="37"/>
      <c r="AK23" s="37"/>
      <c r="AL23" s="37"/>
      <c r="AM23" s="37"/>
      <c r="AN23" s="37"/>
      <c r="AO23" s="37"/>
      <c r="AP23" s="37"/>
      <c r="AQ23" s="37"/>
    </row>
    <row r="24" spans="3:43" ht="28" hidden="1">
      <c r="C24" s="80">
        <v>99293</v>
      </c>
      <c r="D24" s="62" t="s">
        <v>180</v>
      </c>
      <c r="E24" s="131" t="s">
        <v>181</v>
      </c>
      <c r="F24" s="140" t="s">
        <v>1091</v>
      </c>
      <c r="G24" s="120" t="s">
        <v>1090</v>
      </c>
      <c r="H24" s="18" t="s">
        <v>618</v>
      </c>
      <c r="I24" s="18" t="s">
        <v>2</v>
      </c>
      <c r="J24" s="19" t="s">
        <v>477</v>
      </c>
      <c r="K24" s="103">
        <v>27285</v>
      </c>
      <c r="L24" s="101">
        <f>INDEX(Table1[Production],MATCH(rrcworking[[#This Row],[RRC ID Number]],Table1[RRC Identifier],0))</f>
        <v>112</v>
      </c>
      <c r="M24" s="30">
        <f>INDEX(Table1[Formation Production],MATCH(rrcworking[[#This Row],[RRC ID Number]],Table1[RRC Identifier],0))</f>
        <v>639</v>
      </c>
      <c r="N24" s="31">
        <f>INDEX(Table1[On Hand End of Month],MATCH(rrcworking[[#This Row],[RRC ID Number]],Table1[RRC Identifier],0))</f>
        <v>374</v>
      </c>
      <c r="O24" s="106" t="b">
        <f t="shared" si="0"/>
        <v>0</v>
      </c>
      <c r="P24">
        <v>58</v>
      </c>
      <c r="Q24" s="127">
        <f>rrcworking[[#This Row],[Last Month Closing Stock]]</f>
        <v>374</v>
      </c>
      <c r="R24">
        <v>432</v>
      </c>
      <c r="S24" s="143">
        <f>IF(ISERROR(INDEX(Table2[OIL],MATCH(rrcworking[[#This Row],[Magnum Wolfpak '#]],Table2[Rox Wolf'#],0))),0,INDEX(Table2[OIL],MATCH(rrcworking[[#This Row],[Magnum Wolfpak '#]],Table2[Rox Wolf'#],0)))</f>
        <v>0</v>
      </c>
      <c r="T24" s="35">
        <f>rrcworking[[#This Row],[Closing Stock (Oil)]]+rrcworking[[#This Row],[Sales/Dispostion]]-rrcworking[[#This Row],[Opening Oil Stock]]</f>
        <v>58</v>
      </c>
      <c r="U24" s="112">
        <f>rrcworking[[#This Row],[Gauge Sheet Prod Volume (oil)]]-rrcworking[[#This Row],[Oil Production]]</f>
        <v>0</v>
      </c>
      <c r="V24" s="143">
        <f>IF(ISERROR(INDEX(Table2[GAS],MATCH(rrcworking[[#This Row],[Magnum Wolfpak '#]],Table2[Rox Wolf'#],0))),0,INDEX(Table2[GAS],MATCH(rrcworking[[#This Row],[Magnum Wolfpak '#]],Table2[Rox Wolf'#],0)))</f>
        <v>139</v>
      </c>
      <c r="W24" s="24"/>
      <c r="X24" s="135">
        <f>IF(rrcworking[[#This Row],[Pressure Base]]=14.73,rrcworking[[#This Row],[Gas Sales Statement Volume (MCF)]]*$R$2,rrcworking[[#This Row],[Gas Sales Statement Volume (MCF)]])</f>
        <v>139</v>
      </c>
      <c r="Y24" s="85"/>
      <c r="Z24" s="60">
        <v>1</v>
      </c>
      <c r="AA24" s="143">
        <f>IF(ISERROR(INDEX(Table2[LEASE USE],MATCH(rrcworking[[#This Row],[Magnum Wolfpak '#]],Table2[Rox Wolf'#],0))),0,INDEX(Table2[LEASE USE],MATCH(rrcworking[[#This Row],[Magnum Wolfpak '#]],Table2[Rox Wolf'#],0)))</f>
        <v>30</v>
      </c>
      <c r="AB24" s="57">
        <f>rrcworking[[#This Row],[Disposition Volume (MCF) @ 14.65 MCF]]+rrcworking[[#This Row],[Lease Use (MCF)]]</f>
        <v>169</v>
      </c>
      <c r="AC24" s="37"/>
      <c r="AD24" s="37" t="s">
        <v>1299</v>
      </c>
      <c r="AE24" s="185">
        <f>COUNTIF(FilterList,rrcworking[[#This Row],[Magnum Wolfpak '#]])</f>
        <v>0</v>
      </c>
      <c r="AF24" s="182"/>
      <c r="AG24" s="183"/>
      <c r="AH24" s="37"/>
      <c r="AI24" s="183"/>
      <c r="AJ24" s="37">
        <v>3</v>
      </c>
      <c r="AK24" s="37" t="s">
        <v>1140</v>
      </c>
      <c r="AL24" s="37" t="s">
        <v>1166</v>
      </c>
      <c r="AM24" s="37" t="s">
        <v>1180</v>
      </c>
      <c r="AN24" s="37" t="s">
        <v>1166</v>
      </c>
      <c r="AO24" s="37" t="s">
        <v>1177</v>
      </c>
      <c r="AP24" s="37" t="s">
        <v>1181</v>
      </c>
      <c r="AQ24" s="37"/>
    </row>
    <row r="25" spans="3:43" ht="14" hidden="1">
      <c r="C25" s="80">
        <v>99286</v>
      </c>
      <c r="D25" s="62" t="s">
        <v>182</v>
      </c>
      <c r="E25" s="131" t="s">
        <v>181</v>
      </c>
      <c r="F25" s="129" t="s">
        <v>1234</v>
      </c>
      <c r="G25" s="120" t="s">
        <v>1090</v>
      </c>
      <c r="H25" s="18" t="s">
        <v>618</v>
      </c>
      <c r="I25" s="18" t="s">
        <v>59</v>
      </c>
      <c r="J25" s="19" t="s">
        <v>478</v>
      </c>
      <c r="K25" s="103">
        <v>282350</v>
      </c>
      <c r="L25" s="101">
        <f>INDEX(Table1[Production],MATCH(rrcworking[[#This Row],[RRC ID Number]],Table1[RRC Identifier],0))</f>
        <v>23</v>
      </c>
      <c r="M25" s="30">
        <f>INDEX(Table1[Formation Production],MATCH(rrcworking[[#This Row],[RRC ID Number]],Table1[RRC Identifier],0))</f>
        <v>654</v>
      </c>
      <c r="N25" s="31">
        <f>INDEX(Table1[On Hand End of Month],MATCH(rrcworking[[#This Row],[RRC ID Number]],Table1[RRC Identifier],0))</f>
        <v>384</v>
      </c>
      <c r="O25" s="106" t="b">
        <f t="shared" si="0"/>
        <v>0</v>
      </c>
      <c r="P25">
        <v>0</v>
      </c>
      <c r="Q25" s="127">
        <f>rrcworking[[#This Row],[Last Month Closing Stock]]</f>
        <v>384</v>
      </c>
      <c r="R25">
        <v>384</v>
      </c>
      <c r="S25" s="143">
        <f>IF(ISERROR(INDEX(Table2[OIL],MATCH(rrcworking[[#This Row],[Magnum Wolfpak '#]],Table2[Rox Wolf'#],0))),0,INDEX(Table2[OIL],MATCH(rrcworking[[#This Row],[Magnum Wolfpak '#]],Table2[Rox Wolf'#],0)))</f>
        <v>0</v>
      </c>
      <c r="T25" s="35">
        <f>rrcworking[[#This Row],[Closing Stock (Oil)]]+rrcworking[[#This Row],[Sales/Dispostion]]-rrcworking[[#This Row],[Opening Oil Stock]]</f>
        <v>0</v>
      </c>
      <c r="U25" s="112">
        <f>rrcworking[[#This Row],[Gauge Sheet Prod Volume (oil)]]-rrcworking[[#This Row],[Oil Production]]</f>
        <v>0</v>
      </c>
      <c r="V25" s="143">
        <f>IF(ISERROR(INDEX(Table2[GAS],MATCH(rrcworking[[#This Row],[Magnum Wolfpak '#]],Table2[Rox Wolf'#],0))),0,INDEX(Table2[GAS],MATCH(rrcworking[[#This Row],[Magnum Wolfpak '#]],Table2[Rox Wolf'#],0)))</f>
        <v>762</v>
      </c>
      <c r="W25" s="24"/>
      <c r="X25" s="135">
        <f>IF(rrcworking[[#This Row],[Pressure Base]]=14.73,rrcworking[[#This Row],[Gas Sales Statement Volume (MCF)]]*$R$2,rrcworking[[#This Row],[Gas Sales Statement Volume (MCF)]])</f>
        <v>762</v>
      </c>
      <c r="Y25" s="85"/>
      <c r="Z25" s="60">
        <v>2</v>
      </c>
      <c r="AA25" s="143">
        <f>IF(ISERROR(INDEX(Table2[LEASE USE],MATCH(rrcworking[[#This Row],[Magnum Wolfpak '#]],Table2[Rox Wolf'#],0))),0,INDEX(Table2[LEASE USE],MATCH(rrcworking[[#This Row],[Magnum Wolfpak '#]],Table2[Rox Wolf'#],0)))</f>
        <v>60</v>
      </c>
      <c r="AB25" s="57">
        <f>rrcworking[[#This Row],[Disposition Volume (MCF) @ 14.65 MCF]]+rrcworking[[#This Row],[Lease Use (MCF)]]</f>
        <v>822</v>
      </c>
      <c r="AC25" s="37"/>
      <c r="AD25" s="37"/>
      <c r="AE25" s="185">
        <f>COUNTIF(FilterList,rrcworking[[#This Row],[Magnum Wolfpak '#]])</f>
        <v>0</v>
      </c>
      <c r="AF25" s="182"/>
      <c r="AG25" s="183"/>
      <c r="AH25" s="37"/>
      <c r="AI25" s="183"/>
      <c r="AJ25" s="37">
        <v>3</v>
      </c>
      <c r="AK25" s="37" t="s">
        <v>1140</v>
      </c>
      <c r="AL25" s="37" t="s">
        <v>1166</v>
      </c>
      <c r="AM25" s="37" t="s">
        <v>1180</v>
      </c>
      <c r="AN25" s="37" t="s">
        <v>1166</v>
      </c>
      <c r="AO25" s="37" t="s">
        <v>1177</v>
      </c>
      <c r="AP25" s="37" t="s">
        <v>1235</v>
      </c>
      <c r="AQ25" s="37"/>
    </row>
    <row r="26" spans="3:43" ht="14" hidden="1">
      <c r="C26" s="80">
        <v>99295</v>
      </c>
      <c r="D26" s="62" t="s">
        <v>182</v>
      </c>
      <c r="E26" s="131" t="s">
        <v>181</v>
      </c>
      <c r="F26" s="140" t="s">
        <v>1092</v>
      </c>
      <c r="G26" s="120" t="s">
        <v>1090</v>
      </c>
      <c r="H26" s="18" t="s">
        <v>618</v>
      </c>
      <c r="I26" s="18" t="s">
        <v>2</v>
      </c>
      <c r="J26" s="19" t="s">
        <v>479</v>
      </c>
      <c r="K26" s="103">
        <v>27418</v>
      </c>
      <c r="L26" s="101">
        <f>INDEX(Table1[Production],MATCH(rrcworking[[#This Row],[RRC ID Number]],Table1[RRC Identifier],0))</f>
        <v>2674</v>
      </c>
      <c r="M26" s="30">
        <f>INDEX(Table1[Formation Production],MATCH(rrcworking[[#This Row],[RRC ID Number]],Table1[RRC Identifier],0))</f>
        <v>4078</v>
      </c>
      <c r="N26" s="31">
        <f>INDEX(Table1[On Hand End of Month],MATCH(rrcworking[[#This Row],[RRC ID Number]],Table1[RRC Identifier],0))</f>
        <v>606</v>
      </c>
      <c r="O26" s="106" t="b">
        <f t="shared" si="0"/>
        <v>0</v>
      </c>
      <c r="P26">
        <v>686</v>
      </c>
      <c r="Q26" s="127">
        <f>rrcworking[[#This Row],[Last Month Closing Stock]]</f>
        <v>606</v>
      </c>
      <c r="R26">
        <v>182</v>
      </c>
      <c r="S26" s="143">
        <f>IF(ISERROR(INDEX(Table2[OIL],MATCH(rrcworking[[#This Row],[Magnum Wolfpak '#]],Table2[Rox Wolf'#],0))),0,INDEX(Table2[OIL],MATCH(rrcworking[[#This Row],[Magnum Wolfpak '#]],Table2[Rox Wolf'#],0)))</f>
        <v>1091</v>
      </c>
      <c r="T26" s="35">
        <f>rrcworking[[#This Row],[Closing Stock (Oil)]]+rrcworking[[#This Row],[Sales/Dispostion]]-rrcworking[[#This Row],[Opening Oil Stock]]</f>
        <v>667</v>
      </c>
      <c r="U26" s="112">
        <f>rrcworking[[#This Row],[Gauge Sheet Prod Volume (oil)]]-rrcworking[[#This Row],[Oil Production]]</f>
        <v>19</v>
      </c>
      <c r="V26" s="143">
        <f>IF(ISERROR(INDEX(Table2[GAS],MATCH(rrcworking[[#This Row],[Magnum Wolfpak '#]],Table2[Rox Wolf'#],0))),0,INDEX(Table2[GAS],MATCH(rrcworking[[#This Row],[Magnum Wolfpak '#]],Table2[Rox Wolf'#],0)))</f>
        <v>828</v>
      </c>
      <c r="W26" s="24"/>
      <c r="X26" s="135">
        <f>IF(rrcworking[[#This Row],[Pressure Base]]=14.73,rrcworking[[#This Row],[Gas Sales Statement Volume (MCF)]]*$R$2,rrcworking[[#This Row],[Gas Sales Statement Volume (MCF)]])</f>
        <v>828</v>
      </c>
      <c r="Y26" s="85"/>
      <c r="Z26" s="60">
        <v>7</v>
      </c>
      <c r="AA26" s="143">
        <f>IF(ISERROR(INDEX(Table2[LEASE USE],MATCH(rrcworking[[#This Row],[Magnum Wolfpak '#]],Table2[Rox Wolf'#],0))),0,INDEX(Table2[LEASE USE],MATCH(rrcworking[[#This Row],[Magnum Wolfpak '#]],Table2[Rox Wolf'#],0)))</f>
        <v>210</v>
      </c>
      <c r="AB26" s="57">
        <f>rrcworking[[#This Row],[Disposition Volume (MCF) @ 14.65 MCF]]+rrcworking[[#This Row],[Lease Use (MCF)]]</f>
        <v>1038</v>
      </c>
      <c r="AC26" s="37"/>
      <c r="AD26" s="37"/>
      <c r="AE26" s="185">
        <f>COUNTIF(FilterList,rrcworking[[#This Row],[Magnum Wolfpak '#]])</f>
        <v>0</v>
      </c>
      <c r="AF26" s="182"/>
      <c r="AG26" s="183"/>
      <c r="AH26" s="37"/>
      <c r="AI26" s="183"/>
      <c r="AJ26" s="37">
        <v>2</v>
      </c>
      <c r="AK26" s="37" t="s">
        <v>1140</v>
      </c>
      <c r="AL26" s="37" t="s">
        <v>1166</v>
      </c>
      <c r="AM26" s="37" t="s">
        <v>1182</v>
      </c>
      <c r="AN26" s="37" t="s">
        <v>1166</v>
      </c>
      <c r="AO26" s="37" t="s">
        <v>1177</v>
      </c>
      <c r="AP26" s="37" t="s">
        <v>1183</v>
      </c>
      <c r="AQ26" s="37"/>
    </row>
    <row r="27" spans="3:43" ht="42" hidden="1">
      <c r="C27" s="80">
        <v>99228</v>
      </c>
      <c r="D27" s="62" t="s">
        <v>76</v>
      </c>
      <c r="E27" s="131" t="s">
        <v>77</v>
      </c>
      <c r="F27" s="129" t="s">
        <v>78</v>
      </c>
      <c r="G27" s="120" t="s">
        <v>1090</v>
      </c>
      <c r="H27" s="18" t="s">
        <v>617</v>
      </c>
      <c r="I27" s="18" t="s">
        <v>59</v>
      </c>
      <c r="J27" s="19" t="s">
        <v>416</v>
      </c>
      <c r="K27" s="103">
        <v>272206</v>
      </c>
      <c r="L27" s="101">
        <f>INDEX(Table1[Production],MATCH(rrcworking[[#This Row],[RRC ID Number]],Table1[RRC Identifier],0))</f>
        <v>0</v>
      </c>
      <c r="M27" s="30">
        <f>INDEX(Table1[Formation Production],MATCH(rrcworking[[#This Row],[RRC ID Number]],Table1[RRC Identifier],0))</f>
        <v>0</v>
      </c>
      <c r="N27" s="31">
        <f>INDEX(Table1[On Hand End of Month],MATCH(rrcworking[[#This Row],[RRC ID Number]],Table1[RRC Identifier],0))</f>
        <v>149</v>
      </c>
      <c r="O27" s="106" t="b">
        <f t="shared" si="0"/>
        <v>1</v>
      </c>
      <c r="P27">
        <v>0</v>
      </c>
      <c r="Q27" s="127">
        <f>rrcworking[[#This Row],[Last Month Closing Stock]]</f>
        <v>149</v>
      </c>
      <c r="R27">
        <v>149</v>
      </c>
      <c r="S27" s="143">
        <f>IF(ISERROR(INDEX(Table2[OIL],MATCH(rrcworking[[#This Row],[Magnum Wolfpak '#]],Table2[Rox Wolf'#],0))),0,INDEX(Table2[OIL],MATCH(rrcworking[[#This Row],[Magnum Wolfpak '#]],Table2[Rox Wolf'#],0)))</f>
        <v>0</v>
      </c>
      <c r="T27" s="35">
        <f>rrcworking[[#This Row],[Closing Stock (Oil)]]+rrcworking[[#This Row],[Sales/Dispostion]]-rrcworking[[#This Row],[Opening Oil Stock]]</f>
        <v>0</v>
      </c>
      <c r="U27" s="112">
        <f>rrcworking[[#This Row],[Gauge Sheet Prod Volume (oil)]]-rrcworking[[#This Row],[Oil Production]]</f>
        <v>0</v>
      </c>
      <c r="V27" s="143">
        <f>IF(ISERROR(INDEX(Table2[GAS],MATCH(rrcworking[[#This Row],[Magnum Wolfpak '#]],Table2[Rox Wolf'#],0))),0,INDEX(Table2[GAS],MATCH(rrcworking[[#This Row],[Magnum Wolfpak '#]],Table2[Rox Wolf'#],0)))</f>
        <v>0</v>
      </c>
      <c r="W27" s="24"/>
      <c r="X27" s="135">
        <f>IF(rrcworking[[#This Row],[Pressure Base]]=14.73,rrcworking[[#This Row],[Gas Sales Statement Volume (MCF)]]*$R$2,rrcworking[[#This Row],[Gas Sales Statement Volume (MCF)]])</f>
        <v>0</v>
      </c>
      <c r="Y27" s="85"/>
      <c r="Z27" s="60">
        <v>1</v>
      </c>
      <c r="AA27" s="143">
        <f>IF(ISERROR(INDEX(Table2[LEASE USE],MATCH(rrcworking[[#This Row],[Magnum Wolfpak '#]],Table2[Rox Wolf'#],0))),0,INDEX(Table2[LEASE USE],MATCH(rrcworking[[#This Row],[Magnum Wolfpak '#]],Table2[Rox Wolf'#],0)))</f>
        <v>0</v>
      </c>
      <c r="AB27" s="57">
        <f>rrcworking[[#This Row],[Disposition Volume (MCF) @ 14.65 MCF]]+rrcworking[[#This Row],[Lease Use (MCF)]]</f>
        <v>0</v>
      </c>
      <c r="AC27" s="37"/>
      <c r="AD27" s="37" t="s">
        <v>1300</v>
      </c>
      <c r="AE27" s="185">
        <f>COUNTIF(FilterList,rrcworking[[#This Row],[Magnum Wolfpak '#]])</f>
        <v>0</v>
      </c>
      <c r="AF27" s="182"/>
      <c r="AG27" s="183"/>
      <c r="AH27" s="37"/>
      <c r="AI27" s="37"/>
      <c r="AJ27" s="37">
        <v>3</v>
      </c>
      <c r="AK27" s="37" t="s">
        <v>1140</v>
      </c>
      <c r="AL27" s="37" t="s">
        <v>1166</v>
      </c>
      <c r="AM27" s="37" t="s">
        <v>1180</v>
      </c>
      <c r="AN27" s="37" t="s">
        <v>1166</v>
      </c>
      <c r="AO27" s="37" t="s">
        <v>1177</v>
      </c>
      <c r="AP27" s="37" t="s">
        <v>1184</v>
      </c>
      <c r="AQ27" s="37"/>
    </row>
    <row r="28" spans="3:43" ht="14" hidden="1" customHeight="1">
      <c r="C28" s="80" t="e">
        <v>#N/A</v>
      </c>
      <c r="D28" s="62" t="s">
        <v>87</v>
      </c>
      <c r="E28" s="131" t="s">
        <v>88</v>
      </c>
      <c r="F28" s="129">
        <v>1</v>
      </c>
      <c r="G28" s="120" t="s">
        <v>1090</v>
      </c>
      <c r="H28" s="18" t="s">
        <v>617</v>
      </c>
      <c r="I28" s="18" t="s">
        <v>59</v>
      </c>
      <c r="J28" s="19" t="s">
        <v>421</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Q28" s="127">
        <f>rrcworking[[#This Row],[Last Month Closing Stock]]</f>
        <v>132</v>
      </c>
      <c r="R28">
        <f>rrcworking[[#This Row],[Opening Oil Stock]]</f>
        <v>132</v>
      </c>
      <c r="S28" s="143">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 Volume (oil)]]-rrcworking[[#This Row],[Oil Production]]</f>
        <v>0</v>
      </c>
      <c r="V28" s="143">
        <f>IF(ISERROR(INDEX(Table2[GAS],MATCH(rrcworking[[#This Row],[Magnum Wolfpak '#]],Table2[Rox Wolf'#],0))),0,INDEX(Table2[GAS],MATCH(rrcworking[[#This Row],[Magnum Wolfpak '#]],Table2[Rox Wolf'#],0)))</f>
        <v>0</v>
      </c>
      <c r="W28" s="24"/>
      <c r="X28" s="135">
        <f>IF(rrcworking[[#This Row],[Pressure Base]]=14.73,rrcworking[[#This Row],[Gas Sales Statement Volume (MCF)]]*$R$2,rrcworking[[#This Row],[Gas Sales Statement Volume (MCF)]])</f>
        <v>0</v>
      </c>
      <c r="Y28" s="60"/>
      <c r="Z28" s="60"/>
      <c r="AA28" s="143">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185">
        <f>COUNTIF(FilterList,rrcworking[[#This Row],[Magnum Wolfpak '#]])</f>
        <v>0</v>
      </c>
      <c r="AF28" s="182"/>
      <c r="AG28" s="183"/>
      <c r="AH28" s="37"/>
      <c r="AI28" s="37"/>
      <c r="AJ28" s="37"/>
      <c r="AK28" s="37"/>
      <c r="AL28" s="37"/>
      <c r="AM28" s="37"/>
      <c r="AN28" s="37"/>
      <c r="AO28" s="37"/>
      <c r="AP28" s="37"/>
      <c r="AQ28" s="37"/>
    </row>
    <row r="29" spans="3:43" ht="14" hidden="1" customHeight="1">
      <c r="C29" s="80">
        <v>99255</v>
      </c>
      <c r="D29" s="62" t="s">
        <v>113</v>
      </c>
      <c r="E29" s="131" t="s">
        <v>88</v>
      </c>
      <c r="F29" s="129">
        <v>1</v>
      </c>
      <c r="G29" s="120" t="s">
        <v>1090</v>
      </c>
      <c r="H29" s="18" t="s">
        <v>617</v>
      </c>
      <c r="I29" s="18" t="s">
        <v>59</v>
      </c>
      <c r="J29" s="19" t="s">
        <v>436</v>
      </c>
      <c r="K29" s="103">
        <v>286124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80</v>
      </c>
      <c r="O29" s="106" t="b">
        <f t="shared" si="0"/>
        <v>1</v>
      </c>
      <c r="Q29" s="127">
        <f>rrcworking[[#This Row],[Last Month Closing Stock]]</f>
        <v>80</v>
      </c>
      <c r="R29">
        <v>80</v>
      </c>
      <c r="S29" s="143">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 Volume (oil)]]-rrcworking[[#This Row],[Oil Production]]</f>
        <v>0</v>
      </c>
      <c r="V29" s="143">
        <f>IF(ISERROR(INDEX(Table2[GAS],MATCH(rrcworking[[#This Row],[Magnum Wolfpak '#]],Table2[Rox Wolf'#],0))),0,INDEX(Table2[GAS],MATCH(rrcworking[[#This Row],[Magnum Wolfpak '#]],Table2[Rox Wolf'#],0)))</f>
        <v>0</v>
      </c>
      <c r="W29" s="24"/>
      <c r="X29" s="135">
        <f>IF(rrcworking[[#This Row],[Pressure Base]]=14.73,rrcworking[[#This Row],[Gas Sales Statement Volume (MCF)]]*$R$2,rrcworking[[#This Row],[Gas Sales Statement Volume (MCF)]])</f>
        <v>0</v>
      </c>
      <c r="Y29" s="85"/>
      <c r="Z29" s="60">
        <v>1</v>
      </c>
      <c r="AA29" s="143">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t="s">
        <v>1135</v>
      </c>
      <c r="AE29" s="185">
        <f>COUNTIF(FilterList,rrcworking[[#This Row],[Magnum Wolfpak '#]])</f>
        <v>0</v>
      </c>
      <c r="AF29" s="182"/>
      <c r="AG29" s="183"/>
      <c r="AH29" s="87"/>
      <c r="AI29" s="87"/>
      <c r="AJ29" s="184"/>
      <c r="AK29" s="184"/>
      <c r="AL29" s="184"/>
      <c r="AM29" s="184"/>
      <c r="AN29" s="184"/>
      <c r="AO29" s="184"/>
      <c r="AP29" s="37" t="s">
        <v>1164</v>
      </c>
      <c r="AQ29" s="37" t="s">
        <v>1185</v>
      </c>
    </row>
    <row r="30" spans="3:43" ht="14" hidden="1" customHeight="1">
      <c r="C30" s="80" t="e">
        <v>#N/A</v>
      </c>
      <c r="D30" s="62" t="s">
        <v>281</v>
      </c>
      <c r="E30" s="131" t="s">
        <v>283</v>
      </c>
      <c r="F30" s="129">
        <v>0</v>
      </c>
      <c r="G30" s="120" t="s">
        <v>1090</v>
      </c>
      <c r="H30" s="18" t="s">
        <v>618</v>
      </c>
      <c r="I30" s="18" t="s">
        <v>2</v>
      </c>
      <c r="J30" s="19" t="s">
        <v>536</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Q30" s="127">
        <f>rrcworking[[#This Row],[Last Month Closing Stock]]</f>
        <v>0</v>
      </c>
      <c r="R30">
        <f>rrcworking[[#This Row],[Opening Oil Stock]]</f>
        <v>0</v>
      </c>
      <c r="S30" s="143">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 Volume (oil)]]-rrcworking[[#This Row],[Oil Production]]</f>
        <v>0</v>
      </c>
      <c r="V30" s="143">
        <f>IF(ISERROR(INDEX(Table2[GAS],MATCH(rrcworking[[#This Row],[Magnum Wolfpak '#]],Table2[Rox Wolf'#],0))),0,INDEX(Table2[GAS],MATCH(rrcworking[[#This Row],[Magnum Wolfpak '#]],Table2[Rox Wolf'#],0)))</f>
        <v>0</v>
      </c>
      <c r="W30" s="24"/>
      <c r="X30" s="135">
        <f>IF(rrcworking[[#This Row],[Pressure Base]]=14.73,rrcworking[[#This Row],[Gas Sales Statement Volume (MCF)]]*$R$2,rrcworking[[#This Row],[Gas Sales Statement Volume (MCF)]])</f>
        <v>0</v>
      </c>
      <c r="Y30" s="60"/>
      <c r="Z30" s="60"/>
      <c r="AA30" s="143">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185">
        <f>COUNTIF(FilterList,rrcworking[[#This Row],[Magnum Wolfpak '#]])</f>
        <v>0</v>
      </c>
      <c r="AF30" s="182"/>
      <c r="AG30" s="183"/>
      <c r="AH30" s="37"/>
      <c r="AI30" s="37"/>
      <c r="AJ30" s="37"/>
      <c r="AK30" s="37"/>
      <c r="AL30" s="37"/>
      <c r="AM30" s="37"/>
      <c r="AN30" s="37"/>
      <c r="AO30" s="37"/>
      <c r="AP30" s="37"/>
      <c r="AQ30" s="37"/>
    </row>
    <row r="31" spans="3:43" ht="14" hidden="1" customHeight="1">
      <c r="C31" s="80" t="e">
        <v>#N/A</v>
      </c>
      <c r="D31" s="62" t="s">
        <v>256</v>
      </c>
      <c r="E31" s="131" t="s">
        <v>257</v>
      </c>
      <c r="F31" s="129">
        <v>0</v>
      </c>
      <c r="G31" s="120" t="s">
        <v>1090</v>
      </c>
      <c r="H31" s="18" t="s">
        <v>618</v>
      </c>
      <c r="I31" s="18" t="s">
        <v>2</v>
      </c>
      <c r="J31" s="19" t="s">
        <v>517</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Q31" s="127">
        <f>rrcworking[[#This Row],[Last Month Closing Stock]]</f>
        <v>0</v>
      </c>
      <c r="R31">
        <f>rrcworking[[#This Row],[Opening Oil Stock]]</f>
        <v>0</v>
      </c>
      <c r="S31" s="143">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 Volume (oil)]]-rrcworking[[#This Row],[Oil Production]]</f>
        <v>0</v>
      </c>
      <c r="V31" s="143">
        <f>IF(ISERROR(INDEX(Table2[GAS],MATCH(rrcworking[[#This Row],[Magnum Wolfpak '#]],Table2[Rox Wolf'#],0))),0,INDEX(Table2[GAS],MATCH(rrcworking[[#This Row],[Magnum Wolfpak '#]],Table2[Rox Wolf'#],0)))</f>
        <v>0</v>
      </c>
      <c r="W31" s="24"/>
      <c r="X31" s="135">
        <f>IF(rrcworking[[#This Row],[Pressure Base]]=14.73,rrcworking[[#This Row],[Gas Sales Statement Volume (MCF)]]*$R$2,rrcworking[[#This Row],[Gas Sales Statement Volume (MCF)]])</f>
        <v>0</v>
      </c>
      <c r="Y31" s="60"/>
      <c r="Z31" s="60"/>
      <c r="AA31" s="143">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185">
        <f>COUNTIF(FilterList,rrcworking[[#This Row],[Magnum Wolfpak '#]])</f>
        <v>0</v>
      </c>
      <c r="AF31" s="182"/>
      <c r="AG31" s="183"/>
      <c r="AH31" s="37"/>
      <c r="AI31" s="37"/>
      <c r="AJ31" s="37"/>
      <c r="AK31" s="37"/>
      <c r="AL31" s="37"/>
      <c r="AM31" s="37"/>
      <c r="AN31" s="37"/>
      <c r="AO31" s="37"/>
      <c r="AP31" s="37"/>
      <c r="AQ31" s="37"/>
    </row>
    <row r="32" spans="3:43" ht="14" hidden="1" customHeight="1">
      <c r="C32" s="80">
        <v>98921</v>
      </c>
      <c r="D32" s="62" t="s">
        <v>103</v>
      </c>
      <c r="E32" s="131" t="s">
        <v>104</v>
      </c>
      <c r="F32" s="129">
        <v>0</v>
      </c>
      <c r="G32" s="120" t="s">
        <v>1090</v>
      </c>
      <c r="H32" s="18" t="s">
        <v>617</v>
      </c>
      <c r="I32" s="18" t="s">
        <v>2</v>
      </c>
      <c r="J32" s="19" t="s">
        <v>430</v>
      </c>
      <c r="K32" s="103">
        <v>8646</v>
      </c>
      <c r="L32" s="101">
        <f>INDEX(Table1[Production],MATCH(rrcworking[[#This Row],[RRC ID Number]],Table1[RRC Identifier],0))</f>
        <v>175</v>
      </c>
      <c r="M32" s="30">
        <f>INDEX(Table1[Formation Production],MATCH(rrcworking[[#This Row],[RRC ID Number]],Table1[RRC Identifier],0))</f>
        <v>0</v>
      </c>
      <c r="N32" s="31">
        <f>INDEX(Table1[On Hand End of Month],MATCH(rrcworking[[#This Row],[RRC ID Number]],Table1[RRC Identifier],0))</f>
        <v>116</v>
      </c>
      <c r="O32" s="106" t="b">
        <f t="shared" si="0"/>
        <v>0</v>
      </c>
      <c r="P32">
        <v>7</v>
      </c>
      <c r="Q32" s="127">
        <f>rrcworking[[#This Row],[Last Month Closing Stock]]</f>
        <v>116</v>
      </c>
      <c r="R32">
        <v>123</v>
      </c>
      <c r="S32" s="143">
        <f>IF(ISERROR(INDEX(Table2[OIL],MATCH(rrcworking[[#This Row],[Magnum Wolfpak '#]],Table2[Rox Wolf'#],0))),0,INDEX(Table2[OIL],MATCH(rrcworking[[#This Row],[Magnum Wolfpak '#]],Table2[Rox Wolf'#],0)))</f>
        <v>0</v>
      </c>
      <c r="T32" s="35">
        <f>rrcworking[[#This Row],[Closing Stock (Oil)]]+rrcworking[[#This Row],[Sales/Dispostion]]-rrcworking[[#This Row],[Opening Oil Stock]]</f>
        <v>7</v>
      </c>
      <c r="U32" s="112">
        <f>rrcworking[[#This Row],[Gauge Sheet Prod Volume (oil)]]-rrcworking[[#This Row],[Oil Production]]</f>
        <v>0</v>
      </c>
      <c r="V32" s="143">
        <f>IF(ISERROR(INDEX(Table2[GAS],MATCH(rrcworking[[#This Row],[Magnum Wolfpak '#]],Table2[Rox Wolf'#],0))),0,INDEX(Table2[GAS],MATCH(rrcworking[[#This Row],[Magnum Wolfpak '#]],Table2[Rox Wolf'#],0)))</f>
        <v>0</v>
      </c>
      <c r="W32" s="24"/>
      <c r="X32" s="135">
        <f>IF(rrcworking[[#This Row],[Pressure Base]]=14.73,rrcworking[[#This Row],[Gas Sales Statement Volume (MCF)]]*$R$2,rrcworking[[#This Row],[Gas Sales Statement Volume (MCF)]])</f>
        <v>0</v>
      </c>
      <c r="Y32" s="60"/>
      <c r="Z32" s="60"/>
      <c r="AA32" s="143">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185">
        <f>COUNTIF(FilterList,rrcworking[[#This Row],[Magnum Wolfpak '#]])</f>
        <v>0</v>
      </c>
      <c r="AF32" s="182"/>
      <c r="AG32" s="183"/>
      <c r="AH32" s="37"/>
      <c r="AI32" s="183"/>
      <c r="AJ32" s="37">
        <v>2</v>
      </c>
      <c r="AK32" s="37" t="s">
        <v>1140</v>
      </c>
      <c r="AL32" s="37" t="s">
        <v>1140</v>
      </c>
      <c r="AM32" s="37" t="s">
        <v>1186</v>
      </c>
      <c r="AN32" s="37" t="s">
        <v>1166</v>
      </c>
      <c r="AO32" s="37" t="s">
        <v>1187</v>
      </c>
      <c r="AP32" s="37" t="s">
        <v>1188</v>
      </c>
      <c r="AQ32" s="37"/>
    </row>
    <row r="33" spans="3:43" ht="14" hidden="1" customHeight="1">
      <c r="C33" s="80" t="e">
        <v>#N/A</v>
      </c>
      <c r="D33" s="62" t="s">
        <v>372</v>
      </c>
      <c r="E33" s="131" t="s">
        <v>373</v>
      </c>
      <c r="F33" s="129">
        <v>2</v>
      </c>
      <c r="G33" s="120" t="s">
        <v>1090</v>
      </c>
      <c r="H33" s="18" t="s">
        <v>619</v>
      </c>
      <c r="I33" s="18" t="s">
        <v>59</v>
      </c>
      <c r="J33" s="19" t="s">
        <v>589</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Q33" s="127">
        <f>rrcworking[[#This Row],[Last Month Closing Stock]]</f>
        <v>0</v>
      </c>
      <c r="R33">
        <f>rrcworking[[#This Row],[Opening Oil Stock]]</f>
        <v>0</v>
      </c>
      <c r="S33" s="143">
        <f>IF(ISERROR(INDEX(Table2[OIL],MATCH(rrcworking[[#This Row],[Magnum Wolfpak '#]],Table2[Rox Wolf'#],0))),0,INDEX(Table2[OIL],MATCH(rrcworking[[#This Row],[Magnum Wolfpak '#]],Table2[Rox Wolf'#],0)))</f>
        <v>0</v>
      </c>
      <c r="T33" s="35">
        <f>rrcworking[[#This Row],[Closing Stock (Oil)]]+rrcworking[[#This Row],[Sales/Dispostion]]-rrcworking[[#This Row],[Opening Oil Stock]]</f>
        <v>0</v>
      </c>
      <c r="U33" s="112">
        <f>rrcworking[[#This Row],[Gauge Sheet Prod Volume (oil)]]-rrcworking[[#This Row],[Oil Production]]</f>
        <v>0</v>
      </c>
      <c r="V33" s="143">
        <f>IF(ISERROR(INDEX(Table2[GAS],MATCH(rrcworking[[#This Row],[Magnum Wolfpak '#]],Table2[Rox Wolf'#],0))),0,INDEX(Table2[GAS],MATCH(rrcworking[[#This Row],[Magnum Wolfpak '#]],Table2[Rox Wolf'#],0)))</f>
        <v>0</v>
      </c>
      <c r="W33" s="24"/>
      <c r="X33" s="135">
        <f>IF(rrcworking[[#This Row],[Pressure Base]]=14.73,rrcworking[[#This Row],[Gas Sales Statement Volume (MCF)]]*$R$2,rrcworking[[#This Row],[Gas Sales Statement Volume (MCF)]])</f>
        <v>0</v>
      </c>
      <c r="Y33" s="60"/>
      <c r="Z33" s="60"/>
      <c r="AA33" s="143">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185">
        <f>COUNTIF(FilterList,rrcworking[[#This Row],[Magnum Wolfpak '#]])</f>
        <v>0</v>
      </c>
      <c r="AF33" s="182"/>
      <c r="AG33" s="183"/>
      <c r="AH33" s="37"/>
      <c r="AI33" s="37"/>
      <c r="AJ33" s="37"/>
      <c r="AK33" s="37"/>
      <c r="AL33" s="37"/>
      <c r="AM33" s="37"/>
      <c r="AN33" s="37"/>
      <c r="AO33" s="37"/>
      <c r="AP33" s="37"/>
      <c r="AQ33" s="37"/>
    </row>
    <row r="34" spans="3:43" ht="14" hidden="1" customHeight="1">
      <c r="C34" s="80" t="e">
        <v>#N/A</v>
      </c>
      <c r="D34" s="62" t="s">
        <v>313</v>
      </c>
      <c r="E34" s="131" t="s">
        <v>314</v>
      </c>
      <c r="F34" s="129">
        <v>0</v>
      </c>
      <c r="G34" s="120" t="s">
        <v>1090</v>
      </c>
      <c r="H34" s="18" t="s">
        <v>619</v>
      </c>
      <c r="I34" s="18" t="s">
        <v>2</v>
      </c>
      <c r="J34" s="19" t="s">
        <v>555</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Q34" s="127">
        <f>rrcworking[[#This Row],[Last Month Closing Stock]]</f>
        <v>235</v>
      </c>
      <c r="R34">
        <f>rrcworking[[#This Row],[Opening Oil Stock]]</f>
        <v>235</v>
      </c>
      <c r="S34" s="143">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 Volume (oil)]]-rrcworking[[#This Row],[Oil Production]]</f>
        <v>0</v>
      </c>
      <c r="V34" s="143">
        <f>IF(ISERROR(INDEX(Table2[GAS],MATCH(rrcworking[[#This Row],[Magnum Wolfpak '#]],Table2[Rox Wolf'#],0))),0,INDEX(Table2[GAS],MATCH(rrcworking[[#This Row],[Magnum Wolfpak '#]],Table2[Rox Wolf'#],0)))</f>
        <v>0</v>
      </c>
      <c r="W34" s="24"/>
      <c r="X34" s="135">
        <f>IF(rrcworking[[#This Row],[Pressure Base]]=14.73,rrcworking[[#This Row],[Gas Sales Statement Volume (MCF)]]*$R$2,rrcworking[[#This Row],[Gas Sales Statement Volume (MCF)]])</f>
        <v>0</v>
      </c>
      <c r="Y34" s="60"/>
      <c r="Z34" s="60"/>
      <c r="AA34" s="143">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185">
        <f>COUNTIF(FilterList,rrcworking[[#This Row],[Magnum Wolfpak '#]])</f>
        <v>0</v>
      </c>
      <c r="AF34" s="182"/>
      <c r="AG34" s="183"/>
      <c r="AH34" s="37"/>
      <c r="AI34" s="37"/>
      <c r="AJ34" s="37"/>
      <c r="AK34" s="37"/>
      <c r="AL34" s="37"/>
      <c r="AM34" s="37"/>
      <c r="AN34" s="37"/>
      <c r="AO34" s="37"/>
      <c r="AP34" s="37"/>
      <c r="AQ34" s="37"/>
    </row>
    <row r="35" spans="3:43" ht="14" hidden="1" customHeight="1">
      <c r="C35" s="80">
        <v>99017</v>
      </c>
      <c r="D35" s="62" t="s">
        <v>79</v>
      </c>
      <c r="E35" s="131" t="s">
        <v>80</v>
      </c>
      <c r="F35" s="129">
        <v>1</v>
      </c>
      <c r="G35" s="120" t="s">
        <v>1090</v>
      </c>
      <c r="H35" s="18" t="s">
        <v>617</v>
      </c>
      <c r="I35" s="18" t="s">
        <v>59</v>
      </c>
      <c r="J35" s="19" t="s">
        <v>417</v>
      </c>
      <c r="K35" s="103">
        <v>250887</v>
      </c>
      <c r="L35" s="101">
        <f>INDEX(Table1[Production],MATCH(rrcworking[[#This Row],[RRC ID Number]],Table1[RRC Identifier],0))</f>
        <v>0</v>
      </c>
      <c r="M35" s="30">
        <f>INDEX(Table1[Formation Production],MATCH(rrcworking[[#This Row],[RRC ID Number]],Table1[RRC Identifier],0))</f>
        <v>4658</v>
      </c>
      <c r="N35" s="31">
        <f>INDEX(Table1[On Hand End of Month],MATCH(rrcworking[[#This Row],[RRC ID Number]],Table1[RRC Identifier],0))</f>
        <v>0</v>
      </c>
      <c r="O35" s="106" t="b">
        <f t="shared" si="0"/>
        <v>0</v>
      </c>
      <c r="P35">
        <v>0</v>
      </c>
      <c r="Q35" s="127">
        <f>rrcworking[[#This Row],[Last Month Closing Stock]]</f>
        <v>0</v>
      </c>
      <c r="R35">
        <v>0</v>
      </c>
      <c r="S35" s="143">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 Volume (oil)]]-rrcworking[[#This Row],[Oil Production]]</f>
        <v>0</v>
      </c>
      <c r="V35" s="143">
        <f>IF(ISERROR(INDEX(Table2[GAS],MATCH(rrcworking[[#This Row],[Magnum Wolfpak '#]],Table2[Rox Wolf'#],0))),0,INDEX(Table2[GAS],MATCH(rrcworking[[#This Row],[Magnum Wolfpak '#]],Table2[Rox Wolf'#],0)))</f>
        <v>4424</v>
      </c>
      <c r="W35" s="24"/>
      <c r="X35" s="135">
        <f>IF(rrcworking[[#This Row],[Pressure Base]]=14.73,rrcworking[[#This Row],[Gas Sales Statement Volume (MCF)]]*$R$2,rrcworking[[#This Row],[Gas Sales Statement Volume (MCF)]])</f>
        <v>4424</v>
      </c>
      <c r="Y35" s="85"/>
      <c r="Z35" s="60">
        <v>7</v>
      </c>
      <c r="AA35" s="143">
        <f>IF(ISERROR(INDEX(Table2[LEASE USE],MATCH(rrcworking[[#This Row],[Magnum Wolfpak '#]],Table2[Rox Wolf'#],0))),0,INDEX(Table2[LEASE USE],MATCH(rrcworking[[#This Row],[Magnum Wolfpak '#]],Table2[Rox Wolf'#],0)))</f>
        <v>210</v>
      </c>
      <c r="AB35" s="57">
        <f>rrcworking[[#This Row],[Disposition Volume (MCF) @ 14.65 MCF]]+rrcworking[[#This Row],[Lease Use (MCF)]]</f>
        <v>4634</v>
      </c>
      <c r="AC35" s="37"/>
      <c r="AD35" s="37"/>
      <c r="AE35" s="185">
        <f>COUNTIF(FilterList,rrcworking[[#This Row],[Magnum Wolfpak '#]])</f>
        <v>0</v>
      </c>
      <c r="AF35" s="182"/>
      <c r="AG35" s="183"/>
      <c r="AH35" s="37"/>
      <c r="AI35" s="37"/>
      <c r="AJ35" s="37">
        <v>3</v>
      </c>
      <c r="AK35" s="37" t="s">
        <v>1140</v>
      </c>
      <c r="AL35" s="37" t="s">
        <v>1166</v>
      </c>
      <c r="AM35" s="37" t="s">
        <v>1180</v>
      </c>
      <c r="AN35" s="37" t="s">
        <v>1166</v>
      </c>
      <c r="AO35" s="37" t="s">
        <v>1177</v>
      </c>
      <c r="AP35" s="37" t="s">
        <v>1189</v>
      </c>
      <c r="AQ35" s="37"/>
    </row>
    <row r="36" spans="3:43" ht="14" hidden="1" customHeight="1">
      <c r="C36" s="80">
        <v>99067</v>
      </c>
      <c r="D36" s="62" t="s">
        <v>351</v>
      </c>
      <c r="E36" s="131" t="s">
        <v>352</v>
      </c>
      <c r="F36" s="129">
        <v>14</v>
      </c>
      <c r="G36" s="120" t="s">
        <v>1090</v>
      </c>
      <c r="H36" s="18" t="s">
        <v>619</v>
      </c>
      <c r="I36" s="18" t="s">
        <v>59</v>
      </c>
      <c r="J36" s="19" t="s">
        <v>578</v>
      </c>
      <c r="K36" s="103">
        <v>162080</v>
      </c>
      <c r="L36" s="101">
        <f>INDEX(Table1[Production],MATCH(rrcworking[[#This Row],[RRC ID Number]],Table1[RRC Identifier],0))</f>
        <v>0</v>
      </c>
      <c r="M36" s="30">
        <f>INDEX(Table1[Formation Production],MATCH(rrcworking[[#This Row],[RRC ID Number]],Table1[RRC Identifier],0))</f>
        <v>268</v>
      </c>
      <c r="N36" s="31">
        <f>INDEX(Table1[On Hand End of Month],MATCH(rrcworking[[#This Row],[RRC ID Number]],Table1[RRC Identifier],0))</f>
        <v>3</v>
      </c>
      <c r="O36" s="106" t="b">
        <f t="shared" si="0"/>
        <v>0</v>
      </c>
      <c r="Q36" s="127">
        <f>rrcworking[[#This Row],[Last Month Closing Stock]]</f>
        <v>3</v>
      </c>
      <c r="R36">
        <f>rrcworking[[#This Row],[Opening Oil Stock]]</f>
        <v>3</v>
      </c>
      <c r="S36" s="143">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 Volume (oil)]]-rrcworking[[#This Row],[Oil Production]]</f>
        <v>0</v>
      </c>
      <c r="V36" s="143">
        <f>IF(ISERROR(INDEX(Table2[GAS],MATCH(rrcworking[[#This Row],[Magnum Wolfpak '#]],Table2[Rox Wolf'#],0))),0,INDEX(Table2[GAS],MATCH(rrcworking[[#This Row],[Magnum Wolfpak '#]],Table2[Rox Wolf'#],0)))</f>
        <v>214</v>
      </c>
      <c r="W36" s="24"/>
      <c r="X36" s="135">
        <f>IF(rrcworking[[#This Row],[Pressure Base]]=14.73,rrcworking[[#This Row],[Gas Sales Statement Volume (MCF)]]*$R$2,rrcworking[[#This Row],[Gas Sales Statement Volume (MCF)]])</f>
        <v>214</v>
      </c>
      <c r="Y36" s="60"/>
      <c r="Z36" s="60"/>
      <c r="AA36" s="143">
        <f>IF(ISERROR(INDEX(Table2[LEASE USE],MATCH(rrcworking[[#This Row],[Magnum Wolfpak '#]],Table2[Rox Wolf'#],0))),0,INDEX(Table2[LEASE USE],MATCH(rrcworking[[#This Row],[Magnum Wolfpak '#]],Table2[Rox Wolf'#],0)))</f>
        <v>0</v>
      </c>
      <c r="AB36" s="57">
        <f>rrcworking[[#This Row],[Disposition Volume (MCF) @ 14.65 MCF]]+rrcworking[[#This Row],[Lease Use (MCF)]]</f>
        <v>214</v>
      </c>
      <c r="AC36" s="97"/>
      <c r="AD36" s="37"/>
      <c r="AE36" s="185">
        <f>COUNTIF(FilterList,rrcworking[[#This Row],[Magnum Wolfpak '#]])</f>
        <v>0</v>
      </c>
      <c r="AF36" s="182"/>
      <c r="AG36" s="183"/>
      <c r="AH36" s="87"/>
      <c r="AI36" s="87"/>
      <c r="AJ36" s="184"/>
      <c r="AK36" s="184"/>
      <c r="AL36" s="184"/>
      <c r="AM36" s="184"/>
      <c r="AN36" s="184"/>
      <c r="AO36" s="184"/>
      <c r="AP36" s="37" t="s">
        <v>1164</v>
      </c>
      <c r="AQ36" s="37" t="s">
        <v>1190</v>
      </c>
    </row>
    <row r="37" spans="3:43" ht="14" hidden="1" customHeight="1">
      <c r="C37" s="80">
        <v>98915</v>
      </c>
      <c r="D37" s="62" t="s">
        <v>140</v>
      </c>
      <c r="E37" s="131" t="s">
        <v>142</v>
      </c>
      <c r="F37" s="129">
        <v>4</v>
      </c>
      <c r="G37" s="120" t="s">
        <v>1090</v>
      </c>
      <c r="H37" s="18" t="s">
        <v>617</v>
      </c>
      <c r="I37" s="18" t="s">
        <v>59</v>
      </c>
      <c r="J37" s="19" t="s">
        <v>455</v>
      </c>
      <c r="K37" s="103">
        <v>174916</v>
      </c>
      <c r="L37" s="101">
        <f>INDEX(Table1[Production],MATCH(rrcworking[[#This Row],[RRC ID Number]],Table1[RRC Identifier],0))</f>
        <v>0</v>
      </c>
      <c r="M37" s="30">
        <f>INDEX(Table1[Formation Production],MATCH(rrcworking[[#This Row],[RRC ID Number]],Table1[RRC Identifier],0))</f>
        <v>0</v>
      </c>
      <c r="N37" s="31">
        <f>INDEX(Table1[On Hand End of Month],MATCH(rrcworking[[#This Row],[RRC ID Number]],Table1[RRC Identifier],0))</f>
        <v>0</v>
      </c>
      <c r="O37" s="106" t="b">
        <f t="shared" si="0"/>
        <v>1</v>
      </c>
      <c r="Q37" s="127">
        <f>rrcworking[[#This Row],[Last Month Closing Stock]]</f>
        <v>0</v>
      </c>
      <c r="S37" s="143">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 Volume (oil)]]-rrcworking[[#This Row],[Oil Production]]</f>
        <v>0</v>
      </c>
      <c r="V37" s="143">
        <f>IF(ISERROR(INDEX(Table2[GAS],MATCH(rrcworking[[#This Row],[Magnum Wolfpak '#]],Table2[Rox Wolf'#],0))),0,INDEX(Table2[GAS],MATCH(rrcworking[[#This Row],[Magnum Wolfpak '#]],Table2[Rox Wolf'#],0)))</f>
        <v>52</v>
      </c>
      <c r="W37" s="24"/>
      <c r="X37" s="135">
        <f>IF(rrcworking[[#This Row],[Pressure Base]]=14.73,rrcworking[[#This Row],[Gas Sales Statement Volume (MCF)]]*$R$2,rrcworking[[#This Row],[Gas Sales Statement Volume (MCF)]])</f>
        <v>52</v>
      </c>
      <c r="Y37" s="60"/>
      <c r="Z37" s="60"/>
      <c r="AA37" s="143">
        <f>IF(ISERROR(INDEX(Table2[LEASE USE],MATCH(rrcworking[[#This Row],[Magnum Wolfpak '#]],Table2[Rox Wolf'#],0))),0,INDEX(Table2[LEASE USE],MATCH(rrcworking[[#This Row],[Magnum Wolfpak '#]],Table2[Rox Wolf'#],0)))</f>
        <v>0</v>
      </c>
      <c r="AB37" s="57">
        <f>rrcworking[[#This Row],[Disposition Volume (MCF) @ 14.65 MCF]]+rrcworking[[#This Row],[Lease Use (MCF)]]</f>
        <v>52</v>
      </c>
      <c r="AC37" s="37"/>
      <c r="AD37" s="37"/>
      <c r="AE37" s="185">
        <f>COUNTIF(FilterList,rrcworking[[#This Row],[Magnum Wolfpak '#]])</f>
        <v>0</v>
      </c>
      <c r="AF37" s="182"/>
      <c r="AG37" s="183"/>
      <c r="AH37" s="37"/>
      <c r="AI37" s="37"/>
      <c r="AJ37" s="37"/>
      <c r="AK37" s="37"/>
      <c r="AL37" s="37"/>
      <c r="AM37" s="37"/>
      <c r="AN37" s="37"/>
      <c r="AO37" s="37"/>
      <c r="AP37" s="37" t="s">
        <v>1164</v>
      </c>
      <c r="AQ37" s="37" t="s">
        <v>1170</v>
      </c>
    </row>
    <row r="38" spans="3:43" ht="14" hidden="1" customHeight="1">
      <c r="C38" s="82">
        <v>99069</v>
      </c>
      <c r="D38" s="98" t="s">
        <v>357</v>
      </c>
      <c r="E38" s="132" t="s">
        <v>358</v>
      </c>
      <c r="F38" s="128">
        <v>2</v>
      </c>
      <c r="G38" s="121" t="s">
        <v>1090</v>
      </c>
      <c r="H38" s="125" t="s">
        <v>619</v>
      </c>
      <c r="I38" s="125" t="s">
        <v>59</v>
      </c>
      <c r="J38" s="83" t="s">
        <v>582</v>
      </c>
      <c r="K38" s="104">
        <v>194224</v>
      </c>
      <c r="L38" s="101">
        <f>INDEX(Table1[Production],MATCH(rrcworking[[#This Row],[RRC ID Number]],Table1[RRC Identifier],0))</f>
        <v>2</v>
      </c>
      <c r="M38" s="30">
        <f>INDEX(Table1[Formation Production],MATCH(rrcworking[[#This Row],[RRC ID Number]],Table1[RRC Identifier],0))</f>
        <v>1653</v>
      </c>
      <c r="N38" s="99">
        <f>INDEX(Table1[On Hand End of Month],MATCH(rrcworking[[#This Row],[RRC ID Number]],Table1[RRC Identifier],0))</f>
        <v>294</v>
      </c>
      <c r="O38" s="107" t="b">
        <f t="shared" ref="O38:O69" si="1">IF(AND(L38=0,M38=0), TRUE, FALSE)</f>
        <v>0</v>
      </c>
      <c r="P38">
        <v>78</v>
      </c>
      <c r="Q38" s="127">
        <f>rrcworking[[#This Row],[Last Month Closing Stock]]</f>
        <v>294</v>
      </c>
      <c r="R38">
        <v>27</v>
      </c>
      <c r="S38" s="143">
        <f>IF(ISERROR(INDEX(Table2[OIL],MATCH(rrcworking[[#This Row],[Magnum Wolfpak '#]],Table2[Rox Wolf'#],0))),0,INDEX(Table2[OIL],MATCH(rrcworking[[#This Row],[Magnum Wolfpak '#]],Table2[Rox Wolf'#],0)))</f>
        <v>345</v>
      </c>
      <c r="T38" s="100">
        <f>rrcworking[[#This Row],[Closing Stock (Oil)]]+rrcworking[[#This Row],[Sales/Dispostion]]-rrcworking[[#This Row],[Opening Oil Stock]]</f>
        <v>78</v>
      </c>
      <c r="U38" s="113">
        <f>rrcworking[[#This Row],[Gauge Sheet Prod Volume (oil)]]-rrcworking[[#This Row],[Oil Production]]</f>
        <v>0</v>
      </c>
      <c r="V38" s="143">
        <f>IF(ISERROR(INDEX(Table2[GAS],MATCH(rrcworking[[#This Row],[Magnum Wolfpak '#]],Table2[Rox Wolf'#],0))),0,INDEX(Table2[GAS],MATCH(rrcworking[[#This Row],[Magnum Wolfpak '#]],Table2[Rox Wolf'#],0)))</f>
        <v>989</v>
      </c>
      <c r="W38" s="84"/>
      <c r="X38" s="136">
        <f>IF(rrcworking[[#This Row],[Pressure Base]]=14.73,rrcworking[[#This Row],[Gas Sales Statement Volume (MCF)]]*$R$2,rrcworking[[#This Row],[Gas Sales Statement Volume (MCF)]])</f>
        <v>989</v>
      </c>
      <c r="Y38" s="133"/>
      <c r="Z38" s="85">
        <v>3</v>
      </c>
      <c r="AA38" s="143">
        <f>IF(ISERROR(INDEX(Table2[LEASE USE],MATCH(rrcworking[[#This Row],[Magnum Wolfpak '#]],Table2[Rox Wolf'#],0))),0,INDEX(Table2[LEASE USE],MATCH(rrcworking[[#This Row],[Magnum Wolfpak '#]],Table2[Rox Wolf'#],0)))</f>
        <v>60</v>
      </c>
      <c r="AB38" s="86">
        <f>rrcworking[[#This Row],[Disposition Volume (MCF) @ 14.65 MCF]]+rrcworking[[#This Row],[Lease Use (MCF)]]</f>
        <v>1049</v>
      </c>
      <c r="AC38" s="87"/>
      <c r="AD38" s="87" t="s">
        <v>1266</v>
      </c>
      <c r="AE38" s="185">
        <f>COUNTIF(FilterList,rrcworking[[#This Row],[Magnum Wolfpak '#]])</f>
        <v>0</v>
      </c>
      <c r="AF38" s="182"/>
      <c r="AG38" s="183"/>
      <c r="AH38" s="37"/>
      <c r="AI38" s="183"/>
      <c r="AJ38" s="37">
        <v>1</v>
      </c>
      <c r="AK38" s="37" t="s">
        <v>1166</v>
      </c>
      <c r="AL38" s="37" t="s">
        <v>1166</v>
      </c>
      <c r="AM38" s="37" t="s">
        <v>1191</v>
      </c>
      <c r="AN38" s="37" t="s">
        <v>1166</v>
      </c>
      <c r="AO38" s="37" t="s">
        <v>1192</v>
      </c>
      <c r="AP38" s="37" t="s">
        <v>1193</v>
      </c>
      <c r="AQ38" s="37"/>
    </row>
    <row r="39" spans="3:43" ht="14" hidden="1" customHeight="1">
      <c r="C39" s="80" t="e">
        <v>#N/A</v>
      </c>
      <c r="D39" s="62" t="s">
        <v>334</v>
      </c>
      <c r="E39" s="131" t="s">
        <v>336</v>
      </c>
      <c r="F39" s="129">
        <v>0</v>
      </c>
      <c r="G39" s="120" t="s">
        <v>1090</v>
      </c>
      <c r="H39" s="18" t="s">
        <v>619</v>
      </c>
      <c r="I39" s="18" t="s">
        <v>2</v>
      </c>
      <c r="J39" s="19" t="s">
        <v>569</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Q39" s="127">
        <f>rrcworking[[#This Row],[Last Month Closing Stock]]</f>
        <v>69</v>
      </c>
      <c r="R39">
        <f>rrcworking[[#This Row],[Opening Oil Stock]]</f>
        <v>69</v>
      </c>
      <c r="S39" s="143">
        <f>IF(ISERROR(INDEX(Table2[OIL],MATCH(rrcworking[[#This Row],[Magnum Wolfpak '#]],Table2[Rox Wolf'#],0))),0,INDEX(Table2[OIL],MATCH(rrcworking[[#This Row],[Magnum Wolfpak '#]],Table2[Rox Wolf'#],0)))</f>
        <v>0</v>
      </c>
      <c r="T39" s="35">
        <f>rrcworking[[#This Row],[Closing Stock (Oil)]]+rrcworking[[#This Row],[Sales/Dispostion]]-rrcworking[[#This Row],[Opening Oil Stock]]</f>
        <v>0</v>
      </c>
      <c r="U39" s="112">
        <f>rrcworking[[#This Row],[Gauge Sheet Prod Volume (oil)]]-rrcworking[[#This Row],[Oil Production]]</f>
        <v>0</v>
      </c>
      <c r="V39" s="143">
        <f>IF(ISERROR(INDEX(Table2[GAS],MATCH(rrcworking[[#This Row],[Magnum Wolfpak '#]],Table2[Rox Wolf'#],0))),0,INDEX(Table2[GAS],MATCH(rrcworking[[#This Row],[Magnum Wolfpak '#]],Table2[Rox Wolf'#],0)))</f>
        <v>0</v>
      </c>
      <c r="W39" s="24"/>
      <c r="X39" s="135">
        <f>IF(rrcworking[[#This Row],[Pressure Base]]=14.73,rrcworking[[#This Row],[Gas Sales Statement Volume (MCF)]]*$R$2,rrcworking[[#This Row],[Gas Sales Statement Volume (MCF)]])</f>
        <v>0</v>
      </c>
      <c r="Y39" s="60"/>
      <c r="Z39" s="60"/>
      <c r="AA39" s="143">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185">
        <f>COUNTIF(FilterList,rrcworking[[#This Row],[Magnum Wolfpak '#]])</f>
        <v>0</v>
      </c>
      <c r="AF39" s="182"/>
      <c r="AG39" s="183"/>
      <c r="AH39" s="37"/>
      <c r="AI39" s="37"/>
      <c r="AJ39" s="37"/>
      <c r="AK39" s="37"/>
      <c r="AL39" s="37"/>
      <c r="AM39" s="37"/>
      <c r="AN39" s="37"/>
      <c r="AO39" s="37"/>
      <c r="AP39" s="37"/>
      <c r="AQ39" s="37"/>
    </row>
    <row r="40" spans="3:43" ht="14" hidden="1" customHeight="1">
      <c r="C40" s="80" t="e">
        <v>#N/A</v>
      </c>
      <c r="D40" s="62" t="s">
        <v>81</v>
      </c>
      <c r="E40" s="131" t="s">
        <v>82</v>
      </c>
      <c r="F40" s="129" t="s">
        <v>83</v>
      </c>
      <c r="G40" s="120" t="s">
        <v>1090</v>
      </c>
      <c r="H40" s="18" t="s">
        <v>617</v>
      </c>
      <c r="I40" s="18" t="s">
        <v>59</v>
      </c>
      <c r="J40" s="19" t="s">
        <v>418</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Q40" s="127">
        <f>rrcworking[[#This Row],[Last Month Closing Stock]]</f>
        <v>26</v>
      </c>
      <c r="R40">
        <f>rrcworking[[#This Row],[Opening Oil Stock]]</f>
        <v>26</v>
      </c>
      <c r="S40" s="143">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 Volume (oil)]]-rrcworking[[#This Row],[Oil Production]]</f>
        <v>0</v>
      </c>
      <c r="V40" s="143">
        <f>IF(ISERROR(INDEX(Table2[GAS],MATCH(rrcworking[[#This Row],[Magnum Wolfpak '#]],Table2[Rox Wolf'#],0))),0,INDEX(Table2[GAS],MATCH(rrcworking[[#This Row],[Magnum Wolfpak '#]],Table2[Rox Wolf'#],0)))</f>
        <v>0</v>
      </c>
      <c r="W40" s="24"/>
      <c r="X40" s="135">
        <f>IF(rrcworking[[#This Row],[Pressure Base]]=14.73,rrcworking[[#This Row],[Gas Sales Statement Volume (MCF)]]*$R$2,rrcworking[[#This Row],[Gas Sales Statement Volume (MCF)]])</f>
        <v>0</v>
      </c>
      <c r="Y40" s="60"/>
      <c r="Z40" s="60"/>
      <c r="AA40" s="143">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185">
        <f>COUNTIF(FilterList,rrcworking[[#This Row],[Magnum Wolfpak '#]])</f>
        <v>0</v>
      </c>
      <c r="AF40" s="182"/>
      <c r="AG40" s="183"/>
      <c r="AH40" s="37"/>
      <c r="AI40" s="37"/>
      <c r="AJ40" s="37"/>
      <c r="AK40" s="37"/>
      <c r="AL40" s="37"/>
      <c r="AM40" s="37"/>
      <c r="AN40" s="37"/>
      <c r="AO40" s="37"/>
      <c r="AP40" s="37"/>
      <c r="AQ40" s="37"/>
    </row>
    <row r="41" spans="3:43" ht="14" hidden="1" customHeight="1">
      <c r="C41" s="80" t="e">
        <v>#N/A</v>
      </c>
      <c r="D41" s="62" t="s">
        <v>178</v>
      </c>
      <c r="E41" s="131" t="s">
        <v>179</v>
      </c>
      <c r="F41" s="129">
        <v>1</v>
      </c>
      <c r="G41" s="120" t="s">
        <v>1090</v>
      </c>
      <c r="H41" s="18" t="s">
        <v>618</v>
      </c>
      <c r="I41" s="18" t="s">
        <v>59</v>
      </c>
      <c r="J41" s="19" t="s">
        <v>476</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Q41" s="127">
        <f>rrcworking[[#This Row],[Last Month Closing Stock]]</f>
        <v>173</v>
      </c>
      <c r="R41">
        <f>rrcworking[[#This Row],[Opening Oil Stock]]</f>
        <v>173</v>
      </c>
      <c r="S41" s="143">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 Volume (oil)]]-rrcworking[[#This Row],[Oil Production]]</f>
        <v>0</v>
      </c>
      <c r="V41" s="143">
        <f>IF(ISERROR(INDEX(Table2[GAS],MATCH(rrcworking[[#This Row],[Magnum Wolfpak '#]],Table2[Rox Wolf'#],0))),0,INDEX(Table2[GAS],MATCH(rrcworking[[#This Row],[Magnum Wolfpak '#]],Table2[Rox Wolf'#],0)))</f>
        <v>0</v>
      </c>
      <c r="W41" s="24"/>
      <c r="X41" s="135">
        <f>IF(rrcworking[[#This Row],[Pressure Base]]=14.73,rrcworking[[#This Row],[Gas Sales Statement Volume (MCF)]]*$R$2,rrcworking[[#This Row],[Gas Sales Statement Volume (MCF)]])</f>
        <v>0</v>
      </c>
      <c r="Y41" s="60"/>
      <c r="Z41" s="60"/>
      <c r="AA41" s="143">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185">
        <f>COUNTIF(FilterList,rrcworking[[#This Row],[Magnum Wolfpak '#]])</f>
        <v>0</v>
      </c>
      <c r="AF41" s="182"/>
      <c r="AG41" s="183"/>
      <c r="AH41" s="37"/>
      <c r="AI41" s="37"/>
      <c r="AJ41" s="37"/>
      <c r="AK41" s="37"/>
      <c r="AL41" s="37"/>
      <c r="AM41" s="37"/>
      <c r="AN41" s="37"/>
      <c r="AO41" s="37"/>
      <c r="AP41" s="37"/>
      <c r="AQ41" s="37"/>
    </row>
    <row r="42" spans="3:43" ht="14" hidden="1" customHeight="1">
      <c r="C42" s="80">
        <v>98965</v>
      </c>
      <c r="D42" s="62" t="s">
        <v>189</v>
      </c>
      <c r="E42" s="131" t="s">
        <v>191</v>
      </c>
      <c r="F42" s="129">
        <v>3</v>
      </c>
      <c r="G42" s="120" t="s">
        <v>1090</v>
      </c>
      <c r="H42" s="171" t="s">
        <v>1141</v>
      </c>
      <c r="I42" s="18" t="s">
        <v>59</v>
      </c>
      <c r="J42" s="19" t="s">
        <v>483</v>
      </c>
      <c r="K42" s="103">
        <v>278004</v>
      </c>
      <c r="L42" s="101">
        <f>INDEX(Table1[Production],MATCH(rrcworking[[#This Row],[RRC ID Number]],Table1[RRC Identifier],0))</f>
        <v>6</v>
      </c>
      <c r="M42" s="30">
        <f>INDEX(Table1[Formation Production],MATCH(rrcworking[[#This Row],[RRC ID Number]],Table1[RRC Identifier],0))</f>
        <v>823</v>
      </c>
      <c r="N42" s="31">
        <f>INDEX(Table1[On Hand End of Month],MATCH(rrcworking[[#This Row],[RRC ID Number]],Table1[RRC Identifier],0))</f>
        <v>73</v>
      </c>
      <c r="O42" s="106" t="b">
        <f t="shared" si="1"/>
        <v>0</v>
      </c>
      <c r="P42">
        <v>30</v>
      </c>
      <c r="Q42" s="127">
        <f>rrcworking[[#This Row],[Last Month Closing Stock]]</f>
        <v>73</v>
      </c>
      <c r="R42">
        <v>104</v>
      </c>
      <c r="S42" s="143">
        <f>IF(ISERROR(INDEX(Table2[OIL],MATCH(rrcworking[[#This Row],[Magnum Wolfpak '#]],Table2[Rox Wolf'#],0))),0,INDEX(Table2[OIL],MATCH(rrcworking[[#This Row],[Magnum Wolfpak '#]],Table2[Rox Wolf'#],0)))</f>
        <v>0</v>
      </c>
      <c r="T42" s="35">
        <f>rrcworking[[#This Row],[Closing Stock (Oil)]]+rrcworking[[#This Row],[Sales/Dispostion]]-rrcworking[[#This Row],[Opening Oil Stock]]</f>
        <v>31</v>
      </c>
      <c r="U42" s="112">
        <f>rrcworking[[#This Row],[Gauge Sheet Prod Volume (oil)]]-rrcworking[[#This Row],[Oil Production]]</f>
        <v>-1</v>
      </c>
      <c r="V42" s="143">
        <f>IF(ISERROR(INDEX(Table2[GAS],MATCH(rrcworking[[#This Row],[Magnum Wolfpak '#]],Table2[Rox Wolf'#],0))),0,INDEX(Table2[GAS],MATCH(rrcworking[[#This Row],[Magnum Wolfpak '#]],Table2[Rox Wolf'#],0)))</f>
        <v>1048</v>
      </c>
      <c r="W42" s="24"/>
      <c r="X42" s="135">
        <f>IF(rrcworking[[#This Row],[Pressure Base]]=14.73,rrcworking[[#This Row],[Gas Sales Statement Volume (MCF)]]*$R$2,rrcworking[[#This Row],[Gas Sales Statement Volume (MCF)]])</f>
        <v>1048</v>
      </c>
      <c r="Y42" s="85"/>
      <c r="Z42" s="60">
        <v>1</v>
      </c>
      <c r="AA42" s="143">
        <f>IF(ISERROR(INDEX(Table2[LEASE USE],MATCH(rrcworking[[#This Row],[Magnum Wolfpak '#]],Table2[Rox Wolf'#],0))),0,INDEX(Table2[LEASE USE],MATCH(rrcworking[[#This Row],[Magnum Wolfpak '#]],Table2[Rox Wolf'#],0)))</f>
        <v>30</v>
      </c>
      <c r="AB42" s="57">
        <f>rrcworking[[#This Row],[Disposition Volume (MCF) @ 14.65 MCF]]+rrcworking[[#This Row],[Lease Use (MCF)]]</f>
        <v>1078</v>
      </c>
      <c r="AC42" s="37"/>
      <c r="AD42" s="37" t="s">
        <v>1147</v>
      </c>
      <c r="AE42" s="185">
        <f>COUNTIF(FilterList,rrcworking[[#This Row],[Magnum Wolfpak '#]])</f>
        <v>0</v>
      </c>
      <c r="AF42" s="182"/>
      <c r="AG42" s="183"/>
      <c r="AH42" s="37"/>
      <c r="AI42" s="183"/>
      <c r="AJ42" s="37">
        <v>1</v>
      </c>
      <c r="AK42" s="37" t="s">
        <v>1166</v>
      </c>
      <c r="AL42" s="37" t="s">
        <v>1166</v>
      </c>
      <c r="AM42" s="37" t="s">
        <v>1194</v>
      </c>
      <c r="AN42" s="37" t="s">
        <v>1166</v>
      </c>
      <c r="AO42" s="37" t="s">
        <v>1177</v>
      </c>
      <c r="AP42" s="37" t="s">
        <v>1195</v>
      </c>
      <c r="AQ42" s="37" t="s">
        <v>1196</v>
      </c>
    </row>
    <row r="43" spans="3:43" ht="14" hidden="1" customHeight="1">
      <c r="C43" s="80" t="e">
        <v>#N/A</v>
      </c>
      <c r="D43" s="62" t="s">
        <v>189</v>
      </c>
      <c r="E43" s="131" t="s">
        <v>190</v>
      </c>
      <c r="F43" s="129">
        <v>0</v>
      </c>
      <c r="G43" s="120" t="s">
        <v>1090</v>
      </c>
      <c r="H43" s="18" t="s">
        <v>618</v>
      </c>
      <c r="I43" s="18" t="s">
        <v>2</v>
      </c>
      <c r="J43" s="19" t="s">
        <v>484</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Q43" s="127">
        <f>rrcworking[[#This Row],[Last Month Closing Stock]]</f>
        <v>0</v>
      </c>
      <c r="R43">
        <f>rrcworking[[#This Row],[Opening Oil Stock]]</f>
        <v>0</v>
      </c>
      <c r="S43" s="143">
        <f>IF(ISERROR(INDEX(Table2[OIL],MATCH(rrcworking[[#This Row],[Magnum Wolfpak '#]],Table2[Rox Wolf'#],0))),0,INDEX(Table2[OIL],MATCH(rrcworking[[#This Row],[Magnum Wolfpak '#]],Table2[Rox Wolf'#],0)))</f>
        <v>0</v>
      </c>
      <c r="T43" s="35">
        <f>rrcworking[[#This Row],[Closing Stock (Oil)]]+rrcworking[[#This Row],[Sales/Dispostion]]-rrcworking[[#This Row],[Opening Oil Stock]]</f>
        <v>0</v>
      </c>
      <c r="U43" s="112">
        <f>rrcworking[[#This Row],[Gauge Sheet Prod Volume (oil)]]-rrcworking[[#This Row],[Oil Production]]</f>
        <v>0</v>
      </c>
      <c r="V43" s="143">
        <f>IF(ISERROR(INDEX(Table2[GAS],MATCH(rrcworking[[#This Row],[Magnum Wolfpak '#]],Table2[Rox Wolf'#],0))),0,INDEX(Table2[GAS],MATCH(rrcworking[[#This Row],[Magnum Wolfpak '#]],Table2[Rox Wolf'#],0)))</f>
        <v>0</v>
      </c>
      <c r="W43" s="24"/>
      <c r="X43" s="135">
        <f>IF(rrcworking[[#This Row],[Pressure Base]]=14.73,rrcworking[[#This Row],[Gas Sales Statement Volume (MCF)]]*$R$2,rrcworking[[#This Row],[Gas Sales Statement Volume (MCF)]])</f>
        <v>0</v>
      </c>
      <c r="Y43" s="60"/>
      <c r="Z43" s="60"/>
      <c r="AA43" s="143">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185">
        <f>COUNTIF(FilterList,rrcworking[[#This Row],[Magnum Wolfpak '#]])</f>
        <v>0</v>
      </c>
      <c r="AF43" s="182"/>
      <c r="AG43" s="183"/>
      <c r="AH43" s="37"/>
      <c r="AI43" s="37"/>
      <c r="AJ43" s="37"/>
      <c r="AK43" s="37"/>
      <c r="AL43" s="37"/>
      <c r="AM43" s="37"/>
      <c r="AN43" s="37"/>
      <c r="AO43" s="37"/>
      <c r="AP43" s="37"/>
      <c r="AQ43" s="37"/>
    </row>
    <row r="44" spans="3:43" ht="14" hidden="1" customHeight="1">
      <c r="C44" s="80" t="e">
        <v>#N/A</v>
      </c>
      <c r="D44" s="62" t="s">
        <v>203</v>
      </c>
      <c r="E44" s="131" t="s">
        <v>204</v>
      </c>
      <c r="F44" s="129" t="s">
        <v>205</v>
      </c>
      <c r="G44" s="120" t="s">
        <v>1090</v>
      </c>
      <c r="H44" s="18" t="s">
        <v>618</v>
      </c>
      <c r="I44" s="18" t="s">
        <v>59</v>
      </c>
      <c r="J44" s="19" t="s">
        <v>491</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Q44" s="127">
        <f>rrcworking[[#This Row],[Last Month Closing Stock]]</f>
        <v>0</v>
      </c>
      <c r="R44">
        <f>rrcworking[[#This Row],[Opening Oil Stock]]</f>
        <v>0</v>
      </c>
      <c r="S44" s="143">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 Volume (oil)]]-rrcworking[[#This Row],[Oil Production]]</f>
        <v>0</v>
      </c>
      <c r="V44" s="143">
        <f>IF(ISERROR(INDEX(Table2[GAS],MATCH(rrcworking[[#This Row],[Magnum Wolfpak '#]],Table2[Rox Wolf'#],0))),0,INDEX(Table2[GAS],MATCH(rrcworking[[#This Row],[Magnum Wolfpak '#]],Table2[Rox Wolf'#],0)))</f>
        <v>0</v>
      </c>
      <c r="W44" s="24"/>
      <c r="X44" s="135">
        <f>IF(rrcworking[[#This Row],[Pressure Base]]=14.73,rrcworking[[#This Row],[Gas Sales Statement Volume (MCF)]]*$R$2,rrcworking[[#This Row],[Gas Sales Statement Volume (MCF)]])</f>
        <v>0</v>
      </c>
      <c r="Y44" s="60"/>
      <c r="Z44" s="60"/>
      <c r="AA44" s="143">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185">
        <f>COUNTIF(FilterList,rrcworking[[#This Row],[Magnum Wolfpak '#]])</f>
        <v>0</v>
      </c>
      <c r="AF44" s="182"/>
      <c r="AG44" s="183"/>
      <c r="AH44" s="37"/>
      <c r="AI44" s="37"/>
      <c r="AJ44" s="37"/>
      <c r="AK44" s="37"/>
      <c r="AL44" s="37"/>
      <c r="AM44" s="37"/>
      <c r="AN44" s="37"/>
      <c r="AO44" s="37"/>
      <c r="AP44" s="37"/>
      <c r="AQ44" s="37"/>
    </row>
    <row r="45" spans="3:43" ht="14" hidden="1" customHeight="1">
      <c r="C45" s="80" t="e">
        <v>#N/A</v>
      </c>
      <c r="D45" s="62" t="s">
        <v>151</v>
      </c>
      <c r="E45" s="131" t="s">
        <v>152</v>
      </c>
      <c r="F45" s="140" t="s">
        <v>57</v>
      </c>
      <c r="G45" s="120" t="s">
        <v>1090</v>
      </c>
      <c r="H45" s="18" t="s">
        <v>618</v>
      </c>
      <c r="I45" s="18" t="s">
        <v>2</v>
      </c>
      <c r="J45" s="19" t="s">
        <v>460</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Q45" s="127">
        <f>rrcworking[[#This Row],[Last Month Closing Stock]]</f>
        <v>139</v>
      </c>
      <c r="R45">
        <f>rrcworking[[#This Row],[Opening Oil Stock]]</f>
        <v>139</v>
      </c>
      <c r="S45" s="143">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 Volume (oil)]]-rrcworking[[#This Row],[Oil Production]]</f>
        <v>0</v>
      </c>
      <c r="V45" s="143">
        <f>IF(ISERROR(INDEX(Table2[GAS],MATCH(rrcworking[[#This Row],[Magnum Wolfpak '#]],Table2[Rox Wolf'#],0))),0,INDEX(Table2[GAS],MATCH(rrcworking[[#This Row],[Magnum Wolfpak '#]],Table2[Rox Wolf'#],0)))</f>
        <v>0</v>
      </c>
      <c r="W45" s="24"/>
      <c r="X45" s="135">
        <f>IF(rrcworking[[#This Row],[Pressure Base]]=14.73,rrcworking[[#This Row],[Gas Sales Statement Volume (MCF)]]*$R$2,rrcworking[[#This Row],[Gas Sales Statement Volume (MCF)]])</f>
        <v>0</v>
      </c>
      <c r="Y45" s="60"/>
      <c r="Z45" s="60"/>
      <c r="AA45" s="143">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185">
        <f>COUNTIF(FilterList,rrcworking[[#This Row],[Magnum Wolfpak '#]])</f>
        <v>0</v>
      </c>
      <c r="AF45" s="182"/>
      <c r="AG45" s="183"/>
      <c r="AH45" s="37"/>
      <c r="AI45" s="37"/>
      <c r="AJ45" s="37"/>
      <c r="AK45" s="37"/>
      <c r="AL45" s="37"/>
      <c r="AM45" s="37"/>
      <c r="AN45" s="37"/>
      <c r="AO45" s="37"/>
      <c r="AP45" s="37"/>
      <c r="AQ45" s="37"/>
    </row>
    <row r="46" spans="3:43" ht="14" hidden="1" customHeight="1">
      <c r="C46" s="80">
        <v>99225</v>
      </c>
      <c r="D46" s="62" t="s">
        <v>154</v>
      </c>
      <c r="E46" s="131" t="s">
        <v>152</v>
      </c>
      <c r="F46" s="140" t="s">
        <v>1132</v>
      </c>
      <c r="G46" s="120" t="s">
        <v>1090</v>
      </c>
      <c r="H46" s="18" t="s">
        <v>618</v>
      </c>
      <c r="I46" s="18" t="s">
        <v>2</v>
      </c>
      <c r="J46" s="19" t="s">
        <v>462</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Q46" s="127">
        <f>rrcworking[[#This Row],[Last Month Closing Stock]]</f>
        <v>28</v>
      </c>
      <c r="R46">
        <f>rrcworking[[#This Row],[Opening Oil Stock]]</f>
        <v>28</v>
      </c>
      <c r="S46" s="143">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 Volume (oil)]]-rrcworking[[#This Row],[Oil Production]]</f>
        <v>0</v>
      </c>
      <c r="V46" s="143">
        <f>IF(ISERROR(INDEX(Table2[GAS],MATCH(rrcworking[[#This Row],[Magnum Wolfpak '#]],Table2[Rox Wolf'#],0))),0,INDEX(Table2[GAS],MATCH(rrcworking[[#This Row],[Magnum Wolfpak '#]],Table2[Rox Wolf'#],0)))</f>
        <v>0</v>
      </c>
      <c r="W46" s="24"/>
      <c r="X46" s="135">
        <f>IF(rrcworking[[#This Row],[Pressure Base]]=14.73,rrcworking[[#This Row],[Gas Sales Statement Volume (MCF)]]*$R$2,rrcworking[[#This Row],[Gas Sales Statement Volume (MCF)]])</f>
        <v>0</v>
      </c>
      <c r="Y46" s="60"/>
      <c r="Z46" s="60"/>
      <c r="AA46" s="143">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1139</v>
      </c>
      <c r="AE46" s="185">
        <f>COUNTIF(FilterList,rrcworking[[#This Row],[Magnum Wolfpak '#]])</f>
        <v>0</v>
      </c>
      <c r="AF46" s="182"/>
      <c r="AG46" s="183"/>
      <c r="AH46" s="37"/>
      <c r="AI46" s="37"/>
      <c r="AJ46" s="184"/>
      <c r="AK46" s="184"/>
      <c r="AL46" s="184"/>
      <c r="AM46" s="184"/>
      <c r="AN46" s="184"/>
      <c r="AO46" s="184"/>
      <c r="AP46" s="37" t="s">
        <v>1164</v>
      </c>
      <c r="AQ46" s="37" t="s">
        <v>1190</v>
      </c>
    </row>
    <row r="47" spans="3:43" ht="126" hidden="1" customHeight="1">
      <c r="C47" s="80" t="e">
        <v>#N/A</v>
      </c>
      <c r="D47" s="62" t="s">
        <v>158</v>
      </c>
      <c r="E47" s="131" t="s">
        <v>152</v>
      </c>
      <c r="F47" s="140" t="s">
        <v>58</v>
      </c>
      <c r="G47" s="120" t="s">
        <v>1090</v>
      </c>
      <c r="H47" s="18" t="s">
        <v>618</v>
      </c>
      <c r="I47" s="18" t="s">
        <v>2</v>
      </c>
      <c r="J47" s="19" t="s">
        <v>465</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Q47" s="127">
        <f>rrcworking[[#This Row],[Last Month Closing Stock]]</f>
        <v>32</v>
      </c>
      <c r="R47">
        <f>rrcworking[[#This Row],[Opening Oil Stock]]</f>
        <v>32</v>
      </c>
      <c r="S47" s="143">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 Volume (oil)]]-rrcworking[[#This Row],[Oil Production]]</f>
        <v>0</v>
      </c>
      <c r="V47" s="143">
        <f>IF(ISERROR(INDEX(Table2[GAS],MATCH(rrcworking[[#This Row],[Magnum Wolfpak '#]],Table2[Rox Wolf'#],0))),0,INDEX(Table2[GAS],MATCH(rrcworking[[#This Row],[Magnum Wolfpak '#]],Table2[Rox Wolf'#],0)))</f>
        <v>0</v>
      </c>
      <c r="W47" s="24"/>
      <c r="X47" s="135">
        <f>IF(rrcworking[[#This Row],[Pressure Base]]=14.73,rrcworking[[#This Row],[Gas Sales Statement Volume (MCF)]]*$R$2,rrcworking[[#This Row],[Gas Sales Statement Volume (MCF)]])</f>
        <v>0</v>
      </c>
      <c r="Y47" s="60"/>
      <c r="Z47" s="60"/>
      <c r="AA47" s="143">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185">
        <f>COUNTIF(FilterList,rrcworking[[#This Row],[Magnum Wolfpak '#]])</f>
        <v>0</v>
      </c>
      <c r="AF47" s="182"/>
      <c r="AG47" s="183"/>
      <c r="AH47" s="37"/>
      <c r="AI47" s="37"/>
      <c r="AJ47" s="37"/>
      <c r="AK47" s="37"/>
      <c r="AL47" s="37"/>
      <c r="AM47" s="37"/>
      <c r="AN47" s="37"/>
      <c r="AO47" s="37"/>
      <c r="AP47" s="37"/>
      <c r="AQ47" s="37"/>
    </row>
    <row r="48" spans="3:43" ht="14" hidden="1" customHeight="1">
      <c r="C48" s="80" t="e">
        <v>#N/A</v>
      </c>
      <c r="D48" s="62" t="s">
        <v>151</v>
      </c>
      <c r="E48" s="131" t="s">
        <v>153</v>
      </c>
      <c r="F48" s="129">
        <v>0</v>
      </c>
      <c r="G48" s="120" t="s">
        <v>1090</v>
      </c>
      <c r="H48" s="18" t="s">
        <v>618</v>
      </c>
      <c r="I48" s="18" t="s">
        <v>2</v>
      </c>
      <c r="J48" s="19" t="s">
        <v>461</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Q48" s="127">
        <f>rrcworking[[#This Row],[Last Month Closing Stock]]</f>
        <v>0</v>
      </c>
      <c r="R48">
        <f>rrcworking[[#This Row],[Opening Oil Stock]]</f>
        <v>0</v>
      </c>
      <c r="S48" s="143">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 Volume (oil)]]-rrcworking[[#This Row],[Oil Production]]</f>
        <v>0</v>
      </c>
      <c r="V48" s="143">
        <f>IF(ISERROR(INDEX(Table2[GAS],MATCH(rrcworking[[#This Row],[Magnum Wolfpak '#]],Table2[Rox Wolf'#],0))),0,INDEX(Table2[GAS],MATCH(rrcworking[[#This Row],[Magnum Wolfpak '#]],Table2[Rox Wolf'#],0)))</f>
        <v>0</v>
      </c>
      <c r="W48" s="24"/>
      <c r="X48" s="135">
        <f>IF(rrcworking[[#This Row],[Pressure Base]]=14.73,rrcworking[[#This Row],[Gas Sales Statement Volume (MCF)]]*$R$2,rrcworking[[#This Row],[Gas Sales Statement Volume (MCF)]])</f>
        <v>0</v>
      </c>
      <c r="Y48" s="60"/>
      <c r="Z48" s="60"/>
      <c r="AA48" s="143">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185">
        <f>COUNTIF(FilterList,rrcworking[[#This Row],[Magnum Wolfpak '#]])</f>
        <v>0</v>
      </c>
      <c r="AF48" s="182"/>
      <c r="AG48" s="183"/>
      <c r="AH48" s="37"/>
      <c r="AI48" s="37"/>
      <c r="AJ48" s="37"/>
      <c r="AK48" s="37"/>
      <c r="AL48" s="37"/>
      <c r="AM48" s="37"/>
      <c r="AN48" s="37"/>
      <c r="AO48" s="37"/>
      <c r="AP48" s="37"/>
      <c r="AQ48" s="37"/>
    </row>
    <row r="49" spans="3:43" ht="14" hidden="1" customHeight="1">
      <c r="C49" s="80" t="e">
        <v>#N/A</v>
      </c>
      <c r="D49" s="62" t="s">
        <v>156</v>
      </c>
      <c r="E49" s="131" t="s">
        <v>157</v>
      </c>
      <c r="F49" s="129">
        <v>5</v>
      </c>
      <c r="G49" s="120" t="s">
        <v>1090</v>
      </c>
      <c r="H49" s="18" t="s">
        <v>618</v>
      </c>
      <c r="I49" s="18" t="s">
        <v>59</v>
      </c>
      <c r="J49" s="19" t="s">
        <v>464</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Q49" s="127">
        <f>rrcworking[[#This Row],[Last Month Closing Stock]]</f>
        <v>0</v>
      </c>
      <c r="R49">
        <f>rrcworking[[#This Row],[Opening Oil Stock]]</f>
        <v>0</v>
      </c>
      <c r="S49" s="143">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 Volume (oil)]]-rrcworking[[#This Row],[Oil Production]]</f>
        <v>0</v>
      </c>
      <c r="V49" s="143">
        <f>IF(ISERROR(INDEX(Table2[GAS],MATCH(rrcworking[[#This Row],[Magnum Wolfpak '#]],Table2[Rox Wolf'#],0))),0,INDEX(Table2[GAS],MATCH(rrcworking[[#This Row],[Magnum Wolfpak '#]],Table2[Rox Wolf'#],0)))</f>
        <v>0</v>
      </c>
      <c r="W49" s="24"/>
      <c r="X49" s="135">
        <f>IF(rrcworking[[#This Row],[Pressure Base]]=14.73,rrcworking[[#This Row],[Gas Sales Statement Volume (MCF)]]*$R$2,rrcworking[[#This Row],[Gas Sales Statement Volume (MCF)]])</f>
        <v>0</v>
      </c>
      <c r="Y49" s="60"/>
      <c r="Z49" s="60"/>
      <c r="AA49" s="143">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185">
        <f>COUNTIF(FilterList,rrcworking[[#This Row],[Magnum Wolfpak '#]])</f>
        <v>0</v>
      </c>
      <c r="AF49" s="182"/>
      <c r="AG49" s="183"/>
      <c r="AH49" s="37"/>
      <c r="AI49" s="37"/>
      <c r="AJ49" s="37"/>
      <c r="AK49" s="37"/>
      <c r="AL49" s="37"/>
      <c r="AM49" s="37"/>
      <c r="AN49" s="37"/>
      <c r="AO49" s="37"/>
      <c r="AP49" s="37"/>
      <c r="AQ49" s="37"/>
    </row>
    <row r="50" spans="3:43" ht="14" hidden="1" customHeight="1">
      <c r="C50" s="80" t="e">
        <v>#N/A</v>
      </c>
      <c r="D50" s="62" t="s">
        <v>177</v>
      </c>
      <c r="E50" s="131" t="s">
        <v>157</v>
      </c>
      <c r="F50" s="129">
        <v>1</v>
      </c>
      <c r="G50" s="120" t="s">
        <v>1090</v>
      </c>
      <c r="H50" s="18" t="s">
        <v>618</v>
      </c>
      <c r="I50" s="18" t="s">
        <v>59</v>
      </c>
      <c r="J50" s="19" t="s">
        <v>475</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Q50" s="127">
        <f>rrcworking[[#This Row],[Last Month Closing Stock]]</f>
        <v>0</v>
      </c>
      <c r="R50">
        <f>rrcworking[[#This Row],[Opening Oil Stock]]</f>
        <v>0</v>
      </c>
      <c r="S50" s="143">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 Volume (oil)]]-rrcworking[[#This Row],[Oil Production]]</f>
        <v>0</v>
      </c>
      <c r="V50" s="143">
        <f>IF(ISERROR(INDEX(Table2[GAS],MATCH(rrcworking[[#This Row],[Magnum Wolfpak '#]],Table2[Rox Wolf'#],0))),0,INDEX(Table2[GAS],MATCH(rrcworking[[#This Row],[Magnum Wolfpak '#]],Table2[Rox Wolf'#],0)))</f>
        <v>0</v>
      </c>
      <c r="W50" s="24"/>
      <c r="X50" s="135">
        <f>IF(rrcworking[[#This Row],[Pressure Base]]=14.73,rrcworking[[#This Row],[Gas Sales Statement Volume (MCF)]]*$R$2,rrcworking[[#This Row],[Gas Sales Statement Volume (MCF)]])</f>
        <v>0</v>
      </c>
      <c r="Y50" s="60"/>
      <c r="Z50" s="60"/>
      <c r="AA50" s="143">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185">
        <f>COUNTIF(FilterList,rrcworking[[#This Row],[Magnum Wolfpak '#]])</f>
        <v>0</v>
      </c>
      <c r="AF50" s="182"/>
      <c r="AG50" s="183"/>
      <c r="AH50" s="37"/>
      <c r="AI50" s="37"/>
      <c r="AJ50" s="37"/>
      <c r="AK50" s="37"/>
      <c r="AL50" s="37"/>
      <c r="AM50" s="37"/>
      <c r="AN50" s="37"/>
      <c r="AO50" s="37"/>
      <c r="AP50" s="37"/>
      <c r="AQ50" s="37"/>
    </row>
    <row r="51" spans="3:43" ht="14" hidden="1" customHeight="1">
      <c r="C51" s="80" t="e">
        <v>#N/A</v>
      </c>
      <c r="D51" s="62" t="s">
        <v>161</v>
      </c>
      <c r="E51" s="131" t="s">
        <v>162</v>
      </c>
      <c r="F51" s="129">
        <v>7</v>
      </c>
      <c r="G51" s="120" t="s">
        <v>1090</v>
      </c>
      <c r="H51" s="18" t="s">
        <v>618</v>
      </c>
      <c r="I51" s="18" t="s">
        <v>59</v>
      </c>
      <c r="J51" s="19" t="s">
        <v>467</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Q51" s="127">
        <f>rrcworking[[#This Row],[Last Month Closing Stock]]</f>
        <v>0</v>
      </c>
      <c r="R51">
        <f>rrcworking[[#This Row],[Opening Oil Stock]]</f>
        <v>0</v>
      </c>
      <c r="S51" s="143">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 Volume (oil)]]-rrcworking[[#This Row],[Oil Production]]</f>
        <v>0</v>
      </c>
      <c r="V51" s="143">
        <f>IF(ISERROR(INDEX(Table2[GAS],MATCH(rrcworking[[#This Row],[Magnum Wolfpak '#]],Table2[Rox Wolf'#],0))),0,INDEX(Table2[GAS],MATCH(rrcworking[[#This Row],[Magnum Wolfpak '#]],Table2[Rox Wolf'#],0)))</f>
        <v>0</v>
      </c>
      <c r="W51" s="24"/>
      <c r="X51" s="135">
        <f>IF(rrcworking[[#This Row],[Pressure Base]]=14.73,rrcworking[[#This Row],[Gas Sales Statement Volume (MCF)]]*$R$2,rrcworking[[#This Row],[Gas Sales Statement Volume (MCF)]])</f>
        <v>0</v>
      </c>
      <c r="Y51" s="60"/>
      <c r="Z51" s="60"/>
      <c r="AA51" s="143">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185">
        <f>COUNTIF(FilterList,rrcworking[[#This Row],[Magnum Wolfpak '#]])</f>
        <v>0</v>
      </c>
      <c r="AF51" s="182"/>
      <c r="AG51" s="183"/>
      <c r="AH51" s="37"/>
      <c r="AI51" s="37"/>
      <c r="AJ51" s="37"/>
      <c r="AK51" s="37"/>
      <c r="AL51" s="37"/>
      <c r="AM51" s="37"/>
      <c r="AN51" s="37"/>
      <c r="AO51" s="37"/>
      <c r="AP51" s="37"/>
      <c r="AQ51" s="37"/>
    </row>
    <row r="52" spans="3:43" ht="14" hidden="1">
      <c r="C52" s="80" t="e">
        <v>#N/A</v>
      </c>
      <c r="D52" s="62" t="s">
        <v>159</v>
      </c>
      <c r="E52" s="131" t="s">
        <v>160</v>
      </c>
      <c r="F52" s="129">
        <v>1</v>
      </c>
      <c r="G52" s="120" t="s">
        <v>1090</v>
      </c>
      <c r="H52" s="18" t="s">
        <v>618</v>
      </c>
      <c r="I52" s="18" t="s">
        <v>59</v>
      </c>
      <c r="J52" s="19" t="s">
        <v>466</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Q52" s="127">
        <f>rrcworking[[#This Row],[Last Month Closing Stock]]</f>
        <v>0</v>
      </c>
      <c r="R52">
        <f>rrcworking[[#This Row],[Opening Oil Stock]]</f>
        <v>0</v>
      </c>
      <c r="S52" s="143">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 Volume (oil)]]-rrcworking[[#This Row],[Oil Production]]</f>
        <v>0</v>
      </c>
      <c r="V52" s="143">
        <f>IF(ISERROR(INDEX(Table2[GAS],MATCH(rrcworking[[#This Row],[Magnum Wolfpak '#]],Table2[Rox Wolf'#],0))),0,INDEX(Table2[GAS],MATCH(rrcworking[[#This Row],[Magnum Wolfpak '#]],Table2[Rox Wolf'#],0)))</f>
        <v>0</v>
      </c>
      <c r="W52" s="24"/>
      <c r="X52" s="135">
        <f>IF(rrcworking[[#This Row],[Pressure Base]]=14.73,rrcworking[[#This Row],[Gas Sales Statement Volume (MCF)]]*$R$2,rrcworking[[#This Row],[Gas Sales Statement Volume (MCF)]])</f>
        <v>0</v>
      </c>
      <c r="Y52" s="60"/>
      <c r="Z52" s="60"/>
      <c r="AA52" s="143">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185">
        <f>COUNTIF(FilterList,rrcworking[[#This Row],[Magnum Wolfpak '#]])</f>
        <v>0</v>
      </c>
      <c r="AF52" s="182"/>
      <c r="AG52" s="183"/>
      <c r="AH52" s="37"/>
      <c r="AI52" s="37"/>
      <c r="AJ52" s="37"/>
      <c r="AK52" s="37"/>
      <c r="AL52" s="37"/>
      <c r="AM52" s="37"/>
      <c r="AN52" s="37"/>
      <c r="AO52" s="37"/>
      <c r="AP52" s="37"/>
      <c r="AQ52" s="37"/>
    </row>
    <row r="53" spans="3:43" ht="14" hidden="1">
      <c r="C53" s="80" t="e">
        <v>#N/A</v>
      </c>
      <c r="D53" s="62" t="s">
        <v>308</v>
      </c>
      <c r="E53" s="131" t="s">
        <v>310</v>
      </c>
      <c r="F53" s="129">
        <v>1</v>
      </c>
      <c r="G53" s="120" t="s">
        <v>1090</v>
      </c>
      <c r="H53" s="18" t="s">
        <v>619</v>
      </c>
      <c r="I53" s="18" t="s">
        <v>59</v>
      </c>
      <c r="J53" s="19" t="s">
        <v>552</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Q53" s="127">
        <f>rrcworking[[#This Row],[Last Month Closing Stock]]</f>
        <v>0</v>
      </c>
      <c r="R53">
        <f>rrcworking[[#This Row],[Opening Oil Stock]]</f>
        <v>0</v>
      </c>
      <c r="S53" s="143">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 Volume (oil)]]-rrcworking[[#This Row],[Oil Production]]</f>
        <v>0</v>
      </c>
      <c r="V53" s="143">
        <f>IF(ISERROR(INDEX(Table2[GAS],MATCH(rrcworking[[#This Row],[Magnum Wolfpak '#]],Table2[Rox Wolf'#],0))),0,INDEX(Table2[GAS],MATCH(rrcworking[[#This Row],[Magnum Wolfpak '#]],Table2[Rox Wolf'#],0)))</f>
        <v>0</v>
      </c>
      <c r="W53" s="24"/>
      <c r="X53" s="135">
        <f>IF(rrcworking[[#This Row],[Pressure Base]]=14.73,rrcworking[[#This Row],[Gas Sales Statement Volume (MCF)]]*$R$2,rrcworking[[#This Row],[Gas Sales Statement Volume (MCF)]])</f>
        <v>0</v>
      </c>
      <c r="Y53" s="60"/>
      <c r="Z53" s="60"/>
      <c r="AA53" s="143">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185">
        <f>COUNTIF(FilterList,rrcworking[[#This Row],[Magnum Wolfpak '#]])</f>
        <v>0</v>
      </c>
      <c r="AF53" s="182"/>
      <c r="AG53" s="183"/>
      <c r="AH53" s="37"/>
      <c r="AI53" s="37"/>
      <c r="AJ53" s="37"/>
      <c r="AK53" s="37"/>
      <c r="AL53" s="37"/>
      <c r="AM53" s="37"/>
      <c r="AN53" s="37"/>
      <c r="AO53" s="37"/>
      <c r="AP53" s="37"/>
      <c r="AQ53" s="37"/>
    </row>
    <row r="54" spans="3:43" ht="14" hidden="1">
      <c r="C54" s="80">
        <v>99307</v>
      </c>
      <c r="D54" s="62" t="s">
        <v>253</v>
      </c>
      <c r="E54" s="131" t="s">
        <v>254</v>
      </c>
      <c r="F54" s="129">
        <v>2</v>
      </c>
      <c r="G54" s="120" t="s">
        <v>1090</v>
      </c>
      <c r="H54" s="18" t="s">
        <v>618</v>
      </c>
      <c r="I54" s="18" t="s">
        <v>59</v>
      </c>
      <c r="J54" s="19" t="s">
        <v>515</v>
      </c>
      <c r="K54" s="103">
        <v>247945</v>
      </c>
      <c r="L54" s="101">
        <f>INDEX(Table1[Production],MATCH(rrcworking[[#This Row],[RRC ID Number]],Table1[RRC Identifier],0))</f>
        <v>23</v>
      </c>
      <c r="M54" s="30">
        <f>INDEX(Table1[Formation Production],MATCH(rrcworking[[#This Row],[RRC ID Number]],Table1[RRC Identifier],0))</f>
        <v>548</v>
      </c>
      <c r="N54" s="31">
        <f>INDEX(Table1[On Hand End of Month],MATCH(rrcworking[[#This Row],[RRC ID Number]],Table1[RRC Identifier],0))</f>
        <v>125</v>
      </c>
      <c r="O54" s="106" t="b">
        <f t="shared" si="1"/>
        <v>0</v>
      </c>
      <c r="P54">
        <v>25</v>
      </c>
      <c r="Q54" s="127">
        <f>rrcworking[[#This Row],[Last Month Closing Stock]]</f>
        <v>125</v>
      </c>
      <c r="R54">
        <v>150</v>
      </c>
      <c r="S54" s="143">
        <f>IF(ISERROR(INDEX(Table2[OIL],MATCH(rrcworking[[#This Row],[Magnum Wolfpak '#]],Table2[Rox Wolf'#],0))),0,INDEX(Table2[OIL],MATCH(rrcworking[[#This Row],[Magnum Wolfpak '#]],Table2[Rox Wolf'#],0)))</f>
        <v>0</v>
      </c>
      <c r="T54" s="35">
        <f>rrcworking[[#This Row],[Closing Stock (Oil)]]+rrcworking[[#This Row],[Sales/Dispostion]]-rrcworking[[#This Row],[Opening Oil Stock]]</f>
        <v>25</v>
      </c>
      <c r="U54" s="112">
        <f>rrcworking[[#This Row],[Gauge Sheet Prod Volume (oil)]]-rrcworking[[#This Row],[Oil Production]]</f>
        <v>0</v>
      </c>
      <c r="V54" s="143">
        <f>IF(ISERROR(INDEX(Table2[GAS],MATCH(rrcworking[[#This Row],[Magnum Wolfpak '#]],Table2[Rox Wolf'#],0))),0,INDEX(Table2[GAS],MATCH(rrcworking[[#This Row],[Magnum Wolfpak '#]],Table2[Rox Wolf'#],0)))</f>
        <v>510</v>
      </c>
      <c r="W54" s="24"/>
      <c r="X54" s="135">
        <f>IF(rrcworking[[#This Row],[Pressure Base]]=14.73,rrcworking[[#This Row],[Gas Sales Statement Volume (MCF)]]*$R$2,rrcworking[[#This Row],[Gas Sales Statement Volume (MCF)]])</f>
        <v>510</v>
      </c>
      <c r="Y54" s="60"/>
      <c r="Z54" s="60"/>
      <c r="AA54" s="143">
        <f>IF(ISERROR(INDEX(Table2[LEASE USE],MATCH(rrcworking[[#This Row],[Magnum Wolfpak '#]],Table2[Rox Wolf'#],0))),0,INDEX(Table2[LEASE USE],MATCH(rrcworking[[#This Row],[Magnum Wolfpak '#]],Table2[Rox Wolf'#],0)))</f>
        <v>0</v>
      </c>
      <c r="AB54" s="57">
        <f>rrcworking[[#This Row],[Disposition Volume (MCF) @ 14.65 MCF]]+rrcworking[[#This Row],[Lease Use (MCF)]]</f>
        <v>510</v>
      </c>
      <c r="AC54" s="37"/>
      <c r="AD54" s="37"/>
      <c r="AE54" s="185">
        <f>COUNTIF(FilterList,rrcworking[[#This Row],[Magnum Wolfpak '#]])</f>
        <v>0</v>
      </c>
      <c r="AF54" s="182"/>
      <c r="AG54" s="183"/>
      <c r="AH54" s="37"/>
      <c r="AI54" s="183"/>
      <c r="AJ54" s="37">
        <v>2</v>
      </c>
      <c r="AK54" s="37" t="s">
        <v>1140</v>
      </c>
      <c r="AL54" s="37" t="s">
        <v>1140</v>
      </c>
      <c r="AM54" s="37" t="s">
        <v>1197</v>
      </c>
      <c r="AN54" s="37" t="s">
        <v>1140</v>
      </c>
      <c r="AO54" s="37" t="s">
        <v>1172</v>
      </c>
      <c r="AP54" s="37" t="s">
        <v>1198</v>
      </c>
      <c r="AQ54" s="37"/>
    </row>
    <row r="55" spans="3:43" ht="14" hidden="1">
      <c r="C55" s="80" t="e">
        <v>#N/A</v>
      </c>
      <c r="D55" s="62" t="s">
        <v>98</v>
      </c>
      <c r="E55" s="131" t="s">
        <v>96</v>
      </c>
      <c r="F55" s="129">
        <v>0</v>
      </c>
      <c r="G55" s="120" t="s">
        <v>1090</v>
      </c>
      <c r="H55" s="18" t="s">
        <v>617</v>
      </c>
      <c r="I55" s="18" t="s">
        <v>2</v>
      </c>
      <c r="J55" s="19" t="s">
        <v>427</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Q55" s="127">
        <f>rrcworking[[#This Row],[Last Month Closing Stock]]</f>
        <v>0</v>
      </c>
      <c r="R55">
        <f>rrcworking[[#This Row],[Opening Oil Stock]]</f>
        <v>0</v>
      </c>
      <c r="S55" s="143">
        <f>IF(ISERROR(INDEX(Table2[OIL],MATCH(rrcworking[[#This Row],[Magnum Wolfpak '#]],Table2[Rox Wolf'#],0))),0,INDEX(Table2[OIL],MATCH(rrcworking[[#This Row],[Magnum Wolfpak '#]],Table2[Rox Wolf'#],0)))</f>
        <v>0</v>
      </c>
      <c r="T55" s="35">
        <f>rrcworking[[#This Row],[Closing Stock (Oil)]]+rrcworking[[#This Row],[Sales/Dispostion]]-rrcworking[[#This Row],[Opening Oil Stock]]</f>
        <v>0</v>
      </c>
      <c r="U55" s="112">
        <f>rrcworking[[#This Row],[Gauge Sheet Prod Volume (oil)]]-rrcworking[[#This Row],[Oil Production]]</f>
        <v>0</v>
      </c>
      <c r="V55" s="143">
        <f>IF(ISERROR(INDEX(Table2[GAS],MATCH(rrcworking[[#This Row],[Magnum Wolfpak '#]],Table2[Rox Wolf'#],0))),0,INDEX(Table2[GAS],MATCH(rrcworking[[#This Row],[Magnum Wolfpak '#]],Table2[Rox Wolf'#],0)))</f>
        <v>0</v>
      </c>
      <c r="W55" s="24"/>
      <c r="X55" s="135">
        <f>IF(rrcworking[[#This Row],[Pressure Base]]=14.73,rrcworking[[#This Row],[Gas Sales Statement Volume (MCF)]]*$R$2,rrcworking[[#This Row],[Gas Sales Statement Volume (MCF)]])</f>
        <v>0</v>
      </c>
      <c r="Y55" s="60"/>
      <c r="Z55" s="60"/>
      <c r="AA55" s="143">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185">
        <f>COUNTIF(FilterList,rrcworking[[#This Row],[Magnum Wolfpak '#]])</f>
        <v>0</v>
      </c>
      <c r="AF55" s="182"/>
      <c r="AG55" s="183"/>
      <c r="AH55" s="37"/>
      <c r="AI55" s="37"/>
      <c r="AJ55" s="37"/>
      <c r="AK55" s="37"/>
      <c r="AL55" s="37"/>
      <c r="AM55" s="37"/>
      <c r="AN55" s="37"/>
      <c r="AO55" s="37"/>
      <c r="AP55" s="37"/>
      <c r="AQ55" s="37"/>
    </row>
    <row r="56" spans="3:43" ht="14" hidden="1">
      <c r="C56" s="80">
        <v>93806</v>
      </c>
      <c r="D56" s="62" t="s">
        <v>95</v>
      </c>
      <c r="E56" s="131" t="s">
        <v>96</v>
      </c>
      <c r="F56" s="129">
        <v>0</v>
      </c>
      <c r="G56" s="120" t="s">
        <v>1090</v>
      </c>
      <c r="H56" s="18" t="s">
        <v>617</v>
      </c>
      <c r="I56" s="18" t="s">
        <v>2</v>
      </c>
      <c r="J56" s="19" t="s">
        <v>425</v>
      </c>
      <c r="K56" s="103">
        <v>5446</v>
      </c>
      <c r="L56" s="101">
        <f>INDEX(Table1[Production],MATCH(rrcworking[[#This Row],[RRC ID Number]],Table1[RRC Identifier],0))</f>
        <v>20</v>
      </c>
      <c r="M56" s="30">
        <f>INDEX(Table1[Formation Production],MATCH(rrcworking[[#This Row],[RRC ID Number]],Table1[RRC Identifier],0))</f>
        <v>0</v>
      </c>
      <c r="N56" s="31">
        <f>INDEX(Table1[On Hand End of Month],MATCH(rrcworking[[#This Row],[RRC ID Number]],Table1[RRC Identifier],0))</f>
        <v>85</v>
      </c>
      <c r="O56" s="106" t="b">
        <f t="shared" si="1"/>
        <v>0</v>
      </c>
      <c r="P56">
        <v>18</v>
      </c>
      <c r="Q56" s="127">
        <f>rrcworking[[#This Row],[Last Month Closing Stock]]</f>
        <v>85</v>
      </c>
      <c r="R56">
        <v>101</v>
      </c>
      <c r="S56" s="143">
        <f>IF(ISERROR(INDEX(Table2[OIL],MATCH(rrcworking[[#This Row],[Magnum Wolfpak '#]],Table2[Rox Wolf'#],0))),0,INDEX(Table2[OIL],MATCH(rrcworking[[#This Row],[Magnum Wolfpak '#]],Table2[Rox Wolf'#],0)))</f>
        <v>0</v>
      </c>
      <c r="T56" s="35">
        <f>rrcworking[[#This Row],[Closing Stock (Oil)]]+rrcworking[[#This Row],[Sales/Dispostion]]-rrcworking[[#This Row],[Opening Oil Stock]]</f>
        <v>16</v>
      </c>
      <c r="U56" s="112">
        <f>rrcworking[[#This Row],[Gauge Sheet Prod Volume (oil)]]-rrcworking[[#This Row],[Oil Production]]</f>
        <v>2</v>
      </c>
      <c r="V56" s="143">
        <f>IF(ISERROR(INDEX(Table2[GAS],MATCH(rrcworking[[#This Row],[Magnum Wolfpak '#]],Table2[Rox Wolf'#],0))),0,INDEX(Table2[GAS],MATCH(rrcworking[[#This Row],[Magnum Wolfpak '#]],Table2[Rox Wolf'#],0)))</f>
        <v>0</v>
      </c>
      <c r="W56" s="24"/>
      <c r="X56" s="135">
        <f>IF(rrcworking[[#This Row],[Pressure Base]]=14.73,rrcworking[[#This Row],[Gas Sales Statement Volume (MCF)]]*$R$2,rrcworking[[#This Row],[Gas Sales Statement Volume (MCF)]])</f>
        <v>0</v>
      </c>
      <c r="Y56" s="60"/>
      <c r="Z56" s="60"/>
      <c r="AA56" s="143">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185">
        <f>COUNTIF(FilterList,rrcworking[[#This Row],[Magnum Wolfpak '#]])</f>
        <v>0</v>
      </c>
      <c r="AF56" s="182"/>
      <c r="AG56" s="183"/>
      <c r="AH56" s="37"/>
      <c r="AI56" s="183"/>
      <c r="AJ56" s="184"/>
      <c r="AK56" s="184"/>
      <c r="AL56" s="184"/>
      <c r="AM56" s="184"/>
      <c r="AN56" s="184"/>
      <c r="AO56" s="184"/>
      <c r="AP56" s="37" t="s">
        <v>1164</v>
      </c>
      <c r="AQ56" s="37" t="s">
        <v>1170</v>
      </c>
    </row>
    <row r="57" spans="3:43" ht="14" hidden="1">
      <c r="C57" s="80" t="e">
        <v>#N/A</v>
      </c>
      <c r="D57" s="62" t="s">
        <v>328</v>
      </c>
      <c r="E57" s="131" t="s">
        <v>329</v>
      </c>
      <c r="F57" s="129">
        <v>0</v>
      </c>
      <c r="G57" s="120" t="s">
        <v>1090</v>
      </c>
      <c r="H57" s="18" t="s">
        <v>619</v>
      </c>
      <c r="I57" s="18" t="s">
        <v>2</v>
      </c>
      <c r="J57" s="19" t="s">
        <v>565</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Q57" s="127">
        <f>rrcworking[[#This Row],[Last Month Closing Stock]]</f>
        <v>47</v>
      </c>
      <c r="R57">
        <f>rrcworking[[#This Row],[Opening Oil Stock]]</f>
        <v>47</v>
      </c>
      <c r="S57" s="143">
        <f>IF(ISERROR(INDEX(Table2[OIL],MATCH(rrcworking[[#This Row],[Magnum Wolfpak '#]],Table2[Rox Wolf'#],0))),0,INDEX(Table2[OIL],MATCH(rrcworking[[#This Row],[Magnum Wolfpak '#]],Table2[Rox Wolf'#],0)))</f>
        <v>0</v>
      </c>
      <c r="T57" s="35">
        <f>rrcworking[[#This Row],[Closing Stock (Oil)]]+rrcworking[[#This Row],[Sales/Dispostion]]-rrcworking[[#This Row],[Opening Oil Stock]]</f>
        <v>0</v>
      </c>
      <c r="U57" s="112">
        <f>rrcworking[[#This Row],[Gauge Sheet Prod Volume (oil)]]-rrcworking[[#This Row],[Oil Production]]</f>
        <v>0</v>
      </c>
      <c r="V57" s="143">
        <f>IF(ISERROR(INDEX(Table2[GAS],MATCH(rrcworking[[#This Row],[Magnum Wolfpak '#]],Table2[Rox Wolf'#],0))),0,INDEX(Table2[GAS],MATCH(rrcworking[[#This Row],[Magnum Wolfpak '#]],Table2[Rox Wolf'#],0)))</f>
        <v>0</v>
      </c>
      <c r="W57" s="24"/>
      <c r="X57" s="135">
        <f>IF(rrcworking[[#This Row],[Pressure Base]]=14.73,rrcworking[[#This Row],[Gas Sales Statement Volume (MCF)]]*$R$2,rrcworking[[#This Row],[Gas Sales Statement Volume (MCF)]])</f>
        <v>0</v>
      </c>
      <c r="Y57" s="60"/>
      <c r="Z57" s="60"/>
      <c r="AA57" s="143">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185">
        <f>COUNTIF(FilterList,rrcworking[[#This Row],[Magnum Wolfpak '#]])</f>
        <v>0</v>
      </c>
      <c r="AF57" s="182"/>
      <c r="AG57" s="183"/>
      <c r="AH57" s="37"/>
      <c r="AI57" s="37"/>
      <c r="AJ57" s="37"/>
      <c r="AK57" s="37"/>
      <c r="AL57" s="37"/>
      <c r="AM57" s="37"/>
      <c r="AN57" s="37"/>
      <c r="AO57" s="37"/>
      <c r="AP57" s="37"/>
      <c r="AQ57" s="37"/>
    </row>
    <row r="58" spans="3:43" ht="14" hidden="1">
      <c r="C58" s="80" t="e">
        <v>#N/A</v>
      </c>
      <c r="D58" s="62" t="s">
        <v>330</v>
      </c>
      <c r="E58" s="131" t="s">
        <v>331</v>
      </c>
      <c r="F58" s="129">
        <v>0</v>
      </c>
      <c r="G58" s="120" t="s">
        <v>1090</v>
      </c>
      <c r="H58" s="18" t="s">
        <v>619</v>
      </c>
      <c r="I58" s="18" t="s">
        <v>2</v>
      </c>
      <c r="J58" s="19" t="s">
        <v>566</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Q58" s="127">
        <f>rrcworking[[#This Row],[Last Month Closing Stock]]</f>
        <v>52</v>
      </c>
      <c r="R58">
        <f>rrcworking[[#This Row],[Opening Oil Stock]]</f>
        <v>52</v>
      </c>
      <c r="S58" s="143">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 Volume (oil)]]-rrcworking[[#This Row],[Oil Production]]</f>
        <v>0</v>
      </c>
      <c r="V58" s="143">
        <f>IF(ISERROR(INDEX(Table2[GAS],MATCH(rrcworking[[#This Row],[Magnum Wolfpak '#]],Table2[Rox Wolf'#],0))),0,INDEX(Table2[GAS],MATCH(rrcworking[[#This Row],[Magnum Wolfpak '#]],Table2[Rox Wolf'#],0)))</f>
        <v>0</v>
      </c>
      <c r="W58" s="24"/>
      <c r="X58" s="135">
        <f>IF(rrcworking[[#This Row],[Pressure Base]]=14.73,rrcworking[[#This Row],[Gas Sales Statement Volume (MCF)]]*$R$2,rrcworking[[#This Row],[Gas Sales Statement Volume (MCF)]])</f>
        <v>0</v>
      </c>
      <c r="Y58" s="60"/>
      <c r="Z58" s="60"/>
      <c r="AA58" s="143">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185">
        <f>COUNTIF(FilterList,rrcworking[[#This Row],[Magnum Wolfpak '#]])</f>
        <v>0</v>
      </c>
      <c r="AF58" s="182"/>
      <c r="AG58" s="183"/>
      <c r="AH58" s="37"/>
      <c r="AI58" s="37"/>
      <c r="AJ58" s="37"/>
      <c r="AK58" s="37"/>
      <c r="AL58" s="37"/>
      <c r="AM58" s="37"/>
      <c r="AN58" s="37"/>
      <c r="AO58" s="37"/>
      <c r="AP58" s="37"/>
      <c r="AQ58" s="37"/>
    </row>
    <row r="59" spans="3:43" ht="14" hidden="1">
      <c r="C59" s="80" t="e">
        <v>#N/A</v>
      </c>
      <c r="D59" s="62" t="s">
        <v>317</v>
      </c>
      <c r="E59" s="131" t="s">
        <v>318</v>
      </c>
      <c r="F59" s="129">
        <v>1</v>
      </c>
      <c r="G59" s="120" t="s">
        <v>1090</v>
      </c>
      <c r="H59" s="18" t="s">
        <v>619</v>
      </c>
      <c r="I59" s="18" t="s">
        <v>59</v>
      </c>
      <c r="J59" s="19" t="s">
        <v>557</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Q59" s="127">
        <f>rrcworking[[#This Row],[Last Month Closing Stock]]</f>
        <v>0</v>
      </c>
      <c r="R59">
        <f>rrcworking[[#This Row],[Opening Oil Stock]]</f>
        <v>0</v>
      </c>
      <c r="S59" s="143">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 Volume (oil)]]-rrcworking[[#This Row],[Oil Production]]</f>
        <v>0</v>
      </c>
      <c r="V59" s="143">
        <f>IF(ISERROR(INDEX(Table2[GAS],MATCH(rrcworking[[#This Row],[Magnum Wolfpak '#]],Table2[Rox Wolf'#],0))),0,INDEX(Table2[GAS],MATCH(rrcworking[[#This Row],[Magnum Wolfpak '#]],Table2[Rox Wolf'#],0)))</f>
        <v>0</v>
      </c>
      <c r="W59" s="24"/>
      <c r="X59" s="135">
        <f>IF(rrcworking[[#This Row],[Pressure Base]]=14.73,rrcworking[[#This Row],[Gas Sales Statement Volume (MCF)]]*$R$2,rrcworking[[#This Row],[Gas Sales Statement Volume (MCF)]])</f>
        <v>0</v>
      </c>
      <c r="Y59" s="60"/>
      <c r="Z59" s="60"/>
      <c r="AA59" s="143">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185">
        <f>COUNTIF(FilterList,rrcworking[[#This Row],[Magnum Wolfpak '#]])</f>
        <v>0</v>
      </c>
      <c r="AF59" s="182"/>
      <c r="AG59" s="183"/>
      <c r="AH59" s="37"/>
      <c r="AI59" s="37"/>
      <c r="AJ59" s="37"/>
      <c r="AK59" s="37"/>
      <c r="AL59" s="37"/>
      <c r="AM59" s="37"/>
      <c r="AN59" s="37"/>
      <c r="AO59" s="37"/>
      <c r="AP59" s="37"/>
      <c r="AQ59" s="37"/>
    </row>
    <row r="60" spans="3:43" ht="14" hidden="1">
      <c r="C60" s="80" t="e">
        <v>#N/A</v>
      </c>
      <c r="D60" s="62" t="s">
        <v>319</v>
      </c>
      <c r="E60" s="131" t="s">
        <v>320</v>
      </c>
      <c r="F60" s="129">
        <v>0</v>
      </c>
      <c r="G60" s="120" t="s">
        <v>1090</v>
      </c>
      <c r="H60" s="18" t="s">
        <v>619</v>
      </c>
      <c r="I60" s="18" t="s">
        <v>2</v>
      </c>
      <c r="J60" s="19" t="s">
        <v>558</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Q60" s="127">
        <f>rrcworking[[#This Row],[Last Month Closing Stock]]</f>
        <v>90</v>
      </c>
      <c r="R60">
        <f>rrcworking[[#This Row],[Opening Oil Stock]]</f>
        <v>90</v>
      </c>
      <c r="S60" s="143">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 Volume (oil)]]-rrcworking[[#This Row],[Oil Production]]</f>
        <v>0</v>
      </c>
      <c r="V60" s="143">
        <f>IF(ISERROR(INDEX(Table2[GAS],MATCH(rrcworking[[#This Row],[Magnum Wolfpak '#]],Table2[Rox Wolf'#],0))),0,INDEX(Table2[GAS],MATCH(rrcworking[[#This Row],[Magnum Wolfpak '#]],Table2[Rox Wolf'#],0)))</f>
        <v>0</v>
      </c>
      <c r="W60" s="24"/>
      <c r="X60" s="135">
        <f>IF(rrcworking[[#This Row],[Pressure Base]]=14.73,rrcworking[[#This Row],[Gas Sales Statement Volume (MCF)]]*$R$2,rrcworking[[#This Row],[Gas Sales Statement Volume (MCF)]])</f>
        <v>0</v>
      </c>
      <c r="Y60" s="60"/>
      <c r="Z60" s="60"/>
      <c r="AA60" s="143">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185">
        <f>COUNTIF(FilterList,rrcworking[[#This Row],[Magnum Wolfpak '#]])</f>
        <v>0</v>
      </c>
      <c r="AF60" s="182"/>
      <c r="AG60" s="183"/>
      <c r="AH60" s="37"/>
      <c r="AI60" s="37"/>
      <c r="AJ60" s="37"/>
      <c r="AK60" s="37"/>
      <c r="AL60" s="37"/>
      <c r="AM60" s="37"/>
      <c r="AN60" s="37"/>
      <c r="AO60" s="37"/>
      <c r="AP60" s="37"/>
      <c r="AQ60" s="37"/>
    </row>
    <row r="61" spans="3:43" ht="14" hidden="1">
      <c r="C61" s="80" t="e">
        <v>#N/A</v>
      </c>
      <c r="D61" s="62" t="s">
        <v>304</v>
      </c>
      <c r="E61" s="131" t="s">
        <v>305</v>
      </c>
      <c r="F61" s="129">
        <v>1</v>
      </c>
      <c r="G61" s="120" t="s">
        <v>1090</v>
      </c>
      <c r="H61" s="18" t="s">
        <v>618</v>
      </c>
      <c r="I61" s="18" t="s">
        <v>59</v>
      </c>
      <c r="J61" s="19" t="s">
        <v>550</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Q61" s="127">
        <f>rrcworking[[#This Row],[Last Month Closing Stock]]</f>
        <v>135</v>
      </c>
      <c r="R61">
        <f>rrcworking[[#This Row],[Opening Oil Stock]]</f>
        <v>135</v>
      </c>
      <c r="S61" s="143">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 Volume (oil)]]-rrcworking[[#This Row],[Oil Production]]</f>
        <v>0</v>
      </c>
      <c r="V61" s="143">
        <f>IF(ISERROR(INDEX(Table2[GAS],MATCH(rrcworking[[#This Row],[Magnum Wolfpak '#]],Table2[Rox Wolf'#],0))),0,INDEX(Table2[GAS],MATCH(rrcworking[[#This Row],[Magnum Wolfpak '#]],Table2[Rox Wolf'#],0)))</f>
        <v>0</v>
      </c>
      <c r="W61" s="24"/>
      <c r="X61" s="135">
        <f>IF(rrcworking[[#This Row],[Pressure Base]]=14.73,rrcworking[[#This Row],[Gas Sales Statement Volume (MCF)]]*$R$2,rrcworking[[#This Row],[Gas Sales Statement Volume (MCF)]])</f>
        <v>0</v>
      </c>
      <c r="Y61" s="60"/>
      <c r="Z61" s="60"/>
      <c r="AA61" s="143">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185">
        <f>COUNTIF(FilterList,rrcworking[[#This Row],[Magnum Wolfpak '#]])</f>
        <v>0</v>
      </c>
      <c r="AF61" s="182"/>
      <c r="AG61" s="183"/>
      <c r="AH61" s="37"/>
      <c r="AI61" s="37"/>
      <c r="AJ61" s="37"/>
      <c r="AK61" s="37"/>
      <c r="AL61" s="37"/>
      <c r="AM61" s="37"/>
      <c r="AN61" s="37"/>
      <c r="AO61" s="37"/>
      <c r="AP61" s="37"/>
      <c r="AQ61" s="37"/>
    </row>
    <row r="62" spans="3:43" ht="14" hidden="1">
      <c r="C62" s="80" t="e">
        <v>#N/A</v>
      </c>
      <c r="D62" s="62" t="s">
        <v>258</v>
      </c>
      <c r="E62" s="131" t="s">
        <v>259</v>
      </c>
      <c r="F62" s="129">
        <v>1</v>
      </c>
      <c r="G62" s="120" t="s">
        <v>1090</v>
      </c>
      <c r="H62" s="18" t="s">
        <v>618</v>
      </c>
      <c r="I62" s="18" t="s">
        <v>59</v>
      </c>
      <c r="J62" s="19" t="s">
        <v>518</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Q62" s="127">
        <f>rrcworking[[#This Row],[Last Month Closing Stock]]</f>
        <v>0</v>
      </c>
      <c r="R62">
        <f>rrcworking[[#This Row],[Opening Oil Stock]]</f>
        <v>0</v>
      </c>
      <c r="S62" s="143">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 Volume (oil)]]-rrcworking[[#This Row],[Oil Production]]</f>
        <v>0</v>
      </c>
      <c r="V62" s="143">
        <f>IF(ISERROR(INDEX(Table2[GAS],MATCH(rrcworking[[#This Row],[Magnum Wolfpak '#]],Table2[Rox Wolf'#],0))),0,INDEX(Table2[GAS],MATCH(rrcworking[[#This Row],[Magnum Wolfpak '#]],Table2[Rox Wolf'#],0)))</f>
        <v>0</v>
      </c>
      <c r="W62" s="24"/>
      <c r="X62" s="135">
        <f>IF(rrcworking[[#This Row],[Pressure Base]]=14.73,rrcworking[[#This Row],[Gas Sales Statement Volume (MCF)]]*$R$2,rrcworking[[#This Row],[Gas Sales Statement Volume (MCF)]])</f>
        <v>0</v>
      </c>
      <c r="Y62" s="60"/>
      <c r="Z62" s="60"/>
      <c r="AA62" s="143">
        <f>IF(ISERROR(INDEX(Table2[LEASE USE],MATCH(rrcworking[[#This Row],[Magnum Wolfpak '#]],Table2[Rox Wolf'#],0))),0,INDEX(Table2[LEASE USE],MATCH(rrcworking[[#This Row],[Magnum Wolfpak '#]],Table2[Rox Wolf'#],0)))</f>
        <v>0</v>
      </c>
      <c r="AB62" s="57">
        <f>rrcworking[[#This Row],[Disposition Volume (MCF) @ 14.65 MCF]]+rrcworking[[#This Row],[Lease Use (MCF)]]</f>
        <v>0</v>
      </c>
      <c r="AC62" s="97"/>
      <c r="AD62" s="37"/>
      <c r="AE62" s="185">
        <f>COUNTIF(FilterList,rrcworking[[#This Row],[Magnum Wolfpak '#]])</f>
        <v>0</v>
      </c>
      <c r="AF62" s="182"/>
      <c r="AG62" s="183"/>
      <c r="AH62" s="37"/>
      <c r="AI62" s="37"/>
      <c r="AJ62" s="37"/>
      <c r="AK62" s="37"/>
      <c r="AL62" s="37"/>
      <c r="AM62" s="37"/>
      <c r="AN62" s="37"/>
      <c r="AO62" s="37"/>
      <c r="AP62" s="37"/>
      <c r="AQ62" s="37"/>
    </row>
    <row r="63" spans="3:43" ht="14">
      <c r="C63" s="80">
        <v>99007</v>
      </c>
      <c r="D63" s="62" t="s">
        <v>274</v>
      </c>
      <c r="E63" s="131" t="s">
        <v>280</v>
      </c>
      <c r="F63" s="129">
        <v>6</v>
      </c>
      <c r="G63" s="120" t="s">
        <v>1090</v>
      </c>
      <c r="H63" s="18" t="s">
        <v>618</v>
      </c>
      <c r="I63" s="18" t="s">
        <v>59</v>
      </c>
      <c r="J63" s="19" t="s">
        <v>531</v>
      </c>
      <c r="K63" s="103">
        <v>210200</v>
      </c>
      <c r="L63" s="101">
        <f>INDEX(Table1[Production],MATCH(rrcworking[[#This Row],[RRC ID Number]],Table1[RRC Identifier],0))</f>
        <v>0</v>
      </c>
      <c r="M63" s="30">
        <f>INDEX(Table1[Formation Production],MATCH(rrcworking[[#This Row],[RRC ID Number]],Table1[RRC Identifier],0))</f>
        <v>145</v>
      </c>
      <c r="N63" s="31">
        <f>INDEX(Table1[On Hand End of Month],MATCH(rrcworking[[#This Row],[RRC ID Number]],Table1[RRC Identifier],0))</f>
        <v>33</v>
      </c>
      <c r="O63" s="106" t="b">
        <f t="shared" si="1"/>
        <v>0</v>
      </c>
      <c r="P63">
        <v>0</v>
      </c>
      <c r="Q63" s="127">
        <f>rrcworking[[#This Row],[Last Month Closing Stock]]</f>
        <v>33</v>
      </c>
      <c r="R63">
        <v>33</v>
      </c>
      <c r="S63" s="143">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 Volume (oil)]]-rrcworking[[#This Row],[Oil Production]]</f>
        <v>0</v>
      </c>
      <c r="V63" s="143">
        <f>IF(ISERROR(INDEX(Table2[GAS],MATCH(rrcworking[[#This Row],[Magnum Wolfpak '#]],Table2[Rox Wolf'#],0))),0,INDEX(Table2[GAS],MATCH(rrcworking[[#This Row],[Magnum Wolfpak '#]],Table2[Rox Wolf'#],0)))</f>
        <v>31</v>
      </c>
      <c r="W63" s="24"/>
      <c r="X63" s="135">
        <f>IF(rrcworking[[#This Row],[Pressure Base]]=14.73,rrcworking[[#This Row],[Gas Sales Statement Volume (MCF)]]*$R$2,rrcworking[[#This Row],[Gas Sales Statement Volume (MCF)]])</f>
        <v>31</v>
      </c>
      <c r="Y63" s="85"/>
      <c r="Z63" s="60">
        <v>1</v>
      </c>
      <c r="AA63" s="143">
        <f>IF(ISERROR(INDEX(Table2[LEASE USE],MATCH(rrcworking[[#This Row],[Magnum Wolfpak '#]],Table2[Rox Wolf'#],0))),0,INDEX(Table2[LEASE USE],MATCH(rrcworking[[#This Row],[Magnum Wolfpak '#]],Table2[Rox Wolf'#],0)))</f>
        <v>1</v>
      </c>
      <c r="AB63" s="57">
        <f>rrcworking[[#This Row],[Disposition Volume (MCF) @ 14.65 MCF]]+rrcworking[[#This Row],[Lease Use (MCF)]]</f>
        <v>32</v>
      </c>
      <c r="AC63" s="37"/>
      <c r="AD63" s="37"/>
      <c r="AE63" s="185">
        <f>COUNTIF(FilterList,rrcworking[[#This Row],[Magnum Wolfpak '#]])</f>
        <v>0</v>
      </c>
      <c r="AF63" s="182"/>
      <c r="AG63" s="183"/>
      <c r="AH63" s="37"/>
      <c r="AI63" s="37"/>
      <c r="AJ63" s="184"/>
      <c r="AK63" s="184"/>
      <c r="AL63" s="184"/>
      <c r="AM63" s="184"/>
      <c r="AN63" s="184"/>
      <c r="AO63" s="184"/>
      <c r="AP63" s="37" t="s">
        <v>1164</v>
      </c>
      <c r="AQ63" s="37" t="s">
        <v>1199</v>
      </c>
    </row>
    <row r="64" spans="3:43" ht="14">
      <c r="C64" s="80">
        <v>98988</v>
      </c>
      <c r="D64" s="62" t="s">
        <v>274</v>
      </c>
      <c r="E64" s="131" t="s">
        <v>280</v>
      </c>
      <c r="F64" s="129">
        <v>2</v>
      </c>
      <c r="G64" s="120" t="s">
        <v>1090</v>
      </c>
      <c r="H64" s="18" t="s">
        <v>618</v>
      </c>
      <c r="I64" s="18" t="s">
        <v>59</v>
      </c>
      <c r="J64" s="19" t="s">
        <v>532</v>
      </c>
      <c r="K64" s="103">
        <v>215622</v>
      </c>
      <c r="L64" s="101">
        <f>INDEX(Table1[Production],MATCH(rrcworking[[#This Row],[RRC ID Number]],Table1[RRC Identifier],0))</f>
        <v>0</v>
      </c>
      <c r="M64" s="30">
        <f>INDEX(Table1[Formation Production],MATCH(rrcworking[[#This Row],[RRC ID Number]],Table1[RRC Identifier],0))</f>
        <v>2593</v>
      </c>
      <c r="N64" s="31">
        <f>INDEX(Table1[On Hand End of Month],MATCH(rrcworking[[#This Row],[RRC ID Number]],Table1[RRC Identifier],0))</f>
        <v>98</v>
      </c>
      <c r="O64" s="106" t="b">
        <f t="shared" si="1"/>
        <v>0</v>
      </c>
      <c r="P64">
        <v>0</v>
      </c>
      <c r="Q64" s="127">
        <f>rrcworking[[#This Row],[Last Month Closing Stock]]</f>
        <v>98</v>
      </c>
      <c r="R64">
        <v>98</v>
      </c>
      <c r="S64" s="143">
        <f>IF(ISERROR(INDEX(Table2[OIL],MATCH(rrcworking[[#This Row],[Magnum Wolfpak '#]],Table2[Rox Wolf'#],0))),0,INDEX(Table2[OIL],MATCH(rrcworking[[#This Row],[Magnum Wolfpak '#]],Table2[Rox Wolf'#],0)))</f>
        <v>0</v>
      </c>
      <c r="T64" s="35">
        <f>rrcworking[[#This Row],[Closing Stock (Oil)]]+rrcworking[[#This Row],[Sales/Dispostion]]-rrcworking[[#This Row],[Opening Oil Stock]]</f>
        <v>0</v>
      </c>
      <c r="U64" s="112">
        <f>rrcworking[[#This Row],[Gauge Sheet Prod Volume (oil)]]-rrcworking[[#This Row],[Oil Production]]</f>
        <v>0</v>
      </c>
      <c r="V64" s="143">
        <f>IF(ISERROR(INDEX(Table2[GAS],MATCH(rrcworking[[#This Row],[Magnum Wolfpak '#]],Table2[Rox Wolf'#],0))),0,INDEX(Table2[GAS],MATCH(rrcworking[[#This Row],[Magnum Wolfpak '#]],Table2[Rox Wolf'#],0)))</f>
        <v>2583</v>
      </c>
      <c r="W64" s="24"/>
      <c r="X64" s="135">
        <f>IF(rrcworking[[#This Row],[Pressure Base]]=14.73,rrcworking[[#This Row],[Gas Sales Statement Volume (MCF)]]*$R$2,rrcworking[[#This Row],[Gas Sales Statement Volume (MCF)]])</f>
        <v>2583</v>
      </c>
      <c r="Y64" s="85"/>
      <c r="Z64" s="60">
        <v>5</v>
      </c>
      <c r="AA64" s="143">
        <f>IF(ISERROR(INDEX(Table2[LEASE USE],MATCH(rrcworking[[#This Row],[Magnum Wolfpak '#]],Table2[Rox Wolf'#],0))),0,INDEX(Table2[LEASE USE],MATCH(rrcworking[[#This Row],[Magnum Wolfpak '#]],Table2[Rox Wolf'#],0)))</f>
        <v>140</v>
      </c>
      <c r="AB64" s="57">
        <f>rrcworking[[#This Row],[Disposition Volume (MCF) @ 14.65 MCF]]+rrcworking[[#This Row],[Lease Use (MCF)]]</f>
        <v>2723</v>
      </c>
      <c r="AC64" s="37"/>
      <c r="AD64" s="37"/>
      <c r="AE64" s="185">
        <f>COUNTIF(FilterList,rrcworking[[#This Row],[Magnum Wolfpak '#]])</f>
        <v>0</v>
      </c>
      <c r="AF64" s="182"/>
      <c r="AG64" s="183"/>
      <c r="AH64" s="37"/>
      <c r="AI64" s="37"/>
      <c r="AJ64" s="184"/>
      <c r="AK64" s="184"/>
      <c r="AL64" s="184"/>
      <c r="AM64" s="184"/>
      <c r="AN64" s="184"/>
      <c r="AO64" s="184"/>
      <c r="AP64" s="37" t="s">
        <v>1164</v>
      </c>
      <c r="AQ64" s="37" t="s">
        <v>1199</v>
      </c>
    </row>
    <row r="65" spans="3:43" ht="14" hidden="1">
      <c r="C65" s="80">
        <v>98987</v>
      </c>
      <c r="D65" s="62" t="s">
        <v>274</v>
      </c>
      <c r="E65" s="131" t="s">
        <v>276</v>
      </c>
      <c r="F65" s="129">
        <v>1</v>
      </c>
      <c r="G65" s="120" t="s">
        <v>1090</v>
      </c>
      <c r="H65" s="18" t="s">
        <v>618</v>
      </c>
      <c r="I65" s="18" t="s">
        <v>59</v>
      </c>
      <c r="J65" s="19" t="s">
        <v>527</v>
      </c>
      <c r="K65" s="103">
        <v>183638</v>
      </c>
      <c r="L65" s="101">
        <f>INDEX(Table1[Production],MATCH(rrcworking[[#This Row],[RRC ID Number]],Table1[RRC Identifier],0))</f>
        <v>0</v>
      </c>
      <c r="M65" s="30">
        <f>INDEX(Table1[Formation Production],MATCH(rrcworking[[#This Row],[RRC ID Number]],Table1[RRC Identifier],0))</f>
        <v>0</v>
      </c>
      <c r="N65" s="31">
        <f>INDEX(Table1[On Hand End of Month],MATCH(rrcworking[[#This Row],[RRC ID Number]],Table1[RRC Identifier],0))</f>
        <v>0</v>
      </c>
      <c r="O65" s="106" t="b">
        <f t="shared" si="1"/>
        <v>1</v>
      </c>
      <c r="Q65" s="127">
        <f>rrcworking[[#This Row],[Last Month Closing Stock]]</f>
        <v>0</v>
      </c>
      <c r="S65" s="143">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 Volume (oil)]]-rrcworking[[#This Row],[Oil Production]]</f>
        <v>0</v>
      </c>
      <c r="V65" s="143">
        <f>IF(ISERROR(INDEX(Table2[GAS],MATCH(rrcworking[[#This Row],[Magnum Wolfpak '#]],Table2[Rox Wolf'#],0))),0,INDEX(Table2[GAS],MATCH(rrcworking[[#This Row],[Magnum Wolfpak '#]],Table2[Rox Wolf'#],0)))</f>
        <v>0</v>
      </c>
      <c r="W65" s="24"/>
      <c r="X65" s="135">
        <f>IF(rrcworking[[#This Row],[Pressure Base]]=14.73,rrcworking[[#This Row],[Gas Sales Statement Volume (MCF)]]*$R$2,rrcworking[[#This Row],[Gas Sales Statement Volume (MCF)]])</f>
        <v>0</v>
      </c>
      <c r="Y65" s="85"/>
      <c r="Z65" s="60">
        <v>1</v>
      </c>
      <c r="AA65" s="143">
        <f>IF(ISERROR(INDEX(Table2[LEASE USE],MATCH(rrcworking[[#This Row],[Magnum Wolfpak '#]],Table2[Rox Wolf'#],0))),0,INDEX(Table2[LEASE USE],MATCH(rrcworking[[#This Row],[Magnum Wolfpak '#]],Table2[Rox Wolf'#],0)))</f>
        <v>0</v>
      </c>
      <c r="AB65" s="57">
        <f>rrcworking[[#This Row],[Disposition Volume (MCF) @ 14.65 MCF]]+rrcworking[[#This Row],[Lease Use (MCF)]]</f>
        <v>0</v>
      </c>
      <c r="AC65" s="37"/>
      <c r="AD65" s="37"/>
      <c r="AE65" s="185">
        <f>COUNTIF(FilterList,rrcworking[[#This Row],[Magnum Wolfpak '#]])</f>
        <v>0</v>
      </c>
      <c r="AF65" s="182"/>
      <c r="AG65" s="183"/>
      <c r="AH65" s="37"/>
      <c r="AI65" s="37"/>
      <c r="AJ65" s="184"/>
      <c r="AK65" s="184"/>
      <c r="AL65" s="184"/>
      <c r="AM65" s="184"/>
      <c r="AN65" s="184"/>
      <c r="AO65" s="184"/>
      <c r="AP65" s="37" t="s">
        <v>1164</v>
      </c>
      <c r="AQ65" s="37" t="s">
        <v>1199</v>
      </c>
    </row>
    <row r="66" spans="3:43" ht="56">
      <c r="C66" s="80">
        <v>98956</v>
      </c>
      <c r="D66" s="62" t="s">
        <v>274</v>
      </c>
      <c r="E66" s="131" t="s">
        <v>277</v>
      </c>
      <c r="F66" s="129">
        <v>1</v>
      </c>
      <c r="G66" s="120">
        <v>1988</v>
      </c>
      <c r="H66" s="18" t="s">
        <v>618</v>
      </c>
      <c r="I66" s="18" t="s">
        <v>59</v>
      </c>
      <c r="J66" s="19" t="s">
        <v>528</v>
      </c>
      <c r="K66" s="103">
        <v>199834</v>
      </c>
      <c r="L66" s="101">
        <f>INDEX(Table1[Production],MATCH(rrcworking[[#This Row],[RRC ID Number]],Table1[RRC Identifier],0))</f>
        <v>26</v>
      </c>
      <c r="M66" s="30">
        <f>INDEX(Table1[Formation Production],MATCH(rrcworking[[#This Row],[RRC ID Number]],Table1[RRC Identifier],0))</f>
        <v>552</v>
      </c>
      <c r="N66" s="31">
        <f>INDEX(Table1[On Hand End of Month],MATCH(rrcworking[[#This Row],[RRC ID Number]],Table1[RRC Identifier],0))</f>
        <v>149</v>
      </c>
      <c r="O66" s="106" t="b">
        <f t="shared" si="1"/>
        <v>0</v>
      </c>
      <c r="P66">
        <v>36</v>
      </c>
      <c r="Q66" s="127">
        <f>rrcworking[[#This Row],[Last Month Closing Stock]]</f>
        <v>149</v>
      </c>
      <c r="R66">
        <v>189</v>
      </c>
      <c r="S66" s="143">
        <f>IF(ISERROR(INDEX(Table2[OIL],MATCH(rrcworking[[#This Row],[Magnum Wolfpak '#]],Table2[Rox Wolf'#],0))),0,INDEX(Table2[OIL],MATCH(rrcworking[[#This Row],[Magnum Wolfpak '#]],Table2[Rox Wolf'#],0)))</f>
        <v>0</v>
      </c>
      <c r="T66" s="35">
        <f>rrcworking[[#This Row],[Closing Stock (Oil)]]+rrcworking[[#This Row],[Sales/Dispostion]]-rrcworking[[#This Row],[Opening Oil Stock]]</f>
        <v>40</v>
      </c>
      <c r="U66" s="112">
        <f>rrcworking[[#This Row],[Gauge Sheet Prod Volume (oil)]]-rrcworking[[#This Row],[Oil Production]]</f>
        <v>-4</v>
      </c>
      <c r="V66" s="143">
        <f>IF(ISERROR(INDEX(Table2[GAS],MATCH(rrcworking[[#This Row],[Magnum Wolfpak '#]],Table2[Rox Wolf'#],0))),0,INDEX(Table2[GAS],MATCH(rrcworking[[#This Row],[Magnum Wolfpak '#]],Table2[Rox Wolf'#],0)))</f>
        <v>795</v>
      </c>
      <c r="W66" s="24"/>
      <c r="X66" s="135">
        <f>IF(rrcworking[[#This Row],[Pressure Base]]=14.73,rrcworking[[#This Row],[Gas Sales Statement Volume (MCF)]]*$R$2,rrcworking[[#This Row],[Gas Sales Statement Volume (MCF)]])</f>
        <v>795</v>
      </c>
      <c r="Y66" s="85"/>
      <c r="Z66" s="60">
        <v>2</v>
      </c>
      <c r="AA66" s="143">
        <f>IF(ISERROR(INDEX(Table2[LEASE USE],MATCH(rrcworking[[#This Row],[Magnum Wolfpak '#]],Table2[Rox Wolf'#],0))),0,INDEX(Table2[LEASE USE],MATCH(rrcworking[[#This Row],[Magnum Wolfpak '#]],Table2[Rox Wolf'#],0)))</f>
        <v>56</v>
      </c>
      <c r="AB66" s="57">
        <f>rrcworking[[#This Row],[Disposition Volume (MCF) @ 14.65 MCF]]+rrcworking[[#This Row],[Lease Use (MCF)]]</f>
        <v>851</v>
      </c>
      <c r="AC66" s="37"/>
      <c r="AD66" s="37" t="s">
        <v>1145</v>
      </c>
      <c r="AE66" s="185">
        <f>COUNTIF(FilterList,rrcworking[[#This Row],[Magnum Wolfpak '#]])</f>
        <v>0</v>
      </c>
      <c r="AF66" s="182"/>
      <c r="AG66" s="183"/>
      <c r="AH66" s="37"/>
      <c r="AI66" s="37"/>
      <c r="AJ66" s="184"/>
      <c r="AK66" s="184"/>
      <c r="AL66" s="184"/>
      <c r="AM66" s="184"/>
      <c r="AN66" s="184"/>
      <c r="AO66" s="184"/>
      <c r="AP66" s="37" t="s">
        <v>1164</v>
      </c>
      <c r="AQ66" s="37" t="s">
        <v>1199</v>
      </c>
    </row>
    <row r="67" spans="3:43" ht="14" hidden="1">
      <c r="C67" s="80" t="e">
        <v>#N/A</v>
      </c>
      <c r="D67" s="62" t="s">
        <v>274</v>
      </c>
      <c r="E67" s="131" t="s">
        <v>275</v>
      </c>
      <c r="F67" s="129">
        <v>4</v>
      </c>
      <c r="G67" s="120">
        <v>1988</v>
      </c>
      <c r="H67" s="18" t="s">
        <v>618</v>
      </c>
      <c r="I67" s="18" t="s">
        <v>59</v>
      </c>
      <c r="J67" s="19" t="s">
        <v>526</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Q67" s="127">
        <f>rrcworking[[#This Row],[Last Month Closing Stock]]</f>
        <v>0</v>
      </c>
      <c r="R67">
        <f>rrcworking[[#This Row],[Opening Oil Stock]]</f>
        <v>0</v>
      </c>
      <c r="S67" s="143">
        <f>IF(ISERROR(INDEX(Table2[OIL],MATCH(rrcworking[[#This Row],[Magnum Wolfpak '#]],Table2[Rox Wolf'#],0))),0,INDEX(Table2[OIL],MATCH(rrcworking[[#This Row],[Magnum Wolfpak '#]],Table2[Rox Wolf'#],0)))</f>
        <v>0</v>
      </c>
      <c r="T67" s="35">
        <f>rrcworking[[#This Row],[Closing Stock (Oil)]]+rrcworking[[#This Row],[Sales/Dispostion]]-rrcworking[[#This Row],[Opening Oil Stock]]</f>
        <v>0</v>
      </c>
      <c r="U67" s="112">
        <f>rrcworking[[#This Row],[Gauge Sheet Prod Volume (oil)]]-rrcworking[[#This Row],[Oil Production]]</f>
        <v>0</v>
      </c>
      <c r="V67" s="143">
        <f>IF(ISERROR(INDEX(Table2[GAS],MATCH(rrcworking[[#This Row],[Magnum Wolfpak '#]],Table2[Rox Wolf'#],0))),0,INDEX(Table2[GAS],MATCH(rrcworking[[#This Row],[Magnum Wolfpak '#]],Table2[Rox Wolf'#],0)))</f>
        <v>0</v>
      </c>
      <c r="W67" s="24"/>
      <c r="X67" s="135">
        <f>IF(rrcworking[[#This Row],[Pressure Base]]=14.73,rrcworking[[#This Row],[Gas Sales Statement Volume (MCF)]]*$R$2,rrcworking[[#This Row],[Gas Sales Statement Volume (MCF)]])</f>
        <v>0</v>
      </c>
      <c r="Y67" s="60"/>
      <c r="Z67" s="60"/>
      <c r="AA67" s="143">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185">
        <f>COUNTIF(FilterList,rrcworking[[#This Row],[Magnum Wolfpak '#]])</f>
        <v>0</v>
      </c>
      <c r="AF67" s="182"/>
      <c r="AG67" s="183"/>
      <c r="AH67" s="37"/>
      <c r="AI67" s="37"/>
      <c r="AJ67" s="37"/>
      <c r="AK67" s="37"/>
      <c r="AL67" s="37"/>
      <c r="AM67" s="37"/>
      <c r="AN67" s="37"/>
      <c r="AO67" s="37"/>
      <c r="AP67" s="37"/>
      <c r="AQ67" s="37"/>
    </row>
    <row r="68" spans="3:43" ht="14" hidden="1">
      <c r="C68" s="80">
        <v>98959</v>
      </c>
      <c r="D68" s="62" t="s">
        <v>274</v>
      </c>
      <c r="E68" s="131" t="s">
        <v>278</v>
      </c>
      <c r="F68" s="129">
        <v>3</v>
      </c>
      <c r="G68" s="120">
        <v>1988</v>
      </c>
      <c r="H68" s="18" t="s">
        <v>618</v>
      </c>
      <c r="I68" s="18" t="s">
        <v>59</v>
      </c>
      <c r="J68" s="19" t="s">
        <v>529</v>
      </c>
      <c r="K68" s="103">
        <v>201550</v>
      </c>
      <c r="L68" s="101">
        <f>INDEX(Table1[Production],MATCH(rrcworking[[#This Row],[RRC ID Number]],Table1[RRC Identifier],0))</f>
        <v>0</v>
      </c>
      <c r="M68" s="30">
        <f>INDEX(Table1[Formation Production],MATCH(rrcworking[[#This Row],[RRC ID Number]],Table1[RRC Identifier],0))</f>
        <v>73</v>
      </c>
      <c r="N68" s="31">
        <f>INDEX(Table1[On Hand End of Month],MATCH(rrcworking[[#This Row],[RRC ID Number]],Table1[RRC Identifier],0))</f>
        <v>0</v>
      </c>
      <c r="O68" s="106" t="b">
        <f t="shared" si="1"/>
        <v>0</v>
      </c>
      <c r="Q68" s="127">
        <f>rrcworking[[#This Row],[Last Month Closing Stock]]</f>
        <v>0</v>
      </c>
      <c r="R68">
        <v>0</v>
      </c>
      <c r="S68" s="143">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 Volume (oil)]]-rrcworking[[#This Row],[Oil Production]]</f>
        <v>0</v>
      </c>
      <c r="V68" s="143">
        <f>IF(ISERROR(INDEX(Table2[GAS],MATCH(rrcworking[[#This Row],[Magnum Wolfpak '#]],Table2[Rox Wolf'#],0))),0,INDEX(Table2[GAS],MATCH(rrcworking[[#This Row],[Magnum Wolfpak '#]],Table2[Rox Wolf'#],0)))</f>
        <v>31</v>
      </c>
      <c r="W68" s="24"/>
      <c r="X68" s="135">
        <f>IF(rrcworking[[#This Row],[Pressure Base]]=14.73,rrcworking[[#This Row],[Gas Sales Statement Volume (MCF)]]*$R$2,rrcworking[[#This Row],[Gas Sales Statement Volume (MCF)]])</f>
        <v>31</v>
      </c>
      <c r="Y68" s="60"/>
      <c r="Z68" s="60">
        <v>0</v>
      </c>
      <c r="AA68" s="143">
        <f>IF(ISERROR(INDEX(Table2[LEASE USE],MATCH(rrcworking[[#This Row],[Magnum Wolfpak '#]],Table2[Rox Wolf'#],0))),0,INDEX(Table2[LEASE USE],MATCH(rrcworking[[#This Row],[Magnum Wolfpak '#]],Table2[Rox Wolf'#],0)))</f>
        <v>0</v>
      </c>
      <c r="AB68" s="57">
        <f>rrcworking[[#This Row],[Disposition Volume (MCF) @ 14.65 MCF]]+rrcworking[[#This Row],[Lease Use (MCF)]]</f>
        <v>31</v>
      </c>
      <c r="AC68" s="37"/>
      <c r="AD68" s="37"/>
      <c r="AE68" s="185">
        <f>COUNTIF(FilterList,rrcworking[[#This Row],[Magnum Wolfpak '#]])</f>
        <v>0</v>
      </c>
      <c r="AF68" s="182"/>
      <c r="AG68" s="183"/>
      <c r="AH68" s="37"/>
      <c r="AI68" s="37"/>
      <c r="AJ68" s="184"/>
      <c r="AK68" s="184"/>
      <c r="AL68" s="184"/>
      <c r="AM68" s="184"/>
      <c r="AN68" s="184"/>
      <c r="AO68" s="184"/>
      <c r="AP68" s="37" t="s">
        <v>1164</v>
      </c>
      <c r="AQ68" s="37" t="s">
        <v>1199</v>
      </c>
    </row>
    <row r="69" spans="3:43" ht="14" hidden="1">
      <c r="C69" s="80">
        <v>98958</v>
      </c>
      <c r="D69" s="62" t="s">
        <v>274</v>
      </c>
      <c r="E69" s="131" t="s">
        <v>278</v>
      </c>
      <c r="F69" s="129">
        <v>1</v>
      </c>
      <c r="G69" s="120" t="s">
        <v>1090</v>
      </c>
      <c r="H69" s="18" t="s">
        <v>618</v>
      </c>
      <c r="I69" s="18" t="s">
        <v>59</v>
      </c>
      <c r="J69" s="19" t="s">
        <v>534</v>
      </c>
      <c r="K69" s="103">
        <v>217825</v>
      </c>
      <c r="L69" s="101">
        <f>INDEX(Table1[Production],MATCH(rrcworking[[#This Row],[RRC ID Number]],Table1[RRC Identifier],0))</f>
        <v>0</v>
      </c>
      <c r="M69" s="30">
        <f>INDEX(Table1[Formation Production],MATCH(rrcworking[[#This Row],[RRC ID Number]],Table1[RRC Identifier],0))</f>
        <v>2554</v>
      </c>
      <c r="N69" s="31">
        <f>INDEX(Table1[On Hand End of Month],MATCH(rrcworking[[#This Row],[RRC ID Number]],Table1[RRC Identifier],0))</f>
        <v>0</v>
      </c>
      <c r="O69" s="106" t="b">
        <f t="shared" si="1"/>
        <v>0</v>
      </c>
      <c r="Q69" s="127">
        <f>rrcworking[[#This Row],[Last Month Closing Stock]]</f>
        <v>0</v>
      </c>
      <c r="R69">
        <v>0</v>
      </c>
      <c r="S69" s="143">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 Volume (oil)]]-rrcworking[[#This Row],[Oil Production]]</f>
        <v>0</v>
      </c>
      <c r="V69" s="143">
        <f>IF(ISERROR(INDEX(Table2[GAS],MATCH(rrcworking[[#This Row],[Magnum Wolfpak '#]],Table2[Rox Wolf'#],0))),0,INDEX(Table2[GAS],MATCH(rrcworking[[#This Row],[Magnum Wolfpak '#]],Table2[Rox Wolf'#],0)))</f>
        <v>3603</v>
      </c>
      <c r="W69" s="24"/>
      <c r="X69" s="135">
        <f>IF(rrcworking[[#This Row],[Pressure Base]]=14.73,rrcworking[[#This Row],[Gas Sales Statement Volume (MCF)]]*$R$2,rrcworking[[#This Row],[Gas Sales Statement Volume (MCF)]])</f>
        <v>3603</v>
      </c>
      <c r="Y69" s="85"/>
      <c r="Z69" s="60">
        <v>6</v>
      </c>
      <c r="AA69" s="143">
        <f>IF(ISERROR(INDEX(Table2[LEASE USE],MATCH(rrcworking[[#This Row],[Magnum Wolfpak '#]],Table2[Rox Wolf'#],0))),0,INDEX(Table2[LEASE USE],MATCH(rrcworking[[#This Row],[Magnum Wolfpak '#]],Table2[Rox Wolf'#],0)))</f>
        <v>168</v>
      </c>
      <c r="AB69" s="57">
        <f>rrcworking[[#This Row],[Disposition Volume (MCF) @ 14.65 MCF]]+rrcworking[[#This Row],[Lease Use (MCF)]]</f>
        <v>3771</v>
      </c>
      <c r="AC69" s="37"/>
      <c r="AD69" s="37"/>
      <c r="AE69" s="185">
        <f>COUNTIF(FilterList,rrcworking[[#This Row],[Magnum Wolfpak '#]])</f>
        <v>0</v>
      </c>
      <c r="AF69" s="182"/>
      <c r="AG69" s="183"/>
      <c r="AH69" s="37"/>
      <c r="AI69" s="37"/>
      <c r="AJ69" s="184"/>
      <c r="AK69" s="184"/>
      <c r="AL69" s="184"/>
      <c r="AM69" s="184"/>
      <c r="AN69" s="184"/>
      <c r="AO69" s="184"/>
      <c r="AP69" s="37" t="s">
        <v>1164</v>
      </c>
      <c r="AQ69" s="37" t="s">
        <v>1199</v>
      </c>
    </row>
    <row r="70" spans="3:43" ht="14" hidden="1">
      <c r="C70" s="80" t="e">
        <v>#N/A</v>
      </c>
      <c r="D70" s="62" t="s">
        <v>274</v>
      </c>
      <c r="E70" s="131" t="s">
        <v>278</v>
      </c>
      <c r="F70" s="129">
        <v>5</v>
      </c>
      <c r="G70" s="120" t="s">
        <v>1090</v>
      </c>
      <c r="H70" s="18" t="s">
        <v>618</v>
      </c>
      <c r="I70" s="18" t="s">
        <v>59</v>
      </c>
      <c r="J70" s="19" t="s">
        <v>533</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0" si="2">IF(AND(L70=0,M70=0), TRUE, FALSE)</f>
        <v>1</v>
      </c>
      <c r="Q70" s="127">
        <f>rrcworking[[#This Row],[Last Month Closing Stock]]</f>
        <v>0</v>
      </c>
      <c r="R70">
        <f>rrcworking[[#This Row],[Opening Oil Stock]]</f>
        <v>0</v>
      </c>
      <c r="S70" s="143">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 Volume (oil)]]-rrcworking[[#This Row],[Oil Production]]</f>
        <v>0</v>
      </c>
      <c r="V70" s="143">
        <f>IF(ISERROR(INDEX(Table2[GAS],MATCH(rrcworking[[#This Row],[Magnum Wolfpak '#]],Table2[Rox Wolf'#],0))),0,INDEX(Table2[GAS],MATCH(rrcworking[[#This Row],[Magnum Wolfpak '#]],Table2[Rox Wolf'#],0)))</f>
        <v>0</v>
      </c>
      <c r="W70" s="24"/>
      <c r="X70" s="135">
        <f>IF(rrcworking[[#This Row],[Pressure Base]]=14.73,rrcworking[[#This Row],[Gas Sales Statement Volume (MCF)]]*$R$2,rrcworking[[#This Row],[Gas Sales Statement Volume (MCF)]])</f>
        <v>0</v>
      </c>
      <c r="Y70" s="60"/>
      <c r="Z70" s="60"/>
      <c r="AA70" s="143">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185">
        <f>COUNTIF(FilterList,rrcworking[[#This Row],[Magnum Wolfpak '#]])</f>
        <v>0</v>
      </c>
      <c r="AF70" s="182"/>
      <c r="AG70" s="183"/>
      <c r="AH70" s="37"/>
      <c r="AI70" s="37"/>
      <c r="AJ70" s="37"/>
      <c r="AK70" s="37"/>
      <c r="AL70" s="37"/>
      <c r="AM70" s="37"/>
      <c r="AN70" s="37"/>
      <c r="AO70" s="37"/>
      <c r="AP70" s="37"/>
      <c r="AQ70" s="37"/>
    </row>
    <row r="71" spans="3:43" ht="14" hidden="1">
      <c r="C71" s="80">
        <v>99093</v>
      </c>
      <c r="D71" s="62" t="s">
        <v>337</v>
      </c>
      <c r="E71" s="131" t="s">
        <v>338</v>
      </c>
      <c r="F71" s="129">
        <v>2</v>
      </c>
      <c r="G71" s="120" t="s">
        <v>1090</v>
      </c>
      <c r="H71" s="18" t="s">
        <v>619</v>
      </c>
      <c r="I71" s="18" t="s">
        <v>59</v>
      </c>
      <c r="J71" s="19" t="s">
        <v>570</v>
      </c>
      <c r="K71" s="103">
        <v>212342</v>
      </c>
      <c r="L71" s="101">
        <f>INDEX(Table1[Production],MATCH(rrcworking[[#This Row],[RRC ID Number]],Table1[RRC Identifier],0))</f>
        <v>0</v>
      </c>
      <c r="M71" s="30">
        <f>INDEX(Table1[Formation Production],MATCH(rrcworking[[#This Row],[RRC ID Number]],Table1[RRC Identifier],0))</f>
        <v>2657</v>
      </c>
      <c r="N71" s="31">
        <f>INDEX(Table1[On Hand End of Month],MATCH(rrcworking[[#This Row],[RRC ID Number]],Table1[RRC Identifier],0))</f>
        <v>0</v>
      </c>
      <c r="O71" s="106" t="b">
        <f t="shared" si="2"/>
        <v>0</v>
      </c>
      <c r="Q71" s="127">
        <f>rrcworking[[#This Row],[Last Month Closing Stock]]</f>
        <v>0</v>
      </c>
      <c r="R71">
        <v>0</v>
      </c>
      <c r="S71" s="143">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 Volume (oil)]]-rrcworking[[#This Row],[Oil Production]]</f>
        <v>0</v>
      </c>
      <c r="V71" s="143">
        <f>IF(ISERROR(INDEX(Table2[GAS],MATCH(rrcworking[[#This Row],[Magnum Wolfpak '#]],Table2[Rox Wolf'#],0))),0,INDEX(Table2[GAS],MATCH(rrcworking[[#This Row],[Magnum Wolfpak '#]],Table2[Rox Wolf'#],0)))</f>
        <v>2723</v>
      </c>
      <c r="W71" s="24"/>
      <c r="X71" s="135">
        <f>IF(rrcworking[[#This Row],[Pressure Base]]=14.73,rrcworking[[#This Row],[Gas Sales Statement Volume (MCF)]]*$R$2,rrcworking[[#This Row],[Gas Sales Statement Volume (MCF)]])</f>
        <v>2723</v>
      </c>
      <c r="Y71" s="85"/>
      <c r="Z71" s="60">
        <v>4</v>
      </c>
      <c r="AA71" s="143">
        <f>IF(ISERROR(INDEX(Table2[LEASE USE],MATCH(rrcworking[[#This Row],[Magnum Wolfpak '#]],Table2[Rox Wolf'#],0))),0,INDEX(Table2[LEASE USE],MATCH(rrcworking[[#This Row],[Magnum Wolfpak '#]],Table2[Rox Wolf'#],0)))</f>
        <v>120</v>
      </c>
      <c r="AB71" s="57">
        <f>rrcworking[[#This Row],[Disposition Volume (MCF) @ 14.65 MCF]]+rrcworking[[#This Row],[Lease Use (MCF)]]</f>
        <v>2843</v>
      </c>
      <c r="AC71" s="97"/>
      <c r="AD71" s="37"/>
      <c r="AE71" s="185">
        <f>COUNTIF(FilterList,rrcworking[[#This Row],[Magnum Wolfpak '#]])</f>
        <v>0</v>
      </c>
      <c r="AF71" s="182"/>
      <c r="AG71" s="183"/>
      <c r="AH71" s="37"/>
      <c r="AI71" s="37"/>
      <c r="AJ71" s="184"/>
      <c r="AK71" s="184"/>
      <c r="AL71" s="184"/>
      <c r="AM71" s="184"/>
      <c r="AN71" s="184"/>
      <c r="AO71" s="184"/>
      <c r="AP71" s="37" t="s">
        <v>1164</v>
      </c>
      <c r="AQ71" s="37" t="s">
        <v>1200</v>
      </c>
    </row>
    <row r="72" spans="3:43" ht="14" hidden="1">
      <c r="C72" s="80">
        <v>99095</v>
      </c>
      <c r="D72" s="62" t="s">
        <v>374</v>
      </c>
      <c r="E72" s="131" t="s">
        <v>338</v>
      </c>
      <c r="F72" s="129">
        <v>5</v>
      </c>
      <c r="G72" s="120" t="s">
        <v>1090</v>
      </c>
      <c r="H72" s="18" t="s">
        <v>619</v>
      </c>
      <c r="I72" s="18" t="s">
        <v>59</v>
      </c>
      <c r="J72" s="19" t="s">
        <v>590</v>
      </c>
      <c r="K72" s="103">
        <v>226100</v>
      </c>
      <c r="L72" s="101">
        <f>INDEX(Table1[Production],MATCH(rrcworking[[#This Row],[RRC ID Number]],Table1[RRC Identifier],0))</f>
        <v>0</v>
      </c>
      <c r="M72" s="30">
        <f>INDEX(Table1[Formation Production],MATCH(rrcworking[[#This Row],[RRC ID Number]],Table1[RRC Identifier],0))</f>
        <v>991</v>
      </c>
      <c r="N72" s="31">
        <f>INDEX(Table1[On Hand End of Month],MATCH(rrcworking[[#This Row],[RRC ID Number]],Table1[RRC Identifier],0))</f>
        <v>0</v>
      </c>
      <c r="O72" s="106" t="b">
        <f t="shared" si="2"/>
        <v>0</v>
      </c>
      <c r="Q72" s="127">
        <f>rrcworking[[#This Row],[Last Month Closing Stock]]</f>
        <v>0</v>
      </c>
      <c r="R72">
        <v>0</v>
      </c>
      <c r="S72" s="143">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 Volume (oil)]]-rrcworking[[#This Row],[Oil Production]]</f>
        <v>0</v>
      </c>
      <c r="V72" s="143">
        <f>IF(ISERROR(INDEX(Table2[GAS],MATCH(rrcworking[[#This Row],[Magnum Wolfpak '#]],Table2[Rox Wolf'#],0))),0,INDEX(Table2[GAS],MATCH(rrcworking[[#This Row],[Magnum Wolfpak '#]],Table2[Rox Wolf'#],0)))</f>
        <v>1005</v>
      </c>
      <c r="W72" s="24"/>
      <c r="X72" s="135">
        <f>IF(rrcworking[[#This Row],[Pressure Base]]=14.73,rrcworking[[#This Row],[Gas Sales Statement Volume (MCF)]]*$R$2,rrcworking[[#This Row],[Gas Sales Statement Volume (MCF)]])</f>
        <v>1005</v>
      </c>
      <c r="Y72" s="85"/>
      <c r="Z72" s="60">
        <v>1</v>
      </c>
      <c r="AA72" s="143">
        <f>IF(ISERROR(INDEX(Table2[LEASE USE],MATCH(rrcworking[[#This Row],[Magnum Wolfpak '#]],Table2[Rox Wolf'#],0))),0,INDEX(Table2[LEASE USE],MATCH(rrcworking[[#This Row],[Magnum Wolfpak '#]],Table2[Rox Wolf'#],0)))</f>
        <v>30</v>
      </c>
      <c r="AB72" s="57">
        <f>rrcworking[[#This Row],[Disposition Volume (MCF) @ 14.65 MCF]]+rrcworking[[#This Row],[Lease Use (MCF)]]</f>
        <v>1035</v>
      </c>
      <c r="AC72" s="37"/>
      <c r="AD72" s="37"/>
      <c r="AE72" s="185">
        <f>COUNTIF(FilterList,rrcworking[[#This Row],[Magnum Wolfpak '#]])</f>
        <v>0</v>
      </c>
      <c r="AF72" s="182"/>
      <c r="AG72" s="183"/>
      <c r="AH72" s="37"/>
      <c r="AI72" s="37"/>
      <c r="AJ72" s="184"/>
      <c r="AK72" s="184"/>
      <c r="AL72" s="184"/>
      <c r="AM72" s="184"/>
      <c r="AN72" s="184"/>
      <c r="AO72" s="184"/>
      <c r="AP72" s="37" t="s">
        <v>1164</v>
      </c>
      <c r="AQ72" s="37" t="s">
        <v>1200</v>
      </c>
    </row>
    <row r="73" spans="3:43" ht="14" hidden="1">
      <c r="C73" s="80">
        <v>99094</v>
      </c>
      <c r="D73" s="62" t="s">
        <v>374</v>
      </c>
      <c r="E73" s="131" t="s">
        <v>338</v>
      </c>
      <c r="F73" s="129">
        <v>3</v>
      </c>
      <c r="G73" s="120" t="s">
        <v>1090</v>
      </c>
      <c r="H73" s="18" t="s">
        <v>619</v>
      </c>
      <c r="I73" s="18" t="s">
        <v>59</v>
      </c>
      <c r="J73" s="19" t="s">
        <v>591</v>
      </c>
      <c r="K73" s="103">
        <v>233961</v>
      </c>
      <c r="L73" s="101">
        <f>INDEX(Table1[Production],MATCH(rrcworking[[#This Row],[RRC ID Number]],Table1[RRC Identifier],0))</f>
        <v>0</v>
      </c>
      <c r="M73" s="30">
        <f>INDEX(Table1[Formation Production],MATCH(rrcworking[[#This Row],[RRC ID Number]],Table1[RRC Identifier],0))</f>
        <v>2629</v>
      </c>
      <c r="N73" s="31">
        <f>INDEX(Table1[On Hand End of Month],MATCH(rrcworking[[#This Row],[RRC ID Number]],Table1[RRC Identifier],0))</f>
        <v>0</v>
      </c>
      <c r="O73" s="106" t="b">
        <f t="shared" si="2"/>
        <v>0</v>
      </c>
      <c r="Q73" s="127">
        <f>rrcworking[[#This Row],[Last Month Closing Stock]]</f>
        <v>0</v>
      </c>
      <c r="R73">
        <v>0</v>
      </c>
      <c r="S73" s="143">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 Volume (oil)]]-rrcworking[[#This Row],[Oil Production]]</f>
        <v>0</v>
      </c>
      <c r="V73" s="143">
        <f>IF(ISERROR(INDEX(Table2[GAS],MATCH(rrcworking[[#This Row],[Magnum Wolfpak '#]],Table2[Rox Wolf'#],0))),0,INDEX(Table2[GAS],MATCH(rrcworking[[#This Row],[Magnum Wolfpak '#]],Table2[Rox Wolf'#],0)))</f>
        <v>2576</v>
      </c>
      <c r="W73" s="24"/>
      <c r="X73" s="135">
        <f>IF(rrcworking[[#This Row],[Pressure Base]]=14.73,rrcworking[[#This Row],[Gas Sales Statement Volume (MCF)]]*$R$2,rrcworking[[#This Row],[Gas Sales Statement Volume (MCF)]])</f>
        <v>2576</v>
      </c>
      <c r="Y73" s="85"/>
      <c r="Z73" s="60">
        <v>4</v>
      </c>
      <c r="AA73" s="143">
        <f>IF(ISERROR(INDEX(Table2[LEASE USE],MATCH(rrcworking[[#This Row],[Magnum Wolfpak '#]],Table2[Rox Wolf'#],0))),0,INDEX(Table2[LEASE USE],MATCH(rrcworking[[#This Row],[Magnum Wolfpak '#]],Table2[Rox Wolf'#],0)))</f>
        <v>120</v>
      </c>
      <c r="AB73" s="57">
        <f>rrcworking[[#This Row],[Disposition Volume (MCF) @ 14.65 MCF]]+rrcworking[[#This Row],[Lease Use (MCF)]]</f>
        <v>2696</v>
      </c>
      <c r="AC73" s="37"/>
      <c r="AD73" s="37"/>
      <c r="AE73" s="185">
        <f>COUNTIF(FilterList,rrcworking[[#This Row],[Magnum Wolfpak '#]])</f>
        <v>0</v>
      </c>
      <c r="AF73" s="182"/>
      <c r="AG73" s="183"/>
      <c r="AH73" s="37"/>
      <c r="AI73" s="37"/>
      <c r="AJ73" s="184"/>
      <c r="AK73" s="184"/>
      <c r="AL73" s="184"/>
      <c r="AM73" s="184"/>
      <c r="AN73" s="184"/>
      <c r="AO73" s="184"/>
      <c r="AP73" s="37" t="s">
        <v>1164</v>
      </c>
      <c r="AQ73" s="37" t="s">
        <v>1200</v>
      </c>
    </row>
    <row r="74" spans="3:43" ht="14" hidden="1">
      <c r="C74" s="80" t="e">
        <v>#N/A</v>
      </c>
      <c r="D74" s="62" t="s">
        <v>337</v>
      </c>
      <c r="E74" s="131" t="s">
        <v>338</v>
      </c>
      <c r="F74" s="129">
        <v>1</v>
      </c>
      <c r="G74" s="120" t="s">
        <v>1090</v>
      </c>
      <c r="H74" s="18" t="s">
        <v>619</v>
      </c>
      <c r="I74" s="18" t="s">
        <v>59</v>
      </c>
      <c r="J74" s="19" t="s">
        <v>571</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Q74" s="127">
        <f>rrcworking[[#This Row],[Last Month Closing Stock]]</f>
        <v>43</v>
      </c>
      <c r="R74">
        <f>rrcworking[[#This Row],[Opening Oil Stock]]</f>
        <v>43</v>
      </c>
      <c r="S74" s="143">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 Volume (oil)]]-rrcworking[[#This Row],[Oil Production]]</f>
        <v>0</v>
      </c>
      <c r="V74" s="143">
        <f>IF(ISERROR(INDEX(Table2[GAS],MATCH(rrcworking[[#This Row],[Magnum Wolfpak '#]],Table2[Rox Wolf'#],0))),0,INDEX(Table2[GAS],MATCH(rrcworking[[#This Row],[Magnum Wolfpak '#]],Table2[Rox Wolf'#],0)))</f>
        <v>0</v>
      </c>
      <c r="W74" s="24"/>
      <c r="X74" s="135">
        <f>IF(rrcworking[[#This Row],[Pressure Base]]=14.73,rrcworking[[#This Row],[Gas Sales Statement Volume (MCF)]]*$R$2,rrcworking[[#This Row],[Gas Sales Statement Volume (MCF)]])</f>
        <v>0</v>
      </c>
      <c r="Y74" s="60"/>
      <c r="Z74" s="60"/>
      <c r="AA74" s="143">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185">
        <f>COUNTIF(FilterList,rrcworking[[#This Row],[Magnum Wolfpak '#]])</f>
        <v>0</v>
      </c>
      <c r="AF74" s="182"/>
      <c r="AG74" s="183"/>
      <c r="AH74" s="37"/>
      <c r="AI74" s="37"/>
      <c r="AJ74" s="37"/>
      <c r="AK74" s="37"/>
      <c r="AL74" s="37"/>
      <c r="AM74" s="37"/>
      <c r="AN74" s="37"/>
      <c r="AO74" s="37"/>
      <c r="AP74" s="37"/>
      <c r="AQ74" s="37"/>
    </row>
    <row r="75" spans="3:43" ht="84" hidden="1">
      <c r="C75" s="80">
        <v>99158</v>
      </c>
      <c r="D75" s="62" t="s">
        <v>209</v>
      </c>
      <c r="E75" s="131" t="s">
        <v>1282</v>
      </c>
      <c r="F75" s="129">
        <v>0</v>
      </c>
      <c r="G75" s="120" t="s">
        <v>1090</v>
      </c>
      <c r="H75" s="18" t="s">
        <v>618</v>
      </c>
      <c r="I75" s="18" t="s">
        <v>2</v>
      </c>
      <c r="J75" s="19" t="s">
        <v>494</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18</v>
      </c>
      <c r="O75" s="106" t="b">
        <f t="shared" si="2"/>
        <v>1</v>
      </c>
      <c r="P75">
        <v>0</v>
      </c>
      <c r="Q75" s="127">
        <f>rrcworking[[#This Row],[Last Month Closing Stock]]</f>
        <v>18</v>
      </c>
      <c r="R75">
        <v>18</v>
      </c>
      <c r="S75" s="143">
        <f>IF(ISERROR(INDEX(Table2[OIL],MATCH(rrcworking[[#This Row],[Magnum Wolfpak '#]],Table2[Rox Wolf'#],0))),0,INDEX(Table2[OIL],MATCH(rrcworking[[#This Row],[Magnum Wolfpak '#]],Table2[Rox Wolf'#],0)))</f>
        <v>0</v>
      </c>
      <c r="T75" s="35">
        <f>rrcworking[[#This Row],[Closing Stock (Oil)]]+rrcworking[[#This Row],[Sales/Dispostion]]-rrcworking[[#This Row],[Opening Oil Stock]]</f>
        <v>0</v>
      </c>
      <c r="U75" s="112">
        <f>rrcworking[[#This Row],[Gauge Sheet Prod Volume (oil)]]-rrcworking[[#This Row],[Oil Production]]</f>
        <v>0</v>
      </c>
      <c r="V75" s="143">
        <f>IF(ISERROR(INDEX(Table2[GAS],MATCH(rrcworking[[#This Row],[Magnum Wolfpak '#]],Table2[Rox Wolf'#],0))),0,INDEX(Table2[GAS],MATCH(rrcworking[[#This Row],[Magnum Wolfpak '#]],Table2[Rox Wolf'#],0)))</f>
        <v>0</v>
      </c>
      <c r="W75" s="24"/>
      <c r="X75" s="135">
        <f>IF(rrcworking[[#This Row],[Pressure Base]]=14.73,rrcworking[[#This Row],[Gas Sales Statement Volume (MCF)]]*$R$2,rrcworking[[#This Row],[Gas Sales Statement Volume (MCF)]])</f>
        <v>0</v>
      </c>
      <c r="Y75" s="60"/>
      <c r="Z75" s="60"/>
      <c r="AA75" s="143">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t="s">
        <v>1281</v>
      </c>
      <c r="AE75" s="185">
        <f>COUNTIF(FilterList,rrcworking[[#This Row],[Magnum Wolfpak '#]])</f>
        <v>0</v>
      </c>
      <c r="AF75" s="182"/>
      <c r="AG75" s="183"/>
      <c r="AH75" s="37"/>
      <c r="AI75" s="37"/>
      <c r="AJ75" s="37"/>
      <c r="AK75" s="37"/>
      <c r="AL75" s="37"/>
      <c r="AM75" s="37"/>
      <c r="AN75" s="37"/>
      <c r="AO75" s="37"/>
      <c r="AP75" s="37"/>
      <c r="AQ75" s="37"/>
    </row>
    <row r="76" spans="3:43" ht="14" hidden="1">
      <c r="C76" s="80" t="e">
        <v>#N/A</v>
      </c>
      <c r="D76" s="62" t="s">
        <v>223</v>
      </c>
      <c r="E76" s="131" t="s">
        <v>224</v>
      </c>
      <c r="F76" s="129">
        <v>0</v>
      </c>
      <c r="G76" s="120" t="s">
        <v>1090</v>
      </c>
      <c r="H76" s="18" t="s">
        <v>618</v>
      </c>
      <c r="I76" s="18" t="s">
        <v>2</v>
      </c>
      <c r="J76" s="19" t="s">
        <v>500</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Q76" s="127">
        <f>rrcworking[[#This Row],[Last Month Closing Stock]]</f>
        <v>68</v>
      </c>
      <c r="R76">
        <f>rrcworking[[#This Row],[Opening Oil Stock]]</f>
        <v>68</v>
      </c>
      <c r="S76" s="143">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 Volume (oil)]]-rrcworking[[#This Row],[Oil Production]]</f>
        <v>0</v>
      </c>
      <c r="V76" s="143">
        <f>IF(ISERROR(INDEX(Table2[GAS],MATCH(rrcworking[[#This Row],[Magnum Wolfpak '#]],Table2[Rox Wolf'#],0))),0,INDEX(Table2[GAS],MATCH(rrcworking[[#This Row],[Magnum Wolfpak '#]],Table2[Rox Wolf'#],0)))</f>
        <v>0</v>
      </c>
      <c r="W76" s="24"/>
      <c r="X76" s="135">
        <f>IF(rrcworking[[#This Row],[Pressure Base]]=14.73,rrcworking[[#This Row],[Gas Sales Statement Volume (MCF)]]*$R$2,rrcworking[[#This Row],[Gas Sales Statement Volume (MCF)]])</f>
        <v>0</v>
      </c>
      <c r="Y76" s="60"/>
      <c r="Z76" s="60"/>
      <c r="AA76" s="143">
        <f>IF(ISERROR(INDEX(Table2[LEASE USE],MATCH(rrcworking[[#This Row],[Magnum Wolfpak '#]],Table2[Rox Wolf'#],0))),0,INDEX(Table2[LEASE USE],MATCH(rrcworking[[#This Row],[Magnum Wolfpak '#]],Table2[Rox Wolf'#],0)))</f>
        <v>0</v>
      </c>
      <c r="AB76" s="57">
        <f>rrcworking[[#This Row],[Disposition Volume (MCF) @ 14.65 MCF]]+rrcworking[[#This Row],[Lease Use (MCF)]]</f>
        <v>0</v>
      </c>
      <c r="AC76" s="97"/>
      <c r="AD76" s="37"/>
      <c r="AE76" s="185">
        <f>COUNTIF(FilterList,rrcworking[[#This Row],[Magnum Wolfpak '#]])</f>
        <v>0</v>
      </c>
      <c r="AF76" s="182"/>
      <c r="AG76" s="183"/>
      <c r="AH76" s="37"/>
      <c r="AI76" s="37"/>
      <c r="AJ76" s="37"/>
      <c r="AK76" s="37"/>
      <c r="AL76" s="37"/>
      <c r="AM76" s="37"/>
      <c r="AN76" s="37"/>
      <c r="AO76" s="37"/>
      <c r="AP76" s="37"/>
      <c r="AQ76" s="37"/>
    </row>
    <row r="77" spans="3:43" ht="14" hidden="1">
      <c r="C77" s="80" t="e">
        <v>#N/A</v>
      </c>
      <c r="D77" s="62" t="s">
        <v>297</v>
      </c>
      <c r="E77" s="131" t="s">
        <v>298</v>
      </c>
      <c r="F77" s="129">
        <v>0</v>
      </c>
      <c r="G77" s="120" t="s">
        <v>1090</v>
      </c>
      <c r="H77" s="18" t="s">
        <v>618</v>
      </c>
      <c r="I77" s="18" t="s">
        <v>2</v>
      </c>
      <c r="J77" s="19" t="s">
        <v>547</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Q77" s="127">
        <f>rrcworking[[#This Row],[Last Month Closing Stock]]</f>
        <v>0</v>
      </c>
      <c r="R77">
        <f>rrcworking[[#This Row],[Opening Oil Stock]]</f>
        <v>0</v>
      </c>
      <c r="S77" s="143">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 Volume (oil)]]-rrcworking[[#This Row],[Oil Production]]</f>
        <v>0</v>
      </c>
      <c r="V77" s="143">
        <f>IF(ISERROR(INDEX(Table2[GAS],MATCH(rrcworking[[#This Row],[Magnum Wolfpak '#]],Table2[Rox Wolf'#],0))),0,INDEX(Table2[GAS],MATCH(rrcworking[[#This Row],[Magnum Wolfpak '#]],Table2[Rox Wolf'#],0)))</f>
        <v>0</v>
      </c>
      <c r="W77" s="24"/>
      <c r="X77" s="135">
        <f>IF(rrcworking[[#This Row],[Pressure Base]]=14.73,rrcworking[[#This Row],[Gas Sales Statement Volume (MCF)]]*$R$2,rrcworking[[#This Row],[Gas Sales Statement Volume (MCF)]])</f>
        <v>0</v>
      </c>
      <c r="Y77" s="60"/>
      <c r="Z77" s="60"/>
      <c r="AA77" s="143">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185">
        <f>COUNTIF(FilterList,rrcworking[[#This Row],[Magnum Wolfpak '#]])</f>
        <v>0</v>
      </c>
      <c r="AF77" s="182"/>
      <c r="AG77" s="183"/>
      <c r="AH77" s="37"/>
      <c r="AI77" s="37"/>
      <c r="AJ77" s="37"/>
      <c r="AK77" s="37"/>
      <c r="AL77" s="37"/>
      <c r="AM77" s="37"/>
      <c r="AN77" s="37"/>
      <c r="AO77" s="37"/>
      <c r="AP77" s="37"/>
      <c r="AQ77" s="37"/>
    </row>
    <row r="78" spans="3:43" ht="14" hidden="1">
      <c r="C78" s="80" t="e">
        <v>#N/A</v>
      </c>
      <c r="D78" s="62" t="s">
        <v>119</v>
      </c>
      <c r="E78" s="131" t="s">
        <v>120</v>
      </c>
      <c r="F78" s="129">
        <v>0</v>
      </c>
      <c r="G78" s="120" t="s">
        <v>1090</v>
      </c>
      <c r="H78" s="18" t="s">
        <v>617</v>
      </c>
      <c r="I78" s="18" t="s">
        <v>2</v>
      </c>
      <c r="J78" s="19" t="s">
        <v>440</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Q78" s="127">
        <f>rrcworking[[#This Row],[Last Month Closing Stock]]</f>
        <v>0</v>
      </c>
      <c r="R78">
        <f>rrcworking[[#This Row],[Opening Oil Stock]]</f>
        <v>0</v>
      </c>
      <c r="S78" s="143">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 Volume (oil)]]-rrcworking[[#This Row],[Oil Production]]</f>
        <v>0</v>
      </c>
      <c r="V78" s="143">
        <f>IF(ISERROR(INDEX(Table2[GAS],MATCH(rrcworking[[#This Row],[Magnum Wolfpak '#]],Table2[Rox Wolf'#],0))),0,INDEX(Table2[GAS],MATCH(rrcworking[[#This Row],[Magnum Wolfpak '#]],Table2[Rox Wolf'#],0)))</f>
        <v>0</v>
      </c>
      <c r="W78" s="24"/>
      <c r="X78" s="135">
        <f>IF(rrcworking[[#This Row],[Pressure Base]]=14.73,rrcworking[[#This Row],[Gas Sales Statement Volume (MCF)]]*$R$2,rrcworking[[#This Row],[Gas Sales Statement Volume (MCF)]])</f>
        <v>0</v>
      </c>
      <c r="Y78" s="60"/>
      <c r="Z78" s="60"/>
      <c r="AA78" s="143">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185">
        <f>COUNTIF(FilterList,rrcworking[[#This Row],[Magnum Wolfpak '#]])</f>
        <v>0</v>
      </c>
      <c r="AF78" s="182"/>
      <c r="AG78" s="183"/>
      <c r="AH78" s="37"/>
      <c r="AI78" s="37"/>
      <c r="AJ78" s="37"/>
      <c r="AK78" s="37"/>
      <c r="AL78" s="37"/>
      <c r="AM78" s="37"/>
      <c r="AN78" s="37"/>
      <c r="AO78" s="37"/>
      <c r="AP78" s="37"/>
      <c r="AQ78" s="37"/>
    </row>
    <row r="79" spans="3:43" ht="14" hidden="1">
      <c r="C79" s="80" t="e">
        <v>#N/A</v>
      </c>
      <c r="D79" s="62" t="s">
        <v>121</v>
      </c>
      <c r="E79" s="131" t="s">
        <v>120</v>
      </c>
      <c r="F79" s="129">
        <v>0</v>
      </c>
      <c r="G79" s="120" t="s">
        <v>1090</v>
      </c>
      <c r="H79" s="18" t="s">
        <v>617</v>
      </c>
      <c r="I79" s="18" t="s">
        <v>2</v>
      </c>
      <c r="J79" s="19" t="s">
        <v>441</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Q79" s="127">
        <f>rrcworking[[#This Row],[Last Month Closing Stock]]</f>
        <v>0</v>
      </c>
      <c r="R79">
        <f>rrcworking[[#This Row],[Opening Oil Stock]]</f>
        <v>0</v>
      </c>
      <c r="S79" s="143">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 Volume (oil)]]-rrcworking[[#This Row],[Oil Production]]</f>
        <v>0</v>
      </c>
      <c r="V79" s="143">
        <f>IF(ISERROR(INDEX(Table2[GAS],MATCH(rrcworking[[#This Row],[Magnum Wolfpak '#]],Table2[Rox Wolf'#],0))),0,INDEX(Table2[GAS],MATCH(rrcworking[[#This Row],[Magnum Wolfpak '#]],Table2[Rox Wolf'#],0)))</f>
        <v>0</v>
      </c>
      <c r="W79" s="24"/>
      <c r="X79" s="135">
        <f>IF(rrcworking[[#This Row],[Pressure Base]]=14.73,rrcworking[[#This Row],[Gas Sales Statement Volume (MCF)]]*$R$2,rrcworking[[#This Row],[Gas Sales Statement Volume (MCF)]])</f>
        <v>0</v>
      </c>
      <c r="Y79" s="60"/>
      <c r="Z79" s="60"/>
      <c r="AA79" s="143">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185">
        <f>COUNTIF(FilterList,rrcworking[[#This Row],[Magnum Wolfpak '#]])</f>
        <v>0</v>
      </c>
      <c r="AF79" s="182"/>
      <c r="AG79" s="183"/>
      <c r="AH79" s="37"/>
      <c r="AI79" s="37"/>
      <c r="AJ79" s="37"/>
      <c r="AK79" s="37"/>
      <c r="AL79" s="37"/>
      <c r="AM79" s="37"/>
      <c r="AN79" s="37"/>
      <c r="AO79" s="37"/>
      <c r="AP79" s="37"/>
      <c r="AQ79" s="37"/>
    </row>
    <row r="80" spans="3:43" ht="42">
      <c r="C80" s="80">
        <v>82001</v>
      </c>
      <c r="D80" s="62" t="s">
        <v>290</v>
      </c>
      <c r="E80" s="131" t="s">
        <v>291</v>
      </c>
      <c r="F80" s="129">
        <v>0</v>
      </c>
      <c r="G80" s="120" t="s">
        <v>1090</v>
      </c>
      <c r="H80" s="18" t="s">
        <v>618</v>
      </c>
      <c r="I80" s="18" t="s">
        <v>2</v>
      </c>
      <c r="J80" s="19" t="s">
        <v>540</v>
      </c>
      <c r="K80" s="103">
        <v>25782</v>
      </c>
      <c r="L80" s="101">
        <f>INDEX(Table1[Production],MATCH(rrcworking[[#This Row],[RRC ID Number]],Table1[RRC Identifier],0))</f>
        <v>11</v>
      </c>
      <c r="M80" s="30">
        <f>INDEX(Table1[Formation Production],MATCH(rrcworking[[#This Row],[RRC ID Number]],Table1[RRC Identifier],0))</f>
        <v>48</v>
      </c>
      <c r="N80" s="31">
        <f>INDEX(Table1[On Hand End of Month],MATCH(rrcworking[[#This Row],[RRC ID Number]],Table1[RRC Identifier],0))</f>
        <v>235</v>
      </c>
      <c r="O80" s="106" t="b">
        <f t="shared" si="2"/>
        <v>0</v>
      </c>
      <c r="Q80" s="127">
        <f>rrcworking[[#This Row],[Last Month Closing Stock]]</f>
        <v>235</v>
      </c>
      <c r="S80" s="143">
        <f>IF(ISERROR(INDEX(Table2[OIL],MATCH(rrcworking[[#This Row],[Magnum Wolfpak '#]],Table2[Rox Wolf'#],0))),0,INDEX(Table2[OIL],MATCH(rrcworking[[#This Row],[Magnum Wolfpak '#]],Table2[Rox Wolf'#],0)))</f>
        <v>0</v>
      </c>
      <c r="T80" s="35">
        <f>rrcworking[[#This Row],[Closing Stock (Oil)]]+rrcworking[[#This Row],[Sales/Dispostion]]-rrcworking[[#This Row],[Opening Oil Stock]]</f>
        <v>-235</v>
      </c>
      <c r="U80" s="112">
        <f>rrcworking[[#This Row],[Gauge Sheet Prod Volume (oil)]]-rrcworking[[#This Row],[Oil Production]]</f>
        <v>235</v>
      </c>
      <c r="V80" s="143">
        <f>IF(ISERROR(INDEX(Table2[GAS],MATCH(rrcworking[[#This Row],[Magnum Wolfpak '#]],Table2[Rox Wolf'#],0))),0,INDEX(Table2[GAS],MATCH(rrcworking[[#This Row],[Magnum Wolfpak '#]],Table2[Rox Wolf'#],0)))</f>
        <v>48</v>
      </c>
      <c r="W80" s="24"/>
      <c r="X80" s="135">
        <f>IF(rrcworking[[#This Row],[Pressure Base]]=14.73,rrcworking[[#This Row],[Gas Sales Statement Volume (MCF)]]*$R$2,rrcworking[[#This Row],[Gas Sales Statement Volume (MCF)]])</f>
        <v>48</v>
      </c>
      <c r="Y80" s="60"/>
      <c r="Z80" s="60">
        <v>0</v>
      </c>
      <c r="AA80" s="143">
        <f>IF(ISERROR(INDEX(Table2[LEASE USE],MATCH(rrcworking[[#This Row],[Magnum Wolfpak '#]],Table2[Rox Wolf'#],0))),0,INDEX(Table2[LEASE USE],MATCH(rrcworking[[#This Row],[Magnum Wolfpak '#]],Table2[Rox Wolf'#],0)))</f>
        <v>0</v>
      </c>
      <c r="AB80" s="57">
        <f>rrcworking[[#This Row],[Disposition Volume (MCF) @ 14.65 MCF]]+rrcworking[[#This Row],[Lease Use (MCF)]]</f>
        <v>48</v>
      </c>
      <c r="AC80" s="37"/>
      <c r="AD80" s="37" t="s">
        <v>1286</v>
      </c>
      <c r="AE80" s="185">
        <f>COUNTIF(FilterList,rrcworking[[#This Row],[Magnum Wolfpak '#]])</f>
        <v>0</v>
      </c>
      <c r="AF80" s="182"/>
      <c r="AG80" s="183"/>
      <c r="AH80" s="37"/>
      <c r="AI80" s="183"/>
      <c r="AJ80" s="184"/>
      <c r="AK80" s="184"/>
      <c r="AL80" s="184"/>
      <c r="AM80" s="184"/>
      <c r="AN80" s="184"/>
      <c r="AO80" s="184"/>
      <c r="AP80" s="37" t="s">
        <v>1164</v>
      </c>
      <c r="AQ80" s="37" t="s">
        <v>1199</v>
      </c>
    </row>
    <row r="81" spans="3:43" ht="28">
      <c r="C81" s="80">
        <v>96701</v>
      </c>
      <c r="D81" s="62" t="s">
        <v>284</v>
      </c>
      <c r="E81" s="131" t="s">
        <v>285</v>
      </c>
      <c r="F81" s="129">
        <v>1</v>
      </c>
      <c r="G81" s="120" t="s">
        <v>1090</v>
      </c>
      <c r="H81" s="18" t="s">
        <v>618</v>
      </c>
      <c r="I81" s="18" t="s">
        <v>59</v>
      </c>
      <c r="J81" s="19" t="s">
        <v>537</v>
      </c>
      <c r="K81" s="103">
        <v>280832</v>
      </c>
      <c r="L81" s="101">
        <f>INDEX(Table1[Production],MATCH(rrcworking[[#This Row],[RRC ID Number]],Table1[RRC Identifier],0))</f>
        <v>0</v>
      </c>
      <c r="M81" s="30">
        <f>INDEX(Table1[Formation Production],MATCH(rrcworking[[#This Row],[RRC ID Number]],Table1[RRC Identifier],0))</f>
        <v>38</v>
      </c>
      <c r="N81" s="31">
        <f>INDEX(Table1[On Hand End of Month],MATCH(rrcworking[[#This Row],[RRC ID Number]],Table1[RRC Identifier],0))</f>
        <v>48</v>
      </c>
      <c r="O81" s="106" t="b">
        <f t="shared" si="2"/>
        <v>0</v>
      </c>
      <c r="Q81" s="127">
        <f>rrcworking[[#This Row],[Last Month Closing Stock]]</f>
        <v>48</v>
      </c>
      <c r="S81" s="143">
        <f>IF(ISERROR(INDEX(Table2[OIL],MATCH(rrcworking[[#This Row],[Magnum Wolfpak '#]],Table2[Rox Wolf'#],0))),0,INDEX(Table2[OIL],MATCH(rrcworking[[#This Row],[Magnum Wolfpak '#]],Table2[Rox Wolf'#],0)))</f>
        <v>0</v>
      </c>
      <c r="T81" s="35">
        <f>rrcworking[[#This Row],[Closing Stock (Oil)]]+rrcworking[[#This Row],[Sales/Dispostion]]-rrcworking[[#This Row],[Opening Oil Stock]]</f>
        <v>-48</v>
      </c>
      <c r="U81" s="112">
        <f>rrcworking[[#This Row],[Gauge Sheet Prod Volume (oil)]]-rrcworking[[#This Row],[Oil Production]]</f>
        <v>48</v>
      </c>
      <c r="V81" s="143">
        <f>IF(ISERROR(INDEX(Table2[GAS],MATCH(rrcworking[[#This Row],[Magnum Wolfpak '#]],Table2[Rox Wolf'#],0))),0,INDEX(Table2[GAS],MATCH(rrcworking[[#This Row],[Magnum Wolfpak '#]],Table2[Rox Wolf'#],0)))</f>
        <v>0</v>
      </c>
      <c r="W81" s="24"/>
      <c r="X81" s="135">
        <f>IF(rrcworking[[#This Row],[Pressure Base]]=14.73,rrcworking[[#This Row],[Gas Sales Statement Volume (MCF)]]*$R$2,rrcworking[[#This Row],[Gas Sales Statement Volume (MCF)]])</f>
        <v>0</v>
      </c>
      <c r="Y81" s="60"/>
      <c r="Z81" s="60">
        <v>0</v>
      </c>
      <c r="AA81" s="143">
        <f>IF(ISERROR(INDEX(Table2[LEASE USE],MATCH(rrcworking[[#This Row],[Magnum Wolfpak '#]],Table2[Rox Wolf'#],0))),0,INDEX(Table2[LEASE USE],MATCH(rrcworking[[#This Row],[Magnum Wolfpak '#]],Table2[Rox Wolf'#],0)))</f>
        <v>0</v>
      </c>
      <c r="AB81" s="57">
        <f>rrcworking[[#This Row],[Disposition Volume (MCF) @ 14.65 MCF]]+rrcworking[[#This Row],[Lease Use (MCF)]]</f>
        <v>0</v>
      </c>
      <c r="AC81" s="37"/>
      <c r="AD81" s="37" t="s">
        <v>1283</v>
      </c>
      <c r="AE81" s="185">
        <f>COUNTIF(FilterList,rrcworking[[#This Row],[Magnum Wolfpak '#]])</f>
        <v>0</v>
      </c>
      <c r="AF81" s="182"/>
      <c r="AG81" s="183"/>
      <c r="AH81" s="87"/>
      <c r="AI81" s="87"/>
      <c r="AJ81" s="184"/>
      <c r="AK81" s="184"/>
      <c r="AL81" s="184"/>
      <c r="AM81" s="184"/>
      <c r="AN81" s="184"/>
      <c r="AO81" s="184"/>
      <c r="AP81" s="37" t="s">
        <v>1164</v>
      </c>
      <c r="AQ81" s="37" t="s">
        <v>1199</v>
      </c>
    </row>
    <row r="82" spans="3:43" ht="14" hidden="1">
      <c r="C82" s="80" t="e">
        <v>#N/A</v>
      </c>
      <c r="D82" s="62" t="s">
        <v>290</v>
      </c>
      <c r="E82" s="131" t="s">
        <v>285</v>
      </c>
      <c r="F82" s="129">
        <v>0</v>
      </c>
      <c r="G82" s="120" t="s">
        <v>1090</v>
      </c>
      <c r="H82" s="18" t="s">
        <v>618</v>
      </c>
      <c r="I82" s="18" t="s">
        <v>2</v>
      </c>
      <c r="J82" s="19" t="s">
        <v>541</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Q82" s="127">
        <f>rrcworking[[#This Row],[Last Month Closing Stock]]</f>
        <v>0</v>
      </c>
      <c r="R82">
        <f>rrcworking[[#This Row],[Opening Oil Stock]]</f>
        <v>0</v>
      </c>
      <c r="S82" s="143">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 Volume (oil)]]-rrcworking[[#This Row],[Oil Production]]</f>
        <v>0</v>
      </c>
      <c r="V82" s="143">
        <f>IF(ISERROR(INDEX(Table2[GAS],MATCH(rrcworking[[#This Row],[Magnum Wolfpak '#]],Table2[Rox Wolf'#],0))),0,INDEX(Table2[GAS],MATCH(rrcworking[[#This Row],[Magnum Wolfpak '#]],Table2[Rox Wolf'#],0)))</f>
        <v>0</v>
      </c>
      <c r="W82" s="24"/>
      <c r="X82" s="135">
        <f>IF(rrcworking[[#This Row],[Pressure Base]]=14.73,rrcworking[[#This Row],[Gas Sales Statement Volume (MCF)]]*$R$2,rrcworking[[#This Row],[Gas Sales Statement Volume (MCF)]])</f>
        <v>0</v>
      </c>
      <c r="Y82" s="60"/>
      <c r="Z82" s="60"/>
      <c r="AA82" s="143">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185">
        <f>COUNTIF(FilterList,rrcworking[[#This Row],[Magnum Wolfpak '#]])</f>
        <v>0</v>
      </c>
      <c r="AF82" s="182"/>
      <c r="AG82" s="183"/>
      <c r="AH82" s="37"/>
      <c r="AI82" s="37"/>
      <c r="AJ82" s="37"/>
      <c r="AK82" s="37"/>
      <c r="AL82" s="37"/>
      <c r="AM82" s="37"/>
      <c r="AN82" s="37"/>
      <c r="AO82" s="37"/>
      <c r="AP82" s="37"/>
      <c r="AQ82" s="37"/>
    </row>
    <row r="83" spans="3:43" ht="112">
      <c r="C83" s="80">
        <v>96501</v>
      </c>
      <c r="D83" s="62" t="s">
        <v>286</v>
      </c>
      <c r="E83" s="131" t="s">
        <v>287</v>
      </c>
      <c r="F83" s="129">
        <v>1</v>
      </c>
      <c r="G83" s="120" t="s">
        <v>1090</v>
      </c>
      <c r="H83" s="18" t="s">
        <v>618</v>
      </c>
      <c r="I83" s="18" t="s">
        <v>59</v>
      </c>
      <c r="J83" s="19" t="s">
        <v>538</v>
      </c>
      <c r="K83" s="103">
        <v>161374</v>
      </c>
      <c r="L83" s="101">
        <f>INDEX(Table1[Production],MATCH(rrcworking[[#This Row],[RRC ID Number]],Table1[RRC Identifier],0))</f>
        <v>3</v>
      </c>
      <c r="M83" s="30">
        <f>INDEX(Table1[Formation Production],MATCH(rrcworking[[#This Row],[RRC ID Number]],Table1[RRC Identifier],0))</f>
        <v>2171</v>
      </c>
      <c r="N83" s="31">
        <f>INDEX(Table1[On Hand End of Month],MATCH(rrcworking[[#This Row],[RRC ID Number]],Table1[RRC Identifier],0))</f>
        <v>238</v>
      </c>
      <c r="O83" s="106" t="b">
        <f t="shared" si="2"/>
        <v>0</v>
      </c>
      <c r="Q83" s="127">
        <f>rrcworking[[#This Row],[Last Month Closing Stock]]</f>
        <v>238</v>
      </c>
      <c r="S83" s="143">
        <f>IF(ISERROR(INDEX(Table2[OIL],MATCH(rrcworking[[#This Row],[Magnum Wolfpak '#]],Table2[Rox Wolf'#],0))),0,INDEX(Table2[OIL],MATCH(rrcworking[[#This Row],[Magnum Wolfpak '#]],Table2[Rox Wolf'#],0)))</f>
        <v>381</v>
      </c>
      <c r="T83" s="35">
        <f>rrcworking[[#This Row],[Closing Stock (Oil)]]+rrcworking[[#This Row],[Sales/Dispostion]]-rrcworking[[#This Row],[Opening Oil Stock]]</f>
        <v>143</v>
      </c>
      <c r="U83" s="112">
        <f>rrcworking[[#This Row],[Gauge Sheet Prod Volume (oil)]]-rrcworking[[#This Row],[Oil Production]]</f>
        <v>-143</v>
      </c>
      <c r="V83" s="143">
        <f>IF(ISERROR(INDEX(Table2[GAS],MATCH(rrcworking[[#This Row],[Magnum Wolfpak '#]],Table2[Rox Wolf'#],0))),0,INDEX(Table2[GAS],MATCH(rrcworking[[#This Row],[Magnum Wolfpak '#]],Table2[Rox Wolf'#],0)))</f>
        <v>220</v>
      </c>
      <c r="W83" s="24"/>
      <c r="X83" s="135">
        <f>IF(rrcworking[[#This Row],[Pressure Base]]=14.73,rrcworking[[#This Row],[Gas Sales Statement Volume (MCF)]]*$R$2,rrcworking[[#This Row],[Gas Sales Statement Volume (MCF)]])</f>
        <v>220</v>
      </c>
      <c r="Y83" s="85"/>
      <c r="Z83" s="60">
        <v>3</v>
      </c>
      <c r="AA83" s="143">
        <f>IF(ISERROR(INDEX(Table2[LEASE USE],MATCH(rrcworking[[#This Row],[Magnum Wolfpak '#]],Table2[Rox Wolf'#],0))),0,INDEX(Table2[LEASE USE],MATCH(rrcworking[[#This Row],[Magnum Wolfpak '#]],Table2[Rox Wolf'#],0)))</f>
        <v>12</v>
      </c>
      <c r="AB83" s="57">
        <f>rrcworking[[#This Row],[Disposition Volume (MCF) @ 14.65 MCF]]+rrcworking[[#This Row],[Lease Use (MCF)]]</f>
        <v>232</v>
      </c>
      <c r="AC83" s="37"/>
      <c r="AD83" s="37" t="s">
        <v>1285</v>
      </c>
      <c r="AE83" s="185">
        <f>COUNTIF(FilterList,rrcworking[[#This Row],[Magnum Wolfpak '#]])</f>
        <v>0</v>
      </c>
      <c r="AF83" s="182"/>
      <c r="AG83" s="183"/>
      <c r="AH83" s="37"/>
      <c r="AI83" s="183"/>
      <c r="AJ83" s="184"/>
      <c r="AK83" s="184"/>
      <c r="AL83" s="184"/>
      <c r="AM83" s="184"/>
      <c r="AN83" s="184"/>
      <c r="AO83" s="184"/>
      <c r="AP83" s="37" t="s">
        <v>1164</v>
      </c>
      <c r="AQ83" s="37" t="s">
        <v>1199</v>
      </c>
    </row>
    <row r="84" spans="3:43" ht="14" hidden="1">
      <c r="C84" s="82" t="e">
        <v>#N/A</v>
      </c>
      <c r="D84" s="98" t="s">
        <v>288</v>
      </c>
      <c r="E84" s="132" t="s">
        <v>289</v>
      </c>
      <c r="F84" s="128">
        <v>0</v>
      </c>
      <c r="G84" s="121" t="s">
        <v>1090</v>
      </c>
      <c r="H84" s="18" t="s">
        <v>618</v>
      </c>
      <c r="I84" s="18" t="s">
        <v>2</v>
      </c>
      <c r="J84" s="19" t="s">
        <v>539</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Q84" s="127">
        <f>rrcworking[[#This Row],[Last Month Closing Stock]]</f>
        <v>70</v>
      </c>
      <c r="R84">
        <f>rrcworking[[#This Row],[Opening Oil Stock]]</f>
        <v>70</v>
      </c>
      <c r="S84" s="144">
        <f>IF(ISERROR(INDEX(Table2[OIL],MATCH(rrcworking[[#This Row],[Magnum Wolfpak '#]],Table2[Rox Wolf'#],0))),0,INDEX(Table2[OIL],MATCH(rrcworking[[#This Row],[Magnum Wolfpak '#]],Table2[Rox Wolf'#],0)))</f>
        <v>0</v>
      </c>
      <c r="T84" s="35">
        <f>rrcworking[[#This Row],[Closing Stock (Oil)]]+rrcworking[[#This Row],[Sales/Dispostion]]-rrcworking[[#This Row],[Opening Oil Stock]]</f>
        <v>0</v>
      </c>
      <c r="U84" s="112">
        <f>rrcworking[[#This Row],[Gauge Sheet Prod Volume (oil)]]-rrcworking[[#This Row],[Oil Production]]</f>
        <v>0</v>
      </c>
      <c r="V84" s="143">
        <f>IF(ISERROR(INDEX(Table2[GAS],MATCH(rrcworking[[#This Row],[Magnum Wolfpak '#]],Table2[Rox Wolf'#],0))),0,INDEX(Table2[GAS],MATCH(rrcworking[[#This Row],[Magnum Wolfpak '#]],Table2[Rox Wolf'#],0)))</f>
        <v>0</v>
      </c>
      <c r="W84" s="24"/>
      <c r="X84" s="135">
        <f>IF(rrcworking[[#This Row],[Pressure Base]]=14.73,rrcworking[[#This Row],[Gas Sales Statement Volume (MCF)]]*$R$2,rrcworking[[#This Row],[Gas Sales Statement Volume (MCF)]])</f>
        <v>0</v>
      </c>
      <c r="Y84" s="60"/>
      <c r="Z84" s="60"/>
      <c r="AA84" s="143">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185">
        <f>COUNTIF(FilterList,rrcworking[[#This Row],[Magnum Wolfpak '#]])</f>
        <v>0</v>
      </c>
      <c r="AF84" s="182"/>
      <c r="AG84" s="183"/>
      <c r="AH84" s="37"/>
      <c r="AI84" s="37"/>
      <c r="AJ84" s="37"/>
      <c r="AK84" s="37"/>
      <c r="AL84" s="37"/>
      <c r="AM84" s="37"/>
      <c r="AN84" s="37"/>
      <c r="AO84" s="37"/>
      <c r="AP84" s="37"/>
      <c r="AQ84" s="37"/>
    </row>
    <row r="85" spans="3:43" ht="14" hidden="1">
      <c r="C85" s="80" t="e">
        <v>#N/A</v>
      </c>
      <c r="D85" s="62" t="s">
        <v>247</v>
      </c>
      <c r="E85" s="131" t="s">
        <v>248</v>
      </c>
      <c r="F85" s="129">
        <v>2</v>
      </c>
      <c r="G85" s="120" t="s">
        <v>1090</v>
      </c>
      <c r="H85" s="18" t="s">
        <v>618</v>
      </c>
      <c r="I85" s="18" t="s">
        <v>59</v>
      </c>
      <c r="J85" s="19" t="s">
        <v>512</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Q85" s="127">
        <f>rrcworking[[#This Row],[Last Month Closing Stock]]</f>
        <v>0</v>
      </c>
      <c r="R85">
        <f>rrcworking[[#This Row],[Opening Oil Stock]]</f>
        <v>0</v>
      </c>
      <c r="S85" s="143">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 Volume (oil)]]-rrcworking[[#This Row],[Oil Production]]</f>
        <v>0</v>
      </c>
      <c r="V85" s="143">
        <f>IF(ISERROR(INDEX(Table2[GAS],MATCH(rrcworking[[#This Row],[Magnum Wolfpak '#]],Table2[Rox Wolf'#],0))),0,INDEX(Table2[GAS],MATCH(rrcworking[[#This Row],[Magnum Wolfpak '#]],Table2[Rox Wolf'#],0)))</f>
        <v>0</v>
      </c>
      <c r="W85" s="24"/>
      <c r="X85" s="135">
        <f>IF(rrcworking[[#This Row],[Pressure Base]]=14.73,rrcworking[[#This Row],[Gas Sales Statement Volume (MCF)]]*$R$2,rrcworking[[#This Row],[Gas Sales Statement Volume (MCF)]])</f>
        <v>0</v>
      </c>
      <c r="Y85" s="60"/>
      <c r="Z85" s="60"/>
      <c r="AA85" s="143">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185">
        <f>COUNTIF(FilterList,rrcworking[[#This Row],[Magnum Wolfpak '#]])</f>
        <v>0</v>
      </c>
      <c r="AF85" s="182"/>
      <c r="AG85" s="183"/>
      <c r="AH85" s="37"/>
      <c r="AI85" s="37"/>
      <c r="AJ85" s="37"/>
      <c r="AK85" s="37"/>
      <c r="AL85" s="37"/>
      <c r="AM85" s="37"/>
      <c r="AN85" s="37"/>
      <c r="AO85" s="37"/>
      <c r="AP85" s="37"/>
      <c r="AQ85" s="37"/>
    </row>
    <row r="86" spans="3:43" ht="14" hidden="1">
      <c r="C86" s="80" t="e">
        <v>#N/A</v>
      </c>
      <c r="D86" s="62" t="s">
        <v>249</v>
      </c>
      <c r="E86" s="131" t="s">
        <v>248</v>
      </c>
      <c r="F86" s="129">
        <v>1</v>
      </c>
      <c r="G86" s="120" t="s">
        <v>1090</v>
      </c>
      <c r="H86" s="18" t="s">
        <v>618</v>
      </c>
      <c r="I86" s="18" t="s">
        <v>59</v>
      </c>
      <c r="J86" s="19" t="s">
        <v>513</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Q86" s="127">
        <f>rrcworking[[#This Row],[Last Month Closing Stock]]</f>
        <v>0</v>
      </c>
      <c r="R86">
        <f>rrcworking[[#This Row],[Opening Oil Stock]]</f>
        <v>0</v>
      </c>
      <c r="S86" s="143">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 Volume (oil)]]-rrcworking[[#This Row],[Oil Production]]</f>
        <v>0</v>
      </c>
      <c r="V86" s="143">
        <f>IF(ISERROR(INDEX(Table2[GAS],MATCH(rrcworking[[#This Row],[Magnum Wolfpak '#]],Table2[Rox Wolf'#],0))),0,INDEX(Table2[GAS],MATCH(rrcworking[[#This Row],[Magnum Wolfpak '#]],Table2[Rox Wolf'#],0)))</f>
        <v>0</v>
      </c>
      <c r="W86" s="24"/>
      <c r="X86" s="135">
        <f>IF(rrcworking[[#This Row],[Pressure Base]]=14.73,rrcworking[[#This Row],[Gas Sales Statement Volume (MCF)]]*$R$2,rrcworking[[#This Row],[Gas Sales Statement Volume (MCF)]])</f>
        <v>0</v>
      </c>
      <c r="Y86" s="60"/>
      <c r="Z86" s="60"/>
      <c r="AA86" s="143">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185">
        <f>COUNTIF(FilterList,rrcworking[[#This Row],[Magnum Wolfpak '#]])</f>
        <v>0</v>
      </c>
      <c r="AF86" s="182"/>
      <c r="AG86" s="183"/>
      <c r="AH86" s="37"/>
      <c r="AI86" s="37"/>
      <c r="AJ86" s="37"/>
      <c r="AK86" s="37"/>
      <c r="AL86" s="37"/>
      <c r="AM86" s="37"/>
      <c r="AN86" s="37"/>
      <c r="AO86" s="37"/>
      <c r="AP86" s="37"/>
      <c r="AQ86" s="37"/>
    </row>
    <row r="87" spans="3:43" ht="14" hidden="1">
      <c r="C87" s="80" t="e">
        <v>#N/A</v>
      </c>
      <c r="D87" s="62" t="s">
        <v>353</v>
      </c>
      <c r="E87" s="131" t="s">
        <v>356</v>
      </c>
      <c r="F87" s="129">
        <v>3</v>
      </c>
      <c r="G87" s="120" t="s">
        <v>1090</v>
      </c>
      <c r="H87" s="18" t="s">
        <v>619</v>
      </c>
      <c r="I87" s="18" t="s">
        <v>59</v>
      </c>
      <c r="J87" s="19" t="s">
        <v>581</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Q87" s="127">
        <f>rrcworking[[#This Row],[Last Month Closing Stock]]</f>
        <v>0</v>
      </c>
      <c r="R87">
        <f>rrcworking[[#This Row],[Opening Oil Stock]]</f>
        <v>0</v>
      </c>
      <c r="S87" s="143">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 Volume (oil)]]-rrcworking[[#This Row],[Oil Production]]</f>
        <v>0</v>
      </c>
      <c r="V87" s="143">
        <f>IF(ISERROR(INDEX(Table2[GAS],MATCH(rrcworking[[#This Row],[Magnum Wolfpak '#]],Table2[Rox Wolf'#],0))),0,INDEX(Table2[GAS],MATCH(rrcworking[[#This Row],[Magnum Wolfpak '#]],Table2[Rox Wolf'#],0)))</f>
        <v>0</v>
      </c>
      <c r="W87" s="24"/>
      <c r="X87" s="135">
        <f>IF(rrcworking[[#This Row],[Pressure Base]]=14.73,rrcworking[[#This Row],[Gas Sales Statement Volume (MCF)]]*$R$2,rrcworking[[#This Row],[Gas Sales Statement Volume (MCF)]])</f>
        <v>0</v>
      </c>
      <c r="Y87" s="60"/>
      <c r="Z87" s="60"/>
      <c r="AA87" s="143">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185">
        <f>COUNTIF(FilterList,rrcworking[[#This Row],[Magnum Wolfpak '#]])</f>
        <v>0</v>
      </c>
      <c r="AF87" s="182"/>
      <c r="AG87" s="183"/>
      <c r="AH87" s="37"/>
      <c r="AI87" s="37"/>
      <c r="AJ87" s="37"/>
      <c r="AK87" s="37"/>
      <c r="AL87" s="37"/>
      <c r="AM87" s="37"/>
      <c r="AN87" s="37"/>
      <c r="AO87" s="37"/>
      <c r="AP87" s="37"/>
      <c r="AQ87" s="37"/>
    </row>
    <row r="88" spans="3:43" ht="14" hidden="1">
      <c r="C88" s="80">
        <v>99066</v>
      </c>
      <c r="D88" s="62" t="s">
        <v>353</v>
      </c>
      <c r="E88" s="131" t="s">
        <v>355</v>
      </c>
      <c r="F88" s="129">
        <v>2</v>
      </c>
      <c r="G88" s="120" t="s">
        <v>1090</v>
      </c>
      <c r="H88" s="18" t="s">
        <v>619</v>
      </c>
      <c r="I88" s="18" t="s">
        <v>59</v>
      </c>
      <c r="J88" s="19" t="s">
        <v>580</v>
      </c>
      <c r="K88" s="103">
        <v>11885</v>
      </c>
      <c r="L88" s="101">
        <f>INDEX(Table1[Production],MATCH(rrcworking[[#This Row],[RRC ID Number]],Table1[RRC Identifier],0))</f>
        <v>0</v>
      </c>
      <c r="M88" s="30">
        <f>INDEX(Table1[Formation Production],MATCH(rrcworking[[#This Row],[RRC ID Number]],Table1[RRC Identifier],0))</f>
        <v>743</v>
      </c>
      <c r="N88" s="31">
        <f>INDEX(Table1[On Hand End of Month],MATCH(rrcworking[[#This Row],[RRC ID Number]],Table1[RRC Identifier],0))</f>
        <v>0</v>
      </c>
      <c r="O88" s="106" t="b">
        <f t="shared" si="2"/>
        <v>0</v>
      </c>
      <c r="Q88" s="127">
        <f>rrcworking[[#This Row],[Last Month Closing Stock]]</f>
        <v>0</v>
      </c>
      <c r="S88" s="143">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 Volume (oil)]]-rrcworking[[#This Row],[Oil Production]]</f>
        <v>0</v>
      </c>
      <c r="V88" s="143">
        <f>IF(ISERROR(INDEX(Table2[GAS],MATCH(rrcworking[[#This Row],[Magnum Wolfpak '#]],Table2[Rox Wolf'#],0))),0,INDEX(Table2[GAS],MATCH(rrcworking[[#This Row],[Magnum Wolfpak '#]],Table2[Rox Wolf'#],0)))</f>
        <v>774</v>
      </c>
      <c r="W88" s="24"/>
      <c r="X88" s="135">
        <f>IF(rrcworking[[#This Row],[Pressure Base]]=14.73,rrcworking[[#This Row],[Gas Sales Statement Volume (MCF)]]*$R$2,rrcworking[[#This Row],[Gas Sales Statement Volume (MCF)]])</f>
        <v>774</v>
      </c>
      <c r="Y88" s="60"/>
      <c r="Z88" s="60"/>
      <c r="AA88" s="143">
        <f>IF(ISERROR(INDEX(Table2[LEASE USE],MATCH(rrcworking[[#This Row],[Magnum Wolfpak '#]],Table2[Rox Wolf'#],0))),0,INDEX(Table2[LEASE USE],MATCH(rrcworking[[#This Row],[Magnum Wolfpak '#]],Table2[Rox Wolf'#],0)))</f>
        <v>0</v>
      </c>
      <c r="AB88" s="57">
        <f>rrcworking[[#This Row],[Disposition Volume (MCF) @ 14.65 MCF]]+rrcworking[[#This Row],[Lease Use (MCF)]]</f>
        <v>774</v>
      </c>
      <c r="AC88" s="37"/>
      <c r="AD88" s="37"/>
      <c r="AE88" s="185">
        <f>COUNTIF(FilterList,rrcworking[[#This Row],[Magnum Wolfpak '#]])</f>
        <v>0</v>
      </c>
      <c r="AF88" s="182"/>
      <c r="AG88" s="183"/>
      <c r="AH88" s="87"/>
      <c r="AI88" s="87"/>
      <c r="AJ88" s="184"/>
      <c r="AK88" s="184"/>
      <c r="AL88" s="184"/>
      <c r="AM88" s="184"/>
      <c r="AN88" s="184"/>
      <c r="AO88" s="184"/>
      <c r="AP88" s="37" t="s">
        <v>1164</v>
      </c>
      <c r="AQ88" s="37" t="s">
        <v>1201</v>
      </c>
    </row>
    <row r="89" spans="3:43" ht="14" hidden="1">
      <c r="C89" s="80">
        <v>99113</v>
      </c>
      <c r="D89" s="62" t="s">
        <v>353</v>
      </c>
      <c r="E89" s="131" t="s">
        <v>354</v>
      </c>
      <c r="F89" s="129">
        <v>1</v>
      </c>
      <c r="G89" s="120" t="s">
        <v>1090</v>
      </c>
      <c r="H89" s="18" t="s">
        <v>619</v>
      </c>
      <c r="I89" s="18" t="s">
        <v>59</v>
      </c>
      <c r="J89" s="19" t="s">
        <v>579</v>
      </c>
      <c r="K89" s="103">
        <v>11877</v>
      </c>
      <c r="L89" s="101">
        <f>INDEX(Table1[Production],MATCH(rrcworking[[#This Row],[RRC ID Number]],Table1[RRC Identifier],0))</f>
        <v>0</v>
      </c>
      <c r="M89" s="30">
        <f>INDEX(Table1[Formation Production],MATCH(rrcworking[[#This Row],[RRC ID Number]],Table1[RRC Identifier],0))</f>
        <v>185</v>
      </c>
      <c r="N89" s="31">
        <f>INDEX(Table1[On Hand End of Month],MATCH(rrcworking[[#This Row],[RRC ID Number]],Table1[RRC Identifier],0))</f>
        <v>0</v>
      </c>
      <c r="O89" s="106" t="b">
        <f t="shared" si="2"/>
        <v>0</v>
      </c>
      <c r="Q89" s="127">
        <f>rrcworking[[#This Row],[Last Month Closing Stock]]</f>
        <v>0</v>
      </c>
      <c r="R89">
        <f>rrcworking[[#This Row],[Opening Oil Stock]]</f>
        <v>0</v>
      </c>
      <c r="S89" s="143">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 Volume (oil)]]-rrcworking[[#This Row],[Oil Production]]</f>
        <v>0</v>
      </c>
      <c r="V89" s="143">
        <f>IF(ISERROR(INDEX(Table2[GAS],MATCH(rrcworking[[#This Row],[Magnum Wolfpak '#]],Table2[Rox Wolf'#],0))),0,INDEX(Table2[GAS],MATCH(rrcworking[[#This Row],[Magnum Wolfpak '#]],Table2[Rox Wolf'#],0)))</f>
        <v>199</v>
      </c>
      <c r="W89" s="24"/>
      <c r="X89" s="135">
        <f>IF(rrcworking[[#This Row],[Pressure Base]]=14.73,rrcworking[[#This Row],[Gas Sales Statement Volume (MCF)]]*$R$2,rrcworking[[#This Row],[Gas Sales Statement Volume (MCF)]])</f>
        <v>199</v>
      </c>
      <c r="Y89" s="60"/>
      <c r="Z89" s="60"/>
      <c r="AA89" s="143">
        <f>IF(ISERROR(INDEX(Table2[LEASE USE],MATCH(rrcworking[[#This Row],[Magnum Wolfpak '#]],Table2[Rox Wolf'#],0))),0,INDEX(Table2[LEASE USE],MATCH(rrcworking[[#This Row],[Magnum Wolfpak '#]],Table2[Rox Wolf'#],0)))</f>
        <v>0</v>
      </c>
      <c r="AB89" s="57">
        <f>rrcworking[[#This Row],[Disposition Volume (MCF) @ 14.65 MCF]]+rrcworking[[#This Row],[Lease Use (MCF)]]</f>
        <v>199</v>
      </c>
      <c r="AC89" s="37"/>
      <c r="AD89" s="37"/>
      <c r="AE89" s="185">
        <f>COUNTIF(FilterList,rrcworking[[#This Row],[Magnum Wolfpak '#]])</f>
        <v>0</v>
      </c>
      <c r="AF89" s="182"/>
      <c r="AG89" s="183"/>
      <c r="AH89" s="87"/>
      <c r="AI89" s="87"/>
      <c r="AJ89" s="184"/>
      <c r="AK89" s="184"/>
      <c r="AL89" s="184"/>
      <c r="AM89" s="184"/>
      <c r="AN89" s="184"/>
      <c r="AO89" s="184"/>
      <c r="AP89" s="37" t="s">
        <v>1164</v>
      </c>
      <c r="AQ89" s="37" t="s">
        <v>1190</v>
      </c>
    </row>
    <row r="90" spans="3:43" ht="112" hidden="1">
      <c r="C90" s="80">
        <v>99278</v>
      </c>
      <c r="D90" s="62" t="s">
        <v>174</v>
      </c>
      <c r="E90" s="131" t="s">
        <v>175</v>
      </c>
      <c r="F90" s="129" t="s">
        <v>176</v>
      </c>
      <c r="G90" s="120" t="s">
        <v>1090</v>
      </c>
      <c r="H90" s="18" t="s">
        <v>618</v>
      </c>
      <c r="I90" s="18" t="s">
        <v>59</v>
      </c>
      <c r="J90" s="19" t="s">
        <v>474</v>
      </c>
      <c r="K90" s="103">
        <v>206045</v>
      </c>
      <c r="L90" s="101">
        <f>INDEX(Table1[Production],MATCH(rrcworking[[#This Row],[RRC ID Number]],Table1[RRC Identifier],0))</f>
        <v>29</v>
      </c>
      <c r="M90" s="30">
        <f>INDEX(Table1[Formation Production],MATCH(rrcworking[[#This Row],[RRC ID Number]],Table1[RRC Identifier],0))</f>
        <v>7912</v>
      </c>
      <c r="N90" s="31">
        <f>INDEX(Table1[On Hand End of Month],MATCH(rrcworking[[#This Row],[RRC ID Number]],Table1[RRC Identifier],0))</f>
        <v>124</v>
      </c>
      <c r="O90" s="106" t="b">
        <f t="shared" si="2"/>
        <v>0</v>
      </c>
      <c r="P90">
        <v>15</v>
      </c>
      <c r="Q90" s="127">
        <f>rrcworking[[#This Row],[Last Month Closing Stock]]</f>
        <v>124</v>
      </c>
      <c r="R90">
        <v>149</v>
      </c>
      <c r="S90" s="143">
        <f>IF(ISERROR(INDEX(Table2[OIL],MATCH(rrcworking[[#This Row],[Magnum Wolfpak '#]],Table2[Rox Wolf'#],0))),0,INDEX(Table2[OIL],MATCH(rrcworking[[#This Row],[Magnum Wolfpak '#]],Table2[Rox Wolf'#],0)))</f>
        <v>0</v>
      </c>
      <c r="T90" s="35">
        <f>rrcworking[[#This Row],[Closing Stock (Oil)]]+rrcworking[[#This Row],[Sales/Dispostion]]-rrcworking[[#This Row],[Opening Oil Stock]]</f>
        <v>25</v>
      </c>
      <c r="U90" s="112">
        <f>rrcworking[[#This Row],[Gauge Sheet Prod Volume (oil)]]-rrcworking[[#This Row],[Oil Production]]</f>
        <v>-10</v>
      </c>
      <c r="V90" s="143">
        <f>IF(ISERROR(INDEX(Table2[GAS],MATCH(rrcworking[[#This Row],[Magnum Wolfpak '#]],Table2[Rox Wolf'#],0))),0,INDEX(Table2[GAS],MATCH(rrcworking[[#This Row],[Magnum Wolfpak '#]],Table2[Rox Wolf'#],0)))</f>
        <v>6796</v>
      </c>
      <c r="W90" s="24"/>
      <c r="X90" s="135">
        <f>IF(rrcworking[[#This Row],[Pressure Base]]=14.73,rrcworking[[#This Row],[Gas Sales Statement Volume (MCF)]]*$R$2,rrcworking[[#This Row],[Gas Sales Statement Volume (MCF)]])</f>
        <v>6796</v>
      </c>
      <c r="Y90" s="85"/>
      <c r="Z90" s="60">
        <v>13</v>
      </c>
      <c r="AA90" s="143">
        <f>IF(ISERROR(INDEX(Table2[LEASE USE],MATCH(rrcworking[[#This Row],[Magnum Wolfpak '#]],Table2[Rox Wolf'#],0))),0,INDEX(Table2[LEASE USE],MATCH(rrcworking[[#This Row],[Magnum Wolfpak '#]],Table2[Rox Wolf'#],0)))</f>
        <v>390</v>
      </c>
      <c r="AB90" s="57">
        <f>rrcworking[[#This Row],[Disposition Volume (MCF) @ 14.65 MCF]]+rrcworking[[#This Row],[Lease Use (MCF)]]</f>
        <v>7186</v>
      </c>
      <c r="AC90" s="37"/>
      <c r="AD90" s="37" t="s">
        <v>1291</v>
      </c>
      <c r="AE90" s="185">
        <f>COUNTIF(FilterList,rrcworking[[#This Row],[Magnum Wolfpak '#]])</f>
        <v>0</v>
      </c>
      <c r="AF90" s="182"/>
      <c r="AG90" s="183"/>
      <c r="AH90" s="37"/>
      <c r="AI90" s="37"/>
      <c r="AJ90" s="37">
        <v>2</v>
      </c>
      <c r="AK90" s="37" t="s">
        <v>1140</v>
      </c>
      <c r="AL90" s="37" t="s">
        <v>1166</v>
      </c>
      <c r="AM90" s="37" t="s">
        <v>1202</v>
      </c>
      <c r="AN90" s="37" t="s">
        <v>1140</v>
      </c>
      <c r="AO90" s="37" t="s">
        <v>1172</v>
      </c>
      <c r="AP90" s="37" t="s">
        <v>1203</v>
      </c>
      <c r="AQ90" s="37"/>
    </row>
    <row r="91" spans="3:43" ht="14" hidden="1">
      <c r="C91" s="80" t="e">
        <v>#N/A</v>
      </c>
      <c r="D91" s="62" t="s">
        <v>114</v>
      </c>
      <c r="E91" s="131" t="s">
        <v>115</v>
      </c>
      <c r="F91" s="129">
        <v>1</v>
      </c>
      <c r="G91" s="120">
        <v>5113</v>
      </c>
      <c r="H91" s="18" t="s">
        <v>617</v>
      </c>
      <c r="I91" s="18" t="s">
        <v>59</v>
      </c>
      <c r="J91" s="19" t="s">
        <v>437</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Q91" s="127">
        <f>rrcworking[[#This Row],[Last Month Closing Stock]]</f>
        <v>84</v>
      </c>
      <c r="R91">
        <f>rrcworking[[#This Row],[Opening Oil Stock]]</f>
        <v>84</v>
      </c>
      <c r="S91" s="143">
        <f>IF(ISERROR(INDEX(Table2[OIL],MATCH(rrcworking[[#This Row],[Magnum Wolfpak '#]],Table2[Rox Wolf'#],0))),0,INDEX(Table2[OIL],MATCH(rrcworking[[#This Row],[Magnum Wolfpak '#]],Table2[Rox Wolf'#],0)))</f>
        <v>0</v>
      </c>
      <c r="T91" s="35">
        <f>rrcworking[[#This Row],[Closing Stock (Oil)]]+rrcworking[[#This Row],[Sales/Dispostion]]-rrcworking[[#This Row],[Opening Oil Stock]]</f>
        <v>0</v>
      </c>
      <c r="U91" s="112">
        <f>rrcworking[[#This Row],[Gauge Sheet Prod Volume (oil)]]-rrcworking[[#This Row],[Oil Production]]</f>
        <v>0</v>
      </c>
      <c r="V91" s="143">
        <f>IF(ISERROR(INDEX(Table2[GAS],MATCH(rrcworking[[#This Row],[Magnum Wolfpak '#]],Table2[Rox Wolf'#],0))),0,INDEX(Table2[GAS],MATCH(rrcworking[[#This Row],[Magnum Wolfpak '#]],Table2[Rox Wolf'#],0)))</f>
        <v>0</v>
      </c>
      <c r="W91" s="24"/>
      <c r="X91" s="135">
        <f>IF(rrcworking[[#This Row],[Pressure Base]]=14.73,rrcworking[[#This Row],[Gas Sales Statement Volume (MCF)]]*$R$2,rrcworking[[#This Row],[Gas Sales Statement Volume (MCF)]])</f>
        <v>0</v>
      </c>
      <c r="Y91" s="60"/>
      <c r="Z91" s="60"/>
      <c r="AA91" s="143">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185">
        <f>COUNTIF(FilterList,rrcworking[[#This Row],[Magnum Wolfpak '#]])</f>
        <v>0</v>
      </c>
      <c r="AF91" s="182"/>
      <c r="AG91" s="183"/>
      <c r="AH91" s="37"/>
      <c r="AI91" s="37"/>
      <c r="AJ91" s="37"/>
      <c r="AK91" s="37"/>
      <c r="AL91" s="37"/>
      <c r="AM91" s="37"/>
      <c r="AN91" s="37"/>
      <c r="AO91" s="37"/>
      <c r="AP91" s="37"/>
      <c r="AQ91" s="37"/>
    </row>
    <row r="92" spans="3:43" ht="14" hidden="1">
      <c r="C92" s="80" t="e">
        <v>#N/A</v>
      </c>
      <c r="D92" s="62" t="s">
        <v>359</v>
      </c>
      <c r="E92" s="131" t="s">
        <v>360</v>
      </c>
      <c r="F92" s="129">
        <v>1</v>
      </c>
      <c r="G92" s="120" t="s">
        <v>1090</v>
      </c>
      <c r="H92" s="18" t="s">
        <v>619</v>
      </c>
      <c r="I92" s="18" t="s">
        <v>59</v>
      </c>
      <c r="J92" s="19" t="s">
        <v>583</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Q92" s="127">
        <f>rrcworking[[#This Row],[Last Month Closing Stock]]</f>
        <v>166</v>
      </c>
      <c r="R92">
        <f>rrcworking[[#This Row],[Opening Oil Stock]]</f>
        <v>166</v>
      </c>
      <c r="S92" s="143">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 Volume (oil)]]-rrcworking[[#This Row],[Oil Production]]</f>
        <v>0</v>
      </c>
      <c r="V92" s="143">
        <f>IF(ISERROR(INDEX(Table2[GAS],MATCH(rrcworking[[#This Row],[Magnum Wolfpak '#]],Table2[Rox Wolf'#],0))),0,INDEX(Table2[GAS],MATCH(rrcworking[[#This Row],[Magnum Wolfpak '#]],Table2[Rox Wolf'#],0)))</f>
        <v>0</v>
      </c>
      <c r="W92" s="24"/>
      <c r="X92" s="135">
        <f>IF(rrcworking[[#This Row],[Pressure Base]]=14.73,rrcworking[[#This Row],[Gas Sales Statement Volume (MCF)]]*$R$2,rrcworking[[#This Row],[Gas Sales Statement Volume (MCF)]])</f>
        <v>0</v>
      </c>
      <c r="Y92" s="60"/>
      <c r="Z92" s="60"/>
      <c r="AA92" s="143">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185">
        <f>COUNTIF(FilterList,rrcworking[[#This Row],[Magnum Wolfpak '#]])</f>
        <v>0</v>
      </c>
      <c r="AF92" s="182"/>
      <c r="AG92" s="183"/>
      <c r="AH92" s="37"/>
      <c r="AI92" s="37"/>
      <c r="AJ92" s="37"/>
      <c r="AK92" s="37"/>
      <c r="AL92" s="37"/>
      <c r="AM92" s="37"/>
      <c r="AN92" s="37"/>
      <c r="AO92" s="37"/>
      <c r="AP92" s="37"/>
      <c r="AQ92" s="37"/>
    </row>
    <row r="93" spans="3:43" ht="14" hidden="1">
      <c r="C93" s="80">
        <v>98990</v>
      </c>
      <c r="D93" s="62" t="s">
        <v>339</v>
      </c>
      <c r="E93" s="131" t="s">
        <v>340</v>
      </c>
      <c r="F93" s="129">
        <v>2</v>
      </c>
      <c r="G93" s="120" t="s">
        <v>1090</v>
      </c>
      <c r="H93" s="18" t="s">
        <v>619</v>
      </c>
      <c r="I93" s="18" t="s">
        <v>59</v>
      </c>
      <c r="J93" s="19" t="s">
        <v>572</v>
      </c>
      <c r="K93" s="103">
        <v>173434</v>
      </c>
      <c r="L93" s="101">
        <f>INDEX(Table1[Production],MATCH(rrcworking[[#This Row],[RRC ID Number]],Table1[RRC Identifier],0))</f>
        <v>0</v>
      </c>
      <c r="M93" s="30">
        <f>INDEX(Table1[Formation Production],MATCH(rrcworking[[#This Row],[RRC ID Number]],Table1[RRC Identifier],0))</f>
        <v>107</v>
      </c>
      <c r="N93" s="31">
        <f>INDEX(Table1[On Hand End of Month],MATCH(rrcworking[[#This Row],[RRC ID Number]],Table1[RRC Identifier],0))</f>
        <v>169</v>
      </c>
      <c r="O93" s="106" t="b">
        <f t="shared" si="2"/>
        <v>0</v>
      </c>
      <c r="P93">
        <v>0</v>
      </c>
      <c r="Q93" s="127">
        <f>rrcworking[[#This Row],[Last Month Closing Stock]]</f>
        <v>169</v>
      </c>
      <c r="R93">
        <v>169</v>
      </c>
      <c r="S93" s="143">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 Volume (oil)]]-rrcworking[[#This Row],[Oil Production]]</f>
        <v>0</v>
      </c>
      <c r="V93" s="143">
        <f>IF(ISERROR(INDEX(Table2[GAS],MATCH(rrcworking[[#This Row],[Magnum Wolfpak '#]],Table2[Rox Wolf'#],0))),0,INDEX(Table2[GAS],MATCH(rrcworking[[#This Row],[Magnum Wolfpak '#]],Table2[Rox Wolf'#],0)))</f>
        <v>0</v>
      </c>
      <c r="W93" s="24"/>
      <c r="X93" s="135">
        <f>IF(rrcworking[[#This Row],[Pressure Base]]=14.73,rrcworking[[#This Row],[Gas Sales Statement Volume (MCF)]]*$R$2,rrcworking[[#This Row],[Gas Sales Statement Volume (MCF)]])</f>
        <v>0</v>
      </c>
      <c r="Y93" s="60"/>
      <c r="Z93" s="60">
        <v>0</v>
      </c>
      <c r="AA93" s="143">
        <f>IF(ISERROR(INDEX(Table2[LEASE USE],MATCH(rrcworking[[#This Row],[Magnum Wolfpak '#]],Table2[Rox Wolf'#],0))),0,INDEX(Table2[LEASE USE],MATCH(rrcworking[[#This Row],[Magnum Wolfpak '#]],Table2[Rox Wolf'#],0)))</f>
        <v>0</v>
      </c>
      <c r="AB93" s="57">
        <f>rrcworking[[#This Row],[Disposition Volume (MCF) @ 14.65 MCF]]+rrcworking[[#This Row],[Lease Use (MCF)]]</f>
        <v>0</v>
      </c>
      <c r="AC93" s="37"/>
      <c r="AD93" s="37"/>
      <c r="AE93" s="185">
        <f>COUNTIF(FilterList,rrcworking[[#This Row],[Magnum Wolfpak '#]])</f>
        <v>0</v>
      </c>
      <c r="AF93" s="182"/>
      <c r="AG93" s="183"/>
      <c r="AH93" s="37"/>
      <c r="AI93" s="37"/>
      <c r="AJ93" s="37">
        <v>1</v>
      </c>
      <c r="AK93" s="37" t="s">
        <v>1166</v>
      </c>
      <c r="AL93" s="37" t="s">
        <v>1166</v>
      </c>
      <c r="AM93" s="37" t="s">
        <v>1171</v>
      </c>
      <c r="AN93" s="37" t="s">
        <v>1140</v>
      </c>
      <c r="AO93" s="37" t="s">
        <v>1204</v>
      </c>
      <c r="AP93" s="37" t="s">
        <v>1205</v>
      </c>
      <c r="AQ93" s="37"/>
    </row>
    <row r="94" spans="3:43" ht="14" hidden="1">
      <c r="C94" s="80">
        <v>93901</v>
      </c>
      <c r="D94" s="62" t="s">
        <v>95</v>
      </c>
      <c r="E94" s="131" t="s">
        <v>97</v>
      </c>
      <c r="F94" s="129">
        <v>0</v>
      </c>
      <c r="G94" s="120" t="s">
        <v>1090</v>
      </c>
      <c r="H94" s="18" t="s">
        <v>617</v>
      </c>
      <c r="I94" s="18" t="s">
        <v>2</v>
      </c>
      <c r="J94" s="19" t="s">
        <v>426</v>
      </c>
      <c r="K94" s="103">
        <v>6169</v>
      </c>
      <c r="L94" s="101">
        <f>INDEX(Table1[Production],MATCH(rrcworking[[#This Row],[RRC ID Number]],Table1[RRC Identifier],0))</f>
        <v>20</v>
      </c>
      <c r="M94" s="30">
        <f>INDEX(Table1[Formation Production],MATCH(rrcworking[[#This Row],[RRC ID Number]],Table1[RRC Identifier],0))</f>
        <v>0</v>
      </c>
      <c r="N94" s="31">
        <f>INDEX(Table1[On Hand End of Month],MATCH(rrcworking[[#This Row],[RRC ID Number]],Table1[RRC Identifier],0))</f>
        <v>140</v>
      </c>
      <c r="O94" s="106" t="b">
        <f t="shared" si="2"/>
        <v>0</v>
      </c>
      <c r="P94">
        <v>15</v>
      </c>
      <c r="Q94" s="127">
        <f>rrcworking[[#This Row],[Last Month Closing Stock]]</f>
        <v>140</v>
      </c>
      <c r="R94">
        <v>27</v>
      </c>
      <c r="S94" s="143">
        <f>IF(ISERROR(INDEX(Table2[OIL],MATCH(rrcworking[[#This Row],[Magnum Wolfpak '#]],Table2[Rox Wolf'#],0))),0,INDEX(Table2[OIL],MATCH(rrcworking[[#This Row],[Magnum Wolfpak '#]],Table2[Rox Wolf'#],0)))</f>
        <v>126</v>
      </c>
      <c r="T94" s="35">
        <f>rrcworking[[#This Row],[Closing Stock (Oil)]]+rrcworking[[#This Row],[Sales/Dispostion]]-rrcworking[[#This Row],[Opening Oil Stock]]</f>
        <v>13</v>
      </c>
      <c r="U94" s="112">
        <f>rrcworking[[#This Row],[Gauge Sheet Prod Volume (oil)]]-rrcworking[[#This Row],[Oil Production]]</f>
        <v>2</v>
      </c>
      <c r="V94" s="143">
        <f>IF(ISERROR(INDEX(Table2[GAS],MATCH(rrcworking[[#This Row],[Magnum Wolfpak '#]],Table2[Rox Wolf'#],0))),0,INDEX(Table2[GAS],MATCH(rrcworking[[#This Row],[Magnum Wolfpak '#]],Table2[Rox Wolf'#],0)))</f>
        <v>0</v>
      </c>
      <c r="W94" s="24"/>
      <c r="X94" s="135">
        <f>IF(rrcworking[[#This Row],[Pressure Base]]=14.73,rrcworking[[#This Row],[Gas Sales Statement Volume (MCF)]]*$R$2,rrcworking[[#This Row],[Gas Sales Statement Volume (MCF)]])</f>
        <v>0</v>
      </c>
      <c r="Y94" s="60"/>
      <c r="Z94" s="60"/>
      <c r="AA94" s="143">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185">
        <f>COUNTIF(FilterList,rrcworking[[#This Row],[Magnum Wolfpak '#]])</f>
        <v>0</v>
      </c>
      <c r="AF94" s="182"/>
      <c r="AG94" s="183"/>
      <c r="AH94" s="37"/>
      <c r="AI94" s="183"/>
      <c r="AJ94" s="184"/>
      <c r="AK94" s="184"/>
      <c r="AL94" s="184"/>
      <c r="AM94" s="184"/>
      <c r="AN94" s="184"/>
      <c r="AO94" s="184"/>
      <c r="AP94" s="37" t="s">
        <v>1164</v>
      </c>
      <c r="AQ94" s="37" t="s">
        <v>1170</v>
      </c>
    </row>
    <row r="95" spans="3:43" ht="14" hidden="1">
      <c r="C95" s="80" t="e">
        <v>#N/A</v>
      </c>
      <c r="D95" s="62" t="s">
        <v>214</v>
      </c>
      <c r="E95" s="131" t="s">
        <v>211</v>
      </c>
      <c r="F95" s="129">
        <v>7</v>
      </c>
      <c r="G95" s="120">
        <v>1471</v>
      </c>
      <c r="H95" s="18" t="s">
        <v>618</v>
      </c>
      <c r="I95" s="18" t="s">
        <v>59</v>
      </c>
      <c r="J95" s="19" t="s">
        <v>496</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Q95" s="127">
        <f>rrcworking[[#This Row],[Last Month Closing Stock]]</f>
        <v>0</v>
      </c>
      <c r="R95">
        <f>rrcworking[[#This Row],[Opening Oil Stock]]</f>
        <v>0</v>
      </c>
      <c r="S95" s="143">
        <f>IF(ISERROR(INDEX(Table2[OIL],MATCH(rrcworking[[#This Row],[Magnum Wolfpak '#]],Table2[Rox Wolf'#],0))),0,INDEX(Table2[OIL],MATCH(rrcworking[[#This Row],[Magnum Wolfpak '#]],Table2[Rox Wolf'#],0)))</f>
        <v>0</v>
      </c>
      <c r="T95" s="35">
        <f>rrcworking[[#This Row],[Closing Stock (Oil)]]+rrcworking[[#This Row],[Sales/Dispostion]]-rrcworking[[#This Row],[Opening Oil Stock]]</f>
        <v>0</v>
      </c>
      <c r="U95" s="112">
        <f>rrcworking[[#This Row],[Gauge Sheet Prod Volume (oil)]]-rrcworking[[#This Row],[Oil Production]]</f>
        <v>0</v>
      </c>
      <c r="V95" s="143">
        <f>IF(ISERROR(INDEX(Table2[GAS],MATCH(rrcworking[[#This Row],[Magnum Wolfpak '#]],Table2[Rox Wolf'#],0))),0,INDEX(Table2[GAS],MATCH(rrcworking[[#This Row],[Magnum Wolfpak '#]],Table2[Rox Wolf'#],0)))</f>
        <v>0</v>
      </c>
      <c r="W95" s="24"/>
      <c r="X95" s="135">
        <f>IF(rrcworking[[#This Row],[Pressure Base]]=14.73,rrcworking[[#This Row],[Gas Sales Statement Volume (MCF)]]*$R$2,rrcworking[[#This Row],[Gas Sales Statement Volume (MCF)]])</f>
        <v>0</v>
      </c>
      <c r="Y95" s="60"/>
      <c r="Z95" s="60"/>
      <c r="AA95" s="143">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185">
        <f>COUNTIF(FilterList,rrcworking[[#This Row],[Magnum Wolfpak '#]])</f>
        <v>0</v>
      </c>
      <c r="AF95" s="182"/>
      <c r="AG95" s="183"/>
      <c r="AH95" s="37"/>
      <c r="AI95" s="37"/>
      <c r="AJ95" s="37"/>
      <c r="AK95" s="37"/>
      <c r="AL95" s="37"/>
      <c r="AM95" s="37"/>
      <c r="AN95" s="37"/>
      <c r="AO95" s="37"/>
      <c r="AP95" s="37"/>
      <c r="AQ95" s="37"/>
    </row>
    <row r="96" spans="3:43" ht="28" hidden="1">
      <c r="C96" s="80">
        <v>99159</v>
      </c>
      <c r="D96" s="62" t="s">
        <v>209</v>
      </c>
      <c r="E96" s="131" t="s">
        <v>211</v>
      </c>
      <c r="F96" s="140" t="s">
        <v>62</v>
      </c>
      <c r="G96" s="120"/>
      <c r="H96" s="18" t="s">
        <v>618</v>
      </c>
      <c r="I96" s="166" t="s">
        <v>59</v>
      </c>
      <c r="J96" s="165" t="s">
        <v>1133</v>
      </c>
      <c r="K96" s="103">
        <v>287522</v>
      </c>
      <c r="L96" s="101">
        <f>INDEX(Table1[Production],MATCH(rrcworking[[#This Row],[RRC ID Number]],Table1[RRC Identifier],0))</f>
        <v>17</v>
      </c>
      <c r="M96" s="30">
        <f>INDEX(Table1[Formation Production],MATCH(rrcworking[[#This Row],[RRC ID Number]],Table1[RRC Identifier],0))</f>
        <v>3692</v>
      </c>
      <c r="N96" s="31">
        <f>INDEX(Table1[On Hand End of Month],MATCH(rrcworking[[#This Row],[RRC ID Number]],Table1[RRC Identifier],0))</f>
        <v>66</v>
      </c>
      <c r="O96" s="106" t="b">
        <f t="shared" si="2"/>
        <v>0</v>
      </c>
      <c r="P96">
        <v>15</v>
      </c>
      <c r="Q96" s="127">
        <f>rrcworking[[#This Row],[Last Month Closing Stock]]</f>
        <v>66</v>
      </c>
      <c r="R96">
        <v>81</v>
      </c>
      <c r="S96" s="143">
        <f>IF(ISERROR(INDEX(Table2[OIL],MATCH(rrcworking[[#This Row],[Magnum Wolfpak '#]],Table2[Rox Wolf'#],0))),0,INDEX(Table2[OIL],MATCH(rrcworking[[#This Row],[Magnum Wolfpak '#]],Table2[Rox Wolf'#],0)))</f>
        <v>0</v>
      </c>
      <c r="T96" s="35">
        <f>rrcworking[[#This Row],[Closing Stock (Oil)]]+rrcworking[[#This Row],[Sales/Dispostion]]-rrcworking[[#This Row],[Opening Oil Stock]]</f>
        <v>15</v>
      </c>
      <c r="U96" s="112">
        <f>rrcworking[[#This Row],[Gauge Sheet Prod Volume (oil)]]-rrcworking[[#This Row],[Oil Production]]</f>
        <v>0</v>
      </c>
      <c r="V96" s="143">
        <f>IF(ISERROR(INDEX(Table2[GAS],MATCH(rrcworking[[#This Row],[Magnum Wolfpak '#]],Table2[Rox Wolf'#],0))),0,INDEX(Table2[GAS],MATCH(rrcworking[[#This Row],[Magnum Wolfpak '#]],Table2[Rox Wolf'#],0)))</f>
        <v>3368</v>
      </c>
      <c r="W96" s="24"/>
      <c r="X96" s="135">
        <f>IF(rrcworking[[#This Row],[Pressure Base]]=14.73,rrcworking[[#This Row],[Gas Sales Statement Volume (MCF)]]*$R$2,rrcworking[[#This Row],[Gas Sales Statement Volume (MCF)]])</f>
        <v>3368</v>
      </c>
      <c r="Y96" s="85"/>
      <c r="Z96" s="60">
        <v>6</v>
      </c>
      <c r="AA96" s="143">
        <f>IF(ISERROR(INDEX(Table2[LEASE USE],MATCH(rrcworking[[#This Row],[Magnum Wolfpak '#]],Table2[Rox Wolf'#],0))),0,INDEX(Table2[LEASE USE],MATCH(rrcworking[[#This Row],[Magnum Wolfpak '#]],Table2[Rox Wolf'#],0)))</f>
        <v>168</v>
      </c>
      <c r="AB96" s="57">
        <f>rrcworking[[#This Row],[Disposition Volume (MCF) @ 14.65 MCF]]+rrcworking[[#This Row],[Lease Use (MCF)]]</f>
        <v>3536</v>
      </c>
      <c r="AC96" s="37"/>
      <c r="AD96" s="37" t="s">
        <v>1134</v>
      </c>
      <c r="AE96" s="185">
        <f>COUNTIF(FilterList,rrcworking[[#This Row],[Magnum Wolfpak '#]])</f>
        <v>0</v>
      </c>
      <c r="AF96" s="182"/>
      <c r="AG96" s="183"/>
      <c r="AH96" s="37"/>
      <c r="AI96" s="183"/>
      <c r="AJ96" s="37">
        <v>2</v>
      </c>
      <c r="AK96" s="37" t="s">
        <v>1166</v>
      </c>
      <c r="AL96" s="37" t="s">
        <v>1166</v>
      </c>
      <c r="AM96" s="37" t="s">
        <v>1186</v>
      </c>
      <c r="AN96" s="37" t="s">
        <v>1166</v>
      </c>
      <c r="AO96" s="37" t="s">
        <v>1187</v>
      </c>
      <c r="AP96" s="37" t="s">
        <v>1236</v>
      </c>
      <c r="AQ96" s="37"/>
    </row>
    <row r="97" spans="3:43" ht="14" hidden="1">
      <c r="C97" s="80" t="e">
        <v>#N/A</v>
      </c>
      <c r="D97" s="62" t="s">
        <v>215</v>
      </c>
      <c r="E97" s="131" t="s">
        <v>216</v>
      </c>
      <c r="F97" s="129">
        <v>0</v>
      </c>
      <c r="G97" s="120">
        <v>1471</v>
      </c>
      <c r="H97" s="18" t="s">
        <v>618</v>
      </c>
      <c r="I97" s="18" t="s">
        <v>2</v>
      </c>
      <c r="J97" s="19" t="s">
        <v>497</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Q97" s="127">
        <f>rrcworking[[#This Row],[Last Month Closing Stock]]</f>
        <v>0</v>
      </c>
      <c r="R97">
        <f>rrcworking[[#This Row],[Opening Oil Stock]]</f>
        <v>0</v>
      </c>
      <c r="S97" s="143">
        <f>IF(ISERROR(INDEX(Table2[OIL],MATCH(rrcworking[[#This Row],[Magnum Wolfpak '#]],Table2[Rox Wolf'#],0))),0,INDEX(Table2[OIL],MATCH(rrcworking[[#This Row],[Magnum Wolfpak '#]],Table2[Rox Wolf'#],0)))</f>
        <v>0</v>
      </c>
      <c r="T97" s="35">
        <f>rrcworking[[#This Row],[Closing Stock (Oil)]]+rrcworking[[#This Row],[Sales/Dispostion]]-rrcworking[[#This Row],[Opening Oil Stock]]</f>
        <v>0</v>
      </c>
      <c r="U97" s="112">
        <f>rrcworking[[#This Row],[Gauge Sheet Prod Volume (oil)]]-rrcworking[[#This Row],[Oil Production]]</f>
        <v>0</v>
      </c>
      <c r="V97" s="143">
        <f>IF(ISERROR(INDEX(Table2[GAS],MATCH(rrcworking[[#This Row],[Magnum Wolfpak '#]],Table2[Rox Wolf'#],0))),0,INDEX(Table2[GAS],MATCH(rrcworking[[#This Row],[Magnum Wolfpak '#]],Table2[Rox Wolf'#],0)))</f>
        <v>0</v>
      </c>
      <c r="W97" s="24"/>
      <c r="X97" s="135">
        <f>IF(rrcworking[[#This Row],[Pressure Base]]=14.73,rrcworking[[#This Row],[Gas Sales Statement Volume (MCF)]]*$R$2,rrcworking[[#This Row],[Gas Sales Statement Volume (MCF)]])</f>
        <v>0</v>
      </c>
      <c r="Y97" s="60"/>
      <c r="Z97" s="60"/>
      <c r="AA97" s="143">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185">
        <f>COUNTIF(FilterList,rrcworking[[#This Row],[Magnum Wolfpak '#]])</f>
        <v>0</v>
      </c>
      <c r="AF97" s="182"/>
      <c r="AG97" s="183"/>
      <c r="AH97" s="37"/>
      <c r="AI97" s="37"/>
      <c r="AJ97" s="37"/>
      <c r="AK97" s="37"/>
      <c r="AL97" s="37"/>
      <c r="AM97" s="37"/>
      <c r="AN97" s="37"/>
      <c r="AO97" s="37"/>
      <c r="AP97" s="37"/>
      <c r="AQ97" s="37"/>
    </row>
    <row r="98" spans="3:43" ht="14">
      <c r="C98" s="80">
        <v>98955</v>
      </c>
      <c r="D98" s="62" t="s">
        <v>274</v>
      </c>
      <c r="E98" s="131" t="s">
        <v>279</v>
      </c>
      <c r="F98" s="129">
        <v>1</v>
      </c>
      <c r="G98" s="120" t="s">
        <v>1090</v>
      </c>
      <c r="H98" s="18" t="s">
        <v>618</v>
      </c>
      <c r="I98" s="18" t="s">
        <v>59</v>
      </c>
      <c r="J98" s="19" t="s">
        <v>530</v>
      </c>
      <c r="K98" s="103">
        <v>210199</v>
      </c>
      <c r="L98" s="101">
        <f>INDEX(Table1[Production],MATCH(rrcworking[[#This Row],[RRC ID Number]],Table1[RRC Identifier],0))</f>
        <v>0</v>
      </c>
      <c r="M98" s="30">
        <f>INDEX(Table1[Formation Production],MATCH(rrcworking[[#This Row],[RRC ID Number]],Table1[RRC Identifier],0))</f>
        <v>562</v>
      </c>
      <c r="N98" s="31">
        <f>INDEX(Table1[On Hand End of Month],MATCH(rrcworking[[#This Row],[RRC ID Number]],Table1[RRC Identifier],0))</f>
        <v>63</v>
      </c>
      <c r="O98" s="106" t="b">
        <f t="shared" si="2"/>
        <v>0</v>
      </c>
      <c r="P98">
        <v>0</v>
      </c>
      <c r="Q98" s="127">
        <f>rrcworking[[#This Row],[Last Month Closing Stock]]</f>
        <v>63</v>
      </c>
      <c r="R98">
        <v>63</v>
      </c>
      <c r="S98" s="143">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 Volume (oil)]]-rrcworking[[#This Row],[Oil Production]]</f>
        <v>0</v>
      </c>
      <c r="V98" s="143">
        <f>IF(ISERROR(INDEX(Table2[GAS],MATCH(rrcworking[[#This Row],[Magnum Wolfpak '#]],Table2[Rox Wolf'#],0))),0,INDEX(Table2[GAS],MATCH(rrcworking[[#This Row],[Magnum Wolfpak '#]],Table2[Rox Wolf'#],0)))</f>
        <v>3340</v>
      </c>
      <c r="W98" s="24"/>
      <c r="X98" s="135">
        <f>IF(rrcworking[[#This Row],[Pressure Base]]=14.73,rrcworking[[#This Row],[Gas Sales Statement Volume (MCF)]]*$R$2,rrcworking[[#This Row],[Gas Sales Statement Volume (MCF)]])</f>
        <v>3340</v>
      </c>
      <c r="Y98" s="85"/>
      <c r="Z98" s="60">
        <v>1</v>
      </c>
      <c r="AA98" s="143">
        <f>IF(ISERROR(INDEX(Table2[LEASE USE],MATCH(rrcworking[[#This Row],[Magnum Wolfpak '#]],Table2[Rox Wolf'#],0))),0,INDEX(Table2[LEASE USE],MATCH(rrcworking[[#This Row],[Magnum Wolfpak '#]],Table2[Rox Wolf'#],0)))</f>
        <v>28</v>
      </c>
      <c r="AB98" s="57">
        <f>rrcworking[[#This Row],[Disposition Volume (MCF) @ 14.65 MCF]]+rrcworking[[#This Row],[Lease Use (MCF)]]</f>
        <v>3368</v>
      </c>
      <c r="AC98" s="37"/>
      <c r="AD98" s="37"/>
      <c r="AE98" s="185">
        <f>COUNTIF(FilterList,rrcworking[[#This Row],[Magnum Wolfpak '#]])</f>
        <v>0</v>
      </c>
      <c r="AF98" s="182"/>
      <c r="AG98" s="183"/>
      <c r="AH98" s="37"/>
      <c r="AI98" s="37"/>
      <c r="AJ98" s="184"/>
      <c r="AK98" s="184"/>
      <c r="AL98" s="184"/>
      <c r="AM98" s="184"/>
      <c r="AN98" s="184"/>
      <c r="AO98" s="184"/>
      <c r="AP98" s="37" t="s">
        <v>1164</v>
      </c>
      <c r="AQ98" s="37" t="s">
        <v>1199</v>
      </c>
    </row>
    <row r="99" spans="3:43" ht="14" hidden="1">
      <c r="C99" s="80" t="e">
        <v>#N/A</v>
      </c>
      <c r="D99" s="62" t="s">
        <v>105</v>
      </c>
      <c r="E99" s="131" t="s">
        <v>106</v>
      </c>
      <c r="F99" s="129">
        <v>1</v>
      </c>
      <c r="G99" s="120" t="s">
        <v>1090</v>
      </c>
      <c r="H99" s="18" t="s">
        <v>617</v>
      </c>
      <c r="I99" s="18" t="s">
        <v>59</v>
      </c>
      <c r="J99" s="19" t="s">
        <v>431</v>
      </c>
      <c r="K99" s="103">
        <v>52283</v>
      </c>
      <c r="L99" s="101">
        <f>INDEX(Table1[Production],MATCH(rrcworking[[#This Row],[RRC ID Number]],Table1[RRC Identifier],0))</f>
        <v>0</v>
      </c>
      <c r="M99" s="30">
        <f>INDEX(Table1[Formation Production],MATCH(rrcworking[[#This Row],[RRC ID Number]],Table1[RRC Identifier],0))</f>
        <v>0</v>
      </c>
      <c r="N99" s="31">
        <f>INDEX(Table1[On Hand End of Month],MATCH(rrcworking[[#This Row],[RRC ID Number]],Table1[RRC Identifier],0))</f>
        <v>240</v>
      </c>
      <c r="O99" s="106" t="b">
        <f t="shared" si="2"/>
        <v>1</v>
      </c>
      <c r="Q99" s="127">
        <f>rrcworking[[#This Row],[Last Month Closing Stock]]</f>
        <v>240</v>
      </c>
      <c r="R99">
        <f>rrcworking[[#This Row],[Opening Oil Stock]]</f>
        <v>240</v>
      </c>
      <c r="S99" s="143">
        <f>IF(ISERROR(INDEX(Table2[OIL],MATCH(rrcworking[[#This Row],[Magnum Wolfpak '#]],Table2[Rox Wolf'#],0))),0,INDEX(Table2[OIL],MATCH(rrcworking[[#This Row],[Magnum Wolfpak '#]],Table2[Rox Wolf'#],0)))</f>
        <v>0</v>
      </c>
      <c r="T99" s="35">
        <f>rrcworking[[#This Row],[Closing Stock (Oil)]]+rrcworking[[#This Row],[Sales/Dispostion]]-rrcworking[[#This Row],[Opening Oil Stock]]</f>
        <v>0</v>
      </c>
      <c r="U99" s="112">
        <f>rrcworking[[#This Row],[Gauge Sheet Prod Volume (oil)]]-rrcworking[[#This Row],[Oil Production]]</f>
        <v>0</v>
      </c>
      <c r="V99" s="143">
        <f>IF(ISERROR(INDEX(Table2[GAS],MATCH(rrcworking[[#This Row],[Magnum Wolfpak '#]],Table2[Rox Wolf'#],0))),0,INDEX(Table2[GAS],MATCH(rrcworking[[#This Row],[Magnum Wolfpak '#]],Table2[Rox Wolf'#],0)))</f>
        <v>0</v>
      </c>
      <c r="W99" s="24"/>
      <c r="X99" s="135">
        <f>IF(rrcworking[[#This Row],[Pressure Base]]=14.73,rrcworking[[#This Row],[Gas Sales Statement Volume (MCF)]]*$R$2,rrcworking[[#This Row],[Gas Sales Statement Volume (MCF)]])</f>
        <v>0</v>
      </c>
      <c r="Y99" s="60"/>
      <c r="Z99" s="60"/>
      <c r="AA99" s="143">
        <f>IF(ISERROR(INDEX(Table2[LEASE USE],MATCH(rrcworking[[#This Row],[Magnum Wolfpak '#]],Table2[Rox Wolf'#],0))),0,INDEX(Table2[LEASE USE],MATCH(rrcworking[[#This Row],[Magnum Wolfpak '#]],Table2[Rox Wolf'#],0)))</f>
        <v>0</v>
      </c>
      <c r="AB99" s="57">
        <f>rrcworking[[#This Row],[Disposition Volume (MCF) @ 14.65 MCF]]+rrcworking[[#This Row],[Lease Use (MCF)]]</f>
        <v>0</v>
      </c>
      <c r="AC99" s="37"/>
      <c r="AD99" s="37"/>
      <c r="AE99" s="185">
        <f>COUNTIF(FilterList,rrcworking[[#This Row],[Magnum Wolfpak '#]])</f>
        <v>0</v>
      </c>
      <c r="AF99" s="182"/>
      <c r="AG99" s="183"/>
      <c r="AH99" s="37"/>
      <c r="AI99" s="37"/>
      <c r="AJ99" s="37"/>
      <c r="AK99" s="37"/>
      <c r="AL99" s="37"/>
      <c r="AM99" s="37"/>
      <c r="AN99" s="37"/>
      <c r="AO99" s="37"/>
      <c r="AP99" s="37"/>
      <c r="AQ99" s="37"/>
    </row>
    <row r="100" spans="3:43" ht="14" hidden="1">
      <c r="C100" s="80" t="e">
        <v>#N/A</v>
      </c>
      <c r="D100" s="62" t="s">
        <v>366</v>
      </c>
      <c r="E100" s="131" t="s">
        <v>367</v>
      </c>
      <c r="F100" s="129">
        <v>1</v>
      </c>
      <c r="G100" s="120" t="s">
        <v>1090</v>
      </c>
      <c r="H100" s="18" t="s">
        <v>619</v>
      </c>
      <c r="I100" s="18" t="s">
        <v>59</v>
      </c>
      <c r="J100" s="19" t="s">
        <v>586</v>
      </c>
      <c r="K100" s="103">
        <v>140637</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92</v>
      </c>
      <c r="O100" s="106" t="b">
        <f t="shared" si="2"/>
        <v>1</v>
      </c>
      <c r="Q100" s="127">
        <f>rrcworking[[#This Row],[Last Month Closing Stock]]</f>
        <v>92</v>
      </c>
      <c r="R100">
        <f>rrcworking[[#This Row],[Opening Oil Stock]]</f>
        <v>92</v>
      </c>
      <c r="S100" s="143">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 Volume (oil)]]-rrcworking[[#This Row],[Oil Production]]</f>
        <v>0</v>
      </c>
      <c r="V100" s="143">
        <f>IF(ISERROR(INDEX(Table2[GAS],MATCH(rrcworking[[#This Row],[Magnum Wolfpak '#]],Table2[Rox Wolf'#],0))),0,INDEX(Table2[GAS],MATCH(rrcworking[[#This Row],[Magnum Wolfpak '#]],Table2[Rox Wolf'#],0)))</f>
        <v>0</v>
      </c>
      <c r="W100" s="24"/>
      <c r="X100" s="135">
        <f>IF(rrcworking[[#This Row],[Pressure Base]]=14.73,rrcworking[[#This Row],[Gas Sales Statement Volume (MCF)]]*$R$2,rrcworking[[#This Row],[Gas Sales Statement Volume (MCF)]])</f>
        <v>0</v>
      </c>
      <c r="Y100" s="60"/>
      <c r="Z100" s="60"/>
      <c r="AA100" s="143">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185">
        <f>COUNTIF(FilterList,rrcworking[[#This Row],[Magnum Wolfpak '#]])</f>
        <v>0</v>
      </c>
      <c r="AF100" s="182"/>
      <c r="AG100" s="183"/>
      <c r="AH100" s="37"/>
      <c r="AI100" s="37"/>
      <c r="AJ100" s="37"/>
      <c r="AK100" s="37"/>
      <c r="AL100" s="37"/>
      <c r="AM100" s="37"/>
      <c r="AN100" s="37"/>
      <c r="AO100" s="37"/>
      <c r="AP100" s="37"/>
      <c r="AQ100" s="37"/>
    </row>
    <row r="101" spans="3:43" ht="14" hidden="1">
      <c r="C101" s="80" t="e">
        <v>#N/A</v>
      </c>
      <c r="D101" s="62" t="s">
        <v>133</v>
      </c>
      <c r="E101" s="131" t="s">
        <v>134</v>
      </c>
      <c r="F101" s="129">
        <v>2</v>
      </c>
      <c r="G101" s="120" t="s">
        <v>1090</v>
      </c>
      <c r="H101" s="18" t="s">
        <v>617</v>
      </c>
      <c r="I101" s="18" t="s">
        <v>59</v>
      </c>
      <c r="J101" s="19" t="s">
        <v>449</v>
      </c>
      <c r="K101" s="103">
        <v>220079</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0</v>
      </c>
      <c r="O101" s="106" t="b">
        <f t="shared" ref="O101:O133" si="3">IF(AND(L101=0,M101=0), TRUE, FALSE)</f>
        <v>1</v>
      </c>
      <c r="Q101" s="127">
        <f>rrcworking[[#This Row],[Last Month Closing Stock]]</f>
        <v>0</v>
      </c>
      <c r="R101">
        <f>rrcworking[[#This Row],[Opening Oil Stock]]</f>
        <v>0</v>
      </c>
      <c r="S101" s="143">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 Volume (oil)]]-rrcworking[[#This Row],[Oil Production]]</f>
        <v>0</v>
      </c>
      <c r="V101" s="143">
        <f>IF(ISERROR(INDEX(Table2[GAS],MATCH(rrcworking[[#This Row],[Magnum Wolfpak '#]],Table2[Rox Wolf'#],0))),0,INDEX(Table2[GAS],MATCH(rrcworking[[#This Row],[Magnum Wolfpak '#]],Table2[Rox Wolf'#],0)))</f>
        <v>0</v>
      </c>
      <c r="W101" s="24"/>
      <c r="X101" s="135">
        <f>IF(rrcworking[[#This Row],[Pressure Base]]=14.73,rrcworking[[#This Row],[Gas Sales Statement Volume (MCF)]]*$R$2,rrcworking[[#This Row],[Gas Sales Statement Volume (MCF)]])</f>
        <v>0</v>
      </c>
      <c r="Y101" s="60"/>
      <c r="Z101" s="60"/>
      <c r="AA101" s="143">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185">
        <f>COUNTIF(FilterList,rrcworking[[#This Row],[Magnum Wolfpak '#]])</f>
        <v>0</v>
      </c>
      <c r="AF101" s="182"/>
      <c r="AG101" s="183"/>
      <c r="AH101" s="37"/>
      <c r="AI101" s="37"/>
      <c r="AJ101" s="37"/>
      <c r="AK101" s="37"/>
      <c r="AL101" s="37"/>
      <c r="AM101" s="37"/>
      <c r="AN101" s="37"/>
      <c r="AO101" s="37"/>
      <c r="AP101" s="37"/>
      <c r="AQ101" s="37"/>
    </row>
    <row r="102" spans="3:43" ht="14" hidden="1">
      <c r="C102" s="80">
        <v>99269</v>
      </c>
      <c r="D102" s="62" t="s">
        <v>315</v>
      </c>
      <c r="E102" s="131" t="s">
        <v>316</v>
      </c>
      <c r="F102" s="129">
        <v>1</v>
      </c>
      <c r="G102" s="120" t="s">
        <v>1090</v>
      </c>
      <c r="H102" s="18" t="s">
        <v>619</v>
      </c>
      <c r="I102" s="18" t="s">
        <v>59</v>
      </c>
      <c r="J102" s="19" t="s">
        <v>556</v>
      </c>
      <c r="K102" s="103">
        <v>255120</v>
      </c>
      <c r="L102" s="101">
        <f>INDEX(Table1[Production],MATCH(rrcworking[[#This Row],[RRC ID Number]],Table1[RRC Identifier],0))</f>
        <v>0</v>
      </c>
      <c r="M102" s="30">
        <f>INDEX(Table1[Formation Production],MATCH(rrcworking[[#This Row],[RRC ID Number]],Table1[RRC Identifier],0))</f>
        <v>1384</v>
      </c>
      <c r="N102" s="31">
        <f>INDEX(Table1[On Hand End of Month],MATCH(rrcworking[[#This Row],[RRC ID Number]],Table1[RRC Identifier],0))</f>
        <v>0</v>
      </c>
      <c r="O102" s="106" t="b">
        <f t="shared" si="3"/>
        <v>0</v>
      </c>
      <c r="Q102" s="127">
        <f>rrcworking[[#This Row],[Last Month Closing Stock]]</f>
        <v>0</v>
      </c>
      <c r="R102">
        <f>rrcworking[[#This Row],[Opening Oil Stock]]</f>
        <v>0</v>
      </c>
      <c r="S102" s="143">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 Volume (oil)]]-rrcworking[[#This Row],[Oil Production]]</f>
        <v>0</v>
      </c>
      <c r="V102" s="143">
        <f>IF(ISERROR(INDEX(Table2[GAS],MATCH(rrcworking[[#This Row],[Magnum Wolfpak '#]],Table2[Rox Wolf'#],0))),0,INDEX(Table2[GAS],MATCH(rrcworking[[#This Row],[Magnum Wolfpak '#]],Table2[Rox Wolf'#],0)))</f>
        <v>1286</v>
      </c>
      <c r="W102" s="24"/>
      <c r="X102" s="135">
        <f>IF(rrcworking[[#This Row],[Pressure Base]]=14.73,rrcworking[[#This Row],[Gas Sales Statement Volume (MCF)]]*$R$2,rrcworking[[#This Row],[Gas Sales Statement Volume (MCF)]])</f>
        <v>1286</v>
      </c>
      <c r="Y102" s="60"/>
      <c r="Z102" s="60"/>
      <c r="AA102" s="143">
        <f>IF(ISERROR(INDEX(Table2[LEASE USE],MATCH(rrcworking[[#This Row],[Magnum Wolfpak '#]],Table2[Rox Wolf'#],0))),0,INDEX(Table2[LEASE USE],MATCH(rrcworking[[#This Row],[Magnum Wolfpak '#]],Table2[Rox Wolf'#],0)))</f>
        <v>280</v>
      </c>
      <c r="AB102" s="57">
        <f>rrcworking[[#This Row],[Disposition Volume (MCF) @ 14.65 MCF]]+rrcworking[[#This Row],[Lease Use (MCF)]]</f>
        <v>1566</v>
      </c>
      <c r="AC102" s="37" t="s">
        <v>1117</v>
      </c>
      <c r="AD102" s="37"/>
      <c r="AE102" s="185">
        <f>COUNTIF(FilterList,rrcworking[[#This Row],[Magnum Wolfpak '#]])</f>
        <v>1</v>
      </c>
      <c r="AF102" s="182"/>
      <c r="AG102" s="183"/>
      <c r="AH102" s="37"/>
      <c r="AI102" s="37"/>
      <c r="AJ102" s="184"/>
      <c r="AK102" s="184"/>
      <c r="AL102" s="184"/>
      <c r="AM102" s="184"/>
      <c r="AN102" s="184"/>
      <c r="AO102" s="184"/>
      <c r="AP102" s="37" t="s">
        <v>1164</v>
      </c>
      <c r="AQ102" s="37" t="s">
        <v>1190</v>
      </c>
    </row>
    <row r="103" spans="3:43" ht="14" hidden="1">
      <c r="C103" s="80" t="e">
        <v>#N/A</v>
      </c>
      <c r="D103" s="62" t="s">
        <v>341</v>
      </c>
      <c r="E103" s="131" t="s">
        <v>342</v>
      </c>
      <c r="F103" s="129">
        <v>1</v>
      </c>
      <c r="G103" s="120" t="s">
        <v>1090</v>
      </c>
      <c r="H103" s="18" t="s">
        <v>619</v>
      </c>
      <c r="I103" s="18" t="s">
        <v>59</v>
      </c>
      <c r="J103" s="19" t="s">
        <v>573</v>
      </c>
      <c r="K103" s="103">
        <v>252973</v>
      </c>
      <c r="L103" s="101">
        <f>INDEX(Table1[Production],MATCH(rrcworking[[#This Row],[RRC ID Number]],Table1[RRC Identifier],0))</f>
        <v>0</v>
      </c>
      <c r="M103" s="30">
        <f>INDEX(Table1[Formation Production],MATCH(rrcworking[[#This Row],[RRC ID Number]],Table1[RRC Identifier],0))</f>
        <v>0</v>
      </c>
      <c r="N103" s="31">
        <f>INDEX(Table1[On Hand End of Month],MATCH(rrcworking[[#This Row],[RRC ID Number]],Table1[RRC Identifier],0))</f>
        <v>93</v>
      </c>
      <c r="O103" s="106" t="b">
        <f t="shared" si="3"/>
        <v>1</v>
      </c>
      <c r="Q103" s="127">
        <f>rrcworking[[#This Row],[Last Month Closing Stock]]</f>
        <v>93</v>
      </c>
      <c r="R103">
        <f>rrcworking[[#This Row],[Opening Oil Stock]]</f>
        <v>93</v>
      </c>
      <c r="S103" s="143">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 Volume (oil)]]-rrcworking[[#This Row],[Oil Production]]</f>
        <v>0</v>
      </c>
      <c r="V103" s="143">
        <f>IF(ISERROR(INDEX(Table2[GAS],MATCH(rrcworking[[#This Row],[Magnum Wolfpak '#]],Table2[Rox Wolf'#],0))),0,INDEX(Table2[GAS],MATCH(rrcworking[[#This Row],[Magnum Wolfpak '#]],Table2[Rox Wolf'#],0)))</f>
        <v>0</v>
      </c>
      <c r="W103" s="24"/>
      <c r="X103" s="135">
        <f>IF(rrcworking[[#This Row],[Pressure Base]]=14.73,rrcworking[[#This Row],[Gas Sales Statement Volume (MCF)]]*$R$2,rrcworking[[#This Row],[Gas Sales Statement Volume (MCF)]])</f>
        <v>0</v>
      </c>
      <c r="Y103" s="60"/>
      <c r="Z103" s="60"/>
      <c r="AA103" s="143">
        <f>IF(ISERROR(INDEX(Table2[LEASE USE],MATCH(rrcworking[[#This Row],[Magnum Wolfpak '#]],Table2[Rox Wolf'#],0))),0,INDEX(Table2[LEASE USE],MATCH(rrcworking[[#This Row],[Magnum Wolfpak '#]],Table2[Rox Wolf'#],0)))</f>
        <v>0</v>
      </c>
      <c r="AB103" s="57">
        <f>rrcworking[[#This Row],[Disposition Volume (MCF) @ 14.65 MCF]]+rrcworking[[#This Row],[Lease Use (MCF)]]</f>
        <v>0</v>
      </c>
      <c r="AC103" s="37"/>
      <c r="AD103" s="37"/>
      <c r="AE103" s="185">
        <f>COUNTIF(FilterList,rrcworking[[#This Row],[Magnum Wolfpak '#]])</f>
        <v>0</v>
      </c>
      <c r="AF103" s="182"/>
      <c r="AG103" s="183"/>
      <c r="AH103" s="37"/>
      <c r="AI103" s="37"/>
      <c r="AJ103" s="37"/>
      <c r="AK103" s="37"/>
      <c r="AL103" s="37"/>
      <c r="AM103" s="37"/>
      <c r="AN103" s="37"/>
      <c r="AO103" s="37"/>
      <c r="AP103" s="37"/>
      <c r="AQ103" s="37"/>
    </row>
    <row r="104" spans="3:43" ht="56" hidden="1">
      <c r="C104" s="80">
        <v>92001</v>
      </c>
      <c r="D104" s="62" t="s">
        <v>230</v>
      </c>
      <c r="E104" s="131" t="s">
        <v>231</v>
      </c>
      <c r="F104" s="129">
        <v>0</v>
      </c>
      <c r="G104" s="120" t="s">
        <v>1090</v>
      </c>
      <c r="H104" s="18" t="s">
        <v>618</v>
      </c>
      <c r="I104" s="18" t="s">
        <v>2</v>
      </c>
      <c r="J104" s="19" t="s">
        <v>503</v>
      </c>
      <c r="K104" s="103">
        <v>18769</v>
      </c>
      <c r="L104" s="101">
        <f>INDEX(Table1[Production],MATCH(rrcworking[[#This Row],[RRC ID Number]],Table1[RRC Identifier],0))</f>
        <v>74</v>
      </c>
      <c r="M104" s="30">
        <f>INDEX(Table1[Formation Production],MATCH(rrcworking[[#This Row],[RRC ID Number]],Table1[RRC Identifier],0))</f>
        <v>0</v>
      </c>
      <c r="N104" s="31">
        <f>INDEX(Table1[On Hand End of Month],MATCH(rrcworking[[#This Row],[RRC ID Number]],Table1[RRC Identifier],0))</f>
        <v>127</v>
      </c>
      <c r="O104" s="106" t="b">
        <f t="shared" si="3"/>
        <v>0</v>
      </c>
      <c r="P104">
        <v>20</v>
      </c>
      <c r="Q104" s="127">
        <f>rrcworking[[#This Row],[Last Month Closing Stock]]</f>
        <v>127</v>
      </c>
      <c r="R104">
        <v>147</v>
      </c>
      <c r="S104" s="143">
        <f>IF(ISERROR(INDEX(Table2[OIL],MATCH(rrcworking[[#This Row],[Magnum Wolfpak '#]],Table2[Rox Wolf'#],0))),0,INDEX(Table2[OIL],MATCH(rrcworking[[#This Row],[Magnum Wolfpak '#]],Table2[Rox Wolf'#],0)))</f>
        <v>0</v>
      </c>
      <c r="T104" s="35">
        <f>rrcworking[[#This Row],[Closing Stock (Oil)]]+rrcworking[[#This Row],[Sales/Dispostion]]-rrcworking[[#This Row],[Opening Oil Stock]]</f>
        <v>20</v>
      </c>
      <c r="U104" s="112">
        <f>rrcworking[[#This Row],[Gauge Sheet Prod Volume (oil)]]-rrcworking[[#This Row],[Oil Production]]</f>
        <v>0</v>
      </c>
      <c r="V104" s="143">
        <f>IF(ISERROR(INDEX(Table2[GAS],MATCH(rrcworking[[#This Row],[Magnum Wolfpak '#]],Table2[Rox Wolf'#],0))),0,INDEX(Table2[GAS],MATCH(rrcworking[[#This Row],[Magnum Wolfpak '#]],Table2[Rox Wolf'#],0)))</f>
        <v>0</v>
      </c>
      <c r="W104" s="24"/>
      <c r="X104" s="135">
        <f>IF(rrcworking[[#This Row],[Pressure Base]]=14.73,rrcworking[[#This Row],[Gas Sales Statement Volume (MCF)]]*$R$2,rrcworking[[#This Row],[Gas Sales Statement Volume (MCF)]])</f>
        <v>0</v>
      </c>
      <c r="Y104" s="60"/>
      <c r="Z104" s="60"/>
      <c r="AA104" s="143">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t="s">
        <v>1288</v>
      </c>
      <c r="AE104" s="185">
        <f>COUNTIF(FilterList,rrcworking[[#This Row],[Magnum Wolfpak '#]])</f>
        <v>0</v>
      </c>
      <c r="AF104" s="182"/>
      <c r="AG104" s="183"/>
      <c r="AH104" s="37"/>
      <c r="AI104" s="183"/>
      <c r="AJ104" s="184"/>
      <c r="AK104" s="184"/>
      <c r="AL104" s="184"/>
      <c r="AM104" s="184"/>
      <c r="AN104" s="184"/>
      <c r="AO104" s="184"/>
      <c r="AP104" s="37" t="s">
        <v>1164</v>
      </c>
      <c r="AQ104" s="37" t="s">
        <v>1199</v>
      </c>
    </row>
    <row r="105" spans="3:43" ht="70" hidden="1">
      <c r="C105" s="80">
        <v>99058</v>
      </c>
      <c r="D105" s="62" t="s">
        <v>343</v>
      </c>
      <c r="E105" s="131" t="s">
        <v>344</v>
      </c>
      <c r="F105" s="129" t="s">
        <v>345</v>
      </c>
      <c r="G105" s="120" t="s">
        <v>1090</v>
      </c>
      <c r="H105" s="18" t="s">
        <v>619</v>
      </c>
      <c r="I105" s="18" t="s">
        <v>59</v>
      </c>
      <c r="J105" s="19" t="s">
        <v>574</v>
      </c>
      <c r="K105" s="103">
        <v>201238</v>
      </c>
      <c r="L105" s="101">
        <f>INDEX(Table1[Production],MATCH(rrcworking[[#This Row],[RRC ID Number]],Table1[RRC Identifier],0))</f>
        <v>1</v>
      </c>
      <c r="M105" s="30">
        <f>INDEX(Table1[Formation Production],MATCH(rrcworking[[#This Row],[RRC ID Number]],Table1[RRC Identifier],0))</f>
        <v>2494</v>
      </c>
      <c r="N105" s="31">
        <f>INDEX(Table1[On Hand End of Month],MATCH(rrcworking[[#This Row],[RRC ID Number]],Table1[RRC Identifier],0))</f>
        <v>93</v>
      </c>
      <c r="O105" s="106" t="b">
        <f t="shared" si="3"/>
        <v>0</v>
      </c>
      <c r="P105">
        <v>2</v>
      </c>
      <c r="Q105" s="127">
        <f>rrcworking[[#This Row],[Last Month Closing Stock]]</f>
        <v>93</v>
      </c>
      <c r="R105">
        <v>95</v>
      </c>
      <c r="S105" s="143">
        <f>IF(ISERROR(INDEX(Table2[OIL],MATCH(rrcworking[[#This Row],[Magnum Wolfpak '#]],Table2[Rox Wolf'#],0))),0,INDEX(Table2[OIL],MATCH(rrcworking[[#This Row],[Magnum Wolfpak '#]],Table2[Rox Wolf'#],0)))</f>
        <v>0</v>
      </c>
      <c r="T105" s="35">
        <f>rrcworking[[#This Row],[Closing Stock (Oil)]]+rrcworking[[#This Row],[Sales/Dispostion]]-rrcworking[[#This Row],[Opening Oil Stock]]</f>
        <v>2</v>
      </c>
      <c r="U105" s="112">
        <f>rrcworking[[#This Row],[Gauge Sheet Prod Volume (oil)]]-rrcworking[[#This Row],[Oil Production]]</f>
        <v>0</v>
      </c>
      <c r="V105" s="143">
        <f>IF(ISERROR(INDEX(Table2[GAS],MATCH(rrcworking[[#This Row],[Magnum Wolfpak '#]],Table2[Rox Wolf'#],0))),0,INDEX(Table2[GAS],MATCH(rrcworking[[#This Row],[Magnum Wolfpak '#]],Table2[Rox Wolf'#],0)))</f>
        <v>2596</v>
      </c>
      <c r="W105" s="24"/>
      <c r="X105" s="135">
        <f>IF(rrcworking[[#This Row],[Pressure Base]]=14.73,rrcworking[[#This Row],[Gas Sales Statement Volume (MCF)]]*$R$2,rrcworking[[#This Row],[Gas Sales Statement Volume (MCF)]])</f>
        <v>2596</v>
      </c>
      <c r="Y105" s="60"/>
      <c r="Z105" s="60"/>
      <c r="AA105" s="143">
        <f>IF(ISERROR(INDEX(Table2[LEASE USE],MATCH(rrcworking[[#This Row],[Magnum Wolfpak '#]],Table2[Rox Wolf'#],0))),0,INDEX(Table2[LEASE USE],MATCH(rrcworking[[#This Row],[Magnum Wolfpak '#]],Table2[Rox Wolf'#],0)))</f>
        <v>0</v>
      </c>
      <c r="AB105" s="57">
        <f>rrcworking[[#This Row],[Disposition Volume (MCF) @ 14.65 MCF]]+rrcworking[[#This Row],[Lease Use (MCF)]]</f>
        <v>2596</v>
      </c>
      <c r="AC105" s="37"/>
      <c r="AD105" s="37" t="s">
        <v>1305</v>
      </c>
      <c r="AE105" s="185">
        <f>COUNTIF(FilterList,rrcworking[[#This Row],[Magnum Wolfpak '#]])</f>
        <v>0</v>
      </c>
      <c r="AF105" s="182"/>
      <c r="AG105" s="183"/>
      <c r="AH105" s="87"/>
      <c r="AI105" s="87"/>
      <c r="AJ105" s="184"/>
      <c r="AK105" s="184"/>
      <c r="AL105" s="184"/>
      <c r="AM105" s="184"/>
      <c r="AN105" s="184"/>
      <c r="AO105" s="184"/>
      <c r="AP105" s="37" t="s">
        <v>1164</v>
      </c>
      <c r="AQ105" s="37" t="s">
        <v>1206</v>
      </c>
    </row>
    <row r="106" spans="3:43" ht="14" hidden="1">
      <c r="C106" s="80" t="e">
        <v>#N/A</v>
      </c>
      <c r="D106" s="62" t="s">
        <v>346</v>
      </c>
      <c r="E106" s="131" t="s">
        <v>344</v>
      </c>
      <c r="F106" s="129">
        <v>20</v>
      </c>
      <c r="G106" s="120" t="s">
        <v>1090</v>
      </c>
      <c r="H106" s="18" t="s">
        <v>619</v>
      </c>
      <c r="I106" s="18" t="s">
        <v>59</v>
      </c>
      <c r="J106" s="19" t="s">
        <v>575</v>
      </c>
      <c r="K106" s="103">
        <v>242290</v>
      </c>
      <c r="L106" s="101">
        <f>INDEX(Table1[Production],MATCH(rrcworking[[#This Row],[RRC ID Number]],Table1[RRC Identifier],0))</f>
        <v>0</v>
      </c>
      <c r="M106" s="30">
        <f>INDEX(Table1[Formation Production],MATCH(rrcworking[[#This Row],[RRC ID Number]],Table1[RRC Identifier],0))</f>
        <v>0</v>
      </c>
      <c r="N106" s="31">
        <f>INDEX(Table1[On Hand End of Month],MATCH(rrcworking[[#This Row],[RRC ID Number]],Table1[RRC Identifier],0))</f>
        <v>0</v>
      </c>
      <c r="O106" s="106" t="b">
        <f t="shared" si="3"/>
        <v>1</v>
      </c>
      <c r="Q106" s="127">
        <f>rrcworking[[#This Row],[Last Month Closing Stock]]</f>
        <v>0</v>
      </c>
      <c r="R106">
        <f>rrcworking[[#This Row],[Opening Oil Stock]]</f>
        <v>0</v>
      </c>
      <c r="S106" s="143">
        <f>IF(ISERROR(INDEX(Table2[OIL],MATCH(rrcworking[[#This Row],[Magnum Wolfpak '#]],Table2[Rox Wolf'#],0))),0,INDEX(Table2[OIL],MATCH(rrcworking[[#This Row],[Magnum Wolfpak '#]],Table2[Rox Wolf'#],0)))</f>
        <v>0</v>
      </c>
      <c r="T106" s="35">
        <f>rrcworking[[#This Row],[Closing Stock (Oil)]]+rrcworking[[#This Row],[Sales/Dispostion]]-rrcworking[[#This Row],[Opening Oil Stock]]</f>
        <v>0</v>
      </c>
      <c r="U106" s="112">
        <f>rrcworking[[#This Row],[Gauge Sheet Prod Volume (oil)]]-rrcworking[[#This Row],[Oil Production]]</f>
        <v>0</v>
      </c>
      <c r="V106" s="143">
        <f>IF(ISERROR(INDEX(Table2[GAS],MATCH(rrcworking[[#This Row],[Magnum Wolfpak '#]],Table2[Rox Wolf'#],0))),0,INDEX(Table2[GAS],MATCH(rrcworking[[#This Row],[Magnum Wolfpak '#]],Table2[Rox Wolf'#],0)))</f>
        <v>0</v>
      </c>
      <c r="W106" s="24"/>
      <c r="X106" s="135">
        <f>IF(rrcworking[[#This Row],[Pressure Base]]=14.73,rrcworking[[#This Row],[Gas Sales Statement Volume (MCF)]]*$R$2,rrcworking[[#This Row],[Gas Sales Statement Volume (MCF)]])</f>
        <v>0</v>
      </c>
      <c r="Y106" s="60"/>
      <c r="Z106" s="60"/>
      <c r="AA106" s="143">
        <f>IF(ISERROR(INDEX(Table2[LEASE USE],MATCH(rrcworking[[#This Row],[Magnum Wolfpak '#]],Table2[Rox Wolf'#],0))),0,INDEX(Table2[LEASE USE],MATCH(rrcworking[[#This Row],[Magnum Wolfpak '#]],Table2[Rox Wolf'#],0)))</f>
        <v>0</v>
      </c>
      <c r="AB106" s="57">
        <f>rrcworking[[#This Row],[Disposition Volume (MCF) @ 14.65 MCF]]+rrcworking[[#This Row],[Lease Use (MCF)]]</f>
        <v>0</v>
      </c>
      <c r="AC106" s="37"/>
      <c r="AD106" s="37"/>
      <c r="AE106" s="185">
        <f>COUNTIF(FilterList,rrcworking[[#This Row],[Magnum Wolfpak '#]])</f>
        <v>0</v>
      </c>
      <c r="AF106" s="182"/>
      <c r="AG106" s="183"/>
      <c r="AH106" s="37"/>
      <c r="AI106" s="37"/>
      <c r="AJ106" s="37"/>
      <c r="AK106" s="37"/>
      <c r="AL106" s="37"/>
      <c r="AM106" s="37"/>
      <c r="AN106" s="37"/>
      <c r="AO106" s="37"/>
      <c r="AP106" s="37"/>
      <c r="AQ106" s="37"/>
    </row>
    <row r="107" spans="3:43" ht="14" hidden="1">
      <c r="C107" s="80" t="e">
        <v>#N/A</v>
      </c>
      <c r="D107" s="62" t="s">
        <v>347</v>
      </c>
      <c r="E107" s="131" t="s">
        <v>344</v>
      </c>
      <c r="F107" s="129" t="s">
        <v>348</v>
      </c>
      <c r="G107" s="120" t="s">
        <v>1090</v>
      </c>
      <c r="H107" s="18" t="s">
        <v>619</v>
      </c>
      <c r="I107" s="18" t="s">
        <v>59</v>
      </c>
      <c r="J107" s="19" t="s">
        <v>576</v>
      </c>
      <c r="K107" s="103">
        <v>198253</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Q107" s="127">
        <f>rrcworking[[#This Row],[Last Month Closing Stock]]</f>
        <v>0</v>
      </c>
      <c r="R107">
        <f>rrcworking[[#This Row],[Opening Oil Stock]]</f>
        <v>0</v>
      </c>
      <c r="S107" s="143">
        <f>IF(ISERROR(INDEX(Table2[OIL],MATCH(rrcworking[[#This Row],[Magnum Wolfpak '#]],Table2[Rox Wolf'#],0))),0,INDEX(Table2[OIL],MATCH(rrcworking[[#This Row],[Magnum Wolfpak '#]],Table2[Rox Wolf'#],0)))</f>
        <v>0</v>
      </c>
      <c r="T107" s="35">
        <f>rrcworking[[#This Row],[Closing Stock (Oil)]]+rrcworking[[#This Row],[Sales/Dispostion]]-rrcworking[[#This Row],[Opening Oil Stock]]</f>
        <v>0</v>
      </c>
      <c r="U107" s="112">
        <f>rrcworking[[#This Row],[Gauge Sheet Prod Volume (oil)]]-rrcworking[[#This Row],[Oil Production]]</f>
        <v>0</v>
      </c>
      <c r="V107" s="143">
        <f>IF(ISERROR(INDEX(Table2[GAS],MATCH(rrcworking[[#This Row],[Magnum Wolfpak '#]],Table2[Rox Wolf'#],0))),0,INDEX(Table2[GAS],MATCH(rrcworking[[#This Row],[Magnum Wolfpak '#]],Table2[Rox Wolf'#],0)))</f>
        <v>0</v>
      </c>
      <c r="W107" s="24"/>
      <c r="X107" s="135">
        <f>IF(rrcworking[[#This Row],[Pressure Base]]=14.73,rrcworking[[#This Row],[Gas Sales Statement Volume (MCF)]]*$R$2,rrcworking[[#This Row],[Gas Sales Statement Volume (MCF)]])</f>
        <v>0</v>
      </c>
      <c r="Y107" s="60"/>
      <c r="Z107" s="60"/>
      <c r="AA107" s="143">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185">
        <f>COUNTIF(FilterList,rrcworking[[#This Row],[Magnum Wolfpak '#]])</f>
        <v>0</v>
      </c>
      <c r="AF107" s="182"/>
      <c r="AG107" s="183"/>
      <c r="AH107" s="37"/>
      <c r="AI107" s="37"/>
      <c r="AJ107" s="37"/>
      <c r="AK107" s="37"/>
      <c r="AL107" s="37"/>
      <c r="AM107" s="37"/>
      <c r="AN107" s="37"/>
      <c r="AO107" s="37"/>
      <c r="AP107" s="37"/>
      <c r="AQ107" s="37"/>
    </row>
    <row r="108" spans="3:43" ht="14" hidden="1">
      <c r="C108" s="80" t="e">
        <v>#N/A</v>
      </c>
      <c r="D108" s="62" t="s">
        <v>349</v>
      </c>
      <c r="E108" s="131" t="s">
        <v>344</v>
      </c>
      <c r="F108" s="129" t="s">
        <v>350</v>
      </c>
      <c r="G108" s="120" t="s">
        <v>1090</v>
      </c>
      <c r="H108" s="18" t="s">
        <v>619</v>
      </c>
      <c r="I108" s="18" t="s">
        <v>59</v>
      </c>
      <c r="J108" s="19" t="s">
        <v>577</v>
      </c>
      <c r="K108" s="103">
        <v>159856</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Q108" s="127">
        <f>rrcworking[[#This Row],[Last Month Closing Stock]]</f>
        <v>0</v>
      </c>
      <c r="R108">
        <f>rrcworking[[#This Row],[Opening Oil Stock]]</f>
        <v>0</v>
      </c>
      <c r="S108" s="143">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 Volume (oil)]]-rrcworking[[#This Row],[Oil Production]]</f>
        <v>0</v>
      </c>
      <c r="V108" s="143">
        <f>IF(ISERROR(INDEX(Table2[GAS],MATCH(rrcworking[[#This Row],[Magnum Wolfpak '#]],Table2[Rox Wolf'#],0))),0,INDEX(Table2[GAS],MATCH(rrcworking[[#This Row],[Magnum Wolfpak '#]],Table2[Rox Wolf'#],0)))</f>
        <v>0</v>
      </c>
      <c r="W108" s="24"/>
      <c r="X108" s="135">
        <f>IF(rrcworking[[#This Row],[Pressure Base]]=14.73,rrcworking[[#This Row],[Gas Sales Statement Volume (MCF)]]*$R$2,rrcworking[[#This Row],[Gas Sales Statement Volume (MCF)]])</f>
        <v>0</v>
      </c>
      <c r="Y108" s="60"/>
      <c r="Z108" s="60"/>
      <c r="AA108" s="143">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185">
        <f>COUNTIF(FilterList,rrcworking[[#This Row],[Magnum Wolfpak '#]])</f>
        <v>0</v>
      </c>
      <c r="AF108" s="182"/>
      <c r="AG108" s="183"/>
      <c r="AH108" s="37"/>
      <c r="AI108" s="37"/>
      <c r="AJ108" s="37"/>
      <c r="AK108" s="37"/>
      <c r="AL108" s="37"/>
      <c r="AM108" s="37"/>
      <c r="AN108" s="37"/>
      <c r="AO108" s="37"/>
      <c r="AP108" s="37"/>
      <c r="AQ108" s="37"/>
    </row>
    <row r="109" spans="3:43" ht="14" hidden="1">
      <c r="C109" s="80" t="e">
        <v>#N/A</v>
      </c>
      <c r="D109" s="62" t="s">
        <v>237</v>
      </c>
      <c r="E109" s="131" t="s">
        <v>238</v>
      </c>
      <c r="F109" s="129">
        <v>0</v>
      </c>
      <c r="G109" s="120" t="s">
        <v>1090</v>
      </c>
      <c r="H109" s="18" t="s">
        <v>618</v>
      </c>
      <c r="I109" s="18" t="s">
        <v>2</v>
      </c>
      <c r="J109" s="19" t="s">
        <v>507</v>
      </c>
      <c r="K109" s="103">
        <v>12721</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Q109" s="127">
        <f>rrcworking[[#This Row],[Last Month Closing Stock]]</f>
        <v>0</v>
      </c>
      <c r="R109">
        <f>rrcworking[[#This Row],[Opening Oil Stock]]</f>
        <v>0</v>
      </c>
      <c r="S109" s="143">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 Volume (oil)]]-rrcworking[[#This Row],[Oil Production]]</f>
        <v>0</v>
      </c>
      <c r="V109" s="143">
        <f>IF(ISERROR(INDEX(Table2[GAS],MATCH(rrcworking[[#This Row],[Magnum Wolfpak '#]],Table2[Rox Wolf'#],0))),0,INDEX(Table2[GAS],MATCH(rrcworking[[#This Row],[Magnum Wolfpak '#]],Table2[Rox Wolf'#],0)))</f>
        <v>0</v>
      </c>
      <c r="W109" s="24"/>
      <c r="X109" s="135">
        <f>IF(rrcworking[[#This Row],[Pressure Base]]=14.73,rrcworking[[#This Row],[Gas Sales Statement Volume (MCF)]]*$R$2,rrcworking[[#This Row],[Gas Sales Statement Volume (MCF)]])</f>
        <v>0</v>
      </c>
      <c r="Y109" s="60"/>
      <c r="Z109" s="60"/>
      <c r="AA109" s="143">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185">
        <f>COUNTIF(FilterList,rrcworking[[#This Row],[Magnum Wolfpak '#]])</f>
        <v>0</v>
      </c>
      <c r="AF109" s="182"/>
      <c r="AG109" s="183"/>
      <c r="AH109" s="37"/>
      <c r="AI109" s="37"/>
      <c r="AJ109" s="37"/>
      <c r="AK109" s="37"/>
      <c r="AL109" s="37"/>
      <c r="AM109" s="37"/>
      <c r="AN109" s="37"/>
      <c r="AO109" s="37"/>
      <c r="AP109" s="37"/>
      <c r="AQ109" s="37"/>
    </row>
    <row r="110" spans="3:43" ht="14" hidden="1">
      <c r="C110" s="80" t="e">
        <v>#N/A</v>
      </c>
      <c r="D110" s="62" t="s">
        <v>384</v>
      </c>
      <c r="E110" s="131" t="s">
        <v>385</v>
      </c>
      <c r="F110" s="129">
        <v>4</v>
      </c>
      <c r="G110" s="120" t="s">
        <v>1090</v>
      </c>
      <c r="H110" s="18" t="s">
        <v>619</v>
      </c>
      <c r="I110" s="18" t="s">
        <v>59</v>
      </c>
      <c r="J110" s="19" t="s">
        <v>597</v>
      </c>
      <c r="K110" s="103">
        <v>190124</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Q110" s="127">
        <f>rrcworking[[#This Row],[Last Month Closing Stock]]</f>
        <v>0</v>
      </c>
      <c r="R110">
        <f>rrcworking[[#This Row],[Opening Oil Stock]]</f>
        <v>0</v>
      </c>
      <c r="S110" s="143">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 Volume (oil)]]-rrcworking[[#This Row],[Oil Production]]</f>
        <v>0</v>
      </c>
      <c r="V110" s="143">
        <f>IF(ISERROR(INDEX(Table2[GAS],MATCH(rrcworking[[#This Row],[Magnum Wolfpak '#]],Table2[Rox Wolf'#],0))),0,INDEX(Table2[GAS],MATCH(rrcworking[[#This Row],[Magnum Wolfpak '#]],Table2[Rox Wolf'#],0)))</f>
        <v>0</v>
      </c>
      <c r="W110" s="24"/>
      <c r="X110" s="135">
        <f>IF(rrcworking[[#This Row],[Pressure Base]]=14.73,rrcworking[[#This Row],[Gas Sales Statement Volume (MCF)]]*$R$2,rrcworking[[#This Row],[Gas Sales Statement Volume (MCF)]])</f>
        <v>0</v>
      </c>
      <c r="Y110" s="60"/>
      <c r="Z110" s="60"/>
      <c r="AA110" s="143">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185">
        <f>COUNTIF(FilterList,rrcworking[[#This Row],[Magnum Wolfpak '#]])</f>
        <v>0</v>
      </c>
      <c r="AF110" s="182"/>
      <c r="AG110" s="183"/>
      <c r="AH110" s="37"/>
      <c r="AI110" s="37"/>
      <c r="AJ110" s="37"/>
      <c r="AK110" s="37"/>
      <c r="AL110" s="37"/>
      <c r="AM110" s="37"/>
      <c r="AN110" s="37"/>
      <c r="AO110" s="37"/>
      <c r="AP110" s="37"/>
      <c r="AQ110" s="37"/>
    </row>
    <row r="111" spans="3:43" ht="140" hidden="1">
      <c r="C111" s="80">
        <v>99128</v>
      </c>
      <c r="D111" s="62" t="s">
        <v>390</v>
      </c>
      <c r="E111" s="131" t="s">
        <v>385</v>
      </c>
      <c r="F111" s="129" t="s">
        <v>391</v>
      </c>
      <c r="G111" s="120">
        <v>5050</v>
      </c>
      <c r="H111" s="21" t="s">
        <v>619</v>
      </c>
      <c r="I111" s="21" t="s">
        <v>59</v>
      </c>
      <c r="J111" s="19" t="s">
        <v>600</v>
      </c>
      <c r="K111" s="103">
        <v>66093</v>
      </c>
      <c r="L111" s="101">
        <f>INDEX(Table1[Production],MATCH(rrcworking[[#This Row],[RRC ID Number]],Table1[RRC Identifier],0))</f>
        <v>24</v>
      </c>
      <c r="M111" s="30">
        <f>INDEX(Table1[Formation Production],MATCH(rrcworking[[#This Row],[RRC ID Number]],Table1[RRC Identifier],0))</f>
        <v>6641</v>
      </c>
      <c r="N111" s="31">
        <f>INDEX(Table1[On Hand End of Month],MATCH(rrcworking[[#This Row],[RRC ID Number]],Table1[RRC Identifier],0))</f>
        <v>204</v>
      </c>
      <c r="O111" s="106" t="b">
        <f t="shared" si="3"/>
        <v>0</v>
      </c>
      <c r="P111">
        <v>0</v>
      </c>
      <c r="Q111" s="127">
        <f>rrcworking[[#This Row],[Last Month Closing Stock]]</f>
        <v>204</v>
      </c>
      <c r="R111">
        <v>186</v>
      </c>
      <c r="S111" s="143">
        <f>IF(ISERROR(INDEX(Table2[OIL],MATCH(rrcworking[[#This Row],[Magnum Wolfpak '#]],Table2[Rox Wolf'#],0))),0,INDEX(Table2[OIL],MATCH(rrcworking[[#This Row],[Magnum Wolfpak '#]],Table2[Rox Wolf'#],0)))</f>
        <v>18</v>
      </c>
      <c r="T111" s="35">
        <f>rrcworking[[#This Row],[Closing Stock (Oil)]]+rrcworking[[#This Row],[Sales/Dispostion]]-rrcworking[[#This Row],[Opening Oil Stock]]</f>
        <v>0</v>
      </c>
      <c r="U111" s="112">
        <f>rrcworking[[#This Row],[Gauge Sheet Prod Volume (oil)]]-rrcworking[[#This Row],[Oil Production]]</f>
        <v>0</v>
      </c>
      <c r="V111" s="143">
        <f>IF(ISERROR(INDEX(Table2[GAS],MATCH(rrcworking[[#This Row],[Magnum Wolfpak '#]],Table2[Rox Wolf'#],0))),0,INDEX(Table2[GAS],MATCH(rrcworking[[#This Row],[Magnum Wolfpak '#]],Table2[Rox Wolf'#],0)))</f>
        <v>585</v>
      </c>
      <c r="W111" s="24"/>
      <c r="X111" s="135">
        <f>IF(rrcworking[[#This Row],[Pressure Base]]=14.73,rrcworking[[#This Row],[Gas Sales Statement Volume (MCF)]]*$R$2,rrcworking[[#This Row],[Gas Sales Statement Volume (MCF)]])</f>
        <v>585</v>
      </c>
      <c r="Y111" s="85"/>
      <c r="Z111" s="60">
        <v>10</v>
      </c>
      <c r="AA111" s="143">
        <f>IF(ISERROR(INDEX(Table2[LEASE USE],MATCH(rrcworking[[#This Row],[Magnum Wolfpak '#]],Table2[Rox Wolf'#],0))),0,INDEX(Table2[LEASE USE],MATCH(rrcworking[[#This Row],[Magnum Wolfpak '#]],Table2[Rox Wolf'#],0)))</f>
        <v>20</v>
      </c>
      <c r="AB111" s="57">
        <f>rrcworking[[#This Row],[Disposition Volume (MCF) @ 14.65 MCF]]+rrcworking[[#This Row],[Lease Use (MCF)]]</f>
        <v>605</v>
      </c>
      <c r="AC111" s="37"/>
      <c r="AD111" s="37" t="s">
        <v>1308</v>
      </c>
      <c r="AE111" s="185">
        <f>COUNTIF(FilterList,rrcworking[[#This Row],[Magnum Wolfpak '#]])</f>
        <v>0</v>
      </c>
      <c r="AF111" s="182"/>
      <c r="AG111" s="183"/>
      <c r="AH111" s="37"/>
      <c r="AI111" s="183"/>
      <c r="AJ111" s="184"/>
      <c r="AK111" s="184"/>
      <c r="AL111" s="184"/>
      <c r="AM111" s="184"/>
      <c r="AN111" s="184"/>
      <c r="AO111" s="184"/>
      <c r="AP111" s="37" t="s">
        <v>1164</v>
      </c>
      <c r="AQ111" s="37" t="s">
        <v>1207</v>
      </c>
    </row>
    <row r="112" spans="3:43" ht="168" hidden="1">
      <c r="C112" s="80">
        <v>99134</v>
      </c>
      <c r="D112" s="62" t="s">
        <v>361</v>
      </c>
      <c r="E112" s="131" t="s">
        <v>362</v>
      </c>
      <c r="F112" s="129" t="s">
        <v>363</v>
      </c>
      <c r="G112" s="120">
        <v>5050</v>
      </c>
      <c r="H112" s="18" t="s">
        <v>619</v>
      </c>
      <c r="I112" s="18" t="s">
        <v>59</v>
      </c>
      <c r="J112" s="19" t="s">
        <v>584</v>
      </c>
      <c r="K112" s="103">
        <v>276012</v>
      </c>
      <c r="L112" s="101">
        <f>INDEX(Table1[Production],MATCH(rrcworking[[#This Row],[RRC ID Number]],Table1[RRC Identifier],0))</f>
        <v>0</v>
      </c>
      <c r="M112" s="30">
        <f>INDEX(Table1[Formation Production],MATCH(rrcworking[[#This Row],[RRC ID Number]],Table1[RRC Identifier],0))</f>
        <v>3372</v>
      </c>
      <c r="N112" s="31">
        <f>INDEX(Table1[On Hand End of Month],MATCH(rrcworking[[#This Row],[RRC ID Number]],Table1[RRC Identifier],0))</f>
        <v>36</v>
      </c>
      <c r="O112" s="106" t="b">
        <f t="shared" si="3"/>
        <v>0</v>
      </c>
      <c r="P112">
        <v>104</v>
      </c>
      <c r="Q112" s="127">
        <f>rrcworking[[#This Row],[Last Month Closing Stock]]</f>
        <v>36</v>
      </c>
      <c r="R112">
        <v>15</v>
      </c>
      <c r="S112" s="143">
        <f>IF(ISERROR(INDEX(Table2[OIL],MATCH(rrcworking[[#This Row],[Magnum Wolfpak '#]],Table2[Rox Wolf'#],0))),0,INDEX(Table2[OIL],MATCH(rrcworking[[#This Row],[Magnum Wolfpak '#]],Table2[Rox Wolf'#],0)))</f>
        <v>140</v>
      </c>
      <c r="T112" s="35">
        <f>rrcworking[[#This Row],[Closing Stock (Oil)]]+rrcworking[[#This Row],[Sales/Dispostion]]-rrcworking[[#This Row],[Opening Oil Stock]]</f>
        <v>119</v>
      </c>
      <c r="U112" s="112">
        <f>rrcworking[[#This Row],[Gauge Sheet Prod Volume (oil)]]-rrcworking[[#This Row],[Oil Production]]</f>
        <v>-15</v>
      </c>
      <c r="V112" s="143">
        <f>IF(ISERROR(INDEX(Table2[GAS],MATCH(rrcworking[[#This Row],[Magnum Wolfpak '#]],Table2[Rox Wolf'#],0))),0,INDEX(Table2[GAS],MATCH(rrcworking[[#This Row],[Magnum Wolfpak '#]],Table2[Rox Wolf'#],0)))</f>
        <v>3425</v>
      </c>
      <c r="W112" s="24"/>
      <c r="X112" s="135">
        <f>IF(rrcworking[[#This Row],[Pressure Base]]=14.73,rrcworking[[#This Row],[Gas Sales Statement Volume (MCF)]]*$R$2,rrcworking[[#This Row],[Gas Sales Statement Volume (MCF)]])</f>
        <v>3425</v>
      </c>
      <c r="Y112" s="60"/>
      <c r="Z112" s="60">
        <v>0</v>
      </c>
      <c r="AA112" s="143">
        <f>IF(ISERROR(INDEX(Table2[LEASE USE],MATCH(rrcworking[[#This Row],[Magnum Wolfpak '#]],Table2[Rox Wolf'#],0))),0,INDEX(Table2[LEASE USE],MATCH(rrcworking[[#This Row],[Magnum Wolfpak '#]],Table2[Rox Wolf'#],0)))</f>
        <v>0</v>
      </c>
      <c r="AB112" s="57">
        <f>rrcworking[[#This Row],[Disposition Volume (MCF) @ 14.65 MCF]]+rrcworking[[#This Row],[Lease Use (MCF)]]</f>
        <v>3425</v>
      </c>
      <c r="AC112" s="37"/>
      <c r="AD112" s="37" t="s">
        <v>1307</v>
      </c>
      <c r="AE112" s="185">
        <f>COUNTIF(FilterList,rrcworking[[#This Row],[Magnum Wolfpak '#]])</f>
        <v>0</v>
      </c>
      <c r="AF112" s="182"/>
      <c r="AG112" s="183"/>
      <c r="AH112" s="37"/>
      <c r="AI112" s="37"/>
      <c r="AJ112" s="184"/>
      <c r="AK112" s="184"/>
      <c r="AL112" s="184"/>
      <c r="AM112" s="184"/>
      <c r="AN112" s="184"/>
      <c r="AO112" s="184"/>
      <c r="AP112" s="37" t="s">
        <v>1164</v>
      </c>
      <c r="AQ112" s="37" t="s">
        <v>1190</v>
      </c>
    </row>
    <row r="113" spans="3:43" ht="42" hidden="1">
      <c r="C113" s="80">
        <v>99216</v>
      </c>
      <c r="D113" s="62" t="s">
        <v>209</v>
      </c>
      <c r="E113" s="131" t="s">
        <v>212</v>
      </c>
      <c r="F113" s="140" t="s">
        <v>910</v>
      </c>
      <c r="G113" s="120" t="s">
        <v>1090</v>
      </c>
      <c r="H113" s="18" t="s">
        <v>618</v>
      </c>
      <c r="I113" s="18" t="s">
        <v>2</v>
      </c>
      <c r="J113" s="19" t="s">
        <v>495</v>
      </c>
      <c r="K113" s="103">
        <v>26743</v>
      </c>
      <c r="L113" s="101">
        <f>INDEX(Table1[Production],MATCH(rrcworking[[#This Row],[RRC ID Number]],Table1[RRC Identifier],0))</f>
        <v>0</v>
      </c>
      <c r="M113" s="30">
        <f>INDEX(Table1[Formation Production],MATCH(rrcworking[[#This Row],[RRC ID Number]],Table1[RRC Identifier],0))</f>
        <v>0</v>
      </c>
      <c r="N113" s="31">
        <f>INDEX(Table1[On Hand End of Month],MATCH(rrcworking[[#This Row],[RRC ID Number]],Table1[RRC Identifier],0))</f>
        <v>0</v>
      </c>
      <c r="O113" s="106" t="b">
        <f t="shared" si="3"/>
        <v>1</v>
      </c>
      <c r="Q113" s="127">
        <f>rrcworking[[#This Row],[Last Month Closing Stock]]</f>
        <v>0</v>
      </c>
      <c r="R113">
        <f>rrcworking[[#This Row],[Opening Oil Stock]]</f>
        <v>0</v>
      </c>
      <c r="S113" s="143">
        <f>IF(ISERROR(INDEX(Table2[OIL],MATCH(rrcworking[[#This Row],[Magnum Wolfpak '#]],Table2[Rox Wolf'#],0))),0,INDEX(Table2[OIL],MATCH(rrcworking[[#This Row],[Magnum Wolfpak '#]],Table2[Rox Wolf'#],0)))</f>
        <v>0</v>
      </c>
      <c r="T113" s="35">
        <f>rrcworking[[#This Row],[Closing Stock (Oil)]]+rrcworking[[#This Row],[Sales/Dispostion]]-rrcworking[[#This Row],[Opening Oil Stock]]</f>
        <v>0</v>
      </c>
      <c r="U113" s="112">
        <f>rrcworking[[#This Row],[Gauge Sheet Prod Volume (oil)]]-rrcworking[[#This Row],[Oil Production]]</f>
        <v>0</v>
      </c>
      <c r="V113" s="143">
        <f>IF(ISERROR(INDEX(Table2[GAS],MATCH(rrcworking[[#This Row],[Magnum Wolfpak '#]],Table2[Rox Wolf'#],0))),0,INDEX(Table2[GAS],MATCH(rrcworking[[#This Row],[Magnum Wolfpak '#]],Table2[Rox Wolf'#],0)))</f>
        <v>0</v>
      </c>
      <c r="W113" s="24"/>
      <c r="X113" s="135">
        <f>IF(rrcworking[[#This Row],[Pressure Base]]=14.73,rrcworking[[#This Row],[Gas Sales Statement Volume (MCF)]]*$R$2,rrcworking[[#This Row],[Gas Sales Statement Volume (MCF)]])</f>
        <v>0</v>
      </c>
      <c r="Y113" s="60"/>
      <c r="Z113" s="60">
        <v>2</v>
      </c>
      <c r="AA113" s="143">
        <f>IF(ISERROR(INDEX(Table2[LEASE USE],MATCH(rrcworking[[#This Row],[Magnum Wolfpak '#]],Table2[Rox Wolf'#],0))),0,INDEX(Table2[LEASE USE],MATCH(rrcworking[[#This Row],[Magnum Wolfpak '#]],Table2[Rox Wolf'#],0)))</f>
        <v>0</v>
      </c>
      <c r="AB113" s="57">
        <f>rrcworking[[#This Row],[Disposition Volume (MCF) @ 14.65 MCF]]+rrcworking[[#This Row],[Lease Use (MCF)]]</f>
        <v>0</v>
      </c>
      <c r="AC113" s="37"/>
      <c r="AD113" s="37" t="s">
        <v>1136</v>
      </c>
      <c r="AE113" s="185">
        <f>COUNTIF(FilterList,rrcworking[[#This Row],[Magnum Wolfpak '#]])</f>
        <v>0</v>
      </c>
      <c r="AF113" s="182"/>
      <c r="AG113" s="183"/>
      <c r="AH113" s="87"/>
      <c r="AI113" s="87"/>
      <c r="AJ113" s="184"/>
      <c r="AK113" s="184"/>
      <c r="AL113" s="184"/>
      <c r="AM113" s="184"/>
      <c r="AN113" s="184"/>
      <c r="AO113" s="184"/>
      <c r="AP113" s="37" t="s">
        <v>1164</v>
      </c>
      <c r="AQ113" s="37" t="s">
        <v>1190</v>
      </c>
    </row>
    <row r="114" spans="3:43" ht="28">
      <c r="C114" s="80">
        <v>99186</v>
      </c>
      <c r="D114" s="170" t="s">
        <v>209</v>
      </c>
      <c r="E114" s="3" t="s">
        <v>218</v>
      </c>
      <c r="F114" s="140" t="s">
        <v>57</v>
      </c>
      <c r="G114" s="120"/>
      <c r="H114" s="166" t="s">
        <v>618</v>
      </c>
      <c r="I114" s="166" t="s">
        <v>2</v>
      </c>
      <c r="J114" s="165" t="s">
        <v>1137</v>
      </c>
      <c r="K114" s="103">
        <v>27533</v>
      </c>
      <c r="L114" s="101">
        <f>INDEX(Table1[Production],MATCH(rrcworking[[#This Row],[RRC ID Number]],Table1[RRC Identifier],0))</f>
        <v>382</v>
      </c>
      <c r="M114" s="30">
        <f>INDEX(Table1[Formation Production],MATCH(rrcworking[[#This Row],[RRC ID Number]],Table1[RRC Identifier],0))</f>
        <v>0</v>
      </c>
      <c r="N114" s="31">
        <f>INDEX(Table1[On Hand End of Month],MATCH(rrcworking[[#This Row],[RRC ID Number]],Table1[RRC Identifier],0))</f>
        <v>76</v>
      </c>
      <c r="O114" s="106" t="b">
        <f>IF(AND(L114=0,M114=0), TRUE, FALSE)</f>
        <v>0</v>
      </c>
      <c r="P114">
        <v>361</v>
      </c>
      <c r="Q114" s="127">
        <f>rrcworking[[#This Row],[Last Month Closing Stock]]</f>
        <v>76</v>
      </c>
      <c r="R114">
        <v>92</v>
      </c>
      <c r="S114" s="143">
        <f>IF(ISERROR(INDEX(Table2[OIL],MATCH(rrcworking[[#This Row],[Magnum Wolfpak '#]],Table2[Rox Wolf'#],0))),0,INDEX(Table2[OIL],MATCH(rrcworking[[#This Row],[Magnum Wolfpak '#]],Table2[Rox Wolf'#],0)))</f>
        <v>342</v>
      </c>
      <c r="T114" s="35">
        <f>rrcworking[[#This Row],[Closing Stock (Oil)]]+rrcworking[[#This Row],[Sales/Dispostion]]-rrcworking[[#This Row],[Opening Oil Stock]]</f>
        <v>358</v>
      </c>
      <c r="U114" s="112">
        <f>rrcworking[[#This Row],[Gauge Sheet Prod Volume (oil)]]-rrcworking[[#This Row],[Oil Production]]</f>
        <v>3</v>
      </c>
      <c r="V114" s="143">
        <f>IF(ISERROR(INDEX(Table2[GAS],MATCH(rrcworking[[#This Row],[Magnum Wolfpak '#]],Table2[Rox Wolf'#],0))),0,INDEX(Table2[GAS],MATCH(rrcworking[[#This Row],[Magnum Wolfpak '#]],Table2[Rox Wolf'#],0)))</f>
        <v>0</v>
      </c>
      <c r="W114" s="24"/>
      <c r="X114" s="135">
        <f>IF(rrcworking[[#This Row],[Pressure Base]]=14.73,rrcworking[[#This Row],[Gas Sales Statement Volume (MCF)]]*$R$2,rrcworking[[#This Row],[Gas Sales Statement Volume (MCF)]])</f>
        <v>0</v>
      </c>
      <c r="Y114" s="60"/>
      <c r="Z114" s="60"/>
      <c r="AA114" s="143">
        <f>IF(ISERROR(INDEX(Table2[LEASE USE],MATCH(rrcworking[[#This Row],[Magnum Wolfpak '#]],Table2[Rox Wolf'#],0))),0,INDEX(Table2[LEASE USE],MATCH(rrcworking[[#This Row],[Magnum Wolfpak '#]],Table2[Rox Wolf'#],0)))</f>
        <v>180</v>
      </c>
      <c r="AB114" s="57">
        <f>rrcworking[[#This Row],[Disposition Volume (MCF) @ 14.65 MCF]]+rrcworking[[#This Row],[Lease Use (MCF)]]</f>
        <v>180</v>
      </c>
      <c r="AC114" s="37"/>
      <c r="AD114" s="37" t="s">
        <v>1138</v>
      </c>
      <c r="AE114" s="185">
        <f>COUNTIF(FilterList,rrcworking[[#This Row],[Magnum Wolfpak '#]])</f>
        <v>0</v>
      </c>
      <c r="AF114" s="182"/>
      <c r="AG114" s="183"/>
      <c r="AH114" s="87"/>
      <c r="AI114" s="87"/>
      <c r="AJ114" s="184"/>
      <c r="AK114" s="184"/>
      <c r="AL114" s="184"/>
      <c r="AM114" s="184"/>
      <c r="AN114" s="184"/>
      <c r="AO114" s="184"/>
      <c r="AP114" s="37" t="s">
        <v>1164</v>
      </c>
      <c r="AQ114" s="37" t="s">
        <v>1208</v>
      </c>
    </row>
    <row r="115" spans="3:43" ht="14" hidden="1">
      <c r="C115" s="80" t="e">
        <v>#N/A</v>
      </c>
      <c r="D115" s="62" t="s">
        <v>217</v>
      </c>
      <c r="E115" s="131" t="s">
        <v>218</v>
      </c>
      <c r="F115" s="129">
        <v>7</v>
      </c>
      <c r="G115" s="120" t="s">
        <v>1090</v>
      </c>
      <c r="H115" s="18" t="s">
        <v>618</v>
      </c>
      <c r="I115" s="18" t="s">
        <v>59</v>
      </c>
      <c r="J115" s="19" t="s">
        <v>498</v>
      </c>
      <c r="K115" s="103">
        <v>229081</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0</v>
      </c>
      <c r="O115" s="106" t="b">
        <f t="shared" si="3"/>
        <v>1</v>
      </c>
      <c r="Q115" s="127">
        <f>rrcworking[[#This Row],[Last Month Closing Stock]]</f>
        <v>0</v>
      </c>
      <c r="R115">
        <f>rrcworking[[#This Row],[Opening Oil Stock]]</f>
        <v>0</v>
      </c>
      <c r="S115" s="143">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 Volume (oil)]]-rrcworking[[#This Row],[Oil Production]]</f>
        <v>0</v>
      </c>
      <c r="V115" s="143">
        <f>IF(ISERROR(INDEX(Table2[GAS],MATCH(rrcworking[[#This Row],[Magnum Wolfpak '#]],Table2[Rox Wolf'#],0))),0,INDEX(Table2[GAS],MATCH(rrcworking[[#This Row],[Magnum Wolfpak '#]],Table2[Rox Wolf'#],0)))</f>
        <v>0</v>
      </c>
      <c r="W115" s="24"/>
      <c r="X115" s="135">
        <f>IF(rrcworking[[#This Row],[Pressure Base]]=14.73,rrcworking[[#This Row],[Gas Sales Statement Volume (MCF)]]*$R$2,rrcworking[[#This Row],[Gas Sales Statement Volume (MCF)]])</f>
        <v>0</v>
      </c>
      <c r="Y115" s="60"/>
      <c r="Z115" s="60"/>
      <c r="AA115" s="143">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c r="AE115" s="185">
        <f>COUNTIF(FilterList,rrcworking[[#This Row],[Magnum Wolfpak '#]])</f>
        <v>0</v>
      </c>
      <c r="AF115" s="182"/>
      <c r="AG115" s="183"/>
      <c r="AH115" s="37"/>
      <c r="AI115" s="37"/>
      <c r="AJ115" s="37"/>
      <c r="AK115" s="37"/>
      <c r="AL115" s="37"/>
      <c r="AM115" s="37"/>
      <c r="AN115" s="37"/>
      <c r="AO115" s="37"/>
      <c r="AP115" s="37"/>
      <c r="AQ115" s="37"/>
    </row>
    <row r="116" spans="3:43" ht="14" hidden="1">
      <c r="C116" s="80" t="e">
        <v>#N/A</v>
      </c>
      <c r="D116" s="62" t="s">
        <v>332</v>
      </c>
      <c r="E116" s="131" t="s">
        <v>333</v>
      </c>
      <c r="F116" s="129">
        <v>2</v>
      </c>
      <c r="G116" s="120" t="s">
        <v>1090</v>
      </c>
      <c r="H116" s="18" t="s">
        <v>619</v>
      </c>
      <c r="I116" s="18" t="s">
        <v>59</v>
      </c>
      <c r="J116" s="19" t="s">
        <v>567</v>
      </c>
      <c r="K116" s="103">
        <v>54242</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Q116" s="127">
        <f>rrcworking[[#This Row],[Last Month Closing Stock]]</f>
        <v>0</v>
      </c>
      <c r="R116">
        <f>rrcworking[[#This Row],[Opening Oil Stock]]</f>
        <v>0</v>
      </c>
      <c r="S116" s="143">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 Volume (oil)]]-rrcworking[[#This Row],[Oil Production]]</f>
        <v>0</v>
      </c>
      <c r="V116" s="143">
        <f>IF(ISERROR(INDEX(Table2[GAS],MATCH(rrcworking[[#This Row],[Magnum Wolfpak '#]],Table2[Rox Wolf'#],0))),0,INDEX(Table2[GAS],MATCH(rrcworking[[#This Row],[Magnum Wolfpak '#]],Table2[Rox Wolf'#],0)))</f>
        <v>0</v>
      </c>
      <c r="W116" s="24"/>
      <c r="X116" s="135">
        <f>IF(rrcworking[[#This Row],[Pressure Base]]=14.73,rrcworking[[#This Row],[Gas Sales Statement Volume (MCF)]]*$R$2,rrcworking[[#This Row],[Gas Sales Statement Volume (MCF)]])</f>
        <v>0</v>
      </c>
      <c r="Y116" s="60"/>
      <c r="Z116" s="60"/>
      <c r="AA116" s="143">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185">
        <f>COUNTIF(FilterList,rrcworking[[#This Row],[Magnum Wolfpak '#]])</f>
        <v>0</v>
      </c>
      <c r="AF116" s="182"/>
      <c r="AG116" s="183"/>
      <c r="AH116" s="37"/>
      <c r="AI116" s="37"/>
      <c r="AJ116" s="37"/>
      <c r="AK116" s="37"/>
      <c r="AL116" s="37"/>
      <c r="AM116" s="37"/>
      <c r="AN116" s="37"/>
      <c r="AO116" s="37"/>
      <c r="AP116" s="37"/>
      <c r="AQ116" s="37"/>
    </row>
    <row r="117" spans="3:43" ht="14" hidden="1">
      <c r="C117" s="80" t="e">
        <v>#N/A</v>
      </c>
      <c r="D117" s="62" t="s">
        <v>122</v>
      </c>
      <c r="E117" s="131" t="s">
        <v>123</v>
      </c>
      <c r="F117" s="129">
        <v>0</v>
      </c>
      <c r="G117" s="120" t="s">
        <v>1090</v>
      </c>
      <c r="H117" s="18" t="s">
        <v>617</v>
      </c>
      <c r="I117" s="18" t="s">
        <v>2</v>
      </c>
      <c r="J117" s="19" t="s">
        <v>442</v>
      </c>
      <c r="K117" s="103">
        <v>8635</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Q117" s="127">
        <f>rrcworking[[#This Row],[Last Month Closing Stock]]</f>
        <v>0</v>
      </c>
      <c r="R117">
        <f>rrcworking[[#This Row],[Opening Oil Stock]]</f>
        <v>0</v>
      </c>
      <c r="S117" s="143">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 Volume (oil)]]-rrcworking[[#This Row],[Oil Production]]</f>
        <v>0</v>
      </c>
      <c r="V117" s="143">
        <f>IF(ISERROR(INDEX(Table2[GAS],MATCH(rrcworking[[#This Row],[Magnum Wolfpak '#]],Table2[Rox Wolf'#],0))),0,INDEX(Table2[GAS],MATCH(rrcworking[[#This Row],[Magnum Wolfpak '#]],Table2[Rox Wolf'#],0)))</f>
        <v>0</v>
      </c>
      <c r="W117" s="24"/>
      <c r="X117" s="135">
        <f>IF(rrcworking[[#This Row],[Pressure Base]]=14.73,rrcworking[[#This Row],[Gas Sales Statement Volume (MCF)]]*$R$2,rrcworking[[#This Row],[Gas Sales Statement Volume (MCF)]])</f>
        <v>0</v>
      </c>
      <c r="Y117" s="60"/>
      <c r="Z117" s="60"/>
      <c r="AA117" s="143">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185">
        <f>COUNTIF(FilterList,rrcworking[[#This Row],[Magnum Wolfpak '#]])</f>
        <v>0</v>
      </c>
      <c r="AF117" s="182"/>
      <c r="AG117" s="183"/>
      <c r="AH117" s="37"/>
      <c r="AI117" s="37"/>
      <c r="AJ117" s="37"/>
      <c r="AK117" s="37"/>
      <c r="AL117" s="37"/>
      <c r="AM117" s="37"/>
      <c r="AN117" s="37"/>
      <c r="AO117" s="37"/>
      <c r="AP117" s="37"/>
      <c r="AQ117" s="37"/>
    </row>
    <row r="118" spans="3:43" ht="14" hidden="1">
      <c r="C118" s="80" t="e">
        <v>#N/A</v>
      </c>
      <c r="D118" s="62" t="s">
        <v>124</v>
      </c>
      <c r="E118" s="131" t="s">
        <v>123</v>
      </c>
      <c r="F118" s="129">
        <v>0</v>
      </c>
      <c r="G118" s="120" t="s">
        <v>1090</v>
      </c>
      <c r="H118" s="18" t="s">
        <v>617</v>
      </c>
      <c r="I118" s="18" t="s">
        <v>2</v>
      </c>
      <c r="J118" s="19" t="s">
        <v>443</v>
      </c>
      <c r="K118" s="103">
        <v>8247</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Q118" s="127">
        <f>rrcworking[[#This Row],[Last Month Closing Stock]]</f>
        <v>0</v>
      </c>
      <c r="R118">
        <f>rrcworking[[#This Row],[Opening Oil Stock]]</f>
        <v>0</v>
      </c>
      <c r="S118" s="143">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 Volume (oil)]]-rrcworking[[#This Row],[Oil Production]]</f>
        <v>0</v>
      </c>
      <c r="V118" s="143">
        <f>IF(ISERROR(INDEX(Table2[GAS],MATCH(rrcworking[[#This Row],[Magnum Wolfpak '#]],Table2[Rox Wolf'#],0))),0,INDEX(Table2[GAS],MATCH(rrcworking[[#This Row],[Magnum Wolfpak '#]],Table2[Rox Wolf'#],0)))</f>
        <v>0</v>
      </c>
      <c r="W118" s="24"/>
      <c r="X118" s="135">
        <f>IF(rrcworking[[#This Row],[Pressure Base]]=14.73,rrcworking[[#This Row],[Gas Sales Statement Volume (MCF)]]*$R$2,rrcworking[[#This Row],[Gas Sales Statement Volume (MCF)]])</f>
        <v>0</v>
      </c>
      <c r="Y118" s="60"/>
      <c r="Z118" s="60"/>
      <c r="AA118" s="143">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185">
        <f>COUNTIF(FilterList,rrcworking[[#This Row],[Magnum Wolfpak '#]])</f>
        <v>0</v>
      </c>
      <c r="AF118" s="182"/>
      <c r="AG118" s="183"/>
      <c r="AH118" s="37"/>
      <c r="AI118" s="37"/>
      <c r="AJ118" s="37"/>
      <c r="AK118" s="37"/>
      <c r="AL118" s="37"/>
      <c r="AM118" s="37"/>
      <c r="AN118" s="37"/>
      <c r="AO118" s="37"/>
      <c r="AP118" s="37"/>
      <c r="AQ118" s="37"/>
    </row>
    <row r="119" spans="3:43" ht="14" hidden="1">
      <c r="C119" s="80" t="e">
        <v>#N/A</v>
      </c>
      <c r="D119" s="62" t="s">
        <v>125</v>
      </c>
      <c r="E119" s="131" t="s">
        <v>123</v>
      </c>
      <c r="F119" s="129">
        <v>5</v>
      </c>
      <c r="G119" s="120" t="s">
        <v>1090</v>
      </c>
      <c r="H119" s="18" t="s">
        <v>617</v>
      </c>
      <c r="I119" s="18" t="s">
        <v>59</v>
      </c>
      <c r="J119" s="19" t="s">
        <v>444</v>
      </c>
      <c r="K119" s="103">
        <v>182045</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Q119" s="127">
        <f>rrcworking[[#This Row],[Last Month Closing Stock]]</f>
        <v>0</v>
      </c>
      <c r="R119">
        <f>rrcworking[[#This Row],[Opening Oil Stock]]</f>
        <v>0</v>
      </c>
      <c r="S119" s="143">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 Volume (oil)]]-rrcworking[[#This Row],[Oil Production]]</f>
        <v>0</v>
      </c>
      <c r="V119" s="143">
        <f>IF(ISERROR(INDEX(Table2[GAS],MATCH(rrcworking[[#This Row],[Magnum Wolfpak '#]],Table2[Rox Wolf'#],0))),0,INDEX(Table2[GAS],MATCH(rrcworking[[#This Row],[Magnum Wolfpak '#]],Table2[Rox Wolf'#],0)))</f>
        <v>0</v>
      </c>
      <c r="W119" s="24"/>
      <c r="X119" s="135">
        <f>IF(rrcworking[[#This Row],[Pressure Base]]=14.73,rrcworking[[#This Row],[Gas Sales Statement Volume (MCF)]]*$R$2,rrcworking[[#This Row],[Gas Sales Statement Volume (MCF)]])</f>
        <v>0</v>
      </c>
      <c r="Y119" s="60"/>
      <c r="Z119" s="60"/>
      <c r="AA119" s="143">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185">
        <f>COUNTIF(FilterList,rrcworking[[#This Row],[Magnum Wolfpak '#]])</f>
        <v>0</v>
      </c>
      <c r="AF119" s="182"/>
      <c r="AG119" s="183"/>
      <c r="AH119" s="37"/>
      <c r="AI119" s="37"/>
      <c r="AJ119" s="37"/>
      <c r="AK119" s="37"/>
      <c r="AL119" s="37"/>
      <c r="AM119" s="37"/>
      <c r="AN119" s="37"/>
      <c r="AO119" s="37"/>
      <c r="AP119" s="37"/>
      <c r="AQ119" s="37"/>
    </row>
    <row r="120" spans="3:43" ht="70" hidden="1">
      <c r="C120" s="80">
        <v>99288</v>
      </c>
      <c r="D120" s="62" t="s">
        <v>154</v>
      </c>
      <c r="E120" s="131" t="s">
        <v>155</v>
      </c>
      <c r="F120" s="129">
        <v>0</v>
      </c>
      <c r="G120" s="120" t="s">
        <v>1090</v>
      </c>
      <c r="H120" s="18" t="s">
        <v>618</v>
      </c>
      <c r="I120" s="18" t="s">
        <v>2</v>
      </c>
      <c r="J120" s="19" t="s">
        <v>463</v>
      </c>
      <c r="K120" s="103">
        <v>27348</v>
      </c>
      <c r="L120" s="101">
        <f>INDEX(Table1[Production],MATCH(rrcworking[[#This Row],[RRC ID Number]],Table1[RRC Identifier],0))</f>
        <v>0</v>
      </c>
      <c r="M120" s="30">
        <f>INDEX(Table1[Formation Production],MATCH(rrcworking[[#This Row],[RRC ID Number]],Table1[RRC Identifier],0))</f>
        <v>622</v>
      </c>
      <c r="N120" s="31">
        <f>INDEX(Table1[On Hand End of Month],MATCH(rrcworking[[#This Row],[RRC ID Number]],Table1[RRC Identifier],0))</f>
        <v>51</v>
      </c>
      <c r="O120" s="106" t="b">
        <f t="shared" si="3"/>
        <v>0</v>
      </c>
      <c r="P120">
        <v>0</v>
      </c>
      <c r="Q120" s="127">
        <f>rrcworking[[#This Row],[Last Month Closing Stock]]</f>
        <v>51</v>
      </c>
      <c r="R120">
        <v>51</v>
      </c>
      <c r="S120" s="143">
        <f>IF(ISERROR(INDEX(Table2[OIL],MATCH(rrcworking[[#This Row],[Magnum Wolfpak '#]],Table2[Rox Wolf'#],0))),0,INDEX(Table2[OIL],MATCH(rrcworking[[#This Row],[Magnum Wolfpak '#]],Table2[Rox Wolf'#],0)))</f>
        <v>0</v>
      </c>
      <c r="T120" s="35">
        <f>rrcworking[[#This Row],[Closing Stock (Oil)]]+rrcworking[[#This Row],[Sales/Dispostion]]-rrcworking[[#This Row],[Opening Oil Stock]]</f>
        <v>0</v>
      </c>
      <c r="U120" s="112">
        <f>rrcworking[[#This Row],[Gauge Sheet Prod Volume (oil)]]-rrcworking[[#This Row],[Oil Production]]</f>
        <v>0</v>
      </c>
      <c r="V120" s="143">
        <f>IF(ISERROR(INDEX(Table2[GAS],MATCH(rrcworking[[#This Row],[Magnum Wolfpak '#]],Table2[Rox Wolf'#],0))),0,INDEX(Table2[GAS],MATCH(rrcworking[[#This Row],[Magnum Wolfpak '#]],Table2[Rox Wolf'#],0)))</f>
        <v>460</v>
      </c>
      <c r="W120" s="24"/>
      <c r="X120" s="135">
        <f>IF(rrcworking[[#This Row],[Pressure Base]]=14.73,rrcworking[[#This Row],[Gas Sales Statement Volume (MCF)]]*$R$2,rrcworking[[#This Row],[Gas Sales Statement Volume (MCF)]])</f>
        <v>460</v>
      </c>
      <c r="Y120" s="60"/>
      <c r="Z120" s="60"/>
      <c r="AA120" s="143">
        <f>IF(ISERROR(INDEX(Table2[LEASE USE],MATCH(rrcworking[[#This Row],[Magnum Wolfpak '#]],Table2[Rox Wolf'#],0))),0,INDEX(Table2[LEASE USE],MATCH(rrcworking[[#This Row],[Magnum Wolfpak '#]],Table2[Rox Wolf'#],0)))</f>
        <v>0</v>
      </c>
      <c r="AB120" s="57">
        <f>rrcworking[[#This Row],[Disposition Volume (MCF) @ 14.65 MCF]]+rrcworking[[#This Row],[Lease Use (MCF)]]</f>
        <v>460</v>
      </c>
      <c r="AC120" s="37"/>
      <c r="AD120" s="37" t="s">
        <v>1289</v>
      </c>
      <c r="AE120" s="185">
        <f>COUNTIF(FilterList,rrcworking[[#This Row],[Magnum Wolfpak '#]])</f>
        <v>1</v>
      </c>
      <c r="AF120" s="182"/>
      <c r="AG120" s="183"/>
      <c r="AH120" s="37"/>
      <c r="AI120" s="37"/>
      <c r="AJ120" s="37">
        <v>2</v>
      </c>
      <c r="AK120" s="37" t="s">
        <v>1166</v>
      </c>
      <c r="AL120" s="37" t="s">
        <v>1166</v>
      </c>
      <c r="AM120" s="37" t="s">
        <v>1197</v>
      </c>
      <c r="AN120" s="37" t="s">
        <v>1140</v>
      </c>
      <c r="AO120" s="37" t="s">
        <v>1172</v>
      </c>
      <c r="AP120" s="37" t="s">
        <v>1164</v>
      </c>
      <c r="AQ120" s="37" t="s">
        <v>1241</v>
      </c>
    </row>
    <row r="121" spans="3:43" ht="28">
      <c r="C121" s="80">
        <v>99297</v>
      </c>
      <c r="D121" s="170" t="s">
        <v>151</v>
      </c>
      <c r="E121" s="20" t="s">
        <v>794</v>
      </c>
      <c r="F121" s="21" t="s">
        <v>61</v>
      </c>
      <c r="G121" s="120"/>
      <c r="H121" s="21" t="s">
        <v>618</v>
      </c>
      <c r="I121" s="21" t="s">
        <v>2</v>
      </c>
      <c r="J121" s="198" t="s">
        <v>1252</v>
      </c>
      <c r="K121" s="103">
        <v>27617</v>
      </c>
      <c r="L121" s="101">
        <f>INDEX(Table1[Production],MATCH(rrcworking[[#This Row],[RRC ID Number]],Table1[RRC Identifier],0))</f>
        <v>2250</v>
      </c>
      <c r="M121" s="30">
        <f>INDEX(Table1[Formation Production],MATCH(rrcworking[[#This Row],[RRC ID Number]],Table1[RRC Identifier],0))</f>
        <v>333</v>
      </c>
      <c r="N121" s="31">
        <f>INDEX(Table1[On Hand End of Month],MATCH(rrcworking[[#This Row],[RRC ID Number]],Table1[RRC Identifier],0))</f>
        <v>230</v>
      </c>
      <c r="O121" s="106" t="b">
        <f t="shared" si="3"/>
        <v>0</v>
      </c>
      <c r="P121">
        <v>1180</v>
      </c>
      <c r="Q121" s="127">
        <f>rrcworking[[#This Row],[Last Month Closing Stock]]</f>
        <v>230</v>
      </c>
      <c r="R121">
        <v>257</v>
      </c>
      <c r="S121" s="143">
        <f>IF(ISERROR(INDEX(Table2[OIL],MATCH(rrcworking[[#This Row],[Magnum Wolfpak '#]],Table2[Rox Wolf'#],0))),0,INDEX(Table2[OIL],MATCH(rrcworking[[#This Row],[Magnum Wolfpak '#]],Table2[Rox Wolf'#],0)))</f>
        <v>1141</v>
      </c>
      <c r="T121" s="100">
        <f>rrcworking[[#This Row],[Closing Stock (Oil)]]+rrcworking[[#This Row],[Sales/Dispostion]]-rrcworking[[#This Row],[Opening Oil Stock]]</f>
        <v>1168</v>
      </c>
      <c r="U121" s="114">
        <f>rrcworking[[#This Row],[Gauge Sheet Prod Volume (oil)]]-rrcworking[[#This Row],[Oil Production]]</f>
        <v>12</v>
      </c>
      <c r="V121" s="143">
        <f>IF(ISERROR(INDEX(Table2[GAS],MATCH(rrcworking[[#This Row],[Magnum Wolfpak '#]],Table2[Rox Wolf'#],0))),0,INDEX(Table2[GAS],MATCH(rrcworking[[#This Row],[Magnum Wolfpak '#]],Table2[Rox Wolf'#],0)))</f>
        <v>18</v>
      </c>
      <c r="W121" s="24"/>
      <c r="X121" s="135">
        <f>IF(rrcworking[[#This Row],[Pressure Base]]=14.73,rrcworking[[#This Row],[Gas Sales Statement Volume (MCF)]]*$R$2,rrcworking[[#This Row],[Gas Sales Statement Volume (MCF)]])</f>
        <v>18</v>
      </c>
      <c r="Y121" s="60"/>
      <c r="Z121" s="60"/>
      <c r="AA121" s="143">
        <f>IF(ISERROR(INDEX(Table2[LEASE USE],MATCH(rrcworking[[#This Row],[Magnum Wolfpak '#]],Table2[Rox Wolf'#],0))),0,INDEX(Table2[LEASE USE],MATCH(rrcworking[[#This Row],[Magnum Wolfpak '#]],Table2[Rox Wolf'#],0)))</f>
        <v>0</v>
      </c>
      <c r="AB121" s="57">
        <f>rrcworking[[#This Row],[Disposition Volume (MCF) @ 14.65 MCF]]+rrcworking[[#This Row],[Lease Use (MCF)]]</f>
        <v>18</v>
      </c>
      <c r="AC121" s="37"/>
      <c r="AD121" s="37" t="s">
        <v>1253</v>
      </c>
      <c r="AE121" s="185">
        <f>COUNTIF(FilterList,rrcworking[[#This Row],[Magnum Wolfpak '#]])</f>
        <v>0</v>
      </c>
      <c r="AF121" s="182"/>
      <c r="AG121" s="183"/>
      <c r="AH121" s="37"/>
      <c r="AI121" s="183"/>
      <c r="AJ121" s="37">
        <v>2</v>
      </c>
      <c r="AK121" s="37" t="s">
        <v>1166</v>
      </c>
      <c r="AL121" s="37" t="s">
        <v>1166</v>
      </c>
      <c r="AM121" s="37" t="s">
        <v>1197</v>
      </c>
      <c r="AN121" s="37" t="s">
        <v>1140</v>
      </c>
      <c r="AO121" s="37" t="s">
        <v>1172</v>
      </c>
      <c r="AP121" s="37" t="s">
        <v>1209</v>
      </c>
      <c r="AQ121" s="37"/>
    </row>
    <row r="122" spans="3:43" ht="14" hidden="1">
      <c r="C122" s="80" t="e">
        <v>#N/A</v>
      </c>
      <c r="D122" s="62" t="s">
        <v>227</v>
      </c>
      <c r="E122" s="131" t="s">
        <v>228</v>
      </c>
      <c r="F122" s="129">
        <v>1</v>
      </c>
      <c r="G122" s="120" t="s">
        <v>1090</v>
      </c>
      <c r="H122" s="18" t="s">
        <v>618</v>
      </c>
      <c r="I122" s="18" t="s">
        <v>59</v>
      </c>
      <c r="J122" s="19" t="s">
        <v>502</v>
      </c>
      <c r="K122" s="103">
        <v>139199</v>
      </c>
      <c r="L122" s="101">
        <f>INDEX(Table1[Production],MATCH(rrcworking[[#This Row],[RRC ID Number]],Table1[RRC Identifier],0))</f>
        <v>0</v>
      </c>
      <c r="M122" s="30">
        <f>INDEX(Table1[Formation Production],MATCH(rrcworking[[#This Row],[RRC ID Number]],Table1[RRC Identifier],0))</f>
        <v>0</v>
      </c>
      <c r="N122" s="31">
        <f>INDEX(Table1[On Hand End of Month],MATCH(rrcworking[[#This Row],[RRC ID Number]],Table1[RRC Identifier],0))</f>
        <v>0</v>
      </c>
      <c r="O122" s="106" t="b">
        <f t="shared" si="3"/>
        <v>1</v>
      </c>
      <c r="Q122" s="127">
        <f>rrcworking[[#This Row],[Last Month Closing Stock]]</f>
        <v>0</v>
      </c>
      <c r="R122">
        <f>rrcworking[[#This Row],[Opening Oil Stock]]</f>
        <v>0</v>
      </c>
      <c r="S122" s="143">
        <f>IF(ISERROR(INDEX(Table2[OIL],MATCH(rrcworking[[#This Row],[Magnum Wolfpak '#]],Table2[Rox Wolf'#],0))),0,INDEX(Table2[OIL],MATCH(rrcworking[[#This Row],[Magnum Wolfpak '#]],Table2[Rox Wolf'#],0)))</f>
        <v>0</v>
      </c>
      <c r="T122" s="35">
        <f>rrcworking[[#This Row],[Closing Stock (Oil)]]+rrcworking[[#This Row],[Sales/Dispostion]]-rrcworking[[#This Row],[Opening Oil Stock]]</f>
        <v>0</v>
      </c>
      <c r="U122" s="112">
        <f>rrcworking[[#This Row],[Gauge Sheet Prod Volume (oil)]]-rrcworking[[#This Row],[Oil Production]]</f>
        <v>0</v>
      </c>
      <c r="V122" s="143">
        <f>IF(ISERROR(INDEX(Table2[GAS],MATCH(rrcworking[[#This Row],[Magnum Wolfpak '#]],Table2[Rox Wolf'#],0))),0,INDEX(Table2[GAS],MATCH(rrcworking[[#This Row],[Magnum Wolfpak '#]],Table2[Rox Wolf'#],0)))</f>
        <v>0</v>
      </c>
      <c r="W122" s="24"/>
      <c r="X122" s="135">
        <f>IF(rrcworking[[#This Row],[Pressure Base]]=14.73,rrcworking[[#This Row],[Gas Sales Statement Volume (MCF)]]*$R$2,rrcworking[[#This Row],[Gas Sales Statement Volume (MCF)]])</f>
        <v>0</v>
      </c>
      <c r="Y122" s="60"/>
      <c r="Z122" s="60"/>
      <c r="AA122" s="143">
        <f>IF(ISERROR(INDEX(Table2[LEASE USE],MATCH(rrcworking[[#This Row],[Magnum Wolfpak '#]],Table2[Rox Wolf'#],0))),0,INDEX(Table2[LEASE USE],MATCH(rrcworking[[#This Row],[Magnum Wolfpak '#]],Table2[Rox Wolf'#],0)))</f>
        <v>0</v>
      </c>
      <c r="AB122" s="57">
        <f>rrcworking[[#This Row],[Disposition Volume (MCF) @ 14.65 MCF]]+rrcworking[[#This Row],[Lease Use (MCF)]]</f>
        <v>0</v>
      </c>
      <c r="AC122" s="37"/>
      <c r="AD122" s="37"/>
      <c r="AE122" s="185">
        <f>COUNTIF(FilterList,rrcworking[[#This Row],[Magnum Wolfpak '#]])</f>
        <v>0</v>
      </c>
      <c r="AF122" s="182"/>
      <c r="AG122" s="183"/>
      <c r="AH122" s="37"/>
      <c r="AI122" s="37"/>
      <c r="AJ122" s="37"/>
      <c r="AK122" s="37"/>
      <c r="AL122" s="37"/>
      <c r="AM122" s="37"/>
      <c r="AN122" s="37"/>
      <c r="AO122" s="37"/>
      <c r="AP122" s="37"/>
      <c r="AQ122" s="37"/>
    </row>
    <row r="123" spans="3:43" ht="14" hidden="1">
      <c r="C123" s="80">
        <v>99268</v>
      </c>
      <c r="D123" s="62" t="s">
        <v>325</v>
      </c>
      <c r="E123" s="131" t="s">
        <v>327</v>
      </c>
      <c r="F123" s="129">
        <v>1</v>
      </c>
      <c r="G123" s="120" t="s">
        <v>1090</v>
      </c>
      <c r="H123" s="18" t="s">
        <v>619</v>
      </c>
      <c r="I123" s="18" t="s">
        <v>59</v>
      </c>
      <c r="J123" s="19" t="s">
        <v>563</v>
      </c>
      <c r="K123" s="103">
        <v>250087</v>
      </c>
      <c r="L123" s="101">
        <f>INDEX(Table1[Production],MATCH(rrcworking[[#This Row],[RRC ID Number]],Table1[RRC Identifier],0))</f>
        <v>0</v>
      </c>
      <c r="M123" s="30">
        <f>INDEX(Table1[Formation Production],MATCH(rrcworking[[#This Row],[RRC ID Number]],Table1[RRC Identifier],0))</f>
        <v>4974</v>
      </c>
      <c r="N123" s="31">
        <f>INDEX(Table1[On Hand End of Month],MATCH(rrcworking[[#This Row],[RRC ID Number]],Table1[RRC Identifier],0))</f>
        <v>24</v>
      </c>
      <c r="O123" s="106" t="b">
        <f t="shared" si="3"/>
        <v>0</v>
      </c>
      <c r="P123">
        <v>0</v>
      </c>
      <c r="Q123" s="127">
        <f>rrcworking[[#This Row],[Last Month Closing Stock]]</f>
        <v>24</v>
      </c>
      <c r="R123">
        <v>24</v>
      </c>
      <c r="S123" s="143">
        <f>IF(ISERROR(INDEX(Table2[OIL],MATCH(rrcworking[[#This Row],[Magnum Wolfpak '#]],Table2[Rox Wolf'#],0))),0,INDEX(Table2[OIL],MATCH(rrcworking[[#This Row],[Magnum Wolfpak '#]],Table2[Rox Wolf'#],0)))</f>
        <v>0</v>
      </c>
      <c r="T123" s="35">
        <f>rrcworking[[#This Row],[Closing Stock (Oil)]]+rrcworking[[#This Row],[Sales/Dispostion]]-rrcworking[[#This Row],[Opening Oil Stock]]</f>
        <v>0</v>
      </c>
      <c r="U123" s="112">
        <f>rrcworking[[#This Row],[Gauge Sheet Prod Volume (oil)]]-rrcworking[[#This Row],[Oil Production]]</f>
        <v>0</v>
      </c>
      <c r="V123" s="143">
        <f>IF(ISERROR(INDEX(Table2[GAS],MATCH(rrcworking[[#This Row],[Magnum Wolfpak '#]],Table2[Rox Wolf'#],0))),0,INDEX(Table2[GAS],MATCH(rrcworking[[#This Row],[Magnum Wolfpak '#]],Table2[Rox Wolf'#],0)))</f>
        <v>4090</v>
      </c>
      <c r="W123" s="24"/>
      <c r="X123" s="135">
        <f>IF(rrcworking[[#This Row],[Pressure Base]]=14.73,rrcworking[[#This Row],[Gas Sales Statement Volume (MCF)]]*$R$2,rrcworking[[#This Row],[Gas Sales Statement Volume (MCF)]])</f>
        <v>4090</v>
      </c>
      <c r="Y123" s="60"/>
      <c r="Z123" s="60"/>
      <c r="AA123" s="143">
        <f>IF(ISERROR(INDEX(Table2[LEASE USE],MATCH(rrcworking[[#This Row],[Magnum Wolfpak '#]],Table2[Rox Wolf'#],0))),0,INDEX(Table2[LEASE USE],MATCH(rrcworking[[#This Row],[Magnum Wolfpak '#]],Table2[Rox Wolf'#],0)))</f>
        <v>295</v>
      </c>
      <c r="AB123" s="57">
        <f>rrcworking[[#This Row],[Disposition Volume (MCF) @ 14.65 MCF]]+rrcworking[[#This Row],[Lease Use (MCF)]]</f>
        <v>4385</v>
      </c>
      <c r="AC123" s="37" t="s">
        <v>1117</v>
      </c>
      <c r="AD123" s="37"/>
      <c r="AE123" s="185">
        <f>COUNTIF(FilterList,rrcworking[[#This Row],[Magnum Wolfpak '#]])</f>
        <v>0</v>
      </c>
      <c r="AF123" s="182"/>
      <c r="AG123" s="183"/>
      <c r="AH123" s="37"/>
      <c r="AI123" s="37"/>
      <c r="AJ123" s="37">
        <v>1</v>
      </c>
      <c r="AK123" s="37" t="s">
        <v>1166</v>
      </c>
      <c r="AL123" s="37" t="s">
        <v>1166</v>
      </c>
      <c r="AM123" s="37" t="s">
        <v>1210</v>
      </c>
      <c r="AN123" s="37" t="s">
        <v>1140</v>
      </c>
      <c r="AO123" s="37" t="s">
        <v>1211</v>
      </c>
      <c r="AP123" s="37" t="s">
        <v>1164</v>
      </c>
      <c r="AQ123" s="37" t="s">
        <v>1212</v>
      </c>
    </row>
    <row r="124" spans="3:43" ht="98">
      <c r="C124" s="80">
        <v>99102</v>
      </c>
      <c r="D124" s="62" t="s">
        <v>101</v>
      </c>
      <c r="E124" s="131" t="s">
        <v>102</v>
      </c>
      <c r="F124" s="129">
        <v>1</v>
      </c>
      <c r="G124" s="120" t="s">
        <v>1090</v>
      </c>
      <c r="H124" s="18" t="s">
        <v>617</v>
      </c>
      <c r="I124" s="18" t="s">
        <v>59</v>
      </c>
      <c r="J124" s="19" t="s">
        <v>429</v>
      </c>
      <c r="K124" s="103">
        <v>245422</v>
      </c>
      <c r="L124" s="101">
        <f>INDEX(Table1[Production],MATCH(rrcworking[[#This Row],[RRC ID Number]],Table1[RRC Identifier],0))</f>
        <v>560</v>
      </c>
      <c r="M124" s="30">
        <f>INDEX(Table1[Formation Production],MATCH(rrcworking[[#This Row],[RRC ID Number]],Table1[RRC Identifier],0))</f>
        <v>42445</v>
      </c>
      <c r="N124" s="31">
        <f>INDEX(Table1[On Hand End of Month],MATCH(rrcworking[[#This Row],[RRC ID Number]],Table1[RRC Identifier],0))</f>
        <v>316</v>
      </c>
      <c r="O124" s="106" t="b">
        <f t="shared" si="3"/>
        <v>0</v>
      </c>
      <c r="P124">
        <v>631</v>
      </c>
      <c r="Q124" s="127">
        <f>rrcworking[[#This Row],[Last Month Closing Stock]]</f>
        <v>316</v>
      </c>
      <c r="R124">
        <v>154</v>
      </c>
      <c r="S124" s="143">
        <f>IF(ISERROR(INDEX(Table2[OIL],MATCH(rrcworking[[#This Row],[Magnum Wolfpak '#]],Table2[Rox Wolf'#],0))),0,INDEX(Table2[OIL],MATCH(rrcworking[[#This Row],[Magnum Wolfpak '#]],Table2[Rox Wolf'#],0)))</f>
        <v>764</v>
      </c>
      <c r="T124" s="35">
        <f>rrcworking[[#This Row],[Closing Stock (Oil)]]+rrcworking[[#This Row],[Sales/Dispostion]]-rrcworking[[#This Row],[Opening Oil Stock]]</f>
        <v>602</v>
      </c>
      <c r="U124" s="112">
        <f>rrcworking[[#This Row],[Gauge Sheet Prod Volume (oil)]]-rrcworking[[#This Row],[Oil Production]]</f>
        <v>29</v>
      </c>
      <c r="V124" s="143">
        <f>IF(ISERROR(INDEX(Table2[GAS],MATCH(rrcworking[[#This Row],[Magnum Wolfpak '#]],Table2[Rox Wolf'#],0))),0,INDEX(Table2[GAS],MATCH(rrcworking[[#This Row],[Magnum Wolfpak '#]],Table2[Rox Wolf'#],0)))</f>
        <v>43108</v>
      </c>
      <c r="W124" s="24"/>
      <c r="X124" s="135">
        <f>IF(rrcworking[[#This Row],[Pressure Base]]=14.73,rrcworking[[#This Row],[Gas Sales Statement Volume (MCF)]]*$R$2,rrcworking[[#This Row],[Gas Sales Statement Volume (MCF)]])</f>
        <v>43108</v>
      </c>
      <c r="Y124" s="60"/>
      <c r="Z124" s="60"/>
      <c r="AA124" s="143">
        <f>IF(ISERROR(INDEX(Table2[LEASE USE],MATCH(rrcworking[[#This Row],[Magnum Wolfpak '#]],Table2[Rox Wolf'#],0))),0,INDEX(Table2[LEASE USE],MATCH(rrcworking[[#This Row],[Magnum Wolfpak '#]],Table2[Rox Wolf'#],0)))</f>
        <v>0</v>
      </c>
      <c r="AB124" s="57">
        <f>rrcworking[[#This Row],[Disposition Volume (MCF) @ 14.65 MCF]]+rrcworking[[#This Row],[Lease Use (MCF)]]</f>
        <v>43108</v>
      </c>
      <c r="AC124" s="87"/>
      <c r="AD124" s="87" t="s">
        <v>1301</v>
      </c>
      <c r="AE124" s="185">
        <f>COUNTIF(FilterList,rrcworking[[#This Row],[Magnum Wolfpak '#]])</f>
        <v>0</v>
      </c>
      <c r="AF124" s="182"/>
      <c r="AG124" s="183"/>
      <c r="AH124" s="37"/>
      <c r="AI124" s="183"/>
      <c r="AJ124" s="37">
        <v>2</v>
      </c>
      <c r="AK124" s="37" t="s">
        <v>1140</v>
      </c>
      <c r="AL124" s="37" t="s">
        <v>1166</v>
      </c>
      <c r="AM124" s="37" t="s">
        <v>1213</v>
      </c>
      <c r="AN124" s="37" t="s">
        <v>1166</v>
      </c>
      <c r="AO124" s="37" t="s">
        <v>1177</v>
      </c>
      <c r="AP124" s="37" t="s">
        <v>1214</v>
      </c>
      <c r="AQ124" s="37"/>
    </row>
    <row r="125" spans="3:43" ht="14" hidden="1">
      <c r="C125" s="80" t="e">
        <v>#N/A</v>
      </c>
      <c r="D125" s="62" t="s">
        <v>131</v>
      </c>
      <c r="E125" s="131" t="s">
        <v>132</v>
      </c>
      <c r="F125" s="129">
        <v>1</v>
      </c>
      <c r="G125" s="120" t="s">
        <v>1090</v>
      </c>
      <c r="H125" s="18" t="s">
        <v>617</v>
      </c>
      <c r="I125" s="18" t="s">
        <v>59</v>
      </c>
      <c r="J125" s="19" t="s">
        <v>448</v>
      </c>
      <c r="K125" s="103">
        <v>264004</v>
      </c>
      <c r="L125" s="101">
        <f>INDEX(Table1[Production],MATCH(rrcworking[[#This Row],[RRC ID Number]],Table1[RRC Identifier],0))</f>
        <v>0</v>
      </c>
      <c r="M125" s="30">
        <f>INDEX(Table1[Formation Production],MATCH(rrcworking[[#This Row],[RRC ID Number]],Table1[RRC Identifier],0))</f>
        <v>0</v>
      </c>
      <c r="N125" s="31">
        <f>INDEX(Table1[On Hand End of Month],MATCH(rrcworking[[#This Row],[RRC ID Number]],Table1[RRC Identifier],0))</f>
        <v>0</v>
      </c>
      <c r="O125" s="106" t="b">
        <f t="shared" si="3"/>
        <v>1</v>
      </c>
      <c r="Q125" s="127">
        <f>rrcworking[[#This Row],[Last Month Closing Stock]]</f>
        <v>0</v>
      </c>
      <c r="R125">
        <f>rrcworking[[#This Row],[Opening Oil Stock]]</f>
        <v>0</v>
      </c>
      <c r="S125" s="143">
        <f>IF(ISERROR(INDEX(Table2[OIL],MATCH(rrcworking[[#This Row],[Magnum Wolfpak '#]],Table2[Rox Wolf'#],0))),0,INDEX(Table2[OIL],MATCH(rrcworking[[#This Row],[Magnum Wolfpak '#]],Table2[Rox Wolf'#],0)))</f>
        <v>0</v>
      </c>
      <c r="T125" s="35">
        <f>rrcworking[[#This Row],[Closing Stock (Oil)]]+rrcworking[[#This Row],[Sales/Dispostion]]-rrcworking[[#This Row],[Opening Oil Stock]]</f>
        <v>0</v>
      </c>
      <c r="U125" s="112">
        <f>rrcworking[[#This Row],[Gauge Sheet Prod Volume (oil)]]-rrcworking[[#This Row],[Oil Production]]</f>
        <v>0</v>
      </c>
      <c r="V125" s="143">
        <f>IF(ISERROR(INDEX(Table2[GAS],MATCH(rrcworking[[#This Row],[Magnum Wolfpak '#]],Table2[Rox Wolf'#],0))),0,INDEX(Table2[GAS],MATCH(rrcworking[[#This Row],[Magnum Wolfpak '#]],Table2[Rox Wolf'#],0)))</f>
        <v>0</v>
      </c>
      <c r="W125" s="24"/>
      <c r="X125" s="135">
        <f>IF(rrcworking[[#This Row],[Pressure Base]]=14.73,rrcworking[[#This Row],[Gas Sales Statement Volume (MCF)]]*$R$2,rrcworking[[#This Row],[Gas Sales Statement Volume (MCF)]])</f>
        <v>0</v>
      </c>
      <c r="Y125" s="60"/>
      <c r="Z125" s="60"/>
      <c r="AA125" s="143">
        <f>IF(ISERROR(INDEX(Table2[LEASE USE],MATCH(rrcworking[[#This Row],[Magnum Wolfpak '#]],Table2[Rox Wolf'#],0))),0,INDEX(Table2[LEASE USE],MATCH(rrcworking[[#This Row],[Magnum Wolfpak '#]],Table2[Rox Wolf'#],0)))</f>
        <v>0</v>
      </c>
      <c r="AB125" s="57">
        <f>rrcworking[[#This Row],[Disposition Volume (MCF) @ 14.65 MCF]]+rrcworking[[#This Row],[Lease Use (MCF)]]</f>
        <v>0</v>
      </c>
      <c r="AC125" s="37"/>
      <c r="AD125" s="37"/>
      <c r="AE125" s="185">
        <f>COUNTIF(FilterList,rrcworking[[#This Row],[Magnum Wolfpak '#]])</f>
        <v>0</v>
      </c>
      <c r="AF125" s="182"/>
      <c r="AG125" s="183"/>
      <c r="AH125" s="37"/>
      <c r="AI125" s="37"/>
      <c r="AJ125" s="37"/>
      <c r="AK125" s="37"/>
      <c r="AL125" s="37"/>
      <c r="AM125" s="37"/>
      <c r="AN125" s="37"/>
      <c r="AO125" s="37"/>
      <c r="AP125" s="37"/>
      <c r="AQ125" s="37"/>
    </row>
    <row r="126" spans="3:43" ht="14" hidden="1">
      <c r="C126" s="80" t="e">
        <v>#N/A</v>
      </c>
      <c r="D126" s="62" t="s">
        <v>241</v>
      </c>
      <c r="E126" s="131" t="s">
        <v>242</v>
      </c>
      <c r="F126" s="129">
        <v>2</v>
      </c>
      <c r="G126" s="120" t="s">
        <v>1090</v>
      </c>
      <c r="H126" s="18" t="s">
        <v>618</v>
      </c>
      <c r="I126" s="18" t="s">
        <v>59</v>
      </c>
      <c r="J126" s="19" t="s">
        <v>509</v>
      </c>
      <c r="K126" s="103">
        <v>235116</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Q126" s="127">
        <f>rrcworking[[#This Row],[Last Month Closing Stock]]</f>
        <v>0</v>
      </c>
      <c r="R126">
        <f>rrcworking[[#This Row],[Opening Oil Stock]]</f>
        <v>0</v>
      </c>
      <c r="S126" s="143">
        <f>IF(ISERROR(INDEX(Table2[OIL],MATCH(rrcworking[[#This Row],[Magnum Wolfpak '#]],Table2[Rox Wolf'#],0))),0,INDEX(Table2[OIL],MATCH(rrcworking[[#This Row],[Magnum Wolfpak '#]],Table2[Rox Wolf'#],0)))</f>
        <v>0</v>
      </c>
      <c r="T126" s="35">
        <f>rrcworking[[#This Row],[Closing Stock (Oil)]]+rrcworking[[#This Row],[Sales/Dispostion]]-rrcworking[[#This Row],[Opening Oil Stock]]</f>
        <v>0</v>
      </c>
      <c r="U126" s="112">
        <f>rrcworking[[#This Row],[Gauge Sheet Prod Volume (oil)]]-rrcworking[[#This Row],[Oil Production]]</f>
        <v>0</v>
      </c>
      <c r="V126" s="143">
        <f>IF(ISERROR(INDEX(Table2[GAS],MATCH(rrcworking[[#This Row],[Magnum Wolfpak '#]],Table2[Rox Wolf'#],0))),0,INDEX(Table2[GAS],MATCH(rrcworking[[#This Row],[Magnum Wolfpak '#]],Table2[Rox Wolf'#],0)))</f>
        <v>0</v>
      </c>
      <c r="W126" s="24"/>
      <c r="X126" s="135">
        <f>IF(rrcworking[[#This Row],[Pressure Base]]=14.73,rrcworking[[#This Row],[Gas Sales Statement Volume (MCF)]]*$R$2,rrcworking[[#This Row],[Gas Sales Statement Volume (MCF)]])</f>
        <v>0</v>
      </c>
      <c r="Y126" s="60"/>
      <c r="Z126" s="60"/>
      <c r="AA126" s="143">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185">
        <f>COUNTIF(FilterList,rrcworking[[#This Row],[Magnum Wolfpak '#]])</f>
        <v>0</v>
      </c>
      <c r="AF126" s="182"/>
      <c r="AG126" s="183"/>
      <c r="AH126" s="37"/>
      <c r="AI126" s="37"/>
      <c r="AJ126" s="37"/>
      <c r="AK126" s="37"/>
      <c r="AL126" s="37"/>
      <c r="AM126" s="37"/>
      <c r="AN126" s="37"/>
      <c r="AO126" s="37"/>
      <c r="AP126" s="37"/>
      <c r="AQ126" s="37"/>
    </row>
    <row r="127" spans="3:43" ht="98" hidden="1">
      <c r="C127" s="80">
        <v>98801</v>
      </c>
      <c r="D127" s="62" t="s">
        <v>243</v>
      </c>
      <c r="E127" s="131" t="s">
        <v>244</v>
      </c>
      <c r="F127" s="129">
        <v>1</v>
      </c>
      <c r="G127" s="120" t="s">
        <v>1090</v>
      </c>
      <c r="H127" s="18" t="s">
        <v>618</v>
      </c>
      <c r="I127" s="18" t="s">
        <v>59</v>
      </c>
      <c r="J127" s="19" t="s">
        <v>510</v>
      </c>
      <c r="K127" s="103">
        <v>164970</v>
      </c>
      <c r="L127" s="101">
        <f>INDEX(Table1[Production],MATCH(rrcworking[[#This Row],[RRC ID Number]],Table1[RRC Identifier],0))</f>
        <v>7</v>
      </c>
      <c r="M127" s="30">
        <f>INDEX(Table1[Formation Production],MATCH(rrcworking[[#This Row],[RRC ID Number]],Table1[RRC Identifier],0))</f>
        <v>6719</v>
      </c>
      <c r="N127" s="31">
        <f>INDEX(Table1[On Hand End of Month],MATCH(rrcworking[[#This Row],[RRC ID Number]],Table1[RRC Identifier],0))</f>
        <v>63</v>
      </c>
      <c r="O127" s="106" t="b">
        <f t="shared" si="3"/>
        <v>0</v>
      </c>
      <c r="P127">
        <v>65</v>
      </c>
      <c r="Q127" s="127">
        <f>rrcworking[[#This Row],[Last Month Closing Stock]]</f>
        <v>63</v>
      </c>
      <c r="R127">
        <v>127</v>
      </c>
      <c r="S127" s="143">
        <f>IF(ISERROR(INDEX(Table2[OIL],MATCH(rrcworking[[#This Row],[Magnum Wolfpak '#]],Table2[Rox Wolf'#],0))),0,INDEX(Table2[OIL],MATCH(rrcworking[[#This Row],[Magnum Wolfpak '#]],Table2[Rox Wolf'#],0)))</f>
        <v>0</v>
      </c>
      <c r="T127" s="35">
        <f>rrcworking[[#This Row],[Closing Stock (Oil)]]+rrcworking[[#This Row],[Sales/Dispostion]]-rrcworking[[#This Row],[Opening Oil Stock]]</f>
        <v>64</v>
      </c>
      <c r="U127" s="112">
        <f>rrcworking[[#This Row],[Gauge Sheet Prod Volume (oil)]]-rrcworking[[#This Row],[Oil Production]]</f>
        <v>1</v>
      </c>
      <c r="V127" s="143">
        <f>IF(ISERROR(INDEX(Table2[GAS],MATCH(rrcworking[[#This Row],[Magnum Wolfpak '#]],Table2[Rox Wolf'#],0))),0,INDEX(Table2[GAS],MATCH(rrcworking[[#This Row],[Magnum Wolfpak '#]],Table2[Rox Wolf'#],0)))</f>
        <v>5744</v>
      </c>
      <c r="W127" s="24"/>
      <c r="X127" s="135">
        <f>IF(rrcworking[[#This Row],[Pressure Base]]=14.73,rrcworking[[#This Row],[Gas Sales Statement Volume (MCF)]]*$R$2,rrcworking[[#This Row],[Gas Sales Statement Volume (MCF)]])</f>
        <v>5744</v>
      </c>
      <c r="Y127" s="85"/>
      <c r="Z127" s="60">
        <v>7</v>
      </c>
      <c r="AA127" s="143">
        <f>IF(ISERROR(INDEX(Table2[LEASE USE],MATCH(rrcworking[[#This Row],[Magnum Wolfpak '#]],Table2[Rox Wolf'#],0))),0,INDEX(Table2[LEASE USE],MATCH(rrcworking[[#This Row],[Magnum Wolfpak '#]],Table2[Rox Wolf'#],0)))</f>
        <v>210</v>
      </c>
      <c r="AB127" s="57">
        <f>rrcworking[[#This Row],[Disposition Volume (MCF) @ 14.65 MCF]]+rrcworking[[#This Row],[Lease Use (MCF)]]</f>
        <v>5954</v>
      </c>
      <c r="AC127" s="37"/>
      <c r="AD127" s="37" t="s">
        <v>1274</v>
      </c>
      <c r="AE127" s="185">
        <f>COUNTIF(FilterList,rrcworking[[#This Row],[Magnum Wolfpak '#]])</f>
        <v>0</v>
      </c>
      <c r="AF127" s="182"/>
      <c r="AG127" s="183"/>
      <c r="AH127" s="37"/>
      <c r="AI127" s="183"/>
      <c r="AJ127" s="37">
        <v>1</v>
      </c>
      <c r="AK127" s="37" t="s">
        <v>1166</v>
      </c>
      <c r="AL127" s="37" t="s">
        <v>1166</v>
      </c>
      <c r="AM127" s="37" t="s">
        <v>1268</v>
      </c>
      <c r="AN127" s="37" t="s">
        <v>1140</v>
      </c>
      <c r="AO127" s="37" t="s">
        <v>1269</v>
      </c>
      <c r="AP127" s="37" t="s">
        <v>1215</v>
      </c>
      <c r="AQ127" s="37" t="s">
        <v>1270</v>
      </c>
    </row>
    <row r="128" spans="3:43" ht="56">
      <c r="C128" s="80">
        <v>99259</v>
      </c>
      <c r="D128" s="62" t="s">
        <v>370</v>
      </c>
      <c r="E128" s="131" t="s">
        <v>371</v>
      </c>
      <c r="F128" s="129">
        <v>0</v>
      </c>
      <c r="G128" s="120" t="s">
        <v>1090</v>
      </c>
      <c r="H128" s="18" t="s">
        <v>619</v>
      </c>
      <c r="I128" s="18" t="s">
        <v>2</v>
      </c>
      <c r="J128" s="19" t="s">
        <v>588</v>
      </c>
      <c r="K128" s="103">
        <v>14061</v>
      </c>
      <c r="L128" s="101">
        <f>INDEX(Table1[Production],MATCH(rrcworking[[#This Row],[RRC ID Number]],Table1[RRC Identifier],0))</f>
        <v>261</v>
      </c>
      <c r="M128" s="30">
        <f>INDEX(Table1[Formation Production],MATCH(rrcworking[[#This Row],[RRC ID Number]],Table1[RRC Identifier],0))</f>
        <v>0</v>
      </c>
      <c r="N128" s="31">
        <f>INDEX(Table1[On Hand End of Month],MATCH(rrcworking[[#This Row],[RRC ID Number]],Table1[RRC Identifier],0))</f>
        <v>254</v>
      </c>
      <c r="O128" s="106" t="b">
        <f t="shared" si="3"/>
        <v>0</v>
      </c>
      <c r="P128">
        <v>57</v>
      </c>
      <c r="Q128" s="127">
        <f>rrcworking[[#This Row],[Last Month Closing Stock]]</f>
        <v>254</v>
      </c>
      <c r="R128">
        <v>117</v>
      </c>
      <c r="S128" s="143">
        <f>IF(ISERROR(INDEX(Table2[OIL],MATCH(rrcworking[[#This Row],[Magnum Wolfpak '#]],Table2[Rox Wolf'#],0))),0,INDEX(Table2[OIL],MATCH(rrcworking[[#This Row],[Magnum Wolfpak '#]],Table2[Rox Wolf'#],0)))</f>
        <v>161</v>
      </c>
      <c r="T128" s="35">
        <f>rrcworking[[#This Row],[Closing Stock (Oil)]]+rrcworking[[#This Row],[Sales/Dispostion]]-rrcworking[[#This Row],[Opening Oil Stock]]</f>
        <v>24</v>
      </c>
      <c r="U128" s="112">
        <f>rrcworking[[#This Row],[Gauge Sheet Prod Volume (oil)]]-rrcworking[[#This Row],[Oil Production]]</f>
        <v>33</v>
      </c>
      <c r="V128" s="143">
        <f>IF(ISERROR(INDEX(Table2[GAS],MATCH(rrcworking[[#This Row],[Magnum Wolfpak '#]],Table2[Rox Wolf'#],0))),0,INDEX(Table2[GAS],MATCH(rrcworking[[#This Row],[Magnum Wolfpak '#]],Table2[Rox Wolf'#],0)))</f>
        <v>0</v>
      </c>
      <c r="W128" s="24"/>
      <c r="X128" s="135">
        <f>IF(rrcworking[[#This Row],[Pressure Base]]=14.73,rrcworking[[#This Row],[Gas Sales Statement Volume (MCF)]]*$R$2,rrcworking[[#This Row],[Gas Sales Statement Volume (MCF)]])</f>
        <v>0</v>
      </c>
      <c r="Y128" s="60"/>
      <c r="Z128" s="60"/>
      <c r="AA128" s="143">
        <f>IF(ISERROR(INDEX(Table2[LEASE USE],MATCH(rrcworking[[#This Row],[Magnum Wolfpak '#]],Table2[Rox Wolf'#],0))),0,INDEX(Table2[LEASE USE],MATCH(rrcworking[[#This Row],[Magnum Wolfpak '#]],Table2[Rox Wolf'#],0)))</f>
        <v>0</v>
      </c>
      <c r="AB128" s="57">
        <f>rrcworking[[#This Row],[Disposition Volume (MCF) @ 14.65 MCF]]+rrcworking[[#This Row],[Lease Use (MCF)]]</f>
        <v>0</v>
      </c>
      <c r="AC128" s="37"/>
      <c r="AD128" s="37" t="s">
        <v>1302</v>
      </c>
      <c r="AE128" s="185">
        <f>COUNTIF(FilterList,rrcworking[[#This Row],[Magnum Wolfpak '#]])</f>
        <v>0</v>
      </c>
      <c r="AF128" s="182"/>
      <c r="AG128" s="183"/>
      <c r="AH128" s="37"/>
      <c r="AI128" s="183"/>
      <c r="AJ128" s="37">
        <v>2</v>
      </c>
      <c r="AK128" s="37" t="s">
        <v>1140</v>
      </c>
      <c r="AL128" s="37" t="s">
        <v>1140</v>
      </c>
      <c r="AM128" s="37" t="s">
        <v>1202</v>
      </c>
      <c r="AN128" s="37" t="s">
        <v>1140</v>
      </c>
      <c r="AO128" s="37" t="s">
        <v>1172</v>
      </c>
      <c r="AP128" s="37" t="s">
        <v>1254</v>
      </c>
      <c r="AQ128" s="37"/>
    </row>
    <row r="129" spans="3:43" ht="28" hidden="1">
      <c r="C129" s="80">
        <v>95801</v>
      </c>
      <c r="D129" s="62" t="s">
        <v>334</v>
      </c>
      <c r="E129" s="131" t="s">
        <v>335</v>
      </c>
      <c r="F129" s="129">
        <v>0</v>
      </c>
      <c r="G129" s="120" t="s">
        <v>1090</v>
      </c>
      <c r="H129" s="18" t="s">
        <v>619</v>
      </c>
      <c r="I129" s="18" t="s">
        <v>2</v>
      </c>
      <c r="J129" s="19" t="s">
        <v>568</v>
      </c>
      <c r="K129" s="103">
        <v>10325</v>
      </c>
      <c r="L129" s="101">
        <f>INDEX(Table1[Production],MATCH(rrcworking[[#This Row],[RRC ID Number]],Table1[RRC Identifier],0))</f>
        <v>2</v>
      </c>
      <c r="M129" s="30">
        <f>INDEX(Table1[Formation Production],MATCH(rrcworking[[#This Row],[RRC ID Number]],Table1[RRC Identifier],0))</f>
        <v>0</v>
      </c>
      <c r="N129" s="31">
        <f>INDEX(Table1[On Hand End of Month],MATCH(rrcworking[[#This Row],[RRC ID Number]],Table1[RRC Identifier],0))</f>
        <v>65</v>
      </c>
      <c r="O129" s="106" t="b">
        <f t="shared" si="3"/>
        <v>0</v>
      </c>
      <c r="P129">
        <v>0</v>
      </c>
      <c r="Q129" s="127">
        <f>rrcworking[[#This Row],[Last Month Closing Stock]]</f>
        <v>65</v>
      </c>
      <c r="R129">
        <v>65</v>
      </c>
      <c r="S129" s="143">
        <f>IF(ISERROR(INDEX(Table2[OIL],MATCH(rrcworking[[#This Row],[Magnum Wolfpak '#]],Table2[Rox Wolf'#],0))),0,INDEX(Table2[OIL],MATCH(rrcworking[[#This Row],[Magnum Wolfpak '#]],Table2[Rox Wolf'#],0)))</f>
        <v>0</v>
      </c>
      <c r="T129" s="35">
        <f>rrcworking[[#This Row],[Closing Stock (Oil)]]+rrcworking[[#This Row],[Sales/Dispostion]]-rrcworking[[#This Row],[Opening Oil Stock]]</f>
        <v>0</v>
      </c>
      <c r="U129" s="112">
        <f>rrcworking[[#This Row],[Gauge Sheet Prod Volume (oil)]]-rrcworking[[#This Row],[Oil Production]]</f>
        <v>0</v>
      </c>
      <c r="V129" s="143">
        <f>IF(ISERROR(INDEX(Table2[GAS],MATCH(rrcworking[[#This Row],[Magnum Wolfpak '#]],Table2[Rox Wolf'#],0))),0,INDEX(Table2[GAS],MATCH(rrcworking[[#This Row],[Magnum Wolfpak '#]],Table2[Rox Wolf'#],0)))</f>
        <v>0</v>
      </c>
      <c r="W129" s="24"/>
      <c r="X129" s="135">
        <f>IF(rrcworking[[#This Row],[Pressure Base]]=14.73,rrcworking[[#This Row],[Gas Sales Statement Volume (MCF)]]*$R$2,rrcworking[[#This Row],[Gas Sales Statement Volume (MCF)]])</f>
        <v>0</v>
      </c>
      <c r="Y129" s="60"/>
      <c r="Z129" s="60"/>
      <c r="AA129" s="143">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c r="AE129" s="185">
        <f>COUNTIF(FilterList,rrcworking[[#This Row],[Magnum Wolfpak '#]])</f>
        <v>0</v>
      </c>
      <c r="AF129" s="182"/>
      <c r="AG129" s="183"/>
      <c r="AH129" s="37"/>
      <c r="AI129" s="183"/>
      <c r="AJ129" s="37">
        <v>2</v>
      </c>
      <c r="AK129" s="37" t="s">
        <v>1166</v>
      </c>
      <c r="AL129" s="37" t="s">
        <v>1166</v>
      </c>
      <c r="AM129" s="37" t="s">
        <v>1197</v>
      </c>
      <c r="AN129" s="37" t="s">
        <v>1166</v>
      </c>
      <c r="AO129" s="37" t="s">
        <v>1172</v>
      </c>
      <c r="AP129" s="37" t="s">
        <v>1237</v>
      </c>
      <c r="AQ129" s="37"/>
    </row>
    <row r="130" spans="3:43" ht="14" hidden="1">
      <c r="C130" s="80" t="e">
        <v>#N/A</v>
      </c>
      <c r="D130" s="62" t="s">
        <v>117</v>
      </c>
      <c r="E130" s="131" t="s">
        <v>118</v>
      </c>
      <c r="F130" s="129">
        <v>0</v>
      </c>
      <c r="G130" s="120" t="s">
        <v>1090</v>
      </c>
      <c r="H130" s="18" t="s">
        <v>617</v>
      </c>
      <c r="I130" s="18" t="s">
        <v>2</v>
      </c>
      <c r="J130" s="19" t="s">
        <v>439</v>
      </c>
      <c r="K130" s="103">
        <v>5086</v>
      </c>
      <c r="L130" s="101">
        <f>INDEX(Table1[Production],MATCH(rrcworking[[#This Row],[RRC ID Number]],Table1[RRC Identifier],0))</f>
        <v>0</v>
      </c>
      <c r="M130" s="30">
        <f>INDEX(Table1[Formation Production],MATCH(rrcworking[[#This Row],[RRC ID Number]],Table1[RRC Identifier],0))</f>
        <v>0</v>
      </c>
      <c r="N130" s="31">
        <f>INDEX(Table1[On Hand End of Month],MATCH(rrcworking[[#This Row],[RRC ID Number]],Table1[RRC Identifier],0))</f>
        <v>0</v>
      </c>
      <c r="O130" s="106" t="b">
        <f t="shared" si="3"/>
        <v>1</v>
      </c>
      <c r="Q130" s="127">
        <f>rrcworking[[#This Row],[Last Month Closing Stock]]</f>
        <v>0</v>
      </c>
      <c r="R130">
        <f>rrcworking[[#This Row],[Opening Oil Stock]]</f>
        <v>0</v>
      </c>
      <c r="S130" s="143">
        <f>IF(ISERROR(INDEX(Table2[OIL],MATCH(rrcworking[[#This Row],[Magnum Wolfpak '#]],Table2[Rox Wolf'#],0))),0,INDEX(Table2[OIL],MATCH(rrcworking[[#This Row],[Magnum Wolfpak '#]],Table2[Rox Wolf'#],0)))</f>
        <v>0</v>
      </c>
      <c r="T130" s="35">
        <f>rrcworking[[#This Row],[Closing Stock (Oil)]]+rrcworking[[#This Row],[Sales/Dispostion]]-rrcworking[[#This Row],[Opening Oil Stock]]</f>
        <v>0</v>
      </c>
      <c r="U130" s="112">
        <f>rrcworking[[#This Row],[Gauge Sheet Prod Volume (oil)]]-rrcworking[[#This Row],[Oil Production]]</f>
        <v>0</v>
      </c>
      <c r="V130" s="143">
        <f>IF(ISERROR(INDEX(Table2[GAS],MATCH(rrcworking[[#This Row],[Magnum Wolfpak '#]],Table2[Rox Wolf'#],0))),0,INDEX(Table2[GAS],MATCH(rrcworking[[#This Row],[Magnum Wolfpak '#]],Table2[Rox Wolf'#],0)))</f>
        <v>0</v>
      </c>
      <c r="W130" s="24"/>
      <c r="X130" s="135">
        <f>IF(rrcworking[[#This Row],[Pressure Base]]=14.73,rrcworking[[#This Row],[Gas Sales Statement Volume (MCF)]]*$R$2,rrcworking[[#This Row],[Gas Sales Statement Volume (MCF)]])</f>
        <v>0</v>
      </c>
      <c r="Y130" s="60"/>
      <c r="Z130" s="60"/>
      <c r="AA130" s="143">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185">
        <f>COUNTIF(FilterList,rrcworking[[#This Row],[Magnum Wolfpak '#]])</f>
        <v>0</v>
      </c>
      <c r="AF130" s="182"/>
      <c r="AG130" s="183"/>
      <c r="AH130" s="37"/>
      <c r="AI130" s="37"/>
      <c r="AJ130" s="37"/>
      <c r="AK130" s="37"/>
      <c r="AL130" s="37"/>
      <c r="AM130" s="37"/>
      <c r="AN130" s="37"/>
      <c r="AO130" s="37"/>
      <c r="AP130" s="37"/>
      <c r="AQ130" s="37"/>
    </row>
    <row r="131" spans="3:43" ht="14" hidden="1">
      <c r="C131" s="80" t="e">
        <v>#N/A</v>
      </c>
      <c r="D131" s="62" t="s">
        <v>311</v>
      </c>
      <c r="E131" s="131" t="s">
        <v>312</v>
      </c>
      <c r="F131" s="129">
        <v>1</v>
      </c>
      <c r="G131" s="120" t="s">
        <v>1090</v>
      </c>
      <c r="H131" s="18" t="s">
        <v>619</v>
      </c>
      <c r="I131" s="18" t="s">
        <v>59</v>
      </c>
      <c r="J131" s="19" t="s">
        <v>554</v>
      </c>
      <c r="K131" s="103">
        <v>115364</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Q131" s="127">
        <f>rrcworking[[#This Row],[Last Month Closing Stock]]</f>
        <v>0</v>
      </c>
      <c r="R131">
        <f>rrcworking[[#This Row],[Opening Oil Stock]]</f>
        <v>0</v>
      </c>
      <c r="S131" s="143">
        <f>IF(ISERROR(INDEX(Table2[OIL],MATCH(rrcworking[[#This Row],[Magnum Wolfpak '#]],Table2[Rox Wolf'#],0))),0,INDEX(Table2[OIL],MATCH(rrcworking[[#This Row],[Magnum Wolfpak '#]],Table2[Rox Wolf'#],0)))</f>
        <v>0</v>
      </c>
      <c r="T131" s="35">
        <f>rrcworking[[#This Row],[Closing Stock (Oil)]]+rrcworking[[#This Row],[Sales/Dispostion]]-rrcworking[[#This Row],[Opening Oil Stock]]</f>
        <v>0</v>
      </c>
      <c r="U131" s="112">
        <f>rrcworking[[#This Row],[Gauge Sheet Prod Volume (oil)]]-rrcworking[[#This Row],[Oil Production]]</f>
        <v>0</v>
      </c>
      <c r="V131" s="143">
        <f>IF(ISERROR(INDEX(Table2[GAS],MATCH(rrcworking[[#This Row],[Magnum Wolfpak '#]],Table2[Rox Wolf'#],0))),0,INDEX(Table2[GAS],MATCH(rrcworking[[#This Row],[Magnum Wolfpak '#]],Table2[Rox Wolf'#],0)))</f>
        <v>0</v>
      </c>
      <c r="W131" s="24"/>
      <c r="X131" s="135">
        <f>IF(rrcworking[[#This Row],[Pressure Base]]=14.73,rrcworking[[#This Row],[Gas Sales Statement Volume (MCF)]]*$R$2,rrcworking[[#This Row],[Gas Sales Statement Volume (MCF)]])</f>
        <v>0</v>
      </c>
      <c r="Y131" s="60"/>
      <c r="Z131" s="60"/>
      <c r="AA131" s="143">
        <f>IF(ISERROR(INDEX(Table2[LEASE USE],MATCH(rrcworking[[#This Row],[Magnum Wolfpak '#]],Table2[Rox Wolf'#],0))),0,INDEX(Table2[LEASE USE],MATCH(rrcworking[[#This Row],[Magnum Wolfpak '#]],Table2[Rox Wolf'#],0)))</f>
        <v>0</v>
      </c>
      <c r="AB131" s="57">
        <f>rrcworking[[#This Row],[Disposition Volume (MCF) @ 14.65 MCF]]+rrcworking[[#This Row],[Lease Use (MCF)]]</f>
        <v>0</v>
      </c>
      <c r="AC131" s="97"/>
      <c r="AD131" s="97"/>
      <c r="AE131" s="185">
        <f>COUNTIF(FilterList,rrcworking[[#This Row],[Magnum Wolfpak '#]])</f>
        <v>0</v>
      </c>
      <c r="AF131" s="182"/>
      <c r="AG131" s="183"/>
      <c r="AH131" s="37"/>
      <c r="AI131" s="37"/>
      <c r="AJ131" s="37"/>
      <c r="AK131" s="37"/>
      <c r="AL131" s="37"/>
      <c r="AM131" s="37"/>
      <c r="AN131" s="37"/>
      <c r="AO131" s="37"/>
      <c r="AP131" s="37"/>
      <c r="AQ131" s="37"/>
    </row>
    <row r="132" spans="3:43" ht="42">
      <c r="C132" s="80">
        <v>98961</v>
      </c>
      <c r="D132" s="62" t="s">
        <v>294</v>
      </c>
      <c r="E132" s="131" t="s">
        <v>295</v>
      </c>
      <c r="F132" s="129">
        <v>0</v>
      </c>
      <c r="G132" s="120" t="s">
        <v>1090</v>
      </c>
      <c r="H132" s="18" t="s">
        <v>618</v>
      </c>
      <c r="I132" s="18" t="s">
        <v>2</v>
      </c>
      <c r="J132" s="19" t="s">
        <v>544</v>
      </c>
      <c r="K132" s="103">
        <v>24644</v>
      </c>
      <c r="L132" s="101">
        <f>INDEX(Table1[Production],MATCH(rrcworking[[#This Row],[RRC ID Number]],Table1[RRC Identifier],0))</f>
        <v>289</v>
      </c>
      <c r="M132" s="30">
        <f>INDEX(Table1[Formation Production],MATCH(rrcworking[[#This Row],[RRC ID Number]],Table1[RRC Identifier],0))</f>
        <v>2046</v>
      </c>
      <c r="N132" s="31">
        <f>INDEX(Table1[On Hand End of Month],MATCH(rrcworking[[#This Row],[RRC ID Number]],Table1[RRC Identifier],0))</f>
        <v>105</v>
      </c>
      <c r="O132" s="106" t="b">
        <f t="shared" si="3"/>
        <v>0</v>
      </c>
      <c r="P132">
        <v>460</v>
      </c>
      <c r="Q132" s="127">
        <f>rrcworking[[#This Row],[Last Month Closing Stock]]</f>
        <v>105</v>
      </c>
      <c r="R132">
        <v>226</v>
      </c>
      <c r="S132" s="143">
        <f>IF(ISERROR(INDEX(Table2[OIL],MATCH(rrcworking[[#This Row],[Magnum Wolfpak '#]],Table2[Rox Wolf'#],0))),0,INDEX(Table2[OIL],MATCH(rrcworking[[#This Row],[Magnum Wolfpak '#]],Table2[Rox Wolf'#],0)))</f>
        <v>336</v>
      </c>
      <c r="T132" s="35">
        <f>rrcworking[[#This Row],[Closing Stock (Oil)]]+rrcworking[[#This Row],[Sales/Dispostion]]-rrcworking[[#This Row],[Opening Oil Stock]]</f>
        <v>457</v>
      </c>
      <c r="U132" s="112">
        <f>rrcworking[[#This Row],[Gauge Sheet Prod Volume (oil)]]-rrcworking[[#This Row],[Oil Production]]</f>
        <v>3</v>
      </c>
      <c r="V132" s="143">
        <f>IF(ISERROR(INDEX(Table2[GAS],MATCH(rrcworking[[#This Row],[Magnum Wolfpak '#]],Table2[Rox Wolf'#],0))),0,INDEX(Table2[GAS],MATCH(rrcworking[[#This Row],[Magnum Wolfpak '#]],Table2[Rox Wolf'#],0)))</f>
        <v>2141</v>
      </c>
      <c r="W132" s="24"/>
      <c r="X132" s="135">
        <f>IF(rrcworking[[#This Row],[Pressure Base]]=14.73,rrcworking[[#This Row],[Gas Sales Statement Volume (MCF)]]*$R$2,rrcworking[[#This Row],[Gas Sales Statement Volume (MCF)]])</f>
        <v>2141</v>
      </c>
      <c r="Y132" s="60"/>
      <c r="Z132" s="60">
        <v>0</v>
      </c>
      <c r="AA132" s="143">
        <f>IF(ISERROR(INDEX(Table2[LEASE USE],MATCH(rrcworking[[#This Row],[Magnum Wolfpak '#]],Table2[Rox Wolf'#],0))),0,INDEX(Table2[LEASE USE],MATCH(rrcworking[[#This Row],[Magnum Wolfpak '#]],Table2[Rox Wolf'#],0)))</f>
        <v>0</v>
      </c>
      <c r="AB132" s="57">
        <f>rrcworking[[#This Row],[Disposition Volume (MCF) @ 14.65 MCF]]+rrcworking[[#This Row],[Lease Use (MCF)]]</f>
        <v>2141</v>
      </c>
      <c r="AC132" s="37"/>
      <c r="AD132" s="37" t="s">
        <v>1246</v>
      </c>
      <c r="AE132" s="185">
        <f>COUNTIF(FilterList,rrcworking[[#This Row],[Magnum Wolfpak '#]])</f>
        <v>0</v>
      </c>
      <c r="AF132" s="182"/>
      <c r="AG132" s="183"/>
      <c r="AH132" s="37"/>
      <c r="AI132" s="183"/>
      <c r="AJ132" s="184"/>
      <c r="AK132" s="184"/>
      <c r="AL132" s="184"/>
      <c r="AM132" s="184"/>
      <c r="AN132" s="184"/>
      <c r="AO132" s="184"/>
      <c r="AP132" s="37" t="s">
        <v>1164</v>
      </c>
      <c r="AQ132" s="37" t="s">
        <v>1199</v>
      </c>
    </row>
    <row r="133" spans="3:43" ht="14" hidden="1">
      <c r="C133" s="80" t="e">
        <v>#N/A</v>
      </c>
      <c r="D133" s="62" t="s">
        <v>294</v>
      </c>
      <c r="E133" s="131" t="s">
        <v>295</v>
      </c>
      <c r="F133" s="129">
        <v>3</v>
      </c>
      <c r="G133" s="120" t="s">
        <v>1090</v>
      </c>
      <c r="H133" s="18" t="s">
        <v>618</v>
      </c>
      <c r="I133" s="18" t="s">
        <v>59</v>
      </c>
      <c r="J133" s="19" t="s">
        <v>543</v>
      </c>
      <c r="K133" s="103">
        <v>129832</v>
      </c>
      <c r="L133" s="101">
        <f>INDEX(Table1[Production],MATCH(rrcworking[[#This Row],[RRC ID Number]],Table1[RRC Identifier],0))</f>
        <v>0</v>
      </c>
      <c r="M133" s="30">
        <f>INDEX(Table1[Formation Production],MATCH(rrcworking[[#This Row],[RRC ID Number]],Table1[RRC Identifier],0))</f>
        <v>0</v>
      </c>
      <c r="N133" s="31">
        <f>INDEX(Table1[On Hand End of Month],MATCH(rrcworking[[#This Row],[RRC ID Number]],Table1[RRC Identifier],0))</f>
        <v>0</v>
      </c>
      <c r="O133" s="106" t="b">
        <f t="shared" si="3"/>
        <v>1</v>
      </c>
      <c r="Q133" s="127">
        <f>rrcworking[[#This Row],[Last Month Closing Stock]]</f>
        <v>0</v>
      </c>
      <c r="R133">
        <f>rrcworking[[#This Row],[Opening Oil Stock]]</f>
        <v>0</v>
      </c>
      <c r="S133" s="143">
        <f>IF(ISERROR(INDEX(Table2[OIL],MATCH(rrcworking[[#This Row],[Magnum Wolfpak '#]],Table2[Rox Wolf'#],0))),0,INDEX(Table2[OIL],MATCH(rrcworking[[#This Row],[Magnum Wolfpak '#]],Table2[Rox Wolf'#],0)))</f>
        <v>0</v>
      </c>
      <c r="T133" s="35">
        <f>rrcworking[[#This Row],[Closing Stock (Oil)]]+rrcworking[[#This Row],[Sales/Dispostion]]-rrcworking[[#This Row],[Opening Oil Stock]]</f>
        <v>0</v>
      </c>
      <c r="U133" s="112">
        <f>rrcworking[[#This Row],[Gauge Sheet Prod Volume (oil)]]-rrcworking[[#This Row],[Oil Production]]</f>
        <v>0</v>
      </c>
      <c r="V133" s="143">
        <f>IF(ISERROR(INDEX(Table2[GAS],MATCH(rrcworking[[#This Row],[Magnum Wolfpak '#]],Table2[Rox Wolf'#],0))),0,INDEX(Table2[GAS],MATCH(rrcworking[[#This Row],[Magnum Wolfpak '#]],Table2[Rox Wolf'#],0)))</f>
        <v>0</v>
      </c>
      <c r="W133" s="24"/>
      <c r="X133" s="135">
        <f>IF(rrcworking[[#This Row],[Pressure Base]]=14.73,rrcworking[[#This Row],[Gas Sales Statement Volume (MCF)]]*$R$2,rrcworking[[#This Row],[Gas Sales Statement Volume (MCF)]])</f>
        <v>0</v>
      </c>
      <c r="Y133" s="60"/>
      <c r="Z133" s="60"/>
      <c r="AA133" s="143">
        <f>IF(ISERROR(INDEX(Table2[LEASE USE],MATCH(rrcworking[[#This Row],[Magnum Wolfpak '#]],Table2[Rox Wolf'#],0))),0,INDEX(Table2[LEASE USE],MATCH(rrcworking[[#This Row],[Magnum Wolfpak '#]],Table2[Rox Wolf'#],0)))</f>
        <v>0</v>
      </c>
      <c r="AB133" s="57">
        <f>rrcworking[[#This Row],[Disposition Volume (MCF) @ 14.65 MCF]]+rrcworking[[#This Row],[Lease Use (MCF)]]</f>
        <v>0</v>
      </c>
      <c r="AC133" s="97"/>
      <c r="AD133" s="97"/>
      <c r="AE133" s="185">
        <f>COUNTIF(FilterList,rrcworking[[#This Row],[Magnum Wolfpak '#]])</f>
        <v>0</v>
      </c>
      <c r="AF133" s="182"/>
      <c r="AG133" s="183"/>
      <c r="AH133" s="37"/>
      <c r="AI133" s="37"/>
      <c r="AJ133" s="37"/>
      <c r="AK133" s="37"/>
      <c r="AL133" s="37"/>
      <c r="AM133" s="37"/>
      <c r="AN133" s="37"/>
      <c r="AO133" s="37"/>
      <c r="AP133" s="37"/>
      <c r="AQ133" s="37"/>
    </row>
    <row r="134" spans="3:43" ht="14" hidden="1">
      <c r="C134" s="80" t="e">
        <v>#N/A</v>
      </c>
      <c r="D134" s="62" t="s">
        <v>296</v>
      </c>
      <c r="E134" s="131" t="s">
        <v>295</v>
      </c>
      <c r="F134" s="129">
        <v>5</v>
      </c>
      <c r="G134" s="120" t="s">
        <v>1090</v>
      </c>
      <c r="H134" s="18" t="s">
        <v>618</v>
      </c>
      <c r="I134" s="18" t="s">
        <v>59</v>
      </c>
      <c r="J134" s="19" t="s">
        <v>545</v>
      </c>
      <c r="K134" s="103">
        <v>127418</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ref="O134:O164" si="4">IF(AND(L134=0,M134=0), TRUE, FALSE)</f>
        <v>1</v>
      </c>
      <c r="Q134" s="127">
        <f>rrcworking[[#This Row],[Last Month Closing Stock]]</f>
        <v>0</v>
      </c>
      <c r="R134">
        <f>rrcworking[[#This Row],[Opening Oil Stock]]</f>
        <v>0</v>
      </c>
      <c r="S134" s="143">
        <f>IF(ISERROR(INDEX(Table2[OIL],MATCH(rrcworking[[#This Row],[Magnum Wolfpak '#]],Table2[Rox Wolf'#],0))),0,INDEX(Table2[OIL],MATCH(rrcworking[[#This Row],[Magnum Wolfpak '#]],Table2[Rox Wolf'#],0)))</f>
        <v>0</v>
      </c>
      <c r="T134" s="35">
        <f>rrcworking[[#This Row],[Closing Stock (Oil)]]+rrcworking[[#This Row],[Sales/Dispostion]]-rrcworking[[#This Row],[Opening Oil Stock]]</f>
        <v>0</v>
      </c>
      <c r="U134" s="112">
        <f>rrcworking[[#This Row],[Gauge Sheet Prod Volume (oil)]]-rrcworking[[#This Row],[Oil Production]]</f>
        <v>0</v>
      </c>
      <c r="V134" s="143">
        <f>IF(ISERROR(INDEX(Table2[GAS],MATCH(rrcworking[[#This Row],[Magnum Wolfpak '#]],Table2[Rox Wolf'#],0))),0,INDEX(Table2[GAS],MATCH(rrcworking[[#This Row],[Magnum Wolfpak '#]],Table2[Rox Wolf'#],0)))</f>
        <v>0</v>
      </c>
      <c r="W134" s="24"/>
      <c r="X134" s="135">
        <f>IF(rrcworking[[#This Row],[Pressure Base]]=14.73,rrcworking[[#This Row],[Gas Sales Statement Volume (MCF)]]*$R$2,rrcworking[[#This Row],[Gas Sales Statement Volume (MCF)]])</f>
        <v>0</v>
      </c>
      <c r="Y134" s="60"/>
      <c r="Z134" s="60"/>
      <c r="AA134" s="143">
        <f>IF(ISERROR(INDEX(Table2[LEASE USE],MATCH(rrcworking[[#This Row],[Magnum Wolfpak '#]],Table2[Rox Wolf'#],0))),0,INDEX(Table2[LEASE USE],MATCH(rrcworking[[#This Row],[Magnum Wolfpak '#]],Table2[Rox Wolf'#],0)))</f>
        <v>0</v>
      </c>
      <c r="AB134" s="57">
        <f>rrcworking[[#This Row],[Disposition Volume (MCF) @ 14.65 MCF]]+rrcworking[[#This Row],[Lease Use (MCF)]]</f>
        <v>0</v>
      </c>
      <c r="AC134" s="37"/>
      <c r="AD134" s="37"/>
      <c r="AE134" s="185">
        <f>COUNTIF(FilterList,rrcworking[[#This Row],[Magnum Wolfpak '#]])</f>
        <v>0</v>
      </c>
      <c r="AF134" s="182"/>
      <c r="AG134" s="183"/>
      <c r="AH134" s="37"/>
      <c r="AI134" s="37"/>
      <c r="AJ134" s="37"/>
      <c r="AK134" s="37"/>
      <c r="AL134" s="37"/>
      <c r="AM134" s="37"/>
      <c r="AN134" s="37"/>
      <c r="AO134" s="37"/>
      <c r="AP134" s="37"/>
      <c r="AQ134" s="37"/>
    </row>
    <row r="135" spans="3:43" ht="14" hidden="1">
      <c r="C135" s="80" t="e">
        <v>#N/A</v>
      </c>
      <c r="D135" s="62" t="s">
        <v>296</v>
      </c>
      <c r="E135" s="131" t="s">
        <v>295</v>
      </c>
      <c r="F135" s="129">
        <v>4</v>
      </c>
      <c r="G135" s="120" t="s">
        <v>1090</v>
      </c>
      <c r="H135" s="18" t="s">
        <v>618</v>
      </c>
      <c r="I135" s="18" t="s">
        <v>59</v>
      </c>
      <c r="J135" s="19" t="s">
        <v>546</v>
      </c>
      <c r="K135" s="103">
        <v>128149</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si="4"/>
        <v>1</v>
      </c>
      <c r="Q135" s="127">
        <f>rrcworking[[#This Row],[Last Month Closing Stock]]</f>
        <v>0</v>
      </c>
      <c r="R135">
        <f>rrcworking[[#This Row],[Opening Oil Stock]]</f>
        <v>0</v>
      </c>
      <c r="S135" s="143">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 Volume (oil)]]-rrcworking[[#This Row],[Oil Production]]</f>
        <v>0</v>
      </c>
      <c r="V135" s="143">
        <f>IF(ISERROR(INDEX(Table2[GAS],MATCH(rrcworking[[#This Row],[Magnum Wolfpak '#]],Table2[Rox Wolf'#],0))),0,INDEX(Table2[GAS],MATCH(rrcworking[[#This Row],[Magnum Wolfpak '#]],Table2[Rox Wolf'#],0)))</f>
        <v>0</v>
      </c>
      <c r="W135" s="24"/>
      <c r="X135" s="135">
        <f>IF(rrcworking[[#This Row],[Pressure Base]]=14.73,rrcworking[[#This Row],[Gas Sales Statement Volume (MCF)]]*$R$2,rrcworking[[#This Row],[Gas Sales Statement Volume (MCF)]])</f>
        <v>0</v>
      </c>
      <c r="Y135" s="60"/>
      <c r="Z135" s="60"/>
      <c r="AA135" s="143">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185">
        <f>COUNTIF(FilterList,rrcworking[[#This Row],[Magnum Wolfpak '#]])</f>
        <v>0</v>
      </c>
      <c r="AF135" s="182"/>
      <c r="AG135" s="183"/>
      <c r="AH135" s="37"/>
      <c r="AI135" s="37"/>
      <c r="AJ135" s="37"/>
      <c r="AK135" s="37"/>
      <c r="AL135" s="37"/>
      <c r="AM135" s="37"/>
      <c r="AN135" s="37"/>
      <c r="AO135" s="37"/>
      <c r="AP135" s="37"/>
      <c r="AQ135" s="37"/>
    </row>
    <row r="136" spans="3:43" ht="182" hidden="1">
      <c r="C136" s="80">
        <v>99132</v>
      </c>
      <c r="D136" s="62" t="s">
        <v>381</v>
      </c>
      <c r="E136" s="131" t="s">
        <v>382</v>
      </c>
      <c r="F136" s="140" t="s">
        <v>61</v>
      </c>
      <c r="G136" s="120">
        <v>6114</v>
      </c>
      <c r="H136" s="18" t="s">
        <v>619</v>
      </c>
      <c r="I136" s="18" t="s">
        <v>2</v>
      </c>
      <c r="J136" s="19" t="s">
        <v>595</v>
      </c>
      <c r="K136" s="103">
        <v>3212</v>
      </c>
      <c r="L136" s="101">
        <f>INDEX(Table1[Production],MATCH(rrcworking[[#This Row],[RRC ID Number]],Table1[RRC Identifier],0))</f>
        <v>105</v>
      </c>
      <c r="M136" s="30">
        <f>INDEX(Table1[Formation Production],MATCH(rrcworking[[#This Row],[RRC ID Number]],Table1[RRC Identifier],0))</f>
        <v>0</v>
      </c>
      <c r="N136" s="31">
        <f>INDEX(Table1[On Hand End of Month],MATCH(rrcworking[[#This Row],[RRC ID Number]],Table1[RRC Identifier],0))</f>
        <v>232</v>
      </c>
      <c r="O136" s="106" t="b">
        <f t="shared" si="4"/>
        <v>0</v>
      </c>
      <c r="P136">
        <v>0</v>
      </c>
      <c r="Q136" s="127">
        <f>rrcworking[[#This Row],[Last Month Closing Stock]]</f>
        <v>232</v>
      </c>
      <c r="R136">
        <v>72</v>
      </c>
      <c r="S136" s="143">
        <f>IF(ISERROR(INDEX(Table2[OIL],MATCH(rrcworking[[#This Row],[Magnum Wolfpak '#]],Table2[Rox Wolf'#],0))),0,INDEX(Table2[OIL],MATCH(rrcworking[[#This Row],[Magnum Wolfpak '#]],Table2[Rox Wolf'#],0)))</f>
        <v>160</v>
      </c>
      <c r="T136" s="35">
        <f>rrcworking[[#This Row],[Closing Stock (Oil)]]+rrcworking[[#This Row],[Sales/Dispostion]]-rrcworking[[#This Row],[Opening Oil Stock]]</f>
        <v>0</v>
      </c>
      <c r="U136" s="112">
        <f>rrcworking[[#This Row],[Gauge Sheet Prod Volume (oil)]]-rrcworking[[#This Row],[Oil Production]]</f>
        <v>0</v>
      </c>
      <c r="V136" s="143">
        <f>IF(ISERROR(INDEX(Table2[GAS],MATCH(rrcworking[[#This Row],[Magnum Wolfpak '#]],Table2[Rox Wolf'#],0))),0,INDEX(Table2[GAS],MATCH(rrcworking[[#This Row],[Magnum Wolfpak '#]],Table2[Rox Wolf'#],0)))</f>
        <v>0</v>
      </c>
      <c r="W136" s="24"/>
      <c r="X136" s="135">
        <f>IF(rrcworking[[#This Row],[Pressure Base]]=14.73,rrcworking[[#This Row],[Gas Sales Statement Volume (MCF)]]*$R$2,rrcworking[[#This Row],[Gas Sales Statement Volume (MCF)]])</f>
        <v>0</v>
      </c>
      <c r="Y136" s="60"/>
      <c r="Z136" s="60">
        <v>4</v>
      </c>
      <c r="AA136" s="143">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t="s">
        <v>1306</v>
      </c>
      <c r="AE136" s="185">
        <f>COUNTIF(FilterList,rrcworking[[#This Row],[Magnum Wolfpak '#]])</f>
        <v>1</v>
      </c>
      <c r="AF136" s="182"/>
      <c r="AG136" s="183"/>
      <c r="AH136" s="37"/>
      <c r="AI136" s="183"/>
      <c r="AJ136" s="184"/>
      <c r="AK136" s="184"/>
      <c r="AL136" s="184"/>
      <c r="AM136" s="184"/>
      <c r="AN136" s="184"/>
      <c r="AO136" s="184"/>
      <c r="AP136" s="37" t="s">
        <v>1164</v>
      </c>
      <c r="AQ136" s="37" t="s">
        <v>1207</v>
      </c>
    </row>
    <row r="137" spans="3:43" ht="14" hidden="1">
      <c r="C137" s="80">
        <v>99133</v>
      </c>
      <c r="D137" s="62" t="s">
        <v>386</v>
      </c>
      <c r="E137" s="131" t="s">
        <v>387</v>
      </c>
      <c r="F137" s="140" t="s">
        <v>910</v>
      </c>
      <c r="G137" s="120">
        <v>6114</v>
      </c>
      <c r="H137" s="18" t="s">
        <v>619</v>
      </c>
      <c r="I137" s="18" t="s">
        <v>2</v>
      </c>
      <c r="J137" s="19" t="s">
        <v>598</v>
      </c>
      <c r="K137" s="103">
        <v>13668</v>
      </c>
      <c r="L137" s="101">
        <f>INDEX(Table1[Production],MATCH(rrcworking[[#This Row],[RRC ID Number]],Table1[RRC Identifier],0))</f>
        <v>0</v>
      </c>
      <c r="M137" s="30">
        <f>INDEX(Table1[Formation Production],MATCH(rrcworking[[#This Row],[RRC ID Number]],Table1[RRC Identifier],0))</f>
        <v>0</v>
      </c>
      <c r="N137" s="31">
        <f>INDEX(Table1[On Hand End of Month],MATCH(rrcworking[[#This Row],[RRC ID Number]],Table1[RRC Identifier],0))</f>
        <v>0</v>
      </c>
      <c r="O137" s="106" t="b">
        <f t="shared" si="4"/>
        <v>1</v>
      </c>
      <c r="Q137" s="127">
        <f>rrcworking[[#This Row],[Last Month Closing Stock]]</f>
        <v>0</v>
      </c>
      <c r="S137" s="144">
        <f>IF(ISERROR(INDEX(Table2[OIL],MATCH(rrcworking[[#This Row],[Magnum Wolfpak '#]],Table2[Rox Wolf'#],0))),0,INDEX(Table2[OIL],MATCH(rrcworking[[#This Row],[Magnum Wolfpak '#]],Table2[Rox Wolf'#],0)))</f>
        <v>0</v>
      </c>
      <c r="T137" s="35">
        <f>rrcworking[[#This Row],[Closing Stock (Oil)]]+rrcworking[[#This Row],[Sales/Dispostion]]-rrcworking[[#This Row],[Opening Oil Stock]]</f>
        <v>0</v>
      </c>
      <c r="U137" s="112">
        <f>rrcworking[[#This Row],[Gauge Sheet Prod Volume (oil)]]-rrcworking[[#This Row],[Oil Production]]</f>
        <v>0</v>
      </c>
      <c r="V137" s="143">
        <f>IF(ISERROR(INDEX(Table2[GAS],MATCH(rrcworking[[#This Row],[Magnum Wolfpak '#]],Table2[Rox Wolf'#],0))),0,INDEX(Table2[GAS],MATCH(rrcworking[[#This Row],[Magnum Wolfpak '#]],Table2[Rox Wolf'#],0)))</f>
        <v>0</v>
      </c>
      <c r="W137" s="24"/>
      <c r="X137" s="135">
        <f>IF(rrcworking[[#This Row],[Pressure Base]]=14.73,rrcworking[[#This Row],[Gas Sales Statement Volume (MCF)]]*$R$2,rrcworking[[#This Row],[Gas Sales Statement Volume (MCF)]])</f>
        <v>0</v>
      </c>
      <c r="Y137" s="60"/>
      <c r="Z137" s="60"/>
      <c r="AA137" s="143">
        <f>IF(ISERROR(INDEX(Table2[LEASE USE],MATCH(rrcworking[[#This Row],[Magnum Wolfpak '#]],Table2[Rox Wolf'#],0))),0,INDEX(Table2[LEASE USE],MATCH(rrcworking[[#This Row],[Magnum Wolfpak '#]],Table2[Rox Wolf'#],0)))</f>
        <v>0</v>
      </c>
      <c r="AB137" s="57">
        <f>rrcworking[[#This Row],[Disposition Volume (MCF) @ 14.65 MCF]]+rrcworking[[#This Row],[Lease Use (MCF)]]</f>
        <v>0</v>
      </c>
      <c r="AC137" s="63"/>
      <c r="AD137" s="37"/>
      <c r="AE137" s="185">
        <f>COUNTIF(FilterList,rrcworking[[#This Row],[Magnum Wolfpak '#]])</f>
        <v>1</v>
      </c>
      <c r="AF137" s="182"/>
      <c r="AG137" s="183"/>
      <c r="AH137" s="37"/>
      <c r="AI137" s="37"/>
      <c r="AJ137" s="184"/>
      <c r="AK137" s="184"/>
      <c r="AL137" s="184"/>
      <c r="AM137" s="184"/>
      <c r="AN137" s="184"/>
      <c r="AO137" s="184"/>
      <c r="AP137" s="37" t="s">
        <v>1164</v>
      </c>
      <c r="AQ137" s="37"/>
    </row>
    <row r="138" spans="3:43" ht="14" hidden="1">
      <c r="C138" s="80" t="e">
        <v>#N/A</v>
      </c>
      <c r="D138" s="62" t="s">
        <v>388</v>
      </c>
      <c r="E138" s="131" t="s">
        <v>389</v>
      </c>
      <c r="F138" s="129">
        <v>0</v>
      </c>
      <c r="G138" s="120" t="s">
        <v>1090</v>
      </c>
      <c r="H138" s="18" t="s">
        <v>619</v>
      </c>
      <c r="I138" s="18" t="s">
        <v>2</v>
      </c>
      <c r="J138" s="19" t="s">
        <v>599</v>
      </c>
      <c r="K138" s="103">
        <v>13664</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64</v>
      </c>
      <c r="O138" s="106" t="b">
        <f t="shared" si="4"/>
        <v>1</v>
      </c>
      <c r="Q138" s="127">
        <f>rrcworking[[#This Row],[Last Month Closing Stock]]</f>
        <v>64</v>
      </c>
      <c r="R138">
        <f>rrcworking[[#This Row],[Opening Oil Stock]]</f>
        <v>64</v>
      </c>
      <c r="S138" s="143">
        <f>IF(ISERROR(INDEX(Table2[OIL],MATCH(rrcworking[[#This Row],[Magnum Wolfpak '#]],Table2[Rox Wolf'#],0))),0,INDEX(Table2[OIL],MATCH(rrcworking[[#This Row],[Magnum Wolfpak '#]],Table2[Rox Wolf'#],0)))</f>
        <v>0</v>
      </c>
      <c r="T138" s="35">
        <f>rrcworking[[#This Row],[Closing Stock (Oil)]]+rrcworking[[#This Row],[Sales/Dispostion]]-rrcworking[[#This Row],[Opening Oil Stock]]</f>
        <v>0</v>
      </c>
      <c r="U138" s="112">
        <f>rrcworking[[#This Row],[Gauge Sheet Prod Volume (oil)]]-rrcworking[[#This Row],[Oil Production]]</f>
        <v>0</v>
      </c>
      <c r="V138" s="143">
        <f>IF(ISERROR(INDEX(Table2[GAS],MATCH(rrcworking[[#This Row],[Magnum Wolfpak '#]],Table2[Rox Wolf'#],0))),0,INDEX(Table2[GAS],MATCH(rrcworking[[#This Row],[Magnum Wolfpak '#]],Table2[Rox Wolf'#],0)))</f>
        <v>0</v>
      </c>
      <c r="W138" s="24"/>
      <c r="X138" s="135">
        <f>IF(rrcworking[[#This Row],[Pressure Base]]=14.73,rrcworking[[#This Row],[Gas Sales Statement Volume (MCF)]]*$R$2,rrcworking[[#This Row],[Gas Sales Statement Volume (MCF)]])</f>
        <v>0</v>
      </c>
      <c r="Y138" s="60"/>
      <c r="Z138" s="60"/>
      <c r="AA138" s="143">
        <f>IF(ISERROR(INDEX(Table2[LEASE USE],MATCH(rrcworking[[#This Row],[Magnum Wolfpak '#]],Table2[Rox Wolf'#],0))),0,INDEX(Table2[LEASE USE],MATCH(rrcworking[[#This Row],[Magnum Wolfpak '#]],Table2[Rox Wolf'#],0)))</f>
        <v>0</v>
      </c>
      <c r="AB138" s="57">
        <f>rrcworking[[#This Row],[Disposition Volume (MCF) @ 14.65 MCF]]+rrcworking[[#This Row],[Lease Use (MCF)]]</f>
        <v>0</v>
      </c>
      <c r="AC138" s="37"/>
      <c r="AD138" s="37"/>
      <c r="AE138" s="185">
        <f>COUNTIF(FilterList,rrcworking[[#This Row],[Magnum Wolfpak '#]])</f>
        <v>0</v>
      </c>
      <c r="AF138" s="182"/>
      <c r="AG138" s="183"/>
      <c r="AH138" s="37"/>
      <c r="AI138" s="37"/>
      <c r="AJ138" s="37"/>
      <c r="AK138" s="37"/>
      <c r="AL138" s="37"/>
      <c r="AM138" s="37"/>
      <c r="AN138" s="37"/>
      <c r="AO138" s="37"/>
      <c r="AP138" s="37"/>
      <c r="AQ138" s="37"/>
    </row>
    <row r="139" spans="3:43" ht="14" hidden="1">
      <c r="C139" s="80" t="e">
        <v>#N/A</v>
      </c>
      <c r="D139" s="62" t="s">
        <v>364</v>
      </c>
      <c r="E139" s="131" t="s">
        <v>365</v>
      </c>
      <c r="F139" s="129">
        <v>2</v>
      </c>
      <c r="G139" s="120" t="s">
        <v>1090</v>
      </c>
      <c r="H139" s="18" t="s">
        <v>619</v>
      </c>
      <c r="I139" s="18" t="s">
        <v>59</v>
      </c>
      <c r="J139" s="19" t="s">
        <v>585</v>
      </c>
      <c r="K139" s="103">
        <v>192315</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0</v>
      </c>
      <c r="O139" s="106" t="b">
        <f t="shared" si="4"/>
        <v>1</v>
      </c>
      <c r="Q139" s="127">
        <f>rrcworking[[#This Row],[Last Month Closing Stock]]</f>
        <v>0</v>
      </c>
      <c r="R139">
        <f>rrcworking[[#This Row],[Opening Oil Stock]]</f>
        <v>0</v>
      </c>
      <c r="S139" s="143">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 Volume (oil)]]-rrcworking[[#This Row],[Oil Production]]</f>
        <v>0</v>
      </c>
      <c r="V139" s="143">
        <f>IF(ISERROR(INDEX(Table2[GAS],MATCH(rrcworking[[#This Row],[Magnum Wolfpak '#]],Table2[Rox Wolf'#],0))),0,INDEX(Table2[GAS],MATCH(rrcworking[[#This Row],[Magnum Wolfpak '#]],Table2[Rox Wolf'#],0)))</f>
        <v>0</v>
      </c>
      <c r="W139" s="24"/>
      <c r="X139" s="135">
        <f>IF(rrcworking[[#This Row],[Pressure Base]]=14.73,rrcworking[[#This Row],[Gas Sales Statement Volume (MCF)]]*$R$2,rrcworking[[#This Row],[Gas Sales Statement Volume (MCF)]])</f>
        <v>0</v>
      </c>
      <c r="Y139" s="60"/>
      <c r="Z139" s="60"/>
      <c r="AA139" s="143">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185">
        <f>COUNTIF(FilterList,rrcworking[[#This Row],[Magnum Wolfpak '#]])</f>
        <v>0</v>
      </c>
      <c r="AF139" s="182"/>
      <c r="AG139" s="183"/>
      <c r="AH139" s="37"/>
      <c r="AI139" s="37"/>
      <c r="AJ139" s="37"/>
      <c r="AK139" s="37"/>
      <c r="AL139" s="37"/>
      <c r="AM139" s="37"/>
      <c r="AN139" s="37"/>
      <c r="AO139" s="37"/>
      <c r="AP139" s="37"/>
      <c r="AQ139" s="37"/>
    </row>
    <row r="140" spans="3:43" ht="14" hidden="1">
      <c r="C140" s="80" t="e">
        <v>#N/A</v>
      </c>
      <c r="D140" s="62" t="s">
        <v>126</v>
      </c>
      <c r="E140" s="131" t="s">
        <v>127</v>
      </c>
      <c r="F140" s="129">
        <v>0</v>
      </c>
      <c r="G140" s="120" t="s">
        <v>1090</v>
      </c>
      <c r="H140" s="18" t="s">
        <v>617</v>
      </c>
      <c r="I140" s="18" t="s">
        <v>2</v>
      </c>
      <c r="J140" s="19" t="s">
        <v>445</v>
      </c>
      <c r="K140" s="103">
        <v>4248</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213</v>
      </c>
      <c r="O140" s="106" t="b">
        <f t="shared" si="4"/>
        <v>1</v>
      </c>
      <c r="Q140" s="127">
        <f>rrcworking[[#This Row],[Last Month Closing Stock]]</f>
        <v>213</v>
      </c>
      <c r="R140">
        <f>rrcworking[[#This Row],[Opening Oil Stock]]</f>
        <v>213</v>
      </c>
      <c r="S140" s="143">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 Volume (oil)]]-rrcworking[[#This Row],[Oil Production]]</f>
        <v>0</v>
      </c>
      <c r="V140" s="143">
        <f>IF(ISERROR(INDEX(Table2[GAS],MATCH(rrcworking[[#This Row],[Magnum Wolfpak '#]],Table2[Rox Wolf'#],0))),0,INDEX(Table2[GAS],MATCH(rrcworking[[#This Row],[Magnum Wolfpak '#]],Table2[Rox Wolf'#],0)))</f>
        <v>0</v>
      </c>
      <c r="W140" s="24"/>
      <c r="X140" s="135">
        <f>IF(rrcworking[[#This Row],[Pressure Base]]=14.73,rrcworking[[#This Row],[Gas Sales Statement Volume (MCF)]]*$R$2,rrcworking[[#This Row],[Gas Sales Statement Volume (MCF)]])</f>
        <v>0</v>
      </c>
      <c r="Y140" s="60"/>
      <c r="Z140" s="60"/>
      <c r="AA140" s="143">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185">
        <f>COUNTIF(FilterList,rrcworking[[#This Row],[Magnum Wolfpak '#]])</f>
        <v>0</v>
      </c>
      <c r="AF140" s="182"/>
      <c r="AG140" s="183"/>
      <c r="AH140" s="37"/>
      <c r="AI140" s="37"/>
      <c r="AJ140" s="37"/>
      <c r="AK140" s="37"/>
      <c r="AL140" s="37"/>
      <c r="AM140" s="37"/>
      <c r="AN140" s="37"/>
      <c r="AO140" s="37"/>
      <c r="AP140" s="37"/>
      <c r="AQ140" s="37"/>
    </row>
    <row r="141" spans="3:43" ht="14" hidden="1">
      <c r="C141" s="80" t="e">
        <v>#N/A</v>
      </c>
      <c r="D141" s="62" t="s">
        <v>270</v>
      </c>
      <c r="E141" s="131" t="s">
        <v>271</v>
      </c>
      <c r="F141" s="129">
        <v>1</v>
      </c>
      <c r="G141" s="120" t="s">
        <v>1090</v>
      </c>
      <c r="H141" s="18" t="s">
        <v>618</v>
      </c>
      <c r="I141" s="18" t="s">
        <v>59</v>
      </c>
      <c r="J141" s="19" t="s">
        <v>524</v>
      </c>
      <c r="K141" s="103">
        <v>58664</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Q141" s="127">
        <f>rrcworking[[#This Row],[Last Month Closing Stock]]</f>
        <v>0</v>
      </c>
      <c r="R141">
        <f>rrcworking[[#This Row],[Opening Oil Stock]]</f>
        <v>0</v>
      </c>
      <c r="S141" s="143">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 Volume (oil)]]-rrcworking[[#This Row],[Oil Production]]</f>
        <v>0</v>
      </c>
      <c r="V141" s="143">
        <f>IF(ISERROR(INDEX(Table2[GAS],MATCH(rrcworking[[#This Row],[Magnum Wolfpak '#]],Table2[Rox Wolf'#],0))),0,INDEX(Table2[GAS],MATCH(rrcworking[[#This Row],[Magnum Wolfpak '#]],Table2[Rox Wolf'#],0)))</f>
        <v>0</v>
      </c>
      <c r="W141" s="24"/>
      <c r="X141" s="135">
        <f>IF(rrcworking[[#This Row],[Pressure Base]]=14.73,rrcworking[[#This Row],[Gas Sales Statement Volume (MCF)]]*$R$2,rrcworking[[#This Row],[Gas Sales Statement Volume (MCF)]])</f>
        <v>0</v>
      </c>
      <c r="Y141" s="60"/>
      <c r="Z141" s="60"/>
      <c r="AA141" s="143">
        <f>IF(ISERROR(INDEX(Table2[LEASE USE],MATCH(rrcworking[[#This Row],[Magnum Wolfpak '#]],Table2[Rox Wolf'#],0))),0,INDEX(Table2[LEASE USE],MATCH(rrcworking[[#This Row],[Magnum Wolfpak '#]],Table2[Rox Wolf'#],0)))</f>
        <v>0</v>
      </c>
      <c r="AB141" s="57">
        <f>rrcworking[[#This Row],[Disposition Volume (MCF) @ 14.65 MCF]]+rrcworking[[#This Row],[Lease Use (MCF)]]</f>
        <v>0</v>
      </c>
      <c r="AC141" s="97"/>
      <c r="AD141" s="37"/>
      <c r="AE141" s="185">
        <f>COUNTIF(FilterList,rrcworking[[#This Row],[Magnum Wolfpak '#]])</f>
        <v>0</v>
      </c>
      <c r="AF141" s="182"/>
      <c r="AG141" s="183"/>
      <c r="AH141" s="37"/>
      <c r="AI141" s="37"/>
      <c r="AJ141" s="37"/>
      <c r="AK141" s="37"/>
      <c r="AL141" s="37"/>
      <c r="AM141" s="37"/>
      <c r="AN141" s="37"/>
      <c r="AO141" s="37"/>
      <c r="AP141" s="37"/>
      <c r="AQ141" s="37"/>
    </row>
    <row r="142" spans="3:43" ht="14" hidden="1">
      <c r="C142" s="80" t="e">
        <v>#N/A</v>
      </c>
      <c r="D142" s="62" t="s">
        <v>111</v>
      </c>
      <c r="E142" s="131" t="s">
        <v>112</v>
      </c>
      <c r="F142" s="129">
        <v>5</v>
      </c>
      <c r="G142" s="120">
        <v>5048</v>
      </c>
      <c r="H142" s="18" t="s">
        <v>617</v>
      </c>
      <c r="I142" s="18" t="s">
        <v>59</v>
      </c>
      <c r="J142" s="19" t="s">
        <v>435</v>
      </c>
      <c r="K142" s="103">
        <v>198005</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0</v>
      </c>
      <c r="O142" s="106" t="b">
        <f t="shared" si="4"/>
        <v>1</v>
      </c>
      <c r="Q142" s="127">
        <f>rrcworking[[#This Row],[Last Month Closing Stock]]</f>
        <v>0</v>
      </c>
      <c r="R142">
        <f>rrcworking[[#This Row],[Opening Oil Stock]]</f>
        <v>0</v>
      </c>
      <c r="S142" s="143">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 Volume (oil)]]-rrcworking[[#This Row],[Oil Production]]</f>
        <v>0</v>
      </c>
      <c r="V142" s="143">
        <f>IF(ISERROR(INDEX(Table2[GAS],MATCH(rrcworking[[#This Row],[Magnum Wolfpak '#]],Table2[Rox Wolf'#],0))),0,INDEX(Table2[GAS],MATCH(rrcworking[[#This Row],[Magnum Wolfpak '#]],Table2[Rox Wolf'#],0)))</f>
        <v>0</v>
      </c>
      <c r="W142" s="24"/>
      <c r="X142" s="135">
        <f>IF(rrcworking[[#This Row],[Pressure Base]]=14.73,rrcworking[[#This Row],[Gas Sales Statement Volume (MCF)]]*$R$2,rrcworking[[#This Row],[Gas Sales Statement Volume (MCF)]])</f>
        <v>0</v>
      </c>
      <c r="Y142" s="60"/>
      <c r="Z142" s="60"/>
      <c r="AA142" s="143">
        <f>IF(ISERROR(INDEX(Table2[LEASE USE],MATCH(rrcworking[[#This Row],[Magnum Wolfpak '#]],Table2[Rox Wolf'#],0))),0,INDEX(Table2[LEASE USE],MATCH(rrcworking[[#This Row],[Magnum Wolfpak '#]],Table2[Rox Wolf'#],0)))</f>
        <v>0</v>
      </c>
      <c r="AB142" s="57">
        <f>rrcworking[[#This Row],[Disposition Volume (MCF) @ 14.65 MCF]]+rrcworking[[#This Row],[Lease Use (MCF)]]</f>
        <v>0</v>
      </c>
      <c r="AC142" s="97"/>
      <c r="AD142" s="37"/>
      <c r="AE142" s="185">
        <f>COUNTIF(FilterList,rrcworking[[#This Row],[Magnum Wolfpak '#]])</f>
        <v>0</v>
      </c>
      <c r="AF142" s="182"/>
      <c r="AG142" s="183"/>
      <c r="AH142" s="37"/>
      <c r="AI142" s="37"/>
      <c r="AJ142" s="37"/>
      <c r="AK142" s="37"/>
      <c r="AL142" s="37"/>
      <c r="AM142" s="37"/>
      <c r="AN142" s="37"/>
      <c r="AO142" s="37"/>
      <c r="AP142" s="37"/>
      <c r="AQ142" s="37"/>
    </row>
    <row r="143" spans="3:43" ht="14" hidden="1">
      <c r="C143" s="80" t="e">
        <v>#N/A</v>
      </c>
      <c r="D143" s="62" t="s">
        <v>128</v>
      </c>
      <c r="E143" s="131" t="s">
        <v>112</v>
      </c>
      <c r="F143" s="129">
        <v>3</v>
      </c>
      <c r="G143" s="120">
        <v>5048</v>
      </c>
      <c r="H143" s="18" t="s">
        <v>617</v>
      </c>
      <c r="I143" s="18" t="s">
        <v>59</v>
      </c>
      <c r="J143" s="19" t="s">
        <v>446</v>
      </c>
      <c r="K143" s="103">
        <v>184558</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Q143" s="127">
        <f>rrcworking[[#This Row],[Last Month Closing Stock]]</f>
        <v>0</v>
      </c>
      <c r="R143">
        <f>rrcworking[[#This Row],[Opening Oil Stock]]</f>
        <v>0</v>
      </c>
      <c r="S143" s="143">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 Volume (oil)]]-rrcworking[[#This Row],[Oil Production]]</f>
        <v>0</v>
      </c>
      <c r="V143" s="143">
        <f>IF(ISERROR(INDEX(Table2[GAS],MATCH(rrcworking[[#This Row],[Magnum Wolfpak '#]],Table2[Rox Wolf'#],0))),0,INDEX(Table2[GAS],MATCH(rrcworking[[#This Row],[Magnum Wolfpak '#]],Table2[Rox Wolf'#],0)))</f>
        <v>0</v>
      </c>
      <c r="W143" s="24"/>
      <c r="X143" s="135">
        <f>IF(rrcworking[[#This Row],[Pressure Base]]=14.73,rrcworking[[#This Row],[Gas Sales Statement Volume (MCF)]]*$R$2,rrcworking[[#This Row],[Gas Sales Statement Volume (MCF)]])</f>
        <v>0</v>
      </c>
      <c r="Y143" s="60"/>
      <c r="Z143" s="60"/>
      <c r="AA143" s="143">
        <f>IF(ISERROR(INDEX(Table2[LEASE USE],MATCH(rrcworking[[#This Row],[Magnum Wolfpak '#]],Table2[Rox Wolf'#],0))),0,INDEX(Table2[LEASE USE],MATCH(rrcworking[[#This Row],[Magnum Wolfpak '#]],Table2[Rox Wolf'#],0)))</f>
        <v>0</v>
      </c>
      <c r="AB143" s="57">
        <f>rrcworking[[#This Row],[Disposition Volume (MCF) @ 14.65 MCF]]+rrcworking[[#This Row],[Lease Use (MCF)]]</f>
        <v>0</v>
      </c>
      <c r="AC143" s="37"/>
      <c r="AD143" s="37"/>
      <c r="AE143" s="185">
        <f>COUNTIF(FilterList,rrcworking[[#This Row],[Magnum Wolfpak '#]])</f>
        <v>0</v>
      </c>
      <c r="AF143" s="182"/>
      <c r="AG143" s="183"/>
      <c r="AH143" s="37"/>
      <c r="AI143" s="37"/>
      <c r="AJ143" s="37"/>
      <c r="AK143" s="37"/>
      <c r="AL143" s="37"/>
      <c r="AM143" s="37"/>
      <c r="AN143" s="37"/>
      <c r="AO143" s="37"/>
      <c r="AP143" s="37"/>
      <c r="AQ143" s="37"/>
    </row>
    <row r="144" spans="3:43" ht="14" hidden="1">
      <c r="C144" s="80" t="e">
        <v>#N/A</v>
      </c>
      <c r="D144" s="62" t="s">
        <v>109</v>
      </c>
      <c r="E144" s="131" t="s">
        <v>110</v>
      </c>
      <c r="F144" s="129">
        <v>1</v>
      </c>
      <c r="G144" s="120" t="s">
        <v>1090</v>
      </c>
      <c r="H144" s="18" t="s">
        <v>617</v>
      </c>
      <c r="I144" s="18" t="s">
        <v>59</v>
      </c>
      <c r="J144" s="19" t="s">
        <v>433</v>
      </c>
      <c r="K144" s="103">
        <v>172874</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Q144" s="127">
        <f>rrcworking[[#This Row],[Last Month Closing Stock]]</f>
        <v>0</v>
      </c>
      <c r="R144">
        <f>rrcworking[[#This Row],[Opening Oil Stock]]</f>
        <v>0</v>
      </c>
      <c r="S144" s="143">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 Volume (oil)]]-rrcworking[[#This Row],[Oil Production]]</f>
        <v>0</v>
      </c>
      <c r="V144" s="143">
        <f>IF(ISERROR(INDEX(Table2[GAS],MATCH(rrcworking[[#This Row],[Magnum Wolfpak '#]],Table2[Rox Wolf'#],0))),0,INDEX(Table2[GAS],MATCH(rrcworking[[#This Row],[Magnum Wolfpak '#]],Table2[Rox Wolf'#],0)))</f>
        <v>0</v>
      </c>
      <c r="W144" s="24"/>
      <c r="X144" s="135">
        <f>IF(rrcworking[[#This Row],[Pressure Base]]=14.73,rrcworking[[#This Row],[Gas Sales Statement Volume (MCF)]]*$R$2,rrcworking[[#This Row],[Gas Sales Statement Volume (MCF)]])</f>
        <v>0</v>
      </c>
      <c r="Y144" s="60"/>
      <c r="Z144" s="60"/>
      <c r="AA144" s="143">
        <f>IF(ISERROR(INDEX(Table2[LEASE USE],MATCH(rrcworking[[#This Row],[Magnum Wolfpak '#]],Table2[Rox Wolf'#],0))),0,INDEX(Table2[LEASE USE],MATCH(rrcworking[[#This Row],[Magnum Wolfpak '#]],Table2[Rox Wolf'#],0)))</f>
        <v>0</v>
      </c>
      <c r="AB144" s="57">
        <f>rrcworking[[#This Row],[Disposition Volume (MCF) @ 14.65 MCF]]+rrcworking[[#This Row],[Lease Use (MCF)]]</f>
        <v>0</v>
      </c>
      <c r="AC144" s="37"/>
      <c r="AD144" s="37"/>
      <c r="AE144" s="185">
        <f>COUNTIF(FilterList,rrcworking[[#This Row],[Magnum Wolfpak '#]])</f>
        <v>0</v>
      </c>
      <c r="AF144" s="182"/>
      <c r="AG144" s="183"/>
      <c r="AH144" s="37"/>
      <c r="AI144" s="37"/>
      <c r="AJ144" s="37"/>
      <c r="AK144" s="37"/>
      <c r="AL144" s="37"/>
      <c r="AM144" s="37"/>
      <c r="AN144" s="37"/>
      <c r="AO144" s="37"/>
      <c r="AP144" s="37"/>
      <c r="AQ144" s="37"/>
    </row>
    <row r="145" spans="3:43" ht="14" hidden="1">
      <c r="C145" s="80">
        <v>99256</v>
      </c>
      <c r="D145" s="62" t="s">
        <v>111</v>
      </c>
      <c r="E145" s="131" t="s">
        <v>110</v>
      </c>
      <c r="F145" s="129">
        <v>1</v>
      </c>
      <c r="G145" s="120">
        <v>5048</v>
      </c>
      <c r="H145" s="18" t="s">
        <v>617</v>
      </c>
      <c r="I145" s="18" t="s">
        <v>59</v>
      </c>
      <c r="J145" s="19" t="s">
        <v>434</v>
      </c>
      <c r="K145" s="103">
        <v>180461</v>
      </c>
      <c r="L145" s="101">
        <f>INDEX(Table1[Production],MATCH(rrcworking[[#This Row],[RRC ID Number]],Table1[RRC Identifier],0))</f>
        <v>49</v>
      </c>
      <c r="M145" s="30">
        <f>INDEX(Table1[Formation Production],MATCH(rrcworking[[#This Row],[RRC ID Number]],Table1[RRC Identifier],0))</f>
        <v>1723</v>
      </c>
      <c r="N145" s="31">
        <f>INDEX(Table1[On Hand End of Month],MATCH(rrcworking[[#This Row],[RRC ID Number]],Table1[RRC Identifier],0))</f>
        <v>164</v>
      </c>
      <c r="O145" s="106" t="b">
        <f t="shared" si="4"/>
        <v>0</v>
      </c>
      <c r="P145">
        <v>38</v>
      </c>
      <c r="Q145" s="127">
        <f>rrcworking[[#This Row],[Last Month Closing Stock]]</f>
        <v>164</v>
      </c>
      <c r="R145">
        <v>200</v>
      </c>
      <c r="S145" s="143">
        <f>IF(ISERROR(INDEX(Table2[OIL],MATCH(rrcworking[[#This Row],[Magnum Wolfpak '#]],Table2[Rox Wolf'#],0))),0,INDEX(Table2[OIL],MATCH(rrcworking[[#This Row],[Magnum Wolfpak '#]],Table2[Rox Wolf'#],0)))</f>
        <v>0</v>
      </c>
      <c r="T145" s="35">
        <f>rrcworking[[#This Row],[Closing Stock (Oil)]]+rrcworking[[#This Row],[Sales/Dispostion]]-rrcworking[[#This Row],[Opening Oil Stock]]</f>
        <v>36</v>
      </c>
      <c r="U145" s="112">
        <f>rrcworking[[#This Row],[Gauge Sheet Prod Volume (oil)]]-rrcworking[[#This Row],[Oil Production]]</f>
        <v>2</v>
      </c>
      <c r="V145" s="143">
        <f>IF(ISERROR(INDEX(Table2[GAS],MATCH(rrcworking[[#This Row],[Magnum Wolfpak '#]],Table2[Rox Wolf'#],0))),0,INDEX(Table2[GAS],MATCH(rrcworking[[#This Row],[Magnum Wolfpak '#]],Table2[Rox Wolf'#],0)))</f>
        <v>0</v>
      </c>
      <c r="W145" s="24"/>
      <c r="X145" s="135">
        <f>IF(rrcworking[[#This Row],[Pressure Base]]=14.73,rrcworking[[#This Row],[Gas Sales Statement Volume (MCF)]]*$R$2,rrcworking[[#This Row],[Gas Sales Statement Volume (MCF)]])</f>
        <v>0</v>
      </c>
      <c r="Y145" s="60"/>
      <c r="Z145" s="60"/>
      <c r="AA145" s="143">
        <f>IF(ISERROR(INDEX(Table2[LEASE USE],MATCH(rrcworking[[#This Row],[Magnum Wolfpak '#]],Table2[Rox Wolf'#],0))),0,INDEX(Table2[LEASE USE],MATCH(rrcworking[[#This Row],[Magnum Wolfpak '#]],Table2[Rox Wolf'#],0)))</f>
        <v>0</v>
      </c>
      <c r="AB145" s="57">
        <f>rrcworking[[#This Row],[Disposition Volume (MCF) @ 14.65 MCF]]+rrcworking[[#This Row],[Lease Use (MCF)]]</f>
        <v>0</v>
      </c>
      <c r="AC145" s="37"/>
      <c r="AD145" s="37"/>
      <c r="AE145" s="185">
        <f>COUNTIF(FilterList,rrcworking[[#This Row],[Magnum Wolfpak '#]])</f>
        <v>0</v>
      </c>
      <c r="AF145" s="182"/>
      <c r="AG145" s="183"/>
      <c r="AH145" s="37"/>
      <c r="AI145" s="183"/>
      <c r="AJ145" s="37">
        <v>2</v>
      </c>
      <c r="AK145" s="37" t="s">
        <v>1166</v>
      </c>
      <c r="AL145" s="37" t="s">
        <v>1166</v>
      </c>
      <c r="AM145" s="37" t="s">
        <v>1216</v>
      </c>
      <c r="AN145" s="37" t="s">
        <v>1166</v>
      </c>
      <c r="AO145" s="37" t="s">
        <v>1290</v>
      </c>
      <c r="AP145" s="37" t="s">
        <v>1217</v>
      </c>
      <c r="AQ145" s="37"/>
    </row>
    <row r="146" spans="3:43" ht="14" hidden="1">
      <c r="C146" s="80" t="e">
        <v>#N/A</v>
      </c>
      <c r="D146" s="62" t="s">
        <v>107</v>
      </c>
      <c r="E146" s="131" t="s">
        <v>108</v>
      </c>
      <c r="F146" s="129">
        <v>1</v>
      </c>
      <c r="G146" s="120" t="s">
        <v>1090</v>
      </c>
      <c r="H146" s="18" t="s">
        <v>617</v>
      </c>
      <c r="I146" s="18" t="s">
        <v>59</v>
      </c>
      <c r="J146" s="19" t="s">
        <v>432</v>
      </c>
      <c r="K146" s="103">
        <v>253815</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Q146" s="127">
        <f>rrcworking[[#This Row],[Last Month Closing Stock]]</f>
        <v>0</v>
      </c>
      <c r="R146">
        <f>rrcworking[[#This Row],[Opening Oil Stock]]</f>
        <v>0</v>
      </c>
      <c r="S146" s="143">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 Volume (oil)]]-rrcworking[[#This Row],[Oil Production]]</f>
        <v>0</v>
      </c>
      <c r="V146" s="143">
        <f>IF(ISERROR(INDEX(Table2[GAS],MATCH(rrcworking[[#This Row],[Magnum Wolfpak '#]],Table2[Rox Wolf'#],0))),0,INDEX(Table2[GAS],MATCH(rrcworking[[#This Row],[Magnum Wolfpak '#]],Table2[Rox Wolf'#],0)))</f>
        <v>0</v>
      </c>
      <c r="W146" s="24"/>
      <c r="X146" s="135">
        <f>IF(rrcworking[[#This Row],[Pressure Base]]=14.73,rrcworking[[#This Row],[Gas Sales Statement Volume (MCF)]]*$R$2,rrcworking[[#This Row],[Gas Sales Statement Volume (MCF)]])</f>
        <v>0</v>
      </c>
      <c r="Y146" s="60"/>
      <c r="Z146" s="60"/>
      <c r="AA146" s="143">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185">
        <f>COUNTIF(FilterList,rrcworking[[#This Row],[Magnum Wolfpak '#]])</f>
        <v>0</v>
      </c>
      <c r="AF146" s="182"/>
      <c r="AG146" s="183"/>
      <c r="AH146" s="37"/>
      <c r="AI146" s="37"/>
      <c r="AJ146" s="37"/>
      <c r="AK146" s="37"/>
      <c r="AL146" s="37"/>
      <c r="AM146" s="37"/>
      <c r="AN146" s="37"/>
      <c r="AO146" s="37"/>
      <c r="AP146" s="37"/>
      <c r="AQ146" s="37"/>
    </row>
    <row r="147" spans="3:43" ht="14" hidden="1">
      <c r="C147" s="80" t="e">
        <v>#N/A</v>
      </c>
      <c r="D147" s="62" t="s">
        <v>194</v>
      </c>
      <c r="E147" s="131" t="s">
        <v>195</v>
      </c>
      <c r="F147" s="129">
        <v>0</v>
      </c>
      <c r="G147" s="120" t="s">
        <v>1090</v>
      </c>
      <c r="H147" s="18" t="s">
        <v>618</v>
      </c>
      <c r="I147" s="18" t="s">
        <v>2</v>
      </c>
      <c r="J147" s="19" t="s">
        <v>486</v>
      </c>
      <c r="K147" s="103">
        <v>24246</v>
      </c>
      <c r="L147" s="101">
        <f>INDEX(Table1[Production],MATCH(rrcworking[[#This Row],[RRC ID Number]],Table1[RRC Identifier],0))</f>
        <v>0</v>
      </c>
      <c r="M147" s="30">
        <f>INDEX(Table1[Formation Production],MATCH(rrcworking[[#This Row],[RRC ID Number]],Table1[RRC Identifier],0))</f>
        <v>0</v>
      </c>
      <c r="N147" s="31">
        <f>INDEX(Table1[On Hand End of Month],MATCH(rrcworking[[#This Row],[RRC ID Number]],Table1[RRC Identifier],0))</f>
        <v>52</v>
      </c>
      <c r="O147" s="106" t="b">
        <f t="shared" si="4"/>
        <v>1</v>
      </c>
      <c r="Q147" s="127">
        <f>rrcworking[[#This Row],[Last Month Closing Stock]]</f>
        <v>52</v>
      </c>
      <c r="R147">
        <f>rrcworking[[#This Row],[Opening Oil Stock]]</f>
        <v>52</v>
      </c>
      <c r="S147" s="143">
        <f>IF(ISERROR(INDEX(Table2[OIL],MATCH(rrcworking[[#This Row],[Magnum Wolfpak '#]],Table2[Rox Wolf'#],0))),0,INDEX(Table2[OIL],MATCH(rrcworking[[#This Row],[Magnum Wolfpak '#]],Table2[Rox Wolf'#],0)))</f>
        <v>0</v>
      </c>
      <c r="T147" s="35">
        <f>rrcworking[[#This Row],[Closing Stock (Oil)]]+rrcworking[[#This Row],[Sales/Dispostion]]-rrcworking[[#This Row],[Opening Oil Stock]]</f>
        <v>0</v>
      </c>
      <c r="U147" s="112">
        <f>rrcworking[[#This Row],[Gauge Sheet Prod Volume (oil)]]-rrcworking[[#This Row],[Oil Production]]</f>
        <v>0</v>
      </c>
      <c r="V147" s="143">
        <f>IF(ISERROR(INDEX(Table2[GAS],MATCH(rrcworking[[#This Row],[Magnum Wolfpak '#]],Table2[Rox Wolf'#],0))),0,INDEX(Table2[GAS],MATCH(rrcworking[[#This Row],[Magnum Wolfpak '#]],Table2[Rox Wolf'#],0)))</f>
        <v>0</v>
      </c>
      <c r="W147" s="24"/>
      <c r="X147" s="135">
        <f>IF(rrcworking[[#This Row],[Pressure Base]]=14.73,rrcworking[[#This Row],[Gas Sales Statement Volume (MCF)]]*$R$2,rrcworking[[#This Row],[Gas Sales Statement Volume (MCF)]])</f>
        <v>0</v>
      </c>
      <c r="Y147" s="60"/>
      <c r="Z147" s="60"/>
      <c r="AA147" s="143">
        <f>IF(ISERROR(INDEX(Table2[LEASE USE],MATCH(rrcworking[[#This Row],[Magnum Wolfpak '#]],Table2[Rox Wolf'#],0))),0,INDEX(Table2[LEASE USE],MATCH(rrcworking[[#This Row],[Magnum Wolfpak '#]],Table2[Rox Wolf'#],0)))</f>
        <v>0</v>
      </c>
      <c r="AB147" s="57">
        <f>rrcworking[[#This Row],[Disposition Volume (MCF) @ 14.65 MCF]]+rrcworking[[#This Row],[Lease Use (MCF)]]</f>
        <v>0</v>
      </c>
      <c r="AC147" s="63"/>
      <c r="AD147" s="37"/>
      <c r="AE147" s="185">
        <f>COUNTIF(FilterList,rrcworking[[#This Row],[Magnum Wolfpak '#]])</f>
        <v>0</v>
      </c>
      <c r="AF147" s="182"/>
      <c r="AG147" s="183"/>
      <c r="AH147" s="37"/>
      <c r="AI147" s="37"/>
      <c r="AJ147" s="37"/>
      <c r="AK147" s="37"/>
      <c r="AL147" s="37"/>
      <c r="AM147" s="37"/>
      <c r="AN147" s="37"/>
      <c r="AO147" s="37"/>
      <c r="AP147" s="37"/>
      <c r="AQ147" s="37"/>
    </row>
    <row r="148" spans="3:43" ht="14" hidden="1">
      <c r="C148" s="80" t="e">
        <v>#N/A</v>
      </c>
      <c r="D148" s="62" t="s">
        <v>149</v>
      </c>
      <c r="E148" s="131" t="s">
        <v>150</v>
      </c>
      <c r="F148" s="129">
        <v>1</v>
      </c>
      <c r="G148" s="120" t="s">
        <v>1090</v>
      </c>
      <c r="H148" s="18" t="s">
        <v>618</v>
      </c>
      <c r="I148" s="18" t="s">
        <v>59</v>
      </c>
      <c r="J148" s="19" t="s">
        <v>459</v>
      </c>
      <c r="K148" s="103">
        <v>253385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53</v>
      </c>
      <c r="O148" s="106" t="b">
        <f t="shared" si="4"/>
        <v>1</v>
      </c>
      <c r="Q148" s="127">
        <f>rrcworking[[#This Row],[Last Month Closing Stock]]</f>
        <v>53</v>
      </c>
      <c r="R148">
        <f>rrcworking[[#This Row],[Opening Oil Stock]]</f>
        <v>53</v>
      </c>
      <c r="S148" s="143">
        <f>IF(ISERROR(INDEX(Table2[OIL],MATCH(rrcworking[[#This Row],[Magnum Wolfpak '#]],Table2[Rox Wolf'#],0))),0,INDEX(Table2[OIL],MATCH(rrcworking[[#This Row],[Magnum Wolfpak '#]],Table2[Rox Wolf'#],0)))</f>
        <v>0</v>
      </c>
      <c r="T148" s="35">
        <f>rrcworking[[#This Row],[Closing Stock (Oil)]]+rrcworking[[#This Row],[Sales/Dispostion]]-rrcworking[[#This Row],[Opening Oil Stock]]</f>
        <v>0</v>
      </c>
      <c r="U148" s="112">
        <f>rrcworking[[#This Row],[Gauge Sheet Prod Volume (oil)]]-rrcworking[[#This Row],[Oil Production]]</f>
        <v>0</v>
      </c>
      <c r="V148" s="143">
        <f>IF(ISERROR(INDEX(Table2[GAS],MATCH(rrcworking[[#This Row],[Magnum Wolfpak '#]],Table2[Rox Wolf'#],0))),0,INDEX(Table2[GAS],MATCH(rrcworking[[#This Row],[Magnum Wolfpak '#]],Table2[Rox Wolf'#],0)))</f>
        <v>0</v>
      </c>
      <c r="W148" s="24"/>
      <c r="X148" s="135">
        <f>IF(rrcworking[[#This Row],[Pressure Base]]=14.73,rrcworking[[#This Row],[Gas Sales Statement Volume (MCF)]]*$R$2,rrcworking[[#This Row],[Gas Sales Statement Volume (MCF)]])</f>
        <v>0</v>
      </c>
      <c r="Y148" s="60"/>
      <c r="Z148" s="60"/>
      <c r="AA148" s="143">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185">
        <f>COUNTIF(FilterList,rrcworking[[#This Row],[Magnum Wolfpak '#]])</f>
        <v>0</v>
      </c>
      <c r="AF148" s="182"/>
      <c r="AG148" s="183"/>
      <c r="AH148" s="37"/>
      <c r="AI148" s="37"/>
      <c r="AJ148" s="37"/>
      <c r="AK148" s="37"/>
      <c r="AL148" s="37"/>
      <c r="AM148" s="37"/>
      <c r="AN148" s="37"/>
      <c r="AO148" s="37"/>
      <c r="AP148" s="37"/>
      <c r="AQ148" s="37"/>
    </row>
    <row r="149" spans="3:43" ht="98">
      <c r="C149" s="80">
        <v>98910</v>
      </c>
      <c r="D149" s="62" t="s">
        <v>281</v>
      </c>
      <c r="E149" s="131" t="s">
        <v>282</v>
      </c>
      <c r="F149" s="129">
        <v>0</v>
      </c>
      <c r="G149" s="120" t="s">
        <v>1090</v>
      </c>
      <c r="H149" s="18" t="s">
        <v>618</v>
      </c>
      <c r="I149" s="18" t="s">
        <v>2</v>
      </c>
      <c r="J149" s="19" t="s">
        <v>535</v>
      </c>
      <c r="K149" s="103">
        <v>11349</v>
      </c>
      <c r="L149" s="101">
        <f>INDEX(Table1[Production],MATCH(rrcworking[[#This Row],[RRC ID Number]],Table1[RRC Identifier],0))</f>
        <v>977</v>
      </c>
      <c r="M149" s="30">
        <f>INDEX(Table1[Formation Production],MATCH(rrcworking[[#This Row],[RRC ID Number]],Table1[RRC Identifier],0))</f>
        <v>124</v>
      </c>
      <c r="N149" s="31">
        <f>INDEX(Table1[On Hand End of Month],MATCH(rrcworking[[#This Row],[RRC ID Number]],Table1[RRC Identifier],0))</f>
        <v>208</v>
      </c>
      <c r="O149" s="106" t="b">
        <f t="shared" si="4"/>
        <v>0</v>
      </c>
      <c r="Q149" s="127">
        <f>rrcworking[[#This Row],[Last Month Closing Stock]]</f>
        <v>208</v>
      </c>
      <c r="S149" s="143">
        <f>IF(ISERROR(INDEX(Table2[OIL],MATCH(rrcworking[[#This Row],[Magnum Wolfpak '#]],Table2[Rox Wolf'#],0))),0,INDEX(Table2[OIL],MATCH(rrcworking[[#This Row],[Magnum Wolfpak '#]],Table2[Rox Wolf'#],0)))</f>
        <v>1321</v>
      </c>
      <c r="T149" s="35">
        <f>rrcworking[[#This Row],[Closing Stock (Oil)]]+rrcworking[[#This Row],[Sales/Dispostion]]-rrcworking[[#This Row],[Opening Oil Stock]]</f>
        <v>1113</v>
      </c>
      <c r="U149" s="112">
        <f>rrcworking[[#This Row],[Gauge Sheet Prod Volume (oil)]]-rrcworking[[#This Row],[Oil Production]]</f>
        <v>-1113</v>
      </c>
      <c r="V149" s="143">
        <f>IF(ISERROR(INDEX(Table2[GAS],MATCH(rrcworking[[#This Row],[Magnum Wolfpak '#]],Table2[Rox Wolf'#],0))),0,INDEX(Table2[GAS],MATCH(rrcworking[[#This Row],[Magnum Wolfpak '#]],Table2[Rox Wolf'#],0)))</f>
        <v>0</v>
      </c>
      <c r="W149" s="24"/>
      <c r="X149" s="135">
        <f>IF(rrcworking[[#This Row],[Pressure Base]]=14.73,rrcworking[[#This Row],[Gas Sales Statement Volume (MCF)]]*$R$2,rrcworking[[#This Row],[Gas Sales Statement Volume (MCF)]])</f>
        <v>0</v>
      </c>
      <c r="Y149" s="60"/>
      <c r="Z149" s="60">
        <v>4</v>
      </c>
      <c r="AA149" s="143">
        <f>IF(ISERROR(INDEX(Table2[LEASE USE],MATCH(rrcworking[[#This Row],[Magnum Wolfpak '#]],Table2[Rox Wolf'#],0))),0,INDEX(Table2[LEASE USE],MATCH(rrcworking[[#This Row],[Magnum Wolfpak '#]],Table2[Rox Wolf'#],0)))</f>
        <v>120</v>
      </c>
      <c r="AB149" s="57">
        <f>rrcworking[[#This Row],[Disposition Volume (MCF) @ 14.65 MCF]]+rrcworking[[#This Row],[Lease Use (MCF)]]</f>
        <v>120</v>
      </c>
      <c r="AC149" s="37"/>
      <c r="AD149" s="37" t="s">
        <v>1287</v>
      </c>
      <c r="AE149" s="185">
        <f>COUNTIF(FilterList,rrcworking[[#This Row],[Magnum Wolfpak '#]])</f>
        <v>0</v>
      </c>
      <c r="AF149" s="182"/>
      <c r="AG149" s="183"/>
      <c r="AH149" s="37"/>
      <c r="AI149" s="183"/>
      <c r="AJ149" s="184"/>
      <c r="AK149" s="184"/>
      <c r="AL149" s="184"/>
      <c r="AM149" s="184"/>
      <c r="AN149" s="184"/>
      <c r="AO149" s="184"/>
      <c r="AP149" s="37" t="s">
        <v>1164</v>
      </c>
      <c r="AQ149" s="37" t="s">
        <v>1199</v>
      </c>
    </row>
    <row r="150" spans="3:43" ht="14" hidden="1">
      <c r="C150" s="80" t="e">
        <v>#N/A</v>
      </c>
      <c r="D150" s="62" t="s">
        <v>321</v>
      </c>
      <c r="E150" s="131" t="s">
        <v>322</v>
      </c>
      <c r="F150" s="129">
        <v>1</v>
      </c>
      <c r="G150" s="120" t="s">
        <v>1090</v>
      </c>
      <c r="H150" s="18" t="s">
        <v>619</v>
      </c>
      <c r="I150" s="18" t="s">
        <v>59</v>
      </c>
      <c r="J150" s="19" t="s">
        <v>559</v>
      </c>
      <c r="K150" s="103">
        <v>167923</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0</v>
      </c>
      <c r="O150" s="106" t="b">
        <f t="shared" si="4"/>
        <v>1</v>
      </c>
      <c r="Q150" s="127">
        <f>rrcworking[[#This Row],[Last Month Closing Stock]]</f>
        <v>0</v>
      </c>
      <c r="R150">
        <f>rrcworking[[#This Row],[Opening Oil Stock]]</f>
        <v>0</v>
      </c>
      <c r="S150" s="143">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 Volume (oil)]]-rrcworking[[#This Row],[Oil Production]]</f>
        <v>0</v>
      </c>
      <c r="V150" s="143">
        <f>IF(ISERROR(INDEX(Table2[GAS],MATCH(rrcworking[[#This Row],[Magnum Wolfpak '#]],Table2[Rox Wolf'#],0))),0,INDEX(Table2[GAS],MATCH(rrcworking[[#This Row],[Magnum Wolfpak '#]],Table2[Rox Wolf'#],0)))</f>
        <v>0</v>
      </c>
      <c r="W150" s="24"/>
      <c r="X150" s="135">
        <f>IF(rrcworking[[#This Row],[Pressure Base]]=14.73,rrcworking[[#This Row],[Gas Sales Statement Volume (MCF)]]*$R$2,rrcworking[[#This Row],[Gas Sales Statement Volume (MCF)]])</f>
        <v>0</v>
      </c>
      <c r="Y150" s="60"/>
      <c r="Z150" s="60"/>
      <c r="AA150" s="143">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185">
        <f>COUNTIF(FilterList,rrcworking[[#This Row],[Magnum Wolfpak '#]])</f>
        <v>0</v>
      </c>
      <c r="AF150" s="182"/>
      <c r="AG150" s="183"/>
      <c r="AH150" s="37"/>
      <c r="AI150" s="37"/>
      <c r="AJ150" s="37"/>
      <c r="AK150" s="37"/>
      <c r="AL150" s="37"/>
      <c r="AM150" s="37"/>
      <c r="AN150" s="37"/>
      <c r="AO150" s="37"/>
      <c r="AP150" s="37"/>
      <c r="AQ150" s="37"/>
    </row>
    <row r="151" spans="3:43" ht="14" hidden="1">
      <c r="C151" s="80" t="e">
        <v>#N/A</v>
      </c>
      <c r="D151" s="62" t="s">
        <v>262</v>
      </c>
      <c r="E151" s="131" t="s">
        <v>263</v>
      </c>
      <c r="F151" s="129">
        <v>1</v>
      </c>
      <c r="G151" s="120" t="s">
        <v>1090</v>
      </c>
      <c r="H151" s="18" t="s">
        <v>618</v>
      </c>
      <c r="I151" s="18" t="s">
        <v>59</v>
      </c>
      <c r="J151" s="19" t="s">
        <v>520</v>
      </c>
      <c r="K151" s="103">
        <v>47134</v>
      </c>
      <c r="L151" s="101">
        <f>INDEX(Table1[Production],MATCH(rrcworking[[#This Row],[RRC ID Number]],Table1[RRC Identifier],0))</f>
        <v>0</v>
      </c>
      <c r="M151" s="30">
        <f>INDEX(Table1[Formation Production],MATCH(rrcworking[[#This Row],[RRC ID Number]],Table1[RRC Identifier],0))</f>
        <v>0</v>
      </c>
      <c r="N151" s="31">
        <f>INDEX(Table1[On Hand End of Month],MATCH(rrcworking[[#This Row],[RRC ID Number]],Table1[RRC Identifier],0))</f>
        <v>0</v>
      </c>
      <c r="O151" s="106" t="b">
        <f t="shared" si="4"/>
        <v>1</v>
      </c>
      <c r="Q151" s="127">
        <f>rrcworking[[#This Row],[Last Month Closing Stock]]</f>
        <v>0</v>
      </c>
      <c r="R151">
        <f>rrcworking[[#This Row],[Opening Oil Stock]]</f>
        <v>0</v>
      </c>
      <c r="S151" s="143">
        <f>IF(ISERROR(INDEX(Table2[OIL],MATCH(rrcworking[[#This Row],[Magnum Wolfpak '#]],Table2[Rox Wolf'#],0))),0,INDEX(Table2[OIL],MATCH(rrcworking[[#This Row],[Magnum Wolfpak '#]],Table2[Rox Wolf'#],0)))</f>
        <v>0</v>
      </c>
      <c r="T151" s="35">
        <f>rrcworking[[#This Row],[Closing Stock (Oil)]]+rrcworking[[#This Row],[Sales/Dispostion]]-rrcworking[[#This Row],[Opening Oil Stock]]</f>
        <v>0</v>
      </c>
      <c r="U151" s="112">
        <f>rrcworking[[#This Row],[Gauge Sheet Prod Volume (oil)]]-rrcworking[[#This Row],[Oil Production]]</f>
        <v>0</v>
      </c>
      <c r="V151" s="143">
        <f>IF(ISERROR(INDEX(Table2[GAS],MATCH(rrcworking[[#This Row],[Magnum Wolfpak '#]],Table2[Rox Wolf'#],0))),0,INDEX(Table2[GAS],MATCH(rrcworking[[#This Row],[Magnum Wolfpak '#]],Table2[Rox Wolf'#],0)))</f>
        <v>0</v>
      </c>
      <c r="W151" s="24"/>
      <c r="X151" s="135">
        <f>IF(rrcworking[[#This Row],[Pressure Base]]=14.73,rrcworking[[#This Row],[Gas Sales Statement Volume (MCF)]]*$R$2,rrcworking[[#This Row],[Gas Sales Statement Volume (MCF)]])</f>
        <v>0</v>
      </c>
      <c r="Y151" s="60"/>
      <c r="Z151" s="60"/>
      <c r="AA151" s="143">
        <f>IF(ISERROR(INDEX(Table2[LEASE USE],MATCH(rrcworking[[#This Row],[Magnum Wolfpak '#]],Table2[Rox Wolf'#],0))),0,INDEX(Table2[LEASE USE],MATCH(rrcworking[[#This Row],[Magnum Wolfpak '#]],Table2[Rox Wolf'#],0)))</f>
        <v>0</v>
      </c>
      <c r="AB151" s="57">
        <f>rrcworking[[#This Row],[Disposition Volume (MCF) @ 14.65 MCF]]+rrcworking[[#This Row],[Lease Use (MCF)]]</f>
        <v>0</v>
      </c>
      <c r="AC151" s="37"/>
      <c r="AD151" s="37"/>
      <c r="AE151" s="185">
        <f>COUNTIF(FilterList,rrcworking[[#This Row],[Magnum Wolfpak '#]])</f>
        <v>0</v>
      </c>
      <c r="AF151" s="182"/>
      <c r="AG151" s="183"/>
      <c r="AH151" s="37"/>
      <c r="AI151" s="37"/>
      <c r="AJ151" s="37"/>
      <c r="AK151" s="37"/>
      <c r="AL151" s="37"/>
      <c r="AM151" s="37"/>
      <c r="AN151" s="37"/>
      <c r="AO151" s="37"/>
      <c r="AP151" s="37"/>
      <c r="AQ151" s="37"/>
    </row>
    <row r="152" spans="3:43" ht="14" hidden="1">
      <c r="C152" s="80">
        <v>98401</v>
      </c>
      <c r="D152" s="62" t="s">
        <v>260</v>
      </c>
      <c r="E152" s="131" t="s">
        <v>261</v>
      </c>
      <c r="F152" s="129">
        <v>2</v>
      </c>
      <c r="G152" s="120" t="s">
        <v>1090</v>
      </c>
      <c r="H152" s="18" t="s">
        <v>618</v>
      </c>
      <c r="I152" s="18" t="s">
        <v>59</v>
      </c>
      <c r="J152" s="19" t="s">
        <v>519</v>
      </c>
      <c r="K152" s="103">
        <v>193384</v>
      </c>
      <c r="L152" s="101">
        <f>INDEX(Table1[Production],MATCH(rrcworking[[#This Row],[RRC ID Number]],Table1[RRC Identifier],0))</f>
        <v>65</v>
      </c>
      <c r="M152" s="30">
        <f>INDEX(Table1[Formation Production],MATCH(rrcworking[[#This Row],[RRC ID Number]],Table1[RRC Identifier],0))</f>
        <v>3223</v>
      </c>
      <c r="N152" s="31">
        <f>INDEX(Table1[On Hand End of Month],MATCH(rrcworking[[#This Row],[RRC ID Number]],Table1[RRC Identifier],0))</f>
        <v>129</v>
      </c>
      <c r="O152" s="106" t="b">
        <f t="shared" si="4"/>
        <v>0</v>
      </c>
      <c r="P152">
        <v>67</v>
      </c>
      <c r="Q152" s="127">
        <f>rrcworking[[#This Row],[Last Month Closing Stock]]</f>
        <v>129</v>
      </c>
      <c r="R152">
        <v>196</v>
      </c>
      <c r="S152" s="143">
        <f>IF(ISERROR(INDEX(Table2[OIL],MATCH(rrcworking[[#This Row],[Magnum Wolfpak '#]],Table2[Rox Wolf'#],0))),0,INDEX(Table2[OIL],MATCH(rrcworking[[#This Row],[Magnum Wolfpak '#]],Table2[Rox Wolf'#],0)))</f>
        <v>0</v>
      </c>
      <c r="T152" s="35">
        <f>rrcworking[[#This Row],[Closing Stock (Oil)]]+rrcworking[[#This Row],[Sales/Dispostion]]-rrcworking[[#This Row],[Opening Oil Stock]]</f>
        <v>67</v>
      </c>
      <c r="U152" s="112">
        <f>rrcworking[[#This Row],[Gauge Sheet Prod Volume (oil)]]-rrcworking[[#This Row],[Oil Production]]</f>
        <v>0</v>
      </c>
      <c r="V152" s="143">
        <f>IF(ISERROR(INDEX(Table2[GAS],MATCH(rrcworking[[#This Row],[Magnum Wolfpak '#]],Table2[Rox Wolf'#],0))),0,INDEX(Table2[GAS],MATCH(rrcworking[[#This Row],[Magnum Wolfpak '#]],Table2[Rox Wolf'#],0)))</f>
        <v>3093</v>
      </c>
      <c r="W152" s="24"/>
      <c r="X152" s="135">
        <f>IF(rrcworking[[#This Row],[Pressure Base]]=14.73,rrcworking[[#This Row],[Gas Sales Statement Volume (MCF)]]*$R$2,rrcworking[[#This Row],[Gas Sales Statement Volume (MCF)]])</f>
        <v>3093</v>
      </c>
      <c r="Y152" s="85"/>
      <c r="Z152" s="60">
        <v>3</v>
      </c>
      <c r="AA152" s="143">
        <f>IF(ISERROR(INDEX(Table2[LEASE USE],MATCH(rrcworking[[#This Row],[Magnum Wolfpak '#]],Table2[Rox Wolf'#],0))),0,INDEX(Table2[LEASE USE],MATCH(rrcworking[[#This Row],[Magnum Wolfpak '#]],Table2[Rox Wolf'#],0)))</f>
        <v>63</v>
      </c>
      <c r="AB152" s="57">
        <f>rrcworking[[#This Row],[Disposition Volume (MCF) @ 14.65 MCF]]+rrcworking[[#This Row],[Lease Use (MCF)]]</f>
        <v>3156</v>
      </c>
      <c r="AC152" s="37"/>
      <c r="AD152" s="37"/>
      <c r="AE152" s="185">
        <f>COUNTIF(FilterList,rrcworking[[#This Row],[Magnum Wolfpak '#]])</f>
        <v>0</v>
      </c>
      <c r="AF152" s="182"/>
      <c r="AG152" s="183"/>
      <c r="AH152" s="37"/>
      <c r="AI152" s="183"/>
      <c r="AJ152" s="37">
        <v>2</v>
      </c>
      <c r="AK152" s="37" t="s">
        <v>1166</v>
      </c>
      <c r="AL152" s="37" t="s">
        <v>1166</v>
      </c>
      <c r="AM152" s="37" t="s">
        <v>1213</v>
      </c>
      <c r="AN152" s="37" t="s">
        <v>1166</v>
      </c>
      <c r="AO152" s="37" t="s">
        <v>1177</v>
      </c>
      <c r="AP152" s="37" t="s">
        <v>1218</v>
      </c>
      <c r="AQ152" s="37"/>
    </row>
    <row r="153" spans="3:43" ht="14" hidden="1">
      <c r="C153" s="80" t="e">
        <v>#N/A</v>
      </c>
      <c r="D153" s="62" t="s">
        <v>268</v>
      </c>
      <c r="E153" s="131" t="s">
        <v>269</v>
      </c>
      <c r="F153" s="129">
        <v>2</v>
      </c>
      <c r="G153" s="120" t="s">
        <v>1090</v>
      </c>
      <c r="H153" s="18" t="s">
        <v>618</v>
      </c>
      <c r="I153" s="18" t="s">
        <v>59</v>
      </c>
      <c r="J153" s="19" t="s">
        <v>523</v>
      </c>
      <c r="K153" s="103">
        <v>214235</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Q153" s="127">
        <f>rrcworking[[#This Row],[Last Month Closing Stock]]</f>
        <v>0</v>
      </c>
      <c r="R153">
        <f>rrcworking[[#This Row],[Opening Oil Stock]]</f>
        <v>0</v>
      </c>
      <c r="S153" s="143">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 Volume (oil)]]-rrcworking[[#This Row],[Oil Production]]</f>
        <v>0</v>
      </c>
      <c r="V153" s="143">
        <f>IF(ISERROR(INDEX(Table2[GAS],MATCH(rrcworking[[#This Row],[Magnum Wolfpak '#]],Table2[Rox Wolf'#],0))),0,INDEX(Table2[GAS],MATCH(rrcworking[[#This Row],[Magnum Wolfpak '#]],Table2[Rox Wolf'#],0)))</f>
        <v>0</v>
      </c>
      <c r="W153" s="24"/>
      <c r="X153" s="135">
        <f>IF(rrcworking[[#This Row],[Pressure Base]]=14.73,rrcworking[[#This Row],[Gas Sales Statement Volume (MCF)]]*$R$2,rrcworking[[#This Row],[Gas Sales Statement Volume (MCF)]])</f>
        <v>0</v>
      </c>
      <c r="Y153" s="60"/>
      <c r="Z153" s="60"/>
      <c r="AA153" s="143">
        <f>IF(ISERROR(INDEX(Table2[LEASE USE],MATCH(rrcworking[[#This Row],[Magnum Wolfpak '#]],Table2[Rox Wolf'#],0))),0,INDEX(Table2[LEASE USE],MATCH(rrcworking[[#This Row],[Magnum Wolfpak '#]],Table2[Rox Wolf'#],0)))</f>
        <v>0</v>
      </c>
      <c r="AB153" s="57">
        <f>rrcworking[[#This Row],[Disposition Volume (MCF) @ 14.65 MCF]]+rrcworking[[#This Row],[Lease Use (MCF)]]</f>
        <v>0</v>
      </c>
      <c r="AC153" s="97"/>
      <c r="AD153" s="37"/>
      <c r="AE153" s="185">
        <f>COUNTIF(FilterList,rrcworking[[#This Row],[Magnum Wolfpak '#]])</f>
        <v>0</v>
      </c>
      <c r="AF153" s="182"/>
      <c r="AG153" s="183"/>
      <c r="AH153" s="37"/>
      <c r="AI153" s="37"/>
      <c r="AJ153" s="37"/>
      <c r="AK153" s="37"/>
      <c r="AL153" s="37"/>
      <c r="AM153" s="37"/>
      <c r="AN153" s="37"/>
      <c r="AO153" s="37"/>
      <c r="AP153" s="37"/>
      <c r="AQ153" s="37"/>
    </row>
    <row r="154" spans="3:43" ht="140" hidden="1">
      <c r="C154" s="80">
        <v>96901</v>
      </c>
      <c r="D154" s="62" t="s">
        <v>264</v>
      </c>
      <c r="E154" s="131" t="s">
        <v>265</v>
      </c>
      <c r="F154" s="129">
        <v>1</v>
      </c>
      <c r="G154" s="120" t="s">
        <v>1090</v>
      </c>
      <c r="H154" s="18" t="s">
        <v>618</v>
      </c>
      <c r="I154" s="18" t="s">
        <v>59</v>
      </c>
      <c r="J154" s="19" t="s">
        <v>521</v>
      </c>
      <c r="K154" s="103">
        <v>158691</v>
      </c>
      <c r="L154" s="101">
        <f>INDEX(Table1[Production],MATCH(rrcworking[[#This Row],[RRC ID Number]],Table1[RRC Identifier],0))</f>
        <v>4</v>
      </c>
      <c r="M154" s="30">
        <f>INDEX(Table1[Formation Production],MATCH(rrcworking[[#This Row],[RRC ID Number]],Table1[RRC Identifier],0))</f>
        <v>1384</v>
      </c>
      <c r="N154" s="31">
        <f>INDEX(Table1[On Hand End of Month],MATCH(rrcworking[[#This Row],[RRC ID Number]],Table1[RRC Identifier],0))</f>
        <v>65</v>
      </c>
      <c r="O154" s="106" t="b">
        <f t="shared" si="4"/>
        <v>0</v>
      </c>
      <c r="P154">
        <v>24</v>
      </c>
      <c r="Q154" s="127">
        <f>rrcworking[[#This Row],[Last Month Closing Stock]]</f>
        <v>65</v>
      </c>
      <c r="R154">
        <v>75</v>
      </c>
      <c r="S154" s="143">
        <f>IF(ISERROR(INDEX(Table2[OIL],MATCH(rrcworking[[#This Row],[Magnum Wolfpak '#]],Table2[Rox Wolf'#],0))),0,INDEX(Table2[OIL],MATCH(rrcworking[[#This Row],[Magnum Wolfpak '#]],Table2[Rox Wolf'#],0)))</f>
        <v>0</v>
      </c>
      <c r="T154" s="35">
        <f>rrcworking[[#This Row],[Closing Stock (Oil)]]+rrcworking[[#This Row],[Sales/Dispostion]]-rrcworking[[#This Row],[Opening Oil Stock]]</f>
        <v>10</v>
      </c>
      <c r="U154" s="112">
        <f>rrcworking[[#This Row],[Gauge Sheet Prod Volume (oil)]]-rrcworking[[#This Row],[Oil Production]]</f>
        <v>14</v>
      </c>
      <c r="V154" s="143">
        <f>IF(ISERROR(INDEX(Table2[GAS],MATCH(rrcworking[[#This Row],[Magnum Wolfpak '#]],Table2[Rox Wolf'#],0))),0,INDEX(Table2[GAS],MATCH(rrcworking[[#This Row],[Magnum Wolfpak '#]],Table2[Rox Wolf'#],0)))</f>
        <v>1016</v>
      </c>
      <c r="W154" s="24"/>
      <c r="X154" s="135">
        <f>IF(rrcworking[[#This Row],[Pressure Base]]=14.73,rrcworking[[#This Row],[Gas Sales Statement Volume (MCF)]]*$R$2,rrcworking[[#This Row],[Gas Sales Statement Volume (MCF)]])</f>
        <v>1016</v>
      </c>
      <c r="Y154" s="85"/>
      <c r="Z154" s="60">
        <v>1</v>
      </c>
      <c r="AA154" s="143">
        <f>IF(ISERROR(INDEX(Table2[LEASE USE],MATCH(rrcworking[[#This Row],[Magnum Wolfpak '#]],Table2[Rox Wolf'#],0))),0,INDEX(Table2[LEASE USE],MATCH(rrcworking[[#This Row],[Magnum Wolfpak '#]],Table2[Rox Wolf'#],0)))</f>
        <v>21</v>
      </c>
      <c r="AB154" s="57">
        <f>rrcworking[[#This Row],[Disposition Volume (MCF) @ 14.65 MCF]]+rrcworking[[#This Row],[Lease Use (MCF)]]</f>
        <v>1037</v>
      </c>
      <c r="AC154" s="37"/>
      <c r="AD154" s="37" t="s">
        <v>1303</v>
      </c>
      <c r="AE154" s="185">
        <f>COUNTIF(FilterList,rrcworking[[#This Row],[Magnum Wolfpak '#]])</f>
        <v>0</v>
      </c>
      <c r="AF154" s="182"/>
      <c r="AG154" s="183"/>
      <c r="AH154" s="37"/>
      <c r="AI154" s="183"/>
      <c r="AJ154" s="37">
        <v>1</v>
      </c>
      <c r="AK154" s="37" t="s">
        <v>1166</v>
      </c>
      <c r="AL154" s="37" t="s">
        <v>1166</v>
      </c>
      <c r="AM154" s="37" t="s">
        <v>1194</v>
      </c>
      <c r="AN154" s="37" t="s">
        <v>1166</v>
      </c>
      <c r="AO154" s="37" t="s">
        <v>1177</v>
      </c>
      <c r="AP154" s="37" t="s">
        <v>1218</v>
      </c>
      <c r="AQ154" s="37"/>
    </row>
    <row r="155" spans="3:43" ht="14" hidden="1">
      <c r="C155" s="80" t="e">
        <v>#N/A</v>
      </c>
      <c r="D155" s="62" t="s">
        <v>239</v>
      </c>
      <c r="E155" s="131" t="s">
        <v>240</v>
      </c>
      <c r="F155" s="129">
        <v>1</v>
      </c>
      <c r="G155" s="120" t="s">
        <v>1090</v>
      </c>
      <c r="H155" s="18" t="s">
        <v>618</v>
      </c>
      <c r="I155" s="18" t="s">
        <v>59</v>
      </c>
      <c r="J155" s="19" t="s">
        <v>508</v>
      </c>
      <c r="K155" s="103">
        <v>214543</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Q155" s="127">
        <f>rrcworking[[#This Row],[Last Month Closing Stock]]</f>
        <v>0</v>
      </c>
      <c r="R155">
        <f>rrcworking[[#This Row],[Opening Oil Stock]]</f>
        <v>0</v>
      </c>
      <c r="S155" s="143">
        <f>IF(ISERROR(INDEX(Table2[OIL],MATCH(rrcworking[[#This Row],[Magnum Wolfpak '#]],Table2[Rox Wolf'#],0))),0,INDEX(Table2[OIL],MATCH(rrcworking[[#This Row],[Magnum Wolfpak '#]],Table2[Rox Wolf'#],0)))</f>
        <v>0</v>
      </c>
      <c r="T155" s="35">
        <f>rrcworking[[#This Row],[Closing Stock (Oil)]]+rrcworking[[#This Row],[Sales/Dispostion]]-rrcworking[[#This Row],[Opening Oil Stock]]</f>
        <v>0</v>
      </c>
      <c r="U155" s="112">
        <f>rrcworking[[#This Row],[Gauge Sheet Prod Volume (oil)]]-rrcworking[[#This Row],[Oil Production]]</f>
        <v>0</v>
      </c>
      <c r="V155" s="143">
        <f>IF(ISERROR(INDEX(Table2[GAS],MATCH(rrcworking[[#This Row],[Magnum Wolfpak '#]],Table2[Rox Wolf'#],0))),0,INDEX(Table2[GAS],MATCH(rrcworking[[#This Row],[Magnum Wolfpak '#]],Table2[Rox Wolf'#],0)))</f>
        <v>0</v>
      </c>
      <c r="W155" s="24"/>
      <c r="X155" s="135">
        <f>IF(rrcworking[[#This Row],[Pressure Base]]=14.73,rrcworking[[#This Row],[Gas Sales Statement Volume (MCF)]]*$R$2,rrcworking[[#This Row],[Gas Sales Statement Volume (MCF)]])</f>
        <v>0</v>
      </c>
      <c r="Y155" s="60"/>
      <c r="Z155" s="60"/>
      <c r="AA155" s="143">
        <f>IF(ISERROR(INDEX(Table2[LEASE USE],MATCH(rrcworking[[#This Row],[Magnum Wolfpak '#]],Table2[Rox Wolf'#],0))),0,INDEX(Table2[LEASE USE],MATCH(rrcworking[[#This Row],[Magnum Wolfpak '#]],Table2[Rox Wolf'#],0)))</f>
        <v>0</v>
      </c>
      <c r="AB155" s="57">
        <f>rrcworking[[#This Row],[Disposition Volume (MCF) @ 14.65 MCF]]+rrcworking[[#This Row],[Lease Use (MCF)]]</f>
        <v>0</v>
      </c>
      <c r="AC155" s="37"/>
      <c r="AD155" s="37"/>
      <c r="AE155" s="185">
        <f>COUNTIF(FilterList,rrcworking[[#This Row],[Magnum Wolfpak '#]])</f>
        <v>0</v>
      </c>
      <c r="AF155" s="182"/>
      <c r="AG155" s="183"/>
      <c r="AH155" s="37"/>
      <c r="AI155" s="37"/>
      <c r="AJ155" s="37"/>
      <c r="AK155" s="37"/>
      <c r="AL155" s="37"/>
      <c r="AM155" s="37"/>
      <c r="AN155" s="37"/>
      <c r="AO155" s="37"/>
      <c r="AP155" s="37"/>
      <c r="AQ155" s="37"/>
    </row>
    <row r="156" spans="3:43" ht="14" hidden="1">
      <c r="C156" s="80">
        <v>99101</v>
      </c>
      <c r="D156" s="62" t="s">
        <v>206</v>
      </c>
      <c r="E156" s="131" t="s">
        <v>207</v>
      </c>
      <c r="F156" s="129" t="s">
        <v>208</v>
      </c>
      <c r="G156" s="120" t="s">
        <v>1090</v>
      </c>
      <c r="H156" s="18" t="s">
        <v>618</v>
      </c>
      <c r="I156" s="18" t="s">
        <v>59</v>
      </c>
      <c r="J156" s="19" t="s">
        <v>492</v>
      </c>
      <c r="K156" s="103">
        <v>284976</v>
      </c>
      <c r="L156" s="101">
        <f>INDEX(Table1[Production],MATCH(rrcworking[[#This Row],[RRC ID Number]],Table1[RRC Identifier],0))</f>
        <v>10</v>
      </c>
      <c r="M156" s="30">
        <f>INDEX(Table1[Formation Production],MATCH(rrcworking[[#This Row],[RRC ID Number]],Table1[RRC Identifier],0))</f>
        <v>661</v>
      </c>
      <c r="N156" s="31">
        <f>INDEX(Table1[On Hand End of Month],MATCH(rrcworking[[#This Row],[RRC ID Number]],Table1[RRC Identifier],0))</f>
        <v>150</v>
      </c>
      <c r="O156" s="106" t="b">
        <f t="shared" si="4"/>
        <v>0</v>
      </c>
      <c r="P156">
        <v>0</v>
      </c>
      <c r="Q156" s="127">
        <f>rrcworking[[#This Row],[Last Month Closing Stock]]</f>
        <v>150</v>
      </c>
      <c r="R156">
        <v>150</v>
      </c>
      <c r="S156" s="143">
        <f>IF(ISERROR(INDEX(Table2[OIL],MATCH(rrcworking[[#This Row],[Magnum Wolfpak '#]],Table2[Rox Wolf'#],0))),0,INDEX(Table2[OIL],MATCH(rrcworking[[#This Row],[Magnum Wolfpak '#]],Table2[Rox Wolf'#],0)))</f>
        <v>0</v>
      </c>
      <c r="T156" s="35">
        <f>rrcworking[[#This Row],[Closing Stock (Oil)]]+rrcworking[[#This Row],[Sales/Dispostion]]-rrcworking[[#This Row],[Opening Oil Stock]]</f>
        <v>0</v>
      </c>
      <c r="U156" s="112">
        <f>rrcworking[[#This Row],[Gauge Sheet Prod Volume (oil)]]-rrcworking[[#This Row],[Oil Production]]</f>
        <v>0</v>
      </c>
      <c r="V156" s="143">
        <f>IF(ISERROR(INDEX(Table2[GAS],MATCH(rrcworking[[#This Row],[Magnum Wolfpak '#]],Table2[Rox Wolf'#],0))),0,INDEX(Table2[GAS],MATCH(rrcworking[[#This Row],[Magnum Wolfpak '#]],Table2[Rox Wolf'#],0)))</f>
        <v>0</v>
      </c>
      <c r="W156" s="24"/>
      <c r="X156" s="135">
        <f>IF(rrcworking[[#This Row],[Pressure Base]]=14.73,rrcworking[[#This Row],[Gas Sales Statement Volume (MCF)]]*$R$2,rrcworking[[#This Row],[Gas Sales Statement Volume (MCF)]])</f>
        <v>0</v>
      </c>
      <c r="Y156" s="60"/>
      <c r="Z156" s="60"/>
      <c r="AA156" s="143">
        <f>IF(ISERROR(INDEX(Table2[LEASE USE],MATCH(rrcworking[[#This Row],[Magnum Wolfpak '#]],Table2[Rox Wolf'#],0))),0,INDEX(Table2[LEASE USE],MATCH(rrcworking[[#This Row],[Magnum Wolfpak '#]],Table2[Rox Wolf'#],0)))</f>
        <v>0</v>
      </c>
      <c r="AB156" s="57">
        <f>rrcworking[[#This Row],[Disposition Volume (MCF) @ 14.65 MCF]]+rrcworking[[#This Row],[Lease Use (MCF)]]</f>
        <v>0</v>
      </c>
      <c r="AC156" s="37"/>
      <c r="AD156" s="37"/>
      <c r="AE156" s="185">
        <f>COUNTIF(FilterList,rrcworking[[#This Row],[Magnum Wolfpak '#]])</f>
        <v>0</v>
      </c>
      <c r="AF156" s="182"/>
      <c r="AG156" s="183"/>
      <c r="AH156" s="37"/>
      <c r="AI156" s="183"/>
      <c r="AJ156" s="37">
        <v>3</v>
      </c>
      <c r="AK156" s="37" t="s">
        <v>1140</v>
      </c>
      <c r="AL156" s="37" t="s">
        <v>1140</v>
      </c>
      <c r="AM156" s="37" t="s">
        <v>1180</v>
      </c>
      <c r="AN156" s="37" t="s">
        <v>1140</v>
      </c>
      <c r="AO156" s="37" t="s">
        <v>1177</v>
      </c>
      <c r="AP156" s="37" t="s">
        <v>1219</v>
      </c>
      <c r="AQ156" s="37"/>
    </row>
    <row r="157" spans="3:43" ht="14" hidden="1">
      <c r="C157" s="80" t="e">
        <v>#N/A</v>
      </c>
      <c r="D157" s="62" t="s">
        <v>292</v>
      </c>
      <c r="E157" s="131" t="s">
        <v>293</v>
      </c>
      <c r="F157" s="129">
        <v>5</v>
      </c>
      <c r="G157" s="120" t="s">
        <v>1090</v>
      </c>
      <c r="H157" s="18" t="s">
        <v>618</v>
      </c>
      <c r="I157" s="18" t="s">
        <v>59</v>
      </c>
      <c r="J157" s="19" t="s">
        <v>542</v>
      </c>
      <c r="K157" s="103">
        <v>179674</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Q157" s="127">
        <f>rrcworking[[#This Row],[Last Month Closing Stock]]</f>
        <v>0</v>
      </c>
      <c r="R157">
        <f>rrcworking[[#This Row],[Opening Oil Stock]]</f>
        <v>0</v>
      </c>
      <c r="S157" s="143">
        <f>IF(ISERROR(INDEX(Table2[OIL],MATCH(rrcworking[[#This Row],[Magnum Wolfpak '#]],Table2[Rox Wolf'#],0))),0,INDEX(Table2[OIL],MATCH(rrcworking[[#This Row],[Magnum Wolfpak '#]],Table2[Rox Wolf'#],0)))</f>
        <v>0</v>
      </c>
      <c r="T157" s="35">
        <f>rrcworking[[#This Row],[Closing Stock (Oil)]]+rrcworking[[#This Row],[Sales/Dispostion]]-rrcworking[[#This Row],[Opening Oil Stock]]</f>
        <v>0</v>
      </c>
      <c r="U157" s="112">
        <f>rrcworking[[#This Row],[Gauge Sheet Prod Volume (oil)]]-rrcworking[[#This Row],[Oil Production]]</f>
        <v>0</v>
      </c>
      <c r="V157" s="143">
        <f>IF(ISERROR(INDEX(Table2[GAS],MATCH(rrcworking[[#This Row],[Magnum Wolfpak '#]],Table2[Rox Wolf'#],0))),0,INDEX(Table2[GAS],MATCH(rrcworking[[#This Row],[Magnum Wolfpak '#]],Table2[Rox Wolf'#],0)))</f>
        <v>0</v>
      </c>
      <c r="W157" s="24"/>
      <c r="X157" s="135">
        <f>IF(rrcworking[[#This Row],[Pressure Base]]=14.73,rrcworking[[#This Row],[Gas Sales Statement Volume (MCF)]]*$R$2,rrcworking[[#This Row],[Gas Sales Statement Volume (MCF)]])</f>
        <v>0</v>
      </c>
      <c r="Y157" s="60"/>
      <c r="Z157" s="60"/>
      <c r="AA157" s="143">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185">
        <f>COUNTIF(FilterList,rrcworking[[#This Row],[Magnum Wolfpak '#]])</f>
        <v>0</v>
      </c>
      <c r="AF157" s="182"/>
      <c r="AG157" s="183"/>
      <c r="AH157" s="37"/>
      <c r="AI157" s="37"/>
      <c r="AJ157" s="37"/>
      <c r="AK157" s="37"/>
      <c r="AL157" s="37"/>
      <c r="AM157" s="37"/>
      <c r="AN157" s="37"/>
      <c r="AO157" s="37"/>
      <c r="AP157" s="37"/>
      <c r="AQ157" s="37"/>
    </row>
    <row r="158" spans="3:43" ht="14" hidden="1">
      <c r="C158" s="80" t="e">
        <v>#N/A</v>
      </c>
      <c r="D158" s="62" t="s">
        <v>375</v>
      </c>
      <c r="E158" s="131" t="s">
        <v>376</v>
      </c>
      <c r="F158" s="129">
        <v>2</v>
      </c>
      <c r="G158" s="120" t="s">
        <v>1090</v>
      </c>
      <c r="H158" s="18" t="s">
        <v>619</v>
      </c>
      <c r="I158" s="18" t="s">
        <v>59</v>
      </c>
      <c r="J158" s="19" t="s">
        <v>592</v>
      </c>
      <c r="K158" s="103">
        <v>142434</v>
      </c>
      <c r="L158" s="101">
        <f>INDEX(Table1[Production],MATCH(rrcworking[[#This Row],[RRC ID Number]],Table1[RRC Identifier],0))</f>
        <v>0</v>
      </c>
      <c r="M158" s="30">
        <f>INDEX(Table1[Formation Production],MATCH(rrcworking[[#This Row],[RRC ID Number]],Table1[RRC Identifier],0))</f>
        <v>0</v>
      </c>
      <c r="N158" s="31">
        <f>INDEX(Table1[On Hand End of Month],MATCH(rrcworking[[#This Row],[RRC ID Number]],Table1[RRC Identifier],0))</f>
        <v>49</v>
      </c>
      <c r="O158" s="106" t="b">
        <f t="shared" si="4"/>
        <v>1</v>
      </c>
      <c r="Q158" s="127">
        <f>rrcworking[[#This Row],[Last Month Closing Stock]]</f>
        <v>49</v>
      </c>
      <c r="R158">
        <f>rrcworking[[#This Row],[Opening Oil Stock]]</f>
        <v>49</v>
      </c>
      <c r="S158" s="143">
        <f>IF(ISERROR(INDEX(Table2[OIL],MATCH(rrcworking[[#This Row],[Magnum Wolfpak '#]],Table2[Rox Wolf'#],0))),0,INDEX(Table2[OIL],MATCH(rrcworking[[#This Row],[Magnum Wolfpak '#]],Table2[Rox Wolf'#],0)))</f>
        <v>0</v>
      </c>
      <c r="T158" s="35">
        <f>rrcworking[[#This Row],[Closing Stock (Oil)]]+rrcworking[[#This Row],[Sales/Dispostion]]-rrcworking[[#This Row],[Opening Oil Stock]]</f>
        <v>0</v>
      </c>
      <c r="U158" s="112">
        <f>rrcworking[[#This Row],[Gauge Sheet Prod Volume (oil)]]-rrcworking[[#This Row],[Oil Production]]</f>
        <v>0</v>
      </c>
      <c r="V158" s="143">
        <f>IF(ISERROR(INDEX(Table2[GAS],MATCH(rrcworking[[#This Row],[Magnum Wolfpak '#]],Table2[Rox Wolf'#],0))),0,INDEX(Table2[GAS],MATCH(rrcworking[[#This Row],[Magnum Wolfpak '#]],Table2[Rox Wolf'#],0)))</f>
        <v>0</v>
      </c>
      <c r="W158" s="24"/>
      <c r="X158" s="135">
        <f>IF(rrcworking[[#This Row],[Pressure Base]]=14.73,rrcworking[[#This Row],[Gas Sales Statement Volume (MCF)]]*$R$2,rrcworking[[#This Row],[Gas Sales Statement Volume (MCF)]])</f>
        <v>0</v>
      </c>
      <c r="Y158" s="60"/>
      <c r="Z158" s="60"/>
      <c r="AA158" s="143">
        <f>IF(ISERROR(INDEX(Table2[LEASE USE],MATCH(rrcworking[[#This Row],[Magnum Wolfpak '#]],Table2[Rox Wolf'#],0))),0,INDEX(Table2[LEASE USE],MATCH(rrcworking[[#This Row],[Magnum Wolfpak '#]],Table2[Rox Wolf'#],0)))</f>
        <v>0</v>
      </c>
      <c r="AB158" s="57">
        <f>rrcworking[[#This Row],[Disposition Volume (MCF) @ 14.65 MCF]]+rrcworking[[#This Row],[Lease Use (MCF)]]</f>
        <v>0</v>
      </c>
      <c r="AC158" s="37"/>
      <c r="AD158" s="37"/>
      <c r="AE158" s="185">
        <f>COUNTIF(FilterList,rrcworking[[#This Row],[Magnum Wolfpak '#]])</f>
        <v>0</v>
      </c>
      <c r="AF158" s="182"/>
      <c r="AG158" s="183"/>
      <c r="AH158" s="37"/>
      <c r="AI158" s="37"/>
      <c r="AJ158" s="37"/>
      <c r="AK158" s="37"/>
      <c r="AL158" s="37"/>
      <c r="AM158" s="37"/>
      <c r="AN158" s="37"/>
      <c r="AO158" s="37"/>
      <c r="AP158" s="37"/>
      <c r="AQ158" s="37"/>
    </row>
    <row r="159" spans="3:43" ht="14" hidden="1">
      <c r="C159" s="80" t="e">
        <v>#N/A</v>
      </c>
      <c r="D159" s="62" t="s">
        <v>377</v>
      </c>
      <c r="E159" s="131" t="s">
        <v>378</v>
      </c>
      <c r="F159" s="129">
        <v>1</v>
      </c>
      <c r="G159" s="120" t="s">
        <v>1090</v>
      </c>
      <c r="H159" s="18" t="s">
        <v>619</v>
      </c>
      <c r="I159" s="18" t="s">
        <v>59</v>
      </c>
      <c r="J159" s="19" t="s">
        <v>593</v>
      </c>
      <c r="K159" s="103">
        <v>142269</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Q159" s="127">
        <f>rrcworking[[#This Row],[Last Month Closing Stock]]</f>
        <v>0</v>
      </c>
      <c r="R159">
        <f>rrcworking[[#This Row],[Opening Oil Stock]]</f>
        <v>0</v>
      </c>
      <c r="S159" s="143">
        <f>IF(ISERROR(INDEX(Table2[OIL],MATCH(rrcworking[[#This Row],[Magnum Wolfpak '#]],Table2[Rox Wolf'#],0))),0,INDEX(Table2[OIL],MATCH(rrcworking[[#This Row],[Magnum Wolfpak '#]],Table2[Rox Wolf'#],0)))</f>
        <v>0</v>
      </c>
      <c r="T159" s="35">
        <f>rrcworking[[#This Row],[Closing Stock (Oil)]]+rrcworking[[#This Row],[Sales/Dispostion]]-rrcworking[[#This Row],[Opening Oil Stock]]</f>
        <v>0</v>
      </c>
      <c r="U159" s="112">
        <f>rrcworking[[#This Row],[Gauge Sheet Prod Volume (oil)]]-rrcworking[[#This Row],[Oil Production]]</f>
        <v>0</v>
      </c>
      <c r="V159" s="143">
        <f>IF(ISERROR(INDEX(Table2[GAS],MATCH(rrcworking[[#This Row],[Magnum Wolfpak '#]],Table2[Rox Wolf'#],0))),0,INDEX(Table2[GAS],MATCH(rrcworking[[#This Row],[Magnum Wolfpak '#]],Table2[Rox Wolf'#],0)))</f>
        <v>0</v>
      </c>
      <c r="W159" s="24"/>
      <c r="X159" s="135">
        <f>IF(rrcworking[[#This Row],[Pressure Base]]=14.73,rrcworking[[#This Row],[Gas Sales Statement Volume (MCF)]]*$R$2,rrcworking[[#This Row],[Gas Sales Statement Volume (MCF)]])</f>
        <v>0</v>
      </c>
      <c r="Y159" s="60"/>
      <c r="Z159" s="60"/>
      <c r="AA159" s="143">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185">
        <f>COUNTIF(FilterList,rrcworking[[#This Row],[Magnum Wolfpak '#]])</f>
        <v>0</v>
      </c>
      <c r="AF159" s="182"/>
      <c r="AG159" s="183"/>
      <c r="AH159" s="37"/>
      <c r="AI159" s="37"/>
      <c r="AJ159" s="37"/>
      <c r="AK159" s="37"/>
      <c r="AL159" s="37"/>
      <c r="AM159" s="37"/>
      <c r="AN159" s="37"/>
      <c r="AO159" s="37"/>
      <c r="AP159" s="37"/>
      <c r="AQ159" s="37"/>
    </row>
    <row r="160" spans="3:43" ht="14" hidden="1">
      <c r="C160" s="80" t="e">
        <v>#N/A</v>
      </c>
      <c r="D160" s="62" t="s">
        <v>272</v>
      </c>
      <c r="E160" s="131" t="s">
        <v>273</v>
      </c>
      <c r="F160" s="129">
        <v>1</v>
      </c>
      <c r="G160" s="120" t="s">
        <v>1090</v>
      </c>
      <c r="H160" s="18" t="s">
        <v>618</v>
      </c>
      <c r="I160" s="18" t="s">
        <v>59</v>
      </c>
      <c r="J160" s="19" t="s">
        <v>525</v>
      </c>
      <c r="K160" s="103">
        <v>238352</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0</v>
      </c>
      <c r="O160" s="106" t="b">
        <f t="shared" si="4"/>
        <v>1</v>
      </c>
      <c r="Q160" s="127">
        <f>rrcworking[[#This Row],[Last Month Closing Stock]]</f>
        <v>0</v>
      </c>
      <c r="R160">
        <f>rrcworking[[#This Row],[Opening Oil Stock]]</f>
        <v>0</v>
      </c>
      <c r="S160" s="143">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 Volume (oil)]]-rrcworking[[#This Row],[Oil Production]]</f>
        <v>0</v>
      </c>
      <c r="V160" s="143">
        <f>IF(ISERROR(INDEX(Table2[GAS],MATCH(rrcworking[[#This Row],[Magnum Wolfpak '#]],Table2[Rox Wolf'#],0))),0,INDEX(Table2[GAS],MATCH(rrcworking[[#This Row],[Magnum Wolfpak '#]],Table2[Rox Wolf'#],0)))</f>
        <v>0</v>
      </c>
      <c r="W160" s="24"/>
      <c r="X160" s="135">
        <f>IF(rrcworking[[#This Row],[Pressure Base]]=14.73,rrcworking[[#This Row],[Gas Sales Statement Volume (MCF)]]*$R$2,rrcworking[[#This Row],[Gas Sales Statement Volume (MCF)]])</f>
        <v>0</v>
      </c>
      <c r="Y160" s="60"/>
      <c r="Z160" s="60"/>
      <c r="AA160" s="143">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185">
        <f>COUNTIF(FilterList,rrcworking[[#This Row],[Magnum Wolfpak '#]])</f>
        <v>0</v>
      </c>
      <c r="AF160" s="182"/>
      <c r="AG160" s="183"/>
      <c r="AH160" s="37"/>
      <c r="AI160" s="37"/>
      <c r="AJ160" s="37"/>
      <c r="AK160" s="37"/>
      <c r="AL160" s="37"/>
      <c r="AM160" s="37"/>
      <c r="AN160" s="37"/>
      <c r="AO160" s="37"/>
      <c r="AP160" s="37"/>
      <c r="AQ160" s="37"/>
    </row>
    <row r="161" spans="3:43" ht="14" hidden="1">
      <c r="C161" s="80" t="e">
        <v>#N/A</v>
      </c>
      <c r="D161" s="62" t="s">
        <v>196</v>
      </c>
      <c r="E161" s="131" t="s">
        <v>197</v>
      </c>
      <c r="F161" s="129">
        <v>0</v>
      </c>
      <c r="G161" s="120" t="s">
        <v>1090</v>
      </c>
      <c r="H161" s="18" t="s">
        <v>618</v>
      </c>
      <c r="I161" s="18" t="s">
        <v>2</v>
      </c>
      <c r="J161" s="19" t="s">
        <v>487</v>
      </c>
      <c r="K161" s="103">
        <v>27279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229</v>
      </c>
      <c r="O161" s="106" t="b">
        <f t="shared" si="4"/>
        <v>1</v>
      </c>
      <c r="Q161" s="127">
        <f>rrcworking[[#This Row],[Last Month Closing Stock]]</f>
        <v>229</v>
      </c>
      <c r="R161">
        <f>rrcworking[[#This Row],[Opening Oil Stock]]</f>
        <v>229</v>
      </c>
      <c r="S161" s="143">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 Volume (oil)]]-rrcworking[[#This Row],[Oil Production]]</f>
        <v>0</v>
      </c>
      <c r="V161" s="143">
        <f>IF(ISERROR(INDEX(Table2[GAS],MATCH(rrcworking[[#This Row],[Magnum Wolfpak '#]],Table2[Rox Wolf'#],0))),0,INDEX(Table2[GAS],MATCH(rrcworking[[#This Row],[Magnum Wolfpak '#]],Table2[Rox Wolf'#],0)))</f>
        <v>0</v>
      </c>
      <c r="W161" s="24"/>
      <c r="X161" s="135">
        <f>IF(rrcworking[[#This Row],[Pressure Base]]=14.73,rrcworking[[#This Row],[Gas Sales Statement Volume (MCF)]]*$R$2,rrcworking[[#This Row],[Gas Sales Statement Volume (MCF)]])</f>
        <v>0</v>
      </c>
      <c r="Y161" s="60"/>
      <c r="Z161" s="60"/>
      <c r="AA161" s="143">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185">
        <f>COUNTIF(FilterList,rrcworking[[#This Row],[Magnum Wolfpak '#]])</f>
        <v>0</v>
      </c>
      <c r="AF161" s="182"/>
      <c r="AG161" s="183"/>
      <c r="AH161" s="37"/>
      <c r="AI161" s="37"/>
      <c r="AJ161" s="37"/>
      <c r="AK161" s="37"/>
      <c r="AL161" s="37"/>
      <c r="AM161" s="37"/>
      <c r="AN161" s="37"/>
      <c r="AO161" s="37"/>
      <c r="AP161" s="37"/>
      <c r="AQ161" s="37"/>
    </row>
    <row r="162" spans="3:43" ht="14" hidden="1">
      <c r="C162" s="80" t="e">
        <v>#N/A</v>
      </c>
      <c r="D162" s="62" t="s">
        <v>99</v>
      </c>
      <c r="E162" s="131" t="s">
        <v>100</v>
      </c>
      <c r="F162" s="129">
        <v>1</v>
      </c>
      <c r="G162" s="120" t="s">
        <v>1090</v>
      </c>
      <c r="H162" s="18" t="s">
        <v>617</v>
      </c>
      <c r="I162" s="18" t="s">
        <v>59</v>
      </c>
      <c r="J162" s="19" t="s">
        <v>428</v>
      </c>
      <c r="K162" s="103">
        <v>192476</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116</v>
      </c>
      <c r="O162" s="106" t="b">
        <f t="shared" si="4"/>
        <v>1</v>
      </c>
      <c r="Q162" s="127">
        <f>rrcworking[[#This Row],[Last Month Closing Stock]]</f>
        <v>116</v>
      </c>
      <c r="R162">
        <f>rrcworking[[#This Row],[Opening Oil Stock]]</f>
        <v>116</v>
      </c>
      <c r="S162" s="143">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 Volume (oil)]]-rrcworking[[#This Row],[Oil Production]]</f>
        <v>0</v>
      </c>
      <c r="V162" s="143">
        <f>IF(ISERROR(INDEX(Table2[GAS],MATCH(rrcworking[[#This Row],[Magnum Wolfpak '#]],Table2[Rox Wolf'#],0))),0,INDEX(Table2[GAS],MATCH(rrcworking[[#This Row],[Magnum Wolfpak '#]],Table2[Rox Wolf'#],0)))</f>
        <v>0</v>
      </c>
      <c r="W162" s="24"/>
      <c r="X162" s="135">
        <f>IF(rrcworking[[#This Row],[Pressure Base]]=14.73,rrcworking[[#This Row],[Gas Sales Statement Volume (MCF)]]*$R$2,rrcworking[[#This Row],[Gas Sales Statement Volume (MCF)]])</f>
        <v>0</v>
      </c>
      <c r="Y162" s="60"/>
      <c r="Z162" s="60"/>
      <c r="AA162" s="143">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185">
        <f>COUNTIF(FilterList,rrcworking[[#This Row],[Magnum Wolfpak '#]])</f>
        <v>0</v>
      </c>
      <c r="AF162" s="182"/>
      <c r="AG162" s="183"/>
      <c r="AH162" s="37"/>
      <c r="AI162" s="37"/>
      <c r="AJ162" s="37"/>
      <c r="AK162" s="37"/>
      <c r="AL162" s="37"/>
      <c r="AM162" s="37"/>
      <c r="AN162" s="37"/>
      <c r="AO162" s="37"/>
      <c r="AP162" s="37"/>
      <c r="AQ162" s="37"/>
    </row>
    <row r="163" spans="3:43" ht="14" hidden="1">
      <c r="C163" s="80">
        <v>99026</v>
      </c>
      <c r="D163" s="62" t="s">
        <v>192</v>
      </c>
      <c r="E163" s="131" t="s">
        <v>193</v>
      </c>
      <c r="F163" s="129">
        <v>0</v>
      </c>
      <c r="G163" s="120" t="s">
        <v>1090</v>
      </c>
      <c r="H163" s="18" t="s">
        <v>618</v>
      </c>
      <c r="I163" s="18" t="s">
        <v>2</v>
      </c>
      <c r="J163" s="19" t="s">
        <v>485</v>
      </c>
      <c r="K163" s="103">
        <v>2099</v>
      </c>
      <c r="L163" s="101">
        <f>INDEX(Table1[Production],MATCH(rrcworking[[#This Row],[RRC ID Number]],Table1[RRC Identifier],0))</f>
        <v>496</v>
      </c>
      <c r="M163" s="30">
        <f>INDEX(Table1[Formation Production],MATCH(rrcworking[[#This Row],[RRC ID Number]],Table1[RRC Identifier],0))</f>
        <v>0</v>
      </c>
      <c r="N163" s="31">
        <f>INDEX(Table1[On Hand End of Month],MATCH(rrcworking[[#This Row],[RRC ID Number]],Table1[RRC Identifier],0))</f>
        <v>282</v>
      </c>
      <c r="O163" s="106" t="b">
        <f t="shared" si="4"/>
        <v>0</v>
      </c>
      <c r="P163">
        <v>369</v>
      </c>
      <c r="Q163" s="127">
        <f>rrcworking[[#This Row],[Last Month Closing Stock]]</f>
        <v>282</v>
      </c>
      <c r="R163">
        <v>311</v>
      </c>
      <c r="S163" s="143">
        <f>IF(ISERROR(INDEX(Table2[OIL],MATCH(rrcworking[[#This Row],[Magnum Wolfpak '#]],Table2[Rox Wolf'#],0))),0,INDEX(Table2[OIL],MATCH(rrcworking[[#This Row],[Magnum Wolfpak '#]],Table2[Rox Wolf'#],0)))</f>
        <v>337</v>
      </c>
      <c r="T163" s="35">
        <f>rrcworking[[#This Row],[Closing Stock (Oil)]]+rrcworking[[#This Row],[Sales/Dispostion]]-rrcworking[[#This Row],[Opening Oil Stock]]</f>
        <v>366</v>
      </c>
      <c r="U163" s="112">
        <f>rrcworking[[#This Row],[Gauge Sheet Prod Volume (oil)]]-rrcworking[[#This Row],[Oil Production]]</f>
        <v>3</v>
      </c>
      <c r="V163" s="143">
        <f>IF(ISERROR(INDEX(Table2[GAS],MATCH(rrcworking[[#This Row],[Magnum Wolfpak '#]],Table2[Rox Wolf'#],0))),0,INDEX(Table2[GAS],MATCH(rrcworking[[#This Row],[Magnum Wolfpak '#]],Table2[Rox Wolf'#],0)))</f>
        <v>0</v>
      </c>
      <c r="W163" s="24"/>
      <c r="X163" s="135">
        <f>IF(rrcworking[[#This Row],[Pressure Base]]=14.73,rrcworking[[#This Row],[Gas Sales Statement Volume (MCF)]]*$R$2,rrcworking[[#This Row],[Gas Sales Statement Volume (MCF)]])</f>
        <v>0</v>
      </c>
      <c r="Y163" s="60"/>
      <c r="Z163" s="60"/>
      <c r="AA163" s="143">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185">
        <f>COUNTIF(FilterList,rrcworking[[#This Row],[Magnum Wolfpak '#]])</f>
        <v>0</v>
      </c>
      <c r="AF163" s="182"/>
      <c r="AG163" s="183"/>
      <c r="AH163" s="37"/>
      <c r="AI163" s="37"/>
      <c r="AJ163" s="184"/>
      <c r="AK163" s="184"/>
      <c r="AL163" s="184"/>
      <c r="AM163" s="184"/>
      <c r="AN163" s="184"/>
      <c r="AO163" s="184"/>
      <c r="AP163" s="37" t="s">
        <v>1164</v>
      </c>
      <c r="AQ163" s="37" t="s">
        <v>1199</v>
      </c>
    </row>
    <row r="164" spans="3:43" ht="28" hidden="1">
      <c r="C164" s="80">
        <v>99312</v>
      </c>
      <c r="D164" s="62" t="s">
        <v>255</v>
      </c>
      <c r="E164" s="131" t="s">
        <v>251</v>
      </c>
      <c r="F164" s="129" t="s">
        <v>226</v>
      </c>
      <c r="G164" s="120" t="s">
        <v>1090</v>
      </c>
      <c r="H164" s="18" t="s">
        <v>618</v>
      </c>
      <c r="I164" s="18" t="s">
        <v>59</v>
      </c>
      <c r="J164" s="19" t="s">
        <v>516</v>
      </c>
      <c r="K164" s="103">
        <v>285001</v>
      </c>
      <c r="L164" s="101">
        <f>INDEX(Table1[Production],MATCH(rrcworking[[#This Row],[RRC ID Number]],Table1[RRC Identifier],0))</f>
        <v>0</v>
      </c>
      <c r="M164" s="30">
        <f>INDEX(Table1[Formation Production],MATCH(rrcworking[[#This Row],[RRC ID Number]],Table1[RRC Identifier],0))</f>
        <v>107</v>
      </c>
      <c r="N164" s="31">
        <f>INDEX(Table1[On Hand End of Month],MATCH(rrcworking[[#This Row],[RRC ID Number]],Table1[RRC Identifier],0))</f>
        <v>109</v>
      </c>
      <c r="O164" s="106" t="b">
        <f t="shared" si="4"/>
        <v>0</v>
      </c>
      <c r="P164">
        <v>0</v>
      </c>
      <c r="Q164" s="127">
        <f>rrcworking[[#This Row],[Last Month Closing Stock]]</f>
        <v>109</v>
      </c>
      <c r="R164">
        <v>109</v>
      </c>
      <c r="S164" s="143">
        <f>IF(ISERROR(INDEX(Table2[OIL],MATCH(rrcworking[[#This Row],[Magnum Wolfpak '#]],Table2[Rox Wolf'#],0))),0,INDEX(Table2[OIL],MATCH(rrcworking[[#This Row],[Magnum Wolfpak '#]],Table2[Rox Wolf'#],0)))</f>
        <v>0</v>
      </c>
      <c r="T164" s="35">
        <f>rrcworking[[#This Row],[Closing Stock (Oil)]]+rrcworking[[#This Row],[Sales/Dispostion]]-rrcworking[[#This Row],[Opening Oil Stock]]</f>
        <v>0</v>
      </c>
      <c r="U164" s="112">
        <f>rrcworking[[#This Row],[Gauge Sheet Prod Volume (oil)]]-rrcworking[[#This Row],[Oil Production]]</f>
        <v>0</v>
      </c>
      <c r="V164" s="143">
        <f>IF(ISERROR(INDEX(Table2[GAS],MATCH(rrcworking[[#This Row],[Magnum Wolfpak '#]],Table2[Rox Wolf'#],0))),0,INDEX(Table2[GAS],MATCH(rrcworking[[#This Row],[Magnum Wolfpak '#]],Table2[Rox Wolf'#],0)))</f>
        <v>0</v>
      </c>
      <c r="W164" s="24"/>
      <c r="X164" s="135">
        <f>IF(rrcworking[[#This Row],[Pressure Base]]=14.73,rrcworking[[#This Row],[Gas Sales Statement Volume (MCF)]]*$R$2,rrcworking[[#This Row],[Gas Sales Statement Volume (MCF)]])</f>
        <v>0</v>
      </c>
      <c r="Y164" s="85"/>
      <c r="Z164" s="60">
        <v>21</v>
      </c>
      <c r="AA164" s="143">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t="s">
        <v>1243</v>
      </c>
      <c r="AE164" s="185">
        <f>COUNTIF(FilterList,rrcworking[[#This Row],[Magnum Wolfpak '#]])</f>
        <v>0</v>
      </c>
      <c r="AF164" s="182"/>
      <c r="AG164" s="183"/>
      <c r="AH164" s="37"/>
      <c r="AI164" s="183"/>
      <c r="AJ164" s="37">
        <v>1</v>
      </c>
      <c r="AK164" s="37" t="s">
        <v>1140</v>
      </c>
      <c r="AL164" s="37" t="s">
        <v>1140</v>
      </c>
      <c r="AM164" s="37" t="s">
        <v>1176</v>
      </c>
      <c r="AN164" s="37" t="s">
        <v>1140</v>
      </c>
      <c r="AO164" s="37" t="s">
        <v>1177</v>
      </c>
      <c r="AP164" s="37" t="s">
        <v>1220</v>
      </c>
      <c r="AQ164" s="37"/>
    </row>
    <row r="165" spans="3:43" ht="29" thickBot="1">
      <c r="C165" s="80">
        <v>99246</v>
      </c>
      <c r="D165" s="62" t="s">
        <v>250</v>
      </c>
      <c r="E165" s="131" t="s">
        <v>251</v>
      </c>
      <c r="F165" s="129" t="s">
        <v>252</v>
      </c>
      <c r="G165" s="120" t="s">
        <v>1090</v>
      </c>
      <c r="H165" s="18" t="s">
        <v>618</v>
      </c>
      <c r="I165" s="18" t="s">
        <v>59</v>
      </c>
      <c r="J165" s="19" t="s">
        <v>514</v>
      </c>
      <c r="K165" s="103">
        <v>284977</v>
      </c>
      <c r="L165" s="101">
        <f>INDEX(Table1[Production],MATCH(rrcworking[[#This Row],[RRC ID Number]],Table1[RRC Identifier],0))</f>
        <v>35</v>
      </c>
      <c r="M165" s="30">
        <f>INDEX(Table1[Formation Production],MATCH(rrcworking[[#This Row],[RRC ID Number]],Table1[RRC Identifier],0))</f>
        <v>14257</v>
      </c>
      <c r="N165" s="31">
        <f>INDEX(Table1[On Hand End of Month],MATCH(rrcworking[[#This Row],[RRC ID Number]],Table1[RRC Identifier],0))</f>
        <v>137</v>
      </c>
      <c r="O165" s="106" t="b">
        <f t="shared" ref="O165:O194" si="5">IF(AND(L165=0,M165=0), TRUE, FALSE)</f>
        <v>0</v>
      </c>
      <c r="P165">
        <v>50</v>
      </c>
      <c r="Q165" s="127">
        <f>rrcworking[[#This Row],[Last Month Closing Stock]]</f>
        <v>137</v>
      </c>
      <c r="R165">
        <v>299</v>
      </c>
      <c r="S165" s="143">
        <f>IF(ISERROR(INDEX(Table2[OIL],MATCH(rrcworking[[#This Row],[Magnum Wolfpak '#]],Table2[Rox Wolf'#],0))),0,INDEX(Table2[OIL],MATCH(rrcworking[[#This Row],[Magnum Wolfpak '#]],Table2[Rox Wolf'#],0)))</f>
        <v>0</v>
      </c>
      <c r="T165" s="35">
        <f>rrcworking[[#This Row],[Closing Stock (Oil)]]+rrcworking[[#This Row],[Sales/Dispostion]]-rrcworking[[#This Row],[Opening Oil Stock]]</f>
        <v>162</v>
      </c>
      <c r="U165" s="112">
        <f>rrcworking[[#This Row],[Gauge Sheet Prod Volume (oil)]]-rrcworking[[#This Row],[Oil Production]]</f>
        <v>-112</v>
      </c>
      <c r="V165" s="143">
        <f>IF(ISERROR(INDEX(Table2[GAS],MATCH(rrcworking[[#This Row],[Magnum Wolfpak '#]],Table2[Rox Wolf'#],0))),0,INDEX(Table2[GAS],MATCH(rrcworking[[#This Row],[Magnum Wolfpak '#]],Table2[Rox Wolf'#],0)))</f>
        <v>18394</v>
      </c>
      <c r="W165" s="24"/>
      <c r="X165" s="135">
        <f>IF(rrcworking[[#This Row],[Pressure Base]]=14.73,rrcworking[[#This Row],[Gas Sales Statement Volume (MCF)]]*$R$2,rrcworking[[#This Row],[Gas Sales Statement Volume (MCF)]])</f>
        <v>18394</v>
      </c>
      <c r="Y165" s="85"/>
      <c r="Z165" s="60">
        <v>25</v>
      </c>
      <c r="AA165" s="143">
        <f>IF(ISERROR(INDEX(Table2[LEASE USE],MATCH(rrcworking[[#This Row],[Magnum Wolfpak '#]],Table2[Rox Wolf'#],0))),0,INDEX(Table2[LEASE USE],MATCH(rrcworking[[#This Row],[Magnum Wolfpak '#]],Table2[Rox Wolf'#],0)))</f>
        <v>750</v>
      </c>
      <c r="AB165" s="57">
        <f>rrcworking[[#This Row],[Disposition Volume (MCF) @ 14.65 MCF]]+rrcworking[[#This Row],[Lease Use (MCF)]]</f>
        <v>19144</v>
      </c>
      <c r="AC165" s="37"/>
      <c r="AD165" s="37" t="s">
        <v>1243</v>
      </c>
      <c r="AE165" s="185">
        <f>COUNTIF(FilterList,rrcworking[[#This Row],[Magnum Wolfpak '#]])</f>
        <v>0</v>
      </c>
      <c r="AF165" s="182"/>
      <c r="AG165" s="183"/>
      <c r="AH165" s="37"/>
      <c r="AI165" s="183"/>
      <c r="AJ165" s="37">
        <v>2</v>
      </c>
      <c r="AK165" s="37" t="s">
        <v>1140</v>
      </c>
      <c r="AL165" s="37" t="s">
        <v>1140</v>
      </c>
      <c r="AM165" s="37" t="s">
        <v>1182</v>
      </c>
      <c r="AN165" s="37" t="s">
        <v>1140</v>
      </c>
      <c r="AO165" s="37" t="s">
        <v>1177</v>
      </c>
      <c r="AP165" s="37" t="s">
        <v>1221</v>
      </c>
      <c r="AQ165" s="37"/>
    </row>
    <row r="166" spans="3:43" ht="15" hidden="1" thickBot="1">
      <c r="C166" s="80" t="e">
        <v>#N/A</v>
      </c>
      <c r="D166" s="62" t="s">
        <v>299</v>
      </c>
      <c r="E166" s="131" t="s">
        <v>300</v>
      </c>
      <c r="F166" s="129" t="s">
        <v>301</v>
      </c>
      <c r="G166" s="120" t="s">
        <v>1090</v>
      </c>
      <c r="H166" s="18" t="s">
        <v>618</v>
      </c>
      <c r="I166" s="18" t="s">
        <v>59</v>
      </c>
      <c r="J166" s="19" t="s">
        <v>548</v>
      </c>
      <c r="K166" s="103">
        <v>201104</v>
      </c>
      <c r="L166" s="101">
        <f>INDEX(Table1[Production],MATCH(rrcworking[[#This Row],[RRC ID Number]],Table1[RRC Identifier],0))</f>
        <v>0</v>
      </c>
      <c r="M166" s="30">
        <f>INDEX(Table1[Formation Production],MATCH(rrcworking[[#This Row],[RRC ID Number]],Table1[RRC Identifier],0))</f>
        <v>0</v>
      </c>
      <c r="N166" s="31">
        <f>INDEX(Table1[On Hand End of Month],MATCH(rrcworking[[#This Row],[RRC ID Number]],Table1[RRC Identifier],0))</f>
        <v>0</v>
      </c>
      <c r="O166" s="106" t="b">
        <f t="shared" si="5"/>
        <v>1</v>
      </c>
      <c r="Q166" s="127">
        <f>rrcworking[[#This Row],[Last Month Closing Stock]]</f>
        <v>0</v>
      </c>
      <c r="R166">
        <f>rrcworking[[#This Row],[Opening Oil Stock]]</f>
        <v>0</v>
      </c>
      <c r="S166" s="143">
        <f>IF(ISERROR(INDEX(Table2[OIL],MATCH(rrcworking[[#This Row],[Magnum Wolfpak '#]],Table2[Rox Wolf'#],0))),0,INDEX(Table2[OIL],MATCH(rrcworking[[#This Row],[Magnum Wolfpak '#]],Table2[Rox Wolf'#],0)))</f>
        <v>0</v>
      </c>
      <c r="T166" s="35">
        <f>rrcworking[[#This Row],[Closing Stock (Oil)]]+rrcworking[[#This Row],[Sales/Dispostion]]-rrcworking[[#This Row],[Opening Oil Stock]]</f>
        <v>0</v>
      </c>
      <c r="U166" s="112">
        <f>rrcworking[[#This Row],[Gauge Sheet Prod Volume (oil)]]-rrcworking[[#This Row],[Oil Production]]</f>
        <v>0</v>
      </c>
      <c r="V166" s="143">
        <f>IF(ISERROR(INDEX(Table2[GAS],MATCH(rrcworking[[#This Row],[Magnum Wolfpak '#]],Table2[Rox Wolf'#],0))),0,INDEX(Table2[GAS],MATCH(rrcworking[[#This Row],[Magnum Wolfpak '#]],Table2[Rox Wolf'#],0)))</f>
        <v>0</v>
      </c>
      <c r="W166" s="24"/>
      <c r="X166" s="135">
        <f>IF(rrcworking[[#This Row],[Pressure Base]]=14.73,rrcworking[[#This Row],[Gas Sales Statement Volume (MCF)]]*$R$2,rrcworking[[#This Row],[Gas Sales Statement Volume (MCF)]])</f>
        <v>0</v>
      </c>
      <c r="Y166" s="60"/>
      <c r="Z166" s="60"/>
      <c r="AA166" s="143">
        <f>IF(ISERROR(INDEX(Table2[LEASE USE],MATCH(rrcworking[[#This Row],[Magnum Wolfpak '#]],Table2[Rox Wolf'#],0))),0,INDEX(Table2[LEASE USE],MATCH(rrcworking[[#This Row],[Magnum Wolfpak '#]],Table2[Rox Wolf'#],0)))</f>
        <v>0</v>
      </c>
      <c r="AB166" s="57">
        <f>rrcworking[[#This Row],[Disposition Volume (MCF) @ 14.65 MCF]]+rrcworking[[#This Row],[Lease Use (MCF)]]</f>
        <v>0</v>
      </c>
      <c r="AC166" s="37"/>
      <c r="AD166" s="37"/>
      <c r="AE166" s="185">
        <f>COUNTIF(FilterList,rrcworking[[#This Row],[Magnum Wolfpak '#]])</f>
        <v>0</v>
      </c>
      <c r="AF166" s="182"/>
      <c r="AG166" s="183"/>
      <c r="AH166" s="37"/>
      <c r="AI166" s="37"/>
      <c r="AJ166" s="37"/>
      <c r="AK166" s="37"/>
      <c r="AL166" s="37"/>
      <c r="AM166" s="37"/>
      <c r="AN166" s="37"/>
      <c r="AO166" s="37"/>
      <c r="AP166" s="37"/>
      <c r="AQ166" s="37"/>
    </row>
    <row r="167" spans="3:43" ht="85" hidden="1" thickBot="1">
      <c r="C167" s="80">
        <v>99140</v>
      </c>
      <c r="D167" s="62" t="s">
        <v>187</v>
      </c>
      <c r="E167" s="131" t="s">
        <v>188</v>
      </c>
      <c r="F167" s="129">
        <v>0</v>
      </c>
      <c r="G167" s="120" t="s">
        <v>1090</v>
      </c>
      <c r="H167" s="18" t="s">
        <v>618</v>
      </c>
      <c r="I167" s="18" t="s">
        <v>2</v>
      </c>
      <c r="J167" s="19" t="s">
        <v>482</v>
      </c>
      <c r="K167" s="103">
        <v>26501</v>
      </c>
      <c r="L167" s="101">
        <f>INDEX(Table1[Production],MATCH(rrcworking[[#This Row],[RRC ID Number]],Table1[RRC Identifier],0))</f>
        <v>0</v>
      </c>
      <c r="M167" s="30">
        <f>INDEX(Table1[Formation Production],MATCH(rrcworking[[#This Row],[RRC ID Number]],Table1[RRC Identifier],0))</f>
        <v>0</v>
      </c>
      <c r="N167" s="31">
        <f>INDEX(Table1[On Hand End of Month],MATCH(rrcworking[[#This Row],[RRC ID Number]],Table1[RRC Identifier],0))</f>
        <v>114</v>
      </c>
      <c r="O167" s="106" t="b">
        <f t="shared" si="5"/>
        <v>1</v>
      </c>
      <c r="Q167" s="127">
        <f>rrcworking[[#This Row],[Last Month Closing Stock]]</f>
        <v>114</v>
      </c>
      <c r="R167">
        <v>114</v>
      </c>
      <c r="S167" s="143">
        <f>IF(ISERROR(INDEX(Table2[OIL],MATCH(rrcworking[[#This Row],[Magnum Wolfpak '#]],Table2[Rox Wolf'#],0))),0,INDEX(Table2[OIL],MATCH(rrcworking[[#This Row],[Magnum Wolfpak '#]],Table2[Rox Wolf'#],0)))</f>
        <v>0</v>
      </c>
      <c r="T167" s="35">
        <f>rrcworking[[#This Row],[Closing Stock (Oil)]]+rrcworking[[#This Row],[Sales/Dispostion]]-rrcworking[[#This Row],[Opening Oil Stock]]</f>
        <v>0</v>
      </c>
      <c r="U167" s="112">
        <f>rrcworking[[#This Row],[Gauge Sheet Prod Volume (oil)]]-rrcworking[[#This Row],[Oil Production]]</f>
        <v>0</v>
      </c>
      <c r="V167" s="143">
        <f>IF(ISERROR(INDEX(Table2[GAS],MATCH(rrcworking[[#This Row],[Magnum Wolfpak '#]],Table2[Rox Wolf'#],0))),0,INDEX(Table2[GAS],MATCH(rrcworking[[#This Row],[Magnum Wolfpak '#]],Table2[Rox Wolf'#],0)))</f>
        <v>0</v>
      </c>
      <c r="W167" s="24"/>
      <c r="X167" s="135">
        <f>IF(rrcworking[[#This Row],[Pressure Base]]=14.73,rrcworking[[#This Row],[Gas Sales Statement Volume (MCF)]]*$R$2,rrcworking[[#This Row],[Gas Sales Statement Volume (MCF)]])</f>
        <v>0</v>
      </c>
      <c r="Y167" s="60"/>
      <c r="Z167" s="60"/>
      <c r="AA167" s="143">
        <f>IF(ISERROR(INDEX(Table2[LEASE USE],MATCH(rrcworking[[#This Row],[Magnum Wolfpak '#]],Table2[Rox Wolf'#],0))),0,INDEX(Table2[LEASE USE],MATCH(rrcworking[[#This Row],[Magnum Wolfpak '#]],Table2[Rox Wolf'#],0)))</f>
        <v>0</v>
      </c>
      <c r="AB167" s="57">
        <f>rrcworking[[#This Row],[Disposition Volume (MCF) @ 14.65 MCF]]+rrcworking[[#This Row],[Lease Use (MCF)]]</f>
        <v>0</v>
      </c>
      <c r="AC167" s="37"/>
      <c r="AD167" s="37" t="s">
        <v>1146</v>
      </c>
      <c r="AE167" s="185">
        <f>COUNTIF(FilterList,rrcworking[[#This Row],[Magnum Wolfpak '#]])</f>
        <v>0</v>
      </c>
      <c r="AF167" s="182"/>
      <c r="AG167" s="183"/>
      <c r="AH167" s="37"/>
      <c r="AI167" s="37"/>
      <c r="AJ167" s="37"/>
      <c r="AK167" s="37"/>
      <c r="AL167" s="37"/>
      <c r="AM167" s="37"/>
      <c r="AN167" s="37"/>
      <c r="AO167" s="37"/>
      <c r="AP167" s="37" t="s">
        <v>1164</v>
      </c>
      <c r="AQ167" s="37" t="s">
        <v>1222</v>
      </c>
    </row>
    <row r="168" spans="3:43" ht="29" hidden="1" thickBot="1">
      <c r="C168" s="80">
        <v>98979</v>
      </c>
      <c r="D168" s="62" t="s">
        <v>308</v>
      </c>
      <c r="E168" s="131" t="s">
        <v>309</v>
      </c>
      <c r="F168" s="129">
        <v>0</v>
      </c>
      <c r="G168" s="120" t="s">
        <v>1090</v>
      </c>
      <c r="H168" s="18" t="s">
        <v>619</v>
      </c>
      <c r="I168" s="18" t="s">
        <v>2</v>
      </c>
      <c r="J168" s="19" t="s">
        <v>553</v>
      </c>
      <c r="K168" s="103">
        <v>13355</v>
      </c>
      <c r="L168" s="101">
        <f>INDEX(Table1[Production],MATCH(rrcworking[[#This Row],[RRC ID Number]],Table1[RRC Identifier],0))</f>
        <v>65</v>
      </c>
      <c r="M168" s="30">
        <f>INDEX(Table1[Formation Production],MATCH(rrcworking[[#This Row],[RRC ID Number]],Table1[RRC Identifier],0))</f>
        <v>392</v>
      </c>
      <c r="N168" s="31">
        <f>INDEX(Table1[On Hand End of Month],MATCH(rrcworking[[#This Row],[RRC ID Number]],Table1[RRC Identifier],0))</f>
        <v>45</v>
      </c>
      <c r="O168" s="106" t="b">
        <f t="shared" si="5"/>
        <v>0</v>
      </c>
      <c r="P168">
        <v>50</v>
      </c>
      <c r="Q168" s="127">
        <f>rrcworking[[#This Row],[Last Month Closing Stock]]</f>
        <v>45</v>
      </c>
      <c r="R168">
        <v>95</v>
      </c>
      <c r="S168" s="143">
        <f>IF(ISERROR(INDEX(Table2[OIL],MATCH(rrcworking[[#This Row],[Magnum Wolfpak '#]],Table2[Rox Wolf'#],0))),0,INDEX(Table2[OIL],MATCH(rrcworking[[#This Row],[Magnum Wolfpak '#]],Table2[Rox Wolf'#],0)))</f>
        <v>0</v>
      </c>
      <c r="T168" s="35">
        <f>rrcworking[[#This Row],[Closing Stock (Oil)]]+rrcworking[[#This Row],[Sales/Dispostion]]-rrcworking[[#This Row],[Opening Oil Stock]]</f>
        <v>50</v>
      </c>
      <c r="U168" s="112">
        <f>rrcworking[[#This Row],[Gauge Sheet Prod Volume (oil)]]-rrcworking[[#This Row],[Oil Production]]</f>
        <v>0</v>
      </c>
      <c r="V168" s="143">
        <f>IF(ISERROR(INDEX(Table2[GAS],MATCH(rrcworking[[#This Row],[Magnum Wolfpak '#]],Table2[Rox Wolf'#],0))),0,INDEX(Table2[GAS],MATCH(rrcworking[[#This Row],[Magnum Wolfpak '#]],Table2[Rox Wolf'#],0)))</f>
        <v>242</v>
      </c>
      <c r="W168" s="24"/>
      <c r="X168" s="135">
        <f>IF(rrcworking[[#This Row],[Pressure Base]]=14.73,rrcworking[[#This Row],[Gas Sales Statement Volume (MCF)]]*$R$2,rrcworking[[#This Row],[Gas Sales Statement Volume (MCF)]])</f>
        <v>242</v>
      </c>
      <c r="Y168" s="60"/>
      <c r="Z168" s="60">
        <v>0</v>
      </c>
      <c r="AA168" s="143">
        <f>IF(ISERROR(INDEX(Table2[LEASE USE],MATCH(rrcworking[[#This Row],[Magnum Wolfpak '#]],Table2[Rox Wolf'#],0))),0,INDEX(Table2[LEASE USE],MATCH(rrcworking[[#This Row],[Magnum Wolfpak '#]],Table2[Rox Wolf'#],0)))</f>
        <v>0</v>
      </c>
      <c r="AB168" s="57">
        <f>rrcworking[[#This Row],[Disposition Volume (MCF) @ 14.65 MCF]]+rrcworking[[#This Row],[Lease Use (MCF)]]</f>
        <v>242</v>
      </c>
      <c r="AC168" s="37"/>
      <c r="AD168" s="37"/>
      <c r="AE168" s="185">
        <f>COUNTIF(FilterList,rrcworking[[#This Row],[Magnum Wolfpak '#]])</f>
        <v>0</v>
      </c>
      <c r="AF168" s="182"/>
      <c r="AG168" s="183"/>
      <c r="AH168" s="37"/>
      <c r="AI168" s="183"/>
      <c r="AJ168" s="37">
        <v>2</v>
      </c>
      <c r="AK168" s="37" t="s">
        <v>1166</v>
      </c>
      <c r="AL168" s="37" t="s">
        <v>1166</v>
      </c>
      <c r="AM168" s="37" t="s">
        <v>1197</v>
      </c>
      <c r="AN168" s="37" t="s">
        <v>1166</v>
      </c>
      <c r="AO168" s="37" t="s">
        <v>1172</v>
      </c>
      <c r="AP168" s="37" t="s">
        <v>1237</v>
      </c>
      <c r="AQ168" s="37"/>
    </row>
    <row r="169" spans="3:43" ht="15" hidden="1" thickBot="1">
      <c r="C169" s="80" t="e">
        <v>#N/A</v>
      </c>
      <c r="D169" s="62" t="s">
        <v>94</v>
      </c>
      <c r="E169" s="131" t="s">
        <v>91</v>
      </c>
      <c r="F169" s="129">
        <v>5</v>
      </c>
      <c r="G169" s="120" t="s">
        <v>1090</v>
      </c>
      <c r="H169" s="18" t="s">
        <v>617</v>
      </c>
      <c r="I169" s="18" t="s">
        <v>59</v>
      </c>
      <c r="J169" s="19" t="s">
        <v>424</v>
      </c>
      <c r="K169" s="103">
        <v>145447</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0</v>
      </c>
      <c r="O169" s="106" t="b">
        <f t="shared" si="5"/>
        <v>1</v>
      </c>
      <c r="Q169" s="127">
        <f>rrcworking[[#This Row],[Last Month Closing Stock]]</f>
        <v>0</v>
      </c>
      <c r="R169">
        <f>rrcworking[[#This Row],[Opening Oil Stock]]</f>
        <v>0</v>
      </c>
      <c r="S169" s="143">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 Volume (oil)]]-rrcworking[[#This Row],[Oil Production]]</f>
        <v>0</v>
      </c>
      <c r="V169" s="143">
        <f>IF(ISERROR(INDEX(Table2[GAS],MATCH(rrcworking[[#This Row],[Magnum Wolfpak '#]],Table2[Rox Wolf'#],0))),0,INDEX(Table2[GAS],MATCH(rrcworking[[#This Row],[Magnum Wolfpak '#]],Table2[Rox Wolf'#],0)))</f>
        <v>0</v>
      </c>
      <c r="W169" s="24"/>
      <c r="X169" s="135">
        <f>IF(rrcworking[[#This Row],[Pressure Base]]=14.73,rrcworking[[#This Row],[Gas Sales Statement Volume (MCF)]]*$R$2,rrcworking[[#This Row],[Gas Sales Statement Volume (MCF)]])</f>
        <v>0</v>
      </c>
      <c r="Y169" s="60"/>
      <c r="Z169" s="60"/>
      <c r="AA169" s="143">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c r="AE169" s="185">
        <f>COUNTIF(FilterList,rrcworking[[#This Row],[Magnum Wolfpak '#]])</f>
        <v>0</v>
      </c>
      <c r="AF169" s="182"/>
      <c r="AG169" s="183"/>
      <c r="AH169" s="37"/>
      <c r="AI169" s="37"/>
      <c r="AJ169" s="37"/>
      <c r="AK169" s="37"/>
      <c r="AL169" s="37"/>
      <c r="AM169" s="37"/>
      <c r="AN169" s="37"/>
      <c r="AO169" s="37"/>
      <c r="AP169" s="37"/>
      <c r="AQ169" s="37"/>
    </row>
    <row r="170" spans="3:43" ht="15" hidden="1" thickBot="1">
      <c r="C170" s="80">
        <v>34001</v>
      </c>
      <c r="D170" s="62" t="s">
        <v>90</v>
      </c>
      <c r="E170" s="131" t="s">
        <v>91</v>
      </c>
      <c r="F170" s="129">
        <v>0</v>
      </c>
      <c r="G170" s="120" t="s">
        <v>1090</v>
      </c>
      <c r="H170" s="18" t="s">
        <v>617</v>
      </c>
      <c r="I170" s="18" t="s">
        <v>2</v>
      </c>
      <c r="J170" s="19" t="s">
        <v>422</v>
      </c>
      <c r="K170" s="103">
        <v>394</v>
      </c>
      <c r="L170" s="101">
        <f>INDEX(Table1[Production],MATCH(rrcworking[[#This Row],[RRC ID Number]],Table1[RRC Identifier],0))</f>
        <v>705</v>
      </c>
      <c r="M170" s="30">
        <f>INDEX(Table1[Formation Production],MATCH(rrcworking[[#This Row],[RRC ID Number]],Table1[RRC Identifier],0))</f>
        <v>0</v>
      </c>
      <c r="N170" s="31">
        <f>INDEX(Table1[On Hand End of Month],MATCH(rrcworking[[#This Row],[RRC ID Number]],Table1[RRC Identifier],0))</f>
        <v>406</v>
      </c>
      <c r="O170" s="106" t="b">
        <f t="shared" si="5"/>
        <v>0</v>
      </c>
      <c r="P170">
        <v>549</v>
      </c>
      <c r="Q170" s="127">
        <f>rrcworking[[#This Row],[Last Month Closing Stock]]</f>
        <v>406</v>
      </c>
      <c r="R170">
        <v>231</v>
      </c>
      <c r="S170" s="143">
        <f>IF(ISERROR(INDEX(Table2[OIL],MATCH(rrcworking[[#This Row],[Magnum Wolfpak '#]],Table2[Rox Wolf'#],0))),0,INDEX(Table2[OIL],MATCH(rrcworking[[#This Row],[Magnum Wolfpak '#]],Table2[Rox Wolf'#],0)))</f>
        <v>719</v>
      </c>
      <c r="T170" s="35">
        <f>rrcworking[[#This Row],[Closing Stock (Oil)]]+rrcworking[[#This Row],[Sales/Dispostion]]-rrcworking[[#This Row],[Opening Oil Stock]]</f>
        <v>544</v>
      </c>
      <c r="U170" s="112">
        <f>rrcworking[[#This Row],[Gauge Sheet Prod Volume (oil)]]-rrcworking[[#This Row],[Oil Production]]</f>
        <v>5</v>
      </c>
      <c r="V170" s="143">
        <f>IF(ISERROR(INDEX(Table2[GAS],MATCH(rrcworking[[#This Row],[Magnum Wolfpak '#]],Table2[Rox Wolf'#],0))),0,INDEX(Table2[GAS],MATCH(rrcworking[[#This Row],[Magnum Wolfpak '#]],Table2[Rox Wolf'#],0)))</f>
        <v>0</v>
      </c>
      <c r="W170" s="24"/>
      <c r="X170" s="135">
        <f>IF(rrcworking[[#This Row],[Pressure Base]]=14.73,rrcworking[[#This Row],[Gas Sales Statement Volume (MCF)]]*$R$2,rrcworking[[#This Row],[Gas Sales Statement Volume (MCF)]])</f>
        <v>0</v>
      </c>
      <c r="Y170" s="60"/>
      <c r="Z170" s="60"/>
      <c r="AA170" s="143">
        <f>IF(ISERROR(INDEX(Table2[LEASE USE],MATCH(rrcworking[[#This Row],[Magnum Wolfpak '#]],Table2[Rox Wolf'#],0))),0,INDEX(Table2[LEASE USE],MATCH(rrcworking[[#This Row],[Magnum Wolfpak '#]],Table2[Rox Wolf'#],0)))</f>
        <v>0</v>
      </c>
      <c r="AB170" s="57">
        <f>rrcworking[[#This Row],[Disposition Volume (MCF) @ 14.65 MCF]]+rrcworking[[#This Row],[Lease Use (MCF)]]</f>
        <v>0</v>
      </c>
      <c r="AC170" s="37"/>
      <c r="AD170" s="37"/>
      <c r="AE170" s="185">
        <f>COUNTIF(FilterList,rrcworking[[#This Row],[Magnum Wolfpak '#]])</f>
        <v>0</v>
      </c>
      <c r="AF170" s="182"/>
      <c r="AG170" s="183"/>
      <c r="AH170" s="37"/>
      <c r="AI170" s="183"/>
      <c r="AJ170" s="184"/>
      <c r="AK170" s="184"/>
      <c r="AL170" s="184"/>
      <c r="AM170" s="184"/>
      <c r="AN170" s="184"/>
      <c r="AO170" s="184"/>
      <c r="AP170" s="37" t="s">
        <v>1164</v>
      </c>
      <c r="AQ170" s="37" t="s">
        <v>1170</v>
      </c>
    </row>
    <row r="171" spans="3:43" ht="15" hidden="1" thickBot="1">
      <c r="C171" s="80" t="e">
        <v>#N/A</v>
      </c>
      <c r="D171" s="62" t="s">
        <v>323</v>
      </c>
      <c r="E171" s="131" t="s">
        <v>324</v>
      </c>
      <c r="F171" s="129">
        <v>0</v>
      </c>
      <c r="G171" s="120" t="s">
        <v>1090</v>
      </c>
      <c r="H171" s="18" t="s">
        <v>619</v>
      </c>
      <c r="I171" s="18" t="s">
        <v>2</v>
      </c>
      <c r="J171" s="19" t="s">
        <v>560</v>
      </c>
      <c r="K171" s="103">
        <v>12863</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Q171" s="127">
        <f>rrcworking[[#This Row],[Last Month Closing Stock]]</f>
        <v>0</v>
      </c>
      <c r="R171">
        <f>rrcworking[[#This Row],[Opening Oil Stock]]</f>
        <v>0</v>
      </c>
      <c r="S171" s="143">
        <f>IF(ISERROR(INDEX(Table2[OIL],MATCH(rrcworking[[#This Row],[Magnum Wolfpak '#]],Table2[Rox Wolf'#],0))),0,INDEX(Table2[OIL],MATCH(rrcworking[[#This Row],[Magnum Wolfpak '#]],Table2[Rox Wolf'#],0)))</f>
        <v>0</v>
      </c>
      <c r="T171" s="35">
        <f>rrcworking[[#This Row],[Closing Stock (Oil)]]+rrcworking[[#This Row],[Sales/Dispostion]]-rrcworking[[#This Row],[Opening Oil Stock]]</f>
        <v>0</v>
      </c>
      <c r="U171" s="112">
        <f>rrcworking[[#This Row],[Gauge Sheet Prod Volume (oil)]]-rrcworking[[#This Row],[Oil Production]]</f>
        <v>0</v>
      </c>
      <c r="V171" s="143">
        <f>IF(ISERROR(INDEX(Table2[GAS],MATCH(rrcworking[[#This Row],[Magnum Wolfpak '#]],Table2[Rox Wolf'#],0))),0,INDEX(Table2[GAS],MATCH(rrcworking[[#This Row],[Magnum Wolfpak '#]],Table2[Rox Wolf'#],0)))</f>
        <v>0</v>
      </c>
      <c r="W171" s="24"/>
      <c r="X171" s="135">
        <f>IF(rrcworking[[#This Row],[Pressure Base]]=14.73,rrcworking[[#This Row],[Gas Sales Statement Volume (MCF)]]*$R$2,rrcworking[[#This Row],[Gas Sales Statement Volume (MCF)]])</f>
        <v>0</v>
      </c>
      <c r="Y171" s="60"/>
      <c r="Z171" s="60"/>
      <c r="AA171" s="143">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185">
        <f>COUNTIF(FilterList,rrcworking[[#This Row],[Magnum Wolfpak '#]])</f>
        <v>0</v>
      </c>
      <c r="AF171" s="182"/>
      <c r="AG171" s="183"/>
      <c r="AH171" s="37"/>
      <c r="AI171" s="37"/>
      <c r="AJ171" s="37"/>
      <c r="AK171" s="37"/>
      <c r="AL171" s="37"/>
      <c r="AM171" s="37"/>
      <c r="AN171" s="37"/>
      <c r="AO171" s="37"/>
      <c r="AP171" s="37"/>
      <c r="AQ171" s="37"/>
    </row>
    <row r="172" spans="3:43" ht="15" hidden="1" thickBot="1">
      <c r="C172" s="80" t="e">
        <v>#N/A</v>
      </c>
      <c r="D172" s="62" t="s">
        <v>135</v>
      </c>
      <c r="E172" s="131" t="s">
        <v>136</v>
      </c>
      <c r="F172" s="129">
        <v>0</v>
      </c>
      <c r="G172" s="120" t="s">
        <v>1090</v>
      </c>
      <c r="H172" s="18" t="s">
        <v>617</v>
      </c>
      <c r="I172" s="18" t="s">
        <v>2</v>
      </c>
      <c r="J172" s="19" t="s">
        <v>451</v>
      </c>
      <c r="K172" s="103">
        <v>10778</v>
      </c>
      <c r="L172" s="101">
        <f>INDEX(Table1[Production],MATCH(rrcworking[[#This Row],[RRC ID Number]],Table1[RRC Identifier],0))</f>
        <v>0</v>
      </c>
      <c r="M172" s="30">
        <f>INDEX(Table1[Formation Production],MATCH(rrcworking[[#This Row],[RRC ID Number]],Table1[RRC Identifier],0))</f>
        <v>0</v>
      </c>
      <c r="N172" s="31">
        <f>INDEX(Table1[On Hand End of Month],MATCH(rrcworking[[#This Row],[RRC ID Number]],Table1[RRC Identifier],0))</f>
        <v>0</v>
      </c>
      <c r="O172" s="106" t="b">
        <f t="shared" si="5"/>
        <v>1</v>
      </c>
      <c r="Q172" s="127">
        <f>rrcworking[[#This Row],[Last Month Closing Stock]]</f>
        <v>0</v>
      </c>
      <c r="R172">
        <f>rrcworking[[#This Row],[Opening Oil Stock]]</f>
        <v>0</v>
      </c>
      <c r="S172" s="143">
        <f>IF(ISERROR(INDEX(Table2[OIL],MATCH(rrcworking[[#This Row],[Magnum Wolfpak '#]],Table2[Rox Wolf'#],0))),0,INDEX(Table2[OIL],MATCH(rrcworking[[#This Row],[Magnum Wolfpak '#]],Table2[Rox Wolf'#],0)))</f>
        <v>0</v>
      </c>
      <c r="T172" s="35">
        <f>rrcworking[[#This Row],[Closing Stock (Oil)]]+rrcworking[[#This Row],[Sales/Dispostion]]-rrcworking[[#This Row],[Opening Oil Stock]]</f>
        <v>0</v>
      </c>
      <c r="U172" s="112">
        <f>rrcworking[[#This Row],[Gauge Sheet Prod Volume (oil)]]-rrcworking[[#This Row],[Oil Production]]</f>
        <v>0</v>
      </c>
      <c r="V172" s="143">
        <f>IF(ISERROR(INDEX(Table2[GAS],MATCH(rrcworking[[#This Row],[Magnum Wolfpak '#]],Table2[Rox Wolf'#],0))),0,INDEX(Table2[GAS],MATCH(rrcworking[[#This Row],[Magnum Wolfpak '#]],Table2[Rox Wolf'#],0)))</f>
        <v>0</v>
      </c>
      <c r="W172" s="24"/>
      <c r="X172" s="135">
        <f>IF(rrcworking[[#This Row],[Pressure Base]]=14.73,rrcworking[[#This Row],[Gas Sales Statement Volume (MCF)]]*$R$2,rrcworking[[#This Row],[Gas Sales Statement Volume (MCF)]])</f>
        <v>0</v>
      </c>
      <c r="Y172" s="60"/>
      <c r="Z172" s="60"/>
      <c r="AA172" s="143">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185">
        <f>COUNTIF(FilterList,rrcworking[[#This Row],[Magnum Wolfpak '#]])</f>
        <v>0</v>
      </c>
      <c r="AF172" s="182"/>
      <c r="AG172" s="183"/>
      <c r="AH172" s="37"/>
      <c r="AI172" s="37"/>
      <c r="AJ172" s="37"/>
      <c r="AK172" s="37"/>
      <c r="AL172" s="37"/>
      <c r="AM172" s="37"/>
      <c r="AN172" s="37"/>
      <c r="AO172" s="37"/>
      <c r="AP172" s="37"/>
      <c r="AQ172" s="37"/>
    </row>
    <row r="173" spans="3:43" ht="15" hidden="1" thickBot="1">
      <c r="C173" s="80" t="e">
        <v>#N/A</v>
      </c>
      <c r="D173" s="62" t="s">
        <v>135</v>
      </c>
      <c r="E173" s="131" t="s">
        <v>137</v>
      </c>
      <c r="F173" s="129">
        <v>1</v>
      </c>
      <c r="G173" s="120" t="s">
        <v>1090</v>
      </c>
      <c r="H173" s="18" t="s">
        <v>617</v>
      </c>
      <c r="I173" s="18" t="s">
        <v>59</v>
      </c>
      <c r="J173" s="19" t="s">
        <v>450</v>
      </c>
      <c r="K173" s="103">
        <v>280417</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Q173" s="127">
        <f>rrcworking[[#This Row],[Last Month Closing Stock]]</f>
        <v>0</v>
      </c>
      <c r="R173">
        <f>rrcworking[[#This Row],[Opening Oil Stock]]</f>
        <v>0</v>
      </c>
      <c r="S173" s="143">
        <f>IF(ISERROR(INDEX(Table2[OIL],MATCH(rrcworking[[#This Row],[Magnum Wolfpak '#]],Table2[Rox Wolf'#],0))),0,INDEX(Table2[OIL],MATCH(rrcworking[[#This Row],[Magnum Wolfpak '#]],Table2[Rox Wolf'#],0)))</f>
        <v>0</v>
      </c>
      <c r="T173" s="35">
        <f>rrcworking[[#This Row],[Closing Stock (Oil)]]+rrcworking[[#This Row],[Sales/Dispostion]]-rrcworking[[#This Row],[Opening Oil Stock]]</f>
        <v>0</v>
      </c>
      <c r="U173" s="112">
        <f>rrcworking[[#This Row],[Gauge Sheet Prod Volume (oil)]]-rrcworking[[#This Row],[Oil Production]]</f>
        <v>0</v>
      </c>
      <c r="V173" s="143">
        <f>IF(ISERROR(INDEX(Table2[GAS],MATCH(rrcworking[[#This Row],[Magnum Wolfpak '#]],Table2[Rox Wolf'#],0))),0,INDEX(Table2[GAS],MATCH(rrcworking[[#This Row],[Magnum Wolfpak '#]],Table2[Rox Wolf'#],0)))</f>
        <v>0</v>
      </c>
      <c r="W173" s="24"/>
      <c r="X173" s="135">
        <f>IF(rrcworking[[#This Row],[Pressure Base]]=14.73,rrcworking[[#This Row],[Gas Sales Statement Volume (MCF)]]*$R$2,rrcworking[[#This Row],[Gas Sales Statement Volume (MCF)]])</f>
        <v>0</v>
      </c>
      <c r="Y173" s="60"/>
      <c r="Z173" s="60"/>
      <c r="AA173" s="143">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185">
        <f>COUNTIF(FilterList,rrcworking[[#This Row],[Magnum Wolfpak '#]])</f>
        <v>0</v>
      </c>
      <c r="AF173" s="182"/>
      <c r="AG173" s="183"/>
      <c r="AH173" s="37"/>
      <c r="AI173" s="37"/>
      <c r="AJ173" s="37"/>
      <c r="AK173" s="37"/>
      <c r="AL173" s="37"/>
      <c r="AM173" s="37"/>
      <c r="AN173" s="37"/>
      <c r="AO173" s="37"/>
      <c r="AP173" s="37"/>
      <c r="AQ173" s="37"/>
    </row>
    <row r="174" spans="3:43" ht="15" hidden="1" thickBot="1">
      <c r="C174" s="80" t="e">
        <v>#N/A</v>
      </c>
      <c r="D174" s="62" t="s">
        <v>236</v>
      </c>
      <c r="E174" s="131" t="s">
        <v>233</v>
      </c>
      <c r="F174" s="129">
        <v>3</v>
      </c>
      <c r="G174" s="120" t="s">
        <v>1090</v>
      </c>
      <c r="H174" s="18" t="s">
        <v>618</v>
      </c>
      <c r="I174" s="18" t="s">
        <v>59</v>
      </c>
      <c r="J174" s="19" t="s">
        <v>506</v>
      </c>
      <c r="K174" s="103">
        <v>38467</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Q174" s="127">
        <f>rrcworking[[#This Row],[Last Month Closing Stock]]</f>
        <v>0</v>
      </c>
      <c r="R174">
        <f>rrcworking[[#This Row],[Opening Oil Stock]]</f>
        <v>0</v>
      </c>
      <c r="S174" s="143">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 Volume (oil)]]-rrcworking[[#This Row],[Oil Production]]</f>
        <v>0</v>
      </c>
      <c r="V174" s="143">
        <f>IF(ISERROR(INDEX(Table2[GAS],MATCH(rrcworking[[#This Row],[Magnum Wolfpak '#]],Table2[Rox Wolf'#],0))),0,INDEX(Table2[GAS],MATCH(rrcworking[[#This Row],[Magnum Wolfpak '#]],Table2[Rox Wolf'#],0)))</f>
        <v>0</v>
      </c>
      <c r="W174" s="24"/>
      <c r="X174" s="135">
        <f>IF(rrcworking[[#This Row],[Pressure Base]]=14.73,rrcworking[[#This Row],[Gas Sales Statement Volume (MCF)]]*$R$2,rrcworking[[#This Row],[Gas Sales Statement Volume (MCF)]])</f>
        <v>0</v>
      </c>
      <c r="Y174" s="60"/>
      <c r="Z174" s="60"/>
      <c r="AA174" s="143">
        <f>IF(ISERROR(INDEX(Table2[LEASE USE],MATCH(rrcworking[[#This Row],[Magnum Wolfpak '#]],Table2[Rox Wolf'#],0))),0,INDEX(Table2[LEASE USE],MATCH(rrcworking[[#This Row],[Magnum Wolfpak '#]],Table2[Rox Wolf'#],0)))</f>
        <v>0</v>
      </c>
      <c r="AB174" s="57">
        <f>rrcworking[[#This Row],[Disposition Volume (MCF) @ 14.65 MCF]]+rrcworking[[#This Row],[Lease Use (MCF)]]</f>
        <v>0</v>
      </c>
      <c r="AC174" s="97"/>
      <c r="AD174" s="37"/>
      <c r="AE174" s="185">
        <f>COUNTIF(FilterList,rrcworking[[#This Row],[Magnum Wolfpak '#]])</f>
        <v>0</v>
      </c>
      <c r="AF174" s="182"/>
      <c r="AG174" s="183"/>
      <c r="AH174" s="37"/>
      <c r="AI174" s="37"/>
      <c r="AJ174" s="37"/>
      <c r="AK174" s="37"/>
      <c r="AL174" s="37"/>
      <c r="AM174" s="37"/>
      <c r="AN174" s="37"/>
      <c r="AO174" s="37"/>
      <c r="AP174" s="37"/>
      <c r="AQ174" s="37"/>
    </row>
    <row r="175" spans="3:43" ht="15" hidden="1" thickBot="1">
      <c r="C175" s="81">
        <v>599109</v>
      </c>
      <c r="D175" s="62" t="s">
        <v>232</v>
      </c>
      <c r="E175" s="131" t="s">
        <v>233</v>
      </c>
      <c r="F175" s="129">
        <v>5</v>
      </c>
      <c r="G175" s="120" t="s">
        <v>1090</v>
      </c>
      <c r="H175" s="18" t="s">
        <v>618</v>
      </c>
      <c r="I175" s="18" t="s">
        <v>59</v>
      </c>
      <c r="J175" s="19" t="s">
        <v>504</v>
      </c>
      <c r="K175" s="103">
        <v>184787</v>
      </c>
      <c r="L175" s="101">
        <f>INDEX(Table1[Production],MATCH(rrcworking[[#This Row],[RRC ID Number]],Table1[RRC Identifier],0))</f>
        <v>216</v>
      </c>
      <c r="M175" s="30">
        <f>INDEX(Table1[Formation Production],MATCH(rrcworking[[#This Row],[RRC ID Number]],Table1[RRC Identifier],0))</f>
        <v>11966</v>
      </c>
      <c r="N175" s="31">
        <f>INDEX(Table1[On Hand End of Month],MATCH(rrcworking[[#This Row],[RRC ID Number]],Table1[RRC Identifier],0))</f>
        <v>172</v>
      </c>
      <c r="O175" s="106" t="b">
        <f t="shared" si="5"/>
        <v>0</v>
      </c>
      <c r="P175">
        <v>130</v>
      </c>
      <c r="Q175" s="127">
        <f>rrcworking[[#This Row],[Last Month Closing Stock]]</f>
        <v>172</v>
      </c>
      <c r="R175">
        <v>121</v>
      </c>
      <c r="S175" s="143">
        <f>IF(ISERROR(INDEX(Table2[OIL],MATCH(rrcworking[[#This Row],[Magnum Wolfpak '#]],Table2[Rox Wolf'#],0))),0,INDEX(Table2[OIL],MATCH(rrcworking[[#This Row],[Magnum Wolfpak '#]],Table2[Rox Wolf'#],0)))</f>
        <v>179</v>
      </c>
      <c r="T175" s="35">
        <f>rrcworking[[#This Row],[Closing Stock (Oil)]]+rrcworking[[#This Row],[Sales/Dispostion]]-rrcworking[[#This Row],[Opening Oil Stock]]</f>
        <v>128</v>
      </c>
      <c r="U175" s="112">
        <f>rrcworking[[#This Row],[Gauge Sheet Prod Volume (oil)]]-rrcworking[[#This Row],[Oil Production]]</f>
        <v>2</v>
      </c>
      <c r="V175" s="143">
        <f>IF(ISERROR(INDEX(Table2[GAS],MATCH(rrcworking[[#This Row],[Magnum Wolfpak '#]],Table2[Rox Wolf'#],0))),0,INDEX(Table2[GAS],MATCH(rrcworking[[#This Row],[Magnum Wolfpak '#]],Table2[Rox Wolf'#],0)))</f>
        <v>11115</v>
      </c>
      <c r="W175" s="24"/>
      <c r="X175" s="135">
        <f>IF(rrcworking[[#This Row],[Pressure Base]]=14.73,rrcworking[[#This Row],[Gas Sales Statement Volume (MCF)]]*$R$2,rrcworking[[#This Row],[Gas Sales Statement Volume (MCF)]])</f>
        <v>11115</v>
      </c>
      <c r="Y175" s="133"/>
      <c r="Z175" s="60">
        <v>15</v>
      </c>
      <c r="AA175" s="143">
        <f>IF(ISERROR(INDEX(Table2[LEASE USE],MATCH(rrcworking[[#This Row],[Magnum Wolfpak '#]],Table2[Rox Wolf'#],0))),0,INDEX(Table2[LEASE USE],MATCH(rrcworking[[#This Row],[Magnum Wolfpak '#]],Table2[Rox Wolf'#],0)))</f>
        <v>450</v>
      </c>
      <c r="AB175" s="57">
        <f>rrcworking[[#This Row],[Disposition Volume (MCF) @ 14.65 MCF]]+rrcworking[[#This Row],[Lease Use (MCF)]]</f>
        <v>11565</v>
      </c>
      <c r="AC175" s="37"/>
      <c r="AD175" s="37"/>
      <c r="AE175" s="185">
        <f>COUNTIF(FilterList,rrcworking[[#This Row],[Magnum Wolfpak '#]])</f>
        <v>0</v>
      </c>
      <c r="AF175" s="182"/>
      <c r="AG175" s="183"/>
      <c r="AH175" s="37"/>
      <c r="AI175" s="183"/>
      <c r="AJ175" s="184"/>
      <c r="AK175" s="184"/>
      <c r="AL175" s="184"/>
      <c r="AM175" s="184"/>
      <c r="AN175" s="184"/>
      <c r="AO175" s="184"/>
      <c r="AP175" s="37" t="s">
        <v>1164</v>
      </c>
      <c r="AQ175" s="37" t="s">
        <v>1199</v>
      </c>
    </row>
    <row r="176" spans="3:43" ht="183" hidden="1" thickBot="1">
      <c r="C176" s="81">
        <v>699109</v>
      </c>
      <c r="D176" s="62" t="s">
        <v>234</v>
      </c>
      <c r="E176" s="131" t="s">
        <v>235</v>
      </c>
      <c r="F176" s="129">
        <v>23</v>
      </c>
      <c r="G176" s="120" t="s">
        <v>1090</v>
      </c>
      <c r="H176" s="18" t="s">
        <v>618</v>
      </c>
      <c r="I176" s="18" t="s">
        <v>59</v>
      </c>
      <c r="J176" s="19" t="s">
        <v>505</v>
      </c>
      <c r="K176" s="103">
        <v>113719</v>
      </c>
      <c r="L176" s="101">
        <f>INDEX(Table1[Production],MATCH(rrcworking[[#This Row],[RRC ID Number]],Table1[RRC Identifier],0))</f>
        <v>7</v>
      </c>
      <c r="M176" s="30">
        <f>INDEX(Table1[Formation Production],MATCH(rrcworking[[#This Row],[RRC ID Number]],Table1[RRC Identifier],0))</f>
        <v>1651</v>
      </c>
      <c r="N176" s="31">
        <f>INDEX(Table1[On Hand End of Month],MATCH(rrcworking[[#This Row],[RRC ID Number]],Table1[RRC Identifier],0))</f>
        <v>110</v>
      </c>
      <c r="O176" s="106" t="b">
        <f t="shared" si="5"/>
        <v>0</v>
      </c>
      <c r="P176">
        <v>12</v>
      </c>
      <c r="Q176" s="127">
        <f>rrcworking[[#This Row],[Last Month Closing Stock]]</f>
        <v>110</v>
      </c>
      <c r="R176">
        <v>122</v>
      </c>
      <c r="S176" s="143">
        <f>IF(ISERROR(INDEX(Table2[OIL],MATCH(rrcworking[[#This Row],[Magnum Wolfpak '#]],Table2[Rox Wolf'#],0))),0,INDEX(Table2[OIL],MATCH(rrcworking[[#This Row],[Magnum Wolfpak '#]],Table2[Rox Wolf'#],0)))</f>
        <v>0</v>
      </c>
      <c r="T176" s="35">
        <f>rrcworking[[#This Row],[Closing Stock (Oil)]]+rrcworking[[#This Row],[Sales/Dispostion]]-rrcworking[[#This Row],[Opening Oil Stock]]</f>
        <v>12</v>
      </c>
      <c r="U176" s="112">
        <f>rrcworking[[#This Row],[Gauge Sheet Prod Volume (oil)]]-rrcworking[[#This Row],[Oil Production]]</f>
        <v>0</v>
      </c>
      <c r="V176" s="143">
        <f>IF(ISERROR(INDEX(Table2[GAS],MATCH(rrcworking[[#This Row],[Magnum Wolfpak '#]],Table2[Rox Wolf'#],0))),0,INDEX(Table2[GAS],MATCH(rrcworking[[#This Row],[Magnum Wolfpak '#]],Table2[Rox Wolf'#],0)))</f>
        <v>1726</v>
      </c>
      <c r="W176" s="24"/>
      <c r="X176" s="135">
        <f>IF(rrcworking[[#This Row],[Pressure Base]]=14.73,rrcworking[[#This Row],[Gas Sales Statement Volume (MCF)]]*$R$2,rrcworking[[#This Row],[Gas Sales Statement Volume (MCF)]])</f>
        <v>1726</v>
      </c>
      <c r="Y176" s="60"/>
      <c r="Z176" s="60"/>
      <c r="AA176" s="143">
        <f>IF(ISERROR(INDEX(Table2[LEASE USE],MATCH(rrcworking[[#This Row],[Magnum Wolfpak '#]],Table2[Rox Wolf'#],0))),0,INDEX(Table2[LEASE USE],MATCH(rrcworking[[#This Row],[Magnum Wolfpak '#]],Table2[Rox Wolf'#],0)))</f>
        <v>0</v>
      </c>
      <c r="AB176" s="57">
        <f>rrcworking[[#This Row],[Disposition Volume (MCF) @ 14.65 MCF]]+rrcworking[[#This Row],[Lease Use (MCF)]]</f>
        <v>1726</v>
      </c>
      <c r="AC176" s="37"/>
      <c r="AD176" s="37" t="s">
        <v>1304</v>
      </c>
      <c r="AE176" s="185">
        <f>COUNTIF(FilterList,rrcworking[[#This Row],[Magnum Wolfpak '#]])</f>
        <v>0</v>
      </c>
      <c r="AF176" s="182"/>
      <c r="AG176" s="183"/>
      <c r="AH176" s="37"/>
      <c r="AI176" s="183"/>
      <c r="AJ176" s="184"/>
      <c r="AK176" s="184"/>
      <c r="AL176" s="184"/>
      <c r="AM176" s="184"/>
      <c r="AN176" s="184"/>
      <c r="AO176" s="184"/>
      <c r="AP176" s="37" t="s">
        <v>1164</v>
      </c>
      <c r="AQ176" s="37" t="s">
        <v>1199</v>
      </c>
    </row>
    <row r="177" spans="3:43" ht="15" hidden="1" thickBot="1">
      <c r="C177" s="80" t="e">
        <v>#N/A</v>
      </c>
      <c r="D177" s="62" t="s">
        <v>140</v>
      </c>
      <c r="E177" s="131" t="s">
        <v>141</v>
      </c>
      <c r="F177" s="129">
        <v>1</v>
      </c>
      <c r="G177" s="120" t="s">
        <v>1090</v>
      </c>
      <c r="H177" s="18" t="s">
        <v>617</v>
      </c>
      <c r="I177" s="18" t="s">
        <v>59</v>
      </c>
      <c r="J177" s="19" t="s">
        <v>453</v>
      </c>
      <c r="K177" s="103">
        <v>53255</v>
      </c>
      <c r="L177" s="101">
        <f>INDEX(Table1[Production],MATCH(rrcworking[[#This Row],[RRC ID Number]],Table1[RRC Identifier],0))</f>
        <v>0</v>
      </c>
      <c r="M177" s="30">
        <f>INDEX(Table1[Formation Production],MATCH(rrcworking[[#This Row],[RRC ID Number]],Table1[RRC Identifier],0))</f>
        <v>0</v>
      </c>
      <c r="N177" s="31">
        <f>INDEX(Table1[On Hand End of Month],MATCH(rrcworking[[#This Row],[RRC ID Number]],Table1[RRC Identifier],0))</f>
        <v>0</v>
      </c>
      <c r="O177" s="106" t="b">
        <f t="shared" si="5"/>
        <v>1</v>
      </c>
      <c r="Q177" s="127">
        <f>rrcworking[[#This Row],[Last Month Closing Stock]]</f>
        <v>0</v>
      </c>
      <c r="R177">
        <f>rrcworking[[#This Row],[Opening Oil Stock]]</f>
        <v>0</v>
      </c>
      <c r="S177" s="143">
        <f>IF(ISERROR(INDEX(Table2[OIL],MATCH(rrcworking[[#This Row],[Magnum Wolfpak '#]],Table2[Rox Wolf'#],0))),0,INDEX(Table2[OIL],MATCH(rrcworking[[#This Row],[Magnum Wolfpak '#]],Table2[Rox Wolf'#],0)))</f>
        <v>0</v>
      </c>
      <c r="T177" s="35">
        <f>rrcworking[[#This Row],[Closing Stock (Oil)]]+rrcworking[[#This Row],[Sales/Dispostion]]-rrcworking[[#This Row],[Opening Oil Stock]]</f>
        <v>0</v>
      </c>
      <c r="U177" s="112">
        <f>rrcworking[[#This Row],[Gauge Sheet Prod Volume (oil)]]-rrcworking[[#This Row],[Oil Production]]</f>
        <v>0</v>
      </c>
      <c r="V177" s="143">
        <f>IF(ISERROR(INDEX(Table2[GAS],MATCH(rrcworking[[#This Row],[Magnum Wolfpak '#]],Table2[Rox Wolf'#],0))),0,INDEX(Table2[GAS],MATCH(rrcworking[[#This Row],[Magnum Wolfpak '#]],Table2[Rox Wolf'#],0)))</f>
        <v>0</v>
      </c>
      <c r="W177" s="24"/>
      <c r="X177" s="135">
        <f>IF(rrcworking[[#This Row],[Pressure Base]]=14.73,rrcworking[[#This Row],[Gas Sales Statement Volume (MCF)]]*$R$2,rrcworking[[#This Row],[Gas Sales Statement Volume (MCF)]])</f>
        <v>0</v>
      </c>
      <c r="Y177" s="60"/>
      <c r="Z177" s="60"/>
      <c r="AA177" s="143">
        <f>IF(ISERROR(INDEX(Table2[LEASE USE],MATCH(rrcworking[[#This Row],[Magnum Wolfpak '#]],Table2[Rox Wolf'#],0))),0,INDEX(Table2[LEASE USE],MATCH(rrcworking[[#This Row],[Magnum Wolfpak '#]],Table2[Rox Wolf'#],0)))</f>
        <v>0</v>
      </c>
      <c r="AB177" s="57">
        <f>rrcworking[[#This Row],[Disposition Volume (MCF) @ 14.65 MCF]]+rrcworking[[#This Row],[Lease Use (MCF)]]</f>
        <v>0</v>
      </c>
      <c r="AC177" s="37"/>
      <c r="AD177" s="37"/>
      <c r="AE177" s="185">
        <f>COUNTIF(FilterList,rrcworking[[#This Row],[Magnum Wolfpak '#]])</f>
        <v>0</v>
      </c>
      <c r="AF177" s="182"/>
      <c r="AG177" s="183"/>
      <c r="AH177" s="37"/>
      <c r="AI177" s="37"/>
      <c r="AJ177" s="37"/>
      <c r="AK177" s="37"/>
      <c r="AL177" s="37"/>
      <c r="AM177" s="37"/>
      <c r="AN177" s="37"/>
      <c r="AO177" s="37"/>
      <c r="AP177" s="37"/>
      <c r="AQ177" s="37"/>
    </row>
    <row r="178" spans="3:43" ht="15" hidden="1" thickBot="1">
      <c r="C178" s="80" t="e">
        <v>#N/A</v>
      </c>
      <c r="D178" s="62" t="s">
        <v>140</v>
      </c>
      <c r="E178" s="131" t="s">
        <v>141</v>
      </c>
      <c r="F178" s="129">
        <v>2</v>
      </c>
      <c r="G178" s="120" t="s">
        <v>1090</v>
      </c>
      <c r="H178" s="18" t="s">
        <v>617</v>
      </c>
      <c r="I178" s="18" t="s">
        <v>59</v>
      </c>
      <c r="J178" s="19" t="s">
        <v>454</v>
      </c>
      <c r="K178" s="103">
        <v>59225</v>
      </c>
      <c r="L178" s="101">
        <f>INDEX(Table1[Production],MATCH(rrcworking[[#This Row],[RRC ID Number]],Table1[RRC Identifier],0))</f>
        <v>0</v>
      </c>
      <c r="M178" s="30">
        <f>INDEX(Table1[Formation Production],MATCH(rrcworking[[#This Row],[RRC ID Number]],Table1[RRC Identifier],0))</f>
        <v>0</v>
      </c>
      <c r="N178" s="31">
        <f>INDEX(Table1[On Hand End of Month],MATCH(rrcworking[[#This Row],[RRC ID Number]],Table1[RRC Identifier],0))</f>
        <v>0</v>
      </c>
      <c r="O178" s="106" t="b">
        <f t="shared" si="5"/>
        <v>1</v>
      </c>
      <c r="Q178" s="127">
        <f>rrcworking[[#This Row],[Last Month Closing Stock]]</f>
        <v>0</v>
      </c>
      <c r="R178">
        <f>rrcworking[[#This Row],[Opening Oil Stock]]</f>
        <v>0</v>
      </c>
      <c r="S178" s="143">
        <f>IF(ISERROR(INDEX(Table2[OIL],MATCH(rrcworking[[#This Row],[Magnum Wolfpak '#]],Table2[Rox Wolf'#],0))),0,INDEX(Table2[OIL],MATCH(rrcworking[[#This Row],[Magnum Wolfpak '#]],Table2[Rox Wolf'#],0)))</f>
        <v>0</v>
      </c>
      <c r="T178" s="35">
        <f>rrcworking[[#This Row],[Closing Stock (Oil)]]+rrcworking[[#This Row],[Sales/Dispostion]]-rrcworking[[#This Row],[Opening Oil Stock]]</f>
        <v>0</v>
      </c>
      <c r="U178" s="112">
        <f>rrcworking[[#This Row],[Gauge Sheet Prod Volume (oil)]]-rrcworking[[#This Row],[Oil Production]]</f>
        <v>0</v>
      </c>
      <c r="V178" s="143">
        <f>IF(ISERROR(INDEX(Table2[GAS],MATCH(rrcworking[[#This Row],[Magnum Wolfpak '#]],Table2[Rox Wolf'#],0))),0,INDEX(Table2[GAS],MATCH(rrcworking[[#This Row],[Magnum Wolfpak '#]],Table2[Rox Wolf'#],0)))</f>
        <v>0</v>
      </c>
      <c r="W178" s="24"/>
      <c r="X178" s="135">
        <f>IF(rrcworking[[#This Row],[Pressure Base]]=14.73,rrcworking[[#This Row],[Gas Sales Statement Volume (MCF)]]*$R$2,rrcworking[[#This Row],[Gas Sales Statement Volume (MCF)]])</f>
        <v>0</v>
      </c>
      <c r="Y178" s="60"/>
      <c r="Z178" s="60"/>
      <c r="AA178" s="143">
        <f>IF(ISERROR(INDEX(Table2[LEASE USE],MATCH(rrcworking[[#This Row],[Magnum Wolfpak '#]],Table2[Rox Wolf'#],0))),0,INDEX(Table2[LEASE USE],MATCH(rrcworking[[#This Row],[Magnum Wolfpak '#]],Table2[Rox Wolf'#],0)))</f>
        <v>0</v>
      </c>
      <c r="AB178" s="57">
        <f>rrcworking[[#This Row],[Disposition Volume (MCF) @ 14.65 MCF]]+rrcworking[[#This Row],[Lease Use (MCF)]]</f>
        <v>0</v>
      </c>
      <c r="AC178" s="37"/>
      <c r="AD178" s="37"/>
      <c r="AE178" s="185">
        <f>COUNTIF(FilterList,rrcworking[[#This Row],[Magnum Wolfpak '#]])</f>
        <v>0</v>
      </c>
      <c r="AF178" s="182"/>
      <c r="AG178" s="183"/>
      <c r="AH178" s="37"/>
      <c r="AI178" s="37"/>
      <c r="AJ178" s="37"/>
      <c r="AK178" s="37"/>
      <c r="AL178" s="37"/>
      <c r="AM178" s="37"/>
      <c r="AN178" s="37"/>
      <c r="AO178" s="37"/>
      <c r="AP178" s="37"/>
      <c r="AQ178" s="37"/>
    </row>
    <row r="179" spans="3:43" ht="15" hidden="1" thickBot="1">
      <c r="C179" s="80" t="e">
        <v>#N/A</v>
      </c>
      <c r="D179" s="62" t="s">
        <v>138</v>
      </c>
      <c r="E179" s="131" t="s">
        <v>139</v>
      </c>
      <c r="F179" s="129">
        <v>1</v>
      </c>
      <c r="G179" s="120" t="s">
        <v>1090</v>
      </c>
      <c r="H179" s="18" t="s">
        <v>617</v>
      </c>
      <c r="I179" s="18" t="s">
        <v>59</v>
      </c>
      <c r="J179" s="19" t="s">
        <v>452</v>
      </c>
      <c r="K179" s="103">
        <v>138470</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Q179" s="127">
        <f>rrcworking[[#This Row],[Last Month Closing Stock]]</f>
        <v>0</v>
      </c>
      <c r="R179">
        <f>rrcworking[[#This Row],[Opening Oil Stock]]</f>
        <v>0</v>
      </c>
      <c r="S179" s="143">
        <f>IF(ISERROR(INDEX(Table2[OIL],MATCH(rrcworking[[#This Row],[Magnum Wolfpak '#]],Table2[Rox Wolf'#],0))),0,INDEX(Table2[OIL],MATCH(rrcworking[[#This Row],[Magnum Wolfpak '#]],Table2[Rox Wolf'#],0)))</f>
        <v>0</v>
      </c>
      <c r="T179" s="35">
        <f>rrcworking[[#This Row],[Closing Stock (Oil)]]+rrcworking[[#This Row],[Sales/Dispostion]]-rrcworking[[#This Row],[Opening Oil Stock]]</f>
        <v>0</v>
      </c>
      <c r="U179" s="112">
        <f>rrcworking[[#This Row],[Gauge Sheet Prod Volume (oil)]]-rrcworking[[#This Row],[Oil Production]]</f>
        <v>0</v>
      </c>
      <c r="V179" s="143">
        <f>IF(ISERROR(INDEX(Table2[GAS],MATCH(rrcworking[[#This Row],[Magnum Wolfpak '#]],Table2[Rox Wolf'#],0))),0,INDEX(Table2[GAS],MATCH(rrcworking[[#This Row],[Magnum Wolfpak '#]],Table2[Rox Wolf'#],0)))</f>
        <v>0</v>
      </c>
      <c r="W179" s="24"/>
      <c r="X179" s="135">
        <f>IF(rrcworking[[#This Row],[Pressure Base]]=14.73,rrcworking[[#This Row],[Gas Sales Statement Volume (MCF)]]*$R$2,rrcworking[[#This Row],[Gas Sales Statement Volume (MCF)]])</f>
        <v>0</v>
      </c>
      <c r="Y179" s="60"/>
      <c r="Z179" s="60"/>
      <c r="AA179" s="143">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185">
        <f>COUNTIF(FilterList,rrcworking[[#This Row],[Magnum Wolfpak '#]])</f>
        <v>0</v>
      </c>
      <c r="AF179" s="182"/>
      <c r="AG179" s="183"/>
      <c r="AH179" s="37"/>
      <c r="AI179" s="37"/>
      <c r="AJ179" s="37"/>
      <c r="AK179" s="37"/>
      <c r="AL179" s="37"/>
      <c r="AM179" s="37"/>
      <c r="AN179" s="37"/>
      <c r="AO179" s="37"/>
      <c r="AP179" s="37"/>
      <c r="AQ179" s="37"/>
    </row>
    <row r="180" spans="3:43" ht="15" hidden="1" thickBot="1">
      <c r="C180" s="80">
        <v>99270</v>
      </c>
      <c r="D180" s="62" t="s">
        <v>147</v>
      </c>
      <c r="E180" s="131" t="s">
        <v>148</v>
      </c>
      <c r="F180" s="129">
        <v>1</v>
      </c>
      <c r="G180" s="120" t="s">
        <v>1090</v>
      </c>
      <c r="H180" s="18" t="s">
        <v>618</v>
      </c>
      <c r="I180" s="18" t="s">
        <v>59</v>
      </c>
      <c r="J180" s="19" t="s">
        <v>458</v>
      </c>
      <c r="K180" s="103">
        <v>280236</v>
      </c>
      <c r="L180" s="101">
        <f>INDEX(Table1[Production],MATCH(rrcworking[[#This Row],[RRC ID Number]],Table1[RRC Identifier],0))</f>
        <v>1130</v>
      </c>
      <c r="M180" s="30">
        <f>INDEX(Table1[Formation Production],MATCH(rrcworking[[#This Row],[RRC ID Number]],Table1[RRC Identifier],0))</f>
        <v>64026</v>
      </c>
      <c r="N180" s="31">
        <f>INDEX(Table1[On Hand End of Month],MATCH(rrcworking[[#This Row],[RRC ID Number]],Table1[RRC Identifier],0))</f>
        <v>218</v>
      </c>
      <c r="O180" s="106" t="b">
        <f t="shared" si="5"/>
        <v>0</v>
      </c>
      <c r="P180">
        <v>0</v>
      </c>
      <c r="Q180" s="127">
        <f>rrcworking[[#This Row],[Last Month Closing Stock]]</f>
        <v>218</v>
      </c>
      <c r="R180">
        <v>218</v>
      </c>
      <c r="S180" s="143">
        <f>IF(ISERROR(INDEX(Table2[OIL],MATCH(rrcworking[[#This Row],[Magnum Wolfpak '#]],Table2[Rox Wolf'#],0))),0,INDEX(Table2[OIL],MATCH(rrcworking[[#This Row],[Magnum Wolfpak '#]],Table2[Rox Wolf'#],0)))</f>
        <v>0</v>
      </c>
      <c r="T180" s="35">
        <f>rrcworking[[#This Row],[Closing Stock (Oil)]]+rrcworking[[#This Row],[Sales/Dispostion]]-rrcworking[[#This Row],[Opening Oil Stock]]</f>
        <v>0</v>
      </c>
      <c r="U180" s="112">
        <f>rrcworking[[#This Row],[Gauge Sheet Prod Volume (oil)]]-rrcworking[[#This Row],[Oil Production]]</f>
        <v>0</v>
      </c>
      <c r="V180" s="143">
        <f>IF(ISERROR(INDEX(Table2[GAS],MATCH(rrcworking[[#This Row],[Magnum Wolfpak '#]],Table2[Rox Wolf'#],0))),0,INDEX(Table2[GAS],MATCH(rrcworking[[#This Row],[Magnum Wolfpak '#]],Table2[Rox Wolf'#],0)))</f>
        <v>0</v>
      </c>
      <c r="W180" s="24"/>
      <c r="X180" s="135">
        <f>IF(rrcworking[[#This Row],[Pressure Base]]=14.73,rrcworking[[#This Row],[Gas Sales Statement Volume (MCF)]]*$R$2,rrcworking[[#This Row],[Gas Sales Statement Volume (MCF)]])</f>
        <v>0</v>
      </c>
      <c r="Y180" s="85"/>
      <c r="Z180" s="60">
        <v>21</v>
      </c>
      <c r="AA180" s="143">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185">
        <f>COUNTIF(FilterList,rrcworking[[#This Row],[Magnum Wolfpak '#]])</f>
        <v>0</v>
      </c>
      <c r="AF180" s="182"/>
      <c r="AG180" s="183"/>
      <c r="AH180" s="37"/>
      <c r="AI180" s="183"/>
      <c r="AJ180" s="37">
        <v>2</v>
      </c>
      <c r="AK180" s="37" t="s">
        <v>1140</v>
      </c>
      <c r="AL180" s="37" t="s">
        <v>1140</v>
      </c>
      <c r="AM180" s="37" t="s">
        <v>1182</v>
      </c>
      <c r="AN180" s="37" t="s">
        <v>1140</v>
      </c>
      <c r="AO180" s="37" t="s">
        <v>1177</v>
      </c>
      <c r="AP180" s="37" t="s">
        <v>1223</v>
      </c>
      <c r="AQ180" s="37"/>
    </row>
    <row r="181" spans="3:43" ht="15" hidden="1" thickBot="1">
      <c r="C181" s="80">
        <v>99247</v>
      </c>
      <c r="D181" s="62" t="s">
        <v>143</v>
      </c>
      <c r="E181" s="131" t="s">
        <v>144</v>
      </c>
      <c r="F181" s="129">
        <v>0</v>
      </c>
      <c r="G181" s="120" t="s">
        <v>1090</v>
      </c>
      <c r="H181" s="18" t="s">
        <v>617</v>
      </c>
      <c r="I181" s="18" t="s">
        <v>2</v>
      </c>
      <c r="J181" s="19" t="s">
        <v>456</v>
      </c>
      <c r="K181" s="103">
        <v>10230</v>
      </c>
      <c r="L181" s="101">
        <f>INDEX(Table1[Production],MATCH(rrcworking[[#This Row],[RRC ID Number]],Table1[RRC Identifier],0))</f>
        <v>76</v>
      </c>
      <c r="M181" s="30">
        <f>INDEX(Table1[Formation Production],MATCH(rrcworking[[#This Row],[RRC ID Number]],Table1[RRC Identifier],0))</f>
        <v>0</v>
      </c>
      <c r="N181" s="31">
        <f>INDEX(Table1[On Hand End of Month],MATCH(rrcworking[[#This Row],[RRC ID Number]],Table1[RRC Identifier],0))</f>
        <v>177</v>
      </c>
      <c r="O181" s="106" t="b">
        <f t="shared" si="5"/>
        <v>0</v>
      </c>
      <c r="P181">
        <v>73</v>
      </c>
      <c r="Q181" s="127">
        <f>rrcworking[[#This Row],[Last Month Closing Stock]]</f>
        <v>177</v>
      </c>
      <c r="R181">
        <v>251</v>
      </c>
      <c r="S181" s="143">
        <f>IF(ISERROR(INDEX(Table2[OIL],MATCH(rrcworking[[#This Row],[Magnum Wolfpak '#]],Table2[Rox Wolf'#],0))),0,INDEX(Table2[OIL],MATCH(rrcworking[[#This Row],[Magnum Wolfpak '#]],Table2[Rox Wolf'#],0)))</f>
        <v>0</v>
      </c>
      <c r="T181" s="35">
        <f>rrcworking[[#This Row],[Closing Stock (Oil)]]+rrcworking[[#This Row],[Sales/Dispostion]]-rrcworking[[#This Row],[Opening Oil Stock]]</f>
        <v>74</v>
      </c>
      <c r="U181" s="112">
        <f>rrcworking[[#This Row],[Gauge Sheet Prod Volume (oil)]]-rrcworking[[#This Row],[Oil Production]]</f>
        <v>-1</v>
      </c>
      <c r="V181" s="143">
        <f>IF(ISERROR(INDEX(Table2[GAS],MATCH(rrcworking[[#This Row],[Magnum Wolfpak '#]],Table2[Rox Wolf'#],0))),0,INDEX(Table2[GAS],MATCH(rrcworking[[#This Row],[Magnum Wolfpak '#]],Table2[Rox Wolf'#],0)))</f>
        <v>0</v>
      </c>
      <c r="W181" s="24"/>
      <c r="X181" s="135">
        <f>IF(rrcworking[[#This Row],[Pressure Base]]=14.73,rrcworking[[#This Row],[Gas Sales Statement Volume (MCF)]]*$R$2,rrcworking[[#This Row],[Gas Sales Statement Volume (MCF)]])</f>
        <v>0</v>
      </c>
      <c r="Y181" s="60"/>
      <c r="Z181" s="60"/>
      <c r="AA181" s="143">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185">
        <f>COUNTIF(FilterList,rrcworking[[#This Row],[Magnum Wolfpak '#]])</f>
        <v>1</v>
      </c>
      <c r="AF181" s="182"/>
      <c r="AG181" s="183"/>
      <c r="AH181" s="37"/>
      <c r="AI181" s="183"/>
      <c r="AJ181" s="37">
        <v>2</v>
      </c>
      <c r="AK181" s="37" t="s">
        <v>1140</v>
      </c>
      <c r="AL181" s="37" t="s">
        <v>1166</v>
      </c>
      <c r="AM181" s="37" t="s">
        <v>1197</v>
      </c>
      <c r="AN181" s="37" t="s">
        <v>1140</v>
      </c>
      <c r="AO181" s="37" t="s">
        <v>1172</v>
      </c>
      <c r="AP181" s="37" t="s">
        <v>1224</v>
      </c>
      <c r="AQ181" s="37" t="s">
        <v>1245</v>
      </c>
    </row>
    <row r="182" spans="3:43" ht="57" hidden="1" thickBot="1">
      <c r="C182" s="80">
        <v>98983</v>
      </c>
      <c r="D182" s="62" t="s">
        <v>392</v>
      </c>
      <c r="E182" s="131" t="s">
        <v>393</v>
      </c>
      <c r="F182" s="129">
        <v>0</v>
      </c>
      <c r="G182" s="120" t="s">
        <v>1090</v>
      </c>
      <c r="H182" s="21" t="s">
        <v>619</v>
      </c>
      <c r="I182" s="21" t="s">
        <v>2</v>
      </c>
      <c r="J182" s="19" t="s">
        <v>601</v>
      </c>
      <c r="K182" s="103">
        <v>12360</v>
      </c>
      <c r="L182" s="101">
        <f>INDEX(Table1[Production],MATCH(rrcworking[[#This Row],[RRC ID Number]],Table1[RRC Identifier],0))</f>
        <v>0</v>
      </c>
      <c r="M182" s="30">
        <f>INDEX(Table1[Formation Production],MATCH(rrcworking[[#This Row],[RRC ID Number]],Table1[RRC Identifier],0))</f>
        <v>0</v>
      </c>
      <c r="N182" s="31">
        <f>INDEX(Table1[On Hand End of Month],MATCH(rrcworking[[#This Row],[RRC ID Number]],Table1[RRC Identifier],0))</f>
        <v>63</v>
      </c>
      <c r="O182" s="106" t="b">
        <f t="shared" si="5"/>
        <v>1</v>
      </c>
      <c r="P182">
        <v>0</v>
      </c>
      <c r="Q182" s="127">
        <f>rrcworking[[#This Row],[Last Month Closing Stock]]</f>
        <v>63</v>
      </c>
      <c r="R182">
        <v>63</v>
      </c>
      <c r="S182" s="143">
        <f>IF(ISERROR(INDEX(Table2[OIL],MATCH(rrcworking[[#This Row],[Magnum Wolfpak '#]],Table2[Rox Wolf'#],0))),0,INDEX(Table2[OIL],MATCH(rrcworking[[#This Row],[Magnum Wolfpak '#]],Table2[Rox Wolf'#],0)))</f>
        <v>0</v>
      </c>
      <c r="T182" s="35">
        <f>rrcworking[[#This Row],[Closing Stock (Oil)]]+rrcworking[[#This Row],[Sales/Dispostion]]-rrcworking[[#This Row],[Opening Oil Stock]]</f>
        <v>0</v>
      </c>
      <c r="U182" s="112">
        <f>rrcworking[[#This Row],[Gauge Sheet Prod Volume (oil)]]-rrcworking[[#This Row],[Oil Production]]</f>
        <v>0</v>
      </c>
      <c r="V182" s="143">
        <f>IF(ISERROR(INDEX(Table2[GAS],MATCH(rrcworking[[#This Row],[Magnum Wolfpak '#]],Table2[Rox Wolf'#],0))),0,INDEX(Table2[GAS],MATCH(rrcworking[[#This Row],[Magnum Wolfpak '#]],Table2[Rox Wolf'#],0)))</f>
        <v>0</v>
      </c>
      <c r="W182" s="24"/>
      <c r="X182" s="135">
        <f>IF(rrcworking[[#This Row],[Pressure Base]]=14.73,rrcworking[[#This Row],[Gas Sales Statement Volume (MCF)]]*$R$2,rrcworking[[#This Row],[Gas Sales Statement Volume (MCF)]])</f>
        <v>0</v>
      </c>
      <c r="Y182" s="60"/>
      <c r="Z182" s="60"/>
      <c r="AA182" s="143">
        <f>IF(ISERROR(INDEX(Table2[LEASE USE],MATCH(rrcworking[[#This Row],[Magnum Wolfpak '#]],Table2[Rox Wolf'#],0))),0,INDEX(Table2[LEASE USE],MATCH(rrcworking[[#This Row],[Magnum Wolfpak '#]],Table2[Rox Wolf'#],0)))</f>
        <v>0</v>
      </c>
      <c r="AB182" s="57">
        <f>rrcworking[[#This Row],[Disposition Volume (MCF) @ 14.65 MCF]]+rrcworking[[#This Row],[Lease Use (MCF)]]</f>
        <v>0</v>
      </c>
      <c r="AC182" s="37"/>
      <c r="AD182" s="37" t="s">
        <v>1108</v>
      </c>
      <c r="AE182" s="185">
        <f>COUNTIF(FilterList,rrcworking[[#This Row],[Magnum Wolfpak '#]])</f>
        <v>0</v>
      </c>
      <c r="AF182" s="182"/>
      <c r="AG182" s="183"/>
      <c r="AH182" s="37"/>
      <c r="AI182" s="37"/>
      <c r="AJ182" s="37">
        <v>2</v>
      </c>
      <c r="AK182" s="37" t="s">
        <v>1166</v>
      </c>
      <c r="AL182" s="37" t="s">
        <v>1166</v>
      </c>
      <c r="AM182" s="37" t="s">
        <v>1197</v>
      </c>
      <c r="AN182" s="37" t="s">
        <v>1166</v>
      </c>
      <c r="AO182" s="37" t="s">
        <v>1172</v>
      </c>
      <c r="AP182" s="37" t="s">
        <v>1237</v>
      </c>
      <c r="AQ182" s="37"/>
    </row>
    <row r="183" spans="3:43" ht="29" hidden="1" thickBot="1">
      <c r="C183" s="80">
        <v>99161</v>
      </c>
      <c r="D183" s="62" t="s">
        <v>219</v>
      </c>
      <c r="E183" s="131" t="s">
        <v>220</v>
      </c>
      <c r="F183" s="129">
        <v>6</v>
      </c>
      <c r="G183" s="120" t="s">
        <v>1090</v>
      </c>
      <c r="H183" s="18" t="s">
        <v>618</v>
      </c>
      <c r="I183" s="212" t="s">
        <v>2</v>
      </c>
      <c r="J183" s="197" t="s">
        <v>1249</v>
      </c>
      <c r="K183" s="103">
        <v>2817</v>
      </c>
      <c r="L183" s="101">
        <f>INDEX(Table1[Production],MATCH(rrcworking[[#This Row],[RRC ID Number]],Table1[RRC Identifier],0))</f>
        <v>285</v>
      </c>
      <c r="M183" s="30">
        <f>INDEX(Table1[Formation Production],MATCH(rrcworking[[#This Row],[RRC ID Number]],Table1[RRC Identifier],0))</f>
        <v>0</v>
      </c>
      <c r="N183" s="31">
        <f>INDEX(Table1[On Hand End of Month],MATCH(rrcworking[[#This Row],[RRC ID Number]],Table1[RRC Identifier],0))</f>
        <v>159</v>
      </c>
      <c r="O183" s="106" t="b">
        <f t="shared" si="5"/>
        <v>0</v>
      </c>
      <c r="P183">
        <v>189</v>
      </c>
      <c r="Q183" s="127">
        <f>rrcworking[[#This Row],[Last Month Closing Stock]]</f>
        <v>159</v>
      </c>
      <c r="R183">
        <v>167</v>
      </c>
      <c r="S183" s="143">
        <f>IF(ISERROR(INDEX(Table2[OIL],MATCH(rrcworking[[#This Row],[Magnum Wolfpak '#]],Table2[Rox Wolf'#],0))),0,INDEX(Table2[OIL],MATCH(rrcworking[[#This Row],[Magnum Wolfpak '#]],Table2[Rox Wolf'#],0)))</f>
        <v>169</v>
      </c>
      <c r="T183" s="35">
        <f>rrcworking[[#This Row],[Closing Stock (Oil)]]+rrcworking[[#This Row],[Sales/Dispostion]]-rrcworking[[#This Row],[Opening Oil Stock]]</f>
        <v>177</v>
      </c>
      <c r="U183" s="112">
        <f>rrcworking[[#This Row],[Gauge Sheet Prod Volume (oil)]]-rrcworking[[#This Row],[Oil Production]]</f>
        <v>12</v>
      </c>
      <c r="V183" s="143">
        <f>IF(ISERROR(INDEX(Table2[GAS],MATCH(rrcworking[[#This Row],[Magnum Wolfpak '#]],Table2[Rox Wolf'#],0))),0,INDEX(Table2[GAS],MATCH(rrcworking[[#This Row],[Magnum Wolfpak '#]],Table2[Rox Wolf'#],0)))</f>
        <v>0</v>
      </c>
      <c r="W183" s="24"/>
      <c r="X183" s="135">
        <f>IF(rrcworking[[#This Row],[Pressure Base]]=14.73,rrcworking[[#This Row],[Gas Sales Statement Volume (MCF)]]*$R$2,rrcworking[[#This Row],[Gas Sales Statement Volume (MCF)]])</f>
        <v>0</v>
      </c>
      <c r="Y183" s="60"/>
      <c r="Z183" s="60">
        <v>4</v>
      </c>
      <c r="AA183" s="143">
        <f>IF(ISERROR(INDEX(Table2[LEASE USE],MATCH(rrcworking[[#This Row],[Magnum Wolfpak '#]],Table2[Rox Wolf'#],0))),0,INDEX(Table2[LEASE USE],MATCH(rrcworking[[#This Row],[Magnum Wolfpak '#]],Table2[Rox Wolf'#],0)))</f>
        <v>88</v>
      </c>
      <c r="AB183" s="57">
        <f>rrcworking[[#This Row],[Disposition Volume (MCF) @ 14.65 MCF]]+rrcworking[[#This Row],[Lease Use (MCF)]]</f>
        <v>88</v>
      </c>
      <c r="AC183" s="37"/>
      <c r="AD183" s="37" t="s">
        <v>1248</v>
      </c>
      <c r="AE183" s="185">
        <f>COUNTIF(FilterList,rrcworking[[#This Row],[Magnum Wolfpak '#]])</f>
        <v>0</v>
      </c>
      <c r="AF183" s="182"/>
      <c r="AG183" s="183"/>
      <c r="AH183" s="37"/>
      <c r="AI183" s="183"/>
      <c r="AJ183" s="37">
        <v>2</v>
      </c>
      <c r="AK183" s="37" t="s">
        <v>1166</v>
      </c>
      <c r="AL183" s="37" t="s">
        <v>1166</v>
      </c>
      <c r="AM183" s="37" t="s">
        <v>1225</v>
      </c>
      <c r="AN183" s="37" t="s">
        <v>1166</v>
      </c>
      <c r="AO183" s="37" t="s">
        <v>1226</v>
      </c>
      <c r="AP183" s="37" t="s">
        <v>1236</v>
      </c>
      <c r="AQ183" s="37" t="s">
        <v>1227</v>
      </c>
    </row>
    <row r="184" spans="3:43" ht="99" hidden="1" thickBot="1">
      <c r="C184" s="82">
        <v>48001</v>
      </c>
      <c r="D184" s="98" t="s">
        <v>245</v>
      </c>
      <c r="E184" s="132" t="s">
        <v>246</v>
      </c>
      <c r="F184" s="128">
        <v>0</v>
      </c>
      <c r="G184" s="121" t="s">
        <v>1090</v>
      </c>
      <c r="H184" s="125" t="s">
        <v>618</v>
      </c>
      <c r="I184" s="125" t="s">
        <v>2</v>
      </c>
      <c r="J184" s="83" t="s">
        <v>511</v>
      </c>
      <c r="K184" s="104">
        <v>24861</v>
      </c>
      <c r="L184" s="99">
        <f>INDEX(Table1[Production],MATCH(rrcworking[[#This Row],[RRC ID Number]],Table1[RRC Identifier],0))</f>
        <v>0</v>
      </c>
      <c r="M184" s="99">
        <f>INDEX(Table1[Formation Production],MATCH(rrcworking[[#This Row],[RRC ID Number]],Table1[RRC Identifier],0))</f>
        <v>218</v>
      </c>
      <c r="N184" s="99">
        <f>INDEX(Table1[On Hand End of Month],MATCH(rrcworking[[#This Row],[RRC ID Number]],Table1[RRC Identifier],0))</f>
        <v>45</v>
      </c>
      <c r="O184" s="107" t="b">
        <f t="shared" si="5"/>
        <v>0</v>
      </c>
      <c r="P184">
        <v>0</v>
      </c>
      <c r="Q184" s="127">
        <f>rrcworking[[#This Row],[Last Month Closing Stock]]</f>
        <v>45</v>
      </c>
      <c r="R184">
        <v>45</v>
      </c>
      <c r="S184" s="143">
        <f>IF(ISERROR(INDEX(Table2[OIL],MATCH(rrcworking[[#This Row],[Magnum Wolfpak '#]],Table2[Rox Wolf'#],0))),0,INDEX(Table2[OIL],MATCH(rrcworking[[#This Row],[Magnum Wolfpak '#]],Table2[Rox Wolf'#],0)))</f>
        <v>0</v>
      </c>
      <c r="T184" s="100">
        <f>rrcworking[[#This Row],[Closing Stock (Oil)]]+rrcworking[[#This Row],[Sales/Dispostion]]-rrcworking[[#This Row],[Opening Oil Stock]]</f>
        <v>0</v>
      </c>
      <c r="U184" s="113">
        <f>rrcworking[[#This Row],[Gauge Sheet Prod Volume (oil)]]-rrcworking[[#This Row],[Oil Production]]</f>
        <v>0</v>
      </c>
      <c r="V184" s="143">
        <f>IF(ISERROR(INDEX(Table2[GAS],MATCH(rrcworking[[#This Row],[Magnum Wolfpak '#]],Table2[Rox Wolf'#],0))),0,INDEX(Table2[GAS],MATCH(rrcworking[[#This Row],[Magnum Wolfpak '#]],Table2[Rox Wolf'#],0)))</f>
        <v>181</v>
      </c>
      <c r="W184" s="84"/>
      <c r="X184" s="136">
        <f>IF(rrcworking[[#This Row],[Pressure Base]]=14.73,rrcworking[[#This Row],[Gas Sales Statement Volume (MCF)]]*$R$2,rrcworking[[#This Row],[Gas Sales Statement Volume (MCF)]])</f>
        <v>181</v>
      </c>
      <c r="Y184" s="85"/>
      <c r="Z184" s="85">
        <v>1</v>
      </c>
      <c r="AA184" s="143">
        <f>IF(ISERROR(INDEX(Table2[LEASE USE],MATCH(rrcworking[[#This Row],[Magnum Wolfpak '#]],Table2[Rox Wolf'#],0))),0,INDEX(Table2[LEASE USE],MATCH(rrcworking[[#This Row],[Magnum Wolfpak '#]],Table2[Rox Wolf'#],0)))</f>
        <v>30</v>
      </c>
      <c r="AB184" s="86">
        <f>rrcworking[[#This Row],[Disposition Volume (MCF) @ 14.65 MCF]]+rrcworking[[#This Row],[Lease Use (MCF)]]</f>
        <v>211</v>
      </c>
      <c r="AC184" s="87"/>
      <c r="AD184" s="37" t="s">
        <v>1273</v>
      </c>
      <c r="AE184" s="186">
        <f>COUNTIF(FilterList,rrcworking[[#This Row],[Magnum Wolfpak '#]])</f>
        <v>0</v>
      </c>
      <c r="AF184" s="182"/>
      <c r="AG184" s="183"/>
      <c r="AH184" s="37"/>
      <c r="AI184" s="37"/>
      <c r="AJ184" s="37">
        <v>1</v>
      </c>
      <c r="AK184" s="37" t="s">
        <v>1166</v>
      </c>
      <c r="AL184" s="37" t="s">
        <v>1166</v>
      </c>
      <c r="AM184" s="37" t="s">
        <v>1268</v>
      </c>
      <c r="AN184" s="37" t="s">
        <v>1140</v>
      </c>
      <c r="AO184" s="37" t="s">
        <v>1269</v>
      </c>
      <c r="AP184" s="37" t="s">
        <v>1215</v>
      </c>
      <c r="AQ184" s="37" t="s">
        <v>1270</v>
      </c>
    </row>
    <row r="185" spans="3:43" ht="15" hidden="1" thickBot="1">
      <c r="C185" s="80" t="e">
        <v>#N/A</v>
      </c>
      <c r="D185" s="62" t="s">
        <v>172</v>
      </c>
      <c r="E185" s="131" t="s">
        <v>173</v>
      </c>
      <c r="F185" s="129">
        <v>0</v>
      </c>
      <c r="G185" s="120" t="s">
        <v>1090</v>
      </c>
      <c r="H185" s="18" t="s">
        <v>618</v>
      </c>
      <c r="I185" s="18" t="s">
        <v>2</v>
      </c>
      <c r="J185" s="19" t="s">
        <v>473</v>
      </c>
      <c r="K185" s="103">
        <v>15252</v>
      </c>
      <c r="L185" s="101">
        <f>INDEX(Table1[Production],MATCH(rrcworking[[#This Row],[RRC ID Number]],Table1[RRC Identifier],0))</f>
        <v>0</v>
      </c>
      <c r="M185" s="30">
        <f>INDEX(Table1[Formation Production],MATCH(rrcworking[[#This Row],[RRC ID Number]],Table1[RRC Identifier],0))</f>
        <v>0</v>
      </c>
      <c r="N185" s="31">
        <f>INDEX(Table1[On Hand End of Month],MATCH(rrcworking[[#This Row],[RRC ID Number]],Table1[RRC Identifier],0))</f>
        <v>0</v>
      </c>
      <c r="O185" s="106" t="b">
        <f t="shared" si="5"/>
        <v>1</v>
      </c>
      <c r="Q185" s="127">
        <f>rrcworking[[#This Row],[Last Month Closing Stock]]</f>
        <v>0</v>
      </c>
      <c r="R185">
        <f>rrcworking[[#This Row],[Opening Oil Stock]]</f>
        <v>0</v>
      </c>
      <c r="S185" s="143">
        <f>IF(ISERROR(INDEX(Table2[OIL],MATCH(rrcworking[[#This Row],[Magnum Wolfpak '#]],Table2[Rox Wolf'#],0))),0,INDEX(Table2[OIL],MATCH(rrcworking[[#This Row],[Magnum Wolfpak '#]],Table2[Rox Wolf'#],0)))</f>
        <v>0</v>
      </c>
      <c r="T185" s="35">
        <f>rrcworking[[#This Row],[Closing Stock (Oil)]]+rrcworking[[#This Row],[Sales/Dispostion]]-rrcworking[[#This Row],[Opening Oil Stock]]</f>
        <v>0</v>
      </c>
      <c r="U185" s="112">
        <f>rrcworking[[#This Row],[Gauge Sheet Prod Volume (oil)]]-rrcworking[[#This Row],[Oil Production]]</f>
        <v>0</v>
      </c>
      <c r="V185" s="143">
        <f>IF(ISERROR(INDEX(Table2[GAS],MATCH(rrcworking[[#This Row],[Magnum Wolfpak '#]],Table2[Rox Wolf'#],0))),0,INDEX(Table2[GAS],MATCH(rrcworking[[#This Row],[Magnum Wolfpak '#]],Table2[Rox Wolf'#],0)))</f>
        <v>0</v>
      </c>
      <c r="W185" s="24"/>
      <c r="X185" s="135">
        <f>IF(rrcworking[[#This Row],[Pressure Base]]=14.73,rrcworking[[#This Row],[Gas Sales Statement Volume (MCF)]]*$R$2,rrcworking[[#This Row],[Gas Sales Statement Volume (MCF)]])</f>
        <v>0</v>
      </c>
      <c r="Y185" s="60"/>
      <c r="Z185" s="60"/>
      <c r="AA185" s="143">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c r="AE185" s="185">
        <f>COUNTIF(FilterList,rrcworking[[#This Row],[Magnum Wolfpak '#]])</f>
        <v>0</v>
      </c>
      <c r="AF185" s="182"/>
      <c r="AG185" s="183"/>
      <c r="AH185" s="37"/>
      <c r="AI185" s="37"/>
      <c r="AJ185" s="37"/>
      <c r="AK185" s="37"/>
      <c r="AL185" s="37"/>
      <c r="AM185" s="37"/>
      <c r="AN185" s="37"/>
      <c r="AO185" s="37"/>
      <c r="AP185" s="37"/>
      <c r="AQ185" s="37"/>
    </row>
    <row r="186" spans="3:43" ht="15" hidden="1" thickBot="1">
      <c r="C186" s="80" t="e">
        <v>#N/A</v>
      </c>
      <c r="D186" s="62" t="s">
        <v>368</v>
      </c>
      <c r="E186" s="131" t="s">
        <v>369</v>
      </c>
      <c r="F186" s="129">
        <v>1</v>
      </c>
      <c r="G186" s="120" t="s">
        <v>1090</v>
      </c>
      <c r="H186" s="18" t="s">
        <v>619</v>
      </c>
      <c r="I186" s="18" t="s">
        <v>59</v>
      </c>
      <c r="J186" s="19" t="s">
        <v>587</v>
      </c>
      <c r="K186" s="103">
        <v>120373</v>
      </c>
      <c r="L186" s="101">
        <f>INDEX(Table1[Production],MATCH(rrcworking[[#This Row],[RRC ID Number]],Table1[RRC Identifier],0))</f>
        <v>0</v>
      </c>
      <c r="M186" s="30">
        <f>INDEX(Table1[Formation Production],MATCH(rrcworking[[#This Row],[RRC ID Number]],Table1[RRC Identifier],0))</f>
        <v>0</v>
      </c>
      <c r="N186" s="31">
        <f>INDEX(Table1[On Hand End of Month],MATCH(rrcworking[[#This Row],[RRC ID Number]],Table1[RRC Identifier],0))</f>
        <v>0</v>
      </c>
      <c r="O186" s="106" t="b">
        <f t="shared" si="5"/>
        <v>1</v>
      </c>
      <c r="Q186" s="127">
        <f>rrcworking[[#This Row],[Last Month Closing Stock]]</f>
        <v>0</v>
      </c>
      <c r="R186">
        <f>rrcworking[[#This Row],[Opening Oil Stock]]</f>
        <v>0</v>
      </c>
      <c r="S186" s="143">
        <f>IF(ISERROR(INDEX(Table2[OIL],MATCH(rrcworking[[#This Row],[Magnum Wolfpak '#]],Table2[Rox Wolf'#],0))),0,INDEX(Table2[OIL],MATCH(rrcworking[[#This Row],[Magnum Wolfpak '#]],Table2[Rox Wolf'#],0)))</f>
        <v>0</v>
      </c>
      <c r="T186" s="35">
        <f>rrcworking[[#This Row],[Closing Stock (Oil)]]+rrcworking[[#This Row],[Sales/Dispostion]]-rrcworking[[#This Row],[Opening Oil Stock]]</f>
        <v>0</v>
      </c>
      <c r="U186" s="112">
        <f>rrcworking[[#This Row],[Gauge Sheet Prod Volume (oil)]]-rrcworking[[#This Row],[Oil Production]]</f>
        <v>0</v>
      </c>
      <c r="V186" s="143">
        <f>IF(ISERROR(INDEX(Table2[GAS],MATCH(rrcworking[[#This Row],[Magnum Wolfpak '#]],Table2[Rox Wolf'#],0))),0,INDEX(Table2[GAS],MATCH(rrcworking[[#This Row],[Magnum Wolfpak '#]],Table2[Rox Wolf'#],0)))</f>
        <v>0</v>
      </c>
      <c r="W186" s="24"/>
      <c r="X186" s="135">
        <f>IF(rrcworking[[#This Row],[Pressure Base]]=14.73,rrcworking[[#This Row],[Gas Sales Statement Volume (MCF)]]*$R$2,rrcworking[[#This Row],[Gas Sales Statement Volume (MCF)]])</f>
        <v>0</v>
      </c>
      <c r="Y186" s="60"/>
      <c r="Z186" s="60"/>
      <c r="AA186" s="143">
        <f>IF(ISERROR(INDEX(Table2[LEASE USE],MATCH(rrcworking[[#This Row],[Magnum Wolfpak '#]],Table2[Rox Wolf'#],0))),0,INDEX(Table2[LEASE USE],MATCH(rrcworking[[#This Row],[Magnum Wolfpak '#]],Table2[Rox Wolf'#],0)))</f>
        <v>0</v>
      </c>
      <c r="AB186" s="57">
        <f>rrcworking[[#This Row],[Disposition Volume (MCF) @ 14.65 MCF]]+rrcworking[[#This Row],[Lease Use (MCF)]]</f>
        <v>0</v>
      </c>
      <c r="AC186" s="37"/>
      <c r="AD186" s="37"/>
      <c r="AE186" s="185">
        <f>COUNTIF(FilterList,rrcworking[[#This Row],[Magnum Wolfpak '#]])</f>
        <v>0</v>
      </c>
      <c r="AF186" s="182"/>
      <c r="AG186" s="183"/>
      <c r="AH186" s="37"/>
      <c r="AI186" s="37"/>
      <c r="AJ186" s="37"/>
      <c r="AK186" s="37"/>
      <c r="AL186" s="37"/>
      <c r="AM186" s="37"/>
      <c r="AN186" s="37"/>
      <c r="AO186" s="37"/>
      <c r="AP186" s="37"/>
      <c r="AQ186" s="37"/>
    </row>
    <row r="187" spans="3:43" ht="43" hidden="1" thickBot="1">
      <c r="C187" s="80">
        <v>99305</v>
      </c>
      <c r="D187" s="62" t="s">
        <v>201</v>
      </c>
      <c r="E187" s="131" t="s">
        <v>202</v>
      </c>
      <c r="F187" s="129">
        <v>0</v>
      </c>
      <c r="G187" s="120" t="s">
        <v>1090</v>
      </c>
      <c r="H187" s="18" t="s">
        <v>618</v>
      </c>
      <c r="I187" s="18" t="s">
        <v>2</v>
      </c>
      <c r="J187" s="19" t="s">
        <v>490</v>
      </c>
      <c r="K187" s="103">
        <v>27401</v>
      </c>
      <c r="L187" s="101">
        <f>INDEX(Table1[Production],MATCH(rrcworking[[#This Row],[RRC ID Number]],Table1[RRC Identifier],0))</f>
        <v>20</v>
      </c>
      <c r="M187" s="30">
        <f>INDEX(Table1[Formation Production],MATCH(rrcworking[[#This Row],[RRC ID Number]],Table1[RRC Identifier],0))</f>
        <v>0</v>
      </c>
      <c r="N187" s="31">
        <f>INDEX(Table1[On Hand End of Month],MATCH(rrcworking[[#This Row],[RRC ID Number]],Table1[RRC Identifier],0))</f>
        <v>410</v>
      </c>
      <c r="O187" s="106" t="b">
        <f t="shared" si="5"/>
        <v>0</v>
      </c>
      <c r="P187">
        <v>0</v>
      </c>
      <c r="Q187" s="127">
        <f>rrcworking[[#This Row],[Last Month Closing Stock]]</f>
        <v>410</v>
      </c>
      <c r="R187">
        <v>410</v>
      </c>
      <c r="S187" s="143">
        <f>IF(ISERROR(INDEX(Table2[OIL],MATCH(rrcworking[[#This Row],[Magnum Wolfpak '#]],Table2[Rox Wolf'#],0))),0,INDEX(Table2[OIL],MATCH(rrcworking[[#This Row],[Magnum Wolfpak '#]],Table2[Rox Wolf'#],0)))</f>
        <v>0</v>
      </c>
      <c r="T187" s="35">
        <f>rrcworking[[#This Row],[Closing Stock (Oil)]]+rrcworking[[#This Row],[Sales/Dispostion]]-rrcworking[[#This Row],[Opening Oil Stock]]</f>
        <v>0</v>
      </c>
      <c r="U187" s="112">
        <f>rrcworking[[#This Row],[Gauge Sheet Prod Volume (oil)]]-rrcworking[[#This Row],[Oil Production]]</f>
        <v>0</v>
      </c>
      <c r="V187" s="143">
        <f>IF(ISERROR(INDEX(Table2[GAS],MATCH(rrcworking[[#This Row],[Magnum Wolfpak '#]],Table2[Rox Wolf'#],0))),0,INDEX(Table2[GAS],MATCH(rrcworking[[#This Row],[Magnum Wolfpak '#]],Table2[Rox Wolf'#],0)))</f>
        <v>0</v>
      </c>
      <c r="W187" s="24"/>
      <c r="X187" s="135">
        <f>IF(rrcworking[[#This Row],[Pressure Base]]=14.73,rrcworking[[#This Row],[Gas Sales Statement Volume (MCF)]]*$R$2,rrcworking[[#This Row],[Gas Sales Statement Volume (MCF)]])</f>
        <v>0</v>
      </c>
      <c r="Y187" s="60"/>
      <c r="Z187" s="60"/>
      <c r="AA187" s="143">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t="s">
        <v>1256</v>
      </c>
      <c r="AE187" s="185">
        <f>COUNTIF(FilterList,rrcworking[[#This Row],[Magnum Wolfpak '#]])</f>
        <v>0</v>
      </c>
      <c r="AF187" s="182"/>
      <c r="AG187" s="183"/>
      <c r="AH187" s="37"/>
      <c r="AI187" s="183"/>
      <c r="AJ187" s="37">
        <v>3</v>
      </c>
      <c r="AK187" s="37" t="s">
        <v>1140</v>
      </c>
      <c r="AL187" s="37" t="s">
        <v>1166</v>
      </c>
      <c r="AM187" s="37" t="s">
        <v>1255</v>
      </c>
      <c r="AN187" s="37" t="s">
        <v>1166</v>
      </c>
      <c r="AO187" s="37" t="s">
        <v>1177</v>
      </c>
      <c r="AP187" s="37" t="s">
        <v>1238</v>
      </c>
      <c r="AQ187" s="37"/>
    </row>
    <row r="188" spans="3:43" ht="15" hidden="1" thickBot="1">
      <c r="C188" s="80">
        <v>99302</v>
      </c>
      <c r="D188" s="62" t="s">
        <v>198</v>
      </c>
      <c r="E188" s="131" t="s">
        <v>199</v>
      </c>
      <c r="F188" s="129">
        <v>0</v>
      </c>
      <c r="G188" s="120" t="s">
        <v>1090</v>
      </c>
      <c r="H188" s="18" t="s">
        <v>618</v>
      </c>
      <c r="I188" s="18" t="s">
        <v>2</v>
      </c>
      <c r="J188" s="19" t="s">
        <v>488</v>
      </c>
      <c r="K188" s="103">
        <v>27495</v>
      </c>
      <c r="L188" s="101">
        <f>INDEX(Table1[Production],MATCH(rrcworking[[#This Row],[RRC ID Number]],Table1[RRC Identifier],0))</f>
        <v>1</v>
      </c>
      <c r="M188" s="30">
        <f>INDEX(Table1[Formation Production],MATCH(rrcworking[[#This Row],[RRC ID Number]],Table1[RRC Identifier],0))</f>
        <v>0</v>
      </c>
      <c r="N188" s="31">
        <f>INDEX(Table1[On Hand End of Month],MATCH(rrcworking[[#This Row],[RRC ID Number]],Table1[RRC Identifier],0))</f>
        <v>250</v>
      </c>
      <c r="O188" s="106" t="b">
        <f t="shared" si="5"/>
        <v>0</v>
      </c>
      <c r="P188">
        <v>0</v>
      </c>
      <c r="Q188" s="127">
        <f>rrcworking[[#This Row],[Last Month Closing Stock]]</f>
        <v>250</v>
      </c>
      <c r="R188">
        <v>250</v>
      </c>
      <c r="S188" s="143">
        <f>IF(ISERROR(INDEX(Table2[OIL],MATCH(rrcworking[[#This Row],[Magnum Wolfpak '#]],Table2[Rox Wolf'#],0))),0,INDEX(Table2[OIL],MATCH(rrcworking[[#This Row],[Magnum Wolfpak '#]],Table2[Rox Wolf'#],0)))</f>
        <v>0</v>
      </c>
      <c r="T188" s="35">
        <f>rrcworking[[#This Row],[Closing Stock (Oil)]]+rrcworking[[#This Row],[Sales/Dispostion]]-rrcworking[[#This Row],[Opening Oil Stock]]</f>
        <v>0</v>
      </c>
      <c r="U188" s="112">
        <f>rrcworking[[#This Row],[Gauge Sheet Prod Volume (oil)]]-rrcworking[[#This Row],[Oil Production]]</f>
        <v>0</v>
      </c>
      <c r="V188" s="143">
        <f>IF(ISERROR(INDEX(Table2[GAS],MATCH(rrcworking[[#This Row],[Magnum Wolfpak '#]],Table2[Rox Wolf'#],0))),0,INDEX(Table2[GAS],MATCH(rrcworking[[#This Row],[Magnum Wolfpak '#]],Table2[Rox Wolf'#],0)))</f>
        <v>0</v>
      </c>
      <c r="W188" s="24"/>
      <c r="X188" s="135">
        <f>IF(rrcworking[[#This Row],[Pressure Base]]=14.73,rrcworking[[#This Row],[Gas Sales Statement Volume (MCF)]]*$R$2,rrcworking[[#This Row],[Gas Sales Statement Volume (MCF)]])</f>
        <v>0</v>
      </c>
      <c r="Y188" s="60"/>
      <c r="Z188" s="60"/>
      <c r="AA188" s="143">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185">
        <f>COUNTIF(FilterList,rrcworking[[#This Row],[Magnum Wolfpak '#]])</f>
        <v>0</v>
      </c>
      <c r="AF188" s="182"/>
      <c r="AG188" s="183"/>
      <c r="AH188" s="37"/>
      <c r="AI188" s="37"/>
      <c r="AJ188" s="37">
        <v>1</v>
      </c>
      <c r="AK188" s="37" t="s">
        <v>1140</v>
      </c>
      <c r="AL188" s="37" t="s">
        <v>1166</v>
      </c>
      <c r="AM188" s="37" t="s">
        <v>1176</v>
      </c>
      <c r="AN188" s="37" t="s">
        <v>1166</v>
      </c>
      <c r="AO188" s="37" t="s">
        <v>1177</v>
      </c>
      <c r="AP188" s="37" t="s">
        <v>1239</v>
      </c>
      <c r="AQ188" s="37" t="s">
        <v>1179</v>
      </c>
    </row>
    <row r="189" spans="3:43" ht="99" hidden="1" thickBot="1">
      <c r="C189" s="80">
        <v>99296</v>
      </c>
      <c r="D189" s="62" t="s">
        <v>198</v>
      </c>
      <c r="E189" s="131" t="s">
        <v>200</v>
      </c>
      <c r="F189" s="129">
        <v>0</v>
      </c>
      <c r="G189" s="120" t="s">
        <v>1090</v>
      </c>
      <c r="H189" s="18" t="s">
        <v>618</v>
      </c>
      <c r="I189" s="18" t="s">
        <v>2</v>
      </c>
      <c r="J189" s="19" t="s">
        <v>489</v>
      </c>
      <c r="K189" s="103">
        <v>27499</v>
      </c>
      <c r="L189" s="101">
        <f>INDEX(Table1[Production],MATCH(rrcworking[[#This Row],[RRC ID Number]],Table1[RRC Identifier],0))</f>
        <v>15</v>
      </c>
      <c r="M189" s="30">
        <f>INDEX(Table1[Formation Production],MATCH(rrcworking[[#This Row],[RRC ID Number]],Table1[RRC Identifier],0))</f>
        <v>0</v>
      </c>
      <c r="N189" s="31">
        <f>INDEX(Table1[On Hand End of Month],MATCH(rrcworking[[#This Row],[RRC ID Number]],Table1[RRC Identifier],0))</f>
        <v>297</v>
      </c>
      <c r="O189" s="106" t="b">
        <f t="shared" si="5"/>
        <v>0</v>
      </c>
      <c r="P189">
        <v>0</v>
      </c>
      <c r="Q189" s="127">
        <f>rrcworking[[#This Row],[Last Month Closing Stock]]</f>
        <v>297</v>
      </c>
      <c r="R189">
        <v>297</v>
      </c>
      <c r="S189" s="143">
        <f>IF(ISERROR(INDEX(Table2[OIL],MATCH(rrcworking[[#This Row],[Magnum Wolfpak '#]],Table2[Rox Wolf'#],0))),0,INDEX(Table2[OIL],MATCH(rrcworking[[#This Row],[Magnum Wolfpak '#]],Table2[Rox Wolf'#],0)))</f>
        <v>0</v>
      </c>
      <c r="T189" s="35">
        <f>rrcworking[[#This Row],[Closing Stock (Oil)]]+rrcworking[[#This Row],[Sales/Dispostion]]-rrcworking[[#This Row],[Opening Oil Stock]]</f>
        <v>0</v>
      </c>
      <c r="U189" s="112">
        <f>rrcworking[[#This Row],[Gauge Sheet Prod Volume (oil)]]-rrcworking[[#This Row],[Oil Production]]</f>
        <v>0</v>
      </c>
      <c r="V189" s="143">
        <f>IF(ISERROR(INDEX(Table2[GAS],MATCH(rrcworking[[#This Row],[Magnum Wolfpak '#]],Table2[Rox Wolf'#],0))),0,INDEX(Table2[GAS],MATCH(rrcworking[[#This Row],[Magnum Wolfpak '#]],Table2[Rox Wolf'#],0)))</f>
        <v>0</v>
      </c>
      <c r="W189" s="24"/>
      <c r="X189" s="135">
        <f>IF(rrcworking[[#This Row],[Pressure Base]]=14.73,rrcworking[[#This Row],[Gas Sales Statement Volume (MCF)]]*$R$2,rrcworking[[#This Row],[Gas Sales Statement Volume (MCF)]])</f>
        <v>0</v>
      </c>
      <c r="Y189" s="60"/>
      <c r="Z189" s="60"/>
      <c r="AA189" s="143">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t="s">
        <v>1247</v>
      </c>
      <c r="AE189" s="185">
        <f>COUNTIF(FilterList,rrcworking[[#This Row],[Magnum Wolfpak '#]])</f>
        <v>0</v>
      </c>
      <c r="AF189" s="182"/>
      <c r="AG189" s="183"/>
      <c r="AH189" s="37"/>
      <c r="AI189" s="183"/>
      <c r="AJ189" s="37">
        <v>3</v>
      </c>
      <c r="AK189" s="37" t="s">
        <v>1140</v>
      </c>
      <c r="AL189" s="37" t="s">
        <v>1166</v>
      </c>
      <c r="AM189" s="37" t="s">
        <v>1180</v>
      </c>
      <c r="AN189" s="37" t="s">
        <v>1166</v>
      </c>
      <c r="AO189" s="37" t="s">
        <v>1177</v>
      </c>
      <c r="AP189" s="37" t="s">
        <v>1240</v>
      </c>
      <c r="AQ189" s="37"/>
    </row>
    <row r="190" spans="3:43" ht="15" hidden="1" thickBot="1">
      <c r="C190" s="80" t="e">
        <v>#N/A</v>
      </c>
      <c r="D190" s="62" t="s">
        <v>114</v>
      </c>
      <c r="E190" s="131" t="s">
        <v>116</v>
      </c>
      <c r="F190" s="129">
        <v>2</v>
      </c>
      <c r="G190" s="120">
        <v>5113</v>
      </c>
      <c r="H190" s="18" t="s">
        <v>617</v>
      </c>
      <c r="I190" s="18" t="s">
        <v>59</v>
      </c>
      <c r="J190" s="19" t="s">
        <v>438</v>
      </c>
      <c r="K190" s="103">
        <v>189915</v>
      </c>
      <c r="L190" s="101">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0</v>
      </c>
      <c r="O190" s="106" t="b">
        <f t="shared" si="5"/>
        <v>1</v>
      </c>
      <c r="Q190" s="127">
        <f>rrcworking[[#This Row],[Last Month Closing Stock]]</f>
        <v>0</v>
      </c>
      <c r="R190">
        <f>rrcworking[[#This Row],[Opening Oil Stock]]</f>
        <v>0</v>
      </c>
      <c r="S190" s="143">
        <f>IF(ISERROR(INDEX(Table2[OIL],MATCH(rrcworking[[#This Row],[Magnum Wolfpak '#]],Table2[Rox Wolf'#],0))),0,INDEX(Table2[OIL],MATCH(rrcworking[[#This Row],[Magnum Wolfpak '#]],Table2[Rox Wolf'#],0)))</f>
        <v>0</v>
      </c>
      <c r="T190" s="35">
        <f>rrcworking[[#This Row],[Closing Stock (Oil)]]+rrcworking[[#This Row],[Sales/Dispostion]]-rrcworking[[#This Row],[Opening Oil Stock]]</f>
        <v>0</v>
      </c>
      <c r="U190" s="112">
        <f>rrcworking[[#This Row],[Gauge Sheet Prod Volume (oil)]]-rrcworking[[#This Row],[Oil Production]]</f>
        <v>0</v>
      </c>
      <c r="V190" s="143">
        <f>IF(ISERROR(INDEX(Table2[GAS],MATCH(rrcworking[[#This Row],[Magnum Wolfpak '#]],Table2[Rox Wolf'#],0))),0,INDEX(Table2[GAS],MATCH(rrcworking[[#This Row],[Magnum Wolfpak '#]],Table2[Rox Wolf'#],0)))</f>
        <v>0</v>
      </c>
      <c r="W190" s="24"/>
      <c r="X190" s="135">
        <f>IF(rrcworking[[#This Row],[Pressure Base]]=14.73,rrcworking[[#This Row],[Gas Sales Statement Volume (MCF)]]*$R$2,rrcworking[[#This Row],[Gas Sales Statement Volume (MCF)]])</f>
        <v>0</v>
      </c>
      <c r="Y190" s="60"/>
      <c r="Z190" s="60"/>
      <c r="AA190" s="143">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c r="AE190" s="185">
        <f>COUNTIF(FilterList,rrcworking[[#This Row],[Magnum Wolfpak '#]])</f>
        <v>0</v>
      </c>
      <c r="AF190" s="182"/>
      <c r="AG190" s="183"/>
      <c r="AH190" s="37"/>
      <c r="AI190" s="37"/>
      <c r="AJ190" s="37"/>
      <c r="AK190" s="37"/>
      <c r="AL190" s="37"/>
      <c r="AM190" s="37"/>
      <c r="AN190" s="37"/>
      <c r="AO190" s="37"/>
      <c r="AP190" s="37"/>
      <c r="AQ190" s="37"/>
    </row>
    <row r="191" spans="3:43" ht="15" hidden="1" thickBot="1">
      <c r="C191" s="80" t="e">
        <v>#N/A</v>
      </c>
      <c r="D191" s="62" t="s">
        <v>165</v>
      </c>
      <c r="E191" s="131" t="s">
        <v>166</v>
      </c>
      <c r="F191" s="129">
        <v>1</v>
      </c>
      <c r="G191" s="120" t="s">
        <v>1090</v>
      </c>
      <c r="H191" s="18" t="s">
        <v>618</v>
      </c>
      <c r="I191" s="18" t="s">
        <v>59</v>
      </c>
      <c r="J191" s="19" t="s">
        <v>469</v>
      </c>
      <c r="K191" s="103">
        <v>192497</v>
      </c>
      <c r="L191" s="101">
        <f>INDEX(Table1[Production],MATCH(rrcworking[[#This Row],[RRC ID Number]],Table1[RRC Identifier],0))</f>
        <v>0</v>
      </c>
      <c r="M191" s="30">
        <f>INDEX(Table1[Formation Production],MATCH(rrcworking[[#This Row],[RRC ID Number]],Table1[RRC Identifier],0))</f>
        <v>0</v>
      </c>
      <c r="N191" s="31">
        <f>INDEX(Table1[On Hand End of Month],MATCH(rrcworking[[#This Row],[RRC ID Number]],Table1[RRC Identifier],0))</f>
        <v>0</v>
      </c>
      <c r="O191" s="106" t="b">
        <f t="shared" si="5"/>
        <v>1</v>
      </c>
      <c r="Q191" s="127">
        <f>rrcworking[[#This Row],[Last Month Closing Stock]]</f>
        <v>0</v>
      </c>
      <c r="R191">
        <f>rrcworking[[#This Row],[Opening Oil Stock]]</f>
        <v>0</v>
      </c>
      <c r="S191" s="143">
        <f>IF(ISERROR(INDEX(Table2[OIL],MATCH(rrcworking[[#This Row],[Magnum Wolfpak '#]],Table2[Rox Wolf'#],0))),0,INDEX(Table2[OIL],MATCH(rrcworking[[#This Row],[Magnum Wolfpak '#]],Table2[Rox Wolf'#],0)))</f>
        <v>0</v>
      </c>
      <c r="T191" s="35">
        <f>rrcworking[[#This Row],[Closing Stock (Oil)]]+rrcworking[[#This Row],[Sales/Dispostion]]-rrcworking[[#This Row],[Opening Oil Stock]]</f>
        <v>0</v>
      </c>
      <c r="U191" s="112">
        <f>rrcworking[[#This Row],[Gauge Sheet Prod Volume (oil)]]-rrcworking[[#This Row],[Oil Production]]</f>
        <v>0</v>
      </c>
      <c r="V191" s="143">
        <f>IF(ISERROR(INDEX(Table2[GAS],MATCH(rrcworking[[#This Row],[Magnum Wolfpak '#]],Table2[Rox Wolf'#],0))),0,INDEX(Table2[GAS],MATCH(rrcworking[[#This Row],[Magnum Wolfpak '#]],Table2[Rox Wolf'#],0)))</f>
        <v>0</v>
      </c>
      <c r="W191" s="24"/>
      <c r="X191" s="135">
        <f>IF(rrcworking[[#This Row],[Pressure Base]]=14.73,rrcworking[[#This Row],[Gas Sales Statement Volume (MCF)]]*$R$2,rrcworking[[#This Row],[Gas Sales Statement Volume (MCF)]])</f>
        <v>0</v>
      </c>
      <c r="Y191" s="60"/>
      <c r="Z191" s="60"/>
      <c r="AA191" s="143">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185">
        <f>COUNTIF(FilterList,rrcworking[[#This Row],[Magnum Wolfpak '#]])</f>
        <v>0</v>
      </c>
      <c r="AF191" s="182"/>
      <c r="AG191" s="183"/>
      <c r="AH191" s="37"/>
      <c r="AI191" s="37"/>
      <c r="AJ191" s="37"/>
      <c r="AK191" s="37"/>
      <c r="AL191" s="37"/>
      <c r="AM191" s="37"/>
      <c r="AN191" s="37"/>
      <c r="AO191" s="37"/>
      <c r="AP191" s="37"/>
      <c r="AQ191" s="37"/>
    </row>
    <row r="192" spans="3:43" ht="29" hidden="1" thickBot="1">
      <c r="C192" s="80">
        <v>99194</v>
      </c>
      <c r="D192" s="62" t="s">
        <v>167</v>
      </c>
      <c r="E192" s="131" t="s">
        <v>168</v>
      </c>
      <c r="F192" s="129">
        <v>0</v>
      </c>
      <c r="G192" s="120" t="s">
        <v>1090</v>
      </c>
      <c r="H192" s="18" t="s">
        <v>618</v>
      </c>
      <c r="I192" s="18" t="s">
        <v>2</v>
      </c>
      <c r="J192" s="19" t="s">
        <v>470</v>
      </c>
      <c r="K192" s="103">
        <v>21610</v>
      </c>
      <c r="L192" s="101">
        <f>INDEX(Table1[Production],MATCH(rrcworking[[#This Row],[RRC ID Number]],Table1[RRC Identifier],0))</f>
        <v>22</v>
      </c>
      <c r="M192" s="30">
        <f>INDEX(Table1[Formation Production],MATCH(rrcworking[[#This Row],[RRC ID Number]],Table1[RRC Identifier],0))</f>
        <v>0</v>
      </c>
      <c r="N192" s="31">
        <f>INDEX(Table1[On Hand End of Month],MATCH(rrcworking[[#This Row],[RRC ID Number]],Table1[RRC Identifier],0))</f>
        <v>149</v>
      </c>
      <c r="O192" s="106" t="b">
        <f t="shared" si="5"/>
        <v>0</v>
      </c>
      <c r="P192">
        <v>5</v>
      </c>
      <c r="Q192" s="127">
        <f>rrcworking[[#This Row],[Last Month Closing Stock]]</f>
        <v>149</v>
      </c>
      <c r="R192">
        <v>154</v>
      </c>
      <c r="S192" s="143">
        <f>IF(ISERROR(INDEX(Table2[OIL],MATCH(rrcworking[[#This Row],[Magnum Wolfpak '#]],Table2[Rox Wolf'#],0))),0,INDEX(Table2[OIL],MATCH(rrcworking[[#This Row],[Magnum Wolfpak '#]],Table2[Rox Wolf'#],0)))</f>
        <v>0</v>
      </c>
      <c r="T192" s="35">
        <f>rrcworking[[#This Row],[Closing Stock (Oil)]]+rrcworking[[#This Row],[Sales/Dispostion]]-rrcworking[[#This Row],[Opening Oil Stock]]</f>
        <v>5</v>
      </c>
      <c r="U192" s="112">
        <f>rrcworking[[#This Row],[Gauge Sheet Prod Volume (oil)]]-rrcworking[[#This Row],[Oil Production]]</f>
        <v>0</v>
      </c>
      <c r="V192" s="143">
        <f>IF(ISERROR(INDEX(Table2[GAS],MATCH(rrcworking[[#This Row],[Magnum Wolfpak '#]],Table2[Rox Wolf'#],0))),0,INDEX(Table2[GAS],MATCH(rrcworking[[#This Row],[Magnum Wolfpak '#]],Table2[Rox Wolf'#],0)))</f>
        <v>0</v>
      </c>
      <c r="W192" s="24"/>
      <c r="X192" s="135">
        <f>IF(rrcworking[[#This Row],[Pressure Base]]=14.73,rrcworking[[#This Row],[Gas Sales Statement Volume (MCF)]]*$R$2,rrcworking[[#This Row],[Gas Sales Statement Volume (MCF)]])</f>
        <v>0</v>
      </c>
      <c r="Y192" s="60"/>
      <c r="Z192" s="60"/>
      <c r="AA192" s="143">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t="s">
        <v>1272</v>
      </c>
      <c r="AE192" s="185">
        <f>COUNTIF(FilterList,rrcworking[[#This Row],[Magnum Wolfpak '#]])</f>
        <v>0</v>
      </c>
      <c r="AF192" s="182"/>
      <c r="AG192" s="183"/>
      <c r="AH192" s="37"/>
      <c r="AI192" s="183"/>
      <c r="AJ192" s="37">
        <v>2</v>
      </c>
      <c r="AK192" s="37" t="s">
        <v>1166</v>
      </c>
      <c r="AL192" s="37" t="s">
        <v>1166</v>
      </c>
      <c r="AM192" s="37" t="s">
        <v>1228</v>
      </c>
      <c r="AN192" s="37" t="s">
        <v>1166</v>
      </c>
      <c r="AO192" s="37" t="s">
        <v>1229</v>
      </c>
      <c r="AP192" s="37" t="s">
        <v>1230</v>
      </c>
      <c r="AQ192" s="37" t="s">
        <v>1196</v>
      </c>
    </row>
    <row r="193" spans="3:43" ht="15" hidden="1" thickBot="1">
      <c r="C193" s="80">
        <v>80001</v>
      </c>
      <c r="D193" s="62" t="s">
        <v>266</v>
      </c>
      <c r="E193" s="131" t="s">
        <v>267</v>
      </c>
      <c r="F193" s="129">
        <v>1</v>
      </c>
      <c r="G193" s="120" t="s">
        <v>1090</v>
      </c>
      <c r="H193" s="18" t="s">
        <v>618</v>
      </c>
      <c r="I193" s="18" t="s">
        <v>59</v>
      </c>
      <c r="J193" s="19" t="s">
        <v>522</v>
      </c>
      <c r="K193" s="103">
        <v>91859</v>
      </c>
      <c r="L193" s="102">
        <f>INDEX(Table1[Production],MATCH(rrcworking[[#This Row],[RRC ID Number]],Table1[RRC Identifier],0))</f>
        <v>47</v>
      </c>
      <c r="M193" s="32">
        <f>INDEX(Table1[Formation Production],MATCH(rrcworking[[#This Row],[RRC ID Number]],Table1[RRC Identifier],0))</f>
        <v>1792</v>
      </c>
      <c r="N193" s="33">
        <f>INDEX(Table1[On Hand End of Month],MATCH(rrcworking[[#This Row],[RRC ID Number]],Table1[RRC Identifier],0))</f>
        <v>99</v>
      </c>
      <c r="O193" s="108" t="b">
        <f t="shared" si="5"/>
        <v>0</v>
      </c>
      <c r="P193">
        <v>16</v>
      </c>
      <c r="Q193" s="127">
        <f>rrcworking[[#This Row],[Last Month Closing Stock]]</f>
        <v>99</v>
      </c>
      <c r="R193">
        <v>115</v>
      </c>
      <c r="S193" s="143">
        <f>IF(ISERROR(INDEX(Table2[OIL],MATCH(rrcworking[[#This Row],[Magnum Wolfpak '#]],Table2[Rox Wolf'#],0))),0,INDEX(Table2[OIL],MATCH(rrcworking[[#This Row],[Magnum Wolfpak '#]],Table2[Rox Wolf'#],0)))</f>
        <v>0</v>
      </c>
      <c r="T193" s="35">
        <f>rrcworking[[#This Row],[Closing Stock (Oil)]]+rrcworking[[#This Row],[Sales/Dispostion]]-rrcworking[[#This Row],[Opening Oil Stock]]</f>
        <v>16</v>
      </c>
      <c r="U193" s="112">
        <f>rrcworking[[#This Row],[Gauge Sheet Prod Volume (oil)]]-rrcworking[[#This Row],[Oil Production]]</f>
        <v>0</v>
      </c>
      <c r="V193" s="143">
        <f>IF(ISERROR(INDEX(Table2[GAS],MATCH(rrcworking[[#This Row],[Magnum Wolfpak '#]],Table2[Rox Wolf'#],0))),0,INDEX(Table2[GAS],MATCH(rrcworking[[#This Row],[Magnum Wolfpak '#]],Table2[Rox Wolf'#],0)))</f>
        <v>1623</v>
      </c>
      <c r="W193" s="24"/>
      <c r="X193" s="135">
        <f>IF(rrcworking[[#This Row],[Pressure Base]]=14.73,rrcworking[[#This Row],[Gas Sales Statement Volume (MCF)]]*$R$2,rrcworking[[#This Row],[Gas Sales Statement Volume (MCF)]])</f>
        <v>1623</v>
      </c>
      <c r="Y193" s="147"/>
      <c r="Z193" s="61">
        <v>4</v>
      </c>
      <c r="AA193" s="143">
        <f>IF(ISERROR(INDEX(Table2[LEASE USE],MATCH(rrcworking[[#This Row],[Magnum Wolfpak '#]],Table2[Rox Wolf'#],0))),0,INDEX(Table2[LEASE USE],MATCH(rrcworking[[#This Row],[Magnum Wolfpak '#]],Table2[Rox Wolf'#],0)))</f>
        <v>84</v>
      </c>
      <c r="AB193" s="58">
        <f>rrcworking[[#This Row],[Disposition Volume (MCF) @ 14.65 MCF]]+rrcworking[[#This Row],[Lease Use (MCF)]]</f>
        <v>1707</v>
      </c>
      <c r="AC193" s="37"/>
      <c r="AD193" s="37"/>
      <c r="AE193" s="185">
        <f>COUNTIF(FilterList,rrcworking[[#This Row],[Magnum Wolfpak '#]])</f>
        <v>0</v>
      </c>
      <c r="AF193" s="182"/>
      <c r="AG193" s="183"/>
      <c r="AH193" s="37"/>
      <c r="AI193" s="183"/>
      <c r="AJ193" s="37">
        <v>2</v>
      </c>
      <c r="AK193" s="37" t="s">
        <v>1166</v>
      </c>
      <c r="AL193" s="37" t="s">
        <v>1166</v>
      </c>
      <c r="AM193" s="37" t="s">
        <v>1213</v>
      </c>
      <c r="AN193" s="37" t="s">
        <v>1166</v>
      </c>
      <c r="AO193" s="37" t="s">
        <v>1177</v>
      </c>
      <c r="AP193" s="37" t="s">
        <v>1218</v>
      </c>
      <c r="AQ193" s="37"/>
    </row>
    <row r="194" spans="3:43" ht="15" hidden="1" thickBot="1">
      <c r="C194" s="80" t="e">
        <v>#N/A</v>
      </c>
      <c r="D194" s="62" t="s">
        <v>84</v>
      </c>
      <c r="E194" s="131" t="s">
        <v>85</v>
      </c>
      <c r="F194" s="129">
        <v>1</v>
      </c>
      <c r="G194" s="120" t="s">
        <v>1090</v>
      </c>
      <c r="H194" s="18" t="s">
        <v>617</v>
      </c>
      <c r="I194" s="18" t="s">
        <v>59</v>
      </c>
      <c r="J194" s="19" t="s">
        <v>419</v>
      </c>
      <c r="K194" s="103">
        <v>200152</v>
      </c>
      <c r="L194" s="101">
        <f>INDEX(Table1[Production],MATCH(rrcworking[[#This Row],[RRC ID Number]],Table1[RRC Identifier],0))</f>
        <v>0</v>
      </c>
      <c r="M194" s="30">
        <f>INDEX(Table1[Formation Production],MATCH(rrcworking[[#This Row],[RRC ID Number]],Table1[RRC Identifier],0))</f>
        <v>0</v>
      </c>
      <c r="N194" s="31">
        <f>INDEX(Table1[On Hand End of Month],MATCH(rrcworking[[#This Row],[RRC ID Number]],Table1[RRC Identifier],0))</f>
        <v>0</v>
      </c>
      <c r="O194" s="106" t="b">
        <f t="shared" si="5"/>
        <v>1</v>
      </c>
      <c r="Q194" s="127">
        <f>rrcworking[[#This Row],[Last Month Closing Stock]]</f>
        <v>0</v>
      </c>
      <c r="R194">
        <f>rrcworking[[#This Row],[Opening Oil Stock]]</f>
        <v>0</v>
      </c>
      <c r="S194" s="143">
        <f>IF(ISERROR(INDEX(Table2[OIL],MATCH(rrcworking[[#This Row],[Magnum Wolfpak '#]],Table2[Rox Wolf'#],0))),0,INDEX(Table2[OIL],MATCH(rrcworking[[#This Row],[Magnum Wolfpak '#]],Table2[Rox Wolf'#],0)))</f>
        <v>0</v>
      </c>
      <c r="T194" s="36">
        <f>rrcworking[[#This Row],[Closing Stock (Oil)]]+rrcworking[[#This Row],[Sales/Dispostion]]-rrcworking[[#This Row],[Opening Oil Stock]]</f>
        <v>0</v>
      </c>
      <c r="U194" s="112">
        <f>rrcworking[[#This Row],[Gauge Sheet Prod Volume (oil)]]-rrcworking[[#This Row],[Oil Production]]</f>
        <v>0</v>
      </c>
      <c r="V194" s="143">
        <f>IF(ISERROR(INDEX(Table2[GAS],MATCH(rrcworking[[#This Row],[Magnum Wolfpak '#]],Table2[Rox Wolf'#],0))),0,INDEX(Table2[GAS],MATCH(rrcworking[[#This Row],[Magnum Wolfpak '#]],Table2[Rox Wolf'#],0)))</f>
        <v>0</v>
      </c>
      <c r="W194" s="24"/>
      <c r="X194" s="137">
        <f>IF(rrcworking[[#This Row],[Pressure Base]]=14.73,rrcworking[[#This Row],[Gas Sales Statement Volume (MCF)]]*$R$2,rrcworking[[#This Row],[Gas Sales Statement Volume (MCF)]])</f>
        <v>0</v>
      </c>
      <c r="Y194" s="60"/>
      <c r="Z194" s="60"/>
      <c r="AA194" s="143">
        <f>IF(ISERROR(INDEX(Table2[LEASE USE],MATCH(rrcworking[[#This Row],[Magnum Wolfpak '#]],Table2[Rox Wolf'#],0))),0,INDEX(Table2[LEASE USE],MATCH(rrcworking[[#This Row],[Magnum Wolfpak '#]],Table2[Rox Wolf'#],0)))</f>
        <v>0</v>
      </c>
      <c r="AB194" s="60">
        <f>rrcworking[[#This Row],[Disposition Volume (MCF) @ 14.65 MCF]]+rrcworking[[#This Row],[Lease Use (MCF)]]</f>
        <v>0</v>
      </c>
      <c r="AC194" s="37"/>
      <c r="AD194" s="37"/>
      <c r="AE194" s="185">
        <f>COUNTIF(FilterList,rrcworking[[#This Row],[Magnum Wolfpak '#]])</f>
        <v>0</v>
      </c>
      <c r="AF194" s="182"/>
      <c r="AG194" s="183"/>
      <c r="AH194" s="37"/>
      <c r="AI194" s="37"/>
      <c r="AJ194" s="37"/>
      <c r="AK194" s="37"/>
      <c r="AL194" s="37"/>
      <c r="AM194" s="37"/>
      <c r="AN194" s="37"/>
      <c r="AO194" s="37"/>
      <c r="AP194" s="37"/>
      <c r="AQ194" s="37"/>
    </row>
    <row r="195" spans="3:43" ht="15" thickTop="1">
      <c r="C195" s="230">
        <f>SUBTOTAL(103,rrcworking[Magnum Wolfpak '#])</f>
        <v>16</v>
      </c>
      <c r="D195" s="231"/>
      <c r="E195" s="231" t="s">
        <v>625</v>
      </c>
      <c r="F195" s="232">
        <f>SUBTOTAL(103,rrcworking[Well Number])</f>
        <v>16</v>
      </c>
      <c r="G195" s="232"/>
      <c r="H195" s="232"/>
      <c r="I195" s="232"/>
      <c r="J195" s="233"/>
      <c r="K195" s="234"/>
      <c r="L195" s="235">
        <f>SUBTOTAL(109,rrcworking[[ Last Month Oil Production]])</f>
        <v>6050</v>
      </c>
      <c r="M195" s="231">
        <f>SUBTOTAL(109,rrcworking[Last Month Gas Prod])</f>
        <v>68894</v>
      </c>
      <c r="N195" s="231">
        <f>SUBTOTAL(109,rrcworking[Last Month Closing Stock])</f>
        <v>2462</v>
      </c>
      <c r="O195" s="236"/>
      <c r="P195" s="236"/>
      <c r="Q195" s="235">
        <f>SUBTOTAL(109,rrcworking[Opening Oil Stock])</f>
        <v>2462</v>
      </c>
      <c r="R195" s="231"/>
      <c r="S195" s="231">
        <f>SUBTOTAL(109,rrcworking[Sales/Dispostion])</f>
        <v>5514</v>
      </c>
      <c r="T195" s="231">
        <f>SUBTOTAL(109,rrcworking[Oil Production])</f>
        <v>5174</v>
      </c>
      <c r="U195" s="231"/>
      <c r="V195" s="237">
        <f>SUBTOTAL(109,rrcworking[Gas Sales Statement Volume (MCF)])</f>
        <v>73795</v>
      </c>
      <c r="W195" s="231"/>
      <c r="X195" s="238">
        <f>SUBTOTAL(109,rrcworking[Disposition Volume (MCF) @ 14.65 MCF])</f>
        <v>73795</v>
      </c>
      <c r="Y195" s="231"/>
      <c r="Z195" s="231"/>
      <c r="AA195" s="231">
        <f>SUBTOTAL(109,rrcworking[Lease Use (MCF)])</f>
        <v>1317</v>
      </c>
      <c r="AB195" s="238">
        <f>SUBTOTAL(109,rrcworking[Formation Production (MCF) @ 14.65 psi])</f>
        <v>75112</v>
      </c>
      <c r="AC195" s="239">
        <f>SUBTOTAL(103,rrcworking[Gas Comments])</f>
        <v>0</v>
      </c>
      <c r="AD195" s="239"/>
      <c r="AE195" s="231"/>
      <c r="AF195" s="239"/>
      <c r="AG195" s="239"/>
      <c r="AH195" s="239"/>
      <c r="AI195" s="239"/>
      <c r="AJ195" s="239"/>
      <c r="AK195" s="239"/>
      <c r="AL195" s="239"/>
      <c r="AM195" s="239"/>
      <c r="AN195" s="239"/>
      <c r="AO195" s="239"/>
      <c r="AP195" s="239"/>
      <c r="AQ195" s="240"/>
    </row>
    <row r="196" spans="3:43" ht="36">
      <c r="AB196" s="211" t="s">
        <v>1264</v>
      </c>
    </row>
  </sheetData>
  <mergeCells count="8">
    <mergeCell ref="AC4:AD4"/>
    <mergeCell ref="AH3:AQ3"/>
    <mergeCell ref="C2:G2"/>
    <mergeCell ref="V4:AB4"/>
    <mergeCell ref="P4:U4"/>
    <mergeCell ref="L4:O4"/>
    <mergeCell ref="C4:K4"/>
    <mergeCell ref="Z3:AB3"/>
  </mergeCells>
  <phoneticPr fontId="70" type="noConversion"/>
  <conditionalFormatting sqref="U6:U194">
    <cfRule type="expression" dxfId="165" priority="2">
      <formula>ABS($U6)&gt;20</formula>
    </cfRule>
  </conditionalFormatting>
  <conditionalFormatting sqref="T6:T194">
    <cfRule type="cellIs" dxfId="164" priority="1" operator="lessThan">
      <formula>0</formula>
    </cfRule>
  </conditionalFormatting>
  <pageMargins left="0.25" right="0.25" top="0.75" bottom="0.75" header="0.3" footer="0.3"/>
  <pageSetup scale="10" orientation="landscape" horizontalDpi="1200" verticalDpi="1200"/>
  <ignoredErrors>
    <ignoredError sqref="F45:F49" numberStoredAsText="1"/>
  </ignoredErrors>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 Controller'!$C$4:$C$5</xm:f>
          </x14:formula1>
          <xm:sqref>W6:W194</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F192"/>
  <sheetViews>
    <sheetView workbookViewId="0"/>
  </sheetViews>
  <sheetFormatPr baseColWidth="10" defaultColWidth="8.83203125" defaultRowHeight="12" x14ac:dyDescent="0"/>
  <sheetData>
    <row r="1" spans="1:6">
      <c r="A1" t="s">
        <v>1096</v>
      </c>
      <c r="E1" t="s">
        <v>1094</v>
      </c>
      <c r="F1" t="s">
        <v>1095</v>
      </c>
    </row>
    <row r="2" spans="1:6" ht="21">
      <c r="A2" s="45" t="s">
        <v>657</v>
      </c>
      <c r="E2" t="s">
        <v>74</v>
      </c>
    </row>
    <row r="3" spans="1:6" ht="21">
      <c r="A3" s="45" t="s">
        <v>676</v>
      </c>
      <c r="E3" t="s">
        <v>77</v>
      </c>
      <c r="F3">
        <v>99228</v>
      </c>
    </row>
    <row r="4" spans="1:6" ht="21">
      <c r="A4" s="45" t="s">
        <v>711</v>
      </c>
      <c r="E4" t="s">
        <v>80</v>
      </c>
      <c r="F4">
        <v>99017</v>
      </c>
    </row>
    <row r="5" spans="1:6" ht="21">
      <c r="A5" s="45" t="s">
        <v>713</v>
      </c>
      <c r="E5" t="s">
        <v>82</v>
      </c>
    </row>
    <row r="6" spans="1:6" ht="21">
      <c r="A6" s="45" t="s">
        <v>719</v>
      </c>
      <c r="E6" t="s">
        <v>85</v>
      </c>
    </row>
    <row r="7" spans="1:6" ht="21">
      <c r="A7" s="45" t="s">
        <v>721</v>
      </c>
      <c r="E7" t="s">
        <v>86</v>
      </c>
    </row>
    <row r="8" spans="1:6" ht="21">
      <c r="A8" s="45" t="s">
        <v>723</v>
      </c>
      <c r="E8" t="s">
        <v>88</v>
      </c>
    </row>
    <row r="9" spans="1:6" ht="21">
      <c r="A9" s="45" t="s">
        <v>725</v>
      </c>
      <c r="E9" t="s">
        <v>91</v>
      </c>
      <c r="F9">
        <v>34001</v>
      </c>
    </row>
    <row r="10" spans="1:6" ht="21">
      <c r="A10" s="45" t="s">
        <v>729</v>
      </c>
      <c r="E10" t="s">
        <v>93</v>
      </c>
      <c r="F10">
        <v>93701</v>
      </c>
    </row>
    <row r="11" spans="1:6" ht="21">
      <c r="A11" s="45" t="s">
        <v>738</v>
      </c>
      <c r="E11" t="s">
        <v>91</v>
      </c>
    </row>
    <row r="12" spans="1:6" ht="21">
      <c r="A12" s="126" t="s">
        <v>739</v>
      </c>
      <c r="E12" t="s">
        <v>96</v>
      </c>
      <c r="F12">
        <v>93806</v>
      </c>
    </row>
    <row r="13" spans="1:6">
      <c r="E13" t="s">
        <v>97</v>
      </c>
    </row>
    <row r="14" spans="1:6">
      <c r="E14" t="s">
        <v>96</v>
      </c>
    </row>
    <row r="15" spans="1:6">
      <c r="E15" t="s">
        <v>100</v>
      </c>
    </row>
    <row r="16" spans="1:6">
      <c r="E16" t="s">
        <v>102</v>
      </c>
      <c r="F16">
        <v>99102</v>
      </c>
    </row>
    <row r="17" spans="5:6">
      <c r="E17" t="s">
        <v>104</v>
      </c>
      <c r="F17">
        <v>98921</v>
      </c>
    </row>
    <row r="18" spans="5:6">
      <c r="E18" t="s">
        <v>106</v>
      </c>
    </row>
    <row r="19" spans="5:6">
      <c r="E19" t="s">
        <v>108</v>
      </c>
    </row>
    <row r="20" spans="5:6">
      <c r="E20" t="s">
        <v>110</v>
      </c>
    </row>
    <row r="21" spans="5:6">
      <c r="E21" t="s">
        <v>110</v>
      </c>
      <c r="F21">
        <v>99256</v>
      </c>
    </row>
    <row r="22" spans="5:6">
      <c r="E22" t="s">
        <v>112</v>
      </c>
    </row>
    <row r="23" spans="5:6">
      <c r="E23" t="s">
        <v>88</v>
      </c>
      <c r="F23">
        <v>99255</v>
      </c>
    </row>
    <row r="24" spans="5:6">
      <c r="E24" t="s">
        <v>115</v>
      </c>
    </row>
    <row r="25" spans="5:6">
      <c r="E25" t="s">
        <v>116</v>
      </c>
    </row>
    <row r="26" spans="5:6">
      <c r="E26" t="s">
        <v>118</v>
      </c>
    </row>
    <row r="27" spans="5:6">
      <c r="E27" t="s">
        <v>120</v>
      </c>
    </row>
    <row r="28" spans="5:6">
      <c r="E28" t="s">
        <v>120</v>
      </c>
    </row>
    <row r="29" spans="5:6">
      <c r="E29" t="s">
        <v>123</v>
      </c>
    </row>
    <row r="30" spans="5:6">
      <c r="E30" t="s">
        <v>123</v>
      </c>
    </row>
    <row r="31" spans="5:6">
      <c r="E31" t="s">
        <v>123</v>
      </c>
    </row>
    <row r="32" spans="5:6">
      <c r="E32" t="s">
        <v>127</v>
      </c>
    </row>
    <row r="33" spans="5:6">
      <c r="E33" t="s">
        <v>112</v>
      </c>
    </row>
    <row r="34" spans="5:6">
      <c r="E34" t="s">
        <v>130</v>
      </c>
      <c r="F34">
        <v>98201</v>
      </c>
    </row>
    <row r="35" spans="5:6">
      <c r="E35" t="s">
        <v>132</v>
      </c>
    </row>
    <row r="36" spans="5:6">
      <c r="E36" t="s">
        <v>134</v>
      </c>
    </row>
    <row r="37" spans="5:6">
      <c r="E37" t="s">
        <v>137</v>
      </c>
    </row>
    <row r="38" spans="5:6">
      <c r="E38" t="s">
        <v>136</v>
      </c>
    </row>
    <row r="39" spans="5:6">
      <c r="E39" t="s">
        <v>139</v>
      </c>
    </row>
    <row r="40" spans="5:6">
      <c r="E40" t="s">
        <v>141</v>
      </c>
    </row>
    <row r="41" spans="5:6">
      <c r="E41" t="s">
        <v>141</v>
      </c>
    </row>
    <row r="42" spans="5:6">
      <c r="E42" t="s">
        <v>142</v>
      </c>
      <c r="F42">
        <v>98915</v>
      </c>
    </row>
    <row r="43" spans="5:6">
      <c r="E43" t="s">
        <v>144</v>
      </c>
    </row>
    <row r="44" spans="5:6">
      <c r="E44" t="s">
        <v>146</v>
      </c>
    </row>
    <row r="45" spans="5:6">
      <c r="E45" t="s">
        <v>148</v>
      </c>
      <c r="F45">
        <v>99270</v>
      </c>
    </row>
    <row r="46" spans="5:6">
      <c r="E46" t="s">
        <v>150</v>
      </c>
    </row>
    <row r="47" spans="5:6">
      <c r="E47" t="s">
        <v>152</v>
      </c>
    </row>
    <row r="48" spans="5:6">
      <c r="E48" t="s">
        <v>153</v>
      </c>
    </row>
    <row r="49" spans="5:6">
      <c r="E49" t="s">
        <v>152</v>
      </c>
    </row>
    <row r="50" spans="5:6">
      <c r="E50" t="s">
        <v>155</v>
      </c>
      <c r="F50">
        <v>99288</v>
      </c>
    </row>
    <row r="51" spans="5:6">
      <c r="E51" t="s">
        <v>157</v>
      </c>
    </row>
    <row r="52" spans="5:6">
      <c r="E52" t="s">
        <v>152</v>
      </c>
    </row>
    <row r="53" spans="5:6">
      <c r="E53" t="s">
        <v>160</v>
      </c>
    </row>
    <row r="54" spans="5:6">
      <c r="E54" t="s">
        <v>162</v>
      </c>
    </row>
    <row r="55" spans="5:6">
      <c r="E55" t="s">
        <v>164</v>
      </c>
    </row>
    <row r="56" spans="5:6">
      <c r="E56" t="s">
        <v>166</v>
      </c>
    </row>
    <row r="57" spans="5:6">
      <c r="E57" t="s">
        <v>168</v>
      </c>
      <c r="F57">
        <v>99194</v>
      </c>
    </row>
    <row r="58" spans="5:6">
      <c r="E58" t="s">
        <v>170</v>
      </c>
    </row>
    <row r="59" spans="5:6">
      <c r="E59" t="s">
        <v>170</v>
      </c>
      <c r="F59">
        <v>99230</v>
      </c>
    </row>
    <row r="60" spans="5:6">
      <c r="E60" t="s">
        <v>173</v>
      </c>
    </row>
    <row r="61" spans="5:6">
      <c r="E61" t="s">
        <v>175</v>
      </c>
      <c r="F61">
        <v>99278</v>
      </c>
    </row>
    <row r="62" spans="5:6">
      <c r="E62" t="s">
        <v>157</v>
      </c>
    </row>
    <row r="63" spans="5:6">
      <c r="E63" t="s">
        <v>179</v>
      </c>
    </row>
    <row r="64" spans="5:6">
      <c r="E64" t="s">
        <v>181</v>
      </c>
      <c r="F64">
        <v>99293</v>
      </c>
    </row>
    <row r="65" spans="5:6">
      <c r="E65" t="s">
        <v>181</v>
      </c>
      <c r="F65">
        <v>99286</v>
      </c>
    </row>
    <row r="66" spans="5:6">
      <c r="E66" t="s">
        <v>181</v>
      </c>
      <c r="F66">
        <v>99295</v>
      </c>
    </row>
    <row r="67" spans="5:6">
      <c r="E67" t="s">
        <v>181</v>
      </c>
      <c r="F67">
        <v>99294</v>
      </c>
    </row>
    <row r="68" spans="5:6">
      <c r="E68" t="s">
        <v>186</v>
      </c>
    </row>
    <row r="69" spans="5:6">
      <c r="E69" t="s">
        <v>188</v>
      </c>
      <c r="F69">
        <v>99140</v>
      </c>
    </row>
    <row r="70" spans="5:6">
      <c r="E70" t="s">
        <v>191</v>
      </c>
      <c r="F70">
        <v>98965</v>
      </c>
    </row>
    <row r="71" spans="5:6">
      <c r="E71" t="s">
        <v>190</v>
      </c>
    </row>
    <row r="72" spans="5:6">
      <c r="E72" t="s">
        <v>193</v>
      </c>
      <c r="F72" t="s">
        <v>811</v>
      </c>
    </row>
    <row r="73" spans="5:6">
      <c r="E73" t="s">
        <v>195</v>
      </c>
    </row>
    <row r="74" spans="5:6">
      <c r="E74" t="s">
        <v>197</v>
      </c>
    </row>
    <row r="75" spans="5:6">
      <c r="E75" t="s">
        <v>199</v>
      </c>
      <c r="F75">
        <v>99302</v>
      </c>
    </row>
    <row r="76" spans="5:6">
      <c r="E76" t="s">
        <v>200</v>
      </c>
      <c r="F76">
        <v>99296</v>
      </c>
    </row>
    <row r="77" spans="5:6">
      <c r="E77" t="s">
        <v>202</v>
      </c>
      <c r="F77">
        <v>99305</v>
      </c>
    </row>
    <row r="78" spans="5:6">
      <c r="E78" t="s">
        <v>204</v>
      </c>
    </row>
    <row r="79" spans="5:6">
      <c r="E79" t="s">
        <v>207</v>
      </c>
      <c r="F79">
        <v>99101</v>
      </c>
    </row>
    <row r="80" spans="5:6">
      <c r="E80" t="s">
        <v>213</v>
      </c>
    </row>
    <row r="81" spans="5:6">
      <c r="E81" t="s">
        <v>210</v>
      </c>
    </row>
    <row r="82" spans="5:6">
      <c r="E82" t="s">
        <v>211</v>
      </c>
      <c r="F82">
        <v>99159</v>
      </c>
    </row>
    <row r="83" spans="5:6">
      <c r="E83" t="s">
        <v>212</v>
      </c>
      <c r="F83">
        <v>99186</v>
      </c>
    </row>
    <row r="84" spans="5:6">
      <c r="E84" t="s">
        <v>211</v>
      </c>
    </row>
    <row r="85" spans="5:6">
      <c r="E85" t="s">
        <v>216</v>
      </c>
    </row>
    <row r="86" spans="5:6">
      <c r="E86" t="s">
        <v>218</v>
      </c>
    </row>
    <row r="87" spans="5:6">
      <c r="E87" t="s">
        <v>220</v>
      </c>
      <c r="F87">
        <v>99161</v>
      </c>
    </row>
    <row r="88" spans="5:6">
      <c r="E88" t="s">
        <v>222</v>
      </c>
      <c r="F88">
        <v>99229</v>
      </c>
    </row>
    <row r="89" spans="5:6">
      <c r="E89" t="s">
        <v>224</v>
      </c>
    </row>
    <row r="90" spans="5:6">
      <c r="E90" t="s">
        <v>222</v>
      </c>
    </row>
    <row r="91" spans="5:6">
      <c r="E91" t="s">
        <v>228</v>
      </c>
    </row>
    <row r="92" spans="5:6">
      <c r="E92" t="s">
        <v>229</v>
      </c>
    </row>
    <row r="93" spans="5:6">
      <c r="E93" t="s">
        <v>231</v>
      </c>
    </row>
    <row r="94" spans="5:6">
      <c r="E94" t="s">
        <v>233</v>
      </c>
      <c r="F94">
        <v>599109</v>
      </c>
    </row>
    <row r="95" spans="5:6">
      <c r="E95" t="s">
        <v>235</v>
      </c>
      <c r="F95" t="s">
        <v>816</v>
      </c>
    </row>
    <row r="96" spans="5:6">
      <c r="E96" t="s">
        <v>233</v>
      </c>
    </row>
    <row r="97" spans="5:6">
      <c r="E97" t="s">
        <v>238</v>
      </c>
    </row>
    <row r="98" spans="5:6">
      <c r="E98" t="s">
        <v>240</v>
      </c>
    </row>
    <row r="99" spans="5:6">
      <c r="E99" t="s">
        <v>242</v>
      </c>
    </row>
    <row r="100" spans="5:6">
      <c r="E100" t="s">
        <v>244</v>
      </c>
      <c r="F100">
        <v>98801</v>
      </c>
    </row>
    <row r="101" spans="5:6">
      <c r="E101" t="s">
        <v>246</v>
      </c>
      <c r="F101">
        <v>48001</v>
      </c>
    </row>
    <row r="102" spans="5:6">
      <c r="E102" t="s">
        <v>248</v>
      </c>
    </row>
    <row r="103" spans="5:6">
      <c r="E103" t="s">
        <v>248</v>
      </c>
    </row>
    <row r="104" spans="5:6">
      <c r="E104" t="s">
        <v>251</v>
      </c>
      <c r="F104">
        <v>99246</v>
      </c>
    </row>
    <row r="105" spans="5:6">
      <c r="E105" t="s">
        <v>254</v>
      </c>
      <c r="F105">
        <v>99307</v>
      </c>
    </row>
    <row r="106" spans="5:6">
      <c r="E106" t="s">
        <v>251</v>
      </c>
      <c r="F106">
        <v>99312</v>
      </c>
    </row>
    <row r="107" spans="5:6">
      <c r="E107" t="s">
        <v>257</v>
      </c>
    </row>
    <row r="108" spans="5:6">
      <c r="E108" t="s">
        <v>259</v>
      </c>
    </row>
    <row r="109" spans="5:6">
      <c r="E109" t="s">
        <v>261</v>
      </c>
      <c r="F109">
        <v>98401</v>
      </c>
    </row>
    <row r="110" spans="5:6">
      <c r="E110" t="s">
        <v>263</v>
      </c>
    </row>
    <row r="111" spans="5:6">
      <c r="E111" t="s">
        <v>265</v>
      </c>
      <c r="F111">
        <v>96901</v>
      </c>
    </row>
    <row r="112" spans="5:6">
      <c r="E112" t="s">
        <v>267</v>
      </c>
      <c r="F112">
        <v>80001</v>
      </c>
    </row>
    <row r="113" spans="5:6">
      <c r="E113" t="s">
        <v>269</v>
      </c>
    </row>
    <row r="114" spans="5:6">
      <c r="E114" t="s">
        <v>271</v>
      </c>
    </row>
    <row r="115" spans="5:6">
      <c r="E115" t="s">
        <v>273</v>
      </c>
    </row>
    <row r="116" spans="5:6">
      <c r="E116" t="s">
        <v>275</v>
      </c>
    </row>
    <row r="117" spans="5:6">
      <c r="E117" t="s">
        <v>276</v>
      </c>
      <c r="F117">
        <v>98987</v>
      </c>
    </row>
    <row r="118" spans="5:6">
      <c r="E118" t="s">
        <v>277</v>
      </c>
      <c r="F118">
        <v>98956</v>
      </c>
    </row>
    <row r="119" spans="5:6">
      <c r="E119" t="s">
        <v>278</v>
      </c>
      <c r="F119">
        <v>98959</v>
      </c>
    </row>
    <row r="120" spans="5:6">
      <c r="E120" t="s">
        <v>279</v>
      </c>
      <c r="F120">
        <v>98955</v>
      </c>
    </row>
    <row r="121" spans="5:6">
      <c r="E121" t="s">
        <v>280</v>
      </c>
      <c r="F121">
        <v>99007</v>
      </c>
    </row>
    <row r="122" spans="5:6">
      <c r="E122" t="s">
        <v>280</v>
      </c>
      <c r="F122">
        <v>98988</v>
      </c>
    </row>
    <row r="123" spans="5:6">
      <c r="E123" t="s">
        <v>278</v>
      </c>
    </row>
    <row r="124" spans="5:6">
      <c r="E124" t="s">
        <v>278</v>
      </c>
      <c r="F124">
        <v>98958</v>
      </c>
    </row>
    <row r="125" spans="5:6">
      <c r="E125" t="s">
        <v>282</v>
      </c>
      <c r="F125">
        <v>98910</v>
      </c>
    </row>
    <row r="126" spans="5:6">
      <c r="E126" t="s">
        <v>283</v>
      </c>
    </row>
    <row r="127" spans="5:6">
      <c r="E127" t="s">
        <v>285</v>
      </c>
      <c r="F127">
        <v>96701</v>
      </c>
    </row>
    <row r="128" spans="5:6">
      <c r="E128" t="s">
        <v>287</v>
      </c>
      <c r="F128">
        <v>96501</v>
      </c>
    </row>
    <row r="129" spans="5:6">
      <c r="E129" t="s">
        <v>289</v>
      </c>
    </row>
    <row r="130" spans="5:6">
      <c r="E130" t="s">
        <v>291</v>
      </c>
      <c r="F130">
        <v>82001</v>
      </c>
    </row>
    <row r="131" spans="5:6">
      <c r="E131" t="s">
        <v>285</v>
      </c>
    </row>
    <row r="132" spans="5:6">
      <c r="E132" t="s">
        <v>293</v>
      </c>
    </row>
    <row r="133" spans="5:6">
      <c r="E133" t="s">
        <v>295</v>
      </c>
    </row>
    <row r="134" spans="5:6">
      <c r="E134" t="s">
        <v>295</v>
      </c>
      <c r="F134">
        <v>98961</v>
      </c>
    </row>
    <row r="135" spans="5:6">
      <c r="E135" t="s">
        <v>295</v>
      </c>
    </row>
    <row r="136" spans="5:6">
      <c r="E136" t="s">
        <v>295</v>
      </c>
    </row>
    <row r="137" spans="5:6">
      <c r="E137" t="s">
        <v>298</v>
      </c>
    </row>
    <row r="138" spans="5:6">
      <c r="E138" t="s">
        <v>300</v>
      </c>
    </row>
    <row r="139" spans="5:6">
      <c r="E139" t="s">
        <v>303</v>
      </c>
    </row>
    <row r="140" spans="5:6">
      <c r="E140" t="s">
        <v>305</v>
      </c>
    </row>
    <row r="141" spans="5:6">
      <c r="E141" t="s">
        <v>181</v>
      </c>
    </row>
    <row r="142" spans="5:6">
      <c r="E142" t="s">
        <v>310</v>
      </c>
    </row>
    <row r="143" spans="5:6">
      <c r="E143" t="s">
        <v>309</v>
      </c>
      <c r="F143">
        <v>98979</v>
      </c>
    </row>
    <row r="144" spans="5:6">
      <c r="E144" t="s">
        <v>312</v>
      </c>
    </row>
    <row r="145" spans="5:6">
      <c r="E145" t="s">
        <v>314</v>
      </c>
    </row>
    <row r="146" spans="5:6">
      <c r="E146" t="s">
        <v>316</v>
      </c>
    </row>
    <row r="147" spans="5:6">
      <c r="E147" t="s">
        <v>318</v>
      </c>
    </row>
    <row r="148" spans="5:6">
      <c r="E148" t="s">
        <v>320</v>
      </c>
    </row>
    <row r="149" spans="5:6">
      <c r="E149" t="s">
        <v>322</v>
      </c>
    </row>
    <row r="150" spans="5:6">
      <c r="E150" t="s">
        <v>324</v>
      </c>
    </row>
    <row r="151" spans="5:6">
      <c r="E151" t="s">
        <v>326</v>
      </c>
    </row>
    <row r="152" spans="5:6">
      <c r="E152" t="s">
        <v>326</v>
      </c>
    </row>
    <row r="153" spans="5:6">
      <c r="E153" t="s">
        <v>327</v>
      </c>
    </row>
    <row r="154" spans="5:6">
      <c r="E154" t="s">
        <v>326</v>
      </c>
    </row>
    <row r="155" spans="5:6">
      <c r="E155" t="s">
        <v>329</v>
      </c>
    </row>
    <row r="156" spans="5:6">
      <c r="E156" t="s">
        <v>331</v>
      </c>
    </row>
    <row r="157" spans="5:6">
      <c r="E157" t="s">
        <v>333</v>
      </c>
    </row>
    <row r="158" spans="5:6">
      <c r="E158" t="s">
        <v>335</v>
      </c>
    </row>
    <row r="159" spans="5:6">
      <c r="E159" t="s">
        <v>336</v>
      </c>
    </row>
    <row r="160" spans="5:6">
      <c r="E160" t="s">
        <v>338</v>
      </c>
      <c r="F160">
        <v>99093</v>
      </c>
    </row>
    <row r="161" spans="5:6">
      <c r="E161" t="s">
        <v>338</v>
      </c>
    </row>
    <row r="162" spans="5:6">
      <c r="E162" t="s">
        <v>340</v>
      </c>
      <c r="F162">
        <v>98990</v>
      </c>
    </row>
    <row r="163" spans="5:6">
      <c r="E163" t="s">
        <v>342</v>
      </c>
    </row>
    <row r="164" spans="5:6">
      <c r="E164" t="s">
        <v>344</v>
      </c>
      <c r="F164">
        <v>99058</v>
      </c>
    </row>
    <row r="165" spans="5:6">
      <c r="E165" t="s">
        <v>344</v>
      </c>
    </row>
    <row r="166" spans="5:6">
      <c r="E166" t="s">
        <v>344</v>
      </c>
    </row>
    <row r="167" spans="5:6">
      <c r="E167" t="s">
        <v>344</v>
      </c>
    </row>
    <row r="168" spans="5:6">
      <c r="E168" t="s">
        <v>352</v>
      </c>
      <c r="F168">
        <v>99067</v>
      </c>
    </row>
    <row r="169" spans="5:6">
      <c r="E169" t="s">
        <v>354</v>
      </c>
      <c r="F169">
        <v>99113</v>
      </c>
    </row>
    <row r="170" spans="5:6">
      <c r="E170" t="s">
        <v>355</v>
      </c>
      <c r="F170">
        <v>99065</v>
      </c>
    </row>
    <row r="171" spans="5:6">
      <c r="E171" t="s">
        <v>356</v>
      </c>
    </row>
    <row r="172" spans="5:6">
      <c r="E172" t="s">
        <v>358</v>
      </c>
      <c r="F172">
        <v>99069</v>
      </c>
    </row>
    <row r="173" spans="5:6">
      <c r="E173" t="s">
        <v>360</v>
      </c>
    </row>
    <row r="174" spans="5:6">
      <c r="E174" t="s">
        <v>362</v>
      </c>
      <c r="F174">
        <v>99134</v>
      </c>
    </row>
    <row r="175" spans="5:6">
      <c r="E175" t="s">
        <v>365</v>
      </c>
    </row>
    <row r="176" spans="5:6">
      <c r="E176" t="s">
        <v>367</v>
      </c>
    </row>
    <row r="177" spans="5:6">
      <c r="E177" t="s">
        <v>369</v>
      </c>
    </row>
    <row r="178" spans="5:6">
      <c r="E178" t="s">
        <v>371</v>
      </c>
    </row>
    <row r="179" spans="5:6">
      <c r="E179" t="s">
        <v>373</v>
      </c>
    </row>
    <row r="180" spans="5:6">
      <c r="E180" t="s">
        <v>338</v>
      </c>
      <c r="F180">
        <v>99095</v>
      </c>
    </row>
    <row r="181" spans="5:6">
      <c r="E181" t="s">
        <v>338</v>
      </c>
      <c r="F181">
        <v>99094</v>
      </c>
    </row>
    <row r="182" spans="5:6">
      <c r="E182" t="s">
        <v>376</v>
      </c>
    </row>
    <row r="183" spans="5:6">
      <c r="E183" t="s">
        <v>378</v>
      </c>
    </row>
    <row r="184" spans="5:6">
      <c r="E184" t="s">
        <v>380</v>
      </c>
    </row>
    <row r="185" spans="5:6">
      <c r="E185" t="s">
        <v>382</v>
      </c>
      <c r="F185">
        <v>99132</v>
      </c>
    </row>
    <row r="186" spans="5:6">
      <c r="E186" t="s">
        <v>383</v>
      </c>
    </row>
    <row r="187" spans="5:6">
      <c r="E187" t="s">
        <v>385</v>
      </c>
    </row>
    <row r="188" spans="5:6">
      <c r="E188" t="s">
        <v>387</v>
      </c>
    </row>
    <row r="189" spans="5:6">
      <c r="E189" t="s">
        <v>389</v>
      </c>
    </row>
    <row r="190" spans="5:6">
      <c r="E190" t="s">
        <v>385</v>
      </c>
      <c r="F190">
        <v>99128</v>
      </c>
    </row>
    <row r="191" spans="5:6">
      <c r="E191" t="s">
        <v>393</v>
      </c>
    </row>
    <row r="192" spans="5:6">
      <c r="E192" t="s">
        <v>794</v>
      </c>
      <c r="F192">
        <v>99297</v>
      </c>
    </row>
  </sheetData>
  <pageMargins left="0.7" right="0.7" top="0.75" bottom="0.75" header="0.3" footer="0.3"/>
  <tableParts count="2">
    <tablePart r:id="rId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1:AC96"/>
  <sheetViews>
    <sheetView workbookViewId="0">
      <selection activeCell="S16" sqref="S16"/>
    </sheetView>
  </sheetViews>
  <sheetFormatPr baseColWidth="10" defaultColWidth="8.83203125" defaultRowHeight="12" x14ac:dyDescent="0"/>
  <cols>
    <col min="1" max="1" width="16.6640625" style="25" customWidth="1"/>
    <col min="2" max="2" width="30.83203125" style="17" bestFit="1" customWidth="1"/>
    <col min="3" max="3" width="8.83203125" style="156"/>
    <col min="4" max="4" width="22.33203125" style="156"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8.83203125" style="25"/>
    <col min="14" max="14" width="24.5" style="25" bestFit="1" customWidth="1"/>
    <col min="15" max="16384" width="8.83203125" style="25"/>
  </cols>
  <sheetData>
    <row r="1" spans="1:29" s="149" customFormat="1" ht="20">
      <c r="A1" s="269"/>
      <c r="B1" s="269"/>
      <c r="C1" s="269"/>
      <c r="D1" s="269"/>
      <c r="E1" s="269"/>
    </row>
    <row r="2" spans="1:29" s="149" customFormat="1" ht="20">
      <c r="A2" s="270"/>
      <c r="B2" s="270"/>
      <c r="C2" s="270"/>
      <c r="D2" s="270"/>
      <c r="E2" s="270"/>
      <c r="F2" s="194" t="s">
        <v>1144</v>
      </c>
      <c r="G2" s="195"/>
      <c r="H2" s="195"/>
      <c r="I2" s="195"/>
      <c r="J2" s="195"/>
      <c r="K2" s="195"/>
      <c r="L2" s="195"/>
      <c r="M2" s="195"/>
      <c r="N2" s="195"/>
      <c r="O2" s="195"/>
      <c r="P2" s="195"/>
      <c r="Q2" s="195"/>
      <c r="R2" s="195"/>
      <c r="S2" s="195"/>
      <c r="T2" s="195"/>
      <c r="U2" s="195"/>
      <c r="V2" s="195"/>
      <c r="W2" s="195"/>
      <c r="X2" s="195"/>
      <c r="Y2" s="195"/>
      <c r="Z2" s="195"/>
      <c r="AA2" s="195"/>
      <c r="AB2" s="195"/>
      <c r="AC2" s="195"/>
    </row>
    <row r="3" spans="1:29" s="149" customFormat="1" ht="20">
      <c r="B3" s="150"/>
      <c r="C3" s="151"/>
      <c r="D3" s="151"/>
      <c r="E3" s="150"/>
    </row>
    <row r="4" spans="1:29" ht="48.75" customHeight="1">
      <c r="A4" s="152" t="s">
        <v>1114</v>
      </c>
      <c r="B4" s="153" t="s">
        <v>824</v>
      </c>
      <c r="C4" s="154" t="s">
        <v>745</v>
      </c>
      <c r="D4" s="155" t="s">
        <v>746</v>
      </c>
      <c r="E4" s="154" t="s">
        <v>747</v>
      </c>
      <c r="F4" s="25" t="s">
        <v>1109</v>
      </c>
      <c r="G4" s="25" t="s">
        <v>1110</v>
      </c>
      <c r="H4" s="25" t="s">
        <v>1111</v>
      </c>
      <c r="I4" s="25" t="s">
        <v>1112</v>
      </c>
      <c r="J4" s="25" t="s">
        <v>1113</v>
      </c>
      <c r="K4" s="152" t="s">
        <v>1129</v>
      </c>
      <c r="M4"/>
      <c r="N4" t="s">
        <v>1279</v>
      </c>
    </row>
    <row r="5" spans="1:29" s="149" customFormat="1" ht="20">
      <c r="A5">
        <v>99265</v>
      </c>
      <c r="B5" t="s">
        <v>1119</v>
      </c>
      <c r="C5" s="161">
        <f>ROUND(INDEX(Table4[OIL],MATCH(Table2[[#This Row],[Rox Wolf'#]],Table4[Wolf],0)),0)</f>
        <v>0</v>
      </c>
      <c r="D5" s="161">
        <f>INDEX(Table4[GAS],MATCH(Table2[[#This Row],[Rox Wolf'#]],Table4[Wolf],0))</f>
        <v>6226</v>
      </c>
      <c r="E5" s="161">
        <f>INDEX(Table4[LEASE USE],MATCH(Table2[[#This Row],[Rox Wolf'#]],Table4[Wolf],0))</f>
        <v>216</v>
      </c>
      <c r="F5" s="163"/>
      <c r="G5" s="163"/>
      <c r="H5" s="163"/>
      <c r="I5" s="163"/>
      <c r="J5" s="159">
        <f>COUNTIF(FilterList,#REF!)</f>
        <v>0</v>
      </c>
      <c r="K5" s="163"/>
      <c r="M5" s="25"/>
      <c r="N5" s="243">
        <v>99265</v>
      </c>
    </row>
    <row r="6" spans="1:29" ht="14">
      <c r="A6">
        <v>99266</v>
      </c>
      <c r="B6" t="s">
        <v>1120</v>
      </c>
      <c r="C6" s="161">
        <f>ROUND(INDEX(Table4[OIL],MATCH(Table2[[#This Row],[Rox Wolf'#]],Table4[Wolf],0)),0)</f>
        <v>0</v>
      </c>
      <c r="D6" s="169">
        <f>INDEX(Table4[GAS],MATCH(Table2[[#This Row],[Rox Wolf'#]],Table4[Wolf],0))</f>
        <v>2337</v>
      </c>
      <c r="E6" s="169">
        <f>INDEX(Table4[LEASE USE],MATCH(Table2[[#This Row],[Rox Wolf'#]],Table4[Wolf],0))</f>
        <v>81</v>
      </c>
      <c r="F6" s="163"/>
      <c r="G6" s="163"/>
      <c r="H6" s="163"/>
      <c r="I6" s="163"/>
      <c r="J6" s="159">
        <f>COUNTIF(FilterList,#REF!)</f>
        <v>0</v>
      </c>
      <c r="K6" s="163"/>
      <c r="N6" s="244">
        <v>99266</v>
      </c>
    </row>
    <row r="7" spans="1:29" ht="14">
      <c r="A7">
        <v>99267</v>
      </c>
      <c r="B7" t="s">
        <v>1121</v>
      </c>
      <c r="C7" s="161">
        <f>ROUND(INDEX(Table4[OIL],MATCH(Table2[[#This Row],[Rox Wolf'#]],Table4[Wolf],0)),0)</f>
        <v>0</v>
      </c>
      <c r="D7" s="169">
        <f>INDEX(Table4[GAS],MATCH(Table2[[#This Row],[Rox Wolf'#]],Table4[Wolf],0))</f>
        <v>303</v>
      </c>
      <c r="E7" s="169">
        <f>INDEX(Table4[LEASE USE],MATCH(Table2[[#This Row],[Rox Wolf'#]],Table4[Wolf],0))</f>
        <v>22</v>
      </c>
      <c r="F7" s="163"/>
      <c r="G7" s="163"/>
      <c r="H7" s="163"/>
      <c r="I7" s="163"/>
      <c r="J7" s="159">
        <f>COUNTIF(FilterList,#REF!)</f>
        <v>0</v>
      </c>
      <c r="K7" s="163"/>
      <c r="N7" s="243">
        <v>99267</v>
      </c>
    </row>
    <row r="8" spans="1:29" ht="14">
      <c r="A8">
        <v>99229</v>
      </c>
      <c r="B8" t="s">
        <v>748</v>
      </c>
      <c r="C8" s="162">
        <f>ROUND(INDEX(Table4[OIL],MATCH(Table2[[#This Row],[Rox Wolf'#]],Table4[Wolf],0)),0)</f>
        <v>176</v>
      </c>
      <c r="D8" s="168">
        <f>INDEX(Table4[GAS],MATCH(Table2[[#This Row],[Rox Wolf'#]],Table4[Wolf],0))</f>
        <v>0</v>
      </c>
      <c r="E8" s="162">
        <f>INDEX(Table4[LEASE USE],MATCH(Table2[[#This Row],[Rox Wolf'#]],Table4[Wolf],0))</f>
        <v>0</v>
      </c>
      <c r="F8" s="163"/>
      <c r="G8" s="163"/>
      <c r="H8" s="163"/>
      <c r="I8" s="163"/>
      <c r="J8" s="159">
        <f>COUNTIF(FilterList,#REF!)</f>
        <v>0</v>
      </c>
      <c r="K8" s="163"/>
      <c r="N8" s="244">
        <v>99229</v>
      </c>
    </row>
    <row r="9" spans="1:29" ht="14">
      <c r="A9" s="193">
        <v>99282</v>
      </c>
      <c r="B9" s="193" t="s">
        <v>1265</v>
      </c>
      <c r="C9" s="162">
        <f>ROUND(INDEX(Table4[OIL],MATCH(Table2[[#This Row],[Rox Wolf'#]],Table4[Wolf],0)),0)</f>
        <v>179</v>
      </c>
      <c r="D9" s="168">
        <f>INDEX(Table4[GAS],MATCH(Table2[[#This Row],[Rox Wolf'#]],Table4[Wolf],0))</f>
        <v>0</v>
      </c>
      <c r="E9" s="162">
        <f>INDEX(Table4[LEASE USE],MATCH(Table2[[#This Row],[Rox Wolf'#]],Table4[Wolf],0))</f>
        <v>0</v>
      </c>
      <c r="F9" s="163"/>
      <c r="G9" s="163"/>
      <c r="H9" s="163"/>
      <c r="I9" s="163"/>
      <c r="J9" s="159">
        <f>COUNTIF(FilterList,#REF!)</f>
        <v>0</v>
      </c>
      <c r="K9" s="163"/>
      <c r="N9" s="243">
        <v>99282</v>
      </c>
    </row>
    <row r="10" spans="1:29" ht="14">
      <c r="A10">
        <v>93701</v>
      </c>
      <c r="B10" t="s">
        <v>795</v>
      </c>
      <c r="C10" s="162">
        <f>ROUND(INDEX(Table4[OIL],MATCH(Table2[[#This Row],[Rox Wolf'#]],Table4[Wolf],0)),0)</f>
        <v>0</v>
      </c>
      <c r="D10" s="168">
        <f>INDEX(Table4[GAS],MATCH(Table2[[#This Row],[Rox Wolf'#]],Table4[Wolf],0))</f>
        <v>6</v>
      </c>
      <c r="E10" s="162">
        <f>INDEX(Table4[LEASE USE],MATCH(Table2[[#This Row],[Rox Wolf'#]],Table4[Wolf],0))</f>
        <v>0</v>
      </c>
      <c r="F10" s="163"/>
      <c r="G10" s="163"/>
      <c r="H10" s="163"/>
      <c r="I10" s="163"/>
      <c r="J10" s="159">
        <f>COUNTIF(FilterList,#REF!)</f>
        <v>0</v>
      </c>
      <c r="K10" s="163"/>
      <c r="N10" s="244">
        <v>93701</v>
      </c>
    </row>
    <row r="11" spans="1:29" ht="14" hidden="1">
      <c r="A11">
        <v>99170</v>
      </c>
      <c r="B11" t="s">
        <v>797</v>
      </c>
      <c r="C11" s="162">
        <f>ROUND(INDEX(Table4[OIL],MATCH(Table2[[#This Row],[Rox Wolf'#]],Table4[Wolf],0)),0)</f>
        <v>0</v>
      </c>
      <c r="D11" s="168">
        <f>INDEX(Table4[GAS],MATCH(Table2[[#This Row],[Rox Wolf'#]],Table4[Wolf],0))</f>
        <v>0</v>
      </c>
      <c r="E11" s="162">
        <f>INDEX(Table4[LEASE USE],MATCH(Table2[[#This Row],[Rox Wolf'#]],Table4[Wolf],0))</f>
        <v>0</v>
      </c>
      <c r="F11" s="163"/>
      <c r="G11" s="163"/>
      <c r="H11" s="163"/>
      <c r="I11" s="163"/>
      <c r="J11" s="159">
        <f>COUNTIF(FilterList,#REF!)</f>
        <v>0</v>
      </c>
      <c r="K11" s="164" t="s">
        <v>1130</v>
      </c>
      <c r="M11"/>
      <c r="N11" s="243">
        <v>99170</v>
      </c>
    </row>
    <row r="12" spans="1:29" ht="14">
      <c r="A12">
        <v>96701</v>
      </c>
      <c r="B12" t="s">
        <v>749</v>
      </c>
      <c r="C12" s="162">
        <f>ROUND(INDEX(Table4[OIL],MATCH(Table2[[#This Row],[Rox Wolf'#]],Table4[Wolf],0)),0)</f>
        <v>0</v>
      </c>
      <c r="D12" s="168">
        <f>INDEX(Table4[GAS],MATCH(Table2[[#This Row],[Rox Wolf'#]],Table4[Wolf],0))</f>
        <v>0</v>
      </c>
      <c r="E12" s="162">
        <f>INDEX(Table4[LEASE USE],MATCH(Table2[[#This Row],[Rox Wolf'#]],Table4[Wolf],0))</f>
        <v>0</v>
      </c>
      <c r="F12" s="163"/>
      <c r="G12" s="163"/>
      <c r="H12" s="163"/>
      <c r="I12" s="163"/>
      <c r="J12" s="159">
        <f>COUNTIF(FilterList,#REF!)</f>
        <v>0</v>
      </c>
      <c r="K12" s="163"/>
      <c r="M12"/>
      <c r="N12" s="244">
        <v>96701</v>
      </c>
    </row>
    <row r="13" spans="1:29" ht="14">
      <c r="A13">
        <v>82001</v>
      </c>
      <c r="B13" t="s">
        <v>750</v>
      </c>
      <c r="C13" s="162">
        <f>ROUND(INDEX(Table4[OIL],MATCH(Table2[[#This Row],[Rox Wolf'#]],Table4[Wolf],0)),0)</f>
        <v>0</v>
      </c>
      <c r="D13" s="168">
        <f>INDEX(Table4[GAS],MATCH(Table2[[#This Row],[Rox Wolf'#]],Table4[Wolf],0))</f>
        <v>48</v>
      </c>
      <c r="E13" s="162">
        <f>INDEX(Table4[LEASE USE],MATCH(Table2[[#This Row],[Rox Wolf'#]],Table4[Wolf],0))</f>
        <v>0</v>
      </c>
      <c r="F13" s="163"/>
      <c r="G13" s="163"/>
      <c r="H13" s="163"/>
      <c r="I13" s="163"/>
      <c r="J13" s="159">
        <f>COUNTIF(FilterList,#REF!)</f>
        <v>0</v>
      </c>
      <c r="K13" s="163"/>
      <c r="M13"/>
      <c r="N13" s="243">
        <v>82001</v>
      </c>
    </row>
    <row r="14" spans="1:29" ht="14">
      <c r="A14">
        <v>96501</v>
      </c>
      <c r="B14" t="s">
        <v>751</v>
      </c>
      <c r="C14" s="162">
        <f>ROUND(INDEX(Table4[OIL],MATCH(Table2[[#This Row],[Rox Wolf'#]],Table4[Wolf],0)),0)</f>
        <v>381</v>
      </c>
      <c r="D14" s="168">
        <f>INDEX(Table4[GAS],MATCH(Table2[[#This Row],[Rox Wolf'#]],Table4[Wolf],0))</f>
        <v>220</v>
      </c>
      <c r="E14" s="162">
        <f>INDEX(Table4[LEASE USE],MATCH(Table2[[#This Row],[Rox Wolf'#]],Table4[Wolf],0))</f>
        <v>12</v>
      </c>
      <c r="F14" s="163"/>
      <c r="G14" s="163"/>
      <c r="H14" s="163"/>
      <c r="I14" s="163"/>
      <c r="J14" s="159">
        <f>COUNTIF(FilterList,#REF!)</f>
        <v>0</v>
      </c>
      <c r="K14" s="163"/>
      <c r="L14"/>
      <c r="M14"/>
      <c r="N14" s="244">
        <v>96501</v>
      </c>
      <c r="O14"/>
    </row>
    <row r="15" spans="1:29" ht="14">
      <c r="A15">
        <v>99230</v>
      </c>
      <c r="B15" t="s">
        <v>752</v>
      </c>
      <c r="C15" s="162">
        <f>ROUND(INDEX(Table4[OIL],MATCH(Table2[[#This Row],[Rox Wolf'#]],Table4[Wolf],0)),0)</f>
        <v>350</v>
      </c>
      <c r="D15" s="168">
        <f>INDEX(Table4[GAS],MATCH(Table2[[#This Row],[Rox Wolf'#]],Table4[Wolf],0))</f>
        <v>1905</v>
      </c>
      <c r="E15" s="162">
        <f>INDEX(Table4[LEASE USE],MATCH(Table2[[#This Row],[Rox Wolf'#]],Table4[Wolf],0))</f>
        <v>0</v>
      </c>
      <c r="F15" s="163"/>
      <c r="G15" s="163"/>
      <c r="H15" s="163"/>
      <c r="I15" s="163"/>
      <c r="J15" s="159">
        <f>COUNTIF(FilterList,#REF!)</f>
        <v>0</v>
      </c>
      <c r="K15" s="163"/>
      <c r="L15"/>
      <c r="M15"/>
      <c r="N15" s="243">
        <v>99230</v>
      </c>
      <c r="O15"/>
    </row>
    <row r="16" spans="1:29" ht="14">
      <c r="A16">
        <v>99286</v>
      </c>
      <c r="B16" t="s">
        <v>753</v>
      </c>
      <c r="C16" s="162">
        <f>ROUND(INDEX(Table4[OIL],MATCH(Table2[[#This Row],[Rox Wolf'#]],Table4[Wolf],0)),0)</f>
        <v>0</v>
      </c>
      <c r="D16" s="168">
        <f>INDEX(Table4[GAS],MATCH(Table2[[#This Row],[Rox Wolf'#]],Table4[Wolf],0))</f>
        <v>762</v>
      </c>
      <c r="E16" s="162">
        <f>INDEX(Table4[LEASE USE],MATCH(Table2[[#This Row],[Rox Wolf'#]],Table4[Wolf],0))</f>
        <v>60</v>
      </c>
      <c r="F16" s="163"/>
      <c r="G16" s="163"/>
      <c r="H16" s="163"/>
      <c r="I16" s="163"/>
      <c r="J16" s="159">
        <f>COUNTIF(FilterList,#REF!)</f>
        <v>0</v>
      </c>
      <c r="K16" s="163"/>
      <c r="L16"/>
      <c r="M16"/>
      <c r="N16" s="244">
        <v>99286</v>
      </c>
      <c r="O16"/>
    </row>
    <row r="17" spans="1:15" ht="14">
      <c r="A17">
        <v>99294</v>
      </c>
      <c r="B17" t="s">
        <v>754</v>
      </c>
      <c r="C17" s="162">
        <f>ROUND(INDEX(Table4[OIL],MATCH(Table2[[#This Row],[Rox Wolf'#]],Table4[Wolf],0)),0)</f>
        <v>718</v>
      </c>
      <c r="D17" s="168">
        <f>INDEX(Table4[GAS],MATCH(Table2[[#This Row],[Rox Wolf'#]],Table4[Wolf],0))</f>
        <v>1212</v>
      </c>
      <c r="E17" s="162">
        <f>INDEX(Table4[LEASE USE],MATCH(Table2[[#This Row],[Rox Wolf'#]],Table4[Wolf],0))</f>
        <v>30</v>
      </c>
      <c r="F17" s="163"/>
      <c r="G17" s="163"/>
      <c r="H17" s="163"/>
      <c r="I17" s="163"/>
      <c r="J17" s="159">
        <f>COUNTIF(FilterList,#REF!)</f>
        <v>0</v>
      </c>
      <c r="K17" s="163"/>
      <c r="L17"/>
      <c r="M17"/>
      <c r="N17" s="243">
        <v>99294</v>
      </c>
      <c r="O17"/>
    </row>
    <row r="18" spans="1:15" ht="14">
      <c r="A18">
        <v>99293</v>
      </c>
      <c r="B18" t="s">
        <v>755</v>
      </c>
      <c r="C18" s="162">
        <f>ROUND(INDEX(Table4[OIL],MATCH(Table2[[#This Row],[Rox Wolf'#]],Table4[Wolf],0)),0)</f>
        <v>0</v>
      </c>
      <c r="D18" s="168">
        <f>INDEX(Table4[GAS],MATCH(Table2[[#This Row],[Rox Wolf'#]],Table4[Wolf],0))</f>
        <v>139</v>
      </c>
      <c r="E18" s="162">
        <f>INDEX(Table4[LEASE USE],MATCH(Table2[[#This Row],[Rox Wolf'#]],Table4[Wolf],0))</f>
        <v>30</v>
      </c>
      <c r="F18" s="163"/>
      <c r="G18" s="163"/>
      <c r="H18" s="163"/>
      <c r="I18" s="163"/>
      <c r="J18" s="159">
        <f>COUNTIF(FilterList,#REF!)</f>
        <v>0</v>
      </c>
      <c r="K18" s="163"/>
      <c r="L18"/>
      <c r="M18"/>
      <c r="N18" s="244">
        <v>99293</v>
      </c>
      <c r="O18"/>
    </row>
    <row r="19" spans="1:15" ht="14">
      <c r="A19">
        <v>99295</v>
      </c>
      <c r="B19" t="s">
        <v>756</v>
      </c>
      <c r="C19" s="162">
        <f>ROUND(INDEX(Table4[OIL],MATCH(Table2[[#This Row],[Rox Wolf'#]],Table4[Wolf],0)),0)</f>
        <v>1091</v>
      </c>
      <c r="D19" s="168">
        <f>INDEX(Table4[GAS],MATCH(Table2[[#This Row],[Rox Wolf'#]],Table4[Wolf],0))</f>
        <v>828</v>
      </c>
      <c r="E19" s="162">
        <f>INDEX(Table4[LEASE USE],MATCH(Table2[[#This Row],[Rox Wolf'#]],Table4[Wolf],0))</f>
        <v>210</v>
      </c>
      <c r="F19" s="163"/>
      <c r="G19" s="163"/>
      <c r="H19" s="163"/>
      <c r="I19" s="163"/>
      <c r="J19" s="159">
        <f>COUNTIF(FilterList,#REF!)</f>
        <v>0</v>
      </c>
      <c r="K19" s="163"/>
      <c r="L19"/>
      <c r="N19" s="243">
        <v>99295</v>
      </c>
      <c r="O19"/>
    </row>
    <row r="20" spans="1:15" ht="14">
      <c r="A20">
        <v>99228</v>
      </c>
      <c r="B20" t="s">
        <v>77</v>
      </c>
      <c r="C20" s="162">
        <f>ROUND(INDEX(Table4[OIL],MATCH(Table2[[#This Row],[Rox Wolf'#]],Table4[Wolf],0)),0)</f>
        <v>0</v>
      </c>
      <c r="D20" s="167">
        <f>INDEX(Table4[GAS],MATCH(Table2[[#This Row],[Rox Wolf'#]],Table4[Wolf],0))</f>
        <v>0</v>
      </c>
      <c r="E20" s="162">
        <f>INDEX(Table4[LEASE USE],MATCH(Table2[[#This Row],[Rox Wolf'#]],Table4[Wolf],0))</f>
        <v>0</v>
      </c>
      <c r="F20" s="163"/>
      <c r="G20" s="163"/>
      <c r="H20" s="163"/>
      <c r="I20" s="163"/>
      <c r="J20" s="159">
        <f>COUNTIF(FilterList,#REF!)</f>
        <v>0</v>
      </c>
      <c r="K20" s="163"/>
      <c r="L20"/>
      <c r="N20" s="244">
        <v>99228</v>
      </c>
      <c r="O20"/>
    </row>
    <row r="21" spans="1:15" ht="14" hidden="1">
      <c r="A21">
        <v>99200</v>
      </c>
      <c r="B21" t="s">
        <v>799</v>
      </c>
      <c r="C21" s="162">
        <f>ROUND(INDEX(Table4[OIL],MATCH(Table2[[#This Row],[Rox Wolf'#]],Table4[Wolf],0)),0)</f>
        <v>1116</v>
      </c>
      <c r="D21" s="168">
        <f>INDEX(Table4[GAS],MATCH(Table2[[#This Row],[Rox Wolf'#]],Table4[Wolf],0))</f>
        <v>0</v>
      </c>
      <c r="E21" s="162">
        <f>INDEX(Table4[LEASE USE],MATCH(Table2[[#This Row],[Rox Wolf'#]],Table4[Wolf],0))</f>
        <v>0</v>
      </c>
      <c r="F21" s="163"/>
      <c r="G21" s="163"/>
      <c r="H21" s="163"/>
      <c r="I21" s="163"/>
      <c r="J21" s="159">
        <f>COUNTIF(FilterList,#REF!)</f>
        <v>0</v>
      </c>
      <c r="K21" s="164" t="s">
        <v>1131</v>
      </c>
      <c r="L21"/>
      <c r="N21" s="243">
        <v>99200</v>
      </c>
      <c r="O21"/>
    </row>
    <row r="22" spans="1:15" ht="14">
      <c r="A22">
        <v>99255</v>
      </c>
      <c r="B22" t="s">
        <v>757</v>
      </c>
      <c r="C22" s="162">
        <f>ROUND(INDEX(Table4[OIL],MATCH(Table2[[#This Row],[Rox Wolf'#]],Table4[Wolf],0)),0)</f>
        <v>0</v>
      </c>
      <c r="D22" s="168">
        <f>INDEX(Table4[GAS],MATCH(Table2[[#This Row],[Rox Wolf'#]],Table4[Wolf],0))</f>
        <v>0</v>
      </c>
      <c r="E22" s="162">
        <f>INDEX(Table4[LEASE USE],MATCH(Table2[[#This Row],[Rox Wolf'#]],Table4[Wolf],0))</f>
        <v>0</v>
      </c>
      <c r="F22" s="163"/>
      <c r="G22" s="163"/>
      <c r="H22" s="163"/>
      <c r="I22" s="163"/>
      <c r="J22" s="159">
        <f>COUNTIF(FilterList,#REF!)</f>
        <v>0</v>
      </c>
      <c r="K22" s="163"/>
      <c r="N22" s="244">
        <v>99255</v>
      </c>
    </row>
    <row r="23" spans="1:15" ht="14">
      <c r="A23">
        <v>98921</v>
      </c>
      <c r="B23" t="s">
        <v>800</v>
      </c>
      <c r="C23" s="162">
        <f>ROUND(INDEX(Table4[OIL],MATCH(Table2[[#This Row],[Rox Wolf'#]],Table4[Wolf],0)),0)</f>
        <v>0</v>
      </c>
      <c r="D23" s="168">
        <f>INDEX(Table4[GAS],MATCH(Table2[[#This Row],[Rox Wolf'#]],Table4[Wolf],0))</f>
        <v>0</v>
      </c>
      <c r="E23" s="162">
        <f>INDEX(Table4[LEASE USE],MATCH(Table2[[#This Row],[Rox Wolf'#]],Table4[Wolf],0))</f>
        <v>0</v>
      </c>
      <c r="F23" s="163"/>
      <c r="G23" s="163"/>
      <c r="H23" s="163"/>
      <c r="I23" s="163"/>
      <c r="J23" s="159">
        <f>COUNTIF(FilterList,#REF!)</f>
        <v>0</v>
      </c>
      <c r="K23" s="163"/>
      <c r="N23" s="243">
        <v>98921</v>
      </c>
    </row>
    <row r="24" spans="1:15" ht="14">
      <c r="A24">
        <v>99017</v>
      </c>
      <c r="B24" t="s">
        <v>758</v>
      </c>
      <c r="C24" s="162">
        <f>ROUND(INDEX(Table4[OIL],MATCH(Table2[[#This Row],[Rox Wolf'#]],Table4[Wolf],0)),0)</f>
        <v>0</v>
      </c>
      <c r="D24" s="168">
        <f>INDEX(Table4[GAS],MATCH(Table2[[#This Row],[Rox Wolf'#]],Table4[Wolf],0))</f>
        <v>4424</v>
      </c>
      <c r="E24" s="162">
        <f>INDEX(Table4[LEASE USE],MATCH(Table2[[#This Row],[Rox Wolf'#]],Table4[Wolf],0))</f>
        <v>210</v>
      </c>
      <c r="F24" s="163"/>
      <c r="G24" s="163"/>
      <c r="H24" s="163"/>
      <c r="I24" s="163"/>
      <c r="J24" s="159">
        <f>COUNTIF(FilterList,#REF!)</f>
        <v>0</v>
      </c>
      <c r="K24" s="163"/>
      <c r="N24" s="244">
        <v>99017</v>
      </c>
    </row>
    <row r="25" spans="1:15" ht="14">
      <c r="A25">
        <v>99067</v>
      </c>
      <c r="B25" t="s">
        <v>759</v>
      </c>
      <c r="C25" s="162">
        <f>ROUND(INDEX(Table4[OIL],MATCH(Table2[[#This Row],[Rox Wolf'#]],Table4[Wolf],0)),0)</f>
        <v>0</v>
      </c>
      <c r="D25" s="168">
        <f>INDEX(Table4[GAS],MATCH(Table2[[#This Row],[Rox Wolf'#]],Table4[Wolf],0))</f>
        <v>214</v>
      </c>
      <c r="E25" s="162">
        <f>INDEX(Table4[LEASE USE],MATCH(Table2[[#This Row],[Rox Wolf'#]],Table4[Wolf],0))</f>
        <v>0</v>
      </c>
      <c r="F25" s="163"/>
      <c r="G25" s="163"/>
      <c r="H25" s="163"/>
      <c r="I25" s="163"/>
      <c r="J25" s="159">
        <f>COUNTIF(FilterList,#REF!)</f>
        <v>0</v>
      </c>
      <c r="K25" s="163"/>
      <c r="N25" s="243">
        <v>99067</v>
      </c>
    </row>
    <row r="26" spans="1:15" ht="14">
      <c r="A26">
        <v>99169</v>
      </c>
      <c r="B26" t="s">
        <v>801</v>
      </c>
      <c r="C26" s="162">
        <f>ROUND(INDEX(Table4[OIL],MATCH(Table2[[#This Row],[Rox Wolf'#]],Table4[Wolf],0)),0)</f>
        <v>0</v>
      </c>
      <c r="D26" s="168">
        <f>INDEX(Table4[GAS],MATCH(Table2[[#This Row],[Rox Wolf'#]],Table4[Wolf],0))</f>
        <v>0</v>
      </c>
      <c r="E26" s="162">
        <f>INDEX(Table4[LEASE USE],MATCH(Table2[[#This Row],[Rox Wolf'#]],Table4[Wolf],0))</f>
        <v>0</v>
      </c>
      <c r="F26" s="163"/>
      <c r="G26" s="163"/>
      <c r="H26" s="163"/>
      <c r="I26" s="163"/>
      <c r="J26" s="159">
        <f>COUNTIF(FilterList,#REF!)</f>
        <v>0</v>
      </c>
      <c r="K26" s="163"/>
      <c r="N26" s="244">
        <v>99169</v>
      </c>
    </row>
    <row r="27" spans="1:15" ht="14">
      <c r="A27">
        <v>99069</v>
      </c>
      <c r="B27" t="s">
        <v>760</v>
      </c>
      <c r="C27" s="162">
        <f>ROUND(INDEX(Table4[OIL],MATCH(Table2[[#This Row],[Rox Wolf'#]],Table4[Wolf],0)),0)</f>
        <v>345</v>
      </c>
      <c r="D27" s="168">
        <f>INDEX(Table4[GAS],MATCH(Table2[[#This Row],[Rox Wolf'#]],Table4[Wolf],0))</f>
        <v>989</v>
      </c>
      <c r="E27" s="162">
        <f>INDEX(Table4[LEASE USE],MATCH(Table2[[#This Row],[Rox Wolf'#]],Table4[Wolf],0))</f>
        <v>60</v>
      </c>
      <c r="F27" s="163"/>
      <c r="G27" s="163"/>
      <c r="H27" s="163"/>
      <c r="I27" s="163"/>
      <c r="J27" s="159">
        <f>COUNTIF(FilterList,#REF!)</f>
        <v>0</v>
      </c>
      <c r="K27" s="163"/>
      <c r="N27" s="243">
        <v>99069</v>
      </c>
    </row>
    <row r="28" spans="1:15" ht="14">
      <c r="A28">
        <v>98965</v>
      </c>
      <c r="B28" t="s">
        <v>761</v>
      </c>
      <c r="C28" s="162">
        <f>ROUND(INDEX(Table4[OIL],MATCH(Table2[[#This Row],[Rox Wolf'#]],Table4[Wolf],0)),0)</f>
        <v>0</v>
      </c>
      <c r="D28" s="168">
        <f>INDEX(Table4[GAS],MATCH(Table2[[#This Row],[Rox Wolf'#]],Table4[Wolf],0))</f>
        <v>1048</v>
      </c>
      <c r="E28" s="162">
        <f>INDEX(Table4[LEASE USE],MATCH(Table2[[#This Row],[Rox Wolf'#]],Table4[Wolf],0))</f>
        <v>30</v>
      </c>
      <c r="F28" s="163"/>
      <c r="G28" s="163"/>
      <c r="H28" s="163"/>
      <c r="I28" s="163"/>
      <c r="J28" s="159">
        <f>COUNTIF(FilterList,#REF!)</f>
        <v>0</v>
      </c>
      <c r="K28" s="163"/>
      <c r="N28" s="244">
        <v>98965</v>
      </c>
    </row>
    <row r="29" spans="1:15" ht="14">
      <c r="A29">
        <v>99225</v>
      </c>
      <c r="B29" t="s">
        <v>1122</v>
      </c>
      <c r="C29" s="162">
        <f>ROUND(INDEX(Table4[OIL],MATCH(Table2[[#This Row],[Rox Wolf'#]],Table4[Wolf],0)),0)</f>
        <v>0</v>
      </c>
      <c r="D29" s="168">
        <f>INDEX(Table4[GAS],MATCH(Table2[[#This Row],[Rox Wolf'#]],Table4[Wolf],0))</f>
        <v>0</v>
      </c>
      <c r="E29" s="162">
        <f>INDEX(Table4[LEASE USE],MATCH(Table2[[#This Row],[Rox Wolf'#]],Table4[Wolf],0))</f>
        <v>0</v>
      </c>
      <c r="F29" s="163"/>
      <c r="G29" s="163"/>
      <c r="H29" s="163"/>
      <c r="I29" s="163"/>
      <c r="J29" s="159">
        <f>COUNTIF(FilterList,#REF!)</f>
        <v>0</v>
      </c>
      <c r="K29" s="163"/>
      <c r="N29" s="243">
        <v>99225</v>
      </c>
    </row>
    <row r="30" spans="1:15" ht="14">
      <c r="A30">
        <v>48001</v>
      </c>
      <c r="B30" t="s">
        <v>762</v>
      </c>
      <c r="C30" s="162">
        <f>ROUND(INDEX(Table4[OIL],MATCH(Table2[[#This Row],[Rox Wolf'#]],Table4[Wolf],0)),0)</f>
        <v>0</v>
      </c>
      <c r="D30" s="168">
        <f>INDEX(Table4[GAS],MATCH(Table2[[#This Row],[Rox Wolf'#]],Table4[Wolf],0))</f>
        <v>181</v>
      </c>
      <c r="E30" s="162">
        <f>INDEX(Table4[LEASE USE],MATCH(Table2[[#This Row],[Rox Wolf'#]],Table4[Wolf],0))</f>
        <v>30</v>
      </c>
      <c r="F30" s="163"/>
      <c r="G30" s="163"/>
      <c r="H30" s="163"/>
      <c r="I30" s="163"/>
      <c r="J30" s="159">
        <f>COUNTIF(FilterList,#REF!)</f>
        <v>0</v>
      </c>
      <c r="K30" s="163"/>
      <c r="N30" s="244">
        <v>48001</v>
      </c>
    </row>
    <row r="31" spans="1:15" ht="14">
      <c r="A31">
        <v>93806</v>
      </c>
      <c r="B31" t="s">
        <v>802</v>
      </c>
      <c r="C31" s="162">
        <f>ROUND(INDEX(Table4[OIL],MATCH(Table2[[#This Row],[Rox Wolf'#]],Table4[Wolf],0)),0)</f>
        <v>0</v>
      </c>
      <c r="D31" s="168">
        <f>INDEX(Table4[GAS],MATCH(Table2[[#This Row],[Rox Wolf'#]],Table4[Wolf],0))</f>
        <v>0</v>
      </c>
      <c r="E31" s="162">
        <f>INDEX(Table4[LEASE USE],MATCH(Table2[[#This Row],[Rox Wolf'#]],Table4[Wolf],0))</f>
        <v>0</v>
      </c>
      <c r="F31" s="163"/>
      <c r="G31" s="163"/>
      <c r="H31" s="163"/>
      <c r="I31" s="163"/>
      <c r="J31" s="159">
        <f>COUNTIF(FilterList,#REF!)</f>
        <v>0</v>
      </c>
      <c r="K31" s="163"/>
      <c r="N31" s="243">
        <v>93806</v>
      </c>
    </row>
    <row r="32" spans="1:15" ht="14">
      <c r="A32">
        <v>98961</v>
      </c>
      <c r="B32" t="s">
        <v>803</v>
      </c>
      <c r="C32" s="162">
        <f>ROUND(INDEX(Table4[OIL],MATCH(Table2[[#This Row],[Rox Wolf'#]],Table4[Wolf],0)),0)</f>
        <v>336</v>
      </c>
      <c r="D32" s="168">
        <f>INDEX(Table4[GAS],MATCH(Table2[[#This Row],[Rox Wolf'#]],Table4[Wolf],0))</f>
        <v>2141</v>
      </c>
      <c r="E32" s="162">
        <f>INDEX(Table4[LEASE USE],MATCH(Table2[[#This Row],[Rox Wolf'#]],Table4[Wolf],0))</f>
        <v>0</v>
      </c>
      <c r="F32" s="163"/>
      <c r="G32" s="163"/>
      <c r="H32" s="163"/>
      <c r="I32" s="163"/>
      <c r="J32" s="159">
        <f>COUNTIF(FilterList,#REF!)</f>
        <v>0</v>
      </c>
      <c r="K32" s="163"/>
      <c r="N32" s="244">
        <v>98961</v>
      </c>
    </row>
    <row r="33" spans="1:14" ht="14">
      <c r="A33">
        <v>99307</v>
      </c>
      <c r="B33" t="s">
        <v>763</v>
      </c>
      <c r="C33" s="162">
        <f>ROUND(INDEX(Table4[OIL],MATCH(Table2[[#This Row],[Rox Wolf'#]],Table4[Wolf],0)),0)</f>
        <v>0</v>
      </c>
      <c r="D33" s="168">
        <f>INDEX(Table4[GAS],MATCH(Table2[[#This Row],[Rox Wolf'#]],Table4[Wolf],0))</f>
        <v>510</v>
      </c>
      <c r="E33" s="162">
        <f>INDEX(Table4[LEASE USE],MATCH(Table2[[#This Row],[Rox Wolf'#]],Table4[Wolf],0))</f>
        <v>0</v>
      </c>
      <c r="F33" s="163"/>
      <c r="G33" s="163"/>
      <c r="H33" s="163"/>
      <c r="I33" s="163"/>
      <c r="J33" s="159">
        <f>COUNTIF(FilterList,#REF!)</f>
        <v>0</v>
      </c>
      <c r="K33" s="163"/>
      <c r="N33" s="243">
        <v>99307</v>
      </c>
    </row>
    <row r="34" spans="1:14" ht="14">
      <c r="A34">
        <v>98987</v>
      </c>
      <c r="B34" t="s">
        <v>764</v>
      </c>
      <c r="C34" s="162">
        <f>ROUND(INDEX(Table4[OIL],MATCH(Table2[[#This Row],[Rox Wolf'#]],Table4[Wolf],0)),0)</f>
        <v>0</v>
      </c>
      <c r="D34" s="168">
        <f>INDEX(Table4[GAS],MATCH(Table2[[#This Row],[Rox Wolf'#]],Table4[Wolf],0))</f>
        <v>0</v>
      </c>
      <c r="E34" s="162">
        <f>INDEX(Table4[LEASE USE],MATCH(Table2[[#This Row],[Rox Wolf'#]],Table4[Wolf],0))</f>
        <v>0</v>
      </c>
      <c r="F34" s="163"/>
      <c r="G34" s="163"/>
      <c r="H34" s="163"/>
      <c r="I34" s="163"/>
      <c r="J34" s="159">
        <f>COUNTIF(FilterList,#REF!)</f>
        <v>0</v>
      </c>
      <c r="K34" s="163"/>
      <c r="N34" s="244">
        <v>98987</v>
      </c>
    </row>
    <row r="35" spans="1:14" ht="14">
      <c r="A35">
        <v>98988</v>
      </c>
      <c r="B35" t="s">
        <v>765</v>
      </c>
      <c r="C35" s="162">
        <f>ROUND(INDEX(Table4[OIL],MATCH(Table2[[#This Row],[Rox Wolf'#]],Table4[Wolf],0)),0)</f>
        <v>0</v>
      </c>
      <c r="D35" s="168">
        <f>INDEX(Table4[GAS],MATCH(Table2[[#This Row],[Rox Wolf'#]],Table4[Wolf],0))</f>
        <v>2583</v>
      </c>
      <c r="E35" s="162">
        <f>INDEX(Table4[LEASE USE],MATCH(Table2[[#This Row],[Rox Wolf'#]],Table4[Wolf],0))</f>
        <v>140</v>
      </c>
      <c r="F35" s="163"/>
      <c r="G35" s="163"/>
      <c r="H35" s="163"/>
      <c r="I35" s="163"/>
      <c r="J35" s="159">
        <f>COUNTIF(FilterList,#REF!)</f>
        <v>0</v>
      </c>
      <c r="K35" s="163"/>
      <c r="N35" s="243">
        <v>98988</v>
      </c>
    </row>
    <row r="36" spans="1:14" ht="14">
      <c r="A36">
        <v>99007</v>
      </c>
      <c r="B36" t="s">
        <v>766</v>
      </c>
      <c r="C36" s="162">
        <f>ROUND(INDEX(Table4[OIL],MATCH(Table2[[#This Row],[Rox Wolf'#]],Table4[Wolf],0)),0)</f>
        <v>0</v>
      </c>
      <c r="D36" s="168">
        <f>INDEX(Table4[GAS],MATCH(Table2[[#This Row],[Rox Wolf'#]],Table4[Wolf],0))</f>
        <v>31</v>
      </c>
      <c r="E36" s="162">
        <f>INDEX(Table4[LEASE USE],MATCH(Table2[[#This Row],[Rox Wolf'#]],Table4[Wolf],0))</f>
        <v>1</v>
      </c>
      <c r="F36" s="163"/>
      <c r="G36" s="163"/>
      <c r="H36" s="163"/>
      <c r="I36" s="163"/>
      <c r="J36" s="159">
        <f>COUNTIF(FilterList,#REF!)</f>
        <v>0</v>
      </c>
      <c r="K36" s="163"/>
      <c r="N36" s="244">
        <v>99007</v>
      </c>
    </row>
    <row r="37" spans="1:14" ht="14">
      <c r="A37">
        <v>98956</v>
      </c>
      <c r="B37" t="s">
        <v>767</v>
      </c>
      <c r="C37" s="162">
        <f>ROUND(INDEX(Table4[OIL],MATCH(Table2[[#This Row],[Rox Wolf'#]],Table4[Wolf],0)),0)</f>
        <v>0</v>
      </c>
      <c r="D37" s="168">
        <f>INDEX(Table4[GAS],MATCH(Table2[[#This Row],[Rox Wolf'#]],Table4[Wolf],0))</f>
        <v>795</v>
      </c>
      <c r="E37" s="162">
        <f>INDEX(Table4[LEASE USE],MATCH(Table2[[#This Row],[Rox Wolf'#]],Table4[Wolf],0))</f>
        <v>56</v>
      </c>
      <c r="F37" s="163"/>
      <c r="G37" s="163"/>
      <c r="H37" s="163"/>
      <c r="I37" s="163"/>
      <c r="J37" s="159">
        <f>COUNTIF(FilterList,#REF!)</f>
        <v>0</v>
      </c>
      <c r="K37" s="163"/>
      <c r="N37" s="243">
        <v>98956</v>
      </c>
    </row>
    <row r="38" spans="1:14" ht="14">
      <c r="A38">
        <v>98958</v>
      </c>
      <c r="B38" t="s">
        <v>768</v>
      </c>
      <c r="C38" s="162">
        <f>ROUND(INDEX(Table4[OIL],MATCH(Table2[[#This Row],[Rox Wolf'#]],Table4[Wolf],0)),0)</f>
        <v>0</v>
      </c>
      <c r="D38" s="168">
        <f>INDEX(Table4[GAS],MATCH(Table2[[#This Row],[Rox Wolf'#]],Table4[Wolf],0))</f>
        <v>3603</v>
      </c>
      <c r="E38" s="162">
        <f>INDEX(Table4[LEASE USE],MATCH(Table2[[#This Row],[Rox Wolf'#]],Table4[Wolf],0))</f>
        <v>168</v>
      </c>
      <c r="F38" s="163"/>
      <c r="G38" s="163"/>
      <c r="H38" s="163"/>
      <c r="I38" s="163"/>
      <c r="J38" s="159">
        <f>COUNTIF(FilterList,#REF!)</f>
        <v>0</v>
      </c>
      <c r="K38" s="163"/>
      <c r="N38" s="244">
        <v>98958</v>
      </c>
    </row>
    <row r="39" spans="1:14" ht="14">
      <c r="A39">
        <v>98959</v>
      </c>
      <c r="B39" t="s">
        <v>769</v>
      </c>
      <c r="C39" s="162">
        <f>ROUND(INDEX(Table4[OIL],MATCH(Table2[[#This Row],[Rox Wolf'#]],Table4[Wolf],0)),0)</f>
        <v>0</v>
      </c>
      <c r="D39" s="168">
        <f>INDEX(Table4[GAS],MATCH(Table2[[#This Row],[Rox Wolf'#]],Table4[Wolf],0))</f>
        <v>31</v>
      </c>
      <c r="E39" s="162">
        <f>INDEX(Table4[LEASE USE],MATCH(Table2[[#This Row],[Rox Wolf'#]],Table4[Wolf],0))</f>
        <v>0</v>
      </c>
      <c r="F39" s="163"/>
      <c r="G39" s="163"/>
      <c r="H39" s="163"/>
      <c r="I39" s="163"/>
      <c r="J39" s="159">
        <f>COUNTIF(FilterList,#REF!)</f>
        <v>0</v>
      </c>
      <c r="K39" s="163"/>
      <c r="N39" s="243">
        <v>98959</v>
      </c>
    </row>
    <row r="40" spans="1:14" ht="14">
      <c r="A40">
        <v>99093</v>
      </c>
      <c r="B40" t="s">
        <v>770</v>
      </c>
      <c r="C40" s="162">
        <f>ROUND(INDEX(Table4[OIL],MATCH(Table2[[#This Row],[Rox Wolf'#]],Table4[Wolf],0)),0)</f>
        <v>0</v>
      </c>
      <c r="D40" s="168">
        <f>INDEX(Table4[GAS],MATCH(Table2[[#This Row],[Rox Wolf'#]],Table4[Wolf],0))</f>
        <v>2723</v>
      </c>
      <c r="E40" s="162">
        <f>INDEX(Table4[LEASE USE],MATCH(Table2[[#This Row],[Rox Wolf'#]],Table4[Wolf],0))</f>
        <v>120</v>
      </c>
      <c r="F40" s="163"/>
      <c r="G40" s="163"/>
      <c r="H40" s="163"/>
      <c r="I40" s="163"/>
      <c r="J40" s="159">
        <f>COUNTIF(FilterList,#REF!)</f>
        <v>0</v>
      </c>
      <c r="K40" s="163"/>
      <c r="N40" s="244">
        <v>99093</v>
      </c>
    </row>
    <row r="41" spans="1:14" ht="14">
      <c r="A41">
        <v>99094</v>
      </c>
      <c r="B41" t="s">
        <v>771</v>
      </c>
      <c r="C41" s="162">
        <f>ROUND(INDEX(Table4[OIL],MATCH(Table2[[#This Row],[Rox Wolf'#]],Table4[Wolf],0)),0)</f>
        <v>0</v>
      </c>
      <c r="D41" s="168">
        <f>INDEX(Table4[GAS],MATCH(Table2[[#This Row],[Rox Wolf'#]],Table4[Wolf],0))</f>
        <v>2576</v>
      </c>
      <c r="E41" s="162">
        <f>INDEX(Table4[LEASE USE],MATCH(Table2[[#This Row],[Rox Wolf'#]],Table4[Wolf],0))</f>
        <v>120</v>
      </c>
      <c r="F41" s="163"/>
      <c r="G41" s="163"/>
      <c r="H41" s="163"/>
      <c r="I41" s="163"/>
      <c r="J41" s="159">
        <f>COUNTIF(FilterList,#REF!)</f>
        <v>0</v>
      </c>
      <c r="K41" s="163"/>
      <c r="N41" s="243">
        <v>99094</v>
      </c>
    </row>
    <row r="42" spans="1:14" ht="14">
      <c r="A42">
        <v>99095</v>
      </c>
      <c r="B42" t="s">
        <v>772</v>
      </c>
      <c r="C42" s="162">
        <f>ROUND(INDEX(Table4[OIL],MATCH(Table2[[#This Row],[Rox Wolf'#]],Table4[Wolf],0)),0)</f>
        <v>0</v>
      </c>
      <c r="D42" s="168">
        <f>INDEX(Table4[GAS],MATCH(Table2[[#This Row],[Rox Wolf'#]],Table4[Wolf],0))</f>
        <v>1005</v>
      </c>
      <c r="E42" s="162">
        <f>INDEX(Table4[LEASE USE],MATCH(Table2[[#This Row],[Rox Wolf'#]],Table4[Wolf],0))</f>
        <v>30</v>
      </c>
      <c r="F42" s="163"/>
      <c r="G42" s="163"/>
      <c r="H42" s="163"/>
      <c r="I42" s="163"/>
      <c r="J42" s="159">
        <f>COUNTIF(FilterList,#REF!)</f>
        <v>0</v>
      </c>
      <c r="K42" s="163"/>
      <c r="N42" s="244">
        <v>99095</v>
      </c>
    </row>
    <row r="43" spans="1:14" ht="14">
      <c r="A43">
        <v>98801</v>
      </c>
      <c r="B43" t="s">
        <v>773</v>
      </c>
      <c r="C43" s="162">
        <f>ROUND(INDEX(Table4[OIL],MATCH(Table2[[#This Row],[Rox Wolf'#]],Table4[Wolf],0)),0)</f>
        <v>0</v>
      </c>
      <c r="D43" s="168">
        <f>INDEX(Table4[GAS],MATCH(Table2[[#This Row],[Rox Wolf'#]],Table4[Wolf],0))</f>
        <v>5744</v>
      </c>
      <c r="E43" s="162">
        <f>INDEX(Table4[LEASE USE],MATCH(Table2[[#This Row],[Rox Wolf'#]],Table4[Wolf],0))</f>
        <v>210</v>
      </c>
      <c r="F43" s="163"/>
      <c r="G43" s="163"/>
      <c r="H43" s="163"/>
      <c r="I43" s="163"/>
      <c r="J43" s="159">
        <f>COUNTIF(FilterList,#REF!)</f>
        <v>0</v>
      </c>
      <c r="K43" s="163"/>
      <c r="N43" s="243">
        <v>98801</v>
      </c>
    </row>
    <row r="44" spans="1:14" ht="14" hidden="1">
      <c r="A44">
        <v>94601</v>
      </c>
      <c r="B44" t="s">
        <v>804</v>
      </c>
      <c r="C44" s="162">
        <f>ROUND(INDEX(Table4[OIL],MATCH(Table2[[#This Row],[Rox Wolf'#]],Table4[Wolf],0)),0)</f>
        <v>330</v>
      </c>
      <c r="D44" s="168">
        <f>INDEX(Table4[GAS],MATCH(Table2[[#This Row],[Rox Wolf'#]],Table4[Wolf],0))</f>
        <v>1220</v>
      </c>
      <c r="E44" s="162">
        <f>INDEX(Table4[LEASE USE],MATCH(Table2[[#This Row],[Rox Wolf'#]],Table4[Wolf],0))</f>
        <v>0</v>
      </c>
      <c r="F44" s="163"/>
      <c r="G44" s="163"/>
      <c r="H44" s="163"/>
      <c r="I44" s="163"/>
      <c r="J44" s="159">
        <f>COUNTIF(FilterList,#REF!)</f>
        <v>0</v>
      </c>
      <c r="K44" s="164" t="s">
        <v>1131</v>
      </c>
      <c r="N44" s="244">
        <v>94601</v>
      </c>
    </row>
    <row r="45" spans="1:14" ht="14">
      <c r="A45">
        <v>99113</v>
      </c>
      <c r="B45" t="s">
        <v>774</v>
      </c>
      <c r="C45" s="162">
        <f>ROUND(INDEX(Table4[OIL],MATCH(Table2[[#This Row],[Rox Wolf'#]],Table4[Wolf],0)),0)</f>
        <v>0</v>
      </c>
      <c r="D45" s="168">
        <f>INDEX(Table4[GAS],MATCH(Table2[[#This Row],[Rox Wolf'#]],Table4[Wolf],0))</f>
        <v>199</v>
      </c>
      <c r="E45" s="162">
        <f>INDEX(Table4[LEASE USE],MATCH(Table2[[#This Row],[Rox Wolf'#]],Table4[Wolf],0))</f>
        <v>0</v>
      </c>
      <c r="F45" s="163"/>
      <c r="G45" s="163"/>
      <c r="H45" s="163"/>
      <c r="I45" s="163"/>
      <c r="J45" s="159">
        <f>COUNTIF(FilterList,#REF!)</f>
        <v>0</v>
      </c>
      <c r="K45" s="163"/>
      <c r="N45" s="243">
        <v>99113</v>
      </c>
    </row>
    <row r="46" spans="1:14" ht="14">
      <c r="A46">
        <v>99066</v>
      </c>
      <c r="B46" t="s">
        <v>775</v>
      </c>
      <c r="C46" s="162">
        <f>ROUND(INDEX(Table4[OIL],MATCH(Table2[[#This Row],[Rox Wolf'#]],Table4[Wolf],0)),0)</f>
        <v>0</v>
      </c>
      <c r="D46" s="168">
        <f>INDEX(Table4[GAS],MATCH(Table2[[#This Row],[Rox Wolf'#]],Table4[Wolf],0))</f>
        <v>774</v>
      </c>
      <c r="E46" s="162">
        <f>INDEX(Table4[LEASE USE],MATCH(Table2[[#This Row],[Rox Wolf'#]],Table4[Wolf],0))</f>
        <v>0</v>
      </c>
      <c r="F46" s="163"/>
      <c r="G46" s="163"/>
      <c r="H46" s="163"/>
      <c r="I46" s="163"/>
      <c r="J46" s="159">
        <f>COUNTIF(FilterList,#REF!)</f>
        <v>0</v>
      </c>
      <c r="K46" s="163"/>
      <c r="N46" s="244">
        <v>99066</v>
      </c>
    </row>
    <row r="47" spans="1:14" ht="14">
      <c r="A47">
        <v>99065</v>
      </c>
      <c r="B47" t="s">
        <v>776</v>
      </c>
      <c r="C47" s="162">
        <f>ROUND(INDEX(Table4[OIL],MATCH(Table2[[#This Row],[Rox Wolf'#]],Table4[Wolf],0)),0)</f>
        <v>0</v>
      </c>
      <c r="D47" s="168">
        <f>INDEX(Table4[GAS],MATCH(Table2[[#This Row],[Rox Wolf'#]],Table4[Wolf],0))</f>
        <v>0</v>
      </c>
      <c r="E47" s="162">
        <f>INDEX(Table4[LEASE USE],MATCH(Table2[[#This Row],[Rox Wolf'#]],Table4[Wolf],0))</f>
        <v>0</v>
      </c>
      <c r="F47" s="163"/>
      <c r="G47" s="163"/>
      <c r="H47" s="163"/>
      <c r="I47" s="163"/>
      <c r="J47" s="159">
        <f>COUNTIF(FilterList,#REF!)</f>
        <v>0</v>
      </c>
      <c r="K47" s="163"/>
      <c r="N47" s="243">
        <v>99065</v>
      </c>
    </row>
    <row r="48" spans="1:14" ht="14">
      <c r="A48">
        <v>99278</v>
      </c>
      <c r="B48" t="s">
        <v>777</v>
      </c>
      <c r="C48" s="162">
        <f>ROUND(INDEX(Table4[OIL],MATCH(Table2[[#This Row],[Rox Wolf'#]],Table4[Wolf],0)),0)</f>
        <v>0</v>
      </c>
      <c r="D48" s="168">
        <f>INDEX(Table4[GAS],MATCH(Table2[[#This Row],[Rox Wolf'#]],Table4[Wolf],0))</f>
        <v>6796</v>
      </c>
      <c r="E48" s="162">
        <f>INDEX(Table4[LEASE USE],MATCH(Table2[[#This Row],[Rox Wolf'#]],Table4[Wolf],0))</f>
        <v>390</v>
      </c>
      <c r="F48" s="163"/>
      <c r="G48" s="163"/>
      <c r="H48" s="163"/>
      <c r="I48" s="163"/>
      <c r="J48" s="159">
        <f>COUNTIF(FilterList,#REF!)</f>
        <v>0</v>
      </c>
      <c r="K48" s="163"/>
      <c r="N48" s="244">
        <v>99278</v>
      </c>
    </row>
    <row r="49" spans="1:14" ht="14">
      <c r="A49">
        <v>98990</v>
      </c>
      <c r="B49" t="s">
        <v>778</v>
      </c>
      <c r="C49" s="162">
        <f>ROUND(INDEX(Table4[OIL],MATCH(Table2[[#This Row],[Rox Wolf'#]],Table4[Wolf],0)),0)</f>
        <v>0</v>
      </c>
      <c r="D49" s="168">
        <f>INDEX(Table4[GAS],MATCH(Table2[[#This Row],[Rox Wolf'#]],Table4[Wolf],0))</f>
        <v>0</v>
      </c>
      <c r="E49" s="162">
        <f>INDEX(Table4[LEASE USE],MATCH(Table2[[#This Row],[Rox Wolf'#]],Table4[Wolf],0))</f>
        <v>0</v>
      </c>
      <c r="F49" s="163"/>
      <c r="G49" s="163"/>
      <c r="H49" s="163"/>
      <c r="I49" s="163"/>
      <c r="J49" s="159">
        <f>COUNTIF(FilterList,#REF!)</f>
        <v>0</v>
      </c>
      <c r="K49" s="163"/>
      <c r="N49" s="243">
        <v>98990</v>
      </c>
    </row>
    <row r="50" spans="1:14" ht="14">
      <c r="A50">
        <v>98976</v>
      </c>
      <c r="B50" t="s">
        <v>779</v>
      </c>
      <c r="C50" s="162">
        <f>ROUND(INDEX(Table4[OIL],MATCH(Table2[[#This Row],[Rox Wolf'#]],Table4[Wolf],0)),0)</f>
        <v>0</v>
      </c>
      <c r="D50" s="168">
        <f>INDEX(Table4[GAS],MATCH(Table2[[#This Row],[Rox Wolf'#]],Table4[Wolf],0))</f>
        <v>0</v>
      </c>
      <c r="E50" s="162">
        <f>INDEX(Table4[LEASE USE],MATCH(Table2[[#This Row],[Rox Wolf'#]],Table4[Wolf],0))</f>
        <v>0</v>
      </c>
      <c r="F50" s="163"/>
      <c r="G50" s="163"/>
      <c r="H50" s="163"/>
      <c r="I50" s="163"/>
      <c r="J50" s="159">
        <f>COUNTIF(FilterList,#REF!)</f>
        <v>0</v>
      </c>
      <c r="K50" s="163"/>
      <c r="N50" s="244">
        <v>98976</v>
      </c>
    </row>
    <row r="51" spans="1:14" ht="14">
      <c r="A51">
        <v>93901</v>
      </c>
      <c r="B51" t="s">
        <v>1123</v>
      </c>
      <c r="C51" s="162">
        <f>ROUND(INDEX(Table4[OIL],MATCH(Table2[[#This Row],[Rox Wolf'#]],Table4[Wolf],0)),0)</f>
        <v>126</v>
      </c>
      <c r="D51" s="168">
        <f>INDEX(Table4[GAS],MATCH(Table2[[#This Row],[Rox Wolf'#]],Table4[Wolf],0))</f>
        <v>0</v>
      </c>
      <c r="E51" s="162">
        <f>INDEX(Table4[LEASE USE],MATCH(Table2[[#This Row],[Rox Wolf'#]],Table4[Wolf],0))</f>
        <v>0</v>
      </c>
      <c r="F51" s="163"/>
      <c r="G51" s="163"/>
      <c r="H51" s="163"/>
      <c r="I51" s="163"/>
      <c r="J51" s="159">
        <f>COUNTIF(FilterList,#REF!)</f>
        <v>0</v>
      </c>
      <c r="K51" s="163"/>
      <c r="N51" s="243">
        <v>93901</v>
      </c>
    </row>
    <row r="52" spans="1:14" ht="14">
      <c r="A52">
        <v>99159</v>
      </c>
      <c r="B52" t="s">
        <v>780</v>
      </c>
      <c r="C52" s="162">
        <f>ROUND(INDEX(Table4[OIL],MATCH(Table2[[#This Row],[Rox Wolf'#]],Table4[Wolf],0)),0)</f>
        <v>0</v>
      </c>
      <c r="D52" s="168">
        <f>INDEX(Table4[GAS],MATCH(Table2[[#This Row],[Rox Wolf'#]],Table4[Wolf],0))</f>
        <v>3368</v>
      </c>
      <c r="E52" s="162">
        <f>INDEX(Table4[LEASE USE],MATCH(Table2[[#This Row],[Rox Wolf'#]],Table4[Wolf],0))</f>
        <v>168</v>
      </c>
      <c r="F52" s="163"/>
      <c r="G52" s="163"/>
      <c r="H52" s="163"/>
      <c r="I52" s="163"/>
      <c r="J52" s="159">
        <f>COUNTIF(FilterList,#REF!)</f>
        <v>0</v>
      </c>
      <c r="K52" s="163"/>
      <c r="N52" s="244">
        <v>99159</v>
      </c>
    </row>
    <row r="53" spans="1:14" ht="14">
      <c r="A53">
        <v>98955</v>
      </c>
      <c r="B53" t="s">
        <v>279</v>
      </c>
      <c r="C53" s="162">
        <f>ROUND(INDEX(Table4[OIL],MATCH(Table2[[#This Row],[Rox Wolf'#]],Table4[Wolf],0)),0)</f>
        <v>0</v>
      </c>
      <c r="D53" s="168">
        <f>INDEX(Table4[GAS],MATCH(Table2[[#This Row],[Rox Wolf'#]],Table4[Wolf],0))</f>
        <v>3340</v>
      </c>
      <c r="E53" s="162">
        <f>INDEX(Table4[LEASE USE],MATCH(Table2[[#This Row],[Rox Wolf'#]],Table4[Wolf],0))</f>
        <v>28</v>
      </c>
      <c r="F53" s="163"/>
      <c r="G53" s="163"/>
      <c r="H53" s="163"/>
      <c r="I53" s="163"/>
      <c r="J53" s="159">
        <f>COUNTIF(FilterList,#REF!)</f>
        <v>0</v>
      </c>
      <c r="K53" s="163"/>
      <c r="N53" s="243">
        <v>98955</v>
      </c>
    </row>
    <row r="54" spans="1:14" ht="14">
      <c r="A54">
        <v>99269</v>
      </c>
      <c r="B54" t="s">
        <v>1124</v>
      </c>
      <c r="C54" s="161">
        <f>ROUND(INDEX(Table4[OIL],MATCH(Table2[[#This Row],[Rox Wolf'#]],Table4[Wolf],0)),0)</f>
        <v>0</v>
      </c>
      <c r="D54" s="169">
        <f>INDEX(Table4[GAS],MATCH(Table2[[#This Row],[Rox Wolf'#]],Table4[Wolf],0))</f>
        <v>1286</v>
      </c>
      <c r="E54" s="169">
        <f>INDEX(Table4[LEASE USE],MATCH(Table2[[#This Row],[Rox Wolf'#]],Table4[Wolf],0))</f>
        <v>280</v>
      </c>
      <c r="F54" s="163"/>
      <c r="G54" s="163"/>
      <c r="H54" s="163"/>
      <c r="I54" s="163"/>
      <c r="J54" s="159">
        <f>COUNTIF(FilterList,#REF!)</f>
        <v>0</v>
      </c>
      <c r="K54" s="163"/>
      <c r="N54" s="244">
        <v>99269</v>
      </c>
    </row>
    <row r="55" spans="1:14" ht="14">
      <c r="A55">
        <v>92001</v>
      </c>
      <c r="B55" t="s">
        <v>231</v>
      </c>
      <c r="C55" s="162">
        <f>ROUND(INDEX(Table4[OIL],MATCH(Table2[[#This Row],[Rox Wolf'#]],Table4[Wolf],0)),0)</f>
        <v>0</v>
      </c>
      <c r="D55" s="168">
        <f>INDEX(Table4[GAS],MATCH(Table2[[#This Row],[Rox Wolf'#]],Table4[Wolf],0))</f>
        <v>0</v>
      </c>
      <c r="E55" s="162">
        <f>INDEX(Table4[LEASE USE],MATCH(Table2[[#This Row],[Rox Wolf'#]],Table4[Wolf],0))</f>
        <v>0</v>
      </c>
      <c r="F55" s="163"/>
      <c r="G55" s="163"/>
      <c r="H55" s="163"/>
      <c r="I55" s="163"/>
      <c r="J55" s="159">
        <f>COUNTIF(FilterList,#REF!)</f>
        <v>0</v>
      </c>
      <c r="K55" s="163"/>
      <c r="N55" s="243">
        <v>92001</v>
      </c>
    </row>
    <row r="56" spans="1:14" ht="14">
      <c r="A56">
        <v>99058</v>
      </c>
      <c r="B56" t="s">
        <v>781</v>
      </c>
      <c r="C56" s="162">
        <f>ROUND(INDEX(Table4[OIL],MATCH(Table2[[#This Row],[Rox Wolf'#]],Table4[Wolf],0)),0)</f>
        <v>0</v>
      </c>
      <c r="D56" s="168">
        <f>INDEX(Table4[GAS],MATCH(Table2[[#This Row],[Rox Wolf'#]],Table4[Wolf],0))</f>
        <v>2596</v>
      </c>
      <c r="E56" s="162">
        <f>INDEX(Table4[LEASE USE],MATCH(Table2[[#This Row],[Rox Wolf'#]],Table4[Wolf],0))</f>
        <v>0</v>
      </c>
      <c r="F56" s="163"/>
      <c r="G56" s="163"/>
      <c r="H56" s="163"/>
      <c r="I56" s="163"/>
      <c r="J56" s="159">
        <f>COUNTIF(FilterList,#REF!)</f>
        <v>0</v>
      </c>
      <c r="K56" s="163"/>
      <c r="N56" s="244">
        <v>99058</v>
      </c>
    </row>
    <row r="57" spans="1:14" ht="14">
      <c r="A57">
        <v>99186</v>
      </c>
      <c r="B57" t="s">
        <v>806</v>
      </c>
      <c r="C57" s="162">
        <f>ROUND(INDEX(Table4[OIL],MATCH(Table2[[#This Row],[Rox Wolf'#]],Table4[Wolf],0)),0)</f>
        <v>342</v>
      </c>
      <c r="D57" s="168">
        <f>INDEX(Table4[GAS],MATCH(Table2[[#This Row],[Rox Wolf'#]],Table4[Wolf],0))</f>
        <v>0</v>
      </c>
      <c r="E57" s="162">
        <f>INDEX(Table4[LEASE USE],MATCH(Table2[[#This Row],[Rox Wolf'#]],Table4[Wolf],0))</f>
        <v>180</v>
      </c>
      <c r="F57" s="163"/>
      <c r="G57" s="163"/>
      <c r="H57" s="163"/>
      <c r="I57" s="163"/>
      <c r="J57" s="159">
        <f>COUNTIF(FilterList,#REF!)</f>
        <v>0</v>
      </c>
      <c r="K57" s="163"/>
      <c r="N57" s="243">
        <v>99186</v>
      </c>
    </row>
    <row r="58" spans="1:14" ht="14">
      <c r="A58">
        <v>99288</v>
      </c>
      <c r="B58" t="s">
        <v>1118</v>
      </c>
      <c r="C58" s="162">
        <f>ROUND(INDEX(Table4[OIL],MATCH(Table2[[#This Row],[Rox Wolf'#]],Table4[Wolf],0)),0)</f>
        <v>0</v>
      </c>
      <c r="D58" s="168">
        <f>INDEX(Table4[GAS],MATCH(Table2[[#This Row],[Rox Wolf'#]],Table4[Wolf],0))</f>
        <v>460</v>
      </c>
      <c r="E58" s="162">
        <f>INDEX(Table4[LEASE USE],MATCH(Table2[[#This Row],[Rox Wolf'#]],Table4[Wolf],0))</f>
        <v>0</v>
      </c>
      <c r="F58" s="163"/>
      <c r="G58" s="163"/>
      <c r="H58" s="163"/>
      <c r="I58" s="163"/>
      <c r="J58" s="159">
        <f>COUNTIF(FilterList,#REF!)</f>
        <v>0</v>
      </c>
      <c r="K58" s="163"/>
      <c r="N58" s="244">
        <v>99288</v>
      </c>
    </row>
    <row r="59" spans="1:14" ht="14">
      <c r="A59">
        <v>99297</v>
      </c>
      <c r="B59" t="s">
        <v>782</v>
      </c>
      <c r="C59" s="162">
        <f>ROUND(INDEX(Table4[OIL],MATCH(Table2[[#This Row],[Rox Wolf'#]],Table4[Wolf],0)),0)</f>
        <v>1141</v>
      </c>
      <c r="D59" s="168">
        <f>INDEX(Table4[GAS],MATCH(Table2[[#This Row],[Rox Wolf'#]],Table4[Wolf],0))</f>
        <v>18</v>
      </c>
      <c r="E59" s="162">
        <f>INDEX(Table4[LEASE USE],MATCH(Table2[[#This Row],[Rox Wolf'#]],Table4[Wolf],0))</f>
        <v>0</v>
      </c>
      <c r="F59" s="163"/>
      <c r="G59" s="163"/>
      <c r="H59" s="163"/>
      <c r="I59" s="163"/>
      <c r="J59" s="159">
        <f>COUNTIF(FilterList,#REF!)</f>
        <v>0</v>
      </c>
      <c r="K59" s="163"/>
      <c r="N59" s="243">
        <v>99297</v>
      </c>
    </row>
    <row r="60" spans="1:14" ht="14" hidden="1">
      <c r="A60">
        <v>99122</v>
      </c>
      <c r="B60" s="3" t="s">
        <v>1242</v>
      </c>
      <c r="C60" s="161">
        <f>ROUND(INDEX(Table4[OIL],MATCH(Table2[[#This Row],[Rox Wolf'#]],Table4[Wolf],0)),0)</f>
        <v>174</v>
      </c>
      <c r="D60" s="169">
        <f>INDEX(Table4[GAS],MATCH(Table2[[#This Row],[Rox Wolf'#]],Table4[Wolf],0))</f>
        <v>0</v>
      </c>
      <c r="E60" s="169">
        <f>INDEX(Table4[LEASE USE],MATCH(Table2[[#This Row],[Rox Wolf'#]],Table4[Wolf],0))</f>
        <v>0</v>
      </c>
      <c r="F60" s="163"/>
      <c r="G60" s="163"/>
      <c r="H60" s="163"/>
      <c r="I60" s="163"/>
      <c r="J60" s="159">
        <f>COUNTIF(FilterList,#REF!)</f>
        <v>0</v>
      </c>
      <c r="K60" s="196" t="s">
        <v>1131</v>
      </c>
      <c r="N60" s="244">
        <v>99122</v>
      </c>
    </row>
    <row r="61" spans="1:14" ht="14">
      <c r="A61">
        <v>99268</v>
      </c>
      <c r="B61" t="s">
        <v>1125</v>
      </c>
      <c r="C61" s="161">
        <f>ROUND(INDEX(Table4[OIL],MATCH(Table2[[#This Row],[Rox Wolf'#]],Table4[Wolf],0)),0)</f>
        <v>0</v>
      </c>
      <c r="D61" s="169">
        <f>INDEX(Table4[GAS],MATCH(Table2[[#This Row],[Rox Wolf'#]],Table4[Wolf],0))</f>
        <v>4090</v>
      </c>
      <c r="E61" s="169">
        <f>INDEX(Table4[LEASE USE],MATCH(Table2[[#This Row],[Rox Wolf'#]],Table4[Wolf],0))</f>
        <v>295</v>
      </c>
      <c r="F61" s="163"/>
      <c r="G61" s="163"/>
      <c r="H61" s="163"/>
      <c r="I61" s="163"/>
      <c r="J61" s="159">
        <f>COUNTIF(FilterList,#REF!)</f>
        <v>0</v>
      </c>
      <c r="K61" s="163"/>
      <c r="N61" s="243">
        <v>99268</v>
      </c>
    </row>
    <row r="62" spans="1:14" ht="14">
      <c r="A62">
        <v>99102</v>
      </c>
      <c r="B62" t="s">
        <v>783</v>
      </c>
      <c r="C62" s="162">
        <f>ROUND(INDEX(Table4[OIL],MATCH(Table2[[#This Row],[Rox Wolf'#]],Table4[Wolf],0)),0)</f>
        <v>764</v>
      </c>
      <c r="D62" s="168">
        <f>INDEX(Table4[GAS],MATCH(Table2[[#This Row],[Rox Wolf'#]],Table4[Wolf],0))</f>
        <v>43108</v>
      </c>
      <c r="E62" s="162">
        <f>INDEX(Table4[LEASE USE],MATCH(Table2[[#This Row],[Rox Wolf'#]],Table4[Wolf],0))</f>
        <v>0</v>
      </c>
      <c r="F62" s="163"/>
      <c r="G62" s="163"/>
      <c r="H62" s="163"/>
      <c r="I62" s="163"/>
      <c r="J62" s="159">
        <f>COUNTIF(FilterList,#REF!)</f>
        <v>0</v>
      </c>
      <c r="K62" s="163"/>
      <c r="N62" s="244">
        <v>99102</v>
      </c>
    </row>
    <row r="63" spans="1:14" ht="14">
      <c r="A63">
        <v>99259</v>
      </c>
      <c r="B63" t="s">
        <v>1101</v>
      </c>
      <c r="C63" s="162">
        <f>ROUND(INDEX(Table4[OIL],MATCH(Table2[[#This Row],[Rox Wolf'#]],Table4[Wolf],0)),0)</f>
        <v>161</v>
      </c>
      <c r="D63" s="168">
        <f>INDEX(Table4[GAS],MATCH(Table2[[#This Row],[Rox Wolf'#]],Table4[Wolf],0))</f>
        <v>0</v>
      </c>
      <c r="E63" s="162">
        <f>INDEX(Table4[LEASE USE],MATCH(Table2[[#This Row],[Rox Wolf'#]],Table4[Wolf],0))</f>
        <v>0</v>
      </c>
      <c r="F63" s="163"/>
      <c r="G63" s="163"/>
      <c r="H63" s="163"/>
      <c r="I63" s="163"/>
      <c r="J63" s="159">
        <f>COUNTIF(FilterList,#REF!)</f>
        <v>0</v>
      </c>
      <c r="K63" s="163"/>
      <c r="N63" s="243">
        <v>99259</v>
      </c>
    </row>
    <row r="64" spans="1:14" ht="14">
      <c r="A64">
        <v>95801</v>
      </c>
      <c r="B64" t="s">
        <v>1126</v>
      </c>
      <c r="C64" s="162">
        <f>ROUND(INDEX(Table4[OIL],MATCH(Table2[[#This Row],[Rox Wolf'#]],Table4[Wolf],0)),0)</f>
        <v>0</v>
      </c>
      <c r="D64" s="168">
        <f>INDEX(Table4[GAS],MATCH(Table2[[#This Row],[Rox Wolf'#]],Table4[Wolf],0))</f>
        <v>0</v>
      </c>
      <c r="E64" s="162">
        <f>INDEX(Table4[LEASE USE],MATCH(Table2[[#This Row],[Rox Wolf'#]],Table4[Wolf],0))</f>
        <v>0</v>
      </c>
      <c r="F64" s="163"/>
      <c r="G64" s="163"/>
      <c r="H64" s="163"/>
      <c r="I64" s="163"/>
      <c r="J64" s="159">
        <f>COUNTIF(FilterList,#REF!)</f>
        <v>0</v>
      </c>
      <c r="K64" s="163"/>
      <c r="N64" s="244">
        <v>95801</v>
      </c>
    </row>
    <row r="65" spans="1:14" ht="14">
      <c r="A65">
        <v>99132</v>
      </c>
      <c r="B65" t="s">
        <v>1102</v>
      </c>
      <c r="C65" s="162">
        <f>ROUND(INDEX(Table4[OIL],MATCH(Table2[[#This Row],[Rox Wolf'#]],Table4[Wolf],0)),0)</f>
        <v>160</v>
      </c>
      <c r="D65" s="168">
        <f>INDEX(Table4[GAS],MATCH(Table2[[#This Row],[Rox Wolf'#]],Table4[Wolf],0))</f>
        <v>0</v>
      </c>
      <c r="E65" s="162">
        <f>INDEX(Table4[LEASE USE],MATCH(Table2[[#This Row],[Rox Wolf'#]],Table4[Wolf],0))</f>
        <v>0</v>
      </c>
      <c r="F65" s="163"/>
      <c r="G65" s="163"/>
      <c r="H65" s="163"/>
      <c r="I65" s="163"/>
      <c r="J65" s="159">
        <f>COUNTIF(FilterList,#REF!)</f>
        <v>0</v>
      </c>
      <c r="K65" s="163"/>
      <c r="N65" s="243">
        <v>99132</v>
      </c>
    </row>
    <row r="66" spans="1:14" ht="14">
      <c r="A66">
        <v>99133</v>
      </c>
      <c r="B66" t="s">
        <v>1103</v>
      </c>
      <c r="C66" s="162">
        <f>ROUND(INDEX(Table4[OIL],MATCH(Table2[[#This Row],[Rox Wolf'#]],Table4[Wolf],0)),0)</f>
        <v>0</v>
      </c>
      <c r="D66" s="168">
        <f>INDEX(Table4[GAS],MATCH(Table2[[#This Row],[Rox Wolf'#]],Table4[Wolf],0))</f>
        <v>0</v>
      </c>
      <c r="E66" s="162">
        <f>INDEX(Table4[LEASE USE],MATCH(Table2[[#This Row],[Rox Wolf'#]],Table4[Wolf],0))</f>
        <v>0</v>
      </c>
      <c r="F66" s="163"/>
      <c r="G66" s="163"/>
      <c r="H66" s="163"/>
      <c r="I66" s="163"/>
      <c r="J66" s="159">
        <f>COUNTIF(FilterList,#REF!)</f>
        <v>0</v>
      </c>
      <c r="K66" s="163"/>
      <c r="N66" s="244">
        <v>99133</v>
      </c>
    </row>
    <row r="67" spans="1:14" ht="14">
      <c r="A67">
        <v>99128</v>
      </c>
      <c r="B67" t="s">
        <v>807</v>
      </c>
      <c r="C67" s="162">
        <f>ROUND(INDEX(Table4[OIL],MATCH(Table2[[#This Row],[Rox Wolf'#]],Table4[Wolf],0)),0)</f>
        <v>18</v>
      </c>
      <c r="D67" s="168">
        <f>INDEX(Table4[GAS],MATCH(Table2[[#This Row],[Rox Wolf'#]],Table4[Wolf],0))</f>
        <v>585</v>
      </c>
      <c r="E67" s="162">
        <f>INDEX(Table4[LEASE USE],MATCH(Table2[[#This Row],[Rox Wolf'#]],Table4[Wolf],0))</f>
        <v>20</v>
      </c>
      <c r="F67" s="163"/>
      <c r="G67" s="163"/>
      <c r="H67" s="163"/>
      <c r="I67" s="163"/>
      <c r="J67" s="159">
        <f>COUNTIF(FilterList,#REF!)</f>
        <v>0</v>
      </c>
      <c r="K67" s="163"/>
      <c r="N67" s="243">
        <v>99128</v>
      </c>
    </row>
    <row r="68" spans="1:14" ht="14">
      <c r="A68">
        <v>99134</v>
      </c>
      <c r="B68" t="s">
        <v>808</v>
      </c>
      <c r="C68" s="162">
        <f>ROUND(INDEX(Table4[OIL],MATCH(Table2[[#This Row],[Rox Wolf'#]],Table4[Wolf],0)),0)</f>
        <v>140</v>
      </c>
      <c r="D68" s="168">
        <f>INDEX(Table4[GAS],MATCH(Table2[[#This Row],[Rox Wolf'#]],Table4[Wolf],0))</f>
        <v>3425</v>
      </c>
      <c r="E68" s="162">
        <f>INDEX(Table4[LEASE USE],MATCH(Table2[[#This Row],[Rox Wolf'#]],Table4[Wolf],0))</f>
        <v>0</v>
      </c>
      <c r="F68" s="163"/>
      <c r="G68" s="163"/>
      <c r="H68" s="163"/>
      <c r="I68" s="163"/>
      <c r="J68" s="159">
        <f>COUNTIF(FilterList,#REF!)</f>
        <v>0</v>
      </c>
      <c r="K68" s="163"/>
      <c r="N68" s="244">
        <v>99134</v>
      </c>
    </row>
    <row r="69" spans="1:14" ht="14">
      <c r="A69">
        <v>99256</v>
      </c>
      <c r="B69" t="s">
        <v>112</v>
      </c>
      <c r="C69" s="162">
        <f>ROUND(INDEX(Table4[OIL],MATCH(Table2[[#This Row],[Rox Wolf'#]],Table4[Wolf],0)),0)</f>
        <v>0</v>
      </c>
      <c r="D69" s="168">
        <f>INDEX(Table4[GAS],MATCH(Table2[[#This Row],[Rox Wolf'#]],Table4[Wolf],0))</f>
        <v>0</v>
      </c>
      <c r="E69" s="162">
        <f>INDEX(Table4[LEASE USE],MATCH(Table2[[#This Row],[Rox Wolf'#]],Table4[Wolf],0))</f>
        <v>0</v>
      </c>
      <c r="F69" s="163"/>
      <c r="G69" s="163"/>
      <c r="H69" s="163"/>
      <c r="I69" s="163"/>
      <c r="J69" s="159">
        <f>COUNTIF(FilterList,#REF!)</f>
        <v>0</v>
      </c>
      <c r="K69" s="163"/>
      <c r="N69" s="243">
        <v>99256</v>
      </c>
    </row>
    <row r="70" spans="1:14" ht="14">
      <c r="A70">
        <v>98910</v>
      </c>
      <c r="B70" t="s">
        <v>809</v>
      </c>
      <c r="C70" s="162">
        <f>ROUND(INDEX(Table4[OIL],MATCH(Table2[[#This Row],[Rox Wolf'#]],Table4[Wolf],0)),0)</f>
        <v>1321</v>
      </c>
      <c r="D70" s="168">
        <f>INDEX(Table4[GAS],MATCH(Table2[[#This Row],[Rox Wolf'#]],Table4[Wolf],0))</f>
        <v>0</v>
      </c>
      <c r="E70" s="162">
        <f>INDEX(Table4[LEASE USE],MATCH(Table2[[#This Row],[Rox Wolf'#]],Table4[Wolf],0))</f>
        <v>120</v>
      </c>
      <c r="F70" s="163"/>
      <c r="G70" s="163"/>
      <c r="H70" s="163"/>
      <c r="I70" s="163"/>
      <c r="J70" s="159">
        <f>COUNTIF(FilterList,#REF!)</f>
        <v>0</v>
      </c>
      <c r="K70" s="163"/>
      <c r="N70" s="244">
        <v>98910</v>
      </c>
    </row>
    <row r="71" spans="1:14" ht="14">
      <c r="A71">
        <v>98401</v>
      </c>
      <c r="B71" t="s">
        <v>784</v>
      </c>
      <c r="C71" s="162">
        <f>ROUND(INDEX(Table4[OIL],MATCH(Table2[[#This Row],[Rox Wolf'#]],Table4[Wolf],0)),0)</f>
        <v>0</v>
      </c>
      <c r="D71" s="168">
        <f>INDEX(Table4[GAS],MATCH(Table2[[#This Row],[Rox Wolf'#]],Table4[Wolf],0))</f>
        <v>3093</v>
      </c>
      <c r="E71" s="162">
        <f>INDEX(Table4[LEASE USE],MATCH(Table2[[#This Row],[Rox Wolf'#]],Table4[Wolf],0))</f>
        <v>63</v>
      </c>
      <c r="F71" s="163"/>
      <c r="G71" s="163"/>
      <c r="H71" s="163"/>
      <c r="I71" s="163"/>
      <c r="J71" s="159">
        <f>COUNTIF(FilterList,#REF!)</f>
        <v>0</v>
      </c>
      <c r="K71" s="163"/>
      <c r="N71" s="243">
        <v>98401</v>
      </c>
    </row>
    <row r="72" spans="1:14" ht="14">
      <c r="A72">
        <v>96901</v>
      </c>
      <c r="B72" t="s">
        <v>785</v>
      </c>
      <c r="C72" s="162">
        <f>ROUND(INDEX(Table4[OIL],MATCH(Table2[[#This Row],[Rox Wolf'#]],Table4[Wolf],0)),0)</f>
        <v>0</v>
      </c>
      <c r="D72" s="168">
        <f>INDEX(Table4[GAS],MATCH(Table2[[#This Row],[Rox Wolf'#]],Table4[Wolf],0))</f>
        <v>1016</v>
      </c>
      <c r="E72" s="162">
        <f>INDEX(Table4[LEASE USE],MATCH(Table2[[#This Row],[Rox Wolf'#]],Table4[Wolf],0))</f>
        <v>21</v>
      </c>
      <c r="F72" s="163"/>
      <c r="G72" s="163"/>
      <c r="H72" s="163"/>
      <c r="I72" s="163"/>
      <c r="J72" s="159">
        <f>COUNTIF(FilterList,#REF!)</f>
        <v>0</v>
      </c>
      <c r="K72" s="163"/>
      <c r="N72" s="244">
        <v>96901</v>
      </c>
    </row>
    <row r="73" spans="1:14" ht="14">
      <c r="A73">
        <v>99101</v>
      </c>
      <c r="B73" t="s">
        <v>810</v>
      </c>
      <c r="C73" s="162">
        <f>ROUND(INDEX(Table4[OIL],MATCH(Table2[[#This Row],[Rox Wolf'#]],Table4[Wolf],0)),0)</f>
        <v>0</v>
      </c>
      <c r="D73" s="168">
        <f>INDEX(Table4[GAS],MATCH(Table2[[#This Row],[Rox Wolf'#]],Table4[Wolf],0))</f>
        <v>0</v>
      </c>
      <c r="E73" s="162">
        <f>INDEX(Table4[LEASE USE],MATCH(Table2[[#This Row],[Rox Wolf'#]],Table4[Wolf],0))</f>
        <v>0</v>
      </c>
      <c r="F73" s="163"/>
      <c r="G73" s="163"/>
      <c r="H73" s="163"/>
      <c r="I73" s="163"/>
      <c r="J73" s="159">
        <f>COUNTIF(FilterList,#REF!)</f>
        <v>0</v>
      </c>
      <c r="K73" s="163"/>
      <c r="N73" s="243">
        <v>99101</v>
      </c>
    </row>
    <row r="74" spans="1:14" ht="14">
      <c r="A74">
        <v>99026</v>
      </c>
      <c r="B74" t="s">
        <v>812</v>
      </c>
      <c r="C74" s="162">
        <f>ROUND(INDEX(Table4[OIL],MATCH(Table2[[#This Row],[Rox Wolf'#]],Table4[Wolf],0)),0)</f>
        <v>337</v>
      </c>
      <c r="D74" s="168">
        <f>INDEX(Table4[GAS],MATCH(Table2[[#This Row],[Rox Wolf'#]],Table4[Wolf],0))</f>
        <v>0</v>
      </c>
      <c r="E74" s="162">
        <f>INDEX(Table4[LEASE USE],MATCH(Table2[[#This Row],[Rox Wolf'#]],Table4[Wolf],0))</f>
        <v>0</v>
      </c>
      <c r="F74" s="163"/>
      <c r="G74" s="163"/>
      <c r="H74" s="163"/>
      <c r="I74" s="163"/>
      <c r="J74" s="159">
        <f>COUNTIF(FilterList,#REF!)</f>
        <v>0</v>
      </c>
      <c r="K74" s="163"/>
      <c r="N74" s="244">
        <v>99026</v>
      </c>
    </row>
    <row r="75" spans="1:14" ht="14">
      <c r="A75">
        <v>99246</v>
      </c>
      <c r="B75" t="s">
        <v>786</v>
      </c>
      <c r="C75" s="162">
        <f>ROUND(INDEX(Table4[OIL],MATCH(Table2[[#This Row],[Rox Wolf'#]],Table4[Wolf],0)),0)</f>
        <v>0</v>
      </c>
      <c r="D75" s="168">
        <f>INDEX(Table4[GAS],MATCH(Table2[[#This Row],[Rox Wolf'#]],Table4[Wolf],0))</f>
        <v>18394</v>
      </c>
      <c r="E75" s="162">
        <f>INDEX(Table4[LEASE USE],MATCH(Table2[[#This Row],[Rox Wolf'#]],Table4[Wolf],0))</f>
        <v>750</v>
      </c>
      <c r="F75" s="163"/>
      <c r="G75" s="163"/>
      <c r="H75" s="163"/>
      <c r="I75" s="163"/>
      <c r="J75" s="159">
        <f>COUNTIF(FilterList,#REF!)</f>
        <v>0</v>
      </c>
      <c r="K75" s="163"/>
      <c r="N75" s="243">
        <v>99246</v>
      </c>
    </row>
    <row r="76" spans="1:14" ht="14">
      <c r="A76">
        <v>99312</v>
      </c>
      <c r="B76" t="s">
        <v>787</v>
      </c>
      <c r="C76" s="162">
        <f>ROUND(INDEX(Table4[OIL],MATCH(Table2[[#This Row],[Rox Wolf'#]],Table4[Wolf],0)),0)</f>
        <v>0</v>
      </c>
      <c r="D76" s="168">
        <f>INDEX(Table4[GAS],MATCH(Table2[[#This Row],[Rox Wolf'#]],Table4[Wolf],0))</f>
        <v>0</v>
      </c>
      <c r="E76" s="162">
        <f>INDEX(Table4[LEASE USE],MATCH(Table2[[#This Row],[Rox Wolf'#]],Table4[Wolf],0))</f>
        <v>0</v>
      </c>
      <c r="F76" s="163"/>
      <c r="G76" s="163"/>
      <c r="H76" s="163"/>
      <c r="I76" s="163"/>
      <c r="J76" s="159">
        <f>COUNTIF(FilterList,#REF!)</f>
        <v>0</v>
      </c>
      <c r="K76" s="163"/>
      <c r="N76" s="244">
        <v>99312</v>
      </c>
    </row>
    <row r="77" spans="1:14" ht="14">
      <c r="A77">
        <v>99140</v>
      </c>
      <c r="B77" t="s">
        <v>813</v>
      </c>
      <c r="C77" s="162">
        <f>ROUND(INDEX(Table4[OIL],MATCH(Table2[[#This Row],[Rox Wolf'#]],Table4[Wolf],0)),0)</f>
        <v>0</v>
      </c>
      <c r="D77" s="168">
        <f>INDEX(Table4[GAS],MATCH(Table2[[#This Row],[Rox Wolf'#]],Table4[Wolf],0))</f>
        <v>0</v>
      </c>
      <c r="E77" s="162">
        <f>INDEX(Table4[LEASE USE],MATCH(Table2[[#This Row],[Rox Wolf'#]],Table4[Wolf],0))</f>
        <v>0</v>
      </c>
      <c r="F77" s="163"/>
      <c r="G77" s="163"/>
      <c r="H77" s="163"/>
      <c r="I77" s="163"/>
      <c r="J77" s="159">
        <f>COUNTIF(FilterList,#REF!)</f>
        <v>0</v>
      </c>
      <c r="K77" s="163"/>
      <c r="N77" s="243">
        <v>99140</v>
      </c>
    </row>
    <row r="78" spans="1:14" ht="14">
      <c r="A78">
        <v>98979</v>
      </c>
      <c r="B78" t="s">
        <v>309</v>
      </c>
      <c r="C78" s="162">
        <f>ROUND(INDEX(Table4[OIL],MATCH(Table2[[#This Row],[Rox Wolf'#]],Table4[Wolf],0)),0)</f>
        <v>0</v>
      </c>
      <c r="D78" s="168">
        <f>INDEX(Table4[GAS],MATCH(Table2[[#This Row],[Rox Wolf'#]],Table4[Wolf],0))</f>
        <v>242</v>
      </c>
      <c r="E78" s="162">
        <f>INDEX(Table4[LEASE USE],MATCH(Table2[[#This Row],[Rox Wolf'#]],Table4[Wolf],0))</f>
        <v>0</v>
      </c>
      <c r="F78" s="163"/>
      <c r="G78" s="163"/>
      <c r="H78" s="163"/>
      <c r="I78" s="163"/>
      <c r="J78" s="159">
        <f>COUNTIF(FilterList,#REF!)</f>
        <v>0</v>
      </c>
      <c r="K78" s="163"/>
      <c r="N78" s="244">
        <v>98979</v>
      </c>
    </row>
    <row r="79" spans="1:14" ht="14">
      <c r="A79">
        <v>34001</v>
      </c>
      <c r="B79" t="s">
        <v>814</v>
      </c>
      <c r="C79" s="162">
        <f>ROUND(INDEX(Table4[OIL],MATCH(Table2[[#This Row],[Rox Wolf'#]],Table4[Wolf],0)),0)</f>
        <v>719</v>
      </c>
      <c r="D79" s="168">
        <f>INDEX(Table4[GAS],MATCH(Table2[[#This Row],[Rox Wolf'#]],Table4[Wolf],0))</f>
        <v>0</v>
      </c>
      <c r="E79" s="162">
        <f>INDEX(Table4[LEASE USE],MATCH(Table2[[#This Row],[Rox Wolf'#]],Table4[Wolf],0))</f>
        <v>0</v>
      </c>
      <c r="F79" s="163"/>
      <c r="G79" s="163"/>
      <c r="H79" s="163"/>
      <c r="I79" s="163"/>
      <c r="J79" s="159">
        <f>COUNTIF(FilterList,#REF!)</f>
        <v>0</v>
      </c>
      <c r="K79" s="163"/>
      <c r="N79" s="243">
        <v>34001</v>
      </c>
    </row>
    <row r="80" spans="1:14" ht="14">
      <c r="A80">
        <v>599109</v>
      </c>
      <c r="B80" t="s">
        <v>788</v>
      </c>
      <c r="C80" s="162">
        <f>ROUND(INDEX(Table4[OIL],MATCH(Table2[[#This Row],[Rox Wolf'#]],Table4[Wolf],0)),0)</f>
        <v>179</v>
      </c>
      <c r="D80" s="168">
        <f>INDEX(Table4[GAS],MATCH(Table2[[#This Row],[Rox Wolf'#]],Table4[Wolf],0))</f>
        <v>11115</v>
      </c>
      <c r="E80" s="162">
        <f>INDEX(Table4[LEASE USE],MATCH(Table2[[#This Row],[Rox Wolf'#]],Table4[Wolf],0))</f>
        <v>450</v>
      </c>
      <c r="F80" s="163"/>
      <c r="G80" s="163"/>
      <c r="H80" s="163"/>
      <c r="I80" s="163"/>
      <c r="J80" s="159">
        <f>COUNTIF(FilterList,#REF!)</f>
        <v>0</v>
      </c>
      <c r="K80" s="163"/>
      <c r="N80" s="244">
        <v>599109</v>
      </c>
    </row>
    <row r="81" spans="1:14" ht="14">
      <c r="A81">
        <v>699109</v>
      </c>
      <c r="B81" t="s">
        <v>789</v>
      </c>
      <c r="C81" s="162">
        <f>ROUND(INDEX(Table4[OIL],MATCH(Table2[[#This Row],[Rox Wolf'#]],Table4[Wolf],0)),0)</f>
        <v>0</v>
      </c>
      <c r="D81" s="168">
        <f>INDEX(Table4[GAS],MATCH(Table2[[#This Row],[Rox Wolf'#]],Table4[Wolf],0))</f>
        <v>1726</v>
      </c>
      <c r="E81" s="162">
        <f>INDEX(Table4[LEASE USE],MATCH(Table2[[#This Row],[Rox Wolf'#]],Table4[Wolf],0))</f>
        <v>0</v>
      </c>
      <c r="F81" s="163"/>
      <c r="G81" s="163"/>
      <c r="H81" s="163"/>
      <c r="I81" s="163"/>
      <c r="J81" s="159">
        <f>COUNTIF(FilterList,#REF!)</f>
        <v>0</v>
      </c>
      <c r="K81" s="163"/>
      <c r="N81" s="243">
        <v>699109</v>
      </c>
    </row>
    <row r="82" spans="1:14" ht="14">
      <c r="A82">
        <v>98915</v>
      </c>
      <c r="B82" t="s">
        <v>790</v>
      </c>
      <c r="C82" s="162">
        <f>ROUND(INDEX(Table4[OIL],MATCH(Table2[[#This Row],[Rox Wolf'#]],Table4[Wolf],0)),0)</f>
        <v>0</v>
      </c>
      <c r="D82" s="168">
        <f>INDEX(Table4[GAS],MATCH(Table2[[#This Row],[Rox Wolf'#]],Table4[Wolf],0))</f>
        <v>52</v>
      </c>
      <c r="E82" s="162">
        <f>INDEX(Table4[LEASE USE],MATCH(Table2[[#This Row],[Rox Wolf'#]],Table4[Wolf],0))</f>
        <v>0</v>
      </c>
      <c r="F82" s="163"/>
      <c r="G82" s="163"/>
      <c r="H82" s="163"/>
      <c r="I82" s="163"/>
      <c r="J82" s="159">
        <f>COUNTIF(FilterList,#REF!)</f>
        <v>0</v>
      </c>
      <c r="K82" s="163"/>
      <c r="N82" s="244">
        <v>98915</v>
      </c>
    </row>
    <row r="83" spans="1:14" ht="14">
      <c r="A83">
        <v>99270</v>
      </c>
      <c r="B83" t="s">
        <v>148</v>
      </c>
      <c r="C83" s="162">
        <f>ROUND(INDEX(Table4[OIL],MATCH(Table2[[#This Row],[Rox Wolf'#]],Table4[Wolf],0)),0)</f>
        <v>0</v>
      </c>
      <c r="D83" s="168">
        <f>INDEX(Table4[GAS],MATCH(Table2[[#This Row],[Rox Wolf'#]],Table4[Wolf],0))</f>
        <v>0</v>
      </c>
      <c r="E83" s="162">
        <f>INDEX(Table4[LEASE USE],MATCH(Table2[[#This Row],[Rox Wolf'#]],Table4[Wolf],0))</f>
        <v>0</v>
      </c>
      <c r="F83" s="163"/>
      <c r="G83" s="163"/>
      <c r="H83" s="163"/>
      <c r="I83" s="163"/>
      <c r="J83" s="159">
        <f>COUNTIF(FilterList,#REF!)</f>
        <v>0</v>
      </c>
      <c r="K83" s="163"/>
      <c r="N83" s="243">
        <v>99270</v>
      </c>
    </row>
    <row r="84" spans="1:14" ht="14">
      <c r="A84">
        <v>99247</v>
      </c>
      <c r="B84" t="s">
        <v>1127</v>
      </c>
      <c r="C84" s="162">
        <f>ROUND(INDEX(Table4[OIL],MATCH(Table2[[#This Row],[Rox Wolf'#]],Table4[Wolf],0)),0)</f>
        <v>0</v>
      </c>
      <c r="D84" s="168">
        <f>INDEX(Table4[GAS],MATCH(Table2[[#This Row],[Rox Wolf'#]],Table4[Wolf],0))</f>
        <v>0</v>
      </c>
      <c r="E84" s="162">
        <f>INDEX(Table4[LEASE USE],MATCH(Table2[[#This Row],[Rox Wolf'#]],Table4[Wolf],0))</f>
        <v>0</v>
      </c>
      <c r="F84" s="163"/>
      <c r="G84" s="163"/>
      <c r="H84" s="163"/>
      <c r="I84" s="163"/>
      <c r="J84" s="159">
        <f>COUNTIF(FilterList,#REF!)</f>
        <v>0</v>
      </c>
      <c r="K84" s="163"/>
      <c r="N84" s="244">
        <v>99247</v>
      </c>
    </row>
    <row r="85" spans="1:14" ht="14">
      <c r="A85">
        <v>98983</v>
      </c>
      <c r="B85" t="s">
        <v>1104</v>
      </c>
      <c r="C85" s="162">
        <f>ROUND(INDEX(Table4[OIL],MATCH(Table2[[#This Row],[Rox Wolf'#]],Table4[Wolf],0)),0)</f>
        <v>0</v>
      </c>
      <c r="D85" s="168">
        <f>INDEX(Table4[GAS],MATCH(Table2[[#This Row],[Rox Wolf'#]],Table4[Wolf],0))</f>
        <v>0</v>
      </c>
      <c r="E85" s="162">
        <f>INDEX(Table4[LEASE USE],MATCH(Table2[[#This Row],[Rox Wolf'#]],Table4[Wolf],0))</f>
        <v>0</v>
      </c>
      <c r="F85" s="163"/>
      <c r="G85" s="163"/>
      <c r="H85" s="163"/>
      <c r="I85" s="163"/>
      <c r="J85" s="159">
        <f>COUNTIF(FilterList,#REF!)</f>
        <v>0</v>
      </c>
      <c r="K85" s="163"/>
      <c r="N85" s="243">
        <v>98983</v>
      </c>
    </row>
    <row r="86" spans="1:14" ht="14">
      <c r="A86">
        <v>99161</v>
      </c>
      <c r="B86" t="s">
        <v>817</v>
      </c>
      <c r="C86" s="162">
        <f>ROUND(INDEX(Table4[OIL],MATCH(Table2[[#This Row],[Rox Wolf'#]],Table4[Wolf],0)),0)</f>
        <v>169</v>
      </c>
      <c r="D86" s="168">
        <f>INDEX(Table4[GAS],MATCH(Table2[[#This Row],[Rox Wolf'#]],Table4[Wolf],0))</f>
        <v>0</v>
      </c>
      <c r="E86" s="162">
        <f>INDEX(Table4[LEASE USE],MATCH(Table2[[#This Row],[Rox Wolf'#]],Table4[Wolf],0))</f>
        <v>88</v>
      </c>
      <c r="F86" s="163"/>
      <c r="G86" s="163"/>
      <c r="H86" s="163"/>
      <c r="I86" s="163"/>
      <c r="J86" s="159">
        <f>COUNTIF(FilterList,#REF!)</f>
        <v>0</v>
      </c>
      <c r="K86" s="163"/>
      <c r="N86" s="244">
        <v>99161</v>
      </c>
    </row>
    <row r="87" spans="1:14" ht="14">
      <c r="A87">
        <v>99305</v>
      </c>
      <c r="B87" t="s">
        <v>818</v>
      </c>
      <c r="C87" s="162">
        <f>ROUND(INDEX(Table4[OIL],MATCH(Table2[[#This Row],[Rox Wolf'#]],Table4[Wolf],0)),0)</f>
        <v>0</v>
      </c>
      <c r="D87" s="168">
        <f>INDEX(Table4[GAS],MATCH(Table2[[#This Row],[Rox Wolf'#]],Table4[Wolf],0))</f>
        <v>0</v>
      </c>
      <c r="E87" s="162">
        <f>INDEX(Table4[LEASE USE],MATCH(Table2[[#This Row],[Rox Wolf'#]],Table4[Wolf],0))</f>
        <v>0</v>
      </c>
      <c r="F87" s="163"/>
      <c r="G87" s="163"/>
      <c r="H87" s="163"/>
      <c r="I87" s="163"/>
      <c r="J87" s="159">
        <f>COUNTIF(FilterList,#REF!)</f>
        <v>0</v>
      </c>
      <c r="K87" s="163"/>
      <c r="N87" s="243">
        <v>99305</v>
      </c>
    </row>
    <row r="88" spans="1:14" ht="14">
      <c r="A88">
        <v>99302</v>
      </c>
      <c r="B88" t="s">
        <v>819</v>
      </c>
      <c r="C88" s="162">
        <f>ROUND(INDEX(Table4[OIL],MATCH(Table2[[#This Row],[Rox Wolf'#]],Table4[Wolf],0)),0)</f>
        <v>0</v>
      </c>
      <c r="D88" s="168">
        <f>INDEX(Table4[GAS],MATCH(Table2[[#This Row],[Rox Wolf'#]],Table4[Wolf],0))</f>
        <v>0</v>
      </c>
      <c r="E88" s="162">
        <f>INDEX(Table4[LEASE USE],MATCH(Table2[[#This Row],[Rox Wolf'#]],Table4[Wolf],0))</f>
        <v>0</v>
      </c>
      <c r="F88" s="163"/>
      <c r="G88" s="163"/>
      <c r="H88" s="163"/>
      <c r="I88" s="163"/>
      <c r="J88" s="159">
        <f>COUNTIF(FilterList,#REF!)</f>
        <v>0</v>
      </c>
      <c r="K88" s="163"/>
      <c r="N88" s="244">
        <v>99302</v>
      </c>
    </row>
    <row r="89" spans="1:14" ht="14">
      <c r="A89">
        <v>99296</v>
      </c>
      <c r="B89" t="s">
        <v>820</v>
      </c>
      <c r="C89" s="162">
        <f>ROUND(INDEX(Table4[OIL],MATCH(Table2[[#This Row],[Rox Wolf'#]],Table4[Wolf],0)),0)</f>
        <v>0</v>
      </c>
      <c r="D89" s="168">
        <f>INDEX(Table4[GAS],MATCH(Table2[[#This Row],[Rox Wolf'#]],Table4[Wolf],0))</f>
        <v>0</v>
      </c>
      <c r="E89" s="162">
        <f>INDEX(Table4[LEASE USE],MATCH(Table2[[#This Row],[Rox Wolf'#]],Table4[Wolf],0))</f>
        <v>0</v>
      </c>
      <c r="F89" s="163"/>
      <c r="G89" s="163"/>
      <c r="H89" s="163"/>
      <c r="I89" s="163"/>
      <c r="J89" s="159">
        <f>COUNTIF(FilterList,#REF!)</f>
        <v>0</v>
      </c>
      <c r="K89" s="163"/>
      <c r="N89" s="243">
        <v>99296</v>
      </c>
    </row>
    <row r="90" spans="1:14" ht="14">
      <c r="A90">
        <v>99194</v>
      </c>
      <c r="B90" t="s">
        <v>1105</v>
      </c>
      <c r="C90" s="162">
        <f>ROUND(INDEX(Table4[OIL],MATCH(Table2[[#This Row],[Rox Wolf'#]],Table4[Wolf],0)),0)</f>
        <v>0</v>
      </c>
      <c r="D90" s="168">
        <f>INDEX(Table4[GAS],MATCH(Table2[[#This Row],[Rox Wolf'#]],Table4[Wolf],0))</f>
        <v>0</v>
      </c>
      <c r="E90" s="162">
        <f>INDEX(Table4[LEASE USE],MATCH(Table2[[#This Row],[Rox Wolf'#]],Table4[Wolf],0))</f>
        <v>0</v>
      </c>
      <c r="F90" s="163"/>
      <c r="G90" s="163"/>
      <c r="H90" s="163"/>
      <c r="I90" s="163"/>
      <c r="J90" s="159">
        <f>COUNTIF(FilterList,#REF!)</f>
        <v>0</v>
      </c>
      <c r="K90" s="163"/>
      <c r="N90" s="244">
        <v>99194</v>
      </c>
    </row>
    <row r="91" spans="1:14" ht="14" hidden="1">
      <c r="A91">
        <v>99171</v>
      </c>
      <c r="B91" t="s">
        <v>821</v>
      </c>
      <c r="C91" s="162">
        <f>ROUND(INDEX(Table4[OIL],MATCH(Table2[[#This Row],[Rox Wolf'#]],Table4[Wolf],0)),0)</f>
        <v>186</v>
      </c>
      <c r="D91" s="168">
        <f>INDEX(Table4[GAS],MATCH(Table2[[#This Row],[Rox Wolf'#]],Table4[Wolf],0))</f>
        <v>0</v>
      </c>
      <c r="E91" s="162">
        <f>INDEX(Table4[LEASE USE],MATCH(Table2[[#This Row],[Rox Wolf'#]],Table4[Wolf],0))</f>
        <v>0</v>
      </c>
      <c r="F91" s="163"/>
      <c r="G91" s="163"/>
      <c r="H91" s="163"/>
      <c r="I91" s="163"/>
      <c r="J91" s="159">
        <f>COUNTIF(FilterList,#REF!)</f>
        <v>0</v>
      </c>
      <c r="K91" s="164" t="s">
        <v>1130</v>
      </c>
      <c r="N91" s="243">
        <v>99158</v>
      </c>
    </row>
    <row r="92" spans="1:14" ht="14" hidden="1">
      <c r="A92">
        <v>99172</v>
      </c>
      <c r="B92" t="s">
        <v>1128</v>
      </c>
      <c r="C92" s="162">
        <f>ROUND(INDEX(Table4[OIL],MATCH(Table2[[#This Row],[Rox Wolf'#]],Table4[Wolf],0)),0)</f>
        <v>0</v>
      </c>
      <c r="D92" s="168">
        <f>INDEX(Table4[GAS],MATCH(Table2[[#This Row],[Rox Wolf'#]],Table4[Wolf],0))</f>
        <v>0</v>
      </c>
      <c r="E92" s="162">
        <f>INDEX(Table4[LEASE USE],MATCH(Table2[[#This Row],[Rox Wolf'#]],Table4[Wolf],0))</f>
        <v>0</v>
      </c>
      <c r="F92" s="163"/>
      <c r="G92" s="163"/>
      <c r="H92" s="163"/>
      <c r="I92" s="163"/>
      <c r="J92" s="159">
        <f>COUNTIF(FilterList,#REF!)</f>
        <v>0</v>
      </c>
      <c r="K92" s="164" t="s">
        <v>1130</v>
      </c>
      <c r="N92" s="244">
        <v>99171</v>
      </c>
    </row>
    <row r="93" spans="1:14" ht="14" hidden="1">
      <c r="A93">
        <v>99173</v>
      </c>
      <c r="B93" t="s">
        <v>822</v>
      </c>
      <c r="C93" s="162">
        <f>ROUND(INDEX(Table4[OIL],MATCH(Table2[[#This Row],[Rox Wolf'#]],Table4[Wolf],0)),0)</f>
        <v>168</v>
      </c>
      <c r="D93" s="168">
        <f>INDEX(Table4[GAS],MATCH(Table2[[#This Row],[Rox Wolf'#]],Table4[Wolf],0))</f>
        <v>0</v>
      </c>
      <c r="E93" s="162">
        <f>INDEX(Table4[LEASE USE],MATCH(Table2[[#This Row],[Rox Wolf'#]],Table4[Wolf],0))</f>
        <v>0</v>
      </c>
      <c r="F93" s="163"/>
      <c r="G93" s="163"/>
      <c r="H93" s="163"/>
      <c r="I93" s="163"/>
      <c r="J93" s="159">
        <f>COUNTIF(FilterList,#REF!)</f>
        <v>0</v>
      </c>
      <c r="K93" s="164" t="s">
        <v>1130</v>
      </c>
      <c r="N93" s="243">
        <v>99172</v>
      </c>
    </row>
    <row r="94" spans="1:14" ht="14">
      <c r="A94">
        <v>80001</v>
      </c>
      <c r="B94" t="s">
        <v>791</v>
      </c>
      <c r="C94" s="162">
        <f>ROUND(INDEX(Table4[OIL],MATCH(Table2[[#This Row],[Rox Wolf'#]],Table4[Wolf],0)),0)</f>
        <v>0</v>
      </c>
      <c r="D94" s="168">
        <f>INDEX(Table4[GAS],MATCH(Table2[[#This Row],[Rox Wolf'#]],Table4[Wolf],0))</f>
        <v>1623</v>
      </c>
      <c r="E94" s="162">
        <f>INDEX(Table4[LEASE USE],MATCH(Table2[[#This Row],[Rox Wolf'#]],Table4[Wolf],0))</f>
        <v>84</v>
      </c>
      <c r="F94" s="163"/>
      <c r="G94" s="163"/>
      <c r="H94" s="163"/>
      <c r="I94" s="163"/>
      <c r="J94" s="159">
        <f>COUNTIF(FilterList,#REF!)</f>
        <v>0</v>
      </c>
      <c r="K94" s="163"/>
      <c r="N94" s="244">
        <v>99173</v>
      </c>
    </row>
    <row r="95" spans="1:14" ht="14">
      <c r="A95">
        <v>99158</v>
      </c>
      <c r="B95" t="s">
        <v>1280</v>
      </c>
      <c r="C95" s="162">
        <f>ROUND(INDEX(Table4[OIL],MATCH(Table2[[#This Row],[Rox Wolf'#]],Table4[Wolf],0)),0)</f>
        <v>0</v>
      </c>
      <c r="D95" s="168">
        <f>INDEX(Table4[GAS],MATCH(Table2[[#This Row],[Rox Wolf'#]],Table4[Wolf],0))</f>
        <v>0</v>
      </c>
      <c r="E95" s="162">
        <f>INDEX(Table4[LEASE USE],MATCH(Table2[[#This Row],[Rox Wolf'#]],Table4[Wolf],0))</f>
        <v>0</v>
      </c>
      <c r="F95" s="163"/>
      <c r="G95" s="163"/>
      <c r="H95" s="163"/>
      <c r="I95" s="163"/>
      <c r="J95" s="159">
        <f>COUNTIF(FilterList,#REF!)</f>
        <v>0</v>
      </c>
      <c r="K95" s="163"/>
      <c r="N95" s="244"/>
    </row>
    <row r="96" spans="1:14" ht="14">
      <c r="A96">
        <f>SUBTOTAL(103,Table2[Rox Wolf'#])</f>
        <v>84</v>
      </c>
      <c r="B96"/>
      <c r="C96">
        <f>SUBTOTAL(109,Table2[OIL])</f>
        <v>9153</v>
      </c>
      <c r="D96" s="5">
        <f>SUBTOTAL(109,Table2[GAS])</f>
        <v>149890</v>
      </c>
      <c r="E96">
        <f>SUBTOTAL(109,Table2[LEASE USE])</f>
        <v>4773</v>
      </c>
      <c r="F96"/>
      <c r="G96"/>
      <c r="H96"/>
      <c r="I96"/>
      <c r="J96">
        <f>SUBTOTAL(109,Table2[Filter])</f>
        <v>0</v>
      </c>
      <c r="N96" s="243">
        <v>80001</v>
      </c>
    </row>
  </sheetData>
  <mergeCells count="2">
    <mergeCell ref="A1:E1"/>
    <mergeCell ref="A2:E2"/>
  </mergeCells>
  <phoneticPr fontId="70" type="noConversion"/>
  <conditionalFormatting sqref="A5:A95">
    <cfRule type="duplicateValues" dxfId="117" priority="29"/>
  </conditionalFormatting>
  <conditionalFormatting sqref="B4:B95">
    <cfRule type="duplicateValues" dxfId="116" priority="31"/>
  </conditionalFormatting>
  <conditionalFormatting sqref="N5:N96 A5:A95">
    <cfRule type="duplicateValues" dxfId="115" priority="1"/>
  </conditionalFormatting>
  <pageMargins left="0.25" right="0.25" top="0.75" bottom="0.75" header="0.3" footer="0.3"/>
  <pageSetup scale="36" orientation="landscape"/>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6"/>
  <sheetViews>
    <sheetView topLeftCell="A51" workbookViewId="0">
      <selection activeCell="C68" sqref="C68"/>
    </sheetView>
  </sheetViews>
  <sheetFormatPr baseColWidth="10" defaultColWidth="8.83203125" defaultRowHeight="14" x14ac:dyDescent="0"/>
  <cols>
    <col min="1" max="1" width="12.83203125" style="174" customWidth="1"/>
    <col min="2" max="2" width="30" style="174" bestFit="1" customWidth="1"/>
    <col min="3" max="3" width="8.83203125" style="178"/>
    <col min="4" max="4" width="8.83203125" style="179"/>
    <col min="5" max="5" width="14.1640625" style="178" customWidth="1"/>
    <col min="6" max="16384" width="8.83203125" style="174"/>
  </cols>
  <sheetData>
    <row r="1" spans="1:5" s="172" customFormat="1" ht="20">
      <c r="A1" s="271" t="s">
        <v>627</v>
      </c>
      <c r="B1" s="271"/>
      <c r="C1" s="271"/>
      <c r="D1" s="271"/>
      <c r="E1" s="271"/>
    </row>
    <row r="2" spans="1:5" s="172" customFormat="1" ht="20">
      <c r="A2" s="272">
        <v>43831</v>
      </c>
      <c r="B2" s="272"/>
      <c r="C2" s="272"/>
      <c r="D2" s="272"/>
      <c r="E2" s="272"/>
    </row>
    <row r="3" spans="1:5" s="172" customFormat="1" ht="20">
      <c r="C3" s="192"/>
      <c r="D3" s="173"/>
      <c r="E3" s="192"/>
    </row>
    <row r="4" spans="1:5">
      <c r="A4" s="180" t="s">
        <v>1142</v>
      </c>
      <c r="B4" s="175" t="s">
        <v>1143</v>
      </c>
      <c r="C4" s="176" t="s">
        <v>745</v>
      </c>
      <c r="D4" s="177" t="s">
        <v>746</v>
      </c>
      <c r="E4" s="178" t="s">
        <v>747</v>
      </c>
    </row>
    <row r="5" spans="1:5">
      <c r="A5" s="199">
        <v>99265</v>
      </c>
      <c r="B5" s="199" t="s">
        <v>1119</v>
      </c>
      <c r="C5" s="200"/>
      <c r="D5" s="201">
        <v>6226</v>
      </c>
      <c r="E5" s="202">
        <v>216</v>
      </c>
    </row>
    <row r="6" spans="1:5">
      <c r="A6" s="199">
        <v>99266</v>
      </c>
      <c r="B6" s="199" t="s">
        <v>1120</v>
      </c>
      <c r="C6" s="200"/>
      <c r="D6" s="201">
        <v>2337</v>
      </c>
      <c r="E6" s="202">
        <v>81</v>
      </c>
    </row>
    <row r="7" spans="1:5">
      <c r="A7" s="199">
        <v>99267</v>
      </c>
      <c r="B7" s="199" t="s">
        <v>1121</v>
      </c>
      <c r="C7" s="200"/>
      <c r="D7" s="201">
        <v>303</v>
      </c>
      <c r="E7" s="202">
        <v>22</v>
      </c>
    </row>
    <row r="8" spans="1:5">
      <c r="A8" s="199">
        <v>99229</v>
      </c>
      <c r="B8" s="199" t="s">
        <v>748</v>
      </c>
      <c r="C8" s="200">
        <v>175.96</v>
      </c>
      <c r="D8" s="201"/>
      <c r="E8" s="202">
        <v>0</v>
      </c>
    </row>
    <row r="9" spans="1:5">
      <c r="A9" s="199">
        <v>99282</v>
      </c>
      <c r="B9" s="199" t="s">
        <v>1265</v>
      </c>
      <c r="C9" s="200">
        <v>179.45</v>
      </c>
      <c r="D9" s="201"/>
      <c r="E9" s="202"/>
    </row>
    <row r="10" spans="1:5">
      <c r="A10" s="199">
        <v>93701</v>
      </c>
      <c r="B10" s="199" t="s">
        <v>795</v>
      </c>
      <c r="C10" s="200"/>
      <c r="D10" s="201">
        <v>6</v>
      </c>
      <c r="E10" s="202">
        <v>0</v>
      </c>
    </row>
    <row r="11" spans="1:5">
      <c r="A11" s="199">
        <v>99170</v>
      </c>
      <c r="B11" s="199" t="s">
        <v>797</v>
      </c>
      <c r="C11" s="200"/>
      <c r="D11" s="201"/>
      <c r="E11" s="202">
        <v>0</v>
      </c>
    </row>
    <row r="12" spans="1:5">
      <c r="A12" s="199">
        <v>96701</v>
      </c>
      <c r="B12" s="199" t="s">
        <v>749</v>
      </c>
      <c r="C12" s="200"/>
      <c r="D12" s="201"/>
      <c r="E12" s="202">
        <v>0</v>
      </c>
    </row>
    <row r="13" spans="1:5">
      <c r="A13" s="199">
        <v>82001</v>
      </c>
      <c r="B13" s="199" t="s">
        <v>750</v>
      </c>
      <c r="C13" s="200"/>
      <c r="D13" s="201">
        <v>48</v>
      </c>
      <c r="E13" s="202">
        <v>0</v>
      </c>
    </row>
    <row r="14" spans="1:5">
      <c r="A14" s="199">
        <v>96501</v>
      </c>
      <c r="B14" s="199" t="s">
        <v>751</v>
      </c>
      <c r="C14" s="200">
        <v>380.51</v>
      </c>
      <c r="D14" s="201">
        <v>220</v>
      </c>
      <c r="E14" s="202">
        <v>12</v>
      </c>
    </row>
    <row r="15" spans="1:5">
      <c r="A15" s="199">
        <v>99230</v>
      </c>
      <c r="B15" s="199" t="s">
        <v>752</v>
      </c>
      <c r="C15" s="200">
        <v>349.85</v>
      </c>
      <c r="D15" s="201">
        <v>1905</v>
      </c>
      <c r="E15" s="202">
        <v>0</v>
      </c>
    </row>
    <row r="16" spans="1:5">
      <c r="A16" s="199">
        <v>99286</v>
      </c>
      <c r="B16" s="199" t="s">
        <v>753</v>
      </c>
      <c r="C16" s="200"/>
      <c r="D16" s="201">
        <v>762</v>
      </c>
      <c r="E16" s="202">
        <v>60</v>
      </c>
    </row>
    <row r="17" spans="1:5">
      <c r="A17" s="199">
        <v>99294</v>
      </c>
      <c r="B17" s="199" t="s">
        <v>754</v>
      </c>
      <c r="C17" s="200">
        <v>717.5</v>
      </c>
      <c r="D17" s="201">
        <v>1212</v>
      </c>
      <c r="E17" s="202">
        <v>30</v>
      </c>
    </row>
    <row r="18" spans="1:5">
      <c r="A18" s="199">
        <v>99293</v>
      </c>
      <c r="B18" s="199" t="s">
        <v>755</v>
      </c>
      <c r="C18" s="200"/>
      <c r="D18" s="201">
        <v>139</v>
      </c>
      <c r="E18" s="202">
        <v>30</v>
      </c>
    </row>
    <row r="19" spans="1:5">
      <c r="A19" s="199">
        <v>99295</v>
      </c>
      <c r="B19" s="199" t="s">
        <v>756</v>
      </c>
      <c r="C19" s="200">
        <v>1091.22</v>
      </c>
      <c r="D19" s="201">
        <v>828</v>
      </c>
      <c r="E19" s="202">
        <v>210</v>
      </c>
    </row>
    <row r="20" spans="1:5">
      <c r="A20" s="199">
        <v>99228</v>
      </c>
      <c r="B20" s="199" t="s">
        <v>77</v>
      </c>
      <c r="C20" s="200"/>
      <c r="D20" s="201"/>
      <c r="E20" s="202">
        <v>0</v>
      </c>
    </row>
    <row r="21" spans="1:5">
      <c r="A21" s="199">
        <v>99200</v>
      </c>
      <c r="B21" s="199" t="s">
        <v>799</v>
      </c>
      <c r="C21" s="200">
        <v>1116.28</v>
      </c>
      <c r="D21" s="201"/>
      <c r="E21" s="202">
        <v>0</v>
      </c>
    </row>
    <row r="22" spans="1:5">
      <c r="A22" s="199">
        <v>99255</v>
      </c>
      <c r="B22" s="199" t="s">
        <v>757</v>
      </c>
      <c r="C22" s="200"/>
      <c r="D22" s="201"/>
      <c r="E22" s="202">
        <v>0</v>
      </c>
    </row>
    <row r="23" spans="1:5">
      <c r="A23" s="199">
        <v>98921</v>
      </c>
      <c r="B23" s="199" t="s">
        <v>800</v>
      </c>
      <c r="C23" s="200"/>
      <c r="D23" s="201"/>
      <c r="E23" s="202">
        <v>0</v>
      </c>
    </row>
    <row r="24" spans="1:5">
      <c r="A24" s="199">
        <v>99017</v>
      </c>
      <c r="B24" s="199" t="s">
        <v>758</v>
      </c>
      <c r="C24" s="200"/>
      <c r="D24" s="201">
        <v>4424</v>
      </c>
      <c r="E24" s="202">
        <v>210</v>
      </c>
    </row>
    <row r="25" spans="1:5">
      <c r="A25" s="199">
        <v>99067</v>
      </c>
      <c r="B25" s="199" t="s">
        <v>759</v>
      </c>
      <c r="C25" s="200"/>
      <c r="D25" s="201">
        <v>214</v>
      </c>
      <c r="E25" s="202">
        <v>0</v>
      </c>
    </row>
    <row r="26" spans="1:5">
      <c r="A26" s="199">
        <v>99169</v>
      </c>
      <c r="B26" s="199" t="s">
        <v>801</v>
      </c>
      <c r="C26" s="200"/>
      <c r="D26" s="201"/>
      <c r="E26" s="202">
        <v>0</v>
      </c>
    </row>
    <row r="27" spans="1:5">
      <c r="A27" s="199">
        <v>99069</v>
      </c>
      <c r="B27" s="199" t="s">
        <v>760</v>
      </c>
      <c r="C27" s="200">
        <v>345.04</v>
      </c>
      <c r="D27" s="201">
        <v>989</v>
      </c>
      <c r="E27" s="202">
        <v>60</v>
      </c>
    </row>
    <row r="28" spans="1:5">
      <c r="A28" s="199">
        <v>98965</v>
      </c>
      <c r="B28" s="199" t="s">
        <v>761</v>
      </c>
      <c r="C28" s="200"/>
      <c r="D28" s="201">
        <v>1048</v>
      </c>
      <c r="E28" s="202">
        <v>30</v>
      </c>
    </row>
    <row r="29" spans="1:5">
      <c r="A29" s="199">
        <v>99225</v>
      </c>
      <c r="B29" s="199" t="s">
        <v>1122</v>
      </c>
      <c r="C29" s="200"/>
      <c r="D29" s="201"/>
      <c r="E29" s="202"/>
    </row>
    <row r="30" spans="1:5">
      <c r="A30" s="199">
        <v>48001</v>
      </c>
      <c r="B30" s="199" t="s">
        <v>762</v>
      </c>
      <c r="C30" s="200"/>
      <c r="D30" s="201">
        <v>181</v>
      </c>
      <c r="E30" s="202">
        <v>30</v>
      </c>
    </row>
    <row r="31" spans="1:5">
      <c r="A31" s="199">
        <v>93806</v>
      </c>
      <c r="B31" s="199" t="s">
        <v>802</v>
      </c>
      <c r="C31" s="200"/>
      <c r="D31" s="201"/>
      <c r="E31" s="202">
        <v>0</v>
      </c>
    </row>
    <row r="32" spans="1:5" ht="15.75" customHeight="1">
      <c r="A32" s="199">
        <v>98961</v>
      </c>
      <c r="B32" s="199" t="s">
        <v>803</v>
      </c>
      <c r="C32" s="200">
        <v>336.28</v>
      </c>
      <c r="D32" s="201">
        <v>2141</v>
      </c>
      <c r="E32" s="202">
        <v>0</v>
      </c>
    </row>
    <row r="33" spans="1:5">
      <c r="A33" s="199">
        <v>99307</v>
      </c>
      <c r="B33" s="199" t="s">
        <v>763</v>
      </c>
      <c r="C33" s="200"/>
      <c r="D33" s="201">
        <v>510</v>
      </c>
      <c r="E33" s="202">
        <v>0</v>
      </c>
    </row>
    <row r="34" spans="1:5">
      <c r="A34" s="199">
        <v>98987</v>
      </c>
      <c r="B34" s="199" t="s">
        <v>764</v>
      </c>
      <c r="C34" s="200"/>
      <c r="D34" s="201"/>
      <c r="E34" s="202">
        <v>0</v>
      </c>
    </row>
    <row r="35" spans="1:5">
      <c r="A35" s="199">
        <v>98988</v>
      </c>
      <c r="B35" s="199" t="s">
        <v>765</v>
      </c>
      <c r="C35" s="200"/>
      <c r="D35" s="201">
        <v>2583</v>
      </c>
      <c r="E35" s="202">
        <v>140</v>
      </c>
    </row>
    <row r="36" spans="1:5">
      <c r="A36" s="199">
        <v>99007</v>
      </c>
      <c r="B36" s="199" t="s">
        <v>766</v>
      </c>
      <c r="C36" s="200"/>
      <c r="D36" s="201">
        <v>31</v>
      </c>
      <c r="E36" s="202">
        <v>1</v>
      </c>
    </row>
    <row r="37" spans="1:5">
      <c r="A37" s="199">
        <v>98956</v>
      </c>
      <c r="B37" s="199" t="s">
        <v>767</v>
      </c>
      <c r="C37" s="200"/>
      <c r="D37" s="201">
        <v>795</v>
      </c>
      <c r="E37" s="202">
        <v>56</v>
      </c>
    </row>
    <row r="38" spans="1:5">
      <c r="A38" s="199">
        <v>98958</v>
      </c>
      <c r="B38" s="199" t="s">
        <v>768</v>
      </c>
      <c r="C38" s="200"/>
      <c r="D38" s="201">
        <v>3603</v>
      </c>
      <c r="E38" s="202">
        <v>168</v>
      </c>
    </row>
    <row r="39" spans="1:5">
      <c r="A39" s="199">
        <v>98959</v>
      </c>
      <c r="B39" s="199" t="s">
        <v>769</v>
      </c>
      <c r="C39" s="200"/>
      <c r="D39" s="201">
        <v>31</v>
      </c>
      <c r="E39" s="202">
        <v>0</v>
      </c>
    </row>
    <row r="40" spans="1:5">
      <c r="A40" s="199">
        <v>99093</v>
      </c>
      <c r="B40" s="199" t="s">
        <v>770</v>
      </c>
      <c r="C40" s="200"/>
      <c r="D40" s="201">
        <v>2723</v>
      </c>
      <c r="E40" s="202">
        <v>120</v>
      </c>
    </row>
    <row r="41" spans="1:5">
      <c r="A41" s="199">
        <v>99094</v>
      </c>
      <c r="B41" s="199" t="s">
        <v>771</v>
      </c>
      <c r="C41" s="200"/>
      <c r="D41" s="201">
        <v>2576</v>
      </c>
      <c r="E41" s="202">
        <v>120</v>
      </c>
    </row>
    <row r="42" spans="1:5">
      <c r="A42" s="199">
        <v>99095</v>
      </c>
      <c r="B42" s="199" t="s">
        <v>772</v>
      </c>
      <c r="C42" s="200"/>
      <c r="D42" s="201">
        <v>1005</v>
      </c>
      <c r="E42" s="202">
        <v>30</v>
      </c>
    </row>
    <row r="43" spans="1:5">
      <c r="A43" s="199">
        <v>98801</v>
      </c>
      <c r="B43" s="199" t="s">
        <v>773</v>
      </c>
      <c r="C43" s="200"/>
      <c r="D43" s="201">
        <v>5744</v>
      </c>
      <c r="E43" s="202">
        <v>210</v>
      </c>
    </row>
    <row r="44" spans="1:5">
      <c r="A44" s="199">
        <v>94601</v>
      </c>
      <c r="B44" s="199" t="s">
        <v>804</v>
      </c>
      <c r="C44" s="200">
        <v>330.46</v>
      </c>
      <c r="D44" s="201">
        <v>1220</v>
      </c>
      <c r="E44" s="202">
        <v>0</v>
      </c>
    </row>
    <row r="45" spans="1:5">
      <c r="A45" s="199">
        <v>99113</v>
      </c>
      <c r="B45" s="199" t="s">
        <v>774</v>
      </c>
      <c r="C45" s="200"/>
      <c r="D45" s="201">
        <v>199</v>
      </c>
      <c r="E45" s="202">
        <v>0</v>
      </c>
    </row>
    <row r="46" spans="1:5">
      <c r="A46" s="199">
        <v>99066</v>
      </c>
      <c r="B46" s="199" t="s">
        <v>775</v>
      </c>
      <c r="C46" s="200"/>
      <c r="D46" s="201">
        <v>774</v>
      </c>
      <c r="E46" s="202">
        <v>0</v>
      </c>
    </row>
    <row r="47" spans="1:5">
      <c r="A47" s="199">
        <v>99065</v>
      </c>
      <c r="B47" s="199" t="s">
        <v>776</v>
      </c>
      <c r="C47" s="200"/>
      <c r="D47" s="201">
        <v>0</v>
      </c>
      <c r="E47" s="202">
        <v>0</v>
      </c>
    </row>
    <row r="48" spans="1:5">
      <c r="A48" s="199">
        <v>99278</v>
      </c>
      <c r="B48" s="199" t="s">
        <v>777</v>
      </c>
      <c r="C48" s="200"/>
      <c r="D48" s="201">
        <v>6796</v>
      </c>
      <c r="E48" s="202">
        <v>390</v>
      </c>
    </row>
    <row r="49" spans="1:5">
      <c r="A49" s="199">
        <v>98990</v>
      </c>
      <c r="B49" s="199" t="s">
        <v>778</v>
      </c>
      <c r="C49" s="200"/>
      <c r="D49" s="201"/>
      <c r="E49" s="202">
        <v>0</v>
      </c>
    </row>
    <row r="50" spans="1:5">
      <c r="A50" s="199">
        <v>98976</v>
      </c>
      <c r="B50" s="199" t="s">
        <v>779</v>
      </c>
      <c r="C50" s="200"/>
      <c r="D50" s="201"/>
      <c r="E50" s="202">
        <v>0</v>
      </c>
    </row>
    <row r="51" spans="1:5">
      <c r="A51" s="199">
        <v>93901</v>
      </c>
      <c r="B51" s="199" t="s">
        <v>1123</v>
      </c>
      <c r="C51" s="200">
        <v>126.26</v>
      </c>
      <c r="D51" s="201"/>
      <c r="E51" s="202"/>
    </row>
    <row r="52" spans="1:5">
      <c r="A52" s="199">
        <v>99159</v>
      </c>
      <c r="B52" s="199" t="s">
        <v>780</v>
      </c>
      <c r="C52" s="200"/>
      <c r="D52" s="201">
        <v>3368</v>
      </c>
      <c r="E52" s="202">
        <v>168</v>
      </c>
    </row>
    <row r="53" spans="1:5">
      <c r="A53" s="199">
        <v>98955</v>
      </c>
      <c r="B53" s="199" t="s">
        <v>279</v>
      </c>
      <c r="C53" s="200"/>
      <c r="D53" s="201">
        <v>3340</v>
      </c>
      <c r="E53" s="202">
        <v>28</v>
      </c>
    </row>
    <row r="54" spans="1:5">
      <c r="A54" s="199">
        <v>99269</v>
      </c>
      <c r="B54" s="199" t="s">
        <v>1124</v>
      </c>
      <c r="C54" s="200"/>
      <c r="D54" s="201">
        <v>1286</v>
      </c>
      <c r="E54" s="202">
        <v>280</v>
      </c>
    </row>
    <row r="55" spans="1:5">
      <c r="A55" s="199">
        <v>92001</v>
      </c>
      <c r="B55" s="199" t="s">
        <v>231</v>
      </c>
      <c r="C55" s="200"/>
      <c r="D55" s="201"/>
      <c r="E55" s="202">
        <v>0</v>
      </c>
    </row>
    <row r="56" spans="1:5">
      <c r="A56" s="199">
        <v>99058</v>
      </c>
      <c r="B56" s="199" t="s">
        <v>781</v>
      </c>
      <c r="C56" s="200"/>
      <c r="D56" s="201">
        <v>2596</v>
      </c>
      <c r="E56" s="202">
        <v>0</v>
      </c>
    </row>
    <row r="57" spans="1:5">
      <c r="A57" s="199">
        <v>99186</v>
      </c>
      <c r="B57" s="199" t="s">
        <v>806</v>
      </c>
      <c r="C57" s="200">
        <v>341.59</v>
      </c>
      <c r="D57" s="201"/>
      <c r="E57" s="202">
        <v>180</v>
      </c>
    </row>
    <row r="58" spans="1:5">
      <c r="A58" s="199">
        <v>99288</v>
      </c>
      <c r="B58" s="199" t="s">
        <v>1118</v>
      </c>
      <c r="C58" s="200"/>
      <c r="D58" s="201">
        <v>460</v>
      </c>
      <c r="E58" s="202">
        <v>0</v>
      </c>
    </row>
    <row r="59" spans="1:5">
      <c r="A59" s="199">
        <v>99297</v>
      </c>
      <c r="B59" s="199" t="s">
        <v>782</v>
      </c>
      <c r="C59" s="200">
        <v>1140.8900000000001</v>
      </c>
      <c r="D59" s="201">
        <v>18</v>
      </c>
      <c r="E59" s="202">
        <v>0</v>
      </c>
    </row>
    <row r="60" spans="1:5">
      <c r="A60" s="199">
        <v>99122</v>
      </c>
      <c r="B60" s="199" t="s">
        <v>1242</v>
      </c>
      <c r="C60" s="200">
        <v>174.14</v>
      </c>
      <c r="D60" s="201"/>
      <c r="E60" s="202"/>
    </row>
    <row r="61" spans="1:5">
      <c r="A61" s="199">
        <v>99268</v>
      </c>
      <c r="B61" s="199" t="s">
        <v>1125</v>
      </c>
      <c r="C61" s="200"/>
      <c r="D61" s="201">
        <v>4090</v>
      </c>
      <c r="E61" s="202">
        <v>295</v>
      </c>
    </row>
    <row r="62" spans="1:5">
      <c r="A62" s="199">
        <v>99102</v>
      </c>
      <c r="B62" s="199" t="s">
        <v>783</v>
      </c>
      <c r="C62" s="200">
        <v>763.68</v>
      </c>
      <c r="D62" s="201">
        <v>43108</v>
      </c>
      <c r="E62" s="202">
        <v>0</v>
      </c>
    </row>
    <row r="63" spans="1:5">
      <c r="A63" s="199">
        <v>99259</v>
      </c>
      <c r="B63" s="199" t="s">
        <v>1101</v>
      </c>
      <c r="C63" s="200">
        <v>161.13999999999999</v>
      </c>
      <c r="D63" s="201"/>
      <c r="E63" s="202"/>
    </row>
    <row r="64" spans="1:5">
      <c r="A64" s="199">
        <v>95801</v>
      </c>
      <c r="B64" s="199" t="s">
        <v>1126</v>
      </c>
      <c r="C64" s="200"/>
      <c r="D64" s="201"/>
      <c r="E64" s="202"/>
    </row>
    <row r="65" spans="1:5">
      <c r="A65" s="199">
        <v>99132</v>
      </c>
      <c r="B65" s="199" t="s">
        <v>1102</v>
      </c>
      <c r="C65" s="200">
        <v>159.66</v>
      </c>
      <c r="D65" s="201"/>
      <c r="E65" s="202">
        <v>0</v>
      </c>
    </row>
    <row r="66" spans="1:5">
      <c r="A66" s="199">
        <v>99133</v>
      </c>
      <c r="B66" s="199" t="s">
        <v>1103</v>
      </c>
      <c r="C66" s="200"/>
      <c r="D66" s="201"/>
      <c r="E66" s="202">
        <v>0</v>
      </c>
    </row>
    <row r="67" spans="1:5">
      <c r="A67" s="199">
        <v>99128</v>
      </c>
      <c r="B67" s="199" t="s">
        <v>807</v>
      </c>
      <c r="C67" s="200">
        <v>18</v>
      </c>
      <c r="D67" s="201">
        <v>585</v>
      </c>
      <c r="E67" s="202">
        <v>20</v>
      </c>
    </row>
    <row r="68" spans="1:5">
      <c r="A68" s="199">
        <v>99134</v>
      </c>
      <c r="B68" s="199" t="s">
        <v>808</v>
      </c>
      <c r="C68" s="200">
        <v>140</v>
      </c>
      <c r="D68" s="201">
        <v>3425</v>
      </c>
      <c r="E68" s="202">
        <v>0</v>
      </c>
    </row>
    <row r="69" spans="1:5">
      <c r="A69" s="199">
        <v>99256</v>
      </c>
      <c r="B69" s="199" t="s">
        <v>112</v>
      </c>
      <c r="C69" s="200"/>
      <c r="D69" s="201"/>
      <c r="E69" s="202">
        <v>0</v>
      </c>
    </row>
    <row r="70" spans="1:5">
      <c r="A70" s="199">
        <v>98910</v>
      </c>
      <c r="B70" s="199" t="s">
        <v>809</v>
      </c>
      <c r="C70" s="200">
        <v>1321.32</v>
      </c>
      <c r="D70" s="201"/>
      <c r="E70" s="202">
        <v>120</v>
      </c>
    </row>
    <row r="71" spans="1:5">
      <c r="A71" s="199">
        <v>98401</v>
      </c>
      <c r="B71" s="199" t="s">
        <v>784</v>
      </c>
      <c r="C71" s="200"/>
      <c r="D71" s="201">
        <v>3093</v>
      </c>
      <c r="E71" s="202">
        <v>63</v>
      </c>
    </row>
    <row r="72" spans="1:5">
      <c r="A72" s="199">
        <v>96901</v>
      </c>
      <c r="B72" s="199" t="s">
        <v>785</v>
      </c>
      <c r="C72" s="200"/>
      <c r="D72" s="201">
        <v>1016</v>
      </c>
      <c r="E72" s="202">
        <v>21</v>
      </c>
    </row>
    <row r="73" spans="1:5">
      <c r="A73" s="199">
        <v>99101</v>
      </c>
      <c r="B73" s="199" t="s">
        <v>810</v>
      </c>
      <c r="C73" s="200"/>
      <c r="D73" s="201"/>
      <c r="E73" s="202">
        <v>0</v>
      </c>
    </row>
    <row r="74" spans="1:5">
      <c r="A74" s="199">
        <v>99026</v>
      </c>
      <c r="B74" s="199" t="s">
        <v>812</v>
      </c>
      <c r="C74" s="200">
        <v>336.59</v>
      </c>
      <c r="D74" s="201"/>
      <c r="E74" s="202">
        <v>0</v>
      </c>
    </row>
    <row r="75" spans="1:5">
      <c r="A75" s="199">
        <v>99246</v>
      </c>
      <c r="B75" s="199" t="s">
        <v>786</v>
      </c>
      <c r="C75" s="200"/>
      <c r="D75" s="201">
        <v>18394</v>
      </c>
      <c r="E75" s="202">
        <v>750</v>
      </c>
    </row>
    <row r="76" spans="1:5">
      <c r="A76" s="199">
        <v>99312</v>
      </c>
      <c r="B76" s="199" t="s">
        <v>787</v>
      </c>
      <c r="C76" s="200"/>
      <c r="D76" s="201"/>
      <c r="E76" s="202">
        <v>0</v>
      </c>
    </row>
    <row r="77" spans="1:5">
      <c r="A77" s="199">
        <v>99140</v>
      </c>
      <c r="B77" s="199" t="s">
        <v>813</v>
      </c>
      <c r="C77" s="200"/>
      <c r="D77" s="201"/>
      <c r="E77" s="202">
        <v>0</v>
      </c>
    </row>
    <row r="78" spans="1:5">
      <c r="A78" s="199">
        <v>98979</v>
      </c>
      <c r="B78" s="199" t="s">
        <v>309</v>
      </c>
      <c r="C78" s="200"/>
      <c r="D78" s="201">
        <v>242</v>
      </c>
      <c r="E78" s="202">
        <v>0</v>
      </c>
    </row>
    <row r="79" spans="1:5">
      <c r="A79" s="199">
        <v>34001</v>
      </c>
      <c r="B79" s="199" t="s">
        <v>814</v>
      </c>
      <c r="C79" s="200">
        <v>718.53</v>
      </c>
      <c r="D79" s="201"/>
      <c r="E79" s="202">
        <v>0</v>
      </c>
    </row>
    <row r="80" spans="1:5">
      <c r="A80" s="199">
        <v>599109</v>
      </c>
      <c r="B80" s="199" t="s">
        <v>788</v>
      </c>
      <c r="C80" s="200">
        <v>178.69</v>
      </c>
      <c r="D80" s="201">
        <v>11115</v>
      </c>
      <c r="E80" s="202">
        <v>450</v>
      </c>
    </row>
    <row r="81" spans="1:5">
      <c r="A81" s="199">
        <v>699109</v>
      </c>
      <c r="B81" s="199" t="s">
        <v>789</v>
      </c>
      <c r="C81" s="200"/>
      <c r="D81" s="201">
        <v>1726</v>
      </c>
      <c r="E81" s="202">
        <v>0</v>
      </c>
    </row>
    <row r="82" spans="1:5">
      <c r="A82" s="199">
        <v>98915</v>
      </c>
      <c r="B82" s="199" t="s">
        <v>790</v>
      </c>
      <c r="C82" s="200"/>
      <c r="D82" s="201">
        <v>52</v>
      </c>
      <c r="E82" s="202">
        <v>0</v>
      </c>
    </row>
    <row r="83" spans="1:5">
      <c r="A83" s="199">
        <v>99270</v>
      </c>
      <c r="B83" s="199" t="s">
        <v>148</v>
      </c>
      <c r="C83" s="200"/>
      <c r="D83" s="201"/>
      <c r="E83" s="202">
        <v>0</v>
      </c>
    </row>
    <row r="84" spans="1:5">
      <c r="A84" s="199">
        <v>99247</v>
      </c>
      <c r="B84" s="199" t="s">
        <v>1127</v>
      </c>
      <c r="C84" s="200"/>
      <c r="D84" s="201"/>
      <c r="E84" s="202">
        <v>0</v>
      </c>
    </row>
    <row r="85" spans="1:5">
      <c r="A85" s="199">
        <v>98983</v>
      </c>
      <c r="B85" s="199" t="s">
        <v>1104</v>
      </c>
      <c r="C85" s="200"/>
      <c r="D85" s="201"/>
      <c r="E85" s="202">
        <v>0</v>
      </c>
    </row>
    <row r="86" spans="1:5">
      <c r="A86" s="199">
        <v>99161</v>
      </c>
      <c r="B86" s="199" t="s">
        <v>817</v>
      </c>
      <c r="C86" s="200">
        <v>168.69</v>
      </c>
      <c r="D86" s="201"/>
      <c r="E86" s="202">
        <v>88</v>
      </c>
    </row>
    <row r="87" spans="1:5">
      <c r="A87" s="199">
        <v>99305</v>
      </c>
      <c r="B87" s="199" t="s">
        <v>818</v>
      </c>
      <c r="C87" s="200"/>
      <c r="D87" s="201"/>
      <c r="E87" s="202">
        <v>0</v>
      </c>
    </row>
    <row r="88" spans="1:5">
      <c r="A88" s="199">
        <v>99302</v>
      </c>
      <c r="B88" s="199" t="s">
        <v>819</v>
      </c>
      <c r="C88" s="200"/>
      <c r="D88" s="201"/>
      <c r="E88" s="202">
        <v>0</v>
      </c>
    </row>
    <row r="89" spans="1:5">
      <c r="A89" s="199">
        <v>99296</v>
      </c>
      <c r="B89" s="199" t="s">
        <v>820</v>
      </c>
      <c r="C89" s="200"/>
      <c r="D89" s="201"/>
      <c r="E89" s="202">
        <v>0</v>
      </c>
    </row>
    <row r="90" spans="1:5">
      <c r="A90" s="199">
        <v>99194</v>
      </c>
      <c r="B90" s="199" t="s">
        <v>1105</v>
      </c>
      <c r="C90" s="200"/>
      <c r="D90" s="201"/>
      <c r="E90" s="202">
        <v>0</v>
      </c>
    </row>
    <row r="91" spans="1:5">
      <c r="A91" s="199">
        <v>99158</v>
      </c>
      <c r="B91" s="199" t="s">
        <v>1267</v>
      </c>
      <c r="C91" s="200"/>
      <c r="D91" s="201"/>
      <c r="E91" s="202"/>
    </row>
    <row r="92" spans="1:5">
      <c r="A92" s="199">
        <v>99171</v>
      </c>
      <c r="B92" s="199" t="s">
        <v>821</v>
      </c>
      <c r="C92" s="200">
        <v>185.58</v>
      </c>
      <c r="D92" s="201"/>
      <c r="E92" s="202">
        <v>0</v>
      </c>
    </row>
    <row r="93" spans="1:5">
      <c r="A93" s="199">
        <v>99172</v>
      </c>
      <c r="B93" s="199" t="s">
        <v>1128</v>
      </c>
      <c r="C93" s="200"/>
      <c r="D93" s="201"/>
      <c r="E93" s="202">
        <v>0</v>
      </c>
    </row>
    <row r="94" spans="1:5" s="172" customFormat="1" ht="20">
      <c r="A94" s="199">
        <v>99173</v>
      </c>
      <c r="B94" s="199" t="s">
        <v>822</v>
      </c>
      <c r="C94" s="200">
        <v>168.35</v>
      </c>
      <c r="D94" s="201"/>
      <c r="E94" s="202">
        <v>0</v>
      </c>
    </row>
    <row r="95" spans="1:5">
      <c r="A95" s="199">
        <v>80001</v>
      </c>
      <c r="B95" s="199" t="s">
        <v>791</v>
      </c>
      <c r="C95" s="200"/>
      <c r="D95" s="201">
        <v>1623</v>
      </c>
      <c r="E95" s="202">
        <v>84</v>
      </c>
    </row>
    <row r="96" spans="1:5">
      <c r="A96" s="251" t="s">
        <v>625</v>
      </c>
      <c r="B96" s="251">
        <f>SUBTOTAL(103,Table4[Lease])</f>
        <v>91</v>
      </c>
      <c r="C96" s="252">
        <f>SUBTOTAL(109,Table4[OIL])</f>
        <v>11125.660000000003</v>
      </c>
      <c r="D96" s="253">
        <f>SUBTOTAL(109,Table4[GAS])</f>
        <v>151110</v>
      </c>
      <c r="E96" s="254">
        <f>SUBTOTAL(109,Table4[LEASE USE])</f>
        <v>4773</v>
      </c>
    </row>
  </sheetData>
  <mergeCells count="2">
    <mergeCell ref="A1:E1"/>
    <mergeCell ref="A2:E2"/>
  </mergeCells>
  <pageMargins left="0.7" right="0.7" top="0.75" bottom="0.75" header="0.3" footer="0.3"/>
  <pageSetup scale="68" orientation="portrait"/>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Q230"/>
  <sheetViews>
    <sheetView topLeftCell="E1" workbookViewId="0">
      <pane ySplit="8" topLeftCell="A9" activePane="bottomLeft" state="frozen"/>
      <selection pane="bottomLeft" activeCell="N9" sqref="N9:N229"/>
    </sheetView>
  </sheetViews>
  <sheetFormatPr baseColWidth="10" defaultColWidth="8.83203125" defaultRowHeight="12" x14ac:dyDescent="0"/>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4">
      <c r="A1" s="13" t="s">
        <v>394</v>
      </c>
      <c r="B1" s="13"/>
      <c r="C1" s="13"/>
      <c r="D1" s="13"/>
      <c r="E1" s="13"/>
      <c r="F1" s="13"/>
      <c r="G1" s="13"/>
      <c r="H1" s="13"/>
      <c r="I1" s="13"/>
      <c r="J1" s="13"/>
      <c r="K1" s="13"/>
      <c r="L1" s="13"/>
      <c r="M1" s="13"/>
      <c r="N1" s="13"/>
      <c r="O1" s="13"/>
      <c r="P1" s="13"/>
      <c r="Q1" s="13"/>
    </row>
    <row r="2" spans="1:17" ht="14">
      <c r="A2" s="13"/>
      <c r="B2" s="13"/>
      <c r="C2" s="13"/>
      <c r="D2" s="13"/>
      <c r="E2" s="13"/>
      <c r="F2" s="13"/>
      <c r="G2" s="13"/>
      <c r="H2" s="13"/>
      <c r="I2" s="13"/>
      <c r="J2" s="13"/>
      <c r="K2" s="13"/>
      <c r="L2" s="13"/>
      <c r="M2" s="13"/>
      <c r="N2" s="13"/>
      <c r="O2" s="15"/>
      <c r="P2" s="13"/>
      <c r="Q2" s="13"/>
    </row>
    <row r="3" spans="1:17" ht="14">
      <c r="A3" s="13" t="s">
        <v>395</v>
      </c>
      <c r="B3" s="13"/>
      <c r="C3" s="13"/>
      <c r="D3" s="13" t="s">
        <v>69</v>
      </c>
      <c r="E3" s="13"/>
      <c r="F3" s="13"/>
      <c r="G3" s="13"/>
      <c r="H3" s="13"/>
      <c r="I3" s="13"/>
      <c r="J3" s="14" t="s">
        <v>396</v>
      </c>
      <c r="K3" s="13"/>
      <c r="L3" s="13" t="s">
        <v>397</v>
      </c>
      <c r="M3" s="13"/>
      <c r="N3" s="13"/>
      <c r="O3" s="13"/>
      <c r="P3" s="13"/>
      <c r="Q3" s="13"/>
    </row>
    <row r="4" spans="1:17" ht="14">
      <c r="A4" s="13" t="s">
        <v>398</v>
      </c>
      <c r="B4" s="13"/>
      <c r="C4" s="13"/>
      <c r="D4" s="130">
        <v>43891</v>
      </c>
      <c r="E4" s="13"/>
      <c r="G4" s="13"/>
      <c r="H4" s="13"/>
      <c r="I4" s="13"/>
      <c r="J4" s="14" t="s">
        <v>399</v>
      </c>
      <c r="K4" s="13"/>
      <c r="L4" s="13" t="s">
        <v>400</v>
      </c>
      <c r="M4" s="13"/>
      <c r="N4" s="13"/>
      <c r="O4" s="13"/>
      <c r="P4" s="13"/>
      <c r="Q4" s="13"/>
    </row>
    <row r="6" spans="1:17" ht="14">
      <c r="A6" s="13"/>
      <c r="B6" s="13"/>
      <c r="C6" s="13"/>
      <c r="D6" s="13"/>
      <c r="E6" s="13"/>
      <c r="F6" s="13"/>
      <c r="G6" s="13"/>
      <c r="H6" s="13"/>
      <c r="I6" s="13"/>
      <c r="J6" s="14" t="s">
        <v>401</v>
      </c>
      <c r="K6" s="13"/>
      <c r="L6" s="13"/>
      <c r="M6" s="13"/>
      <c r="N6" s="13"/>
      <c r="O6" s="14" t="s">
        <v>402</v>
      </c>
      <c r="P6" s="13"/>
      <c r="Q6" s="13"/>
    </row>
    <row r="7" spans="1:17" ht="14">
      <c r="A7" s="13"/>
      <c r="B7" s="13"/>
      <c r="C7" s="13"/>
      <c r="D7" s="13"/>
      <c r="E7" s="13"/>
      <c r="F7" s="13"/>
      <c r="G7" s="13"/>
      <c r="H7" s="13"/>
      <c r="I7" s="13"/>
      <c r="J7" s="13"/>
      <c r="K7" s="13"/>
      <c r="L7" s="13" t="s">
        <v>403</v>
      </c>
      <c r="M7" s="13"/>
      <c r="N7" s="13"/>
      <c r="O7" s="13"/>
      <c r="P7" s="13" t="s">
        <v>403</v>
      </c>
      <c r="Q7" s="13"/>
    </row>
    <row r="8" spans="1:17" ht="14">
      <c r="A8" s="146" t="s">
        <v>404</v>
      </c>
      <c r="B8" s="146" t="s">
        <v>8</v>
      </c>
      <c r="C8" s="146" t="s">
        <v>7</v>
      </c>
      <c r="D8" s="146" t="s">
        <v>70</v>
      </c>
      <c r="E8" s="146" t="s">
        <v>47</v>
      </c>
      <c r="F8" s="146" t="s">
        <v>48</v>
      </c>
      <c r="G8" s="146" t="s">
        <v>71</v>
      </c>
      <c r="H8" s="146" t="s">
        <v>405</v>
      </c>
      <c r="I8" s="146" t="s">
        <v>406</v>
      </c>
      <c r="J8" s="146" t="s">
        <v>407</v>
      </c>
      <c r="K8" s="146" t="s">
        <v>408</v>
      </c>
      <c r="L8" s="146" t="s">
        <v>409</v>
      </c>
      <c r="M8" s="146" t="s">
        <v>410</v>
      </c>
      <c r="N8" s="146" t="s">
        <v>411</v>
      </c>
      <c r="O8" s="146" t="s">
        <v>412</v>
      </c>
      <c r="P8" s="146" t="s">
        <v>413</v>
      </c>
      <c r="Q8" s="146" t="s">
        <v>414</v>
      </c>
    </row>
    <row r="9" spans="1:17" s="209" customFormat="1">
      <c r="A9"/>
      <c r="B9" t="s">
        <v>72</v>
      </c>
      <c r="C9">
        <v>2</v>
      </c>
      <c r="D9">
        <v>127436</v>
      </c>
      <c r="E9" t="s">
        <v>73</v>
      </c>
      <c r="F9" t="s">
        <v>74</v>
      </c>
      <c r="G9" t="s">
        <v>75</v>
      </c>
      <c r="H9"/>
      <c r="I9"/>
      <c r="J9">
        <v>0</v>
      </c>
      <c r="K9">
        <v>0</v>
      </c>
      <c r="L9"/>
      <c r="M9"/>
      <c r="N9">
        <v>0</v>
      </c>
      <c r="O9">
        <v>0</v>
      </c>
      <c r="P9"/>
      <c r="Q9"/>
    </row>
    <row r="10" spans="1:17">
      <c r="B10" t="s">
        <v>72</v>
      </c>
      <c r="C10">
        <v>2</v>
      </c>
      <c r="D10">
        <v>272206</v>
      </c>
      <c r="E10" t="s">
        <v>76</v>
      </c>
      <c r="F10" t="s">
        <v>77</v>
      </c>
      <c r="G10" t="s">
        <v>78</v>
      </c>
      <c r="J10">
        <v>149</v>
      </c>
      <c r="K10">
        <v>0</v>
      </c>
      <c r="N10">
        <v>149</v>
      </c>
      <c r="O10">
        <v>0</v>
      </c>
    </row>
    <row r="11" spans="1:17">
      <c r="B11" t="s">
        <v>72</v>
      </c>
      <c r="C11">
        <v>2</v>
      </c>
      <c r="D11">
        <v>250887</v>
      </c>
      <c r="E11" t="s">
        <v>79</v>
      </c>
      <c r="F11" t="s">
        <v>80</v>
      </c>
      <c r="G11">
        <v>1</v>
      </c>
      <c r="J11">
        <v>0</v>
      </c>
      <c r="K11">
        <v>0</v>
      </c>
      <c r="N11">
        <v>0</v>
      </c>
      <c r="O11" s="160">
        <v>4658</v>
      </c>
      <c r="P11">
        <v>210</v>
      </c>
      <c r="Q11">
        <v>1</v>
      </c>
    </row>
    <row r="12" spans="1:17">
      <c r="P12" s="160">
        <v>4448</v>
      </c>
      <c r="Q12">
        <v>2</v>
      </c>
    </row>
    <row r="13" spans="1:17">
      <c r="B13" t="s">
        <v>72</v>
      </c>
      <c r="C13">
        <v>2</v>
      </c>
      <c r="D13">
        <v>270531</v>
      </c>
      <c r="E13" t="s">
        <v>81</v>
      </c>
      <c r="F13" t="s">
        <v>82</v>
      </c>
      <c r="G13" t="s">
        <v>83</v>
      </c>
      <c r="J13">
        <v>26</v>
      </c>
      <c r="K13">
        <v>0</v>
      </c>
      <c r="N13">
        <v>26</v>
      </c>
      <c r="O13">
        <v>0</v>
      </c>
    </row>
    <row r="14" spans="1:17">
      <c r="B14" t="s">
        <v>72</v>
      </c>
      <c r="C14">
        <v>2</v>
      </c>
      <c r="D14">
        <v>200152</v>
      </c>
      <c r="E14" t="s">
        <v>84</v>
      </c>
      <c r="F14" t="s">
        <v>85</v>
      </c>
      <c r="G14">
        <v>1</v>
      </c>
      <c r="J14">
        <v>0</v>
      </c>
      <c r="K14">
        <v>0</v>
      </c>
      <c r="N14">
        <v>0</v>
      </c>
      <c r="O14">
        <v>0</v>
      </c>
    </row>
    <row r="15" spans="1:17">
      <c r="B15" t="s">
        <v>72</v>
      </c>
      <c r="C15">
        <v>2</v>
      </c>
      <c r="D15">
        <v>258014</v>
      </c>
      <c r="E15" t="s">
        <v>87</v>
      </c>
      <c r="F15" t="s">
        <v>88</v>
      </c>
      <c r="G15">
        <v>1</v>
      </c>
      <c r="J15">
        <v>132</v>
      </c>
      <c r="K15">
        <v>0</v>
      </c>
      <c r="N15">
        <v>132</v>
      </c>
      <c r="O15">
        <v>0</v>
      </c>
    </row>
    <row r="16" spans="1:17">
      <c r="B16" t="s">
        <v>89</v>
      </c>
      <c r="C16">
        <v>2</v>
      </c>
      <c r="D16">
        <v>394</v>
      </c>
      <c r="E16" t="s">
        <v>90</v>
      </c>
      <c r="F16" t="s">
        <v>91</v>
      </c>
      <c r="J16">
        <v>536</v>
      </c>
      <c r="K16">
        <v>705</v>
      </c>
      <c r="L16">
        <v>835</v>
      </c>
      <c r="M16">
        <v>1</v>
      </c>
      <c r="N16">
        <v>406</v>
      </c>
      <c r="O16">
        <v>0</v>
      </c>
    </row>
    <row r="17" spans="2:17">
      <c r="B17" t="s">
        <v>72</v>
      </c>
      <c r="C17">
        <v>2</v>
      </c>
      <c r="D17">
        <v>207897</v>
      </c>
      <c r="E17" t="s">
        <v>92</v>
      </c>
      <c r="F17" t="s">
        <v>93</v>
      </c>
      <c r="G17">
        <v>1</v>
      </c>
      <c r="J17">
        <v>0</v>
      </c>
      <c r="K17">
        <v>0</v>
      </c>
      <c r="N17">
        <v>0</v>
      </c>
      <c r="O17">
        <v>10</v>
      </c>
      <c r="P17">
        <v>10</v>
      </c>
      <c r="Q17">
        <v>2</v>
      </c>
    </row>
    <row r="18" spans="2:17">
      <c r="B18" t="s">
        <v>72</v>
      </c>
      <c r="C18">
        <v>2</v>
      </c>
      <c r="D18">
        <v>145447</v>
      </c>
      <c r="E18" t="s">
        <v>94</v>
      </c>
      <c r="F18" t="s">
        <v>91</v>
      </c>
      <c r="G18">
        <v>5</v>
      </c>
      <c r="J18">
        <v>0</v>
      </c>
      <c r="K18">
        <v>0</v>
      </c>
      <c r="N18">
        <v>0</v>
      </c>
      <c r="O18">
        <v>0</v>
      </c>
    </row>
    <row r="19" spans="2:17">
      <c r="B19" t="s">
        <v>89</v>
      </c>
      <c r="C19">
        <v>2</v>
      </c>
      <c r="D19">
        <v>5446</v>
      </c>
      <c r="E19" t="s">
        <v>95</v>
      </c>
      <c r="F19" t="s">
        <v>96</v>
      </c>
      <c r="J19">
        <v>65</v>
      </c>
      <c r="K19">
        <v>20</v>
      </c>
      <c r="N19">
        <v>85</v>
      </c>
      <c r="O19">
        <v>0</v>
      </c>
    </row>
    <row r="20" spans="2:17">
      <c r="B20" t="s">
        <v>89</v>
      </c>
      <c r="C20">
        <v>2</v>
      </c>
      <c r="D20">
        <v>6169</v>
      </c>
      <c r="E20" t="s">
        <v>95</v>
      </c>
      <c r="F20" t="s">
        <v>97</v>
      </c>
      <c r="J20">
        <v>120</v>
      </c>
      <c r="K20">
        <v>20</v>
      </c>
      <c r="N20">
        <v>140</v>
      </c>
      <c r="O20">
        <v>0</v>
      </c>
    </row>
    <row r="21" spans="2:17">
      <c r="B21" t="s">
        <v>89</v>
      </c>
      <c r="C21">
        <v>2</v>
      </c>
      <c r="D21">
        <v>8462</v>
      </c>
      <c r="E21" t="s">
        <v>98</v>
      </c>
      <c r="F21" t="s">
        <v>96</v>
      </c>
      <c r="J21">
        <v>0</v>
      </c>
      <c r="K21">
        <v>0</v>
      </c>
      <c r="N21">
        <v>0</v>
      </c>
      <c r="O21">
        <v>0</v>
      </c>
    </row>
    <row r="22" spans="2:17">
      <c r="B22" t="s">
        <v>72</v>
      </c>
      <c r="C22">
        <v>2</v>
      </c>
      <c r="D22">
        <v>192476</v>
      </c>
      <c r="E22" t="s">
        <v>99</v>
      </c>
      <c r="F22" t="s">
        <v>100</v>
      </c>
      <c r="G22">
        <v>1</v>
      </c>
      <c r="J22">
        <v>116</v>
      </c>
      <c r="K22">
        <v>0</v>
      </c>
      <c r="N22">
        <v>116</v>
      </c>
      <c r="O22">
        <v>0</v>
      </c>
    </row>
    <row r="23" spans="2:17">
      <c r="B23" t="s">
        <v>72</v>
      </c>
      <c r="C23">
        <v>2</v>
      </c>
      <c r="D23">
        <v>245422</v>
      </c>
      <c r="E23" t="s">
        <v>101</v>
      </c>
      <c r="F23" t="s">
        <v>102</v>
      </c>
      <c r="G23">
        <v>1</v>
      </c>
      <c r="J23">
        <v>135</v>
      </c>
      <c r="K23">
        <v>560</v>
      </c>
      <c r="L23">
        <v>379</v>
      </c>
      <c r="M23">
        <v>1</v>
      </c>
      <c r="N23">
        <v>316</v>
      </c>
      <c r="O23" s="160">
        <v>42445</v>
      </c>
      <c r="P23" s="160">
        <v>42445</v>
      </c>
      <c r="Q23">
        <v>2</v>
      </c>
    </row>
    <row r="24" spans="2:17">
      <c r="B24" t="s">
        <v>89</v>
      </c>
      <c r="C24">
        <v>2</v>
      </c>
      <c r="D24">
        <v>8646</v>
      </c>
      <c r="E24" t="s">
        <v>103</v>
      </c>
      <c r="F24" t="s">
        <v>104</v>
      </c>
      <c r="J24">
        <v>105</v>
      </c>
      <c r="K24">
        <v>175</v>
      </c>
      <c r="L24">
        <v>164</v>
      </c>
      <c r="M24">
        <v>1</v>
      </c>
      <c r="N24">
        <v>116</v>
      </c>
      <c r="O24">
        <v>0</v>
      </c>
    </row>
    <row r="25" spans="2:17">
      <c r="B25" t="s">
        <v>72</v>
      </c>
      <c r="C25">
        <v>2</v>
      </c>
      <c r="D25">
        <v>52283</v>
      </c>
      <c r="E25" t="s">
        <v>105</v>
      </c>
      <c r="F25" t="s">
        <v>106</v>
      </c>
      <c r="G25">
        <v>1</v>
      </c>
      <c r="J25">
        <v>240</v>
      </c>
      <c r="K25">
        <v>0</v>
      </c>
      <c r="N25">
        <v>240</v>
      </c>
      <c r="O25">
        <v>0</v>
      </c>
    </row>
    <row r="26" spans="2:17">
      <c r="B26" t="s">
        <v>72</v>
      </c>
      <c r="C26">
        <v>2</v>
      </c>
      <c r="D26">
        <v>253815</v>
      </c>
      <c r="E26" t="s">
        <v>107</v>
      </c>
      <c r="F26" t="s">
        <v>108</v>
      </c>
      <c r="G26">
        <v>1</v>
      </c>
      <c r="J26">
        <v>0</v>
      </c>
      <c r="K26">
        <v>0</v>
      </c>
      <c r="N26">
        <v>0</v>
      </c>
      <c r="O26">
        <v>0</v>
      </c>
    </row>
    <row r="27" spans="2:17">
      <c r="B27" t="s">
        <v>72</v>
      </c>
      <c r="C27">
        <v>2</v>
      </c>
      <c r="D27">
        <v>172874</v>
      </c>
      <c r="E27" t="s">
        <v>109</v>
      </c>
      <c r="F27" t="s">
        <v>110</v>
      </c>
      <c r="G27">
        <v>1</v>
      </c>
      <c r="J27">
        <v>0</v>
      </c>
      <c r="K27">
        <v>0</v>
      </c>
      <c r="N27">
        <v>0</v>
      </c>
      <c r="O27">
        <v>0</v>
      </c>
    </row>
    <row r="28" spans="2:17">
      <c r="B28" t="s">
        <v>72</v>
      </c>
      <c r="C28">
        <v>2</v>
      </c>
      <c r="D28">
        <v>180461</v>
      </c>
      <c r="E28" t="s">
        <v>111</v>
      </c>
      <c r="F28" t="s">
        <v>110</v>
      </c>
      <c r="G28">
        <v>1</v>
      </c>
      <c r="I28">
        <v>5048</v>
      </c>
      <c r="J28">
        <v>115</v>
      </c>
      <c r="K28">
        <v>49</v>
      </c>
      <c r="N28">
        <v>164</v>
      </c>
      <c r="O28" s="160">
        <v>1723</v>
      </c>
      <c r="P28" s="160">
        <v>1723</v>
      </c>
      <c r="Q28">
        <v>2</v>
      </c>
    </row>
    <row r="29" spans="2:17">
      <c r="B29" t="s">
        <v>72</v>
      </c>
      <c r="C29">
        <v>2</v>
      </c>
      <c r="D29">
        <v>198005</v>
      </c>
      <c r="E29" t="s">
        <v>111</v>
      </c>
      <c r="F29" t="s">
        <v>112</v>
      </c>
      <c r="G29">
        <v>5</v>
      </c>
      <c r="I29">
        <v>5048</v>
      </c>
      <c r="J29">
        <v>0</v>
      </c>
      <c r="K29">
        <v>0</v>
      </c>
      <c r="N29">
        <v>0</v>
      </c>
      <c r="O29">
        <v>0</v>
      </c>
    </row>
    <row r="30" spans="2:17">
      <c r="B30" t="s">
        <v>72</v>
      </c>
      <c r="C30">
        <v>2</v>
      </c>
      <c r="D30">
        <v>286124</v>
      </c>
      <c r="E30" t="s">
        <v>113</v>
      </c>
      <c r="F30" t="s">
        <v>88</v>
      </c>
      <c r="G30">
        <v>1</v>
      </c>
      <c r="J30">
        <v>80</v>
      </c>
      <c r="K30">
        <v>0</v>
      </c>
      <c r="N30">
        <v>80</v>
      </c>
      <c r="O30">
        <v>0</v>
      </c>
    </row>
    <row r="31" spans="2:17">
      <c r="B31" t="s">
        <v>72</v>
      </c>
      <c r="C31">
        <v>2</v>
      </c>
      <c r="D31">
        <v>132690</v>
      </c>
      <c r="E31" t="s">
        <v>114</v>
      </c>
      <c r="F31" t="s">
        <v>115</v>
      </c>
      <c r="G31">
        <v>1</v>
      </c>
      <c r="I31">
        <v>5113</v>
      </c>
      <c r="J31">
        <v>84</v>
      </c>
      <c r="K31">
        <v>0</v>
      </c>
      <c r="N31">
        <v>84</v>
      </c>
      <c r="O31">
        <v>0</v>
      </c>
    </row>
    <row r="32" spans="2:17">
      <c r="B32" t="s">
        <v>72</v>
      </c>
      <c r="C32">
        <v>2</v>
      </c>
      <c r="D32">
        <v>189915</v>
      </c>
      <c r="E32" t="s">
        <v>114</v>
      </c>
      <c r="F32" t="s">
        <v>116</v>
      </c>
      <c r="G32">
        <v>2</v>
      </c>
      <c r="I32">
        <v>5113</v>
      </c>
      <c r="J32">
        <v>0</v>
      </c>
      <c r="K32">
        <v>0</v>
      </c>
      <c r="N32">
        <v>0</v>
      </c>
      <c r="O32">
        <v>0</v>
      </c>
    </row>
    <row r="33" spans="2:15">
      <c r="B33" t="s">
        <v>89</v>
      </c>
      <c r="C33">
        <v>2</v>
      </c>
      <c r="D33">
        <v>5086</v>
      </c>
      <c r="E33" t="s">
        <v>117</v>
      </c>
      <c r="F33" t="s">
        <v>118</v>
      </c>
      <c r="J33">
        <v>0</v>
      </c>
      <c r="K33">
        <v>0</v>
      </c>
      <c r="N33">
        <v>0</v>
      </c>
      <c r="O33">
        <v>0</v>
      </c>
    </row>
    <row r="34" spans="2:15">
      <c r="B34" t="s">
        <v>89</v>
      </c>
      <c r="C34">
        <v>2</v>
      </c>
      <c r="D34">
        <v>6739</v>
      </c>
      <c r="E34" t="s">
        <v>119</v>
      </c>
      <c r="F34" t="s">
        <v>120</v>
      </c>
      <c r="J34">
        <v>0</v>
      </c>
      <c r="K34">
        <v>0</v>
      </c>
      <c r="N34">
        <v>0</v>
      </c>
      <c r="O34">
        <v>0</v>
      </c>
    </row>
    <row r="35" spans="2:15">
      <c r="B35" t="s">
        <v>89</v>
      </c>
      <c r="C35">
        <v>2</v>
      </c>
      <c r="D35">
        <v>8169</v>
      </c>
      <c r="E35" t="s">
        <v>121</v>
      </c>
      <c r="F35" t="s">
        <v>120</v>
      </c>
      <c r="J35">
        <v>0</v>
      </c>
      <c r="K35">
        <v>0</v>
      </c>
      <c r="N35">
        <v>0</v>
      </c>
      <c r="O35">
        <v>0</v>
      </c>
    </row>
    <row r="36" spans="2:15">
      <c r="B36" t="s">
        <v>89</v>
      </c>
      <c r="C36">
        <v>2</v>
      </c>
      <c r="D36">
        <v>8635</v>
      </c>
      <c r="E36" t="s">
        <v>122</v>
      </c>
      <c r="F36" t="s">
        <v>123</v>
      </c>
      <c r="J36">
        <v>0</v>
      </c>
      <c r="K36">
        <v>0</v>
      </c>
      <c r="N36">
        <v>0</v>
      </c>
      <c r="O36">
        <v>0</v>
      </c>
    </row>
    <row r="37" spans="2:15">
      <c r="B37" t="s">
        <v>89</v>
      </c>
      <c r="C37">
        <v>2</v>
      </c>
      <c r="D37">
        <v>8247</v>
      </c>
      <c r="E37" t="s">
        <v>124</v>
      </c>
      <c r="F37" t="s">
        <v>123</v>
      </c>
      <c r="J37">
        <v>0</v>
      </c>
      <c r="K37">
        <v>0</v>
      </c>
      <c r="N37">
        <v>0</v>
      </c>
      <c r="O37">
        <v>0</v>
      </c>
    </row>
    <row r="38" spans="2:15">
      <c r="B38" t="s">
        <v>72</v>
      </c>
      <c r="C38">
        <v>2</v>
      </c>
      <c r="D38">
        <v>182045</v>
      </c>
      <c r="E38" t="s">
        <v>125</v>
      </c>
      <c r="F38" t="s">
        <v>123</v>
      </c>
      <c r="G38">
        <v>5</v>
      </c>
      <c r="J38">
        <v>0</v>
      </c>
      <c r="K38">
        <v>0</v>
      </c>
      <c r="N38">
        <v>0</v>
      </c>
      <c r="O38">
        <v>0</v>
      </c>
    </row>
    <row r="39" spans="2:15">
      <c r="B39" t="s">
        <v>89</v>
      </c>
      <c r="C39">
        <v>2</v>
      </c>
      <c r="D39">
        <v>4248</v>
      </c>
      <c r="E39" t="s">
        <v>126</v>
      </c>
      <c r="F39" t="s">
        <v>127</v>
      </c>
      <c r="J39">
        <v>213</v>
      </c>
      <c r="K39">
        <v>0</v>
      </c>
      <c r="N39">
        <v>213</v>
      </c>
      <c r="O39">
        <v>0</v>
      </c>
    </row>
    <row r="40" spans="2:15">
      <c r="B40" t="s">
        <v>72</v>
      </c>
      <c r="C40">
        <v>2</v>
      </c>
      <c r="D40">
        <v>184558</v>
      </c>
      <c r="E40" t="s">
        <v>128</v>
      </c>
      <c r="F40" t="s">
        <v>112</v>
      </c>
      <c r="G40">
        <v>3</v>
      </c>
      <c r="I40">
        <v>5048</v>
      </c>
      <c r="J40">
        <v>0</v>
      </c>
      <c r="K40">
        <v>0</v>
      </c>
      <c r="N40">
        <v>0</v>
      </c>
      <c r="O40">
        <v>0</v>
      </c>
    </row>
    <row r="41" spans="2:15">
      <c r="B41" t="s">
        <v>72</v>
      </c>
      <c r="C41">
        <v>2</v>
      </c>
      <c r="D41">
        <v>133437</v>
      </c>
      <c r="E41" t="s">
        <v>129</v>
      </c>
      <c r="F41" t="s">
        <v>130</v>
      </c>
      <c r="G41">
        <v>1</v>
      </c>
      <c r="J41">
        <v>166</v>
      </c>
      <c r="K41">
        <v>0</v>
      </c>
      <c r="N41">
        <v>166</v>
      </c>
      <c r="O41">
        <v>0</v>
      </c>
    </row>
    <row r="42" spans="2:15">
      <c r="B42" t="s">
        <v>72</v>
      </c>
      <c r="C42">
        <v>2</v>
      </c>
      <c r="D42">
        <v>264004</v>
      </c>
      <c r="E42" t="s">
        <v>131</v>
      </c>
      <c r="F42" t="s">
        <v>132</v>
      </c>
      <c r="G42">
        <v>1</v>
      </c>
      <c r="J42">
        <v>0</v>
      </c>
      <c r="K42">
        <v>0</v>
      </c>
      <c r="N42">
        <v>0</v>
      </c>
      <c r="O42">
        <v>0</v>
      </c>
    </row>
    <row r="43" spans="2:15">
      <c r="B43" t="s">
        <v>72</v>
      </c>
      <c r="C43">
        <v>2</v>
      </c>
      <c r="D43">
        <v>220079</v>
      </c>
      <c r="E43" t="s">
        <v>133</v>
      </c>
      <c r="F43" t="s">
        <v>134</v>
      </c>
      <c r="G43">
        <v>2</v>
      </c>
      <c r="J43">
        <v>0</v>
      </c>
      <c r="K43">
        <v>0</v>
      </c>
      <c r="N43">
        <v>0</v>
      </c>
      <c r="O43">
        <v>0</v>
      </c>
    </row>
    <row r="44" spans="2:15">
      <c r="B44" t="s">
        <v>89</v>
      </c>
      <c r="C44">
        <v>2</v>
      </c>
      <c r="D44">
        <v>10778</v>
      </c>
      <c r="E44" t="s">
        <v>135</v>
      </c>
      <c r="F44" t="s">
        <v>136</v>
      </c>
      <c r="J44">
        <v>0</v>
      </c>
      <c r="K44">
        <v>0</v>
      </c>
      <c r="N44">
        <v>0</v>
      </c>
      <c r="O44">
        <v>0</v>
      </c>
    </row>
    <row r="45" spans="2:15">
      <c r="B45" t="s">
        <v>72</v>
      </c>
      <c r="C45">
        <v>2</v>
      </c>
      <c r="D45">
        <v>280417</v>
      </c>
      <c r="E45" t="s">
        <v>135</v>
      </c>
      <c r="F45" t="s">
        <v>137</v>
      </c>
      <c r="G45">
        <v>1</v>
      </c>
      <c r="J45">
        <v>0</v>
      </c>
      <c r="K45">
        <v>0</v>
      </c>
      <c r="N45">
        <v>0</v>
      </c>
      <c r="O45">
        <v>0</v>
      </c>
    </row>
    <row r="46" spans="2:15">
      <c r="B46" t="s">
        <v>72</v>
      </c>
      <c r="C46">
        <v>2</v>
      </c>
      <c r="D46">
        <v>138470</v>
      </c>
      <c r="E46" t="s">
        <v>138</v>
      </c>
      <c r="F46" t="s">
        <v>139</v>
      </c>
      <c r="G46">
        <v>1</v>
      </c>
      <c r="J46">
        <v>0</v>
      </c>
      <c r="K46">
        <v>0</v>
      </c>
      <c r="N46">
        <v>0</v>
      </c>
      <c r="O46">
        <v>0</v>
      </c>
    </row>
    <row r="47" spans="2:15">
      <c r="B47" t="s">
        <v>72</v>
      </c>
      <c r="C47">
        <v>2</v>
      </c>
      <c r="D47">
        <v>53255</v>
      </c>
      <c r="E47" t="s">
        <v>140</v>
      </c>
      <c r="F47" t="s">
        <v>141</v>
      </c>
      <c r="G47">
        <v>1</v>
      </c>
      <c r="J47">
        <v>0</v>
      </c>
      <c r="K47">
        <v>0</v>
      </c>
      <c r="N47">
        <v>0</v>
      </c>
      <c r="O47">
        <v>0</v>
      </c>
    </row>
    <row r="48" spans="2:15">
      <c r="B48" t="s">
        <v>72</v>
      </c>
      <c r="C48">
        <v>2</v>
      </c>
      <c r="D48">
        <v>59225</v>
      </c>
      <c r="E48" t="s">
        <v>140</v>
      </c>
      <c r="F48" t="s">
        <v>141</v>
      </c>
      <c r="G48">
        <v>2</v>
      </c>
      <c r="J48">
        <v>0</v>
      </c>
      <c r="K48">
        <v>0</v>
      </c>
      <c r="N48">
        <v>0</v>
      </c>
      <c r="O48">
        <v>0</v>
      </c>
    </row>
    <row r="49" spans="2:17">
      <c r="B49" t="s">
        <v>72</v>
      </c>
      <c r="C49">
        <v>2</v>
      </c>
      <c r="D49">
        <v>174916</v>
      </c>
      <c r="E49" t="s">
        <v>140</v>
      </c>
      <c r="F49" t="s">
        <v>142</v>
      </c>
      <c r="G49">
        <v>4</v>
      </c>
      <c r="J49">
        <v>0</v>
      </c>
      <c r="K49">
        <v>0</v>
      </c>
      <c r="N49">
        <v>0</v>
      </c>
      <c r="O49">
        <v>0</v>
      </c>
    </row>
    <row r="50" spans="2:17">
      <c r="B50" t="s">
        <v>89</v>
      </c>
      <c r="C50">
        <v>2</v>
      </c>
      <c r="D50">
        <v>10230</v>
      </c>
      <c r="E50" t="s">
        <v>143</v>
      </c>
      <c r="F50" t="s">
        <v>144</v>
      </c>
      <c r="J50">
        <v>286</v>
      </c>
      <c r="K50">
        <v>76</v>
      </c>
      <c r="L50">
        <v>185</v>
      </c>
      <c r="M50">
        <v>1</v>
      </c>
      <c r="N50">
        <v>177</v>
      </c>
      <c r="O50">
        <v>0</v>
      </c>
    </row>
    <row r="51" spans="2:17">
      <c r="B51" t="s">
        <v>89</v>
      </c>
      <c r="C51">
        <v>3</v>
      </c>
      <c r="D51">
        <v>27142</v>
      </c>
      <c r="E51" t="s">
        <v>145</v>
      </c>
      <c r="F51" t="s">
        <v>146</v>
      </c>
      <c r="J51">
        <v>0</v>
      </c>
      <c r="K51">
        <v>0</v>
      </c>
      <c r="N51">
        <v>0</v>
      </c>
      <c r="O51">
        <v>0</v>
      </c>
    </row>
    <row r="52" spans="2:17">
      <c r="B52" t="s">
        <v>72</v>
      </c>
      <c r="C52">
        <v>3</v>
      </c>
      <c r="D52">
        <v>280236</v>
      </c>
      <c r="E52" t="s">
        <v>147</v>
      </c>
      <c r="F52" t="s">
        <v>148</v>
      </c>
      <c r="G52">
        <v>1</v>
      </c>
      <c r="J52">
        <v>428</v>
      </c>
      <c r="K52" s="160">
        <v>1130</v>
      </c>
      <c r="L52" s="160">
        <v>1340</v>
      </c>
      <c r="M52">
        <v>1</v>
      </c>
      <c r="N52">
        <v>218</v>
      </c>
      <c r="O52" s="160">
        <v>64026</v>
      </c>
      <c r="P52">
        <v>651</v>
      </c>
      <c r="Q52">
        <v>1</v>
      </c>
    </row>
    <row r="53" spans="2:17">
      <c r="P53" s="160">
        <v>63375</v>
      </c>
      <c r="Q53">
        <v>2</v>
      </c>
    </row>
    <row r="54" spans="2:17">
      <c r="B54" t="s">
        <v>72</v>
      </c>
      <c r="C54">
        <v>3</v>
      </c>
      <c r="D54">
        <v>253385</v>
      </c>
      <c r="E54" t="s">
        <v>149</v>
      </c>
      <c r="F54" t="s">
        <v>150</v>
      </c>
      <c r="G54">
        <v>1</v>
      </c>
      <c r="J54">
        <v>53</v>
      </c>
      <c r="K54">
        <v>0</v>
      </c>
      <c r="N54">
        <v>53</v>
      </c>
      <c r="O54">
        <v>0</v>
      </c>
    </row>
    <row r="55" spans="2:17">
      <c r="B55" t="s">
        <v>89</v>
      </c>
      <c r="C55">
        <v>3</v>
      </c>
      <c r="D55">
        <v>26482</v>
      </c>
      <c r="E55" t="s">
        <v>151</v>
      </c>
      <c r="F55" t="s">
        <v>152</v>
      </c>
      <c r="J55">
        <v>139</v>
      </c>
      <c r="K55">
        <v>0</v>
      </c>
      <c r="N55">
        <v>139</v>
      </c>
      <c r="O55">
        <v>0</v>
      </c>
    </row>
    <row r="56" spans="2:17">
      <c r="B56" t="s">
        <v>89</v>
      </c>
      <c r="C56">
        <v>3</v>
      </c>
      <c r="D56">
        <v>27150</v>
      </c>
      <c r="E56" t="s">
        <v>151</v>
      </c>
      <c r="F56" t="s">
        <v>153</v>
      </c>
      <c r="J56">
        <v>0</v>
      </c>
      <c r="K56">
        <v>0</v>
      </c>
      <c r="N56">
        <v>0</v>
      </c>
      <c r="O56">
        <v>0</v>
      </c>
    </row>
    <row r="57" spans="2:17">
      <c r="B57" t="s">
        <v>89</v>
      </c>
      <c r="C57">
        <v>3</v>
      </c>
      <c r="D57">
        <v>26262</v>
      </c>
      <c r="E57" t="s">
        <v>154</v>
      </c>
      <c r="F57" t="s">
        <v>152</v>
      </c>
      <c r="J57">
        <v>28</v>
      </c>
      <c r="K57">
        <v>0</v>
      </c>
      <c r="N57">
        <v>28</v>
      </c>
      <c r="O57">
        <v>0</v>
      </c>
    </row>
    <row r="58" spans="2:17">
      <c r="B58" t="s">
        <v>89</v>
      </c>
      <c r="C58">
        <v>3</v>
      </c>
      <c r="D58">
        <v>27348</v>
      </c>
      <c r="E58" t="s">
        <v>154</v>
      </c>
      <c r="F58" t="s">
        <v>155</v>
      </c>
      <c r="J58">
        <v>187</v>
      </c>
      <c r="K58">
        <v>0</v>
      </c>
      <c r="L58">
        <v>136</v>
      </c>
      <c r="M58">
        <v>1</v>
      </c>
      <c r="N58">
        <v>51</v>
      </c>
      <c r="O58">
        <v>622</v>
      </c>
      <c r="P58">
        <v>622</v>
      </c>
      <c r="Q58">
        <v>2</v>
      </c>
    </row>
    <row r="59" spans="2:17">
      <c r="B59" t="s">
        <v>72</v>
      </c>
      <c r="C59">
        <v>3</v>
      </c>
      <c r="D59">
        <v>223401</v>
      </c>
      <c r="E59" t="s">
        <v>156</v>
      </c>
      <c r="F59" t="s">
        <v>157</v>
      </c>
      <c r="G59">
        <v>5</v>
      </c>
      <c r="J59">
        <v>0</v>
      </c>
      <c r="K59">
        <v>0</v>
      </c>
      <c r="N59">
        <v>0</v>
      </c>
      <c r="O59">
        <v>0</v>
      </c>
    </row>
    <row r="60" spans="2:17">
      <c r="B60" t="s">
        <v>89</v>
      </c>
      <c r="C60">
        <v>3</v>
      </c>
      <c r="D60">
        <v>27617</v>
      </c>
      <c r="E60" t="s">
        <v>1250</v>
      </c>
      <c r="F60" t="s">
        <v>1251</v>
      </c>
      <c r="J60">
        <v>120</v>
      </c>
      <c r="K60" s="160">
        <v>2250</v>
      </c>
      <c r="L60" s="160">
        <v>2140</v>
      </c>
      <c r="M60">
        <v>1</v>
      </c>
      <c r="N60">
        <v>230</v>
      </c>
      <c r="O60">
        <v>333</v>
      </c>
      <c r="P60">
        <v>333</v>
      </c>
      <c r="Q60">
        <v>2</v>
      </c>
    </row>
    <row r="61" spans="2:17">
      <c r="B61" t="s">
        <v>89</v>
      </c>
      <c r="C61">
        <v>3</v>
      </c>
      <c r="D61">
        <v>26909</v>
      </c>
      <c r="E61" t="s">
        <v>158</v>
      </c>
      <c r="F61" t="s">
        <v>152</v>
      </c>
      <c r="J61">
        <v>32</v>
      </c>
      <c r="K61">
        <v>0</v>
      </c>
      <c r="N61">
        <v>32</v>
      </c>
      <c r="O61">
        <v>0</v>
      </c>
    </row>
    <row r="62" spans="2:17">
      <c r="B62" t="s">
        <v>72</v>
      </c>
      <c r="C62">
        <v>3</v>
      </c>
      <c r="D62">
        <v>233975</v>
      </c>
      <c r="E62" t="s">
        <v>159</v>
      </c>
      <c r="F62" t="s">
        <v>160</v>
      </c>
      <c r="G62">
        <v>1</v>
      </c>
      <c r="J62">
        <v>0</v>
      </c>
      <c r="K62">
        <v>0</v>
      </c>
      <c r="N62">
        <v>0</v>
      </c>
      <c r="O62">
        <v>0</v>
      </c>
    </row>
    <row r="63" spans="2:17">
      <c r="B63" t="s">
        <v>72</v>
      </c>
      <c r="C63">
        <v>3</v>
      </c>
      <c r="D63">
        <v>250605</v>
      </c>
      <c r="E63" t="s">
        <v>161</v>
      </c>
      <c r="F63" t="s">
        <v>162</v>
      </c>
      <c r="G63">
        <v>7</v>
      </c>
      <c r="J63">
        <v>0</v>
      </c>
      <c r="K63">
        <v>0</v>
      </c>
      <c r="N63">
        <v>0</v>
      </c>
      <c r="O63">
        <v>0</v>
      </c>
    </row>
    <row r="64" spans="2:17">
      <c r="B64" t="s">
        <v>89</v>
      </c>
      <c r="C64">
        <v>3</v>
      </c>
      <c r="D64">
        <v>27151</v>
      </c>
      <c r="E64" t="s">
        <v>163</v>
      </c>
      <c r="F64" t="s">
        <v>164</v>
      </c>
      <c r="J64">
        <v>108</v>
      </c>
      <c r="K64">
        <v>0</v>
      </c>
      <c r="N64">
        <v>108</v>
      </c>
      <c r="O64">
        <v>0</v>
      </c>
    </row>
    <row r="65" spans="2:17">
      <c r="B65" t="s">
        <v>72</v>
      </c>
      <c r="C65">
        <v>3</v>
      </c>
      <c r="D65">
        <v>192497</v>
      </c>
      <c r="E65" t="s">
        <v>165</v>
      </c>
      <c r="F65" t="s">
        <v>166</v>
      </c>
      <c r="G65">
        <v>1</v>
      </c>
      <c r="J65">
        <v>0</v>
      </c>
      <c r="K65">
        <v>0</v>
      </c>
      <c r="N65">
        <v>0</v>
      </c>
      <c r="O65">
        <v>0</v>
      </c>
    </row>
    <row r="66" spans="2:17">
      <c r="B66" t="s">
        <v>89</v>
      </c>
      <c r="C66">
        <v>3</v>
      </c>
      <c r="D66">
        <v>21610</v>
      </c>
      <c r="E66" t="s">
        <v>167</v>
      </c>
      <c r="F66" t="s">
        <v>168</v>
      </c>
      <c r="J66">
        <v>284</v>
      </c>
      <c r="K66">
        <v>22</v>
      </c>
      <c r="L66">
        <v>157</v>
      </c>
      <c r="M66">
        <v>1</v>
      </c>
      <c r="N66">
        <v>149</v>
      </c>
      <c r="O66">
        <v>0</v>
      </c>
    </row>
    <row r="67" spans="2:17">
      <c r="B67" t="s">
        <v>72</v>
      </c>
      <c r="C67">
        <v>3</v>
      </c>
      <c r="D67">
        <v>272614</v>
      </c>
      <c r="E67" t="s">
        <v>169</v>
      </c>
      <c r="F67" t="s">
        <v>170</v>
      </c>
      <c r="G67">
        <v>1</v>
      </c>
      <c r="J67">
        <v>0</v>
      </c>
      <c r="K67">
        <v>0</v>
      </c>
      <c r="N67">
        <v>0</v>
      </c>
      <c r="O67">
        <v>0</v>
      </c>
    </row>
    <row r="68" spans="2:17">
      <c r="B68" t="s">
        <v>72</v>
      </c>
      <c r="C68">
        <v>3</v>
      </c>
      <c r="D68">
        <v>279199</v>
      </c>
      <c r="E68" t="s">
        <v>171</v>
      </c>
      <c r="F68" t="s">
        <v>170</v>
      </c>
      <c r="G68">
        <v>2</v>
      </c>
      <c r="J68">
        <v>200</v>
      </c>
      <c r="K68">
        <v>28</v>
      </c>
      <c r="L68">
        <v>180</v>
      </c>
      <c r="M68">
        <v>1</v>
      </c>
      <c r="N68">
        <v>48</v>
      </c>
      <c r="O68" s="160">
        <v>2019</v>
      </c>
      <c r="P68" s="160">
        <v>2019</v>
      </c>
      <c r="Q68">
        <v>2</v>
      </c>
    </row>
    <row r="69" spans="2:17">
      <c r="B69" t="s">
        <v>89</v>
      </c>
      <c r="C69">
        <v>3</v>
      </c>
      <c r="D69">
        <v>15252</v>
      </c>
      <c r="E69" t="s">
        <v>172</v>
      </c>
      <c r="F69" t="s">
        <v>173</v>
      </c>
      <c r="J69">
        <v>0</v>
      </c>
      <c r="K69">
        <v>0</v>
      </c>
      <c r="N69">
        <v>0</v>
      </c>
      <c r="O69">
        <v>0</v>
      </c>
    </row>
    <row r="70" spans="2:17">
      <c r="B70" t="s">
        <v>72</v>
      </c>
      <c r="C70">
        <v>3</v>
      </c>
      <c r="D70">
        <v>206045</v>
      </c>
      <c r="E70" t="s">
        <v>174</v>
      </c>
      <c r="F70" t="s">
        <v>175</v>
      </c>
      <c r="G70" t="s">
        <v>176</v>
      </c>
      <c r="J70">
        <v>95</v>
      </c>
      <c r="K70">
        <v>29</v>
      </c>
      <c r="N70">
        <v>124</v>
      </c>
      <c r="O70" s="160">
        <v>7912</v>
      </c>
      <c r="P70">
        <v>403</v>
      </c>
      <c r="Q70">
        <v>1</v>
      </c>
    </row>
    <row r="71" spans="2:17">
      <c r="P71" s="160">
        <v>7509</v>
      </c>
      <c r="Q71">
        <v>2</v>
      </c>
    </row>
    <row r="72" spans="2:17">
      <c r="B72" t="s">
        <v>72</v>
      </c>
      <c r="C72">
        <v>3</v>
      </c>
      <c r="D72">
        <v>188081</v>
      </c>
      <c r="E72" t="s">
        <v>177</v>
      </c>
      <c r="F72" t="s">
        <v>157</v>
      </c>
      <c r="G72">
        <v>1</v>
      </c>
      <c r="J72">
        <v>0</v>
      </c>
      <c r="K72">
        <v>0</v>
      </c>
      <c r="N72">
        <v>0</v>
      </c>
      <c r="O72">
        <v>0</v>
      </c>
    </row>
    <row r="73" spans="2:17">
      <c r="B73" t="s">
        <v>72</v>
      </c>
      <c r="C73">
        <v>3</v>
      </c>
      <c r="D73">
        <v>160307</v>
      </c>
      <c r="E73" t="s">
        <v>178</v>
      </c>
      <c r="F73" t="s">
        <v>179</v>
      </c>
      <c r="G73">
        <v>1</v>
      </c>
      <c r="J73">
        <v>173</v>
      </c>
      <c r="K73">
        <v>0</v>
      </c>
      <c r="N73">
        <v>173</v>
      </c>
      <c r="O73">
        <v>0</v>
      </c>
    </row>
    <row r="74" spans="2:17">
      <c r="B74" t="s">
        <v>89</v>
      </c>
      <c r="C74">
        <v>3</v>
      </c>
      <c r="D74">
        <v>27285</v>
      </c>
      <c r="E74" t="s">
        <v>180</v>
      </c>
      <c r="F74" t="s">
        <v>181</v>
      </c>
      <c r="J74">
        <v>262</v>
      </c>
      <c r="K74">
        <v>112</v>
      </c>
      <c r="N74">
        <v>374</v>
      </c>
      <c r="O74">
        <v>639</v>
      </c>
      <c r="P74">
        <v>31</v>
      </c>
      <c r="Q74">
        <v>1</v>
      </c>
    </row>
    <row r="75" spans="2:17">
      <c r="P75">
        <v>608</v>
      </c>
      <c r="Q75">
        <v>2</v>
      </c>
    </row>
    <row r="76" spans="2:17">
      <c r="B76" t="s">
        <v>89</v>
      </c>
      <c r="C76">
        <v>3</v>
      </c>
      <c r="D76">
        <v>27418</v>
      </c>
      <c r="E76" t="s">
        <v>182</v>
      </c>
      <c r="F76" t="s">
        <v>181</v>
      </c>
      <c r="J76">
        <v>401</v>
      </c>
      <c r="K76" s="160">
        <v>2674</v>
      </c>
      <c r="L76" s="160">
        <v>2469</v>
      </c>
      <c r="M76">
        <v>1</v>
      </c>
      <c r="N76">
        <v>606</v>
      </c>
      <c r="O76" s="160">
        <v>4078</v>
      </c>
      <c r="P76">
        <v>217</v>
      </c>
      <c r="Q76">
        <v>1</v>
      </c>
    </row>
    <row r="77" spans="2:17">
      <c r="P77" s="160">
        <v>3861</v>
      </c>
      <c r="Q77">
        <v>2</v>
      </c>
    </row>
    <row r="78" spans="2:17">
      <c r="B78" t="s">
        <v>72</v>
      </c>
      <c r="C78">
        <v>3</v>
      </c>
      <c r="D78">
        <v>282350</v>
      </c>
      <c r="E78" t="s">
        <v>182</v>
      </c>
      <c r="F78" t="s">
        <v>181</v>
      </c>
      <c r="G78" t="s">
        <v>183</v>
      </c>
      <c r="J78">
        <v>361</v>
      </c>
      <c r="K78">
        <v>23</v>
      </c>
      <c r="N78">
        <v>384</v>
      </c>
      <c r="O78">
        <v>654</v>
      </c>
      <c r="P78">
        <v>654</v>
      </c>
      <c r="Q78">
        <v>2</v>
      </c>
    </row>
    <row r="79" spans="2:17">
      <c r="B79" t="s">
        <v>89</v>
      </c>
      <c r="C79">
        <v>3</v>
      </c>
      <c r="D79">
        <v>27236</v>
      </c>
      <c r="E79" t="s">
        <v>184</v>
      </c>
      <c r="F79" t="s">
        <v>181</v>
      </c>
      <c r="J79">
        <v>105</v>
      </c>
      <c r="K79" s="160">
        <v>1228</v>
      </c>
      <c r="L79" s="160">
        <v>1109</v>
      </c>
      <c r="M79">
        <v>1</v>
      </c>
      <c r="N79">
        <v>224</v>
      </c>
      <c r="O79" s="160">
        <v>1561</v>
      </c>
      <c r="P79">
        <v>31</v>
      </c>
      <c r="Q79">
        <v>1</v>
      </c>
    </row>
    <row r="80" spans="2:17">
      <c r="P80" s="160">
        <v>1530</v>
      </c>
      <c r="Q80">
        <v>2</v>
      </c>
    </row>
    <row r="81" spans="2:17">
      <c r="B81" t="s">
        <v>89</v>
      </c>
      <c r="C81">
        <v>3</v>
      </c>
      <c r="D81">
        <v>26501</v>
      </c>
      <c r="E81" t="s">
        <v>187</v>
      </c>
      <c r="F81" t="s">
        <v>188</v>
      </c>
      <c r="J81">
        <v>114</v>
      </c>
      <c r="K81">
        <v>0</v>
      </c>
      <c r="N81">
        <v>114</v>
      </c>
      <c r="O81">
        <v>0</v>
      </c>
    </row>
    <row r="82" spans="2:17">
      <c r="B82" t="s">
        <v>89</v>
      </c>
      <c r="C82">
        <v>3</v>
      </c>
      <c r="D82">
        <v>24455</v>
      </c>
      <c r="E82" t="s">
        <v>189</v>
      </c>
      <c r="F82" t="s">
        <v>190</v>
      </c>
      <c r="J82">
        <v>0</v>
      </c>
      <c r="K82">
        <v>0</v>
      </c>
      <c r="N82">
        <v>0</v>
      </c>
      <c r="O82">
        <v>0</v>
      </c>
    </row>
    <row r="83" spans="2:17">
      <c r="B83" t="s">
        <v>72</v>
      </c>
      <c r="C83">
        <v>3</v>
      </c>
      <c r="D83">
        <v>278004</v>
      </c>
      <c r="E83" t="s">
        <v>189</v>
      </c>
      <c r="F83" t="s">
        <v>191</v>
      </c>
      <c r="G83">
        <v>3</v>
      </c>
      <c r="J83">
        <v>67</v>
      </c>
      <c r="K83">
        <v>6</v>
      </c>
      <c r="N83">
        <v>73</v>
      </c>
      <c r="O83">
        <v>823</v>
      </c>
      <c r="P83">
        <v>31</v>
      </c>
      <c r="Q83">
        <v>1</v>
      </c>
    </row>
    <row r="84" spans="2:17">
      <c r="P84">
        <v>792</v>
      </c>
      <c r="Q84">
        <v>2</v>
      </c>
    </row>
    <row r="85" spans="2:17">
      <c r="B85" t="s">
        <v>89</v>
      </c>
      <c r="C85">
        <v>3</v>
      </c>
      <c r="D85">
        <v>2099</v>
      </c>
      <c r="E85" t="s">
        <v>192</v>
      </c>
      <c r="F85" t="s">
        <v>193</v>
      </c>
      <c r="J85">
        <v>126</v>
      </c>
      <c r="K85">
        <v>496</v>
      </c>
      <c r="L85">
        <v>340</v>
      </c>
      <c r="M85">
        <v>1</v>
      </c>
      <c r="N85">
        <v>282</v>
      </c>
      <c r="O85">
        <v>0</v>
      </c>
    </row>
    <row r="86" spans="2:17">
      <c r="B86" t="s">
        <v>89</v>
      </c>
      <c r="C86">
        <v>3</v>
      </c>
      <c r="D86">
        <v>24246</v>
      </c>
      <c r="E86" t="s">
        <v>194</v>
      </c>
      <c r="F86" t="s">
        <v>195</v>
      </c>
      <c r="J86">
        <v>52</v>
      </c>
      <c r="K86">
        <v>0</v>
      </c>
      <c r="N86">
        <v>52</v>
      </c>
      <c r="O86">
        <v>0</v>
      </c>
    </row>
    <row r="87" spans="2:17">
      <c r="B87" t="s">
        <v>89</v>
      </c>
      <c r="C87">
        <v>3</v>
      </c>
      <c r="D87">
        <v>27279</v>
      </c>
      <c r="E87" t="s">
        <v>196</v>
      </c>
      <c r="F87" t="s">
        <v>197</v>
      </c>
      <c r="J87">
        <v>229</v>
      </c>
      <c r="K87">
        <v>0</v>
      </c>
      <c r="N87">
        <v>229</v>
      </c>
      <c r="O87">
        <v>0</v>
      </c>
    </row>
    <row r="88" spans="2:17">
      <c r="B88" t="s">
        <v>89</v>
      </c>
      <c r="C88">
        <v>3</v>
      </c>
      <c r="D88">
        <v>27495</v>
      </c>
      <c r="E88" t="s">
        <v>198</v>
      </c>
      <c r="F88" t="s">
        <v>199</v>
      </c>
      <c r="J88">
        <v>249</v>
      </c>
      <c r="K88">
        <v>1</v>
      </c>
      <c r="N88">
        <v>250</v>
      </c>
      <c r="O88">
        <v>0</v>
      </c>
    </row>
    <row r="89" spans="2:17">
      <c r="B89" t="s">
        <v>89</v>
      </c>
      <c r="C89">
        <v>3</v>
      </c>
      <c r="D89">
        <v>27499</v>
      </c>
      <c r="E89" t="s">
        <v>198</v>
      </c>
      <c r="F89" t="s">
        <v>200</v>
      </c>
      <c r="J89">
        <v>282</v>
      </c>
      <c r="K89">
        <v>15</v>
      </c>
      <c r="N89">
        <v>297</v>
      </c>
      <c r="O89">
        <v>0</v>
      </c>
    </row>
    <row r="90" spans="2:17">
      <c r="B90" t="s">
        <v>89</v>
      </c>
      <c r="C90">
        <v>3</v>
      </c>
      <c r="D90">
        <v>27401</v>
      </c>
      <c r="E90" t="s">
        <v>201</v>
      </c>
      <c r="F90" t="s">
        <v>202</v>
      </c>
      <c r="J90">
        <v>390</v>
      </c>
      <c r="K90">
        <v>20</v>
      </c>
      <c r="N90">
        <v>410</v>
      </c>
      <c r="O90">
        <v>0</v>
      </c>
    </row>
    <row r="91" spans="2:17">
      <c r="B91" t="s">
        <v>72</v>
      </c>
      <c r="C91">
        <v>3</v>
      </c>
      <c r="D91">
        <v>177442</v>
      </c>
      <c r="E91" t="s">
        <v>203</v>
      </c>
      <c r="F91" t="s">
        <v>204</v>
      </c>
      <c r="G91" t="s">
        <v>205</v>
      </c>
      <c r="J91">
        <v>0</v>
      </c>
      <c r="K91">
        <v>0</v>
      </c>
      <c r="N91">
        <v>0</v>
      </c>
      <c r="O91">
        <v>0</v>
      </c>
    </row>
    <row r="92" spans="2:17">
      <c r="B92" t="s">
        <v>72</v>
      </c>
      <c r="C92">
        <v>3</v>
      </c>
      <c r="D92">
        <v>284976</v>
      </c>
      <c r="E92" t="s">
        <v>206</v>
      </c>
      <c r="F92" t="s">
        <v>207</v>
      </c>
      <c r="G92" t="s">
        <v>208</v>
      </c>
      <c r="J92">
        <v>140</v>
      </c>
      <c r="K92">
        <v>10</v>
      </c>
      <c r="N92">
        <v>150</v>
      </c>
      <c r="O92">
        <v>661</v>
      </c>
      <c r="P92">
        <v>661</v>
      </c>
      <c r="Q92">
        <v>2</v>
      </c>
    </row>
    <row r="93" spans="2:17">
      <c r="B93" t="s">
        <v>89</v>
      </c>
      <c r="C93">
        <v>3</v>
      </c>
      <c r="D93">
        <v>2812</v>
      </c>
      <c r="E93" t="s">
        <v>209</v>
      </c>
      <c r="F93" t="s">
        <v>210</v>
      </c>
      <c r="J93">
        <v>18</v>
      </c>
      <c r="K93">
        <v>0</v>
      </c>
      <c r="N93">
        <v>18</v>
      </c>
      <c r="O93">
        <v>0</v>
      </c>
    </row>
    <row r="94" spans="2:17">
      <c r="B94" t="s">
        <v>89</v>
      </c>
      <c r="C94">
        <v>3</v>
      </c>
      <c r="D94">
        <v>2817</v>
      </c>
      <c r="E94" t="s">
        <v>209</v>
      </c>
      <c r="F94" t="s">
        <v>220</v>
      </c>
      <c r="J94">
        <v>208</v>
      </c>
      <c r="K94">
        <v>285</v>
      </c>
      <c r="L94">
        <v>334</v>
      </c>
      <c r="M94">
        <v>1</v>
      </c>
      <c r="N94">
        <v>159</v>
      </c>
      <c r="O94">
        <v>0</v>
      </c>
    </row>
    <row r="95" spans="2:17">
      <c r="B95" t="s">
        <v>89</v>
      </c>
      <c r="C95">
        <v>3</v>
      </c>
      <c r="D95">
        <v>26743</v>
      </c>
      <c r="E95" t="s">
        <v>209</v>
      </c>
      <c r="F95" t="s">
        <v>212</v>
      </c>
      <c r="J95">
        <v>0</v>
      </c>
      <c r="K95">
        <v>0</v>
      </c>
      <c r="N95">
        <v>0</v>
      </c>
      <c r="O95">
        <v>0</v>
      </c>
    </row>
    <row r="96" spans="2:17">
      <c r="B96" t="s">
        <v>89</v>
      </c>
      <c r="C96">
        <v>3</v>
      </c>
      <c r="D96">
        <v>27533</v>
      </c>
      <c r="E96" t="s">
        <v>209</v>
      </c>
      <c r="F96" t="s">
        <v>218</v>
      </c>
      <c r="J96">
        <v>208</v>
      </c>
      <c r="K96">
        <v>382</v>
      </c>
      <c r="L96">
        <v>514</v>
      </c>
      <c r="M96">
        <v>1</v>
      </c>
      <c r="N96">
        <v>76</v>
      </c>
      <c r="O96">
        <v>0</v>
      </c>
    </row>
    <row r="97" spans="2:17">
      <c r="B97" t="s">
        <v>72</v>
      </c>
      <c r="C97">
        <v>3</v>
      </c>
      <c r="D97">
        <v>287522</v>
      </c>
      <c r="E97" t="s">
        <v>209</v>
      </c>
      <c r="F97" t="s">
        <v>211</v>
      </c>
      <c r="G97">
        <v>5</v>
      </c>
      <c r="J97">
        <v>49</v>
      </c>
      <c r="K97">
        <v>17</v>
      </c>
      <c r="N97">
        <v>66</v>
      </c>
      <c r="O97" s="160">
        <v>3692</v>
      </c>
      <c r="P97">
        <v>186</v>
      </c>
      <c r="Q97">
        <v>1</v>
      </c>
    </row>
    <row r="98" spans="2:17">
      <c r="P98" s="160">
        <v>3506</v>
      </c>
      <c r="Q98">
        <v>2</v>
      </c>
    </row>
    <row r="99" spans="2:17">
      <c r="B99" t="s">
        <v>72</v>
      </c>
      <c r="C99">
        <v>3</v>
      </c>
      <c r="D99">
        <v>133198</v>
      </c>
      <c r="E99" t="s">
        <v>214</v>
      </c>
      <c r="F99" t="s">
        <v>211</v>
      </c>
      <c r="G99">
        <v>7</v>
      </c>
      <c r="I99">
        <v>1471</v>
      </c>
      <c r="J99">
        <v>0</v>
      </c>
      <c r="K99">
        <v>0</v>
      </c>
      <c r="N99">
        <v>0</v>
      </c>
      <c r="O99">
        <v>0</v>
      </c>
    </row>
    <row r="100" spans="2:17">
      <c r="B100" t="s">
        <v>89</v>
      </c>
      <c r="C100">
        <v>3</v>
      </c>
      <c r="D100">
        <v>22393</v>
      </c>
      <c r="E100" t="s">
        <v>215</v>
      </c>
      <c r="F100" t="s">
        <v>216</v>
      </c>
      <c r="I100">
        <v>1471</v>
      </c>
      <c r="J100">
        <v>0</v>
      </c>
      <c r="K100">
        <v>0</v>
      </c>
      <c r="N100">
        <v>0</v>
      </c>
      <c r="O100">
        <v>0</v>
      </c>
    </row>
    <row r="101" spans="2:17">
      <c r="B101" t="s">
        <v>72</v>
      </c>
      <c r="C101">
        <v>3</v>
      </c>
      <c r="D101">
        <v>229081</v>
      </c>
      <c r="E101" t="s">
        <v>217</v>
      </c>
      <c r="F101" t="s">
        <v>218</v>
      </c>
      <c r="G101">
        <v>7</v>
      </c>
      <c r="J101">
        <v>0</v>
      </c>
      <c r="K101">
        <v>0</v>
      </c>
      <c r="N101">
        <v>0</v>
      </c>
      <c r="O101">
        <v>0</v>
      </c>
    </row>
    <row r="102" spans="2:17">
      <c r="B102" t="s">
        <v>89</v>
      </c>
      <c r="C102">
        <v>3</v>
      </c>
      <c r="D102">
        <v>26834</v>
      </c>
      <c r="E102" t="s">
        <v>221</v>
      </c>
      <c r="F102" t="s">
        <v>222</v>
      </c>
      <c r="J102">
        <v>262</v>
      </c>
      <c r="K102">
        <v>0</v>
      </c>
      <c r="N102">
        <v>262</v>
      </c>
      <c r="O102">
        <v>0</v>
      </c>
    </row>
    <row r="103" spans="2:17">
      <c r="B103" t="s">
        <v>89</v>
      </c>
      <c r="C103">
        <v>3</v>
      </c>
      <c r="D103">
        <v>26193</v>
      </c>
      <c r="E103" t="s">
        <v>223</v>
      </c>
      <c r="F103" t="s">
        <v>224</v>
      </c>
      <c r="J103">
        <v>68</v>
      </c>
      <c r="K103">
        <v>0</v>
      </c>
      <c r="N103">
        <v>68</v>
      </c>
      <c r="O103">
        <v>0</v>
      </c>
    </row>
    <row r="104" spans="2:17">
      <c r="B104" t="s">
        <v>72</v>
      </c>
      <c r="C104">
        <v>3</v>
      </c>
      <c r="D104">
        <v>275419</v>
      </c>
      <c r="E104" t="s">
        <v>225</v>
      </c>
      <c r="F104" t="s">
        <v>222</v>
      </c>
      <c r="G104" t="s">
        <v>226</v>
      </c>
      <c r="J104">
        <v>0</v>
      </c>
      <c r="K104">
        <v>0</v>
      </c>
      <c r="N104">
        <v>0</v>
      </c>
      <c r="O104">
        <v>0</v>
      </c>
    </row>
    <row r="105" spans="2:17">
      <c r="B105" t="s">
        <v>89</v>
      </c>
      <c r="C105">
        <v>3</v>
      </c>
      <c r="D105">
        <v>27736</v>
      </c>
      <c r="E105" t="s">
        <v>1292</v>
      </c>
      <c r="F105" t="s">
        <v>222</v>
      </c>
      <c r="J105">
        <v>207</v>
      </c>
      <c r="K105">
        <v>155</v>
      </c>
      <c r="N105">
        <v>362</v>
      </c>
      <c r="O105" s="160">
        <v>5455</v>
      </c>
      <c r="P105" s="160">
        <v>5455</v>
      </c>
      <c r="Q105">
        <v>4</v>
      </c>
    </row>
    <row r="106" spans="2:17">
      <c r="J106" t="s">
        <v>1293</v>
      </c>
    </row>
    <row r="107" spans="2:17">
      <c r="B107" t="s">
        <v>72</v>
      </c>
      <c r="C107">
        <v>3</v>
      </c>
      <c r="D107">
        <v>139199</v>
      </c>
      <c r="E107" t="s">
        <v>227</v>
      </c>
      <c r="F107" t="s">
        <v>228</v>
      </c>
      <c r="G107">
        <v>1</v>
      </c>
      <c r="J107">
        <v>0</v>
      </c>
      <c r="K107">
        <v>0</v>
      </c>
      <c r="N107">
        <v>0</v>
      </c>
      <c r="O107">
        <v>0</v>
      </c>
    </row>
    <row r="108" spans="2:17">
      <c r="B108" t="s">
        <v>89</v>
      </c>
      <c r="C108">
        <v>3</v>
      </c>
      <c r="D108">
        <v>18769</v>
      </c>
      <c r="E108" t="s">
        <v>230</v>
      </c>
      <c r="F108" t="s">
        <v>231</v>
      </c>
      <c r="J108">
        <v>237</v>
      </c>
      <c r="K108">
        <v>74</v>
      </c>
      <c r="L108">
        <v>184</v>
      </c>
      <c r="M108">
        <v>1</v>
      </c>
      <c r="N108">
        <v>127</v>
      </c>
      <c r="O108">
        <v>0</v>
      </c>
    </row>
    <row r="109" spans="2:17">
      <c r="B109" t="s">
        <v>72</v>
      </c>
      <c r="C109">
        <v>3</v>
      </c>
      <c r="D109">
        <v>184787</v>
      </c>
      <c r="E109" t="s">
        <v>232</v>
      </c>
      <c r="F109" t="s">
        <v>233</v>
      </c>
      <c r="G109">
        <v>5</v>
      </c>
      <c r="J109">
        <v>124</v>
      </c>
      <c r="K109">
        <v>216</v>
      </c>
      <c r="L109">
        <v>168</v>
      </c>
      <c r="M109">
        <v>1</v>
      </c>
      <c r="N109">
        <v>172</v>
      </c>
      <c r="O109" s="160">
        <v>11966</v>
      </c>
      <c r="P109">
        <v>465</v>
      </c>
      <c r="Q109">
        <v>1</v>
      </c>
    </row>
    <row r="110" spans="2:17">
      <c r="P110" s="160">
        <v>11501</v>
      </c>
      <c r="Q110">
        <v>2</v>
      </c>
    </row>
    <row r="111" spans="2:17">
      <c r="B111" t="s">
        <v>72</v>
      </c>
      <c r="C111">
        <v>3</v>
      </c>
      <c r="D111">
        <v>113719</v>
      </c>
      <c r="E111" t="s">
        <v>234</v>
      </c>
      <c r="F111" t="s">
        <v>235</v>
      </c>
      <c r="G111">
        <v>23</v>
      </c>
      <c r="J111">
        <v>103</v>
      </c>
      <c r="K111">
        <v>7</v>
      </c>
      <c r="N111">
        <v>110</v>
      </c>
      <c r="O111" s="160">
        <v>1651</v>
      </c>
      <c r="P111" s="160">
        <v>1651</v>
      </c>
      <c r="Q111">
        <v>2</v>
      </c>
    </row>
    <row r="112" spans="2:17">
      <c r="B112" t="s">
        <v>72</v>
      </c>
      <c r="C112">
        <v>3</v>
      </c>
      <c r="D112">
        <v>38467</v>
      </c>
      <c r="E112" t="s">
        <v>236</v>
      </c>
      <c r="F112" t="s">
        <v>233</v>
      </c>
      <c r="G112">
        <v>3</v>
      </c>
      <c r="J112">
        <v>0</v>
      </c>
      <c r="K112">
        <v>0</v>
      </c>
      <c r="N112">
        <v>0</v>
      </c>
      <c r="O112">
        <v>0</v>
      </c>
    </row>
    <row r="113" spans="2:17">
      <c r="B113" t="s">
        <v>89</v>
      </c>
      <c r="C113">
        <v>3</v>
      </c>
      <c r="D113">
        <v>12721</v>
      </c>
      <c r="E113" t="s">
        <v>237</v>
      </c>
      <c r="F113" t="s">
        <v>238</v>
      </c>
      <c r="J113">
        <v>0</v>
      </c>
      <c r="K113">
        <v>0</v>
      </c>
      <c r="N113">
        <v>0</v>
      </c>
      <c r="O113">
        <v>0</v>
      </c>
    </row>
    <row r="114" spans="2:17">
      <c r="B114" t="s">
        <v>72</v>
      </c>
      <c r="C114">
        <v>3</v>
      </c>
      <c r="D114">
        <v>214543</v>
      </c>
      <c r="E114" t="s">
        <v>239</v>
      </c>
      <c r="F114" t="s">
        <v>240</v>
      </c>
      <c r="G114">
        <v>1</v>
      </c>
      <c r="J114">
        <v>0</v>
      </c>
      <c r="K114">
        <v>0</v>
      </c>
      <c r="N114">
        <v>0</v>
      </c>
      <c r="O114">
        <v>0</v>
      </c>
    </row>
    <row r="115" spans="2:17">
      <c r="B115" t="s">
        <v>72</v>
      </c>
      <c r="C115">
        <v>3</v>
      </c>
      <c r="D115">
        <v>235116</v>
      </c>
      <c r="E115" t="s">
        <v>241</v>
      </c>
      <c r="F115" t="s">
        <v>242</v>
      </c>
      <c r="G115">
        <v>2</v>
      </c>
      <c r="J115">
        <v>0</v>
      </c>
      <c r="K115">
        <v>0</v>
      </c>
      <c r="N115">
        <v>0</v>
      </c>
      <c r="O115">
        <v>0</v>
      </c>
    </row>
    <row r="116" spans="2:17">
      <c r="B116" t="s">
        <v>72</v>
      </c>
      <c r="C116">
        <v>3</v>
      </c>
      <c r="D116">
        <v>164970</v>
      </c>
      <c r="E116" t="s">
        <v>243</v>
      </c>
      <c r="F116" t="s">
        <v>244</v>
      </c>
      <c r="G116">
        <v>1</v>
      </c>
      <c r="J116">
        <v>246</v>
      </c>
      <c r="K116">
        <v>7</v>
      </c>
      <c r="L116">
        <v>190</v>
      </c>
      <c r="M116">
        <v>1</v>
      </c>
      <c r="N116">
        <v>63</v>
      </c>
      <c r="O116" s="160">
        <v>6719</v>
      </c>
      <c r="P116">
        <v>217</v>
      </c>
      <c r="Q116">
        <v>1</v>
      </c>
    </row>
    <row r="117" spans="2:17">
      <c r="P117" s="160">
        <v>6502</v>
      </c>
      <c r="Q117">
        <v>2</v>
      </c>
    </row>
    <row r="118" spans="2:17">
      <c r="B118" t="s">
        <v>89</v>
      </c>
      <c r="C118">
        <v>3</v>
      </c>
      <c r="D118">
        <v>24861</v>
      </c>
      <c r="E118" t="s">
        <v>245</v>
      </c>
      <c r="F118" t="s">
        <v>246</v>
      </c>
      <c r="J118">
        <v>45</v>
      </c>
      <c r="K118">
        <v>0</v>
      </c>
      <c r="N118">
        <v>45</v>
      </c>
      <c r="O118">
        <v>218</v>
      </c>
      <c r="P118">
        <v>31</v>
      </c>
      <c r="Q118">
        <v>1</v>
      </c>
    </row>
    <row r="119" spans="2:17">
      <c r="P119">
        <v>187</v>
      </c>
      <c r="Q119">
        <v>2</v>
      </c>
    </row>
    <row r="120" spans="2:17">
      <c r="B120" t="s">
        <v>72</v>
      </c>
      <c r="C120">
        <v>3</v>
      </c>
      <c r="D120">
        <v>194105</v>
      </c>
      <c r="E120" t="s">
        <v>247</v>
      </c>
      <c r="F120" t="s">
        <v>248</v>
      </c>
      <c r="G120">
        <v>2</v>
      </c>
      <c r="J120">
        <v>0</v>
      </c>
      <c r="K120">
        <v>0</v>
      </c>
      <c r="N120">
        <v>0</v>
      </c>
      <c r="O120">
        <v>0</v>
      </c>
    </row>
    <row r="121" spans="2:17">
      <c r="B121" t="s">
        <v>72</v>
      </c>
      <c r="C121">
        <v>3</v>
      </c>
      <c r="D121">
        <v>130820</v>
      </c>
      <c r="E121" t="s">
        <v>249</v>
      </c>
      <c r="F121" t="s">
        <v>248</v>
      </c>
      <c r="G121">
        <v>1</v>
      </c>
      <c r="J121">
        <v>0</v>
      </c>
      <c r="K121">
        <v>0</v>
      </c>
      <c r="N121">
        <v>0</v>
      </c>
      <c r="O121">
        <v>0</v>
      </c>
    </row>
    <row r="122" spans="2:17">
      <c r="B122" t="s">
        <v>72</v>
      </c>
      <c r="C122">
        <v>3</v>
      </c>
      <c r="D122">
        <v>284977</v>
      </c>
      <c r="E122" t="s">
        <v>250</v>
      </c>
      <c r="F122" t="s">
        <v>251</v>
      </c>
      <c r="G122" t="s">
        <v>252</v>
      </c>
      <c r="J122">
        <v>102</v>
      </c>
      <c r="K122">
        <v>35</v>
      </c>
      <c r="N122">
        <v>137</v>
      </c>
      <c r="O122" s="160">
        <v>14257</v>
      </c>
      <c r="P122">
        <v>575</v>
      </c>
      <c r="Q122">
        <v>1</v>
      </c>
    </row>
    <row r="123" spans="2:17">
      <c r="P123" s="160">
        <v>13682</v>
      </c>
      <c r="Q123">
        <v>2</v>
      </c>
    </row>
    <row r="124" spans="2:17">
      <c r="B124" t="s">
        <v>72</v>
      </c>
      <c r="C124">
        <v>3</v>
      </c>
      <c r="D124">
        <v>247945</v>
      </c>
      <c r="E124" t="s">
        <v>253</v>
      </c>
      <c r="F124" t="s">
        <v>254</v>
      </c>
      <c r="G124">
        <v>2</v>
      </c>
      <c r="J124">
        <v>102</v>
      </c>
      <c r="K124">
        <v>23</v>
      </c>
      <c r="N124">
        <v>125</v>
      </c>
      <c r="O124">
        <v>548</v>
      </c>
      <c r="P124">
        <v>548</v>
      </c>
      <c r="Q124">
        <v>2</v>
      </c>
    </row>
    <row r="125" spans="2:17">
      <c r="B125" t="s">
        <v>72</v>
      </c>
      <c r="C125">
        <v>3</v>
      </c>
      <c r="D125">
        <v>285001</v>
      </c>
      <c r="E125" t="s">
        <v>255</v>
      </c>
      <c r="F125" t="s">
        <v>251</v>
      </c>
      <c r="G125" t="s">
        <v>226</v>
      </c>
      <c r="J125">
        <v>109</v>
      </c>
      <c r="K125">
        <v>0</v>
      </c>
      <c r="N125">
        <v>109</v>
      </c>
      <c r="O125">
        <v>107</v>
      </c>
      <c r="P125">
        <v>21</v>
      </c>
      <c r="Q125">
        <v>1</v>
      </c>
    </row>
    <row r="126" spans="2:17">
      <c r="P126">
        <v>86</v>
      </c>
      <c r="Q126">
        <v>2</v>
      </c>
    </row>
    <row r="127" spans="2:17">
      <c r="B127" t="s">
        <v>89</v>
      </c>
      <c r="C127">
        <v>3</v>
      </c>
      <c r="D127">
        <v>21879</v>
      </c>
      <c r="E127" t="s">
        <v>256</v>
      </c>
      <c r="F127" t="s">
        <v>257</v>
      </c>
      <c r="J127">
        <v>0</v>
      </c>
      <c r="K127">
        <v>0</v>
      </c>
      <c r="N127">
        <v>0</v>
      </c>
      <c r="O127">
        <v>0</v>
      </c>
    </row>
    <row r="128" spans="2:17">
      <c r="B128" t="s">
        <v>72</v>
      </c>
      <c r="C128">
        <v>3</v>
      </c>
      <c r="D128">
        <v>158027</v>
      </c>
      <c r="E128" t="s">
        <v>258</v>
      </c>
      <c r="F128" t="s">
        <v>259</v>
      </c>
      <c r="G128">
        <v>1</v>
      </c>
      <c r="J128">
        <v>0</v>
      </c>
      <c r="K128">
        <v>0</v>
      </c>
      <c r="N128">
        <v>0</v>
      </c>
      <c r="O128">
        <v>0</v>
      </c>
    </row>
    <row r="129" spans="2:17">
      <c r="B129" t="s">
        <v>72</v>
      </c>
      <c r="C129">
        <v>3</v>
      </c>
      <c r="D129">
        <v>193384</v>
      </c>
      <c r="E129" t="s">
        <v>260</v>
      </c>
      <c r="F129" t="s">
        <v>261</v>
      </c>
      <c r="G129">
        <v>2</v>
      </c>
      <c r="J129">
        <v>64</v>
      </c>
      <c r="K129">
        <v>65</v>
      </c>
      <c r="N129">
        <v>129</v>
      </c>
      <c r="O129" s="160">
        <v>3223</v>
      </c>
      <c r="P129">
        <v>93</v>
      </c>
      <c r="Q129">
        <v>1</v>
      </c>
    </row>
    <row r="130" spans="2:17">
      <c r="P130" s="160">
        <v>3130</v>
      </c>
      <c r="Q130">
        <v>2</v>
      </c>
    </row>
    <row r="131" spans="2:17">
      <c r="B131" t="s">
        <v>72</v>
      </c>
      <c r="C131">
        <v>3</v>
      </c>
      <c r="D131">
        <v>47134</v>
      </c>
      <c r="E131" t="s">
        <v>262</v>
      </c>
      <c r="F131" t="s">
        <v>263</v>
      </c>
      <c r="G131">
        <v>1</v>
      </c>
      <c r="J131">
        <v>0</v>
      </c>
      <c r="K131">
        <v>0</v>
      </c>
      <c r="N131">
        <v>0</v>
      </c>
      <c r="O131">
        <v>0</v>
      </c>
    </row>
    <row r="132" spans="2:17">
      <c r="B132" t="s">
        <v>72</v>
      </c>
      <c r="C132">
        <v>3</v>
      </c>
      <c r="D132">
        <v>158691</v>
      </c>
      <c r="E132" t="s">
        <v>264</v>
      </c>
      <c r="F132" t="s">
        <v>265</v>
      </c>
      <c r="G132">
        <v>1</v>
      </c>
      <c r="J132">
        <v>197</v>
      </c>
      <c r="K132">
        <v>4</v>
      </c>
      <c r="L132">
        <v>136</v>
      </c>
      <c r="M132">
        <v>1</v>
      </c>
      <c r="N132">
        <v>65</v>
      </c>
      <c r="O132" s="160">
        <v>1384</v>
      </c>
      <c r="P132">
        <v>31</v>
      </c>
      <c r="Q132">
        <v>1</v>
      </c>
    </row>
    <row r="133" spans="2:17">
      <c r="P133" s="160">
        <v>1353</v>
      </c>
      <c r="Q133">
        <v>2</v>
      </c>
    </row>
    <row r="134" spans="2:17">
      <c r="B134" t="s">
        <v>72</v>
      </c>
      <c r="C134">
        <v>3</v>
      </c>
      <c r="D134">
        <v>91859</v>
      </c>
      <c r="E134" t="s">
        <v>266</v>
      </c>
      <c r="F134" t="s">
        <v>267</v>
      </c>
      <c r="G134">
        <v>1</v>
      </c>
      <c r="J134">
        <v>52</v>
      </c>
      <c r="K134">
        <v>47</v>
      </c>
      <c r="N134">
        <v>99</v>
      </c>
      <c r="O134" s="160">
        <v>1792</v>
      </c>
      <c r="P134">
        <v>124</v>
      </c>
      <c r="Q134">
        <v>1</v>
      </c>
    </row>
    <row r="135" spans="2:17">
      <c r="P135" s="160">
        <v>1668</v>
      </c>
      <c r="Q135">
        <v>2</v>
      </c>
    </row>
    <row r="136" spans="2:17">
      <c r="B136" t="s">
        <v>72</v>
      </c>
      <c r="C136">
        <v>3</v>
      </c>
      <c r="D136">
        <v>214235</v>
      </c>
      <c r="E136" t="s">
        <v>268</v>
      </c>
      <c r="F136" t="s">
        <v>269</v>
      </c>
      <c r="G136">
        <v>2</v>
      </c>
      <c r="J136">
        <v>0</v>
      </c>
      <c r="K136">
        <v>0</v>
      </c>
      <c r="N136">
        <v>0</v>
      </c>
      <c r="O136">
        <v>0</v>
      </c>
    </row>
    <row r="137" spans="2:17">
      <c r="B137" t="s">
        <v>72</v>
      </c>
      <c r="C137">
        <v>3</v>
      </c>
      <c r="D137">
        <v>58664</v>
      </c>
      <c r="E137" t="s">
        <v>270</v>
      </c>
      <c r="F137" t="s">
        <v>271</v>
      </c>
      <c r="G137">
        <v>1</v>
      </c>
      <c r="J137">
        <v>0</v>
      </c>
      <c r="K137">
        <v>0</v>
      </c>
      <c r="N137">
        <v>0</v>
      </c>
      <c r="O137">
        <v>0</v>
      </c>
    </row>
    <row r="138" spans="2:17">
      <c r="B138" t="s">
        <v>72</v>
      </c>
      <c r="C138">
        <v>3</v>
      </c>
      <c r="D138">
        <v>238352</v>
      </c>
      <c r="E138" t="s">
        <v>272</v>
      </c>
      <c r="F138" t="s">
        <v>273</v>
      </c>
      <c r="G138">
        <v>1</v>
      </c>
      <c r="J138">
        <v>0</v>
      </c>
      <c r="K138">
        <v>0</v>
      </c>
      <c r="N138">
        <v>0</v>
      </c>
      <c r="O138">
        <v>0</v>
      </c>
    </row>
    <row r="139" spans="2:17">
      <c r="B139" t="s">
        <v>72</v>
      </c>
      <c r="C139">
        <v>3</v>
      </c>
      <c r="D139">
        <v>163161</v>
      </c>
      <c r="E139" t="s">
        <v>274</v>
      </c>
      <c r="F139" t="s">
        <v>275</v>
      </c>
      <c r="G139">
        <v>4</v>
      </c>
      <c r="I139">
        <v>1988</v>
      </c>
      <c r="J139">
        <v>0</v>
      </c>
      <c r="K139">
        <v>0</v>
      </c>
      <c r="N139">
        <v>0</v>
      </c>
      <c r="O139">
        <v>0</v>
      </c>
    </row>
    <row r="140" spans="2:17">
      <c r="B140" t="s">
        <v>72</v>
      </c>
      <c r="C140">
        <v>3</v>
      </c>
      <c r="D140">
        <v>183638</v>
      </c>
      <c r="E140" t="s">
        <v>274</v>
      </c>
      <c r="F140" t="s">
        <v>276</v>
      </c>
      <c r="G140">
        <v>1</v>
      </c>
      <c r="J140">
        <v>0</v>
      </c>
      <c r="K140">
        <v>0</v>
      </c>
      <c r="N140">
        <v>0</v>
      </c>
      <c r="O140">
        <v>0</v>
      </c>
    </row>
    <row r="141" spans="2:17">
      <c r="B141" t="s">
        <v>72</v>
      </c>
      <c r="C141">
        <v>3</v>
      </c>
      <c r="D141">
        <v>199834</v>
      </c>
      <c r="E141" t="s">
        <v>274</v>
      </c>
      <c r="F141" t="s">
        <v>277</v>
      </c>
      <c r="G141">
        <v>1</v>
      </c>
      <c r="I141">
        <v>1988</v>
      </c>
      <c r="J141">
        <v>123</v>
      </c>
      <c r="K141">
        <v>26</v>
      </c>
      <c r="N141">
        <v>149</v>
      </c>
      <c r="O141">
        <v>552</v>
      </c>
      <c r="P141">
        <v>62</v>
      </c>
      <c r="Q141">
        <v>1</v>
      </c>
    </row>
    <row r="142" spans="2:17">
      <c r="P142">
        <v>490</v>
      </c>
      <c r="Q142">
        <v>2</v>
      </c>
    </row>
    <row r="143" spans="2:17">
      <c r="B143" t="s">
        <v>72</v>
      </c>
      <c r="C143">
        <v>3</v>
      </c>
      <c r="D143">
        <v>201550</v>
      </c>
      <c r="E143" t="s">
        <v>274</v>
      </c>
      <c r="F143" t="s">
        <v>278</v>
      </c>
      <c r="G143">
        <v>3</v>
      </c>
      <c r="I143">
        <v>1988</v>
      </c>
      <c r="J143">
        <v>0</v>
      </c>
      <c r="K143">
        <v>0</v>
      </c>
      <c r="N143">
        <v>0</v>
      </c>
      <c r="O143">
        <v>73</v>
      </c>
      <c r="P143">
        <v>73</v>
      </c>
      <c r="Q143">
        <v>2</v>
      </c>
    </row>
    <row r="144" spans="2:17">
      <c r="B144" t="s">
        <v>72</v>
      </c>
      <c r="C144">
        <v>3</v>
      </c>
      <c r="D144">
        <v>210199</v>
      </c>
      <c r="E144" t="s">
        <v>274</v>
      </c>
      <c r="F144" t="s">
        <v>279</v>
      </c>
      <c r="G144">
        <v>1</v>
      </c>
      <c r="J144">
        <v>63</v>
      </c>
      <c r="K144">
        <v>0</v>
      </c>
      <c r="N144">
        <v>63</v>
      </c>
      <c r="O144">
        <v>562</v>
      </c>
      <c r="P144">
        <v>31</v>
      </c>
      <c r="Q144">
        <v>1</v>
      </c>
    </row>
    <row r="145" spans="2:17">
      <c r="P145">
        <v>531</v>
      </c>
      <c r="Q145">
        <v>2</v>
      </c>
    </row>
    <row r="146" spans="2:17">
      <c r="B146" t="s">
        <v>72</v>
      </c>
      <c r="C146">
        <v>3</v>
      </c>
      <c r="D146">
        <v>210200</v>
      </c>
      <c r="E146" t="s">
        <v>274</v>
      </c>
      <c r="F146" t="s">
        <v>280</v>
      </c>
      <c r="G146">
        <v>6</v>
      </c>
      <c r="J146">
        <v>33</v>
      </c>
      <c r="K146">
        <v>0</v>
      </c>
      <c r="N146">
        <v>33</v>
      </c>
      <c r="O146">
        <v>145</v>
      </c>
      <c r="P146">
        <v>31</v>
      </c>
      <c r="Q146">
        <v>1</v>
      </c>
    </row>
    <row r="147" spans="2:17">
      <c r="P147">
        <v>114</v>
      </c>
      <c r="Q147">
        <v>2</v>
      </c>
    </row>
    <row r="148" spans="2:17">
      <c r="B148" t="s">
        <v>72</v>
      </c>
      <c r="C148">
        <v>3</v>
      </c>
      <c r="D148">
        <v>215622</v>
      </c>
      <c r="E148" t="s">
        <v>274</v>
      </c>
      <c r="F148" t="s">
        <v>280</v>
      </c>
      <c r="G148">
        <v>2</v>
      </c>
      <c r="J148">
        <v>98</v>
      </c>
      <c r="K148">
        <v>0</v>
      </c>
      <c r="N148">
        <v>98</v>
      </c>
      <c r="O148" s="160">
        <v>2593</v>
      </c>
      <c r="P148">
        <v>155</v>
      </c>
      <c r="Q148">
        <v>1</v>
      </c>
    </row>
    <row r="149" spans="2:17">
      <c r="P149" s="160">
        <v>2438</v>
      </c>
      <c r="Q149">
        <v>2</v>
      </c>
    </row>
    <row r="150" spans="2:17">
      <c r="B150" t="s">
        <v>72</v>
      </c>
      <c r="C150">
        <v>3</v>
      </c>
      <c r="D150">
        <v>216963</v>
      </c>
      <c r="E150" t="s">
        <v>274</v>
      </c>
      <c r="F150" t="s">
        <v>278</v>
      </c>
      <c r="G150">
        <v>5</v>
      </c>
      <c r="J150">
        <v>0</v>
      </c>
      <c r="K150">
        <v>0</v>
      </c>
      <c r="N150">
        <v>0</v>
      </c>
      <c r="O150">
        <v>0</v>
      </c>
    </row>
    <row r="151" spans="2:17">
      <c r="B151" t="s">
        <v>72</v>
      </c>
      <c r="C151">
        <v>3</v>
      </c>
      <c r="D151">
        <v>217825</v>
      </c>
      <c r="E151" t="s">
        <v>274</v>
      </c>
      <c r="F151" t="s">
        <v>278</v>
      </c>
      <c r="G151">
        <v>1</v>
      </c>
      <c r="J151">
        <v>0</v>
      </c>
      <c r="K151">
        <v>0</v>
      </c>
      <c r="N151">
        <v>0</v>
      </c>
      <c r="O151" s="160">
        <v>2554</v>
      </c>
      <c r="P151">
        <v>186</v>
      </c>
      <c r="Q151">
        <v>1</v>
      </c>
    </row>
    <row r="152" spans="2:17">
      <c r="P152" s="160">
        <v>2368</v>
      </c>
      <c r="Q152">
        <v>2</v>
      </c>
    </row>
    <row r="153" spans="2:17">
      <c r="B153" t="s">
        <v>89</v>
      </c>
      <c r="C153">
        <v>3</v>
      </c>
      <c r="D153">
        <v>11349</v>
      </c>
      <c r="E153" t="s">
        <v>281</v>
      </c>
      <c r="F153" t="s">
        <v>282</v>
      </c>
      <c r="J153">
        <v>225</v>
      </c>
      <c r="K153">
        <v>977</v>
      </c>
      <c r="L153">
        <v>994</v>
      </c>
      <c r="M153">
        <v>1</v>
      </c>
      <c r="N153">
        <v>208</v>
      </c>
      <c r="O153">
        <v>124</v>
      </c>
      <c r="P153">
        <v>124</v>
      </c>
      <c r="Q153">
        <v>1</v>
      </c>
    </row>
    <row r="154" spans="2:17">
      <c r="B154" t="s">
        <v>89</v>
      </c>
      <c r="C154">
        <v>3</v>
      </c>
      <c r="D154">
        <v>27162</v>
      </c>
      <c r="E154" t="s">
        <v>281</v>
      </c>
      <c r="F154" t="s">
        <v>283</v>
      </c>
      <c r="J154">
        <v>0</v>
      </c>
      <c r="K154">
        <v>0</v>
      </c>
      <c r="N154">
        <v>0</v>
      </c>
      <c r="O154">
        <v>0</v>
      </c>
    </row>
    <row r="155" spans="2:17">
      <c r="B155" t="s">
        <v>72</v>
      </c>
      <c r="C155">
        <v>3</v>
      </c>
      <c r="D155">
        <v>280832</v>
      </c>
      <c r="E155" t="s">
        <v>284</v>
      </c>
      <c r="F155" t="s">
        <v>285</v>
      </c>
      <c r="G155">
        <v>1</v>
      </c>
      <c r="J155">
        <v>48</v>
      </c>
      <c r="K155">
        <v>0</v>
      </c>
      <c r="N155">
        <v>48</v>
      </c>
      <c r="O155">
        <v>38</v>
      </c>
      <c r="P155">
        <v>38</v>
      </c>
      <c r="Q155">
        <v>2</v>
      </c>
    </row>
    <row r="156" spans="2:17">
      <c r="B156" t="s">
        <v>72</v>
      </c>
      <c r="C156">
        <v>3</v>
      </c>
      <c r="D156">
        <v>161374</v>
      </c>
      <c r="E156" t="s">
        <v>286</v>
      </c>
      <c r="F156" t="s">
        <v>287</v>
      </c>
      <c r="G156">
        <v>1</v>
      </c>
      <c r="J156">
        <v>235</v>
      </c>
      <c r="K156">
        <v>3</v>
      </c>
      <c r="N156">
        <v>238</v>
      </c>
      <c r="O156" s="160">
        <v>2171</v>
      </c>
      <c r="P156">
        <v>93</v>
      </c>
      <c r="Q156">
        <v>1</v>
      </c>
    </row>
    <row r="157" spans="2:17">
      <c r="P157" s="160">
        <v>2078</v>
      </c>
      <c r="Q157">
        <v>2</v>
      </c>
    </row>
    <row r="158" spans="2:17">
      <c r="B158" t="s">
        <v>89</v>
      </c>
      <c r="C158">
        <v>3</v>
      </c>
      <c r="D158">
        <v>19798</v>
      </c>
      <c r="E158" t="s">
        <v>288</v>
      </c>
      <c r="F158" t="s">
        <v>289</v>
      </c>
      <c r="J158">
        <v>70</v>
      </c>
      <c r="K158">
        <v>0</v>
      </c>
      <c r="N158">
        <v>70</v>
      </c>
      <c r="O158">
        <v>0</v>
      </c>
    </row>
    <row r="159" spans="2:17">
      <c r="B159" t="s">
        <v>89</v>
      </c>
      <c r="C159">
        <v>3</v>
      </c>
      <c r="D159">
        <v>25782</v>
      </c>
      <c r="E159" t="s">
        <v>290</v>
      </c>
      <c r="F159" t="s">
        <v>291</v>
      </c>
      <c r="J159">
        <v>224</v>
      </c>
      <c r="K159">
        <v>11</v>
      </c>
      <c r="N159">
        <v>235</v>
      </c>
      <c r="O159">
        <v>48</v>
      </c>
      <c r="P159">
        <v>48</v>
      </c>
      <c r="Q159">
        <v>2</v>
      </c>
    </row>
    <row r="160" spans="2:17">
      <c r="B160" t="s">
        <v>89</v>
      </c>
      <c r="C160">
        <v>3</v>
      </c>
      <c r="D160">
        <v>25785</v>
      </c>
      <c r="E160" t="s">
        <v>290</v>
      </c>
      <c r="F160" t="s">
        <v>285</v>
      </c>
      <c r="J160">
        <v>0</v>
      </c>
      <c r="K160">
        <v>0</v>
      </c>
      <c r="N160">
        <v>0</v>
      </c>
      <c r="O160">
        <v>0</v>
      </c>
    </row>
    <row r="161" spans="1:17">
      <c r="B161" t="s">
        <v>72</v>
      </c>
      <c r="C161">
        <v>3</v>
      </c>
      <c r="D161">
        <v>179674</v>
      </c>
      <c r="E161" t="s">
        <v>292</v>
      </c>
      <c r="F161" t="s">
        <v>293</v>
      </c>
      <c r="G161">
        <v>5</v>
      </c>
      <c r="J161">
        <v>0</v>
      </c>
      <c r="K161">
        <v>0</v>
      </c>
      <c r="N161">
        <v>0</v>
      </c>
      <c r="O161">
        <v>0</v>
      </c>
    </row>
    <row r="162" spans="1:17">
      <c r="B162" t="s">
        <v>89</v>
      </c>
      <c r="C162">
        <v>3</v>
      </c>
      <c r="D162">
        <v>24644</v>
      </c>
      <c r="E162" t="s">
        <v>294</v>
      </c>
      <c r="F162" t="s">
        <v>295</v>
      </c>
      <c r="J162">
        <v>171</v>
      </c>
      <c r="K162">
        <v>289</v>
      </c>
      <c r="L162">
        <v>355</v>
      </c>
      <c r="M162">
        <v>1</v>
      </c>
      <c r="N162">
        <v>105</v>
      </c>
      <c r="O162" s="160">
        <v>2046</v>
      </c>
      <c r="P162" s="160">
        <v>2046</v>
      </c>
      <c r="Q162">
        <v>2</v>
      </c>
    </row>
    <row r="163" spans="1:17">
      <c r="B163" t="s">
        <v>72</v>
      </c>
      <c r="C163">
        <v>3</v>
      </c>
      <c r="D163">
        <v>129832</v>
      </c>
      <c r="E163" t="s">
        <v>294</v>
      </c>
      <c r="F163" t="s">
        <v>295</v>
      </c>
      <c r="G163">
        <v>3</v>
      </c>
      <c r="J163">
        <v>0</v>
      </c>
      <c r="K163">
        <v>0</v>
      </c>
      <c r="N163">
        <v>0</v>
      </c>
      <c r="O163">
        <v>0</v>
      </c>
    </row>
    <row r="164" spans="1:17">
      <c r="B164" t="s">
        <v>72</v>
      </c>
      <c r="C164">
        <v>3</v>
      </c>
      <c r="D164">
        <v>127418</v>
      </c>
      <c r="E164" t="s">
        <v>296</v>
      </c>
      <c r="F164" t="s">
        <v>295</v>
      </c>
      <c r="G164">
        <v>5</v>
      </c>
      <c r="J164">
        <v>0</v>
      </c>
      <c r="K164">
        <v>0</v>
      </c>
      <c r="N164">
        <v>0</v>
      </c>
      <c r="O164">
        <v>0</v>
      </c>
    </row>
    <row r="165" spans="1:17">
      <c r="B165" t="s">
        <v>72</v>
      </c>
      <c r="C165">
        <v>3</v>
      </c>
      <c r="D165">
        <v>128149</v>
      </c>
      <c r="E165" t="s">
        <v>296</v>
      </c>
      <c r="F165" t="s">
        <v>295</v>
      </c>
      <c r="G165">
        <v>4</v>
      </c>
      <c r="J165">
        <v>0</v>
      </c>
      <c r="K165">
        <v>0</v>
      </c>
      <c r="N165">
        <v>0</v>
      </c>
      <c r="O165">
        <v>0</v>
      </c>
    </row>
    <row r="166" spans="1:17">
      <c r="B166" t="s">
        <v>89</v>
      </c>
      <c r="C166">
        <v>3</v>
      </c>
      <c r="D166">
        <v>24414</v>
      </c>
      <c r="E166" t="s">
        <v>297</v>
      </c>
      <c r="F166" t="s">
        <v>298</v>
      </c>
      <c r="J166">
        <v>0</v>
      </c>
      <c r="K166">
        <v>0</v>
      </c>
      <c r="N166">
        <v>0</v>
      </c>
      <c r="O166">
        <v>0</v>
      </c>
    </row>
    <row r="167" spans="1:17">
      <c r="B167" t="s">
        <v>72</v>
      </c>
      <c r="C167">
        <v>3</v>
      </c>
      <c r="D167">
        <v>201104</v>
      </c>
      <c r="E167" t="s">
        <v>299</v>
      </c>
      <c r="F167" t="s">
        <v>300</v>
      </c>
      <c r="G167" t="s">
        <v>301</v>
      </c>
      <c r="J167">
        <v>0</v>
      </c>
      <c r="K167">
        <v>0</v>
      </c>
      <c r="N167">
        <v>0</v>
      </c>
      <c r="O167">
        <v>0</v>
      </c>
    </row>
    <row r="168" spans="1:17">
      <c r="B168" t="s">
        <v>89</v>
      </c>
      <c r="C168">
        <v>3</v>
      </c>
      <c r="D168">
        <v>22499</v>
      </c>
      <c r="E168" t="s">
        <v>302</v>
      </c>
      <c r="F168" t="s">
        <v>303</v>
      </c>
      <c r="J168">
        <v>0</v>
      </c>
      <c r="K168">
        <v>0</v>
      </c>
      <c r="N168">
        <v>0</v>
      </c>
      <c r="O168">
        <v>0</v>
      </c>
    </row>
    <row r="169" spans="1:17">
      <c r="B169" t="s">
        <v>72</v>
      </c>
      <c r="C169">
        <v>3</v>
      </c>
      <c r="D169">
        <v>200844</v>
      </c>
      <c r="E169" t="s">
        <v>304</v>
      </c>
      <c r="F169" t="s">
        <v>305</v>
      </c>
      <c r="G169">
        <v>1</v>
      </c>
      <c r="J169">
        <v>135</v>
      </c>
      <c r="K169">
        <v>0</v>
      </c>
      <c r="N169">
        <v>135</v>
      </c>
      <c r="O169">
        <v>0</v>
      </c>
    </row>
    <row r="170" spans="1:17">
      <c r="B170" t="s">
        <v>72</v>
      </c>
      <c r="C170">
        <v>3</v>
      </c>
      <c r="D170">
        <v>283360</v>
      </c>
      <c r="E170" t="s">
        <v>306</v>
      </c>
      <c r="F170" t="s">
        <v>181</v>
      </c>
      <c r="G170" t="s">
        <v>307</v>
      </c>
      <c r="J170">
        <v>134</v>
      </c>
      <c r="K170">
        <v>0</v>
      </c>
      <c r="N170">
        <v>134</v>
      </c>
      <c r="O170">
        <v>0</v>
      </c>
    </row>
    <row r="171" spans="1:17">
      <c r="B171" t="s">
        <v>89</v>
      </c>
      <c r="C171">
        <v>4</v>
      </c>
      <c r="D171">
        <v>13355</v>
      </c>
      <c r="E171" t="s">
        <v>308</v>
      </c>
      <c r="F171" t="s">
        <v>309</v>
      </c>
      <c r="J171">
        <v>161</v>
      </c>
      <c r="K171">
        <v>65</v>
      </c>
      <c r="L171">
        <v>181</v>
      </c>
      <c r="M171">
        <v>1</v>
      </c>
      <c r="N171">
        <v>45</v>
      </c>
      <c r="O171">
        <v>392</v>
      </c>
      <c r="P171">
        <v>392</v>
      </c>
      <c r="Q171">
        <v>2</v>
      </c>
    </row>
    <row r="172" spans="1:17">
      <c r="B172" t="s">
        <v>72</v>
      </c>
      <c r="C172">
        <v>4</v>
      </c>
      <c r="D172">
        <v>225615</v>
      </c>
      <c r="E172" t="s">
        <v>308</v>
      </c>
      <c r="F172" t="s">
        <v>310</v>
      </c>
      <c r="G172">
        <v>1</v>
      </c>
      <c r="J172">
        <v>0</v>
      </c>
      <c r="K172">
        <v>0</v>
      </c>
      <c r="N172">
        <v>0</v>
      </c>
      <c r="O172">
        <v>0</v>
      </c>
    </row>
    <row r="173" spans="1:17">
      <c r="B173" t="s">
        <v>72</v>
      </c>
      <c r="C173">
        <v>4</v>
      </c>
      <c r="D173">
        <v>115364</v>
      </c>
      <c r="E173" t="s">
        <v>311</v>
      </c>
      <c r="F173" t="s">
        <v>312</v>
      </c>
      <c r="G173">
        <v>1</v>
      </c>
      <c r="J173">
        <v>0</v>
      </c>
      <c r="K173">
        <v>0</v>
      </c>
      <c r="N173">
        <v>0</v>
      </c>
      <c r="O173">
        <v>0</v>
      </c>
    </row>
    <row r="174" spans="1:17">
      <c r="A174" t="s">
        <v>1140</v>
      </c>
      <c r="B174" t="s">
        <v>89</v>
      </c>
      <c r="C174">
        <v>4</v>
      </c>
      <c r="D174">
        <v>13410</v>
      </c>
      <c r="E174" t="s">
        <v>313</v>
      </c>
      <c r="F174" t="s">
        <v>314</v>
      </c>
      <c r="J174">
        <v>56</v>
      </c>
      <c r="K174">
        <v>0</v>
      </c>
      <c r="N174">
        <v>235</v>
      </c>
      <c r="O174">
        <v>0</v>
      </c>
    </row>
    <row r="175" spans="1:17">
      <c r="B175" t="s">
        <v>72</v>
      </c>
      <c r="C175">
        <v>4</v>
      </c>
      <c r="D175">
        <v>255120</v>
      </c>
      <c r="E175" t="s">
        <v>315</v>
      </c>
      <c r="F175" t="s">
        <v>316</v>
      </c>
      <c r="G175">
        <v>1</v>
      </c>
      <c r="J175">
        <v>0</v>
      </c>
      <c r="K175">
        <v>0</v>
      </c>
      <c r="N175">
        <v>0</v>
      </c>
      <c r="O175" s="160">
        <v>1384</v>
      </c>
      <c r="P175">
        <v>310</v>
      </c>
      <c r="Q175">
        <v>1</v>
      </c>
    </row>
    <row r="176" spans="1:17">
      <c r="P176" s="160">
        <v>1074</v>
      </c>
      <c r="Q176">
        <v>2</v>
      </c>
    </row>
    <row r="177" spans="2:17">
      <c r="B177" t="s">
        <v>72</v>
      </c>
      <c r="C177">
        <v>4</v>
      </c>
      <c r="D177">
        <v>39333</v>
      </c>
      <c r="E177" t="s">
        <v>317</v>
      </c>
      <c r="F177" t="s">
        <v>318</v>
      </c>
      <c r="G177">
        <v>1</v>
      </c>
      <c r="J177">
        <v>0</v>
      </c>
      <c r="K177">
        <v>0</v>
      </c>
      <c r="N177">
        <v>0</v>
      </c>
      <c r="O177">
        <v>0</v>
      </c>
    </row>
    <row r="178" spans="2:17">
      <c r="B178" t="s">
        <v>89</v>
      </c>
      <c r="C178">
        <v>4</v>
      </c>
      <c r="D178">
        <v>13726</v>
      </c>
      <c r="E178" t="s">
        <v>319</v>
      </c>
      <c r="F178" t="s">
        <v>320</v>
      </c>
      <c r="J178">
        <v>90</v>
      </c>
      <c r="K178">
        <v>0</v>
      </c>
      <c r="N178">
        <v>90</v>
      </c>
      <c r="O178">
        <v>0</v>
      </c>
    </row>
    <row r="179" spans="2:17">
      <c r="B179" t="s">
        <v>72</v>
      </c>
      <c r="C179">
        <v>4</v>
      </c>
      <c r="D179">
        <v>167923</v>
      </c>
      <c r="E179" t="s">
        <v>321</v>
      </c>
      <c r="F179" t="s">
        <v>322</v>
      </c>
      <c r="G179">
        <v>1</v>
      </c>
      <c r="J179">
        <v>0</v>
      </c>
      <c r="K179">
        <v>0</v>
      </c>
      <c r="N179">
        <v>0</v>
      </c>
      <c r="O179">
        <v>0</v>
      </c>
    </row>
    <row r="180" spans="2:17">
      <c r="B180" t="s">
        <v>89</v>
      </c>
      <c r="C180">
        <v>4</v>
      </c>
      <c r="D180">
        <v>12863</v>
      </c>
      <c r="E180" t="s">
        <v>323</v>
      </c>
      <c r="F180" t="s">
        <v>324</v>
      </c>
      <c r="J180">
        <v>0</v>
      </c>
      <c r="K180">
        <v>0</v>
      </c>
      <c r="N180">
        <v>0</v>
      </c>
      <c r="O180">
        <v>0</v>
      </c>
    </row>
    <row r="181" spans="2:17">
      <c r="B181" t="s">
        <v>72</v>
      </c>
      <c r="C181">
        <v>4</v>
      </c>
      <c r="D181">
        <v>244496</v>
      </c>
      <c r="E181" t="s">
        <v>325</v>
      </c>
      <c r="F181" t="s">
        <v>326</v>
      </c>
      <c r="G181">
        <v>1</v>
      </c>
      <c r="J181">
        <v>162</v>
      </c>
      <c r="K181">
        <v>0</v>
      </c>
      <c r="N181">
        <v>162</v>
      </c>
      <c r="O181" s="160">
        <v>9108</v>
      </c>
      <c r="P181">
        <v>245</v>
      </c>
      <c r="Q181">
        <v>1</v>
      </c>
    </row>
    <row r="182" spans="2:17">
      <c r="P182" s="160">
        <v>8863</v>
      </c>
      <c r="Q182">
        <v>2</v>
      </c>
    </row>
    <row r="183" spans="2:17">
      <c r="B183" t="s">
        <v>72</v>
      </c>
      <c r="C183">
        <v>4</v>
      </c>
      <c r="D183">
        <v>248176</v>
      </c>
      <c r="E183" t="s">
        <v>325</v>
      </c>
      <c r="F183" t="s">
        <v>326</v>
      </c>
      <c r="G183">
        <v>2</v>
      </c>
      <c r="J183">
        <v>0</v>
      </c>
      <c r="K183">
        <v>0</v>
      </c>
      <c r="N183">
        <v>0</v>
      </c>
      <c r="O183" s="160">
        <v>3153</v>
      </c>
      <c r="P183">
        <v>85</v>
      </c>
      <c r="Q183">
        <v>1</v>
      </c>
    </row>
    <row r="184" spans="2:17">
      <c r="P184" s="160">
        <v>3068</v>
      </c>
      <c r="Q184">
        <v>2</v>
      </c>
    </row>
    <row r="185" spans="2:17">
      <c r="B185" t="s">
        <v>72</v>
      </c>
      <c r="C185">
        <v>4</v>
      </c>
      <c r="D185">
        <v>250087</v>
      </c>
      <c r="E185" t="s">
        <v>325</v>
      </c>
      <c r="F185" t="s">
        <v>327</v>
      </c>
      <c r="G185">
        <v>1</v>
      </c>
      <c r="J185">
        <v>24</v>
      </c>
      <c r="K185">
        <v>0</v>
      </c>
      <c r="N185">
        <v>24</v>
      </c>
      <c r="O185" s="160">
        <v>4974</v>
      </c>
      <c r="P185">
        <v>282</v>
      </c>
      <c r="Q185">
        <v>1</v>
      </c>
    </row>
    <row r="186" spans="2:17">
      <c r="P186" s="160">
        <v>4692</v>
      </c>
      <c r="Q186">
        <v>2</v>
      </c>
    </row>
    <row r="187" spans="2:17">
      <c r="B187" t="s">
        <v>72</v>
      </c>
      <c r="C187">
        <v>4</v>
      </c>
      <c r="D187">
        <v>255119</v>
      </c>
      <c r="E187" t="s">
        <v>325</v>
      </c>
      <c r="F187" t="s">
        <v>326</v>
      </c>
      <c r="G187">
        <v>3</v>
      </c>
      <c r="J187">
        <v>0</v>
      </c>
      <c r="K187">
        <v>0</v>
      </c>
      <c r="N187">
        <v>0</v>
      </c>
      <c r="O187">
        <v>394</v>
      </c>
      <c r="P187">
        <v>22</v>
      </c>
      <c r="Q187">
        <v>1</v>
      </c>
    </row>
    <row r="188" spans="2:17">
      <c r="P188">
        <v>372</v>
      </c>
      <c r="Q188">
        <v>2</v>
      </c>
    </row>
    <row r="189" spans="2:17">
      <c r="B189" t="s">
        <v>89</v>
      </c>
      <c r="C189">
        <v>4</v>
      </c>
      <c r="D189">
        <v>12696</v>
      </c>
      <c r="E189" t="s">
        <v>328</v>
      </c>
      <c r="F189" t="s">
        <v>329</v>
      </c>
      <c r="J189">
        <v>47</v>
      </c>
      <c r="K189">
        <v>0</v>
      </c>
      <c r="N189">
        <v>47</v>
      </c>
      <c r="O189">
        <v>0</v>
      </c>
    </row>
    <row r="190" spans="2:17">
      <c r="B190" t="s">
        <v>89</v>
      </c>
      <c r="C190">
        <v>4</v>
      </c>
      <c r="D190">
        <v>13742</v>
      </c>
      <c r="E190" t="s">
        <v>330</v>
      </c>
      <c r="F190" t="s">
        <v>331</v>
      </c>
      <c r="J190">
        <v>52</v>
      </c>
      <c r="K190">
        <v>0</v>
      </c>
      <c r="N190">
        <v>52</v>
      </c>
      <c r="O190">
        <v>0</v>
      </c>
    </row>
    <row r="191" spans="2:17">
      <c r="B191" t="s">
        <v>72</v>
      </c>
      <c r="C191">
        <v>4</v>
      </c>
      <c r="D191">
        <v>54242</v>
      </c>
      <c r="E191" t="s">
        <v>332</v>
      </c>
      <c r="F191" t="s">
        <v>333</v>
      </c>
      <c r="G191">
        <v>2</v>
      </c>
      <c r="J191">
        <v>0</v>
      </c>
      <c r="K191">
        <v>0</v>
      </c>
      <c r="N191">
        <v>0</v>
      </c>
      <c r="O191">
        <v>0</v>
      </c>
    </row>
    <row r="192" spans="2:17">
      <c r="B192" t="s">
        <v>89</v>
      </c>
      <c r="C192">
        <v>4</v>
      </c>
      <c r="D192">
        <v>10325</v>
      </c>
      <c r="E192" t="s">
        <v>334</v>
      </c>
      <c r="F192" t="s">
        <v>335</v>
      </c>
      <c r="J192">
        <v>63</v>
      </c>
      <c r="K192">
        <v>2</v>
      </c>
      <c r="N192">
        <v>65</v>
      </c>
      <c r="O192">
        <v>0</v>
      </c>
    </row>
    <row r="193" spans="2:17">
      <c r="B193" t="s">
        <v>89</v>
      </c>
      <c r="C193">
        <v>4</v>
      </c>
      <c r="D193">
        <v>10563</v>
      </c>
      <c r="E193" t="s">
        <v>334</v>
      </c>
      <c r="F193" t="s">
        <v>336</v>
      </c>
      <c r="J193">
        <v>69</v>
      </c>
      <c r="K193">
        <v>0</v>
      </c>
      <c r="N193">
        <v>69</v>
      </c>
      <c r="O193">
        <v>0</v>
      </c>
    </row>
    <row r="194" spans="2:17">
      <c r="B194" t="s">
        <v>72</v>
      </c>
      <c r="C194">
        <v>4</v>
      </c>
      <c r="D194">
        <v>212342</v>
      </c>
      <c r="E194" t="s">
        <v>337</v>
      </c>
      <c r="F194" t="s">
        <v>338</v>
      </c>
      <c r="G194">
        <v>2</v>
      </c>
      <c r="J194">
        <v>0</v>
      </c>
      <c r="K194">
        <v>0</v>
      </c>
      <c r="N194">
        <v>0</v>
      </c>
      <c r="O194" s="160">
        <v>2657</v>
      </c>
      <c r="P194">
        <v>112</v>
      </c>
      <c r="Q194">
        <v>1</v>
      </c>
    </row>
    <row r="195" spans="2:17">
      <c r="P195" s="160">
        <v>2545</v>
      </c>
      <c r="Q195">
        <v>2</v>
      </c>
    </row>
    <row r="196" spans="2:17">
      <c r="B196" t="s">
        <v>72</v>
      </c>
      <c r="C196">
        <v>4</v>
      </c>
      <c r="D196">
        <v>213792</v>
      </c>
      <c r="E196" t="s">
        <v>337</v>
      </c>
      <c r="F196" t="s">
        <v>338</v>
      </c>
      <c r="G196">
        <v>1</v>
      </c>
      <c r="J196">
        <v>43</v>
      </c>
      <c r="K196">
        <v>0</v>
      </c>
      <c r="N196">
        <v>43</v>
      </c>
      <c r="O196">
        <v>0</v>
      </c>
    </row>
    <row r="197" spans="2:17">
      <c r="B197" t="s">
        <v>72</v>
      </c>
      <c r="C197">
        <v>4</v>
      </c>
      <c r="D197">
        <v>173434</v>
      </c>
      <c r="E197" t="s">
        <v>339</v>
      </c>
      <c r="F197" t="s">
        <v>340</v>
      </c>
      <c r="G197">
        <v>2</v>
      </c>
      <c r="J197">
        <v>169</v>
      </c>
      <c r="K197">
        <v>0</v>
      </c>
      <c r="N197">
        <v>169</v>
      </c>
      <c r="O197">
        <v>107</v>
      </c>
      <c r="P197">
        <v>107</v>
      </c>
      <c r="Q197">
        <v>2</v>
      </c>
    </row>
    <row r="198" spans="2:17">
      <c r="B198" t="s">
        <v>72</v>
      </c>
      <c r="C198">
        <v>4</v>
      </c>
      <c r="D198">
        <v>252973</v>
      </c>
      <c r="E198" t="s">
        <v>341</v>
      </c>
      <c r="F198" t="s">
        <v>342</v>
      </c>
      <c r="G198">
        <v>1</v>
      </c>
      <c r="J198">
        <v>93</v>
      </c>
      <c r="K198">
        <v>0</v>
      </c>
      <c r="N198">
        <v>93</v>
      </c>
      <c r="O198">
        <v>0</v>
      </c>
    </row>
    <row r="199" spans="2:17">
      <c r="B199" t="s">
        <v>72</v>
      </c>
      <c r="C199">
        <v>4</v>
      </c>
      <c r="D199">
        <v>201238</v>
      </c>
      <c r="E199" t="s">
        <v>343</v>
      </c>
      <c r="F199" t="s">
        <v>344</v>
      </c>
      <c r="G199" t="s">
        <v>345</v>
      </c>
      <c r="J199">
        <v>92</v>
      </c>
      <c r="K199">
        <v>1</v>
      </c>
      <c r="N199">
        <v>93</v>
      </c>
      <c r="O199" s="160">
        <v>2494</v>
      </c>
      <c r="P199" s="160">
        <v>2494</v>
      </c>
      <c r="Q199">
        <v>2</v>
      </c>
    </row>
    <row r="200" spans="2:17">
      <c r="B200" t="s">
        <v>72</v>
      </c>
      <c r="C200">
        <v>4</v>
      </c>
      <c r="D200">
        <v>242290</v>
      </c>
      <c r="E200" t="s">
        <v>346</v>
      </c>
      <c r="F200" t="s">
        <v>344</v>
      </c>
      <c r="G200">
        <v>20</v>
      </c>
      <c r="J200">
        <v>0</v>
      </c>
      <c r="K200">
        <v>0</v>
      </c>
      <c r="N200">
        <v>0</v>
      </c>
      <c r="O200">
        <v>0</v>
      </c>
    </row>
    <row r="201" spans="2:17">
      <c r="B201" t="s">
        <v>72</v>
      </c>
      <c r="C201">
        <v>4</v>
      </c>
      <c r="D201">
        <v>198253</v>
      </c>
      <c r="E201" t="s">
        <v>347</v>
      </c>
      <c r="F201" t="s">
        <v>344</v>
      </c>
      <c r="G201" t="s">
        <v>348</v>
      </c>
      <c r="J201">
        <v>0</v>
      </c>
      <c r="K201">
        <v>0</v>
      </c>
      <c r="N201">
        <v>0</v>
      </c>
      <c r="O201">
        <v>0</v>
      </c>
    </row>
    <row r="202" spans="2:17">
      <c r="B202" t="s">
        <v>72</v>
      </c>
      <c r="C202">
        <v>4</v>
      </c>
      <c r="D202">
        <v>159856</v>
      </c>
      <c r="E202" t="s">
        <v>349</v>
      </c>
      <c r="F202" t="s">
        <v>344</v>
      </c>
      <c r="G202" t="s">
        <v>350</v>
      </c>
      <c r="J202">
        <v>0</v>
      </c>
      <c r="K202">
        <v>0</v>
      </c>
      <c r="N202">
        <v>0</v>
      </c>
      <c r="O202">
        <v>0</v>
      </c>
    </row>
    <row r="203" spans="2:17">
      <c r="B203" t="s">
        <v>72</v>
      </c>
      <c r="C203">
        <v>4</v>
      </c>
      <c r="D203">
        <v>162080</v>
      </c>
      <c r="E203" t="s">
        <v>351</v>
      </c>
      <c r="F203" t="s">
        <v>352</v>
      </c>
      <c r="G203">
        <v>14</v>
      </c>
      <c r="J203">
        <v>3</v>
      </c>
      <c r="K203">
        <v>0</v>
      </c>
      <c r="N203">
        <v>3</v>
      </c>
      <c r="O203">
        <v>268</v>
      </c>
      <c r="P203">
        <v>268</v>
      </c>
      <c r="Q203">
        <v>2</v>
      </c>
    </row>
    <row r="204" spans="2:17">
      <c r="B204" t="s">
        <v>72</v>
      </c>
      <c r="C204">
        <v>4</v>
      </c>
      <c r="D204">
        <v>11877</v>
      </c>
      <c r="E204" t="s">
        <v>353</v>
      </c>
      <c r="F204" t="s">
        <v>354</v>
      </c>
      <c r="G204">
        <v>1</v>
      </c>
      <c r="J204">
        <v>0</v>
      </c>
      <c r="K204">
        <v>0</v>
      </c>
      <c r="N204">
        <v>0</v>
      </c>
      <c r="O204">
        <v>185</v>
      </c>
      <c r="P204">
        <v>185</v>
      </c>
      <c r="Q204">
        <v>2</v>
      </c>
    </row>
    <row r="205" spans="2:17">
      <c r="B205" t="s">
        <v>72</v>
      </c>
      <c r="C205">
        <v>4</v>
      </c>
      <c r="D205">
        <v>11885</v>
      </c>
      <c r="E205" t="s">
        <v>353</v>
      </c>
      <c r="F205" t="s">
        <v>355</v>
      </c>
      <c r="G205">
        <v>2</v>
      </c>
      <c r="J205">
        <v>0</v>
      </c>
      <c r="K205">
        <v>0</v>
      </c>
      <c r="N205">
        <v>0</v>
      </c>
      <c r="O205">
        <v>743</v>
      </c>
      <c r="P205">
        <v>743</v>
      </c>
      <c r="Q205">
        <v>2</v>
      </c>
    </row>
    <row r="206" spans="2:17">
      <c r="B206" t="s">
        <v>72</v>
      </c>
      <c r="C206">
        <v>4</v>
      </c>
      <c r="D206">
        <v>191863</v>
      </c>
      <c r="E206" t="s">
        <v>353</v>
      </c>
      <c r="F206" t="s">
        <v>356</v>
      </c>
      <c r="G206">
        <v>3</v>
      </c>
      <c r="J206">
        <v>0</v>
      </c>
      <c r="K206">
        <v>0</v>
      </c>
      <c r="N206">
        <v>0</v>
      </c>
      <c r="O206">
        <v>0</v>
      </c>
    </row>
    <row r="207" spans="2:17">
      <c r="B207" t="s">
        <v>72</v>
      </c>
      <c r="C207">
        <v>4</v>
      </c>
      <c r="D207">
        <v>194224</v>
      </c>
      <c r="E207" t="s">
        <v>357</v>
      </c>
      <c r="F207" t="s">
        <v>358</v>
      </c>
      <c r="G207">
        <v>2</v>
      </c>
      <c r="J207">
        <v>292</v>
      </c>
      <c r="K207">
        <v>2</v>
      </c>
      <c r="N207">
        <v>294</v>
      </c>
      <c r="O207" s="160">
        <v>1653</v>
      </c>
      <c r="P207" s="160">
        <v>1653</v>
      </c>
      <c r="Q207">
        <v>2</v>
      </c>
    </row>
    <row r="208" spans="2:17">
      <c r="B208" t="s">
        <v>72</v>
      </c>
      <c r="C208">
        <v>4</v>
      </c>
      <c r="D208">
        <v>127818</v>
      </c>
      <c r="E208" t="s">
        <v>359</v>
      </c>
      <c r="F208" t="s">
        <v>360</v>
      </c>
      <c r="G208">
        <v>1</v>
      </c>
      <c r="J208">
        <v>166</v>
      </c>
      <c r="K208">
        <v>0</v>
      </c>
      <c r="N208">
        <v>166</v>
      </c>
      <c r="O208">
        <v>0</v>
      </c>
    </row>
    <row r="209" spans="2:17">
      <c r="B209" t="s">
        <v>72</v>
      </c>
      <c r="C209">
        <v>4</v>
      </c>
      <c r="D209">
        <v>276012</v>
      </c>
      <c r="E209" t="s">
        <v>361</v>
      </c>
      <c r="F209" t="s">
        <v>362</v>
      </c>
      <c r="G209" t="s">
        <v>363</v>
      </c>
      <c r="I209">
        <v>5050</v>
      </c>
      <c r="J209">
        <v>36</v>
      </c>
      <c r="K209">
        <v>0</v>
      </c>
      <c r="N209">
        <v>36</v>
      </c>
      <c r="O209" s="160">
        <v>3372</v>
      </c>
      <c r="P209" s="160">
        <v>3372</v>
      </c>
      <c r="Q209">
        <v>2</v>
      </c>
    </row>
    <row r="210" spans="2:17">
      <c r="B210" t="s">
        <v>72</v>
      </c>
      <c r="C210">
        <v>4</v>
      </c>
      <c r="D210">
        <v>192315</v>
      </c>
      <c r="E210" t="s">
        <v>364</v>
      </c>
      <c r="F210" t="s">
        <v>365</v>
      </c>
      <c r="G210">
        <v>2</v>
      </c>
      <c r="J210">
        <v>0</v>
      </c>
      <c r="K210">
        <v>0</v>
      </c>
      <c r="N210">
        <v>0</v>
      </c>
      <c r="O210">
        <v>0</v>
      </c>
    </row>
    <row r="211" spans="2:17">
      <c r="B211" t="s">
        <v>72</v>
      </c>
      <c r="C211">
        <v>4</v>
      </c>
      <c r="D211">
        <v>140637</v>
      </c>
      <c r="E211" t="s">
        <v>366</v>
      </c>
      <c r="F211" t="s">
        <v>367</v>
      </c>
      <c r="G211">
        <v>1</v>
      </c>
      <c r="J211">
        <v>92</v>
      </c>
      <c r="K211">
        <v>0</v>
      </c>
      <c r="N211">
        <v>92</v>
      </c>
      <c r="O211">
        <v>0</v>
      </c>
    </row>
    <row r="212" spans="2:17">
      <c r="B212" t="s">
        <v>72</v>
      </c>
      <c r="C212">
        <v>4</v>
      </c>
      <c r="D212">
        <v>120373</v>
      </c>
      <c r="E212" t="s">
        <v>368</v>
      </c>
      <c r="F212" t="s">
        <v>369</v>
      </c>
      <c r="G212">
        <v>1</v>
      </c>
      <c r="J212">
        <v>0</v>
      </c>
      <c r="K212">
        <v>0</v>
      </c>
      <c r="N212">
        <v>0</v>
      </c>
      <c r="O212">
        <v>0</v>
      </c>
    </row>
    <row r="213" spans="2:17">
      <c r="B213" t="s">
        <v>89</v>
      </c>
      <c r="C213">
        <v>4</v>
      </c>
      <c r="D213">
        <v>14061</v>
      </c>
      <c r="E213" t="s">
        <v>370</v>
      </c>
      <c r="F213" t="s">
        <v>371</v>
      </c>
      <c r="J213">
        <v>177</v>
      </c>
      <c r="K213">
        <v>261</v>
      </c>
      <c r="L213">
        <v>184</v>
      </c>
      <c r="M213">
        <v>1</v>
      </c>
      <c r="N213">
        <v>254</v>
      </c>
      <c r="O213">
        <v>0</v>
      </c>
    </row>
    <row r="214" spans="2:17">
      <c r="B214" t="s">
        <v>72</v>
      </c>
      <c r="C214">
        <v>4</v>
      </c>
      <c r="D214">
        <v>195786</v>
      </c>
      <c r="E214" t="s">
        <v>372</v>
      </c>
      <c r="F214" t="s">
        <v>373</v>
      </c>
      <c r="G214">
        <v>2</v>
      </c>
      <c r="J214">
        <v>0</v>
      </c>
      <c r="K214">
        <v>0</v>
      </c>
      <c r="N214">
        <v>0</v>
      </c>
      <c r="O214">
        <v>0</v>
      </c>
    </row>
    <row r="215" spans="2:17">
      <c r="B215" t="s">
        <v>72</v>
      </c>
      <c r="C215">
        <v>4</v>
      </c>
      <c r="D215">
        <v>226100</v>
      </c>
      <c r="E215" t="s">
        <v>374</v>
      </c>
      <c r="F215" t="s">
        <v>338</v>
      </c>
      <c r="G215">
        <v>5</v>
      </c>
      <c r="J215">
        <v>0</v>
      </c>
      <c r="K215">
        <v>0</v>
      </c>
      <c r="N215">
        <v>0</v>
      </c>
      <c r="O215">
        <v>991</v>
      </c>
      <c r="P215">
        <v>28</v>
      </c>
      <c r="Q215">
        <v>1</v>
      </c>
    </row>
    <row r="216" spans="2:17">
      <c r="P216">
        <v>963</v>
      </c>
      <c r="Q216">
        <v>2</v>
      </c>
    </row>
    <row r="217" spans="2:17">
      <c r="B217" t="s">
        <v>72</v>
      </c>
      <c r="C217">
        <v>4</v>
      </c>
      <c r="D217">
        <v>233961</v>
      </c>
      <c r="E217" t="s">
        <v>374</v>
      </c>
      <c r="F217" t="s">
        <v>338</v>
      </c>
      <c r="G217">
        <v>3</v>
      </c>
      <c r="J217">
        <v>0</v>
      </c>
      <c r="K217">
        <v>0</v>
      </c>
      <c r="N217">
        <v>0</v>
      </c>
      <c r="O217" s="160">
        <v>2629</v>
      </c>
      <c r="P217">
        <v>112</v>
      </c>
      <c r="Q217">
        <v>1</v>
      </c>
    </row>
    <row r="218" spans="2:17">
      <c r="P218" s="160">
        <v>2517</v>
      </c>
      <c r="Q218">
        <v>2</v>
      </c>
    </row>
    <row r="219" spans="2:17">
      <c r="B219" t="s">
        <v>72</v>
      </c>
      <c r="C219">
        <v>4</v>
      </c>
      <c r="D219">
        <v>142434</v>
      </c>
      <c r="E219" t="s">
        <v>375</v>
      </c>
      <c r="F219" t="s">
        <v>376</v>
      </c>
      <c r="G219">
        <v>2</v>
      </c>
      <c r="J219">
        <v>49</v>
      </c>
      <c r="K219">
        <v>0</v>
      </c>
      <c r="N219">
        <v>49</v>
      </c>
      <c r="O219">
        <v>0</v>
      </c>
    </row>
    <row r="220" spans="2:17">
      <c r="B220" t="s">
        <v>72</v>
      </c>
      <c r="C220">
        <v>4</v>
      </c>
      <c r="D220">
        <v>142269</v>
      </c>
      <c r="E220" t="s">
        <v>377</v>
      </c>
      <c r="F220" t="s">
        <v>378</v>
      </c>
      <c r="G220">
        <v>1</v>
      </c>
      <c r="J220">
        <v>0</v>
      </c>
      <c r="K220">
        <v>0</v>
      </c>
      <c r="N220">
        <v>0</v>
      </c>
      <c r="O220">
        <v>0</v>
      </c>
    </row>
    <row r="221" spans="2:17">
      <c r="B221" t="s">
        <v>89</v>
      </c>
      <c r="C221">
        <v>4</v>
      </c>
      <c r="D221">
        <v>12803</v>
      </c>
      <c r="E221" t="s">
        <v>379</v>
      </c>
      <c r="F221" t="s">
        <v>380</v>
      </c>
      <c r="J221">
        <v>0</v>
      </c>
      <c r="K221">
        <v>0</v>
      </c>
      <c r="N221">
        <v>0</v>
      </c>
      <c r="O221">
        <v>0</v>
      </c>
    </row>
    <row r="222" spans="2:17">
      <c r="B222" t="s">
        <v>89</v>
      </c>
      <c r="C222">
        <v>4</v>
      </c>
      <c r="D222">
        <v>3212</v>
      </c>
      <c r="E222" t="s">
        <v>381</v>
      </c>
      <c r="F222" t="s">
        <v>382</v>
      </c>
      <c r="I222">
        <v>6114</v>
      </c>
      <c r="J222">
        <v>127</v>
      </c>
      <c r="K222">
        <v>105</v>
      </c>
      <c r="N222">
        <v>232</v>
      </c>
      <c r="O222">
        <v>0</v>
      </c>
    </row>
    <row r="223" spans="2:17">
      <c r="B223" t="s">
        <v>89</v>
      </c>
      <c r="C223">
        <v>4</v>
      </c>
      <c r="D223">
        <v>8717</v>
      </c>
      <c r="E223" t="s">
        <v>381</v>
      </c>
      <c r="F223" t="s">
        <v>383</v>
      </c>
      <c r="J223">
        <v>0</v>
      </c>
      <c r="K223">
        <v>0</v>
      </c>
      <c r="N223">
        <v>0</v>
      </c>
      <c r="O223">
        <v>0</v>
      </c>
    </row>
    <row r="224" spans="2:17">
      <c r="B224" t="s">
        <v>72</v>
      </c>
      <c r="C224">
        <v>4</v>
      </c>
      <c r="D224">
        <v>190124</v>
      </c>
      <c r="E224" t="s">
        <v>384</v>
      </c>
      <c r="F224" t="s">
        <v>385</v>
      </c>
      <c r="G224">
        <v>4</v>
      </c>
      <c r="J224">
        <v>0</v>
      </c>
      <c r="K224">
        <v>0</v>
      </c>
      <c r="N224">
        <v>0</v>
      </c>
      <c r="O224">
        <v>0</v>
      </c>
    </row>
    <row r="225" spans="1:17">
      <c r="B225" t="s">
        <v>89</v>
      </c>
      <c r="C225">
        <v>4</v>
      </c>
      <c r="D225">
        <v>13668</v>
      </c>
      <c r="E225" t="s">
        <v>386</v>
      </c>
      <c r="F225" t="s">
        <v>387</v>
      </c>
      <c r="I225">
        <v>6114</v>
      </c>
      <c r="J225">
        <v>0</v>
      </c>
      <c r="K225">
        <v>0</v>
      </c>
      <c r="N225">
        <v>0</v>
      </c>
      <c r="O225">
        <v>0</v>
      </c>
    </row>
    <row r="226" spans="1:17">
      <c r="B226" t="s">
        <v>89</v>
      </c>
      <c r="C226">
        <v>4</v>
      </c>
      <c r="D226">
        <v>13664</v>
      </c>
      <c r="E226" t="s">
        <v>388</v>
      </c>
      <c r="F226" t="s">
        <v>389</v>
      </c>
      <c r="J226">
        <v>64</v>
      </c>
      <c r="K226">
        <v>0</v>
      </c>
      <c r="N226">
        <v>64</v>
      </c>
      <c r="O226">
        <v>0</v>
      </c>
    </row>
    <row r="227" spans="1:17">
      <c r="B227" t="s">
        <v>72</v>
      </c>
      <c r="C227">
        <v>4</v>
      </c>
      <c r="D227">
        <v>66093</v>
      </c>
      <c r="E227" t="s">
        <v>390</v>
      </c>
      <c r="F227" t="s">
        <v>385</v>
      </c>
      <c r="G227" t="s">
        <v>391</v>
      </c>
      <c r="I227">
        <v>5050</v>
      </c>
      <c r="J227">
        <v>180</v>
      </c>
      <c r="K227">
        <v>24</v>
      </c>
      <c r="N227">
        <v>204</v>
      </c>
      <c r="O227" s="160">
        <v>6641</v>
      </c>
      <c r="P227">
        <v>310</v>
      </c>
      <c r="Q227">
        <v>1</v>
      </c>
    </row>
    <row r="228" spans="1:17">
      <c r="P228" s="160">
        <v>6331</v>
      </c>
      <c r="Q228">
        <v>2</v>
      </c>
    </row>
    <row r="229" spans="1:17" ht="13" thickBot="1">
      <c r="B229" t="s">
        <v>89</v>
      </c>
      <c r="C229">
        <v>4</v>
      </c>
      <c r="D229">
        <v>12360</v>
      </c>
      <c r="E229" t="s">
        <v>392</v>
      </c>
      <c r="F229" t="s">
        <v>393</v>
      </c>
      <c r="J229">
        <v>63</v>
      </c>
      <c r="K229">
        <v>0</v>
      </c>
      <c r="N229">
        <v>63</v>
      </c>
      <c r="O229">
        <v>0</v>
      </c>
    </row>
    <row r="230" spans="1:17" ht="15" thickTop="1">
      <c r="A230" s="247" t="s">
        <v>625</v>
      </c>
      <c r="B230" s="233"/>
      <c r="C230" s="233"/>
      <c r="D230" s="233"/>
      <c r="E230" s="233">
        <f>SUBTOTAL(103,Table1[Field Name])</f>
        <v>189</v>
      </c>
      <c r="F230" s="233">
        <f>SUBTOTAL(103,Table1[Lease Name])</f>
        <v>189</v>
      </c>
      <c r="G230" s="233"/>
      <c r="H230" s="233"/>
      <c r="I230" s="233"/>
      <c r="J230" s="248">
        <f>SUBTOTAL(109,Table1[On Hand Beginning of Month])</f>
        <v>13523</v>
      </c>
      <c r="K230" s="233">
        <f>SUBTOTAL(109,Table1[Production])</f>
        <v>12732</v>
      </c>
      <c r="L230" s="233">
        <f>SUBTOTAL(109,Table1[Volume])</f>
        <v>12674</v>
      </c>
      <c r="M230" s="233"/>
      <c r="N230" s="233">
        <f>SUBTOTAL(109,Table1[On Hand End of Month])</f>
        <v>13760</v>
      </c>
      <c r="O230" s="248">
        <f>SUBTOTAL(109,Table1[Formation Production])</f>
        <v>235227</v>
      </c>
      <c r="P230" s="233">
        <f>SUBTOTAL(109,Table1[Volume2])</f>
        <v>235227</v>
      </c>
      <c r="Q230" s="249"/>
    </row>
  </sheetData>
  <pageMargins left="0.7" right="0.7" top="0.75" bottom="0.75" header="0.3" footer="0.3"/>
  <pageSetup orientation="portrait" horizontalDpi="1200" verticalDpi="120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J7"/>
  <sheetViews>
    <sheetView workbookViewId="0">
      <selection activeCell="J16" sqref="J16"/>
    </sheetView>
  </sheetViews>
  <sheetFormatPr baseColWidth="10" defaultColWidth="12" defaultRowHeight="12" x14ac:dyDescent="0"/>
  <cols>
    <col min="3" max="3" width="21.33203125" customWidth="1"/>
    <col min="4" max="4" width="14.6640625" bestFit="1" customWidth="1"/>
    <col min="9" max="9" width="36.83203125" customWidth="1"/>
  </cols>
  <sheetData>
    <row r="4" spans="2:10" ht="36">
      <c r="B4" s="213" t="s">
        <v>1116</v>
      </c>
      <c r="C4" s="214" t="s">
        <v>47</v>
      </c>
      <c r="D4" s="214" t="s">
        <v>48</v>
      </c>
      <c r="E4" s="214" t="s">
        <v>604</v>
      </c>
      <c r="F4" s="214" t="s">
        <v>7</v>
      </c>
      <c r="G4" s="214" t="s">
        <v>8</v>
      </c>
      <c r="H4" s="225" t="s">
        <v>602</v>
      </c>
      <c r="I4" s="214" t="s">
        <v>1277</v>
      </c>
      <c r="J4" s="241" t="s">
        <v>1278</v>
      </c>
    </row>
    <row r="5" spans="2:10" ht="28">
      <c r="B5" s="219" t="e">
        <v>#N/A</v>
      </c>
      <c r="C5" s="220" t="s">
        <v>84</v>
      </c>
      <c r="D5" s="221" t="s">
        <v>86</v>
      </c>
      <c r="E5" s="222">
        <v>1</v>
      </c>
      <c r="F5" s="226" t="s">
        <v>617</v>
      </c>
      <c r="G5" s="226" t="s">
        <v>59</v>
      </c>
      <c r="H5" s="227" t="s">
        <v>420</v>
      </c>
      <c r="I5" s="224" t="s">
        <v>1275</v>
      </c>
      <c r="J5" s="242">
        <v>43862</v>
      </c>
    </row>
    <row r="6" spans="2:10" ht="28">
      <c r="B6" s="218" t="e">
        <v>#N/A</v>
      </c>
      <c r="C6" s="215" t="s">
        <v>185</v>
      </c>
      <c r="D6" s="216" t="s">
        <v>186</v>
      </c>
      <c r="E6" s="217">
        <v>1</v>
      </c>
      <c r="F6" s="228" t="s">
        <v>618</v>
      </c>
      <c r="G6" s="228" t="s">
        <v>59</v>
      </c>
      <c r="H6" s="229" t="s">
        <v>481</v>
      </c>
      <c r="I6" s="223" t="s">
        <v>1275</v>
      </c>
      <c r="J6" s="242">
        <v>43862</v>
      </c>
    </row>
    <row r="7" spans="2:10" ht="28">
      <c r="B7" s="219" t="e">
        <v>#N/A</v>
      </c>
      <c r="C7" s="220" t="s">
        <v>209</v>
      </c>
      <c r="D7" s="221" t="s">
        <v>213</v>
      </c>
      <c r="E7" s="222">
        <v>1</v>
      </c>
      <c r="F7" s="226" t="s">
        <v>618</v>
      </c>
      <c r="G7" s="226" t="s">
        <v>59</v>
      </c>
      <c r="H7" s="227" t="s">
        <v>493</v>
      </c>
      <c r="I7" s="224" t="s">
        <v>1275</v>
      </c>
      <c r="J7" s="242">
        <v>43862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6" filterMode="1" enableFormatConditionsCalculation="0">
    <pageSetUpPr fitToPage="1"/>
  </sheetPr>
  <dimension ref="A1:O78"/>
  <sheetViews>
    <sheetView showGridLines="0" topLeftCell="A4" zoomScale="70" zoomScaleNormal="70" zoomScalePageLayoutView="70" workbookViewId="0">
      <selection activeCell="C79" sqref="C79"/>
    </sheetView>
  </sheetViews>
  <sheetFormatPr baseColWidth="10" defaultColWidth="8.83203125" defaultRowHeight="21" x14ac:dyDescent="0"/>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8.83203125" style="41"/>
    <col min="19" max="19" width="34.6640625" style="41" customWidth="1"/>
    <col min="20" max="254" width="8.8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8.83203125" style="41"/>
    <col min="275" max="275" width="34.6640625" style="41" customWidth="1"/>
    <col min="276" max="510" width="8.8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8.83203125" style="41"/>
    <col min="531" max="531" width="34.6640625" style="41" customWidth="1"/>
    <col min="532" max="766" width="8.8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8.83203125" style="41"/>
    <col min="787" max="787" width="34.6640625" style="41" customWidth="1"/>
    <col min="788" max="1022" width="8.8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8.83203125" style="41"/>
    <col min="1043" max="1043" width="34.6640625" style="41" customWidth="1"/>
    <col min="1044" max="1278" width="8.8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8.83203125" style="41"/>
    <col min="1299" max="1299" width="34.6640625" style="41" customWidth="1"/>
    <col min="1300" max="1534" width="8.8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8.83203125" style="41"/>
    <col min="1555" max="1555" width="34.6640625" style="41" customWidth="1"/>
    <col min="1556" max="1790" width="8.8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8.83203125" style="41"/>
    <col min="1811" max="1811" width="34.6640625" style="41" customWidth="1"/>
    <col min="1812" max="2046" width="8.8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8.83203125" style="41"/>
    <col min="2067" max="2067" width="34.6640625" style="41" customWidth="1"/>
    <col min="2068" max="2302" width="8.8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8.83203125" style="41"/>
    <col min="2323" max="2323" width="34.6640625" style="41" customWidth="1"/>
    <col min="2324" max="2558" width="8.8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8.83203125" style="41"/>
    <col min="2579" max="2579" width="34.6640625" style="41" customWidth="1"/>
    <col min="2580" max="2814" width="8.8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8.83203125" style="41"/>
    <col min="2835" max="2835" width="34.6640625" style="41" customWidth="1"/>
    <col min="2836" max="3070" width="8.8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8.83203125" style="41"/>
    <col min="3091" max="3091" width="34.6640625" style="41" customWidth="1"/>
    <col min="3092" max="3326" width="8.8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8.83203125" style="41"/>
    <col min="3347" max="3347" width="34.6640625" style="41" customWidth="1"/>
    <col min="3348" max="3582" width="8.8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8.83203125" style="41"/>
    <col min="3603" max="3603" width="34.6640625" style="41" customWidth="1"/>
    <col min="3604" max="3838" width="8.8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8.83203125" style="41"/>
    <col min="3859" max="3859" width="34.6640625" style="41" customWidth="1"/>
    <col min="3860" max="4094" width="8.8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8.83203125" style="41"/>
    <col min="4115" max="4115" width="34.6640625" style="41" customWidth="1"/>
    <col min="4116" max="4350" width="8.8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8.83203125" style="41"/>
    <col min="4371" max="4371" width="34.6640625" style="41" customWidth="1"/>
    <col min="4372" max="4606" width="8.8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8.83203125" style="41"/>
    <col min="4627" max="4627" width="34.6640625" style="41" customWidth="1"/>
    <col min="4628" max="4862" width="8.8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8.83203125" style="41"/>
    <col min="4883" max="4883" width="34.6640625" style="41" customWidth="1"/>
    <col min="4884" max="5118" width="8.8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8.83203125" style="41"/>
    <col min="5139" max="5139" width="34.6640625" style="41" customWidth="1"/>
    <col min="5140" max="5374" width="8.8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8.83203125" style="41"/>
    <col min="5395" max="5395" width="34.6640625" style="41" customWidth="1"/>
    <col min="5396" max="5630" width="8.8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8.83203125" style="41"/>
    <col min="5651" max="5651" width="34.6640625" style="41" customWidth="1"/>
    <col min="5652" max="5886" width="8.8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8.83203125" style="41"/>
    <col min="5907" max="5907" width="34.6640625" style="41" customWidth="1"/>
    <col min="5908" max="6142" width="8.8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8.83203125" style="41"/>
    <col min="6163" max="6163" width="34.6640625" style="41" customWidth="1"/>
    <col min="6164" max="6398" width="8.8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8.83203125" style="41"/>
    <col min="6419" max="6419" width="34.6640625" style="41" customWidth="1"/>
    <col min="6420" max="6654" width="8.8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8.83203125" style="41"/>
    <col min="6675" max="6675" width="34.6640625" style="41" customWidth="1"/>
    <col min="6676" max="6910" width="8.8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8.83203125" style="41"/>
    <col min="6931" max="6931" width="34.6640625" style="41" customWidth="1"/>
    <col min="6932" max="7166" width="8.8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8.83203125" style="41"/>
    <col min="7187" max="7187" width="34.6640625" style="41" customWidth="1"/>
    <col min="7188" max="7422" width="8.8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8.83203125" style="41"/>
    <col min="7443" max="7443" width="34.6640625" style="41" customWidth="1"/>
    <col min="7444" max="7678" width="8.8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8.83203125" style="41"/>
    <col min="7699" max="7699" width="34.6640625" style="41" customWidth="1"/>
    <col min="7700" max="7934" width="8.8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8.83203125" style="41"/>
    <col min="7955" max="7955" width="34.6640625" style="41" customWidth="1"/>
    <col min="7956" max="8190" width="8.8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8.83203125" style="41"/>
    <col min="8211" max="8211" width="34.6640625" style="41" customWidth="1"/>
    <col min="8212" max="8446" width="8.8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8.83203125" style="41"/>
    <col min="8467" max="8467" width="34.6640625" style="41" customWidth="1"/>
    <col min="8468" max="8702" width="8.8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8.83203125" style="41"/>
    <col min="8723" max="8723" width="34.6640625" style="41" customWidth="1"/>
    <col min="8724" max="8958" width="8.8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8.83203125" style="41"/>
    <col min="8979" max="8979" width="34.6640625" style="41" customWidth="1"/>
    <col min="8980" max="9214" width="8.8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8.83203125" style="41"/>
    <col min="9235" max="9235" width="34.6640625" style="41" customWidth="1"/>
    <col min="9236" max="9470" width="8.8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8.83203125" style="41"/>
    <col min="9491" max="9491" width="34.6640625" style="41" customWidth="1"/>
    <col min="9492" max="9726" width="8.8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8.83203125" style="41"/>
    <col min="9747" max="9747" width="34.6640625" style="41" customWidth="1"/>
    <col min="9748" max="9982" width="8.8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8.83203125" style="41"/>
    <col min="10003" max="10003" width="34.6640625" style="41" customWidth="1"/>
    <col min="10004" max="10238" width="8.8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8.83203125" style="41"/>
    <col min="10259" max="10259" width="34.6640625" style="41" customWidth="1"/>
    <col min="10260" max="10494" width="8.8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8.83203125" style="41"/>
    <col min="10515" max="10515" width="34.6640625" style="41" customWidth="1"/>
    <col min="10516" max="10750" width="8.8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8.83203125" style="41"/>
    <col min="10771" max="10771" width="34.6640625" style="41" customWidth="1"/>
    <col min="10772" max="11006" width="8.8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8.83203125" style="41"/>
    <col min="11027" max="11027" width="34.6640625" style="41" customWidth="1"/>
    <col min="11028" max="11262" width="8.8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8.83203125" style="41"/>
    <col min="11283" max="11283" width="34.6640625" style="41" customWidth="1"/>
    <col min="11284" max="11518" width="8.8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8.83203125" style="41"/>
    <col min="11539" max="11539" width="34.6640625" style="41" customWidth="1"/>
    <col min="11540" max="11774" width="8.8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8.83203125" style="41"/>
    <col min="11795" max="11795" width="34.6640625" style="41" customWidth="1"/>
    <col min="11796" max="12030" width="8.8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8.83203125" style="41"/>
    <col min="12051" max="12051" width="34.6640625" style="41" customWidth="1"/>
    <col min="12052" max="12286" width="8.8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8.83203125" style="41"/>
    <col min="12307" max="12307" width="34.6640625" style="41" customWidth="1"/>
    <col min="12308" max="12542" width="8.8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8.83203125" style="41"/>
    <col min="12563" max="12563" width="34.6640625" style="41" customWidth="1"/>
    <col min="12564" max="12798" width="8.8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8.83203125" style="41"/>
    <col min="12819" max="12819" width="34.6640625" style="41" customWidth="1"/>
    <col min="12820" max="13054" width="8.8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8.83203125" style="41"/>
    <col min="13075" max="13075" width="34.6640625" style="41" customWidth="1"/>
    <col min="13076" max="13310" width="8.8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8.83203125" style="41"/>
    <col min="13331" max="13331" width="34.6640625" style="41" customWidth="1"/>
    <col min="13332" max="13566" width="8.8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8.83203125" style="41"/>
    <col min="13587" max="13587" width="34.6640625" style="41" customWidth="1"/>
    <col min="13588" max="13822" width="8.8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8.83203125" style="41"/>
    <col min="13843" max="13843" width="34.6640625" style="41" customWidth="1"/>
    <col min="13844" max="14078" width="8.8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8.83203125" style="41"/>
    <col min="14099" max="14099" width="34.6640625" style="41" customWidth="1"/>
    <col min="14100" max="14334" width="8.8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8.83203125" style="41"/>
    <col min="14355" max="14355" width="34.6640625" style="41" customWidth="1"/>
    <col min="14356" max="14590" width="8.8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8.83203125" style="41"/>
    <col min="14611" max="14611" width="34.6640625" style="41" customWidth="1"/>
    <col min="14612" max="14846" width="8.8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8.83203125" style="41"/>
    <col min="14867" max="14867" width="34.6640625" style="41" customWidth="1"/>
    <col min="14868" max="15102" width="8.8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8.83203125" style="41"/>
    <col min="15123" max="15123" width="34.6640625" style="41" customWidth="1"/>
    <col min="15124" max="15358" width="8.8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8.83203125" style="41"/>
    <col min="15379" max="15379" width="34.6640625" style="41" customWidth="1"/>
    <col min="15380" max="15614" width="8.8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8.83203125" style="41"/>
    <col min="15635" max="15635" width="34.6640625" style="41" customWidth="1"/>
    <col min="15636" max="15870" width="8.8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8.83203125" style="41"/>
    <col min="15891" max="15891" width="34.6640625" style="41" customWidth="1"/>
    <col min="15892" max="16126" width="8.8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8.83203125" style="41"/>
    <col min="16147" max="16147" width="34.6640625" style="41" customWidth="1"/>
    <col min="16148" max="16384" width="8.83203125" style="41"/>
  </cols>
  <sheetData>
    <row r="1" spans="1:15">
      <c r="A1" s="38" t="s">
        <v>627</v>
      </c>
    </row>
    <row r="2" spans="1:15" ht="33">
      <c r="A2" s="38" t="s">
        <v>628</v>
      </c>
      <c r="E2" s="42" t="s">
        <v>629</v>
      </c>
      <c r="F2" s="42"/>
    </row>
    <row r="3" spans="1:15">
      <c r="A3" s="38" t="s">
        <v>630</v>
      </c>
    </row>
    <row r="4" spans="1:15">
      <c r="A4" s="38" t="s">
        <v>631</v>
      </c>
    </row>
    <row r="5" spans="1:15">
      <c r="G5" s="43" t="s">
        <v>632</v>
      </c>
    </row>
    <row r="6" spans="1:15">
      <c r="B6" s="44"/>
      <c r="C6" s="44"/>
      <c r="D6" s="44"/>
    </row>
    <row r="8" spans="1:15" ht="30" customHeight="1">
      <c r="A8" s="45" t="s">
        <v>632</v>
      </c>
      <c r="B8" s="45" t="s">
        <v>633</v>
      </c>
      <c r="C8" s="45" t="s">
        <v>634</v>
      </c>
      <c r="D8" s="45" t="s">
        <v>635</v>
      </c>
      <c r="E8" s="45" t="s">
        <v>636</v>
      </c>
      <c r="F8" s="46" t="s">
        <v>637</v>
      </c>
      <c r="G8" s="45" t="s">
        <v>638</v>
      </c>
      <c r="H8" s="47" t="s">
        <v>633</v>
      </c>
      <c r="I8" s="47" t="s">
        <v>639</v>
      </c>
      <c r="J8" s="45" t="s">
        <v>640</v>
      </c>
      <c r="K8" s="45" t="s">
        <v>641</v>
      </c>
      <c r="L8" s="45" t="s">
        <v>642</v>
      </c>
      <c r="M8" s="45" t="s">
        <v>643</v>
      </c>
      <c r="N8" s="45" t="s">
        <v>642</v>
      </c>
    </row>
    <row r="9" spans="1:15" ht="30" customHeight="1">
      <c r="A9" s="45" t="s">
        <v>639</v>
      </c>
      <c r="B9" s="45" t="s">
        <v>644</v>
      </c>
      <c r="C9" s="45" t="s">
        <v>645</v>
      </c>
      <c r="D9" s="45" t="s">
        <v>646</v>
      </c>
      <c r="E9" s="45" t="s">
        <v>647</v>
      </c>
      <c r="F9" s="45" t="s">
        <v>647</v>
      </c>
      <c r="G9" s="45" t="s">
        <v>648</v>
      </c>
      <c r="H9" s="47" t="s">
        <v>649</v>
      </c>
      <c r="I9" s="47" t="s">
        <v>649</v>
      </c>
      <c r="J9" s="45" t="s">
        <v>650</v>
      </c>
      <c r="K9" s="45" t="s">
        <v>650</v>
      </c>
      <c r="L9" s="45" t="s">
        <v>647</v>
      </c>
      <c r="M9" s="45" t="s">
        <v>651</v>
      </c>
      <c r="N9" s="45" t="s">
        <v>652</v>
      </c>
      <c r="O9" s="41" t="s">
        <v>1097</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653</v>
      </c>
      <c r="B11" s="45" t="s">
        <v>654</v>
      </c>
      <c r="C11" s="49" t="s">
        <v>655</v>
      </c>
      <c r="D11" s="50" t="s">
        <v>656</v>
      </c>
      <c r="E11" s="51">
        <v>200</v>
      </c>
      <c r="F11" s="51">
        <v>40</v>
      </c>
      <c r="G11" s="51">
        <v>50</v>
      </c>
      <c r="H11" s="52" t="e">
        <f>(F11+#REF!)/E11</f>
        <v>#REF!</v>
      </c>
      <c r="I11" s="52">
        <f>F11/E11</f>
        <v>0.2</v>
      </c>
      <c r="J11" s="53">
        <v>40</v>
      </c>
      <c r="K11" s="51">
        <v>800</v>
      </c>
      <c r="L11" s="51">
        <v>0</v>
      </c>
      <c r="M11" s="51"/>
      <c r="N11" s="51"/>
    </row>
    <row r="12" spans="1:15" ht="30" hidden="1" customHeight="1">
      <c r="A12" s="45" t="s">
        <v>657</v>
      </c>
      <c r="B12" s="45" t="s">
        <v>654</v>
      </c>
      <c r="C12" s="49" t="s">
        <v>658</v>
      </c>
      <c r="D12" s="50" t="s">
        <v>659</v>
      </c>
      <c r="E12" s="51">
        <v>100</v>
      </c>
      <c r="F12" s="51">
        <v>20</v>
      </c>
      <c r="G12" s="51">
        <v>35</v>
      </c>
      <c r="H12" s="52">
        <f>F12/E12</f>
        <v>0.2</v>
      </c>
      <c r="I12" s="52">
        <f>F12/E12</f>
        <v>0.2</v>
      </c>
      <c r="J12" s="53">
        <v>60</v>
      </c>
      <c r="K12" s="51">
        <v>650</v>
      </c>
      <c r="L12" s="51">
        <f>I12*G12*8*24*0.001</f>
        <v>1.3440000000000001</v>
      </c>
      <c r="M12" s="51"/>
      <c r="N12" s="51"/>
    </row>
    <row r="13" spans="1:15" ht="30" customHeight="1">
      <c r="A13" s="45" t="s">
        <v>657</v>
      </c>
      <c r="B13" s="45" t="s">
        <v>660</v>
      </c>
      <c r="C13" s="49" t="s">
        <v>661</v>
      </c>
      <c r="D13" s="50"/>
      <c r="E13" s="51"/>
      <c r="F13" s="51"/>
      <c r="G13" s="51"/>
      <c r="H13" s="52"/>
      <c r="I13" s="52"/>
      <c r="J13" s="53"/>
      <c r="K13" s="51"/>
      <c r="L13" s="51">
        <v>4</v>
      </c>
      <c r="M13" s="51"/>
      <c r="N13" s="51" t="s">
        <v>662</v>
      </c>
      <c r="O13" s="41" t="s">
        <v>1098</v>
      </c>
    </row>
    <row r="14" spans="1:15" ht="30" hidden="1" customHeight="1">
      <c r="A14" s="45" t="s">
        <v>663</v>
      </c>
      <c r="B14" s="45" t="s">
        <v>654</v>
      </c>
      <c r="C14" s="54" t="s">
        <v>664</v>
      </c>
      <c r="D14" s="50" t="s">
        <v>659</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665</v>
      </c>
      <c r="B15" s="45" t="s">
        <v>654</v>
      </c>
      <c r="C15" s="54" t="s">
        <v>664</v>
      </c>
      <c r="D15" s="50" t="s">
        <v>659</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666</v>
      </c>
      <c r="B16" s="45" t="s">
        <v>654</v>
      </c>
      <c r="C16" s="54" t="s">
        <v>667</v>
      </c>
      <c r="D16" s="50" t="s">
        <v>659</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668</v>
      </c>
      <c r="B17" s="45" t="s">
        <v>654</v>
      </c>
      <c r="C17" s="54" t="s">
        <v>669</v>
      </c>
      <c r="D17" s="50" t="s">
        <v>656</v>
      </c>
      <c r="E17" s="51"/>
      <c r="F17" s="51"/>
      <c r="G17" s="51"/>
      <c r="H17" s="52"/>
      <c r="I17" s="52"/>
      <c r="J17" s="53"/>
      <c r="K17" s="51"/>
      <c r="L17" s="51"/>
      <c r="M17" s="51"/>
      <c r="N17" s="51"/>
    </row>
    <row r="18" spans="1:15" ht="30" hidden="1" customHeight="1">
      <c r="A18" s="45" t="s">
        <v>670</v>
      </c>
      <c r="B18" s="45" t="s">
        <v>654</v>
      </c>
      <c r="C18" s="54" t="s">
        <v>671</v>
      </c>
      <c r="D18" s="50" t="s">
        <v>659</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672</v>
      </c>
      <c r="B19" s="45" t="s">
        <v>654</v>
      </c>
      <c r="C19" s="54" t="s">
        <v>671</v>
      </c>
      <c r="D19" s="50" t="s">
        <v>659</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673</v>
      </c>
      <c r="B20" s="45" t="s">
        <v>654</v>
      </c>
      <c r="C20" s="54" t="s">
        <v>671</v>
      </c>
      <c r="D20" s="50" t="s">
        <v>659</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674</v>
      </c>
      <c r="B21" s="45" t="s">
        <v>654</v>
      </c>
      <c r="C21" s="54" t="s">
        <v>671</v>
      </c>
      <c r="D21" s="50" t="s">
        <v>659</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675</v>
      </c>
      <c r="B22" s="45" t="s">
        <v>654</v>
      </c>
      <c r="C22" s="54" t="s">
        <v>669</v>
      </c>
      <c r="D22" s="50" t="s">
        <v>659</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676</v>
      </c>
      <c r="B23" s="45" t="s">
        <v>660</v>
      </c>
      <c r="C23" s="54" t="s">
        <v>677</v>
      </c>
      <c r="D23" s="50" t="s">
        <v>656</v>
      </c>
      <c r="E23" s="51"/>
      <c r="F23" s="51"/>
      <c r="G23" s="51"/>
      <c r="H23" s="52"/>
      <c r="I23" s="52"/>
      <c r="J23" s="53"/>
      <c r="K23" s="51"/>
      <c r="L23" s="51">
        <v>4</v>
      </c>
      <c r="M23" s="51"/>
      <c r="N23" s="51" t="s">
        <v>662</v>
      </c>
      <c r="O23" s="41" t="s">
        <v>1098</v>
      </c>
    </row>
    <row r="24" spans="1:15" ht="30" hidden="1" customHeight="1">
      <c r="A24" s="45" t="s">
        <v>678</v>
      </c>
      <c r="B24" s="45" t="s">
        <v>654</v>
      </c>
      <c r="C24" s="54" t="s">
        <v>667</v>
      </c>
      <c r="D24" s="50" t="s">
        <v>659</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679</v>
      </c>
      <c r="B25" s="45" t="s">
        <v>654</v>
      </c>
      <c r="C25" s="54" t="s">
        <v>664</v>
      </c>
      <c r="D25" s="50" t="s">
        <v>659</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680</v>
      </c>
      <c r="B26" s="45" t="s">
        <v>654</v>
      </c>
      <c r="C26" s="54" t="s">
        <v>667</v>
      </c>
      <c r="D26" s="50" t="s">
        <v>659</v>
      </c>
      <c r="E26" s="51">
        <v>350</v>
      </c>
      <c r="F26" s="51">
        <v>140</v>
      </c>
      <c r="G26" s="51">
        <v>87</v>
      </c>
      <c r="H26" s="52">
        <f>(F26+F24)/E26</f>
        <v>0.45714285714285713</v>
      </c>
      <c r="I26" s="52">
        <f>F26/E26</f>
        <v>0.4</v>
      </c>
      <c r="J26" s="53">
        <v>100</v>
      </c>
      <c r="K26" s="51">
        <v>1075</v>
      </c>
      <c r="L26" s="51">
        <f>I26*G26*8*24*0.001</f>
        <v>6.6816000000000004</v>
      </c>
      <c r="M26" s="51"/>
      <c r="N26" s="51" t="s">
        <v>632</v>
      </c>
    </row>
    <row r="27" spans="1:15" ht="30" hidden="1" customHeight="1">
      <c r="A27" s="45" t="s">
        <v>681</v>
      </c>
      <c r="B27" s="45" t="s">
        <v>654</v>
      </c>
      <c r="C27" s="49" t="s">
        <v>682</v>
      </c>
      <c r="D27" s="50" t="s">
        <v>659</v>
      </c>
      <c r="E27" s="51"/>
      <c r="F27" s="51"/>
      <c r="G27" s="51"/>
      <c r="H27" s="52"/>
      <c r="I27" s="52"/>
      <c r="J27" s="53"/>
      <c r="K27" s="51"/>
      <c r="L27" s="51"/>
      <c r="M27" s="51"/>
      <c r="N27" s="51" t="s">
        <v>683</v>
      </c>
    </row>
    <row r="28" spans="1:15" ht="30" hidden="1" customHeight="1">
      <c r="A28" s="45" t="s">
        <v>684</v>
      </c>
      <c r="B28" s="45" t="s">
        <v>654</v>
      </c>
      <c r="C28" s="49" t="s">
        <v>655</v>
      </c>
      <c r="D28" s="50" t="s">
        <v>659</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685</v>
      </c>
      <c r="B29" s="45" t="s">
        <v>654</v>
      </c>
      <c r="C29" s="54" t="s">
        <v>669</v>
      </c>
      <c r="D29" s="50" t="s">
        <v>659</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686</v>
      </c>
      <c r="B30" s="45" t="s">
        <v>654</v>
      </c>
      <c r="C30" s="54" t="s">
        <v>687</v>
      </c>
      <c r="D30" s="50" t="s">
        <v>659</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688</v>
      </c>
      <c r="B31" s="45" t="s">
        <v>654</v>
      </c>
      <c r="C31" s="54" t="s">
        <v>687</v>
      </c>
      <c r="D31" s="50" t="s">
        <v>659</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689</v>
      </c>
      <c r="B32" s="45" t="s">
        <v>654</v>
      </c>
      <c r="C32" s="54" t="s">
        <v>687</v>
      </c>
      <c r="D32" s="50" t="s">
        <v>659</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690</v>
      </c>
      <c r="B33" s="45" t="s">
        <v>654</v>
      </c>
      <c r="C33" s="54" t="s">
        <v>667</v>
      </c>
      <c r="D33" s="50" t="s">
        <v>659</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683</v>
      </c>
    </row>
    <row r="34" spans="1:14" ht="30" hidden="1" customHeight="1">
      <c r="A34" s="45" t="s">
        <v>691</v>
      </c>
      <c r="B34" s="45" t="s">
        <v>654</v>
      </c>
      <c r="C34" s="54" t="s">
        <v>667</v>
      </c>
      <c r="D34" s="50" t="s">
        <v>659</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683</v>
      </c>
    </row>
    <row r="35" spans="1:14" ht="30" hidden="1" customHeight="1">
      <c r="A35" s="45" t="s">
        <v>692</v>
      </c>
      <c r="B35" s="45" t="s">
        <v>654</v>
      </c>
      <c r="C35" s="54" t="s">
        <v>667</v>
      </c>
      <c r="D35" s="50" t="s">
        <v>659</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683</v>
      </c>
    </row>
    <row r="36" spans="1:14" ht="30" hidden="1" customHeight="1">
      <c r="A36" s="45" t="s">
        <v>693</v>
      </c>
      <c r="B36" s="45" t="s">
        <v>654</v>
      </c>
      <c r="C36" s="54" t="s">
        <v>667</v>
      </c>
      <c r="D36" s="50" t="s">
        <v>659</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683</v>
      </c>
    </row>
    <row r="37" spans="1:14" ht="30" hidden="1" customHeight="1">
      <c r="A37" s="45" t="s">
        <v>694</v>
      </c>
      <c r="B37" s="45" t="s">
        <v>654</v>
      </c>
      <c r="C37" s="54" t="s">
        <v>667</v>
      </c>
      <c r="D37" s="50" t="s">
        <v>659</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683</v>
      </c>
    </row>
    <row r="38" spans="1:14" ht="30" hidden="1" customHeight="1">
      <c r="A38" s="45" t="s">
        <v>695</v>
      </c>
      <c r="B38" s="45" t="s">
        <v>654</v>
      </c>
      <c r="C38" s="54" t="s">
        <v>667</v>
      </c>
      <c r="D38" s="50" t="s">
        <v>659</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683</v>
      </c>
    </row>
    <row r="39" spans="1:14" ht="30" hidden="1" customHeight="1">
      <c r="A39" s="45" t="s">
        <v>696</v>
      </c>
      <c r="B39" s="45" t="s">
        <v>654</v>
      </c>
      <c r="C39" s="49" t="s">
        <v>655</v>
      </c>
      <c r="D39" s="50" t="s">
        <v>656</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697</v>
      </c>
      <c r="B40" s="45" t="s">
        <v>654</v>
      </c>
      <c r="C40" s="49" t="s">
        <v>655</v>
      </c>
      <c r="D40" s="50" t="s">
        <v>659</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698</v>
      </c>
      <c r="B41" s="45" t="s">
        <v>654</v>
      </c>
      <c r="C41" s="49" t="s">
        <v>655</v>
      </c>
      <c r="D41" s="50" t="s">
        <v>659</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699</v>
      </c>
      <c r="B42" s="45" t="s">
        <v>654</v>
      </c>
      <c r="C42" s="49" t="s">
        <v>655</v>
      </c>
      <c r="D42" s="50" t="s">
        <v>659</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700</v>
      </c>
      <c r="B43" s="45" t="s">
        <v>654</v>
      </c>
      <c r="C43" s="49" t="s">
        <v>682</v>
      </c>
      <c r="D43" s="50" t="s">
        <v>659</v>
      </c>
      <c r="E43" s="51" t="s">
        <v>632</v>
      </c>
      <c r="F43" s="51" t="s">
        <v>632</v>
      </c>
      <c r="G43" s="51" t="s">
        <v>632</v>
      </c>
      <c r="H43" s="52" t="s">
        <v>632</v>
      </c>
      <c r="I43" s="52" t="s">
        <v>632</v>
      </c>
      <c r="J43" s="53" t="s">
        <v>632</v>
      </c>
      <c r="K43" s="51" t="s">
        <v>632</v>
      </c>
      <c r="L43" s="51" t="s">
        <v>632</v>
      </c>
      <c r="M43" s="51"/>
      <c r="N43" s="51" t="s">
        <v>683</v>
      </c>
    </row>
    <row r="44" spans="1:14" ht="30" hidden="1" customHeight="1">
      <c r="A44" s="45" t="s">
        <v>701</v>
      </c>
      <c r="B44" s="45" t="s">
        <v>654</v>
      </c>
      <c r="C44" s="49" t="s">
        <v>682</v>
      </c>
      <c r="D44" s="50" t="s">
        <v>659</v>
      </c>
      <c r="E44" s="51"/>
      <c r="F44" s="51"/>
      <c r="G44" s="51"/>
      <c r="H44" s="52"/>
      <c r="I44" s="52"/>
      <c r="J44" s="53"/>
      <c r="K44" s="51"/>
      <c r="L44" s="51"/>
      <c r="M44" s="51"/>
      <c r="N44" s="51" t="s">
        <v>683</v>
      </c>
    </row>
    <row r="45" spans="1:14" ht="30" hidden="1" customHeight="1">
      <c r="A45" s="45" t="s">
        <v>702</v>
      </c>
      <c r="B45" s="45" t="s">
        <v>654</v>
      </c>
      <c r="C45" s="49" t="s">
        <v>682</v>
      </c>
      <c r="D45" s="50" t="s">
        <v>659</v>
      </c>
      <c r="E45" s="51"/>
      <c r="F45" s="51"/>
      <c r="G45" s="51"/>
      <c r="H45" s="52"/>
      <c r="I45" s="52"/>
      <c r="J45" s="53"/>
      <c r="K45" s="51"/>
      <c r="L45" s="51"/>
      <c r="M45" s="51"/>
      <c r="N45" s="51" t="s">
        <v>683</v>
      </c>
    </row>
    <row r="46" spans="1:14" ht="30" hidden="1" customHeight="1">
      <c r="A46" s="45" t="s">
        <v>703</v>
      </c>
      <c r="B46" s="45" t="s">
        <v>654</v>
      </c>
      <c r="C46" s="54" t="s">
        <v>667</v>
      </c>
      <c r="D46" s="50" t="s">
        <v>659</v>
      </c>
      <c r="E46" s="51">
        <v>400</v>
      </c>
      <c r="F46" s="51">
        <v>300</v>
      </c>
      <c r="G46" s="51">
        <v>87</v>
      </c>
      <c r="H46" s="52">
        <f>(F46)/E46</f>
        <v>0.75</v>
      </c>
      <c r="I46" s="52">
        <f>F46/E46</f>
        <v>0.75</v>
      </c>
      <c r="J46" s="53">
        <v>50</v>
      </c>
      <c r="K46" s="51">
        <v>600</v>
      </c>
      <c r="L46" s="51">
        <f>I46*G46*8*24*0.001</f>
        <v>12.528</v>
      </c>
      <c r="M46" s="51"/>
      <c r="N46" s="51"/>
    </row>
    <row r="47" spans="1:14" ht="30" hidden="1" customHeight="1">
      <c r="A47" s="45" t="s">
        <v>704</v>
      </c>
      <c r="B47" s="45" t="s">
        <v>654</v>
      </c>
      <c r="C47" s="49" t="s">
        <v>655</v>
      </c>
      <c r="D47" s="50" t="s">
        <v>659</v>
      </c>
      <c r="E47" s="51">
        <v>200</v>
      </c>
      <c r="F47" s="51">
        <v>130</v>
      </c>
      <c r="G47" s="51">
        <v>50</v>
      </c>
      <c r="H47" s="52">
        <f>(F47+F54)/E47</f>
        <v>0.9</v>
      </c>
      <c r="I47" s="52">
        <f>F47/E47</f>
        <v>0.65</v>
      </c>
      <c r="J47" s="53">
        <v>50</v>
      </c>
      <c r="K47" s="51">
        <v>700</v>
      </c>
      <c r="L47" s="51">
        <f>I47*G47*8*24*0.001</f>
        <v>6.24</v>
      </c>
      <c r="M47" s="51"/>
      <c r="N47" s="51"/>
    </row>
    <row r="48" spans="1:14" ht="30" hidden="1" customHeight="1">
      <c r="A48" s="45" t="s">
        <v>705</v>
      </c>
      <c r="B48" s="45" t="s">
        <v>654</v>
      </c>
      <c r="C48" s="54" t="s">
        <v>667</v>
      </c>
      <c r="D48" s="50" t="s">
        <v>659</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683</v>
      </c>
    </row>
    <row r="49" spans="1:15" ht="30" hidden="1" customHeight="1">
      <c r="A49" s="45" t="s">
        <v>706</v>
      </c>
      <c r="B49" s="45" t="s">
        <v>654</v>
      </c>
      <c r="C49" s="49" t="s">
        <v>707</v>
      </c>
      <c r="D49" s="50" t="s">
        <v>659</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708</v>
      </c>
      <c r="B50" s="45" t="s">
        <v>654</v>
      </c>
      <c r="C50" s="49" t="s">
        <v>682</v>
      </c>
      <c r="D50" s="50" t="s">
        <v>659</v>
      </c>
      <c r="E50" s="51"/>
      <c r="F50" s="51"/>
      <c r="G50" s="51" t="s">
        <v>632</v>
      </c>
      <c r="H50" s="52"/>
      <c r="I50" s="52"/>
      <c r="J50" s="53"/>
      <c r="K50" s="51"/>
      <c r="L50" s="51"/>
      <c r="M50" s="51"/>
      <c r="N50" s="51" t="s">
        <v>683</v>
      </c>
    </row>
    <row r="51" spans="1:15" ht="30" hidden="1" customHeight="1">
      <c r="A51" s="45" t="s">
        <v>709</v>
      </c>
      <c r="B51" s="45" t="s">
        <v>654</v>
      </c>
      <c r="C51" s="54" t="s">
        <v>667</v>
      </c>
      <c r="D51" s="50" t="s">
        <v>659</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710</v>
      </c>
      <c r="B52" s="45" t="s">
        <v>654</v>
      </c>
      <c r="C52" s="54" t="s">
        <v>667</v>
      </c>
      <c r="D52" s="50" t="s">
        <v>656</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711</v>
      </c>
      <c r="B53" s="45" t="s">
        <v>660</v>
      </c>
      <c r="C53" s="54" t="s">
        <v>712</v>
      </c>
      <c r="D53" s="50" t="s">
        <v>656</v>
      </c>
      <c r="E53" s="51"/>
      <c r="F53" s="51"/>
      <c r="G53" s="51"/>
      <c r="H53" s="52"/>
      <c r="I53" s="52"/>
      <c r="J53" s="53"/>
      <c r="K53" s="51"/>
      <c r="L53" s="51">
        <v>4</v>
      </c>
      <c r="M53" s="51"/>
      <c r="N53" s="51" t="s">
        <v>662</v>
      </c>
      <c r="O53" s="41" t="s">
        <v>1098</v>
      </c>
    </row>
    <row r="54" spans="1:15" ht="30" hidden="1" customHeight="1">
      <c r="A54" s="45" t="s">
        <v>713</v>
      </c>
      <c r="B54" s="45" t="s">
        <v>654</v>
      </c>
      <c r="C54" s="54" t="s">
        <v>714</v>
      </c>
      <c r="D54" s="50" t="s">
        <v>659</v>
      </c>
      <c r="E54" s="51">
        <v>200</v>
      </c>
      <c r="F54" s="51">
        <v>50</v>
      </c>
      <c r="G54" s="51">
        <v>50</v>
      </c>
      <c r="H54" s="52">
        <f>(F54+F47)/E54</f>
        <v>0.9</v>
      </c>
      <c r="I54" s="52">
        <f>F54/E54</f>
        <v>0.25</v>
      </c>
      <c r="J54" s="53">
        <v>50</v>
      </c>
      <c r="K54" s="51">
        <v>700</v>
      </c>
      <c r="L54" s="51">
        <f>I54*G54*8*24*0.001</f>
        <v>2.4</v>
      </c>
      <c r="M54" s="51"/>
      <c r="N54" s="51"/>
    </row>
    <row r="55" spans="1:15" ht="30" customHeight="1">
      <c r="A55" s="45" t="s">
        <v>713</v>
      </c>
      <c r="B55" s="45" t="s">
        <v>660</v>
      </c>
      <c r="C55" s="54" t="s">
        <v>715</v>
      </c>
      <c r="D55" s="50" t="s">
        <v>656</v>
      </c>
      <c r="E55" s="51"/>
      <c r="F55" s="51"/>
      <c r="G55" s="51"/>
      <c r="H55" s="52"/>
      <c r="I55" s="52"/>
      <c r="J55" s="53"/>
      <c r="K55" s="51"/>
      <c r="L55" s="51">
        <v>4</v>
      </c>
      <c r="M55" s="51"/>
      <c r="N55" s="51" t="s">
        <v>662</v>
      </c>
      <c r="O55" s="41">
        <v>99186</v>
      </c>
    </row>
    <row r="56" spans="1:15" ht="30" hidden="1" customHeight="1">
      <c r="A56" s="45" t="s">
        <v>716</v>
      </c>
      <c r="B56" s="45" t="s">
        <v>654</v>
      </c>
      <c r="C56" s="54" t="s">
        <v>667</v>
      </c>
      <c r="D56" s="50" t="s">
        <v>659</v>
      </c>
      <c r="E56" s="51">
        <v>350</v>
      </c>
      <c r="F56" s="51">
        <v>150</v>
      </c>
      <c r="G56" s="51">
        <v>80</v>
      </c>
      <c r="H56" s="52">
        <f>(F56+F74)/E56</f>
        <v>0.47142857142857142</v>
      </c>
      <c r="I56" s="52">
        <f>F56/E56</f>
        <v>0.42857142857142855</v>
      </c>
      <c r="J56" s="53">
        <v>30</v>
      </c>
      <c r="K56" s="51">
        <v>900</v>
      </c>
      <c r="L56" s="51">
        <f>I56*G56*8*24*0.001</f>
        <v>6.5828571428571436</v>
      </c>
      <c r="M56" s="51"/>
      <c r="N56" s="51" t="s">
        <v>683</v>
      </c>
    </row>
    <row r="57" spans="1:15" ht="30" hidden="1" customHeight="1">
      <c r="A57" s="45" t="s">
        <v>717</v>
      </c>
      <c r="B57" s="45" t="s">
        <v>654</v>
      </c>
      <c r="C57" s="54" t="s">
        <v>667</v>
      </c>
      <c r="D57" s="50" t="s">
        <v>659</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718</v>
      </c>
      <c r="B58" s="45" t="s">
        <v>654</v>
      </c>
      <c r="C58" s="49" t="s">
        <v>682</v>
      </c>
      <c r="D58" s="50" t="s">
        <v>656</v>
      </c>
      <c r="E58" s="51">
        <v>700</v>
      </c>
      <c r="F58" s="51" t="s">
        <v>632</v>
      </c>
      <c r="G58" s="51">
        <v>125</v>
      </c>
      <c r="H58" s="52">
        <f>(F58)/E58</f>
        <v>0</v>
      </c>
      <c r="I58" s="52">
        <f>F58/E58</f>
        <v>0</v>
      </c>
      <c r="J58" s="53">
        <v>100</v>
      </c>
      <c r="K58" s="51">
        <v>600</v>
      </c>
      <c r="L58" s="51">
        <f>I58*G58*8*24*0.001</f>
        <v>0</v>
      </c>
      <c r="M58" s="51"/>
      <c r="N58" s="51"/>
    </row>
    <row r="59" spans="1:15" ht="30" customHeight="1">
      <c r="A59" s="45" t="s">
        <v>719</v>
      </c>
      <c r="B59" s="45" t="s">
        <v>660</v>
      </c>
      <c r="C59" s="45" t="s">
        <v>720</v>
      </c>
      <c r="D59" s="50" t="s">
        <v>632</v>
      </c>
      <c r="E59" s="51"/>
      <c r="F59" s="51"/>
      <c r="G59" s="51"/>
      <c r="H59" s="52"/>
      <c r="I59" s="52"/>
      <c r="J59" s="53"/>
      <c r="K59" s="51"/>
      <c r="L59" s="51">
        <v>0</v>
      </c>
      <c r="M59" s="51" t="s">
        <v>632</v>
      </c>
      <c r="N59" s="51" t="s">
        <v>632</v>
      </c>
      <c r="O59" s="41" t="s">
        <v>1098</v>
      </c>
    </row>
    <row r="60" spans="1:15" ht="30" customHeight="1">
      <c r="A60" s="45" t="s">
        <v>721</v>
      </c>
      <c r="B60" s="45" t="s">
        <v>660</v>
      </c>
      <c r="C60" s="54" t="s">
        <v>722</v>
      </c>
      <c r="D60" s="50" t="s">
        <v>659</v>
      </c>
      <c r="E60" s="51" t="s">
        <v>632</v>
      </c>
      <c r="F60" s="51" t="s">
        <v>632</v>
      </c>
      <c r="G60" s="51" t="s">
        <v>632</v>
      </c>
      <c r="H60" s="52" t="s">
        <v>632</v>
      </c>
      <c r="I60" s="52" t="s">
        <v>632</v>
      </c>
      <c r="J60" s="53" t="s">
        <v>632</v>
      </c>
      <c r="K60" s="51" t="s">
        <v>632</v>
      </c>
      <c r="L60" s="51">
        <v>4</v>
      </c>
      <c r="M60" s="51"/>
      <c r="N60" s="51" t="s">
        <v>662</v>
      </c>
      <c r="O60" s="41" t="s">
        <v>1098</v>
      </c>
    </row>
    <row r="61" spans="1:15" ht="30" customHeight="1">
      <c r="A61" s="45" t="s">
        <v>723</v>
      </c>
      <c r="B61" s="45" t="s">
        <v>660</v>
      </c>
      <c r="C61" s="54" t="s">
        <v>724</v>
      </c>
      <c r="D61" s="50" t="s">
        <v>659</v>
      </c>
      <c r="E61" s="51">
        <v>400</v>
      </c>
      <c r="F61" s="51">
        <v>0</v>
      </c>
      <c r="G61" s="51">
        <v>85</v>
      </c>
      <c r="H61" s="52" t="e">
        <f>(F61+#REF!)/E61</f>
        <v>#REF!</v>
      </c>
      <c r="I61" s="52">
        <f>F61/E61</f>
        <v>0</v>
      </c>
      <c r="J61" s="53">
        <v>30</v>
      </c>
      <c r="K61" s="51">
        <v>420</v>
      </c>
      <c r="L61" s="51">
        <v>4</v>
      </c>
      <c r="M61" s="51"/>
      <c r="N61" s="51" t="s">
        <v>662</v>
      </c>
      <c r="O61" s="41">
        <v>99132</v>
      </c>
    </row>
    <row r="62" spans="1:15" ht="30" customHeight="1">
      <c r="A62" s="45" t="s">
        <v>725</v>
      </c>
      <c r="B62" s="45" t="s">
        <v>660</v>
      </c>
      <c r="C62" s="45" t="s">
        <v>632</v>
      </c>
      <c r="D62" s="50" t="s">
        <v>659</v>
      </c>
      <c r="E62" s="51"/>
      <c r="F62" s="51"/>
      <c r="G62" s="51"/>
      <c r="H62" s="52" t="s">
        <v>632</v>
      </c>
      <c r="I62" s="52"/>
      <c r="J62" s="53"/>
      <c r="K62" s="51"/>
      <c r="L62" s="51">
        <v>4</v>
      </c>
      <c r="M62" s="51"/>
      <c r="N62" s="51" t="s">
        <v>662</v>
      </c>
      <c r="O62" s="41">
        <v>98910</v>
      </c>
    </row>
    <row r="63" spans="1:15" ht="30" hidden="1" customHeight="1">
      <c r="A63" s="45" t="s">
        <v>726</v>
      </c>
      <c r="B63" s="45" t="s">
        <v>654</v>
      </c>
      <c r="C63" s="49" t="s">
        <v>727</v>
      </c>
      <c r="D63" s="50" t="s">
        <v>659</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728</v>
      </c>
      <c r="B64" s="45" t="s">
        <v>654</v>
      </c>
      <c r="C64" s="49" t="s">
        <v>727</v>
      </c>
      <c r="D64" s="50" t="s">
        <v>659</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729</v>
      </c>
      <c r="B65" s="45" t="s">
        <v>660</v>
      </c>
      <c r="C65" s="45" t="s">
        <v>720</v>
      </c>
      <c r="D65" s="50"/>
      <c r="E65" s="51"/>
      <c r="F65" s="51"/>
      <c r="G65" s="51"/>
      <c r="H65" s="52"/>
      <c r="I65" s="52"/>
      <c r="J65" s="53"/>
      <c r="K65" s="51"/>
      <c r="L65" s="51">
        <v>0</v>
      </c>
      <c r="M65" s="51"/>
      <c r="N65" s="51"/>
    </row>
    <row r="66" spans="1:15" ht="30" hidden="1" customHeight="1">
      <c r="A66" s="45" t="s">
        <v>730</v>
      </c>
      <c r="B66" s="45" t="s">
        <v>654</v>
      </c>
      <c r="C66" s="49" t="s">
        <v>731</v>
      </c>
      <c r="D66" s="50" t="s">
        <v>659</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732</v>
      </c>
      <c r="B67" s="45" t="s">
        <v>654</v>
      </c>
      <c r="C67" s="54" t="s">
        <v>671</v>
      </c>
      <c r="D67" s="50" t="s">
        <v>659</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733</v>
      </c>
      <c r="B68" s="45" t="s">
        <v>654</v>
      </c>
      <c r="C68" s="55" t="s">
        <v>734</v>
      </c>
      <c r="D68" s="50" t="s">
        <v>659</v>
      </c>
      <c r="E68" s="51">
        <v>1250</v>
      </c>
      <c r="F68" s="51"/>
      <c r="G68" s="51">
        <v>275</v>
      </c>
      <c r="H68" s="52"/>
      <c r="I68" s="52"/>
      <c r="J68" s="53">
        <v>45</v>
      </c>
      <c r="K68" s="51">
        <v>800</v>
      </c>
      <c r="L68" s="51"/>
      <c r="M68" s="51"/>
      <c r="N68" s="51" t="s">
        <v>662</v>
      </c>
    </row>
    <row r="69" spans="1:15" ht="30" hidden="1" customHeight="1">
      <c r="A69" s="45" t="s">
        <v>735</v>
      </c>
      <c r="B69" s="45" t="s">
        <v>654</v>
      </c>
      <c r="C69" s="54" t="s">
        <v>736</v>
      </c>
      <c r="D69" s="51" t="s">
        <v>659</v>
      </c>
      <c r="E69" s="51">
        <v>700</v>
      </c>
      <c r="F69" s="51">
        <v>640</v>
      </c>
      <c r="G69" s="51">
        <v>87</v>
      </c>
      <c r="H69" s="52">
        <f>(F69+F70)/E69</f>
        <v>0.91428571428571426</v>
      </c>
      <c r="I69" s="52">
        <f>F69/E69</f>
        <v>0.91428571428571426</v>
      </c>
      <c r="J69" s="53">
        <v>30</v>
      </c>
      <c r="K69" s="51">
        <v>600</v>
      </c>
      <c r="L69" s="51">
        <f>I69*G69*8*24*0.001</f>
        <v>15.272228571428572</v>
      </c>
      <c r="M69" s="51"/>
      <c r="N69" s="51" t="s">
        <v>683</v>
      </c>
    </row>
    <row r="70" spans="1:15" ht="30" hidden="1" customHeight="1">
      <c r="A70" s="45" t="s">
        <v>737</v>
      </c>
      <c r="B70" s="45" t="s">
        <v>654</v>
      </c>
      <c r="C70" s="54" t="s">
        <v>736</v>
      </c>
      <c r="D70" s="50" t="s">
        <v>656</v>
      </c>
      <c r="E70" s="51">
        <v>700</v>
      </c>
      <c r="F70" s="51">
        <v>0</v>
      </c>
      <c r="G70" s="51">
        <v>87</v>
      </c>
      <c r="H70" s="52">
        <f>(F70+F69)/E70</f>
        <v>0.91428571428571426</v>
      </c>
      <c r="I70" s="52">
        <f>F70/E70</f>
        <v>0</v>
      </c>
      <c r="J70" s="53">
        <v>30</v>
      </c>
      <c r="K70" s="51">
        <v>600</v>
      </c>
      <c r="L70" s="51">
        <f>I70*G70*8*24*0.001</f>
        <v>0</v>
      </c>
      <c r="M70" s="51"/>
      <c r="N70" s="51" t="s">
        <v>683</v>
      </c>
    </row>
    <row r="71" spans="1:15" ht="30" customHeight="1">
      <c r="A71" s="45" t="s">
        <v>738</v>
      </c>
      <c r="B71" s="45" t="s">
        <v>660</v>
      </c>
      <c r="C71" s="45" t="s">
        <v>720</v>
      </c>
      <c r="D71" s="50" t="s">
        <v>632</v>
      </c>
      <c r="E71" s="51"/>
      <c r="F71" s="51"/>
      <c r="G71" s="51"/>
      <c r="H71" s="52"/>
      <c r="I71" s="52"/>
      <c r="J71" s="53"/>
      <c r="K71" s="51"/>
      <c r="L71" s="51">
        <v>0</v>
      </c>
      <c r="M71" s="51"/>
      <c r="N71" s="51" t="s">
        <v>632</v>
      </c>
    </row>
    <row r="72" spans="1:15" ht="30" customHeight="1">
      <c r="A72" s="45" t="s">
        <v>739</v>
      </c>
      <c r="B72" s="45" t="s">
        <v>660</v>
      </c>
      <c r="C72" s="54" t="s">
        <v>740</v>
      </c>
      <c r="D72" s="50" t="s">
        <v>659</v>
      </c>
      <c r="E72" s="51" t="s">
        <v>632</v>
      </c>
      <c r="F72" s="51" t="s">
        <v>632</v>
      </c>
      <c r="G72" s="51" t="s">
        <v>632</v>
      </c>
      <c r="H72" s="52" t="s">
        <v>632</v>
      </c>
      <c r="I72" s="52" t="s">
        <v>632</v>
      </c>
      <c r="J72" s="53" t="s">
        <v>632</v>
      </c>
      <c r="K72" s="51" t="s">
        <v>632</v>
      </c>
      <c r="L72" s="51">
        <v>4</v>
      </c>
      <c r="M72" s="51"/>
      <c r="N72" s="51" t="s">
        <v>662</v>
      </c>
      <c r="O72" s="41">
        <v>99161</v>
      </c>
    </row>
    <row r="73" spans="1:15" ht="30" hidden="1" customHeight="1">
      <c r="A73" s="45" t="s">
        <v>741</v>
      </c>
      <c r="B73" s="45" t="s">
        <v>654</v>
      </c>
      <c r="C73" s="49" t="s">
        <v>731</v>
      </c>
      <c r="D73" s="50" t="s">
        <v>659</v>
      </c>
      <c r="E73" s="51">
        <v>450</v>
      </c>
      <c r="F73" s="51">
        <v>400</v>
      </c>
      <c r="G73" s="51">
        <v>125</v>
      </c>
      <c r="H73" s="52">
        <f>F73/E73</f>
        <v>0.88888888888888884</v>
      </c>
      <c r="I73" s="52">
        <f>F73/E73</f>
        <v>0.88888888888888884</v>
      </c>
      <c r="J73" s="53">
        <v>25</v>
      </c>
      <c r="K73" s="51">
        <v>1300</v>
      </c>
      <c r="L73" s="51">
        <f>I73*G73*8*24*0.001</f>
        <v>21.333333333333332</v>
      </c>
      <c r="M73" s="51"/>
      <c r="N73" s="51" t="s">
        <v>683</v>
      </c>
    </row>
    <row r="74" spans="1:15" ht="30" hidden="1" customHeight="1">
      <c r="A74" s="45" t="s">
        <v>742</v>
      </c>
      <c r="B74" s="45" t="s">
        <v>654</v>
      </c>
      <c r="C74" s="54" t="s">
        <v>667</v>
      </c>
      <c r="D74" s="50" t="s">
        <v>659</v>
      </c>
      <c r="E74" s="51">
        <v>350</v>
      </c>
      <c r="F74" s="51">
        <v>15</v>
      </c>
      <c r="G74" s="51">
        <v>80</v>
      </c>
      <c r="H74" s="52">
        <f>(F74+F56)/E74</f>
        <v>0.47142857142857142</v>
      </c>
      <c r="I74" s="52">
        <f>F74/E74</f>
        <v>4.2857142857142858E-2</v>
      </c>
      <c r="J74" s="53">
        <v>30</v>
      </c>
      <c r="K74" s="51">
        <v>900</v>
      </c>
      <c r="L74" s="51">
        <f>I74*G74*8*24*0.001</f>
        <v>0.65828571428571436</v>
      </c>
      <c r="M74" s="51"/>
      <c r="N74" s="51" t="s">
        <v>683</v>
      </c>
    </row>
    <row r="75" spans="1:15" ht="30" hidden="1" customHeight="1">
      <c r="A75" s="45" t="s">
        <v>743</v>
      </c>
      <c r="B75" s="45" t="s">
        <v>654</v>
      </c>
      <c r="C75" s="54" t="s">
        <v>667</v>
      </c>
      <c r="D75" s="50" t="s">
        <v>656</v>
      </c>
      <c r="E75" s="51">
        <v>350</v>
      </c>
      <c r="F75" s="51">
        <v>0</v>
      </c>
      <c r="G75" s="51">
        <v>80</v>
      </c>
      <c r="H75" s="52">
        <f>F75/E75</f>
        <v>0</v>
      </c>
      <c r="I75" s="52">
        <f>F75/E75</f>
        <v>0</v>
      </c>
      <c r="J75" s="53">
        <v>40</v>
      </c>
      <c r="K75" s="51">
        <v>850</v>
      </c>
      <c r="L75" s="51">
        <f>I75*G75*8*24*0.001</f>
        <v>0</v>
      </c>
      <c r="M75" s="51"/>
      <c r="N75" s="51"/>
    </row>
    <row r="76" spans="1:15" ht="30" hidden="1" customHeight="1">
      <c r="A76" s="45" t="s">
        <v>744</v>
      </c>
      <c r="B76" s="45" t="s">
        <v>654</v>
      </c>
      <c r="C76" s="49" t="s">
        <v>727</v>
      </c>
      <c r="D76" s="50" t="s">
        <v>659</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632</v>
      </c>
      <c r="J78" s="39"/>
      <c r="K78" s="41"/>
      <c r="L78" s="41"/>
      <c r="M78" s="41"/>
      <c r="N78" s="41"/>
      <c r="O78" s="41"/>
    </row>
  </sheetData>
  <autoFilter ref="A9:O76">
    <filterColumn colId="1">
      <filters>
        <filter val="PU"/>
      </filters>
    </filterColumn>
  </autoFilter>
  <pageMargins left="0.3" right="0.3" top="0.28000000000000003" bottom="0.4" header="0.5" footer="0.25"/>
  <pageSetup scale="38" fitToHeight="2" orientation="portrait"/>
  <headerFooter alignWithMargins="0">
    <oddFooter>&amp;L&amp;Z&amp;F</odd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2:Y77"/>
  <sheetViews>
    <sheetView topLeftCell="A10" workbookViewId="0">
      <selection activeCell="O21" sqref="O21"/>
    </sheetView>
  </sheetViews>
  <sheetFormatPr baseColWidth="10" defaultColWidth="8.83203125" defaultRowHeight="12" x14ac:dyDescent="0"/>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18">
      <c r="B2" s="77" t="s">
        <v>897</v>
      </c>
    </row>
    <row r="3" spans="1:25" ht="13">
      <c r="A3" s="67" t="s">
        <v>886</v>
      </c>
      <c r="B3" s="66" t="s">
        <v>895</v>
      </c>
      <c r="C3" s="66" t="s">
        <v>896</v>
      </c>
      <c r="D3" s="66" t="s">
        <v>887</v>
      </c>
      <c r="E3" s="66" t="s">
        <v>888</v>
      </c>
      <c r="F3" s="66" t="s">
        <v>889</v>
      </c>
      <c r="G3" s="66" t="s">
        <v>890</v>
      </c>
      <c r="H3" s="66" t="s">
        <v>891</v>
      </c>
      <c r="I3" s="66" t="s">
        <v>892</v>
      </c>
      <c r="J3" s="66" t="s">
        <v>893</v>
      </c>
      <c r="K3" t="s">
        <v>894</v>
      </c>
    </row>
    <row r="4" spans="1:25" ht="14">
      <c r="A4" s="68">
        <v>560101</v>
      </c>
      <c r="B4" s="69" t="s">
        <v>826</v>
      </c>
      <c r="C4" s="69" t="s">
        <v>827</v>
      </c>
      <c r="D4" s="70">
        <v>2.355</v>
      </c>
      <c r="E4" s="68">
        <v>67</v>
      </c>
      <c r="F4" s="68">
        <v>76</v>
      </c>
      <c r="G4" s="68">
        <v>172</v>
      </c>
      <c r="H4" s="70">
        <v>0.70399999999999996</v>
      </c>
      <c r="J4" s="66"/>
      <c r="K4" s="78">
        <v>743.9</v>
      </c>
      <c r="M4" s="64" t="s">
        <v>823</v>
      </c>
      <c r="N4" s="64" t="s">
        <v>886</v>
      </c>
      <c r="O4" s="64" t="s">
        <v>895</v>
      </c>
      <c r="P4" s="64" t="s">
        <v>896</v>
      </c>
      <c r="Q4" s="64" t="s">
        <v>887</v>
      </c>
      <c r="R4" s="64" t="s">
        <v>888</v>
      </c>
      <c r="S4" s="64" t="s">
        <v>889</v>
      </c>
      <c r="T4" s="64" t="s">
        <v>890</v>
      </c>
      <c r="U4" s="64" t="s">
        <v>891</v>
      </c>
      <c r="V4" s="64" t="s">
        <v>892</v>
      </c>
      <c r="W4" s="64" t="s">
        <v>893</v>
      </c>
      <c r="X4" s="64" t="s">
        <v>894</v>
      </c>
      <c r="Y4" s="64" t="s">
        <v>825</v>
      </c>
    </row>
    <row r="5" spans="1:25" ht="13">
      <c r="A5" s="68">
        <v>561100</v>
      </c>
      <c r="B5" s="69" t="s">
        <v>828</v>
      </c>
      <c r="C5" s="69" t="s">
        <v>829</v>
      </c>
      <c r="D5" s="71">
        <v>0</v>
      </c>
      <c r="E5" s="68">
        <v>120</v>
      </c>
      <c r="F5" s="71">
        <v>0</v>
      </c>
      <c r="G5" s="68">
        <v>776</v>
      </c>
      <c r="H5" s="70">
        <v>0.64</v>
      </c>
      <c r="J5" s="66"/>
      <c r="K5" s="78">
        <v>19.8</v>
      </c>
      <c r="M5">
        <v>99229</v>
      </c>
      <c r="Q5" s="65"/>
      <c r="Y5" s="65">
        <v>0</v>
      </c>
    </row>
    <row r="6" spans="1:25" ht="13">
      <c r="A6" s="68">
        <v>561105</v>
      </c>
      <c r="B6" s="69" t="s">
        <v>830</v>
      </c>
      <c r="C6" s="69" t="s">
        <v>831</v>
      </c>
      <c r="D6" s="71">
        <v>0</v>
      </c>
      <c r="E6" s="68">
        <v>216</v>
      </c>
      <c r="F6" s="71">
        <v>0</v>
      </c>
      <c r="G6" s="68">
        <v>700</v>
      </c>
      <c r="H6" s="70">
        <v>0.64</v>
      </c>
      <c r="J6" s="66"/>
      <c r="K6" s="78">
        <v>27.4</v>
      </c>
      <c r="M6">
        <v>93701</v>
      </c>
      <c r="N6">
        <v>567105</v>
      </c>
      <c r="O6" t="s">
        <v>855</v>
      </c>
      <c r="P6" t="s">
        <v>856</v>
      </c>
      <c r="Q6" s="65">
        <v>62</v>
      </c>
      <c r="R6">
        <v>4</v>
      </c>
      <c r="S6">
        <v>4</v>
      </c>
      <c r="T6">
        <v>64</v>
      </c>
      <c r="U6">
        <v>0.56000000000000005</v>
      </c>
      <c r="X6">
        <v>420.3</v>
      </c>
      <c r="Y6" s="65">
        <v>0.8496428925630084</v>
      </c>
    </row>
    <row r="7" spans="1:25" ht="13">
      <c r="A7" s="68">
        <v>562100</v>
      </c>
      <c r="B7" s="69" t="s">
        <v>832</v>
      </c>
      <c r="C7" s="69" t="s">
        <v>833</v>
      </c>
      <c r="D7" s="71">
        <v>0</v>
      </c>
      <c r="E7" s="68">
        <v>14</v>
      </c>
      <c r="F7" s="71">
        <v>0</v>
      </c>
      <c r="G7" s="68">
        <v>73</v>
      </c>
      <c r="H7" s="70">
        <v>0.64</v>
      </c>
      <c r="J7" s="66"/>
      <c r="K7" s="78">
        <v>142.80000000000001</v>
      </c>
      <c r="M7" t="s">
        <v>796</v>
      </c>
      <c r="Q7" s="65"/>
      <c r="Y7" s="65">
        <v>0</v>
      </c>
    </row>
    <row r="8" spans="1:25" ht="13">
      <c r="A8" s="68">
        <v>565100</v>
      </c>
      <c r="B8" s="69" t="s">
        <v>749</v>
      </c>
      <c r="C8" s="69" t="s">
        <v>834</v>
      </c>
      <c r="D8" s="71">
        <v>0</v>
      </c>
      <c r="E8" s="68">
        <v>0</v>
      </c>
      <c r="F8" s="71">
        <v>0</v>
      </c>
      <c r="G8" s="68">
        <v>0</v>
      </c>
      <c r="H8" s="70">
        <v>0.66</v>
      </c>
      <c r="J8" s="66"/>
      <c r="K8" s="78">
        <v>0</v>
      </c>
      <c r="M8">
        <v>96701</v>
      </c>
      <c r="N8">
        <v>565100</v>
      </c>
      <c r="O8" t="s">
        <v>749</v>
      </c>
      <c r="P8" t="s">
        <v>834</v>
      </c>
      <c r="Q8" s="65">
        <v>0</v>
      </c>
      <c r="R8">
        <v>0</v>
      </c>
      <c r="S8">
        <v>0</v>
      </c>
      <c r="T8">
        <v>0</v>
      </c>
      <c r="U8">
        <v>0.66</v>
      </c>
      <c r="X8">
        <v>0</v>
      </c>
      <c r="Y8" s="65">
        <v>1</v>
      </c>
    </row>
    <row r="9" spans="1:25" ht="13">
      <c r="A9" s="68">
        <v>565105</v>
      </c>
      <c r="B9" s="69" t="s">
        <v>750</v>
      </c>
      <c r="C9" s="69" t="s">
        <v>835</v>
      </c>
      <c r="D9" s="68">
        <v>412</v>
      </c>
      <c r="E9" s="68">
        <v>17</v>
      </c>
      <c r="F9" s="68">
        <v>19</v>
      </c>
      <c r="G9" s="68">
        <v>57</v>
      </c>
      <c r="H9" s="70">
        <v>0.69599999999999995</v>
      </c>
      <c r="J9" s="66"/>
      <c r="K9" s="78">
        <v>528</v>
      </c>
      <c r="M9">
        <v>82001</v>
      </c>
      <c r="N9">
        <v>565105</v>
      </c>
      <c r="O9" t="s">
        <v>750</v>
      </c>
      <c r="P9" t="s">
        <v>835</v>
      </c>
      <c r="Q9" s="65">
        <v>412</v>
      </c>
      <c r="R9">
        <v>17</v>
      </c>
      <c r="S9">
        <v>19</v>
      </c>
      <c r="T9">
        <v>57</v>
      </c>
      <c r="U9">
        <v>0.69599999999999995</v>
      </c>
      <c r="X9">
        <v>528</v>
      </c>
      <c r="Y9" s="65">
        <v>1</v>
      </c>
    </row>
    <row r="10" spans="1:25" ht="13">
      <c r="A10" s="68">
        <v>565110</v>
      </c>
      <c r="B10" s="69" t="s">
        <v>751</v>
      </c>
      <c r="C10" s="69" t="s">
        <v>836</v>
      </c>
      <c r="D10" s="70">
        <v>3.77</v>
      </c>
      <c r="E10" s="68">
        <v>105</v>
      </c>
      <c r="F10" s="68">
        <v>122</v>
      </c>
      <c r="G10" s="68">
        <v>60</v>
      </c>
      <c r="H10" s="70">
        <v>0.73199999999999998</v>
      </c>
      <c r="J10" s="66"/>
      <c r="K10" s="78">
        <v>743.2</v>
      </c>
      <c r="M10">
        <v>96501</v>
      </c>
      <c r="N10">
        <v>565110</v>
      </c>
      <c r="O10" t="s">
        <v>751</v>
      </c>
      <c r="P10" t="s">
        <v>836</v>
      </c>
      <c r="Q10" s="65">
        <v>3.77</v>
      </c>
      <c r="R10">
        <v>105</v>
      </c>
      <c r="S10">
        <v>122</v>
      </c>
      <c r="T10">
        <v>60</v>
      </c>
      <c r="U10">
        <v>0.73199999999999998</v>
      </c>
      <c r="X10">
        <v>743.2</v>
      </c>
      <c r="Y10" s="65">
        <v>1</v>
      </c>
    </row>
    <row r="11" spans="1:25" ht="13">
      <c r="A11" s="68">
        <v>565115</v>
      </c>
      <c r="B11" s="69" t="s">
        <v>837</v>
      </c>
      <c r="C11" s="69" t="s">
        <v>838</v>
      </c>
      <c r="D11" s="72">
        <v>3067</v>
      </c>
      <c r="E11" s="68">
        <v>89</v>
      </c>
      <c r="F11" s="68">
        <v>99</v>
      </c>
      <c r="G11" s="68">
        <v>544</v>
      </c>
      <c r="H11" s="70">
        <v>0.70299999999999996</v>
      </c>
      <c r="J11" s="66"/>
      <c r="K11" s="78">
        <v>744.1</v>
      </c>
      <c r="M11">
        <v>99230</v>
      </c>
      <c r="Q11" s="65"/>
      <c r="Y11" s="65">
        <v>0</v>
      </c>
    </row>
    <row r="12" spans="1:25" ht="13">
      <c r="A12" s="68">
        <v>566100</v>
      </c>
      <c r="B12" s="69" t="s">
        <v>839</v>
      </c>
      <c r="C12" s="69" t="s">
        <v>840</v>
      </c>
      <c r="D12" s="70">
        <v>5.78</v>
      </c>
      <c r="E12" s="68">
        <v>171</v>
      </c>
      <c r="F12" s="68">
        <v>186</v>
      </c>
      <c r="G12" s="68">
        <v>696</v>
      </c>
      <c r="H12" s="70">
        <v>0.66300000000000003</v>
      </c>
      <c r="J12" s="66"/>
      <c r="K12" s="78">
        <v>744.4</v>
      </c>
      <c r="M12">
        <v>99286</v>
      </c>
      <c r="Q12" s="65"/>
      <c r="Y12" s="65">
        <v>0</v>
      </c>
    </row>
    <row r="13" spans="1:25" ht="13">
      <c r="A13" s="68">
        <v>566105</v>
      </c>
      <c r="B13" s="69" t="s">
        <v>841</v>
      </c>
      <c r="C13" s="69" t="s">
        <v>842</v>
      </c>
      <c r="D13" s="70">
        <v>6.9969999999999999</v>
      </c>
      <c r="E13" s="68">
        <v>315</v>
      </c>
      <c r="F13" s="68">
        <v>370</v>
      </c>
      <c r="G13" s="68">
        <v>65</v>
      </c>
      <c r="H13" s="70">
        <v>0.73199999999999998</v>
      </c>
      <c r="J13" s="66"/>
      <c r="K13" s="78">
        <v>454.4</v>
      </c>
      <c r="M13">
        <v>99294</v>
      </c>
      <c r="Q13" s="65"/>
      <c r="Y13" s="65">
        <v>0</v>
      </c>
    </row>
    <row r="14" spans="1:25" ht="13">
      <c r="A14" s="68">
        <v>566110</v>
      </c>
      <c r="B14" s="69" t="s">
        <v>843</v>
      </c>
      <c r="C14" s="69" t="s">
        <v>844</v>
      </c>
      <c r="D14" s="71">
        <v>0</v>
      </c>
      <c r="E14" s="68">
        <v>8</v>
      </c>
      <c r="F14" s="71">
        <v>0</v>
      </c>
      <c r="G14" s="68">
        <v>49</v>
      </c>
      <c r="H14" s="70">
        <v>0.74399999999999999</v>
      </c>
      <c r="J14" s="66"/>
      <c r="K14" s="78">
        <v>33.9</v>
      </c>
      <c r="M14">
        <v>99293</v>
      </c>
      <c r="Q14" s="65"/>
      <c r="Y14" s="65">
        <v>0</v>
      </c>
    </row>
    <row r="15" spans="1:25" ht="26">
      <c r="A15" s="68">
        <v>566115</v>
      </c>
      <c r="B15" s="69" t="s">
        <v>845</v>
      </c>
      <c r="C15" s="69" t="s">
        <v>846</v>
      </c>
      <c r="D15" s="70">
        <v>4.069</v>
      </c>
      <c r="E15" s="68">
        <v>184</v>
      </c>
      <c r="F15" s="68">
        <v>213</v>
      </c>
      <c r="G15" s="68">
        <v>739</v>
      </c>
      <c r="H15" s="70">
        <v>0.72799999999999998</v>
      </c>
      <c r="J15" s="66"/>
      <c r="K15" s="78">
        <v>458.6</v>
      </c>
      <c r="M15">
        <v>99295</v>
      </c>
      <c r="Q15" s="65"/>
      <c r="Y15" s="65">
        <v>0</v>
      </c>
    </row>
    <row r="16" spans="1:25" ht="13">
      <c r="A16" s="68">
        <v>566120</v>
      </c>
      <c r="B16" s="69" t="s">
        <v>847</v>
      </c>
      <c r="C16" s="69" t="s">
        <v>848</v>
      </c>
      <c r="D16" s="70">
        <v>5.0759999999999996</v>
      </c>
      <c r="E16" s="68">
        <v>232</v>
      </c>
      <c r="F16" s="68">
        <v>269</v>
      </c>
      <c r="G16" s="68">
        <v>63</v>
      </c>
      <c r="H16" s="70">
        <v>0.72799999999999998</v>
      </c>
      <c r="J16" s="66"/>
      <c r="K16" s="78">
        <v>452.8</v>
      </c>
      <c r="M16">
        <v>99228</v>
      </c>
      <c r="N16">
        <v>585100</v>
      </c>
      <c r="O16" t="s">
        <v>878</v>
      </c>
      <c r="P16" t="s">
        <v>879</v>
      </c>
      <c r="Q16" s="65">
        <v>0</v>
      </c>
      <c r="R16">
        <v>0</v>
      </c>
      <c r="S16">
        <v>0</v>
      </c>
      <c r="T16">
        <v>0</v>
      </c>
      <c r="U16">
        <v>0.69399999999999995</v>
      </c>
      <c r="X16">
        <v>0</v>
      </c>
      <c r="Y16" s="65">
        <v>0.96389264549316622</v>
      </c>
    </row>
    <row r="17" spans="1:25" ht="13">
      <c r="A17" s="68">
        <v>566125</v>
      </c>
      <c r="B17" s="69" t="s">
        <v>849</v>
      </c>
      <c r="C17" s="69" t="s">
        <v>850</v>
      </c>
      <c r="D17" s="70">
        <v>3.6240000000000001</v>
      </c>
      <c r="E17" s="68">
        <v>168</v>
      </c>
      <c r="F17" s="68">
        <v>195</v>
      </c>
      <c r="G17" s="68">
        <v>763</v>
      </c>
      <c r="H17" s="70">
        <v>0.72799999999999998</v>
      </c>
      <c r="J17" s="66"/>
      <c r="K17" s="78">
        <v>447</v>
      </c>
      <c r="M17" t="s">
        <v>798</v>
      </c>
      <c r="Q17" s="65"/>
      <c r="Y17" s="65">
        <v>0</v>
      </c>
    </row>
    <row r="18" spans="1:25" ht="13">
      <c r="A18" s="68">
        <v>566130</v>
      </c>
      <c r="B18" s="69" t="s">
        <v>851</v>
      </c>
      <c r="C18" s="69" t="s">
        <v>852</v>
      </c>
      <c r="D18" s="70">
        <v>4.3499999999999996</v>
      </c>
      <c r="E18" s="68">
        <v>198</v>
      </c>
      <c r="F18" s="68">
        <v>230</v>
      </c>
      <c r="G18" s="68">
        <v>62</v>
      </c>
      <c r="H18" s="70">
        <v>0.72799999999999998</v>
      </c>
      <c r="J18" s="66"/>
      <c r="K18" s="78">
        <v>454.3</v>
      </c>
      <c r="M18">
        <v>99255</v>
      </c>
      <c r="N18">
        <v>595101</v>
      </c>
      <c r="O18" t="s">
        <v>881</v>
      </c>
      <c r="P18" t="s">
        <v>882</v>
      </c>
      <c r="Q18" s="65">
        <v>788</v>
      </c>
      <c r="R18">
        <v>56</v>
      </c>
      <c r="S18">
        <v>62</v>
      </c>
      <c r="T18">
        <v>125</v>
      </c>
      <c r="U18">
        <v>0.622</v>
      </c>
      <c r="X18">
        <v>306.8</v>
      </c>
      <c r="Y18" s="65">
        <v>1</v>
      </c>
    </row>
    <row r="19" spans="1:25" ht="13">
      <c r="A19" s="68">
        <v>567100</v>
      </c>
      <c r="B19" s="69" t="s">
        <v>853</v>
      </c>
      <c r="C19" s="69" t="s">
        <v>854</v>
      </c>
      <c r="D19" s="71">
        <v>0</v>
      </c>
      <c r="E19" s="68">
        <v>315</v>
      </c>
      <c r="F19" s="71">
        <v>0</v>
      </c>
      <c r="G19" s="68">
        <v>180</v>
      </c>
      <c r="H19" s="70">
        <v>0.65</v>
      </c>
      <c r="J19" s="66"/>
      <c r="K19" s="78">
        <v>744</v>
      </c>
      <c r="Q19" s="65"/>
      <c r="Y19" s="65">
        <v>0</v>
      </c>
    </row>
    <row r="20" spans="1:25" ht="26">
      <c r="A20" s="68">
        <v>567105</v>
      </c>
      <c r="B20" s="69" t="s">
        <v>855</v>
      </c>
      <c r="C20" s="69" t="s">
        <v>856</v>
      </c>
      <c r="D20" s="68">
        <v>62</v>
      </c>
      <c r="E20" s="68">
        <v>4</v>
      </c>
      <c r="F20" s="71">
        <v>4</v>
      </c>
      <c r="G20" s="68">
        <v>64</v>
      </c>
      <c r="H20" s="70">
        <v>0.56000000000000005</v>
      </c>
      <c r="J20" s="66"/>
      <c r="K20" s="78">
        <v>420.3</v>
      </c>
      <c r="M20">
        <v>98921</v>
      </c>
      <c r="Q20" s="65"/>
      <c r="Y20" s="65">
        <v>0</v>
      </c>
    </row>
    <row r="21" spans="1:25" ht="26">
      <c r="A21" s="68">
        <v>567110</v>
      </c>
      <c r="B21" s="69" t="s">
        <v>857</v>
      </c>
      <c r="C21" s="73" t="s">
        <v>858</v>
      </c>
      <c r="D21" s="70">
        <v>1.48</v>
      </c>
      <c r="E21" s="68">
        <v>44</v>
      </c>
      <c r="F21" s="68">
        <v>48</v>
      </c>
      <c r="G21" s="68">
        <v>51</v>
      </c>
      <c r="H21" s="70">
        <v>0.65400000000000003</v>
      </c>
      <c r="J21" s="66"/>
      <c r="K21" s="78">
        <v>744.4</v>
      </c>
      <c r="M21">
        <v>99017</v>
      </c>
      <c r="N21">
        <v>575100</v>
      </c>
      <c r="O21" t="s">
        <v>873</v>
      </c>
      <c r="P21" t="s">
        <v>874</v>
      </c>
      <c r="Q21" s="65">
        <v>4.4630000000000001</v>
      </c>
      <c r="R21">
        <v>143</v>
      </c>
      <c r="S21">
        <v>144</v>
      </c>
      <c r="T21">
        <v>83</v>
      </c>
      <c r="U21">
        <v>0.55700000000000005</v>
      </c>
      <c r="X21">
        <v>743.9</v>
      </c>
      <c r="Y21" s="65">
        <v>0.961741324690499</v>
      </c>
    </row>
    <row r="22" spans="1:25" ht="13">
      <c r="A22" s="68">
        <v>568115</v>
      </c>
      <c r="B22" s="69" t="s">
        <v>859</v>
      </c>
      <c r="C22" s="69" t="s">
        <v>860</v>
      </c>
      <c r="D22" s="71">
        <v>0</v>
      </c>
      <c r="E22" s="68">
        <v>292</v>
      </c>
      <c r="F22" s="71">
        <v>0</v>
      </c>
      <c r="G22" s="68">
        <v>53</v>
      </c>
      <c r="H22" s="70">
        <v>0.6</v>
      </c>
      <c r="J22" s="66"/>
      <c r="K22" s="79">
        <v>508</v>
      </c>
      <c r="M22">
        <v>99067</v>
      </c>
      <c r="Q22" s="65"/>
      <c r="Y22" s="65">
        <v>0</v>
      </c>
    </row>
    <row r="23" spans="1:25" ht="13">
      <c r="A23" s="68">
        <v>568120</v>
      </c>
      <c r="B23" s="69" t="s">
        <v>862</v>
      </c>
      <c r="C23" s="69" t="s">
        <v>863</v>
      </c>
      <c r="D23" s="71">
        <v>0</v>
      </c>
      <c r="E23" s="68">
        <v>115</v>
      </c>
      <c r="F23" s="71">
        <v>0</v>
      </c>
      <c r="G23" s="68">
        <v>830</v>
      </c>
      <c r="H23" s="70">
        <v>0.6</v>
      </c>
      <c r="J23" s="66"/>
      <c r="K23" s="78">
        <v>743.8</v>
      </c>
      <c r="M23" t="s">
        <v>796</v>
      </c>
      <c r="Q23" s="65"/>
      <c r="Y23" s="65">
        <v>0</v>
      </c>
    </row>
    <row r="24" spans="1:25" ht="13">
      <c r="A24" s="68">
        <v>568125</v>
      </c>
      <c r="B24" s="69" t="s">
        <v>864</v>
      </c>
      <c r="C24" s="69" t="s">
        <v>865</v>
      </c>
      <c r="D24" s="71">
        <v>0</v>
      </c>
      <c r="E24" s="68">
        <v>6</v>
      </c>
      <c r="F24" s="71">
        <v>0</v>
      </c>
      <c r="G24" s="68">
        <v>45</v>
      </c>
      <c r="H24" s="70">
        <v>0.6</v>
      </c>
      <c r="J24" s="66"/>
      <c r="K24" s="78">
        <v>743.8</v>
      </c>
      <c r="M24">
        <v>99069</v>
      </c>
      <c r="Q24" s="65"/>
      <c r="Y24" s="65">
        <v>0</v>
      </c>
    </row>
    <row r="25" spans="1:25" ht="29">
      <c r="A25" s="68">
        <v>570100</v>
      </c>
      <c r="B25" s="69" t="s">
        <v>866</v>
      </c>
      <c r="C25" s="69" t="s">
        <v>867</v>
      </c>
      <c r="D25" s="70">
        <v>2.0169999999999999</v>
      </c>
      <c r="E25" s="68">
        <v>59</v>
      </c>
      <c r="F25" s="68">
        <v>65</v>
      </c>
      <c r="G25" s="68">
        <v>58</v>
      </c>
      <c r="H25" s="70">
        <v>0.67800000000000005</v>
      </c>
      <c r="J25" s="66"/>
      <c r="K25" s="78">
        <v>743.9</v>
      </c>
      <c r="M25">
        <v>98965</v>
      </c>
      <c r="Q25" s="65"/>
      <c r="Y25" s="65">
        <v>0</v>
      </c>
    </row>
    <row r="26" spans="1:25" ht="26">
      <c r="A26" s="68">
        <v>570105</v>
      </c>
      <c r="B26" s="69" t="s">
        <v>868</v>
      </c>
      <c r="C26" s="69" t="s">
        <v>869</v>
      </c>
      <c r="D26" s="70">
        <v>1.278</v>
      </c>
      <c r="E26" s="68">
        <v>43</v>
      </c>
      <c r="F26" s="68">
        <v>47</v>
      </c>
      <c r="G26" s="68">
        <v>59</v>
      </c>
      <c r="H26" s="70">
        <v>0.66100000000000003</v>
      </c>
      <c r="J26" s="66"/>
      <c r="K26" s="78">
        <v>656.4</v>
      </c>
      <c r="M26">
        <v>48001</v>
      </c>
      <c r="N26">
        <v>566110</v>
      </c>
      <c r="O26" t="s">
        <v>843</v>
      </c>
      <c r="P26" t="s">
        <v>844</v>
      </c>
      <c r="Q26" s="65">
        <v>0</v>
      </c>
      <c r="R26">
        <v>8</v>
      </c>
      <c r="S26">
        <v>0</v>
      </c>
      <c r="T26">
        <v>49</v>
      </c>
      <c r="U26">
        <v>0.74399999999999999</v>
      </c>
      <c r="X26">
        <v>33.9</v>
      </c>
      <c r="Y26" s="65">
        <v>0.95248731265651232</v>
      </c>
    </row>
    <row r="27" spans="1:25" ht="13">
      <c r="A27" s="68">
        <v>570110</v>
      </c>
      <c r="B27" s="69" t="s">
        <v>870</v>
      </c>
      <c r="C27" s="69" t="s">
        <v>871</v>
      </c>
      <c r="D27" s="70">
        <v>2.1080000000000001</v>
      </c>
      <c r="E27" s="68">
        <v>97</v>
      </c>
      <c r="F27" s="68">
        <v>107</v>
      </c>
      <c r="G27" s="68">
        <v>97</v>
      </c>
      <c r="H27" s="70">
        <v>0.68600000000000005</v>
      </c>
      <c r="J27" s="66"/>
      <c r="K27" s="78">
        <v>470.7</v>
      </c>
      <c r="M27">
        <v>93806</v>
      </c>
      <c r="Q27" s="65"/>
      <c r="Y27" s="65">
        <v>0</v>
      </c>
    </row>
    <row r="28" spans="1:25" ht="13">
      <c r="A28" s="68">
        <v>570115</v>
      </c>
      <c r="B28" s="69" t="s">
        <v>791</v>
      </c>
      <c r="C28" s="69" t="s">
        <v>872</v>
      </c>
      <c r="D28" s="70">
        <v>1.3480000000000001</v>
      </c>
      <c r="E28" s="68">
        <v>50</v>
      </c>
      <c r="F28" s="68">
        <v>54</v>
      </c>
      <c r="G28" s="68">
        <v>98</v>
      </c>
      <c r="H28" s="70">
        <v>0.70199999999999996</v>
      </c>
      <c r="J28" s="66"/>
      <c r="K28" s="78">
        <v>595.4</v>
      </c>
      <c r="M28">
        <v>98961</v>
      </c>
      <c r="Q28" s="65"/>
      <c r="Y28" s="65">
        <v>0</v>
      </c>
    </row>
    <row r="29" spans="1:25" ht="13">
      <c r="A29" s="68">
        <v>575100</v>
      </c>
      <c r="B29" s="69" t="s">
        <v>873</v>
      </c>
      <c r="C29" s="69" t="s">
        <v>874</v>
      </c>
      <c r="D29" s="70">
        <v>4.4630000000000001</v>
      </c>
      <c r="E29" s="68">
        <v>143</v>
      </c>
      <c r="F29" s="68">
        <v>144</v>
      </c>
      <c r="G29" s="68">
        <v>83</v>
      </c>
      <c r="H29" s="70">
        <v>0.55700000000000005</v>
      </c>
      <c r="J29" s="66"/>
      <c r="K29" s="78">
        <v>743.9</v>
      </c>
      <c r="M29">
        <v>99307</v>
      </c>
      <c r="Q29" s="65"/>
      <c r="Y29" s="65">
        <v>0</v>
      </c>
    </row>
    <row r="30" spans="1:25" ht="13">
      <c r="A30" s="68">
        <v>575105</v>
      </c>
      <c r="B30" s="69" t="s">
        <v>875</v>
      </c>
      <c r="C30" s="69" t="s">
        <v>876</v>
      </c>
      <c r="D30" s="71">
        <v>0</v>
      </c>
      <c r="E30" s="68">
        <v>206</v>
      </c>
      <c r="F30" s="71">
        <v>0</v>
      </c>
      <c r="G30" s="68">
        <v>1032</v>
      </c>
      <c r="H30" s="70">
        <v>0.65</v>
      </c>
      <c r="J30" s="66"/>
      <c r="K30" s="78">
        <v>744.1</v>
      </c>
      <c r="M30">
        <v>98987</v>
      </c>
      <c r="Q30" s="65"/>
      <c r="Y30" s="65">
        <v>0</v>
      </c>
    </row>
    <row r="31" spans="1:25" ht="13">
      <c r="A31" s="68">
        <v>580100</v>
      </c>
      <c r="B31" s="69" t="s">
        <v>783</v>
      </c>
      <c r="C31" s="69" t="s">
        <v>877</v>
      </c>
      <c r="D31" s="70">
        <v>69.777000000000001</v>
      </c>
      <c r="E31" s="70">
        <v>2.1080000000000001</v>
      </c>
      <c r="F31" s="70">
        <v>2.2509999999999999</v>
      </c>
      <c r="G31" s="68">
        <v>640</v>
      </c>
      <c r="H31" s="70">
        <v>0.65300000000000002</v>
      </c>
      <c r="J31" s="66"/>
      <c r="K31" s="78">
        <v>743.9</v>
      </c>
      <c r="M31">
        <v>98988</v>
      </c>
      <c r="Q31" s="65"/>
      <c r="Y31" s="65">
        <v>0</v>
      </c>
    </row>
    <row r="32" spans="1:25" ht="13">
      <c r="A32" s="68">
        <v>585100</v>
      </c>
      <c r="B32" s="69" t="s">
        <v>878</v>
      </c>
      <c r="C32" s="69" t="s">
        <v>879</v>
      </c>
      <c r="D32" s="71">
        <v>0</v>
      </c>
      <c r="E32" s="68">
        <v>0</v>
      </c>
      <c r="F32" s="71">
        <v>0</v>
      </c>
      <c r="G32" s="68">
        <v>0</v>
      </c>
      <c r="H32" s="70">
        <v>0.69399999999999995</v>
      </c>
      <c r="J32" s="66"/>
      <c r="K32" s="78">
        <v>0</v>
      </c>
      <c r="M32">
        <v>99007</v>
      </c>
      <c r="Q32" s="65"/>
      <c r="Y32" s="65">
        <v>0</v>
      </c>
    </row>
    <row r="33" spans="1:25" ht="13">
      <c r="A33" s="68">
        <v>585105</v>
      </c>
      <c r="B33" s="69" t="s">
        <v>880</v>
      </c>
      <c r="C33" s="69" t="s">
        <v>879</v>
      </c>
      <c r="D33" s="71">
        <v>0</v>
      </c>
      <c r="E33" s="68">
        <v>0</v>
      </c>
      <c r="F33" s="71">
        <v>0</v>
      </c>
      <c r="G33" s="68">
        <v>0</v>
      </c>
      <c r="H33" s="70">
        <v>0.69399999999999995</v>
      </c>
      <c r="J33" s="66"/>
      <c r="K33" s="78">
        <v>0</v>
      </c>
      <c r="M33">
        <v>98956</v>
      </c>
      <c r="Q33" s="65"/>
      <c r="Y33" s="65">
        <v>0</v>
      </c>
    </row>
    <row r="34" spans="1:25" ht="13">
      <c r="A34" s="68">
        <v>595101</v>
      </c>
      <c r="B34" s="69" t="s">
        <v>881</v>
      </c>
      <c r="C34" s="69" t="s">
        <v>882</v>
      </c>
      <c r="D34" s="68">
        <v>788</v>
      </c>
      <c r="E34" s="68">
        <v>56</v>
      </c>
      <c r="F34" s="68">
        <v>62</v>
      </c>
      <c r="G34" s="68">
        <v>125</v>
      </c>
      <c r="H34" s="70">
        <v>0.622</v>
      </c>
      <c r="J34" s="66"/>
      <c r="K34" s="78">
        <v>306.8</v>
      </c>
      <c r="M34">
        <v>89858</v>
      </c>
      <c r="Q34" s="65"/>
      <c r="Y34" s="65">
        <v>0</v>
      </c>
    </row>
    <row r="35" spans="1:25" ht="30">
      <c r="A35" s="74"/>
      <c r="B35" s="74"/>
      <c r="C35" s="75" t="s">
        <v>883</v>
      </c>
      <c r="D35" s="76" t="s">
        <v>884</v>
      </c>
      <c r="E35" s="74"/>
      <c r="F35" s="74"/>
      <c r="G35" s="74"/>
      <c r="H35" s="74"/>
      <c r="I35" s="74"/>
      <c r="J35" s="66"/>
      <c r="M35">
        <v>98959</v>
      </c>
      <c r="Q35" s="65"/>
      <c r="Y35" s="65">
        <v>0</v>
      </c>
    </row>
    <row r="36" spans="1:25" ht="13">
      <c r="A36" s="74"/>
      <c r="B36" s="69" t="s">
        <v>885</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798</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853</v>
      </c>
      <c r="P44" t="s">
        <v>854</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805</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783</v>
      </c>
      <c r="P52" t="s">
        <v>877</v>
      </c>
      <c r="Q52" s="65">
        <v>69.777000000000001</v>
      </c>
      <c r="R52">
        <v>2.1080000000000001</v>
      </c>
      <c r="S52">
        <v>2.2509999999999999</v>
      </c>
      <c r="T52">
        <v>640</v>
      </c>
      <c r="U52">
        <v>0.65300000000000002</v>
      </c>
      <c r="X52">
        <v>743.9</v>
      </c>
      <c r="Y52" s="65">
        <v>1</v>
      </c>
    </row>
    <row r="53" spans="13:25">
      <c r="M53">
        <v>99128</v>
      </c>
      <c r="N53">
        <v>568115</v>
      </c>
      <c r="O53" t="s">
        <v>859</v>
      </c>
      <c r="P53" t="s">
        <v>860</v>
      </c>
      <c r="Q53" s="65">
        <v>0</v>
      </c>
      <c r="R53">
        <v>292</v>
      </c>
      <c r="S53">
        <v>0</v>
      </c>
      <c r="T53">
        <v>53</v>
      </c>
      <c r="U53">
        <v>0.6</v>
      </c>
      <c r="X53" t="s">
        <v>861</v>
      </c>
      <c r="Y53" s="65">
        <v>0.61904761904761907</v>
      </c>
    </row>
    <row r="54" spans="13:25">
      <c r="M54">
        <v>99134</v>
      </c>
      <c r="N54">
        <v>568120</v>
      </c>
      <c r="O54" t="s">
        <v>862</v>
      </c>
      <c r="P54" t="s">
        <v>863</v>
      </c>
      <c r="Q54" s="65">
        <v>0</v>
      </c>
      <c r="R54">
        <v>115</v>
      </c>
      <c r="S54">
        <v>0</v>
      </c>
      <c r="T54">
        <v>830</v>
      </c>
      <c r="U54">
        <v>0.6</v>
      </c>
      <c r="X54">
        <v>743.8</v>
      </c>
      <c r="Y54" s="65">
        <v>0.98654708520179368</v>
      </c>
    </row>
    <row r="55" spans="13:25">
      <c r="M55">
        <v>99256</v>
      </c>
      <c r="N55">
        <v>560101</v>
      </c>
      <c r="O55" t="s">
        <v>826</v>
      </c>
      <c r="P55" t="s">
        <v>827</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870</v>
      </c>
      <c r="P57" t="s">
        <v>871</v>
      </c>
      <c r="Q57" s="65">
        <v>2.1080000000000001</v>
      </c>
      <c r="R57">
        <v>97</v>
      </c>
      <c r="S57">
        <v>107</v>
      </c>
      <c r="T57">
        <v>97</v>
      </c>
      <c r="U57">
        <v>0.68600000000000005</v>
      </c>
      <c r="X57">
        <v>470.7</v>
      </c>
      <c r="Y57" s="65">
        <v>1</v>
      </c>
    </row>
    <row r="58" spans="13:25">
      <c r="M58">
        <v>96901</v>
      </c>
      <c r="N58">
        <v>570100</v>
      </c>
      <c r="O58" t="s">
        <v>898</v>
      </c>
      <c r="P58" t="s">
        <v>867</v>
      </c>
      <c r="Q58" s="65">
        <v>2.0169999999999999</v>
      </c>
      <c r="R58">
        <v>59</v>
      </c>
      <c r="S58">
        <v>65</v>
      </c>
      <c r="T58">
        <v>58</v>
      </c>
      <c r="U58">
        <v>0.67800000000000005</v>
      </c>
      <c r="X58">
        <v>743.9</v>
      </c>
      <c r="Y58" s="65">
        <v>0.88888888888888895</v>
      </c>
    </row>
    <row r="59" spans="13:25">
      <c r="M59">
        <v>99101</v>
      </c>
      <c r="Q59" s="65"/>
      <c r="Y59" s="65">
        <v>0</v>
      </c>
    </row>
    <row r="60" spans="13:25">
      <c r="M60" t="s">
        <v>811</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832</v>
      </c>
      <c r="P64" t="s">
        <v>833</v>
      </c>
      <c r="Q64" s="65">
        <v>0</v>
      </c>
      <c r="R64">
        <v>14</v>
      </c>
      <c r="S64">
        <v>0</v>
      </c>
      <c r="T64">
        <v>73</v>
      </c>
      <c r="U64">
        <v>0.64</v>
      </c>
      <c r="X64">
        <v>142.80000000000001</v>
      </c>
      <c r="Y64" s="65">
        <v>0.95</v>
      </c>
    </row>
    <row r="65" spans="13:25">
      <c r="M65">
        <v>34001</v>
      </c>
      <c r="N65">
        <v>567110</v>
      </c>
      <c r="O65" t="s">
        <v>857</v>
      </c>
      <c r="P65" t="s">
        <v>899</v>
      </c>
      <c r="Q65" s="65">
        <v>1.48</v>
      </c>
      <c r="R65">
        <v>44</v>
      </c>
      <c r="S65">
        <v>48</v>
      </c>
      <c r="T65">
        <v>51</v>
      </c>
      <c r="U65">
        <v>0.65400000000000003</v>
      </c>
      <c r="X65">
        <v>744.4</v>
      </c>
      <c r="Y65" s="65">
        <v>0.84174725847204079</v>
      </c>
    </row>
    <row r="66" spans="13:25">
      <c r="M66" t="s">
        <v>815</v>
      </c>
      <c r="Q66" s="65"/>
      <c r="Y66" s="65">
        <v>0</v>
      </c>
    </row>
    <row r="67" spans="13:25">
      <c r="M67" t="s">
        <v>816</v>
      </c>
      <c r="Q67" s="65"/>
      <c r="Y67" s="65">
        <v>0</v>
      </c>
    </row>
    <row r="68" spans="13:25">
      <c r="M68">
        <v>98915</v>
      </c>
      <c r="N68">
        <v>561105</v>
      </c>
      <c r="O68" t="s">
        <v>830</v>
      </c>
      <c r="P68" t="s">
        <v>831</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796</v>
      </c>
      <c r="Q74" s="65"/>
      <c r="Y74" s="65">
        <v>0</v>
      </c>
    </row>
    <row r="75" spans="13:25">
      <c r="M75" t="s">
        <v>796</v>
      </c>
      <c r="Q75" s="65"/>
      <c r="Y75" s="65">
        <v>0</v>
      </c>
    </row>
    <row r="76" spans="13:25">
      <c r="M76">
        <v>80001</v>
      </c>
      <c r="N76">
        <v>570115</v>
      </c>
      <c r="O76" t="s">
        <v>791</v>
      </c>
      <c r="P76" t="s">
        <v>872</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E156"/>
  <sheetViews>
    <sheetView workbookViewId="0">
      <selection activeCell="B4" sqref="B4"/>
    </sheetView>
  </sheetViews>
  <sheetFormatPr baseColWidth="10" defaultColWidth="8.83203125" defaultRowHeight="12" x14ac:dyDescent="0"/>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36">
      <c r="B3" s="91" t="s">
        <v>615</v>
      </c>
      <c r="C3" s="92" t="s">
        <v>900</v>
      </c>
      <c r="D3" s="94" t="s">
        <v>903</v>
      </c>
      <c r="E3" s="25" t="s">
        <v>904</v>
      </c>
    </row>
    <row r="4" spans="2:5">
      <c r="B4" s="22" t="s">
        <v>164</v>
      </c>
      <c r="C4" s="93"/>
      <c r="D4" s="95">
        <v>0</v>
      </c>
      <c r="E4" s="96">
        <v>0</v>
      </c>
    </row>
    <row r="5" spans="2:5">
      <c r="B5" s="22" t="s">
        <v>326</v>
      </c>
      <c r="C5" s="93"/>
      <c r="D5" s="95">
        <v>5619</v>
      </c>
      <c r="E5" s="96">
        <v>9658</v>
      </c>
    </row>
    <row r="6" spans="2:5">
      <c r="B6" s="22" t="s">
        <v>222</v>
      </c>
      <c r="C6" s="93">
        <v>14</v>
      </c>
      <c r="D6" s="95">
        <v>475</v>
      </c>
      <c r="E6" s="96">
        <v>422</v>
      </c>
    </row>
    <row r="7" spans="2:5">
      <c r="B7" s="22" t="s">
        <v>146</v>
      </c>
      <c r="C7" s="93"/>
      <c r="D7" s="95">
        <v>0</v>
      </c>
      <c r="E7" s="96">
        <v>0</v>
      </c>
    </row>
    <row r="8" spans="2:5">
      <c r="B8" s="22" t="s">
        <v>93</v>
      </c>
      <c r="C8" s="93">
        <v>0</v>
      </c>
      <c r="D8" s="95">
        <v>34</v>
      </c>
      <c r="E8" s="96">
        <v>23</v>
      </c>
    </row>
    <row r="9" spans="2:5">
      <c r="B9" s="22" t="s">
        <v>303</v>
      </c>
      <c r="C9" s="93"/>
      <c r="D9" s="95">
        <v>0</v>
      </c>
      <c r="E9" s="96">
        <v>0</v>
      </c>
    </row>
    <row r="10" spans="2:5">
      <c r="B10" s="22" t="s">
        <v>74</v>
      </c>
      <c r="C10" s="93"/>
      <c r="D10" s="95">
        <v>0</v>
      </c>
      <c r="E10" s="96">
        <v>0</v>
      </c>
    </row>
    <row r="11" spans="2:5">
      <c r="B11" s="22" t="s">
        <v>170</v>
      </c>
      <c r="C11" s="93">
        <v>0</v>
      </c>
      <c r="D11" s="95">
        <v>539</v>
      </c>
      <c r="E11" s="96">
        <v>636</v>
      </c>
    </row>
    <row r="12" spans="2:5">
      <c r="B12" s="22" t="s">
        <v>86</v>
      </c>
      <c r="C12" s="93"/>
      <c r="D12" s="95">
        <v>0</v>
      </c>
      <c r="E12" s="96">
        <v>0</v>
      </c>
    </row>
    <row r="13" spans="2:5">
      <c r="B13" s="22" t="s">
        <v>380</v>
      </c>
      <c r="C13" s="93"/>
      <c r="D13" s="95">
        <v>0</v>
      </c>
      <c r="E13" s="96">
        <v>0</v>
      </c>
    </row>
    <row r="14" spans="2:5">
      <c r="B14" s="22" t="s">
        <v>383</v>
      </c>
      <c r="C14" s="93"/>
      <c r="D14" s="95">
        <v>0</v>
      </c>
      <c r="E14" s="96">
        <v>0</v>
      </c>
    </row>
    <row r="15" spans="2:5">
      <c r="B15" s="22" t="s">
        <v>130</v>
      </c>
      <c r="C15" s="93"/>
      <c r="D15" s="95">
        <v>0</v>
      </c>
      <c r="E15" s="96">
        <v>0</v>
      </c>
    </row>
    <row r="16" spans="2:5">
      <c r="B16" s="22" t="s">
        <v>181</v>
      </c>
      <c r="C16" s="93">
        <v>277</v>
      </c>
      <c r="D16" s="95">
        <v>4680</v>
      </c>
      <c r="E16" s="96">
        <v>6553</v>
      </c>
    </row>
    <row r="17" spans="2:5">
      <c r="B17" s="22" t="s">
        <v>77</v>
      </c>
      <c r="C17" s="93">
        <v>0</v>
      </c>
      <c r="D17" s="95">
        <v>0</v>
      </c>
      <c r="E17" s="96">
        <v>108</v>
      </c>
    </row>
    <row r="18" spans="2:5">
      <c r="B18" s="22" t="s">
        <v>88</v>
      </c>
      <c r="C18" s="93">
        <v>13</v>
      </c>
      <c r="D18" s="95">
        <v>322</v>
      </c>
      <c r="E18" s="96">
        <v>393</v>
      </c>
    </row>
    <row r="19" spans="2:5">
      <c r="B19" s="22" t="s">
        <v>283</v>
      </c>
      <c r="C19" s="93"/>
      <c r="D19" s="95">
        <v>0</v>
      </c>
      <c r="E19" s="96">
        <v>0</v>
      </c>
    </row>
    <row r="20" spans="2:5">
      <c r="B20" s="22" t="s">
        <v>257</v>
      </c>
      <c r="C20" s="93"/>
      <c r="D20" s="95">
        <v>0</v>
      </c>
      <c r="E20" s="96">
        <v>0</v>
      </c>
    </row>
    <row r="21" spans="2:5">
      <c r="B21" s="22" t="s">
        <v>104</v>
      </c>
      <c r="C21" s="93">
        <v>0</v>
      </c>
      <c r="D21" s="95">
        <v>0</v>
      </c>
      <c r="E21" s="96">
        <v>0</v>
      </c>
    </row>
    <row r="22" spans="2:5">
      <c r="B22" s="22" t="s">
        <v>373</v>
      </c>
      <c r="C22" s="93"/>
      <c r="D22" s="95">
        <v>0</v>
      </c>
      <c r="E22" s="96">
        <v>0</v>
      </c>
    </row>
    <row r="23" spans="2:5">
      <c r="B23" s="22" t="s">
        <v>314</v>
      </c>
      <c r="C23" s="93"/>
      <c r="D23" s="95">
        <v>0</v>
      </c>
      <c r="E23" s="96">
        <v>0</v>
      </c>
    </row>
    <row r="24" spans="2:5">
      <c r="B24" s="22" t="s">
        <v>80</v>
      </c>
      <c r="C24" s="93">
        <v>210</v>
      </c>
      <c r="D24" s="95">
        <v>4939</v>
      </c>
      <c r="E24" s="96">
        <v>5182</v>
      </c>
    </row>
    <row r="25" spans="2:5">
      <c r="B25" s="22" t="s">
        <v>352</v>
      </c>
      <c r="C25" s="93">
        <v>0</v>
      </c>
      <c r="D25" s="95">
        <v>460</v>
      </c>
      <c r="E25" s="96">
        <v>469</v>
      </c>
    </row>
    <row r="26" spans="2:5">
      <c r="B26" s="22" t="s">
        <v>142</v>
      </c>
      <c r="C26" s="93">
        <v>0</v>
      </c>
      <c r="D26" s="95">
        <v>74</v>
      </c>
      <c r="E26" s="96">
        <v>0</v>
      </c>
    </row>
    <row r="27" spans="2:5">
      <c r="B27" s="22" t="s">
        <v>358</v>
      </c>
      <c r="C27" s="93">
        <v>90</v>
      </c>
      <c r="D27" s="95">
        <v>1792</v>
      </c>
      <c r="E27" s="96">
        <v>1937</v>
      </c>
    </row>
    <row r="28" spans="2:5">
      <c r="B28" s="22" t="s">
        <v>336</v>
      </c>
      <c r="C28" s="93"/>
      <c r="D28" s="95">
        <v>0</v>
      </c>
      <c r="E28" s="96">
        <v>0</v>
      </c>
    </row>
    <row r="29" spans="2:5">
      <c r="B29" s="22" t="s">
        <v>82</v>
      </c>
      <c r="C29" s="93"/>
      <c r="D29" s="95">
        <v>0</v>
      </c>
      <c r="E29" s="96">
        <v>0</v>
      </c>
    </row>
    <row r="30" spans="2:5">
      <c r="B30" s="22" t="s">
        <v>179</v>
      </c>
      <c r="C30" s="93"/>
      <c r="D30" s="95">
        <v>0</v>
      </c>
      <c r="E30" s="96">
        <v>0</v>
      </c>
    </row>
    <row r="31" spans="2:5">
      <c r="B31" s="22" t="s">
        <v>191</v>
      </c>
      <c r="C31" s="93">
        <v>25</v>
      </c>
      <c r="D31" s="95">
        <v>888</v>
      </c>
      <c r="E31" s="96">
        <v>350</v>
      </c>
    </row>
    <row r="32" spans="2:5">
      <c r="B32" s="22" t="s">
        <v>190</v>
      </c>
      <c r="C32" s="93"/>
      <c r="D32" s="95">
        <v>0</v>
      </c>
      <c r="E32" s="96">
        <v>0</v>
      </c>
    </row>
    <row r="33" spans="2:5">
      <c r="B33" s="22" t="s">
        <v>204</v>
      </c>
      <c r="C33" s="93"/>
      <c r="D33" s="95">
        <v>0</v>
      </c>
      <c r="E33" s="96">
        <v>0</v>
      </c>
    </row>
    <row r="34" spans="2:5">
      <c r="B34" s="22" t="s">
        <v>152</v>
      </c>
      <c r="C34" s="93"/>
      <c r="D34" s="95">
        <v>0</v>
      </c>
      <c r="E34" s="96">
        <v>0</v>
      </c>
    </row>
    <row r="35" spans="2:5">
      <c r="B35" s="22" t="s">
        <v>153</v>
      </c>
      <c r="C35" s="93"/>
      <c r="D35" s="95">
        <v>0</v>
      </c>
      <c r="E35" s="96">
        <v>0</v>
      </c>
    </row>
    <row r="36" spans="2:5">
      <c r="B36" s="22" t="s">
        <v>157</v>
      </c>
      <c r="C36" s="93"/>
      <c r="D36" s="95">
        <v>0</v>
      </c>
      <c r="E36" s="96">
        <v>0</v>
      </c>
    </row>
    <row r="37" spans="2:5">
      <c r="B37" s="22" t="s">
        <v>162</v>
      </c>
      <c r="C37" s="93"/>
      <c r="D37" s="95">
        <v>0</v>
      </c>
      <c r="E37" s="96">
        <v>0</v>
      </c>
    </row>
    <row r="38" spans="2:5">
      <c r="B38" s="22" t="s">
        <v>160</v>
      </c>
      <c r="C38" s="93"/>
      <c r="D38" s="95">
        <v>0</v>
      </c>
      <c r="E38" s="96">
        <v>0</v>
      </c>
    </row>
    <row r="39" spans="2:5">
      <c r="B39" s="22" t="s">
        <v>310</v>
      </c>
      <c r="C39" s="93"/>
      <c r="D39" s="95">
        <v>0</v>
      </c>
      <c r="E39" s="96">
        <v>0</v>
      </c>
    </row>
    <row r="40" spans="2:5">
      <c r="B40" s="22" t="s">
        <v>254</v>
      </c>
      <c r="C40" s="93">
        <v>0</v>
      </c>
      <c r="D40" s="95">
        <v>542</v>
      </c>
      <c r="E40" s="96">
        <v>564</v>
      </c>
    </row>
    <row r="41" spans="2:5">
      <c r="B41" s="22" t="s">
        <v>96</v>
      </c>
      <c r="C41" s="93">
        <v>0</v>
      </c>
      <c r="D41" s="95">
        <v>0</v>
      </c>
      <c r="E41" s="96">
        <v>0</v>
      </c>
    </row>
    <row r="42" spans="2:5">
      <c r="B42" s="22" t="s">
        <v>329</v>
      </c>
      <c r="C42" s="93"/>
      <c r="D42" s="95">
        <v>0</v>
      </c>
      <c r="E42" s="96">
        <v>0</v>
      </c>
    </row>
    <row r="43" spans="2:5">
      <c r="B43" s="22" t="s">
        <v>331</v>
      </c>
      <c r="C43" s="93"/>
      <c r="D43" s="95">
        <v>0</v>
      </c>
      <c r="E43" s="96">
        <v>0</v>
      </c>
    </row>
    <row r="44" spans="2:5">
      <c r="B44" s="22" t="s">
        <v>318</v>
      </c>
      <c r="C44" s="93"/>
      <c r="D44" s="95">
        <v>0</v>
      </c>
      <c r="E44" s="96">
        <v>0</v>
      </c>
    </row>
    <row r="45" spans="2:5">
      <c r="B45" s="22" t="s">
        <v>320</v>
      </c>
      <c r="C45" s="93"/>
      <c r="D45" s="95">
        <v>0</v>
      </c>
      <c r="E45" s="96">
        <v>0</v>
      </c>
    </row>
    <row r="46" spans="2:5">
      <c r="B46" s="22" t="s">
        <v>305</v>
      </c>
      <c r="C46" s="93"/>
      <c r="D46" s="95">
        <v>0</v>
      </c>
      <c r="E46" s="96">
        <v>0</v>
      </c>
    </row>
    <row r="47" spans="2:5">
      <c r="B47" s="22" t="s">
        <v>259</v>
      </c>
      <c r="C47" s="93"/>
      <c r="D47" s="95">
        <v>0</v>
      </c>
      <c r="E47" s="96">
        <v>0</v>
      </c>
    </row>
    <row r="48" spans="2:5">
      <c r="B48" s="22" t="s">
        <v>280</v>
      </c>
      <c r="C48" s="93">
        <v>46</v>
      </c>
      <c r="D48" s="95">
        <v>577</v>
      </c>
      <c r="E48" s="96">
        <v>146</v>
      </c>
    </row>
    <row r="49" spans="2:5">
      <c r="B49" s="22" t="s">
        <v>276</v>
      </c>
      <c r="C49" s="93">
        <v>16</v>
      </c>
      <c r="D49" s="95">
        <v>270</v>
      </c>
      <c r="E49" s="96">
        <v>128</v>
      </c>
    </row>
    <row r="50" spans="2:5">
      <c r="B50" s="22" t="s">
        <v>277</v>
      </c>
      <c r="C50" s="93">
        <v>54</v>
      </c>
      <c r="D50" s="95">
        <v>1457</v>
      </c>
      <c r="E50" s="96">
        <v>1092</v>
      </c>
    </row>
    <row r="51" spans="2:5">
      <c r="B51" s="22" t="s">
        <v>275</v>
      </c>
      <c r="C51" s="93"/>
      <c r="D51" s="95">
        <v>0</v>
      </c>
      <c r="E51" s="96">
        <v>0</v>
      </c>
    </row>
    <row r="52" spans="2:5">
      <c r="B52" s="22" t="s">
        <v>278</v>
      </c>
      <c r="C52" s="93">
        <v>72</v>
      </c>
      <c r="D52" s="95">
        <v>1122</v>
      </c>
      <c r="E52" s="96">
        <v>1075</v>
      </c>
    </row>
    <row r="53" spans="2:5">
      <c r="B53" s="22" t="s">
        <v>338</v>
      </c>
      <c r="C53" s="93">
        <v>252</v>
      </c>
      <c r="D53" s="95">
        <v>7591</v>
      </c>
      <c r="E53" s="96">
        <v>5235</v>
      </c>
    </row>
    <row r="54" spans="2:5">
      <c r="B54" s="22" t="s">
        <v>210</v>
      </c>
      <c r="C54" s="93"/>
      <c r="D54" s="95">
        <v>0</v>
      </c>
      <c r="E54" s="96">
        <v>0</v>
      </c>
    </row>
    <row r="55" spans="2:5">
      <c r="B55" s="22" t="s">
        <v>224</v>
      </c>
      <c r="C55" s="93"/>
      <c r="D55" s="95">
        <v>0</v>
      </c>
      <c r="E55" s="96">
        <v>0</v>
      </c>
    </row>
    <row r="56" spans="2:5">
      <c r="B56" s="22" t="s">
        <v>298</v>
      </c>
      <c r="C56" s="93"/>
      <c r="D56" s="95">
        <v>0</v>
      </c>
      <c r="E56" s="96">
        <v>0</v>
      </c>
    </row>
    <row r="57" spans="2:5">
      <c r="B57" s="22" t="s">
        <v>120</v>
      </c>
      <c r="C57" s="93"/>
      <c r="D57" s="95">
        <v>0</v>
      </c>
      <c r="E57" s="96">
        <v>0</v>
      </c>
    </row>
    <row r="58" spans="2:5">
      <c r="B58" s="22" t="s">
        <v>291</v>
      </c>
      <c r="C58" s="93">
        <v>0</v>
      </c>
      <c r="D58" s="95">
        <v>47</v>
      </c>
      <c r="E58" s="96">
        <v>140</v>
      </c>
    </row>
    <row r="59" spans="2:5">
      <c r="B59" s="22" t="s">
        <v>285</v>
      </c>
      <c r="C59" s="93">
        <v>0</v>
      </c>
      <c r="D59" s="95">
        <v>71</v>
      </c>
      <c r="E59" s="96">
        <v>10</v>
      </c>
    </row>
    <row r="60" spans="2:5">
      <c r="B60" s="22" t="s">
        <v>287</v>
      </c>
      <c r="C60" s="93">
        <v>90</v>
      </c>
      <c r="D60" s="95">
        <v>2645</v>
      </c>
      <c r="E60" s="96">
        <v>1287</v>
      </c>
    </row>
    <row r="61" spans="2:5">
      <c r="B61" s="22" t="s">
        <v>289</v>
      </c>
      <c r="C61" s="93"/>
      <c r="D61" s="95">
        <v>0</v>
      </c>
      <c r="E61" s="96">
        <v>0</v>
      </c>
    </row>
    <row r="62" spans="2:5">
      <c r="B62" s="22" t="s">
        <v>248</v>
      </c>
      <c r="C62" s="93"/>
      <c r="D62" s="95">
        <v>0</v>
      </c>
      <c r="E62" s="96">
        <v>0</v>
      </c>
    </row>
    <row r="63" spans="2:5">
      <c r="B63" s="22" t="s">
        <v>356</v>
      </c>
      <c r="C63" s="93"/>
      <c r="D63" s="95">
        <v>0</v>
      </c>
      <c r="E63" s="96">
        <v>0</v>
      </c>
    </row>
    <row r="64" spans="2:5">
      <c r="B64" s="22" t="s">
        <v>355</v>
      </c>
      <c r="C64" s="93">
        <v>0</v>
      </c>
      <c r="D64" s="95">
        <v>1015</v>
      </c>
      <c r="E64" s="96">
        <v>1602</v>
      </c>
    </row>
    <row r="65" spans="2:5">
      <c r="B65" s="22" t="s">
        <v>354</v>
      </c>
      <c r="C65" s="93">
        <v>0</v>
      </c>
      <c r="D65" s="95">
        <v>284</v>
      </c>
      <c r="E65" s="96">
        <v>312</v>
      </c>
    </row>
    <row r="66" spans="2:5">
      <c r="B66" s="22" t="s">
        <v>175</v>
      </c>
      <c r="C66" s="93">
        <v>377</v>
      </c>
      <c r="D66" s="95">
        <v>8183</v>
      </c>
      <c r="E66" s="96">
        <v>8593</v>
      </c>
    </row>
    <row r="67" spans="2:5">
      <c r="B67" s="22" t="s">
        <v>115</v>
      </c>
      <c r="C67" s="93"/>
      <c r="D67" s="95">
        <v>0</v>
      </c>
      <c r="E67" s="96">
        <v>0</v>
      </c>
    </row>
    <row r="68" spans="2:5">
      <c r="B68" s="22" t="s">
        <v>360</v>
      </c>
      <c r="C68" s="93"/>
      <c r="D68" s="95">
        <v>0</v>
      </c>
      <c r="E68" s="96">
        <v>0</v>
      </c>
    </row>
    <row r="69" spans="2:5">
      <c r="B69" s="22" t="s">
        <v>340</v>
      </c>
      <c r="C69" s="93"/>
      <c r="D69" s="95">
        <v>2854</v>
      </c>
      <c r="E69" s="96">
        <v>142</v>
      </c>
    </row>
    <row r="70" spans="2:5">
      <c r="B70" s="22" t="s">
        <v>97</v>
      </c>
      <c r="C70" s="93"/>
      <c r="D70" s="95">
        <v>0</v>
      </c>
      <c r="E70" s="96">
        <v>0</v>
      </c>
    </row>
    <row r="71" spans="2:5">
      <c r="B71" s="22" t="s">
        <v>211</v>
      </c>
      <c r="C71" s="93">
        <v>174</v>
      </c>
      <c r="D71" s="95">
        <v>393</v>
      </c>
      <c r="E71" s="96">
        <v>2537</v>
      </c>
    </row>
    <row r="72" spans="2:5">
      <c r="B72" s="22" t="s">
        <v>216</v>
      </c>
      <c r="C72" s="93"/>
      <c r="D72" s="95">
        <v>0</v>
      </c>
      <c r="E72" s="96">
        <v>0</v>
      </c>
    </row>
    <row r="73" spans="2:5">
      <c r="B73" s="22" t="s">
        <v>186</v>
      </c>
      <c r="C73" s="93"/>
      <c r="D73" s="95">
        <v>0</v>
      </c>
      <c r="E73" s="96">
        <v>0</v>
      </c>
    </row>
    <row r="74" spans="2:5">
      <c r="B74" s="22" t="s">
        <v>279</v>
      </c>
      <c r="C74" s="93">
        <v>27</v>
      </c>
      <c r="D74" s="95">
        <v>934</v>
      </c>
      <c r="E74" s="96">
        <v>655</v>
      </c>
    </row>
    <row r="75" spans="2:5">
      <c r="B75" s="22" t="s">
        <v>106</v>
      </c>
      <c r="C75" s="93"/>
      <c r="D75" s="95">
        <v>0</v>
      </c>
      <c r="E75" s="96">
        <v>0</v>
      </c>
    </row>
    <row r="76" spans="2:5">
      <c r="B76" s="22" t="s">
        <v>367</v>
      </c>
      <c r="C76" s="93"/>
      <c r="D76" s="95">
        <v>0</v>
      </c>
      <c r="E76" s="96">
        <v>0</v>
      </c>
    </row>
    <row r="77" spans="2:5">
      <c r="B77" s="22" t="s">
        <v>134</v>
      </c>
      <c r="C77" s="93"/>
      <c r="D77" s="95">
        <v>0</v>
      </c>
      <c r="E77" s="96">
        <v>0</v>
      </c>
    </row>
    <row r="78" spans="2:5">
      <c r="B78" s="22" t="s">
        <v>316</v>
      </c>
      <c r="C78" s="93"/>
      <c r="D78" s="95">
        <v>1385</v>
      </c>
      <c r="E78" s="96">
        <v>1016</v>
      </c>
    </row>
    <row r="79" spans="2:5">
      <c r="B79" s="22" t="s">
        <v>342</v>
      </c>
      <c r="C79" s="93"/>
      <c r="D79" s="95">
        <v>0</v>
      </c>
      <c r="E79" s="96">
        <v>0</v>
      </c>
    </row>
    <row r="80" spans="2:5">
      <c r="B80" s="22" t="s">
        <v>231</v>
      </c>
      <c r="C80" s="93">
        <v>0</v>
      </c>
      <c r="D80" s="95">
        <v>0</v>
      </c>
      <c r="E80" s="96">
        <v>0</v>
      </c>
    </row>
    <row r="81" spans="2:5">
      <c r="B81" s="22" t="s">
        <v>344</v>
      </c>
      <c r="C81" s="93">
        <v>0</v>
      </c>
      <c r="D81" s="95">
        <v>5442</v>
      </c>
      <c r="E81" s="96">
        <v>5459</v>
      </c>
    </row>
    <row r="82" spans="2:5">
      <c r="B82" s="22" t="s">
        <v>238</v>
      </c>
      <c r="C82" s="93"/>
      <c r="D82" s="95">
        <v>0</v>
      </c>
      <c r="E82" s="96">
        <v>0</v>
      </c>
    </row>
    <row r="83" spans="2:5">
      <c r="B83" s="22" t="s">
        <v>385</v>
      </c>
      <c r="C83" s="93">
        <v>150</v>
      </c>
      <c r="D83" s="95">
        <v>199</v>
      </c>
      <c r="E83" s="96">
        <v>4284</v>
      </c>
    </row>
    <row r="84" spans="2:5">
      <c r="B84" s="22" t="s">
        <v>362</v>
      </c>
      <c r="C84" s="93">
        <v>0</v>
      </c>
      <c r="D84" s="95">
        <v>8144</v>
      </c>
      <c r="E84" s="96">
        <v>2361</v>
      </c>
    </row>
    <row r="85" spans="2:5">
      <c r="B85" s="22" t="s">
        <v>212</v>
      </c>
      <c r="C85" s="93">
        <v>0</v>
      </c>
      <c r="D85" s="95">
        <v>0</v>
      </c>
      <c r="E85" s="96">
        <v>8</v>
      </c>
    </row>
    <row r="86" spans="2:5">
      <c r="B86" s="22" t="s">
        <v>218</v>
      </c>
      <c r="C86" s="93"/>
      <c r="D86" s="95">
        <v>0</v>
      </c>
      <c r="E86" s="96">
        <v>0</v>
      </c>
    </row>
    <row r="87" spans="2:5">
      <c r="B87" s="22" t="s">
        <v>333</v>
      </c>
      <c r="C87" s="93"/>
      <c r="D87" s="95">
        <v>0</v>
      </c>
      <c r="E87" s="96">
        <v>0</v>
      </c>
    </row>
    <row r="88" spans="2:5">
      <c r="B88" s="22" t="s">
        <v>123</v>
      </c>
      <c r="C88" s="93"/>
      <c r="D88" s="95">
        <v>0</v>
      </c>
      <c r="E88" s="96">
        <v>0</v>
      </c>
    </row>
    <row r="89" spans="2:5">
      <c r="B89" s="22" t="s">
        <v>155</v>
      </c>
      <c r="C89" s="93"/>
      <c r="D89" s="95">
        <v>0</v>
      </c>
      <c r="E89" s="96">
        <v>0</v>
      </c>
    </row>
    <row r="90" spans="2:5">
      <c r="B90" s="22" t="s">
        <v>794</v>
      </c>
      <c r="C90" s="93">
        <v>0</v>
      </c>
      <c r="D90" s="95">
        <v>664</v>
      </c>
      <c r="E90" s="96"/>
    </row>
    <row r="91" spans="2:5">
      <c r="B91" s="22" t="s">
        <v>228</v>
      </c>
      <c r="C91" s="93"/>
      <c r="D91" s="95">
        <v>0</v>
      </c>
      <c r="E91" s="96">
        <v>0</v>
      </c>
    </row>
    <row r="92" spans="2:5">
      <c r="B92" s="22" t="s">
        <v>327</v>
      </c>
      <c r="C92" s="93"/>
      <c r="D92" s="95">
        <v>3273</v>
      </c>
      <c r="E92" s="96">
        <v>3302</v>
      </c>
    </row>
    <row r="93" spans="2:5">
      <c r="B93" s="22" t="s">
        <v>102</v>
      </c>
      <c r="C93" s="93">
        <v>0</v>
      </c>
      <c r="D93" s="95">
        <v>56716</v>
      </c>
      <c r="E93" s="96">
        <v>61197</v>
      </c>
    </row>
    <row r="94" spans="2:5">
      <c r="B94" s="22" t="s">
        <v>132</v>
      </c>
      <c r="C94" s="93"/>
      <c r="D94" s="95">
        <v>0</v>
      </c>
      <c r="E94" s="96">
        <v>0</v>
      </c>
    </row>
    <row r="95" spans="2:5">
      <c r="B95" s="22" t="s">
        <v>242</v>
      </c>
      <c r="C95" s="93"/>
      <c r="D95" s="95">
        <v>0</v>
      </c>
      <c r="E95" s="96">
        <v>0</v>
      </c>
    </row>
    <row r="96" spans="2:5">
      <c r="B96" s="22" t="s">
        <v>244</v>
      </c>
      <c r="C96" s="93">
        <v>91</v>
      </c>
      <c r="D96" s="95">
        <v>2046</v>
      </c>
      <c r="E96" s="96">
        <v>3118</v>
      </c>
    </row>
    <row r="97" spans="2:5">
      <c r="B97" s="22" t="s">
        <v>371</v>
      </c>
      <c r="C97" s="93">
        <v>0</v>
      </c>
      <c r="D97" s="95">
        <v>0</v>
      </c>
      <c r="E97" s="96">
        <v>0</v>
      </c>
    </row>
    <row r="98" spans="2:5">
      <c r="B98" s="22" t="s">
        <v>335</v>
      </c>
      <c r="C98" s="93"/>
      <c r="D98" s="95">
        <v>0</v>
      </c>
      <c r="E98" s="96">
        <v>0</v>
      </c>
    </row>
    <row r="99" spans="2:5">
      <c r="B99" s="22" t="s">
        <v>118</v>
      </c>
      <c r="C99" s="93"/>
      <c r="D99" s="95">
        <v>0</v>
      </c>
      <c r="E99" s="96">
        <v>0</v>
      </c>
    </row>
    <row r="100" spans="2:5">
      <c r="B100" s="22" t="s">
        <v>312</v>
      </c>
      <c r="C100" s="93"/>
      <c r="D100" s="95">
        <v>0</v>
      </c>
      <c r="E100" s="96">
        <v>0</v>
      </c>
    </row>
    <row r="101" spans="2:5">
      <c r="B101" s="22" t="s">
        <v>295</v>
      </c>
      <c r="C101" s="93">
        <v>0</v>
      </c>
      <c r="D101" s="95">
        <v>2003</v>
      </c>
      <c r="E101" s="96">
        <v>2213</v>
      </c>
    </row>
    <row r="102" spans="2:5">
      <c r="B102" s="22" t="s">
        <v>382</v>
      </c>
      <c r="C102" s="93">
        <v>72</v>
      </c>
      <c r="D102" s="95">
        <v>72</v>
      </c>
      <c r="E102" s="96">
        <v>72</v>
      </c>
    </row>
    <row r="103" spans="2:5">
      <c r="B103" s="22" t="s">
        <v>387</v>
      </c>
      <c r="C103" s="93"/>
      <c r="D103" s="95">
        <v>0</v>
      </c>
      <c r="E103" s="96">
        <v>0</v>
      </c>
    </row>
    <row r="104" spans="2:5">
      <c r="B104" s="22" t="s">
        <v>389</v>
      </c>
      <c r="C104" s="93"/>
      <c r="D104" s="95">
        <v>0</v>
      </c>
      <c r="E104" s="96">
        <v>0</v>
      </c>
    </row>
    <row r="105" spans="2:5">
      <c r="B105" s="22" t="s">
        <v>365</v>
      </c>
      <c r="C105" s="93"/>
      <c r="D105" s="95">
        <v>0</v>
      </c>
      <c r="E105" s="96">
        <v>0</v>
      </c>
    </row>
    <row r="106" spans="2:5">
      <c r="B106" s="22" t="s">
        <v>213</v>
      </c>
      <c r="C106" s="93"/>
      <c r="D106" s="95">
        <v>0</v>
      </c>
      <c r="E106" s="96">
        <v>0</v>
      </c>
    </row>
    <row r="107" spans="2:5">
      <c r="B107" s="22" t="s">
        <v>127</v>
      </c>
      <c r="C107" s="93"/>
      <c r="D107" s="95">
        <v>0</v>
      </c>
      <c r="E107" s="96">
        <v>0</v>
      </c>
    </row>
    <row r="108" spans="2:5">
      <c r="B108" s="22" t="s">
        <v>271</v>
      </c>
      <c r="C108" s="93"/>
      <c r="D108" s="95">
        <v>0</v>
      </c>
      <c r="E108" s="96">
        <v>0</v>
      </c>
    </row>
    <row r="109" spans="2:5">
      <c r="B109" s="22" t="s">
        <v>112</v>
      </c>
      <c r="C109" s="93"/>
      <c r="D109" s="95">
        <v>0</v>
      </c>
      <c r="E109" s="96">
        <v>0</v>
      </c>
    </row>
    <row r="110" spans="2:5">
      <c r="B110" s="22" t="s">
        <v>110</v>
      </c>
      <c r="C110" s="93">
        <v>0</v>
      </c>
      <c r="D110" s="95">
        <v>2269</v>
      </c>
      <c r="E110" s="96">
        <v>2020</v>
      </c>
    </row>
    <row r="111" spans="2:5">
      <c r="B111" s="22" t="s">
        <v>108</v>
      </c>
      <c r="C111" s="93"/>
      <c r="D111" s="95">
        <v>0</v>
      </c>
      <c r="E111" s="96">
        <v>0</v>
      </c>
    </row>
    <row r="112" spans="2:5">
      <c r="B112" s="22" t="s">
        <v>195</v>
      </c>
      <c r="C112" s="93"/>
      <c r="D112" s="95">
        <v>0</v>
      </c>
      <c r="E112" s="96">
        <v>0</v>
      </c>
    </row>
    <row r="113" spans="2:5">
      <c r="B113" s="22" t="s">
        <v>150</v>
      </c>
      <c r="C113" s="93"/>
      <c r="D113" s="95">
        <v>0</v>
      </c>
      <c r="E113" s="96">
        <v>0</v>
      </c>
    </row>
    <row r="114" spans="2:5">
      <c r="B114" s="22" t="s">
        <v>282</v>
      </c>
      <c r="C114" s="93">
        <v>120</v>
      </c>
      <c r="D114" s="95">
        <v>120</v>
      </c>
      <c r="E114" s="96">
        <v>124</v>
      </c>
    </row>
    <row r="115" spans="2:5">
      <c r="B115" s="22" t="s">
        <v>322</v>
      </c>
      <c r="C115" s="93"/>
      <c r="D115" s="95">
        <v>0</v>
      </c>
      <c r="E115" s="96">
        <v>0</v>
      </c>
    </row>
    <row r="116" spans="2:5">
      <c r="B116" s="22" t="s">
        <v>263</v>
      </c>
      <c r="C116" s="93"/>
      <c r="D116" s="95">
        <v>0</v>
      </c>
      <c r="E116" s="96">
        <v>0</v>
      </c>
    </row>
    <row r="117" spans="2:5">
      <c r="B117" s="22" t="s">
        <v>261</v>
      </c>
      <c r="C117" s="93">
        <v>42</v>
      </c>
      <c r="D117" s="95">
        <v>985</v>
      </c>
      <c r="E117" s="96">
        <v>201</v>
      </c>
    </row>
    <row r="118" spans="2:5">
      <c r="B118" s="22" t="s">
        <v>269</v>
      </c>
      <c r="C118" s="93"/>
      <c r="D118" s="95">
        <v>0</v>
      </c>
      <c r="E118" s="96">
        <v>0</v>
      </c>
    </row>
    <row r="119" spans="2:5">
      <c r="B119" s="22" t="s">
        <v>265</v>
      </c>
      <c r="C119" s="93">
        <v>23</v>
      </c>
      <c r="D119" s="95">
        <v>818</v>
      </c>
      <c r="E119" s="96">
        <v>1217</v>
      </c>
    </row>
    <row r="120" spans="2:5">
      <c r="B120" s="22" t="s">
        <v>240</v>
      </c>
      <c r="C120" s="93"/>
      <c r="D120" s="95">
        <v>0</v>
      </c>
      <c r="E120" s="96">
        <v>0</v>
      </c>
    </row>
    <row r="121" spans="2:5">
      <c r="B121" s="22" t="s">
        <v>207</v>
      </c>
      <c r="C121" s="93">
        <v>0</v>
      </c>
      <c r="D121" s="95">
        <v>22145</v>
      </c>
      <c r="E121" s="96">
        <v>23157</v>
      </c>
    </row>
    <row r="122" spans="2:5">
      <c r="B122" s="22" t="s">
        <v>293</v>
      </c>
      <c r="C122" s="93"/>
      <c r="D122" s="95">
        <v>0</v>
      </c>
      <c r="E122" s="96">
        <v>0</v>
      </c>
    </row>
    <row r="123" spans="2:5">
      <c r="B123" s="22" t="s">
        <v>376</v>
      </c>
      <c r="C123" s="93"/>
      <c r="D123" s="95">
        <v>0</v>
      </c>
      <c r="E123" s="96">
        <v>0</v>
      </c>
    </row>
    <row r="124" spans="2:5">
      <c r="B124" s="22" t="s">
        <v>378</v>
      </c>
      <c r="C124" s="93"/>
      <c r="D124" s="95">
        <v>0</v>
      </c>
      <c r="E124" s="96">
        <v>0</v>
      </c>
    </row>
    <row r="125" spans="2:5">
      <c r="B125" s="22" t="s">
        <v>273</v>
      </c>
      <c r="C125" s="93"/>
      <c r="D125" s="95">
        <v>0</v>
      </c>
      <c r="E125" s="96">
        <v>0</v>
      </c>
    </row>
    <row r="126" spans="2:5">
      <c r="B126" s="22" t="s">
        <v>197</v>
      </c>
      <c r="C126" s="93"/>
      <c r="D126" s="95">
        <v>0</v>
      </c>
      <c r="E126" s="96">
        <v>0</v>
      </c>
    </row>
    <row r="127" spans="2:5">
      <c r="B127" s="22" t="s">
        <v>100</v>
      </c>
      <c r="C127" s="93"/>
      <c r="D127" s="95">
        <v>0</v>
      </c>
      <c r="E127" s="96">
        <v>0</v>
      </c>
    </row>
    <row r="128" spans="2:5">
      <c r="B128" s="22" t="s">
        <v>193</v>
      </c>
      <c r="C128" s="93">
        <v>0</v>
      </c>
      <c r="D128" s="95">
        <v>0</v>
      </c>
      <c r="E128" s="96">
        <v>0</v>
      </c>
    </row>
    <row r="129" spans="2:5">
      <c r="B129" s="22" t="s">
        <v>251</v>
      </c>
      <c r="C129" s="93">
        <v>1380</v>
      </c>
      <c r="D129" s="95">
        <v>33760</v>
      </c>
      <c r="E129" s="96">
        <v>38262</v>
      </c>
    </row>
    <row r="130" spans="2:5">
      <c r="B130" s="22" t="s">
        <v>300</v>
      </c>
      <c r="C130" s="93"/>
      <c r="D130" s="95">
        <v>0</v>
      </c>
      <c r="E130" s="96">
        <v>0</v>
      </c>
    </row>
    <row r="131" spans="2:5">
      <c r="B131" s="22" t="s">
        <v>188</v>
      </c>
      <c r="C131" s="93">
        <v>0</v>
      </c>
      <c r="D131" s="95">
        <v>1926</v>
      </c>
      <c r="E131" s="96">
        <v>2259</v>
      </c>
    </row>
    <row r="132" spans="2:5">
      <c r="B132" s="22" t="s">
        <v>309</v>
      </c>
      <c r="C132" s="93">
        <v>0</v>
      </c>
      <c r="D132" s="95">
        <v>265</v>
      </c>
      <c r="E132" s="96">
        <v>271</v>
      </c>
    </row>
    <row r="133" spans="2:5">
      <c r="B133" s="22" t="s">
        <v>91</v>
      </c>
      <c r="C133" s="93">
        <v>0</v>
      </c>
      <c r="D133" s="95">
        <v>0</v>
      </c>
      <c r="E133" s="96">
        <v>0</v>
      </c>
    </row>
    <row r="134" spans="2:5">
      <c r="B134" s="22" t="s">
        <v>324</v>
      </c>
      <c r="C134" s="93"/>
      <c r="D134" s="95">
        <v>0</v>
      </c>
      <c r="E134" s="96">
        <v>0</v>
      </c>
    </row>
    <row r="135" spans="2:5">
      <c r="B135" s="22" t="s">
        <v>136</v>
      </c>
      <c r="C135" s="93"/>
      <c r="D135" s="95">
        <v>0</v>
      </c>
      <c r="E135" s="96">
        <v>0</v>
      </c>
    </row>
    <row r="136" spans="2:5">
      <c r="B136" s="22" t="s">
        <v>137</v>
      </c>
      <c r="C136" s="93"/>
      <c r="D136" s="95">
        <v>0</v>
      </c>
      <c r="E136" s="96">
        <v>0</v>
      </c>
    </row>
    <row r="137" spans="2:5">
      <c r="B137" s="22" t="s">
        <v>233</v>
      </c>
      <c r="C137" s="93">
        <v>450</v>
      </c>
      <c r="D137" s="95">
        <v>18738</v>
      </c>
      <c r="E137" s="96">
        <v>19307</v>
      </c>
    </row>
    <row r="138" spans="2:5">
      <c r="B138" s="22" t="s">
        <v>235</v>
      </c>
      <c r="C138" s="93">
        <v>0</v>
      </c>
      <c r="D138" s="95">
        <v>1681</v>
      </c>
      <c r="E138" s="96">
        <v>2323</v>
      </c>
    </row>
    <row r="139" spans="2:5">
      <c r="B139" s="22" t="s">
        <v>141</v>
      </c>
      <c r="C139" s="93"/>
      <c r="D139" s="95">
        <v>0</v>
      </c>
      <c r="E139" s="96">
        <v>0</v>
      </c>
    </row>
    <row r="140" spans="2:5">
      <c r="B140" s="22" t="s">
        <v>139</v>
      </c>
      <c r="C140" s="93"/>
      <c r="D140" s="95">
        <v>0</v>
      </c>
      <c r="E140" s="96">
        <v>0</v>
      </c>
    </row>
    <row r="141" spans="2:5">
      <c r="B141" s="22" t="s">
        <v>148</v>
      </c>
      <c r="C141" s="93">
        <v>630</v>
      </c>
      <c r="D141" s="95">
        <v>120029</v>
      </c>
      <c r="E141" s="96">
        <v>127072</v>
      </c>
    </row>
    <row r="142" spans="2:5">
      <c r="B142" s="22" t="s">
        <v>144</v>
      </c>
      <c r="C142" s="93"/>
      <c r="D142" s="95">
        <v>0</v>
      </c>
      <c r="E142" s="96">
        <v>0</v>
      </c>
    </row>
    <row r="143" spans="2:5">
      <c r="B143" s="22" t="s">
        <v>393</v>
      </c>
      <c r="C143" s="93"/>
      <c r="D143" s="95">
        <v>0</v>
      </c>
      <c r="E143" s="96">
        <v>0</v>
      </c>
    </row>
    <row r="144" spans="2:5">
      <c r="B144" s="22" t="s">
        <v>220</v>
      </c>
      <c r="C144" s="93">
        <v>0</v>
      </c>
      <c r="D144" s="95">
        <v>0</v>
      </c>
      <c r="E144" s="96">
        <v>52</v>
      </c>
    </row>
    <row r="145" spans="2:5">
      <c r="B145" s="22" t="s">
        <v>246</v>
      </c>
      <c r="C145" s="93">
        <v>5</v>
      </c>
      <c r="D145" s="95">
        <v>18</v>
      </c>
      <c r="E145" s="96">
        <v>36</v>
      </c>
    </row>
    <row r="146" spans="2:5">
      <c r="B146" s="22" t="s">
        <v>173</v>
      </c>
      <c r="C146" s="93"/>
      <c r="D146" s="95">
        <v>0</v>
      </c>
      <c r="E146" s="96">
        <v>0</v>
      </c>
    </row>
    <row r="147" spans="2:5">
      <c r="B147" s="22" t="s">
        <v>369</v>
      </c>
      <c r="C147" s="93"/>
      <c r="D147" s="95">
        <v>0</v>
      </c>
      <c r="E147" s="96">
        <v>0</v>
      </c>
    </row>
    <row r="148" spans="2:5">
      <c r="B148" s="22" t="s">
        <v>202</v>
      </c>
      <c r="C148" s="93">
        <v>0</v>
      </c>
      <c r="D148" s="95">
        <v>0</v>
      </c>
      <c r="E148" s="96">
        <v>0</v>
      </c>
    </row>
    <row r="149" spans="2:5">
      <c r="B149" s="22" t="s">
        <v>199</v>
      </c>
      <c r="C149" s="93">
        <v>0</v>
      </c>
      <c r="D149" s="95">
        <v>0</v>
      </c>
      <c r="E149" s="96">
        <v>211</v>
      </c>
    </row>
    <row r="150" spans="2:5">
      <c r="B150" s="22" t="s">
        <v>200</v>
      </c>
      <c r="C150" s="93">
        <v>0</v>
      </c>
      <c r="D150" s="95">
        <v>0</v>
      </c>
      <c r="E150" s="96">
        <v>0</v>
      </c>
    </row>
    <row r="151" spans="2:5">
      <c r="B151" s="22" t="s">
        <v>116</v>
      </c>
      <c r="C151" s="93"/>
      <c r="D151" s="95">
        <v>0</v>
      </c>
      <c r="E151" s="96">
        <v>0</v>
      </c>
    </row>
    <row r="152" spans="2:5">
      <c r="B152" s="22" t="s">
        <v>166</v>
      </c>
      <c r="C152" s="93"/>
      <c r="D152" s="95">
        <v>0</v>
      </c>
      <c r="E152" s="96">
        <v>0</v>
      </c>
    </row>
    <row r="153" spans="2:5">
      <c r="B153" s="22" t="s">
        <v>168</v>
      </c>
      <c r="C153" s="93">
        <v>0</v>
      </c>
      <c r="D153" s="95">
        <v>0</v>
      </c>
      <c r="E153" s="96">
        <v>0</v>
      </c>
    </row>
    <row r="154" spans="2:5">
      <c r="B154" s="22" t="s">
        <v>267</v>
      </c>
      <c r="C154" s="93">
        <v>20</v>
      </c>
      <c r="D154" s="95">
        <v>170</v>
      </c>
      <c r="E154" s="96">
        <v>513</v>
      </c>
    </row>
    <row r="155" spans="2:5">
      <c r="B155" s="22" t="s">
        <v>85</v>
      </c>
      <c r="C155" s="93"/>
      <c r="D155" s="95">
        <v>0</v>
      </c>
      <c r="E155" s="96">
        <v>0</v>
      </c>
    </row>
    <row r="156" spans="2:5">
      <c r="B156" s="22" t="s">
        <v>616</v>
      </c>
      <c r="C156" s="93">
        <v>4720</v>
      </c>
      <c r="D156" s="95">
        <v>330675</v>
      </c>
      <c r="E156" s="96">
        <v>349304</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C3:C5"/>
  <sheetViews>
    <sheetView workbookViewId="0">
      <selection activeCell="C6" sqref="C6"/>
    </sheetView>
  </sheetViews>
  <sheetFormatPr baseColWidth="10" defaultColWidth="8.83203125" defaultRowHeight="12" x14ac:dyDescent="0"/>
  <cols>
    <col min="3" max="3" width="13.83203125" bestFit="1" customWidth="1"/>
  </cols>
  <sheetData>
    <row r="3" spans="3:3">
      <c r="C3" t="s">
        <v>621</v>
      </c>
    </row>
    <row r="4" spans="3:3">
      <c r="C4">
        <v>14.65</v>
      </c>
    </row>
    <row r="5" spans="3:3">
      <c r="C5">
        <v>14.73</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C2:C68"/>
  <sheetViews>
    <sheetView workbookViewId="0">
      <selection activeCell="F4" sqref="F4"/>
    </sheetView>
  </sheetViews>
  <sheetFormatPr baseColWidth="10" defaultColWidth="8.83203125" defaultRowHeight="12" x14ac:dyDescent="0"/>
  <sheetData>
    <row r="2" spans="3:3">
      <c r="C2" t="s">
        <v>902</v>
      </c>
    </row>
    <row r="3" spans="3:3">
      <c r="C3" t="s">
        <v>901</v>
      </c>
    </row>
    <row r="4" spans="3:3" ht="14">
      <c r="C4" s="157">
        <v>98201</v>
      </c>
    </row>
    <row r="5" spans="3:3" ht="14">
      <c r="C5" s="158">
        <v>99269</v>
      </c>
    </row>
    <row r="6" spans="3:3" ht="14">
      <c r="C6" s="157">
        <v>99288</v>
      </c>
    </row>
    <row r="7" spans="3:3" ht="14">
      <c r="C7" s="158">
        <v>99132</v>
      </c>
    </row>
    <row r="8" spans="3:3" ht="14">
      <c r="C8" s="157">
        <v>99133</v>
      </c>
    </row>
    <row r="9" spans="3:3" ht="14">
      <c r="C9" s="158">
        <v>99247</v>
      </c>
    </row>
    <row r="10" spans="3:3">
      <c r="C10" s="148"/>
    </row>
    <row r="11" spans="3:3">
      <c r="C11" s="148"/>
    </row>
    <row r="12" spans="3:3">
      <c r="C12" s="148"/>
    </row>
    <row r="13" spans="3:3" ht="14">
      <c r="C13" s="139"/>
    </row>
    <row r="14" spans="3:3" ht="14">
      <c r="C14" s="138"/>
    </row>
    <row r="15" spans="3:3" ht="14">
      <c r="C15" s="139"/>
    </row>
    <row r="16" spans="3:3" ht="14">
      <c r="C16" s="138"/>
    </row>
    <row r="17" spans="3:3" ht="14">
      <c r="C17" s="139"/>
    </row>
    <row r="18" spans="3:3" ht="14">
      <c r="C18" s="138"/>
    </row>
    <row r="19" spans="3:3" ht="14">
      <c r="C19" s="139"/>
    </row>
    <row r="20" spans="3:3" ht="14">
      <c r="C20" s="138"/>
    </row>
    <row r="21" spans="3:3" ht="14">
      <c r="C21" s="139"/>
    </row>
    <row r="22" spans="3:3" ht="14">
      <c r="C22" s="138"/>
    </row>
    <row r="23" spans="3:3" ht="14">
      <c r="C23" s="139"/>
    </row>
    <row r="24" spans="3:3" ht="14">
      <c r="C24" s="138"/>
    </row>
    <row r="25" spans="3:3" ht="14">
      <c r="C25" s="88"/>
    </row>
    <row r="26" spans="3:3" ht="14">
      <c r="C26" s="89"/>
    </row>
    <row r="27" spans="3:3" ht="14">
      <c r="C27" s="88"/>
    </row>
    <row r="28" spans="3:3" ht="14">
      <c r="C28" s="89"/>
    </row>
    <row r="29" spans="3:3" ht="14">
      <c r="C29" s="88"/>
    </row>
    <row r="30" spans="3:3" ht="14">
      <c r="C30" s="89"/>
    </row>
    <row r="31" spans="3:3" ht="14">
      <c r="C31" s="88"/>
    </row>
    <row r="32" spans="3:3" ht="14">
      <c r="C32" s="89"/>
    </row>
    <row r="33" spans="3:3" ht="14">
      <c r="C33" s="88"/>
    </row>
    <row r="34" spans="3:3" ht="14">
      <c r="C34" s="89"/>
    </row>
    <row r="35" spans="3:3" ht="14">
      <c r="C35" s="88"/>
    </row>
    <row r="36" spans="3:3" ht="14">
      <c r="C36" s="89"/>
    </row>
    <row r="37" spans="3:3" ht="14">
      <c r="C37" s="88"/>
    </row>
    <row r="38" spans="3:3" ht="14">
      <c r="C38" s="89"/>
    </row>
    <row r="39" spans="3:3" ht="14">
      <c r="C39" s="88"/>
    </row>
    <row r="40" spans="3:3" ht="14">
      <c r="C40" s="89"/>
    </row>
    <row r="41" spans="3:3" ht="14">
      <c r="C41" s="88"/>
    </row>
    <row r="42" spans="3:3" ht="14">
      <c r="C42" s="89"/>
    </row>
    <row r="43" spans="3:3" ht="14">
      <c r="C43" s="88"/>
    </row>
    <row r="44" spans="3:3" ht="14">
      <c r="C44" s="89"/>
    </row>
    <row r="45" spans="3:3" ht="14">
      <c r="C45" s="90"/>
    </row>
    <row r="46" spans="3:3" ht="14">
      <c r="C46" s="89"/>
    </row>
    <row r="47" spans="3:3" ht="14">
      <c r="C47" s="88"/>
    </row>
    <row r="48" spans="3:3" ht="14">
      <c r="C48" s="89"/>
    </row>
    <row r="49" spans="3:3" ht="14">
      <c r="C49" s="88"/>
    </row>
    <row r="50" spans="3:3" ht="14">
      <c r="C50" s="89"/>
    </row>
    <row r="51" spans="3:3" ht="14">
      <c r="C51" s="88"/>
    </row>
    <row r="52" spans="3:3" ht="14">
      <c r="C52" s="89"/>
    </row>
    <row r="53" spans="3:3" ht="14">
      <c r="C53" s="88"/>
    </row>
    <row r="54" spans="3:3" ht="14">
      <c r="C54" s="89"/>
    </row>
    <row r="55" spans="3:3" ht="14">
      <c r="C55" s="88"/>
    </row>
    <row r="56" spans="3:3" ht="14">
      <c r="C56" s="89"/>
    </row>
    <row r="57" spans="3:3" ht="14">
      <c r="C57" s="88"/>
    </row>
    <row r="58" spans="3:3" ht="14">
      <c r="C58" s="89"/>
    </row>
    <row r="59" spans="3:3" ht="14">
      <c r="C59" s="88"/>
    </row>
    <row r="60" spans="3:3" ht="14">
      <c r="C60" s="89"/>
    </row>
    <row r="61" spans="3:3" ht="14">
      <c r="C61" s="88"/>
    </row>
    <row r="62" spans="3:3" ht="14">
      <c r="C62" s="89"/>
    </row>
    <row r="63" spans="3:3" ht="14">
      <c r="C63" s="88"/>
    </row>
    <row r="64" spans="3:3" ht="14">
      <c r="C64" s="89"/>
    </row>
    <row r="65" spans="3:3" ht="14">
      <c r="C65" s="88"/>
    </row>
    <row r="66" spans="3:3" ht="14">
      <c r="C66" s="89"/>
    </row>
    <row r="67" spans="3:3" ht="14">
      <c r="C67" s="88"/>
    </row>
    <row r="68" spans="3:3" ht="14">
      <c r="C68" s="89"/>
    </row>
  </sheetData>
  <conditionalFormatting sqref="C25:C67">
    <cfRule type="duplicateValues" dxfId="53" priority="25"/>
  </conditionalFormatting>
  <conditionalFormatting sqref="C17:C24">
    <cfRule type="duplicateValues" dxfId="52" priority="22"/>
  </conditionalFormatting>
  <conditionalFormatting sqref="C17:C23">
    <cfRule type="duplicateValues" dxfId="51" priority="21"/>
  </conditionalFormatting>
  <conditionalFormatting sqref="C13:C16">
    <cfRule type="duplicateValues" dxfId="50" priority="14"/>
  </conditionalFormatting>
  <conditionalFormatting sqref="C13:C16">
    <cfRule type="duplicateValues" dxfId="49" priority="13"/>
  </conditionalFormatting>
  <conditionalFormatting sqref="C10:C12">
    <cfRule type="duplicateValues" dxfId="48" priority="8"/>
  </conditionalFormatting>
  <conditionalFormatting sqref="C4:C9">
    <cfRule type="duplicateValues" dxfId="47" priority="1"/>
  </conditionalFormatting>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91"/>
  <sheetViews>
    <sheetView workbookViewId="0">
      <selection activeCell="D1" sqref="D1:D191"/>
    </sheetView>
  </sheetViews>
  <sheetFormatPr baseColWidth="10" defaultRowHeight="12" x14ac:dyDescent="0"/>
  <sheetData>
    <row r="1" spans="1:4">
      <c r="A1">
        <v>0</v>
      </c>
      <c r="C1">
        <v>0</v>
      </c>
    </row>
    <row r="2" spans="1:4">
      <c r="A2">
        <v>1</v>
      </c>
      <c r="C2">
        <v>1</v>
      </c>
    </row>
    <row r="3" spans="1:4">
      <c r="A3">
        <v>2</v>
      </c>
      <c r="C3">
        <v>2</v>
      </c>
    </row>
    <row r="4" spans="1:4">
      <c r="A4">
        <v>3</v>
      </c>
      <c r="C4">
        <v>3</v>
      </c>
    </row>
    <row r="5" spans="1:4">
      <c r="A5">
        <v>4</v>
      </c>
      <c r="C5">
        <v>4</v>
      </c>
    </row>
    <row r="6" spans="1:4">
      <c r="A6">
        <v>5</v>
      </c>
      <c r="C6">
        <v>5</v>
      </c>
    </row>
    <row r="7" spans="1:4">
      <c r="A7">
        <v>6</v>
      </c>
      <c r="C7">
        <v>6</v>
      </c>
    </row>
    <row r="8" spans="1:4">
      <c r="A8">
        <v>7</v>
      </c>
      <c r="B8">
        <v>147</v>
      </c>
      <c r="C8">
        <v>7</v>
      </c>
      <c r="D8">
        <v>154</v>
      </c>
    </row>
    <row r="9" spans="1:4">
      <c r="A9">
        <v>8</v>
      </c>
      <c r="C9">
        <v>8</v>
      </c>
    </row>
    <row r="10" spans="1:4">
      <c r="A10">
        <v>9</v>
      </c>
      <c r="C10">
        <v>9</v>
      </c>
    </row>
    <row r="11" spans="1:4">
      <c r="A11">
        <v>10</v>
      </c>
      <c r="C11">
        <v>10</v>
      </c>
    </row>
    <row r="12" spans="1:4">
      <c r="A12">
        <v>11</v>
      </c>
      <c r="B12">
        <v>100</v>
      </c>
      <c r="C12">
        <v>11</v>
      </c>
      <c r="D12">
        <v>224</v>
      </c>
    </row>
    <row r="13" spans="1:4">
      <c r="A13">
        <v>12</v>
      </c>
      <c r="C13">
        <v>12</v>
      </c>
    </row>
    <row r="14" spans="1:4">
      <c r="A14">
        <v>13</v>
      </c>
      <c r="C14">
        <v>13</v>
      </c>
    </row>
    <row r="15" spans="1:4">
      <c r="A15">
        <v>14</v>
      </c>
      <c r="C15">
        <v>14</v>
      </c>
    </row>
    <row r="16" spans="1:4">
      <c r="A16">
        <v>15</v>
      </c>
      <c r="C16">
        <v>15</v>
      </c>
    </row>
    <row r="17" spans="1:4">
      <c r="A17">
        <v>16</v>
      </c>
      <c r="B17">
        <v>384</v>
      </c>
      <c r="C17">
        <v>16</v>
      </c>
      <c r="D17">
        <v>1361</v>
      </c>
    </row>
    <row r="18" spans="1:4">
      <c r="A18">
        <v>17</v>
      </c>
      <c r="C18">
        <v>17</v>
      </c>
    </row>
    <row r="19" spans="1:4">
      <c r="A19">
        <v>18</v>
      </c>
      <c r="B19">
        <v>701</v>
      </c>
      <c r="C19">
        <v>18</v>
      </c>
      <c r="D19">
        <v>58</v>
      </c>
    </row>
    <row r="20" spans="1:4">
      <c r="A20">
        <v>19</v>
      </c>
      <c r="B20">
        <v>384</v>
      </c>
      <c r="C20">
        <v>19</v>
      </c>
      <c r="D20">
        <v>0</v>
      </c>
    </row>
    <row r="21" spans="1:4">
      <c r="A21">
        <v>20</v>
      </c>
      <c r="B21">
        <v>182</v>
      </c>
      <c r="C21">
        <v>20</v>
      </c>
      <c r="D21">
        <v>686</v>
      </c>
    </row>
    <row r="22" spans="1:4">
      <c r="A22">
        <v>21</v>
      </c>
      <c r="B22">
        <v>112</v>
      </c>
      <c r="C22">
        <v>21</v>
      </c>
      <c r="D22">
        <v>0</v>
      </c>
    </row>
    <row r="23" spans="1:4">
      <c r="A23">
        <v>22</v>
      </c>
      <c r="C23">
        <v>22</v>
      </c>
    </row>
    <row r="24" spans="1:4">
      <c r="A24">
        <v>23</v>
      </c>
      <c r="C24">
        <v>23</v>
      </c>
    </row>
    <row r="25" spans="1:4">
      <c r="A25">
        <v>24</v>
      </c>
      <c r="C25">
        <v>24</v>
      </c>
    </row>
    <row r="26" spans="1:4">
      <c r="A26">
        <v>25</v>
      </c>
      <c r="C26">
        <v>25</v>
      </c>
    </row>
    <row r="27" spans="1:4">
      <c r="A27">
        <v>26</v>
      </c>
      <c r="B27">
        <v>123</v>
      </c>
      <c r="C27">
        <v>26</v>
      </c>
      <c r="D27">
        <v>7</v>
      </c>
    </row>
    <row r="28" spans="1:4">
      <c r="A28">
        <v>27</v>
      </c>
      <c r="C28">
        <v>27</v>
      </c>
    </row>
    <row r="29" spans="1:4">
      <c r="A29">
        <v>28</v>
      </c>
      <c r="C29">
        <v>28</v>
      </c>
    </row>
    <row r="30" spans="1:4">
      <c r="A30">
        <v>29</v>
      </c>
      <c r="B30">
        <v>0</v>
      </c>
      <c r="C30">
        <v>29</v>
      </c>
      <c r="D30">
        <v>0</v>
      </c>
    </row>
    <row r="31" spans="1:4">
      <c r="A31">
        <v>30</v>
      </c>
      <c r="C31">
        <v>30</v>
      </c>
    </row>
    <row r="32" spans="1:4">
      <c r="A32">
        <v>31</v>
      </c>
      <c r="C32">
        <v>31</v>
      </c>
    </row>
    <row r="33" spans="1:4">
      <c r="A33">
        <v>32</v>
      </c>
      <c r="B33">
        <v>27</v>
      </c>
      <c r="C33">
        <v>32</v>
      </c>
      <c r="D33">
        <v>78</v>
      </c>
    </row>
    <row r="34" spans="1:4">
      <c r="A34">
        <v>33</v>
      </c>
      <c r="C34">
        <v>33</v>
      </c>
    </row>
    <row r="35" spans="1:4">
      <c r="A35">
        <v>34</v>
      </c>
      <c r="C35">
        <v>34</v>
      </c>
    </row>
    <row r="36" spans="1:4">
      <c r="A36">
        <v>35</v>
      </c>
      <c r="C36">
        <v>35</v>
      </c>
    </row>
    <row r="37" spans="1:4">
      <c r="A37">
        <v>36</v>
      </c>
      <c r="B37">
        <v>104</v>
      </c>
      <c r="C37">
        <v>36</v>
      </c>
      <c r="D37">
        <v>30</v>
      </c>
    </row>
    <row r="38" spans="1:4">
      <c r="A38">
        <v>37</v>
      </c>
      <c r="C38">
        <v>37</v>
      </c>
    </row>
    <row r="39" spans="1:4">
      <c r="A39">
        <v>38</v>
      </c>
      <c r="C39">
        <v>38</v>
      </c>
    </row>
    <row r="40" spans="1:4">
      <c r="A40">
        <v>39</v>
      </c>
      <c r="C40">
        <v>39</v>
      </c>
    </row>
    <row r="41" spans="1:4">
      <c r="A41">
        <v>40</v>
      </c>
      <c r="C41">
        <v>40</v>
      </c>
    </row>
    <row r="42" spans="1:4">
      <c r="A42">
        <v>41</v>
      </c>
      <c r="C42">
        <v>41</v>
      </c>
    </row>
    <row r="43" spans="1:4">
      <c r="A43">
        <v>42</v>
      </c>
      <c r="C43">
        <v>42</v>
      </c>
    </row>
    <row r="44" spans="1:4">
      <c r="A44">
        <v>43</v>
      </c>
      <c r="C44">
        <v>43</v>
      </c>
    </row>
    <row r="45" spans="1:4">
      <c r="A45">
        <v>44</v>
      </c>
      <c r="C45">
        <v>44</v>
      </c>
    </row>
    <row r="46" spans="1:4">
      <c r="A46">
        <v>45</v>
      </c>
      <c r="C46">
        <v>45</v>
      </c>
    </row>
    <row r="47" spans="1:4">
      <c r="A47">
        <v>46</v>
      </c>
      <c r="C47">
        <v>46</v>
      </c>
    </row>
    <row r="48" spans="1:4">
      <c r="A48">
        <v>47</v>
      </c>
      <c r="C48">
        <v>47</v>
      </c>
    </row>
    <row r="49" spans="1:4">
      <c r="A49">
        <v>48</v>
      </c>
      <c r="B49">
        <v>150</v>
      </c>
      <c r="C49">
        <v>48</v>
      </c>
      <c r="D49">
        <v>25</v>
      </c>
    </row>
    <row r="50" spans="1:4">
      <c r="A50">
        <v>49</v>
      </c>
      <c r="C50">
        <v>49</v>
      </c>
    </row>
    <row r="51" spans="1:4">
      <c r="A51">
        <v>50</v>
      </c>
      <c r="C51">
        <v>50</v>
      </c>
    </row>
    <row r="52" spans="1:4">
      <c r="A52">
        <v>51</v>
      </c>
      <c r="C52">
        <v>51</v>
      </c>
    </row>
    <row r="53" spans="1:4">
      <c r="A53">
        <v>52</v>
      </c>
      <c r="C53">
        <v>52</v>
      </c>
    </row>
    <row r="54" spans="1:4">
      <c r="A54">
        <v>53</v>
      </c>
      <c r="C54">
        <v>53</v>
      </c>
    </row>
    <row r="55" spans="1:4">
      <c r="A55">
        <v>54</v>
      </c>
      <c r="C55">
        <v>54</v>
      </c>
    </row>
    <row r="56" spans="1:4">
      <c r="A56">
        <v>55</v>
      </c>
      <c r="C56">
        <v>55</v>
      </c>
    </row>
    <row r="57" spans="1:4">
      <c r="A57">
        <v>56</v>
      </c>
      <c r="C57">
        <v>56</v>
      </c>
    </row>
    <row r="58" spans="1:4">
      <c r="A58">
        <v>57</v>
      </c>
      <c r="C58">
        <v>57</v>
      </c>
    </row>
    <row r="59" spans="1:4">
      <c r="A59">
        <v>58</v>
      </c>
      <c r="C59">
        <v>58</v>
      </c>
    </row>
    <row r="60" spans="1:4">
      <c r="A60">
        <v>59</v>
      </c>
      <c r="C60">
        <v>59</v>
      </c>
    </row>
    <row r="61" spans="1:4">
      <c r="A61">
        <v>60</v>
      </c>
      <c r="C61">
        <v>60</v>
      </c>
    </row>
    <row r="62" spans="1:4">
      <c r="A62">
        <v>61</v>
      </c>
      <c r="C62">
        <v>61</v>
      </c>
    </row>
    <row r="63" spans="1:4">
      <c r="A63">
        <v>62</v>
      </c>
      <c r="C63">
        <v>62</v>
      </c>
    </row>
    <row r="64" spans="1:4">
      <c r="A64">
        <v>63</v>
      </c>
      <c r="C64">
        <v>63</v>
      </c>
    </row>
    <row r="65" spans="1:3">
      <c r="A65">
        <v>64</v>
      </c>
      <c r="C65">
        <v>64</v>
      </c>
    </row>
    <row r="66" spans="1:3">
      <c r="A66">
        <v>65</v>
      </c>
      <c r="C66">
        <v>65</v>
      </c>
    </row>
    <row r="67" spans="1:3">
      <c r="A67">
        <v>66</v>
      </c>
      <c r="C67">
        <v>66</v>
      </c>
    </row>
    <row r="68" spans="1:3">
      <c r="A68">
        <v>67</v>
      </c>
      <c r="C68">
        <v>67</v>
      </c>
    </row>
    <row r="69" spans="1:3">
      <c r="A69">
        <v>68</v>
      </c>
      <c r="C69">
        <v>68</v>
      </c>
    </row>
    <row r="70" spans="1:3">
      <c r="A70">
        <v>69</v>
      </c>
      <c r="C70">
        <v>69</v>
      </c>
    </row>
    <row r="71" spans="1:3">
      <c r="A71">
        <v>70</v>
      </c>
      <c r="C71">
        <v>70</v>
      </c>
    </row>
    <row r="72" spans="1:3">
      <c r="A72">
        <v>71</v>
      </c>
      <c r="C72">
        <v>71</v>
      </c>
    </row>
    <row r="73" spans="1:3">
      <c r="A73">
        <v>72</v>
      </c>
      <c r="C73">
        <v>72</v>
      </c>
    </row>
    <row r="74" spans="1:3">
      <c r="A74">
        <v>73</v>
      </c>
      <c r="C74">
        <v>73</v>
      </c>
    </row>
    <row r="75" spans="1:3">
      <c r="A75">
        <v>74</v>
      </c>
      <c r="C75">
        <v>74</v>
      </c>
    </row>
    <row r="76" spans="1:3">
      <c r="A76">
        <v>75</v>
      </c>
      <c r="C76">
        <v>75</v>
      </c>
    </row>
    <row r="77" spans="1:3">
      <c r="A77">
        <v>76</v>
      </c>
      <c r="C77">
        <v>76</v>
      </c>
    </row>
    <row r="78" spans="1:3">
      <c r="A78">
        <v>77</v>
      </c>
      <c r="C78">
        <v>77</v>
      </c>
    </row>
    <row r="79" spans="1:3">
      <c r="A79">
        <v>78</v>
      </c>
      <c r="C79">
        <v>78</v>
      </c>
    </row>
    <row r="80" spans="1:3">
      <c r="A80">
        <v>79</v>
      </c>
      <c r="C80">
        <v>79</v>
      </c>
    </row>
    <row r="81" spans="1:4">
      <c r="A81">
        <v>80</v>
      </c>
      <c r="C81">
        <v>80</v>
      </c>
    </row>
    <row r="82" spans="1:4">
      <c r="A82">
        <v>81</v>
      </c>
      <c r="C82">
        <v>81</v>
      </c>
    </row>
    <row r="83" spans="1:4">
      <c r="A83">
        <v>82</v>
      </c>
      <c r="C83">
        <v>82</v>
      </c>
    </row>
    <row r="84" spans="1:4">
      <c r="A84">
        <v>83</v>
      </c>
      <c r="C84">
        <v>83</v>
      </c>
    </row>
    <row r="85" spans="1:4">
      <c r="A85">
        <v>84</v>
      </c>
      <c r="C85">
        <v>84</v>
      </c>
    </row>
    <row r="86" spans="1:4">
      <c r="A86">
        <v>85</v>
      </c>
      <c r="C86">
        <v>85</v>
      </c>
    </row>
    <row r="87" spans="1:4">
      <c r="A87">
        <v>86</v>
      </c>
      <c r="C87">
        <v>86</v>
      </c>
    </row>
    <row r="88" spans="1:4">
      <c r="A88">
        <v>87</v>
      </c>
      <c r="B88">
        <v>169</v>
      </c>
      <c r="C88">
        <v>87</v>
      </c>
      <c r="D88">
        <v>-169</v>
      </c>
    </row>
    <row r="89" spans="1:4">
      <c r="A89">
        <v>88</v>
      </c>
      <c r="C89">
        <v>88</v>
      </c>
    </row>
    <row r="90" spans="1:4">
      <c r="A90">
        <v>89</v>
      </c>
      <c r="C90">
        <v>89</v>
      </c>
    </row>
    <row r="91" spans="1:4">
      <c r="A91">
        <v>90</v>
      </c>
      <c r="B91">
        <v>81</v>
      </c>
      <c r="C91">
        <v>90</v>
      </c>
      <c r="D91">
        <v>15</v>
      </c>
    </row>
    <row r="92" spans="1:4">
      <c r="A92">
        <v>91</v>
      </c>
      <c r="C92">
        <v>91</v>
      </c>
    </row>
    <row r="93" spans="1:4">
      <c r="A93">
        <v>92</v>
      </c>
      <c r="C93">
        <v>92</v>
      </c>
    </row>
    <row r="94" spans="1:4">
      <c r="A94">
        <v>93</v>
      </c>
      <c r="C94">
        <v>93</v>
      </c>
    </row>
    <row r="95" spans="1:4">
      <c r="A95">
        <v>94</v>
      </c>
      <c r="C95">
        <v>94</v>
      </c>
    </row>
    <row r="96" spans="1:4">
      <c r="A96">
        <v>95</v>
      </c>
      <c r="C96">
        <v>95</v>
      </c>
    </row>
    <row r="97" spans="1:3">
      <c r="A97">
        <v>96</v>
      </c>
      <c r="C97">
        <v>96</v>
      </c>
    </row>
    <row r="98" spans="1:3">
      <c r="A98">
        <v>97</v>
      </c>
      <c r="C98">
        <v>97</v>
      </c>
    </row>
    <row r="99" spans="1:3">
      <c r="A99">
        <v>98</v>
      </c>
      <c r="C99">
        <v>98</v>
      </c>
    </row>
    <row r="100" spans="1:3">
      <c r="A100">
        <v>99</v>
      </c>
      <c r="C100">
        <v>99</v>
      </c>
    </row>
    <row r="101" spans="1:3">
      <c r="A101">
        <v>100</v>
      </c>
      <c r="C101">
        <v>100</v>
      </c>
    </row>
    <row r="102" spans="1:3">
      <c r="A102">
        <v>101</v>
      </c>
      <c r="C102">
        <v>101</v>
      </c>
    </row>
    <row r="103" spans="1:3">
      <c r="A103">
        <v>102</v>
      </c>
      <c r="C103">
        <v>102</v>
      </c>
    </row>
    <row r="104" spans="1:3">
      <c r="A104">
        <v>103</v>
      </c>
      <c r="C104">
        <v>103</v>
      </c>
    </row>
    <row r="105" spans="1:3">
      <c r="A105">
        <v>104</v>
      </c>
      <c r="C105">
        <v>104</v>
      </c>
    </row>
    <row r="106" spans="1:3">
      <c r="A106">
        <v>105</v>
      </c>
      <c r="C106">
        <v>105</v>
      </c>
    </row>
    <row r="107" spans="1:3">
      <c r="A107">
        <v>106</v>
      </c>
      <c r="C107">
        <v>106</v>
      </c>
    </row>
    <row r="108" spans="1:3">
      <c r="A108">
        <v>107</v>
      </c>
      <c r="C108">
        <v>107</v>
      </c>
    </row>
    <row r="109" spans="1:3">
      <c r="A109">
        <v>108</v>
      </c>
      <c r="C109">
        <v>108</v>
      </c>
    </row>
    <row r="110" spans="1:3">
      <c r="A110">
        <v>109</v>
      </c>
      <c r="C110">
        <v>109</v>
      </c>
    </row>
    <row r="111" spans="1:3">
      <c r="A111">
        <v>110</v>
      </c>
      <c r="C111">
        <v>110</v>
      </c>
    </row>
    <row r="112" spans="1:3">
      <c r="A112">
        <v>111</v>
      </c>
      <c r="C112">
        <v>111</v>
      </c>
    </row>
    <row r="113" spans="1:4">
      <c r="A113">
        <v>112</v>
      </c>
      <c r="C113">
        <v>112</v>
      </c>
    </row>
    <row r="114" spans="1:4">
      <c r="A114">
        <v>113</v>
      </c>
      <c r="C114">
        <v>113</v>
      </c>
    </row>
    <row r="115" spans="1:4">
      <c r="A115">
        <v>114</v>
      </c>
      <c r="C115">
        <v>114</v>
      </c>
    </row>
    <row r="116" spans="1:4">
      <c r="A116">
        <v>115</v>
      </c>
      <c r="B116">
        <v>257</v>
      </c>
      <c r="C116">
        <v>115</v>
      </c>
      <c r="D116">
        <v>1180</v>
      </c>
    </row>
    <row r="117" spans="1:4">
      <c r="A117">
        <v>116</v>
      </c>
      <c r="C117">
        <v>116</v>
      </c>
    </row>
    <row r="118" spans="1:4">
      <c r="A118">
        <v>117</v>
      </c>
      <c r="C118">
        <v>117</v>
      </c>
    </row>
    <row r="119" spans="1:4">
      <c r="A119">
        <v>118</v>
      </c>
      <c r="B119">
        <v>154</v>
      </c>
      <c r="C119">
        <v>118</v>
      </c>
      <c r="D119">
        <v>631</v>
      </c>
    </row>
    <row r="120" spans="1:4">
      <c r="A120">
        <v>119</v>
      </c>
      <c r="C120">
        <v>119</v>
      </c>
    </row>
    <row r="121" spans="1:4">
      <c r="A121">
        <v>120</v>
      </c>
      <c r="C121">
        <v>120</v>
      </c>
    </row>
    <row r="122" spans="1:4">
      <c r="A122">
        <v>121</v>
      </c>
      <c r="B122">
        <v>127</v>
      </c>
      <c r="C122">
        <v>121</v>
      </c>
      <c r="D122">
        <v>65</v>
      </c>
    </row>
    <row r="123" spans="1:4">
      <c r="A123">
        <v>122</v>
      </c>
      <c r="C123">
        <v>122</v>
      </c>
    </row>
    <row r="124" spans="1:4">
      <c r="A124">
        <v>123</v>
      </c>
      <c r="B124">
        <v>65</v>
      </c>
      <c r="C124">
        <v>123</v>
      </c>
      <c r="D124">
        <v>0</v>
      </c>
    </row>
    <row r="125" spans="1:4">
      <c r="A125">
        <v>124</v>
      </c>
      <c r="C125">
        <v>124</v>
      </c>
    </row>
    <row r="126" spans="1:4">
      <c r="A126">
        <v>125</v>
      </c>
      <c r="C126">
        <v>125</v>
      </c>
    </row>
    <row r="127" spans="1:4">
      <c r="A127">
        <v>126</v>
      </c>
      <c r="C127">
        <v>126</v>
      </c>
    </row>
    <row r="128" spans="1:4">
      <c r="A128">
        <v>127</v>
      </c>
      <c r="C128">
        <v>127</v>
      </c>
    </row>
    <row r="129" spans="1:4">
      <c r="A129">
        <v>128</v>
      </c>
      <c r="C129">
        <v>128</v>
      </c>
    </row>
    <row r="130" spans="1:4">
      <c r="A130">
        <v>129</v>
      </c>
      <c r="C130">
        <v>129</v>
      </c>
    </row>
    <row r="131" spans="1:4">
      <c r="A131">
        <v>130</v>
      </c>
      <c r="C131">
        <v>130</v>
      </c>
    </row>
    <row r="132" spans="1:4">
      <c r="A132">
        <v>131</v>
      </c>
      <c r="C132">
        <v>131</v>
      </c>
    </row>
    <row r="133" spans="1:4">
      <c r="A133">
        <v>132</v>
      </c>
      <c r="C133">
        <v>132</v>
      </c>
    </row>
    <row r="134" spans="1:4">
      <c r="A134">
        <v>133</v>
      </c>
      <c r="C134">
        <v>133</v>
      </c>
    </row>
    <row r="135" spans="1:4">
      <c r="A135">
        <v>134</v>
      </c>
      <c r="C135">
        <v>134</v>
      </c>
    </row>
    <row r="136" spans="1:4">
      <c r="A136">
        <v>135</v>
      </c>
      <c r="C136">
        <v>135</v>
      </c>
    </row>
    <row r="137" spans="1:4">
      <c r="A137">
        <v>136</v>
      </c>
      <c r="C137">
        <v>136</v>
      </c>
    </row>
    <row r="138" spans="1:4">
      <c r="A138">
        <v>137</v>
      </c>
      <c r="C138">
        <v>137</v>
      </c>
    </row>
    <row r="139" spans="1:4">
      <c r="A139">
        <v>138</v>
      </c>
      <c r="C139">
        <v>138</v>
      </c>
    </row>
    <row r="140" spans="1:4">
      <c r="A140">
        <v>139</v>
      </c>
      <c r="B140">
        <v>0</v>
      </c>
      <c r="C140">
        <v>139</v>
      </c>
      <c r="D140">
        <v>38</v>
      </c>
    </row>
    <row r="141" spans="1:4">
      <c r="A141">
        <v>140</v>
      </c>
      <c r="C141">
        <v>140</v>
      </c>
    </row>
    <row r="142" spans="1:4">
      <c r="A142">
        <v>141</v>
      </c>
      <c r="C142">
        <v>141</v>
      </c>
    </row>
    <row r="143" spans="1:4">
      <c r="A143">
        <v>142</v>
      </c>
      <c r="C143">
        <v>142</v>
      </c>
    </row>
    <row r="144" spans="1:4">
      <c r="A144">
        <v>143</v>
      </c>
      <c r="C144">
        <v>143</v>
      </c>
    </row>
    <row r="145" spans="1:4">
      <c r="A145">
        <v>144</v>
      </c>
      <c r="C145">
        <v>144</v>
      </c>
    </row>
    <row r="146" spans="1:4">
      <c r="A146">
        <v>145</v>
      </c>
      <c r="C146">
        <v>145</v>
      </c>
    </row>
    <row r="147" spans="1:4">
      <c r="A147">
        <v>146</v>
      </c>
      <c r="B147">
        <v>196</v>
      </c>
      <c r="C147">
        <v>146</v>
      </c>
      <c r="D147">
        <v>67</v>
      </c>
    </row>
    <row r="148" spans="1:4">
      <c r="A148">
        <v>147</v>
      </c>
      <c r="C148">
        <v>147</v>
      </c>
    </row>
    <row r="149" spans="1:4">
      <c r="A149">
        <v>148</v>
      </c>
      <c r="B149">
        <v>55</v>
      </c>
      <c r="C149">
        <v>148</v>
      </c>
      <c r="D149">
        <v>24</v>
      </c>
    </row>
    <row r="150" spans="1:4">
      <c r="A150">
        <v>149</v>
      </c>
      <c r="C150">
        <v>149</v>
      </c>
    </row>
    <row r="151" spans="1:4">
      <c r="A151">
        <v>150</v>
      </c>
      <c r="B151">
        <v>0</v>
      </c>
      <c r="C151">
        <v>150</v>
      </c>
      <c r="D151">
        <v>0</v>
      </c>
    </row>
    <row r="152" spans="1:4">
      <c r="A152">
        <v>151</v>
      </c>
      <c r="C152">
        <v>151</v>
      </c>
    </row>
    <row r="153" spans="1:4">
      <c r="A153">
        <v>152</v>
      </c>
      <c r="C153">
        <v>152</v>
      </c>
    </row>
    <row r="154" spans="1:4">
      <c r="A154">
        <v>153</v>
      </c>
      <c r="C154">
        <v>153</v>
      </c>
    </row>
    <row r="155" spans="1:4">
      <c r="A155">
        <v>154</v>
      </c>
      <c r="C155">
        <v>154</v>
      </c>
    </row>
    <row r="156" spans="1:4">
      <c r="A156">
        <v>155</v>
      </c>
      <c r="C156">
        <v>155</v>
      </c>
    </row>
    <row r="157" spans="1:4">
      <c r="A157">
        <v>156</v>
      </c>
      <c r="C157">
        <v>156</v>
      </c>
    </row>
    <row r="158" spans="1:4">
      <c r="A158">
        <v>157</v>
      </c>
      <c r="C158">
        <v>157</v>
      </c>
    </row>
    <row r="159" spans="1:4">
      <c r="A159">
        <v>158</v>
      </c>
      <c r="B159">
        <v>109</v>
      </c>
      <c r="C159">
        <v>158</v>
      </c>
      <c r="D159">
        <v>0</v>
      </c>
    </row>
    <row r="160" spans="1:4">
      <c r="A160">
        <v>159</v>
      </c>
      <c r="B160">
        <v>299</v>
      </c>
      <c r="C160">
        <v>159</v>
      </c>
      <c r="D160">
        <v>50</v>
      </c>
    </row>
    <row r="161" spans="1:4">
      <c r="A161">
        <v>160</v>
      </c>
      <c r="C161">
        <v>160</v>
      </c>
    </row>
    <row r="162" spans="1:4">
      <c r="A162">
        <v>161</v>
      </c>
      <c r="C162">
        <v>161</v>
      </c>
    </row>
    <row r="163" spans="1:4">
      <c r="A163">
        <v>162</v>
      </c>
      <c r="B163">
        <v>95</v>
      </c>
      <c r="C163">
        <v>162</v>
      </c>
      <c r="D163">
        <v>50</v>
      </c>
    </row>
    <row r="164" spans="1:4">
      <c r="A164">
        <v>163</v>
      </c>
      <c r="C164">
        <v>163</v>
      </c>
    </row>
    <row r="165" spans="1:4">
      <c r="A165">
        <v>164</v>
      </c>
      <c r="C165">
        <v>164</v>
      </c>
    </row>
    <row r="166" spans="1:4">
      <c r="A166">
        <v>165</v>
      </c>
      <c r="C166">
        <v>165</v>
      </c>
    </row>
    <row r="167" spans="1:4">
      <c r="A167">
        <v>166</v>
      </c>
      <c r="C167">
        <v>166</v>
      </c>
    </row>
    <row r="168" spans="1:4">
      <c r="A168">
        <v>167</v>
      </c>
      <c r="C168">
        <v>167</v>
      </c>
    </row>
    <row r="169" spans="1:4">
      <c r="A169">
        <v>168</v>
      </c>
      <c r="C169">
        <v>168</v>
      </c>
    </row>
    <row r="170" spans="1:4">
      <c r="A170">
        <v>169</v>
      </c>
      <c r="C170">
        <v>169</v>
      </c>
    </row>
    <row r="171" spans="1:4">
      <c r="A171">
        <v>170</v>
      </c>
      <c r="C171">
        <v>170</v>
      </c>
    </row>
    <row r="172" spans="1:4">
      <c r="A172">
        <v>171</v>
      </c>
      <c r="C172">
        <v>171</v>
      </c>
    </row>
    <row r="173" spans="1:4">
      <c r="A173">
        <v>172</v>
      </c>
      <c r="C173">
        <v>172</v>
      </c>
    </row>
    <row r="174" spans="1:4">
      <c r="A174">
        <v>173</v>
      </c>
      <c r="C174">
        <v>173</v>
      </c>
    </row>
    <row r="175" spans="1:4">
      <c r="A175">
        <v>174</v>
      </c>
      <c r="B175">
        <v>218</v>
      </c>
      <c r="C175">
        <v>174</v>
      </c>
      <c r="D175">
        <v>0</v>
      </c>
    </row>
    <row r="176" spans="1:4">
      <c r="A176">
        <v>175</v>
      </c>
      <c r="B176">
        <v>0</v>
      </c>
      <c r="C176">
        <v>175</v>
      </c>
      <c r="D176">
        <v>73</v>
      </c>
    </row>
    <row r="177" spans="1:4">
      <c r="A177">
        <v>176</v>
      </c>
      <c r="B177">
        <v>63</v>
      </c>
      <c r="C177">
        <v>176</v>
      </c>
      <c r="D177">
        <v>0</v>
      </c>
    </row>
    <row r="178" spans="1:4">
      <c r="A178">
        <v>177</v>
      </c>
      <c r="B178">
        <v>167</v>
      </c>
      <c r="C178">
        <v>177</v>
      </c>
      <c r="D178">
        <v>189</v>
      </c>
    </row>
    <row r="179" spans="1:4">
      <c r="A179">
        <v>178</v>
      </c>
      <c r="B179">
        <v>45</v>
      </c>
      <c r="C179">
        <v>178</v>
      </c>
      <c r="D179">
        <v>0</v>
      </c>
    </row>
    <row r="180" spans="1:4">
      <c r="A180">
        <v>179</v>
      </c>
      <c r="C180">
        <v>179</v>
      </c>
    </row>
    <row r="181" spans="1:4">
      <c r="A181">
        <v>180</v>
      </c>
      <c r="C181">
        <v>180</v>
      </c>
    </row>
    <row r="182" spans="1:4">
      <c r="A182">
        <v>181</v>
      </c>
      <c r="B182">
        <v>410</v>
      </c>
      <c r="C182">
        <v>181</v>
      </c>
      <c r="D182">
        <v>0</v>
      </c>
    </row>
    <row r="183" spans="1:4">
      <c r="A183">
        <v>182</v>
      </c>
      <c r="B183">
        <v>250</v>
      </c>
      <c r="C183">
        <v>182</v>
      </c>
      <c r="D183">
        <v>0</v>
      </c>
    </row>
    <row r="184" spans="1:4">
      <c r="A184">
        <v>183</v>
      </c>
      <c r="B184">
        <v>297</v>
      </c>
      <c r="C184">
        <v>183</v>
      </c>
      <c r="D184">
        <v>0</v>
      </c>
    </row>
    <row r="185" spans="1:4">
      <c r="A185">
        <v>184</v>
      </c>
      <c r="C185">
        <v>184</v>
      </c>
    </row>
    <row r="186" spans="1:4">
      <c r="A186">
        <v>185</v>
      </c>
      <c r="C186">
        <v>185</v>
      </c>
    </row>
    <row r="187" spans="1:4">
      <c r="A187">
        <v>186</v>
      </c>
      <c r="B187">
        <v>154</v>
      </c>
      <c r="C187">
        <v>186</v>
      </c>
      <c r="D187">
        <v>5</v>
      </c>
    </row>
    <row r="188" spans="1:4">
      <c r="A188">
        <v>187</v>
      </c>
      <c r="B188">
        <v>115</v>
      </c>
      <c r="C188">
        <v>187</v>
      </c>
      <c r="D188">
        <v>16</v>
      </c>
    </row>
    <row r="189" spans="1:4">
      <c r="A189">
        <v>188</v>
      </c>
      <c r="C189">
        <v>188</v>
      </c>
    </row>
    <row r="190" spans="1:4">
      <c r="A190">
        <v>189</v>
      </c>
      <c r="C190">
        <v>189</v>
      </c>
    </row>
    <row r="191" spans="1:4">
      <c r="A191">
        <v>190</v>
      </c>
      <c r="C191">
        <v>190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Mar 2020 EDI</vt:lpstr>
      <vt:lpstr>Working Spreadsheet Apr 20</vt:lpstr>
      <vt:lpstr>FuzzyLookup_AddIn_Undo_Sheet</vt:lpstr>
      <vt:lpstr>Pulled &amp; Formatted Allocations</vt:lpstr>
      <vt:lpstr>Raw Copy Allocations</vt:lpstr>
      <vt:lpstr>Mar 2020 RRC Export</vt:lpstr>
      <vt:lpstr>Removed RRC ID</vt:lpstr>
      <vt:lpstr>2019 Fuel May</vt:lpstr>
      <vt:lpstr>South Texas Meter Statement</vt:lpstr>
      <vt:lpstr>SummaryTable</vt:lpstr>
      <vt:lpstr>Dropdown Controller</vt:lpstr>
      <vt:lpstr>FilterList</vt:lpstr>
      <vt:lpstr>Sheet1</vt:lpstr>
    </vt:vector>
  </TitlesOfParts>
  <Company>State of Texas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2020-06-29T19:20:53Z</dcterms:modified>
</cp:coreProperties>
</file>