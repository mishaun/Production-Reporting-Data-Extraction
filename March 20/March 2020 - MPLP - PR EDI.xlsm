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203" codeName="{564CA151-5A5B-428A-3C10-775976492406}"/>
  <workbookPr codeName="ThisWorkbook" autoCompressPictures="0"/>
  <bookViews>
    <workbookView xWindow="900" yWindow="500" windowWidth="34660" windowHeight="20020" tabRatio="824"/>
  </bookViews>
  <sheets>
    <sheet name="Mar 2020 EDI" sheetId="4" r:id="rId1"/>
    <sheet name="Working Spreadsheet Mar 20" sheetId="8" r:id="rId2"/>
    <sheet name="FuzzyLookup_AddIn_Undo_Sheet" sheetId="14" state="hidden" r:id="rId3"/>
    <sheet name="Pulled &amp; Formatted Allocations" sheetId="13" r:id="rId4"/>
    <sheet name="Raw Copy Allocations" sheetId="17" r:id="rId5"/>
    <sheet name="Feb 2020 RRC Export" sheetId="6" r:id="rId6"/>
    <sheet name="Removed RRC ID" sheetId="18" r:id="rId7"/>
    <sheet name="2019 Fuel May" sheetId="11" r:id="rId8"/>
    <sheet name="South Texas Meter Statement" sheetId="15" r:id="rId9"/>
    <sheet name="SummaryTable" sheetId="9" r:id="rId10"/>
    <sheet name="Dropdown Controller" sheetId="10" r:id="rId11"/>
    <sheet name="FilterList" sheetId="16" r:id="rId12"/>
  </sheets>
  <externalReferences>
    <externalReference r:id="rId13"/>
  </externalReferences>
  <definedNames>
    <definedName name="_Fill" localSheetId="7" hidden="1">'2019 Fuel May'!#REF!</definedName>
    <definedName name="_Fill" hidden="1">#REF!</definedName>
    <definedName name="_xlnm._FilterDatabase" localSheetId="7" hidden="1">'2019 Fuel May'!$A$9:$O$76</definedName>
    <definedName name="_xlnm._FilterDatabase" localSheetId="0" hidden="1">'Mar 2020 EDI'!$A$3:$AT$190</definedName>
    <definedName name="_Key1" localSheetId="7" hidden="1">'2019 Fuel May'!#REF!</definedName>
    <definedName name="_Key1" hidden="1">#REF!</definedName>
    <definedName name="_Key2" localSheetId="7" hidden="1">'2019 Fuel May'!#REF!</definedName>
    <definedName name="_Key2" hidden="1">#REF!</definedName>
    <definedName name="_Order1" hidden="1">255</definedName>
    <definedName name="_Order2" hidden="1">255</definedName>
    <definedName name="_Sort" localSheetId="7" hidden="1">'2019 Fuel May'!$A$29:$H$29</definedName>
    <definedName name="_Sort" hidden="1">#REF!</definedName>
    <definedName name="aa" localSheetId="7" hidden="1">#REF!</definedName>
    <definedName name="aa" hidden="1">#REF!</definedName>
    <definedName name="aaa" localSheetId="7" hidden="1">#REF!</definedName>
    <definedName name="aaa" hidden="1">#REF!</definedName>
    <definedName name="aab" localSheetId="7" hidden="1">#REF!</definedName>
    <definedName name="aab" hidden="1">#REF!</definedName>
    <definedName name="aac" localSheetId="7" hidden="1">#REF!</definedName>
    <definedName name="aac" hidden="1">#REF!</definedName>
    <definedName name="aad" localSheetId="7" hidden="1">#REF!</definedName>
    <definedName name="aad" hidden="1">#REF!</definedName>
    <definedName name="aae" localSheetId="7" hidden="1">#REF!</definedName>
    <definedName name="aae" hidden="1">#REF!</definedName>
    <definedName name="aaf" localSheetId="7" hidden="1">#REF!</definedName>
    <definedName name="aaf" hidden="1">#REF!</definedName>
    <definedName name="aah" localSheetId="7" hidden="1">#REF!</definedName>
    <definedName name="aah" hidden="1">#REF!</definedName>
    <definedName name="aai" localSheetId="7" hidden="1">#REF!</definedName>
    <definedName name="aai" hidden="1">#REF!</definedName>
    <definedName name="abc" localSheetId="7" hidden="1">#REF!</definedName>
    <definedName name="abc" hidden="1">#REF!</definedName>
    <definedName name="bb" localSheetId="7" hidden="1">#REF!</definedName>
    <definedName name="bb" hidden="1">#REF!</definedName>
    <definedName name="cc" localSheetId="7" hidden="1">#REF!</definedName>
    <definedName name="cc" hidden="1">#REF!</definedName>
    <definedName name="dd" localSheetId="7" hidden="1">#REF!</definedName>
    <definedName name="dd" hidden="1">#REF!</definedName>
    <definedName name="ee" localSheetId="7" hidden="1">#REF!</definedName>
    <definedName name="ee" hidden="1">#REF!</definedName>
    <definedName name="eee" localSheetId="7" hidden="1">#REF!</definedName>
    <definedName name="eee" hidden="1">#REF!</definedName>
    <definedName name="eqr" localSheetId="7" hidden="1">#REF!</definedName>
    <definedName name="eqr" hidden="1">#REF!</definedName>
    <definedName name="eqw" localSheetId="7" hidden="1">#REF!</definedName>
    <definedName name="eqw" hidden="1">#REF!</definedName>
    <definedName name="ewq" localSheetId="7" hidden="1">#REF!</definedName>
    <definedName name="ewq" hidden="1">#REF!</definedName>
    <definedName name="ff" localSheetId="7" hidden="1">#REF!</definedName>
    <definedName name="ff" hidden="1">#REF!</definedName>
    <definedName name="filteridlist">[1]FilterList!$B:$B</definedName>
    <definedName name="FilterList">FilterList!$C:$C</definedName>
    <definedName name="gg" localSheetId="7" hidden="1">#REF!</definedName>
    <definedName name="gg" hidden="1">#REF!</definedName>
    <definedName name="ghe" localSheetId="7" hidden="1">#REF!</definedName>
    <definedName name="ghe" hidden="1">#REF!</definedName>
    <definedName name="ghr" localSheetId="7" hidden="1">#REF!</definedName>
    <definedName name="ghr" hidden="1">#REF!</definedName>
    <definedName name="ght" localSheetId="7" hidden="1">#REF!</definedName>
    <definedName name="ght" hidden="1">#REF!</definedName>
    <definedName name="ghy" localSheetId="7" hidden="1">#REF!</definedName>
    <definedName name="ghy" hidden="1">#REF!</definedName>
    <definedName name="hat" localSheetId="7" hidden="1">#REF!</definedName>
    <definedName name="hat" hidden="1">#REF!</definedName>
    <definedName name="help" localSheetId="7" hidden="1">#REF!</definedName>
    <definedName name="help" hidden="1">#REF!</definedName>
    <definedName name="hh" localSheetId="7" hidden="1">#REF!</definedName>
    <definedName name="hh" hidden="1">#REF!</definedName>
    <definedName name="January2011Compressors" localSheetId="7" hidden="1">#REF!</definedName>
    <definedName name="January2011Compressors" hidden="1">#REF!</definedName>
    <definedName name="jj" localSheetId="7" hidden="1">#REF!</definedName>
    <definedName name="jj" hidden="1">#REF!</definedName>
    <definedName name="jk" localSheetId="7" hidden="1">#REF!</definedName>
    <definedName name="jk" hidden="1">#REF!</definedName>
    <definedName name="Key" localSheetId="7" hidden="1">#REF!</definedName>
    <definedName name="Key" hidden="1">#REF!</definedName>
    <definedName name="kk" localSheetId="7" hidden="1">#REF!</definedName>
    <definedName name="kk" hidden="1">#REF!</definedName>
    <definedName name="ll" localSheetId="7" hidden="1">#REF!</definedName>
    <definedName name="ll" hidden="1">#REF!</definedName>
    <definedName name="mm" localSheetId="7" hidden="1">#REF!</definedName>
    <definedName name="mm" hidden="1">#REF!</definedName>
    <definedName name="numb" localSheetId="7" hidden="1">#REF!</definedName>
    <definedName name="numb" hidden="1">#REF!</definedName>
    <definedName name="_xlnm.Print_Area" localSheetId="7">'2019 Fuel May'!$A$1:$N$76</definedName>
    <definedName name="Print_Area_MI" localSheetId="7">'2019 Fuel May'!$A$1:$E$194</definedName>
    <definedName name="_xlnm.Print_Titles" localSheetId="4">'Raw Copy Allocations'!$4:$4</definedName>
    <definedName name="qq" localSheetId="7" hidden="1">#REF!</definedName>
    <definedName name="qq" hidden="1">#REF!</definedName>
    <definedName name="qqe" localSheetId="7" hidden="1">#REF!</definedName>
    <definedName name="qqe" hidden="1">#REF!</definedName>
    <definedName name="qqi" localSheetId="7" hidden="1">#REF!</definedName>
    <definedName name="qqi" hidden="1">#REF!</definedName>
    <definedName name="qqo" localSheetId="7" hidden="1">#REF!</definedName>
    <definedName name="qqo" hidden="1">#REF!</definedName>
    <definedName name="qqp" localSheetId="7" hidden="1">#REF!</definedName>
    <definedName name="qqp" hidden="1">#REF!</definedName>
    <definedName name="qqq" localSheetId="7" hidden="1">#REF!</definedName>
    <definedName name="qqq" hidden="1">#REF!</definedName>
    <definedName name="qqr" localSheetId="7" hidden="1">#REF!</definedName>
    <definedName name="qqr" hidden="1">#REF!</definedName>
    <definedName name="qqt" localSheetId="7" hidden="1">#REF!</definedName>
    <definedName name="qqt" hidden="1">#REF!</definedName>
    <definedName name="qqu" localSheetId="7" hidden="1">#REF!</definedName>
    <definedName name="qqu" hidden="1">#REF!</definedName>
    <definedName name="qqy" localSheetId="7" hidden="1">#REF!</definedName>
    <definedName name="qqy" hidden="1">#REF!</definedName>
    <definedName name="qw" localSheetId="7" hidden="1">#REF!</definedName>
    <definedName name="qw" hidden="1">#REF!</definedName>
    <definedName name="qwe" localSheetId="7" hidden="1">#REF!</definedName>
    <definedName name="qwe" hidden="1">#REF!</definedName>
    <definedName name="qwr" localSheetId="7" hidden="1">#REF!</definedName>
    <definedName name="qwr" hidden="1">#REF!</definedName>
    <definedName name="qww" localSheetId="7" hidden="1">#REF!</definedName>
    <definedName name="qww" hidden="1">#REF!</definedName>
    <definedName name="rrr" localSheetId="7" hidden="1">#REF!</definedName>
    <definedName name="rrr" hidden="1">#REF!</definedName>
    <definedName name="sl" localSheetId="7" hidden="1">#REF!</definedName>
    <definedName name="sl" hidden="1">#REF!</definedName>
    <definedName name="wer" localSheetId="7" hidden="1">#REF!</definedName>
    <definedName name="wer" hidden="1">#REF!</definedName>
    <definedName name="wqe" localSheetId="7" hidden="1">#REF!</definedName>
    <definedName name="wqe" hidden="1">#REF!</definedName>
    <definedName name="wqi" localSheetId="7" hidden="1">#REF!</definedName>
    <definedName name="wqi" hidden="1">#REF!</definedName>
    <definedName name="wqo" localSheetId="7" hidden="1">#REF!</definedName>
    <definedName name="wqo" hidden="1">#REF!</definedName>
    <definedName name="wqp" localSheetId="7" hidden="1">#REF!</definedName>
    <definedName name="wqp" hidden="1">#REF!</definedName>
    <definedName name="wqt" localSheetId="7" hidden="1">#REF!</definedName>
    <definedName name="wqt" hidden="1">#REF!</definedName>
    <definedName name="wqu" localSheetId="7" hidden="1">#REF!</definedName>
    <definedName name="wqu" hidden="1">#REF!</definedName>
    <definedName name="wqy" localSheetId="7" hidden="1">#REF!</definedName>
    <definedName name="wqy" hidden="1">#REF!</definedName>
    <definedName name="wwe" localSheetId="7" hidden="1">#REF!</definedName>
    <definedName name="wwe" hidden="1">#REF!</definedName>
    <definedName name="wwi" localSheetId="7" hidden="1">#REF!</definedName>
    <definedName name="wwi" hidden="1">#REF!</definedName>
    <definedName name="wwo" localSheetId="7" hidden="1">#REF!</definedName>
    <definedName name="wwo" hidden="1">#REF!</definedName>
    <definedName name="wwp" localSheetId="7" hidden="1">#REF!</definedName>
    <definedName name="wwp" hidden="1">#REF!</definedName>
    <definedName name="wwq" localSheetId="7" hidden="1">#REF!</definedName>
    <definedName name="wwq" hidden="1">#REF!</definedName>
    <definedName name="wwr" localSheetId="7" hidden="1">#REF!</definedName>
    <definedName name="wwr" hidden="1">#REF!</definedName>
    <definedName name="wwt" localSheetId="7" hidden="1">#REF!</definedName>
    <definedName name="wwt" hidden="1">#REF!</definedName>
    <definedName name="wwu" localSheetId="7" hidden="1">#REF!</definedName>
    <definedName name="wwu" hidden="1">#REF!</definedName>
    <definedName name="www" localSheetId="7" hidden="1">#REF!</definedName>
    <definedName name="www" hidden="1">#REF!</definedName>
    <definedName name="wwy" localSheetId="7" hidden="1">#REF!</definedName>
    <definedName name="wwy" hidden="1">#REF!</definedName>
    <definedName name="y" localSheetId="7" hidden="1">#REF!</definedName>
    <definedName name="y" hidden="1">#REF!</definedName>
    <definedName name="yy" localSheetId="7" hidden="1">#REF!</definedName>
    <definedName name="yy" hidden="1">#REF!</definedName>
  </definedNames>
  <calcPr calcId="140001" concurrentCalc="0"/>
  <pivotCaches>
    <pivotCache cacheId="2" r:id="rId14"/>
  </pivotCaches>
  <extLst>
    <ext xmlns:mx="http://schemas.microsoft.com/office/mac/excel/2008/main" uri="{7523E5D3-25F3-A5E0-1632-64F254C22452}">
      <mx:ArchID Flags="2"/>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13" i="8" l="1"/>
  <c r="Q113" i="8"/>
  <c r="R113" i="8"/>
  <c r="N102" i="8"/>
  <c r="Q102" i="8"/>
  <c r="R102" i="8"/>
  <c r="N89" i="8"/>
  <c r="Q89" i="8"/>
  <c r="R89" i="8"/>
  <c r="N73" i="8"/>
  <c r="Q73" i="8"/>
  <c r="R73" i="8"/>
  <c r="N72" i="8"/>
  <c r="Q72" i="8"/>
  <c r="R72" i="8"/>
  <c r="N71" i="8"/>
  <c r="Q71" i="8"/>
  <c r="R71" i="8"/>
  <c r="N36" i="8"/>
  <c r="Q36" i="8"/>
  <c r="R36" i="8"/>
  <c r="N9" i="8"/>
  <c r="Q9" i="8"/>
  <c r="R9" i="8"/>
  <c r="N8" i="8"/>
  <c r="Q8" i="8"/>
  <c r="R8" i="8"/>
  <c r="N194" i="8"/>
  <c r="Q194" i="8"/>
  <c r="R194" i="8"/>
  <c r="N191" i="8"/>
  <c r="Q191" i="8"/>
  <c r="R191" i="8"/>
  <c r="N190" i="8"/>
  <c r="Q190" i="8"/>
  <c r="R190" i="8"/>
  <c r="N186" i="8"/>
  <c r="Q186" i="8"/>
  <c r="R186" i="8"/>
  <c r="N185" i="8"/>
  <c r="Q185" i="8"/>
  <c r="R185" i="8"/>
  <c r="N179" i="8"/>
  <c r="Q179" i="8"/>
  <c r="R179" i="8"/>
  <c r="N178" i="8"/>
  <c r="Q178" i="8"/>
  <c r="R178" i="8"/>
  <c r="N177" i="8"/>
  <c r="Q177" i="8"/>
  <c r="R177" i="8"/>
  <c r="N174" i="8"/>
  <c r="Q174" i="8"/>
  <c r="R174" i="8"/>
  <c r="N173" i="8"/>
  <c r="Q173" i="8"/>
  <c r="R173" i="8"/>
  <c r="N172" i="8"/>
  <c r="Q172" i="8"/>
  <c r="R172" i="8"/>
  <c r="N171" i="8"/>
  <c r="Q171" i="8"/>
  <c r="R171" i="8"/>
  <c r="N169" i="8"/>
  <c r="Q169" i="8"/>
  <c r="R169" i="8"/>
  <c r="N166" i="8"/>
  <c r="Q166" i="8"/>
  <c r="R166" i="8"/>
  <c r="N162" i="8"/>
  <c r="Q162" i="8"/>
  <c r="R162" i="8"/>
  <c r="N161" i="8"/>
  <c r="Q161" i="8"/>
  <c r="R161" i="8"/>
  <c r="N160" i="8"/>
  <c r="Q160" i="8"/>
  <c r="R160" i="8"/>
  <c r="N159" i="8"/>
  <c r="Q159" i="8"/>
  <c r="R159" i="8"/>
  <c r="N158" i="8"/>
  <c r="Q158" i="8"/>
  <c r="R158" i="8"/>
  <c r="N157" i="8"/>
  <c r="Q157" i="8"/>
  <c r="R157" i="8"/>
  <c r="N155" i="8"/>
  <c r="Q155" i="8"/>
  <c r="R155" i="8"/>
  <c r="N153" i="8"/>
  <c r="Q153" i="8"/>
  <c r="R153" i="8"/>
  <c r="N151" i="8"/>
  <c r="Q151" i="8"/>
  <c r="R151" i="8"/>
  <c r="N150" i="8"/>
  <c r="Q150" i="8"/>
  <c r="R150" i="8"/>
  <c r="N148" i="8"/>
  <c r="Q148" i="8"/>
  <c r="R148" i="8"/>
  <c r="N147" i="8"/>
  <c r="Q147" i="8"/>
  <c r="R147" i="8"/>
  <c r="N146" i="8"/>
  <c r="Q146" i="8"/>
  <c r="R146" i="8"/>
  <c r="N144" i="8"/>
  <c r="Q144" i="8"/>
  <c r="R144" i="8"/>
  <c r="N143" i="8"/>
  <c r="Q143" i="8"/>
  <c r="R143" i="8"/>
  <c r="N142" i="8"/>
  <c r="Q142" i="8"/>
  <c r="R142" i="8"/>
  <c r="N141" i="8"/>
  <c r="Q141" i="8"/>
  <c r="R141" i="8"/>
  <c r="N140" i="8"/>
  <c r="Q140" i="8"/>
  <c r="R140" i="8"/>
  <c r="N139" i="8"/>
  <c r="Q139" i="8"/>
  <c r="R139" i="8"/>
  <c r="N138" i="8"/>
  <c r="Q138" i="8"/>
  <c r="R138" i="8"/>
  <c r="N135" i="8"/>
  <c r="Q135" i="8"/>
  <c r="R135" i="8"/>
  <c r="N134" i="8"/>
  <c r="Q134" i="8"/>
  <c r="R134" i="8"/>
  <c r="N133" i="8"/>
  <c r="Q133" i="8"/>
  <c r="R133" i="8"/>
  <c r="N131" i="8"/>
  <c r="Q131" i="8"/>
  <c r="R131" i="8"/>
  <c r="N130" i="8"/>
  <c r="Q130" i="8"/>
  <c r="R130" i="8"/>
  <c r="N126" i="8"/>
  <c r="Q126" i="8"/>
  <c r="R126" i="8"/>
  <c r="N125" i="8"/>
  <c r="Q125" i="8"/>
  <c r="R125" i="8"/>
  <c r="N122" i="8"/>
  <c r="Q122" i="8"/>
  <c r="R122" i="8"/>
  <c r="N119" i="8"/>
  <c r="Q119" i="8"/>
  <c r="R119" i="8"/>
  <c r="N118" i="8"/>
  <c r="Q118" i="8"/>
  <c r="R118" i="8"/>
  <c r="N117" i="8"/>
  <c r="Q117" i="8"/>
  <c r="R117" i="8"/>
  <c r="N116" i="8"/>
  <c r="Q116" i="8"/>
  <c r="R116" i="8"/>
  <c r="N115" i="8"/>
  <c r="Q115" i="8"/>
  <c r="R115" i="8"/>
  <c r="N110" i="8"/>
  <c r="Q110" i="8"/>
  <c r="R110" i="8"/>
  <c r="N109" i="8"/>
  <c r="Q109" i="8"/>
  <c r="R109" i="8"/>
  <c r="N108" i="8"/>
  <c r="Q108" i="8"/>
  <c r="R108" i="8"/>
  <c r="N107" i="8"/>
  <c r="Q107" i="8"/>
  <c r="R107" i="8"/>
  <c r="N106" i="8"/>
  <c r="Q106" i="8"/>
  <c r="R106" i="8"/>
  <c r="N103" i="8"/>
  <c r="Q103" i="8"/>
  <c r="R103" i="8"/>
  <c r="N101" i="8"/>
  <c r="Q101" i="8"/>
  <c r="R101" i="8"/>
  <c r="N100" i="8"/>
  <c r="Q100" i="8"/>
  <c r="R100" i="8"/>
  <c r="N99" i="8"/>
  <c r="Q99" i="8"/>
  <c r="R99" i="8"/>
  <c r="N97" i="8"/>
  <c r="Q97" i="8"/>
  <c r="R97" i="8"/>
  <c r="N95" i="8"/>
  <c r="Q95" i="8"/>
  <c r="R95" i="8"/>
  <c r="N92" i="8"/>
  <c r="Q92" i="8"/>
  <c r="R92" i="8"/>
  <c r="N91" i="8"/>
  <c r="Q91" i="8"/>
  <c r="R91" i="8"/>
  <c r="N87" i="8"/>
  <c r="Q87" i="8"/>
  <c r="R87" i="8"/>
  <c r="N86" i="8"/>
  <c r="Q86" i="8"/>
  <c r="R86" i="8"/>
  <c r="N85" i="8"/>
  <c r="Q85" i="8"/>
  <c r="R85" i="8"/>
  <c r="N84" i="8"/>
  <c r="Q84" i="8"/>
  <c r="R84" i="8"/>
  <c r="N82" i="8"/>
  <c r="Q82" i="8"/>
  <c r="R82" i="8"/>
  <c r="N79" i="8"/>
  <c r="Q79" i="8"/>
  <c r="R79" i="8"/>
  <c r="N78" i="8"/>
  <c r="Q78" i="8"/>
  <c r="R78" i="8"/>
  <c r="N77" i="8"/>
  <c r="Q77" i="8"/>
  <c r="R77" i="8"/>
  <c r="N76" i="8"/>
  <c r="Q76" i="8"/>
  <c r="R76" i="8"/>
  <c r="N74" i="8"/>
  <c r="Q74" i="8"/>
  <c r="R74" i="8"/>
  <c r="N70" i="8"/>
  <c r="Q70" i="8"/>
  <c r="R70" i="8"/>
  <c r="N67" i="8"/>
  <c r="Q67" i="8"/>
  <c r="R67" i="8"/>
  <c r="N62" i="8"/>
  <c r="Q62" i="8"/>
  <c r="R62" i="8"/>
  <c r="N61" i="8"/>
  <c r="Q61" i="8"/>
  <c r="R61" i="8"/>
  <c r="N60" i="8"/>
  <c r="Q60" i="8"/>
  <c r="R60" i="8"/>
  <c r="N59" i="8"/>
  <c r="Q59" i="8"/>
  <c r="R59" i="8"/>
  <c r="N58" i="8"/>
  <c r="Q58" i="8"/>
  <c r="R58" i="8"/>
  <c r="N57" i="8"/>
  <c r="Q57" i="8"/>
  <c r="R57" i="8"/>
  <c r="N55" i="8"/>
  <c r="Q55" i="8"/>
  <c r="R55" i="8"/>
  <c r="N53" i="8"/>
  <c r="Q53" i="8"/>
  <c r="R53" i="8"/>
  <c r="N52" i="8"/>
  <c r="Q52" i="8"/>
  <c r="R52" i="8"/>
  <c r="N51" i="8"/>
  <c r="Q51" i="8"/>
  <c r="R51" i="8"/>
  <c r="N50" i="8"/>
  <c r="Q50" i="8"/>
  <c r="R50" i="8"/>
  <c r="N49" i="8"/>
  <c r="Q49" i="8"/>
  <c r="R49" i="8"/>
  <c r="N48" i="8"/>
  <c r="Q48" i="8"/>
  <c r="R48" i="8"/>
  <c r="N47" i="8"/>
  <c r="Q47" i="8"/>
  <c r="R47" i="8"/>
  <c r="N45" i="8"/>
  <c r="Q45" i="8"/>
  <c r="R45" i="8"/>
  <c r="N44" i="8"/>
  <c r="Q44" i="8"/>
  <c r="R44" i="8"/>
  <c r="N43" i="8"/>
  <c r="Q43" i="8"/>
  <c r="R43" i="8"/>
  <c r="N41" i="8"/>
  <c r="Q41" i="8"/>
  <c r="R41" i="8"/>
  <c r="N40" i="8"/>
  <c r="Q40" i="8"/>
  <c r="R40" i="8"/>
  <c r="N39" i="8"/>
  <c r="Q39" i="8"/>
  <c r="R39" i="8"/>
  <c r="N34" i="8"/>
  <c r="Q34" i="8"/>
  <c r="R34" i="8"/>
  <c r="N33" i="8"/>
  <c r="Q33" i="8"/>
  <c r="R33" i="8"/>
  <c r="N31" i="8"/>
  <c r="Q31" i="8"/>
  <c r="R31" i="8"/>
  <c r="N30" i="8"/>
  <c r="Q30" i="8"/>
  <c r="R30" i="8"/>
  <c r="N28" i="8"/>
  <c r="Q28" i="8"/>
  <c r="R28" i="8"/>
  <c r="N23" i="8"/>
  <c r="Q23" i="8"/>
  <c r="R23" i="8"/>
  <c r="N20" i="8"/>
  <c r="Q20" i="8"/>
  <c r="R20" i="8"/>
  <c r="N19" i="8"/>
  <c r="Q19" i="8"/>
  <c r="R19" i="8"/>
  <c r="N18" i="8"/>
  <c r="Q18" i="8"/>
  <c r="R18" i="8"/>
  <c r="N16" i="8"/>
  <c r="Q16" i="8"/>
  <c r="R16" i="8"/>
  <c r="N15" i="8"/>
  <c r="Q15" i="8"/>
  <c r="R15" i="8"/>
  <c r="N12" i="8"/>
  <c r="Q12" i="8"/>
  <c r="R12" i="8"/>
  <c r="N11" i="8"/>
  <c r="Q11" i="8"/>
  <c r="R11" i="8"/>
  <c r="N6" i="8"/>
  <c r="Q6" i="8"/>
  <c r="R6" i="8"/>
  <c r="C95" i="13"/>
  <c r="D95" i="13"/>
  <c r="E95" i="13"/>
  <c r="J95" i="13"/>
  <c r="C9" i="13"/>
  <c r="D9" i="13"/>
  <c r="E9" i="13"/>
  <c r="J9" i="13"/>
  <c r="N13" i="8"/>
  <c r="N75" i="8"/>
  <c r="Q75" i="8"/>
  <c r="N123" i="8"/>
  <c r="Q123" i="8"/>
  <c r="N114" i="8"/>
  <c r="Q114" i="8"/>
  <c r="N112" i="8"/>
  <c r="Q112" i="8"/>
  <c r="N64" i="8"/>
  <c r="Q64" i="8"/>
  <c r="N65" i="8"/>
  <c r="Q65" i="8"/>
  <c r="N63" i="8"/>
  <c r="Q63" i="8"/>
  <c r="N46" i="8"/>
  <c r="Q46" i="8"/>
  <c r="N37" i="8"/>
  <c r="Q37" i="8"/>
  <c r="N29" i="8"/>
  <c r="Q29" i="8"/>
  <c r="N21" i="8"/>
  <c r="Q21" i="8"/>
  <c r="N14" i="8"/>
  <c r="Q14" i="8"/>
  <c r="R192" i="4"/>
  <c r="N7" i="8"/>
  <c r="Q7" i="8"/>
  <c r="N10" i="8"/>
  <c r="Q10" i="8"/>
  <c r="Q13" i="8"/>
  <c r="N17" i="8"/>
  <c r="Q17" i="8"/>
  <c r="N22" i="8"/>
  <c r="Q22" i="8"/>
  <c r="N24" i="8"/>
  <c r="Q24" i="8"/>
  <c r="N25" i="8"/>
  <c r="Q25" i="8"/>
  <c r="N26" i="8"/>
  <c r="Q26" i="8"/>
  <c r="N27" i="8"/>
  <c r="Q27" i="8"/>
  <c r="N32" i="8"/>
  <c r="Q32" i="8"/>
  <c r="N35" i="8"/>
  <c r="Q35" i="8"/>
  <c r="N38" i="8"/>
  <c r="Q38" i="8"/>
  <c r="N42" i="8"/>
  <c r="Q42" i="8"/>
  <c r="N54" i="8"/>
  <c r="Q54" i="8"/>
  <c r="N56" i="8"/>
  <c r="Q56" i="8"/>
  <c r="N66" i="8"/>
  <c r="Q66" i="8"/>
  <c r="N68" i="8"/>
  <c r="Q68" i="8"/>
  <c r="N69" i="8"/>
  <c r="Q69" i="8"/>
  <c r="N80" i="8"/>
  <c r="Q80" i="8"/>
  <c r="N81" i="8"/>
  <c r="Q81" i="8"/>
  <c r="N83" i="8"/>
  <c r="Q83" i="8"/>
  <c r="N88" i="8"/>
  <c r="Q88" i="8"/>
  <c r="N90" i="8"/>
  <c r="Q90" i="8"/>
  <c r="N93" i="8"/>
  <c r="Q93" i="8"/>
  <c r="N94" i="8"/>
  <c r="Q94" i="8"/>
  <c r="N96" i="8"/>
  <c r="Q96" i="8"/>
  <c r="N98" i="8"/>
  <c r="Q98" i="8"/>
  <c r="N104" i="8"/>
  <c r="Q104" i="8"/>
  <c r="N105" i="8"/>
  <c r="Q105" i="8"/>
  <c r="N111" i="8"/>
  <c r="Q111" i="8"/>
  <c r="N120" i="8"/>
  <c r="Q120" i="8"/>
  <c r="N121" i="8"/>
  <c r="Q121" i="8"/>
  <c r="N124" i="8"/>
  <c r="Q124" i="8"/>
  <c r="N127" i="8"/>
  <c r="Q127" i="8"/>
  <c r="N128" i="8"/>
  <c r="Q128" i="8"/>
  <c r="N129" i="8"/>
  <c r="Q129" i="8"/>
  <c r="N132" i="8"/>
  <c r="Q132" i="8"/>
  <c r="N136" i="8"/>
  <c r="Q136" i="8"/>
  <c r="N137" i="8"/>
  <c r="Q137" i="8"/>
  <c r="N145" i="8"/>
  <c r="Q145" i="8"/>
  <c r="N149" i="8"/>
  <c r="Q149" i="8"/>
  <c r="N152" i="8"/>
  <c r="Q152" i="8"/>
  <c r="N154" i="8"/>
  <c r="Q154" i="8"/>
  <c r="N156" i="8"/>
  <c r="Q156" i="8"/>
  <c r="N163" i="8"/>
  <c r="Q163" i="8"/>
  <c r="N164" i="8"/>
  <c r="Q164" i="8"/>
  <c r="N165" i="8"/>
  <c r="Q165" i="8"/>
  <c r="N167" i="8"/>
  <c r="Q167" i="8"/>
  <c r="N168" i="8"/>
  <c r="Q168" i="8"/>
  <c r="N170" i="8"/>
  <c r="Q170" i="8"/>
  <c r="N175" i="8"/>
  <c r="Q175" i="8"/>
  <c r="N176" i="8"/>
  <c r="Q176" i="8"/>
  <c r="N180" i="8"/>
  <c r="Q180" i="8"/>
  <c r="N181" i="8"/>
  <c r="Q181" i="8"/>
  <c r="N182" i="8"/>
  <c r="Q182" i="8"/>
  <c r="N183" i="8"/>
  <c r="Q183" i="8"/>
  <c r="N184" i="8"/>
  <c r="Q184" i="8"/>
  <c r="N187" i="8"/>
  <c r="Q187" i="8"/>
  <c r="N188" i="8"/>
  <c r="Q188" i="8"/>
  <c r="N189" i="8"/>
  <c r="Q189" i="8"/>
  <c r="N192" i="8"/>
  <c r="Q192" i="8"/>
  <c r="N193" i="8"/>
  <c r="Q193" i="8"/>
  <c r="AQ192" i="4"/>
  <c r="L13" i="8"/>
  <c r="M13" i="8"/>
  <c r="S13" i="8"/>
  <c r="AA192" i="4"/>
  <c r="X13" i="8"/>
  <c r="AE13" i="8"/>
  <c r="O13" i="8"/>
  <c r="AB13" i="8"/>
  <c r="N192" i="4"/>
  <c r="T13" i="8"/>
  <c r="U13" i="8"/>
  <c r="Y192" i="4"/>
  <c r="N229" i="6"/>
  <c r="C60" i="13"/>
  <c r="D60" i="13"/>
  <c r="E60" i="13"/>
  <c r="J60" i="13"/>
  <c r="B96" i="17"/>
  <c r="E96" i="17"/>
  <c r="C96" i="17"/>
  <c r="D96" i="17"/>
  <c r="C5" i="13"/>
  <c r="C6" i="13"/>
  <c r="C7" i="13"/>
  <c r="C8"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S90" i="8"/>
  <c r="C49" i="13"/>
  <c r="C50" i="13"/>
  <c r="C51" i="13"/>
  <c r="C52" i="13"/>
  <c r="C53" i="13"/>
  <c r="C54" i="13"/>
  <c r="C55" i="13"/>
  <c r="C56" i="13"/>
  <c r="C57" i="13"/>
  <c r="C58" i="13"/>
  <c r="C59" i="13"/>
  <c r="C61" i="13"/>
  <c r="C62" i="13"/>
  <c r="C64" i="13"/>
  <c r="C63"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E5" i="13"/>
  <c r="E6" i="13"/>
  <c r="E7" i="13"/>
  <c r="E29" i="13"/>
  <c r="E51" i="13"/>
  <c r="E54" i="13"/>
  <c r="E61" i="13"/>
  <c r="E64" i="13"/>
  <c r="E84" i="13"/>
  <c r="E92" i="13"/>
  <c r="D5" i="13"/>
  <c r="D6" i="13"/>
  <c r="D7" i="13"/>
  <c r="D8"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1" i="13"/>
  <c r="D62" i="13"/>
  <c r="D64" i="13"/>
  <c r="D63"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E81" i="13"/>
  <c r="E80" i="13"/>
  <c r="E76" i="13"/>
  <c r="E33" i="13"/>
  <c r="E87" i="13"/>
  <c r="E88" i="13"/>
  <c r="E59" i="13"/>
  <c r="E89" i="13"/>
  <c r="E19" i="13"/>
  <c r="E17" i="13"/>
  <c r="E18" i="13"/>
  <c r="E58" i="13"/>
  <c r="E16" i="13"/>
  <c r="E48" i="13"/>
  <c r="E83" i="13"/>
  <c r="E63" i="13"/>
  <c r="E69" i="13"/>
  <c r="E22" i="13"/>
  <c r="E75" i="13"/>
  <c r="E15" i="13"/>
  <c r="E8" i="13"/>
  <c r="E20" i="13"/>
  <c r="E21" i="13"/>
  <c r="E90" i="13"/>
  <c r="E57" i="13"/>
  <c r="E93" i="13"/>
  <c r="E91" i="13"/>
  <c r="E11" i="13"/>
  <c r="E26" i="13"/>
  <c r="E86" i="13"/>
  <c r="E52" i="13"/>
  <c r="E77" i="13"/>
  <c r="E68" i="13"/>
  <c r="E66" i="13"/>
  <c r="E65" i="13"/>
  <c r="E67" i="13"/>
  <c r="E45" i="13"/>
  <c r="E62" i="13"/>
  <c r="E73" i="13"/>
  <c r="E42" i="13"/>
  <c r="E41" i="13"/>
  <c r="E40" i="13"/>
  <c r="E27" i="13"/>
  <c r="E25" i="13"/>
  <c r="E46" i="13"/>
  <c r="E47" i="13"/>
  <c r="E56" i="13"/>
  <c r="E74" i="13"/>
  <c r="E24" i="13"/>
  <c r="E36" i="13"/>
  <c r="E49" i="13"/>
  <c r="E35" i="13"/>
  <c r="E34" i="13"/>
  <c r="E85" i="13"/>
  <c r="E78" i="13"/>
  <c r="E28" i="13"/>
  <c r="E32" i="13"/>
  <c r="E39" i="13"/>
  <c r="E38" i="13"/>
  <c r="E37" i="13"/>
  <c r="E53" i="13"/>
  <c r="E23" i="13"/>
  <c r="E82" i="13"/>
  <c r="E70" i="13"/>
  <c r="E43" i="13"/>
  <c r="E71" i="13"/>
  <c r="E72" i="13"/>
  <c r="E12" i="13"/>
  <c r="E14" i="13"/>
  <c r="E44" i="13"/>
  <c r="E31" i="13"/>
  <c r="E10" i="13"/>
  <c r="E55" i="13"/>
  <c r="E13" i="13"/>
  <c r="E94" i="13"/>
  <c r="E30" i="13"/>
  <c r="E79" i="13"/>
  <c r="E50" i="13"/>
  <c r="F229" i="6"/>
  <c r="J229" i="6"/>
  <c r="P229" i="6"/>
  <c r="L229" i="6"/>
  <c r="M121" i="8"/>
  <c r="M7" i="8"/>
  <c r="M8" i="8"/>
  <c r="M9" i="8"/>
  <c r="M10" i="8"/>
  <c r="M11" i="8"/>
  <c r="M12"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L121" i="8"/>
  <c r="O229" i="6"/>
  <c r="K229" i="6"/>
  <c r="E229" i="6"/>
  <c r="I76" i="11"/>
  <c r="L76" i="11"/>
  <c r="H76" i="11"/>
  <c r="I75" i="11"/>
  <c r="L75" i="11"/>
  <c r="H75" i="11"/>
  <c r="I74" i="11"/>
  <c r="L74" i="11"/>
  <c r="H74" i="11"/>
  <c r="I73" i="11"/>
  <c r="L73" i="11"/>
  <c r="H73" i="11"/>
  <c r="I70" i="11"/>
  <c r="L70" i="11"/>
  <c r="H70" i="11"/>
  <c r="I69" i="11"/>
  <c r="L69" i="11"/>
  <c r="H69" i="11"/>
  <c r="I67" i="11"/>
  <c r="L67" i="11"/>
  <c r="H67" i="11"/>
  <c r="I66" i="11"/>
  <c r="L66" i="11"/>
  <c r="H66" i="11"/>
  <c r="I64" i="11"/>
  <c r="L64" i="11"/>
  <c r="H64" i="11"/>
  <c r="I63" i="11"/>
  <c r="L63" i="11"/>
  <c r="H63" i="11"/>
  <c r="I61" i="11"/>
  <c r="H61" i="11"/>
  <c r="I58" i="11"/>
  <c r="L58" i="11"/>
  <c r="H58" i="11"/>
  <c r="I57" i="11"/>
  <c r="L57" i="11"/>
  <c r="H57" i="11"/>
  <c r="I56" i="11"/>
  <c r="L56" i="11"/>
  <c r="H56" i="11"/>
  <c r="I54" i="11"/>
  <c r="L54" i="11"/>
  <c r="H54" i="11"/>
  <c r="I52" i="11"/>
  <c r="L52" i="11"/>
  <c r="H52" i="11"/>
  <c r="I51" i="11"/>
  <c r="L51" i="11"/>
  <c r="H51" i="11"/>
  <c r="I49" i="11"/>
  <c r="L49" i="11"/>
  <c r="H49" i="11"/>
  <c r="I48" i="11"/>
  <c r="L48" i="11"/>
  <c r="H48" i="11"/>
  <c r="I47" i="11"/>
  <c r="L47" i="11"/>
  <c r="H47" i="11"/>
  <c r="I46" i="11"/>
  <c r="L46" i="11"/>
  <c r="H46" i="11"/>
  <c r="I42" i="11"/>
  <c r="L42" i="11"/>
  <c r="H42" i="11"/>
  <c r="I41" i="11"/>
  <c r="L41" i="11"/>
  <c r="H41" i="11"/>
  <c r="I40" i="11"/>
  <c r="L40" i="11"/>
  <c r="H40" i="11"/>
  <c r="I39" i="11"/>
  <c r="L39" i="11"/>
  <c r="H39" i="11"/>
  <c r="I38" i="11"/>
  <c r="L38" i="11"/>
  <c r="H38" i="11"/>
  <c r="I37" i="11"/>
  <c r="L37" i="11"/>
  <c r="H37" i="11"/>
  <c r="I36" i="11"/>
  <c r="L36" i="11"/>
  <c r="H36" i="11"/>
  <c r="I35" i="11"/>
  <c r="L35" i="11"/>
  <c r="H35" i="11"/>
  <c r="I34" i="11"/>
  <c r="L34" i="11"/>
  <c r="H34" i="11"/>
  <c r="I33" i="11"/>
  <c r="L33" i="11"/>
  <c r="H33" i="11"/>
  <c r="I32" i="11"/>
  <c r="L32" i="11"/>
  <c r="H32" i="11"/>
  <c r="I31" i="11"/>
  <c r="L31" i="11"/>
  <c r="H31" i="11"/>
  <c r="I30" i="11"/>
  <c r="L30" i="11"/>
  <c r="H30" i="11"/>
  <c r="I29" i="11"/>
  <c r="L29" i="11"/>
  <c r="H29" i="11"/>
  <c r="I28" i="11"/>
  <c r="L28" i="11"/>
  <c r="H28" i="11"/>
  <c r="I26" i="11"/>
  <c r="L26" i="11"/>
  <c r="H26" i="11"/>
  <c r="I25" i="11"/>
  <c r="L25" i="11"/>
  <c r="H25" i="11"/>
  <c r="I24" i="11"/>
  <c r="L24" i="11"/>
  <c r="H24" i="11"/>
  <c r="I22" i="11"/>
  <c r="L22" i="11"/>
  <c r="H22" i="11"/>
  <c r="I21" i="11"/>
  <c r="L21" i="11"/>
  <c r="H21" i="11"/>
  <c r="I20" i="11"/>
  <c r="L20" i="11"/>
  <c r="H20" i="11"/>
  <c r="I19" i="11"/>
  <c r="L19" i="11"/>
  <c r="H19" i="11"/>
  <c r="I18" i="11"/>
  <c r="L18" i="11"/>
  <c r="H18" i="11"/>
  <c r="I16" i="11"/>
  <c r="L16" i="11"/>
  <c r="H16" i="11"/>
  <c r="I15" i="11"/>
  <c r="L15" i="11"/>
  <c r="H15" i="11"/>
  <c r="I14" i="11"/>
  <c r="L14" i="11"/>
  <c r="H14" i="11"/>
  <c r="I12" i="11"/>
  <c r="L12" i="11"/>
  <c r="H12" i="11"/>
  <c r="I11" i="11"/>
  <c r="H11" i="11"/>
  <c r="E96" i="13"/>
  <c r="D96" i="13"/>
  <c r="C96" i="13"/>
  <c r="A96"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3" i="13"/>
  <c r="J64" i="13"/>
  <c r="J62" i="13"/>
  <c r="J61"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8" i="13"/>
  <c r="J7" i="13"/>
  <c r="J6" i="13"/>
  <c r="J5" i="13"/>
  <c r="AC195" i="8"/>
  <c r="F195" i="8"/>
  <c r="C195" i="8"/>
  <c r="AE194" i="8"/>
  <c r="AA194" i="8"/>
  <c r="V194" i="8"/>
  <c r="X194" i="8"/>
  <c r="S194" i="8"/>
  <c r="M194" i="8"/>
  <c r="L194" i="8"/>
  <c r="AE193" i="8"/>
  <c r="AA193" i="8"/>
  <c r="V193" i="8"/>
  <c r="X193" i="8"/>
  <c r="S193" i="8"/>
  <c r="M193" i="8"/>
  <c r="L193" i="8"/>
  <c r="AE192" i="8"/>
  <c r="AA192" i="8"/>
  <c r="V192" i="8"/>
  <c r="X192" i="8"/>
  <c r="S192" i="8"/>
  <c r="M192" i="8"/>
  <c r="L192" i="8"/>
  <c r="AE191" i="8"/>
  <c r="AA191" i="8"/>
  <c r="V191" i="8"/>
  <c r="X191" i="8"/>
  <c r="S191" i="8"/>
  <c r="M191" i="8"/>
  <c r="L191" i="8"/>
  <c r="AE190" i="8"/>
  <c r="AA190" i="8"/>
  <c r="V190" i="8"/>
  <c r="X190" i="8"/>
  <c r="S190" i="8"/>
  <c r="M190" i="8"/>
  <c r="L190" i="8"/>
  <c r="AE189" i="8"/>
  <c r="AA189" i="8"/>
  <c r="V189" i="8"/>
  <c r="X189" i="8"/>
  <c r="S189" i="8"/>
  <c r="M189" i="8"/>
  <c r="L189" i="8"/>
  <c r="AE188" i="8"/>
  <c r="AA188" i="8"/>
  <c r="V188" i="8"/>
  <c r="X188" i="8"/>
  <c r="S188" i="8"/>
  <c r="M188" i="8"/>
  <c r="L188" i="8"/>
  <c r="AE187" i="8"/>
  <c r="AA187" i="8"/>
  <c r="V187" i="8"/>
  <c r="X187" i="8"/>
  <c r="S187" i="8"/>
  <c r="M187" i="8"/>
  <c r="L187" i="8"/>
  <c r="AE186" i="8"/>
  <c r="AA186" i="8"/>
  <c r="V186" i="8"/>
  <c r="X186" i="8"/>
  <c r="S186" i="8"/>
  <c r="M186" i="8"/>
  <c r="L186" i="8"/>
  <c r="AE185" i="8"/>
  <c r="AA185" i="8"/>
  <c r="V185" i="8"/>
  <c r="X185" i="8"/>
  <c r="S185" i="8"/>
  <c r="M185" i="8"/>
  <c r="L185" i="8"/>
  <c r="AE184" i="8"/>
  <c r="AA184" i="8"/>
  <c r="V184" i="8"/>
  <c r="X184" i="8"/>
  <c r="S184" i="8"/>
  <c r="M184" i="8"/>
  <c r="L184" i="8"/>
  <c r="AE183" i="8"/>
  <c r="AA183" i="8"/>
  <c r="V183" i="8"/>
  <c r="X183" i="8"/>
  <c r="S183" i="8"/>
  <c r="M183" i="8"/>
  <c r="L183" i="8"/>
  <c r="AE182" i="8"/>
  <c r="AA182" i="8"/>
  <c r="V182" i="8"/>
  <c r="X182" i="8"/>
  <c r="S182" i="8"/>
  <c r="M182" i="8"/>
  <c r="L182" i="8"/>
  <c r="AE181" i="8"/>
  <c r="AA181" i="8"/>
  <c r="V181" i="8"/>
  <c r="X181" i="8"/>
  <c r="S181" i="8"/>
  <c r="M181" i="8"/>
  <c r="L181" i="8"/>
  <c r="AE180" i="8"/>
  <c r="AA180" i="8"/>
  <c r="V180" i="8"/>
  <c r="X180" i="8"/>
  <c r="S180" i="8"/>
  <c r="M180" i="8"/>
  <c r="L180" i="8"/>
  <c r="AE179" i="8"/>
  <c r="AA179" i="8"/>
  <c r="V179" i="8"/>
  <c r="X179" i="8"/>
  <c r="S179" i="8"/>
  <c r="M179" i="8"/>
  <c r="L179" i="8"/>
  <c r="AE178" i="8"/>
  <c r="AA178" i="8"/>
  <c r="V178" i="8"/>
  <c r="X178" i="8"/>
  <c r="S178" i="8"/>
  <c r="M178" i="8"/>
  <c r="L178" i="8"/>
  <c r="AE177" i="8"/>
  <c r="AA177" i="8"/>
  <c r="V177" i="8"/>
  <c r="X177" i="8"/>
  <c r="S177" i="8"/>
  <c r="M177" i="8"/>
  <c r="L177" i="8"/>
  <c r="AE176" i="8"/>
  <c r="AA176" i="8"/>
  <c r="V176" i="8"/>
  <c r="X176" i="8"/>
  <c r="S176" i="8"/>
  <c r="M176" i="8"/>
  <c r="L176" i="8"/>
  <c r="AE175" i="8"/>
  <c r="AA175" i="8"/>
  <c r="V175" i="8"/>
  <c r="X175" i="8"/>
  <c r="S175" i="8"/>
  <c r="M175" i="8"/>
  <c r="L175" i="8"/>
  <c r="AE174" i="8"/>
  <c r="AA174" i="8"/>
  <c r="V174" i="8"/>
  <c r="X174" i="8"/>
  <c r="S174" i="8"/>
  <c r="M174" i="8"/>
  <c r="L174" i="8"/>
  <c r="AE173" i="8"/>
  <c r="AA173" i="8"/>
  <c r="V173" i="8"/>
  <c r="X173" i="8"/>
  <c r="S173" i="8"/>
  <c r="M173" i="8"/>
  <c r="L173" i="8"/>
  <c r="AE172" i="8"/>
  <c r="AA172" i="8"/>
  <c r="V172" i="8"/>
  <c r="X172" i="8"/>
  <c r="S172" i="8"/>
  <c r="M172" i="8"/>
  <c r="L172" i="8"/>
  <c r="AE171" i="8"/>
  <c r="AA171" i="8"/>
  <c r="V171" i="8"/>
  <c r="X171" i="8"/>
  <c r="S171" i="8"/>
  <c r="M171" i="8"/>
  <c r="L171" i="8"/>
  <c r="AE170" i="8"/>
  <c r="AA170" i="8"/>
  <c r="V170" i="8"/>
  <c r="X170" i="8"/>
  <c r="S170" i="8"/>
  <c r="M170" i="8"/>
  <c r="L170" i="8"/>
  <c r="AE169" i="8"/>
  <c r="AA169" i="8"/>
  <c r="V169" i="8"/>
  <c r="X169" i="8"/>
  <c r="S169" i="8"/>
  <c r="M169" i="8"/>
  <c r="L169" i="8"/>
  <c r="AE168" i="8"/>
  <c r="AA168" i="8"/>
  <c r="V168" i="8"/>
  <c r="X168" i="8"/>
  <c r="S168" i="8"/>
  <c r="M168" i="8"/>
  <c r="L168" i="8"/>
  <c r="AE167" i="8"/>
  <c r="AA167" i="8"/>
  <c r="V167" i="8"/>
  <c r="X167" i="8"/>
  <c r="S167" i="8"/>
  <c r="M167" i="8"/>
  <c r="L167" i="8"/>
  <c r="AE166" i="8"/>
  <c r="AA166" i="8"/>
  <c r="V166" i="8"/>
  <c r="X166" i="8"/>
  <c r="S166" i="8"/>
  <c r="M166" i="8"/>
  <c r="L166" i="8"/>
  <c r="AE165" i="8"/>
  <c r="AA165" i="8"/>
  <c r="V165" i="8"/>
  <c r="X165" i="8"/>
  <c r="S165" i="8"/>
  <c r="M165" i="8"/>
  <c r="L165" i="8"/>
  <c r="AE164" i="8"/>
  <c r="AA164" i="8"/>
  <c r="V164" i="8"/>
  <c r="X164" i="8"/>
  <c r="S164" i="8"/>
  <c r="M164" i="8"/>
  <c r="L164" i="8"/>
  <c r="AE163" i="8"/>
  <c r="AA163" i="8"/>
  <c r="V163" i="8"/>
  <c r="X163" i="8"/>
  <c r="S163" i="8"/>
  <c r="M163" i="8"/>
  <c r="L163" i="8"/>
  <c r="AE162" i="8"/>
  <c r="AA162" i="8"/>
  <c r="V162" i="8"/>
  <c r="X162" i="8"/>
  <c r="S162" i="8"/>
  <c r="M162" i="8"/>
  <c r="L162" i="8"/>
  <c r="AE161" i="8"/>
  <c r="AA161" i="8"/>
  <c r="V161" i="8"/>
  <c r="X161" i="8"/>
  <c r="S161" i="8"/>
  <c r="M161" i="8"/>
  <c r="L161" i="8"/>
  <c r="AE160" i="8"/>
  <c r="AA160" i="8"/>
  <c r="V160" i="8"/>
  <c r="X160" i="8"/>
  <c r="S160" i="8"/>
  <c r="M160" i="8"/>
  <c r="L160" i="8"/>
  <c r="AE159" i="8"/>
  <c r="AA159" i="8"/>
  <c r="V159" i="8"/>
  <c r="X159" i="8"/>
  <c r="S159" i="8"/>
  <c r="M159" i="8"/>
  <c r="L159" i="8"/>
  <c r="AE158" i="8"/>
  <c r="AA158" i="8"/>
  <c r="V158" i="8"/>
  <c r="X158" i="8"/>
  <c r="S158" i="8"/>
  <c r="M158" i="8"/>
  <c r="L158" i="8"/>
  <c r="AE157" i="8"/>
  <c r="AA157" i="8"/>
  <c r="V157" i="8"/>
  <c r="X157" i="8"/>
  <c r="S157" i="8"/>
  <c r="M157" i="8"/>
  <c r="L157" i="8"/>
  <c r="AE156" i="8"/>
  <c r="AA156" i="8"/>
  <c r="V156" i="8"/>
  <c r="X156" i="8"/>
  <c r="S156" i="8"/>
  <c r="M156" i="8"/>
  <c r="L156" i="8"/>
  <c r="AE155" i="8"/>
  <c r="AA155" i="8"/>
  <c r="V155" i="8"/>
  <c r="X155" i="8"/>
  <c r="S155" i="8"/>
  <c r="M155" i="8"/>
  <c r="L155" i="8"/>
  <c r="AE154" i="8"/>
  <c r="AA154" i="8"/>
  <c r="V154" i="8"/>
  <c r="X154" i="8"/>
  <c r="S154" i="8"/>
  <c r="M154" i="8"/>
  <c r="L154" i="8"/>
  <c r="AE153" i="8"/>
  <c r="AA153" i="8"/>
  <c r="V153" i="8"/>
  <c r="X153" i="8"/>
  <c r="S153" i="8"/>
  <c r="M153" i="8"/>
  <c r="L153" i="8"/>
  <c r="AE152" i="8"/>
  <c r="AA152" i="8"/>
  <c r="V152" i="8"/>
  <c r="X152" i="8"/>
  <c r="S152" i="8"/>
  <c r="M152" i="8"/>
  <c r="L152" i="8"/>
  <c r="AE151" i="8"/>
  <c r="AA151" i="8"/>
  <c r="V151" i="8"/>
  <c r="X151" i="8"/>
  <c r="S151" i="8"/>
  <c r="M151" i="8"/>
  <c r="L151" i="8"/>
  <c r="AE150" i="8"/>
  <c r="AA150" i="8"/>
  <c r="V150" i="8"/>
  <c r="X150" i="8"/>
  <c r="S150" i="8"/>
  <c r="M150" i="8"/>
  <c r="L150" i="8"/>
  <c r="AE149" i="8"/>
  <c r="AA149" i="8"/>
  <c r="V149" i="8"/>
  <c r="X149" i="8"/>
  <c r="S149" i="8"/>
  <c r="M149" i="8"/>
  <c r="L149" i="8"/>
  <c r="AE148" i="8"/>
  <c r="AA148" i="8"/>
  <c r="V148" i="8"/>
  <c r="X148" i="8"/>
  <c r="S148" i="8"/>
  <c r="M148" i="8"/>
  <c r="L148" i="8"/>
  <c r="AE147" i="8"/>
  <c r="AA147" i="8"/>
  <c r="V147" i="8"/>
  <c r="X147" i="8"/>
  <c r="S147" i="8"/>
  <c r="M147" i="8"/>
  <c r="L147" i="8"/>
  <c r="AE146" i="8"/>
  <c r="AA146" i="8"/>
  <c r="V146" i="8"/>
  <c r="X146" i="8"/>
  <c r="S146" i="8"/>
  <c r="M146" i="8"/>
  <c r="L146" i="8"/>
  <c r="AE145" i="8"/>
  <c r="AA145" i="8"/>
  <c r="V145" i="8"/>
  <c r="X145" i="8"/>
  <c r="S145" i="8"/>
  <c r="M145" i="8"/>
  <c r="L145" i="8"/>
  <c r="AE144" i="8"/>
  <c r="AA144" i="8"/>
  <c r="V144" i="8"/>
  <c r="X144" i="8"/>
  <c r="S144" i="8"/>
  <c r="M144" i="8"/>
  <c r="L144" i="8"/>
  <c r="AE143" i="8"/>
  <c r="AA143" i="8"/>
  <c r="V143" i="8"/>
  <c r="X143" i="8"/>
  <c r="S143" i="8"/>
  <c r="M143" i="8"/>
  <c r="L143" i="8"/>
  <c r="AE142" i="8"/>
  <c r="AA142" i="8"/>
  <c r="V142" i="8"/>
  <c r="X142" i="8"/>
  <c r="S142" i="8"/>
  <c r="M142" i="8"/>
  <c r="L142" i="8"/>
  <c r="AE141" i="8"/>
  <c r="AA141" i="8"/>
  <c r="V141" i="8"/>
  <c r="X141" i="8"/>
  <c r="S141" i="8"/>
  <c r="M141" i="8"/>
  <c r="L141" i="8"/>
  <c r="AE140" i="8"/>
  <c r="AA140" i="8"/>
  <c r="V140" i="8"/>
  <c r="X140" i="8"/>
  <c r="S140" i="8"/>
  <c r="M140" i="8"/>
  <c r="L140" i="8"/>
  <c r="AE139" i="8"/>
  <c r="AA139" i="8"/>
  <c r="V139" i="8"/>
  <c r="X139" i="8"/>
  <c r="S139" i="8"/>
  <c r="M139" i="8"/>
  <c r="L139" i="8"/>
  <c r="AE138" i="8"/>
  <c r="AA138" i="8"/>
  <c r="V138" i="8"/>
  <c r="X138" i="8"/>
  <c r="S138" i="8"/>
  <c r="M138" i="8"/>
  <c r="L138" i="8"/>
  <c r="AE137" i="8"/>
  <c r="AA137" i="8"/>
  <c r="V137" i="8"/>
  <c r="X137" i="8"/>
  <c r="S137" i="8"/>
  <c r="M137" i="8"/>
  <c r="L137" i="8"/>
  <c r="AE136" i="8"/>
  <c r="AA136" i="8"/>
  <c r="V136" i="8"/>
  <c r="X136" i="8"/>
  <c r="S136" i="8"/>
  <c r="M136" i="8"/>
  <c r="L136" i="8"/>
  <c r="AE135" i="8"/>
  <c r="AA135" i="8"/>
  <c r="V135" i="8"/>
  <c r="X135" i="8"/>
  <c r="S135" i="8"/>
  <c r="M135" i="8"/>
  <c r="L135" i="8"/>
  <c r="AE134" i="8"/>
  <c r="AA134" i="8"/>
  <c r="V134" i="8"/>
  <c r="X134" i="8"/>
  <c r="S134" i="8"/>
  <c r="M134" i="8"/>
  <c r="L134" i="8"/>
  <c r="AE133" i="8"/>
  <c r="AA133" i="8"/>
  <c r="V133" i="8"/>
  <c r="X133" i="8"/>
  <c r="S133" i="8"/>
  <c r="M133" i="8"/>
  <c r="L133" i="8"/>
  <c r="AE132" i="8"/>
  <c r="AA132" i="8"/>
  <c r="V132" i="8"/>
  <c r="X132" i="8"/>
  <c r="S132" i="8"/>
  <c r="M132" i="8"/>
  <c r="L132" i="8"/>
  <c r="AE131" i="8"/>
  <c r="AA131" i="8"/>
  <c r="V131" i="8"/>
  <c r="X131" i="8"/>
  <c r="S131" i="8"/>
  <c r="M131" i="8"/>
  <c r="L131" i="8"/>
  <c r="AE130" i="8"/>
  <c r="AA130" i="8"/>
  <c r="V130" i="8"/>
  <c r="X130" i="8"/>
  <c r="S130" i="8"/>
  <c r="M130" i="8"/>
  <c r="L130" i="8"/>
  <c r="AE129" i="8"/>
  <c r="AA129" i="8"/>
  <c r="V129" i="8"/>
  <c r="X129" i="8"/>
  <c r="S129" i="8"/>
  <c r="M129" i="8"/>
  <c r="L129" i="8"/>
  <c r="AE128" i="8"/>
  <c r="AA128" i="8"/>
  <c r="V128" i="8"/>
  <c r="X128" i="8"/>
  <c r="S128" i="8"/>
  <c r="M128" i="8"/>
  <c r="L128" i="8"/>
  <c r="AE127" i="8"/>
  <c r="AA127" i="8"/>
  <c r="V127" i="8"/>
  <c r="X127" i="8"/>
  <c r="S127" i="8"/>
  <c r="M127" i="8"/>
  <c r="L127" i="8"/>
  <c r="AE126" i="8"/>
  <c r="AA126" i="8"/>
  <c r="V126" i="8"/>
  <c r="X126" i="8"/>
  <c r="S126" i="8"/>
  <c r="M126" i="8"/>
  <c r="L126" i="8"/>
  <c r="AE125" i="8"/>
  <c r="AA125" i="8"/>
  <c r="V125" i="8"/>
  <c r="X125" i="8"/>
  <c r="S125" i="8"/>
  <c r="M125" i="8"/>
  <c r="L125" i="8"/>
  <c r="AE124" i="8"/>
  <c r="AA124" i="8"/>
  <c r="V124" i="8"/>
  <c r="X124" i="8"/>
  <c r="S124" i="8"/>
  <c r="M124" i="8"/>
  <c r="L124" i="8"/>
  <c r="AE123" i="8"/>
  <c r="AA123" i="8"/>
  <c r="V123" i="8"/>
  <c r="X123" i="8"/>
  <c r="S123" i="8"/>
  <c r="M123" i="8"/>
  <c r="L123" i="8"/>
  <c r="AE122" i="8"/>
  <c r="AA122" i="8"/>
  <c r="V122" i="8"/>
  <c r="X122" i="8"/>
  <c r="S122" i="8"/>
  <c r="M122" i="8"/>
  <c r="L122" i="8"/>
  <c r="AE121" i="8"/>
  <c r="AA121" i="8"/>
  <c r="V121" i="8"/>
  <c r="X121" i="8"/>
  <c r="S121" i="8"/>
  <c r="O121" i="8"/>
  <c r="AE120" i="8"/>
  <c r="AA120" i="8"/>
  <c r="V120" i="8"/>
  <c r="X120" i="8"/>
  <c r="S120" i="8"/>
  <c r="L120" i="8"/>
  <c r="AE119" i="8"/>
  <c r="AA119" i="8"/>
  <c r="V119" i="8"/>
  <c r="X119" i="8"/>
  <c r="S119" i="8"/>
  <c r="L119" i="8"/>
  <c r="AE118" i="8"/>
  <c r="AA118" i="8"/>
  <c r="V118" i="8"/>
  <c r="X118" i="8"/>
  <c r="S118" i="8"/>
  <c r="L118" i="8"/>
  <c r="AE117" i="8"/>
  <c r="AA117" i="8"/>
  <c r="V117" i="8"/>
  <c r="X117" i="8"/>
  <c r="S117" i="8"/>
  <c r="L117" i="8"/>
  <c r="AE116" i="8"/>
  <c r="AA116" i="8"/>
  <c r="V116" i="8"/>
  <c r="X116" i="8"/>
  <c r="S116" i="8"/>
  <c r="L116" i="8"/>
  <c r="AE115" i="8"/>
  <c r="AA115" i="8"/>
  <c r="V115" i="8"/>
  <c r="X115" i="8"/>
  <c r="S115" i="8"/>
  <c r="L115" i="8"/>
  <c r="AE114" i="8"/>
  <c r="AA114" i="8"/>
  <c r="V114" i="8"/>
  <c r="X114" i="8"/>
  <c r="S114" i="8"/>
  <c r="L114" i="8"/>
  <c r="AE113" i="8"/>
  <c r="AA113" i="8"/>
  <c r="V113" i="8"/>
  <c r="X113" i="8"/>
  <c r="S113" i="8"/>
  <c r="L113" i="8"/>
  <c r="AE112" i="8"/>
  <c r="AA112" i="8"/>
  <c r="V112" i="8"/>
  <c r="X112" i="8"/>
  <c r="S112" i="8"/>
  <c r="L112" i="8"/>
  <c r="AE111" i="8"/>
  <c r="AA111" i="8"/>
  <c r="V111" i="8"/>
  <c r="X111" i="8"/>
  <c r="S111" i="8"/>
  <c r="L111" i="8"/>
  <c r="AE110" i="8"/>
  <c r="AA110" i="8"/>
  <c r="V110" i="8"/>
  <c r="X110" i="8"/>
  <c r="S110" i="8"/>
  <c r="L110" i="8"/>
  <c r="AE109" i="8"/>
  <c r="AA109" i="8"/>
  <c r="V109" i="8"/>
  <c r="X109" i="8"/>
  <c r="S109" i="8"/>
  <c r="L109" i="8"/>
  <c r="AE108" i="8"/>
  <c r="AA108" i="8"/>
  <c r="V108" i="8"/>
  <c r="X108" i="8"/>
  <c r="S108" i="8"/>
  <c r="L108" i="8"/>
  <c r="AE107" i="8"/>
  <c r="AA107" i="8"/>
  <c r="V107" i="8"/>
  <c r="X107" i="8"/>
  <c r="S107" i="8"/>
  <c r="L107" i="8"/>
  <c r="AE106" i="8"/>
  <c r="AA106" i="8"/>
  <c r="V106" i="8"/>
  <c r="X106" i="8"/>
  <c r="S106" i="8"/>
  <c r="L106" i="8"/>
  <c r="AE105" i="8"/>
  <c r="AA105" i="8"/>
  <c r="V105" i="8"/>
  <c r="X105" i="8"/>
  <c r="S105" i="8"/>
  <c r="L105" i="8"/>
  <c r="AE104" i="8"/>
  <c r="AA104" i="8"/>
  <c r="V104" i="8"/>
  <c r="X104" i="8"/>
  <c r="S104" i="8"/>
  <c r="L104" i="8"/>
  <c r="AE103" i="8"/>
  <c r="AA103" i="8"/>
  <c r="V103" i="8"/>
  <c r="X103" i="8"/>
  <c r="S103" i="8"/>
  <c r="L103" i="8"/>
  <c r="AE102" i="8"/>
  <c r="AA102" i="8"/>
  <c r="V102" i="8"/>
  <c r="X102" i="8"/>
  <c r="S102" i="8"/>
  <c r="L102" i="8"/>
  <c r="AE101" i="8"/>
  <c r="AA101" i="8"/>
  <c r="V101" i="8"/>
  <c r="X101" i="8"/>
  <c r="S101" i="8"/>
  <c r="L101" i="8"/>
  <c r="AE100" i="8"/>
  <c r="AA100" i="8"/>
  <c r="V100" i="8"/>
  <c r="X100" i="8"/>
  <c r="S100" i="8"/>
  <c r="L100" i="8"/>
  <c r="AE99" i="8"/>
  <c r="AA99" i="8"/>
  <c r="V99" i="8"/>
  <c r="X99" i="8"/>
  <c r="S99" i="8"/>
  <c r="L99" i="8"/>
  <c r="AE98" i="8"/>
  <c r="AA98" i="8"/>
  <c r="V98" i="8"/>
  <c r="X98" i="8"/>
  <c r="S98" i="8"/>
  <c r="L98" i="8"/>
  <c r="AE97" i="8"/>
  <c r="AA97" i="8"/>
  <c r="V97" i="8"/>
  <c r="X97" i="8"/>
  <c r="S97" i="8"/>
  <c r="L97" i="8"/>
  <c r="AE96" i="8"/>
  <c r="AA96" i="8"/>
  <c r="V96" i="8"/>
  <c r="X96" i="8"/>
  <c r="S96" i="8"/>
  <c r="L96" i="8"/>
  <c r="AE95" i="8"/>
  <c r="AA95" i="8"/>
  <c r="V95" i="8"/>
  <c r="X95" i="8"/>
  <c r="S95" i="8"/>
  <c r="L95" i="8"/>
  <c r="AE94" i="8"/>
  <c r="AA94" i="8"/>
  <c r="V94" i="8"/>
  <c r="X94" i="8"/>
  <c r="S94" i="8"/>
  <c r="L94" i="8"/>
  <c r="AE93" i="8"/>
  <c r="AA93" i="8"/>
  <c r="X93" i="8"/>
  <c r="P160" i="4"/>
  <c r="S93" i="8"/>
  <c r="L93" i="8"/>
  <c r="AE92" i="8"/>
  <c r="AA92" i="8"/>
  <c r="V92" i="8"/>
  <c r="X92" i="8"/>
  <c r="S92" i="8"/>
  <c r="L92" i="8"/>
  <c r="AE91" i="8"/>
  <c r="AA91" i="8"/>
  <c r="V91" i="8"/>
  <c r="X91" i="8"/>
  <c r="S91" i="8"/>
  <c r="L91" i="8"/>
  <c r="AE90" i="8"/>
  <c r="AA90" i="8"/>
  <c r="V90" i="8"/>
  <c r="X90" i="8"/>
  <c r="AA62" i="4"/>
  <c r="L90" i="8"/>
  <c r="AE89" i="8"/>
  <c r="AA89" i="8"/>
  <c r="V89" i="8"/>
  <c r="X89" i="8"/>
  <c r="S89" i="8"/>
  <c r="L89" i="8"/>
  <c r="AE88" i="8"/>
  <c r="AA88" i="8"/>
  <c r="V88" i="8"/>
  <c r="X88" i="8"/>
  <c r="S88" i="8"/>
  <c r="L88" i="8"/>
  <c r="AE87" i="8"/>
  <c r="AA87" i="8"/>
  <c r="V87" i="8"/>
  <c r="X87" i="8"/>
  <c r="S87" i="8"/>
  <c r="L87" i="8"/>
  <c r="AE86" i="8"/>
  <c r="AA86" i="8"/>
  <c r="V86" i="8"/>
  <c r="X86" i="8"/>
  <c r="S86" i="8"/>
  <c r="L86" i="8"/>
  <c r="AE85" i="8"/>
  <c r="AA85" i="8"/>
  <c r="V85" i="8"/>
  <c r="X85" i="8"/>
  <c r="S85" i="8"/>
  <c r="L85" i="8"/>
  <c r="AE84" i="8"/>
  <c r="AA84" i="8"/>
  <c r="V84" i="8"/>
  <c r="X84" i="8"/>
  <c r="S84" i="8"/>
  <c r="L84" i="8"/>
  <c r="AE83" i="8"/>
  <c r="AA83" i="8"/>
  <c r="V83" i="8"/>
  <c r="X83" i="8"/>
  <c r="S83" i="8"/>
  <c r="L83" i="8"/>
  <c r="AE82" i="8"/>
  <c r="AA82" i="8"/>
  <c r="V82" i="8"/>
  <c r="X82" i="8"/>
  <c r="S82" i="8"/>
  <c r="L82" i="8"/>
  <c r="AE81" i="8"/>
  <c r="AA81" i="8"/>
  <c r="V81" i="8"/>
  <c r="X81" i="8"/>
  <c r="S81" i="8"/>
  <c r="L81" i="8"/>
  <c r="AE80" i="8"/>
  <c r="AA80" i="8"/>
  <c r="V80" i="8"/>
  <c r="X80" i="8"/>
  <c r="S80" i="8"/>
  <c r="L80" i="8"/>
  <c r="AE79" i="8"/>
  <c r="AA79" i="8"/>
  <c r="V79" i="8"/>
  <c r="X79" i="8"/>
  <c r="S79" i="8"/>
  <c r="L79" i="8"/>
  <c r="AE78" i="8"/>
  <c r="AA78" i="8"/>
  <c r="V78" i="8"/>
  <c r="X78" i="8"/>
  <c r="S78" i="8"/>
  <c r="L78" i="8"/>
  <c r="AE77" i="8"/>
  <c r="AA77" i="8"/>
  <c r="V77" i="8"/>
  <c r="X77" i="8"/>
  <c r="S77" i="8"/>
  <c r="L77" i="8"/>
  <c r="AE76" i="8"/>
  <c r="AA76" i="8"/>
  <c r="V76" i="8"/>
  <c r="X76" i="8"/>
  <c r="S76" i="8"/>
  <c r="L76" i="8"/>
  <c r="AE75" i="8"/>
  <c r="AA75" i="8"/>
  <c r="V75" i="8"/>
  <c r="X75" i="8"/>
  <c r="S75" i="8"/>
  <c r="L75" i="8"/>
  <c r="AE74" i="8"/>
  <c r="AA74" i="8"/>
  <c r="V74" i="8"/>
  <c r="X74" i="8"/>
  <c r="S74" i="8"/>
  <c r="L74" i="8"/>
  <c r="AE73" i="8"/>
  <c r="AA73" i="8"/>
  <c r="V73" i="8"/>
  <c r="X73" i="8"/>
  <c r="S73" i="8"/>
  <c r="L73" i="8"/>
  <c r="AE72" i="8"/>
  <c r="AA72" i="8"/>
  <c r="V72" i="8"/>
  <c r="X72" i="8"/>
  <c r="S72" i="8"/>
  <c r="L72" i="8"/>
  <c r="AE71" i="8"/>
  <c r="AA71" i="8"/>
  <c r="V71" i="8"/>
  <c r="X71" i="8"/>
  <c r="S71" i="8"/>
  <c r="L71" i="8"/>
  <c r="AE70" i="8"/>
  <c r="AA70" i="8"/>
  <c r="V70" i="8"/>
  <c r="X70" i="8"/>
  <c r="S70" i="8"/>
  <c r="L70" i="8"/>
  <c r="AE69" i="8"/>
  <c r="AA69" i="8"/>
  <c r="V69" i="8"/>
  <c r="X69" i="8"/>
  <c r="S69" i="8"/>
  <c r="L69" i="8"/>
  <c r="AE68" i="8"/>
  <c r="AA68" i="8"/>
  <c r="V68" i="8"/>
  <c r="X68" i="8"/>
  <c r="S68" i="8"/>
  <c r="L68" i="8"/>
  <c r="AE67" i="8"/>
  <c r="AA67" i="8"/>
  <c r="V67" i="8"/>
  <c r="X67" i="8"/>
  <c r="S67" i="8"/>
  <c r="L67" i="8"/>
  <c r="AE66" i="8"/>
  <c r="AA66" i="8"/>
  <c r="V66" i="8"/>
  <c r="X66" i="8"/>
  <c r="S66" i="8"/>
  <c r="L66" i="8"/>
  <c r="AE65" i="8"/>
  <c r="AA65" i="8"/>
  <c r="V65" i="8"/>
  <c r="X65" i="8"/>
  <c r="S65" i="8"/>
  <c r="L65" i="8"/>
  <c r="AE64" i="8"/>
  <c r="AA64" i="8"/>
  <c r="V64" i="8"/>
  <c r="X64" i="8"/>
  <c r="S64" i="8"/>
  <c r="L64" i="8"/>
  <c r="AE63" i="8"/>
  <c r="AA63" i="8"/>
  <c r="V63" i="8"/>
  <c r="X63" i="8"/>
  <c r="S63" i="8"/>
  <c r="L63" i="8"/>
  <c r="AE62" i="8"/>
  <c r="AA62" i="8"/>
  <c r="V62" i="8"/>
  <c r="X62" i="8"/>
  <c r="S62" i="8"/>
  <c r="L62" i="8"/>
  <c r="AE61" i="8"/>
  <c r="AA61" i="8"/>
  <c r="V61" i="8"/>
  <c r="X61" i="8"/>
  <c r="S61" i="8"/>
  <c r="L61" i="8"/>
  <c r="AE60" i="8"/>
  <c r="AA60" i="8"/>
  <c r="V60" i="8"/>
  <c r="X60" i="8"/>
  <c r="S60" i="8"/>
  <c r="L60" i="8"/>
  <c r="AE59" i="8"/>
  <c r="AA59" i="8"/>
  <c r="V59" i="8"/>
  <c r="X59" i="8"/>
  <c r="S59" i="8"/>
  <c r="L59" i="8"/>
  <c r="AE58" i="8"/>
  <c r="AA58" i="8"/>
  <c r="V58" i="8"/>
  <c r="X58" i="8"/>
  <c r="S58" i="8"/>
  <c r="L58" i="8"/>
  <c r="AE57" i="8"/>
  <c r="AA57" i="8"/>
  <c r="V57" i="8"/>
  <c r="X57" i="8"/>
  <c r="S57" i="8"/>
  <c r="L57" i="8"/>
  <c r="AE56" i="8"/>
  <c r="AA56" i="8"/>
  <c r="V56" i="8"/>
  <c r="X56" i="8"/>
  <c r="S56" i="8"/>
  <c r="L56" i="8"/>
  <c r="AE55" i="8"/>
  <c r="AA55" i="8"/>
  <c r="V55" i="8"/>
  <c r="X55" i="8"/>
  <c r="S55" i="8"/>
  <c r="L55" i="8"/>
  <c r="AE54" i="8"/>
  <c r="AA54" i="8"/>
  <c r="V54" i="8"/>
  <c r="X54" i="8"/>
  <c r="S54" i="8"/>
  <c r="L54" i="8"/>
  <c r="AE53" i="8"/>
  <c r="AA53" i="8"/>
  <c r="V53" i="8"/>
  <c r="X53" i="8"/>
  <c r="S53" i="8"/>
  <c r="L53" i="8"/>
  <c r="AE52" i="8"/>
  <c r="AA52" i="8"/>
  <c r="V52" i="8"/>
  <c r="X52" i="8"/>
  <c r="S52" i="8"/>
  <c r="L52" i="8"/>
  <c r="AE51" i="8"/>
  <c r="AA51" i="8"/>
  <c r="V51" i="8"/>
  <c r="X51" i="8"/>
  <c r="S51" i="8"/>
  <c r="L51" i="8"/>
  <c r="AE50" i="8"/>
  <c r="AA50" i="8"/>
  <c r="V50" i="8"/>
  <c r="X50" i="8"/>
  <c r="S50" i="8"/>
  <c r="L50" i="8"/>
  <c r="AE49" i="8"/>
  <c r="AA49" i="8"/>
  <c r="V49" i="8"/>
  <c r="X49" i="8"/>
  <c r="S49" i="8"/>
  <c r="L49" i="8"/>
  <c r="AE48" i="8"/>
  <c r="AA48" i="8"/>
  <c r="V48" i="8"/>
  <c r="X48" i="8"/>
  <c r="S48" i="8"/>
  <c r="L48" i="8"/>
  <c r="AE47" i="8"/>
  <c r="AA47" i="8"/>
  <c r="V47" i="8"/>
  <c r="X47" i="8"/>
  <c r="S47" i="8"/>
  <c r="L47" i="8"/>
  <c r="AE46" i="8"/>
  <c r="AA46" i="8"/>
  <c r="V46" i="8"/>
  <c r="X46" i="8"/>
  <c r="S46" i="8"/>
  <c r="L46" i="8"/>
  <c r="AE45" i="8"/>
  <c r="AA45" i="8"/>
  <c r="V45" i="8"/>
  <c r="X45" i="8"/>
  <c r="S45" i="8"/>
  <c r="L45" i="8"/>
  <c r="AE44" i="8"/>
  <c r="AA44" i="8"/>
  <c r="V44" i="8"/>
  <c r="X44" i="8"/>
  <c r="S44" i="8"/>
  <c r="L44" i="8"/>
  <c r="AE43" i="8"/>
  <c r="AA43" i="8"/>
  <c r="V43" i="8"/>
  <c r="X43" i="8"/>
  <c r="S43" i="8"/>
  <c r="L43" i="8"/>
  <c r="AE42" i="8"/>
  <c r="AA42" i="8"/>
  <c r="V42" i="8"/>
  <c r="X42" i="8"/>
  <c r="S42" i="8"/>
  <c r="L42" i="8"/>
  <c r="AE41" i="8"/>
  <c r="AA41" i="8"/>
  <c r="V41" i="8"/>
  <c r="X41" i="8"/>
  <c r="S41" i="8"/>
  <c r="L41" i="8"/>
  <c r="AE40" i="8"/>
  <c r="AA40" i="8"/>
  <c r="V40" i="8"/>
  <c r="X40" i="8"/>
  <c r="S40" i="8"/>
  <c r="L40" i="8"/>
  <c r="AE39" i="8"/>
  <c r="AA39" i="8"/>
  <c r="V39" i="8"/>
  <c r="X39" i="8"/>
  <c r="S39" i="8"/>
  <c r="L39" i="8"/>
  <c r="AE38" i="8"/>
  <c r="AA38" i="8"/>
  <c r="V38" i="8"/>
  <c r="X38" i="8"/>
  <c r="S38" i="8"/>
  <c r="L38" i="8"/>
  <c r="AE37" i="8"/>
  <c r="AA37" i="8"/>
  <c r="V37" i="8"/>
  <c r="X37" i="8"/>
  <c r="S37" i="8"/>
  <c r="L37" i="8"/>
  <c r="AE36" i="8"/>
  <c r="AA36" i="8"/>
  <c r="V36" i="8"/>
  <c r="X36" i="8"/>
  <c r="S36" i="8"/>
  <c r="L36" i="8"/>
  <c r="AE35" i="8"/>
  <c r="AA35" i="8"/>
  <c r="V35" i="8"/>
  <c r="X35" i="8"/>
  <c r="S35" i="8"/>
  <c r="L35" i="8"/>
  <c r="AE34" i="8"/>
  <c r="AA34" i="8"/>
  <c r="V34" i="8"/>
  <c r="X34" i="8"/>
  <c r="S34" i="8"/>
  <c r="L34" i="8"/>
  <c r="AE33" i="8"/>
  <c r="AA33" i="8"/>
  <c r="V33" i="8"/>
  <c r="X33" i="8"/>
  <c r="S33" i="8"/>
  <c r="L33" i="8"/>
  <c r="AE32" i="8"/>
  <c r="AA32" i="8"/>
  <c r="V32" i="8"/>
  <c r="X32" i="8"/>
  <c r="S32" i="8"/>
  <c r="L32" i="8"/>
  <c r="AE31" i="8"/>
  <c r="AA31" i="8"/>
  <c r="V31" i="8"/>
  <c r="X31" i="8"/>
  <c r="S31" i="8"/>
  <c r="L31" i="8"/>
  <c r="AE30" i="8"/>
  <c r="AA30" i="8"/>
  <c r="V30" i="8"/>
  <c r="X30" i="8"/>
  <c r="S30" i="8"/>
  <c r="L30" i="8"/>
  <c r="AE29" i="8"/>
  <c r="AA29" i="8"/>
  <c r="V29" i="8"/>
  <c r="X29" i="8"/>
  <c r="S29" i="8"/>
  <c r="L29" i="8"/>
  <c r="AE28" i="8"/>
  <c r="AA28" i="8"/>
  <c r="V28" i="8"/>
  <c r="X28" i="8"/>
  <c r="S28" i="8"/>
  <c r="L28" i="8"/>
  <c r="AE27" i="8"/>
  <c r="AA27" i="8"/>
  <c r="V27" i="8"/>
  <c r="X27" i="8"/>
  <c r="S27" i="8"/>
  <c r="L27" i="8"/>
  <c r="AE26" i="8"/>
  <c r="AA26" i="8"/>
  <c r="V26" i="8"/>
  <c r="X26" i="8"/>
  <c r="S26" i="8"/>
  <c r="L26" i="8"/>
  <c r="AE25" i="8"/>
  <c r="AA25" i="8"/>
  <c r="V25" i="8"/>
  <c r="X25" i="8"/>
  <c r="S25" i="8"/>
  <c r="L25" i="8"/>
  <c r="AE24" i="8"/>
  <c r="AA24" i="8"/>
  <c r="V24" i="8"/>
  <c r="X24" i="8"/>
  <c r="S24" i="8"/>
  <c r="L24" i="8"/>
  <c r="AE23" i="8"/>
  <c r="AA23" i="8"/>
  <c r="V23" i="8"/>
  <c r="X23" i="8"/>
  <c r="S23" i="8"/>
  <c r="L23" i="8"/>
  <c r="AE22" i="8"/>
  <c r="AA22" i="8"/>
  <c r="V22" i="8"/>
  <c r="X22" i="8"/>
  <c r="S22" i="8"/>
  <c r="L22" i="8"/>
  <c r="AE21" i="8"/>
  <c r="AA21" i="8"/>
  <c r="V21" i="8"/>
  <c r="X21" i="8"/>
  <c r="S21" i="8"/>
  <c r="L21" i="8"/>
  <c r="AE20" i="8"/>
  <c r="AA20" i="8"/>
  <c r="V20" i="8"/>
  <c r="X20" i="8"/>
  <c r="S20" i="8"/>
  <c r="L20" i="8"/>
  <c r="AE19" i="8"/>
  <c r="AA19" i="8"/>
  <c r="V19" i="8"/>
  <c r="X19" i="8"/>
  <c r="S19" i="8"/>
  <c r="L19" i="8"/>
  <c r="AE18" i="8"/>
  <c r="AA18" i="8"/>
  <c r="V18" i="8"/>
  <c r="X18" i="8"/>
  <c r="S18" i="8"/>
  <c r="L18" i="8"/>
  <c r="AE17" i="8"/>
  <c r="AA17" i="8"/>
  <c r="V17" i="8"/>
  <c r="X17" i="8"/>
  <c r="S17" i="8"/>
  <c r="L17" i="8"/>
  <c r="AE16" i="8"/>
  <c r="AA16" i="8"/>
  <c r="V16" i="8"/>
  <c r="X16" i="8"/>
  <c r="S16" i="8"/>
  <c r="L16" i="8"/>
  <c r="AE15" i="8"/>
  <c r="AA15" i="8"/>
  <c r="V15" i="8"/>
  <c r="X15" i="8"/>
  <c r="S15" i="8"/>
  <c r="L15" i="8"/>
  <c r="AE14" i="8"/>
  <c r="AA14" i="8"/>
  <c r="V14" i="8"/>
  <c r="X14" i="8"/>
  <c r="S14" i="8"/>
  <c r="L14" i="8"/>
  <c r="AE12" i="8"/>
  <c r="AA12" i="8"/>
  <c r="V12" i="8"/>
  <c r="X12" i="8"/>
  <c r="S12" i="8"/>
  <c r="L12" i="8"/>
  <c r="AE11" i="8"/>
  <c r="AA11" i="8"/>
  <c r="V11" i="8"/>
  <c r="X11" i="8"/>
  <c r="S11" i="8"/>
  <c r="L11" i="8"/>
  <c r="AE10" i="8"/>
  <c r="AA10" i="8"/>
  <c r="V10" i="8"/>
  <c r="S10" i="8"/>
  <c r="L10" i="8"/>
  <c r="AE9" i="8"/>
  <c r="AA9" i="8"/>
  <c r="V9" i="8"/>
  <c r="X9" i="8"/>
  <c r="S9" i="8"/>
  <c r="L9" i="8"/>
  <c r="AE8" i="8"/>
  <c r="AA8" i="8"/>
  <c r="V8" i="8"/>
  <c r="X8" i="8"/>
  <c r="S8" i="8"/>
  <c r="L8" i="8"/>
  <c r="AE7" i="8"/>
  <c r="AA7" i="8"/>
  <c r="V7" i="8"/>
  <c r="X7" i="8"/>
  <c r="S7" i="8"/>
  <c r="L7" i="8"/>
  <c r="AE6" i="8"/>
  <c r="AA6" i="8"/>
  <c r="V6" i="8"/>
  <c r="X6" i="8"/>
  <c r="S6" i="8"/>
  <c r="M6" i="8"/>
  <c r="L6" i="8"/>
  <c r="AQ190" i="4"/>
  <c r="AQ189" i="4"/>
  <c r="AQ188" i="4"/>
  <c r="AQ183" i="4"/>
  <c r="AQ176" i="4"/>
  <c r="AQ170" i="4"/>
  <c r="AQ156" i="4"/>
  <c r="AQ151" i="4"/>
  <c r="AQ141" i="4"/>
  <c r="AQ132" i="4"/>
  <c r="AQ123" i="4"/>
  <c r="AQ110" i="4"/>
  <c r="AQ109" i="4"/>
  <c r="AQ107" i="4"/>
  <c r="AQ104" i="4"/>
  <c r="AQ103" i="4"/>
  <c r="AQ102" i="4"/>
  <c r="AQ98" i="4"/>
  <c r="AQ93" i="4"/>
  <c r="AQ92" i="4"/>
  <c r="AQ91" i="4"/>
  <c r="AQ87" i="4"/>
  <c r="AQ86" i="4"/>
  <c r="AQ81" i="4"/>
  <c r="AQ79" i="4"/>
  <c r="AQ77" i="4"/>
  <c r="AQ76" i="4"/>
  <c r="AQ75" i="4"/>
  <c r="AQ72" i="4"/>
  <c r="AQ70" i="4"/>
  <c r="AQ68" i="4"/>
  <c r="AQ67" i="4"/>
  <c r="AQ66" i="4"/>
  <c r="AQ65" i="4"/>
  <c r="AQ62" i="4"/>
  <c r="AQ60" i="4"/>
  <c r="AQ58" i="4"/>
  <c r="AQ46" i="4"/>
  <c r="AQ44" i="4"/>
  <c r="AQ22" i="4"/>
  <c r="AQ18" i="4"/>
  <c r="AQ17" i="4"/>
  <c r="AQ14" i="4"/>
  <c r="AQ13" i="4"/>
  <c r="AQ10" i="4"/>
  <c r="AQ5" i="4"/>
  <c r="AQ99" i="4"/>
  <c r="T184" i="8"/>
  <c r="AQ69" i="4"/>
  <c r="AQ57" i="4"/>
  <c r="AQ97" i="4"/>
  <c r="T162" i="8"/>
  <c r="AQ118" i="4"/>
  <c r="AQ162" i="4"/>
  <c r="T105" i="8"/>
  <c r="AQ191" i="4"/>
  <c r="T114" i="8"/>
  <c r="AQ51" i="4"/>
  <c r="T120" i="8"/>
  <c r="T23" i="8"/>
  <c r="T41" i="8"/>
  <c r="AQ50" i="4"/>
  <c r="T46" i="8"/>
  <c r="AQ146" i="4"/>
  <c r="AQ158" i="4"/>
  <c r="AQ128" i="4"/>
  <c r="T80" i="8"/>
  <c r="AQ125" i="4"/>
  <c r="T81" i="8"/>
  <c r="AQ126" i="4"/>
  <c r="T83" i="8"/>
  <c r="AQ168" i="4"/>
  <c r="T91" i="8"/>
  <c r="T92" i="8"/>
  <c r="AQ160" i="4"/>
  <c r="T93" i="8"/>
  <c r="AQ26" i="4"/>
  <c r="AQ187" i="4"/>
  <c r="T155" i="8"/>
  <c r="T173" i="8"/>
  <c r="T179" i="8"/>
  <c r="T185" i="8"/>
  <c r="AQ89" i="4"/>
  <c r="AQ45" i="4"/>
  <c r="AQ137" i="4"/>
  <c r="AQ4" i="4"/>
  <c r="AQ59" i="4"/>
  <c r="AQ182" i="4"/>
  <c r="T20" i="8"/>
  <c r="AQ124" i="4"/>
  <c r="AQ105" i="4"/>
  <c r="AQ177" i="4"/>
  <c r="AQ71" i="4"/>
  <c r="AQ78" i="4"/>
  <c r="T48" i="8"/>
  <c r="T49" i="8"/>
  <c r="AQ63" i="4"/>
  <c r="AQ55" i="4"/>
  <c r="AQ54" i="4"/>
  <c r="T53" i="8"/>
  <c r="AQ15" i="4"/>
  <c r="T59" i="8"/>
  <c r="AQ106" i="4"/>
  <c r="AQ114" i="4"/>
  <c r="T70" i="8"/>
  <c r="AQ135" i="4"/>
  <c r="AQ28" i="4"/>
  <c r="AQ29" i="4"/>
  <c r="AQ129" i="4"/>
  <c r="AQ100" i="4"/>
  <c r="T86" i="8"/>
  <c r="AQ169" i="4"/>
  <c r="AQ83" i="4"/>
  <c r="AQ84" i="4"/>
  <c r="AQ37" i="4"/>
  <c r="AQ163" i="4"/>
  <c r="T107" i="8"/>
  <c r="AQ165" i="4"/>
  <c r="AQ95" i="4"/>
  <c r="T110" i="8"/>
  <c r="T115" i="8"/>
  <c r="T117" i="8"/>
  <c r="AQ131" i="4"/>
  <c r="T139" i="8"/>
  <c r="T144" i="8"/>
  <c r="AQ147" i="4"/>
  <c r="T174" i="8"/>
  <c r="AQ175" i="4"/>
  <c r="AA152" i="4"/>
  <c r="P56" i="4"/>
  <c r="P59" i="4"/>
  <c r="P24" i="4"/>
  <c r="P177" i="4"/>
  <c r="P43" i="4"/>
  <c r="P49" i="4"/>
  <c r="P54" i="4"/>
  <c r="P115" i="4"/>
  <c r="P122" i="4"/>
  <c r="O152" i="4"/>
  <c r="O60" i="4"/>
  <c r="O68" i="4"/>
  <c r="O67" i="4"/>
  <c r="O18" i="4"/>
  <c r="O6" i="4"/>
  <c r="O157" i="4"/>
  <c r="O50" i="4"/>
  <c r="O52" i="4"/>
  <c r="O13" i="4"/>
  <c r="O138" i="4"/>
  <c r="O115" i="4"/>
  <c r="O178" i="4"/>
  <c r="O90" i="4"/>
  <c r="P151" i="4"/>
  <c r="AA17" i="4"/>
  <c r="O176" i="4"/>
  <c r="AA27" i="4"/>
  <c r="O133" i="4"/>
  <c r="AA183" i="4"/>
  <c r="P33" i="4"/>
  <c r="AA112" i="4"/>
  <c r="O22" i="4"/>
  <c r="P20" i="4"/>
  <c r="AA73" i="4"/>
  <c r="O108" i="4"/>
  <c r="P107" i="4"/>
  <c r="O130" i="4"/>
  <c r="P180" i="4"/>
  <c r="AA181" i="4"/>
  <c r="O72" i="4"/>
  <c r="P104" i="4"/>
  <c r="AA102" i="4"/>
  <c r="O12" i="4"/>
  <c r="AA148" i="4"/>
  <c r="O92" i="4"/>
  <c r="P93" i="4"/>
  <c r="AA41" i="4"/>
  <c r="O44" i="4"/>
  <c r="P189" i="4"/>
  <c r="AA86" i="4"/>
  <c r="O77" i="4"/>
  <c r="P75" i="4"/>
  <c r="AA76" i="4"/>
  <c r="O110" i="4"/>
  <c r="AA56" i="4"/>
  <c r="P45" i="4"/>
  <c r="P65" i="4"/>
  <c r="P70" i="4"/>
  <c r="P50" i="4"/>
  <c r="P103" i="4"/>
  <c r="P13" i="4"/>
  <c r="P145" i="4"/>
  <c r="P106" i="4"/>
  <c r="P117" i="4"/>
  <c r="P28" i="4"/>
  <c r="O56" i="4"/>
  <c r="O87" i="4"/>
  <c r="O45" i="4"/>
  <c r="O137" i="4"/>
  <c r="O184" i="4"/>
  <c r="O139" i="4"/>
  <c r="O5" i="4"/>
  <c r="O43" i="4"/>
  <c r="O70" i="4"/>
  <c r="O78" i="4"/>
  <c r="O49" i="4"/>
  <c r="O103" i="4"/>
  <c r="O154" i="4"/>
  <c r="O120" i="4"/>
  <c r="O158" i="4"/>
  <c r="P17" i="4"/>
  <c r="AA36" i="4"/>
  <c r="O156" i="4"/>
  <c r="P27" i="4"/>
  <c r="AA142" i="4"/>
  <c r="O134" i="4"/>
  <c r="P183" i="4"/>
  <c r="AA186" i="4"/>
  <c r="O33" i="4"/>
  <c r="P112" i="4"/>
  <c r="O20" i="4"/>
  <c r="AA47" i="4"/>
  <c r="O107" i="4"/>
  <c r="P111" i="4"/>
  <c r="AA109" i="4"/>
  <c r="O180" i="4"/>
  <c r="AA113" i="4"/>
  <c r="O104" i="4"/>
  <c r="P102" i="4"/>
  <c r="AA136" i="4"/>
  <c r="O10" i="4"/>
  <c r="P148" i="4"/>
  <c r="AA39" i="4"/>
  <c r="O93" i="4"/>
  <c r="P41" i="4"/>
  <c r="AA42" i="4"/>
  <c r="O189" i="4"/>
  <c r="P86" i="4"/>
  <c r="AA99" i="4"/>
  <c r="O75" i="4"/>
  <c r="P76" i="4"/>
  <c r="AA26" i="4"/>
  <c r="O8" i="4"/>
  <c r="P60" i="4"/>
  <c r="P68" i="4"/>
  <c r="P5" i="4"/>
  <c r="P105" i="4"/>
  <c r="P6" i="4"/>
  <c r="P55" i="4"/>
  <c r="P119" i="4"/>
  <c r="O149" i="4"/>
  <c r="O11" i="4"/>
  <c r="O59" i="4"/>
  <c r="O182" i="4"/>
  <c r="O65" i="4"/>
  <c r="O24" i="4"/>
  <c r="O105" i="4"/>
  <c r="O166" i="4"/>
  <c r="O7" i="4"/>
  <c r="O54" i="4"/>
  <c r="O15" i="4"/>
  <c r="O145" i="4"/>
  <c r="O119" i="4"/>
  <c r="O117" i="4"/>
  <c r="O80" i="4"/>
  <c r="O151" i="4"/>
  <c r="O17" i="4"/>
  <c r="P36" i="4"/>
  <c r="AA97" i="4"/>
  <c r="O27" i="4"/>
  <c r="P142" i="4"/>
  <c r="AA132" i="4"/>
  <c r="O183" i="4"/>
  <c r="P186" i="4"/>
  <c r="AA187" i="4"/>
  <c r="O112" i="4"/>
  <c r="AA34" i="4"/>
  <c r="O73" i="4"/>
  <c r="P47" i="4"/>
  <c r="AA123" i="4"/>
  <c r="O111" i="4"/>
  <c r="P109" i="4"/>
  <c r="AA96" i="4"/>
  <c r="O181" i="4"/>
  <c r="P113" i="4"/>
  <c r="AA74" i="4"/>
  <c r="O102" i="4"/>
  <c r="P136" i="4"/>
  <c r="AA69" i="4"/>
  <c r="O148" i="4"/>
  <c r="P39" i="4"/>
  <c r="AA38" i="4"/>
  <c r="O41" i="4"/>
  <c r="AA40" i="4"/>
  <c r="AA61" i="4"/>
  <c r="O76" i="4"/>
  <c r="P26" i="4"/>
  <c r="AA57" i="4"/>
  <c r="AA150" i="4"/>
  <c r="AA45" i="4"/>
  <c r="AA137" i="4"/>
  <c r="AA60" i="4"/>
  <c r="AA59" i="4"/>
  <c r="AA182" i="4"/>
  <c r="AA184" i="4"/>
  <c r="AA35" i="4"/>
  <c r="AA68" i="4"/>
  <c r="AA65" i="4"/>
  <c r="AA66" i="4"/>
  <c r="AA67" i="4"/>
  <c r="AA5" i="4"/>
  <c r="AA9" i="4"/>
  <c r="AA24" i="4"/>
  <c r="AA124" i="4"/>
  <c r="AA105" i="4"/>
  <c r="AA143" i="4"/>
  <c r="AA6" i="4"/>
  <c r="AA166" i="4"/>
  <c r="AA43" i="4"/>
  <c r="AA170" i="4"/>
  <c r="AA157" i="4"/>
  <c r="AA7" i="4"/>
  <c r="AA64" i="4"/>
  <c r="AA70" i="4"/>
  <c r="AA71" i="4"/>
  <c r="AA78" i="4"/>
  <c r="AA48" i="4"/>
  <c r="AA50" i="4"/>
  <c r="AA53" i="4"/>
  <c r="AA49" i="4"/>
  <c r="AA52" i="4"/>
  <c r="AA63" i="4"/>
  <c r="AA55" i="4"/>
  <c r="AA54" i="4"/>
  <c r="AA140" i="4"/>
  <c r="AA103" i="4"/>
  <c r="AA15" i="4"/>
  <c r="AA13" i="4"/>
  <c r="AA153" i="4"/>
  <c r="AA154" i="4"/>
  <c r="AA145" i="4"/>
  <c r="AA146" i="4"/>
  <c r="AA138" i="4"/>
  <c r="AA106" i="4"/>
  <c r="AA119" i="4"/>
  <c r="AA120" i="4"/>
  <c r="AA115" i="4"/>
  <c r="AA116" i="4"/>
  <c r="AA114" i="4"/>
  <c r="AA117" i="4"/>
  <c r="AA122" i="4"/>
  <c r="AA121" i="4"/>
  <c r="AA178" i="4"/>
  <c r="AA179" i="4"/>
  <c r="AA159" i="4"/>
  <c r="AA80" i="4"/>
  <c r="AA88" i="4"/>
  <c r="AA28" i="4"/>
  <c r="AA29" i="4"/>
  <c r="AA128" i="4"/>
  <c r="AA125" i="4"/>
  <c r="AA129" i="4"/>
  <c r="AA126" i="4"/>
  <c r="AA127" i="4"/>
  <c r="AA100" i="4"/>
  <c r="AA101" i="4"/>
  <c r="AA169" i="4"/>
  <c r="AA168" i="4"/>
  <c r="AA167" i="4"/>
  <c r="AA25" i="4"/>
  <c r="AA171" i="4"/>
  <c r="AA160" i="4"/>
  <c r="AA14" i="4"/>
  <c r="AA83" i="4"/>
  <c r="AA81" i="4"/>
  <c r="AA84" i="4"/>
  <c r="AA118" i="4"/>
  <c r="AA19" i="4"/>
  <c r="AA174" i="4"/>
  <c r="AA37" i="4"/>
  <c r="AA144" i="4"/>
  <c r="AA161" i="4"/>
  <c r="AA91" i="4"/>
  <c r="AA162" i="4"/>
  <c r="AA164" i="4"/>
  <c r="AA165" i="4"/>
  <c r="AA95" i="4"/>
  <c r="AA185" i="4"/>
  <c r="AA188" i="4"/>
  <c r="AA172" i="4"/>
  <c r="AA82" i="4"/>
  <c r="AA191" i="4"/>
  <c r="AA85" i="4"/>
  <c r="AA155" i="4"/>
  <c r="AA30" i="4"/>
  <c r="AA31" i="4"/>
  <c r="AA32" i="4"/>
  <c r="AA51" i="4"/>
  <c r="O36" i="4"/>
  <c r="P97" i="4"/>
  <c r="AA98" i="4"/>
  <c r="O142" i="4"/>
  <c r="P132" i="4"/>
  <c r="AA131" i="4"/>
  <c r="O186" i="4"/>
  <c r="AA173" i="4"/>
  <c r="O23" i="4"/>
  <c r="P34" i="4"/>
  <c r="AA21" i="4"/>
  <c r="O47" i="4"/>
  <c r="P123" i="4"/>
  <c r="AA147" i="4"/>
  <c r="O109" i="4"/>
  <c r="P96" i="4"/>
  <c r="AA79" i="4"/>
  <c r="O113" i="4"/>
  <c r="P74" i="4"/>
  <c r="AA16" i="4"/>
  <c r="O136" i="4"/>
  <c r="P69" i="4"/>
  <c r="AA141" i="4"/>
  <c r="O39" i="4"/>
  <c r="P38" i="4"/>
  <c r="AA94" i="4"/>
  <c r="O42" i="4"/>
  <c r="AA46" i="4"/>
  <c r="O99" i="4"/>
  <c r="P61" i="4"/>
  <c r="AA175" i="4"/>
  <c r="O26" i="4"/>
  <c r="P57" i="4"/>
  <c r="AA58" i="4"/>
  <c r="P89" i="4"/>
  <c r="P4" i="4"/>
  <c r="P139" i="4"/>
  <c r="P7" i="4"/>
  <c r="P71" i="4"/>
  <c r="P120" i="4"/>
  <c r="P114" i="4"/>
  <c r="P158" i="4"/>
  <c r="P125" i="4"/>
  <c r="P129" i="4"/>
  <c r="P100" i="4"/>
  <c r="P101" i="4"/>
  <c r="P169" i="4"/>
  <c r="P62" i="4"/>
  <c r="P14" i="4"/>
  <c r="P81" i="4"/>
  <c r="P84" i="4"/>
  <c r="P19" i="4"/>
  <c r="P144" i="4"/>
  <c r="P161" i="4"/>
  <c r="P163" i="4"/>
  <c r="P165" i="4"/>
  <c r="P95" i="4"/>
  <c r="P188" i="4"/>
  <c r="P172" i="4"/>
  <c r="P82" i="4"/>
  <c r="P85" i="4"/>
  <c r="P155" i="4"/>
  <c r="P30" i="4"/>
  <c r="P31" i="4"/>
  <c r="P32" i="4"/>
  <c r="AA90" i="4"/>
  <c r="O97" i="4"/>
  <c r="P98" i="4"/>
  <c r="AA176" i="4"/>
  <c r="O132" i="4"/>
  <c r="P131" i="4"/>
  <c r="AA133" i="4"/>
  <c r="O187" i="4"/>
  <c r="P173" i="4"/>
  <c r="O34" i="4"/>
  <c r="P21" i="4"/>
  <c r="O123" i="4"/>
  <c r="AA108" i="4"/>
  <c r="O96" i="4"/>
  <c r="P79" i="4"/>
  <c r="AA130" i="4"/>
  <c r="O74" i="4"/>
  <c r="P16" i="4"/>
  <c r="AA72" i="4"/>
  <c r="O69" i="4"/>
  <c r="P141" i="4"/>
  <c r="AA12" i="4"/>
  <c r="O38" i="4"/>
  <c r="P94" i="4"/>
  <c r="AA92" i="4"/>
  <c r="O40" i="4"/>
  <c r="P46" i="4"/>
  <c r="AA44" i="4"/>
  <c r="O61" i="4"/>
  <c r="P175" i="4"/>
  <c r="AA77" i="4"/>
  <c r="O57" i="4"/>
  <c r="P58" i="4"/>
  <c r="AA110" i="4"/>
  <c r="AA149" i="4"/>
  <c r="P11" i="4"/>
  <c r="P67" i="4"/>
  <c r="P9" i="4"/>
  <c r="P52" i="4"/>
  <c r="P63" i="4"/>
  <c r="P15" i="4"/>
  <c r="P116" i="4"/>
  <c r="P159" i="4"/>
  <c r="P88" i="4"/>
  <c r="O150" i="4"/>
  <c r="O89" i="4"/>
  <c r="O4" i="4"/>
  <c r="O35" i="4"/>
  <c r="O66" i="4"/>
  <c r="O9" i="4"/>
  <c r="O124" i="4"/>
  <c r="O177" i="4"/>
  <c r="O143" i="4"/>
  <c r="O170" i="4"/>
  <c r="O64" i="4"/>
  <c r="O71" i="4"/>
  <c r="O48" i="4"/>
  <c r="O53" i="4"/>
  <c r="O55" i="4"/>
  <c r="O140" i="4"/>
  <c r="O153" i="4"/>
  <c r="O146" i="4"/>
  <c r="O106" i="4"/>
  <c r="O116" i="4"/>
  <c r="O114" i="4"/>
  <c r="O122" i="4"/>
  <c r="O121" i="4"/>
  <c r="O179" i="4"/>
  <c r="O159" i="4"/>
  <c r="O88" i="4"/>
  <c r="O135" i="4"/>
  <c r="O28" i="4"/>
  <c r="O29" i="4"/>
  <c r="O128" i="4"/>
  <c r="O125" i="4"/>
  <c r="O129" i="4"/>
  <c r="O126" i="4"/>
  <c r="O127" i="4"/>
  <c r="O100" i="4"/>
  <c r="O101" i="4"/>
  <c r="O169" i="4"/>
  <c r="O168" i="4"/>
  <c r="O167" i="4"/>
  <c r="O62" i="4"/>
  <c r="O25" i="4"/>
  <c r="O171" i="4"/>
  <c r="O160" i="4"/>
  <c r="O14" i="4"/>
  <c r="O83" i="4"/>
  <c r="O81" i="4"/>
  <c r="O84" i="4"/>
  <c r="O118" i="4"/>
  <c r="O19" i="4"/>
  <c r="O174" i="4"/>
  <c r="O37" i="4"/>
  <c r="O144" i="4"/>
  <c r="O161" i="4"/>
  <c r="O91" i="4"/>
  <c r="O162" i="4"/>
  <c r="O163" i="4"/>
  <c r="O164" i="4"/>
  <c r="O165" i="4"/>
  <c r="O95" i="4"/>
  <c r="O185" i="4"/>
  <c r="O188" i="4"/>
  <c r="O172" i="4"/>
  <c r="O82" i="4"/>
  <c r="O191" i="4"/>
  <c r="O85" i="4"/>
  <c r="O155" i="4"/>
  <c r="O30" i="4"/>
  <c r="O31" i="4"/>
  <c r="O32" i="4"/>
  <c r="O51" i="4"/>
  <c r="O190" i="4"/>
  <c r="P90" i="4"/>
  <c r="AA151" i="4"/>
  <c r="O98" i="4"/>
  <c r="P176" i="4"/>
  <c r="AA156" i="4"/>
  <c r="O131" i="4"/>
  <c r="P133" i="4"/>
  <c r="AA134" i="4"/>
  <c r="O173" i="4"/>
  <c r="AA33" i="4"/>
  <c r="O21" i="4"/>
  <c r="P22" i="4"/>
  <c r="AA20" i="4"/>
  <c r="O147" i="4"/>
  <c r="P108" i="4"/>
  <c r="AA107" i="4"/>
  <c r="O79" i="4"/>
  <c r="P130" i="4"/>
  <c r="AA180" i="4"/>
  <c r="O16" i="4"/>
  <c r="P72" i="4"/>
  <c r="AA104" i="4"/>
  <c r="O141" i="4"/>
  <c r="P12" i="4"/>
  <c r="AA10" i="4"/>
  <c r="O94" i="4"/>
  <c r="AA93" i="4"/>
  <c r="O46" i="4"/>
  <c r="O175" i="4"/>
  <c r="AA75" i="4"/>
  <c r="O58" i="4"/>
  <c r="P110" i="4"/>
  <c r="AA8" i="4"/>
  <c r="AQ24" i="4"/>
  <c r="AQ166" i="4"/>
  <c r="T154" i="8"/>
  <c r="T175" i="8"/>
  <c r="T181" i="8"/>
  <c r="AQ172" i="4"/>
  <c r="T163" i="8"/>
  <c r="T124" i="8"/>
  <c r="T136" i="8"/>
  <c r="T165" i="8"/>
  <c r="T183" i="8"/>
  <c r="T128" i="8"/>
  <c r="T145" i="8"/>
  <c r="AQ56" i="4"/>
  <c r="J96" i="13"/>
  <c r="AB61" i="8"/>
  <c r="AB70" i="8"/>
  <c r="AB72" i="8"/>
  <c r="AB77" i="8"/>
  <c r="AB84" i="8"/>
  <c r="AB89" i="8"/>
  <c r="AB91" i="8"/>
  <c r="AB92" i="8"/>
  <c r="AB98" i="8"/>
  <c r="AB101" i="8"/>
  <c r="AB104" i="8"/>
  <c r="AB170" i="8"/>
  <c r="P25" i="4"/>
  <c r="AB183" i="8"/>
  <c r="T96" i="8"/>
  <c r="AB147" i="8"/>
  <c r="T149" i="8"/>
  <c r="AB194" i="8"/>
  <c r="AB95" i="8"/>
  <c r="P83" i="4"/>
  <c r="AB175" i="8"/>
  <c r="P92" i="4"/>
  <c r="O86" i="4"/>
  <c r="T22" i="8"/>
  <c r="AB181" i="8"/>
  <c r="P135" i="4"/>
  <c r="AB12" i="8"/>
  <c r="AB15" i="8"/>
  <c r="AB23" i="8"/>
  <c r="AB27" i="8"/>
  <c r="AB53" i="8"/>
  <c r="AB55" i="8"/>
  <c r="AB177" i="8"/>
  <c r="T121" i="8"/>
  <c r="O156" i="8"/>
  <c r="O159" i="8"/>
  <c r="O184" i="8"/>
  <c r="O127" i="8"/>
  <c r="O77" i="8"/>
  <c r="O39" i="8"/>
  <c r="O10" i="8"/>
  <c r="O28" i="8"/>
  <c r="O34" i="8"/>
  <c r="O110" i="8"/>
  <c r="O35" i="8"/>
  <c r="O87" i="8"/>
  <c r="O15" i="8"/>
  <c r="O20" i="8"/>
  <c r="O26" i="8"/>
  <c r="O54" i="8"/>
  <c r="O65" i="8"/>
  <c r="O74" i="8"/>
  <c r="O81" i="8"/>
  <c r="O133" i="8"/>
  <c r="O138" i="8"/>
  <c r="O92" i="8"/>
  <c r="O158" i="8"/>
  <c r="O164" i="8"/>
  <c r="O125" i="8"/>
  <c r="O166" i="8"/>
  <c r="O12" i="8"/>
  <c r="O62" i="8"/>
  <c r="O151" i="8"/>
  <c r="O182" i="8"/>
  <c r="O16" i="8"/>
  <c r="O31" i="8"/>
  <c r="O42" i="8"/>
  <c r="O48" i="8"/>
  <c r="O57" i="8"/>
  <c r="O67" i="8"/>
  <c r="O71" i="8"/>
  <c r="O82" i="8"/>
  <c r="O86" i="8"/>
  <c r="O126" i="8"/>
  <c r="O157" i="8"/>
  <c r="O165" i="8"/>
  <c r="T182" i="8"/>
  <c r="O44" i="8"/>
  <c r="O73" i="8"/>
  <c r="O132" i="8"/>
  <c r="O137" i="8"/>
  <c r="O150" i="8"/>
  <c r="O167" i="8"/>
  <c r="O176" i="8"/>
  <c r="O51" i="8"/>
  <c r="O52" i="8"/>
  <c r="O60" i="8"/>
  <c r="O103" i="8"/>
  <c r="O116" i="8"/>
  <c r="O124" i="8"/>
  <c r="T127" i="8"/>
  <c r="O129" i="8"/>
  <c r="O130" i="8"/>
  <c r="O141" i="8"/>
  <c r="O162" i="8"/>
  <c r="O169" i="8"/>
  <c r="T164" i="8"/>
  <c r="O9" i="8"/>
  <c r="T32" i="8"/>
  <c r="O101" i="8"/>
  <c r="O123" i="8"/>
  <c r="T176" i="8"/>
  <c r="O185" i="8"/>
  <c r="O190" i="8"/>
  <c r="O21" i="8"/>
  <c r="O22" i="8"/>
  <c r="O30" i="8"/>
  <c r="O43" i="8"/>
  <c r="O53" i="8"/>
  <c r="O64" i="8"/>
  <c r="O68" i="8"/>
  <c r="O89" i="8"/>
  <c r="O95" i="8"/>
  <c r="O109" i="8"/>
  <c r="O179" i="8"/>
  <c r="O191" i="8"/>
  <c r="O99" i="8"/>
  <c r="O120" i="8"/>
  <c r="O134" i="8"/>
  <c r="O147" i="8"/>
  <c r="O24" i="8"/>
  <c r="O41" i="8"/>
  <c r="O45" i="8"/>
  <c r="T56" i="8"/>
  <c r="O188" i="8"/>
  <c r="O8" i="8"/>
  <c r="O33" i="8"/>
  <c r="O37" i="8"/>
  <c r="O46" i="8"/>
  <c r="O78" i="8"/>
  <c r="O111" i="8"/>
  <c r="O152" i="8"/>
  <c r="O173" i="8"/>
  <c r="O194" i="8"/>
  <c r="AB45" i="8"/>
  <c r="P48" i="4"/>
  <c r="AB129" i="8"/>
  <c r="P156" i="4"/>
  <c r="P127" i="4"/>
  <c r="AB113" i="8"/>
  <c r="T170" i="8"/>
  <c r="AB187" i="8"/>
  <c r="T189" i="8"/>
  <c r="AB192" i="8"/>
  <c r="P178" i="4"/>
  <c r="AB49" i="8"/>
  <c r="AB149" i="8"/>
  <c r="AB188" i="8"/>
  <c r="AB193" i="8"/>
  <c r="P73" i="4"/>
  <c r="T25" i="8"/>
  <c r="AB43" i="8"/>
  <c r="T94" i="8"/>
  <c r="AB128" i="8"/>
  <c r="AA4" i="4"/>
  <c r="AB80" i="8"/>
  <c r="AB83" i="8"/>
  <c r="AB107" i="8"/>
  <c r="AB167" i="8"/>
  <c r="AB73" i="8"/>
  <c r="P179" i="4"/>
  <c r="AB135" i="8"/>
  <c r="P134" i="4"/>
  <c r="AB114" i="8"/>
  <c r="P191" i="4"/>
  <c r="AB184" i="8"/>
  <c r="P99" i="4"/>
  <c r="AB41" i="8"/>
  <c r="P64" i="4"/>
  <c r="AB47" i="8"/>
  <c r="P53" i="4"/>
  <c r="AB79" i="8"/>
  <c r="P29" i="4"/>
  <c r="AB110" i="8"/>
  <c r="P185" i="4"/>
  <c r="AB142" i="8"/>
  <c r="P23" i="4"/>
  <c r="AB178" i="8"/>
  <c r="P42" i="4"/>
  <c r="AB36" i="8"/>
  <c r="P166" i="4"/>
  <c r="AB179" i="8"/>
  <c r="P40" i="4"/>
  <c r="AA111" i="4"/>
  <c r="P126" i="4"/>
  <c r="AB33" i="8"/>
  <c r="AB40" i="8"/>
  <c r="AB122" i="8"/>
  <c r="AB176" i="8"/>
  <c r="AB71" i="8"/>
  <c r="AB96" i="8"/>
  <c r="AB127" i="8"/>
  <c r="P128" i="4"/>
  <c r="AB16" i="8"/>
  <c r="T21" i="8"/>
  <c r="AB48" i="8"/>
  <c r="AB65" i="8"/>
  <c r="AB69" i="8"/>
  <c r="AB75" i="8"/>
  <c r="AB99" i="8"/>
  <c r="AB121" i="8"/>
  <c r="AB156" i="8"/>
  <c r="AA23" i="4"/>
  <c r="P10" i="4"/>
  <c r="AB130" i="8"/>
  <c r="AB190" i="8"/>
  <c r="AA22" i="4"/>
  <c r="P167" i="4"/>
  <c r="P171" i="4"/>
  <c r="AB21" i="8"/>
  <c r="AB46" i="8"/>
  <c r="AB62" i="8"/>
  <c r="AB66" i="8"/>
  <c r="AB124" i="8"/>
  <c r="T132" i="8"/>
  <c r="AB133" i="8"/>
  <c r="AB144" i="8"/>
  <c r="AB148" i="8"/>
  <c r="AB165" i="8"/>
  <c r="AB173" i="8"/>
  <c r="T192" i="8"/>
  <c r="AB32" i="8"/>
  <c r="P18" i="4"/>
  <c r="AB44" i="8"/>
  <c r="P78" i="4"/>
  <c r="AB88" i="8"/>
  <c r="P168" i="4"/>
  <c r="AB120" i="8"/>
  <c r="P51" i="4"/>
  <c r="S195" i="8"/>
  <c r="AA11" i="4"/>
  <c r="AA158" i="4"/>
  <c r="P8" i="4"/>
  <c r="AA18" i="4"/>
  <c r="AQ35" i="4"/>
  <c r="AA87" i="4"/>
  <c r="AA89" i="4"/>
  <c r="P164" i="4"/>
  <c r="P190" i="4"/>
  <c r="AB6" i="8"/>
  <c r="AB18" i="8"/>
  <c r="O29" i="8"/>
  <c r="AB29" i="8"/>
  <c r="O32" i="8"/>
  <c r="AB54" i="8"/>
  <c r="AB90" i="8"/>
  <c r="O100" i="8"/>
  <c r="O142" i="8"/>
  <c r="AB150" i="8"/>
  <c r="P147" i="4"/>
  <c r="P138" i="4"/>
  <c r="P140" i="4"/>
  <c r="AA190" i="4"/>
  <c r="AA135" i="4"/>
  <c r="AB138" i="8"/>
  <c r="P187" i="4"/>
  <c r="P37" i="4"/>
  <c r="P80" i="4"/>
  <c r="P118" i="4"/>
  <c r="P121" i="4"/>
  <c r="P137" i="4"/>
  <c r="AB11" i="8"/>
  <c r="AB42" i="8"/>
  <c r="AB57" i="8"/>
  <c r="P153" i="4"/>
  <c r="O104" i="8"/>
  <c r="P44" i="4"/>
  <c r="P77" i="4"/>
  <c r="P91" i="4"/>
  <c r="AA189" i="4"/>
  <c r="O7" i="8"/>
  <c r="N195" i="8"/>
  <c r="AB22" i="8"/>
  <c r="O25" i="8"/>
  <c r="AB25" i="8"/>
  <c r="AB28" i="8"/>
  <c r="AB31" i="8"/>
  <c r="O80" i="8"/>
  <c r="AB100" i="8"/>
  <c r="P174" i="4"/>
  <c r="AB159" i="8"/>
  <c r="P181" i="4"/>
  <c r="AA163" i="4"/>
  <c r="V195" i="8"/>
  <c r="O17" i="8"/>
  <c r="O18" i="8"/>
  <c r="O19" i="8"/>
  <c r="O23" i="8"/>
  <c r="AB26" i="8"/>
  <c r="T27" i="8"/>
  <c r="O36" i="8"/>
  <c r="AB37" i="8"/>
  <c r="O49" i="8"/>
  <c r="T54" i="8"/>
  <c r="AB64" i="8"/>
  <c r="O66" i="8"/>
  <c r="AB76" i="8"/>
  <c r="AB86" i="8"/>
  <c r="O88" i="8"/>
  <c r="O98" i="8"/>
  <c r="AB115" i="8"/>
  <c r="O117" i="8"/>
  <c r="AB118" i="8"/>
  <c r="O85" i="8"/>
  <c r="T90" i="8"/>
  <c r="AB97" i="8"/>
  <c r="AB103" i="8"/>
  <c r="O115" i="8"/>
  <c r="O146" i="8"/>
  <c r="AB163" i="8"/>
  <c r="AB169" i="8"/>
  <c r="M195" i="8"/>
  <c r="O11" i="8"/>
  <c r="O14" i="8"/>
  <c r="AB17" i="8"/>
  <c r="AB30" i="8"/>
  <c r="AB35" i="8"/>
  <c r="O38" i="8"/>
  <c r="O47" i="8"/>
  <c r="O58" i="8"/>
  <c r="AB59" i="8"/>
  <c r="O61" i="8"/>
  <c r="AB68" i="8"/>
  <c r="O75" i="8"/>
  <c r="AB81" i="8"/>
  <c r="O83" i="8"/>
  <c r="O90" i="8"/>
  <c r="AB93" i="8"/>
  <c r="O97" i="8"/>
  <c r="AB109" i="8"/>
  <c r="AB111" i="8"/>
  <c r="O113" i="8"/>
  <c r="O131" i="8"/>
  <c r="O154" i="8"/>
  <c r="AB154" i="8"/>
  <c r="O186" i="8"/>
  <c r="AB186" i="8"/>
  <c r="O69" i="8"/>
  <c r="T98" i="8"/>
  <c r="T104" i="8"/>
  <c r="O105" i="8"/>
  <c r="O114" i="8"/>
  <c r="T123" i="8"/>
  <c r="AB125" i="8"/>
  <c r="AB131" i="8"/>
  <c r="O161" i="8"/>
  <c r="O174" i="8"/>
  <c r="O180" i="8"/>
  <c r="O192" i="8"/>
  <c r="O50" i="8"/>
  <c r="AB50" i="8"/>
  <c r="O56" i="8"/>
  <c r="O70" i="8"/>
  <c r="O72" i="8"/>
  <c r="AB74" i="8"/>
  <c r="O76" i="8"/>
  <c r="AB78" i="8"/>
  <c r="O84" i="8"/>
  <c r="AB85" i="8"/>
  <c r="O91" i="8"/>
  <c r="O93" i="8"/>
  <c r="O96" i="8"/>
  <c r="AB106" i="8"/>
  <c r="AB108" i="8"/>
  <c r="AB112" i="8"/>
  <c r="AB116" i="8"/>
  <c r="O144" i="8"/>
  <c r="O145" i="8"/>
  <c r="AB145" i="8"/>
  <c r="T152" i="8"/>
  <c r="AB153" i="8"/>
  <c r="T168" i="8"/>
  <c r="AB171" i="8"/>
  <c r="O177" i="8"/>
  <c r="O181" i="8"/>
  <c r="AB185" i="8"/>
  <c r="T187" i="8"/>
  <c r="O108" i="8"/>
  <c r="AB117" i="8"/>
  <c r="AB123" i="8"/>
  <c r="O135" i="8"/>
  <c r="O136" i="8"/>
  <c r="AB136" i="8"/>
  <c r="O140" i="8"/>
  <c r="O143" i="8"/>
  <c r="O149" i="8"/>
  <c r="AB152" i="8"/>
  <c r="AB155" i="8"/>
  <c r="O160" i="8"/>
  <c r="AB160" i="8"/>
  <c r="O172" i="8"/>
  <c r="O189" i="8"/>
  <c r="AB140" i="8"/>
  <c r="O155" i="8"/>
  <c r="T167" i="8"/>
  <c r="O170" i="8"/>
  <c r="AB174" i="8"/>
  <c r="O178" i="8"/>
  <c r="AB182" i="8"/>
  <c r="O187" i="8"/>
  <c r="T188" i="8"/>
  <c r="AB189" i="8"/>
  <c r="O193" i="8"/>
  <c r="AQ149" i="4"/>
  <c r="T7" i="8"/>
  <c r="AQ119" i="4"/>
  <c r="T63" i="8"/>
  <c r="AB58" i="8"/>
  <c r="P154" i="4"/>
  <c r="T66" i="8"/>
  <c r="AQ116" i="4"/>
  <c r="AB105" i="8"/>
  <c r="P162" i="4"/>
  <c r="P124" i="4"/>
  <c r="O6" i="8"/>
  <c r="AB8" i="8"/>
  <c r="P150" i="4"/>
  <c r="AB14" i="8"/>
  <c r="T17" i="8"/>
  <c r="T24" i="8"/>
  <c r="T26" i="8"/>
  <c r="T38" i="8"/>
  <c r="T64" i="8"/>
  <c r="AQ120" i="4"/>
  <c r="AA177" i="4"/>
  <c r="AB24" i="8"/>
  <c r="AB38" i="8"/>
  <c r="P170" i="4"/>
  <c r="O40" i="8"/>
  <c r="AB51" i="8"/>
  <c r="AB7" i="8"/>
  <c r="P149" i="4"/>
  <c r="AB9" i="8"/>
  <c r="P152" i="4"/>
  <c r="AB20" i="8"/>
  <c r="P184" i="4"/>
  <c r="O63" i="4"/>
  <c r="T19" i="8"/>
  <c r="AA139" i="4"/>
  <c r="AB60" i="8"/>
  <c r="P146" i="4"/>
  <c r="P35" i="4"/>
  <c r="P66" i="4"/>
  <c r="AB19" i="8"/>
  <c r="P182" i="4"/>
  <c r="O27" i="8"/>
  <c r="AB34" i="8"/>
  <c r="P143" i="4"/>
  <c r="AB39" i="8"/>
  <c r="P157" i="4"/>
  <c r="T42" i="8"/>
  <c r="AB52" i="8"/>
  <c r="X10" i="8"/>
  <c r="O55" i="8"/>
  <c r="O63" i="8"/>
  <c r="AB67" i="8"/>
  <c r="O79" i="8"/>
  <c r="AB82" i="8"/>
  <c r="AA195" i="8"/>
  <c r="AB56" i="8"/>
  <c r="L195" i="8"/>
  <c r="O59" i="8"/>
  <c r="AB63" i="8"/>
  <c r="AB87" i="8"/>
  <c r="O107" i="8"/>
  <c r="O106" i="8"/>
  <c r="T111" i="8"/>
  <c r="O112" i="8"/>
  <c r="T129" i="8"/>
  <c r="O94" i="8"/>
  <c r="O102" i="8"/>
  <c r="O118" i="8"/>
  <c r="AB119" i="8"/>
  <c r="AB126" i="8"/>
  <c r="O163" i="8"/>
  <c r="AB164" i="8"/>
  <c r="O175" i="8"/>
  <c r="AB94" i="8"/>
  <c r="AB102" i="8"/>
  <c r="AB137" i="8"/>
  <c r="AB146" i="8"/>
  <c r="O153" i="8"/>
  <c r="AB166" i="8"/>
  <c r="AB134" i="8"/>
  <c r="AB143" i="8"/>
  <c r="T156" i="8"/>
  <c r="AB162" i="8"/>
  <c r="O168" i="8"/>
  <c r="AB168" i="8"/>
  <c r="O171" i="8"/>
  <c r="AB172" i="8"/>
  <c r="T180" i="8"/>
  <c r="AB191" i="8"/>
  <c r="T193" i="8"/>
  <c r="O122" i="8"/>
  <c r="O128" i="8"/>
  <c r="AB161" i="8"/>
  <c r="O139" i="8"/>
  <c r="O148" i="8"/>
  <c r="AB151" i="8"/>
  <c r="AB158" i="8"/>
  <c r="AB180" i="8"/>
  <c r="O183" i="8"/>
  <c r="O119" i="8"/>
  <c r="AB132" i="8"/>
  <c r="AB139" i="8"/>
  <c r="AB141" i="8"/>
  <c r="AB157" i="8"/>
  <c r="AQ19" i="4"/>
  <c r="T99" i="8"/>
  <c r="T11" i="8"/>
  <c r="Y89" i="4"/>
  <c r="T44" i="8"/>
  <c r="T133" i="8"/>
  <c r="T190" i="8"/>
  <c r="U190" i="8"/>
  <c r="AQ117" i="4"/>
  <c r="T68" i="8"/>
  <c r="AQ8" i="4"/>
  <c r="T194" i="8"/>
  <c r="AQ134" i="4"/>
  <c r="T135" i="8"/>
  <c r="Y134" i="4"/>
  <c r="AQ159" i="4"/>
  <c r="T74" i="8"/>
  <c r="T28" i="8"/>
  <c r="U28" i="8"/>
  <c r="AQ9" i="4"/>
  <c r="T158" i="8"/>
  <c r="AQ180" i="4"/>
  <c r="AQ80" i="4"/>
  <c r="T75" i="8"/>
  <c r="AQ154" i="4"/>
  <c r="T58" i="8"/>
  <c r="U58" i="8"/>
  <c r="AQ174" i="4"/>
  <c r="T100" i="8"/>
  <c r="Y174" i="4"/>
  <c r="AQ53" i="4"/>
  <c r="T47" i="8"/>
  <c r="T40" i="8"/>
  <c r="U40" i="8"/>
  <c r="AQ7" i="4"/>
  <c r="AQ34" i="4"/>
  <c r="T143" i="8"/>
  <c r="Y34" i="4"/>
  <c r="AQ178" i="4"/>
  <c r="T72" i="8"/>
  <c r="AQ115" i="4"/>
  <c r="T65" i="8"/>
  <c r="Y115" i="4"/>
  <c r="AQ33" i="4"/>
  <c r="T140" i="8"/>
  <c r="U140" i="8"/>
  <c r="T84" i="8"/>
  <c r="AQ127" i="4"/>
  <c r="AQ43" i="4"/>
  <c r="T37" i="8"/>
  <c r="U37" i="8"/>
  <c r="AQ161" i="4"/>
  <c r="T103" i="8"/>
  <c r="Y161" i="4"/>
  <c r="AQ6" i="4"/>
  <c r="T35" i="8"/>
  <c r="AQ139" i="4"/>
  <c r="T71" i="8"/>
  <c r="Y158" i="4"/>
  <c r="T191" i="8"/>
  <c r="T138" i="8"/>
  <c r="U138" i="8"/>
  <c r="T126" i="8"/>
  <c r="T88" i="8"/>
  <c r="T76" i="8"/>
  <c r="U76" i="8"/>
  <c r="AQ88" i="4"/>
  <c r="AQ157" i="4"/>
  <c r="T39" i="8"/>
  <c r="U39" i="8"/>
  <c r="T161" i="8"/>
  <c r="AQ74" i="4"/>
  <c r="AQ167" i="4"/>
  <c r="T89" i="8"/>
  <c r="U89" i="8"/>
  <c r="T45" i="8"/>
  <c r="AQ48" i="4"/>
  <c r="AQ150" i="4"/>
  <c r="T8" i="8"/>
  <c r="T57" i="8"/>
  <c r="U57" i="8"/>
  <c r="AQ153" i="4"/>
  <c r="AQ144" i="4"/>
  <c r="T102" i="8"/>
  <c r="U102" i="8"/>
  <c r="AQ138" i="4"/>
  <c r="T61" i="8"/>
  <c r="AQ20" i="4"/>
  <c r="T146" i="8"/>
  <c r="U146" i="8"/>
  <c r="AQ122" i="4"/>
  <c r="T69" i="8"/>
  <c r="Y122" i="4"/>
  <c r="AQ152" i="4"/>
  <c r="T9" i="8"/>
  <c r="AQ179" i="4"/>
  <c r="T73" i="8"/>
  <c r="U73" i="8"/>
  <c r="T34" i="8"/>
  <c r="AQ143" i="4"/>
  <c r="AQ11" i="4"/>
  <c r="T14" i="8"/>
  <c r="T12" i="8"/>
  <c r="U12" i="8"/>
  <c r="T109" i="8"/>
  <c r="U109" i="8"/>
  <c r="T52" i="8"/>
  <c r="U52" i="8"/>
  <c r="T85" i="8"/>
  <c r="Y100" i="4"/>
  <c r="T33" i="8"/>
  <c r="T97" i="8"/>
  <c r="U97" i="8"/>
  <c r="T95" i="8"/>
  <c r="U95" i="8"/>
  <c r="AQ186" i="4"/>
  <c r="AQ82" i="4"/>
  <c r="T62" i="8"/>
  <c r="Y106" i="4"/>
  <c r="T79" i="8"/>
  <c r="U79" i="8"/>
  <c r="T108" i="8"/>
  <c r="U108" i="8"/>
  <c r="AQ94" i="4"/>
  <c r="AQ85" i="4"/>
  <c r="AQ38" i="4"/>
  <c r="T30" i="8"/>
  <c r="U30" i="8"/>
  <c r="T150" i="8"/>
  <c r="Y147" i="4"/>
  <c r="T55" i="8"/>
  <c r="U55" i="8"/>
  <c r="T16" i="8"/>
  <c r="U16" i="8"/>
  <c r="T87" i="8"/>
  <c r="U87" i="8"/>
  <c r="T77" i="8"/>
  <c r="U77" i="8"/>
  <c r="T50" i="8"/>
  <c r="U50" i="8"/>
  <c r="T67" i="8"/>
  <c r="Y114" i="4"/>
  <c r="T18" i="8"/>
  <c r="U18" i="8"/>
  <c r="AQ185" i="4"/>
  <c r="AQ49" i="4"/>
  <c r="T106" i="8"/>
  <c r="U106" i="8"/>
  <c r="T101" i="8"/>
  <c r="U101" i="8"/>
  <c r="T78" i="8"/>
  <c r="U78" i="8"/>
  <c r="T43" i="8"/>
  <c r="Y71" i="4"/>
  <c r="T82" i="8"/>
  <c r="Y129" i="4"/>
  <c r="AQ173" i="4"/>
  <c r="AQ164" i="4"/>
  <c r="AQ140" i="4"/>
  <c r="AQ184" i="4"/>
  <c r="T31" i="8"/>
  <c r="U31" i="8"/>
  <c r="T51" i="8"/>
  <c r="U51" i="8"/>
  <c r="T15" i="8"/>
  <c r="U15" i="8"/>
  <c r="AQ40" i="4"/>
  <c r="T186" i="8"/>
  <c r="U186" i="8"/>
  <c r="AQ21" i="4"/>
  <c r="AQ30" i="4"/>
  <c r="AQ101" i="4"/>
  <c r="AQ121" i="4"/>
  <c r="AQ145" i="4"/>
  <c r="AQ52" i="4"/>
  <c r="AQ61" i="4"/>
  <c r="AQ96" i="4"/>
  <c r="N114" i="4"/>
  <c r="N182" i="4"/>
  <c r="N183" i="4"/>
  <c r="N180" i="4"/>
  <c r="N54" i="4"/>
  <c r="N55" i="4"/>
  <c r="N65" i="4"/>
  <c r="N61" i="4"/>
  <c r="N161" i="4"/>
  <c r="N88" i="4"/>
  <c r="N173" i="4"/>
  <c r="N108" i="4"/>
  <c r="N133" i="4"/>
  <c r="N144" i="4"/>
  <c r="N97" i="4"/>
  <c r="N169" i="4"/>
  <c r="N184" i="4"/>
  <c r="N11" i="4"/>
  <c r="N162" i="4"/>
  <c r="N151" i="4"/>
  <c r="N22" i="4"/>
  <c r="N165" i="4"/>
  <c r="N100" i="4"/>
  <c r="N160" i="4"/>
  <c r="N117" i="4"/>
  <c r="N6" i="4"/>
  <c r="N84" i="4"/>
  <c r="N85" i="4"/>
  <c r="N43" i="4"/>
  <c r="N153" i="4"/>
  <c r="N103" i="4"/>
  <c r="N56" i="4"/>
  <c r="N78" i="4"/>
  <c r="N131" i="4"/>
  <c r="N50" i="4"/>
  <c r="N26" i="4"/>
  <c r="N122" i="4"/>
  <c r="N7" i="4"/>
  <c r="N69" i="4"/>
  <c r="N126" i="4"/>
  <c r="U110" i="8"/>
  <c r="N156" i="4"/>
  <c r="U88" i="8"/>
  <c r="U176" i="8"/>
  <c r="U80" i="8"/>
  <c r="U121" i="8"/>
  <c r="N137" i="4"/>
  <c r="N44" i="4"/>
  <c r="N83" i="4"/>
  <c r="N86" i="4"/>
  <c r="N171" i="4"/>
  <c r="N121" i="4"/>
  <c r="N189" i="4"/>
  <c r="N30" i="4"/>
  <c r="N187" i="4"/>
  <c r="U132" i="8"/>
  <c r="N35" i="4"/>
  <c r="N27" i="4"/>
  <c r="N115" i="4"/>
  <c r="N98" i="4"/>
  <c r="N177" i="4"/>
  <c r="N166" i="4"/>
  <c r="N23" i="4"/>
  <c r="N53" i="4"/>
  <c r="N191" i="4"/>
  <c r="U161" i="8"/>
  <c r="N128" i="4"/>
  <c r="U94" i="8"/>
  <c r="N52" i="4"/>
  <c r="U44" i="8"/>
  <c r="N41" i="4"/>
  <c r="N45" i="4"/>
  <c r="U22" i="8"/>
  <c r="N8" i="4"/>
  <c r="N25" i="4"/>
  <c r="N138" i="4"/>
  <c r="N12" i="4"/>
  <c r="N70" i="4"/>
  <c r="N51" i="4"/>
  <c r="N38" i="4"/>
  <c r="N17" i="4"/>
  <c r="N19" i="4"/>
  <c r="N49" i="4"/>
  <c r="N81" i="4"/>
  <c r="U53" i="8"/>
  <c r="N110" i="4"/>
  <c r="N48" i="4"/>
  <c r="N15" i="4"/>
  <c r="N10" i="4"/>
  <c r="N167" i="4"/>
  <c r="N132" i="4"/>
  <c r="N141" i="4"/>
  <c r="N136" i="4"/>
  <c r="N32" i="4"/>
  <c r="N13" i="4"/>
  <c r="N163" i="4"/>
  <c r="N124" i="4"/>
  <c r="N20" i="4"/>
  <c r="N94" i="4"/>
  <c r="N96" i="4"/>
  <c r="N109" i="4"/>
  <c r="N95" i="4"/>
  <c r="N125" i="4"/>
  <c r="N60" i="4"/>
  <c r="N67" i="4"/>
  <c r="N174" i="4"/>
  <c r="N105" i="4"/>
  <c r="N62" i="4"/>
  <c r="N24" i="4"/>
  <c r="N102" i="4"/>
  <c r="N158" i="4"/>
  <c r="N185" i="4"/>
  <c r="N64" i="4"/>
  <c r="N134" i="4"/>
  <c r="N164" i="4"/>
  <c r="U45" i="8"/>
  <c r="N75" i="4"/>
  <c r="N58" i="4"/>
  <c r="N82" i="4"/>
  <c r="N140" i="4"/>
  <c r="N73" i="4"/>
  <c r="N91" i="4"/>
  <c r="N127" i="4"/>
  <c r="U92" i="8"/>
  <c r="N175" i="4"/>
  <c r="N157" i="4"/>
  <c r="N146" i="4"/>
  <c r="N152" i="4"/>
  <c r="N170" i="4"/>
  <c r="N150" i="4"/>
  <c r="N148" i="4"/>
  <c r="N28" i="4"/>
  <c r="N72" i="4"/>
  <c r="N186" i="4"/>
  <c r="N143" i="4"/>
  <c r="N149" i="4"/>
  <c r="N154" i="4"/>
  <c r="N76" i="4"/>
  <c r="N107" i="4"/>
  <c r="N111" i="4"/>
  <c r="N155" i="4"/>
  <c r="N159" i="4"/>
  <c r="N142" i="4"/>
  <c r="N31" i="4"/>
  <c r="N101" i="4"/>
  <c r="N9" i="4"/>
  <c r="N89" i="4"/>
  <c r="N147" i="4"/>
  <c r="N168" i="4"/>
  <c r="N18" i="4"/>
  <c r="N47" i="4"/>
  <c r="N116" i="4"/>
  <c r="N79" i="4"/>
  <c r="N4" i="4"/>
  <c r="N93" i="4"/>
  <c r="N71" i="4"/>
  <c r="N123" i="4"/>
  <c r="U189" i="8"/>
  <c r="U182" i="8"/>
  <c r="N5" i="4"/>
  <c r="U75" i="8"/>
  <c r="N92" i="4"/>
  <c r="N37" i="4"/>
  <c r="N135" i="4"/>
  <c r="U154" i="8"/>
  <c r="N14" i="4"/>
  <c r="N119" i="4"/>
  <c r="N33" i="4"/>
  <c r="N113" i="4"/>
  <c r="N68" i="4"/>
  <c r="N57" i="4"/>
  <c r="N63" i="4"/>
  <c r="N188" i="4"/>
  <c r="N145" i="4"/>
  <c r="N120" i="4"/>
  <c r="N16" i="4"/>
  <c r="N104" i="4"/>
  <c r="N130" i="4"/>
  <c r="N46" i="4"/>
  <c r="N74" i="4"/>
  <c r="N112" i="4"/>
  <c r="N39" i="4"/>
  <c r="N34" i="4"/>
  <c r="N129" i="4"/>
  <c r="N172" i="4"/>
  <c r="N36" i="4"/>
  <c r="N181" i="4"/>
  <c r="N66" i="4"/>
  <c r="N59" i="4"/>
  <c r="N21" i="4"/>
  <c r="N106" i="4"/>
  <c r="N190" i="4"/>
  <c r="N80" i="4"/>
  <c r="Y150" i="4"/>
  <c r="N90" i="4"/>
  <c r="N40" i="4"/>
  <c r="N42" i="4"/>
  <c r="N29" i="4"/>
  <c r="N99" i="4"/>
  <c r="N179" i="4"/>
  <c r="N176" i="4"/>
  <c r="Y66" i="4"/>
  <c r="N77" i="4"/>
  <c r="U32" i="8"/>
  <c r="N139" i="4"/>
  <c r="Y81" i="4"/>
  <c r="N118" i="4"/>
  <c r="N178" i="4"/>
  <c r="U145" i="8"/>
  <c r="U136" i="8"/>
  <c r="T29" i="8"/>
  <c r="U29" i="8"/>
  <c r="T36" i="8"/>
  <c r="Y166" i="4"/>
  <c r="AQ27" i="4"/>
  <c r="AQ31" i="4"/>
  <c r="AQ42" i="4"/>
  <c r="AQ23" i="4"/>
  <c r="AQ181" i="4"/>
  <c r="AQ155" i="4"/>
  <c r="AQ39" i="4"/>
  <c r="AQ136" i="4"/>
  <c r="T147" i="8"/>
  <c r="AQ133" i="4"/>
  <c r="AQ113" i="4"/>
  <c r="AQ36" i="4"/>
  <c r="AQ25" i="4"/>
  <c r="AQ90" i="4"/>
  <c r="AQ111" i="4"/>
  <c r="AQ142" i="4"/>
  <c r="AQ41" i="4"/>
  <c r="AQ112" i="4"/>
  <c r="AQ130" i="4"/>
  <c r="AQ32" i="4"/>
  <c r="AQ148" i="4"/>
  <c r="AQ108" i="4"/>
  <c r="AQ12" i="4"/>
  <c r="T148" i="8"/>
  <c r="T112" i="8"/>
  <c r="U149" i="8"/>
  <c r="Q195" i="8"/>
  <c r="U20" i="8"/>
  <c r="T6" i="8"/>
  <c r="T60" i="8"/>
  <c r="AQ171" i="4"/>
  <c r="AQ64" i="4"/>
  <c r="AQ16" i="4"/>
  <c r="Y168" i="4"/>
  <c r="Y190" i="4"/>
  <c r="Y109" i="4"/>
  <c r="U96" i="8"/>
  <c r="Y128" i="4"/>
  <c r="Y29" i="4"/>
  <c r="Y80" i="4"/>
  <c r="Y123" i="4"/>
  <c r="Y68" i="4"/>
  <c r="Y18" i="4"/>
  <c r="Y14" i="4"/>
  <c r="Y93" i="4"/>
  <c r="Y171" i="4"/>
  <c r="Y78" i="4"/>
  <c r="Y189" i="4"/>
  <c r="U86" i="8"/>
  <c r="Y101" i="4"/>
  <c r="Y154" i="4"/>
  <c r="U48" i="8"/>
  <c r="Y49" i="4"/>
  <c r="U35" i="8"/>
  <c r="Y6" i="4"/>
  <c r="U8" i="8"/>
  <c r="U25" i="8"/>
  <c r="Y22" i="4"/>
  <c r="Y74" i="4"/>
  <c r="U127" i="8"/>
  <c r="Y98" i="4"/>
  <c r="Y183" i="4"/>
  <c r="U165" i="8"/>
  <c r="Y102" i="4"/>
  <c r="Y48" i="4"/>
  <c r="Y76" i="4"/>
  <c r="U175" i="8"/>
  <c r="Y92" i="4"/>
  <c r="U163" i="8"/>
  <c r="Y72" i="4"/>
  <c r="U181" i="8"/>
  <c r="Y44" i="4"/>
  <c r="Y63" i="4"/>
  <c r="U56" i="8"/>
  <c r="Y13" i="4"/>
  <c r="U107" i="8"/>
  <c r="Y164" i="4"/>
  <c r="U14" i="8"/>
  <c r="Y11" i="4"/>
  <c r="U144" i="8"/>
  <c r="Y21" i="4"/>
  <c r="U164" i="8"/>
  <c r="Y104" i="4"/>
  <c r="Y185" i="4"/>
  <c r="U155" i="8"/>
  <c r="Y96" i="4"/>
  <c r="U170" i="8"/>
  <c r="Y10" i="4"/>
  <c r="Y132" i="4"/>
  <c r="U184" i="8"/>
  <c r="Y99" i="4"/>
  <c r="Y140" i="4"/>
  <c r="U120" i="8"/>
  <c r="Y51" i="4"/>
  <c r="Y184" i="4"/>
  <c r="U126" i="8"/>
  <c r="Y97" i="4"/>
  <c r="U139" i="8"/>
  <c r="Y173" i="4"/>
  <c r="U21" i="8"/>
  <c r="Y35" i="4"/>
  <c r="U192" i="8"/>
  <c r="Y58" i="4"/>
  <c r="U133" i="8"/>
  <c r="Y131" i="4"/>
  <c r="U49" i="8"/>
  <c r="Y52" i="4"/>
  <c r="U54" i="8"/>
  <c r="Y103" i="4"/>
  <c r="U84" i="8"/>
  <c r="Y127" i="4"/>
  <c r="U194" i="8"/>
  <c r="Y8" i="4"/>
  <c r="U124" i="8"/>
  <c r="Y17" i="4"/>
  <c r="U152" i="8"/>
  <c r="Y107" i="4"/>
  <c r="U47" i="8"/>
  <c r="Y53" i="4"/>
  <c r="U65" i="8"/>
  <c r="U188" i="8"/>
  <c r="Y75" i="4"/>
  <c r="U104" i="8"/>
  <c r="Y91" i="4"/>
  <c r="U93" i="8"/>
  <c r="Y160" i="4"/>
  <c r="U167" i="8"/>
  <c r="Y69" i="4"/>
  <c r="U174" i="8"/>
  <c r="Y94" i="4"/>
  <c r="U98" i="8"/>
  <c r="Y118" i="4"/>
  <c r="U162" i="8"/>
  <c r="Y16" i="4"/>
  <c r="U90" i="8"/>
  <c r="Y62" i="4"/>
  <c r="U70" i="8"/>
  <c r="Y121" i="4"/>
  <c r="U99" i="8"/>
  <c r="Y19" i="4"/>
  <c r="U191" i="8"/>
  <c r="Y57" i="4"/>
  <c r="U168" i="8"/>
  <c r="Y141" i="4"/>
  <c r="U123" i="8"/>
  <c r="Y151" i="4"/>
  <c r="U115" i="8"/>
  <c r="Y85" i="4"/>
  <c r="U158" i="8"/>
  <c r="Y180" i="4"/>
  <c r="U187" i="8"/>
  <c r="Y77" i="4"/>
  <c r="U179" i="8"/>
  <c r="Y40" i="4"/>
  <c r="Y30" i="4"/>
  <c r="U117" i="8"/>
  <c r="U91" i="8"/>
  <c r="Y25" i="4"/>
  <c r="Y5" i="4"/>
  <c r="U27" i="8"/>
  <c r="U63" i="8"/>
  <c r="Y119" i="4"/>
  <c r="U41" i="8"/>
  <c r="Y64" i="4"/>
  <c r="U180" i="8"/>
  <c r="Y46" i="4"/>
  <c r="U156" i="8"/>
  <c r="Y79" i="4"/>
  <c r="U129" i="8"/>
  <c r="Y156" i="4"/>
  <c r="U83" i="8"/>
  <c r="Y126" i="4"/>
  <c r="U74" i="8"/>
  <c r="Y159" i="4"/>
  <c r="U34" i="8"/>
  <c r="Y143" i="4"/>
  <c r="U33" i="8"/>
  <c r="Y177" i="4"/>
  <c r="U38" i="8"/>
  <c r="Y170" i="4"/>
  <c r="U183" i="8"/>
  <c r="Y86" i="4"/>
  <c r="U19" i="8"/>
  <c r="Y182" i="4"/>
  <c r="U68" i="8"/>
  <c r="Y117" i="4"/>
  <c r="Y124" i="4"/>
  <c r="U61" i="8"/>
  <c r="Y138" i="4"/>
  <c r="U46" i="8"/>
  <c r="Y50" i="4"/>
  <c r="U26" i="8"/>
  <c r="Y67" i="4"/>
  <c r="U193" i="8"/>
  <c r="Y110" i="4"/>
  <c r="U114" i="8"/>
  <c r="Y191" i="4"/>
  <c r="U59" i="8"/>
  <c r="Y145" i="4"/>
  <c r="U81" i="8"/>
  <c r="Y125" i="4"/>
  <c r="X195" i="8"/>
  <c r="AB10" i="8"/>
  <c r="P87" i="4"/>
  <c r="U42" i="8"/>
  <c r="Y70" i="4"/>
  <c r="U24" i="8"/>
  <c r="Y65" i="4"/>
  <c r="U66" i="8"/>
  <c r="Y116" i="4"/>
  <c r="U105" i="8"/>
  <c r="Y162" i="4"/>
  <c r="U72" i="8"/>
  <c r="Y178" i="4"/>
  <c r="U23" i="8"/>
  <c r="Y139" i="4"/>
  <c r="U9" i="8"/>
  <c r="Y152" i="4"/>
  <c r="U64" i="8"/>
  <c r="Y120" i="4"/>
  <c r="U7" i="8"/>
  <c r="Y149" i="4"/>
  <c r="U185" i="8"/>
  <c r="Y61" i="4"/>
  <c r="U173" i="8"/>
  <c r="Y38" i="4"/>
  <c r="U128" i="8"/>
  <c r="Y176" i="4"/>
  <c r="U111" i="8"/>
  <c r="Y188" i="4"/>
  <c r="T10" i="8"/>
  <c r="U17" i="8"/>
  <c r="Y60" i="4"/>
  <c r="Y26" i="4"/>
  <c r="U11" i="8"/>
  <c r="Y7" i="4"/>
  <c r="Y88" i="4"/>
  <c r="U69" i="8"/>
  <c r="Y157" i="4"/>
  <c r="Y144" i="4"/>
  <c r="Y153" i="4"/>
  <c r="Y187" i="4"/>
  <c r="U103" i="8"/>
  <c r="U100" i="8"/>
  <c r="U143" i="8"/>
  <c r="U135" i="8"/>
  <c r="Y43" i="4"/>
  <c r="Y167" i="4"/>
  <c r="Y179" i="4"/>
  <c r="U71" i="8"/>
  <c r="Y20" i="4"/>
  <c r="Y33" i="4"/>
  <c r="Y9" i="4"/>
  <c r="Y45" i="4"/>
  <c r="Y95" i="4"/>
  <c r="Y54" i="4"/>
  <c r="Y165" i="4"/>
  <c r="Y169" i="4"/>
  <c r="Y84" i="4"/>
  <c r="Y83" i="4"/>
  <c r="U43" i="8"/>
  <c r="U85" i="8"/>
  <c r="U62" i="8"/>
  <c r="Y135" i="4"/>
  <c r="Y163" i="4"/>
  <c r="U82" i="8"/>
  <c r="Y4" i="4"/>
  <c r="Y24" i="4"/>
  <c r="Y59" i="4"/>
  <c r="Y15" i="4"/>
  <c r="Y105" i="4"/>
  <c r="T113" i="8"/>
  <c r="Y37" i="4"/>
  <c r="Y175" i="4"/>
  <c r="T137" i="8"/>
  <c r="Y55" i="4"/>
  <c r="U150" i="8"/>
  <c r="Y28" i="4"/>
  <c r="Y137" i="4"/>
  <c r="U67" i="8"/>
  <c r="U36" i="8"/>
  <c r="U147" i="8"/>
  <c r="Y172" i="4"/>
  <c r="U60" i="8"/>
  <c r="U148" i="8"/>
  <c r="U6" i="8"/>
  <c r="T153" i="8"/>
  <c r="AQ47" i="4"/>
  <c r="T141" i="8"/>
  <c r="AQ73" i="4"/>
  <c r="T177" i="8"/>
  <c r="T119" i="8"/>
  <c r="T178" i="8"/>
  <c r="T169" i="8"/>
  <c r="T125" i="8"/>
  <c r="T171" i="8"/>
  <c r="T122" i="8"/>
  <c r="T160" i="8"/>
  <c r="T166" i="8"/>
  <c r="T159" i="8"/>
  <c r="T118" i="8"/>
  <c r="T134" i="8"/>
  <c r="T172" i="8"/>
  <c r="T142" i="8"/>
  <c r="T130" i="8"/>
  <c r="T151" i="8"/>
  <c r="T157" i="8"/>
  <c r="T131" i="8"/>
  <c r="T116" i="8"/>
  <c r="Y73" i="4"/>
  <c r="Y47" i="4"/>
  <c r="U112" i="8"/>
  <c r="Y146" i="4"/>
  <c r="Y56" i="4"/>
  <c r="AB195" i="8"/>
  <c r="N87" i="4"/>
  <c r="U10" i="8"/>
  <c r="Y87" i="4"/>
  <c r="Y82" i="4"/>
  <c r="U113" i="8"/>
  <c r="U137" i="8"/>
  <c r="Y186" i="4"/>
  <c r="U177" i="8"/>
  <c r="U141" i="8"/>
  <c r="U153" i="8"/>
  <c r="Y111" i="4"/>
  <c r="T195" i="8"/>
  <c r="Y41" i="4"/>
  <c r="Y112" i="4"/>
  <c r="U171" i="8"/>
  <c r="Y148" i="4"/>
  <c r="Y36" i="4"/>
  <c r="U125" i="8"/>
  <c r="U122" i="8"/>
  <c r="Y90" i="4"/>
  <c r="U169" i="8"/>
  <c r="Y12" i="4"/>
  <c r="U178" i="8"/>
  <c r="Y42" i="4"/>
  <c r="U119" i="8"/>
  <c r="Y32" i="4"/>
  <c r="U157" i="8"/>
  <c r="Y130" i="4"/>
  <c r="Y108" i="4"/>
  <c r="U151" i="8"/>
  <c r="U118" i="8"/>
  <c r="Y31" i="4"/>
  <c r="U130" i="8"/>
  <c r="Y27" i="4"/>
  <c r="U159" i="8"/>
  <c r="Y181" i="4"/>
  <c r="U142" i="8"/>
  <c r="Y23" i="4"/>
  <c r="U166" i="8"/>
  <c r="Y136" i="4"/>
  <c r="Y39" i="4"/>
  <c r="U172" i="8"/>
  <c r="Y113" i="4"/>
  <c r="U160" i="8"/>
  <c r="U116" i="8"/>
  <c r="Y155" i="4"/>
  <c r="U131" i="8"/>
  <c r="Y142" i="4"/>
  <c r="Y133" i="4"/>
  <c r="U134" i="8"/>
</calcChain>
</file>

<file path=xl/sharedStrings.xml><?xml version="1.0" encoding="utf-8"?>
<sst xmlns="http://schemas.openxmlformats.org/spreadsheetml/2006/main" count="5051" uniqueCount="1311">
  <si>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</si>
  <si>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</si>
  <si>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</si>
  <si>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</si>
  <si>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</si>
  <si>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</si>
  <si>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</si>
  <si>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</si>
  <si>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</si>
  <si>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</si>
  <si>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</si>
  <si>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</si>
  <si>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</si>
  <si>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</si>
  <si>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</si>
  <si>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</si>
  <si>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</si>
  <si>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</si>
  <si>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</si>
  <si>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</si>
  <si>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</si>
  <si>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</si>
  <si>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</si>
  <si>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</si>
  <si>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</si>
  <si>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</si>
  <si>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</si>
  <si>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</si>
  <si>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</si>
  <si>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</si>
  <si>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</si>
  <si>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</si>
  <si>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</si>
  <si>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</si>
  <si>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</si>
  <si>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</si>
  <si>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</si>
  <si>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</si>
  <si>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</si>
  <si>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</si>
  <si>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</si>
  <si>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</si>
  <si>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</si>
  <si>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</si>
  <si>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</si>
  <si>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</si>
  <si>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</si>
  <si>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</si>
  <si>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</si>
  <si>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</si>
  <si>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</si>
  <si>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</si>
  <si>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</si>
  <si>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</si>
  <si>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</si>
  <si>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</si>
  <si>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</si>
  <si>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</si>
  <si>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</si>
  <si>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</si>
  <si>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</si>
  <si>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</si>
  <si>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</si>
  <si>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</si>
  <si>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</si>
  <si>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p</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</si>
  <si>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</si>
  <si>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</si>
  <si>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</si>
  <si>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</si>
  <si>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</si>
  <si>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</si>
  <si>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</si>
  <si>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</si>
  <si>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</si>
  <si>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</si>
  <si>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</si>
  <si>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</si>
  <si>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</si>
  <si>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</si>
  <si>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</si>
  <si>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</si>
  <si>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</si>
  <si>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</si>
  <si>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</si>
  <si>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</si>
  <si>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</si>
  <si>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</si>
  <si>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</si>
  <si>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</si>
  <si>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</si>
  <si>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</si>
  <si>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</si>
  <si>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</si>
  <si>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</si>
  <si>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</si>
  <si>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</si>
  <si>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</si>
  <si>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</si>
  <si>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</si>
  <si>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</si>
  <si>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</si>
  <si>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</si>
  <si>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</si>
  <si>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</si>
  <si>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</si>
  <si>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</si>
  <si>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</si>
  <si>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</si>
  <si>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</si>
  <si>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</si>
  <si>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</si>
  <si>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</si>
  <si>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</si>
  <si>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</si>
  <si>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</si>
  <si>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</si>
  <si>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</si>
  <si>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</si>
  <si>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</si>
  <si>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</si>
  <si>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</si>
  <si>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</si>
  <si>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</si>
  <si>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</si>
  <si>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</si>
  <si>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</si>
  <si>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</si>
  <si>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</si>
  <si>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</si>
  <si>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</si>
  <si>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</si>
  <si>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</si>
  <si>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</si>
  <si>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</si>
  <si>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</si>
  <si>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</si>
  <si>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</si>
  <si>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</si>
  <si>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</si>
  <si>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</si>
  <si>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</si>
  <si>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</si>
  <si>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</si>
  <si>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</si>
  <si>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</si>
  <si>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</si>
  <si>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</si>
  <si>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</si>
  <si>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</si>
  <si>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</si>
  <si>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</si>
  <si>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</si>
  <si>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</si>
  <si>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</si>
  <si>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</si>
  <si>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</si>
  <si>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</si>
  <si>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</si>
  <si>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</si>
  <si>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</si>
  <si>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</si>
  <si>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</si>
  <si>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</si>
  <si>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</si>
  <si>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</si>
  <si>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</si>
  <si>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</si>
  <si>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</si>
  <si>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</si>
  <si>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</si>
  <si>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</si>
  <si>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</si>
  <si>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</si>
  <si>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</si>
  <si>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</si>
  <si>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</si>
  <si>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</si>
  <si>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</si>
  <si>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</si>
  <si>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</si>
  <si>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</si>
  <si>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</si>
  <si>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</si>
  <si>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</si>
  <si>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</si>
  <si>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</si>
  <si>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</si>
  <si>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</si>
  <si>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</si>
  <si>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</si>
  <si>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</si>
  <si>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</si>
  <si>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</si>
  <si>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</si>
  <si>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</si>
  <si>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</si>
  <si>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</si>
  <si>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</si>
  <si>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</si>
  <si>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</si>
  <si>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</si>
  <si>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</si>
  <si>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</si>
  <si>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</si>
  <si>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</si>
  <si>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</si>
  <si>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</si>
  <si>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</si>
  <si>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</si>
  <si>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</si>
  <si>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</si>
  <si>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</si>
  <si>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</si>
  <si>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</si>
  <si>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</si>
  <si>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</si>
  <si>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</si>
  <si>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</si>
  <si>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</si>
  <si>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</si>
  <si>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</si>
  <si>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</si>
  <si>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</si>
  <si>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</si>
  <si>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</si>
  <si>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</si>
  <si>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</si>
  <si>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</si>
  <si>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</si>
  <si>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</si>
  <si>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</si>
  <si>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</si>
  <si>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</si>
  <si>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</si>
  <si>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</si>
  <si>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</si>
  <si>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</si>
  <si>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</si>
  <si>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</si>
  <si>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</si>
  <si>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</si>
  <si>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</si>
  <si>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</si>
  <si>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</si>
  <si>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</si>
  <si>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</si>
  <si>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</si>
  <si>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</si>
  <si>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</si>
  <si>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</si>
  <si>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</si>
  <si>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</si>
  <si>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</si>
  <si>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</si>
  <si>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</si>
  <si>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</si>
  <si>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</si>
  <si>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</si>
  <si>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</si>
  <si>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</si>
  <si>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</si>
  <si>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</si>
  <si>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</si>
  <si>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</si>
  <si>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</si>
  <si>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</si>
  <si>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</si>
  <si>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</si>
  <si>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</si>
  <si>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</si>
  <si>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</si>
  <si>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</si>
  <si>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</si>
  <si>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</si>
  <si>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</si>
  <si>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</si>
  <si>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</si>
  <si>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</si>
  <si>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</si>
  <si>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</si>
  <si>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</si>
  <si>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</si>
  <si>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</si>
  <si>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</si>
  <si>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</si>
  <si>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</si>
  <si>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</si>
  <si>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</si>
  <si>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</si>
  <si>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</si>
  <si>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</si>
  <si>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</si>
  <si>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</si>
  <si>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</si>
  <si>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</si>
  <si>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</si>
  <si>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</si>
  <si>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</si>
  <si>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</si>
  <si>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</si>
  <si>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</si>
  <si>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</si>
  <si>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</si>
  <si>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</si>
  <si>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</si>
  <si>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</si>
  <si>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</si>
  <si>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</si>
  <si>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</si>
  <si>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</si>
  <si>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</si>
  <si>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</si>
  <si>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</si>
  <si>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</si>
  <si>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</si>
  <si>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</si>
  <si>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</si>
  <si>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</si>
  <si>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</si>
  <si>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</si>
  <si>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</si>
  <si>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</si>
  <si>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</si>
  <si>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</si>
  <si>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</si>
  <si>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</si>
  <si>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</si>
  <si>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</si>
  <si>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</si>
  <si>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</si>
  <si>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</si>
  <si>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</si>
  <si>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</si>
  <si>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</si>
  <si>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</si>
  <si>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</si>
  <si>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</si>
  <si>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</si>
  <si>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</si>
  <si>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</si>
  <si>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</si>
  <si>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</si>
  <si>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</si>
  <si>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</si>
  <si>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</si>
  <si>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</si>
  <si>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</si>
  <si>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</si>
  <si>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</si>
  <si>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</si>
  <si>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</si>
  <si>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</si>
  <si>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</si>
  <si>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</si>
  <si>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</si>
  <si>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</si>
  <si>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</si>
  <si>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</si>
  <si>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</si>
  <si>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</si>
  <si>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</si>
  <si>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</si>
  <si>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</si>
  <si>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</si>
  <si>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</si>
  <si>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</si>
  <si>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</si>
  <si>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</si>
  <si>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</si>
  <si>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</si>
  <si>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</si>
  <si>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</si>
  <si>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</si>
  <si>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</si>
  <si>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</si>
  <si>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</si>
  <si>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</si>
  <si>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</si>
  <si>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</si>
  <si>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</si>
  <si>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</si>
  <si>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</si>
  <si>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</si>
  <si>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</si>
  <si>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</si>
  <si>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</si>
  <si>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</si>
  <si>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</si>
  <si>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</si>
  <si>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</si>
  <si>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</si>
  <si>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</si>
  <si>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</si>
  <si>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</si>
  <si>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</si>
  <si>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</si>
  <si>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</si>
  <si>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</si>
  <si>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</si>
  <si>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</si>
  <si>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</si>
  <si>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</si>
  <si>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</si>
  <si>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</si>
  <si>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</si>
  <si>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</si>
  <si>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</si>
  <si>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</si>
  <si>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</si>
  <si>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</si>
  <si>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</si>
  <si>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</si>
  <si>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</si>
  <si>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</si>
  <si>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</si>
  <si>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</si>
  <si>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</si>
  <si>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</si>
  <si>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</si>
  <si>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</si>
  <si>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</si>
  <si>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</si>
  <si>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</si>
  <si>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</si>
  <si>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</si>
  <si>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</si>
  <si>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</si>
  <si>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</si>
  <si>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</si>
  <si>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</si>
  <si>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</si>
  <si>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</si>
  <si>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</si>
  <si>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</si>
  <si>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</si>
  <si>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</si>
  <si>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</si>
  <si>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</si>
  <si>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</si>
  <si>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</si>
  <si>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</si>
  <si>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</si>
  <si>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</si>
  <si>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</si>
  <si>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</si>
  <si>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</si>
  <si>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</si>
  <si>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</si>
  <si>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</si>
  <si>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</si>
  <si>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</si>
  <si>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</si>
  <si>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</si>
  <si>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</si>
  <si>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</si>
  <si>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</si>
  <si>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</si>
  <si>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</si>
  <si>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</si>
  <si>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</si>
  <si>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</si>
  <si>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</si>
  <si>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</si>
  <si>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</si>
  <si>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</si>
  <si>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</si>
  <si>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</si>
  <si>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</si>
  <si>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</si>
  <si>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</si>
  <si>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</si>
  <si>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</si>
  <si>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</si>
  <si>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</si>
  <si>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</si>
  <si>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</si>
  <si>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</si>
  <si>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</si>
  <si>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</si>
  <si>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</si>
  <si>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</si>
  <si>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</si>
  <si>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</si>
  <si>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</si>
  <si>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</si>
  <si>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</si>
  <si>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</si>
  <si>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</si>
  <si>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</si>
  <si>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</si>
  <si>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</si>
  <si>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</si>
  <si>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</si>
  <si>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</si>
  <si>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</si>
  <si>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</si>
  <si>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</si>
  <si>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</si>
  <si>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</si>
  <si>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</si>
  <si>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</si>
  <si>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</si>
  <si>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</si>
  <si>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</si>
  <si>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</si>
  <si>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</si>
  <si>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</si>
  <si>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</si>
  <si>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</si>
  <si>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</si>
  <si>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</si>
  <si>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</si>
  <si>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</si>
  <si>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</si>
  <si>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</si>
  <si>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</si>
  <si>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</si>
  <si>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</si>
  <si>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</si>
  <si>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</si>
  <si>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</si>
  <si>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</si>
  <si>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</si>
  <si>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</si>
  <si>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</si>
  <si>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</si>
  <si>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</si>
  <si>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</si>
  <si>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</si>
  <si>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</si>
  <si>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</si>
  <si>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</si>
  <si>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</si>
  <si>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</si>
  <si>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</si>
  <si>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</si>
  <si>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</si>
  <si>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</si>
  <si>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</si>
  <si>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</si>
  <si>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</si>
  <si>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</si>
  <si>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</si>
  <si>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</si>
  <si>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</si>
  <si>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</si>
  <si>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</si>
  <si>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</si>
  <si>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</si>
  <si>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</si>
  <si>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</si>
  <si>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</si>
  <si>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</si>
  <si>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</si>
  <si>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</si>
  <si>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</si>
  <si>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</si>
  <si>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</si>
  <si>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</si>
  <si>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</si>
  <si>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</si>
  <si>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</si>
  <si>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</si>
  <si>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</si>
  <si>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</si>
  <si>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</si>
  <si>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</si>
  <si>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</si>
  <si>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</si>
  <si>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</si>
  <si>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</si>
  <si>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</si>
  <si>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</si>
  <si>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</si>
  <si>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</si>
  <si>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</si>
  <si>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</si>
  <si>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</si>
  <si>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</si>
  <si>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</si>
  <si>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</si>
  <si>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</si>
  <si>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</si>
  <si>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</si>
  <si>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</si>
  <si>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</si>
  <si>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</si>
  <si>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</si>
  <si>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</si>
  <si>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</si>
  <si>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</si>
  <si>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</si>
  <si>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</si>
  <si>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</si>
  <si>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</si>
  <si>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</si>
  <si>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</si>
  <si>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</si>
  <si>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</si>
  <si>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</si>
  <si>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</si>
  <si>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</si>
  <si>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</si>
  <si>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</si>
  <si>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</si>
  <si>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</si>
  <si>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</si>
  <si>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</si>
  <si>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</si>
  <si>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</si>
  <si>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</si>
  <si>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</si>
  <si>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</si>
  <si>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</si>
  <si>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</si>
  <si>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</si>
  <si>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</si>
  <si>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</si>
  <si>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</si>
  <si>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</si>
  <si>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</si>
  <si>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</si>
  <si>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</si>
  <si>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</si>
  <si>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</si>
  <si>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</si>
  <si>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</si>
  <si>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</si>
  <si>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</si>
  <si>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</si>
  <si>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</si>
  <si>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</si>
  <si>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</si>
  <si>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</si>
  <si>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</si>
  <si>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</si>
  <si>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</si>
  <si>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</si>
  <si>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</si>
  <si>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</si>
  <si>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</si>
  <si>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</si>
  <si>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</si>
  <si>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</si>
  <si>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</si>
  <si>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</si>
  <si>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</si>
  <si>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</si>
  <si>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</si>
  <si>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</si>
  <si>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</si>
  <si>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</si>
  <si>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</si>
  <si>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</si>
  <si>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</si>
  <si>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</si>
  <si>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</si>
  <si>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</si>
  <si>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</si>
  <si>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</si>
  <si>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</si>
  <si>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</si>
  <si>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</si>
  <si>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</si>
  <si>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</si>
  <si>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</si>
  <si>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</si>
  <si>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</si>
  <si>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</si>
  <si>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</si>
  <si>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</si>
  <si>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</si>
  <si>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</si>
  <si>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</si>
  <si>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</si>
  <si>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</si>
  <si>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</si>
  <si>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</si>
  <si>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</si>
  <si>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</si>
  <si>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</si>
  <si>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</si>
  <si>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</si>
  <si>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</si>
  <si>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</si>
  <si>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</si>
  <si>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</si>
  <si>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</si>
  <si>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</si>
  <si>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</si>
  <si>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</si>
  <si>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</si>
  <si>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</si>
  <si>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</si>
  <si>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</si>
  <si>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</si>
  <si>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</si>
  <si>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</si>
  <si>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</si>
  <si>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</si>
  <si>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</si>
  <si>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</si>
  <si>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</si>
  <si>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</si>
  <si>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</si>
  <si>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</si>
  <si>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</si>
  <si>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</si>
  <si>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</si>
  <si>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</si>
  <si>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</si>
  <si>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</si>
  <si>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</si>
  <si>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</si>
  <si>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</si>
  <si>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</si>
  <si>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</si>
  <si>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</si>
  <si>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</si>
  <si>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</si>
  <si>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</si>
  <si>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</si>
  <si>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</si>
  <si>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</si>
  <si>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</si>
  <si>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</si>
  <si>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</si>
  <si>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</si>
  <si>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</si>
  <si>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</si>
  <si>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</si>
  <si>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</si>
  <si>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</si>
  <si>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</si>
  <si>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</si>
  <si>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</si>
  <si>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</si>
  <si>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</si>
  <si>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</si>
  <si>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</si>
  <si>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</si>
  <si>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</si>
  <si>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</si>
  <si>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</si>
  <si>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</si>
  <si>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</si>
  <si>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</si>
  <si>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</si>
  <si>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</si>
  <si>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</si>
  <si>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</si>
  <si>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</si>
  <si>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</si>
  <si>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</si>
  <si>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</si>
  <si>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</si>
  <si>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</si>
  <si>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</si>
  <si>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</si>
  <si>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</si>
  <si>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</si>
  <si>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</si>
  <si>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</si>
  <si>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</si>
  <si>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</si>
  <si>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</si>
  <si>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</si>
  <si>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</si>
  <si>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</si>
  <si>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</si>
  <si>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</si>
  <si>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</si>
  <si>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</si>
  <si>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</si>
  <si>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</si>
  <si>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</si>
  <si>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</si>
  <si>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</si>
  <si>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</si>
  <si>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</si>
  <si>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</si>
  <si>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</si>
  <si>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</si>
  <si>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</si>
  <si>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</si>
  <si>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</si>
  <si>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</si>
  <si>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</si>
  <si>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</si>
  <si>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</si>
  <si>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</si>
  <si>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</si>
  <si>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</si>
  <si>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</si>
  <si>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</si>
  <si>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</si>
  <si>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</si>
  <si>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</si>
  <si>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</si>
  <si>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</si>
  <si>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</si>
  <si>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</si>
  <si>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</si>
  <si>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</si>
  <si>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</si>
  <si>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</si>
  <si>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</si>
  <si>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</si>
  <si>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</si>
  <si>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</si>
  <si>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</si>
  <si>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</si>
  <si>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</si>
  <si>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</si>
  <si>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</si>
  <si>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</si>
  <si>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</si>
  <si>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</si>
  <si>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</si>
  <si>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</si>
  <si>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</si>
  <si>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</si>
  <si>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</si>
  <si>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</si>
  <si>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</si>
  <si>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</si>
  <si>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</si>
  <si>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</si>
  <si>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</si>
  <si>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</si>
  <si>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</si>
  <si>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</si>
  <si>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</si>
  <si>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</si>
  <si>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</si>
  <si>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</si>
  <si>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</si>
  <si>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</si>
  <si>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</si>
  <si>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</si>
  <si>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</si>
  <si>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</si>
  <si>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</si>
  <si>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</si>
  <si>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</si>
  <si>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</si>
  <si>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</si>
  <si>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</si>
  <si>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</si>
  <si>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</si>
  <si>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</si>
  <si>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</si>
  <si>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</si>
  <si>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</si>
  <si>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</si>
  <si>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</si>
  <si>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</si>
  <si>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</si>
  <si>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</si>
  <si>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</si>
  <si>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</si>
  <si>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</si>
  <si>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</si>
  <si>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</si>
  <si>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</si>
  <si>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</si>
  <si>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</si>
  <si>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</si>
  <si>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</si>
  <si>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</si>
  <si>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</si>
  <si>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</si>
  <si>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</si>
  <si>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</si>
  <si>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</si>
  <si>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</si>
  <si>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</si>
  <si>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</si>
  <si>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</si>
  <si>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</si>
  <si>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</si>
  <si>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</si>
  <si>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</si>
  <si>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</si>
  <si>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</si>
  <si>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</si>
  <si>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</si>
  <si>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</si>
  <si>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</si>
  <si>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</si>
  <si>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</si>
  <si>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</si>
  <si>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</si>
  <si>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</si>
  <si>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</si>
  <si>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</si>
  <si>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</si>
  <si>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</si>
  <si>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</si>
  <si>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</si>
  <si>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</si>
  <si>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</si>
  <si>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</si>
  <si>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Sum of Formation Production (MCF) @ 14.65 psi</t>
  </si>
  <si>
    <t>Sum of Last Month Gas Prod</t>
  </si>
  <si>
    <t>Gas Comments</t>
  </si>
  <si>
    <t>Oil Comments</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</si>
  <si>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</si>
  <si>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</si>
  <si>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</si>
  <si>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</si>
  <si>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</si>
  <si>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</si>
  <si>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</si>
  <si>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</si>
  <si>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</si>
  <si>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</si>
  <si>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</si>
  <si>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</si>
  <si>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</si>
  <si>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</si>
  <si>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</si>
  <si>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</si>
  <si>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</si>
  <si>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</si>
  <si>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</si>
  <si>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</si>
  <si>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</si>
  <si>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</si>
  <si>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</si>
  <si>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</si>
  <si>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</si>
  <si>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</si>
  <si>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</si>
  <si>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</si>
  <si>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</si>
  <si>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</si>
  <si>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</si>
  <si>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</si>
  <si>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</si>
  <si>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</si>
  <si>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</si>
  <si>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</si>
  <si>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</si>
  <si>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</si>
  <si>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</si>
  <si>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</si>
  <si>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</si>
  <si>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</si>
  <si>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</si>
  <si>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</si>
  <si>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</si>
  <si>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</si>
  <si>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</si>
  <si>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</si>
  <si>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</si>
  <si>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</si>
  <si>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</si>
  <si>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</si>
  <si>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</si>
  <si>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</si>
  <si>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</si>
  <si>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</si>
  <si>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</si>
  <si>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</si>
  <si>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</si>
  <si>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</si>
  <si>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</si>
  <si>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</si>
  <si>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</si>
  <si>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</si>
  <si>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</si>
  <si>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</si>
  <si>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</si>
  <si>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</si>
  <si>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</si>
  <si>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</si>
  <si>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</si>
  <si>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</si>
  <si>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</si>
  <si>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</si>
  <si>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</si>
  <si>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</si>
  <si>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</si>
  <si>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</si>
  <si>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</si>
  <si>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</si>
  <si>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</si>
  <si>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</si>
  <si>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</si>
  <si>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</si>
  <si>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</si>
  <si>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</si>
  <si>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</si>
  <si>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</si>
  <si>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</si>
  <si>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</si>
  <si>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</si>
  <si>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</si>
  <si>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</si>
  <si>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</si>
  <si>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</si>
  <si>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</si>
  <si>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</si>
  <si>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</si>
  <si>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</si>
  <si>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</si>
  <si>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</si>
  <si>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</si>
  <si>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</si>
  <si>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</si>
  <si>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</si>
  <si>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</si>
  <si>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</si>
  <si>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</si>
  <si>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</si>
  <si>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</si>
  <si>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</si>
  <si>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</si>
  <si>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</si>
  <si>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</si>
  <si>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</si>
  <si>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</si>
  <si>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</si>
  <si>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</si>
  <si>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</si>
  <si>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</si>
  <si>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</si>
  <si>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</si>
  <si>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</si>
  <si>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</si>
  <si>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</si>
  <si>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</si>
  <si>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</si>
  <si>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</si>
  <si>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</si>
  <si>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</si>
  <si>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</si>
  <si>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</si>
  <si>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</si>
  <si>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</si>
  <si>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</si>
  <si>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</si>
  <si>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</si>
  <si>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</si>
  <si>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</si>
  <si>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</si>
  <si>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</si>
  <si>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</si>
  <si>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</si>
  <si>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</si>
  <si>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</si>
  <si>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</si>
  <si>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</si>
  <si>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</si>
  <si>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</si>
  <si>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</si>
  <si>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</si>
  <si>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</si>
  <si>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</si>
  <si>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</si>
  <si>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</si>
  <si>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</si>
  <si>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</si>
  <si>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</si>
  <si>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</si>
  <si>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</si>
  <si>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</si>
  <si>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</si>
  <si>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</si>
  <si>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</si>
  <si>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</si>
  <si>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</si>
  <si>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</si>
  <si>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</si>
  <si>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</si>
  <si>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</si>
  <si>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</si>
  <si>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</si>
  <si>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</si>
  <si>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</si>
  <si>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</si>
  <si>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</si>
  <si>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</si>
  <si>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</si>
  <si>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</si>
  <si>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</si>
  <si>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</si>
  <si>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</si>
  <si>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</si>
  <si>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</si>
  <si>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</si>
  <si>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</si>
  <si>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</si>
  <si>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</si>
  <si>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</si>
  <si>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</si>
  <si>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</si>
  <si>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</si>
  <si>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</si>
  <si>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</si>
  <si>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</si>
  <si>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</si>
  <si>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</si>
  <si>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</si>
  <si>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</si>
  <si>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</si>
  <si>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</si>
  <si>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</si>
  <si>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</si>
  <si>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</si>
  <si>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</si>
  <si>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</si>
  <si>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</si>
  <si>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Rox Wolf#</t>
  </si>
  <si>
    <t>Disposition Volume (MCF) @ 14.65 MCF</t>
  </si>
  <si>
    <t>Magnum Wolfpak #</t>
  </si>
  <si>
    <t>ravi allocated</t>
  </si>
  <si>
    <t>MCLEAN #3</t>
  </si>
  <si>
    <t>ALEXANDER #A1</t>
  </si>
  <si>
    <t>ALEXANDER #A2</t>
  </si>
  <si>
    <t>ALEXANDER #A3</t>
  </si>
  <si>
    <t>FITZHUGH #2</t>
  </si>
  <si>
    <t>KRUEGER, DR #1</t>
  </si>
  <si>
    <t>MARTINEZ CHILDREN TRUST</t>
  </si>
  <si>
    <t>MENDOZA #B1</t>
  </si>
  <si>
    <t>MILLER, CA</t>
  </si>
  <si>
    <t>STATE TRACT 44 #2</t>
  </si>
  <si>
    <t>WHITEHEAD 2-19</t>
  </si>
  <si>
    <t>state</t>
  </si>
  <si>
    <t>AR</t>
  </si>
  <si>
    <t>LA</t>
  </si>
  <si>
    <t>2</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</si>
  <si>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</si>
  <si>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</si>
  <si>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</si>
  <si>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</si>
  <si>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</si>
  <si>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</si>
  <si>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</si>
  <si>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Y</t>
  </si>
  <si>
    <t xml:space="preserve">    </t>
  </si>
  <si>
    <t>Wolf</t>
  </si>
  <si>
    <t>Lease</t>
  </si>
  <si>
    <t>*kotara aldridge is split on Roxanne's so be sure to manually enter in volume for Kotara on PR if pulling values from her sheet | also kaufer 2L and 2U</t>
  </si>
  <si>
    <t>November 2019: Hintz CM sheet has production for this well - July - Oct i missed reporting oil production - reported all of it in November - if there is an allowable issue in the future this would be why and is why -177 is difference</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</si>
  <si>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</si>
  <si>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cannot find why mismatch occurs. Stocks are correct</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</si>
  <si>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</si>
  <si>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</si>
  <si>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</si>
  <si>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</si>
  <si>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</si>
  <si>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</si>
  <si>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</si>
  <si>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</si>
  <si>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</si>
  <si>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</si>
  <si>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</si>
  <si>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</si>
  <si>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</si>
  <si>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</si>
  <si>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</si>
  <si>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</si>
  <si>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</si>
  <si>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</si>
  <si>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</si>
  <si>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</si>
  <si>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</si>
  <si>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</si>
  <si>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</si>
  <si>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</si>
  <si>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</si>
  <si>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</si>
  <si>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</si>
  <si>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</si>
  <si>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</si>
  <si>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</si>
  <si>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</si>
  <si>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</si>
  <si>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</si>
  <si>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</si>
  <si>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</si>
  <si>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</si>
  <si>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</si>
  <si>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</si>
  <si>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</si>
  <si>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</si>
  <si>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</si>
  <si>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</si>
  <si>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</si>
  <si>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</si>
  <si>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</si>
  <si>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</si>
  <si>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</si>
  <si>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</si>
  <si>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</si>
  <si>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</si>
  <si>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</si>
  <si>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</si>
  <si>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</si>
  <si>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</si>
  <si>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</si>
  <si>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</si>
  <si>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</si>
  <si>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</si>
  <si>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</si>
  <si>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</si>
  <si>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</si>
  <si>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</si>
  <si>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</si>
  <si>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</si>
  <si>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</si>
  <si>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</si>
  <si>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</si>
  <si>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</si>
  <si>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AB42</t>
  </si>
  <si>
    <t>Bradford, Pettus H..xlsx</t>
  </si>
  <si>
    <t>Preismeyer, Poole, Zahradnik.xlsx</t>
  </si>
  <si>
    <t>Rancho cullen sheet.xlsx</t>
  </si>
  <si>
    <t>Robeson 1T.xlsx</t>
  </si>
  <si>
    <t>Robeson 1C.xlsx</t>
  </si>
  <si>
    <t>Well will be plugged</t>
  </si>
  <si>
    <t>Spohn Foundation.xlsx</t>
  </si>
  <si>
    <t>State Tract Unit 44 Unit #2.xlsx</t>
  </si>
  <si>
    <t>AK34</t>
  </si>
  <si>
    <t>R8,R39</t>
  </si>
  <si>
    <t>Steward #5 exists in worksheet, will have to make sure Stewart #6 is passed in</t>
  </si>
  <si>
    <t>N45</t>
  </si>
  <si>
    <t>AA15,AA45</t>
  </si>
  <si>
    <t>Vieman #4.xlsx</t>
  </si>
  <si>
    <t>Reporting Comments</t>
  </si>
  <si>
    <t>Data Map</t>
  </si>
  <si>
    <t>3T</t>
  </si>
  <si>
    <t xml:space="preserve">2C </t>
  </si>
  <si>
    <t>Black stone Minerals # 2-C 2020.xlsx</t>
  </si>
  <si>
    <t>LOUISE.xlsx</t>
  </si>
  <si>
    <t>TRIPLE A, SCARBOROUGH, DALEY, MILLER, HAMON HARVEY, ST 750A.xlsx</t>
  </si>
  <si>
    <t>Ticonderoga A-1 H 2020.xlsx</t>
  </si>
  <si>
    <t>Ticonderoga B-1 H 2020.xlsx</t>
  </si>
  <si>
    <t>Ticonderoga D-1 H 2020.xlsx</t>
  </si>
  <si>
    <t>December 2019: Mclean #3 not prod - marking as not available to avoid confusion for extraction (mclean #3 was taking mclean #4 gauge sheet vals)</t>
  </si>
  <si>
    <t>MELANCON</t>
  </si>
  <si>
    <t>December 2019: between the two tanks 1C and 1T is a 21 bbl difference - should work itself out</t>
  </si>
  <si>
    <t>Datamap/ Program comments</t>
  </si>
  <si>
    <t>December 2019: gauger didn't fill out sheet completely - had to manually enter</t>
  </si>
  <si>
    <t>November 2019: sale of second load was 12/1, so gauger showing higher oil sales than what we paid for - no error for mismatch.  December 2019: no error due to previous month disposition</t>
  </si>
  <si>
    <t>December 2019: emailed gauger to ask where the other 100 bbls went - Billy called and told me it was 100 bbl of water in the bottom - we flow the D straight to water tanks b/c of low pressure - he says he color cut it, which will give a better indication on the reports what is oil vs water in the tank (yellow paste on the gauge line that turns red when it comes into contact with water) - will file correction for ticonderoga D to account for this water pull</t>
  </si>
  <si>
    <t>January 2020: updating rrc id to 02817 - not keeping old gas rrc id of 150672</t>
  </si>
  <si>
    <t>02817</t>
  </si>
  <si>
    <t>BIG HILL ( HACKBERRY SAND)</t>
  </si>
  <si>
    <t>MCLEAN</t>
  </si>
  <si>
    <t>27617</t>
  </si>
  <si>
    <t xml:space="preserve">lease is filed under pending - rrc will have to issue a lease id.  January 2020: RRC ID issued </t>
  </si>
  <si>
    <t>Mi West.xlsx</t>
  </si>
  <si>
    <t>D39,G39,J39,M39</t>
  </si>
  <si>
    <t>January 2020: gauger uses 4th tank which was not previously accounted for.  Will add starting 2020 as part of closing stock and count production all in one month. Will use this stock going forward</t>
  </si>
  <si>
    <t>*MANUALLY HAVE TO PULL ANDERSON #3</t>
  </si>
  <si>
    <t>LUCKY, WEST (FRIO 8100)</t>
  </si>
  <si>
    <t>819991</t>
  </si>
  <si>
    <t>Anderson #3.xlsx</t>
  </si>
  <si>
    <t xml:space="preserve">Going to use closing stock as 1/31 in order for program to automatically pull.  Anderson #1 I decided not to do it b/c it was an existing well, but since anderson #3 is new, I will use 31st as closing stock </t>
  </si>
  <si>
    <t>***FOR GAS: MANUALLY REPORT ON PR FROM GAUGE SHEET FLARED/VENTED GAS</t>
  </si>
  <si>
    <t>No sales pipeline - flare permit # is 38810</t>
  </si>
  <si>
    <t>ANDERSON #3</t>
  </si>
  <si>
    <t>LUCKY, WEST</t>
  </si>
  <si>
    <t>*Total will be off from roxanne b/c this includes Anderson #3's flared gas</t>
  </si>
  <si>
    <t>ANDERSON 3</t>
  </si>
  <si>
    <t>September 2019: force closing stock to match gauge sheet production, error was made in the past - will correct itself once there is sales  October 2019: force closign stock  November 2019: Force Closing stock to ensure no match gauge.  sheet production value.  December 2019: Force closing stock.  January 2020: no gauge sheet - will claim 0 prod for Jan 2020 based on last month oil</t>
  </si>
  <si>
    <t>December 2019: gauger moved 100 bbls from water tank that was unnacounted for all this - time - counting it as production this month - lease produced so this should be okay as long as we don't get overproduction notice.  Forcing stock to 1 bbl because #1L will go negative anything below 31 bbls.  Jan 2020: giving ola mcann 2A more production to get stock up in case their is a disposition in the future.  both ola mcann 2a and 1L stocks equal gauge sheet commingled tank tab</t>
  </si>
  <si>
    <t>WALLACE HOUSTON</t>
  </si>
  <si>
    <t>AL44</t>
  </si>
  <si>
    <t>L14,L44</t>
  </si>
  <si>
    <t>December 2019: gauge sheet unavaialbe - had issues with gauger and had to fire him; February 2020: New gauger with new gauge sheet layout - adapted map - HOWEVER Feb 2020 was unable to be tested due to gauger not filling in information to the bottom of the sheet</t>
  </si>
  <si>
    <t>Feb 2020: 36 bbl diff is becauseoil tanks bottoms were pulled - no error</t>
  </si>
  <si>
    <t>September comment: moved 80 bbls from water tank to oil tank 9/2019 (counting it as production - called rrc how to report this - they wanted details and lease number so probably not the best route.  Feb 2020: transferred oil from water tank to oil tank - causing a 35 bbl over report from gauge sheet</t>
  </si>
  <si>
    <t>Feb 2020: could not find gauge sheet - used march 2020 opening stock as closing stock for feb</t>
  </si>
  <si>
    <t>December 2019: Gauge sheet unavailable - gauger was fired.  Assuming same produciton as last month to keep active.  January 2020:  do not have gauge sheet - I have feb 2020 and I see it did not produce but has a closing stock of 45 bbls, so going to put 15 prod for jan 2020; Feb 2020 gauge sheet was incomplete - treid to use matrch 2020 opening stock but does not appear to be right - keeping closing stock from column AL</t>
  </si>
  <si>
    <t>December 2019: Gauge sheet unavailable - gauger was fired.  Assuming same produciton as last month to keep active.  January 2020:  do not have gauge sheet - I have feb 2020 and I see opening stock for feb 2020 was 104, so going to put 180 prod for jan 2020, starting feb 2020 things will be in line. Feb 2020: gauge sheet incomplete - looked ahead to march 2020 - there is a dispotsiton in march of 190 bbl so will balance closing stock next month</t>
  </si>
  <si>
    <t>November 2019: Gauger drained 43 bbls of water from oil tank - this is why 45 bbl difference- no error - gauger didn't account for this in his prod column.  Feb 2020: drained water that is why there is 26 bbl difference - no error</t>
  </si>
  <si>
    <t>Record was dropped in Jan 2020 - removing it from pr edi</t>
  </si>
  <si>
    <t>91</t>
  </si>
  <si>
    <t xml:space="preserve"> Comments</t>
  </si>
  <si>
    <t>Repoprt Month Removed</t>
  </si>
  <si>
    <t>P</t>
  </si>
  <si>
    <t>Lucky</t>
  </si>
  <si>
    <t>Anderson #3</t>
  </si>
  <si>
    <t>#3</t>
  </si>
  <si>
    <t>Roxanne Wolfpak #'s Reported</t>
  </si>
  <si>
    <t>HOUSTON WALLACE</t>
  </si>
  <si>
    <t>Feb 2020: well showed revenue for the first time since I have been reporting - I have never seen its gauge sheet -after looking it was w-h #4 - I will file corrective report dating 5/19 to cover production for this sale - there was oil transferred from the gun barrel tank that rrc stock never accounted for - according to gauge sheet 19 bbls remain in stock after sale - will correct reports accordingly</t>
  </si>
  <si>
    <t>HOUSTON, WALLACE W-H #4</t>
  </si>
  <si>
    <t>Feb 2020: no gauge sheet - will have to correct if necessary - using last month prod</t>
  </si>
  <si>
    <t>Gauge Sheet Prod Vol2</t>
  </si>
  <si>
    <t>Closing Stock (Oil)</t>
  </si>
  <si>
    <t>Gauge Sheet Prod Volume</t>
  </si>
  <si>
    <t>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 Jan 2020: reported 1 bbl instead of 5 to try and balance stock; Feb 2020: no gauge sheet - will have to correct if necessary;  Mar 2020: manipulating prod to try and reduce stock</t>
  </si>
  <si>
    <t>Feb 2020: no gauge sheet - will have to correct if necessary - using last month prod;  Mar 2020: noticed pr reports have excess stock - will have to manipulate prod until sale</t>
  </si>
  <si>
    <t xml:space="preserve">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  December 2019: keeping stock from previous months as described in previous comments due to transfer of oil.  January 2020:  keeping same stock adn going against gauge sheet - will have to correct once their a dispostion allocated to 6 - 23.  Feb 2020: following notes of jan 2020; following notes from before - it looks like transferred stock to other tank was sold and not allocated to this well; </t>
  </si>
  <si>
    <t xml:space="preserve">November 2019: Opening stock listed on gauger's sheet is off - will have to let it fix its self - explains 30 bbl diff between gauge and calculated for pr. December 2019 same 30 bbl diff as before; Jan 2020: same ~30 bbl as before; Feb 2020: no gauge sheet - will have to correct if necessary - using last month prod; March 2020 - run was taken 4/1 and is on gauger's spreadsheet but non on purchase statemetn - no error; </t>
  </si>
  <si>
    <t xml:space="preserve">Feb 2020: gauger had put sale of oil picked up on 3/1/2020 on feb gauge sheet- accounting has put sale for march.  Therefore, I will carry the stock as if there were no sale, and place the sale in march pr; </t>
  </si>
  <si>
    <t>October comment: added closing stock plus oil transferred to other tank  November 2019 comment:  adding production from nelson #4 tab to the shared tank sheet stock (160+17).  December 2019:  showing 0 oil prod - gauge sheet still shows stock but can't force closing stock because the well isn't actually producing - therefore from this point on stocks will mismatch from gauge sheet.  Feb 2020: using shared tank tab closing stock + nelson 4 closing stock (102 + 25) - this will overreport actual production to rrc by 49 bbls;  Mar 2020 - transferred oil from oen tank to shared tank - reporting closing stock gauger has mentioned on shared tank tab</t>
  </si>
  <si>
    <t xml:space="preserve">March 2020:  sale took place and bottoms were pulled - therefore gauge sheet stock is less than on rrc record - will have to file correction in the future to reduce prod from previous month or wait until another sale when well is prod.  Force stock to make prod match gauge sheet, which is 0; </t>
  </si>
  <si>
    <t>November 2019: Missed reporting oil for this well over previous months - making up for it this month.   March 2020: may plant tab on gauge sheet has 70 more bbls than on pr records - will have to file correction if stock is sold and theree isn't enough to cover it</t>
  </si>
  <si>
    <t xml:space="preserve">August comment: opening stock doesn't match gauge sheet - need to check with july 2019 notes.  November 2019: having to force stock to match gauge sheet prod - carrying stock of over 100 bbls according to gauge sheet… will have to wait for a disposition to correct.  December 2019: Forceclosing stock to match gauge prod.  Jan 2020: force closing stock; Feb 2020 - force closing stock;  March 2020: having to force stock to higher value on gauge sheet to avoid negative production - therefore, showing less prod than actually occured </t>
  </si>
  <si>
    <t>N8,NL38</t>
  </si>
  <si>
    <t>March 2020: sale took place 2/28 - not in accounting system - therefore will force closing stock to keep the 180 bbl sale to match gauge sheet prod.  In april I will have to force the stock</t>
  </si>
  <si>
    <t>March 2020: sale occurred 4/1/20 - accounted for on gauge sheet but not in accounting sales - no error</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</si>
  <si>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 mar 2020: gauger did appear to mark daily prod column even tho stock increeased</t>
  </si>
  <si>
    <t>November 2019 comment: appears load from october was put on november sales ticket and is why we are off 185 bbls  - no error.  December 2019:  -189 is from November's ticket - no error.  Feb 2020: no error; Mar 2020 - no error, sale from 2/29 was placed in march in accounting</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</si>
</sst>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0.00_);\(&quot;$&quot;#,##0.00\)"/>
    <numFmt numFmtId="165" formatCode="0.0000"/>
    <numFmt numFmtId="166" formatCode="###0;###0"/>
    <numFmt numFmtId="167" formatCode="###0.000;###0.000"/>
    <numFmt numFmtId="168" formatCode="###0.0;###0.0"/>
    <numFmt numFmtId="169" formatCode="#,##0;#,##0"/>
  </numFmts>
  <fonts count="82" x14ac:knownFonts="1">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sz val="8"/>
      <name val="Times New Roman"/>
      <family val="1"/>
    </font>
    <font>
      <sz val="26"/>
      <color theme="1"/>
      <name val="Calibri"/>
      <family val="2"/>
      <scheme val="minor"/>
    </font>
    <font>
      <i/>
      <sz val="9"/>
      <name val="Times New Roman"/>
      <family val="1"/>
    </font>
    <font>
      <sz val="36"/>
      <name val="Times New Roman"/>
      <family val="1"/>
    </font>
    <font>
      <sz val="11"/>
      <color rgb="FF000000"/>
      <name val="Calibri"/>
      <family val="2"/>
    </font>
    <font>
      <b/>
      <sz val="16"/>
      <color rgb="FFFF0000"/>
      <name val="Calibri"/>
      <family val="2"/>
      <scheme val="minor"/>
    </font>
    <font>
      <sz val="11"/>
      <color rgb="FF000000"/>
      <name val="Calibri"/>
      <family val="2"/>
      <scheme val="minor"/>
    </font>
    <font>
      <b/>
      <sz val="10"/>
      <color theme="0"/>
      <name val="Times New Roman"/>
      <family val="1"/>
    </font>
    <font>
      <b/>
      <u/>
      <sz val="10"/>
      <color theme="0"/>
      <name val="Times New Roman"/>
      <family val="1"/>
    </font>
    <font>
      <b/>
      <sz val="10"/>
      <color theme="1"/>
      <name val="Times New Roman"/>
    </font>
    <font>
      <u/>
      <sz val="10"/>
      <color theme="11"/>
      <name val="Times New Roman"/>
    </font>
    <font>
      <sz val="12"/>
      <color rgb="FF000000"/>
      <name val="Verdana"/>
    </font>
  </fonts>
  <fills count="4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
      <patternFill patternType="solid">
        <fgColor rgb="FFC6E0B4"/>
        <bgColor rgb="FF000000"/>
      </patternFill>
    </fill>
    <fill>
      <patternFill patternType="solid">
        <fgColor rgb="FFF8CBAD"/>
        <bgColor rgb="FF000000"/>
      </patternFill>
    </fill>
    <fill>
      <patternFill patternType="solid">
        <fgColor theme="4"/>
        <bgColor theme="4"/>
      </patternFill>
    </fill>
    <fill>
      <patternFill patternType="solid">
        <fgColor rgb="FFDCE6F1"/>
        <bgColor rgb="FFDCE6F1"/>
      </patternFill>
    </fill>
  </fills>
  <borders count="45">
    <border>
      <left/>
      <right/>
      <top/>
      <bottom/>
      <diagonal/>
    </border>
    <border>
      <left style="thin">
        <color auto="1"/>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auto="1"/>
      </left>
      <right/>
      <top style="thin">
        <color auto="1"/>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style="thin">
        <color auto="1"/>
      </left>
      <right style="thin">
        <color auto="1"/>
      </right>
      <top style="thin">
        <color auto="1"/>
      </top>
      <bottom style="thin">
        <color auto="1"/>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auto="1"/>
      </right>
      <top/>
      <bottom/>
      <diagonal/>
    </border>
    <border>
      <left/>
      <right style="thick">
        <color auto="1"/>
      </right>
      <top style="thin">
        <color auto="1"/>
      </top>
      <bottom/>
      <diagonal/>
    </border>
    <border>
      <left/>
      <right style="thick">
        <color auto="1"/>
      </right>
      <top/>
      <bottom style="thin">
        <color auto="1"/>
      </bottom>
      <diagonal/>
    </border>
    <border>
      <left style="thick">
        <color auto="1"/>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ck">
        <color rgb="FFFF0000"/>
      </right>
      <top/>
      <bottom/>
      <diagonal/>
    </border>
    <border>
      <left/>
      <right/>
      <top style="thin">
        <color theme="4" tint="0.39997558519241921"/>
      </top>
      <bottom style="thin">
        <color theme="4" tint="0.39997558519241921"/>
      </bottom>
      <diagonal/>
    </border>
    <border>
      <left style="thin">
        <color theme="4" tint="0.39997558519241921"/>
      </left>
      <right/>
      <top style="double">
        <color theme="4"/>
      </top>
      <bottom style="thin">
        <color theme="4" tint="0.39997558519241921"/>
      </bottom>
      <diagonal/>
    </border>
    <border>
      <left/>
      <right/>
      <top style="double">
        <color theme="4"/>
      </top>
      <bottom style="thin">
        <color theme="4" tint="0.39997558519241921"/>
      </bottom>
      <diagonal/>
    </border>
    <border>
      <left/>
      <right style="thin">
        <color auto="1"/>
      </right>
      <top style="double">
        <color theme="4"/>
      </top>
      <bottom style="thin">
        <color theme="4" tint="0.39997558519241921"/>
      </bottom>
      <diagonal/>
    </border>
    <border>
      <left style="thin">
        <color auto="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95B3D7"/>
      </left>
      <right/>
      <top style="thin">
        <color rgb="FF95B3D7"/>
      </top>
      <bottom style="thin">
        <color rgb="FF95B3D7"/>
      </bottom>
      <diagonal/>
    </border>
  </borders>
  <cellStyleXfs count="113">
    <xf numFmtId="0" fontId="0" fillId="0" borderId="0"/>
    <xf numFmtId="0" fontId="27" fillId="2" borderId="0" applyNumberFormat="0" applyBorder="0" applyAlignment="0" applyProtection="0"/>
    <xf numFmtId="0" fontId="27" fillId="3" borderId="0" applyNumberFormat="0" applyBorder="0" applyAlignment="0" applyProtection="0"/>
    <xf numFmtId="0" fontId="27" fillId="4" borderId="0" applyNumberFormat="0" applyBorder="0" applyAlignment="0" applyProtection="0"/>
    <xf numFmtId="0" fontId="27" fillId="5" borderId="0" applyNumberFormat="0" applyBorder="0" applyAlignment="0" applyProtection="0"/>
    <xf numFmtId="0" fontId="27" fillId="6" borderId="0" applyNumberFormat="0" applyBorder="0" applyAlignment="0" applyProtection="0"/>
    <xf numFmtId="0" fontId="27" fillId="7" borderId="0" applyNumberFormat="0" applyBorder="0" applyAlignment="0" applyProtection="0"/>
    <xf numFmtId="0" fontId="27" fillId="8" borderId="0" applyNumberFormat="0" applyBorder="0" applyAlignment="0" applyProtection="0"/>
    <xf numFmtId="0" fontId="27" fillId="9" borderId="0" applyNumberFormat="0" applyBorder="0" applyAlignment="0" applyProtection="0"/>
    <xf numFmtId="0" fontId="27" fillId="10" borderId="0" applyNumberFormat="0" applyBorder="0" applyAlignment="0" applyProtection="0"/>
    <xf numFmtId="0" fontId="27" fillId="11" borderId="0" applyNumberFormat="0" applyBorder="0" applyAlignment="0" applyProtection="0"/>
    <xf numFmtId="0" fontId="27" fillId="12" borderId="0" applyNumberFormat="0" applyBorder="0" applyAlignment="0" applyProtection="0"/>
    <xf numFmtId="0" fontId="27" fillId="13" borderId="0" applyNumberFormat="0" applyBorder="0" applyAlignment="0" applyProtection="0"/>
    <xf numFmtId="0" fontId="28" fillId="14" borderId="0" applyNumberFormat="0" applyBorder="0" applyAlignment="0" applyProtection="0"/>
    <xf numFmtId="0" fontId="28"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28" fillId="18" borderId="0" applyNumberFormat="0" applyBorder="0" applyAlignment="0" applyProtection="0"/>
    <xf numFmtId="0" fontId="28"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28" fillId="22" borderId="0" applyNumberFormat="0" applyBorder="0" applyAlignment="0" applyProtection="0"/>
    <xf numFmtId="0" fontId="28"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29" fillId="26" borderId="0" applyNumberFormat="0" applyBorder="0" applyAlignment="0" applyProtection="0"/>
    <xf numFmtId="0" fontId="30" fillId="27" borderId="2" applyNumberFormat="0" applyAlignment="0" applyProtection="0"/>
    <xf numFmtId="0" fontId="31" fillId="28" borderId="3" applyNumberFormat="0" applyAlignment="0" applyProtection="0"/>
    <xf numFmtId="0" fontId="32" fillId="0" borderId="0" applyNumberFormat="0" applyFill="0" applyBorder="0" applyAlignment="0" applyProtection="0"/>
    <xf numFmtId="0" fontId="33" fillId="29" borderId="0" applyNumberFormat="0" applyBorder="0" applyAlignment="0" applyProtection="0"/>
    <xf numFmtId="0" fontId="34" fillId="0" borderId="4" applyNumberFormat="0" applyFill="0" applyAlignment="0" applyProtection="0"/>
    <xf numFmtId="0" fontId="35" fillId="0" borderId="5" applyNumberFormat="0" applyFill="0" applyAlignment="0" applyProtection="0"/>
    <xf numFmtId="0" fontId="36" fillId="0" borderId="6" applyNumberFormat="0" applyFill="0" applyAlignment="0" applyProtection="0"/>
    <xf numFmtId="0" fontId="36" fillId="0" borderId="0" applyNumberFormat="0" applyFill="0" applyBorder="0" applyAlignment="0" applyProtection="0"/>
    <xf numFmtId="0" fontId="24" fillId="0" borderId="0" applyNumberFormat="0" applyFill="0" applyBorder="0" applyAlignment="0" applyProtection="0">
      <alignment vertical="top"/>
      <protection locked="0"/>
    </xf>
    <xf numFmtId="0" fontId="37" fillId="30" borderId="2" applyNumberFormat="0" applyAlignment="0" applyProtection="0"/>
    <xf numFmtId="0" fontId="38" fillId="0" borderId="7" applyNumberFormat="0" applyFill="0" applyAlignment="0" applyProtection="0"/>
    <xf numFmtId="0" fontId="39" fillId="31" borderId="0" applyNumberFormat="0" applyBorder="0" applyAlignment="0" applyProtection="0"/>
    <xf numFmtId="0" fontId="27" fillId="0" borderId="0"/>
    <xf numFmtId="0" fontId="27" fillId="32" borderId="8" applyNumberFormat="0" applyFont="0" applyAlignment="0" applyProtection="0"/>
    <xf numFmtId="0" fontId="40" fillId="27" borderId="9" applyNumberFormat="0" applyAlignment="0" applyProtection="0"/>
    <xf numFmtId="0" fontId="41" fillId="0" borderId="0" applyNumberFormat="0" applyFill="0" applyBorder="0" applyAlignment="0" applyProtection="0"/>
    <xf numFmtId="0" fontId="42" fillId="0" borderId="10" applyNumberFormat="0" applyFill="0" applyAlignment="0" applyProtection="0"/>
    <xf numFmtId="0" fontId="43" fillId="0" borderId="0" applyNumberFormat="0" applyFill="0" applyBorder="0" applyAlignment="0" applyProtection="0"/>
    <xf numFmtId="0" fontId="47" fillId="0" borderId="0"/>
    <xf numFmtId="0" fontId="52" fillId="0" borderId="0"/>
    <xf numFmtId="0" fontId="23" fillId="0" borderId="0"/>
    <xf numFmtId="0" fontId="22" fillId="0" borderId="0"/>
    <xf numFmtId="0" fontId="20" fillId="0" borderId="0"/>
    <xf numFmtId="0" fontId="20" fillId="32" borderId="8" applyNumberFormat="0" applyFont="0" applyAlignment="0" applyProtection="0"/>
    <xf numFmtId="0" fontId="20" fillId="2" borderId="0" applyNumberFormat="0" applyBorder="0" applyAlignment="0" applyProtection="0"/>
    <xf numFmtId="0" fontId="20" fillId="8" borderId="0" applyNumberFormat="0" applyBorder="0" applyAlignment="0" applyProtection="0"/>
    <xf numFmtId="0" fontId="20" fillId="3" borderId="0" applyNumberFormat="0" applyBorder="0" applyAlignment="0" applyProtection="0"/>
    <xf numFmtId="0" fontId="20" fillId="9" borderId="0" applyNumberFormat="0" applyBorder="0" applyAlignment="0" applyProtection="0"/>
    <xf numFmtId="0" fontId="20" fillId="4" borderId="0" applyNumberFormat="0" applyBorder="0" applyAlignment="0" applyProtection="0"/>
    <xf numFmtId="0" fontId="20" fillId="10" borderId="0" applyNumberFormat="0" applyBorder="0" applyAlignment="0" applyProtection="0"/>
    <xf numFmtId="0" fontId="20" fillId="5" borderId="0" applyNumberFormat="0" applyBorder="0" applyAlignment="0" applyProtection="0"/>
    <xf numFmtId="0" fontId="20" fillId="11" borderId="0" applyNumberFormat="0" applyBorder="0" applyAlignment="0" applyProtection="0"/>
    <xf numFmtId="0" fontId="20" fillId="6" borderId="0" applyNumberFormat="0" applyBorder="0" applyAlignment="0" applyProtection="0"/>
    <xf numFmtId="0" fontId="20" fillId="12" borderId="0" applyNumberFormat="0" applyBorder="0" applyAlignment="0" applyProtection="0"/>
    <xf numFmtId="0" fontId="20" fillId="7" borderId="0" applyNumberFormat="0" applyBorder="0" applyAlignment="0" applyProtection="0"/>
    <xf numFmtId="0" fontId="20" fillId="13" borderId="0" applyNumberFormat="0" applyBorder="0" applyAlignment="0" applyProtection="0"/>
    <xf numFmtId="0" fontId="19" fillId="0" borderId="0"/>
    <xf numFmtId="0" fontId="17" fillId="0" borderId="0"/>
    <xf numFmtId="0" fontId="25" fillId="0" borderId="0"/>
    <xf numFmtId="0" fontId="16" fillId="2"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0" borderId="0"/>
    <xf numFmtId="0" fontId="16" fillId="32" borderId="8" applyNumberFormat="0" applyFont="0" applyAlignment="0" applyProtection="0"/>
    <xf numFmtId="0" fontId="16" fillId="0" borderId="0"/>
    <xf numFmtId="0" fontId="16" fillId="0" borderId="0"/>
    <xf numFmtId="0" fontId="15" fillId="0" borderId="0"/>
    <xf numFmtId="0" fontId="15" fillId="32" borderId="8" applyNumberFormat="0" applyFont="0" applyAlignment="0" applyProtection="0"/>
    <xf numFmtId="0" fontId="15" fillId="2" borderId="0" applyNumberFormat="0" applyBorder="0" applyAlignment="0" applyProtection="0"/>
    <xf numFmtId="0" fontId="15" fillId="8" borderId="0" applyNumberFormat="0" applyBorder="0" applyAlignment="0" applyProtection="0"/>
    <xf numFmtId="0" fontId="15" fillId="3" borderId="0" applyNumberFormat="0" applyBorder="0" applyAlignment="0" applyProtection="0"/>
    <xf numFmtId="0" fontId="15" fillId="9" borderId="0" applyNumberFormat="0" applyBorder="0" applyAlignment="0" applyProtection="0"/>
    <xf numFmtId="0" fontId="15" fillId="4" borderId="0" applyNumberFormat="0" applyBorder="0" applyAlignment="0" applyProtection="0"/>
    <xf numFmtId="0" fontId="15" fillId="10" borderId="0" applyNumberFormat="0" applyBorder="0" applyAlignment="0" applyProtection="0"/>
    <xf numFmtId="0" fontId="15" fillId="5" borderId="0" applyNumberFormat="0" applyBorder="0" applyAlignment="0" applyProtection="0"/>
    <xf numFmtId="0" fontId="15" fillId="11" borderId="0" applyNumberFormat="0" applyBorder="0" applyAlignment="0" applyProtection="0"/>
    <xf numFmtId="0" fontId="15" fillId="6" borderId="0" applyNumberFormat="0" applyBorder="0" applyAlignment="0" applyProtection="0"/>
    <xf numFmtId="0" fontId="15" fillId="12" borderId="0" applyNumberFormat="0" applyBorder="0" applyAlignment="0" applyProtection="0"/>
    <xf numFmtId="0" fontId="15" fillId="7" borderId="0" applyNumberFormat="0" applyBorder="0" applyAlignment="0" applyProtection="0"/>
    <xf numFmtId="0" fontId="15" fillId="13" borderId="0" applyNumberFormat="0" applyBorder="0" applyAlignment="0" applyProtection="0"/>
    <xf numFmtId="0" fontId="13" fillId="0" borderId="0"/>
    <xf numFmtId="0" fontId="12" fillId="0" borderId="0"/>
    <xf numFmtId="0" fontId="10" fillId="0" borderId="0"/>
    <xf numFmtId="0" fontId="9" fillId="0" borderId="0"/>
    <xf numFmtId="0" fontId="8" fillId="0" borderId="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cellStyleXfs>
  <cellXfs count="288">
    <xf numFmtId="0" fontId="0" fillId="0" borderId="0" xfId="0"/>
    <xf numFmtId="49" fontId="0" fillId="0" borderId="0" xfId="0" applyNumberFormat="1"/>
    <xf numFmtId="49" fontId="24" fillId="0" borderId="0" xfId="34" applyNumberFormat="1" applyAlignment="1" applyProtection="1"/>
    <xf numFmtId="0" fontId="25" fillId="0" borderId="0" xfId="0" applyFont="1"/>
    <xf numFmtId="49" fontId="25" fillId="0" borderId="0" xfId="0" applyNumberFormat="1" applyFont="1" applyBorder="1"/>
    <xf numFmtId="1" fontId="0" fillId="0" borderId="0" xfId="0" applyNumberFormat="1"/>
    <xf numFmtId="49" fontId="25" fillId="0" borderId="0" xfId="0" applyNumberFormat="1" applyFont="1" applyBorder="1" applyAlignment="1">
      <alignment horizontal="center" wrapText="1"/>
    </xf>
    <xf numFmtId="1" fontId="25" fillId="0" borderId="0" xfId="0" applyNumberFormat="1" applyFont="1" applyBorder="1" applyAlignment="1">
      <alignment horizontal="center" wrapText="1"/>
    </xf>
    <xf numFmtId="0" fontId="25" fillId="0" borderId="0" xfId="0" applyFont="1" applyAlignment="1">
      <alignment horizontal="center" wrapText="1"/>
    </xf>
    <xf numFmtId="49" fontId="25" fillId="0" borderId="0" xfId="0" applyNumberFormat="1" applyFont="1" applyAlignment="1">
      <alignment horizontal="center" wrapText="1"/>
    </xf>
    <xf numFmtId="49" fontId="25" fillId="0" borderId="0" xfId="0" applyNumberFormat="1" applyFont="1"/>
    <xf numFmtId="1" fontId="25" fillId="0" borderId="0" xfId="0" applyNumberFormat="1" applyFont="1"/>
    <xf numFmtId="49" fontId="0" fillId="0" borderId="0" xfId="0" applyNumberFormat="1" applyAlignment="1">
      <alignment horizontal="right"/>
    </xf>
    <xf numFmtId="0" fontId="27" fillId="0" borderId="0" xfId="38"/>
    <xf numFmtId="0" fontId="27" fillId="0" borderId="1" xfId="38" applyBorder="1"/>
    <xf numFmtId="3" fontId="27" fillId="0" borderId="1" xfId="38" applyNumberFormat="1" applyBorder="1"/>
    <xf numFmtId="0" fontId="26" fillId="0" borderId="0" xfId="0" applyFont="1" applyAlignment="1">
      <alignment horizontal="center" wrapText="1"/>
    </xf>
    <xf numFmtId="0" fontId="0" fillId="0" borderId="0" xfId="0" applyAlignment="1">
      <alignment horizontal="center" wrapText="1"/>
    </xf>
    <xf numFmtId="49" fontId="23" fillId="0" borderId="0" xfId="38" applyNumberFormat="1" applyFont="1" applyAlignment="1">
      <alignment horizontal="center"/>
    </xf>
    <xf numFmtId="49" fontId="23" fillId="0" borderId="0" xfId="38" applyNumberFormat="1" applyFont="1"/>
    <xf numFmtId="0" fontId="45" fillId="0" borderId="0" xfId="0" applyFont="1"/>
    <xf numFmtId="49" fontId="45" fillId="0" borderId="0" xfId="0" applyNumberFormat="1" applyFont="1" applyAlignment="1">
      <alignment horizontal="center"/>
    </xf>
    <xf numFmtId="0" fontId="0" fillId="0" borderId="0" xfId="0" applyAlignment="1">
      <alignment horizontal="left"/>
    </xf>
    <xf numFmtId="0" fontId="25" fillId="0" borderId="11" xfId="0" applyFont="1" applyBorder="1" applyAlignment="1">
      <alignment horizontal="center" wrapText="1"/>
    </xf>
    <xf numFmtId="0" fontId="46" fillId="0" borderId="0" xfId="0" applyFont="1"/>
    <xf numFmtId="0" fontId="0" fillId="0" borderId="0" xfId="0" applyAlignment="1">
      <alignment wrapText="1"/>
    </xf>
    <xf numFmtId="0" fontId="0" fillId="0" borderId="13" xfId="0" applyBorder="1" applyAlignment="1">
      <alignment wrapText="1"/>
    </xf>
    <xf numFmtId="0" fontId="0" fillId="0" borderId="18" xfId="0" applyBorder="1"/>
    <xf numFmtId="0" fontId="45" fillId="33" borderId="16" xfId="0" applyFont="1" applyFill="1" applyBorder="1" applyAlignment="1">
      <alignment horizontal="center"/>
    </xf>
    <xf numFmtId="0" fontId="45" fillId="0" borderId="16" xfId="0" applyFont="1" applyBorder="1" applyAlignment="1">
      <alignment horizontal="center"/>
    </xf>
    <xf numFmtId="0" fontId="45" fillId="33" borderId="0" xfId="0" applyFont="1" applyFill="1" applyBorder="1" applyAlignment="1">
      <alignment horizontal="center"/>
    </xf>
    <xf numFmtId="0" fontId="45" fillId="0" borderId="0" xfId="0" applyFont="1" applyBorder="1" applyAlignment="1">
      <alignment horizontal="center"/>
    </xf>
    <xf numFmtId="0" fontId="45" fillId="33" borderId="17" xfId="0" applyFont="1" applyFill="1" applyBorder="1" applyAlignment="1">
      <alignment horizontal="center"/>
    </xf>
    <xf numFmtId="0" fontId="45" fillId="0" borderId="17" xfId="0" applyFont="1" applyBorder="1" applyAlignment="1">
      <alignment horizontal="center"/>
    </xf>
    <xf numFmtId="0" fontId="45" fillId="0" borderId="22" xfId="0" applyFont="1" applyBorder="1"/>
    <xf numFmtId="0" fontId="45" fillId="0" borderId="23" xfId="0" applyFont="1" applyBorder="1"/>
    <xf numFmtId="0" fontId="45" fillId="0" borderId="24" xfId="0" applyFont="1" applyBorder="1"/>
    <xf numFmtId="0" fontId="45" fillId="0" borderId="0" xfId="0" applyFont="1" applyAlignment="1">
      <alignment wrapText="1"/>
    </xf>
    <xf numFmtId="0" fontId="48" fillId="0" borderId="0" xfId="44" applyFont="1" applyAlignment="1">
      <alignment horizontal="left"/>
    </xf>
    <xf numFmtId="0" fontId="48" fillId="0" borderId="0" xfId="44" applyFont="1" applyAlignment="1">
      <alignment horizontal="center"/>
    </xf>
    <xf numFmtId="10" fontId="48" fillId="0" borderId="0" xfId="44" applyNumberFormat="1" applyFont="1" applyAlignment="1">
      <alignment horizontal="center"/>
    </xf>
    <xf numFmtId="0" fontId="48" fillId="0" borderId="0" xfId="44" applyFont="1"/>
    <xf numFmtId="0" fontId="49" fillId="0" borderId="0" xfId="44" applyFont="1"/>
    <xf numFmtId="0" fontId="50" fillId="0" borderId="0" xfId="44" applyFont="1" applyAlignment="1">
      <alignment horizontal="center"/>
    </xf>
    <xf numFmtId="0" fontId="51" fillId="0" borderId="0" xfId="44" applyFont="1" applyAlignment="1">
      <alignment horizontal="center"/>
    </xf>
    <xf numFmtId="0" fontId="48" fillId="0" borderId="18" xfId="44" applyFont="1" applyBorder="1" applyAlignment="1">
      <alignment horizontal="center"/>
    </xf>
    <xf numFmtId="16" fontId="48" fillId="0" borderId="18" xfId="44" quotePrefix="1" applyNumberFormat="1" applyFont="1" applyBorder="1" applyAlignment="1">
      <alignment horizontal="center"/>
    </xf>
    <xf numFmtId="10" fontId="48" fillId="0" borderId="18" xfId="44" applyNumberFormat="1" applyFont="1" applyBorder="1" applyAlignment="1">
      <alignment horizontal="center"/>
    </xf>
    <xf numFmtId="0" fontId="48" fillId="0" borderId="0" xfId="44" applyFont="1" applyBorder="1"/>
    <xf numFmtId="0" fontId="53" fillId="0" borderId="0" xfId="45" applyFont="1" applyAlignment="1">
      <alignment horizontal="left"/>
    </xf>
    <xf numFmtId="164" fontId="48" fillId="0" borderId="18" xfId="44" applyNumberFormat="1" applyFont="1" applyBorder="1" applyAlignment="1" applyProtection="1">
      <alignment horizontal="center"/>
    </xf>
    <xf numFmtId="1" fontId="48" fillId="0" borderId="18" xfId="44" applyNumberFormat="1" applyFont="1" applyBorder="1" applyAlignment="1">
      <alignment horizontal="center"/>
    </xf>
    <xf numFmtId="10" fontId="48" fillId="0" borderId="18" xfId="44" applyNumberFormat="1" applyFont="1" applyBorder="1" applyAlignment="1" applyProtection="1">
      <alignment horizontal="center"/>
    </xf>
    <xf numFmtId="1" fontId="48" fillId="0" borderId="18" xfId="44" applyNumberFormat="1" applyFont="1" applyBorder="1" applyAlignment="1" applyProtection="1">
      <alignment horizontal="center"/>
    </xf>
    <xf numFmtId="0" fontId="47" fillId="0" borderId="18" xfId="44" applyFont="1" applyBorder="1"/>
    <xf numFmtId="0" fontId="54" fillId="0" borderId="0" xfId="44" applyFont="1" applyAlignment="1">
      <alignment horizontal="left"/>
    </xf>
    <xf numFmtId="1" fontId="46" fillId="0" borderId="19" xfId="0" applyNumberFormat="1" applyFont="1" applyBorder="1"/>
    <xf numFmtId="1" fontId="46" fillId="0" borderId="20" xfId="0" applyNumberFormat="1" applyFont="1" applyBorder="1"/>
    <xf numFmtId="1" fontId="46" fillId="0" borderId="21" xfId="0" applyNumberFormat="1" applyFont="1" applyBorder="1"/>
    <xf numFmtId="1" fontId="46" fillId="0" borderId="16" xfId="0" applyNumberFormat="1" applyFont="1" applyBorder="1"/>
    <xf numFmtId="1" fontId="46" fillId="0" borderId="0" xfId="0" applyNumberFormat="1" applyFont="1" applyBorder="1"/>
    <xf numFmtId="1" fontId="46" fillId="0" borderId="17" xfId="0" applyNumberFormat="1" applyFont="1" applyBorder="1"/>
    <xf numFmtId="0" fontId="46" fillId="0" borderId="0" xfId="0" applyNumberFormat="1" applyFont="1"/>
    <xf numFmtId="0" fontId="45" fillId="0" borderId="25" xfId="0" applyFont="1" applyBorder="1" applyAlignment="1">
      <alignment wrapText="1"/>
    </xf>
    <xf numFmtId="0" fontId="36" fillId="0" borderId="0" xfId="33"/>
    <xf numFmtId="165" fontId="0" fillId="0" borderId="0" xfId="0" applyNumberFormat="1"/>
    <xf numFmtId="0" fontId="57" fillId="0" borderId="0" xfId="0" applyFont="1" applyAlignment="1">
      <alignment vertical="top" wrapText="1"/>
    </xf>
    <xf numFmtId="0" fontId="59" fillId="0" borderId="0" xfId="0" applyFont="1" applyAlignment="1">
      <alignment horizontal="left" vertical="top"/>
    </xf>
    <xf numFmtId="166" fontId="58" fillId="0" borderId="0" xfId="0" applyNumberFormat="1" applyFont="1" applyAlignment="1">
      <alignment horizontal="left" vertical="top" wrapText="1"/>
    </xf>
    <xf numFmtId="0" fontId="59" fillId="0" borderId="0" xfId="0" applyFont="1" applyAlignment="1">
      <alignment horizontal="left" vertical="top" wrapText="1"/>
    </xf>
    <xf numFmtId="167" fontId="58" fillId="0" borderId="0" xfId="0" applyNumberFormat="1" applyFont="1" applyAlignment="1">
      <alignment horizontal="left" vertical="top" wrapText="1"/>
    </xf>
    <xf numFmtId="166" fontId="58" fillId="0" borderId="0" xfId="0" applyNumberFormat="1" applyFont="1" applyAlignment="1">
      <alignment horizontal="right" vertical="top" wrapText="1"/>
    </xf>
    <xf numFmtId="169" fontId="58" fillId="0" borderId="0" xfId="0" applyNumberFormat="1" applyFont="1" applyAlignment="1">
      <alignment horizontal="left" vertical="top" wrapText="1"/>
    </xf>
    <xf numFmtId="0" fontId="60" fillId="0" borderId="0" xfId="0" applyFont="1" applyAlignment="1">
      <alignment horizontal="left" vertical="top" wrapText="1"/>
    </xf>
    <xf numFmtId="0" fontId="57" fillId="0" borderId="0" xfId="0" applyFont="1" applyAlignment="1">
      <alignment horizontal="left" vertical="top" wrapText="1"/>
    </xf>
    <xf numFmtId="0" fontId="62" fillId="0" borderId="0" xfId="0" applyFont="1" applyAlignment="1">
      <alignment horizontal="left" vertical="top" wrapText="1"/>
    </xf>
    <xf numFmtId="0" fontId="63" fillId="0" borderId="0" xfId="0" applyFont="1" applyAlignment="1">
      <alignment horizontal="left" vertical="top" wrapText="1"/>
    </xf>
    <xf numFmtId="0" fontId="64" fillId="0" borderId="0" xfId="0" applyFont="1"/>
    <xf numFmtId="168" fontId="58" fillId="36" borderId="0" xfId="0" applyNumberFormat="1" applyFont="1" applyFill="1" applyAlignment="1">
      <alignment horizontal="left" vertical="top" wrapText="1"/>
    </xf>
    <xf numFmtId="0" fontId="59" fillId="36" borderId="0" xfId="0" applyFont="1" applyFill="1" applyAlignment="1">
      <alignment horizontal="left" vertical="top" wrapText="1"/>
    </xf>
    <xf numFmtId="0" fontId="65" fillId="0" borderId="0" xfId="0" applyNumberFormat="1" applyFont="1"/>
    <xf numFmtId="0" fontId="65" fillId="0" borderId="0" xfId="0" applyNumberFormat="1" applyFont="1" applyAlignment="1">
      <alignment horizontal="right"/>
    </xf>
    <xf numFmtId="0" fontId="65" fillId="0" borderId="0" xfId="0" applyNumberFormat="1" applyFont="1" applyFill="1"/>
    <xf numFmtId="49" fontId="23" fillId="0" borderId="0" xfId="38" applyNumberFormat="1" applyFont="1" applyFill="1"/>
    <xf numFmtId="0" fontId="46" fillId="0" borderId="0" xfId="0" applyFont="1" applyFill="1"/>
    <xf numFmtId="1" fontId="46" fillId="0" borderId="0" xfId="0" applyNumberFormat="1" applyFont="1" applyFill="1" applyBorder="1"/>
    <xf numFmtId="1" fontId="46" fillId="0" borderId="20" xfId="0" applyNumberFormat="1" applyFont="1" applyFill="1" applyBorder="1"/>
    <xf numFmtId="0" fontId="45" fillId="0" borderId="0" xfId="0" applyFont="1" applyFill="1" applyAlignment="1">
      <alignment wrapText="1"/>
    </xf>
    <xf numFmtId="0" fontId="21" fillId="0" borderId="26" xfId="47" applyNumberFormat="1" applyFont="1" applyBorder="1" applyAlignment="1"/>
    <xf numFmtId="0" fontId="21" fillId="37" borderId="26" xfId="47" applyNumberFormat="1" applyFont="1" applyFill="1" applyBorder="1" applyAlignment="1"/>
    <xf numFmtId="0" fontId="21" fillId="35" borderId="26"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45" fillId="0" borderId="0" xfId="0" applyFont="1" applyBorder="1" applyAlignment="1">
      <alignment wrapText="1"/>
    </xf>
    <xf numFmtId="0" fontId="46" fillId="0" borderId="0" xfId="0" applyNumberFormat="1" applyFont="1" applyFill="1"/>
    <xf numFmtId="0" fontId="45" fillId="0" borderId="0" xfId="0" applyFont="1" applyFill="1" applyBorder="1" applyAlignment="1">
      <alignment horizontal="center"/>
    </xf>
    <xf numFmtId="0" fontId="45" fillId="0" borderId="23" xfId="0" applyFont="1" applyFill="1" applyBorder="1"/>
    <xf numFmtId="0" fontId="45" fillId="34" borderId="0" xfId="0" applyFont="1" applyFill="1" applyBorder="1" applyAlignment="1">
      <alignment horizontal="center"/>
    </xf>
    <xf numFmtId="0" fontId="45" fillId="34" borderId="17" xfId="0" applyFont="1" applyFill="1" applyBorder="1" applyAlignment="1">
      <alignment horizontal="center"/>
    </xf>
    <xf numFmtId="0" fontId="23" fillId="0" borderId="28" xfId="38" applyNumberFormat="1" applyFont="1" applyBorder="1"/>
    <xf numFmtId="0" fontId="23" fillId="0" borderId="28" xfId="38" applyNumberFormat="1" applyFont="1" applyFill="1" applyBorder="1"/>
    <xf numFmtId="0" fontId="45" fillId="0" borderId="29" xfId="0" applyFont="1" applyBorder="1" applyAlignment="1">
      <alignment horizontal="center"/>
    </xf>
    <xf numFmtId="0" fontId="45" fillId="0" borderId="28" xfId="0" applyFont="1" applyBorder="1" applyAlignment="1">
      <alignment horizontal="center"/>
    </xf>
    <xf numFmtId="0" fontId="45" fillId="0" borderId="28" xfId="0" applyFont="1" applyFill="1" applyBorder="1" applyAlignment="1">
      <alignment horizontal="center"/>
    </xf>
    <xf numFmtId="0" fontId="45" fillId="0" borderId="30" xfId="0" applyFont="1" applyBorder="1" applyAlignment="1">
      <alignment horizontal="center"/>
    </xf>
    <xf numFmtId="0" fontId="25" fillId="0" borderId="31" xfId="0" applyFont="1" applyBorder="1" applyAlignment="1">
      <alignment horizontal="center" wrapText="1"/>
    </xf>
    <xf numFmtId="0" fontId="25" fillId="0" borderId="17" xfId="0" applyFont="1" applyBorder="1" applyAlignment="1">
      <alignment horizontal="center" wrapText="1"/>
    </xf>
    <xf numFmtId="0" fontId="25" fillId="0" borderId="30" xfId="0" applyFont="1" applyBorder="1" applyAlignment="1">
      <alignment horizontal="center" wrapText="1"/>
    </xf>
    <xf numFmtId="0" fontId="45" fillId="0" borderId="28" xfId="0" applyFont="1" applyBorder="1"/>
    <xf numFmtId="0" fontId="45" fillId="0" borderId="28" xfId="0" applyFont="1" applyFill="1" applyBorder="1"/>
    <xf numFmtId="0" fontId="45" fillId="36" borderId="28" xfId="0" applyFont="1" applyFill="1" applyBorder="1"/>
    <xf numFmtId="0" fontId="25" fillId="0" borderId="0" xfId="0" applyFont="1" applyBorder="1" applyAlignment="1">
      <alignment horizontal="center" wrapText="1"/>
    </xf>
    <xf numFmtId="0" fontId="25" fillId="0" borderId="28" xfId="0" applyFont="1" applyBorder="1" applyAlignment="1">
      <alignment horizontal="center" wrapText="1"/>
    </xf>
    <xf numFmtId="0" fontId="44" fillId="0" borderId="0" xfId="0" applyFont="1" applyAlignment="1">
      <alignment wrapText="1"/>
    </xf>
    <xf numFmtId="17" fontId="44" fillId="0" borderId="0" xfId="0" applyNumberFormat="1" applyFont="1" applyAlignment="1">
      <alignment wrapText="1"/>
    </xf>
    <xf numFmtId="0" fontId="67" fillId="0" borderId="0" xfId="0" applyFont="1" applyAlignment="1">
      <alignment wrapText="1"/>
    </xf>
    <xf numFmtId="0" fontId="45" fillId="0" borderId="0" xfId="0" applyNumberFormat="1" applyFont="1" applyAlignment="1">
      <alignment horizontal="center"/>
    </xf>
    <xf numFmtId="0" fontId="45" fillId="0" borderId="0" xfId="0" applyNumberFormat="1" applyFont="1" applyFill="1" applyAlignment="1">
      <alignment horizontal="center"/>
    </xf>
    <xf numFmtId="49" fontId="25" fillId="0" borderId="0" xfId="0" applyNumberFormat="1" applyFont="1" applyFill="1"/>
    <xf numFmtId="49" fontId="0" fillId="0" borderId="0" xfId="0" applyNumberFormat="1" applyFill="1"/>
    <xf numFmtId="49" fontId="25" fillId="0" borderId="0" xfId="0" applyNumberFormat="1" applyFont="1" applyFill="1" applyBorder="1" applyAlignment="1">
      <alignment horizontal="center" wrapText="1"/>
    </xf>
    <xf numFmtId="49" fontId="23" fillId="0" borderId="0" xfId="38" applyNumberFormat="1" applyFont="1" applyFill="1" applyAlignment="1">
      <alignment horizontal="center"/>
    </xf>
    <xf numFmtId="0" fontId="48" fillId="0" borderId="32" xfId="44" applyFont="1" applyBorder="1" applyAlignment="1">
      <alignment horizontal="center"/>
    </xf>
    <xf numFmtId="0" fontId="45" fillId="40"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17" fontId="27" fillId="0" borderId="0" xfId="38" applyNumberFormat="1"/>
    <xf numFmtId="0" fontId="0" fillId="0" borderId="0" xfId="0" applyFont="1"/>
    <xf numFmtId="0" fontId="0" fillId="0" borderId="0" xfId="0" applyFont="1" applyFill="1"/>
    <xf numFmtId="1" fontId="45" fillId="0" borderId="0" xfId="0" applyNumberFormat="1" applyFont="1" applyFill="1" applyBorder="1"/>
    <xf numFmtId="1" fontId="46" fillId="0" borderId="33" xfId="0" applyNumberFormat="1" applyFont="1" applyBorder="1"/>
    <xf numFmtId="1" fontId="46" fillId="0" borderId="34" xfId="0" applyNumberFormat="1" applyFont="1" applyBorder="1"/>
    <xf numFmtId="1" fontId="46" fillId="0" borderId="34" xfId="0" applyNumberFormat="1" applyFont="1" applyFill="1" applyBorder="1"/>
    <xf numFmtId="1" fontId="46" fillId="0" borderId="35" xfId="0" applyNumberFormat="1" applyFont="1" applyBorder="1"/>
    <xf numFmtId="0" fontId="18" fillId="37" borderId="26" xfId="62" applyNumberFormat="1" applyFont="1" applyFill="1" applyBorder="1" applyAlignment="1"/>
    <xf numFmtId="0" fontId="18" fillId="0" borderId="26" xfId="62" applyNumberFormat="1" applyFont="1" applyBorder="1" applyAlignment="1"/>
    <xf numFmtId="49" fontId="25" fillId="0" borderId="0" xfId="0" applyNumberFormat="1" applyFont="1" applyAlignment="1">
      <alignment horizontal="center"/>
    </xf>
    <xf numFmtId="0" fontId="45" fillId="34" borderId="16" xfId="0" applyFont="1" applyFill="1" applyBorder="1" applyAlignment="1">
      <alignment horizontal="center"/>
    </xf>
    <xf numFmtId="0" fontId="45" fillId="34" borderId="0" xfId="0" applyFont="1" applyFill="1" applyBorder="1" applyAlignment="1">
      <alignment horizontal="center" wrapText="1"/>
    </xf>
    <xf numFmtId="1" fontId="45" fillId="0" borderId="0" xfId="0" applyNumberFormat="1" applyFont="1"/>
    <xf numFmtId="1" fontId="45" fillId="0" borderId="0" xfId="0" applyNumberFormat="1" applyFont="1" applyFill="1"/>
    <xf numFmtId="49" fontId="25" fillId="0" borderId="0" xfId="64" applyNumberFormat="1" applyFont="1"/>
    <xf numFmtId="0" fontId="15" fillId="0" borderId="0" xfId="81"/>
    <xf numFmtId="1" fontId="46" fillId="0" borderId="17" xfId="0" applyNumberFormat="1" applyFont="1" applyFill="1" applyBorder="1"/>
    <xf numFmtId="0" fontId="68" fillId="0" borderId="26" xfId="0" applyFont="1" applyBorder="1"/>
    <xf numFmtId="0" fontId="56" fillId="0" borderId="0" xfId="0" applyFont="1" applyAlignment="1">
      <alignment wrapText="1"/>
    </xf>
    <xf numFmtId="0" fontId="56" fillId="0" borderId="0" xfId="0" applyFont="1" applyAlignment="1">
      <alignment horizontal="center" wrapText="1"/>
    </xf>
    <xf numFmtId="1" fontId="56" fillId="0" borderId="0" xfId="0" applyNumberFormat="1" applyFont="1" applyAlignment="1">
      <alignment horizontal="center" wrapText="1"/>
    </xf>
    <xf numFmtId="0" fontId="25" fillId="0" borderId="0" xfId="0" applyFont="1" applyAlignment="1">
      <alignment wrapText="1"/>
    </xf>
    <xf numFmtId="0" fontId="42" fillId="0" borderId="0" xfId="0" applyFont="1" applyAlignment="1">
      <alignment wrapText="1"/>
    </xf>
    <xf numFmtId="0" fontId="42" fillId="0" borderId="0" xfId="0" applyFont="1" applyAlignment="1">
      <alignment horizontal="center" wrapText="1"/>
    </xf>
    <xf numFmtId="1" fontId="42" fillId="0" borderId="0" xfId="0" applyNumberFormat="1" applyFont="1" applyAlignment="1">
      <alignment horizontal="center" wrapText="1"/>
    </xf>
    <xf numFmtId="1" fontId="0" fillId="0" borderId="0" xfId="0" applyNumberFormat="1" applyAlignment="1">
      <alignment horizontal="center" wrapText="1"/>
    </xf>
    <xf numFmtId="0" fontId="14" fillId="37" borderId="36" xfId="0" applyNumberFormat="1" applyFont="1" applyFill="1" applyBorder="1"/>
    <xf numFmtId="0" fontId="14" fillId="0" borderId="36" xfId="0" applyNumberFormat="1" applyFont="1" applyBorder="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12" fillId="0" borderId="0" xfId="96" applyFill="1" applyAlignment="1">
      <alignment wrapText="1"/>
    </xf>
    <xf numFmtId="0" fontId="11" fillId="0" borderId="0" xfId="96" applyFont="1" applyFill="1" applyAlignment="1">
      <alignment wrapText="1"/>
    </xf>
    <xf numFmtId="49" fontId="10" fillId="0" borderId="0" xfId="38" applyNumberFormat="1" applyFont="1"/>
    <xf numFmtId="49" fontId="10" fillId="0" borderId="0" xfId="38" applyNumberFormat="1" applyFont="1" applyAlignment="1">
      <alignment horizontal="center"/>
    </xf>
    <xf numFmtId="0" fontId="10" fillId="0" borderId="0" xfId="97" applyAlignment="1">
      <alignment horizontal="center"/>
    </xf>
    <xf numFmtId="1" fontId="10" fillId="0" borderId="0" xfId="97" applyNumberFormat="1" applyAlignment="1">
      <alignment horizontal="center"/>
    </xf>
    <xf numFmtId="1" fontId="10" fillId="33" borderId="0" xfId="97" applyNumberFormat="1" applyFill="1" applyAlignment="1">
      <alignment horizontal="center"/>
    </xf>
    <xf numFmtId="0" fontId="45" fillId="0" borderId="0" xfId="0" applyNumberFormat="1" applyFont="1"/>
    <xf numFmtId="49" fontId="9" fillId="0" borderId="0" xfId="38" applyNumberFormat="1" applyFont="1" applyAlignment="1">
      <alignment horizontal="center"/>
    </xf>
    <xf numFmtId="0" fontId="56" fillId="0" borderId="0" xfId="98" applyFont="1"/>
    <xf numFmtId="1" fontId="56" fillId="0" borderId="0" xfId="98" applyNumberFormat="1" applyFont="1" applyAlignment="1">
      <alignment horizontal="center"/>
    </xf>
    <xf numFmtId="0" fontId="9" fillId="0" borderId="0" xfId="98"/>
    <xf numFmtId="0" fontId="42" fillId="0" borderId="0" xfId="98" applyFont="1"/>
    <xf numFmtId="0" fontId="42" fillId="0" borderId="0" xfId="98" applyFont="1" applyAlignment="1">
      <alignment horizontal="center"/>
    </xf>
    <xf numFmtId="1" fontId="42" fillId="0" borderId="0" xfId="98" applyNumberFormat="1" applyFont="1" applyAlignment="1">
      <alignment horizontal="center"/>
    </xf>
    <xf numFmtId="0" fontId="9" fillId="0" borderId="0" xfId="98" applyAlignment="1">
      <alignment horizontal="center"/>
    </xf>
    <xf numFmtId="1" fontId="9" fillId="0" borderId="0" xfId="98" applyNumberFormat="1" applyAlignment="1">
      <alignment horizontal="center"/>
    </xf>
    <xf numFmtId="0" fontId="8" fillId="0" borderId="0" xfId="98" applyFont="1"/>
    <xf numFmtId="0" fontId="45" fillId="0" borderId="0" xfId="64" applyFont="1" applyAlignment="1">
      <alignment wrapText="1"/>
    </xf>
    <xf numFmtId="0" fontId="45" fillId="0" borderId="12" xfId="64" applyFont="1" applyBorder="1" applyAlignment="1">
      <alignment wrapText="1"/>
    </xf>
    <xf numFmtId="0" fontId="72" fillId="0" borderId="0" xfId="0" applyFont="1" applyAlignment="1">
      <alignment horizontal="center" wrapText="1"/>
    </xf>
    <xf numFmtId="0" fontId="45" fillId="0" borderId="0" xfId="0" applyFont="1" applyAlignment="1">
      <alignment horizontal="center" wrapText="1"/>
    </xf>
    <xf numFmtId="0" fontId="45" fillId="0" borderId="12" xfId="0" applyFont="1" applyBorder="1" applyAlignment="1">
      <alignment wrapText="1"/>
    </xf>
    <xf numFmtId="0" fontId="45" fillId="42" borderId="0" xfId="0" applyFont="1" applyFill="1" applyAlignment="1">
      <alignment wrapText="1"/>
    </xf>
    <xf numFmtId="0" fontId="65" fillId="0" borderId="37" xfId="0" applyFont="1" applyBorder="1"/>
    <xf numFmtId="0" fontId="65" fillId="0" borderId="37" xfId="0" applyFont="1" applyFill="1" applyBorder="1"/>
    <xf numFmtId="0" fontId="0" fillId="0" borderId="37" xfId="0" applyBorder="1" applyAlignment="1">
      <alignment horizontal="center" wrapText="1"/>
    </xf>
    <xf numFmtId="0" fontId="44" fillId="0" borderId="18" xfId="0" applyFont="1" applyBorder="1" applyAlignment="1">
      <alignment wrapText="1"/>
    </xf>
    <xf numFmtId="0" fontId="72" fillId="0" borderId="13" xfId="0" applyFont="1" applyBorder="1" applyAlignment="1">
      <alignment horizontal="center" wrapText="1"/>
    </xf>
    <xf numFmtId="0" fontId="72" fillId="0" borderId="14" xfId="0" applyFont="1" applyBorder="1" applyAlignment="1">
      <alignment horizontal="center" wrapText="1"/>
    </xf>
    <xf numFmtId="0" fontId="72" fillId="0" borderId="15" xfId="0" applyFont="1" applyBorder="1" applyAlignment="1">
      <alignment horizontal="center" wrapText="1"/>
    </xf>
    <xf numFmtId="0" fontId="56" fillId="0" borderId="0" xfId="98" applyFont="1" applyAlignment="1">
      <alignment horizontal="center"/>
    </xf>
    <xf numFmtId="0" fontId="74" fillId="0" borderId="0" xfId="0" applyFont="1"/>
    <xf numFmtId="0" fontId="74" fillId="43" borderId="0" xfId="0" applyFont="1" applyFill="1" applyAlignment="1">
      <alignment horizontal="center"/>
    </xf>
    <xf numFmtId="1" fontId="74" fillId="0" borderId="0" xfId="0" applyNumberFormat="1" applyFont="1" applyAlignment="1">
      <alignment horizontal="center"/>
    </xf>
    <xf numFmtId="0" fontId="74" fillId="0" borderId="0" xfId="0" applyFont="1" applyAlignment="1">
      <alignment horizontal="center"/>
    </xf>
    <xf numFmtId="0" fontId="74" fillId="44" borderId="0" xfId="0" applyFont="1" applyFill="1" applyAlignment="1">
      <alignment horizontal="center"/>
    </xf>
    <xf numFmtId="1" fontId="74" fillId="44" borderId="0" xfId="0" applyNumberFormat="1" applyFont="1" applyFill="1" applyAlignment="1">
      <alignment horizontal="center"/>
    </xf>
    <xf numFmtId="0" fontId="75" fillId="36" borderId="0" xfId="0" applyFont="1" applyFill="1" applyAlignment="1"/>
    <xf numFmtId="0" fontId="56" fillId="36" borderId="0" xfId="0" applyFont="1" applyFill="1" applyAlignment="1">
      <alignment wrapText="1"/>
    </xf>
    <xf numFmtId="0" fontId="7" fillId="0" borderId="0" xfId="96" applyFont="1" applyFill="1" applyAlignment="1">
      <alignment wrapText="1"/>
    </xf>
    <xf numFmtId="49" fontId="6" fillId="0" borderId="0" xfId="38" applyNumberFormat="1" applyFont="1"/>
    <xf numFmtId="49" fontId="5" fillId="0" borderId="0" xfId="38" applyNumberFormat="1" applyFont="1"/>
    <xf numFmtId="0" fontId="74" fillId="0" borderId="0" xfId="98" applyFont="1" applyFill="1"/>
    <xf numFmtId="0" fontId="76" fillId="43" borderId="0" xfId="98" applyFont="1" applyFill="1" applyAlignment="1">
      <alignment horizontal="center"/>
    </xf>
    <xf numFmtId="1" fontId="76" fillId="0" borderId="0" xfId="98" applyNumberFormat="1" applyFont="1" applyFill="1" applyAlignment="1">
      <alignment horizontal="center"/>
    </xf>
    <xf numFmtId="0" fontId="76" fillId="0" borderId="0" xfId="98" applyFont="1" applyFill="1" applyAlignment="1">
      <alignment horizontal="center"/>
    </xf>
    <xf numFmtId="0" fontId="65" fillId="36" borderId="0" xfId="0" applyNumberFormat="1" applyFont="1" applyFill="1"/>
    <xf numFmtId="0" fontId="45" fillId="36" borderId="0" xfId="0" applyNumberFormat="1" applyFont="1" applyFill="1"/>
    <xf numFmtId="0" fontId="0" fillId="36" borderId="0" xfId="0" applyFont="1" applyFill="1"/>
    <xf numFmtId="49" fontId="0" fillId="36" borderId="0" xfId="0" applyNumberFormat="1" applyFont="1" applyFill="1" applyAlignment="1">
      <alignment horizontal="center"/>
    </xf>
    <xf numFmtId="0" fontId="45" fillId="36" borderId="0" xfId="0" applyNumberFormat="1" applyFont="1" applyFill="1" applyAlignment="1">
      <alignment horizontal="center"/>
    </xf>
    <xf numFmtId="49" fontId="23" fillId="36" borderId="0" xfId="38" applyNumberFormat="1" applyFont="1" applyFill="1" applyAlignment="1">
      <alignment horizontal="center"/>
    </xf>
    <xf numFmtId="49" fontId="4" fillId="36" borderId="0" xfId="38" applyNumberFormat="1" applyFont="1" applyFill="1" applyAlignment="1">
      <alignment horizontal="center"/>
    </xf>
    <xf numFmtId="0" fontId="0" fillId="36" borderId="0" xfId="0" applyFill="1"/>
    <xf numFmtId="49" fontId="4" fillId="36" borderId="0" xfId="38" applyNumberFormat="1" applyFont="1" applyFill="1"/>
    <xf numFmtId="1" fontId="0" fillId="36" borderId="0" xfId="0" applyNumberFormat="1" applyFill="1"/>
    <xf numFmtId="49" fontId="25" fillId="36" borderId="0" xfId="0" applyNumberFormat="1" applyFont="1" applyFill="1" applyBorder="1"/>
    <xf numFmtId="49" fontId="25" fillId="36" borderId="0" xfId="0" applyNumberFormat="1" applyFont="1" applyFill="1"/>
    <xf numFmtId="49" fontId="0" fillId="36" borderId="0" xfId="0" applyNumberFormat="1" applyFill="1"/>
    <xf numFmtId="49" fontId="25" fillId="36" borderId="0" xfId="64" applyNumberFormat="1" applyFont="1" applyFill="1"/>
    <xf numFmtId="0" fontId="0" fillId="36" borderId="0" xfId="0" applyFill="1" applyAlignment="1">
      <alignment wrapText="1"/>
    </xf>
    <xf numFmtId="49" fontId="3" fillId="0" borderId="0" xfId="38" applyNumberFormat="1" applyFont="1" applyAlignment="1">
      <alignment horizontal="center"/>
    </xf>
    <xf numFmtId="0" fontId="2" fillId="0" borderId="0" xfId="98" applyFont="1"/>
    <xf numFmtId="1" fontId="2" fillId="0" borderId="0" xfId="98" applyNumberFormat="1" applyFont="1"/>
    <xf numFmtId="0" fontId="1" fillId="0" borderId="0" xfId="0" applyNumberFormat="1" applyFont="1" applyFill="1" applyBorder="1" applyAlignment="1" applyProtection="1"/>
    <xf numFmtId="0" fontId="77" fillId="45" borderId="26" xfId="0" applyFont="1" applyFill="1" applyBorder="1" applyAlignment="1">
      <alignment horizontal="center" wrapText="1"/>
    </xf>
    <xf numFmtId="0" fontId="77" fillId="45" borderId="38" xfId="0" applyFont="1" applyFill="1" applyBorder="1" applyAlignment="1">
      <alignment horizontal="center" wrapText="1"/>
    </xf>
    <xf numFmtId="0" fontId="1" fillId="0" borderId="38" xfId="0" applyNumberFormat="1" applyFont="1" applyBorder="1"/>
    <xf numFmtId="0" fontId="68" fillId="0" borderId="38" xfId="0" applyFont="1" applyBorder="1"/>
    <xf numFmtId="49" fontId="68" fillId="0" borderId="38" xfId="0" applyNumberFormat="1" applyFont="1" applyBorder="1" applyAlignment="1">
      <alignment horizontal="center"/>
    </xf>
    <xf numFmtId="0" fontId="1" fillId="0" borderId="26" xfId="0" applyNumberFormat="1" applyFont="1" applyBorder="1"/>
    <xf numFmtId="0" fontId="1" fillId="37" borderId="26" xfId="0" applyNumberFormat="1" applyFont="1" applyFill="1" applyBorder="1"/>
    <xf numFmtId="0" fontId="1" fillId="37" borderId="38" xfId="0" applyNumberFormat="1" applyFont="1" applyFill="1" applyBorder="1"/>
    <xf numFmtId="0" fontId="68" fillId="37" borderId="38" xfId="0" applyFont="1" applyFill="1" applyBorder="1"/>
    <xf numFmtId="49" fontId="68" fillId="37" borderId="38" xfId="0" applyNumberFormat="1" applyFont="1" applyFill="1" applyBorder="1" applyAlignment="1">
      <alignment horizontal="center"/>
    </xf>
    <xf numFmtId="0" fontId="1" fillId="0" borderId="38" xfId="0" applyFont="1" applyBorder="1" applyAlignment="1">
      <alignment wrapText="1"/>
    </xf>
    <xf numFmtId="0" fontId="1" fillId="37" borderId="38" xfId="0" applyFont="1" applyFill="1" applyBorder="1" applyAlignment="1">
      <alignment wrapText="1"/>
    </xf>
    <xf numFmtId="0" fontId="78" fillId="45" borderId="38" xfId="0" applyFont="1" applyFill="1" applyBorder="1" applyAlignment="1">
      <alignment horizontal="center" wrapText="1"/>
    </xf>
    <xf numFmtId="49" fontId="1" fillId="37" borderId="38" xfId="38" applyNumberFormat="1" applyFont="1" applyFill="1" applyBorder="1" applyAlignment="1">
      <alignment horizontal="center"/>
    </xf>
    <xf numFmtId="49" fontId="1" fillId="37" borderId="38" xfId="38" applyNumberFormat="1" applyFont="1" applyFill="1" applyBorder="1" applyAlignment="1"/>
    <xf numFmtId="49" fontId="1" fillId="0" borderId="38" xfId="38" applyNumberFormat="1" applyFont="1" applyBorder="1" applyAlignment="1">
      <alignment horizontal="center"/>
    </xf>
    <xf numFmtId="49" fontId="1" fillId="0" borderId="38" xfId="38" applyNumberFormat="1" applyFont="1" applyBorder="1" applyAlignment="1"/>
    <xf numFmtId="0" fontId="42" fillId="0" borderId="39" xfId="0" applyFont="1" applyBorder="1"/>
    <xf numFmtId="0" fontId="42" fillId="0" borderId="40" xfId="0" applyFont="1" applyBorder="1"/>
    <xf numFmtId="0" fontId="42" fillId="0" borderId="40" xfId="0" applyFont="1" applyBorder="1" applyAlignment="1">
      <alignment horizontal="center"/>
    </xf>
    <xf numFmtId="0" fontId="42" fillId="0" borderId="40" xfId="0" applyNumberFormat="1" applyFont="1" applyBorder="1" applyAlignment="1"/>
    <xf numFmtId="0" fontId="42" fillId="0" borderId="41" xfId="0" applyNumberFormat="1" applyFont="1" applyBorder="1" applyAlignment="1"/>
    <xf numFmtId="0" fontId="42" fillId="0" borderId="42" xfId="0" applyFont="1" applyBorder="1"/>
    <xf numFmtId="0" fontId="42" fillId="0" borderId="41" xfId="0" applyFont="1" applyBorder="1"/>
    <xf numFmtId="1" fontId="42" fillId="0" borderId="42" xfId="0" applyNumberFormat="1" applyFont="1" applyBorder="1"/>
    <xf numFmtId="1" fontId="42" fillId="0" borderId="40" xfId="0" applyNumberFormat="1" applyFont="1" applyBorder="1"/>
    <xf numFmtId="0" fontId="79" fillId="0" borderId="40" xfId="0" applyFont="1" applyBorder="1"/>
    <xf numFmtId="0" fontId="79" fillId="0" borderId="43" xfId="0" applyFont="1" applyBorder="1"/>
    <xf numFmtId="0" fontId="77" fillId="45" borderId="0" xfId="0" applyFont="1" applyFill="1" applyBorder="1" applyAlignment="1">
      <alignment horizontal="center" wrapText="1"/>
    </xf>
    <xf numFmtId="17" fontId="0" fillId="0" borderId="0" xfId="0" applyNumberFormat="1"/>
    <xf numFmtId="0" fontId="74" fillId="46" borderId="44" xfId="0" applyFont="1" applyFill="1" applyBorder="1"/>
    <xf numFmtId="0" fontId="74" fillId="0" borderId="44" xfId="0" applyFont="1" applyBorder="1"/>
    <xf numFmtId="0" fontId="15" fillId="36" borderId="0" xfId="81" applyFill="1"/>
    <xf numFmtId="0" fontId="1" fillId="36" borderId="0" xfId="81" applyFont="1" applyFill="1"/>
    <xf numFmtId="0" fontId="71" fillId="36" borderId="0" xfId="38" applyFont="1" applyFill="1" applyAlignment="1">
      <alignment wrapText="1"/>
    </xf>
    <xf numFmtId="0" fontId="0" fillId="0" borderId="27" xfId="0" applyFont="1" applyBorder="1" applyAlignment="1">
      <alignment horizontal="center" wrapText="1"/>
    </xf>
    <xf numFmtId="0" fontId="0" fillId="0" borderId="0" xfId="0" applyFont="1" applyBorder="1" applyAlignment="1">
      <alignment horizontal="center" wrapText="1"/>
    </xf>
    <xf numFmtId="0" fontId="1" fillId="41" borderId="0" xfId="0" applyNumberFormat="1" applyFont="1" applyFill="1" applyBorder="1" applyAlignment="1" applyProtection="1">
      <alignment horizontal="center"/>
    </xf>
    <xf numFmtId="1" fontId="1" fillId="0" borderId="0" xfId="0" applyNumberFormat="1" applyFont="1" applyFill="1" applyBorder="1" applyAlignment="1" applyProtection="1">
      <alignment horizontal="center"/>
    </xf>
    <xf numFmtId="0" fontId="1" fillId="0" borderId="0" xfId="0" applyNumberFormat="1" applyFont="1" applyFill="1" applyBorder="1" applyAlignment="1" applyProtection="1">
      <alignment horizontal="center"/>
    </xf>
    <xf numFmtId="0" fontId="42" fillId="0" borderId="39" xfId="0" applyNumberFormat="1" applyFont="1" applyBorder="1" applyAlignment="1"/>
    <xf numFmtId="0" fontId="42" fillId="0" borderId="42" xfId="0" applyNumberFormat="1" applyFont="1" applyBorder="1" applyAlignment="1"/>
    <xf numFmtId="0" fontId="42" fillId="0" borderId="43" xfId="0" applyNumberFormat="1" applyFont="1" applyBorder="1" applyAlignment="1"/>
    <xf numFmtId="0" fontId="81" fillId="0" borderId="0" xfId="0" applyFont="1"/>
    <xf numFmtId="3" fontId="81" fillId="0" borderId="0" xfId="0" applyNumberFormat="1" applyFont="1"/>
    <xf numFmtId="1" fontId="45" fillId="36" borderId="0" xfId="0" applyNumberFormat="1" applyFont="1" applyFill="1"/>
    <xf numFmtId="0" fontId="44" fillId="0" borderId="13" xfId="0" applyFont="1" applyBorder="1" applyAlignment="1">
      <alignment horizontal="center" wrapText="1"/>
    </xf>
    <xf numFmtId="0" fontId="44" fillId="0" borderId="15" xfId="0" applyFont="1" applyBorder="1" applyAlignment="1">
      <alignment horizontal="center" wrapText="1"/>
    </xf>
    <xf numFmtId="0" fontId="73" fillId="0" borderId="13" xfId="0" applyFont="1" applyBorder="1" applyAlignment="1">
      <alignment horizontal="center"/>
    </xf>
    <xf numFmtId="0" fontId="73" fillId="0" borderId="14" xfId="0" applyFont="1" applyBorder="1" applyAlignment="1">
      <alignment horizontal="center"/>
    </xf>
    <xf numFmtId="0" fontId="73" fillId="0" borderId="15" xfId="0" applyFont="1" applyBorder="1" applyAlignment="1">
      <alignment horizontal="center"/>
    </xf>
    <xf numFmtId="0" fontId="55" fillId="0" borderId="0" xfId="0" applyFont="1" applyFill="1" applyAlignment="1">
      <alignment horizontal="center" wrapText="1"/>
    </xf>
    <xf numFmtId="0" fontId="66" fillId="0" borderId="0" xfId="0" applyFont="1" applyFill="1" applyAlignment="1">
      <alignment horizontal="center" wrapText="1"/>
    </xf>
    <xf numFmtId="0" fontId="44" fillId="0" borderId="14" xfId="0" applyFont="1" applyBorder="1" applyAlignment="1">
      <alignment horizontal="center" wrapText="1"/>
    </xf>
    <xf numFmtId="0" fontId="69" fillId="0" borderId="17" xfId="0" applyFont="1" applyBorder="1" applyAlignment="1">
      <alignment horizontal="left" wrapText="1"/>
    </xf>
    <xf numFmtId="0" fontId="56" fillId="0" borderId="0" xfId="0" applyFont="1" applyAlignment="1">
      <alignment horizontal="center" wrapText="1"/>
    </xf>
    <xf numFmtId="17" fontId="56" fillId="0" borderId="0" xfId="0" applyNumberFormat="1" applyFont="1" applyAlignment="1">
      <alignment horizontal="center" wrapText="1"/>
    </xf>
    <xf numFmtId="0" fontId="56" fillId="0" borderId="0" xfId="98" applyFont="1" applyAlignment="1">
      <alignment horizontal="center"/>
    </xf>
    <xf numFmtId="17" fontId="56" fillId="0" borderId="0" xfId="98" applyNumberFormat="1" applyFont="1" applyAlignment="1">
      <alignment horizontal="center"/>
    </xf>
  </cellXfs>
  <cellStyles count="113">
    <cellStyle name="20% - Accent1" xfId="1" builtinId="30" customBuiltin="1"/>
    <cellStyle name="20% - Accent1 2" xfId="50"/>
    <cellStyle name="20% - Accent1 3" xfId="65"/>
    <cellStyle name="20% - Accent1 4" xfId="83"/>
    <cellStyle name="20% - Accent2" xfId="2" builtinId="34" customBuiltin="1"/>
    <cellStyle name="20% - Accent2 2" xfId="52"/>
    <cellStyle name="20% - Accent2 3" xfId="66"/>
    <cellStyle name="20% - Accent2 4" xfId="85"/>
    <cellStyle name="20% - Accent3" xfId="3" builtinId="38" customBuiltin="1"/>
    <cellStyle name="20% - Accent3 2" xfId="54"/>
    <cellStyle name="20% - Accent3 3" xfId="67"/>
    <cellStyle name="20% - Accent3 4" xfId="87"/>
    <cellStyle name="20% - Accent4" xfId="4" builtinId="42" customBuiltin="1"/>
    <cellStyle name="20% - Accent4 2" xfId="56"/>
    <cellStyle name="20% - Accent4 3" xfId="68"/>
    <cellStyle name="20% - Accent4 4" xfId="89"/>
    <cellStyle name="20% - Accent5" xfId="5" builtinId="46" customBuiltin="1"/>
    <cellStyle name="20% - Accent5 2" xfId="58"/>
    <cellStyle name="20% - Accent5 3" xfId="69"/>
    <cellStyle name="20% - Accent5 4" xfId="91"/>
    <cellStyle name="20% - Accent6" xfId="6" builtinId="50" customBuiltin="1"/>
    <cellStyle name="20% - Accent6 2" xfId="60"/>
    <cellStyle name="20% - Accent6 3" xfId="70"/>
    <cellStyle name="20% - Accent6 4" xfId="93"/>
    <cellStyle name="40% - Accent1" xfId="7" builtinId="31" customBuiltin="1"/>
    <cellStyle name="40% - Accent1 2" xfId="51"/>
    <cellStyle name="40% - Accent1 3" xfId="71"/>
    <cellStyle name="40% - Accent1 4" xfId="84"/>
    <cellStyle name="40% - Accent2" xfId="8" builtinId="35" customBuiltin="1"/>
    <cellStyle name="40% - Accent2 2" xfId="53"/>
    <cellStyle name="40% - Accent2 3" xfId="72"/>
    <cellStyle name="40% - Accent2 4" xfId="86"/>
    <cellStyle name="40% - Accent3" xfId="9" builtinId="39" customBuiltin="1"/>
    <cellStyle name="40% - Accent3 2" xfId="55"/>
    <cellStyle name="40% - Accent3 3" xfId="73"/>
    <cellStyle name="40% - Accent3 4" xfId="88"/>
    <cellStyle name="40% - Accent4" xfId="10" builtinId="43" customBuiltin="1"/>
    <cellStyle name="40% - Accent4 2" xfId="57"/>
    <cellStyle name="40% - Accent4 3" xfId="74"/>
    <cellStyle name="40% - Accent4 4" xfId="90"/>
    <cellStyle name="40% - Accent5" xfId="11" builtinId="47" customBuiltin="1"/>
    <cellStyle name="40% - Accent5 2" xfId="59"/>
    <cellStyle name="40% - Accent5 3" xfId="75"/>
    <cellStyle name="40% - Accent5 4" xfId="92"/>
    <cellStyle name="40% - Accent6" xfId="12" builtinId="51" customBuiltin="1"/>
    <cellStyle name="40% - Accent6 2" xfId="61"/>
    <cellStyle name="40% - Accent6 3" xfId="76"/>
    <cellStyle name="40% - Accent6 4" xfId="94"/>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cellStyle name="Normal 11" xfId="95"/>
    <cellStyle name="Normal 12" xfId="96"/>
    <cellStyle name="Normal 13" xfId="97"/>
    <cellStyle name="Normal 14" xfId="98"/>
    <cellStyle name="Normal 2" xfId="38"/>
    <cellStyle name="Normal 2 2" xfId="45"/>
    <cellStyle name="Normal 2 3" xfId="77"/>
    <cellStyle name="Normal 2 4" xfId="99"/>
    <cellStyle name="Normal 3" xfId="44"/>
    <cellStyle name="Normal 4" xfId="46"/>
    <cellStyle name="Normal 4 2" xfId="79"/>
    <cellStyle name="Normal 5" xfId="47"/>
    <cellStyle name="Normal 5 2" xfId="80"/>
    <cellStyle name="Normal 6" xfId="48"/>
    <cellStyle name="Normal 7" xfId="62"/>
    <cellStyle name="Normal 8" xfId="63"/>
    <cellStyle name="Normal 9" xfId="64"/>
    <cellStyle name="Note 2" xfId="39"/>
    <cellStyle name="Note 2 2" xfId="78"/>
    <cellStyle name="Note 3" xfId="49"/>
    <cellStyle name="Note 4" xfId="82"/>
    <cellStyle name="Output" xfId="40" builtinId="21" customBuiltin="1"/>
    <cellStyle name="Title" xfId="41" builtinId="15" customBuiltin="1"/>
    <cellStyle name="Total" xfId="42" builtinId="25" customBuiltin="1"/>
    <cellStyle name="Warning Text" xfId="43" builtinId="11" customBuiltin="1"/>
  </cellStyles>
  <dxfs count="16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8"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7"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style="thin">
          <color theme="4" tint="0.3999755851924192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auto="1"/>
        </left>
        <right/>
        <top style="double">
          <color theme="4"/>
        </top>
        <bottom style="thin">
          <color theme="4" tint="0.39997558519241921"/>
        </bottom>
      </border>
    </dxf>
    <dxf>
      <border diagonalUp="0" diagonalDown="0">
        <left style="thin">
          <color indexed="64"/>
        </left>
        <right/>
        <top/>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auto="1"/>
        </left>
        <right/>
        <top style="double">
          <color theme="4"/>
        </top>
        <bottom style="thin">
          <color theme="4" tint="0.39997558519241921"/>
        </bottom>
      </border>
    </dxf>
    <dxf>
      <border diagonalUp="0" diagonalDown="0">
        <left style="thin">
          <color indexed="64"/>
        </left>
        <right/>
        <top/>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theme="4" tint="0.39997558519241921"/>
        </left>
        <right/>
        <top style="double">
          <color theme="4"/>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ont>
      <fill>
        <patternFill patternType="solid">
          <fgColor rgb="FF000000"/>
          <bgColor rgb="FFC6E0B4"/>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scheme val="none"/>
      </font>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scheme val="none"/>
      </font>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1" formatCode="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b/>
        <i val="0"/>
        <strike val="0"/>
        <condense val="0"/>
        <extend val="0"/>
        <outline val="0"/>
        <shadow val="0"/>
        <u val="none"/>
        <vertAlign val="baseline"/>
        <sz val="10"/>
        <color theme="1"/>
        <name val="Times New Roman"/>
        <scheme val="none"/>
      </font>
      <border diagonalUp="0" diagonalDown="0" outline="0">
        <left/>
        <right style="thin">
          <color theme="4" tint="0.39997558519241921"/>
        </right>
        <top style="double">
          <color theme="4"/>
        </top>
        <bottom style="thin">
          <color theme="4" tint="0.39997558519241921"/>
        </bottom>
      </border>
    </dxf>
    <dxf>
      <font>
        <strike val="0"/>
        <outline val="0"/>
        <shadow val="0"/>
        <u val="none"/>
        <vertAlign val="baseline"/>
        <sz val="11"/>
        <name val="Calibri"/>
        <scheme val="minor"/>
      </font>
      <alignment horizontal="general" vertical="bottom" textRotation="0" wrapText="1" indent="0" justifyLastLine="0" shrinkToFit="0" readingOrder="0"/>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alignment horizontal="general" vertical="bottom" textRotation="0" wrapText="1" indent="0" justifyLastLine="0" shrinkToFit="0" readingOrder="0"/>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b/>
        <i val="0"/>
        <strike val="0"/>
        <condense val="0"/>
        <extend val="0"/>
        <outline val="0"/>
        <shadow val="0"/>
        <u val="none"/>
        <vertAlign val="baseline"/>
        <sz val="11"/>
        <color theme="1"/>
        <name val="Calibri"/>
        <scheme val="minor"/>
      </font>
      <numFmt numFmtId="1" formatCode="0"/>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1" formatCode="0"/>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1" formatCode="0"/>
      <border diagonalUp="0" diagonalDown="0">
        <left/>
        <right style="thin">
          <color indexed="64"/>
        </right>
        <top/>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numFmt numFmtId="1" formatCode="0"/>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numFmt numFmtId="1" formatCode="0"/>
    </dxf>
    <dxf>
      <font>
        <b/>
        <i val="0"/>
        <strike val="0"/>
        <condense val="0"/>
        <extend val="0"/>
        <outline val="0"/>
        <shadow val="0"/>
        <u val="none"/>
        <vertAlign val="baseline"/>
        <sz val="11"/>
        <color theme="1"/>
        <name val="Calibri"/>
        <scheme val="minor"/>
      </font>
      <numFmt numFmtId="1" formatCode="0"/>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numFmt numFmtId="1" formatCode="0"/>
      <border diagonalUp="0" diagonalDown="0">
        <left style="thick">
          <color auto="1"/>
        </left>
        <right style="thick">
          <color auto="1"/>
        </right>
        <top/>
        <bottom/>
        <vertical/>
        <horizontal/>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1"/>
        <color theme="1"/>
        <name val="Calibri"/>
        <scheme val="minor"/>
      </font>
      <numFmt numFmtId="1" formatCode="0"/>
      <border diagonalUp="0" diagonalDown="0" outline="0">
        <left style="thin">
          <color auto="1"/>
        </left>
        <right/>
        <top style="double">
          <color theme="4"/>
        </top>
        <bottom style="thin">
          <color theme="4" tint="0.39997558519241921"/>
        </bottom>
      </border>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numFmt numFmtId="0" formatCode="General"/>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1" formatCode="0"/>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alignment horizontal="general" vertical="bottom" textRotation="0" wrapText="1" indent="0" justifyLastLine="0" shrinkToFit="0" readingOrder="0"/>
    </dxf>
    <dxf>
      <font>
        <b/>
        <i val="0"/>
        <strike val="0"/>
        <condense val="0"/>
        <extend val="0"/>
        <outline val="0"/>
        <shadow val="0"/>
        <u val="none"/>
        <vertAlign val="baseline"/>
        <sz val="11"/>
        <color theme="1"/>
        <name val="Calibri"/>
        <scheme val="minor"/>
      </font>
      <border diagonalUp="0" diagonalDown="0" outline="0">
        <left style="thin">
          <color auto="1"/>
        </left>
        <right/>
        <top style="double">
          <color theme="4"/>
        </top>
        <bottom style="thin">
          <color theme="4" tint="0.39997558519241921"/>
        </bottom>
      </border>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b/>
        <i val="0"/>
        <strike val="0"/>
        <condense val="0"/>
        <extend val="0"/>
        <outline val="0"/>
        <shadow val="0"/>
        <u val="none"/>
        <vertAlign val="baseline"/>
        <sz val="11"/>
        <color theme="1"/>
        <name val="Calibri"/>
        <scheme val="minor"/>
      </font>
      <border diagonalUp="0" diagonalDown="0" outline="0">
        <left/>
        <right style="thin">
          <color auto="1"/>
        </right>
        <top style="double">
          <color theme="4"/>
        </top>
        <bottom style="thin">
          <color theme="4" tint="0.39997558519241921"/>
        </bottom>
      </border>
    </dxf>
    <dxf>
      <font>
        <sz val="11"/>
        <name val="Calibri"/>
        <scheme val="minor"/>
      </font>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1"/>
        <color theme="1"/>
        <name val="Calibri"/>
        <scheme val="minor"/>
      </font>
      <border diagonalUp="0" diagonalDown="0" outline="0">
        <left/>
        <right style="thin">
          <color auto="1"/>
        </right>
        <top style="double">
          <color theme="4"/>
        </top>
        <bottom style="thin">
          <color theme="4" tint="0.39997558519241921"/>
        </bottom>
      </border>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b/>
        <i val="0"/>
        <strike val="0"/>
        <condense val="0"/>
        <extend val="0"/>
        <outline val="0"/>
        <shadow val="0"/>
        <u val="none"/>
        <vertAlign val="baseline"/>
        <sz val="11"/>
        <color theme="1"/>
        <name val="Calibri"/>
        <scheme val="minor"/>
      </font>
      <border diagonalUp="0" diagonalDown="0" outline="0">
        <left style="thin">
          <color auto="1"/>
        </left>
        <right/>
        <top style="double">
          <color theme="4"/>
        </top>
        <bottom style="thin">
          <color theme="4" tint="0.39997558519241921"/>
        </bottom>
      </border>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style="thin">
          <color auto="1"/>
        </right>
        <top style="double">
          <color theme="4"/>
        </top>
        <bottom style="thin">
          <color theme="4" tint="0.39997558519241921"/>
        </bottom>
      </border>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30" formatCode="@"/>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0" formatCode="General"/>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0" formatCode="General"/>
    </dxf>
    <dxf>
      <font>
        <b/>
        <i val="0"/>
        <strike val="0"/>
        <condense val="0"/>
        <extend val="0"/>
        <outline val="0"/>
        <shadow val="0"/>
        <u val="none"/>
        <vertAlign val="baseline"/>
        <sz val="11"/>
        <color theme="1"/>
        <name val="Calibri"/>
        <scheme val="minor"/>
      </font>
      <border diagonalUp="0" diagonalDown="0" outline="0">
        <left style="thin">
          <color theme="4" tint="0.39997558519241921"/>
        </left>
        <right/>
        <top style="double">
          <color theme="4"/>
        </top>
        <bottom style="thin">
          <color theme="4" tint="0.39997558519241921"/>
        </bottom>
      </border>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dxf>
    <dxf>
      <alignment horizontal="center" vertical="bottom" textRotation="0" wrapText="1" indent="0" justifyLastLine="0" shrinkToFit="0" readingOrder="0"/>
    </dxf>
    <dxf>
      <font>
        <color rgb="FF9C0006"/>
      </font>
      <fill>
        <patternFill>
          <bgColor rgb="FFFFC7CE"/>
        </patternFill>
      </fill>
    </dxf>
    <dxf>
      <fill>
        <patternFill>
          <bgColor rgb="FFFFFF00"/>
        </patternFill>
      </fill>
    </dxf>
  </dxfs>
  <tableStyles count="0" defaultTableStyle="TableStyleMedium2" defaultPivotStyle="PivotStyleLight16"/>
  <colors>
    <mruColors>
      <color rgb="FFFFCC99"/>
      <color rgb="FFFF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externalLink" Target="externalLinks/externalLink1.xml"/><Relationship Id="rId14" Type="http://schemas.openxmlformats.org/officeDocument/2006/relationships/pivotCacheDefinition" Target="pivotCache/pivotCacheDefinition1.xml"/><Relationship Id="rId15" Type="http://schemas.openxmlformats.org/officeDocument/2006/relationships/theme" Target="theme/theme1.xml"/><Relationship Id="rId16" Type="http://schemas.openxmlformats.org/officeDocument/2006/relationships/styles" Target="styles.xml"/><Relationship Id="rId17" Type="http://schemas.openxmlformats.org/officeDocument/2006/relationships/sharedStrings" Target="sharedStrings.xml"/><Relationship Id="rId18" Type="http://schemas.openxmlformats.org/officeDocument/2006/relationships/calcChain" Target="calcChain.xml"/><Relationship Id="rId1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shaun Bhakta" refreshedDate="43790.516458564816" createdVersion="4" refreshedVersion="6" minRefreshableVersion="3" recordCount="19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15">
      <pivotArea field="2" type="button" dataOnly="0" labelOnly="1" outline="0" axis="axisRow" fieldPosition="0"/>
    </format>
    <format dxfId="14">
      <pivotArea dataOnly="0" labelOnly="1" outline="0" fieldPosition="0">
        <references count="1">
          <reference field="4294967294" count="2">
            <x v="0"/>
            <x v="1"/>
          </reference>
        </references>
      </pivotArea>
    </format>
    <format dxfId="13">
      <pivotArea dataOnly="0" outline="0" fieldPosition="0">
        <references count="1">
          <reference field="4294967294" count="2">
            <x v="0"/>
            <x v="1"/>
          </reference>
        </references>
      </pivotArea>
    </format>
    <format dxfId="12">
      <pivotArea dataOnly="0" outline="0" fieldPosition="0">
        <references count="1">
          <reference field="4294967294" count="1">
            <x v="0"/>
          </reference>
        </references>
      </pivotArea>
    </format>
    <format dxfId="11">
      <pivotArea dataOnly="0" outline="0" fieldPosition="0">
        <references count="1">
          <reference field="4294967294" count="1">
            <x v="1"/>
          </reference>
        </references>
      </pivotArea>
    </format>
    <format dxfId="10">
      <pivotArea dataOnly="0" outline="0" fieldPosition="0">
        <references count="1">
          <reference field="4294967294" count="1">
            <x v="0"/>
          </reference>
        </references>
      </pivotArea>
    </format>
    <format dxfId="9">
      <pivotArea dataOnly="0" outline="0" fieldPosition="0">
        <references count="1">
          <reference field="4294967294" count="1">
            <x v="1"/>
          </reference>
        </references>
      </pivotArea>
    </format>
    <format dxfId="8">
      <pivotArea outline="0" fieldPosition="0">
        <references count="1">
          <reference field="4294967294" count="1">
            <x v="2"/>
          </reference>
        </references>
      </pivotArea>
    </format>
    <format dxfId="7">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6" name="rrcworking" displayName="rrcworking" ref="C5:AQ195" totalsRowCount="1" headerRowDxfId="162" dataDxfId="161">
  <autoFilter ref="C5:AQ194"/>
  <sortState ref="C6:AE197">
    <sortCondition ref="E5:E197"/>
  </sortState>
  <tableColumns count="41">
    <tableColumn id="14" name="Magnum Wolfpak #" totalsRowFunction="count" dataDxfId="160" totalsRowDxfId="159"/>
    <tableColumn id="28" name="Field Name" dataDxfId="158" totalsRowDxfId="157"/>
    <tableColumn id="1" name="Lease Name" totalsRowLabel="Total" dataDxfId="156" totalsRowDxfId="155"/>
    <tableColumn id="4" name="Well Number" totalsRowFunction="count" dataDxfId="154" totalsRowDxfId="153"/>
    <tableColumn id="29" name="Commingle Permit Number" dataDxfId="152" totalsRowDxfId="151"/>
    <tableColumn id="16" name="District" dataDxfId="150" totalsRowDxfId="149"/>
    <tableColumn id="30" name="Lease Type" dataDxfId="148" totalsRowDxfId="147"/>
    <tableColumn id="2" name="RRC ID" dataDxfId="146" totalsRowDxfId="145" dataCellStyle="Normal 2"/>
    <tableColumn id="3" name="RRC ID Number" dataDxfId="144" totalsRowDxfId="143" dataCellStyle="Normal 2"/>
    <tableColumn id="5" name=" Last Month Oil Production" totalsRowFunction="sum" dataDxfId="142" totalsRowDxfId="141">
      <calculatedColumnFormula>INDEX(Table1[Production],MATCH(rrcworking[[#This Row],[RRC ID Number]],Table1[RRC Identifier],0))</calculatedColumnFormula>
    </tableColumn>
    <tableColumn id="6" name="Last Month Gas Prod" totalsRowFunction="sum" dataDxfId="140" totalsRowDxfId="139">
      <calculatedColumnFormula>INDEX(Table1[Formation Production],MATCH(rrcworking[[#This Row],[RRC ID Number]],Table1[RRC Identifier],0))</calculatedColumnFormula>
    </tableColumn>
    <tableColumn id="7" name="Last Month Closing Stock" totalsRowFunction="sum" dataDxfId="138" totalsRowDxfId="137">
      <calculatedColumnFormula>INDEX(Table1[On Hand End of Month],MATCH(rrcworking[[#This Row],[RRC ID Number]],Table1[RRC Identifier],0))</calculatedColumnFormula>
    </tableColumn>
    <tableColumn id="8" name="No activity?" dataDxfId="136" totalsRowDxfId="135">
      <calculatedColumnFormula>IF(AND(L6=0,M6=0), TRUE, FALSE)</calculatedColumnFormula>
    </tableColumn>
    <tableColumn id="23" name="Gauge Sheet Prod Volume" dataDxfId="134" totalsRowDxfId="133" dataCellStyle="Normal 9"/>
    <tableColumn id="9" name="Opening Oil Stock" totalsRowFunction="sum" dataDxfId="132" totalsRowDxfId="131">
      <calculatedColumnFormula>rrcworking[[#This Row],[Last Month Closing Stock]]</calculatedColumnFormula>
    </tableColumn>
    <tableColumn id="10" name="Closing Stock (Oil)" dataDxfId="130" totalsRowDxfId="129" dataCellStyle="Normal 9"/>
    <tableColumn id="11" name="Sales/Dispostion" totalsRowFunction="sum" dataDxfId="128" totalsRowDxfId="127">
      <calculatedColumnFormula>IF(ISERROR(INDEX(Table2[OIL],MATCH(rrcworking[[#This Row],[Magnum Wolfpak '#]],Table2[Rox Wolf'#],0))),0,INDEX(Table2[OIL],MATCH(rrcworking[[#This Row],[Magnum Wolfpak '#]],Table2[Rox Wolf'#],0)))</calculatedColumnFormula>
    </tableColumn>
    <tableColumn id="12" name="Oil Production" totalsRowFunction="sum" dataDxfId="126" totalsRowDxfId="125">
      <calculatedColumnFormula>rrcworking[[#This Row],[Closing Stock (Oil)]]+rrcworking[[#This Row],[Sales/Dispostion]]-rrcworking[[#This Row],[Opening Oil Stock]]</calculatedColumnFormula>
    </tableColumn>
    <tableColumn id="26" name="Prod Calc vs Gauge Sheet" dataDxfId="124" totalsRowDxfId="123">
      <calculatedColumnFormula>rrcworking[[#This Row],[Gauge Sheet Prod Volume]]-rrcworking[[#This Row],[Oil Production]]</calculatedColumnFormula>
    </tableColumn>
    <tableColumn id="17" name="Gas Sales Statement Volume (MCF)" totalsRowFunction="sum" dataDxfId="122" totalsRowDxfId="121">
      <calculatedColumnFormula>IF(ISERROR(INDEX(Table2[GAS],MATCH(rrcworking[[#This Row],[Magnum Wolfpak '#]],Table2[Rox Wolf'#],0))),0,INDEX(Table2[GAS],MATCH(rrcworking[[#This Row],[Magnum Wolfpak '#]],Table2[Rox Wolf'#],0)))</calculatedColumnFormula>
    </tableColumn>
    <tableColumn id="18" name="Pressure Base" dataDxfId="120" totalsRowDxfId="119"/>
    <tableColumn id="21" name="Disposition Volume (MCF) @ 14.65 MCF" totalsRowFunction="sum" dataDxfId="118" totalsRowDxfId="117">
      <calculatedColumnFormula>IF(rrcworking[[#This Row],[Pressure Base]]=14.73,rrcworking[[#This Row],[Gas Sales Statement Volume (MCF)]]*$R$2,rrcworking[[#This Row],[Gas Sales Statement Volume (MCF)]])</calculatedColumnFormula>
    </tableColumn>
    <tableColumn id="25" name="Hours Operated" dataDxfId="116" totalsRowDxfId="115"/>
    <tableColumn id="27" name="Compressor Fuel Rate MCFD" dataDxfId="114" totalsRowDxfId="113"/>
    <tableColumn id="19" name="Lease Use (MCF)" totalsRowFunction="sum" dataDxfId="112" totalsRowDxfId="111">
      <calculatedColumnFormula>IF(ISERROR(INDEX(Table2[LEASE USE],MATCH(rrcworking[[#This Row],[Magnum Wolfpak '#]],Table2[Rox Wolf'#],0))),0,INDEX(Table2[LEASE USE],MATCH(rrcworking[[#This Row],[Magnum Wolfpak '#]],Table2[Rox Wolf'#],0)))</calculatedColumnFormula>
    </tableColumn>
    <tableColumn id="20" name="Formation Production (MCF) @ 14.65 psi" totalsRowFunction="sum" dataDxfId="110" totalsRowDxfId="109">
      <calculatedColumnFormula>rrcworking[[#This Row],[Disposition Volume (MCF) @ 14.65 MCF]]+rrcworking[[#This Row],[Lease Use (MCF)]]</calculatedColumnFormula>
    </tableColumn>
    <tableColumn id="24" name="Gas Comments" totalsRowFunction="count" dataDxfId="108" totalsRowDxfId="107"/>
    <tableColumn id="22" name="Oil Comments" dataDxfId="106" totalsRowDxfId="105"/>
    <tableColumn id="15" name="FilterList" dataDxfId="104" totalsRowDxfId="103">
      <calculatedColumnFormula>COUNTIF(FilterList,rrcworking[[#This Row],[Magnum Wolfpak '#]])</calculatedColumnFormula>
    </tableColumn>
    <tableColumn id="13" name="Gauge Sheet Prod Vol2" dataDxfId="102" totalsRowDxfId="101"/>
    <tableColumn id="31" name="Closing Oil Stock" dataDxfId="100" totalsRowDxfId="99"/>
    <tableColumn id="32" name="Manual Extraction Gauge Sheet Prod" dataDxfId="98" totalsRowDxfId="97"/>
    <tableColumn id="33" name="Manual Extraction Closing Stock" dataDxfId="96" totalsRowDxfId="95"/>
    <tableColumn id="34" name="Number of Oil Tanks" dataDxfId="94" totalsRowDxfId="93"/>
    <tableColumn id="35" name="Monthly Tabs" dataDxfId="92" totalsRowDxfId="91"/>
    <tableColumn id="36" name="Multiple Years" dataDxfId="90" totalsRowDxfId="89"/>
    <tableColumn id="39" name="Oil Stock Cell" dataDxfId="88" totalsRowDxfId="87"/>
    <tableColumn id="40" name="Shift Up Required" dataDxfId="86" totalsRowDxfId="85"/>
    <tableColumn id="41" name="Gauge Sheet Oil Production" dataDxfId="84" totalsRowDxfId="83"/>
    <tableColumn id="42" name="Filename" dataDxfId="82" totalsRowDxfId="81"/>
    <tableColumn id="43" name="Comments" dataDxfId="80" totalsRowDxfId="79"/>
  </tableColumns>
  <tableStyleInfo name="TableStyleMedium2" showFirstColumn="0" showLastColumn="0" showRowStripes="1" showColumnStripes="0"/>
</table>
</file>

<file path=xl/tables/table2.xml><?xml version="1.0" encoding="utf-8"?>
<table xmlns="http://schemas.openxmlformats.org/spreadsheetml/2006/main" id="12" name="Table213" displayName="Table213" ref="A1:A12" totalsRowShown="0" dataDxfId="78" tableBorderDxfId="77" dataCellStyle="Normal 3">
  <autoFilter ref="A1:A12"/>
  <tableColumns count="1">
    <tableColumn id="1" name="well" dataDxfId="76" dataCellStyle="Normal 3"/>
  </tableColumns>
  <tableStyleInfo name="TableStyleMedium2" showFirstColumn="0" showLastColumn="0" showRowStripes="1" showColumnStripes="0"/>
</table>
</file>

<file path=xl/tables/table3.xml><?xml version="1.0" encoding="utf-8"?>
<table xmlns="http://schemas.openxmlformats.org/spreadsheetml/2006/main" id="13" name="Table314" displayName="Table314" ref="E1:F192" totalsRowShown="0">
  <autoFilter ref="E1:F192"/>
  <tableColumns count="2">
    <tableColumn id="1" name="name"/>
    <tableColumn id="2" name="wolf"/>
  </tableColumns>
  <tableStyleInfo name="TableStyleMedium2" showFirstColumn="0" showLastColumn="0" showRowStripes="1" showColumnStripes="0"/>
</table>
</file>

<file path=xl/tables/table4.xml><?xml version="1.0" encoding="utf-8"?>
<table xmlns="http://schemas.openxmlformats.org/spreadsheetml/2006/main" id="2" name="Table2" displayName="Table2" ref="A4:K96" totalsRowCount="1" headerRowDxfId="72" dataDxfId="71" totalsRowDxfId="70">
  <autoFilter ref="A4:K95">
    <filterColumn colId="10">
      <filters blank="1"/>
    </filterColumn>
  </autoFilter>
  <sortState ref="A5:K93">
    <sortCondition ref="B4:B93"/>
  </sortState>
  <tableColumns count="11">
    <tableColumn id="11" name="Rox Wolf#" totalsRowFunction="count" dataDxfId="69" dataCellStyle="Normal 12"/>
    <tableColumn id="2" name="Well Name" dataDxfId="68" dataCellStyle="Normal 12"/>
    <tableColumn id="3" name="OIL" totalsRowFunction="sum" dataDxfId="67" dataCellStyle="Normal 12">
      <calculatedColumnFormula>ROUND(INDEX(Table4[OIL],MATCH(Table2[[#This Row],[Rox Wolf'#]],Table4[Wolf],0)),0)</calculatedColumnFormula>
    </tableColumn>
    <tableColumn id="4" name="GAS" totalsRowFunction="sum" dataDxfId="66" totalsRowDxfId="65" dataCellStyle="Normal 13">
      <calculatedColumnFormula>INDEX(Table4[GAS],MATCH(Table2[[#This Row],[Rox Wolf'#]],Table4[Wolf],0))</calculatedColumnFormula>
    </tableColumn>
    <tableColumn id="5" name="LEASE USE" totalsRowFunction="sum" dataDxfId="64" dataCellStyle="Normal 12">
      <calculatedColumnFormula>INDEX(Table4[LEASE USE],MATCH(Table2[[#This Row],[Rox Wolf'#]],Table4[Wolf],0))</calculatedColumnFormula>
    </tableColumn>
    <tableColumn id="6" name="LU PER DAY" dataDxfId="63" dataCellStyle="Normal 12"/>
    <tableColumn id="7" name="DAYS ON" dataDxfId="62" dataCellStyle="Normal 12"/>
    <tableColumn id="8" name="PU PER DAY" dataDxfId="61" dataCellStyle="Normal 12"/>
    <tableColumn id="9" name="PU ON" dataDxfId="60" dataCellStyle="Normal 12"/>
    <tableColumn id="10" name="Filter" totalsRowFunction="sum" dataDxfId="59">
      <calculatedColumnFormula>COUNTIF(FilterList,#REF!)</calculatedColumnFormula>
    </tableColumn>
    <tableColumn id="12" name="state" dataDxfId="58" totalsRowDxfId="57" dataCellStyle="Normal 12"/>
  </tableColumns>
  <tableStyleInfo name="TableStyleMedium2" showFirstColumn="0" showLastColumn="0" showRowStripes="1" showColumnStripes="0"/>
</table>
</file>

<file path=xl/tables/table5.xml><?xml version="1.0" encoding="utf-8"?>
<table xmlns="http://schemas.openxmlformats.org/spreadsheetml/2006/main" id="4" name="Table4" displayName="Table4" ref="A4:E96" totalsRowCount="1">
  <autoFilter ref="A4:E95"/>
  <sortState ref="A5:E92">
    <sortCondition ref="B4"/>
  </sortState>
  <tableColumns count="5">
    <tableColumn id="1" name="Wolf" totalsRowLabel="Total" dataDxfId="56" totalsRowDxfId="55" dataCellStyle="Normal 14"/>
    <tableColumn id="2" name="Lease" totalsRowFunction="count" dataDxfId="54" totalsRowDxfId="53" dataCellStyle="Normal 14"/>
    <tableColumn id="3" name="OIL" totalsRowFunction="sum" dataDxfId="52" totalsRowDxfId="51" dataCellStyle="Normal 14"/>
    <tableColumn id="4" name="GAS" totalsRowFunction="sum" dataDxfId="50" totalsRowDxfId="49" dataCellStyle="Normal 14"/>
    <tableColumn id="5" name="LEASE USE" totalsRowFunction="sum" dataDxfId="48" totalsRowDxfId="47" dataCellStyle="Normal 14"/>
  </tableColumns>
  <tableStyleInfo name="TableStyleMedium2" showFirstColumn="0" showLastColumn="0" showRowStripes="1" showColumnStripes="0"/>
</table>
</file>

<file path=xl/tables/table6.xml><?xml version="1.0" encoding="utf-8"?>
<table xmlns="http://schemas.openxmlformats.org/spreadsheetml/2006/main" id="1" name="Table1" displayName="Table1" ref="A8:Q229" totalsRowCount="1" dataCellStyle="Normal 2">
  <autoFilter ref="A8:Q228"/>
  <tableColumns count="17">
    <tableColumn id="1" name="Multiple Reports" totalsRowLabel="Total" totalsRowDxfId="46" dataCellStyle="Normal 2"/>
    <tableColumn id="2" name="Lease Type" totalsRowDxfId="45" dataCellStyle="Normal 2"/>
    <tableColumn id="3" name="District" totalsRowDxfId="44" dataCellStyle="Normal 2"/>
    <tableColumn id="4" name="RRC Identifier" totalsRowDxfId="43" dataCellStyle="Normal 2"/>
    <tableColumn id="5" name="Field Name" totalsRowFunction="count" totalsRowDxfId="42" dataCellStyle="Normal 2"/>
    <tableColumn id="6" name="Lease Name" totalsRowFunction="count" totalsRowDxfId="41" dataCellStyle="Normal 2"/>
    <tableColumn id="7" name="Gas Well ID" totalsRowDxfId="40" dataCellStyle="Normal 2"/>
    <tableColumn id="8" name="Lease Total" totalsRowDxfId="39" dataCellStyle="Normal 2"/>
    <tableColumn id="9" name="Commingle Permit No." totalsRowDxfId="38" dataCellStyle="Normal 2"/>
    <tableColumn id="10" name="On Hand Beginning of Month" totalsRowFunction="sum" dataDxfId="37" totalsRowDxfId="36" dataCellStyle="Normal 2"/>
    <tableColumn id="11" name="Production" totalsRowFunction="sum" totalsRowDxfId="35" dataCellStyle="Normal 2"/>
    <tableColumn id="12" name="Volume" totalsRowFunction="sum" totalsRowDxfId="34" dataCellStyle="Normal 2"/>
    <tableColumn id="13" name="Code" totalsRowDxfId="33" dataCellStyle="Normal 2"/>
    <tableColumn id="14" name="On Hand End of Month" totalsRowFunction="sum" totalsRowDxfId="32" dataCellStyle="Normal 2"/>
    <tableColumn id="17" name="Formation Production" totalsRowFunction="sum" dataDxfId="31" totalsRowDxfId="30" dataCellStyle="Normal 2"/>
    <tableColumn id="18" name="Volume2" totalsRowFunction="sum" totalsRowDxfId="29" dataCellStyle="Normal 2"/>
    <tableColumn id="19" name="Code3" totalsRowDxfId="28" dataCellStyle="Normal 2"/>
  </tableColumns>
  <tableStyleInfo name="TableStyleMedium2" showFirstColumn="0" showLastColumn="0" showRowStripes="1" showColumnStripes="0"/>
</table>
</file>

<file path=xl/tables/table7.xml><?xml version="1.0" encoding="utf-8"?>
<table xmlns="http://schemas.openxmlformats.org/spreadsheetml/2006/main" id="9" name="Table9" displayName="Table9" ref="A3:K34" totalsRowShown="0" headerRowDxfId="27" dataDxfId="26">
  <autoFilter ref="A3:K34"/>
  <tableColumns count="11">
    <tableColumn id="1" name="STATION" dataDxfId="25"/>
    <tableColumn id="2" name="STATION NAME" dataDxfId="24"/>
    <tableColumn id="3" name="Column1" dataDxfId="23"/>
    <tableColumn id="4" name="MCF" dataDxfId="22"/>
    <tableColumn id="5" name="BTU" dataDxfId="21"/>
    <tableColumn id="6" name="MMBTU" dataDxfId="20"/>
    <tableColumn id="7" name="MCF/D" dataDxfId="19"/>
    <tableColumn id="8" name="MMBTU/D" dataDxfId="18"/>
    <tableColumn id="9" name="PSIG"/>
    <tableColumn id="10" name="GRAVITY" dataDxfId="17"/>
    <tableColumn id="11" name="HOURS" dataDxfId="1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 Id="rId2"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P192"/>
  <sheetViews>
    <sheetView tabSelected="1" zoomScale="115" zoomScaleNormal="115" zoomScalePageLayoutView="115" workbookViewId="0">
      <pane ySplit="3" topLeftCell="A173" activePane="bottomLeft" state="frozen"/>
      <selection pane="bottomLeft" activeCell="F209" sqref="F209"/>
    </sheetView>
  </sheetViews>
  <sheetFormatPr baseColWidth="10" defaultColWidth="8.83203125" defaultRowHeight="12" x14ac:dyDescent="0"/>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23"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22"/>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66</v>
      </c>
      <c r="C2" s="10" t="s">
        <v>67</v>
      </c>
      <c r="D2" s="2" t="s">
        <v>68</v>
      </c>
      <c r="E2" s="10" t="s">
        <v>69</v>
      </c>
      <c r="F2" s="5">
        <v>189</v>
      </c>
      <c r="G2" s="12" t="s">
        <v>3</v>
      </c>
    </row>
    <row r="3" spans="1:250" s="3" customFormat="1" ht="54.75" customHeight="1">
      <c r="A3" s="6" t="s">
        <v>4</v>
      </c>
      <c r="B3" s="6" t="s">
        <v>5</v>
      </c>
      <c r="C3" s="6" t="s">
        <v>6</v>
      </c>
      <c r="D3" s="6" t="s">
        <v>7</v>
      </c>
      <c r="E3" s="6" t="s">
        <v>8</v>
      </c>
      <c r="F3" s="6" t="s">
        <v>9</v>
      </c>
      <c r="G3" s="6" t="s">
        <v>10</v>
      </c>
      <c r="H3" s="6" t="s">
        <v>11</v>
      </c>
      <c r="I3" s="6" t="s">
        <v>12</v>
      </c>
      <c r="J3" s="124"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910</v>
      </c>
      <c r="D4" s="10" t="s">
        <v>618</v>
      </c>
      <c r="E4" s="1" t="s">
        <v>59</v>
      </c>
      <c r="F4" s="1" t="s">
        <v>416</v>
      </c>
      <c r="I4" s="1" t="s">
        <v>3</v>
      </c>
      <c r="J4" s="123" t="s">
        <v>3</v>
      </c>
      <c r="K4" s="1" t="s">
        <v>1091</v>
      </c>
      <c r="M4" s="5">
        <v>202003</v>
      </c>
      <c r="N4" s="5">
        <f>INDEX(rrcworking[Formation Production (MCF) @ 14.65 psi],MATCH('Mar 2020 EDI'!F4,rrcworking[RRC ID],0))</f>
        <v>0</v>
      </c>
      <c r="O4" s="5">
        <f>INDEX(rrcworking[Lease Use (MCF)],MATCH('Mar 2020 EDI'!F4,rrcworking[RRC ID],0))</f>
        <v>0</v>
      </c>
      <c r="P4" s="5">
        <f>INDEX(rrcworking[Disposition Volume (MCF) @ 14.65 MCF],MATCH('Mar 2020 EDI'!F4,rrcworking[RRC ID],0))</f>
        <v>0</v>
      </c>
      <c r="Y4" s="5">
        <f>INDEX(rrcworking[Oil Production],MATCH('Mar 2020 EDI'!F4,rrcworking[RRC ID],0))</f>
        <v>0</v>
      </c>
      <c r="AA4" s="5">
        <f>INDEX(rrcworking[Sales/Dispostion],MATCH('Mar 2020 EDI'!F4,rrcworking[RRC ID],0))</f>
        <v>0</v>
      </c>
      <c r="AQ4" s="5">
        <f>INDEX(rrcworking[Closing Stock (Oil)],MATCH('Mar 2020 EDI'!F4,rrcworking[RRC ID],0))</f>
        <v>0</v>
      </c>
    </row>
    <row r="5" spans="1:250">
      <c r="A5" s="4" t="s">
        <v>1</v>
      </c>
      <c r="B5" s="1" t="s">
        <v>1133</v>
      </c>
      <c r="C5" s="10" t="s">
        <v>910</v>
      </c>
      <c r="D5" s="1" t="s">
        <v>618</v>
      </c>
      <c r="E5" s="1" t="s">
        <v>59</v>
      </c>
      <c r="F5" s="1" t="s">
        <v>417</v>
      </c>
      <c r="I5" s="1" t="s">
        <v>3</v>
      </c>
      <c r="J5" s="123" t="s">
        <v>3</v>
      </c>
      <c r="K5" s="1" t="s">
        <v>1091</v>
      </c>
      <c r="M5" s="5">
        <v>202003</v>
      </c>
      <c r="N5" s="5">
        <f>INDEX(rrcworking[Formation Production (MCF) @ 14.65 psi],MATCH('Mar 2020 EDI'!F5,rrcworking[RRC ID],0))</f>
        <v>0</v>
      </c>
      <c r="O5" s="5">
        <f>INDEX(rrcworking[Lease Use (MCF)],MATCH('Mar 2020 EDI'!F5,rrcworking[RRC ID],0))</f>
        <v>0</v>
      </c>
      <c r="P5" s="5">
        <f>INDEX(rrcworking[Disposition Volume (MCF) @ 14.65 MCF],MATCH('Mar 2020 EDI'!F5,rrcworking[RRC ID],0))</f>
        <v>0</v>
      </c>
      <c r="Y5" s="5">
        <f>INDEX(rrcworking[Oil Production],MATCH('Mar 2020 EDI'!F5,rrcworking[RRC ID],0))</f>
        <v>0</v>
      </c>
      <c r="AA5" s="5">
        <f>INDEX(rrcworking[Sales/Dispostion],MATCH('Mar 2020 EDI'!F5,rrcworking[RRC ID],0))</f>
        <v>0</v>
      </c>
      <c r="AQ5" s="5">
        <f>INDEX(rrcworking[Closing Stock (Oil)],MATCH('Mar 2020 EDI'!F5,rrcworking[RRC ID],0))</f>
        <v>149</v>
      </c>
    </row>
    <row r="6" spans="1:250">
      <c r="A6" s="4" t="s">
        <v>1</v>
      </c>
      <c r="B6" s="1" t="s">
        <v>58</v>
      </c>
      <c r="C6" s="10" t="s">
        <v>910</v>
      </c>
      <c r="D6" s="1" t="s">
        <v>618</v>
      </c>
      <c r="E6" s="1" t="s">
        <v>59</v>
      </c>
      <c r="F6" s="1" t="s">
        <v>418</v>
      </c>
      <c r="I6" s="1" t="s">
        <v>3</v>
      </c>
      <c r="J6" s="123" t="s">
        <v>3</v>
      </c>
      <c r="K6" s="1" t="s">
        <v>1091</v>
      </c>
      <c r="M6" s="5">
        <v>202003</v>
      </c>
      <c r="N6" s="5">
        <f>INDEX(rrcworking[Formation Production (MCF) @ 14.65 psi],MATCH('Mar 2020 EDI'!F6,rrcworking[RRC ID],0))</f>
        <v>4658</v>
      </c>
      <c r="O6" s="5">
        <f>INDEX(rrcworking[Lease Use (MCF)],MATCH('Mar 2020 EDI'!F6,rrcworking[RRC ID],0))</f>
        <v>210</v>
      </c>
      <c r="P6" s="5">
        <f>INDEX(rrcworking[Disposition Volume (MCF) @ 14.65 MCF],MATCH('Mar 2020 EDI'!F6,rrcworking[RRC ID],0))</f>
        <v>4448</v>
      </c>
      <c r="Y6" s="5">
        <f>INDEX(rrcworking[Oil Production],MATCH('Mar 2020 EDI'!F6,rrcworking[RRC ID],0))</f>
        <v>0</v>
      </c>
      <c r="AA6" s="5">
        <f>INDEX(rrcworking[Sales/Dispostion],MATCH('Mar 2020 EDI'!F6,rrcworking[RRC ID],0))</f>
        <v>0</v>
      </c>
      <c r="AQ6" s="5">
        <f>INDEX(rrcworking[Closing Stock (Oil)],MATCH('Mar 2020 EDI'!F6,rrcworking[RRC ID],0))</f>
        <v>0</v>
      </c>
    </row>
    <row r="7" spans="1:250">
      <c r="A7" s="4" t="s">
        <v>1</v>
      </c>
      <c r="B7" s="1" t="s">
        <v>61</v>
      </c>
      <c r="C7" s="10" t="s">
        <v>910</v>
      </c>
      <c r="D7" s="1" t="s">
        <v>618</v>
      </c>
      <c r="E7" s="1" t="s">
        <v>59</v>
      </c>
      <c r="F7" s="1" t="s">
        <v>419</v>
      </c>
      <c r="I7" s="1" t="s">
        <v>3</v>
      </c>
      <c r="J7" s="123" t="s">
        <v>3</v>
      </c>
      <c r="K7" s="1" t="s">
        <v>1091</v>
      </c>
      <c r="M7" s="5">
        <v>202003</v>
      </c>
      <c r="N7" s="5">
        <f>INDEX(rrcworking[Formation Production (MCF) @ 14.65 psi],MATCH('Mar 2020 EDI'!F7,rrcworking[RRC ID],0))</f>
        <v>0</v>
      </c>
      <c r="O7" s="5">
        <f>INDEX(rrcworking[Lease Use (MCF)],MATCH('Mar 2020 EDI'!F7,rrcworking[RRC ID],0))</f>
        <v>0</v>
      </c>
      <c r="P7" s="5">
        <f>INDEX(rrcworking[Disposition Volume (MCF) @ 14.65 MCF],MATCH('Mar 2020 EDI'!F7,rrcworking[RRC ID],0))</f>
        <v>0</v>
      </c>
      <c r="Y7" s="5">
        <f>INDEX(rrcworking[Oil Production],MATCH('Mar 2020 EDI'!F7,rrcworking[RRC ID],0))</f>
        <v>0</v>
      </c>
      <c r="AA7" s="5">
        <f>INDEX(rrcworking[Sales/Dispostion],MATCH('Mar 2020 EDI'!F7,rrcworking[RRC ID],0))</f>
        <v>0</v>
      </c>
      <c r="AQ7" s="5">
        <f>INDEX(rrcworking[Closing Stock (Oil)],MATCH('Mar 2020 EDI'!F7,rrcworking[RRC ID],0))</f>
        <v>26</v>
      </c>
    </row>
    <row r="8" spans="1:250">
      <c r="A8" s="4" t="s">
        <v>1</v>
      </c>
      <c r="B8" s="1" t="s">
        <v>62</v>
      </c>
      <c r="C8" s="10" t="s">
        <v>910</v>
      </c>
      <c r="D8" s="1" t="s">
        <v>618</v>
      </c>
      <c r="E8" s="1" t="s">
        <v>59</v>
      </c>
      <c r="F8" s="1" t="s">
        <v>420</v>
      </c>
      <c r="I8" s="1" t="s">
        <v>3</v>
      </c>
      <c r="J8" s="122" t="s">
        <v>3</v>
      </c>
      <c r="K8" s="1" t="s">
        <v>1091</v>
      </c>
      <c r="M8" s="5">
        <v>202003</v>
      </c>
      <c r="N8" s="5">
        <f>INDEX(rrcworking[Formation Production (MCF) @ 14.65 psi],MATCH('Mar 2020 EDI'!F8,rrcworking[RRC ID],0))</f>
        <v>0</v>
      </c>
      <c r="O8" s="5">
        <f>INDEX(rrcworking[Lease Use (MCF)],MATCH('Mar 2020 EDI'!F8,rrcworking[RRC ID],0))</f>
        <v>0</v>
      </c>
      <c r="P8" s="5">
        <f>INDEX(rrcworking[Disposition Volume (MCF) @ 14.65 MCF],MATCH('Mar 2020 EDI'!F8,rrcworking[RRC ID],0))</f>
        <v>0</v>
      </c>
      <c r="Y8" s="5">
        <f>INDEX(rrcworking[Oil Production],MATCH('Mar 2020 EDI'!F8,rrcworking[RRC ID],0))</f>
        <v>0</v>
      </c>
      <c r="AA8" s="5">
        <f>INDEX(rrcworking[Sales/Dispostion],MATCH('Mar 2020 EDI'!F8,rrcworking[RRC ID],0))</f>
        <v>0</v>
      </c>
      <c r="AQ8" s="5">
        <f>INDEX(rrcworking[Closing Stock (Oil)],MATCH('Mar 2020 EDI'!F8,rrcworking[RRC ID],0))</f>
        <v>0</v>
      </c>
    </row>
    <row r="9" spans="1:250">
      <c r="A9" s="4" t="s">
        <v>1</v>
      </c>
      <c r="B9" s="1" t="s">
        <v>63</v>
      </c>
      <c r="C9" s="10" t="s">
        <v>910</v>
      </c>
      <c r="D9" s="1" t="s">
        <v>618</v>
      </c>
      <c r="E9" s="1" t="s">
        <v>59</v>
      </c>
      <c r="F9" s="1" t="s">
        <v>422</v>
      </c>
      <c r="I9" s="10" t="s">
        <v>3</v>
      </c>
      <c r="J9" s="123" t="s">
        <v>3</v>
      </c>
      <c r="K9" s="1" t="s">
        <v>1091</v>
      </c>
      <c r="M9" s="5">
        <v>202003</v>
      </c>
      <c r="N9" s="5">
        <f>INDEX(rrcworking[Formation Production (MCF) @ 14.65 psi],MATCH('Mar 2020 EDI'!F9,rrcworking[RRC ID],0))</f>
        <v>0</v>
      </c>
      <c r="O9" s="5">
        <f>INDEX(rrcworking[Lease Use (MCF)],MATCH('Mar 2020 EDI'!F9,rrcworking[RRC ID],0))</f>
        <v>0</v>
      </c>
      <c r="P9" s="5">
        <f>INDEX(rrcworking[Disposition Volume (MCF) @ 14.65 MCF],MATCH('Mar 2020 EDI'!F9,rrcworking[RRC ID],0))</f>
        <v>0</v>
      </c>
      <c r="Y9" s="5">
        <f>INDEX(rrcworking[Oil Production],MATCH('Mar 2020 EDI'!F9,rrcworking[RRC ID],0))</f>
        <v>0</v>
      </c>
      <c r="AA9" s="5">
        <f>INDEX(rrcworking[Sales/Dispostion],MATCH('Mar 2020 EDI'!F9,rrcworking[RRC ID],0))</f>
        <v>0</v>
      </c>
      <c r="AQ9" s="5">
        <f>INDEX(rrcworking[Closing Stock (Oil)],MATCH('Mar 2020 EDI'!F9,rrcworking[RRC ID],0))</f>
        <v>132</v>
      </c>
    </row>
    <row r="10" spans="1:250">
      <c r="A10" s="4" t="s">
        <v>1</v>
      </c>
      <c r="B10" s="1" t="s">
        <v>64</v>
      </c>
      <c r="C10" s="10" t="s">
        <v>910</v>
      </c>
      <c r="D10" s="1" t="s">
        <v>618</v>
      </c>
      <c r="E10" s="1" t="s">
        <v>2</v>
      </c>
      <c r="F10" s="1" t="s">
        <v>423</v>
      </c>
      <c r="I10" s="10" t="s">
        <v>3</v>
      </c>
      <c r="J10" s="123" t="s">
        <v>3</v>
      </c>
      <c r="K10" s="1" t="s">
        <v>1091</v>
      </c>
      <c r="M10" s="5">
        <v>202003</v>
      </c>
      <c r="N10" s="5">
        <f>INDEX(rrcworking[Formation Production (MCF) @ 14.65 psi],MATCH('Mar 2020 EDI'!F10,rrcworking[RRC ID],0))</f>
        <v>0</v>
      </c>
      <c r="O10" s="5">
        <f>INDEX(rrcworking[Lease Use (MCF)],MATCH('Mar 2020 EDI'!F10,rrcworking[RRC ID],0))</f>
        <v>0</v>
      </c>
      <c r="P10" s="5">
        <f>INDEX(rrcworking[Disposition Volume (MCF) @ 14.65 MCF],MATCH('Mar 2020 EDI'!F10,rrcworking[RRC ID],0))</f>
        <v>0</v>
      </c>
      <c r="Y10" s="5">
        <f>INDEX(rrcworking[Oil Production],MATCH('Mar 2020 EDI'!F10,rrcworking[RRC ID],0))</f>
        <v>705</v>
      </c>
      <c r="AA10" s="5">
        <f>INDEX(rrcworking[Sales/Dispostion],MATCH('Mar 2020 EDI'!F10,rrcworking[RRC ID],0))</f>
        <v>835</v>
      </c>
      <c r="AQ10" s="5">
        <f>INDEX(rrcworking[Closing Stock (Oil)],MATCH('Mar 2020 EDI'!F10,rrcworking[RRC ID],0))</f>
        <v>406</v>
      </c>
    </row>
    <row r="11" spans="1:250">
      <c r="A11" s="4" t="s">
        <v>1</v>
      </c>
      <c r="B11" s="1" t="s">
        <v>911</v>
      </c>
      <c r="C11" s="10" t="s">
        <v>910</v>
      </c>
      <c r="D11" s="1" t="s">
        <v>618</v>
      </c>
      <c r="E11" s="1" t="s">
        <v>59</v>
      </c>
      <c r="F11" s="1" t="s">
        <v>424</v>
      </c>
      <c r="I11" s="10" t="s">
        <v>3</v>
      </c>
      <c r="J11" s="123" t="s">
        <v>3</v>
      </c>
      <c r="K11" s="1" t="s">
        <v>1091</v>
      </c>
      <c r="M11" s="5">
        <v>202003</v>
      </c>
      <c r="N11" s="5">
        <f>INDEX(rrcworking[Formation Production (MCF) @ 14.65 psi],MATCH('Mar 2020 EDI'!F11,rrcworking[RRC ID],0))</f>
        <v>10</v>
      </c>
      <c r="O11" s="5">
        <f>INDEX(rrcworking[Lease Use (MCF)],MATCH('Mar 2020 EDI'!F11,rrcworking[RRC ID],0))</f>
        <v>0</v>
      </c>
      <c r="P11" s="5">
        <f>INDEX(rrcworking[Disposition Volume (MCF) @ 14.65 MCF],MATCH('Mar 2020 EDI'!F11,rrcworking[RRC ID],0))</f>
        <v>10</v>
      </c>
      <c r="Y11" s="5">
        <f>INDEX(rrcworking[Oil Production],MATCH('Mar 2020 EDI'!F11,rrcworking[RRC ID],0))</f>
        <v>0</v>
      </c>
      <c r="AA11" s="5">
        <f>INDEX(rrcworking[Sales/Dispostion],MATCH('Mar 2020 EDI'!F11,rrcworking[RRC ID],0))</f>
        <v>0</v>
      </c>
      <c r="AQ11" s="5">
        <f>INDEX(rrcworking[Closing Stock (Oil)],MATCH('Mar 2020 EDI'!F11,rrcworking[RRC ID],0))</f>
        <v>0</v>
      </c>
    </row>
    <row r="12" spans="1:250">
      <c r="A12" s="4" t="s">
        <v>1</v>
      </c>
      <c r="B12" s="1" t="s">
        <v>912</v>
      </c>
      <c r="C12" s="10" t="s">
        <v>910</v>
      </c>
      <c r="D12" s="1" t="s">
        <v>618</v>
      </c>
      <c r="E12" s="1" t="s">
        <v>59</v>
      </c>
      <c r="F12" s="1" t="s">
        <v>425</v>
      </c>
      <c r="I12" s="10" t="s">
        <v>3</v>
      </c>
      <c r="J12" s="123" t="s">
        <v>3</v>
      </c>
      <c r="K12" s="1" t="s">
        <v>1091</v>
      </c>
      <c r="M12" s="5">
        <v>202003</v>
      </c>
      <c r="N12" s="5">
        <f>INDEX(rrcworking[Formation Production (MCF) @ 14.65 psi],MATCH('Mar 2020 EDI'!F12,rrcworking[RRC ID],0))</f>
        <v>0</v>
      </c>
      <c r="O12" s="5">
        <f>INDEX(rrcworking[Lease Use (MCF)],MATCH('Mar 2020 EDI'!F12,rrcworking[RRC ID],0))</f>
        <v>0</v>
      </c>
      <c r="P12" s="5">
        <f>INDEX(rrcworking[Disposition Volume (MCF) @ 14.65 MCF],MATCH('Mar 2020 EDI'!F12,rrcworking[RRC ID],0))</f>
        <v>0</v>
      </c>
      <c r="Y12" s="5">
        <f>INDEX(rrcworking[Oil Production],MATCH('Mar 2020 EDI'!F12,rrcworking[RRC ID],0))</f>
        <v>0</v>
      </c>
      <c r="AA12" s="5">
        <f>INDEX(rrcworking[Sales/Dispostion],MATCH('Mar 2020 EDI'!F12,rrcworking[RRC ID],0))</f>
        <v>0</v>
      </c>
      <c r="AQ12" s="5">
        <f>INDEX(rrcworking[Closing Stock (Oil)],MATCH('Mar 2020 EDI'!F12,rrcworking[RRC ID],0))</f>
        <v>0</v>
      </c>
    </row>
    <row r="13" spans="1:250">
      <c r="A13" s="4" t="s">
        <v>1</v>
      </c>
      <c r="B13" s="1" t="s">
        <v>60</v>
      </c>
      <c r="C13" s="10" t="s">
        <v>910</v>
      </c>
      <c r="D13" s="1" t="s">
        <v>618</v>
      </c>
      <c r="E13" s="1" t="s">
        <v>2</v>
      </c>
      <c r="F13" s="1" t="s">
        <v>426</v>
      </c>
      <c r="I13" s="10" t="s">
        <v>3</v>
      </c>
      <c r="J13" s="123" t="s">
        <v>3</v>
      </c>
      <c r="K13" s="1" t="s">
        <v>1091</v>
      </c>
      <c r="M13" s="5">
        <v>202003</v>
      </c>
      <c r="N13" s="5">
        <f>INDEX(rrcworking[Formation Production (MCF) @ 14.65 psi],MATCH('Mar 2020 EDI'!F13,rrcworking[RRC ID],0))</f>
        <v>0</v>
      </c>
      <c r="O13" s="5">
        <f>INDEX(rrcworking[Lease Use (MCF)],MATCH('Mar 2020 EDI'!F13,rrcworking[RRC ID],0))</f>
        <v>0</v>
      </c>
      <c r="P13" s="5">
        <f>INDEX(rrcworking[Disposition Volume (MCF) @ 14.65 MCF],MATCH('Mar 2020 EDI'!F13,rrcworking[RRC ID],0))</f>
        <v>0</v>
      </c>
      <c r="Y13" s="5">
        <f>INDEX(rrcworking[Oil Production],MATCH('Mar 2020 EDI'!F13,rrcworking[RRC ID],0))</f>
        <v>20</v>
      </c>
      <c r="AA13" s="5">
        <f>INDEX(rrcworking[Sales/Dispostion],MATCH('Mar 2020 EDI'!F13,rrcworking[RRC ID],0))</f>
        <v>0</v>
      </c>
      <c r="AQ13" s="5">
        <f>INDEX(rrcworking[Closing Stock (Oil)],MATCH('Mar 2020 EDI'!F13,rrcworking[RRC ID],0))</f>
        <v>85</v>
      </c>
    </row>
    <row r="14" spans="1:250">
      <c r="A14" s="4" t="s">
        <v>1</v>
      </c>
      <c r="B14" s="1" t="s">
        <v>913</v>
      </c>
      <c r="C14" s="10" t="s">
        <v>910</v>
      </c>
      <c r="D14" s="1" t="s">
        <v>618</v>
      </c>
      <c r="E14" s="1" t="s">
        <v>2</v>
      </c>
      <c r="F14" s="1" t="s">
        <v>427</v>
      </c>
      <c r="I14" s="10" t="s">
        <v>3</v>
      </c>
      <c r="J14" s="123" t="s">
        <v>3</v>
      </c>
      <c r="K14" s="1" t="s">
        <v>1091</v>
      </c>
      <c r="M14" s="5">
        <v>202003</v>
      </c>
      <c r="N14" s="5">
        <f>INDEX(rrcworking[Formation Production (MCF) @ 14.65 psi],MATCH('Mar 2020 EDI'!F14,rrcworking[RRC ID],0))</f>
        <v>0</v>
      </c>
      <c r="O14" s="5">
        <f>INDEX(rrcworking[Lease Use (MCF)],MATCH('Mar 2020 EDI'!F14,rrcworking[RRC ID],0))</f>
        <v>0</v>
      </c>
      <c r="P14" s="5">
        <f>INDEX(rrcworking[Disposition Volume (MCF) @ 14.65 MCF],MATCH('Mar 2020 EDI'!F14,rrcworking[RRC ID],0))</f>
        <v>0</v>
      </c>
      <c r="Y14" s="5">
        <f>INDEX(rrcworking[Oil Production],MATCH('Mar 2020 EDI'!F14,rrcworking[RRC ID],0))</f>
        <v>20</v>
      </c>
      <c r="AA14" s="5">
        <f>INDEX(rrcworking[Sales/Dispostion],MATCH('Mar 2020 EDI'!F14,rrcworking[RRC ID],0))</f>
        <v>0</v>
      </c>
      <c r="AQ14" s="5">
        <f>INDEX(rrcworking[Closing Stock (Oil)],MATCH('Mar 2020 EDI'!F14,rrcworking[RRC ID],0))</f>
        <v>140</v>
      </c>
    </row>
    <row r="15" spans="1:250">
      <c r="A15" s="4" t="s">
        <v>1</v>
      </c>
      <c r="B15" s="1" t="s">
        <v>914</v>
      </c>
      <c r="C15" s="10" t="s">
        <v>910</v>
      </c>
      <c r="D15" s="1" t="s">
        <v>618</v>
      </c>
      <c r="E15" s="1" t="s">
        <v>2</v>
      </c>
      <c r="F15" s="1" t="s">
        <v>428</v>
      </c>
      <c r="I15" s="10" t="s">
        <v>3</v>
      </c>
      <c r="J15" s="123" t="s">
        <v>3</v>
      </c>
      <c r="K15" s="1" t="s">
        <v>1091</v>
      </c>
      <c r="M15" s="5">
        <v>202003</v>
      </c>
      <c r="N15" s="5">
        <f>INDEX(rrcworking[Formation Production (MCF) @ 14.65 psi],MATCH('Mar 2020 EDI'!F15,rrcworking[RRC ID],0))</f>
        <v>0</v>
      </c>
      <c r="O15" s="5">
        <f>INDEX(rrcworking[Lease Use (MCF)],MATCH('Mar 2020 EDI'!F15,rrcworking[RRC ID],0))</f>
        <v>0</v>
      </c>
      <c r="P15" s="5">
        <f>INDEX(rrcworking[Disposition Volume (MCF) @ 14.65 MCF],MATCH('Mar 2020 EDI'!F15,rrcworking[RRC ID],0))</f>
        <v>0</v>
      </c>
      <c r="Y15" s="5">
        <f>INDEX(rrcworking[Oil Production],MATCH('Mar 2020 EDI'!F15,rrcworking[RRC ID],0))</f>
        <v>0</v>
      </c>
      <c r="AA15" s="5">
        <f>INDEX(rrcworking[Sales/Dispostion],MATCH('Mar 2020 EDI'!F15,rrcworking[RRC ID],0))</f>
        <v>0</v>
      </c>
      <c r="AQ15" s="5">
        <f>INDEX(rrcworking[Closing Stock (Oil)],MATCH('Mar 2020 EDI'!F15,rrcworking[RRC ID],0))</f>
        <v>0</v>
      </c>
    </row>
    <row r="16" spans="1:250">
      <c r="A16" s="4" t="s">
        <v>1</v>
      </c>
      <c r="B16" s="1" t="s">
        <v>915</v>
      </c>
      <c r="C16" s="10" t="s">
        <v>910</v>
      </c>
      <c r="D16" s="1" t="s">
        <v>618</v>
      </c>
      <c r="E16" s="1" t="s">
        <v>59</v>
      </c>
      <c r="F16" s="1" t="s">
        <v>429</v>
      </c>
      <c r="I16" s="10" t="s">
        <v>3</v>
      </c>
      <c r="J16" s="123" t="s">
        <v>3</v>
      </c>
      <c r="K16" s="1" t="s">
        <v>1091</v>
      </c>
      <c r="M16" s="5">
        <v>202003</v>
      </c>
      <c r="N16" s="5">
        <f>INDEX(rrcworking[Formation Production (MCF) @ 14.65 psi],MATCH('Mar 2020 EDI'!F16,rrcworking[RRC ID],0))</f>
        <v>0</v>
      </c>
      <c r="O16" s="5">
        <f>INDEX(rrcworking[Lease Use (MCF)],MATCH('Mar 2020 EDI'!F16,rrcworking[RRC ID],0))</f>
        <v>0</v>
      </c>
      <c r="P16" s="5">
        <f>INDEX(rrcworking[Disposition Volume (MCF) @ 14.65 MCF],MATCH('Mar 2020 EDI'!F16,rrcworking[RRC ID],0))</f>
        <v>0</v>
      </c>
      <c r="Y16" s="5">
        <f>INDEX(rrcworking[Oil Production],MATCH('Mar 2020 EDI'!F16,rrcworking[RRC ID],0))</f>
        <v>0</v>
      </c>
      <c r="AA16" s="5">
        <f>INDEX(rrcworking[Sales/Dispostion],MATCH('Mar 2020 EDI'!F16,rrcworking[RRC ID],0))</f>
        <v>0</v>
      </c>
      <c r="AQ16" s="5">
        <f>INDEX(rrcworking[Closing Stock (Oil)],MATCH('Mar 2020 EDI'!F16,rrcworking[RRC ID],0))</f>
        <v>116</v>
      </c>
    </row>
    <row r="17" spans="1:43">
      <c r="A17" s="4" t="s">
        <v>1</v>
      </c>
      <c r="B17" s="1" t="s">
        <v>916</v>
      </c>
      <c r="C17" s="10" t="s">
        <v>910</v>
      </c>
      <c r="D17" s="1" t="s">
        <v>618</v>
      </c>
      <c r="E17" s="1" t="s">
        <v>59</v>
      </c>
      <c r="F17" s="1" t="s">
        <v>430</v>
      </c>
      <c r="I17" s="10" t="s">
        <v>3</v>
      </c>
      <c r="J17" s="123" t="s">
        <v>3</v>
      </c>
      <c r="K17" s="1" t="s">
        <v>1091</v>
      </c>
      <c r="M17" s="5">
        <v>202003</v>
      </c>
      <c r="N17" s="5">
        <f>INDEX(rrcworking[Formation Production (MCF) @ 14.65 psi],MATCH('Mar 2020 EDI'!F17,rrcworking[RRC ID],0))</f>
        <v>42445</v>
      </c>
      <c r="O17" s="5">
        <f>INDEX(rrcworking[Lease Use (MCF)],MATCH('Mar 2020 EDI'!F17,rrcworking[RRC ID],0))</f>
        <v>0</v>
      </c>
      <c r="P17" s="5">
        <f>INDEX(rrcworking[Disposition Volume (MCF) @ 14.65 MCF],MATCH('Mar 2020 EDI'!F17,rrcworking[RRC ID],0))</f>
        <v>42445</v>
      </c>
      <c r="Y17" s="5">
        <f>INDEX(rrcworking[Oil Production],MATCH('Mar 2020 EDI'!F17,rrcworking[RRC ID],0))</f>
        <v>560</v>
      </c>
      <c r="AA17" s="5">
        <f>INDEX(rrcworking[Sales/Dispostion],MATCH('Mar 2020 EDI'!F17,rrcworking[RRC ID],0))</f>
        <v>379</v>
      </c>
      <c r="AQ17" s="5">
        <f>INDEX(rrcworking[Closing Stock (Oil)],MATCH('Mar 2020 EDI'!F17,rrcworking[RRC ID],0))</f>
        <v>316</v>
      </c>
    </row>
    <row r="18" spans="1:43">
      <c r="A18" s="4" t="s">
        <v>1</v>
      </c>
      <c r="B18" s="1" t="s">
        <v>917</v>
      </c>
      <c r="C18" s="10" t="s">
        <v>910</v>
      </c>
      <c r="D18" s="1" t="s">
        <v>618</v>
      </c>
      <c r="E18" s="1" t="s">
        <v>2</v>
      </c>
      <c r="F18" s="1" t="s">
        <v>431</v>
      </c>
      <c r="I18" s="10" t="s">
        <v>3</v>
      </c>
      <c r="J18" s="123" t="s">
        <v>3</v>
      </c>
      <c r="K18" s="1" t="s">
        <v>1091</v>
      </c>
      <c r="M18" s="5">
        <v>202003</v>
      </c>
      <c r="N18" s="5">
        <f>INDEX(rrcworking[Formation Production (MCF) @ 14.65 psi],MATCH('Mar 2020 EDI'!F18,rrcworking[RRC ID],0))</f>
        <v>0</v>
      </c>
      <c r="O18" s="5">
        <f>INDEX(rrcworking[Lease Use (MCF)],MATCH('Mar 2020 EDI'!F18,rrcworking[RRC ID],0))</f>
        <v>0</v>
      </c>
      <c r="P18" s="5">
        <f>INDEX(rrcworking[Disposition Volume (MCF) @ 14.65 MCF],MATCH('Mar 2020 EDI'!F18,rrcworking[RRC ID],0))</f>
        <v>0</v>
      </c>
      <c r="Y18" s="5">
        <f>INDEX(rrcworking[Oil Production],MATCH('Mar 2020 EDI'!F18,rrcworking[RRC ID],0))</f>
        <v>175</v>
      </c>
      <c r="AA18" s="5">
        <f>INDEX(rrcworking[Sales/Dispostion],MATCH('Mar 2020 EDI'!F18,rrcworking[RRC ID],0))</f>
        <v>164</v>
      </c>
      <c r="AQ18" s="5">
        <f>INDEX(rrcworking[Closing Stock (Oil)],MATCH('Mar 2020 EDI'!F18,rrcworking[RRC ID],0))</f>
        <v>116</v>
      </c>
    </row>
    <row r="19" spans="1:43">
      <c r="A19" s="4" t="s">
        <v>1</v>
      </c>
      <c r="B19" s="1" t="s">
        <v>918</v>
      </c>
      <c r="C19" s="10" t="s">
        <v>910</v>
      </c>
      <c r="D19" s="1" t="s">
        <v>618</v>
      </c>
      <c r="E19" s="1" t="s">
        <v>59</v>
      </c>
      <c r="F19" s="1" t="s">
        <v>432</v>
      </c>
      <c r="I19" s="10" t="s">
        <v>3</v>
      </c>
      <c r="J19" s="123" t="s">
        <v>3</v>
      </c>
      <c r="K19" s="1" t="s">
        <v>1091</v>
      </c>
      <c r="M19" s="5">
        <v>202003</v>
      </c>
      <c r="N19" s="5">
        <f>INDEX(rrcworking[Formation Production (MCF) @ 14.65 psi],MATCH('Mar 2020 EDI'!F19,rrcworking[RRC ID],0))</f>
        <v>0</v>
      </c>
      <c r="O19" s="5">
        <f>INDEX(rrcworking[Lease Use (MCF)],MATCH('Mar 2020 EDI'!F19,rrcworking[RRC ID],0))</f>
        <v>0</v>
      </c>
      <c r="P19" s="5">
        <f>INDEX(rrcworking[Disposition Volume (MCF) @ 14.65 MCF],MATCH('Mar 2020 EDI'!F19,rrcworking[RRC ID],0))</f>
        <v>0</v>
      </c>
      <c r="Y19" s="5">
        <f>INDEX(rrcworking[Oil Production],MATCH('Mar 2020 EDI'!F19,rrcworking[RRC ID],0))</f>
        <v>0</v>
      </c>
      <c r="AA19" s="5">
        <f>INDEX(rrcworking[Sales/Dispostion],MATCH('Mar 2020 EDI'!F19,rrcworking[RRC ID],0))</f>
        <v>0</v>
      </c>
      <c r="AQ19" s="5">
        <f>INDEX(rrcworking[Closing Stock (Oil)],MATCH('Mar 2020 EDI'!F19,rrcworking[RRC ID],0))</f>
        <v>240</v>
      </c>
    </row>
    <row r="20" spans="1:43">
      <c r="A20" s="4" t="s">
        <v>1</v>
      </c>
      <c r="B20" s="1" t="s">
        <v>919</v>
      </c>
      <c r="C20" s="10" t="s">
        <v>910</v>
      </c>
      <c r="D20" s="1" t="s">
        <v>618</v>
      </c>
      <c r="E20" s="1" t="s">
        <v>59</v>
      </c>
      <c r="F20" s="1" t="s">
        <v>433</v>
      </c>
      <c r="I20" s="10" t="s">
        <v>3</v>
      </c>
      <c r="J20" s="123" t="s">
        <v>3</v>
      </c>
      <c r="K20" s="1" t="s">
        <v>1091</v>
      </c>
      <c r="M20" s="5">
        <v>202003</v>
      </c>
      <c r="N20" s="5">
        <f>INDEX(rrcworking[Formation Production (MCF) @ 14.65 psi],MATCH('Mar 2020 EDI'!F20,rrcworking[RRC ID],0))</f>
        <v>0</v>
      </c>
      <c r="O20" s="5">
        <f>INDEX(rrcworking[Lease Use (MCF)],MATCH('Mar 2020 EDI'!F20,rrcworking[RRC ID],0))</f>
        <v>0</v>
      </c>
      <c r="P20" s="5">
        <f>INDEX(rrcworking[Disposition Volume (MCF) @ 14.65 MCF],MATCH('Mar 2020 EDI'!F20,rrcworking[RRC ID],0))</f>
        <v>0</v>
      </c>
      <c r="Y20" s="5">
        <f>INDEX(rrcworking[Oil Production],MATCH('Mar 2020 EDI'!F20,rrcworking[RRC ID],0))</f>
        <v>0</v>
      </c>
      <c r="AA20" s="5">
        <f>INDEX(rrcworking[Sales/Dispostion],MATCH('Mar 2020 EDI'!F20,rrcworking[RRC ID],0))</f>
        <v>0</v>
      </c>
      <c r="AQ20" s="5">
        <f>INDEX(rrcworking[Closing Stock (Oil)],MATCH('Mar 2020 EDI'!F20,rrcworking[RRC ID],0))</f>
        <v>0</v>
      </c>
    </row>
    <row r="21" spans="1:43">
      <c r="A21" s="4" t="s">
        <v>1</v>
      </c>
      <c r="B21" s="1" t="s">
        <v>920</v>
      </c>
      <c r="C21" s="10" t="s">
        <v>910</v>
      </c>
      <c r="D21" s="1" t="s">
        <v>618</v>
      </c>
      <c r="E21" s="1" t="s">
        <v>59</v>
      </c>
      <c r="F21" s="1" t="s">
        <v>434</v>
      </c>
      <c r="I21" s="10" t="s">
        <v>3</v>
      </c>
      <c r="J21" s="123" t="s">
        <v>3</v>
      </c>
      <c r="K21" s="1" t="s">
        <v>1091</v>
      </c>
      <c r="M21" s="5">
        <v>202003</v>
      </c>
      <c r="N21" s="5">
        <f>INDEX(rrcworking[Formation Production (MCF) @ 14.65 psi],MATCH('Mar 2020 EDI'!F21,rrcworking[RRC ID],0))</f>
        <v>0</v>
      </c>
      <c r="O21" s="5">
        <f>INDEX(rrcworking[Lease Use (MCF)],MATCH('Mar 2020 EDI'!F21,rrcworking[RRC ID],0))</f>
        <v>0</v>
      </c>
      <c r="P21" s="5">
        <f>INDEX(rrcworking[Disposition Volume (MCF) @ 14.65 MCF],MATCH('Mar 2020 EDI'!F21,rrcworking[RRC ID],0))</f>
        <v>0</v>
      </c>
      <c r="Y21" s="5">
        <f>INDEX(rrcworking[Oil Production],MATCH('Mar 2020 EDI'!F21,rrcworking[RRC ID],0))</f>
        <v>0</v>
      </c>
      <c r="AA21" s="5">
        <f>INDEX(rrcworking[Sales/Dispostion],MATCH('Mar 2020 EDI'!F21,rrcworking[RRC ID],0))</f>
        <v>0</v>
      </c>
      <c r="AQ21" s="5">
        <f>INDEX(rrcworking[Closing Stock (Oil)],MATCH('Mar 2020 EDI'!F21,rrcworking[RRC ID],0))</f>
        <v>0</v>
      </c>
    </row>
    <row r="22" spans="1:43">
      <c r="A22" s="4" t="s">
        <v>1</v>
      </c>
      <c r="B22" s="1" t="s">
        <v>921</v>
      </c>
      <c r="C22" s="10" t="s">
        <v>910</v>
      </c>
      <c r="D22" s="1" t="s">
        <v>618</v>
      </c>
      <c r="E22" s="1" t="s">
        <v>59</v>
      </c>
      <c r="F22" s="1" t="s">
        <v>435</v>
      </c>
      <c r="I22" s="10" t="s">
        <v>3</v>
      </c>
      <c r="J22" s="123" t="s">
        <v>3</v>
      </c>
      <c r="K22" s="1">
        <v>5048</v>
      </c>
      <c r="M22" s="5">
        <v>202003</v>
      </c>
      <c r="N22" s="5">
        <f>INDEX(rrcworking[Formation Production (MCF) @ 14.65 psi],MATCH('Mar 2020 EDI'!F22,rrcworking[RRC ID],0))</f>
        <v>1723</v>
      </c>
      <c r="O22" s="5">
        <f>INDEX(rrcworking[Lease Use (MCF)],MATCH('Mar 2020 EDI'!F22,rrcworking[RRC ID],0))</f>
        <v>0</v>
      </c>
      <c r="P22" s="5">
        <f>INDEX(rrcworking[Disposition Volume (MCF) @ 14.65 MCF],MATCH('Mar 2020 EDI'!F22,rrcworking[RRC ID],0))</f>
        <v>1723</v>
      </c>
      <c r="Y22" s="5">
        <f>INDEX(rrcworking[Oil Production],MATCH('Mar 2020 EDI'!F22,rrcworking[RRC ID],0))</f>
        <v>49</v>
      </c>
      <c r="AA22" s="5">
        <f>INDEX(rrcworking[Sales/Dispostion],MATCH('Mar 2020 EDI'!F22,rrcworking[RRC ID],0))</f>
        <v>0</v>
      </c>
      <c r="AQ22" s="5">
        <f>INDEX(rrcworking[Closing Stock (Oil)],MATCH('Mar 2020 EDI'!F22,rrcworking[RRC ID],0))</f>
        <v>164</v>
      </c>
    </row>
    <row r="23" spans="1:43">
      <c r="A23" s="4" t="s">
        <v>1</v>
      </c>
      <c r="B23" s="1" t="s">
        <v>922</v>
      </c>
      <c r="C23" s="10" t="s">
        <v>910</v>
      </c>
      <c r="D23" s="1" t="s">
        <v>618</v>
      </c>
      <c r="E23" s="1" t="s">
        <v>59</v>
      </c>
      <c r="F23" s="1" t="s">
        <v>436</v>
      </c>
      <c r="I23" s="10" t="s">
        <v>3</v>
      </c>
      <c r="J23" s="123" t="s">
        <v>3</v>
      </c>
      <c r="K23" s="1">
        <v>5048</v>
      </c>
      <c r="M23" s="5">
        <v>202003</v>
      </c>
      <c r="N23" s="5">
        <f>INDEX(rrcworking[Formation Production (MCF) @ 14.65 psi],MATCH('Mar 2020 EDI'!F23,rrcworking[RRC ID],0))</f>
        <v>0</v>
      </c>
      <c r="O23" s="5">
        <f>INDEX(rrcworking[Lease Use (MCF)],MATCH('Mar 2020 EDI'!F23,rrcworking[RRC ID],0))</f>
        <v>0</v>
      </c>
      <c r="P23" s="5">
        <f>INDEX(rrcworking[Disposition Volume (MCF) @ 14.65 MCF],MATCH('Mar 2020 EDI'!F23,rrcworking[RRC ID],0))</f>
        <v>0</v>
      </c>
      <c r="Y23" s="5">
        <f>INDEX(rrcworking[Oil Production],MATCH('Mar 2020 EDI'!F23,rrcworking[RRC ID],0))</f>
        <v>0</v>
      </c>
      <c r="AA23" s="5">
        <f>INDEX(rrcworking[Sales/Dispostion],MATCH('Mar 2020 EDI'!F23,rrcworking[RRC ID],0))</f>
        <v>0</v>
      </c>
      <c r="AQ23" s="5">
        <f>INDEX(rrcworking[Closing Stock (Oil)],MATCH('Mar 2020 EDI'!F23,rrcworking[RRC ID],0))</f>
        <v>0</v>
      </c>
    </row>
    <row r="24" spans="1:43">
      <c r="A24" s="4" t="s">
        <v>1</v>
      </c>
      <c r="B24" s="1" t="s">
        <v>923</v>
      </c>
      <c r="C24" s="10" t="s">
        <v>910</v>
      </c>
      <c r="D24" s="1" t="s">
        <v>618</v>
      </c>
      <c r="E24" s="1" t="s">
        <v>59</v>
      </c>
      <c r="F24" s="1" t="s">
        <v>437</v>
      </c>
      <c r="I24" s="10" t="s">
        <v>3</v>
      </c>
      <c r="J24" s="123" t="s">
        <v>3</v>
      </c>
      <c r="K24" s="1" t="s">
        <v>1091</v>
      </c>
      <c r="M24" s="5">
        <v>202003</v>
      </c>
      <c r="N24" s="5">
        <f>INDEX(rrcworking[Formation Production (MCF) @ 14.65 psi],MATCH('Mar 2020 EDI'!F24,rrcworking[RRC ID],0))</f>
        <v>0</v>
      </c>
      <c r="O24" s="5">
        <f>INDEX(rrcworking[Lease Use (MCF)],MATCH('Mar 2020 EDI'!F24,rrcworking[RRC ID],0))</f>
        <v>0</v>
      </c>
      <c r="P24" s="5">
        <f>INDEX(rrcworking[Disposition Volume (MCF) @ 14.65 MCF],MATCH('Mar 2020 EDI'!F24,rrcworking[RRC ID],0))</f>
        <v>0</v>
      </c>
      <c r="Y24" s="5">
        <f>INDEX(rrcworking[Oil Production],MATCH('Mar 2020 EDI'!F24,rrcworking[RRC ID],0))</f>
        <v>0</v>
      </c>
      <c r="AA24" s="5">
        <f>INDEX(rrcworking[Sales/Dispostion],MATCH('Mar 2020 EDI'!F24,rrcworking[RRC ID],0))</f>
        <v>0</v>
      </c>
      <c r="AQ24" s="5">
        <f>INDEX(rrcworking[Closing Stock (Oil)],MATCH('Mar 2020 EDI'!F24,rrcworking[RRC ID],0))</f>
        <v>80</v>
      </c>
    </row>
    <row r="25" spans="1:43">
      <c r="A25" s="4" t="s">
        <v>1</v>
      </c>
      <c r="B25" s="1" t="s">
        <v>924</v>
      </c>
      <c r="C25" s="10" t="s">
        <v>910</v>
      </c>
      <c r="D25" s="1" t="s">
        <v>618</v>
      </c>
      <c r="E25" s="1" t="s">
        <v>59</v>
      </c>
      <c r="F25" s="1" t="s">
        <v>438</v>
      </c>
      <c r="I25" s="10" t="s">
        <v>3</v>
      </c>
      <c r="J25" s="123" t="s">
        <v>3</v>
      </c>
      <c r="K25" s="1">
        <v>5113</v>
      </c>
      <c r="M25" s="5">
        <v>202003</v>
      </c>
      <c r="N25" s="5">
        <f>INDEX(rrcworking[Formation Production (MCF) @ 14.65 psi],MATCH('Mar 2020 EDI'!F25,rrcworking[RRC ID],0))</f>
        <v>0</v>
      </c>
      <c r="O25" s="5">
        <f>INDEX(rrcworking[Lease Use (MCF)],MATCH('Mar 2020 EDI'!F25,rrcworking[RRC ID],0))</f>
        <v>0</v>
      </c>
      <c r="P25" s="5">
        <f>INDEX(rrcworking[Disposition Volume (MCF) @ 14.65 MCF],MATCH('Mar 2020 EDI'!F25,rrcworking[RRC ID],0))</f>
        <v>0</v>
      </c>
      <c r="Y25" s="5">
        <f>INDEX(rrcworking[Oil Production],MATCH('Mar 2020 EDI'!F25,rrcworking[RRC ID],0))</f>
        <v>0</v>
      </c>
      <c r="AA25" s="5">
        <f>INDEX(rrcworking[Sales/Dispostion],MATCH('Mar 2020 EDI'!F25,rrcworking[RRC ID],0))</f>
        <v>0</v>
      </c>
      <c r="AQ25" s="5">
        <f>INDEX(rrcworking[Closing Stock (Oil)],MATCH('Mar 2020 EDI'!F25,rrcworking[RRC ID],0))</f>
        <v>84</v>
      </c>
    </row>
    <row r="26" spans="1:43">
      <c r="A26" s="4" t="s">
        <v>1</v>
      </c>
      <c r="B26" s="1" t="s">
        <v>925</v>
      </c>
      <c r="C26" s="10" t="s">
        <v>910</v>
      </c>
      <c r="D26" s="1" t="s">
        <v>618</v>
      </c>
      <c r="E26" s="1" t="s">
        <v>59</v>
      </c>
      <c r="F26" s="1" t="s">
        <v>439</v>
      </c>
      <c r="I26" s="10" t="s">
        <v>3</v>
      </c>
      <c r="J26" s="123" t="s">
        <v>3</v>
      </c>
      <c r="K26" s="1">
        <v>5113</v>
      </c>
      <c r="M26" s="5">
        <v>202003</v>
      </c>
      <c r="N26" s="5">
        <f>INDEX(rrcworking[Formation Production (MCF) @ 14.65 psi],MATCH('Mar 2020 EDI'!F26,rrcworking[RRC ID],0))</f>
        <v>0</v>
      </c>
      <c r="O26" s="5">
        <f>INDEX(rrcworking[Lease Use (MCF)],MATCH('Mar 2020 EDI'!F26,rrcworking[RRC ID],0))</f>
        <v>0</v>
      </c>
      <c r="P26" s="5">
        <f>INDEX(rrcworking[Disposition Volume (MCF) @ 14.65 MCF],MATCH('Mar 2020 EDI'!F26,rrcworking[RRC ID],0))</f>
        <v>0</v>
      </c>
      <c r="Y26" s="5">
        <f>INDEX(rrcworking[Oil Production],MATCH('Mar 2020 EDI'!F26,rrcworking[RRC ID],0))</f>
        <v>0</v>
      </c>
      <c r="AA26" s="5">
        <f>INDEX(rrcworking[Sales/Dispostion],MATCH('Mar 2020 EDI'!F26,rrcworking[RRC ID],0))</f>
        <v>0</v>
      </c>
      <c r="AQ26" s="5">
        <f>INDEX(rrcworking[Closing Stock (Oil)],MATCH('Mar 2020 EDI'!F26,rrcworking[RRC ID],0))</f>
        <v>0</v>
      </c>
    </row>
    <row r="27" spans="1:43">
      <c r="A27" s="4" t="s">
        <v>1</v>
      </c>
      <c r="B27" s="1" t="s">
        <v>926</v>
      </c>
      <c r="C27" s="10" t="s">
        <v>910</v>
      </c>
      <c r="D27" s="1" t="s">
        <v>618</v>
      </c>
      <c r="E27" s="1" t="s">
        <v>2</v>
      </c>
      <c r="F27" s="1" t="s">
        <v>440</v>
      </c>
      <c r="I27" s="10" t="s">
        <v>3</v>
      </c>
      <c r="J27" s="123" t="s">
        <v>3</v>
      </c>
      <c r="K27" s="1" t="s">
        <v>1091</v>
      </c>
      <c r="M27" s="5">
        <v>202003</v>
      </c>
      <c r="N27" s="5">
        <f>INDEX(rrcworking[Formation Production (MCF) @ 14.65 psi],MATCH('Mar 2020 EDI'!F27,rrcworking[RRC ID],0))</f>
        <v>0</v>
      </c>
      <c r="O27" s="5">
        <f>INDEX(rrcworking[Lease Use (MCF)],MATCH('Mar 2020 EDI'!F27,rrcworking[RRC ID],0))</f>
        <v>0</v>
      </c>
      <c r="P27" s="5">
        <f>INDEX(rrcworking[Disposition Volume (MCF) @ 14.65 MCF],MATCH('Mar 2020 EDI'!F27,rrcworking[RRC ID],0))</f>
        <v>0</v>
      </c>
      <c r="Y27" s="5">
        <f>INDEX(rrcworking[Oil Production],MATCH('Mar 2020 EDI'!F27,rrcworking[RRC ID],0))</f>
        <v>0</v>
      </c>
      <c r="AA27" s="5">
        <f>INDEX(rrcworking[Sales/Dispostion],MATCH('Mar 2020 EDI'!F27,rrcworking[RRC ID],0))</f>
        <v>0</v>
      </c>
      <c r="AQ27" s="5">
        <f>INDEX(rrcworking[Closing Stock (Oil)],MATCH('Mar 2020 EDI'!F27,rrcworking[RRC ID],0))</f>
        <v>0</v>
      </c>
    </row>
    <row r="28" spans="1:43">
      <c r="A28" s="4" t="s">
        <v>1</v>
      </c>
      <c r="B28" s="1" t="s">
        <v>927</v>
      </c>
      <c r="C28" s="10" t="s">
        <v>910</v>
      </c>
      <c r="D28" s="1" t="s">
        <v>618</v>
      </c>
      <c r="E28" s="1" t="s">
        <v>2</v>
      </c>
      <c r="F28" s="1" t="s">
        <v>441</v>
      </c>
      <c r="I28" s="10" t="s">
        <v>3</v>
      </c>
      <c r="J28" s="123" t="s">
        <v>3</v>
      </c>
      <c r="K28" s="1" t="s">
        <v>1091</v>
      </c>
      <c r="M28" s="5">
        <v>202003</v>
      </c>
      <c r="N28" s="5">
        <f>INDEX(rrcworking[Formation Production (MCF) @ 14.65 psi],MATCH('Mar 2020 EDI'!F28,rrcworking[RRC ID],0))</f>
        <v>0</v>
      </c>
      <c r="O28" s="5">
        <f>INDEX(rrcworking[Lease Use (MCF)],MATCH('Mar 2020 EDI'!F28,rrcworking[RRC ID],0))</f>
        <v>0</v>
      </c>
      <c r="P28" s="5">
        <f>INDEX(rrcworking[Disposition Volume (MCF) @ 14.65 MCF],MATCH('Mar 2020 EDI'!F28,rrcworking[RRC ID],0))</f>
        <v>0</v>
      </c>
      <c r="Y28" s="5">
        <f>INDEX(rrcworking[Oil Production],MATCH('Mar 2020 EDI'!F28,rrcworking[RRC ID],0))</f>
        <v>0</v>
      </c>
      <c r="AA28" s="5">
        <f>INDEX(rrcworking[Sales/Dispostion],MATCH('Mar 2020 EDI'!F28,rrcworking[RRC ID],0))</f>
        <v>0</v>
      </c>
      <c r="AQ28" s="5">
        <f>INDEX(rrcworking[Closing Stock (Oil)],MATCH('Mar 2020 EDI'!F28,rrcworking[RRC ID],0))</f>
        <v>0</v>
      </c>
    </row>
    <row r="29" spans="1:43">
      <c r="A29" s="4" t="s">
        <v>1</v>
      </c>
      <c r="B29" s="1" t="s">
        <v>928</v>
      </c>
      <c r="C29" s="10" t="s">
        <v>910</v>
      </c>
      <c r="D29" s="1" t="s">
        <v>618</v>
      </c>
      <c r="E29" s="1" t="s">
        <v>2</v>
      </c>
      <c r="F29" s="1" t="s">
        <v>442</v>
      </c>
      <c r="I29" s="10" t="s">
        <v>3</v>
      </c>
      <c r="J29" s="123" t="s">
        <v>3</v>
      </c>
      <c r="K29" s="1" t="s">
        <v>1091</v>
      </c>
      <c r="M29" s="5">
        <v>202003</v>
      </c>
      <c r="N29" s="5">
        <f>INDEX(rrcworking[Formation Production (MCF) @ 14.65 psi],MATCH('Mar 2020 EDI'!F29,rrcworking[RRC ID],0))</f>
        <v>0</v>
      </c>
      <c r="O29" s="5">
        <f>INDEX(rrcworking[Lease Use (MCF)],MATCH('Mar 2020 EDI'!F29,rrcworking[RRC ID],0))</f>
        <v>0</v>
      </c>
      <c r="P29" s="5">
        <f>INDEX(rrcworking[Disposition Volume (MCF) @ 14.65 MCF],MATCH('Mar 2020 EDI'!F29,rrcworking[RRC ID],0))</f>
        <v>0</v>
      </c>
      <c r="Y29" s="5">
        <f>INDEX(rrcworking[Oil Production],MATCH('Mar 2020 EDI'!F29,rrcworking[RRC ID],0))</f>
        <v>0</v>
      </c>
      <c r="AA29" s="5">
        <f>INDEX(rrcworking[Sales/Dispostion],MATCH('Mar 2020 EDI'!F29,rrcworking[RRC ID],0))</f>
        <v>0</v>
      </c>
      <c r="AQ29" s="5">
        <f>INDEX(rrcworking[Closing Stock (Oil)],MATCH('Mar 2020 EDI'!F29,rrcworking[RRC ID],0))</f>
        <v>0</v>
      </c>
    </row>
    <row r="30" spans="1:43">
      <c r="A30" s="4" t="s">
        <v>1</v>
      </c>
      <c r="B30" s="1" t="s">
        <v>929</v>
      </c>
      <c r="C30" s="10" t="s">
        <v>910</v>
      </c>
      <c r="D30" s="1" t="s">
        <v>618</v>
      </c>
      <c r="E30" s="1" t="s">
        <v>2</v>
      </c>
      <c r="F30" s="1" t="s">
        <v>443</v>
      </c>
      <c r="I30" s="10" t="s">
        <v>3</v>
      </c>
      <c r="J30" s="123" t="s">
        <v>3</v>
      </c>
      <c r="K30" s="1" t="s">
        <v>1091</v>
      </c>
      <c r="M30" s="5">
        <v>202003</v>
      </c>
      <c r="N30" s="5">
        <f>INDEX(rrcworking[Formation Production (MCF) @ 14.65 psi],MATCH('Mar 2020 EDI'!F30,rrcworking[RRC ID],0))</f>
        <v>0</v>
      </c>
      <c r="O30" s="5">
        <f>INDEX(rrcworking[Lease Use (MCF)],MATCH('Mar 2020 EDI'!F30,rrcworking[RRC ID],0))</f>
        <v>0</v>
      </c>
      <c r="P30" s="5">
        <f>INDEX(rrcworking[Disposition Volume (MCF) @ 14.65 MCF],MATCH('Mar 2020 EDI'!F30,rrcworking[RRC ID],0))</f>
        <v>0</v>
      </c>
      <c r="Y30" s="5">
        <f>INDEX(rrcworking[Oil Production],MATCH('Mar 2020 EDI'!F30,rrcworking[RRC ID],0))</f>
        <v>0</v>
      </c>
      <c r="AA30" s="5">
        <f>INDEX(rrcworking[Sales/Dispostion],MATCH('Mar 2020 EDI'!F30,rrcworking[RRC ID],0))</f>
        <v>0</v>
      </c>
      <c r="AQ30" s="5">
        <f>INDEX(rrcworking[Closing Stock (Oil)],MATCH('Mar 2020 EDI'!F30,rrcworking[RRC ID],0))</f>
        <v>0</v>
      </c>
    </row>
    <row r="31" spans="1:43">
      <c r="A31" s="4" t="s">
        <v>1</v>
      </c>
      <c r="B31" s="1" t="s">
        <v>930</v>
      </c>
      <c r="C31" s="10" t="s">
        <v>910</v>
      </c>
      <c r="D31" s="1" t="s">
        <v>618</v>
      </c>
      <c r="E31" s="1" t="s">
        <v>2</v>
      </c>
      <c r="F31" s="1" t="s">
        <v>444</v>
      </c>
      <c r="I31" s="10" t="s">
        <v>3</v>
      </c>
      <c r="J31" s="123" t="s">
        <v>3</v>
      </c>
      <c r="K31" s="1" t="s">
        <v>1091</v>
      </c>
      <c r="M31" s="5">
        <v>202003</v>
      </c>
      <c r="N31" s="5">
        <f>INDEX(rrcworking[Formation Production (MCF) @ 14.65 psi],MATCH('Mar 2020 EDI'!F31,rrcworking[RRC ID],0))</f>
        <v>0</v>
      </c>
      <c r="O31" s="5">
        <f>INDEX(rrcworking[Lease Use (MCF)],MATCH('Mar 2020 EDI'!F31,rrcworking[RRC ID],0))</f>
        <v>0</v>
      </c>
      <c r="P31" s="5">
        <f>INDEX(rrcworking[Disposition Volume (MCF) @ 14.65 MCF],MATCH('Mar 2020 EDI'!F31,rrcworking[RRC ID],0))</f>
        <v>0</v>
      </c>
      <c r="Y31" s="5">
        <f>INDEX(rrcworking[Oil Production],MATCH('Mar 2020 EDI'!F31,rrcworking[RRC ID],0))</f>
        <v>0</v>
      </c>
      <c r="AA31" s="5">
        <f>INDEX(rrcworking[Sales/Dispostion],MATCH('Mar 2020 EDI'!F31,rrcworking[RRC ID],0))</f>
        <v>0</v>
      </c>
      <c r="AQ31" s="5">
        <f>INDEX(rrcworking[Closing Stock (Oil)],MATCH('Mar 2020 EDI'!F31,rrcworking[RRC ID],0))</f>
        <v>0</v>
      </c>
    </row>
    <row r="32" spans="1:43">
      <c r="A32" s="4" t="s">
        <v>1</v>
      </c>
      <c r="B32" s="1" t="s">
        <v>931</v>
      </c>
      <c r="C32" s="10" t="s">
        <v>910</v>
      </c>
      <c r="D32" s="1" t="s">
        <v>618</v>
      </c>
      <c r="E32" s="1" t="s">
        <v>59</v>
      </c>
      <c r="F32" s="1" t="s">
        <v>445</v>
      </c>
      <c r="I32" s="10" t="s">
        <v>3</v>
      </c>
      <c r="J32" s="123" t="s">
        <v>3</v>
      </c>
      <c r="K32" s="1" t="s">
        <v>1091</v>
      </c>
      <c r="M32" s="5">
        <v>202003</v>
      </c>
      <c r="N32" s="5">
        <f>INDEX(rrcworking[Formation Production (MCF) @ 14.65 psi],MATCH('Mar 2020 EDI'!F32,rrcworking[RRC ID],0))</f>
        <v>0</v>
      </c>
      <c r="O32" s="5">
        <f>INDEX(rrcworking[Lease Use (MCF)],MATCH('Mar 2020 EDI'!F32,rrcworking[RRC ID],0))</f>
        <v>0</v>
      </c>
      <c r="P32" s="5">
        <f>INDEX(rrcworking[Disposition Volume (MCF) @ 14.65 MCF],MATCH('Mar 2020 EDI'!F32,rrcworking[RRC ID],0))</f>
        <v>0</v>
      </c>
      <c r="Y32" s="5">
        <f>INDEX(rrcworking[Oil Production],MATCH('Mar 2020 EDI'!F32,rrcworking[RRC ID],0))</f>
        <v>0</v>
      </c>
      <c r="AA32" s="5">
        <f>INDEX(rrcworking[Sales/Dispostion],MATCH('Mar 2020 EDI'!F32,rrcworking[RRC ID],0))</f>
        <v>0</v>
      </c>
      <c r="AQ32" s="5">
        <f>INDEX(rrcworking[Closing Stock (Oil)],MATCH('Mar 2020 EDI'!F32,rrcworking[RRC ID],0))</f>
        <v>0</v>
      </c>
    </row>
    <row r="33" spans="1:43">
      <c r="A33" s="4" t="s">
        <v>1</v>
      </c>
      <c r="B33" s="1" t="s">
        <v>932</v>
      </c>
      <c r="C33" s="10" t="s">
        <v>910</v>
      </c>
      <c r="D33" s="1" t="s">
        <v>618</v>
      </c>
      <c r="E33" s="1" t="s">
        <v>2</v>
      </c>
      <c r="F33" s="1" t="s">
        <v>446</v>
      </c>
      <c r="I33" s="10" t="s">
        <v>3</v>
      </c>
      <c r="J33" s="123" t="s">
        <v>3</v>
      </c>
      <c r="K33" s="1" t="s">
        <v>1091</v>
      </c>
      <c r="M33" s="5">
        <v>202003</v>
      </c>
      <c r="N33" s="5">
        <f>INDEX(rrcworking[Formation Production (MCF) @ 14.65 psi],MATCH('Mar 2020 EDI'!F33,rrcworking[RRC ID],0))</f>
        <v>0</v>
      </c>
      <c r="O33" s="5">
        <f>INDEX(rrcworking[Lease Use (MCF)],MATCH('Mar 2020 EDI'!F33,rrcworking[RRC ID],0))</f>
        <v>0</v>
      </c>
      <c r="P33" s="5">
        <f>INDEX(rrcworking[Disposition Volume (MCF) @ 14.65 MCF],MATCH('Mar 2020 EDI'!F33,rrcworking[RRC ID],0))</f>
        <v>0</v>
      </c>
      <c r="Y33" s="5">
        <f>INDEX(rrcworking[Oil Production],MATCH('Mar 2020 EDI'!F33,rrcworking[RRC ID],0))</f>
        <v>0</v>
      </c>
      <c r="AA33" s="5">
        <f>INDEX(rrcworking[Sales/Dispostion],MATCH('Mar 2020 EDI'!F33,rrcworking[RRC ID],0))</f>
        <v>0</v>
      </c>
      <c r="AQ33" s="5">
        <f>INDEX(rrcworking[Closing Stock (Oil)],MATCH('Mar 2020 EDI'!F33,rrcworking[RRC ID],0))</f>
        <v>213</v>
      </c>
    </row>
    <row r="34" spans="1:43">
      <c r="A34" s="4" t="s">
        <v>1</v>
      </c>
      <c r="B34" s="1" t="s">
        <v>933</v>
      </c>
      <c r="C34" s="10" t="s">
        <v>910</v>
      </c>
      <c r="D34" s="1" t="s">
        <v>618</v>
      </c>
      <c r="E34" s="1" t="s">
        <v>59</v>
      </c>
      <c r="F34" s="1" t="s">
        <v>447</v>
      </c>
      <c r="I34" s="10" t="s">
        <v>3</v>
      </c>
      <c r="J34" s="123" t="s">
        <v>3</v>
      </c>
      <c r="K34" s="1">
        <v>5048</v>
      </c>
      <c r="M34" s="5">
        <v>202003</v>
      </c>
      <c r="N34" s="5">
        <f>INDEX(rrcworking[Formation Production (MCF) @ 14.65 psi],MATCH('Mar 2020 EDI'!F34,rrcworking[RRC ID],0))</f>
        <v>0</v>
      </c>
      <c r="O34" s="5">
        <f>INDEX(rrcworking[Lease Use (MCF)],MATCH('Mar 2020 EDI'!F34,rrcworking[RRC ID],0))</f>
        <v>0</v>
      </c>
      <c r="P34" s="5">
        <f>INDEX(rrcworking[Disposition Volume (MCF) @ 14.65 MCF],MATCH('Mar 2020 EDI'!F34,rrcworking[RRC ID],0))</f>
        <v>0</v>
      </c>
      <c r="Y34" s="5">
        <f>INDEX(rrcworking[Oil Production],MATCH('Mar 2020 EDI'!F34,rrcworking[RRC ID],0))</f>
        <v>0</v>
      </c>
      <c r="AA34" s="5">
        <f>INDEX(rrcworking[Sales/Dispostion],MATCH('Mar 2020 EDI'!F34,rrcworking[RRC ID],0))</f>
        <v>0</v>
      </c>
      <c r="AQ34" s="5">
        <f>INDEX(rrcworking[Closing Stock (Oil)],MATCH('Mar 2020 EDI'!F34,rrcworking[RRC ID],0))</f>
        <v>0</v>
      </c>
    </row>
    <row r="35" spans="1:43">
      <c r="A35" s="4" t="s">
        <v>1</v>
      </c>
      <c r="B35" s="1" t="s">
        <v>934</v>
      </c>
      <c r="C35" s="10" t="s">
        <v>910</v>
      </c>
      <c r="D35" s="1" t="s">
        <v>618</v>
      </c>
      <c r="E35" s="1" t="s">
        <v>59</v>
      </c>
      <c r="F35" s="1" t="s">
        <v>448</v>
      </c>
      <c r="I35" s="10" t="s">
        <v>3</v>
      </c>
      <c r="J35" s="123" t="s">
        <v>3</v>
      </c>
      <c r="K35" s="1" t="s">
        <v>1091</v>
      </c>
      <c r="M35" s="5">
        <v>202003</v>
      </c>
      <c r="N35" s="5">
        <f>INDEX(rrcworking[Formation Production (MCF) @ 14.65 psi],MATCH('Mar 2020 EDI'!F35,rrcworking[RRC ID],0))</f>
        <v>0</v>
      </c>
      <c r="O35" s="5">
        <f>INDEX(rrcworking[Lease Use (MCF)],MATCH('Mar 2020 EDI'!F35,rrcworking[RRC ID],0))</f>
        <v>0</v>
      </c>
      <c r="P35" s="5">
        <f>INDEX(rrcworking[Disposition Volume (MCF) @ 14.65 MCF],MATCH('Mar 2020 EDI'!F35,rrcworking[RRC ID],0))</f>
        <v>0</v>
      </c>
      <c r="Y35" s="5">
        <f>INDEX(rrcworking[Oil Production],MATCH('Mar 2020 EDI'!F35,rrcworking[RRC ID],0))</f>
        <v>0</v>
      </c>
      <c r="AA35" s="5">
        <f>INDEX(rrcworking[Sales/Dispostion],MATCH('Mar 2020 EDI'!F35,rrcworking[RRC ID],0))</f>
        <v>0</v>
      </c>
      <c r="AQ35" s="5">
        <f>INDEX(rrcworking[Closing Stock (Oil)],MATCH('Mar 2020 EDI'!F35,rrcworking[RRC ID],0))</f>
        <v>166</v>
      </c>
    </row>
    <row r="36" spans="1:43">
      <c r="A36" s="4" t="s">
        <v>1</v>
      </c>
      <c r="B36" s="1" t="s">
        <v>935</v>
      </c>
      <c r="C36" s="10" t="s">
        <v>910</v>
      </c>
      <c r="D36" s="1" t="s">
        <v>618</v>
      </c>
      <c r="E36" s="1" t="s">
        <v>59</v>
      </c>
      <c r="F36" s="1" t="s">
        <v>449</v>
      </c>
      <c r="I36" s="10" t="s">
        <v>3</v>
      </c>
      <c r="J36" s="123" t="s">
        <v>3</v>
      </c>
      <c r="K36" s="1" t="s">
        <v>1091</v>
      </c>
      <c r="M36" s="5">
        <v>202003</v>
      </c>
      <c r="N36" s="5">
        <f>INDEX(rrcworking[Formation Production (MCF) @ 14.65 psi],MATCH('Mar 2020 EDI'!F36,rrcworking[RRC ID],0))</f>
        <v>0</v>
      </c>
      <c r="O36" s="5">
        <f>INDEX(rrcworking[Lease Use (MCF)],MATCH('Mar 2020 EDI'!F36,rrcworking[RRC ID],0))</f>
        <v>0</v>
      </c>
      <c r="P36" s="5">
        <f>INDEX(rrcworking[Disposition Volume (MCF) @ 14.65 MCF],MATCH('Mar 2020 EDI'!F36,rrcworking[RRC ID],0))</f>
        <v>0</v>
      </c>
      <c r="Y36" s="5">
        <f>INDEX(rrcworking[Oil Production],MATCH('Mar 2020 EDI'!F36,rrcworking[RRC ID],0))</f>
        <v>0</v>
      </c>
      <c r="AA36" s="5">
        <f>INDEX(rrcworking[Sales/Dispostion],MATCH('Mar 2020 EDI'!F36,rrcworking[RRC ID],0))</f>
        <v>0</v>
      </c>
      <c r="AQ36" s="5">
        <f>INDEX(rrcworking[Closing Stock (Oil)],MATCH('Mar 2020 EDI'!F36,rrcworking[RRC ID],0))</f>
        <v>0</v>
      </c>
    </row>
    <row r="37" spans="1:43">
      <c r="A37" s="4" t="s">
        <v>1</v>
      </c>
      <c r="B37" s="1" t="s">
        <v>936</v>
      </c>
      <c r="C37" s="10" t="s">
        <v>910</v>
      </c>
      <c r="D37" s="1" t="s">
        <v>618</v>
      </c>
      <c r="E37" s="1" t="s">
        <v>59</v>
      </c>
      <c r="F37" s="1" t="s">
        <v>450</v>
      </c>
      <c r="I37" s="10" t="s">
        <v>3</v>
      </c>
      <c r="J37" s="123" t="s">
        <v>3</v>
      </c>
      <c r="K37" s="1" t="s">
        <v>1091</v>
      </c>
      <c r="M37" s="5">
        <v>202003</v>
      </c>
      <c r="N37" s="5">
        <f>INDEX(rrcworking[Formation Production (MCF) @ 14.65 psi],MATCH('Mar 2020 EDI'!F37,rrcworking[RRC ID],0))</f>
        <v>0</v>
      </c>
      <c r="O37" s="5">
        <f>INDEX(rrcworking[Lease Use (MCF)],MATCH('Mar 2020 EDI'!F37,rrcworking[RRC ID],0))</f>
        <v>0</v>
      </c>
      <c r="P37" s="5">
        <f>INDEX(rrcworking[Disposition Volume (MCF) @ 14.65 MCF],MATCH('Mar 2020 EDI'!F37,rrcworking[RRC ID],0))</f>
        <v>0</v>
      </c>
      <c r="Y37" s="5">
        <f>INDEX(rrcworking[Oil Production],MATCH('Mar 2020 EDI'!F37,rrcworking[RRC ID],0))</f>
        <v>0</v>
      </c>
      <c r="AA37" s="5">
        <f>INDEX(rrcworking[Sales/Dispostion],MATCH('Mar 2020 EDI'!F37,rrcworking[RRC ID],0))</f>
        <v>0</v>
      </c>
      <c r="AQ37" s="5">
        <f>INDEX(rrcworking[Closing Stock (Oil)],MATCH('Mar 2020 EDI'!F37,rrcworking[RRC ID],0))</f>
        <v>0</v>
      </c>
    </row>
    <row r="38" spans="1:43">
      <c r="A38" s="4" t="s">
        <v>1</v>
      </c>
      <c r="B38" s="1" t="s">
        <v>937</v>
      </c>
      <c r="C38" s="10" t="s">
        <v>910</v>
      </c>
      <c r="D38" s="1" t="s">
        <v>618</v>
      </c>
      <c r="E38" s="1" t="s">
        <v>59</v>
      </c>
      <c r="F38" s="1" t="s">
        <v>451</v>
      </c>
      <c r="I38" s="10" t="s">
        <v>3</v>
      </c>
      <c r="J38" s="123" t="s">
        <v>3</v>
      </c>
      <c r="K38" s="1" t="s">
        <v>1091</v>
      </c>
      <c r="M38" s="5">
        <v>202003</v>
      </c>
      <c r="N38" s="5">
        <f>INDEX(rrcworking[Formation Production (MCF) @ 14.65 psi],MATCH('Mar 2020 EDI'!F38,rrcworking[RRC ID],0))</f>
        <v>0</v>
      </c>
      <c r="O38" s="5">
        <f>INDEX(rrcworking[Lease Use (MCF)],MATCH('Mar 2020 EDI'!F38,rrcworking[RRC ID],0))</f>
        <v>0</v>
      </c>
      <c r="P38" s="5">
        <f>INDEX(rrcworking[Disposition Volume (MCF) @ 14.65 MCF],MATCH('Mar 2020 EDI'!F38,rrcworking[RRC ID],0))</f>
        <v>0</v>
      </c>
      <c r="Y38" s="5">
        <f>INDEX(rrcworking[Oil Production],MATCH('Mar 2020 EDI'!F38,rrcworking[RRC ID],0))</f>
        <v>0</v>
      </c>
      <c r="AA38" s="5">
        <f>INDEX(rrcworking[Sales/Dispostion],MATCH('Mar 2020 EDI'!F38,rrcworking[RRC ID],0))</f>
        <v>0</v>
      </c>
      <c r="AQ38" s="5">
        <f>INDEX(rrcworking[Closing Stock (Oil)],MATCH('Mar 2020 EDI'!F38,rrcworking[RRC ID],0))</f>
        <v>0</v>
      </c>
    </row>
    <row r="39" spans="1:43">
      <c r="A39" s="4" t="s">
        <v>1</v>
      </c>
      <c r="B39" s="1" t="s">
        <v>938</v>
      </c>
      <c r="C39" s="10" t="s">
        <v>910</v>
      </c>
      <c r="D39" s="1" t="s">
        <v>618</v>
      </c>
      <c r="E39" s="1" t="s">
        <v>2</v>
      </c>
      <c r="F39" s="1" t="s">
        <v>452</v>
      </c>
      <c r="I39" s="10" t="s">
        <v>3</v>
      </c>
      <c r="J39" s="123" t="s">
        <v>3</v>
      </c>
      <c r="K39" s="1" t="s">
        <v>1091</v>
      </c>
      <c r="M39" s="5">
        <v>202003</v>
      </c>
      <c r="N39" s="5">
        <f>INDEX(rrcworking[Formation Production (MCF) @ 14.65 psi],MATCH('Mar 2020 EDI'!F39,rrcworking[RRC ID],0))</f>
        <v>0</v>
      </c>
      <c r="O39" s="5">
        <f>INDEX(rrcworking[Lease Use (MCF)],MATCH('Mar 2020 EDI'!F39,rrcworking[RRC ID],0))</f>
        <v>0</v>
      </c>
      <c r="P39" s="5">
        <f>INDEX(rrcworking[Disposition Volume (MCF) @ 14.65 MCF],MATCH('Mar 2020 EDI'!F39,rrcworking[RRC ID],0))</f>
        <v>0</v>
      </c>
      <c r="Y39" s="5">
        <f>INDEX(rrcworking[Oil Production],MATCH('Mar 2020 EDI'!F39,rrcworking[RRC ID],0))</f>
        <v>0</v>
      </c>
      <c r="AA39" s="5">
        <f>INDEX(rrcworking[Sales/Dispostion],MATCH('Mar 2020 EDI'!F39,rrcworking[RRC ID],0))</f>
        <v>0</v>
      </c>
      <c r="AQ39" s="5">
        <f>INDEX(rrcworking[Closing Stock (Oil)],MATCH('Mar 2020 EDI'!F39,rrcworking[RRC ID],0))</f>
        <v>0</v>
      </c>
    </row>
    <row r="40" spans="1:43">
      <c r="A40" s="4" t="s">
        <v>1</v>
      </c>
      <c r="B40" s="1" t="s">
        <v>939</v>
      </c>
      <c r="C40" s="10" t="s">
        <v>910</v>
      </c>
      <c r="D40" s="1" t="s">
        <v>618</v>
      </c>
      <c r="E40" s="1" t="s">
        <v>59</v>
      </c>
      <c r="F40" s="1" t="s">
        <v>453</v>
      </c>
      <c r="I40" s="10" t="s">
        <v>3</v>
      </c>
      <c r="J40" s="123" t="s">
        <v>3</v>
      </c>
      <c r="K40" s="1" t="s">
        <v>1091</v>
      </c>
      <c r="M40" s="5">
        <v>202003</v>
      </c>
      <c r="N40" s="5">
        <f>INDEX(rrcworking[Formation Production (MCF) @ 14.65 psi],MATCH('Mar 2020 EDI'!F40,rrcworking[RRC ID],0))</f>
        <v>0</v>
      </c>
      <c r="O40" s="5">
        <f>INDEX(rrcworking[Lease Use (MCF)],MATCH('Mar 2020 EDI'!F40,rrcworking[RRC ID],0))</f>
        <v>0</v>
      </c>
      <c r="P40" s="5">
        <f>INDEX(rrcworking[Disposition Volume (MCF) @ 14.65 MCF],MATCH('Mar 2020 EDI'!F40,rrcworking[RRC ID],0))</f>
        <v>0</v>
      </c>
      <c r="Y40" s="5">
        <f>INDEX(rrcworking[Oil Production],MATCH('Mar 2020 EDI'!F40,rrcworking[RRC ID],0))</f>
        <v>0</v>
      </c>
      <c r="AA40" s="5">
        <f>INDEX(rrcworking[Sales/Dispostion],MATCH('Mar 2020 EDI'!F40,rrcworking[RRC ID],0))</f>
        <v>0</v>
      </c>
      <c r="AQ40" s="5">
        <f>INDEX(rrcworking[Closing Stock (Oil)],MATCH('Mar 2020 EDI'!F40,rrcworking[RRC ID],0))</f>
        <v>0</v>
      </c>
    </row>
    <row r="41" spans="1:43">
      <c r="A41" s="4" t="s">
        <v>1</v>
      </c>
      <c r="B41" s="1" t="s">
        <v>940</v>
      </c>
      <c r="C41" s="10" t="s">
        <v>910</v>
      </c>
      <c r="D41" s="1" t="s">
        <v>618</v>
      </c>
      <c r="E41" s="1" t="s">
        <v>59</v>
      </c>
      <c r="F41" s="1" t="s">
        <v>454</v>
      </c>
      <c r="I41" s="10" t="s">
        <v>3</v>
      </c>
      <c r="J41" s="123" t="s">
        <v>3</v>
      </c>
      <c r="K41" s="1" t="s">
        <v>1091</v>
      </c>
      <c r="M41" s="5">
        <v>202003</v>
      </c>
      <c r="N41" s="5">
        <f>INDEX(rrcworking[Formation Production (MCF) @ 14.65 psi],MATCH('Mar 2020 EDI'!F41,rrcworking[RRC ID],0))</f>
        <v>0</v>
      </c>
      <c r="O41" s="5">
        <f>INDEX(rrcworking[Lease Use (MCF)],MATCH('Mar 2020 EDI'!F41,rrcworking[RRC ID],0))</f>
        <v>0</v>
      </c>
      <c r="P41" s="5">
        <f>INDEX(rrcworking[Disposition Volume (MCF) @ 14.65 MCF],MATCH('Mar 2020 EDI'!F41,rrcworking[RRC ID],0))</f>
        <v>0</v>
      </c>
      <c r="Y41" s="5">
        <f>INDEX(rrcworking[Oil Production],MATCH('Mar 2020 EDI'!F41,rrcworking[RRC ID],0))</f>
        <v>0</v>
      </c>
      <c r="AA41" s="5">
        <f>INDEX(rrcworking[Sales/Dispostion],MATCH('Mar 2020 EDI'!F41,rrcworking[RRC ID],0))</f>
        <v>0</v>
      </c>
      <c r="AQ41" s="5">
        <f>INDEX(rrcworking[Closing Stock (Oil)],MATCH('Mar 2020 EDI'!F41,rrcworking[RRC ID],0))</f>
        <v>0</v>
      </c>
    </row>
    <row r="42" spans="1:43">
      <c r="A42" s="4" t="s">
        <v>1</v>
      </c>
      <c r="B42" s="1" t="s">
        <v>941</v>
      </c>
      <c r="C42" s="10" t="s">
        <v>910</v>
      </c>
      <c r="D42" s="1" t="s">
        <v>618</v>
      </c>
      <c r="E42" s="1" t="s">
        <v>59</v>
      </c>
      <c r="F42" s="1" t="s">
        <v>455</v>
      </c>
      <c r="I42" s="10" t="s">
        <v>3</v>
      </c>
      <c r="J42" s="123" t="s">
        <v>3</v>
      </c>
      <c r="K42" s="1" t="s">
        <v>1091</v>
      </c>
      <c r="M42" s="5">
        <v>202003</v>
      </c>
      <c r="N42" s="5">
        <f>INDEX(rrcworking[Formation Production (MCF) @ 14.65 psi],MATCH('Mar 2020 EDI'!F42,rrcworking[RRC ID],0))</f>
        <v>0</v>
      </c>
      <c r="O42" s="5">
        <f>INDEX(rrcworking[Lease Use (MCF)],MATCH('Mar 2020 EDI'!F42,rrcworking[RRC ID],0))</f>
        <v>0</v>
      </c>
      <c r="P42" s="5">
        <f>INDEX(rrcworking[Disposition Volume (MCF) @ 14.65 MCF],MATCH('Mar 2020 EDI'!F42,rrcworking[RRC ID],0))</f>
        <v>0</v>
      </c>
      <c r="Y42" s="5">
        <f>INDEX(rrcworking[Oil Production],MATCH('Mar 2020 EDI'!F42,rrcworking[RRC ID],0))</f>
        <v>0</v>
      </c>
      <c r="AA42" s="5">
        <f>INDEX(rrcworking[Sales/Dispostion],MATCH('Mar 2020 EDI'!F42,rrcworking[RRC ID],0))</f>
        <v>0</v>
      </c>
      <c r="AQ42" s="5">
        <f>INDEX(rrcworking[Closing Stock (Oil)],MATCH('Mar 2020 EDI'!F42,rrcworking[RRC ID],0))</f>
        <v>0</v>
      </c>
    </row>
    <row r="43" spans="1:43">
      <c r="A43" s="4" t="s">
        <v>1</v>
      </c>
      <c r="B43" s="1" t="s">
        <v>942</v>
      </c>
      <c r="C43" s="10" t="s">
        <v>910</v>
      </c>
      <c r="D43" s="1" t="s">
        <v>618</v>
      </c>
      <c r="E43" s="1" t="s">
        <v>59</v>
      </c>
      <c r="F43" s="1" t="s">
        <v>456</v>
      </c>
      <c r="I43" s="10" t="s">
        <v>3</v>
      </c>
      <c r="J43" s="123" t="s">
        <v>3</v>
      </c>
      <c r="K43" s="1" t="s">
        <v>1091</v>
      </c>
      <c r="M43" s="5">
        <v>202003</v>
      </c>
      <c r="N43" s="5">
        <f>INDEX(rrcworking[Formation Production (MCF) @ 14.65 psi],MATCH('Mar 2020 EDI'!F43,rrcworking[RRC ID],0))</f>
        <v>0</v>
      </c>
      <c r="O43" s="5">
        <f>INDEX(rrcworking[Lease Use (MCF)],MATCH('Mar 2020 EDI'!F43,rrcworking[RRC ID],0))</f>
        <v>0</v>
      </c>
      <c r="P43" s="5">
        <f>INDEX(rrcworking[Disposition Volume (MCF) @ 14.65 MCF],MATCH('Mar 2020 EDI'!F43,rrcworking[RRC ID],0))</f>
        <v>0</v>
      </c>
      <c r="Y43" s="5">
        <f>INDEX(rrcworking[Oil Production],MATCH('Mar 2020 EDI'!F43,rrcworking[RRC ID],0))</f>
        <v>0</v>
      </c>
      <c r="AA43" s="5">
        <f>INDEX(rrcworking[Sales/Dispostion],MATCH('Mar 2020 EDI'!F43,rrcworking[RRC ID],0))</f>
        <v>0</v>
      </c>
      <c r="AQ43" s="5">
        <f>INDEX(rrcworking[Closing Stock (Oil)],MATCH('Mar 2020 EDI'!F43,rrcworking[RRC ID],0))</f>
        <v>0</v>
      </c>
    </row>
    <row r="44" spans="1:43">
      <c r="A44" s="4" t="s">
        <v>1</v>
      </c>
      <c r="B44" s="1" t="s">
        <v>943</v>
      </c>
      <c r="C44" s="10" t="s">
        <v>910</v>
      </c>
      <c r="D44" s="1" t="s">
        <v>618</v>
      </c>
      <c r="E44" s="1" t="s">
        <v>2</v>
      </c>
      <c r="F44" s="1" t="s">
        <v>457</v>
      </c>
      <c r="I44" s="10" t="s">
        <v>3</v>
      </c>
      <c r="J44" s="123" t="s">
        <v>3</v>
      </c>
      <c r="K44" s="1" t="s">
        <v>1091</v>
      </c>
      <c r="M44" s="5">
        <v>202003</v>
      </c>
      <c r="N44" s="5">
        <f>INDEX(rrcworking[Formation Production (MCF) @ 14.65 psi],MATCH('Mar 2020 EDI'!F44,rrcworking[RRC ID],0))</f>
        <v>0</v>
      </c>
      <c r="O44" s="5">
        <f>INDEX(rrcworking[Lease Use (MCF)],MATCH('Mar 2020 EDI'!F44,rrcworking[RRC ID],0))</f>
        <v>0</v>
      </c>
      <c r="P44" s="5">
        <f>INDEX(rrcworking[Disposition Volume (MCF) @ 14.65 MCF],MATCH('Mar 2020 EDI'!F44,rrcworking[RRC ID],0))</f>
        <v>0</v>
      </c>
      <c r="Y44" s="5">
        <f>INDEX(rrcworking[Oil Production],MATCH('Mar 2020 EDI'!F44,rrcworking[RRC ID],0))</f>
        <v>76</v>
      </c>
      <c r="AA44" s="5">
        <f>INDEX(rrcworking[Sales/Dispostion],MATCH('Mar 2020 EDI'!F44,rrcworking[RRC ID],0))</f>
        <v>185</v>
      </c>
      <c r="AQ44" s="5">
        <f>INDEX(rrcworking[Closing Stock (Oil)],MATCH('Mar 2020 EDI'!F44,rrcworking[RRC ID],0))</f>
        <v>177</v>
      </c>
    </row>
    <row r="45" spans="1:43">
      <c r="A45" s="4" t="s">
        <v>1</v>
      </c>
      <c r="B45" s="1" t="s">
        <v>944</v>
      </c>
      <c r="C45" s="10" t="s">
        <v>910</v>
      </c>
      <c r="D45" s="1" t="s">
        <v>619</v>
      </c>
      <c r="E45" s="1" t="s">
        <v>2</v>
      </c>
      <c r="F45" s="1" t="s">
        <v>458</v>
      </c>
      <c r="I45" s="10" t="s">
        <v>3</v>
      </c>
      <c r="J45" s="123" t="s">
        <v>3</v>
      </c>
      <c r="K45" s="1" t="s">
        <v>1091</v>
      </c>
      <c r="M45" s="5">
        <v>202003</v>
      </c>
      <c r="N45" s="5">
        <f>INDEX(rrcworking[Formation Production (MCF) @ 14.65 psi],MATCH('Mar 2020 EDI'!F45,rrcworking[RRC ID],0))</f>
        <v>0</v>
      </c>
      <c r="O45" s="5">
        <f>INDEX(rrcworking[Lease Use (MCF)],MATCH('Mar 2020 EDI'!F45,rrcworking[RRC ID],0))</f>
        <v>0</v>
      </c>
      <c r="P45" s="5">
        <f>INDEX(rrcworking[Disposition Volume (MCF) @ 14.65 MCF],MATCH('Mar 2020 EDI'!F45,rrcworking[RRC ID],0))</f>
        <v>0</v>
      </c>
      <c r="Y45" s="5">
        <f>INDEX(rrcworking[Oil Production],MATCH('Mar 2020 EDI'!F45,rrcworking[RRC ID],0))</f>
        <v>0</v>
      </c>
      <c r="AA45" s="5">
        <f>INDEX(rrcworking[Sales/Dispostion],MATCH('Mar 2020 EDI'!F45,rrcworking[RRC ID],0))</f>
        <v>0</v>
      </c>
      <c r="AQ45" s="5">
        <f>INDEX(rrcworking[Closing Stock (Oil)],MATCH('Mar 2020 EDI'!F45,rrcworking[RRC ID],0))</f>
        <v>0</v>
      </c>
    </row>
    <row r="46" spans="1:43">
      <c r="A46" s="4" t="s">
        <v>1</v>
      </c>
      <c r="B46" s="1" t="s">
        <v>945</v>
      </c>
      <c r="C46" s="10" t="s">
        <v>910</v>
      </c>
      <c r="D46" s="1" t="s">
        <v>619</v>
      </c>
      <c r="E46" s="1" t="s">
        <v>59</v>
      </c>
      <c r="F46" s="1" t="s">
        <v>459</v>
      </c>
      <c r="I46" s="10" t="s">
        <v>3</v>
      </c>
      <c r="J46" s="123" t="s">
        <v>3</v>
      </c>
      <c r="K46" s="1" t="s">
        <v>1091</v>
      </c>
      <c r="M46" s="5">
        <v>202003</v>
      </c>
      <c r="N46" s="5">
        <f>INDEX(rrcworking[Formation Production (MCF) @ 14.65 psi],MATCH('Mar 2020 EDI'!F46,rrcworking[RRC ID],0))</f>
        <v>64026</v>
      </c>
      <c r="O46" s="5">
        <f>INDEX(rrcworking[Lease Use (MCF)],MATCH('Mar 2020 EDI'!F46,rrcworking[RRC ID],0))</f>
        <v>651</v>
      </c>
      <c r="P46" s="5">
        <f>INDEX(rrcworking[Disposition Volume (MCF) @ 14.65 MCF],MATCH('Mar 2020 EDI'!F46,rrcworking[RRC ID],0))</f>
        <v>63375</v>
      </c>
      <c r="Y46" s="5">
        <f>INDEX(rrcworking[Oil Production],MATCH('Mar 2020 EDI'!F46,rrcworking[RRC ID],0))</f>
        <v>1130</v>
      </c>
      <c r="AA46" s="5">
        <f>INDEX(rrcworking[Sales/Dispostion],MATCH('Mar 2020 EDI'!F46,rrcworking[RRC ID],0))</f>
        <v>1340</v>
      </c>
      <c r="AQ46" s="5">
        <f>INDEX(rrcworking[Closing Stock (Oil)],MATCH('Mar 2020 EDI'!F46,rrcworking[RRC ID],0))</f>
        <v>218</v>
      </c>
    </row>
    <row r="47" spans="1:43">
      <c r="A47" s="4" t="s">
        <v>1</v>
      </c>
      <c r="B47" s="1" t="s">
        <v>946</v>
      </c>
      <c r="C47" s="10" t="s">
        <v>910</v>
      </c>
      <c r="D47" s="1" t="s">
        <v>619</v>
      </c>
      <c r="E47" s="1" t="s">
        <v>59</v>
      </c>
      <c r="F47" s="1" t="s">
        <v>460</v>
      </c>
      <c r="I47" s="10" t="s">
        <v>3</v>
      </c>
      <c r="J47" s="123" t="s">
        <v>3</v>
      </c>
      <c r="K47" s="1" t="s">
        <v>1091</v>
      </c>
      <c r="M47" s="5">
        <v>202003</v>
      </c>
      <c r="N47" s="5">
        <f>INDEX(rrcworking[Formation Production (MCF) @ 14.65 psi],MATCH('Mar 2020 EDI'!F47,rrcworking[RRC ID],0))</f>
        <v>0</v>
      </c>
      <c r="O47" s="5">
        <f>INDEX(rrcworking[Lease Use (MCF)],MATCH('Mar 2020 EDI'!F47,rrcworking[RRC ID],0))</f>
        <v>0</v>
      </c>
      <c r="P47" s="5">
        <f>INDEX(rrcworking[Disposition Volume (MCF) @ 14.65 MCF],MATCH('Mar 2020 EDI'!F47,rrcworking[RRC ID],0))</f>
        <v>0</v>
      </c>
      <c r="Y47" s="5">
        <f>INDEX(rrcworking[Oil Production],MATCH('Mar 2020 EDI'!F47,rrcworking[RRC ID],0))</f>
        <v>0</v>
      </c>
      <c r="AA47" s="5">
        <f>INDEX(rrcworking[Sales/Dispostion],MATCH('Mar 2020 EDI'!F47,rrcworking[RRC ID],0))</f>
        <v>0</v>
      </c>
      <c r="AQ47" s="5">
        <f>INDEX(rrcworking[Closing Stock (Oil)],MATCH('Mar 2020 EDI'!F47,rrcworking[RRC ID],0))</f>
        <v>53</v>
      </c>
    </row>
    <row r="48" spans="1:43">
      <c r="A48" s="4" t="s">
        <v>1</v>
      </c>
      <c r="B48" s="1" t="s">
        <v>947</v>
      </c>
      <c r="C48" s="10" t="s">
        <v>910</v>
      </c>
      <c r="D48" s="1" t="s">
        <v>619</v>
      </c>
      <c r="E48" s="1" t="s">
        <v>2</v>
      </c>
      <c r="F48" s="1" t="s">
        <v>461</v>
      </c>
      <c r="I48" s="10" t="s">
        <v>3</v>
      </c>
      <c r="J48" s="123" t="s">
        <v>3</v>
      </c>
      <c r="K48" s="1" t="s">
        <v>1091</v>
      </c>
      <c r="M48" s="5">
        <v>202003</v>
      </c>
      <c r="N48" s="5">
        <f>INDEX(rrcworking[Formation Production (MCF) @ 14.65 psi],MATCH('Mar 2020 EDI'!F48,rrcworking[RRC ID],0))</f>
        <v>0</v>
      </c>
      <c r="O48" s="5">
        <f>INDEX(rrcworking[Lease Use (MCF)],MATCH('Mar 2020 EDI'!F48,rrcworking[RRC ID],0))</f>
        <v>0</v>
      </c>
      <c r="P48" s="5">
        <f>INDEX(rrcworking[Disposition Volume (MCF) @ 14.65 MCF],MATCH('Mar 2020 EDI'!F48,rrcworking[RRC ID],0))</f>
        <v>0</v>
      </c>
      <c r="Y48" s="5">
        <f>INDEX(rrcworking[Oil Production],MATCH('Mar 2020 EDI'!F48,rrcworking[RRC ID],0))</f>
        <v>0</v>
      </c>
      <c r="AA48" s="5">
        <f>INDEX(rrcworking[Sales/Dispostion],MATCH('Mar 2020 EDI'!F48,rrcworking[RRC ID],0))</f>
        <v>0</v>
      </c>
      <c r="AQ48" s="5">
        <f>INDEX(rrcworking[Closing Stock (Oil)],MATCH('Mar 2020 EDI'!F48,rrcworking[RRC ID],0))</f>
        <v>139</v>
      </c>
    </row>
    <row r="49" spans="1:43">
      <c r="A49" s="4" t="s">
        <v>1</v>
      </c>
      <c r="B49" s="1" t="s">
        <v>948</v>
      </c>
      <c r="C49" s="10" t="s">
        <v>910</v>
      </c>
      <c r="D49" s="1" t="s">
        <v>619</v>
      </c>
      <c r="E49" s="1" t="s">
        <v>2</v>
      </c>
      <c r="F49" s="1" t="s">
        <v>462</v>
      </c>
      <c r="I49" s="10" t="s">
        <v>3</v>
      </c>
      <c r="J49" s="123" t="s">
        <v>3</v>
      </c>
      <c r="K49" s="1" t="s">
        <v>1091</v>
      </c>
      <c r="M49" s="5">
        <v>202003</v>
      </c>
      <c r="N49" s="5">
        <f>INDEX(rrcworking[Formation Production (MCF) @ 14.65 psi],MATCH('Mar 2020 EDI'!F49,rrcworking[RRC ID],0))</f>
        <v>0</v>
      </c>
      <c r="O49" s="5">
        <f>INDEX(rrcworking[Lease Use (MCF)],MATCH('Mar 2020 EDI'!F49,rrcworking[RRC ID],0))</f>
        <v>0</v>
      </c>
      <c r="P49" s="5">
        <f>INDEX(rrcworking[Disposition Volume (MCF) @ 14.65 MCF],MATCH('Mar 2020 EDI'!F49,rrcworking[RRC ID],0))</f>
        <v>0</v>
      </c>
      <c r="Y49" s="5">
        <f>INDEX(rrcworking[Oil Production],MATCH('Mar 2020 EDI'!F49,rrcworking[RRC ID],0))</f>
        <v>0</v>
      </c>
      <c r="AA49" s="5">
        <f>INDEX(rrcworking[Sales/Dispostion],MATCH('Mar 2020 EDI'!F49,rrcworking[RRC ID],0))</f>
        <v>0</v>
      </c>
      <c r="AQ49" s="5">
        <f>INDEX(rrcworking[Closing Stock (Oil)],MATCH('Mar 2020 EDI'!F49,rrcworking[RRC ID],0))</f>
        <v>0</v>
      </c>
    </row>
    <row r="50" spans="1:43">
      <c r="A50" s="4" t="s">
        <v>1</v>
      </c>
      <c r="B50" s="1" t="s">
        <v>949</v>
      </c>
      <c r="C50" s="10" t="s">
        <v>910</v>
      </c>
      <c r="D50" s="1" t="s">
        <v>619</v>
      </c>
      <c r="E50" s="1" t="s">
        <v>2</v>
      </c>
      <c r="F50" s="1" t="s">
        <v>463</v>
      </c>
      <c r="I50" s="10" t="s">
        <v>3</v>
      </c>
      <c r="J50" s="123" t="s">
        <v>3</v>
      </c>
      <c r="K50" s="1" t="s">
        <v>1091</v>
      </c>
      <c r="M50" s="5">
        <v>202003</v>
      </c>
      <c r="N50" s="5">
        <f>INDEX(rrcworking[Formation Production (MCF) @ 14.65 psi],MATCH('Mar 2020 EDI'!F50,rrcworking[RRC ID],0))</f>
        <v>0</v>
      </c>
      <c r="O50" s="5">
        <f>INDEX(rrcworking[Lease Use (MCF)],MATCH('Mar 2020 EDI'!F50,rrcworking[RRC ID],0))</f>
        <v>0</v>
      </c>
      <c r="P50" s="5">
        <f>INDEX(rrcworking[Disposition Volume (MCF) @ 14.65 MCF],MATCH('Mar 2020 EDI'!F50,rrcworking[RRC ID],0))</f>
        <v>0</v>
      </c>
      <c r="Y50" s="5">
        <f>INDEX(rrcworking[Oil Production],MATCH('Mar 2020 EDI'!F50,rrcworking[RRC ID],0))</f>
        <v>0</v>
      </c>
      <c r="AA50" s="5">
        <f>INDEX(rrcworking[Sales/Dispostion],MATCH('Mar 2020 EDI'!F50,rrcworking[RRC ID],0))</f>
        <v>0</v>
      </c>
      <c r="AQ50" s="5">
        <f>INDEX(rrcworking[Closing Stock (Oil)],MATCH('Mar 2020 EDI'!F50,rrcworking[RRC ID],0))</f>
        <v>28</v>
      </c>
    </row>
    <row r="51" spans="1:43">
      <c r="A51" s="4" t="s">
        <v>1</v>
      </c>
      <c r="B51" s="1" t="s">
        <v>950</v>
      </c>
      <c r="C51" s="10" t="s">
        <v>910</v>
      </c>
      <c r="D51" s="1" t="s">
        <v>619</v>
      </c>
      <c r="E51" s="1" t="s">
        <v>2</v>
      </c>
      <c r="F51" s="1" t="s">
        <v>464</v>
      </c>
      <c r="I51" s="10" t="s">
        <v>3</v>
      </c>
      <c r="J51" s="123" t="s">
        <v>3</v>
      </c>
      <c r="K51" s="1" t="s">
        <v>1091</v>
      </c>
      <c r="M51" s="5">
        <v>202003</v>
      </c>
      <c r="N51" s="5">
        <f>INDEX(rrcworking[Formation Production (MCF) @ 14.65 psi],MATCH('Mar 2020 EDI'!F51,rrcworking[RRC ID],0))</f>
        <v>622</v>
      </c>
      <c r="O51" s="5">
        <f>INDEX(rrcworking[Lease Use (MCF)],MATCH('Mar 2020 EDI'!F51,rrcworking[RRC ID],0))</f>
        <v>0</v>
      </c>
      <c r="P51" s="5">
        <f>INDEX(rrcworking[Disposition Volume (MCF) @ 14.65 MCF],MATCH('Mar 2020 EDI'!F51,rrcworking[RRC ID],0))</f>
        <v>622</v>
      </c>
      <c r="Y51" s="5">
        <f>INDEX(rrcworking[Oil Production],MATCH('Mar 2020 EDI'!F51,rrcworking[RRC ID],0))</f>
        <v>0</v>
      </c>
      <c r="AA51" s="5">
        <f>INDEX(rrcworking[Sales/Dispostion],MATCH('Mar 2020 EDI'!F51,rrcworking[RRC ID],0))</f>
        <v>136</v>
      </c>
      <c r="AQ51" s="5">
        <f>INDEX(rrcworking[Closing Stock (Oil)],MATCH('Mar 2020 EDI'!F51,rrcworking[RRC ID],0))</f>
        <v>51</v>
      </c>
    </row>
    <row r="52" spans="1:43">
      <c r="A52" s="4" t="s">
        <v>1</v>
      </c>
      <c r="B52" s="1" t="s">
        <v>951</v>
      </c>
      <c r="C52" s="10" t="s">
        <v>910</v>
      </c>
      <c r="D52" s="1" t="s">
        <v>619</v>
      </c>
      <c r="E52" s="1" t="s">
        <v>59</v>
      </c>
      <c r="F52" s="1" t="s">
        <v>465</v>
      </c>
      <c r="I52" s="10" t="s">
        <v>3</v>
      </c>
      <c r="J52" s="123" t="s">
        <v>3</v>
      </c>
      <c r="K52" s="1" t="s">
        <v>1091</v>
      </c>
      <c r="M52" s="5">
        <v>202003</v>
      </c>
      <c r="N52" s="5">
        <f>INDEX(rrcworking[Formation Production (MCF) @ 14.65 psi],MATCH('Mar 2020 EDI'!F52,rrcworking[RRC ID],0))</f>
        <v>0</v>
      </c>
      <c r="O52" s="5">
        <f>INDEX(rrcworking[Lease Use (MCF)],MATCH('Mar 2020 EDI'!F52,rrcworking[RRC ID],0))</f>
        <v>0</v>
      </c>
      <c r="P52" s="5">
        <f>INDEX(rrcworking[Disposition Volume (MCF) @ 14.65 MCF],MATCH('Mar 2020 EDI'!F52,rrcworking[RRC ID],0))</f>
        <v>0</v>
      </c>
      <c r="Y52" s="5">
        <f>INDEX(rrcworking[Oil Production],MATCH('Mar 2020 EDI'!F52,rrcworking[RRC ID],0))</f>
        <v>0</v>
      </c>
      <c r="AA52" s="5">
        <f>INDEX(rrcworking[Sales/Dispostion],MATCH('Mar 2020 EDI'!F52,rrcworking[RRC ID],0))</f>
        <v>0</v>
      </c>
      <c r="AQ52" s="5">
        <f>INDEX(rrcworking[Closing Stock (Oil)],MATCH('Mar 2020 EDI'!F52,rrcworking[RRC ID],0))</f>
        <v>0</v>
      </c>
    </row>
    <row r="53" spans="1:43">
      <c r="A53" s="4" t="s">
        <v>1</v>
      </c>
      <c r="B53" s="1" t="s">
        <v>952</v>
      </c>
      <c r="C53" s="10" t="s">
        <v>910</v>
      </c>
      <c r="D53" s="1" t="s">
        <v>619</v>
      </c>
      <c r="E53" s="1" t="s">
        <v>2</v>
      </c>
      <c r="F53" s="1" t="s">
        <v>466</v>
      </c>
      <c r="I53" s="10" t="s">
        <v>3</v>
      </c>
      <c r="J53" s="123" t="s">
        <v>3</v>
      </c>
      <c r="K53" s="1" t="s">
        <v>1091</v>
      </c>
      <c r="M53" s="5">
        <v>202003</v>
      </c>
      <c r="N53" s="5">
        <f>INDEX(rrcworking[Formation Production (MCF) @ 14.65 psi],MATCH('Mar 2020 EDI'!F53,rrcworking[RRC ID],0))</f>
        <v>0</v>
      </c>
      <c r="O53" s="5">
        <f>INDEX(rrcworking[Lease Use (MCF)],MATCH('Mar 2020 EDI'!F53,rrcworking[RRC ID],0))</f>
        <v>0</v>
      </c>
      <c r="P53" s="5">
        <f>INDEX(rrcworking[Disposition Volume (MCF) @ 14.65 MCF],MATCH('Mar 2020 EDI'!F53,rrcworking[RRC ID],0))</f>
        <v>0</v>
      </c>
      <c r="Y53" s="5">
        <f>INDEX(rrcworking[Oil Production],MATCH('Mar 2020 EDI'!F53,rrcworking[RRC ID],0))</f>
        <v>0</v>
      </c>
      <c r="AA53" s="5">
        <f>INDEX(rrcworking[Sales/Dispostion],MATCH('Mar 2020 EDI'!F53,rrcworking[RRC ID],0))</f>
        <v>0</v>
      </c>
      <c r="AQ53" s="5">
        <f>INDEX(rrcworking[Closing Stock (Oil)],MATCH('Mar 2020 EDI'!F53,rrcworking[RRC ID],0))</f>
        <v>32</v>
      </c>
    </row>
    <row r="54" spans="1:43">
      <c r="A54" s="4" t="s">
        <v>1</v>
      </c>
      <c r="B54" s="1" t="s">
        <v>953</v>
      </c>
      <c r="C54" s="10" t="s">
        <v>910</v>
      </c>
      <c r="D54" s="1" t="s">
        <v>619</v>
      </c>
      <c r="E54" s="1" t="s">
        <v>59</v>
      </c>
      <c r="F54" s="1" t="s">
        <v>467</v>
      </c>
      <c r="I54" s="10" t="s">
        <v>3</v>
      </c>
      <c r="J54" s="123" t="s">
        <v>3</v>
      </c>
      <c r="K54" s="1" t="s">
        <v>1091</v>
      </c>
      <c r="M54" s="5">
        <v>202003</v>
      </c>
      <c r="N54" s="5">
        <f>INDEX(rrcworking[Formation Production (MCF) @ 14.65 psi],MATCH('Mar 2020 EDI'!F54,rrcworking[RRC ID],0))</f>
        <v>0</v>
      </c>
      <c r="O54" s="5">
        <f>INDEX(rrcworking[Lease Use (MCF)],MATCH('Mar 2020 EDI'!F54,rrcworking[RRC ID],0))</f>
        <v>0</v>
      </c>
      <c r="P54" s="5">
        <f>INDEX(rrcworking[Disposition Volume (MCF) @ 14.65 MCF],MATCH('Mar 2020 EDI'!F54,rrcworking[RRC ID],0))</f>
        <v>0</v>
      </c>
      <c r="Y54" s="5">
        <f>INDEX(rrcworking[Oil Production],MATCH('Mar 2020 EDI'!F54,rrcworking[RRC ID],0))</f>
        <v>0</v>
      </c>
      <c r="AA54" s="5">
        <f>INDEX(rrcworking[Sales/Dispostion],MATCH('Mar 2020 EDI'!F54,rrcworking[RRC ID],0))</f>
        <v>0</v>
      </c>
      <c r="AQ54" s="5">
        <f>INDEX(rrcworking[Closing Stock (Oil)],MATCH('Mar 2020 EDI'!F54,rrcworking[RRC ID],0))</f>
        <v>0</v>
      </c>
    </row>
    <row r="55" spans="1:43">
      <c r="A55" s="4" t="s">
        <v>1</v>
      </c>
      <c r="B55" s="1" t="s">
        <v>954</v>
      </c>
      <c r="C55" s="10" t="s">
        <v>910</v>
      </c>
      <c r="D55" s="1" t="s">
        <v>619</v>
      </c>
      <c r="E55" s="1" t="s">
        <v>59</v>
      </c>
      <c r="F55" s="1" t="s">
        <v>468</v>
      </c>
      <c r="I55" s="10" t="s">
        <v>3</v>
      </c>
      <c r="J55" s="123" t="s">
        <v>3</v>
      </c>
      <c r="K55" s="1" t="s">
        <v>1091</v>
      </c>
      <c r="M55" s="5">
        <v>202003</v>
      </c>
      <c r="N55" s="5">
        <f>INDEX(rrcworking[Formation Production (MCF) @ 14.65 psi],MATCH('Mar 2020 EDI'!F55,rrcworking[RRC ID],0))</f>
        <v>0</v>
      </c>
      <c r="O55" s="5">
        <f>INDEX(rrcworking[Lease Use (MCF)],MATCH('Mar 2020 EDI'!F55,rrcworking[RRC ID],0))</f>
        <v>0</v>
      </c>
      <c r="P55" s="5">
        <f>INDEX(rrcworking[Disposition Volume (MCF) @ 14.65 MCF],MATCH('Mar 2020 EDI'!F55,rrcworking[RRC ID],0))</f>
        <v>0</v>
      </c>
      <c r="Y55" s="5">
        <f>INDEX(rrcworking[Oil Production],MATCH('Mar 2020 EDI'!F55,rrcworking[RRC ID],0))</f>
        <v>0</v>
      </c>
      <c r="AA55" s="5">
        <f>INDEX(rrcworking[Sales/Dispostion],MATCH('Mar 2020 EDI'!F55,rrcworking[RRC ID],0))</f>
        <v>0</v>
      </c>
      <c r="AQ55" s="5">
        <f>INDEX(rrcworking[Closing Stock (Oil)],MATCH('Mar 2020 EDI'!F55,rrcworking[RRC ID],0))</f>
        <v>0</v>
      </c>
    </row>
    <row r="56" spans="1:43">
      <c r="A56" s="4" t="s">
        <v>1</v>
      </c>
      <c r="B56" s="1" t="s">
        <v>955</v>
      </c>
      <c r="C56" s="10" t="s">
        <v>910</v>
      </c>
      <c r="D56" s="1" t="s">
        <v>619</v>
      </c>
      <c r="E56" s="1" t="s">
        <v>2</v>
      </c>
      <c r="F56" s="1" t="s">
        <v>469</v>
      </c>
      <c r="I56" s="10" t="s">
        <v>3</v>
      </c>
      <c r="J56" s="123" t="s">
        <v>3</v>
      </c>
      <c r="K56" s="1" t="s">
        <v>1091</v>
      </c>
      <c r="M56" s="5">
        <v>202003</v>
      </c>
      <c r="N56" s="5">
        <f>INDEX(rrcworking[Formation Production (MCF) @ 14.65 psi],MATCH('Mar 2020 EDI'!F56,rrcworking[RRC ID],0))</f>
        <v>0</v>
      </c>
      <c r="O56" s="5">
        <f>INDEX(rrcworking[Lease Use (MCF)],MATCH('Mar 2020 EDI'!F56,rrcworking[RRC ID],0))</f>
        <v>0</v>
      </c>
      <c r="P56" s="5">
        <f>INDEX(rrcworking[Disposition Volume (MCF) @ 14.65 MCF],MATCH('Mar 2020 EDI'!F56,rrcworking[RRC ID],0))</f>
        <v>0</v>
      </c>
      <c r="Y56" s="5">
        <f>INDEX(rrcworking[Oil Production],MATCH('Mar 2020 EDI'!F56,rrcworking[RRC ID],0))</f>
        <v>0</v>
      </c>
      <c r="AA56" s="5">
        <f>INDEX(rrcworking[Sales/Dispostion],MATCH('Mar 2020 EDI'!F56,rrcworking[RRC ID],0))</f>
        <v>0</v>
      </c>
      <c r="AQ56" s="5">
        <f>INDEX(rrcworking[Closing Stock (Oil)],MATCH('Mar 2020 EDI'!F56,rrcworking[RRC ID],0))</f>
        <v>108</v>
      </c>
    </row>
    <row r="57" spans="1:43">
      <c r="A57" s="4" t="s">
        <v>1</v>
      </c>
      <c r="B57" s="1" t="s">
        <v>956</v>
      </c>
      <c r="C57" s="10" t="s">
        <v>910</v>
      </c>
      <c r="D57" s="1" t="s">
        <v>619</v>
      </c>
      <c r="E57" s="1" t="s">
        <v>59</v>
      </c>
      <c r="F57" s="1" t="s">
        <v>470</v>
      </c>
      <c r="I57" s="10" t="s">
        <v>3</v>
      </c>
      <c r="J57" s="123" t="s">
        <v>3</v>
      </c>
      <c r="K57" s="1" t="s">
        <v>1091</v>
      </c>
      <c r="M57" s="5">
        <v>202003</v>
      </c>
      <c r="N57" s="5">
        <f>INDEX(rrcworking[Formation Production (MCF) @ 14.65 psi],MATCH('Mar 2020 EDI'!F57,rrcworking[RRC ID],0))</f>
        <v>0</v>
      </c>
      <c r="O57" s="5">
        <f>INDEX(rrcworking[Lease Use (MCF)],MATCH('Mar 2020 EDI'!F57,rrcworking[RRC ID],0))</f>
        <v>0</v>
      </c>
      <c r="P57" s="5">
        <f>INDEX(rrcworking[Disposition Volume (MCF) @ 14.65 MCF],MATCH('Mar 2020 EDI'!F57,rrcworking[RRC ID],0))</f>
        <v>0</v>
      </c>
      <c r="Y57" s="5">
        <f>INDEX(rrcworking[Oil Production],MATCH('Mar 2020 EDI'!F57,rrcworking[RRC ID],0))</f>
        <v>0</v>
      </c>
      <c r="AA57" s="5">
        <f>INDEX(rrcworking[Sales/Dispostion],MATCH('Mar 2020 EDI'!F57,rrcworking[RRC ID],0))</f>
        <v>0</v>
      </c>
      <c r="AQ57" s="5">
        <f>INDEX(rrcworking[Closing Stock (Oil)],MATCH('Mar 2020 EDI'!F57,rrcworking[RRC ID],0))</f>
        <v>0</v>
      </c>
    </row>
    <row r="58" spans="1:43">
      <c r="A58" s="4" t="s">
        <v>1</v>
      </c>
      <c r="B58" s="1" t="s">
        <v>957</v>
      </c>
      <c r="C58" s="10" t="s">
        <v>910</v>
      </c>
      <c r="D58" s="1" t="s">
        <v>619</v>
      </c>
      <c r="E58" s="1" t="s">
        <v>2</v>
      </c>
      <c r="F58" s="1" t="s">
        <v>471</v>
      </c>
      <c r="I58" s="10" t="s">
        <v>3</v>
      </c>
      <c r="J58" s="123" t="s">
        <v>3</v>
      </c>
      <c r="K58" s="1" t="s">
        <v>1091</v>
      </c>
      <c r="M58" s="5">
        <v>202003</v>
      </c>
      <c r="N58" s="5">
        <f>INDEX(rrcworking[Formation Production (MCF) @ 14.65 psi],MATCH('Mar 2020 EDI'!F58,rrcworking[RRC ID],0))</f>
        <v>0</v>
      </c>
      <c r="O58" s="5">
        <f>INDEX(rrcworking[Lease Use (MCF)],MATCH('Mar 2020 EDI'!F58,rrcworking[RRC ID],0))</f>
        <v>0</v>
      </c>
      <c r="P58" s="5">
        <f>INDEX(rrcworking[Disposition Volume (MCF) @ 14.65 MCF],MATCH('Mar 2020 EDI'!F58,rrcworking[RRC ID],0))</f>
        <v>0</v>
      </c>
      <c r="Y58" s="5">
        <f>INDEX(rrcworking[Oil Production],MATCH('Mar 2020 EDI'!F58,rrcworking[RRC ID],0))</f>
        <v>22</v>
      </c>
      <c r="AA58" s="5">
        <f>INDEX(rrcworking[Sales/Dispostion],MATCH('Mar 2020 EDI'!F58,rrcworking[RRC ID],0))</f>
        <v>157</v>
      </c>
      <c r="AQ58" s="5">
        <f>INDEX(rrcworking[Closing Stock (Oil)],MATCH('Mar 2020 EDI'!F58,rrcworking[RRC ID],0))</f>
        <v>149</v>
      </c>
    </row>
    <row r="59" spans="1:43">
      <c r="A59" s="4" t="s">
        <v>1</v>
      </c>
      <c r="B59" s="1" t="s">
        <v>958</v>
      </c>
      <c r="C59" s="10" t="s">
        <v>910</v>
      </c>
      <c r="D59" s="1" t="s">
        <v>619</v>
      </c>
      <c r="E59" s="1" t="s">
        <v>59</v>
      </c>
      <c r="F59" s="1" t="s">
        <v>472</v>
      </c>
      <c r="I59" s="10" t="s">
        <v>3</v>
      </c>
      <c r="J59" s="123" t="s">
        <v>3</v>
      </c>
      <c r="K59" s="1" t="s">
        <v>1091</v>
      </c>
      <c r="M59" s="5">
        <v>202003</v>
      </c>
      <c r="N59" s="5">
        <f>INDEX(rrcworking[Formation Production (MCF) @ 14.65 psi],MATCH('Mar 2020 EDI'!F59,rrcworking[RRC ID],0))</f>
        <v>0</v>
      </c>
      <c r="O59" s="5">
        <f>INDEX(rrcworking[Lease Use (MCF)],MATCH('Mar 2020 EDI'!F59,rrcworking[RRC ID],0))</f>
        <v>0</v>
      </c>
      <c r="P59" s="5">
        <f>INDEX(rrcworking[Disposition Volume (MCF) @ 14.65 MCF],MATCH('Mar 2020 EDI'!F59,rrcworking[RRC ID],0))</f>
        <v>0</v>
      </c>
      <c r="Y59" s="5">
        <f>INDEX(rrcworking[Oil Production],MATCH('Mar 2020 EDI'!F59,rrcworking[RRC ID],0))</f>
        <v>0</v>
      </c>
      <c r="AA59" s="5">
        <f>INDEX(rrcworking[Sales/Dispostion],MATCH('Mar 2020 EDI'!F59,rrcworking[RRC ID],0))</f>
        <v>0</v>
      </c>
      <c r="AQ59" s="5">
        <f>INDEX(rrcworking[Closing Stock (Oil)],MATCH('Mar 2020 EDI'!F59,rrcworking[RRC ID],0))</f>
        <v>0</v>
      </c>
    </row>
    <row r="60" spans="1:43">
      <c r="A60" s="4" t="s">
        <v>1</v>
      </c>
      <c r="B60" s="1" t="s">
        <v>959</v>
      </c>
      <c r="C60" s="10" t="s">
        <v>910</v>
      </c>
      <c r="D60" s="1" t="s">
        <v>619</v>
      </c>
      <c r="E60" s="1" t="s">
        <v>59</v>
      </c>
      <c r="F60" s="1" t="s">
        <v>473</v>
      </c>
      <c r="I60" s="10" t="s">
        <v>3</v>
      </c>
      <c r="J60" s="123" t="s">
        <v>3</v>
      </c>
      <c r="K60" s="1" t="s">
        <v>1091</v>
      </c>
      <c r="M60" s="5">
        <v>202003</v>
      </c>
      <c r="N60" s="5">
        <f>INDEX(rrcworking[Formation Production (MCF) @ 14.65 psi],MATCH('Mar 2020 EDI'!F60,rrcworking[RRC ID],0))</f>
        <v>2019</v>
      </c>
      <c r="O60" s="5">
        <f>INDEX(rrcworking[Lease Use (MCF)],MATCH('Mar 2020 EDI'!F60,rrcworking[RRC ID],0))</f>
        <v>0</v>
      </c>
      <c r="P60" s="5">
        <f>INDEX(rrcworking[Disposition Volume (MCF) @ 14.65 MCF],MATCH('Mar 2020 EDI'!F60,rrcworking[RRC ID],0))</f>
        <v>2019</v>
      </c>
      <c r="Y60" s="5">
        <f>INDEX(rrcworking[Oil Production],MATCH('Mar 2020 EDI'!F60,rrcworking[RRC ID],0))</f>
        <v>28</v>
      </c>
      <c r="AA60" s="5">
        <f>INDEX(rrcworking[Sales/Dispostion],MATCH('Mar 2020 EDI'!F60,rrcworking[RRC ID],0))</f>
        <v>180</v>
      </c>
      <c r="AQ60" s="5">
        <f>INDEX(rrcworking[Closing Stock (Oil)],MATCH('Mar 2020 EDI'!F60,rrcworking[RRC ID],0))</f>
        <v>48</v>
      </c>
    </row>
    <row r="61" spans="1:43">
      <c r="A61" s="4" t="s">
        <v>1</v>
      </c>
      <c r="B61" s="1" t="s">
        <v>960</v>
      </c>
      <c r="C61" s="10" t="s">
        <v>910</v>
      </c>
      <c r="D61" s="1" t="s">
        <v>619</v>
      </c>
      <c r="E61" s="1" t="s">
        <v>2</v>
      </c>
      <c r="F61" s="1" t="s">
        <v>474</v>
      </c>
      <c r="I61" s="10" t="s">
        <v>3</v>
      </c>
      <c r="J61" s="123" t="s">
        <v>3</v>
      </c>
      <c r="K61" s="1" t="s">
        <v>1091</v>
      </c>
      <c r="M61" s="5">
        <v>202003</v>
      </c>
      <c r="N61" s="5">
        <f>INDEX(rrcworking[Formation Production (MCF) @ 14.65 psi],MATCH('Mar 2020 EDI'!F61,rrcworking[RRC ID],0))</f>
        <v>0</v>
      </c>
      <c r="O61" s="5">
        <f>INDEX(rrcworking[Lease Use (MCF)],MATCH('Mar 2020 EDI'!F61,rrcworking[RRC ID],0))</f>
        <v>0</v>
      </c>
      <c r="P61" s="5">
        <f>INDEX(rrcworking[Disposition Volume (MCF) @ 14.65 MCF],MATCH('Mar 2020 EDI'!F61,rrcworking[RRC ID],0))</f>
        <v>0</v>
      </c>
      <c r="Y61" s="5">
        <f>INDEX(rrcworking[Oil Production],MATCH('Mar 2020 EDI'!F61,rrcworking[RRC ID],0))</f>
        <v>0</v>
      </c>
      <c r="AA61" s="5">
        <f>INDEX(rrcworking[Sales/Dispostion],MATCH('Mar 2020 EDI'!F61,rrcworking[RRC ID],0))</f>
        <v>0</v>
      </c>
      <c r="AQ61" s="5">
        <f>INDEX(rrcworking[Closing Stock (Oil)],MATCH('Mar 2020 EDI'!F61,rrcworking[RRC ID],0))</f>
        <v>0</v>
      </c>
    </row>
    <row r="62" spans="1:43">
      <c r="A62" s="4" t="s">
        <v>1</v>
      </c>
      <c r="B62" s="1" t="s">
        <v>961</v>
      </c>
      <c r="C62" s="10" t="s">
        <v>910</v>
      </c>
      <c r="D62" s="1" t="s">
        <v>619</v>
      </c>
      <c r="E62" s="1" t="s">
        <v>59</v>
      </c>
      <c r="F62" s="1" t="s">
        <v>475</v>
      </c>
      <c r="I62" s="10" t="s">
        <v>3</v>
      </c>
      <c r="J62" s="123" t="s">
        <v>3</v>
      </c>
      <c r="K62" s="1" t="s">
        <v>1091</v>
      </c>
      <c r="M62" s="5">
        <v>202003</v>
      </c>
      <c r="N62" s="5">
        <f>INDEX(rrcworking[Formation Production (MCF) @ 14.65 psi],MATCH('Mar 2020 EDI'!F62,rrcworking[RRC ID],0))</f>
        <v>7912</v>
      </c>
      <c r="O62" s="5">
        <f>INDEX(rrcworking[Lease Use (MCF)],MATCH('Mar 2020 EDI'!F62,rrcworking[RRC ID],0))</f>
        <v>403</v>
      </c>
      <c r="P62" s="5">
        <f>INDEX(rrcworking[Disposition Volume (MCF) @ 14.65 MCF],MATCH('Mar 2020 EDI'!F62,rrcworking[RRC ID],0))</f>
        <v>7509</v>
      </c>
      <c r="Y62" s="5">
        <f>INDEX(rrcworking[Oil Production],MATCH('Mar 2020 EDI'!F62,rrcworking[RRC ID],0))</f>
        <v>29</v>
      </c>
      <c r="AA62" s="5">
        <f>INDEX(rrcworking[Sales/Dispostion],MATCH('Mar 2020 EDI'!F62,rrcworking[RRC ID],0))</f>
        <v>0</v>
      </c>
      <c r="AQ62" s="5">
        <f>INDEX(rrcworking[Closing Stock (Oil)],MATCH('Mar 2020 EDI'!F62,rrcworking[RRC ID],0))</f>
        <v>124</v>
      </c>
    </row>
    <row r="63" spans="1:43">
      <c r="A63" s="4" t="s">
        <v>1</v>
      </c>
      <c r="B63" s="1" t="s">
        <v>962</v>
      </c>
      <c r="C63" s="10" t="s">
        <v>910</v>
      </c>
      <c r="D63" s="1" t="s">
        <v>619</v>
      </c>
      <c r="E63" s="1" t="s">
        <v>59</v>
      </c>
      <c r="F63" s="1" t="s">
        <v>476</v>
      </c>
      <c r="I63" s="10" t="s">
        <v>3</v>
      </c>
      <c r="J63" s="123" t="s">
        <v>3</v>
      </c>
      <c r="K63" s="1" t="s">
        <v>1091</v>
      </c>
      <c r="M63" s="5">
        <v>202003</v>
      </c>
      <c r="N63" s="5">
        <f>INDEX(rrcworking[Formation Production (MCF) @ 14.65 psi],MATCH('Mar 2020 EDI'!F63,rrcworking[RRC ID],0))</f>
        <v>0</v>
      </c>
      <c r="O63" s="5">
        <f>INDEX(rrcworking[Lease Use (MCF)],MATCH('Mar 2020 EDI'!F63,rrcworking[RRC ID],0))</f>
        <v>0</v>
      </c>
      <c r="P63" s="5">
        <f>INDEX(rrcworking[Disposition Volume (MCF) @ 14.65 MCF],MATCH('Mar 2020 EDI'!F63,rrcworking[RRC ID],0))</f>
        <v>0</v>
      </c>
      <c r="Y63" s="5">
        <f>INDEX(rrcworking[Oil Production],MATCH('Mar 2020 EDI'!F63,rrcworking[RRC ID],0))</f>
        <v>0</v>
      </c>
      <c r="AA63" s="5">
        <f>INDEX(rrcworking[Sales/Dispostion],MATCH('Mar 2020 EDI'!F63,rrcworking[RRC ID],0))</f>
        <v>0</v>
      </c>
      <c r="AQ63" s="5">
        <f>INDEX(rrcworking[Closing Stock (Oil)],MATCH('Mar 2020 EDI'!F63,rrcworking[RRC ID],0))</f>
        <v>0</v>
      </c>
    </row>
    <row r="64" spans="1:43">
      <c r="A64" s="4" t="s">
        <v>1</v>
      </c>
      <c r="B64" s="1" t="s">
        <v>963</v>
      </c>
      <c r="C64" s="10" t="s">
        <v>910</v>
      </c>
      <c r="D64" s="1" t="s">
        <v>619</v>
      </c>
      <c r="E64" s="1" t="s">
        <v>59</v>
      </c>
      <c r="F64" s="1" t="s">
        <v>477</v>
      </c>
      <c r="I64" s="10" t="s">
        <v>3</v>
      </c>
      <c r="J64" s="123" t="s">
        <v>3</v>
      </c>
      <c r="K64" s="1" t="s">
        <v>1091</v>
      </c>
      <c r="M64" s="5">
        <v>202003</v>
      </c>
      <c r="N64" s="5">
        <f>INDEX(rrcworking[Formation Production (MCF) @ 14.65 psi],MATCH('Mar 2020 EDI'!F64,rrcworking[RRC ID],0))</f>
        <v>0</v>
      </c>
      <c r="O64" s="5">
        <f>INDEX(rrcworking[Lease Use (MCF)],MATCH('Mar 2020 EDI'!F64,rrcworking[RRC ID],0))</f>
        <v>0</v>
      </c>
      <c r="P64" s="5">
        <f>INDEX(rrcworking[Disposition Volume (MCF) @ 14.65 MCF],MATCH('Mar 2020 EDI'!F64,rrcworking[RRC ID],0))</f>
        <v>0</v>
      </c>
      <c r="Y64" s="5">
        <f>INDEX(rrcworking[Oil Production],MATCH('Mar 2020 EDI'!F64,rrcworking[RRC ID],0))</f>
        <v>0</v>
      </c>
      <c r="AA64" s="5">
        <f>INDEX(rrcworking[Sales/Dispostion],MATCH('Mar 2020 EDI'!F64,rrcworking[RRC ID],0))</f>
        <v>0</v>
      </c>
      <c r="AQ64" s="5">
        <f>INDEX(rrcworking[Closing Stock (Oil)],MATCH('Mar 2020 EDI'!F64,rrcworking[RRC ID],0))</f>
        <v>173</v>
      </c>
    </row>
    <row r="65" spans="1:46">
      <c r="A65" s="4" t="s">
        <v>1</v>
      </c>
      <c r="B65" s="1" t="s">
        <v>964</v>
      </c>
      <c r="C65" s="10" t="s">
        <v>910</v>
      </c>
      <c r="D65" s="1" t="s">
        <v>619</v>
      </c>
      <c r="E65" s="1" t="s">
        <v>2</v>
      </c>
      <c r="F65" s="1" t="s">
        <v>478</v>
      </c>
      <c r="I65" s="10" t="s">
        <v>3</v>
      </c>
      <c r="J65" s="123" t="s">
        <v>3</v>
      </c>
      <c r="K65" s="1" t="s">
        <v>1091</v>
      </c>
      <c r="M65" s="5">
        <v>202003</v>
      </c>
      <c r="N65" s="5">
        <f>INDEX(rrcworking[Formation Production (MCF) @ 14.65 psi],MATCH('Mar 2020 EDI'!F65,rrcworking[RRC ID],0))</f>
        <v>639</v>
      </c>
      <c r="O65" s="5">
        <f>INDEX(rrcworking[Lease Use (MCF)],MATCH('Mar 2020 EDI'!F65,rrcworking[RRC ID],0))</f>
        <v>31</v>
      </c>
      <c r="P65" s="5">
        <f>INDEX(rrcworking[Disposition Volume (MCF) @ 14.65 MCF],MATCH('Mar 2020 EDI'!F65,rrcworking[RRC ID],0))</f>
        <v>608</v>
      </c>
      <c r="Y65" s="5">
        <f>INDEX(rrcworking[Oil Production],MATCH('Mar 2020 EDI'!F65,rrcworking[RRC ID],0))</f>
        <v>112</v>
      </c>
      <c r="AA65" s="5">
        <f>INDEX(rrcworking[Sales/Dispostion],MATCH('Mar 2020 EDI'!F65,rrcworking[RRC ID],0))</f>
        <v>0</v>
      </c>
      <c r="AQ65" s="5">
        <f>INDEX(rrcworking[Closing Stock (Oil)],MATCH('Mar 2020 EDI'!F65,rrcworking[RRC ID],0))</f>
        <v>374</v>
      </c>
      <c r="AT65" s="10"/>
    </row>
    <row r="66" spans="1:46">
      <c r="A66" s="4" t="s">
        <v>1</v>
      </c>
      <c r="B66" s="1" t="s">
        <v>965</v>
      </c>
      <c r="C66" s="10" t="s">
        <v>910</v>
      </c>
      <c r="D66" s="1" t="s">
        <v>619</v>
      </c>
      <c r="E66" s="1" t="s">
        <v>59</v>
      </c>
      <c r="F66" s="1" t="s">
        <v>479</v>
      </c>
      <c r="I66" s="10" t="s">
        <v>3</v>
      </c>
      <c r="J66" s="123" t="s">
        <v>3</v>
      </c>
      <c r="K66" s="1" t="s">
        <v>1091</v>
      </c>
      <c r="M66" s="5">
        <v>202003</v>
      </c>
      <c r="N66" s="5">
        <f>INDEX(rrcworking[Formation Production (MCF) @ 14.65 psi],MATCH('Mar 2020 EDI'!F66,rrcworking[RRC ID],0))</f>
        <v>654</v>
      </c>
      <c r="O66" s="5">
        <f>INDEX(rrcworking[Lease Use (MCF)],MATCH('Mar 2020 EDI'!F66,rrcworking[RRC ID],0))</f>
        <v>0</v>
      </c>
      <c r="P66" s="5">
        <f>INDEX(rrcworking[Disposition Volume (MCF) @ 14.65 MCF],MATCH('Mar 2020 EDI'!F66,rrcworking[RRC ID],0))</f>
        <v>654</v>
      </c>
      <c r="Y66" s="5">
        <f>INDEX(rrcworking[Oil Production],MATCH('Mar 2020 EDI'!F66,rrcworking[RRC ID],0))</f>
        <v>23</v>
      </c>
      <c r="AA66" s="5">
        <f>INDEX(rrcworking[Sales/Dispostion],MATCH('Mar 2020 EDI'!F66,rrcworking[RRC ID],0))</f>
        <v>0</v>
      </c>
      <c r="AQ66" s="5">
        <f>INDEX(rrcworking[Closing Stock (Oil)],MATCH('Mar 2020 EDI'!F66,rrcworking[RRC ID],0))</f>
        <v>384</v>
      </c>
    </row>
    <row r="67" spans="1:46">
      <c r="A67" s="4" t="s">
        <v>1</v>
      </c>
      <c r="B67" s="1" t="s">
        <v>966</v>
      </c>
      <c r="C67" s="10" t="s">
        <v>910</v>
      </c>
      <c r="D67" s="1" t="s">
        <v>619</v>
      </c>
      <c r="E67" s="1" t="s">
        <v>2</v>
      </c>
      <c r="F67" s="1" t="s">
        <v>480</v>
      </c>
      <c r="I67" s="10" t="s">
        <v>3</v>
      </c>
      <c r="J67" s="123" t="s">
        <v>3</v>
      </c>
      <c r="K67" s="1" t="s">
        <v>1091</v>
      </c>
      <c r="M67" s="5">
        <v>202003</v>
      </c>
      <c r="N67" s="5">
        <f>INDEX(rrcworking[Formation Production (MCF) @ 14.65 psi],MATCH('Mar 2020 EDI'!F67,rrcworking[RRC ID],0))</f>
        <v>4078</v>
      </c>
      <c r="O67" s="5">
        <f>INDEX(rrcworking[Lease Use (MCF)],MATCH('Mar 2020 EDI'!F67,rrcworking[RRC ID],0))</f>
        <v>217</v>
      </c>
      <c r="P67" s="5">
        <f>INDEX(rrcworking[Disposition Volume (MCF) @ 14.65 MCF],MATCH('Mar 2020 EDI'!F67,rrcworking[RRC ID],0))</f>
        <v>3861</v>
      </c>
      <c r="Y67" s="5">
        <f>INDEX(rrcworking[Oil Production],MATCH('Mar 2020 EDI'!F67,rrcworking[RRC ID],0))</f>
        <v>2674</v>
      </c>
      <c r="AA67" s="5">
        <f>INDEX(rrcworking[Sales/Dispostion],MATCH('Mar 2020 EDI'!F67,rrcworking[RRC ID],0))</f>
        <v>2469</v>
      </c>
      <c r="AQ67" s="5">
        <f>INDEX(rrcworking[Closing Stock (Oil)],MATCH('Mar 2020 EDI'!F67,rrcworking[RRC ID],0))</f>
        <v>606</v>
      </c>
      <c r="AT67" s="10"/>
    </row>
    <row r="68" spans="1:46">
      <c r="A68" s="4" t="s">
        <v>1</v>
      </c>
      <c r="B68" s="1" t="s">
        <v>967</v>
      </c>
      <c r="C68" s="10" t="s">
        <v>910</v>
      </c>
      <c r="D68" s="1" t="s">
        <v>619</v>
      </c>
      <c r="E68" s="1" t="s">
        <v>2</v>
      </c>
      <c r="F68" s="1" t="s">
        <v>481</v>
      </c>
      <c r="I68" s="10" t="s">
        <v>3</v>
      </c>
      <c r="J68" s="123" t="s">
        <v>3</v>
      </c>
      <c r="K68" s="1" t="s">
        <v>1091</v>
      </c>
      <c r="M68" s="5">
        <v>202003</v>
      </c>
      <c r="N68" s="5">
        <f>INDEX(rrcworking[Formation Production (MCF) @ 14.65 psi],MATCH('Mar 2020 EDI'!F68,rrcworking[RRC ID],0))</f>
        <v>1561</v>
      </c>
      <c r="O68" s="5">
        <f>INDEX(rrcworking[Lease Use (MCF)],MATCH('Mar 2020 EDI'!F68,rrcworking[RRC ID],0))</f>
        <v>31</v>
      </c>
      <c r="P68" s="5">
        <f>INDEX(rrcworking[Disposition Volume (MCF) @ 14.65 MCF],MATCH('Mar 2020 EDI'!F68,rrcworking[RRC ID],0))</f>
        <v>1530</v>
      </c>
      <c r="Y68" s="5">
        <f>INDEX(rrcworking[Oil Production],MATCH('Mar 2020 EDI'!F68,rrcworking[RRC ID],0))</f>
        <v>1228</v>
      </c>
      <c r="AA68" s="5">
        <f>INDEX(rrcworking[Sales/Dispostion],MATCH('Mar 2020 EDI'!F68,rrcworking[RRC ID],0))</f>
        <v>1109</v>
      </c>
      <c r="AQ68" s="5">
        <f>INDEX(rrcworking[Closing Stock (Oil)],MATCH('Mar 2020 EDI'!F68,rrcworking[RRC ID],0))</f>
        <v>224</v>
      </c>
      <c r="AT68" s="10"/>
    </row>
    <row r="69" spans="1:46">
      <c r="A69" s="4" t="s">
        <v>1</v>
      </c>
      <c r="B69" s="1" t="s">
        <v>968</v>
      </c>
      <c r="C69" s="10" t="s">
        <v>910</v>
      </c>
      <c r="D69" s="1" t="s">
        <v>619</v>
      </c>
      <c r="E69" s="1" t="s">
        <v>2</v>
      </c>
      <c r="F69" s="1" t="s">
        <v>483</v>
      </c>
      <c r="I69" s="10" t="s">
        <v>3</v>
      </c>
      <c r="J69" s="123" t="s">
        <v>3</v>
      </c>
      <c r="K69" s="1" t="s">
        <v>1091</v>
      </c>
      <c r="M69" s="5">
        <v>202003</v>
      </c>
      <c r="N69" s="5">
        <f>INDEX(rrcworking[Formation Production (MCF) @ 14.65 psi],MATCH('Mar 2020 EDI'!F69,rrcworking[RRC ID],0))</f>
        <v>0</v>
      </c>
      <c r="O69" s="5">
        <f>INDEX(rrcworking[Lease Use (MCF)],MATCH('Mar 2020 EDI'!F69,rrcworking[RRC ID],0))</f>
        <v>0</v>
      </c>
      <c r="P69" s="5">
        <f>INDEX(rrcworking[Disposition Volume (MCF) @ 14.65 MCF],MATCH('Mar 2020 EDI'!F69,rrcworking[RRC ID],0))</f>
        <v>0</v>
      </c>
      <c r="Y69" s="5">
        <f>INDEX(rrcworking[Oil Production],MATCH('Mar 2020 EDI'!F69,rrcworking[RRC ID],0))</f>
        <v>0</v>
      </c>
      <c r="AA69" s="5">
        <f>INDEX(rrcworking[Sales/Dispostion],MATCH('Mar 2020 EDI'!F69,rrcworking[RRC ID],0))</f>
        <v>0</v>
      </c>
      <c r="AQ69" s="5">
        <f>INDEX(rrcworking[Closing Stock (Oil)],MATCH('Mar 2020 EDI'!F69,rrcworking[RRC ID],0))</f>
        <v>114</v>
      </c>
    </row>
    <row r="70" spans="1:46">
      <c r="A70" s="4" t="s">
        <v>1</v>
      </c>
      <c r="B70" s="1" t="s">
        <v>969</v>
      </c>
      <c r="C70" s="10" t="s">
        <v>910</v>
      </c>
      <c r="D70" s="1" t="s">
        <v>619</v>
      </c>
      <c r="E70" s="1" t="s">
        <v>59</v>
      </c>
      <c r="F70" s="1" t="s">
        <v>484</v>
      </c>
      <c r="I70" s="10" t="s">
        <v>3</v>
      </c>
      <c r="J70" s="123" t="s">
        <v>3</v>
      </c>
      <c r="K70" s="1" t="s">
        <v>1091</v>
      </c>
      <c r="M70" s="5">
        <v>202003</v>
      </c>
      <c r="N70" s="5">
        <f>INDEX(rrcworking[Formation Production (MCF) @ 14.65 psi],MATCH('Mar 2020 EDI'!F70,rrcworking[RRC ID],0))</f>
        <v>823</v>
      </c>
      <c r="O70" s="5">
        <f>INDEX(rrcworking[Lease Use (MCF)],MATCH('Mar 2020 EDI'!F70,rrcworking[RRC ID],0))</f>
        <v>31</v>
      </c>
      <c r="P70" s="5">
        <f>INDEX(rrcworking[Disposition Volume (MCF) @ 14.65 MCF],MATCH('Mar 2020 EDI'!F70,rrcworking[RRC ID],0))</f>
        <v>792</v>
      </c>
      <c r="Y70" s="5">
        <f>INDEX(rrcworking[Oil Production],MATCH('Mar 2020 EDI'!F70,rrcworking[RRC ID],0))</f>
        <v>6</v>
      </c>
      <c r="AA70" s="5">
        <f>INDEX(rrcworking[Sales/Dispostion],MATCH('Mar 2020 EDI'!F70,rrcworking[RRC ID],0))</f>
        <v>0</v>
      </c>
      <c r="AQ70" s="5">
        <f>INDEX(rrcworking[Closing Stock (Oil)],MATCH('Mar 2020 EDI'!F70,rrcworking[RRC ID],0))</f>
        <v>73</v>
      </c>
    </row>
    <row r="71" spans="1:46">
      <c r="A71" s="4" t="s">
        <v>1</v>
      </c>
      <c r="B71" s="1" t="s">
        <v>970</v>
      </c>
      <c r="C71" s="10" t="s">
        <v>910</v>
      </c>
      <c r="D71" s="1" t="s">
        <v>619</v>
      </c>
      <c r="E71" s="1" t="s">
        <v>2</v>
      </c>
      <c r="F71" s="1" t="s">
        <v>485</v>
      </c>
      <c r="I71" s="10" t="s">
        <v>3</v>
      </c>
      <c r="J71" s="123" t="s">
        <v>3</v>
      </c>
      <c r="K71" s="1" t="s">
        <v>1091</v>
      </c>
      <c r="M71" s="5">
        <v>202003</v>
      </c>
      <c r="N71" s="5">
        <f>INDEX(rrcworking[Formation Production (MCF) @ 14.65 psi],MATCH('Mar 2020 EDI'!F71,rrcworking[RRC ID],0))</f>
        <v>0</v>
      </c>
      <c r="O71" s="5">
        <f>INDEX(rrcworking[Lease Use (MCF)],MATCH('Mar 2020 EDI'!F71,rrcworking[RRC ID],0))</f>
        <v>0</v>
      </c>
      <c r="P71" s="5">
        <f>INDEX(rrcworking[Disposition Volume (MCF) @ 14.65 MCF],MATCH('Mar 2020 EDI'!F71,rrcworking[RRC ID],0))</f>
        <v>0</v>
      </c>
      <c r="Y71" s="5">
        <f>INDEX(rrcworking[Oil Production],MATCH('Mar 2020 EDI'!F71,rrcworking[RRC ID],0))</f>
        <v>0</v>
      </c>
      <c r="AA71" s="5">
        <f>INDEX(rrcworking[Sales/Dispostion],MATCH('Mar 2020 EDI'!F71,rrcworking[RRC ID],0))</f>
        <v>0</v>
      </c>
      <c r="AQ71" s="5">
        <f>INDEX(rrcworking[Closing Stock (Oil)],MATCH('Mar 2020 EDI'!F71,rrcworking[RRC ID],0))</f>
        <v>0</v>
      </c>
    </row>
    <row r="72" spans="1:46">
      <c r="A72" s="4" t="s">
        <v>1</v>
      </c>
      <c r="B72" s="1" t="s">
        <v>971</v>
      </c>
      <c r="C72" s="10" t="s">
        <v>910</v>
      </c>
      <c r="D72" s="1" t="s">
        <v>619</v>
      </c>
      <c r="E72" s="1" t="s">
        <v>2</v>
      </c>
      <c r="F72" s="1" t="s">
        <v>486</v>
      </c>
      <c r="I72" s="10" t="s">
        <v>3</v>
      </c>
      <c r="J72" s="123" t="s">
        <v>3</v>
      </c>
      <c r="K72" s="1" t="s">
        <v>1091</v>
      </c>
      <c r="M72" s="5">
        <v>202003</v>
      </c>
      <c r="N72" s="5">
        <f>INDEX(rrcworking[Formation Production (MCF) @ 14.65 psi],MATCH('Mar 2020 EDI'!F72,rrcworking[RRC ID],0))</f>
        <v>0</v>
      </c>
      <c r="O72" s="5">
        <f>INDEX(rrcworking[Lease Use (MCF)],MATCH('Mar 2020 EDI'!F72,rrcworking[RRC ID],0))</f>
        <v>0</v>
      </c>
      <c r="P72" s="5">
        <f>INDEX(rrcworking[Disposition Volume (MCF) @ 14.65 MCF],MATCH('Mar 2020 EDI'!F72,rrcworking[RRC ID],0))</f>
        <v>0</v>
      </c>
      <c r="Y72" s="5">
        <f>INDEX(rrcworking[Oil Production],MATCH('Mar 2020 EDI'!F72,rrcworking[RRC ID],0))</f>
        <v>496</v>
      </c>
      <c r="AA72" s="5">
        <f>INDEX(rrcworking[Sales/Dispostion],MATCH('Mar 2020 EDI'!F72,rrcworking[RRC ID],0))</f>
        <v>340</v>
      </c>
      <c r="AQ72" s="5">
        <f>INDEX(rrcworking[Closing Stock (Oil)],MATCH('Mar 2020 EDI'!F72,rrcworking[RRC ID],0))</f>
        <v>282</v>
      </c>
    </row>
    <row r="73" spans="1:46">
      <c r="A73" s="4" t="s">
        <v>1</v>
      </c>
      <c r="B73" s="1" t="s">
        <v>972</v>
      </c>
      <c r="C73" s="10" t="s">
        <v>910</v>
      </c>
      <c r="D73" s="1" t="s">
        <v>619</v>
      </c>
      <c r="E73" s="1" t="s">
        <v>2</v>
      </c>
      <c r="F73" s="1" t="s">
        <v>487</v>
      </c>
      <c r="I73" s="10" t="s">
        <v>3</v>
      </c>
      <c r="J73" s="123" t="s">
        <v>3</v>
      </c>
      <c r="K73" s="1" t="s">
        <v>1091</v>
      </c>
      <c r="M73" s="5">
        <v>202003</v>
      </c>
      <c r="N73" s="5">
        <f>INDEX(rrcworking[Formation Production (MCF) @ 14.65 psi],MATCH('Mar 2020 EDI'!F73,rrcworking[RRC ID],0))</f>
        <v>0</v>
      </c>
      <c r="O73" s="5">
        <f>INDEX(rrcworking[Lease Use (MCF)],MATCH('Mar 2020 EDI'!F73,rrcworking[RRC ID],0))</f>
        <v>0</v>
      </c>
      <c r="P73" s="5">
        <f>INDEX(rrcworking[Disposition Volume (MCF) @ 14.65 MCF],MATCH('Mar 2020 EDI'!F73,rrcworking[RRC ID],0))</f>
        <v>0</v>
      </c>
      <c r="Y73" s="5">
        <f>INDEX(rrcworking[Oil Production],MATCH('Mar 2020 EDI'!F73,rrcworking[RRC ID],0))</f>
        <v>0</v>
      </c>
      <c r="AA73" s="5">
        <f>INDEX(rrcworking[Sales/Dispostion],MATCH('Mar 2020 EDI'!F73,rrcworking[RRC ID],0))</f>
        <v>0</v>
      </c>
      <c r="AQ73" s="5">
        <f>INDEX(rrcworking[Closing Stock (Oil)],MATCH('Mar 2020 EDI'!F73,rrcworking[RRC ID],0))</f>
        <v>52</v>
      </c>
    </row>
    <row r="74" spans="1:46">
      <c r="A74" s="4" t="s">
        <v>1</v>
      </c>
      <c r="B74" s="1" t="s">
        <v>973</v>
      </c>
      <c r="C74" s="10" t="s">
        <v>910</v>
      </c>
      <c r="D74" s="1" t="s">
        <v>619</v>
      </c>
      <c r="E74" s="1" t="s">
        <v>2</v>
      </c>
      <c r="F74" s="1" t="s">
        <v>488</v>
      </c>
      <c r="I74" s="10" t="s">
        <v>3</v>
      </c>
      <c r="J74" s="123" t="s">
        <v>3</v>
      </c>
      <c r="K74" s="1" t="s">
        <v>1091</v>
      </c>
      <c r="M74" s="5">
        <v>202003</v>
      </c>
      <c r="N74" s="5">
        <f>INDEX(rrcworking[Formation Production (MCF) @ 14.65 psi],MATCH('Mar 2020 EDI'!F74,rrcworking[RRC ID],0))</f>
        <v>0</v>
      </c>
      <c r="O74" s="5">
        <f>INDEX(rrcworking[Lease Use (MCF)],MATCH('Mar 2020 EDI'!F74,rrcworking[RRC ID],0))</f>
        <v>0</v>
      </c>
      <c r="P74" s="5">
        <f>INDEX(rrcworking[Disposition Volume (MCF) @ 14.65 MCF],MATCH('Mar 2020 EDI'!F74,rrcworking[RRC ID],0))</f>
        <v>0</v>
      </c>
      <c r="Y74" s="5">
        <f>INDEX(rrcworking[Oil Production],MATCH('Mar 2020 EDI'!F74,rrcworking[RRC ID],0))</f>
        <v>0</v>
      </c>
      <c r="AA74" s="5">
        <f>INDEX(rrcworking[Sales/Dispostion],MATCH('Mar 2020 EDI'!F74,rrcworking[RRC ID],0))</f>
        <v>0</v>
      </c>
      <c r="AQ74" s="5">
        <f>INDEX(rrcworking[Closing Stock (Oil)],MATCH('Mar 2020 EDI'!F74,rrcworking[RRC ID],0))</f>
        <v>229</v>
      </c>
    </row>
    <row r="75" spans="1:46">
      <c r="A75" s="4" t="s">
        <v>1</v>
      </c>
      <c r="B75" s="1" t="s">
        <v>974</v>
      </c>
      <c r="C75" s="10" t="s">
        <v>910</v>
      </c>
      <c r="D75" s="1" t="s">
        <v>619</v>
      </c>
      <c r="E75" s="1" t="s">
        <v>2</v>
      </c>
      <c r="F75" s="1" t="s">
        <v>489</v>
      </c>
      <c r="I75" s="10" t="s">
        <v>3</v>
      </c>
      <c r="J75" s="123" t="s">
        <v>3</v>
      </c>
      <c r="K75" s="1" t="s">
        <v>1091</v>
      </c>
      <c r="M75" s="5">
        <v>202003</v>
      </c>
      <c r="N75" s="5">
        <f>INDEX(rrcworking[Formation Production (MCF) @ 14.65 psi],MATCH('Mar 2020 EDI'!F75,rrcworking[RRC ID],0))</f>
        <v>0</v>
      </c>
      <c r="O75" s="5">
        <f>INDEX(rrcworking[Lease Use (MCF)],MATCH('Mar 2020 EDI'!F75,rrcworking[RRC ID],0))</f>
        <v>0</v>
      </c>
      <c r="P75" s="5">
        <f>INDEX(rrcworking[Disposition Volume (MCF) @ 14.65 MCF],MATCH('Mar 2020 EDI'!F75,rrcworking[RRC ID],0))</f>
        <v>0</v>
      </c>
      <c r="Y75" s="5">
        <f>INDEX(rrcworking[Oil Production],MATCH('Mar 2020 EDI'!F75,rrcworking[RRC ID],0))</f>
        <v>1</v>
      </c>
      <c r="AA75" s="5">
        <f>INDEX(rrcworking[Sales/Dispostion],MATCH('Mar 2020 EDI'!F75,rrcworking[RRC ID],0))</f>
        <v>0</v>
      </c>
      <c r="AQ75" s="5">
        <f>INDEX(rrcworking[Closing Stock (Oil)],MATCH('Mar 2020 EDI'!F75,rrcworking[RRC ID],0))</f>
        <v>250</v>
      </c>
    </row>
    <row r="76" spans="1:46">
      <c r="A76" s="4" t="s">
        <v>1</v>
      </c>
      <c r="B76" s="1" t="s">
        <v>975</v>
      </c>
      <c r="C76" s="10" t="s">
        <v>910</v>
      </c>
      <c r="D76" s="1" t="s">
        <v>619</v>
      </c>
      <c r="E76" s="1" t="s">
        <v>2</v>
      </c>
      <c r="F76" s="1" t="s">
        <v>490</v>
      </c>
      <c r="I76" s="10" t="s">
        <v>3</v>
      </c>
      <c r="J76" s="123" t="s">
        <v>3</v>
      </c>
      <c r="K76" s="1" t="s">
        <v>1091</v>
      </c>
      <c r="M76" s="5">
        <v>202003</v>
      </c>
      <c r="N76" s="5">
        <f>INDEX(rrcworking[Formation Production (MCF) @ 14.65 psi],MATCH('Mar 2020 EDI'!F76,rrcworking[RRC ID],0))</f>
        <v>0</v>
      </c>
      <c r="O76" s="5">
        <f>INDEX(rrcworking[Lease Use (MCF)],MATCH('Mar 2020 EDI'!F76,rrcworking[RRC ID],0))</f>
        <v>0</v>
      </c>
      <c r="P76" s="5">
        <f>INDEX(rrcworking[Disposition Volume (MCF) @ 14.65 MCF],MATCH('Mar 2020 EDI'!F76,rrcworking[RRC ID],0))</f>
        <v>0</v>
      </c>
      <c r="Y76" s="5">
        <f>INDEX(rrcworking[Oil Production],MATCH('Mar 2020 EDI'!F76,rrcworking[RRC ID],0))</f>
        <v>15</v>
      </c>
      <c r="AA76" s="5">
        <f>INDEX(rrcworking[Sales/Dispostion],MATCH('Mar 2020 EDI'!F76,rrcworking[RRC ID],0))</f>
        <v>0</v>
      </c>
      <c r="AQ76" s="5">
        <f>INDEX(rrcworking[Closing Stock (Oil)],MATCH('Mar 2020 EDI'!F76,rrcworking[RRC ID],0))</f>
        <v>297</v>
      </c>
    </row>
    <row r="77" spans="1:46">
      <c r="A77" s="4" t="s">
        <v>1</v>
      </c>
      <c r="B77" s="1" t="s">
        <v>976</v>
      </c>
      <c r="C77" s="10" t="s">
        <v>910</v>
      </c>
      <c r="D77" s="1" t="s">
        <v>619</v>
      </c>
      <c r="E77" s="1" t="s">
        <v>2</v>
      </c>
      <c r="F77" s="1" t="s">
        <v>491</v>
      </c>
      <c r="I77" s="10" t="s">
        <v>3</v>
      </c>
      <c r="J77" s="123" t="s">
        <v>3</v>
      </c>
      <c r="K77" s="1" t="s">
        <v>1091</v>
      </c>
      <c r="M77" s="5">
        <v>202003</v>
      </c>
      <c r="N77" s="5">
        <f>INDEX(rrcworking[Formation Production (MCF) @ 14.65 psi],MATCH('Mar 2020 EDI'!F77,rrcworking[RRC ID],0))</f>
        <v>0</v>
      </c>
      <c r="O77" s="5">
        <f>INDEX(rrcworking[Lease Use (MCF)],MATCH('Mar 2020 EDI'!F77,rrcworking[RRC ID],0))</f>
        <v>0</v>
      </c>
      <c r="P77" s="5">
        <f>INDEX(rrcworking[Disposition Volume (MCF) @ 14.65 MCF],MATCH('Mar 2020 EDI'!F77,rrcworking[RRC ID],0))</f>
        <v>0</v>
      </c>
      <c r="Y77" s="5">
        <f>INDEX(rrcworking[Oil Production],MATCH('Mar 2020 EDI'!F77,rrcworking[RRC ID],0))</f>
        <v>20</v>
      </c>
      <c r="AA77" s="5">
        <f>INDEX(rrcworking[Sales/Dispostion],MATCH('Mar 2020 EDI'!F77,rrcworking[RRC ID],0))</f>
        <v>0</v>
      </c>
      <c r="AQ77" s="5">
        <f>INDEX(rrcworking[Closing Stock (Oil)],MATCH('Mar 2020 EDI'!F77,rrcworking[RRC ID],0))</f>
        <v>410</v>
      </c>
    </row>
    <row r="78" spans="1:46">
      <c r="A78" s="4" t="s">
        <v>1</v>
      </c>
      <c r="B78" s="1" t="s">
        <v>977</v>
      </c>
      <c r="C78" s="10" t="s">
        <v>910</v>
      </c>
      <c r="D78" s="1" t="s">
        <v>619</v>
      </c>
      <c r="E78" s="1" t="s">
        <v>59</v>
      </c>
      <c r="F78" s="1" t="s">
        <v>492</v>
      </c>
      <c r="I78" s="10" t="s">
        <v>3</v>
      </c>
      <c r="J78" s="123" t="s">
        <v>3</v>
      </c>
      <c r="K78" s="1" t="s">
        <v>1091</v>
      </c>
      <c r="M78" s="5">
        <v>202003</v>
      </c>
      <c r="N78" s="5">
        <f>INDEX(rrcworking[Formation Production (MCF) @ 14.65 psi],MATCH('Mar 2020 EDI'!F78,rrcworking[RRC ID],0))</f>
        <v>0</v>
      </c>
      <c r="O78" s="5">
        <f>INDEX(rrcworking[Lease Use (MCF)],MATCH('Mar 2020 EDI'!F78,rrcworking[RRC ID],0))</f>
        <v>0</v>
      </c>
      <c r="P78" s="5">
        <f>INDEX(rrcworking[Disposition Volume (MCF) @ 14.65 MCF],MATCH('Mar 2020 EDI'!F78,rrcworking[RRC ID],0))</f>
        <v>0</v>
      </c>
      <c r="Y78" s="5">
        <f>INDEX(rrcworking[Oil Production],MATCH('Mar 2020 EDI'!F78,rrcworking[RRC ID],0))</f>
        <v>0</v>
      </c>
      <c r="AA78" s="5">
        <f>INDEX(rrcworking[Sales/Dispostion],MATCH('Mar 2020 EDI'!F78,rrcworking[RRC ID],0))</f>
        <v>0</v>
      </c>
      <c r="AQ78" s="5">
        <f>INDEX(rrcworking[Closing Stock (Oil)],MATCH('Mar 2020 EDI'!F78,rrcworking[RRC ID],0))</f>
        <v>0</v>
      </c>
    </row>
    <row r="79" spans="1:46">
      <c r="A79" s="4" t="s">
        <v>1</v>
      </c>
      <c r="B79" s="1" t="s">
        <v>978</v>
      </c>
      <c r="C79" s="10" t="s">
        <v>910</v>
      </c>
      <c r="D79" s="1" t="s">
        <v>619</v>
      </c>
      <c r="E79" s="1" t="s">
        <v>59</v>
      </c>
      <c r="F79" s="1" t="s">
        <v>493</v>
      </c>
      <c r="I79" s="10" t="s">
        <v>3</v>
      </c>
      <c r="J79" s="123" t="s">
        <v>3</v>
      </c>
      <c r="K79" s="1" t="s">
        <v>1091</v>
      </c>
      <c r="M79" s="5">
        <v>202003</v>
      </c>
      <c r="N79" s="5">
        <f>INDEX(rrcworking[Formation Production (MCF) @ 14.65 psi],MATCH('Mar 2020 EDI'!F79,rrcworking[RRC ID],0))</f>
        <v>661</v>
      </c>
      <c r="O79" s="5">
        <f>INDEX(rrcworking[Lease Use (MCF)],MATCH('Mar 2020 EDI'!F79,rrcworking[RRC ID],0))</f>
        <v>0</v>
      </c>
      <c r="P79" s="5">
        <f>INDEX(rrcworking[Disposition Volume (MCF) @ 14.65 MCF],MATCH('Mar 2020 EDI'!F79,rrcworking[RRC ID],0))</f>
        <v>661</v>
      </c>
      <c r="Y79" s="5">
        <f>INDEX(rrcworking[Oil Production],MATCH('Mar 2020 EDI'!F79,rrcworking[RRC ID],0))</f>
        <v>10</v>
      </c>
      <c r="AA79" s="5">
        <f>INDEX(rrcworking[Sales/Dispostion],MATCH('Mar 2020 EDI'!F79,rrcworking[RRC ID],0))</f>
        <v>0</v>
      </c>
      <c r="AQ79" s="5">
        <f>INDEX(rrcworking[Closing Stock (Oil)],MATCH('Mar 2020 EDI'!F79,rrcworking[RRC ID],0))</f>
        <v>150</v>
      </c>
    </row>
    <row r="80" spans="1:46">
      <c r="A80" s="4" t="s">
        <v>1</v>
      </c>
      <c r="B80" s="1" t="s">
        <v>979</v>
      </c>
      <c r="C80" s="10" t="s">
        <v>910</v>
      </c>
      <c r="D80" s="1" t="s">
        <v>619</v>
      </c>
      <c r="E80" s="1" t="s">
        <v>2</v>
      </c>
      <c r="F80" s="1" t="s">
        <v>495</v>
      </c>
      <c r="I80" s="10" t="s">
        <v>3</v>
      </c>
      <c r="J80" s="123" t="s">
        <v>3</v>
      </c>
      <c r="K80" s="1" t="s">
        <v>1091</v>
      </c>
      <c r="M80" s="5">
        <v>202003</v>
      </c>
      <c r="N80" s="5">
        <f>INDEX(rrcworking[Formation Production (MCF) @ 14.65 psi],MATCH('Mar 2020 EDI'!F80,rrcworking[RRC ID],0))</f>
        <v>0</v>
      </c>
      <c r="O80" s="5">
        <f>INDEX(rrcworking[Lease Use (MCF)],MATCH('Mar 2020 EDI'!F80,rrcworking[RRC ID],0))</f>
        <v>0</v>
      </c>
      <c r="P80" s="5">
        <f>INDEX(rrcworking[Disposition Volume (MCF) @ 14.65 MCF],MATCH('Mar 2020 EDI'!F80,rrcworking[RRC ID],0))</f>
        <v>0</v>
      </c>
      <c r="Y80" s="5">
        <f>INDEX(rrcworking[Oil Production],MATCH('Mar 2020 EDI'!F80,rrcworking[RRC ID],0))</f>
        <v>0</v>
      </c>
      <c r="AA80" s="5">
        <f>INDEX(rrcworking[Sales/Dispostion],MATCH('Mar 2020 EDI'!F80,rrcworking[RRC ID],0))</f>
        <v>0</v>
      </c>
      <c r="AQ80" s="5">
        <f>INDEX(rrcworking[Closing Stock (Oil)],MATCH('Mar 2020 EDI'!F80,rrcworking[RRC ID],0))</f>
        <v>18</v>
      </c>
    </row>
    <row r="81" spans="1:43">
      <c r="A81" s="4" t="s">
        <v>1</v>
      </c>
      <c r="B81" s="1" t="s">
        <v>980</v>
      </c>
      <c r="C81" s="10" t="s">
        <v>910</v>
      </c>
      <c r="D81" s="1" t="s">
        <v>619</v>
      </c>
      <c r="E81" s="1" t="s">
        <v>59</v>
      </c>
      <c r="F81" s="1" t="s">
        <v>1134</v>
      </c>
      <c r="I81" s="10" t="s">
        <v>3</v>
      </c>
      <c r="J81" s="123" t="s">
        <v>3</v>
      </c>
      <c r="M81" s="5">
        <v>202003</v>
      </c>
      <c r="N81" s="5">
        <f>INDEX(rrcworking[Formation Production (MCF) @ 14.65 psi],MATCH('Mar 2020 EDI'!F81,rrcworking[RRC ID],0))</f>
        <v>3692</v>
      </c>
      <c r="O81" s="5">
        <f>INDEX(rrcworking[Lease Use (MCF)],MATCH('Mar 2020 EDI'!F81,rrcworking[RRC ID],0))</f>
        <v>186</v>
      </c>
      <c r="P81" s="5">
        <f>INDEX(rrcworking[Disposition Volume (MCF) @ 14.65 MCF],MATCH('Mar 2020 EDI'!F81,rrcworking[RRC ID],0))</f>
        <v>3506</v>
      </c>
      <c r="Y81" s="5">
        <f>INDEX(rrcworking[Oil Production],MATCH('Mar 2020 EDI'!F81,rrcworking[RRC ID],0))</f>
        <v>17</v>
      </c>
      <c r="AA81" s="5">
        <f>INDEX(rrcworking[Sales/Dispostion],MATCH('Mar 2020 EDI'!F81,rrcworking[RRC ID],0))</f>
        <v>0</v>
      </c>
      <c r="AQ81" s="5">
        <f>INDEX(rrcworking[Closing Stock (Oil)],MATCH('Mar 2020 EDI'!F81,rrcworking[RRC ID],0))</f>
        <v>66</v>
      </c>
    </row>
    <row r="82" spans="1:43">
      <c r="A82" s="4" t="s">
        <v>1</v>
      </c>
      <c r="B82" s="1" t="s">
        <v>981</v>
      </c>
      <c r="C82" s="10" t="s">
        <v>910</v>
      </c>
      <c r="D82" s="1" t="s">
        <v>619</v>
      </c>
      <c r="E82" s="1" t="s">
        <v>2</v>
      </c>
      <c r="F82" s="1" t="s">
        <v>496</v>
      </c>
      <c r="I82" s="10" t="s">
        <v>3</v>
      </c>
      <c r="J82" s="123" t="s">
        <v>3</v>
      </c>
      <c r="K82" s="1" t="s">
        <v>1091</v>
      </c>
      <c r="M82" s="5">
        <v>202003</v>
      </c>
      <c r="N82" s="5">
        <f>INDEX(rrcworking[Formation Production (MCF) @ 14.65 psi],MATCH('Mar 2020 EDI'!F82,rrcworking[RRC ID],0))</f>
        <v>0</v>
      </c>
      <c r="O82" s="5">
        <f>INDEX(rrcworking[Lease Use (MCF)],MATCH('Mar 2020 EDI'!F82,rrcworking[RRC ID],0))</f>
        <v>0</v>
      </c>
      <c r="P82" s="5">
        <f>INDEX(rrcworking[Disposition Volume (MCF) @ 14.65 MCF],MATCH('Mar 2020 EDI'!F82,rrcworking[RRC ID],0))</f>
        <v>0</v>
      </c>
      <c r="Y82" s="5">
        <f>INDEX(rrcworking[Oil Production],MATCH('Mar 2020 EDI'!F82,rrcworking[RRC ID],0))</f>
        <v>0</v>
      </c>
      <c r="AA82" s="5">
        <f>INDEX(rrcworking[Sales/Dispostion],MATCH('Mar 2020 EDI'!F82,rrcworking[RRC ID],0))</f>
        <v>0</v>
      </c>
      <c r="AQ82" s="5">
        <f>INDEX(rrcworking[Closing Stock (Oil)],MATCH('Mar 2020 EDI'!F82,rrcworking[RRC ID],0))</f>
        <v>0</v>
      </c>
    </row>
    <row r="83" spans="1:43">
      <c r="A83" s="4" t="s">
        <v>1</v>
      </c>
      <c r="B83" s="1" t="s">
        <v>982</v>
      </c>
      <c r="C83" s="10" t="s">
        <v>910</v>
      </c>
      <c r="D83" s="1" t="s">
        <v>619</v>
      </c>
      <c r="E83" s="1" t="s">
        <v>59</v>
      </c>
      <c r="F83" s="1" t="s">
        <v>497</v>
      </c>
      <c r="I83" s="10" t="s">
        <v>3</v>
      </c>
      <c r="J83" s="123" t="s">
        <v>3</v>
      </c>
      <c r="K83" s="1">
        <v>1471</v>
      </c>
      <c r="M83" s="5">
        <v>202003</v>
      </c>
      <c r="N83" s="5">
        <f>INDEX(rrcworking[Formation Production (MCF) @ 14.65 psi],MATCH('Mar 2020 EDI'!F83,rrcworking[RRC ID],0))</f>
        <v>0</v>
      </c>
      <c r="O83" s="5">
        <f>INDEX(rrcworking[Lease Use (MCF)],MATCH('Mar 2020 EDI'!F83,rrcworking[RRC ID],0))</f>
        <v>0</v>
      </c>
      <c r="P83" s="5">
        <f>INDEX(rrcworking[Disposition Volume (MCF) @ 14.65 MCF],MATCH('Mar 2020 EDI'!F83,rrcworking[RRC ID],0))</f>
        <v>0</v>
      </c>
      <c r="Y83" s="5">
        <f>INDEX(rrcworking[Oil Production],MATCH('Mar 2020 EDI'!F83,rrcworking[RRC ID],0))</f>
        <v>0</v>
      </c>
      <c r="AA83" s="5">
        <f>INDEX(rrcworking[Sales/Dispostion],MATCH('Mar 2020 EDI'!F83,rrcworking[RRC ID],0))</f>
        <v>0</v>
      </c>
      <c r="AQ83" s="5">
        <f>INDEX(rrcworking[Closing Stock (Oil)],MATCH('Mar 2020 EDI'!F83,rrcworking[RRC ID],0))</f>
        <v>0</v>
      </c>
    </row>
    <row r="84" spans="1:43">
      <c r="A84" s="4" t="s">
        <v>1</v>
      </c>
      <c r="B84" s="1" t="s">
        <v>983</v>
      </c>
      <c r="C84" s="10" t="s">
        <v>910</v>
      </c>
      <c r="D84" s="1" t="s">
        <v>619</v>
      </c>
      <c r="E84" s="1" t="s">
        <v>2</v>
      </c>
      <c r="F84" s="1" t="s">
        <v>498</v>
      </c>
      <c r="I84" s="10" t="s">
        <v>3</v>
      </c>
      <c r="J84" s="123" t="s">
        <v>3</v>
      </c>
      <c r="K84" s="1">
        <v>1471</v>
      </c>
      <c r="M84" s="5">
        <v>202003</v>
      </c>
      <c r="N84" s="5">
        <f>INDEX(rrcworking[Formation Production (MCF) @ 14.65 psi],MATCH('Mar 2020 EDI'!F84,rrcworking[RRC ID],0))</f>
        <v>0</v>
      </c>
      <c r="O84" s="5">
        <f>INDEX(rrcworking[Lease Use (MCF)],MATCH('Mar 2020 EDI'!F84,rrcworking[RRC ID],0))</f>
        <v>0</v>
      </c>
      <c r="P84" s="5">
        <f>INDEX(rrcworking[Disposition Volume (MCF) @ 14.65 MCF],MATCH('Mar 2020 EDI'!F84,rrcworking[RRC ID],0))</f>
        <v>0</v>
      </c>
      <c r="Y84" s="5">
        <f>INDEX(rrcworking[Oil Production],MATCH('Mar 2020 EDI'!F84,rrcworking[RRC ID],0))</f>
        <v>0</v>
      </c>
      <c r="AA84" s="5">
        <f>INDEX(rrcworking[Sales/Dispostion],MATCH('Mar 2020 EDI'!F84,rrcworking[RRC ID],0))</f>
        <v>0</v>
      </c>
      <c r="AQ84" s="5">
        <f>INDEX(rrcworking[Closing Stock (Oil)],MATCH('Mar 2020 EDI'!F84,rrcworking[RRC ID],0))</f>
        <v>0</v>
      </c>
    </row>
    <row r="85" spans="1:43">
      <c r="A85" s="4" t="s">
        <v>1</v>
      </c>
      <c r="B85" s="1" t="s">
        <v>984</v>
      </c>
      <c r="C85" s="10" t="s">
        <v>910</v>
      </c>
      <c r="D85" s="1" t="s">
        <v>619</v>
      </c>
      <c r="E85" s="1" t="s">
        <v>59</v>
      </c>
      <c r="F85" s="1" t="s">
        <v>499</v>
      </c>
      <c r="I85" s="10" t="s">
        <v>3</v>
      </c>
      <c r="J85" s="123" t="s">
        <v>3</v>
      </c>
      <c r="K85" s="1" t="s">
        <v>1091</v>
      </c>
      <c r="M85" s="5">
        <v>202003</v>
      </c>
      <c r="N85" s="5">
        <f>INDEX(rrcworking[Formation Production (MCF) @ 14.65 psi],MATCH('Mar 2020 EDI'!F85,rrcworking[RRC ID],0))</f>
        <v>0</v>
      </c>
      <c r="O85" s="5">
        <f>INDEX(rrcworking[Lease Use (MCF)],MATCH('Mar 2020 EDI'!F85,rrcworking[RRC ID],0))</f>
        <v>0</v>
      </c>
      <c r="P85" s="5">
        <f>INDEX(rrcworking[Disposition Volume (MCF) @ 14.65 MCF],MATCH('Mar 2020 EDI'!F85,rrcworking[RRC ID],0))</f>
        <v>0</v>
      </c>
      <c r="Y85" s="5">
        <f>INDEX(rrcworking[Oil Production],MATCH('Mar 2020 EDI'!F85,rrcworking[RRC ID],0))</f>
        <v>0</v>
      </c>
      <c r="AA85" s="5">
        <f>INDEX(rrcworking[Sales/Dispostion],MATCH('Mar 2020 EDI'!F85,rrcworking[RRC ID],0))</f>
        <v>0</v>
      </c>
      <c r="AQ85" s="5">
        <f>INDEX(rrcworking[Closing Stock (Oil)],MATCH('Mar 2020 EDI'!F85,rrcworking[RRC ID],0))</f>
        <v>0</v>
      </c>
    </row>
    <row r="86" spans="1:43">
      <c r="A86" s="4" t="s">
        <v>1</v>
      </c>
      <c r="B86" s="1" t="s">
        <v>985</v>
      </c>
      <c r="C86" s="10" t="s">
        <v>910</v>
      </c>
      <c r="D86" s="1" t="s">
        <v>619</v>
      </c>
      <c r="E86" s="1" t="s">
        <v>2</v>
      </c>
      <c r="F86" s="10" t="s">
        <v>1250</v>
      </c>
      <c r="I86" s="10" t="s">
        <v>3</v>
      </c>
      <c r="J86" s="123" t="s">
        <v>3</v>
      </c>
      <c r="K86" s="1" t="s">
        <v>1091</v>
      </c>
      <c r="M86" s="5">
        <v>202003</v>
      </c>
      <c r="N86" s="5">
        <f>INDEX(rrcworking[Formation Production (MCF) @ 14.65 psi],MATCH('Mar 2020 EDI'!F86,rrcworking[RRC ID],0))</f>
        <v>0</v>
      </c>
      <c r="O86" s="5">
        <f>INDEX(rrcworking[Lease Use (MCF)],MATCH('Mar 2020 EDI'!F86,rrcworking[RRC ID],0))</f>
        <v>0</v>
      </c>
      <c r="P86" s="5">
        <f>INDEX(rrcworking[Disposition Volume (MCF) @ 14.65 MCF],MATCH('Mar 2020 EDI'!F86,rrcworking[RRC ID],0))</f>
        <v>0</v>
      </c>
      <c r="Y86" s="5">
        <f>INDEX(rrcworking[Oil Production],MATCH('Mar 2020 EDI'!F86,rrcworking[RRC ID],0))</f>
        <v>285</v>
      </c>
      <c r="AA86" s="5">
        <f>INDEX(rrcworking[Sales/Dispostion],MATCH('Mar 2020 EDI'!F86,rrcworking[RRC ID],0))</f>
        <v>334</v>
      </c>
      <c r="AQ86" s="5">
        <f>INDEX(rrcworking[Closing Stock (Oil)],MATCH('Mar 2020 EDI'!F86,rrcworking[RRC ID],0))</f>
        <v>159</v>
      </c>
    </row>
    <row r="87" spans="1:43">
      <c r="A87" s="4" t="s">
        <v>1</v>
      </c>
      <c r="B87" s="1" t="s">
        <v>986</v>
      </c>
      <c r="C87" s="10" t="s">
        <v>910</v>
      </c>
      <c r="D87" s="1" t="s">
        <v>619</v>
      </c>
      <c r="E87" s="1" t="s">
        <v>2</v>
      </c>
      <c r="F87" s="1" t="s">
        <v>500</v>
      </c>
      <c r="I87" s="10" t="s">
        <v>3</v>
      </c>
      <c r="J87" s="123" t="s">
        <v>3</v>
      </c>
      <c r="K87" s="1" t="s">
        <v>1091</v>
      </c>
      <c r="M87" s="5">
        <v>202003</v>
      </c>
      <c r="N87" s="5">
        <f>INDEX(rrcworking[Formation Production (MCF) @ 14.65 psi],MATCH('Mar 2020 EDI'!F87,rrcworking[RRC ID],0))</f>
        <v>0</v>
      </c>
      <c r="O87" s="5">
        <f>INDEX(rrcworking[Lease Use (MCF)],MATCH('Mar 2020 EDI'!F87,rrcworking[RRC ID],0))</f>
        <v>0</v>
      </c>
      <c r="P87" s="5">
        <f>INDEX(rrcworking[Disposition Volume (MCF) @ 14.65 MCF],MATCH('Mar 2020 EDI'!F87,rrcworking[RRC ID],0))</f>
        <v>0</v>
      </c>
      <c r="Y87" s="5">
        <f>INDEX(rrcworking[Oil Production],MATCH('Mar 2020 EDI'!F87,rrcworking[RRC ID],0))</f>
        <v>0</v>
      </c>
      <c r="AA87" s="5">
        <f>INDEX(rrcworking[Sales/Dispostion],MATCH('Mar 2020 EDI'!F87,rrcworking[RRC ID],0))</f>
        <v>0</v>
      </c>
      <c r="AQ87" s="5">
        <f>INDEX(rrcworking[Closing Stock (Oil)],MATCH('Mar 2020 EDI'!F87,rrcworking[RRC ID],0))</f>
        <v>262</v>
      </c>
    </row>
    <row r="88" spans="1:43">
      <c r="A88" s="4" t="s">
        <v>1</v>
      </c>
      <c r="B88" s="1" t="s">
        <v>987</v>
      </c>
      <c r="C88" s="10" t="s">
        <v>910</v>
      </c>
      <c r="D88" s="1" t="s">
        <v>619</v>
      </c>
      <c r="E88" s="1" t="s">
        <v>2</v>
      </c>
      <c r="F88" s="1" t="s">
        <v>501</v>
      </c>
      <c r="I88" s="10" t="s">
        <v>3</v>
      </c>
      <c r="J88" s="123" t="s">
        <v>3</v>
      </c>
      <c r="K88" s="1" t="s">
        <v>1091</v>
      </c>
      <c r="M88" s="5">
        <v>202003</v>
      </c>
      <c r="N88" s="5">
        <f>INDEX(rrcworking[Formation Production (MCF) @ 14.65 psi],MATCH('Mar 2020 EDI'!F88,rrcworking[RRC ID],0))</f>
        <v>0</v>
      </c>
      <c r="O88" s="5">
        <f>INDEX(rrcworking[Lease Use (MCF)],MATCH('Mar 2020 EDI'!F88,rrcworking[RRC ID],0))</f>
        <v>0</v>
      </c>
      <c r="P88" s="5">
        <f>INDEX(rrcworking[Disposition Volume (MCF) @ 14.65 MCF],MATCH('Mar 2020 EDI'!F88,rrcworking[RRC ID],0))</f>
        <v>0</v>
      </c>
      <c r="Y88" s="5">
        <f>INDEX(rrcworking[Oil Production],MATCH('Mar 2020 EDI'!F88,rrcworking[RRC ID],0))</f>
        <v>0</v>
      </c>
      <c r="AA88" s="5">
        <f>INDEX(rrcworking[Sales/Dispostion],MATCH('Mar 2020 EDI'!F88,rrcworking[RRC ID],0))</f>
        <v>0</v>
      </c>
      <c r="AQ88" s="5">
        <f>INDEX(rrcworking[Closing Stock (Oil)],MATCH('Mar 2020 EDI'!F88,rrcworking[RRC ID],0))</f>
        <v>68</v>
      </c>
    </row>
    <row r="89" spans="1:43">
      <c r="A89" s="4" t="s">
        <v>1</v>
      </c>
      <c r="B89" s="1" t="s">
        <v>988</v>
      </c>
      <c r="C89" s="10" t="s">
        <v>910</v>
      </c>
      <c r="D89" s="1" t="s">
        <v>619</v>
      </c>
      <c r="E89" s="1" t="s">
        <v>59</v>
      </c>
      <c r="F89" s="1" t="s">
        <v>502</v>
      </c>
      <c r="I89" s="10" t="s">
        <v>3</v>
      </c>
      <c r="J89" s="123" t="s">
        <v>3</v>
      </c>
      <c r="K89" s="1" t="s">
        <v>1091</v>
      </c>
      <c r="M89" s="5">
        <v>202003</v>
      </c>
      <c r="N89" s="5">
        <f>INDEX(rrcworking[Formation Production (MCF) @ 14.65 psi],MATCH('Mar 2020 EDI'!F89,rrcworking[RRC ID],0))</f>
        <v>0</v>
      </c>
      <c r="O89" s="5">
        <f>INDEX(rrcworking[Lease Use (MCF)],MATCH('Mar 2020 EDI'!F89,rrcworking[RRC ID],0))</f>
        <v>0</v>
      </c>
      <c r="P89" s="5">
        <f>INDEX(rrcworking[Disposition Volume (MCF) @ 14.65 MCF],MATCH('Mar 2020 EDI'!F89,rrcworking[RRC ID],0))</f>
        <v>0</v>
      </c>
      <c r="Y89" s="5">
        <f>INDEX(rrcworking[Oil Production],MATCH('Mar 2020 EDI'!F89,rrcworking[RRC ID],0))</f>
        <v>0</v>
      </c>
      <c r="AA89" s="5">
        <f>INDEX(rrcworking[Sales/Dispostion],MATCH('Mar 2020 EDI'!F89,rrcworking[RRC ID],0))</f>
        <v>0</v>
      </c>
      <c r="AQ89" s="5">
        <f>INDEX(rrcworking[Closing Stock (Oil)],MATCH('Mar 2020 EDI'!F89,rrcworking[RRC ID],0))</f>
        <v>0</v>
      </c>
    </row>
    <row r="90" spans="1:43">
      <c r="A90" s="4" t="s">
        <v>1</v>
      </c>
      <c r="B90" s="1" t="s">
        <v>989</v>
      </c>
      <c r="C90" s="10" t="s">
        <v>910</v>
      </c>
      <c r="D90" s="1" t="s">
        <v>619</v>
      </c>
      <c r="E90" s="1" t="s">
        <v>59</v>
      </c>
      <c r="F90" s="1" t="s">
        <v>503</v>
      </c>
      <c r="I90" s="10" t="s">
        <v>3</v>
      </c>
      <c r="J90" s="123" t="s">
        <v>3</v>
      </c>
      <c r="K90" s="1" t="s">
        <v>1091</v>
      </c>
      <c r="M90" s="5">
        <v>202003</v>
      </c>
      <c r="N90" s="5">
        <f>INDEX(rrcworking[Formation Production (MCF) @ 14.65 psi],MATCH('Mar 2020 EDI'!F90,rrcworking[RRC ID],0))</f>
        <v>0</v>
      </c>
      <c r="O90" s="5">
        <f>INDEX(rrcworking[Lease Use (MCF)],MATCH('Mar 2020 EDI'!F90,rrcworking[RRC ID],0))</f>
        <v>0</v>
      </c>
      <c r="P90" s="5">
        <f>INDEX(rrcworking[Disposition Volume (MCF) @ 14.65 MCF],MATCH('Mar 2020 EDI'!F90,rrcworking[RRC ID],0))</f>
        <v>0</v>
      </c>
      <c r="Y90" s="5">
        <f>INDEX(rrcworking[Oil Production],MATCH('Mar 2020 EDI'!F90,rrcworking[RRC ID],0))</f>
        <v>0</v>
      </c>
      <c r="AA90" s="5">
        <f>INDEX(rrcworking[Sales/Dispostion],MATCH('Mar 2020 EDI'!F90,rrcworking[RRC ID],0))</f>
        <v>0</v>
      </c>
      <c r="AQ90" s="5">
        <f>INDEX(rrcworking[Closing Stock (Oil)],MATCH('Mar 2020 EDI'!F90,rrcworking[RRC ID],0))</f>
        <v>0</v>
      </c>
    </row>
    <row r="91" spans="1:43">
      <c r="A91" s="4" t="s">
        <v>1</v>
      </c>
      <c r="B91" s="1" t="s">
        <v>990</v>
      </c>
      <c r="C91" s="10" t="s">
        <v>910</v>
      </c>
      <c r="D91" s="1" t="s">
        <v>619</v>
      </c>
      <c r="E91" s="1" t="s">
        <v>2</v>
      </c>
      <c r="F91" s="1" t="s">
        <v>504</v>
      </c>
      <c r="I91" s="10" t="s">
        <v>3</v>
      </c>
      <c r="J91" s="123" t="s">
        <v>3</v>
      </c>
      <c r="K91" s="1" t="s">
        <v>1091</v>
      </c>
      <c r="M91" s="5">
        <v>202003</v>
      </c>
      <c r="N91" s="5">
        <f>INDEX(rrcworking[Formation Production (MCF) @ 14.65 psi],MATCH('Mar 2020 EDI'!F91,rrcworking[RRC ID],0))</f>
        <v>0</v>
      </c>
      <c r="O91" s="5">
        <f>INDEX(rrcworking[Lease Use (MCF)],MATCH('Mar 2020 EDI'!F91,rrcworking[RRC ID],0))</f>
        <v>0</v>
      </c>
      <c r="P91" s="5">
        <f>INDEX(rrcworking[Disposition Volume (MCF) @ 14.65 MCF],MATCH('Mar 2020 EDI'!F91,rrcworking[RRC ID],0))</f>
        <v>0</v>
      </c>
      <c r="Y91" s="5">
        <f>INDEX(rrcworking[Oil Production],MATCH('Mar 2020 EDI'!F91,rrcworking[RRC ID],0))</f>
        <v>74</v>
      </c>
      <c r="AA91" s="5">
        <f>INDEX(rrcworking[Sales/Dispostion],MATCH('Mar 2020 EDI'!F91,rrcworking[RRC ID],0))</f>
        <v>184</v>
      </c>
      <c r="AQ91" s="5">
        <f>INDEX(rrcworking[Closing Stock (Oil)],MATCH('Mar 2020 EDI'!F91,rrcworking[RRC ID],0))</f>
        <v>127</v>
      </c>
    </row>
    <row r="92" spans="1:43">
      <c r="A92" s="4" t="s">
        <v>1</v>
      </c>
      <c r="B92" s="1" t="s">
        <v>991</v>
      </c>
      <c r="C92" s="10" t="s">
        <v>910</v>
      </c>
      <c r="D92" s="1" t="s">
        <v>619</v>
      </c>
      <c r="E92" s="1" t="s">
        <v>59</v>
      </c>
      <c r="F92" s="1" t="s">
        <v>505</v>
      </c>
      <c r="I92" s="10" t="s">
        <v>3</v>
      </c>
      <c r="J92" s="123" t="s">
        <v>3</v>
      </c>
      <c r="K92" s="1" t="s">
        <v>1091</v>
      </c>
      <c r="M92" s="5">
        <v>202003</v>
      </c>
      <c r="N92" s="5">
        <f>INDEX(rrcworking[Formation Production (MCF) @ 14.65 psi],MATCH('Mar 2020 EDI'!F92,rrcworking[RRC ID],0))</f>
        <v>11966</v>
      </c>
      <c r="O92" s="5">
        <f>INDEX(rrcworking[Lease Use (MCF)],MATCH('Mar 2020 EDI'!F92,rrcworking[RRC ID],0))</f>
        <v>465</v>
      </c>
      <c r="P92" s="5">
        <f>INDEX(rrcworking[Disposition Volume (MCF) @ 14.65 MCF],MATCH('Mar 2020 EDI'!F92,rrcworking[RRC ID],0))</f>
        <v>11501</v>
      </c>
      <c r="Y92" s="5">
        <f>INDEX(rrcworking[Oil Production],MATCH('Mar 2020 EDI'!F92,rrcworking[RRC ID],0))</f>
        <v>216</v>
      </c>
      <c r="AA92" s="5">
        <f>INDEX(rrcworking[Sales/Dispostion],MATCH('Mar 2020 EDI'!F92,rrcworking[RRC ID],0))</f>
        <v>168</v>
      </c>
      <c r="AQ92" s="5">
        <f>INDEX(rrcworking[Closing Stock (Oil)],MATCH('Mar 2020 EDI'!F92,rrcworking[RRC ID],0))</f>
        <v>172</v>
      </c>
    </row>
    <row r="93" spans="1:43">
      <c r="A93" s="4" t="s">
        <v>1</v>
      </c>
      <c r="B93" s="1" t="s">
        <v>992</v>
      </c>
      <c r="C93" s="10" t="s">
        <v>910</v>
      </c>
      <c r="D93" s="1" t="s">
        <v>619</v>
      </c>
      <c r="E93" s="1" t="s">
        <v>59</v>
      </c>
      <c r="F93" s="1" t="s">
        <v>506</v>
      </c>
      <c r="I93" s="10" t="s">
        <v>3</v>
      </c>
      <c r="J93" s="123" t="s">
        <v>3</v>
      </c>
      <c r="K93" s="1" t="s">
        <v>1091</v>
      </c>
      <c r="M93" s="5">
        <v>202003</v>
      </c>
      <c r="N93" s="5">
        <f>INDEX(rrcworking[Formation Production (MCF) @ 14.65 psi],MATCH('Mar 2020 EDI'!F93,rrcworking[RRC ID],0))</f>
        <v>1651</v>
      </c>
      <c r="O93" s="5">
        <f>INDEX(rrcworking[Lease Use (MCF)],MATCH('Mar 2020 EDI'!F93,rrcworking[RRC ID],0))</f>
        <v>0</v>
      </c>
      <c r="P93" s="5">
        <f>INDEX(rrcworking[Disposition Volume (MCF) @ 14.65 MCF],MATCH('Mar 2020 EDI'!F93,rrcworking[RRC ID],0))</f>
        <v>1651</v>
      </c>
      <c r="Y93" s="5">
        <f>INDEX(rrcworking[Oil Production],MATCH('Mar 2020 EDI'!F93,rrcworking[RRC ID],0))</f>
        <v>7</v>
      </c>
      <c r="AA93" s="5">
        <f>INDEX(rrcworking[Sales/Dispostion],MATCH('Mar 2020 EDI'!F93,rrcworking[RRC ID],0))</f>
        <v>0</v>
      </c>
      <c r="AQ93" s="5">
        <f>INDEX(rrcworking[Closing Stock (Oil)],MATCH('Mar 2020 EDI'!F93,rrcworking[RRC ID],0))</f>
        <v>110</v>
      </c>
    </row>
    <row r="94" spans="1:43">
      <c r="A94" s="4" t="s">
        <v>1</v>
      </c>
      <c r="B94" s="1" t="s">
        <v>1282</v>
      </c>
      <c r="C94" s="10" t="s">
        <v>910</v>
      </c>
      <c r="D94" s="1" t="s">
        <v>619</v>
      </c>
      <c r="E94" s="1" t="s">
        <v>59</v>
      </c>
      <c r="F94" s="1" t="s">
        <v>507</v>
      </c>
      <c r="I94" s="10" t="s">
        <v>3</v>
      </c>
      <c r="J94" s="123" t="s">
        <v>3</v>
      </c>
      <c r="K94" s="1" t="s">
        <v>1091</v>
      </c>
      <c r="M94" s="5">
        <v>202003</v>
      </c>
      <c r="N94" s="5">
        <f>INDEX(rrcworking[Formation Production (MCF) @ 14.65 psi],MATCH('Mar 2020 EDI'!F94,rrcworking[RRC ID],0))</f>
        <v>0</v>
      </c>
      <c r="O94" s="5">
        <f>INDEX(rrcworking[Lease Use (MCF)],MATCH('Mar 2020 EDI'!F94,rrcworking[RRC ID],0))</f>
        <v>0</v>
      </c>
      <c r="P94" s="5">
        <f>INDEX(rrcworking[Disposition Volume (MCF) @ 14.65 MCF],MATCH('Mar 2020 EDI'!F94,rrcworking[RRC ID],0))</f>
        <v>0</v>
      </c>
      <c r="Y94" s="5">
        <f>INDEX(rrcworking[Oil Production],MATCH('Mar 2020 EDI'!F94,rrcworking[RRC ID],0))</f>
        <v>0</v>
      </c>
      <c r="AA94" s="5">
        <f>INDEX(rrcworking[Sales/Dispostion],MATCH('Mar 2020 EDI'!F94,rrcworking[RRC ID],0))</f>
        <v>0</v>
      </c>
      <c r="AQ94" s="5">
        <f>INDEX(rrcworking[Closing Stock (Oil)],MATCH('Mar 2020 EDI'!F94,rrcworking[RRC ID],0))</f>
        <v>0</v>
      </c>
    </row>
    <row r="95" spans="1:43">
      <c r="A95" s="4" t="s">
        <v>1</v>
      </c>
      <c r="B95" s="1" t="s">
        <v>993</v>
      </c>
      <c r="C95" s="10" t="s">
        <v>910</v>
      </c>
      <c r="D95" s="1" t="s">
        <v>619</v>
      </c>
      <c r="E95" s="1" t="s">
        <v>2</v>
      </c>
      <c r="F95" s="1" t="s">
        <v>508</v>
      </c>
      <c r="I95" s="10" t="s">
        <v>3</v>
      </c>
      <c r="J95" s="123" t="s">
        <v>3</v>
      </c>
      <c r="K95" s="1" t="s">
        <v>1091</v>
      </c>
      <c r="M95" s="5">
        <v>202003</v>
      </c>
      <c r="N95" s="5">
        <f>INDEX(rrcworking[Formation Production (MCF) @ 14.65 psi],MATCH('Mar 2020 EDI'!F95,rrcworking[RRC ID],0))</f>
        <v>0</v>
      </c>
      <c r="O95" s="5">
        <f>INDEX(rrcworking[Lease Use (MCF)],MATCH('Mar 2020 EDI'!F95,rrcworking[RRC ID],0))</f>
        <v>0</v>
      </c>
      <c r="P95" s="5">
        <f>INDEX(rrcworking[Disposition Volume (MCF) @ 14.65 MCF],MATCH('Mar 2020 EDI'!F95,rrcworking[RRC ID],0))</f>
        <v>0</v>
      </c>
      <c r="Y95" s="5">
        <f>INDEX(rrcworking[Oil Production],MATCH('Mar 2020 EDI'!F95,rrcworking[RRC ID],0))</f>
        <v>0</v>
      </c>
      <c r="AA95" s="5">
        <f>INDEX(rrcworking[Sales/Dispostion],MATCH('Mar 2020 EDI'!F95,rrcworking[RRC ID],0))</f>
        <v>0</v>
      </c>
      <c r="AQ95" s="5">
        <f>INDEX(rrcworking[Closing Stock (Oil)],MATCH('Mar 2020 EDI'!F95,rrcworking[RRC ID],0))</f>
        <v>0</v>
      </c>
    </row>
    <row r="96" spans="1:43">
      <c r="A96" s="4" t="s">
        <v>1</v>
      </c>
      <c r="B96" s="1" t="s">
        <v>994</v>
      </c>
      <c r="C96" s="10" t="s">
        <v>910</v>
      </c>
      <c r="D96" s="1" t="s">
        <v>619</v>
      </c>
      <c r="E96" s="1" t="s">
        <v>59</v>
      </c>
      <c r="F96" s="1" t="s">
        <v>509</v>
      </c>
      <c r="I96" s="10" t="s">
        <v>3</v>
      </c>
      <c r="J96" s="123" t="s">
        <v>3</v>
      </c>
      <c r="K96" s="1" t="s">
        <v>1091</v>
      </c>
      <c r="M96" s="5">
        <v>202003</v>
      </c>
      <c r="N96" s="5">
        <f>INDEX(rrcworking[Formation Production (MCF) @ 14.65 psi],MATCH('Mar 2020 EDI'!F96,rrcworking[RRC ID],0))</f>
        <v>0</v>
      </c>
      <c r="O96" s="5">
        <f>INDEX(rrcworking[Lease Use (MCF)],MATCH('Mar 2020 EDI'!F96,rrcworking[RRC ID],0))</f>
        <v>0</v>
      </c>
      <c r="P96" s="5">
        <f>INDEX(rrcworking[Disposition Volume (MCF) @ 14.65 MCF],MATCH('Mar 2020 EDI'!F96,rrcworking[RRC ID],0))</f>
        <v>0</v>
      </c>
      <c r="Y96" s="5">
        <f>INDEX(rrcworking[Oil Production],MATCH('Mar 2020 EDI'!F96,rrcworking[RRC ID],0))</f>
        <v>0</v>
      </c>
      <c r="AA96" s="5">
        <f>INDEX(rrcworking[Sales/Dispostion],MATCH('Mar 2020 EDI'!F96,rrcworking[RRC ID],0))</f>
        <v>0</v>
      </c>
      <c r="AQ96" s="5">
        <f>INDEX(rrcworking[Closing Stock (Oil)],MATCH('Mar 2020 EDI'!F96,rrcworking[RRC ID],0))</f>
        <v>0</v>
      </c>
    </row>
    <row r="97" spans="1:43">
      <c r="A97" s="4" t="s">
        <v>1</v>
      </c>
      <c r="B97" s="1" t="s">
        <v>995</v>
      </c>
      <c r="C97" s="10" t="s">
        <v>910</v>
      </c>
      <c r="D97" s="1" t="s">
        <v>619</v>
      </c>
      <c r="E97" s="1" t="s">
        <v>59</v>
      </c>
      <c r="F97" s="1" t="s">
        <v>510</v>
      </c>
      <c r="I97" s="10" t="s">
        <v>3</v>
      </c>
      <c r="J97" s="123" t="s">
        <v>3</v>
      </c>
      <c r="K97" s="1" t="s">
        <v>1091</v>
      </c>
      <c r="M97" s="5">
        <v>202003</v>
      </c>
      <c r="N97" s="5">
        <f>INDEX(rrcworking[Formation Production (MCF) @ 14.65 psi],MATCH('Mar 2020 EDI'!F97,rrcworking[RRC ID],0))</f>
        <v>0</v>
      </c>
      <c r="O97" s="5">
        <f>INDEX(rrcworking[Lease Use (MCF)],MATCH('Mar 2020 EDI'!F97,rrcworking[RRC ID],0))</f>
        <v>0</v>
      </c>
      <c r="P97" s="5">
        <f>INDEX(rrcworking[Disposition Volume (MCF) @ 14.65 MCF],MATCH('Mar 2020 EDI'!F97,rrcworking[RRC ID],0))</f>
        <v>0</v>
      </c>
      <c r="Y97" s="5">
        <f>INDEX(rrcworking[Oil Production],MATCH('Mar 2020 EDI'!F97,rrcworking[RRC ID],0))</f>
        <v>0</v>
      </c>
      <c r="AA97" s="5">
        <f>INDEX(rrcworking[Sales/Dispostion],MATCH('Mar 2020 EDI'!F97,rrcworking[RRC ID],0))</f>
        <v>0</v>
      </c>
      <c r="AQ97" s="5">
        <f>INDEX(rrcworking[Closing Stock (Oil)],MATCH('Mar 2020 EDI'!F97,rrcworking[RRC ID],0))</f>
        <v>0</v>
      </c>
    </row>
    <row r="98" spans="1:43">
      <c r="A98" s="4" t="s">
        <v>1</v>
      </c>
      <c r="B98" s="1" t="s">
        <v>996</v>
      </c>
      <c r="C98" s="10" t="s">
        <v>910</v>
      </c>
      <c r="D98" s="1" t="s">
        <v>619</v>
      </c>
      <c r="E98" s="1" t="s">
        <v>59</v>
      </c>
      <c r="F98" s="1" t="s">
        <v>511</v>
      </c>
      <c r="I98" s="10" t="s">
        <v>3</v>
      </c>
      <c r="J98" s="123" t="s">
        <v>3</v>
      </c>
      <c r="K98" s="1" t="s">
        <v>1091</v>
      </c>
      <c r="M98" s="5">
        <v>202003</v>
      </c>
      <c r="N98" s="5">
        <f>INDEX(rrcworking[Formation Production (MCF) @ 14.65 psi],MATCH('Mar 2020 EDI'!F98,rrcworking[RRC ID],0))</f>
        <v>6719</v>
      </c>
      <c r="O98" s="5">
        <f>INDEX(rrcworking[Lease Use (MCF)],MATCH('Mar 2020 EDI'!F98,rrcworking[RRC ID],0))</f>
        <v>217</v>
      </c>
      <c r="P98" s="5">
        <f>INDEX(rrcworking[Disposition Volume (MCF) @ 14.65 MCF],MATCH('Mar 2020 EDI'!F98,rrcworking[RRC ID],0))</f>
        <v>6502</v>
      </c>
      <c r="Y98" s="5">
        <f>INDEX(rrcworking[Oil Production],MATCH('Mar 2020 EDI'!F98,rrcworking[RRC ID],0))</f>
        <v>7</v>
      </c>
      <c r="AA98" s="5">
        <f>INDEX(rrcworking[Sales/Dispostion],MATCH('Mar 2020 EDI'!F98,rrcworking[RRC ID],0))</f>
        <v>190</v>
      </c>
      <c r="AQ98" s="5">
        <f>INDEX(rrcworking[Closing Stock (Oil)],MATCH('Mar 2020 EDI'!F98,rrcworking[RRC ID],0))</f>
        <v>63</v>
      </c>
    </row>
    <row r="99" spans="1:43">
      <c r="A99" s="4" t="s">
        <v>1</v>
      </c>
      <c r="B99" s="1" t="s">
        <v>997</v>
      </c>
      <c r="C99" s="10" t="s">
        <v>910</v>
      </c>
      <c r="D99" s="1" t="s">
        <v>619</v>
      </c>
      <c r="E99" s="1" t="s">
        <v>2</v>
      </c>
      <c r="F99" s="1" t="s">
        <v>512</v>
      </c>
      <c r="I99" s="10" t="s">
        <v>3</v>
      </c>
      <c r="J99" s="123" t="s">
        <v>3</v>
      </c>
      <c r="K99" s="1" t="s">
        <v>1091</v>
      </c>
      <c r="M99" s="5">
        <v>202003</v>
      </c>
      <c r="N99" s="5">
        <f>INDEX(rrcworking[Formation Production (MCF) @ 14.65 psi],MATCH('Mar 2020 EDI'!F99,rrcworking[RRC ID],0))</f>
        <v>218</v>
      </c>
      <c r="O99" s="5">
        <f>INDEX(rrcworking[Lease Use (MCF)],MATCH('Mar 2020 EDI'!F99,rrcworking[RRC ID],0))</f>
        <v>31</v>
      </c>
      <c r="P99" s="5">
        <f>INDEX(rrcworking[Disposition Volume (MCF) @ 14.65 MCF],MATCH('Mar 2020 EDI'!F99,rrcworking[RRC ID],0))</f>
        <v>187</v>
      </c>
      <c r="Y99" s="5">
        <f>INDEX(rrcworking[Oil Production],MATCH('Mar 2020 EDI'!F99,rrcworking[RRC ID],0))</f>
        <v>0</v>
      </c>
      <c r="AA99" s="5">
        <f>INDEX(rrcworking[Sales/Dispostion],MATCH('Mar 2020 EDI'!F99,rrcworking[RRC ID],0))</f>
        <v>0</v>
      </c>
      <c r="AQ99" s="5">
        <f>INDEX(rrcworking[Closing Stock (Oil)],MATCH('Mar 2020 EDI'!F99,rrcworking[RRC ID],0))</f>
        <v>45</v>
      </c>
    </row>
    <row r="100" spans="1:43">
      <c r="A100" s="4" t="s">
        <v>1</v>
      </c>
      <c r="B100" s="1" t="s">
        <v>998</v>
      </c>
      <c r="C100" s="10" t="s">
        <v>910</v>
      </c>
      <c r="D100" s="1" t="s">
        <v>619</v>
      </c>
      <c r="E100" s="1" t="s">
        <v>59</v>
      </c>
      <c r="F100" s="1" t="s">
        <v>513</v>
      </c>
      <c r="I100" s="10" t="s">
        <v>3</v>
      </c>
      <c r="J100" s="123" t="s">
        <v>3</v>
      </c>
      <c r="K100" s="1" t="s">
        <v>1091</v>
      </c>
      <c r="M100" s="5">
        <v>202003</v>
      </c>
      <c r="N100" s="5">
        <f>INDEX(rrcworking[Formation Production (MCF) @ 14.65 psi],MATCH('Mar 2020 EDI'!F100,rrcworking[RRC ID],0))</f>
        <v>0</v>
      </c>
      <c r="O100" s="5">
        <f>INDEX(rrcworking[Lease Use (MCF)],MATCH('Mar 2020 EDI'!F100,rrcworking[RRC ID],0))</f>
        <v>0</v>
      </c>
      <c r="P100" s="5">
        <f>INDEX(rrcworking[Disposition Volume (MCF) @ 14.65 MCF],MATCH('Mar 2020 EDI'!F100,rrcworking[RRC ID],0))</f>
        <v>0</v>
      </c>
      <c r="Y100" s="5">
        <f>INDEX(rrcworking[Oil Production],MATCH('Mar 2020 EDI'!F100,rrcworking[RRC ID],0))</f>
        <v>0</v>
      </c>
      <c r="AA100" s="5">
        <f>INDEX(rrcworking[Sales/Dispostion],MATCH('Mar 2020 EDI'!F100,rrcworking[RRC ID],0))</f>
        <v>0</v>
      </c>
      <c r="AQ100" s="5">
        <f>INDEX(rrcworking[Closing Stock (Oil)],MATCH('Mar 2020 EDI'!F100,rrcworking[RRC ID],0))</f>
        <v>0</v>
      </c>
    </row>
    <row r="101" spans="1:43">
      <c r="A101" s="4" t="s">
        <v>1</v>
      </c>
      <c r="B101" s="1" t="s">
        <v>999</v>
      </c>
      <c r="C101" s="10" t="s">
        <v>910</v>
      </c>
      <c r="D101" s="1" t="s">
        <v>619</v>
      </c>
      <c r="E101" s="1" t="s">
        <v>59</v>
      </c>
      <c r="F101" s="1" t="s">
        <v>514</v>
      </c>
      <c r="I101" s="10" t="s">
        <v>3</v>
      </c>
      <c r="J101" s="123" t="s">
        <v>3</v>
      </c>
      <c r="K101" s="1" t="s">
        <v>1091</v>
      </c>
      <c r="M101" s="5">
        <v>202003</v>
      </c>
      <c r="N101" s="5">
        <f>INDEX(rrcworking[Formation Production (MCF) @ 14.65 psi],MATCH('Mar 2020 EDI'!F101,rrcworking[RRC ID],0))</f>
        <v>0</v>
      </c>
      <c r="O101" s="5">
        <f>INDEX(rrcworking[Lease Use (MCF)],MATCH('Mar 2020 EDI'!F101,rrcworking[RRC ID],0))</f>
        <v>0</v>
      </c>
      <c r="P101" s="5">
        <f>INDEX(rrcworking[Disposition Volume (MCF) @ 14.65 MCF],MATCH('Mar 2020 EDI'!F101,rrcworking[RRC ID],0))</f>
        <v>0</v>
      </c>
      <c r="Y101" s="5">
        <f>INDEX(rrcworking[Oil Production],MATCH('Mar 2020 EDI'!F101,rrcworking[RRC ID],0))</f>
        <v>0</v>
      </c>
      <c r="AA101" s="5">
        <f>INDEX(rrcworking[Sales/Dispostion],MATCH('Mar 2020 EDI'!F101,rrcworking[RRC ID],0))</f>
        <v>0</v>
      </c>
      <c r="AQ101" s="5">
        <f>INDEX(rrcworking[Closing Stock (Oil)],MATCH('Mar 2020 EDI'!F101,rrcworking[RRC ID],0))</f>
        <v>0</v>
      </c>
    </row>
    <row r="102" spans="1:43">
      <c r="A102" s="4" t="s">
        <v>1</v>
      </c>
      <c r="B102" s="1" t="s">
        <v>1000</v>
      </c>
      <c r="C102" s="10" t="s">
        <v>910</v>
      </c>
      <c r="D102" s="1" t="s">
        <v>619</v>
      </c>
      <c r="E102" s="1" t="s">
        <v>59</v>
      </c>
      <c r="F102" s="1" t="s">
        <v>515</v>
      </c>
      <c r="I102" s="10" t="s">
        <v>3</v>
      </c>
      <c r="J102" s="123" t="s">
        <v>3</v>
      </c>
      <c r="K102" s="1" t="s">
        <v>1091</v>
      </c>
      <c r="M102" s="5">
        <v>202003</v>
      </c>
      <c r="N102" s="5">
        <f>INDEX(rrcworking[Formation Production (MCF) @ 14.65 psi],MATCH('Mar 2020 EDI'!F102,rrcworking[RRC ID],0))</f>
        <v>14257</v>
      </c>
      <c r="O102" s="5">
        <f>INDEX(rrcworking[Lease Use (MCF)],MATCH('Mar 2020 EDI'!F102,rrcworking[RRC ID],0))</f>
        <v>575</v>
      </c>
      <c r="P102" s="5">
        <f>INDEX(rrcworking[Disposition Volume (MCF) @ 14.65 MCF],MATCH('Mar 2020 EDI'!F102,rrcworking[RRC ID],0))</f>
        <v>13682</v>
      </c>
      <c r="Y102" s="5">
        <f>INDEX(rrcworking[Oil Production],MATCH('Mar 2020 EDI'!F102,rrcworking[RRC ID],0))</f>
        <v>35</v>
      </c>
      <c r="AA102" s="5">
        <f>INDEX(rrcworking[Sales/Dispostion],MATCH('Mar 2020 EDI'!F102,rrcworking[RRC ID],0))</f>
        <v>0</v>
      </c>
      <c r="AQ102" s="5">
        <f>INDEX(rrcworking[Closing Stock (Oil)],MATCH('Mar 2020 EDI'!F102,rrcworking[RRC ID],0))</f>
        <v>137</v>
      </c>
    </row>
    <row r="103" spans="1:43">
      <c r="A103" s="4" t="s">
        <v>1</v>
      </c>
      <c r="B103" s="1" t="s">
        <v>1001</v>
      </c>
      <c r="C103" s="10" t="s">
        <v>910</v>
      </c>
      <c r="D103" s="1" t="s">
        <v>619</v>
      </c>
      <c r="E103" s="1" t="s">
        <v>59</v>
      </c>
      <c r="F103" s="1" t="s">
        <v>516</v>
      </c>
      <c r="I103" s="10" t="s">
        <v>3</v>
      </c>
      <c r="J103" s="123" t="s">
        <v>3</v>
      </c>
      <c r="K103" s="1" t="s">
        <v>1091</v>
      </c>
      <c r="M103" s="5">
        <v>202003</v>
      </c>
      <c r="N103" s="5">
        <f>INDEX(rrcworking[Formation Production (MCF) @ 14.65 psi],MATCH('Mar 2020 EDI'!F103,rrcworking[RRC ID],0))</f>
        <v>548</v>
      </c>
      <c r="O103" s="5">
        <f>INDEX(rrcworking[Lease Use (MCF)],MATCH('Mar 2020 EDI'!F103,rrcworking[RRC ID],0))</f>
        <v>0</v>
      </c>
      <c r="P103" s="5">
        <f>INDEX(rrcworking[Disposition Volume (MCF) @ 14.65 MCF],MATCH('Mar 2020 EDI'!F103,rrcworking[RRC ID],0))</f>
        <v>548</v>
      </c>
      <c r="Y103" s="5">
        <f>INDEX(rrcworking[Oil Production],MATCH('Mar 2020 EDI'!F103,rrcworking[RRC ID],0))</f>
        <v>23</v>
      </c>
      <c r="AA103" s="5">
        <f>INDEX(rrcworking[Sales/Dispostion],MATCH('Mar 2020 EDI'!F103,rrcworking[RRC ID],0))</f>
        <v>0</v>
      </c>
      <c r="AQ103" s="5">
        <f>INDEX(rrcworking[Closing Stock (Oil)],MATCH('Mar 2020 EDI'!F103,rrcworking[RRC ID],0))</f>
        <v>125</v>
      </c>
    </row>
    <row r="104" spans="1:43">
      <c r="A104" s="4" t="s">
        <v>1</v>
      </c>
      <c r="B104" s="1" t="s">
        <v>1002</v>
      </c>
      <c r="C104" s="10" t="s">
        <v>910</v>
      </c>
      <c r="D104" s="1" t="s">
        <v>619</v>
      </c>
      <c r="E104" s="1" t="s">
        <v>59</v>
      </c>
      <c r="F104" s="1" t="s">
        <v>517</v>
      </c>
      <c r="I104" s="10" t="s">
        <v>3</v>
      </c>
      <c r="J104" s="123" t="s">
        <v>3</v>
      </c>
      <c r="K104" s="1" t="s">
        <v>1091</v>
      </c>
      <c r="M104" s="5">
        <v>202003</v>
      </c>
      <c r="N104" s="5">
        <f>INDEX(rrcworking[Formation Production (MCF) @ 14.65 psi],MATCH('Mar 2020 EDI'!F104,rrcworking[RRC ID],0))</f>
        <v>107</v>
      </c>
      <c r="O104" s="5">
        <f>INDEX(rrcworking[Lease Use (MCF)],MATCH('Mar 2020 EDI'!F104,rrcworking[RRC ID],0))</f>
        <v>21</v>
      </c>
      <c r="P104" s="5">
        <f>INDEX(rrcworking[Disposition Volume (MCF) @ 14.65 MCF],MATCH('Mar 2020 EDI'!F104,rrcworking[RRC ID],0))</f>
        <v>86</v>
      </c>
      <c r="Y104" s="5">
        <f>INDEX(rrcworking[Oil Production],MATCH('Mar 2020 EDI'!F104,rrcworking[RRC ID],0))</f>
        <v>0</v>
      </c>
      <c r="AA104" s="5">
        <f>INDEX(rrcworking[Sales/Dispostion],MATCH('Mar 2020 EDI'!F104,rrcworking[RRC ID],0))</f>
        <v>0</v>
      </c>
      <c r="AQ104" s="5">
        <f>INDEX(rrcworking[Closing Stock (Oil)],MATCH('Mar 2020 EDI'!F104,rrcworking[RRC ID],0))</f>
        <v>109</v>
      </c>
    </row>
    <row r="105" spans="1:43">
      <c r="A105" s="4" t="s">
        <v>1</v>
      </c>
      <c r="B105" s="1" t="s">
        <v>1003</v>
      </c>
      <c r="C105" s="10" t="s">
        <v>910</v>
      </c>
      <c r="D105" s="1" t="s">
        <v>619</v>
      </c>
      <c r="E105" s="1" t="s">
        <v>2</v>
      </c>
      <c r="F105" s="1" t="s">
        <v>518</v>
      </c>
      <c r="I105" s="10" t="s">
        <v>3</v>
      </c>
      <c r="J105" s="123" t="s">
        <v>3</v>
      </c>
      <c r="K105" s="1" t="s">
        <v>1091</v>
      </c>
      <c r="M105" s="5">
        <v>202003</v>
      </c>
      <c r="N105" s="5">
        <f>INDEX(rrcworking[Formation Production (MCF) @ 14.65 psi],MATCH('Mar 2020 EDI'!F105,rrcworking[RRC ID],0))</f>
        <v>0</v>
      </c>
      <c r="O105" s="5">
        <f>INDEX(rrcworking[Lease Use (MCF)],MATCH('Mar 2020 EDI'!F105,rrcworking[RRC ID],0))</f>
        <v>0</v>
      </c>
      <c r="P105" s="5">
        <f>INDEX(rrcworking[Disposition Volume (MCF) @ 14.65 MCF],MATCH('Mar 2020 EDI'!F105,rrcworking[RRC ID],0))</f>
        <v>0</v>
      </c>
      <c r="Y105" s="5">
        <f>INDEX(rrcworking[Oil Production],MATCH('Mar 2020 EDI'!F105,rrcworking[RRC ID],0))</f>
        <v>0</v>
      </c>
      <c r="AA105" s="5">
        <f>INDEX(rrcworking[Sales/Dispostion],MATCH('Mar 2020 EDI'!F105,rrcworking[RRC ID],0))</f>
        <v>0</v>
      </c>
      <c r="AQ105" s="5">
        <f>INDEX(rrcworking[Closing Stock (Oil)],MATCH('Mar 2020 EDI'!F105,rrcworking[RRC ID],0))</f>
        <v>0</v>
      </c>
    </row>
    <row r="106" spans="1:43">
      <c r="A106" s="4" t="s">
        <v>1</v>
      </c>
      <c r="B106" s="1" t="s">
        <v>1004</v>
      </c>
      <c r="C106" s="10" t="s">
        <v>910</v>
      </c>
      <c r="D106" s="1" t="s">
        <v>619</v>
      </c>
      <c r="E106" s="1" t="s">
        <v>59</v>
      </c>
      <c r="F106" s="1" t="s">
        <v>519</v>
      </c>
      <c r="I106" s="10" t="s">
        <v>3</v>
      </c>
      <c r="J106" s="123" t="s">
        <v>3</v>
      </c>
      <c r="K106" s="1" t="s">
        <v>1091</v>
      </c>
      <c r="M106" s="5">
        <v>202003</v>
      </c>
      <c r="N106" s="5">
        <f>INDEX(rrcworking[Formation Production (MCF) @ 14.65 psi],MATCH('Mar 2020 EDI'!F106,rrcworking[RRC ID],0))</f>
        <v>0</v>
      </c>
      <c r="O106" s="5">
        <f>INDEX(rrcworking[Lease Use (MCF)],MATCH('Mar 2020 EDI'!F106,rrcworking[RRC ID],0))</f>
        <v>0</v>
      </c>
      <c r="P106" s="5">
        <f>INDEX(rrcworking[Disposition Volume (MCF) @ 14.65 MCF],MATCH('Mar 2020 EDI'!F106,rrcworking[RRC ID],0))</f>
        <v>0</v>
      </c>
      <c r="Y106" s="5">
        <f>INDEX(rrcworking[Oil Production],MATCH('Mar 2020 EDI'!F106,rrcworking[RRC ID],0))</f>
        <v>0</v>
      </c>
      <c r="AA106" s="5">
        <f>INDEX(rrcworking[Sales/Dispostion],MATCH('Mar 2020 EDI'!F106,rrcworking[RRC ID],0))</f>
        <v>0</v>
      </c>
      <c r="AQ106" s="5">
        <f>INDEX(rrcworking[Closing Stock (Oil)],MATCH('Mar 2020 EDI'!F106,rrcworking[RRC ID],0))</f>
        <v>0</v>
      </c>
    </row>
    <row r="107" spans="1:43">
      <c r="A107" s="4" t="s">
        <v>1</v>
      </c>
      <c r="B107" s="1" t="s">
        <v>1005</v>
      </c>
      <c r="C107" s="10" t="s">
        <v>910</v>
      </c>
      <c r="D107" s="1" t="s">
        <v>619</v>
      </c>
      <c r="E107" s="1" t="s">
        <v>59</v>
      </c>
      <c r="F107" s="1" t="s">
        <v>520</v>
      </c>
      <c r="I107" s="10" t="s">
        <v>3</v>
      </c>
      <c r="J107" s="123" t="s">
        <v>3</v>
      </c>
      <c r="K107" s="1" t="s">
        <v>1091</v>
      </c>
      <c r="M107" s="5">
        <v>202003</v>
      </c>
      <c r="N107" s="5">
        <f>INDEX(rrcworking[Formation Production (MCF) @ 14.65 psi],MATCH('Mar 2020 EDI'!F107,rrcworking[RRC ID],0))</f>
        <v>3223</v>
      </c>
      <c r="O107" s="5">
        <f>INDEX(rrcworking[Lease Use (MCF)],MATCH('Mar 2020 EDI'!F107,rrcworking[RRC ID],0))</f>
        <v>93</v>
      </c>
      <c r="P107" s="5">
        <f>INDEX(rrcworking[Disposition Volume (MCF) @ 14.65 MCF],MATCH('Mar 2020 EDI'!F107,rrcworking[RRC ID],0))</f>
        <v>3130</v>
      </c>
      <c r="Y107" s="5">
        <f>INDEX(rrcworking[Oil Production],MATCH('Mar 2020 EDI'!F107,rrcworking[RRC ID],0))</f>
        <v>65</v>
      </c>
      <c r="AA107" s="5">
        <f>INDEX(rrcworking[Sales/Dispostion],MATCH('Mar 2020 EDI'!F107,rrcworking[RRC ID],0))</f>
        <v>0</v>
      </c>
      <c r="AQ107" s="5">
        <f>INDEX(rrcworking[Closing Stock (Oil)],MATCH('Mar 2020 EDI'!F107,rrcworking[RRC ID],0))</f>
        <v>129</v>
      </c>
    </row>
    <row r="108" spans="1:43">
      <c r="A108" s="4" t="s">
        <v>1</v>
      </c>
      <c r="B108" s="1" t="s">
        <v>1006</v>
      </c>
      <c r="C108" s="10" t="s">
        <v>910</v>
      </c>
      <c r="D108" s="1" t="s">
        <v>619</v>
      </c>
      <c r="E108" s="1" t="s">
        <v>59</v>
      </c>
      <c r="F108" s="1" t="s">
        <v>521</v>
      </c>
      <c r="I108" s="10" t="s">
        <v>3</v>
      </c>
      <c r="J108" s="123" t="s">
        <v>3</v>
      </c>
      <c r="K108" s="1" t="s">
        <v>1091</v>
      </c>
      <c r="M108" s="5">
        <v>202003</v>
      </c>
      <c r="N108" s="5">
        <f>INDEX(rrcworking[Formation Production (MCF) @ 14.65 psi],MATCH('Mar 2020 EDI'!F108,rrcworking[RRC ID],0))</f>
        <v>0</v>
      </c>
      <c r="O108" s="5">
        <f>INDEX(rrcworking[Lease Use (MCF)],MATCH('Mar 2020 EDI'!F108,rrcworking[RRC ID],0))</f>
        <v>0</v>
      </c>
      <c r="P108" s="5">
        <f>INDEX(rrcworking[Disposition Volume (MCF) @ 14.65 MCF],MATCH('Mar 2020 EDI'!F108,rrcworking[RRC ID],0))</f>
        <v>0</v>
      </c>
      <c r="Y108" s="5">
        <f>INDEX(rrcworking[Oil Production],MATCH('Mar 2020 EDI'!F108,rrcworking[RRC ID],0))</f>
        <v>0</v>
      </c>
      <c r="AA108" s="5">
        <f>INDEX(rrcworking[Sales/Dispostion],MATCH('Mar 2020 EDI'!F108,rrcworking[RRC ID],0))</f>
        <v>0</v>
      </c>
      <c r="AQ108" s="5">
        <f>INDEX(rrcworking[Closing Stock (Oil)],MATCH('Mar 2020 EDI'!F108,rrcworking[RRC ID],0))</f>
        <v>0</v>
      </c>
    </row>
    <row r="109" spans="1:43">
      <c r="A109" s="4" t="s">
        <v>1</v>
      </c>
      <c r="B109" s="1" t="s">
        <v>1007</v>
      </c>
      <c r="C109" s="10" t="s">
        <v>910</v>
      </c>
      <c r="D109" s="1" t="s">
        <v>619</v>
      </c>
      <c r="E109" s="1" t="s">
        <v>59</v>
      </c>
      <c r="F109" s="1" t="s">
        <v>522</v>
      </c>
      <c r="I109" s="10" t="s">
        <v>3</v>
      </c>
      <c r="J109" s="123" t="s">
        <v>3</v>
      </c>
      <c r="K109" s="1" t="s">
        <v>1091</v>
      </c>
      <c r="M109" s="5">
        <v>202003</v>
      </c>
      <c r="N109" s="5">
        <f>INDEX(rrcworking[Formation Production (MCF) @ 14.65 psi],MATCH('Mar 2020 EDI'!F109,rrcworking[RRC ID],0))</f>
        <v>1384</v>
      </c>
      <c r="O109" s="5">
        <f>INDEX(rrcworking[Lease Use (MCF)],MATCH('Mar 2020 EDI'!F109,rrcworking[RRC ID],0))</f>
        <v>31</v>
      </c>
      <c r="P109" s="5">
        <f>INDEX(rrcworking[Disposition Volume (MCF) @ 14.65 MCF],MATCH('Mar 2020 EDI'!F109,rrcworking[RRC ID],0))</f>
        <v>1353</v>
      </c>
      <c r="Y109" s="5">
        <f>INDEX(rrcworking[Oil Production],MATCH('Mar 2020 EDI'!F109,rrcworking[RRC ID],0))</f>
        <v>4</v>
      </c>
      <c r="AA109" s="5">
        <f>INDEX(rrcworking[Sales/Dispostion],MATCH('Mar 2020 EDI'!F109,rrcworking[RRC ID],0))</f>
        <v>136</v>
      </c>
      <c r="AQ109" s="5">
        <f>INDEX(rrcworking[Closing Stock (Oil)],MATCH('Mar 2020 EDI'!F109,rrcworking[RRC ID],0))</f>
        <v>65</v>
      </c>
    </row>
    <row r="110" spans="1:43">
      <c r="A110" s="4" t="s">
        <v>1</v>
      </c>
      <c r="B110" s="1" t="s">
        <v>1008</v>
      </c>
      <c r="C110" s="10" t="s">
        <v>910</v>
      </c>
      <c r="D110" s="1" t="s">
        <v>619</v>
      </c>
      <c r="E110" s="1" t="s">
        <v>59</v>
      </c>
      <c r="F110" s="1" t="s">
        <v>523</v>
      </c>
      <c r="I110" s="10" t="s">
        <v>3</v>
      </c>
      <c r="J110" s="123" t="s">
        <v>3</v>
      </c>
      <c r="K110" s="1" t="s">
        <v>1091</v>
      </c>
      <c r="M110" s="5">
        <v>202003</v>
      </c>
      <c r="N110" s="5">
        <f>INDEX(rrcworking[Formation Production (MCF) @ 14.65 psi],MATCH('Mar 2020 EDI'!F110,rrcworking[RRC ID],0))</f>
        <v>1792</v>
      </c>
      <c r="O110" s="5">
        <f>INDEX(rrcworking[Lease Use (MCF)],MATCH('Mar 2020 EDI'!F110,rrcworking[RRC ID],0))</f>
        <v>124</v>
      </c>
      <c r="P110" s="5">
        <f>INDEX(rrcworking[Disposition Volume (MCF) @ 14.65 MCF],MATCH('Mar 2020 EDI'!F110,rrcworking[RRC ID],0))</f>
        <v>1668</v>
      </c>
      <c r="Y110" s="5">
        <f>INDEX(rrcworking[Oil Production],MATCH('Mar 2020 EDI'!F110,rrcworking[RRC ID],0))</f>
        <v>47</v>
      </c>
      <c r="AA110" s="5">
        <f>INDEX(rrcworking[Sales/Dispostion],MATCH('Mar 2020 EDI'!F110,rrcworking[RRC ID],0))</f>
        <v>0</v>
      </c>
      <c r="AQ110" s="5">
        <f>INDEX(rrcworking[Closing Stock (Oil)],MATCH('Mar 2020 EDI'!F110,rrcworking[RRC ID],0))</f>
        <v>99</v>
      </c>
    </row>
    <row r="111" spans="1:43">
      <c r="A111" s="4" t="s">
        <v>1</v>
      </c>
      <c r="B111" s="1" t="s">
        <v>1009</v>
      </c>
      <c r="C111" s="10" t="s">
        <v>910</v>
      </c>
      <c r="D111" s="1" t="s">
        <v>619</v>
      </c>
      <c r="E111" s="1" t="s">
        <v>59</v>
      </c>
      <c r="F111" s="1" t="s">
        <v>524</v>
      </c>
      <c r="I111" s="10" t="s">
        <v>3</v>
      </c>
      <c r="J111" s="123" t="s">
        <v>3</v>
      </c>
      <c r="K111" s="1" t="s">
        <v>1091</v>
      </c>
      <c r="M111" s="5">
        <v>202003</v>
      </c>
      <c r="N111" s="5">
        <f>INDEX(rrcworking[Formation Production (MCF) @ 14.65 psi],MATCH('Mar 2020 EDI'!F111,rrcworking[RRC ID],0))</f>
        <v>0</v>
      </c>
      <c r="O111" s="5">
        <f>INDEX(rrcworking[Lease Use (MCF)],MATCH('Mar 2020 EDI'!F111,rrcworking[RRC ID],0))</f>
        <v>0</v>
      </c>
      <c r="P111" s="5">
        <f>INDEX(rrcworking[Disposition Volume (MCF) @ 14.65 MCF],MATCH('Mar 2020 EDI'!F111,rrcworking[RRC ID],0))</f>
        <v>0</v>
      </c>
      <c r="Y111" s="5">
        <f>INDEX(rrcworking[Oil Production],MATCH('Mar 2020 EDI'!F111,rrcworking[RRC ID],0))</f>
        <v>0</v>
      </c>
      <c r="AA111" s="5">
        <f>INDEX(rrcworking[Sales/Dispostion],MATCH('Mar 2020 EDI'!F111,rrcworking[RRC ID],0))</f>
        <v>0</v>
      </c>
      <c r="AQ111" s="5">
        <f>INDEX(rrcworking[Closing Stock (Oil)],MATCH('Mar 2020 EDI'!F111,rrcworking[RRC ID],0))</f>
        <v>0</v>
      </c>
    </row>
    <row r="112" spans="1:43">
      <c r="A112" s="4" t="s">
        <v>1</v>
      </c>
      <c r="B112" s="1" t="s">
        <v>1010</v>
      </c>
      <c r="C112" s="10" t="s">
        <v>910</v>
      </c>
      <c r="D112" s="1" t="s">
        <v>619</v>
      </c>
      <c r="E112" s="1" t="s">
        <v>59</v>
      </c>
      <c r="F112" s="1" t="s">
        <v>525</v>
      </c>
      <c r="I112" s="10" t="s">
        <v>3</v>
      </c>
      <c r="J112" s="123" t="s">
        <v>3</v>
      </c>
      <c r="K112" s="1" t="s">
        <v>1091</v>
      </c>
      <c r="M112" s="5">
        <v>202003</v>
      </c>
      <c r="N112" s="5">
        <f>INDEX(rrcworking[Formation Production (MCF) @ 14.65 psi],MATCH('Mar 2020 EDI'!F112,rrcworking[RRC ID],0))</f>
        <v>0</v>
      </c>
      <c r="O112" s="5">
        <f>INDEX(rrcworking[Lease Use (MCF)],MATCH('Mar 2020 EDI'!F112,rrcworking[RRC ID],0))</f>
        <v>0</v>
      </c>
      <c r="P112" s="5">
        <f>INDEX(rrcworking[Disposition Volume (MCF) @ 14.65 MCF],MATCH('Mar 2020 EDI'!F112,rrcworking[RRC ID],0))</f>
        <v>0</v>
      </c>
      <c r="Y112" s="5">
        <f>INDEX(rrcworking[Oil Production],MATCH('Mar 2020 EDI'!F112,rrcworking[RRC ID],0))</f>
        <v>0</v>
      </c>
      <c r="AA112" s="5">
        <f>INDEX(rrcworking[Sales/Dispostion],MATCH('Mar 2020 EDI'!F112,rrcworking[RRC ID],0))</f>
        <v>0</v>
      </c>
      <c r="AQ112" s="5">
        <f>INDEX(rrcworking[Closing Stock (Oil)],MATCH('Mar 2020 EDI'!F112,rrcworking[RRC ID],0))</f>
        <v>0</v>
      </c>
    </row>
    <row r="113" spans="1:43">
      <c r="A113" s="4" t="s">
        <v>1</v>
      </c>
      <c r="B113" s="1" t="s">
        <v>1011</v>
      </c>
      <c r="C113" s="10" t="s">
        <v>910</v>
      </c>
      <c r="D113" s="1" t="s">
        <v>619</v>
      </c>
      <c r="E113" s="1" t="s">
        <v>59</v>
      </c>
      <c r="F113" s="1" t="s">
        <v>526</v>
      </c>
      <c r="I113" s="10" t="s">
        <v>3</v>
      </c>
      <c r="J113" s="123" t="s">
        <v>3</v>
      </c>
      <c r="K113" s="1" t="s">
        <v>1091</v>
      </c>
      <c r="M113" s="5">
        <v>202003</v>
      </c>
      <c r="N113" s="5">
        <f>INDEX(rrcworking[Formation Production (MCF) @ 14.65 psi],MATCH('Mar 2020 EDI'!F113,rrcworking[RRC ID],0))</f>
        <v>0</v>
      </c>
      <c r="O113" s="5">
        <f>INDEX(rrcworking[Lease Use (MCF)],MATCH('Mar 2020 EDI'!F113,rrcworking[RRC ID],0))</f>
        <v>0</v>
      </c>
      <c r="P113" s="5">
        <f>INDEX(rrcworking[Disposition Volume (MCF) @ 14.65 MCF],MATCH('Mar 2020 EDI'!F113,rrcworking[RRC ID],0))</f>
        <v>0</v>
      </c>
      <c r="Y113" s="5">
        <f>INDEX(rrcworking[Oil Production],MATCH('Mar 2020 EDI'!F113,rrcworking[RRC ID],0))</f>
        <v>0</v>
      </c>
      <c r="AA113" s="5">
        <f>INDEX(rrcworking[Sales/Dispostion],MATCH('Mar 2020 EDI'!F113,rrcworking[RRC ID],0))</f>
        <v>0</v>
      </c>
      <c r="AQ113" s="5">
        <f>INDEX(rrcworking[Closing Stock (Oil)],MATCH('Mar 2020 EDI'!F113,rrcworking[RRC ID],0))</f>
        <v>0</v>
      </c>
    </row>
    <row r="114" spans="1:43">
      <c r="A114" s="4" t="s">
        <v>1</v>
      </c>
      <c r="B114" s="1" t="s">
        <v>1012</v>
      </c>
      <c r="C114" s="10" t="s">
        <v>910</v>
      </c>
      <c r="D114" s="1" t="s">
        <v>619</v>
      </c>
      <c r="E114" s="1" t="s">
        <v>59</v>
      </c>
      <c r="F114" s="1" t="s">
        <v>527</v>
      </c>
      <c r="I114" s="10" t="s">
        <v>3</v>
      </c>
      <c r="J114" s="123" t="s">
        <v>3</v>
      </c>
      <c r="K114" s="1">
        <v>1988</v>
      </c>
      <c r="M114" s="5">
        <v>202003</v>
      </c>
      <c r="N114" s="5">
        <f>INDEX(rrcworking[Formation Production (MCF) @ 14.65 psi],MATCH('Mar 2020 EDI'!F114,rrcworking[RRC ID],0))</f>
        <v>0</v>
      </c>
      <c r="O114" s="5">
        <f>INDEX(rrcworking[Lease Use (MCF)],MATCH('Mar 2020 EDI'!F114,rrcworking[RRC ID],0))</f>
        <v>0</v>
      </c>
      <c r="P114" s="5">
        <f>INDEX(rrcworking[Disposition Volume (MCF) @ 14.65 MCF],MATCH('Mar 2020 EDI'!F114,rrcworking[RRC ID],0))</f>
        <v>0</v>
      </c>
      <c r="Y114" s="5">
        <f>INDEX(rrcworking[Oil Production],MATCH('Mar 2020 EDI'!F114,rrcworking[RRC ID],0))</f>
        <v>0</v>
      </c>
      <c r="AA114" s="5">
        <f>INDEX(rrcworking[Sales/Dispostion],MATCH('Mar 2020 EDI'!F114,rrcworking[RRC ID],0))</f>
        <v>0</v>
      </c>
      <c r="AQ114" s="5">
        <f>INDEX(rrcworking[Closing Stock (Oil)],MATCH('Mar 2020 EDI'!F114,rrcworking[RRC ID],0))</f>
        <v>0</v>
      </c>
    </row>
    <row r="115" spans="1:43">
      <c r="A115" s="4" t="s">
        <v>1</v>
      </c>
      <c r="B115" s="1" t="s">
        <v>1013</v>
      </c>
      <c r="C115" s="10" t="s">
        <v>910</v>
      </c>
      <c r="D115" s="1" t="s">
        <v>619</v>
      </c>
      <c r="E115" s="1" t="s">
        <v>59</v>
      </c>
      <c r="F115" s="1" t="s">
        <v>528</v>
      </c>
      <c r="I115" s="10" t="s">
        <v>3</v>
      </c>
      <c r="J115" s="123" t="s">
        <v>3</v>
      </c>
      <c r="K115" s="1" t="s">
        <v>1091</v>
      </c>
      <c r="M115" s="5">
        <v>202003</v>
      </c>
      <c r="N115" s="5">
        <f>INDEX(rrcworking[Formation Production (MCF) @ 14.65 psi],MATCH('Mar 2020 EDI'!F115,rrcworking[RRC ID],0))</f>
        <v>0</v>
      </c>
      <c r="O115" s="5">
        <f>INDEX(rrcworking[Lease Use (MCF)],MATCH('Mar 2020 EDI'!F115,rrcworking[RRC ID],0))</f>
        <v>0</v>
      </c>
      <c r="P115" s="5">
        <f>INDEX(rrcworking[Disposition Volume (MCF) @ 14.65 MCF],MATCH('Mar 2020 EDI'!F115,rrcworking[RRC ID],0))</f>
        <v>0</v>
      </c>
      <c r="Y115" s="5">
        <f>INDEX(rrcworking[Oil Production],MATCH('Mar 2020 EDI'!F115,rrcworking[RRC ID],0))</f>
        <v>0</v>
      </c>
      <c r="AA115" s="5">
        <f>INDEX(rrcworking[Sales/Dispostion],MATCH('Mar 2020 EDI'!F115,rrcworking[RRC ID],0))</f>
        <v>0</v>
      </c>
      <c r="AQ115" s="5">
        <f>INDEX(rrcworking[Closing Stock (Oil)],MATCH('Mar 2020 EDI'!F115,rrcworking[RRC ID],0))</f>
        <v>0</v>
      </c>
    </row>
    <row r="116" spans="1:43">
      <c r="A116" s="4" t="s">
        <v>1</v>
      </c>
      <c r="B116" s="1" t="s">
        <v>1014</v>
      </c>
      <c r="C116" s="10" t="s">
        <v>910</v>
      </c>
      <c r="D116" s="1" t="s">
        <v>619</v>
      </c>
      <c r="E116" s="1" t="s">
        <v>59</v>
      </c>
      <c r="F116" s="1" t="s">
        <v>529</v>
      </c>
      <c r="I116" s="10" t="s">
        <v>3</v>
      </c>
      <c r="J116" s="123" t="s">
        <v>3</v>
      </c>
      <c r="K116" s="1">
        <v>1988</v>
      </c>
      <c r="M116" s="5">
        <v>202003</v>
      </c>
      <c r="N116" s="5">
        <f>INDEX(rrcworking[Formation Production (MCF) @ 14.65 psi],MATCH('Mar 2020 EDI'!F116,rrcworking[RRC ID],0))</f>
        <v>552</v>
      </c>
      <c r="O116" s="5">
        <f>INDEX(rrcworking[Lease Use (MCF)],MATCH('Mar 2020 EDI'!F116,rrcworking[RRC ID],0))</f>
        <v>62</v>
      </c>
      <c r="P116" s="5">
        <f>INDEX(rrcworking[Disposition Volume (MCF) @ 14.65 MCF],MATCH('Mar 2020 EDI'!F116,rrcworking[RRC ID],0))</f>
        <v>490</v>
      </c>
      <c r="Y116" s="5">
        <f>INDEX(rrcworking[Oil Production],MATCH('Mar 2020 EDI'!F116,rrcworking[RRC ID],0))</f>
        <v>26</v>
      </c>
      <c r="AA116" s="5">
        <f>INDEX(rrcworking[Sales/Dispostion],MATCH('Mar 2020 EDI'!F116,rrcworking[RRC ID],0))</f>
        <v>0</v>
      </c>
      <c r="AQ116" s="5">
        <f>INDEX(rrcworking[Closing Stock (Oil)],MATCH('Mar 2020 EDI'!F116,rrcworking[RRC ID],0))</f>
        <v>149</v>
      </c>
    </row>
    <row r="117" spans="1:43">
      <c r="A117" s="4" t="s">
        <v>1</v>
      </c>
      <c r="B117" s="1" t="s">
        <v>1015</v>
      </c>
      <c r="C117" s="10" t="s">
        <v>910</v>
      </c>
      <c r="D117" s="1" t="s">
        <v>619</v>
      </c>
      <c r="E117" s="1" t="s">
        <v>59</v>
      </c>
      <c r="F117" s="1" t="s">
        <v>530</v>
      </c>
      <c r="I117" s="10" t="s">
        <v>3</v>
      </c>
      <c r="J117" s="123" t="s">
        <v>3</v>
      </c>
      <c r="K117" s="1">
        <v>1988</v>
      </c>
      <c r="M117" s="5">
        <v>202003</v>
      </c>
      <c r="N117" s="5">
        <f>INDEX(rrcworking[Formation Production (MCF) @ 14.65 psi],MATCH('Mar 2020 EDI'!F117,rrcworking[RRC ID],0))</f>
        <v>73</v>
      </c>
      <c r="O117" s="5">
        <f>INDEX(rrcworking[Lease Use (MCF)],MATCH('Mar 2020 EDI'!F117,rrcworking[RRC ID],0))</f>
        <v>0</v>
      </c>
      <c r="P117" s="5">
        <f>INDEX(rrcworking[Disposition Volume (MCF) @ 14.65 MCF],MATCH('Mar 2020 EDI'!F117,rrcworking[RRC ID],0))</f>
        <v>73</v>
      </c>
      <c r="Y117" s="5">
        <f>INDEX(rrcworking[Oil Production],MATCH('Mar 2020 EDI'!F117,rrcworking[RRC ID],0))</f>
        <v>0</v>
      </c>
      <c r="AA117" s="5">
        <f>INDEX(rrcworking[Sales/Dispostion],MATCH('Mar 2020 EDI'!F117,rrcworking[RRC ID],0))</f>
        <v>0</v>
      </c>
      <c r="AQ117" s="5">
        <f>INDEX(rrcworking[Closing Stock (Oil)],MATCH('Mar 2020 EDI'!F117,rrcworking[RRC ID],0))</f>
        <v>0</v>
      </c>
    </row>
    <row r="118" spans="1:43">
      <c r="A118" s="4" t="s">
        <v>1</v>
      </c>
      <c r="B118" s="1" t="s">
        <v>1016</v>
      </c>
      <c r="C118" s="10" t="s">
        <v>910</v>
      </c>
      <c r="D118" s="1" t="s">
        <v>619</v>
      </c>
      <c r="E118" s="1" t="s">
        <v>59</v>
      </c>
      <c r="F118" s="1" t="s">
        <v>531</v>
      </c>
      <c r="I118" s="10" t="s">
        <v>3</v>
      </c>
      <c r="J118" s="123" t="s">
        <v>3</v>
      </c>
      <c r="K118" s="1" t="s">
        <v>1091</v>
      </c>
      <c r="M118" s="5">
        <v>202003</v>
      </c>
      <c r="N118" s="5">
        <f>INDEX(rrcworking[Formation Production (MCF) @ 14.65 psi],MATCH('Mar 2020 EDI'!F118,rrcworking[RRC ID],0))</f>
        <v>562</v>
      </c>
      <c r="O118" s="5">
        <f>INDEX(rrcworking[Lease Use (MCF)],MATCH('Mar 2020 EDI'!F118,rrcworking[RRC ID],0))</f>
        <v>31</v>
      </c>
      <c r="P118" s="5">
        <f>INDEX(rrcworking[Disposition Volume (MCF) @ 14.65 MCF],MATCH('Mar 2020 EDI'!F118,rrcworking[RRC ID],0))</f>
        <v>531</v>
      </c>
      <c r="Y118" s="5">
        <f>INDEX(rrcworking[Oil Production],MATCH('Mar 2020 EDI'!F118,rrcworking[RRC ID],0))</f>
        <v>0</v>
      </c>
      <c r="AA118" s="5">
        <f>INDEX(rrcworking[Sales/Dispostion],MATCH('Mar 2020 EDI'!F118,rrcworking[RRC ID],0))</f>
        <v>0</v>
      </c>
      <c r="AQ118" s="5">
        <f>INDEX(rrcworking[Closing Stock (Oil)],MATCH('Mar 2020 EDI'!F118,rrcworking[RRC ID],0))</f>
        <v>63</v>
      </c>
    </row>
    <row r="119" spans="1:43">
      <c r="A119" s="4" t="s">
        <v>1</v>
      </c>
      <c r="B119" s="1" t="s">
        <v>1017</v>
      </c>
      <c r="C119" s="10" t="s">
        <v>910</v>
      </c>
      <c r="D119" s="1" t="s">
        <v>619</v>
      </c>
      <c r="E119" s="1" t="s">
        <v>59</v>
      </c>
      <c r="F119" s="1" t="s">
        <v>532</v>
      </c>
      <c r="I119" s="10" t="s">
        <v>3</v>
      </c>
      <c r="J119" s="123" t="s">
        <v>3</v>
      </c>
      <c r="K119" s="1" t="s">
        <v>1091</v>
      </c>
      <c r="M119" s="5">
        <v>202003</v>
      </c>
      <c r="N119" s="5">
        <f>INDEX(rrcworking[Formation Production (MCF) @ 14.65 psi],MATCH('Mar 2020 EDI'!F119,rrcworking[RRC ID],0))</f>
        <v>145</v>
      </c>
      <c r="O119" s="5">
        <f>INDEX(rrcworking[Lease Use (MCF)],MATCH('Mar 2020 EDI'!F119,rrcworking[RRC ID],0))</f>
        <v>31</v>
      </c>
      <c r="P119" s="5">
        <f>INDEX(rrcworking[Disposition Volume (MCF) @ 14.65 MCF],MATCH('Mar 2020 EDI'!F119,rrcworking[RRC ID],0))</f>
        <v>114</v>
      </c>
      <c r="Y119" s="5">
        <f>INDEX(rrcworking[Oil Production],MATCH('Mar 2020 EDI'!F119,rrcworking[RRC ID],0))</f>
        <v>0</v>
      </c>
      <c r="AA119" s="5">
        <f>INDEX(rrcworking[Sales/Dispostion],MATCH('Mar 2020 EDI'!F119,rrcworking[RRC ID],0))</f>
        <v>0</v>
      </c>
      <c r="AQ119" s="5">
        <f>INDEX(rrcworking[Closing Stock (Oil)],MATCH('Mar 2020 EDI'!F119,rrcworking[RRC ID],0))</f>
        <v>33</v>
      </c>
    </row>
    <row r="120" spans="1:43">
      <c r="A120" s="4" t="s">
        <v>1</v>
      </c>
      <c r="B120" s="1" t="s">
        <v>1018</v>
      </c>
      <c r="C120" s="10" t="s">
        <v>910</v>
      </c>
      <c r="D120" s="1" t="s">
        <v>619</v>
      </c>
      <c r="E120" s="1" t="s">
        <v>59</v>
      </c>
      <c r="F120" s="1" t="s">
        <v>533</v>
      </c>
      <c r="I120" s="10" t="s">
        <v>3</v>
      </c>
      <c r="J120" s="123" t="s">
        <v>3</v>
      </c>
      <c r="K120" s="1" t="s">
        <v>1091</v>
      </c>
      <c r="M120" s="5">
        <v>202003</v>
      </c>
      <c r="N120" s="5">
        <f>INDEX(rrcworking[Formation Production (MCF) @ 14.65 psi],MATCH('Mar 2020 EDI'!F120,rrcworking[RRC ID],0))</f>
        <v>2593</v>
      </c>
      <c r="O120" s="5">
        <f>INDEX(rrcworking[Lease Use (MCF)],MATCH('Mar 2020 EDI'!F120,rrcworking[RRC ID],0))</f>
        <v>155</v>
      </c>
      <c r="P120" s="5">
        <f>INDEX(rrcworking[Disposition Volume (MCF) @ 14.65 MCF],MATCH('Mar 2020 EDI'!F120,rrcworking[RRC ID],0))</f>
        <v>2438</v>
      </c>
      <c r="Y120" s="5">
        <f>INDEX(rrcworking[Oil Production],MATCH('Mar 2020 EDI'!F120,rrcworking[RRC ID],0))</f>
        <v>0</v>
      </c>
      <c r="AA120" s="5">
        <f>INDEX(rrcworking[Sales/Dispostion],MATCH('Mar 2020 EDI'!F120,rrcworking[RRC ID],0))</f>
        <v>0</v>
      </c>
      <c r="AQ120" s="5">
        <f>INDEX(rrcworking[Closing Stock (Oil)],MATCH('Mar 2020 EDI'!F120,rrcworking[RRC ID],0))</f>
        <v>98</v>
      </c>
    </row>
    <row r="121" spans="1:43">
      <c r="A121" s="4" t="s">
        <v>1</v>
      </c>
      <c r="B121" s="1" t="s">
        <v>1019</v>
      </c>
      <c r="C121" s="10" t="s">
        <v>910</v>
      </c>
      <c r="D121" s="1" t="s">
        <v>619</v>
      </c>
      <c r="E121" s="1" t="s">
        <v>59</v>
      </c>
      <c r="F121" s="1" t="s">
        <v>534</v>
      </c>
      <c r="I121" s="10" t="s">
        <v>3</v>
      </c>
      <c r="J121" s="123" t="s">
        <v>3</v>
      </c>
      <c r="K121" s="1" t="s">
        <v>1091</v>
      </c>
      <c r="M121" s="5">
        <v>202003</v>
      </c>
      <c r="N121" s="5">
        <f>INDEX(rrcworking[Formation Production (MCF) @ 14.65 psi],MATCH('Mar 2020 EDI'!F121,rrcworking[RRC ID],0))</f>
        <v>0</v>
      </c>
      <c r="O121" s="5">
        <f>INDEX(rrcworking[Lease Use (MCF)],MATCH('Mar 2020 EDI'!F121,rrcworking[RRC ID],0))</f>
        <v>0</v>
      </c>
      <c r="P121" s="5">
        <f>INDEX(rrcworking[Disposition Volume (MCF) @ 14.65 MCF],MATCH('Mar 2020 EDI'!F121,rrcworking[RRC ID],0))</f>
        <v>0</v>
      </c>
      <c r="Y121" s="5">
        <f>INDEX(rrcworking[Oil Production],MATCH('Mar 2020 EDI'!F121,rrcworking[RRC ID],0))</f>
        <v>0</v>
      </c>
      <c r="AA121" s="5">
        <f>INDEX(rrcworking[Sales/Dispostion],MATCH('Mar 2020 EDI'!F121,rrcworking[RRC ID],0))</f>
        <v>0</v>
      </c>
      <c r="AQ121" s="5">
        <f>INDEX(rrcworking[Closing Stock (Oil)],MATCH('Mar 2020 EDI'!F121,rrcworking[RRC ID],0))</f>
        <v>0</v>
      </c>
    </row>
    <row r="122" spans="1:43">
      <c r="A122" s="4" t="s">
        <v>1</v>
      </c>
      <c r="B122" s="1" t="s">
        <v>1020</v>
      </c>
      <c r="C122" s="10" t="s">
        <v>910</v>
      </c>
      <c r="D122" s="1" t="s">
        <v>619</v>
      </c>
      <c r="E122" s="1" t="s">
        <v>59</v>
      </c>
      <c r="F122" s="1" t="s">
        <v>535</v>
      </c>
      <c r="I122" s="10" t="s">
        <v>3</v>
      </c>
      <c r="J122" s="123" t="s">
        <v>3</v>
      </c>
      <c r="K122" s="1" t="s">
        <v>1091</v>
      </c>
      <c r="M122" s="5">
        <v>202003</v>
      </c>
      <c r="N122" s="5">
        <f>INDEX(rrcworking[Formation Production (MCF) @ 14.65 psi],MATCH('Mar 2020 EDI'!F122,rrcworking[RRC ID],0))</f>
        <v>2554</v>
      </c>
      <c r="O122" s="5">
        <f>INDEX(rrcworking[Lease Use (MCF)],MATCH('Mar 2020 EDI'!F122,rrcworking[RRC ID],0))</f>
        <v>186</v>
      </c>
      <c r="P122" s="5">
        <f>INDEX(rrcworking[Disposition Volume (MCF) @ 14.65 MCF],MATCH('Mar 2020 EDI'!F122,rrcworking[RRC ID],0))</f>
        <v>2368</v>
      </c>
      <c r="Y122" s="5">
        <f>INDEX(rrcworking[Oil Production],MATCH('Mar 2020 EDI'!F122,rrcworking[RRC ID],0))</f>
        <v>0</v>
      </c>
      <c r="AA122" s="5">
        <f>INDEX(rrcworking[Sales/Dispostion],MATCH('Mar 2020 EDI'!F122,rrcworking[RRC ID],0))</f>
        <v>0</v>
      </c>
      <c r="AQ122" s="5">
        <f>INDEX(rrcworking[Closing Stock (Oil)],MATCH('Mar 2020 EDI'!F122,rrcworking[RRC ID],0))</f>
        <v>0</v>
      </c>
    </row>
    <row r="123" spans="1:43">
      <c r="A123" s="4" t="s">
        <v>1</v>
      </c>
      <c r="B123" s="1" t="s">
        <v>1021</v>
      </c>
      <c r="C123" s="10" t="s">
        <v>910</v>
      </c>
      <c r="D123" s="1" t="s">
        <v>619</v>
      </c>
      <c r="E123" s="1" t="s">
        <v>2</v>
      </c>
      <c r="F123" s="1" t="s">
        <v>536</v>
      </c>
      <c r="I123" s="10" t="s">
        <v>3</v>
      </c>
      <c r="J123" s="123" t="s">
        <v>3</v>
      </c>
      <c r="K123" s="1" t="s">
        <v>1091</v>
      </c>
      <c r="M123" s="5">
        <v>202003</v>
      </c>
      <c r="N123" s="5">
        <f>INDEX(rrcworking[Formation Production (MCF) @ 14.65 psi],MATCH('Mar 2020 EDI'!F123,rrcworking[RRC ID],0))</f>
        <v>124</v>
      </c>
      <c r="O123" s="5">
        <f>INDEX(rrcworking[Lease Use (MCF)],MATCH('Mar 2020 EDI'!F123,rrcworking[RRC ID],0))</f>
        <v>124</v>
      </c>
      <c r="P123" s="5">
        <f>INDEX(rrcworking[Disposition Volume (MCF) @ 14.65 MCF],MATCH('Mar 2020 EDI'!F123,rrcworking[RRC ID],0))</f>
        <v>0</v>
      </c>
      <c r="Y123" s="5">
        <f>INDEX(rrcworking[Oil Production],MATCH('Mar 2020 EDI'!F123,rrcworking[RRC ID],0))</f>
        <v>977</v>
      </c>
      <c r="AA123" s="5">
        <f>INDEX(rrcworking[Sales/Dispostion],MATCH('Mar 2020 EDI'!F123,rrcworking[RRC ID],0))</f>
        <v>994</v>
      </c>
      <c r="AQ123" s="5">
        <f>INDEX(rrcworking[Closing Stock (Oil)],MATCH('Mar 2020 EDI'!F123,rrcworking[RRC ID],0))</f>
        <v>208</v>
      </c>
    </row>
    <row r="124" spans="1:43">
      <c r="A124" s="4" t="s">
        <v>1</v>
      </c>
      <c r="B124" s="1" t="s">
        <v>1022</v>
      </c>
      <c r="C124" s="10" t="s">
        <v>910</v>
      </c>
      <c r="D124" s="1" t="s">
        <v>619</v>
      </c>
      <c r="E124" s="1" t="s">
        <v>2</v>
      </c>
      <c r="F124" s="1" t="s">
        <v>537</v>
      </c>
      <c r="I124" s="10" t="s">
        <v>3</v>
      </c>
      <c r="J124" s="123" t="s">
        <v>3</v>
      </c>
      <c r="K124" s="1" t="s">
        <v>1091</v>
      </c>
      <c r="M124" s="5">
        <v>202003</v>
      </c>
      <c r="N124" s="5">
        <f>INDEX(rrcworking[Formation Production (MCF) @ 14.65 psi],MATCH('Mar 2020 EDI'!F124,rrcworking[RRC ID],0))</f>
        <v>0</v>
      </c>
      <c r="O124" s="5">
        <f>INDEX(rrcworking[Lease Use (MCF)],MATCH('Mar 2020 EDI'!F124,rrcworking[RRC ID],0))</f>
        <v>0</v>
      </c>
      <c r="P124" s="5">
        <f>INDEX(rrcworking[Disposition Volume (MCF) @ 14.65 MCF],MATCH('Mar 2020 EDI'!F124,rrcworking[RRC ID],0))</f>
        <v>0</v>
      </c>
      <c r="Y124" s="5">
        <f>INDEX(rrcworking[Oil Production],MATCH('Mar 2020 EDI'!F124,rrcworking[RRC ID],0))</f>
        <v>0</v>
      </c>
      <c r="AA124" s="5">
        <f>INDEX(rrcworking[Sales/Dispostion],MATCH('Mar 2020 EDI'!F124,rrcworking[RRC ID],0))</f>
        <v>0</v>
      </c>
      <c r="AQ124" s="5">
        <f>INDEX(rrcworking[Closing Stock (Oil)],MATCH('Mar 2020 EDI'!F124,rrcworking[RRC ID],0))</f>
        <v>0</v>
      </c>
    </row>
    <row r="125" spans="1:43">
      <c r="A125" s="4" t="s">
        <v>1</v>
      </c>
      <c r="B125" s="1" t="s">
        <v>1023</v>
      </c>
      <c r="C125" s="10" t="s">
        <v>910</v>
      </c>
      <c r="D125" s="1" t="s">
        <v>619</v>
      </c>
      <c r="E125" s="1" t="s">
        <v>59</v>
      </c>
      <c r="F125" s="1" t="s">
        <v>538</v>
      </c>
      <c r="I125" s="10" t="s">
        <v>3</v>
      </c>
      <c r="J125" s="123" t="s">
        <v>3</v>
      </c>
      <c r="K125" s="1" t="s">
        <v>1091</v>
      </c>
      <c r="M125" s="5">
        <v>202003</v>
      </c>
      <c r="N125" s="5">
        <f>INDEX(rrcworking[Formation Production (MCF) @ 14.65 psi],MATCH('Mar 2020 EDI'!F125,rrcworking[RRC ID],0))</f>
        <v>38</v>
      </c>
      <c r="O125" s="5">
        <f>INDEX(rrcworking[Lease Use (MCF)],MATCH('Mar 2020 EDI'!F125,rrcworking[RRC ID],0))</f>
        <v>0</v>
      </c>
      <c r="P125" s="5">
        <f>INDEX(rrcworking[Disposition Volume (MCF) @ 14.65 MCF],MATCH('Mar 2020 EDI'!F125,rrcworking[RRC ID],0))</f>
        <v>38</v>
      </c>
      <c r="Y125" s="5">
        <f>INDEX(rrcworking[Oil Production],MATCH('Mar 2020 EDI'!F125,rrcworking[RRC ID],0))</f>
        <v>0</v>
      </c>
      <c r="AA125" s="5">
        <f>INDEX(rrcworking[Sales/Dispostion],MATCH('Mar 2020 EDI'!F125,rrcworking[RRC ID],0))</f>
        <v>0</v>
      </c>
      <c r="AQ125" s="5">
        <f>INDEX(rrcworking[Closing Stock (Oil)],MATCH('Mar 2020 EDI'!F125,rrcworking[RRC ID],0))</f>
        <v>48</v>
      </c>
    </row>
    <row r="126" spans="1:43">
      <c r="A126" s="4" t="s">
        <v>1</v>
      </c>
      <c r="B126" s="1" t="s">
        <v>1024</v>
      </c>
      <c r="C126" s="10" t="s">
        <v>910</v>
      </c>
      <c r="D126" s="1" t="s">
        <v>619</v>
      </c>
      <c r="E126" s="1" t="s">
        <v>59</v>
      </c>
      <c r="F126" s="1" t="s">
        <v>539</v>
      </c>
      <c r="I126" s="10" t="s">
        <v>3</v>
      </c>
      <c r="J126" s="123" t="s">
        <v>3</v>
      </c>
      <c r="K126" s="1" t="s">
        <v>1091</v>
      </c>
      <c r="M126" s="5">
        <v>202003</v>
      </c>
      <c r="N126" s="5">
        <f>INDEX(rrcworking[Formation Production (MCF) @ 14.65 psi],MATCH('Mar 2020 EDI'!F126,rrcworking[RRC ID],0))</f>
        <v>2171</v>
      </c>
      <c r="O126" s="5">
        <f>INDEX(rrcworking[Lease Use (MCF)],MATCH('Mar 2020 EDI'!F126,rrcworking[RRC ID],0))</f>
        <v>93</v>
      </c>
      <c r="P126" s="5">
        <f>INDEX(rrcworking[Disposition Volume (MCF) @ 14.65 MCF],MATCH('Mar 2020 EDI'!F126,rrcworking[RRC ID],0))</f>
        <v>2078</v>
      </c>
      <c r="Y126" s="5">
        <f>INDEX(rrcworking[Oil Production],MATCH('Mar 2020 EDI'!F126,rrcworking[RRC ID],0))</f>
        <v>3</v>
      </c>
      <c r="AA126" s="5">
        <f>INDEX(rrcworking[Sales/Dispostion],MATCH('Mar 2020 EDI'!F126,rrcworking[RRC ID],0))</f>
        <v>0</v>
      </c>
      <c r="AQ126" s="5">
        <f>INDEX(rrcworking[Closing Stock (Oil)],MATCH('Mar 2020 EDI'!F126,rrcworking[RRC ID],0))</f>
        <v>238</v>
      </c>
    </row>
    <row r="127" spans="1:43">
      <c r="A127" s="4" t="s">
        <v>1</v>
      </c>
      <c r="B127" s="1" t="s">
        <v>1025</v>
      </c>
      <c r="C127" s="10" t="s">
        <v>910</v>
      </c>
      <c r="D127" s="1" t="s">
        <v>619</v>
      </c>
      <c r="E127" s="1" t="s">
        <v>2</v>
      </c>
      <c r="F127" s="1" t="s">
        <v>540</v>
      </c>
      <c r="I127" s="10" t="s">
        <v>3</v>
      </c>
      <c r="J127" s="123" t="s">
        <v>3</v>
      </c>
      <c r="K127" s="1" t="s">
        <v>1091</v>
      </c>
      <c r="M127" s="5">
        <v>202003</v>
      </c>
      <c r="N127" s="5">
        <f>INDEX(rrcworking[Formation Production (MCF) @ 14.65 psi],MATCH('Mar 2020 EDI'!F127,rrcworking[RRC ID],0))</f>
        <v>0</v>
      </c>
      <c r="O127" s="5">
        <f>INDEX(rrcworking[Lease Use (MCF)],MATCH('Mar 2020 EDI'!F127,rrcworking[RRC ID],0))</f>
        <v>0</v>
      </c>
      <c r="P127" s="5">
        <f>INDEX(rrcworking[Disposition Volume (MCF) @ 14.65 MCF],MATCH('Mar 2020 EDI'!F127,rrcworking[RRC ID],0))</f>
        <v>0</v>
      </c>
      <c r="Y127" s="5">
        <f>INDEX(rrcworking[Oil Production],MATCH('Mar 2020 EDI'!F127,rrcworking[RRC ID],0))</f>
        <v>0</v>
      </c>
      <c r="AA127" s="5">
        <f>INDEX(rrcworking[Sales/Dispostion],MATCH('Mar 2020 EDI'!F127,rrcworking[RRC ID],0))</f>
        <v>0</v>
      </c>
      <c r="AQ127" s="5">
        <f>INDEX(rrcworking[Closing Stock (Oil)],MATCH('Mar 2020 EDI'!F127,rrcworking[RRC ID],0))</f>
        <v>70</v>
      </c>
    </row>
    <row r="128" spans="1:43">
      <c r="A128" s="4" t="s">
        <v>1</v>
      </c>
      <c r="B128" s="1" t="s">
        <v>1026</v>
      </c>
      <c r="C128" s="10" t="s">
        <v>910</v>
      </c>
      <c r="D128" s="1" t="s">
        <v>619</v>
      </c>
      <c r="E128" s="1" t="s">
        <v>2</v>
      </c>
      <c r="F128" s="1" t="s">
        <v>541</v>
      </c>
      <c r="I128" s="10" t="s">
        <v>3</v>
      </c>
      <c r="J128" s="123" t="s">
        <v>3</v>
      </c>
      <c r="K128" s="1" t="s">
        <v>1091</v>
      </c>
      <c r="M128" s="5">
        <v>202003</v>
      </c>
      <c r="N128" s="5">
        <f>INDEX(rrcworking[Formation Production (MCF) @ 14.65 psi],MATCH('Mar 2020 EDI'!F128,rrcworking[RRC ID],0))</f>
        <v>48</v>
      </c>
      <c r="O128" s="5">
        <f>INDEX(rrcworking[Lease Use (MCF)],MATCH('Mar 2020 EDI'!F128,rrcworking[RRC ID],0))</f>
        <v>0</v>
      </c>
      <c r="P128" s="5">
        <f>INDEX(rrcworking[Disposition Volume (MCF) @ 14.65 MCF],MATCH('Mar 2020 EDI'!F128,rrcworking[RRC ID],0))</f>
        <v>48</v>
      </c>
      <c r="Y128" s="5">
        <f>INDEX(rrcworking[Oil Production],MATCH('Mar 2020 EDI'!F128,rrcworking[RRC ID],0))</f>
        <v>11</v>
      </c>
      <c r="AA128" s="5">
        <f>INDEX(rrcworking[Sales/Dispostion],MATCH('Mar 2020 EDI'!F128,rrcworking[RRC ID],0))</f>
        <v>0</v>
      </c>
      <c r="AQ128" s="5">
        <f>INDEX(rrcworking[Closing Stock (Oil)],MATCH('Mar 2020 EDI'!F128,rrcworking[RRC ID],0))</f>
        <v>235</v>
      </c>
    </row>
    <row r="129" spans="1:43">
      <c r="A129" s="4" t="s">
        <v>1</v>
      </c>
      <c r="B129" s="1" t="s">
        <v>1027</v>
      </c>
      <c r="C129" s="10" t="s">
        <v>910</v>
      </c>
      <c r="D129" s="1" t="s">
        <v>619</v>
      </c>
      <c r="E129" s="1" t="s">
        <v>2</v>
      </c>
      <c r="F129" s="1" t="s">
        <v>542</v>
      </c>
      <c r="I129" s="10" t="s">
        <v>3</v>
      </c>
      <c r="J129" s="123" t="s">
        <v>3</v>
      </c>
      <c r="K129" s="1" t="s">
        <v>1091</v>
      </c>
      <c r="M129" s="5">
        <v>202003</v>
      </c>
      <c r="N129" s="5">
        <f>INDEX(rrcworking[Formation Production (MCF) @ 14.65 psi],MATCH('Mar 2020 EDI'!F129,rrcworking[RRC ID],0))</f>
        <v>0</v>
      </c>
      <c r="O129" s="5">
        <f>INDEX(rrcworking[Lease Use (MCF)],MATCH('Mar 2020 EDI'!F129,rrcworking[RRC ID],0))</f>
        <v>0</v>
      </c>
      <c r="P129" s="5">
        <f>INDEX(rrcworking[Disposition Volume (MCF) @ 14.65 MCF],MATCH('Mar 2020 EDI'!F129,rrcworking[RRC ID],0))</f>
        <v>0</v>
      </c>
      <c r="Y129" s="5">
        <f>INDEX(rrcworking[Oil Production],MATCH('Mar 2020 EDI'!F129,rrcworking[RRC ID],0))</f>
        <v>0</v>
      </c>
      <c r="AA129" s="5">
        <f>INDEX(rrcworking[Sales/Dispostion],MATCH('Mar 2020 EDI'!F129,rrcworking[RRC ID],0))</f>
        <v>0</v>
      </c>
      <c r="AQ129" s="5">
        <f>INDEX(rrcworking[Closing Stock (Oil)],MATCH('Mar 2020 EDI'!F129,rrcworking[RRC ID],0))</f>
        <v>0</v>
      </c>
    </row>
    <row r="130" spans="1:43">
      <c r="A130" s="4" t="s">
        <v>1</v>
      </c>
      <c r="B130" s="1" t="s">
        <v>1028</v>
      </c>
      <c r="C130" s="10" t="s">
        <v>910</v>
      </c>
      <c r="D130" s="1" t="s">
        <v>619</v>
      </c>
      <c r="E130" s="1" t="s">
        <v>59</v>
      </c>
      <c r="F130" s="1" t="s">
        <v>543</v>
      </c>
      <c r="I130" s="10" t="s">
        <v>3</v>
      </c>
      <c r="J130" s="123" t="s">
        <v>3</v>
      </c>
      <c r="K130" s="1" t="s">
        <v>1091</v>
      </c>
      <c r="M130" s="5">
        <v>202003</v>
      </c>
      <c r="N130" s="5">
        <f>INDEX(rrcworking[Formation Production (MCF) @ 14.65 psi],MATCH('Mar 2020 EDI'!F130,rrcworking[RRC ID],0))</f>
        <v>0</v>
      </c>
      <c r="O130" s="5">
        <f>INDEX(rrcworking[Lease Use (MCF)],MATCH('Mar 2020 EDI'!F130,rrcworking[RRC ID],0))</f>
        <v>0</v>
      </c>
      <c r="P130" s="5">
        <f>INDEX(rrcworking[Disposition Volume (MCF) @ 14.65 MCF],MATCH('Mar 2020 EDI'!F130,rrcworking[RRC ID],0))</f>
        <v>0</v>
      </c>
      <c r="Y130" s="5">
        <f>INDEX(rrcworking[Oil Production],MATCH('Mar 2020 EDI'!F130,rrcworking[RRC ID],0))</f>
        <v>0</v>
      </c>
      <c r="AA130" s="5">
        <f>INDEX(rrcworking[Sales/Dispostion],MATCH('Mar 2020 EDI'!F130,rrcworking[RRC ID],0))</f>
        <v>0</v>
      </c>
      <c r="AQ130" s="5">
        <f>INDEX(rrcworking[Closing Stock (Oil)],MATCH('Mar 2020 EDI'!F130,rrcworking[RRC ID],0))</f>
        <v>0</v>
      </c>
    </row>
    <row r="131" spans="1:43">
      <c r="A131" s="4" t="s">
        <v>1</v>
      </c>
      <c r="B131" s="1" t="s">
        <v>1029</v>
      </c>
      <c r="C131" s="10" t="s">
        <v>910</v>
      </c>
      <c r="D131" s="1" t="s">
        <v>619</v>
      </c>
      <c r="E131" s="1" t="s">
        <v>59</v>
      </c>
      <c r="F131" s="1" t="s">
        <v>544</v>
      </c>
      <c r="I131" s="10" t="s">
        <v>3</v>
      </c>
      <c r="J131" s="123" t="s">
        <v>3</v>
      </c>
      <c r="K131" s="1" t="s">
        <v>1091</v>
      </c>
      <c r="M131" s="5">
        <v>202003</v>
      </c>
      <c r="N131" s="5">
        <f>INDEX(rrcworking[Formation Production (MCF) @ 14.65 psi],MATCH('Mar 2020 EDI'!F131,rrcworking[RRC ID],0))</f>
        <v>0</v>
      </c>
      <c r="O131" s="5">
        <f>INDEX(rrcworking[Lease Use (MCF)],MATCH('Mar 2020 EDI'!F131,rrcworking[RRC ID],0))</f>
        <v>0</v>
      </c>
      <c r="P131" s="5">
        <f>INDEX(rrcworking[Disposition Volume (MCF) @ 14.65 MCF],MATCH('Mar 2020 EDI'!F131,rrcworking[RRC ID],0))</f>
        <v>0</v>
      </c>
      <c r="Y131" s="5">
        <f>INDEX(rrcworking[Oil Production],MATCH('Mar 2020 EDI'!F131,rrcworking[RRC ID],0))</f>
        <v>0</v>
      </c>
      <c r="AA131" s="5">
        <f>INDEX(rrcworking[Sales/Dispostion],MATCH('Mar 2020 EDI'!F131,rrcworking[RRC ID],0))</f>
        <v>0</v>
      </c>
      <c r="AQ131" s="5">
        <f>INDEX(rrcworking[Closing Stock (Oil)],MATCH('Mar 2020 EDI'!F131,rrcworking[RRC ID],0))</f>
        <v>0</v>
      </c>
    </row>
    <row r="132" spans="1:43">
      <c r="A132" s="4" t="s">
        <v>1</v>
      </c>
      <c r="B132" s="1" t="s">
        <v>1030</v>
      </c>
      <c r="C132" s="10" t="s">
        <v>910</v>
      </c>
      <c r="D132" s="1" t="s">
        <v>619</v>
      </c>
      <c r="E132" s="1" t="s">
        <v>2</v>
      </c>
      <c r="F132" s="1" t="s">
        <v>545</v>
      </c>
      <c r="I132" s="10" t="s">
        <v>3</v>
      </c>
      <c r="J132" s="123" t="s">
        <v>3</v>
      </c>
      <c r="K132" s="1" t="s">
        <v>1091</v>
      </c>
      <c r="M132" s="5">
        <v>202003</v>
      </c>
      <c r="N132" s="5">
        <f>INDEX(rrcworking[Formation Production (MCF) @ 14.65 psi],MATCH('Mar 2020 EDI'!F132,rrcworking[RRC ID],0))</f>
        <v>2046</v>
      </c>
      <c r="O132" s="5">
        <f>INDEX(rrcworking[Lease Use (MCF)],MATCH('Mar 2020 EDI'!F132,rrcworking[RRC ID],0))</f>
        <v>0</v>
      </c>
      <c r="P132" s="5">
        <f>INDEX(rrcworking[Disposition Volume (MCF) @ 14.65 MCF],MATCH('Mar 2020 EDI'!F132,rrcworking[RRC ID],0))</f>
        <v>2046</v>
      </c>
      <c r="Y132" s="5">
        <f>INDEX(rrcworking[Oil Production],MATCH('Mar 2020 EDI'!F132,rrcworking[RRC ID],0))</f>
        <v>289</v>
      </c>
      <c r="AA132" s="5">
        <f>INDEX(rrcworking[Sales/Dispostion],MATCH('Mar 2020 EDI'!F132,rrcworking[RRC ID],0))</f>
        <v>355</v>
      </c>
      <c r="AQ132" s="5">
        <f>INDEX(rrcworking[Closing Stock (Oil)],MATCH('Mar 2020 EDI'!F132,rrcworking[RRC ID],0))</f>
        <v>105</v>
      </c>
    </row>
    <row r="133" spans="1:43">
      <c r="A133" s="4" t="s">
        <v>1</v>
      </c>
      <c r="B133" s="1" t="s">
        <v>1031</v>
      </c>
      <c r="C133" s="10" t="s">
        <v>910</v>
      </c>
      <c r="D133" s="1" t="s">
        <v>619</v>
      </c>
      <c r="E133" s="1" t="s">
        <v>59</v>
      </c>
      <c r="F133" s="1" t="s">
        <v>546</v>
      </c>
      <c r="I133" s="10" t="s">
        <v>3</v>
      </c>
      <c r="J133" s="123" t="s">
        <v>3</v>
      </c>
      <c r="K133" s="1" t="s">
        <v>1091</v>
      </c>
      <c r="M133" s="5">
        <v>202003</v>
      </c>
      <c r="N133" s="5">
        <f>INDEX(rrcworking[Formation Production (MCF) @ 14.65 psi],MATCH('Mar 2020 EDI'!F133,rrcworking[RRC ID],0))</f>
        <v>0</v>
      </c>
      <c r="O133" s="5">
        <f>INDEX(rrcworking[Lease Use (MCF)],MATCH('Mar 2020 EDI'!F133,rrcworking[RRC ID],0))</f>
        <v>0</v>
      </c>
      <c r="P133" s="5">
        <f>INDEX(rrcworking[Disposition Volume (MCF) @ 14.65 MCF],MATCH('Mar 2020 EDI'!F133,rrcworking[RRC ID],0))</f>
        <v>0</v>
      </c>
      <c r="Y133" s="5">
        <f>INDEX(rrcworking[Oil Production],MATCH('Mar 2020 EDI'!F133,rrcworking[RRC ID],0))</f>
        <v>0</v>
      </c>
      <c r="AA133" s="5">
        <f>INDEX(rrcworking[Sales/Dispostion],MATCH('Mar 2020 EDI'!F133,rrcworking[RRC ID],0))</f>
        <v>0</v>
      </c>
      <c r="AQ133" s="5">
        <f>INDEX(rrcworking[Closing Stock (Oil)],MATCH('Mar 2020 EDI'!F133,rrcworking[RRC ID],0))</f>
        <v>0</v>
      </c>
    </row>
    <row r="134" spans="1:43">
      <c r="A134" s="4" t="s">
        <v>1</v>
      </c>
      <c r="B134" s="1" t="s">
        <v>1032</v>
      </c>
      <c r="C134" s="10" t="s">
        <v>910</v>
      </c>
      <c r="D134" s="1" t="s">
        <v>619</v>
      </c>
      <c r="E134" s="1" t="s">
        <v>59</v>
      </c>
      <c r="F134" s="1" t="s">
        <v>547</v>
      </c>
      <c r="I134" s="10" t="s">
        <v>3</v>
      </c>
      <c r="J134" s="123" t="s">
        <v>3</v>
      </c>
      <c r="K134" s="1" t="s">
        <v>1091</v>
      </c>
      <c r="M134" s="5">
        <v>202003</v>
      </c>
      <c r="N134" s="5">
        <f>INDEX(rrcworking[Formation Production (MCF) @ 14.65 psi],MATCH('Mar 2020 EDI'!F134,rrcworking[RRC ID],0))</f>
        <v>0</v>
      </c>
      <c r="O134" s="5">
        <f>INDEX(rrcworking[Lease Use (MCF)],MATCH('Mar 2020 EDI'!F134,rrcworking[RRC ID],0))</f>
        <v>0</v>
      </c>
      <c r="P134" s="5">
        <f>INDEX(rrcworking[Disposition Volume (MCF) @ 14.65 MCF],MATCH('Mar 2020 EDI'!F134,rrcworking[RRC ID],0))</f>
        <v>0</v>
      </c>
      <c r="Y134" s="5">
        <f>INDEX(rrcworking[Oil Production],MATCH('Mar 2020 EDI'!F134,rrcworking[RRC ID],0))</f>
        <v>0</v>
      </c>
      <c r="AA134" s="5">
        <f>INDEX(rrcworking[Sales/Dispostion],MATCH('Mar 2020 EDI'!F134,rrcworking[RRC ID],0))</f>
        <v>0</v>
      </c>
      <c r="AQ134" s="5">
        <f>INDEX(rrcworking[Closing Stock (Oil)],MATCH('Mar 2020 EDI'!F134,rrcworking[RRC ID],0))</f>
        <v>0</v>
      </c>
    </row>
    <row r="135" spans="1:43">
      <c r="A135" s="4" t="s">
        <v>1</v>
      </c>
      <c r="B135" s="1" t="s">
        <v>1033</v>
      </c>
      <c r="C135" s="10" t="s">
        <v>910</v>
      </c>
      <c r="D135" s="1" t="s">
        <v>619</v>
      </c>
      <c r="E135" s="1" t="s">
        <v>2</v>
      </c>
      <c r="F135" s="1" t="s">
        <v>548</v>
      </c>
      <c r="I135" s="10" t="s">
        <v>3</v>
      </c>
      <c r="J135" s="123" t="s">
        <v>3</v>
      </c>
      <c r="K135" s="1" t="s">
        <v>1091</v>
      </c>
      <c r="M135" s="5">
        <v>202003</v>
      </c>
      <c r="N135" s="5">
        <f>INDEX(rrcworking[Formation Production (MCF) @ 14.65 psi],MATCH('Mar 2020 EDI'!F135,rrcworking[RRC ID],0))</f>
        <v>0</v>
      </c>
      <c r="O135" s="5">
        <f>INDEX(rrcworking[Lease Use (MCF)],MATCH('Mar 2020 EDI'!F135,rrcworking[RRC ID],0))</f>
        <v>0</v>
      </c>
      <c r="P135" s="5">
        <f>INDEX(rrcworking[Disposition Volume (MCF) @ 14.65 MCF],MATCH('Mar 2020 EDI'!F135,rrcworking[RRC ID],0))</f>
        <v>0</v>
      </c>
      <c r="Y135" s="5">
        <f>INDEX(rrcworking[Oil Production],MATCH('Mar 2020 EDI'!F135,rrcworking[RRC ID],0))</f>
        <v>0</v>
      </c>
      <c r="AA135" s="5">
        <f>INDEX(rrcworking[Sales/Dispostion],MATCH('Mar 2020 EDI'!F135,rrcworking[RRC ID],0))</f>
        <v>0</v>
      </c>
      <c r="AQ135" s="5">
        <f>INDEX(rrcworking[Closing Stock (Oil)],MATCH('Mar 2020 EDI'!F135,rrcworking[RRC ID],0))</f>
        <v>0</v>
      </c>
    </row>
    <row r="136" spans="1:43">
      <c r="A136" s="4" t="s">
        <v>1</v>
      </c>
      <c r="B136" s="1" t="s">
        <v>1034</v>
      </c>
      <c r="C136" s="10" t="s">
        <v>910</v>
      </c>
      <c r="D136" s="1" t="s">
        <v>619</v>
      </c>
      <c r="E136" s="1" t="s">
        <v>59</v>
      </c>
      <c r="F136" s="1" t="s">
        <v>549</v>
      </c>
      <c r="I136" s="10" t="s">
        <v>3</v>
      </c>
      <c r="J136" s="123" t="s">
        <v>3</v>
      </c>
      <c r="K136" s="1" t="s">
        <v>1091</v>
      </c>
      <c r="M136" s="5">
        <v>202003</v>
      </c>
      <c r="N136" s="5">
        <f>INDEX(rrcworking[Formation Production (MCF) @ 14.65 psi],MATCH('Mar 2020 EDI'!F136,rrcworking[RRC ID],0))</f>
        <v>0</v>
      </c>
      <c r="O136" s="5">
        <f>INDEX(rrcworking[Lease Use (MCF)],MATCH('Mar 2020 EDI'!F136,rrcworking[RRC ID],0))</f>
        <v>0</v>
      </c>
      <c r="P136" s="5">
        <f>INDEX(rrcworking[Disposition Volume (MCF) @ 14.65 MCF],MATCH('Mar 2020 EDI'!F136,rrcworking[RRC ID],0))</f>
        <v>0</v>
      </c>
      <c r="Y136" s="5">
        <f>INDEX(rrcworking[Oil Production],MATCH('Mar 2020 EDI'!F136,rrcworking[RRC ID],0))</f>
        <v>0</v>
      </c>
      <c r="AA136" s="5">
        <f>INDEX(rrcworking[Sales/Dispostion],MATCH('Mar 2020 EDI'!F136,rrcworking[RRC ID],0))</f>
        <v>0</v>
      </c>
      <c r="AQ136" s="5">
        <f>INDEX(rrcworking[Closing Stock (Oil)],MATCH('Mar 2020 EDI'!F136,rrcworking[RRC ID],0))</f>
        <v>0</v>
      </c>
    </row>
    <row r="137" spans="1:43">
      <c r="A137" s="4" t="s">
        <v>1</v>
      </c>
      <c r="B137" s="1" t="s">
        <v>1035</v>
      </c>
      <c r="C137" s="10" t="s">
        <v>910</v>
      </c>
      <c r="D137" s="1" t="s">
        <v>619</v>
      </c>
      <c r="E137" s="1" t="s">
        <v>2</v>
      </c>
      <c r="F137" s="1" t="s">
        <v>550</v>
      </c>
      <c r="I137" s="10" t="s">
        <v>3</v>
      </c>
      <c r="J137" s="123" t="s">
        <v>3</v>
      </c>
      <c r="K137" s="1" t="s">
        <v>1091</v>
      </c>
      <c r="M137" s="5">
        <v>202003</v>
      </c>
      <c r="N137" s="5">
        <f>INDEX(rrcworking[Formation Production (MCF) @ 14.65 psi],MATCH('Mar 2020 EDI'!F137,rrcworking[RRC ID],0))</f>
        <v>0</v>
      </c>
      <c r="O137" s="5">
        <f>INDEX(rrcworking[Lease Use (MCF)],MATCH('Mar 2020 EDI'!F137,rrcworking[RRC ID],0))</f>
        <v>0</v>
      </c>
      <c r="P137" s="5">
        <f>INDEX(rrcworking[Disposition Volume (MCF) @ 14.65 MCF],MATCH('Mar 2020 EDI'!F137,rrcworking[RRC ID],0))</f>
        <v>0</v>
      </c>
      <c r="Y137" s="5">
        <f>INDEX(rrcworking[Oil Production],MATCH('Mar 2020 EDI'!F137,rrcworking[RRC ID],0))</f>
        <v>0</v>
      </c>
      <c r="AA137" s="5">
        <f>INDEX(rrcworking[Sales/Dispostion],MATCH('Mar 2020 EDI'!F137,rrcworking[RRC ID],0))</f>
        <v>0</v>
      </c>
      <c r="AQ137" s="5">
        <f>INDEX(rrcworking[Closing Stock (Oil)],MATCH('Mar 2020 EDI'!F137,rrcworking[RRC ID],0))</f>
        <v>0</v>
      </c>
    </row>
    <row r="138" spans="1:43">
      <c r="A138" s="4" t="s">
        <v>1</v>
      </c>
      <c r="B138" s="1" t="s">
        <v>1036</v>
      </c>
      <c r="C138" s="10" t="s">
        <v>910</v>
      </c>
      <c r="D138" s="1" t="s">
        <v>619</v>
      </c>
      <c r="E138" s="1" t="s">
        <v>59</v>
      </c>
      <c r="F138" s="1" t="s">
        <v>551</v>
      </c>
      <c r="I138" s="10" t="s">
        <v>3</v>
      </c>
      <c r="J138" s="123" t="s">
        <v>3</v>
      </c>
      <c r="K138" s="1" t="s">
        <v>1091</v>
      </c>
      <c r="M138" s="5">
        <v>202003</v>
      </c>
      <c r="N138" s="5">
        <f>INDEX(rrcworking[Formation Production (MCF) @ 14.65 psi],MATCH('Mar 2020 EDI'!F138,rrcworking[RRC ID],0))</f>
        <v>0</v>
      </c>
      <c r="O138" s="5">
        <f>INDEX(rrcworking[Lease Use (MCF)],MATCH('Mar 2020 EDI'!F138,rrcworking[RRC ID],0))</f>
        <v>0</v>
      </c>
      <c r="P138" s="5">
        <f>INDEX(rrcworking[Disposition Volume (MCF) @ 14.65 MCF],MATCH('Mar 2020 EDI'!F138,rrcworking[RRC ID],0))</f>
        <v>0</v>
      </c>
      <c r="Y138" s="5">
        <f>INDEX(rrcworking[Oil Production],MATCH('Mar 2020 EDI'!F138,rrcworking[RRC ID],0))</f>
        <v>0</v>
      </c>
      <c r="AA138" s="5">
        <f>INDEX(rrcworking[Sales/Dispostion],MATCH('Mar 2020 EDI'!F138,rrcworking[RRC ID],0))</f>
        <v>0</v>
      </c>
      <c r="AQ138" s="5">
        <f>INDEX(rrcworking[Closing Stock (Oil)],MATCH('Mar 2020 EDI'!F138,rrcworking[RRC ID],0))</f>
        <v>135</v>
      </c>
    </row>
    <row r="139" spans="1:43">
      <c r="A139" s="4" t="s">
        <v>1</v>
      </c>
      <c r="B139" s="1" t="s">
        <v>1037</v>
      </c>
      <c r="C139" s="10" t="s">
        <v>910</v>
      </c>
      <c r="D139" s="1" t="s">
        <v>619</v>
      </c>
      <c r="E139" s="1" t="s">
        <v>59</v>
      </c>
      <c r="F139" s="1" t="s">
        <v>552</v>
      </c>
      <c r="I139" s="10" t="s">
        <v>3</v>
      </c>
      <c r="J139" s="123" t="s">
        <v>3</v>
      </c>
      <c r="K139" s="1" t="s">
        <v>1091</v>
      </c>
      <c r="M139" s="5">
        <v>202003</v>
      </c>
      <c r="N139" s="5">
        <f>INDEX(rrcworking[Formation Production (MCF) @ 14.65 psi],MATCH('Mar 2020 EDI'!F139,rrcworking[RRC ID],0))</f>
        <v>0</v>
      </c>
      <c r="O139" s="5">
        <f>INDEX(rrcworking[Lease Use (MCF)],MATCH('Mar 2020 EDI'!F139,rrcworking[RRC ID],0))</f>
        <v>0</v>
      </c>
      <c r="P139" s="5">
        <f>INDEX(rrcworking[Disposition Volume (MCF) @ 14.65 MCF],MATCH('Mar 2020 EDI'!F139,rrcworking[RRC ID],0))</f>
        <v>0</v>
      </c>
      <c r="Y139" s="5">
        <f>INDEX(rrcworking[Oil Production],MATCH('Mar 2020 EDI'!F139,rrcworking[RRC ID],0))</f>
        <v>0</v>
      </c>
      <c r="AA139" s="5">
        <f>INDEX(rrcworking[Sales/Dispostion],MATCH('Mar 2020 EDI'!F139,rrcworking[RRC ID],0))</f>
        <v>0</v>
      </c>
      <c r="AQ139" s="5">
        <f>INDEX(rrcworking[Closing Stock (Oil)],MATCH('Mar 2020 EDI'!F139,rrcworking[RRC ID],0))</f>
        <v>134</v>
      </c>
    </row>
    <row r="140" spans="1:43">
      <c r="A140" s="4" t="s">
        <v>1</v>
      </c>
      <c r="B140" s="1" t="s">
        <v>1038</v>
      </c>
      <c r="C140" s="10" t="s">
        <v>910</v>
      </c>
      <c r="D140" s="1" t="s">
        <v>620</v>
      </c>
      <c r="E140" s="1" t="s">
        <v>59</v>
      </c>
      <c r="F140" s="1" t="s">
        <v>553</v>
      </c>
      <c r="I140" s="10" t="s">
        <v>3</v>
      </c>
      <c r="J140" s="123" t="s">
        <v>3</v>
      </c>
      <c r="K140" s="1" t="s">
        <v>1091</v>
      </c>
      <c r="M140" s="5">
        <v>202003</v>
      </c>
      <c r="N140" s="5">
        <f>INDEX(rrcworking[Formation Production (MCF) @ 14.65 psi],MATCH('Mar 2020 EDI'!F140,rrcworking[RRC ID],0))</f>
        <v>0</v>
      </c>
      <c r="O140" s="5">
        <f>INDEX(rrcworking[Lease Use (MCF)],MATCH('Mar 2020 EDI'!F140,rrcworking[RRC ID],0))</f>
        <v>0</v>
      </c>
      <c r="P140" s="5">
        <f>INDEX(rrcworking[Disposition Volume (MCF) @ 14.65 MCF],MATCH('Mar 2020 EDI'!F140,rrcworking[RRC ID],0))</f>
        <v>0</v>
      </c>
      <c r="Y140" s="5">
        <f>INDEX(rrcworking[Oil Production],MATCH('Mar 2020 EDI'!F140,rrcworking[RRC ID],0))</f>
        <v>0</v>
      </c>
      <c r="AA140" s="5">
        <f>INDEX(rrcworking[Sales/Dispostion],MATCH('Mar 2020 EDI'!F140,rrcworking[RRC ID],0))</f>
        <v>0</v>
      </c>
      <c r="AQ140" s="5">
        <f>INDEX(rrcworking[Closing Stock (Oil)],MATCH('Mar 2020 EDI'!F140,rrcworking[RRC ID],0))</f>
        <v>0</v>
      </c>
    </row>
    <row r="141" spans="1:43">
      <c r="A141" s="4" t="s">
        <v>1</v>
      </c>
      <c r="B141" s="1" t="s">
        <v>1039</v>
      </c>
      <c r="C141" s="10" t="s">
        <v>910</v>
      </c>
      <c r="D141" s="1" t="s">
        <v>620</v>
      </c>
      <c r="E141" s="1" t="s">
        <v>2</v>
      </c>
      <c r="F141" s="1" t="s">
        <v>554</v>
      </c>
      <c r="I141" s="10" t="s">
        <v>3</v>
      </c>
      <c r="J141" s="123" t="s">
        <v>3</v>
      </c>
      <c r="K141" s="1" t="s">
        <v>1091</v>
      </c>
      <c r="M141" s="5">
        <v>202003</v>
      </c>
      <c r="N141" s="5">
        <f>INDEX(rrcworking[Formation Production (MCF) @ 14.65 psi],MATCH('Mar 2020 EDI'!F141,rrcworking[RRC ID],0))</f>
        <v>392</v>
      </c>
      <c r="O141" s="5">
        <f>INDEX(rrcworking[Lease Use (MCF)],MATCH('Mar 2020 EDI'!F141,rrcworking[RRC ID],0))</f>
        <v>0</v>
      </c>
      <c r="P141" s="5">
        <f>INDEX(rrcworking[Disposition Volume (MCF) @ 14.65 MCF],MATCH('Mar 2020 EDI'!F141,rrcworking[RRC ID],0))</f>
        <v>392</v>
      </c>
      <c r="Y141" s="5">
        <f>INDEX(rrcworking[Oil Production],MATCH('Mar 2020 EDI'!F141,rrcworking[RRC ID],0))</f>
        <v>65</v>
      </c>
      <c r="AA141" s="5">
        <f>INDEX(rrcworking[Sales/Dispostion],MATCH('Mar 2020 EDI'!F141,rrcworking[RRC ID],0))</f>
        <v>181</v>
      </c>
      <c r="AQ141" s="5">
        <f>INDEX(rrcworking[Closing Stock (Oil)],MATCH('Mar 2020 EDI'!F141,rrcworking[RRC ID],0))</f>
        <v>45</v>
      </c>
    </row>
    <row r="142" spans="1:43">
      <c r="A142" s="4" t="s">
        <v>1</v>
      </c>
      <c r="B142" s="1" t="s">
        <v>1040</v>
      </c>
      <c r="C142" s="10" t="s">
        <v>910</v>
      </c>
      <c r="D142" s="1" t="s">
        <v>620</v>
      </c>
      <c r="E142" s="1" t="s">
        <v>59</v>
      </c>
      <c r="F142" s="1" t="s">
        <v>555</v>
      </c>
      <c r="I142" s="10" t="s">
        <v>3</v>
      </c>
      <c r="J142" s="123" t="s">
        <v>3</v>
      </c>
      <c r="K142" s="1" t="s">
        <v>1091</v>
      </c>
      <c r="M142" s="5">
        <v>202003</v>
      </c>
      <c r="N142" s="5">
        <f>INDEX(rrcworking[Formation Production (MCF) @ 14.65 psi],MATCH('Mar 2020 EDI'!F142,rrcworking[RRC ID],0))</f>
        <v>0</v>
      </c>
      <c r="O142" s="5">
        <f>INDEX(rrcworking[Lease Use (MCF)],MATCH('Mar 2020 EDI'!F142,rrcworking[RRC ID],0))</f>
        <v>0</v>
      </c>
      <c r="P142" s="5">
        <f>INDEX(rrcworking[Disposition Volume (MCF) @ 14.65 MCF],MATCH('Mar 2020 EDI'!F142,rrcworking[RRC ID],0))</f>
        <v>0</v>
      </c>
      <c r="Y142" s="5">
        <f>INDEX(rrcworking[Oil Production],MATCH('Mar 2020 EDI'!F142,rrcworking[RRC ID],0))</f>
        <v>0</v>
      </c>
      <c r="AA142" s="5">
        <f>INDEX(rrcworking[Sales/Dispostion],MATCH('Mar 2020 EDI'!F142,rrcworking[RRC ID],0))</f>
        <v>0</v>
      </c>
      <c r="AQ142" s="5">
        <f>INDEX(rrcworking[Closing Stock (Oil)],MATCH('Mar 2020 EDI'!F142,rrcworking[RRC ID],0))</f>
        <v>0</v>
      </c>
    </row>
    <row r="143" spans="1:43">
      <c r="A143" s="4" t="s">
        <v>1</v>
      </c>
      <c r="B143" s="1" t="s">
        <v>1041</v>
      </c>
      <c r="C143" s="10" t="s">
        <v>910</v>
      </c>
      <c r="D143" s="1" t="s">
        <v>620</v>
      </c>
      <c r="E143" s="1" t="s">
        <v>2</v>
      </c>
      <c r="F143" s="1" t="s">
        <v>556</v>
      </c>
      <c r="I143" s="10" t="s">
        <v>3</v>
      </c>
      <c r="J143" s="123" t="s">
        <v>3</v>
      </c>
      <c r="K143" s="1" t="s">
        <v>1091</v>
      </c>
      <c r="M143" s="5">
        <v>202003</v>
      </c>
      <c r="N143" s="5">
        <f>INDEX(rrcworking[Formation Production (MCF) @ 14.65 psi],MATCH('Mar 2020 EDI'!F143,rrcworking[RRC ID],0))</f>
        <v>0</v>
      </c>
      <c r="O143" s="5">
        <f>INDEX(rrcworking[Lease Use (MCF)],MATCH('Mar 2020 EDI'!F143,rrcworking[RRC ID],0))</f>
        <v>0</v>
      </c>
      <c r="P143" s="5">
        <f>INDEX(rrcworking[Disposition Volume (MCF) @ 14.65 MCF],MATCH('Mar 2020 EDI'!F143,rrcworking[RRC ID],0))</f>
        <v>0</v>
      </c>
      <c r="Y143" s="5">
        <f>INDEX(rrcworking[Oil Production],MATCH('Mar 2020 EDI'!F143,rrcworking[RRC ID],0))</f>
        <v>0</v>
      </c>
      <c r="AA143" s="5">
        <f>INDEX(rrcworking[Sales/Dispostion],MATCH('Mar 2020 EDI'!F143,rrcworking[RRC ID],0))</f>
        <v>0</v>
      </c>
      <c r="AQ143" s="5">
        <f>INDEX(rrcworking[Closing Stock (Oil)],MATCH('Mar 2020 EDI'!F143,rrcworking[RRC ID],0))</f>
        <v>235</v>
      </c>
    </row>
    <row r="144" spans="1:43">
      <c r="A144" s="4" t="s">
        <v>1</v>
      </c>
      <c r="B144" s="1" t="s">
        <v>1042</v>
      </c>
      <c r="C144" s="10" t="s">
        <v>910</v>
      </c>
      <c r="D144" s="1" t="s">
        <v>620</v>
      </c>
      <c r="E144" s="1" t="s">
        <v>59</v>
      </c>
      <c r="F144" s="1" t="s">
        <v>557</v>
      </c>
      <c r="I144" s="10" t="s">
        <v>3</v>
      </c>
      <c r="J144" s="123" t="s">
        <v>3</v>
      </c>
      <c r="K144" s="1" t="s">
        <v>1091</v>
      </c>
      <c r="M144" s="5">
        <v>202003</v>
      </c>
      <c r="N144" s="5">
        <f>INDEX(rrcworking[Formation Production (MCF) @ 14.65 psi],MATCH('Mar 2020 EDI'!F144,rrcworking[RRC ID],0))</f>
        <v>1384</v>
      </c>
      <c r="O144" s="5">
        <f>INDEX(rrcworking[Lease Use (MCF)],MATCH('Mar 2020 EDI'!F144,rrcworking[RRC ID],0))</f>
        <v>310</v>
      </c>
      <c r="P144" s="5">
        <f>INDEX(rrcworking[Disposition Volume (MCF) @ 14.65 MCF],MATCH('Mar 2020 EDI'!F144,rrcworking[RRC ID],0))</f>
        <v>1074</v>
      </c>
      <c r="Y144" s="5">
        <f>INDEX(rrcworking[Oil Production],MATCH('Mar 2020 EDI'!F144,rrcworking[RRC ID],0))</f>
        <v>0</v>
      </c>
      <c r="AA144" s="5">
        <f>INDEX(rrcworking[Sales/Dispostion],MATCH('Mar 2020 EDI'!F144,rrcworking[RRC ID],0))</f>
        <v>0</v>
      </c>
      <c r="AQ144" s="5">
        <f>INDEX(rrcworking[Closing Stock (Oil)],MATCH('Mar 2020 EDI'!F144,rrcworking[RRC ID],0))</f>
        <v>0</v>
      </c>
    </row>
    <row r="145" spans="1:43">
      <c r="A145" s="4" t="s">
        <v>1</v>
      </c>
      <c r="B145" s="1" t="s">
        <v>1043</v>
      </c>
      <c r="C145" s="10" t="s">
        <v>910</v>
      </c>
      <c r="D145" s="1" t="s">
        <v>620</v>
      </c>
      <c r="E145" s="1" t="s">
        <v>59</v>
      </c>
      <c r="F145" s="1" t="s">
        <v>558</v>
      </c>
      <c r="I145" s="10" t="s">
        <v>3</v>
      </c>
      <c r="J145" s="123" t="s">
        <v>3</v>
      </c>
      <c r="K145" s="1" t="s">
        <v>1091</v>
      </c>
      <c r="M145" s="5">
        <v>202003</v>
      </c>
      <c r="N145" s="5">
        <f>INDEX(rrcworking[Formation Production (MCF) @ 14.65 psi],MATCH('Mar 2020 EDI'!F145,rrcworking[RRC ID],0))</f>
        <v>0</v>
      </c>
      <c r="O145" s="5">
        <f>INDEX(rrcworking[Lease Use (MCF)],MATCH('Mar 2020 EDI'!F145,rrcworking[RRC ID],0))</f>
        <v>0</v>
      </c>
      <c r="P145" s="5">
        <f>INDEX(rrcworking[Disposition Volume (MCF) @ 14.65 MCF],MATCH('Mar 2020 EDI'!F145,rrcworking[RRC ID],0))</f>
        <v>0</v>
      </c>
      <c r="Y145" s="5">
        <f>INDEX(rrcworking[Oil Production],MATCH('Mar 2020 EDI'!F145,rrcworking[RRC ID],0))</f>
        <v>0</v>
      </c>
      <c r="AA145" s="5">
        <f>INDEX(rrcworking[Sales/Dispostion],MATCH('Mar 2020 EDI'!F145,rrcworking[RRC ID],0))</f>
        <v>0</v>
      </c>
      <c r="AQ145" s="5">
        <f>INDEX(rrcworking[Closing Stock (Oil)],MATCH('Mar 2020 EDI'!F145,rrcworking[RRC ID],0))</f>
        <v>0</v>
      </c>
    </row>
    <row r="146" spans="1:43">
      <c r="A146" s="4" t="s">
        <v>1</v>
      </c>
      <c r="B146" s="1" t="s">
        <v>1044</v>
      </c>
      <c r="C146" s="10" t="s">
        <v>910</v>
      </c>
      <c r="D146" s="1" t="s">
        <v>620</v>
      </c>
      <c r="E146" s="1" t="s">
        <v>2</v>
      </c>
      <c r="F146" s="1" t="s">
        <v>559</v>
      </c>
      <c r="I146" s="10" t="s">
        <v>3</v>
      </c>
      <c r="J146" s="123" t="s">
        <v>3</v>
      </c>
      <c r="K146" s="1" t="s">
        <v>1091</v>
      </c>
      <c r="M146" s="5">
        <v>202003</v>
      </c>
      <c r="N146" s="5">
        <f>INDEX(rrcworking[Formation Production (MCF) @ 14.65 psi],MATCH('Mar 2020 EDI'!F146,rrcworking[RRC ID],0))</f>
        <v>0</v>
      </c>
      <c r="O146" s="5">
        <f>INDEX(rrcworking[Lease Use (MCF)],MATCH('Mar 2020 EDI'!F146,rrcworking[RRC ID],0))</f>
        <v>0</v>
      </c>
      <c r="P146" s="5">
        <f>INDEX(rrcworking[Disposition Volume (MCF) @ 14.65 MCF],MATCH('Mar 2020 EDI'!F146,rrcworking[RRC ID],0))</f>
        <v>0</v>
      </c>
      <c r="Y146" s="5">
        <f>INDEX(rrcworking[Oil Production],MATCH('Mar 2020 EDI'!F146,rrcworking[RRC ID],0))</f>
        <v>0</v>
      </c>
      <c r="AA146" s="5">
        <f>INDEX(rrcworking[Sales/Dispostion],MATCH('Mar 2020 EDI'!F146,rrcworking[RRC ID],0))</f>
        <v>0</v>
      </c>
      <c r="AQ146" s="5">
        <f>INDEX(rrcworking[Closing Stock (Oil)],MATCH('Mar 2020 EDI'!F146,rrcworking[RRC ID],0))</f>
        <v>90</v>
      </c>
    </row>
    <row r="147" spans="1:43">
      <c r="A147" s="4" t="s">
        <v>1</v>
      </c>
      <c r="B147" s="1" t="s">
        <v>1045</v>
      </c>
      <c r="C147" s="10" t="s">
        <v>910</v>
      </c>
      <c r="D147" s="1" t="s">
        <v>620</v>
      </c>
      <c r="E147" s="1" t="s">
        <v>59</v>
      </c>
      <c r="F147" s="1" t="s">
        <v>560</v>
      </c>
      <c r="I147" s="10" t="s">
        <v>3</v>
      </c>
      <c r="J147" s="123" t="s">
        <v>3</v>
      </c>
      <c r="K147" s="1" t="s">
        <v>1091</v>
      </c>
      <c r="M147" s="5">
        <v>202003</v>
      </c>
      <c r="N147" s="5">
        <f>INDEX(rrcworking[Formation Production (MCF) @ 14.65 psi],MATCH('Mar 2020 EDI'!F147,rrcworking[RRC ID],0))</f>
        <v>0</v>
      </c>
      <c r="O147" s="5">
        <f>INDEX(rrcworking[Lease Use (MCF)],MATCH('Mar 2020 EDI'!F147,rrcworking[RRC ID],0))</f>
        <v>0</v>
      </c>
      <c r="P147" s="5">
        <f>INDEX(rrcworking[Disposition Volume (MCF) @ 14.65 MCF],MATCH('Mar 2020 EDI'!F147,rrcworking[RRC ID],0))</f>
        <v>0</v>
      </c>
      <c r="Y147" s="5">
        <f>INDEX(rrcworking[Oil Production],MATCH('Mar 2020 EDI'!F147,rrcworking[RRC ID],0))</f>
        <v>0</v>
      </c>
      <c r="AA147" s="5">
        <f>INDEX(rrcworking[Sales/Dispostion],MATCH('Mar 2020 EDI'!F147,rrcworking[RRC ID],0))</f>
        <v>0</v>
      </c>
      <c r="AQ147" s="5">
        <f>INDEX(rrcworking[Closing Stock (Oil)],MATCH('Mar 2020 EDI'!F147,rrcworking[RRC ID],0))</f>
        <v>0</v>
      </c>
    </row>
    <row r="148" spans="1:43">
      <c r="A148" s="4" t="s">
        <v>1</v>
      </c>
      <c r="B148" s="1" t="s">
        <v>1046</v>
      </c>
      <c r="C148" s="10" t="s">
        <v>910</v>
      </c>
      <c r="D148" s="1" t="s">
        <v>620</v>
      </c>
      <c r="E148" s="1" t="s">
        <v>2</v>
      </c>
      <c r="F148" s="1" t="s">
        <v>561</v>
      </c>
      <c r="I148" s="10" t="s">
        <v>3</v>
      </c>
      <c r="J148" s="123" t="s">
        <v>3</v>
      </c>
      <c r="K148" s="1" t="s">
        <v>1091</v>
      </c>
      <c r="M148" s="5">
        <v>202003</v>
      </c>
      <c r="N148" s="5">
        <f>INDEX(rrcworking[Formation Production (MCF) @ 14.65 psi],MATCH('Mar 2020 EDI'!F148,rrcworking[RRC ID],0))</f>
        <v>0</v>
      </c>
      <c r="O148" s="5">
        <f>INDEX(rrcworking[Lease Use (MCF)],MATCH('Mar 2020 EDI'!F148,rrcworking[RRC ID],0))</f>
        <v>0</v>
      </c>
      <c r="P148" s="5">
        <f>INDEX(rrcworking[Disposition Volume (MCF) @ 14.65 MCF],MATCH('Mar 2020 EDI'!F148,rrcworking[RRC ID],0))</f>
        <v>0</v>
      </c>
      <c r="Y148" s="5">
        <f>INDEX(rrcworking[Oil Production],MATCH('Mar 2020 EDI'!F148,rrcworking[RRC ID],0))</f>
        <v>0</v>
      </c>
      <c r="AA148" s="5">
        <f>INDEX(rrcworking[Sales/Dispostion],MATCH('Mar 2020 EDI'!F148,rrcworking[RRC ID],0))</f>
        <v>0</v>
      </c>
      <c r="AQ148" s="5">
        <f>INDEX(rrcworking[Closing Stock (Oil)],MATCH('Mar 2020 EDI'!F148,rrcworking[RRC ID],0))</f>
        <v>0</v>
      </c>
    </row>
    <row r="149" spans="1:43">
      <c r="A149" s="4" t="s">
        <v>1</v>
      </c>
      <c r="B149" s="1" t="s">
        <v>1047</v>
      </c>
      <c r="C149" s="10" t="s">
        <v>910</v>
      </c>
      <c r="D149" s="1" t="s">
        <v>620</v>
      </c>
      <c r="E149" s="1" t="s">
        <v>59</v>
      </c>
      <c r="F149" s="1" t="s">
        <v>562</v>
      </c>
      <c r="I149" s="10" t="s">
        <v>3</v>
      </c>
      <c r="J149" s="123" t="s">
        <v>3</v>
      </c>
      <c r="K149" s="1" t="s">
        <v>1091</v>
      </c>
      <c r="M149" s="5">
        <v>202003</v>
      </c>
      <c r="N149" s="5">
        <f>INDEX(rrcworking[Formation Production (MCF) @ 14.65 psi],MATCH('Mar 2020 EDI'!F149,rrcworking[RRC ID],0))</f>
        <v>9108</v>
      </c>
      <c r="O149" s="5">
        <f>INDEX(rrcworking[Lease Use (MCF)],MATCH('Mar 2020 EDI'!F149,rrcworking[RRC ID],0))</f>
        <v>245</v>
      </c>
      <c r="P149" s="5">
        <f>INDEX(rrcworking[Disposition Volume (MCF) @ 14.65 MCF],MATCH('Mar 2020 EDI'!F149,rrcworking[RRC ID],0))</f>
        <v>8863</v>
      </c>
      <c r="Y149" s="5">
        <f>INDEX(rrcworking[Oil Production],MATCH('Mar 2020 EDI'!F149,rrcworking[RRC ID],0))</f>
        <v>0</v>
      </c>
      <c r="AA149" s="5">
        <f>INDEX(rrcworking[Sales/Dispostion],MATCH('Mar 2020 EDI'!F149,rrcworking[RRC ID],0))</f>
        <v>0</v>
      </c>
      <c r="AQ149" s="5">
        <f>INDEX(rrcworking[Closing Stock (Oil)],MATCH('Mar 2020 EDI'!F149,rrcworking[RRC ID],0))</f>
        <v>162</v>
      </c>
    </row>
    <row r="150" spans="1:43">
      <c r="A150" s="4" t="s">
        <v>1</v>
      </c>
      <c r="B150" s="1" t="s">
        <v>1048</v>
      </c>
      <c r="C150" s="10" t="s">
        <v>910</v>
      </c>
      <c r="D150" s="1" t="s">
        <v>620</v>
      </c>
      <c r="E150" s="1" t="s">
        <v>59</v>
      </c>
      <c r="F150" s="1" t="s">
        <v>563</v>
      </c>
      <c r="I150" s="10" t="s">
        <v>3</v>
      </c>
      <c r="J150" s="123" t="s">
        <v>3</v>
      </c>
      <c r="K150" s="1" t="s">
        <v>1091</v>
      </c>
      <c r="M150" s="5">
        <v>202003</v>
      </c>
      <c r="N150" s="5">
        <f>INDEX(rrcworking[Formation Production (MCF) @ 14.65 psi],MATCH('Mar 2020 EDI'!F150,rrcworking[RRC ID],0))</f>
        <v>3153</v>
      </c>
      <c r="O150" s="5">
        <f>INDEX(rrcworking[Lease Use (MCF)],MATCH('Mar 2020 EDI'!F150,rrcworking[RRC ID],0))</f>
        <v>85</v>
      </c>
      <c r="P150" s="5">
        <f>INDEX(rrcworking[Disposition Volume (MCF) @ 14.65 MCF],MATCH('Mar 2020 EDI'!F150,rrcworking[RRC ID],0))</f>
        <v>3068</v>
      </c>
      <c r="Y150" s="5">
        <f>INDEX(rrcworking[Oil Production],MATCH('Mar 2020 EDI'!F150,rrcworking[RRC ID],0))</f>
        <v>0</v>
      </c>
      <c r="AA150" s="5">
        <f>INDEX(rrcworking[Sales/Dispostion],MATCH('Mar 2020 EDI'!F150,rrcworking[RRC ID],0))</f>
        <v>0</v>
      </c>
      <c r="AQ150" s="5">
        <f>INDEX(rrcworking[Closing Stock (Oil)],MATCH('Mar 2020 EDI'!F150,rrcworking[RRC ID],0))</f>
        <v>0</v>
      </c>
    </row>
    <row r="151" spans="1:43">
      <c r="A151" s="4" t="s">
        <v>1</v>
      </c>
      <c r="B151" s="1" t="s">
        <v>1049</v>
      </c>
      <c r="C151" s="10" t="s">
        <v>910</v>
      </c>
      <c r="D151" s="1" t="s">
        <v>620</v>
      </c>
      <c r="E151" s="1" t="s">
        <v>59</v>
      </c>
      <c r="F151" s="1" t="s">
        <v>564</v>
      </c>
      <c r="I151" s="10" t="s">
        <v>3</v>
      </c>
      <c r="J151" s="123" t="s">
        <v>3</v>
      </c>
      <c r="K151" s="1" t="s">
        <v>1091</v>
      </c>
      <c r="M151" s="5">
        <v>202003</v>
      </c>
      <c r="N151" s="5">
        <f>INDEX(rrcworking[Formation Production (MCF) @ 14.65 psi],MATCH('Mar 2020 EDI'!F151,rrcworking[RRC ID],0))</f>
        <v>4974</v>
      </c>
      <c r="O151" s="5">
        <f>INDEX(rrcworking[Lease Use (MCF)],MATCH('Mar 2020 EDI'!F151,rrcworking[RRC ID],0))</f>
        <v>282</v>
      </c>
      <c r="P151" s="5">
        <f>INDEX(rrcworking[Disposition Volume (MCF) @ 14.65 MCF],MATCH('Mar 2020 EDI'!F151,rrcworking[RRC ID],0))</f>
        <v>4692</v>
      </c>
      <c r="Y151" s="5">
        <f>INDEX(rrcworking[Oil Production],MATCH('Mar 2020 EDI'!F151,rrcworking[RRC ID],0))</f>
        <v>0</v>
      </c>
      <c r="AA151" s="5">
        <f>INDEX(rrcworking[Sales/Dispostion],MATCH('Mar 2020 EDI'!F151,rrcworking[RRC ID],0))</f>
        <v>0</v>
      </c>
      <c r="AQ151" s="5">
        <f>INDEX(rrcworking[Closing Stock (Oil)],MATCH('Mar 2020 EDI'!F151,rrcworking[RRC ID],0))</f>
        <v>24</v>
      </c>
    </row>
    <row r="152" spans="1:43">
      <c r="A152" s="4" t="s">
        <v>1</v>
      </c>
      <c r="B152" s="1" t="s">
        <v>1050</v>
      </c>
      <c r="C152" s="10" t="s">
        <v>910</v>
      </c>
      <c r="D152" s="1" t="s">
        <v>620</v>
      </c>
      <c r="E152" s="1" t="s">
        <v>59</v>
      </c>
      <c r="F152" s="1" t="s">
        <v>565</v>
      </c>
      <c r="I152" s="10" t="s">
        <v>3</v>
      </c>
      <c r="J152" s="123" t="s">
        <v>3</v>
      </c>
      <c r="K152" s="1" t="s">
        <v>1091</v>
      </c>
      <c r="M152" s="5">
        <v>202003</v>
      </c>
      <c r="N152" s="5">
        <f>INDEX(rrcworking[Formation Production (MCF) @ 14.65 psi],MATCH('Mar 2020 EDI'!F152,rrcworking[RRC ID],0))</f>
        <v>394</v>
      </c>
      <c r="O152" s="5">
        <f>INDEX(rrcworking[Lease Use (MCF)],MATCH('Mar 2020 EDI'!F152,rrcworking[RRC ID],0))</f>
        <v>22</v>
      </c>
      <c r="P152" s="5">
        <f>INDEX(rrcworking[Disposition Volume (MCF) @ 14.65 MCF],MATCH('Mar 2020 EDI'!F152,rrcworking[RRC ID],0))</f>
        <v>372</v>
      </c>
      <c r="Y152" s="5">
        <f>INDEX(rrcworking[Oil Production],MATCH('Mar 2020 EDI'!F152,rrcworking[RRC ID],0))</f>
        <v>0</v>
      </c>
      <c r="AA152" s="5">
        <f>INDEX(rrcworking[Sales/Dispostion],MATCH('Mar 2020 EDI'!F152,rrcworking[RRC ID],0))</f>
        <v>0</v>
      </c>
      <c r="AQ152" s="5">
        <f>INDEX(rrcworking[Closing Stock (Oil)],MATCH('Mar 2020 EDI'!F152,rrcworking[RRC ID],0))</f>
        <v>0</v>
      </c>
    </row>
    <row r="153" spans="1:43">
      <c r="A153" s="4" t="s">
        <v>1</v>
      </c>
      <c r="B153" s="1" t="s">
        <v>1051</v>
      </c>
      <c r="C153" s="10" t="s">
        <v>910</v>
      </c>
      <c r="D153" s="1" t="s">
        <v>620</v>
      </c>
      <c r="E153" s="1" t="s">
        <v>2</v>
      </c>
      <c r="F153" s="1" t="s">
        <v>566</v>
      </c>
      <c r="I153" s="10" t="s">
        <v>3</v>
      </c>
      <c r="J153" s="123" t="s">
        <v>3</v>
      </c>
      <c r="K153" s="1" t="s">
        <v>1091</v>
      </c>
      <c r="M153" s="5">
        <v>202003</v>
      </c>
      <c r="N153" s="5">
        <f>INDEX(rrcworking[Formation Production (MCF) @ 14.65 psi],MATCH('Mar 2020 EDI'!F153,rrcworking[RRC ID],0))</f>
        <v>0</v>
      </c>
      <c r="O153" s="5">
        <f>INDEX(rrcworking[Lease Use (MCF)],MATCH('Mar 2020 EDI'!F153,rrcworking[RRC ID],0))</f>
        <v>0</v>
      </c>
      <c r="P153" s="5">
        <f>INDEX(rrcworking[Disposition Volume (MCF) @ 14.65 MCF],MATCH('Mar 2020 EDI'!F153,rrcworking[RRC ID],0))</f>
        <v>0</v>
      </c>
      <c r="Y153" s="5">
        <f>INDEX(rrcworking[Oil Production],MATCH('Mar 2020 EDI'!F153,rrcworking[RRC ID],0))</f>
        <v>0</v>
      </c>
      <c r="AA153" s="5">
        <f>INDEX(rrcworking[Sales/Dispostion],MATCH('Mar 2020 EDI'!F153,rrcworking[RRC ID],0))</f>
        <v>0</v>
      </c>
      <c r="AQ153" s="5">
        <f>INDEX(rrcworking[Closing Stock (Oil)],MATCH('Mar 2020 EDI'!F153,rrcworking[RRC ID],0))</f>
        <v>47</v>
      </c>
    </row>
    <row r="154" spans="1:43">
      <c r="A154" s="4" t="s">
        <v>1</v>
      </c>
      <c r="B154" s="1" t="s">
        <v>1052</v>
      </c>
      <c r="C154" s="10" t="s">
        <v>910</v>
      </c>
      <c r="D154" s="1" t="s">
        <v>620</v>
      </c>
      <c r="E154" s="1" t="s">
        <v>2</v>
      </c>
      <c r="F154" s="1" t="s">
        <v>567</v>
      </c>
      <c r="I154" s="10" t="s">
        <v>3</v>
      </c>
      <c r="J154" s="123" t="s">
        <v>3</v>
      </c>
      <c r="K154" s="1" t="s">
        <v>1091</v>
      </c>
      <c r="M154" s="5">
        <v>202003</v>
      </c>
      <c r="N154" s="5">
        <f>INDEX(rrcworking[Formation Production (MCF) @ 14.65 psi],MATCH('Mar 2020 EDI'!F154,rrcworking[RRC ID],0))</f>
        <v>0</v>
      </c>
      <c r="O154" s="5">
        <f>INDEX(rrcworking[Lease Use (MCF)],MATCH('Mar 2020 EDI'!F154,rrcworking[RRC ID],0))</f>
        <v>0</v>
      </c>
      <c r="P154" s="5">
        <f>INDEX(rrcworking[Disposition Volume (MCF) @ 14.65 MCF],MATCH('Mar 2020 EDI'!F154,rrcworking[RRC ID],0))</f>
        <v>0</v>
      </c>
      <c r="Y154" s="5">
        <f>INDEX(rrcworking[Oil Production],MATCH('Mar 2020 EDI'!F154,rrcworking[RRC ID],0))</f>
        <v>0</v>
      </c>
      <c r="AA154" s="5">
        <f>INDEX(rrcworking[Sales/Dispostion],MATCH('Mar 2020 EDI'!F154,rrcworking[RRC ID],0))</f>
        <v>0</v>
      </c>
      <c r="AQ154" s="5">
        <f>INDEX(rrcworking[Closing Stock (Oil)],MATCH('Mar 2020 EDI'!F154,rrcworking[RRC ID],0))</f>
        <v>52</v>
      </c>
    </row>
    <row r="155" spans="1:43">
      <c r="A155" s="4" t="s">
        <v>1</v>
      </c>
      <c r="B155" s="1" t="s">
        <v>1053</v>
      </c>
      <c r="C155" s="10" t="s">
        <v>910</v>
      </c>
      <c r="D155" s="1" t="s">
        <v>620</v>
      </c>
      <c r="E155" s="1" t="s">
        <v>59</v>
      </c>
      <c r="F155" s="1" t="s">
        <v>568</v>
      </c>
      <c r="I155" s="10" t="s">
        <v>3</v>
      </c>
      <c r="J155" s="123" t="s">
        <v>3</v>
      </c>
      <c r="K155" s="1" t="s">
        <v>1091</v>
      </c>
      <c r="M155" s="5">
        <v>202003</v>
      </c>
      <c r="N155" s="5">
        <f>INDEX(rrcworking[Formation Production (MCF) @ 14.65 psi],MATCH('Mar 2020 EDI'!F155,rrcworking[RRC ID],0))</f>
        <v>0</v>
      </c>
      <c r="O155" s="5">
        <f>INDEX(rrcworking[Lease Use (MCF)],MATCH('Mar 2020 EDI'!F155,rrcworking[RRC ID],0))</f>
        <v>0</v>
      </c>
      <c r="P155" s="5">
        <f>INDEX(rrcworking[Disposition Volume (MCF) @ 14.65 MCF],MATCH('Mar 2020 EDI'!F155,rrcworking[RRC ID],0))</f>
        <v>0</v>
      </c>
      <c r="Y155" s="5">
        <f>INDEX(rrcworking[Oil Production],MATCH('Mar 2020 EDI'!F155,rrcworking[RRC ID],0))</f>
        <v>0</v>
      </c>
      <c r="AA155" s="5">
        <f>INDEX(rrcworking[Sales/Dispostion],MATCH('Mar 2020 EDI'!F155,rrcworking[RRC ID],0))</f>
        <v>0</v>
      </c>
      <c r="AQ155" s="5">
        <f>INDEX(rrcworking[Closing Stock (Oil)],MATCH('Mar 2020 EDI'!F155,rrcworking[RRC ID],0))</f>
        <v>0</v>
      </c>
    </row>
    <row r="156" spans="1:43">
      <c r="A156" s="4" t="s">
        <v>1</v>
      </c>
      <c r="B156" s="1" t="s">
        <v>1054</v>
      </c>
      <c r="C156" s="10" t="s">
        <v>910</v>
      </c>
      <c r="D156" s="1" t="s">
        <v>620</v>
      </c>
      <c r="E156" s="1" t="s">
        <v>2</v>
      </c>
      <c r="F156" s="1" t="s">
        <v>569</v>
      </c>
      <c r="I156" s="10" t="s">
        <v>3</v>
      </c>
      <c r="J156" s="123" t="s">
        <v>3</v>
      </c>
      <c r="K156" s="1" t="s">
        <v>1091</v>
      </c>
      <c r="M156" s="5">
        <v>202003</v>
      </c>
      <c r="N156" s="5">
        <f>INDEX(rrcworking[Formation Production (MCF) @ 14.65 psi],MATCH('Mar 2020 EDI'!F156,rrcworking[RRC ID],0))</f>
        <v>0</v>
      </c>
      <c r="O156" s="5">
        <f>INDEX(rrcworking[Lease Use (MCF)],MATCH('Mar 2020 EDI'!F156,rrcworking[RRC ID],0))</f>
        <v>0</v>
      </c>
      <c r="P156" s="5">
        <f>INDEX(rrcworking[Disposition Volume (MCF) @ 14.65 MCF],MATCH('Mar 2020 EDI'!F156,rrcworking[RRC ID],0))</f>
        <v>0</v>
      </c>
      <c r="Y156" s="5">
        <f>INDEX(rrcworking[Oil Production],MATCH('Mar 2020 EDI'!F156,rrcworking[RRC ID],0))</f>
        <v>2</v>
      </c>
      <c r="AA156" s="5">
        <f>INDEX(rrcworking[Sales/Dispostion],MATCH('Mar 2020 EDI'!F156,rrcworking[RRC ID],0))</f>
        <v>0</v>
      </c>
      <c r="AQ156" s="5">
        <f>INDEX(rrcworking[Closing Stock (Oil)],MATCH('Mar 2020 EDI'!F156,rrcworking[RRC ID],0))</f>
        <v>65</v>
      </c>
    </row>
    <row r="157" spans="1:43">
      <c r="A157" s="4" t="s">
        <v>1</v>
      </c>
      <c r="B157" s="1" t="s">
        <v>1055</v>
      </c>
      <c r="C157" s="10" t="s">
        <v>910</v>
      </c>
      <c r="D157" s="1" t="s">
        <v>620</v>
      </c>
      <c r="E157" s="1" t="s">
        <v>2</v>
      </c>
      <c r="F157" s="1" t="s">
        <v>570</v>
      </c>
      <c r="I157" s="10" t="s">
        <v>3</v>
      </c>
      <c r="J157" s="123" t="s">
        <v>3</v>
      </c>
      <c r="K157" s="1" t="s">
        <v>1091</v>
      </c>
      <c r="M157" s="5">
        <v>202003</v>
      </c>
      <c r="N157" s="5">
        <f>INDEX(rrcworking[Formation Production (MCF) @ 14.65 psi],MATCH('Mar 2020 EDI'!F157,rrcworking[RRC ID],0))</f>
        <v>0</v>
      </c>
      <c r="O157" s="5">
        <f>INDEX(rrcworking[Lease Use (MCF)],MATCH('Mar 2020 EDI'!F157,rrcworking[RRC ID],0))</f>
        <v>0</v>
      </c>
      <c r="P157" s="5">
        <f>INDEX(rrcworking[Disposition Volume (MCF) @ 14.65 MCF],MATCH('Mar 2020 EDI'!F157,rrcworking[RRC ID],0))</f>
        <v>0</v>
      </c>
      <c r="Y157" s="5">
        <f>INDEX(rrcworking[Oil Production],MATCH('Mar 2020 EDI'!F157,rrcworking[RRC ID],0))</f>
        <v>0</v>
      </c>
      <c r="AA157" s="5">
        <f>INDEX(rrcworking[Sales/Dispostion],MATCH('Mar 2020 EDI'!F157,rrcworking[RRC ID],0))</f>
        <v>0</v>
      </c>
      <c r="AQ157" s="5">
        <f>INDEX(rrcworking[Closing Stock (Oil)],MATCH('Mar 2020 EDI'!F157,rrcworking[RRC ID],0))</f>
        <v>69</v>
      </c>
    </row>
    <row r="158" spans="1:43">
      <c r="A158" s="4" t="s">
        <v>1</v>
      </c>
      <c r="B158" s="1" t="s">
        <v>1056</v>
      </c>
      <c r="C158" s="10" t="s">
        <v>910</v>
      </c>
      <c r="D158" s="1" t="s">
        <v>620</v>
      </c>
      <c r="E158" s="1" t="s">
        <v>59</v>
      </c>
      <c r="F158" s="1" t="s">
        <v>571</v>
      </c>
      <c r="I158" s="10" t="s">
        <v>3</v>
      </c>
      <c r="J158" s="123" t="s">
        <v>3</v>
      </c>
      <c r="K158" s="1" t="s">
        <v>1091</v>
      </c>
      <c r="M158" s="5">
        <v>202003</v>
      </c>
      <c r="N158" s="5">
        <f>INDEX(rrcworking[Formation Production (MCF) @ 14.65 psi],MATCH('Mar 2020 EDI'!F158,rrcworking[RRC ID],0))</f>
        <v>2657</v>
      </c>
      <c r="O158" s="5">
        <f>INDEX(rrcworking[Lease Use (MCF)],MATCH('Mar 2020 EDI'!F158,rrcworking[RRC ID],0))</f>
        <v>112</v>
      </c>
      <c r="P158" s="5">
        <f>INDEX(rrcworking[Disposition Volume (MCF) @ 14.65 MCF],MATCH('Mar 2020 EDI'!F158,rrcworking[RRC ID],0))</f>
        <v>2545</v>
      </c>
      <c r="Y158" s="5">
        <f>INDEX(rrcworking[Oil Production],MATCH('Mar 2020 EDI'!F158,rrcworking[RRC ID],0))</f>
        <v>0</v>
      </c>
      <c r="AA158" s="5">
        <f>INDEX(rrcworking[Sales/Dispostion],MATCH('Mar 2020 EDI'!F158,rrcworking[RRC ID],0))</f>
        <v>0</v>
      </c>
      <c r="AQ158" s="5">
        <f>INDEX(rrcworking[Closing Stock (Oil)],MATCH('Mar 2020 EDI'!F158,rrcworking[RRC ID],0))</f>
        <v>0</v>
      </c>
    </row>
    <row r="159" spans="1:43">
      <c r="A159" s="4" t="s">
        <v>1</v>
      </c>
      <c r="B159" s="1" t="s">
        <v>1057</v>
      </c>
      <c r="C159" s="10" t="s">
        <v>910</v>
      </c>
      <c r="D159" s="1" t="s">
        <v>620</v>
      </c>
      <c r="E159" s="1" t="s">
        <v>59</v>
      </c>
      <c r="F159" s="1" t="s">
        <v>572</v>
      </c>
      <c r="I159" s="10" t="s">
        <v>3</v>
      </c>
      <c r="J159" s="123" t="s">
        <v>3</v>
      </c>
      <c r="K159" s="1" t="s">
        <v>1091</v>
      </c>
      <c r="M159" s="5">
        <v>202003</v>
      </c>
      <c r="N159" s="5">
        <f>INDEX(rrcworking[Formation Production (MCF) @ 14.65 psi],MATCH('Mar 2020 EDI'!F159,rrcworking[RRC ID],0))</f>
        <v>0</v>
      </c>
      <c r="O159" s="5">
        <f>INDEX(rrcworking[Lease Use (MCF)],MATCH('Mar 2020 EDI'!F159,rrcworking[RRC ID],0))</f>
        <v>0</v>
      </c>
      <c r="P159" s="5">
        <f>INDEX(rrcworking[Disposition Volume (MCF) @ 14.65 MCF],MATCH('Mar 2020 EDI'!F159,rrcworking[RRC ID],0))</f>
        <v>0</v>
      </c>
      <c r="Y159" s="5">
        <f>INDEX(rrcworking[Oil Production],MATCH('Mar 2020 EDI'!F159,rrcworking[RRC ID],0))</f>
        <v>0</v>
      </c>
      <c r="AA159" s="5">
        <f>INDEX(rrcworking[Sales/Dispostion],MATCH('Mar 2020 EDI'!F159,rrcworking[RRC ID],0))</f>
        <v>0</v>
      </c>
      <c r="AQ159" s="5">
        <f>INDEX(rrcworking[Closing Stock (Oil)],MATCH('Mar 2020 EDI'!F159,rrcworking[RRC ID],0))</f>
        <v>43</v>
      </c>
    </row>
    <row r="160" spans="1:43">
      <c r="A160" s="4" t="s">
        <v>1</v>
      </c>
      <c r="B160" s="1" t="s">
        <v>1058</v>
      </c>
      <c r="C160" s="10" t="s">
        <v>910</v>
      </c>
      <c r="D160" s="1" t="s">
        <v>620</v>
      </c>
      <c r="E160" s="1" t="s">
        <v>59</v>
      </c>
      <c r="F160" s="1" t="s">
        <v>573</v>
      </c>
      <c r="I160" s="10" t="s">
        <v>3</v>
      </c>
      <c r="J160" s="123" t="s">
        <v>3</v>
      </c>
      <c r="K160" s="1" t="s">
        <v>1091</v>
      </c>
      <c r="M160" s="5">
        <v>202003</v>
      </c>
      <c r="N160" s="5">
        <f>INDEX(rrcworking[Formation Production (MCF) @ 14.65 psi],MATCH('Mar 2020 EDI'!F160,rrcworking[RRC ID],0))</f>
        <v>107</v>
      </c>
      <c r="O160" s="5">
        <f>INDEX(rrcworking[Lease Use (MCF)],MATCH('Mar 2020 EDI'!F160,rrcworking[RRC ID],0))</f>
        <v>0</v>
      </c>
      <c r="P160" s="5">
        <f>INDEX(rrcworking[Disposition Volume (MCF) @ 14.65 MCF],MATCH('Mar 2020 EDI'!F160,rrcworking[RRC ID],0))</f>
        <v>107</v>
      </c>
      <c r="Y160" s="5">
        <f>INDEX(rrcworking[Oil Production],MATCH('Mar 2020 EDI'!F160,rrcworking[RRC ID],0))</f>
        <v>0</v>
      </c>
      <c r="AA160" s="5">
        <f>INDEX(rrcworking[Sales/Dispostion],MATCH('Mar 2020 EDI'!F160,rrcworking[RRC ID],0))</f>
        <v>0</v>
      </c>
      <c r="AQ160" s="5">
        <f>INDEX(rrcworking[Closing Stock (Oil)],MATCH('Mar 2020 EDI'!F160,rrcworking[RRC ID],0))</f>
        <v>169</v>
      </c>
    </row>
    <row r="161" spans="1:43">
      <c r="A161" s="4" t="s">
        <v>1</v>
      </c>
      <c r="B161" s="1" t="s">
        <v>1059</v>
      </c>
      <c r="C161" s="10" t="s">
        <v>910</v>
      </c>
      <c r="D161" s="1" t="s">
        <v>620</v>
      </c>
      <c r="E161" s="1" t="s">
        <v>59</v>
      </c>
      <c r="F161" s="1" t="s">
        <v>574</v>
      </c>
      <c r="I161" s="10" t="s">
        <v>3</v>
      </c>
      <c r="J161" s="123" t="s">
        <v>3</v>
      </c>
      <c r="K161" s="1" t="s">
        <v>1091</v>
      </c>
      <c r="M161" s="5">
        <v>202003</v>
      </c>
      <c r="N161" s="5">
        <f>INDEX(rrcworking[Formation Production (MCF) @ 14.65 psi],MATCH('Mar 2020 EDI'!F161,rrcworking[RRC ID],0))</f>
        <v>0</v>
      </c>
      <c r="O161" s="5">
        <f>INDEX(rrcworking[Lease Use (MCF)],MATCH('Mar 2020 EDI'!F161,rrcworking[RRC ID],0))</f>
        <v>0</v>
      </c>
      <c r="P161" s="5">
        <f>INDEX(rrcworking[Disposition Volume (MCF) @ 14.65 MCF],MATCH('Mar 2020 EDI'!F161,rrcworking[RRC ID],0))</f>
        <v>0</v>
      </c>
      <c r="Y161" s="5">
        <f>INDEX(rrcworking[Oil Production],MATCH('Mar 2020 EDI'!F161,rrcworking[RRC ID],0))</f>
        <v>0</v>
      </c>
      <c r="AA161" s="5">
        <f>INDEX(rrcworking[Sales/Dispostion],MATCH('Mar 2020 EDI'!F161,rrcworking[RRC ID],0))</f>
        <v>0</v>
      </c>
      <c r="AQ161" s="5">
        <f>INDEX(rrcworking[Closing Stock (Oil)],MATCH('Mar 2020 EDI'!F161,rrcworking[RRC ID],0))</f>
        <v>93</v>
      </c>
    </row>
    <row r="162" spans="1:43">
      <c r="A162" s="4" t="s">
        <v>1</v>
      </c>
      <c r="B162" s="1" t="s">
        <v>1060</v>
      </c>
      <c r="C162" s="10" t="s">
        <v>910</v>
      </c>
      <c r="D162" s="1" t="s">
        <v>620</v>
      </c>
      <c r="E162" s="1" t="s">
        <v>59</v>
      </c>
      <c r="F162" s="1" t="s">
        <v>575</v>
      </c>
      <c r="I162" s="10" t="s">
        <v>3</v>
      </c>
      <c r="J162" s="123" t="s">
        <v>3</v>
      </c>
      <c r="K162" s="1" t="s">
        <v>1091</v>
      </c>
      <c r="M162" s="5">
        <v>202003</v>
      </c>
      <c r="N162" s="5">
        <f>INDEX(rrcworking[Formation Production (MCF) @ 14.65 psi],MATCH('Mar 2020 EDI'!F162,rrcworking[RRC ID],0))</f>
        <v>2494</v>
      </c>
      <c r="O162" s="5">
        <f>INDEX(rrcworking[Lease Use (MCF)],MATCH('Mar 2020 EDI'!F162,rrcworking[RRC ID],0))</f>
        <v>0</v>
      </c>
      <c r="P162" s="5">
        <f>INDEX(rrcworking[Disposition Volume (MCF) @ 14.65 MCF],MATCH('Mar 2020 EDI'!F162,rrcworking[RRC ID],0))</f>
        <v>2494</v>
      </c>
      <c r="Y162" s="5">
        <f>INDEX(rrcworking[Oil Production],MATCH('Mar 2020 EDI'!F162,rrcworking[RRC ID],0))</f>
        <v>1</v>
      </c>
      <c r="AA162" s="5">
        <f>INDEX(rrcworking[Sales/Dispostion],MATCH('Mar 2020 EDI'!F162,rrcworking[RRC ID],0))</f>
        <v>0</v>
      </c>
      <c r="AQ162" s="5">
        <f>INDEX(rrcworking[Closing Stock (Oil)],MATCH('Mar 2020 EDI'!F162,rrcworking[RRC ID],0))</f>
        <v>93</v>
      </c>
    </row>
    <row r="163" spans="1:43">
      <c r="A163" s="4" t="s">
        <v>1</v>
      </c>
      <c r="B163" s="1" t="s">
        <v>1061</v>
      </c>
      <c r="C163" s="10" t="s">
        <v>910</v>
      </c>
      <c r="D163" s="1" t="s">
        <v>620</v>
      </c>
      <c r="E163" s="1" t="s">
        <v>59</v>
      </c>
      <c r="F163" s="1" t="s">
        <v>576</v>
      </c>
      <c r="I163" s="10" t="s">
        <v>3</v>
      </c>
      <c r="J163" s="123" t="s">
        <v>3</v>
      </c>
      <c r="K163" s="1" t="s">
        <v>1091</v>
      </c>
      <c r="M163" s="5">
        <v>202003</v>
      </c>
      <c r="N163" s="5">
        <f>INDEX(rrcworking[Formation Production (MCF) @ 14.65 psi],MATCH('Mar 2020 EDI'!F163,rrcworking[RRC ID],0))</f>
        <v>0</v>
      </c>
      <c r="O163" s="5">
        <f>INDEX(rrcworking[Lease Use (MCF)],MATCH('Mar 2020 EDI'!F163,rrcworking[RRC ID],0))</f>
        <v>0</v>
      </c>
      <c r="P163" s="5">
        <f>INDEX(rrcworking[Disposition Volume (MCF) @ 14.65 MCF],MATCH('Mar 2020 EDI'!F163,rrcworking[RRC ID],0))</f>
        <v>0</v>
      </c>
      <c r="Y163" s="5">
        <f>INDEX(rrcworking[Oil Production],MATCH('Mar 2020 EDI'!F163,rrcworking[RRC ID],0))</f>
        <v>0</v>
      </c>
      <c r="AA163" s="5">
        <f>INDEX(rrcworking[Sales/Dispostion],MATCH('Mar 2020 EDI'!F163,rrcworking[RRC ID],0))</f>
        <v>0</v>
      </c>
      <c r="AQ163" s="5">
        <f>INDEX(rrcworking[Closing Stock (Oil)],MATCH('Mar 2020 EDI'!F163,rrcworking[RRC ID],0))</f>
        <v>0</v>
      </c>
    </row>
    <row r="164" spans="1:43">
      <c r="A164" s="4" t="s">
        <v>1</v>
      </c>
      <c r="B164" s="1" t="s">
        <v>1062</v>
      </c>
      <c r="C164" s="10" t="s">
        <v>910</v>
      </c>
      <c r="D164" s="1" t="s">
        <v>620</v>
      </c>
      <c r="E164" s="1" t="s">
        <v>59</v>
      </c>
      <c r="F164" s="1" t="s">
        <v>577</v>
      </c>
      <c r="I164" s="10" t="s">
        <v>3</v>
      </c>
      <c r="J164" s="123" t="s">
        <v>3</v>
      </c>
      <c r="K164" s="1" t="s">
        <v>1091</v>
      </c>
      <c r="M164" s="5">
        <v>202003</v>
      </c>
      <c r="N164" s="5">
        <f>INDEX(rrcworking[Formation Production (MCF) @ 14.65 psi],MATCH('Mar 2020 EDI'!F164,rrcworking[RRC ID],0))</f>
        <v>0</v>
      </c>
      <c r="O164" s="5">
        <f>INDEX(rrcworking[Lease Use (MCF)],MATCH('Mar 2020 EDI'!F164,rrcworking[RRC ID],0))</f>
        <v>0</v>
      </c>
      <c r="P164" s="5">
        <f>INDEX(rrcworking[Disposition Volume (MCF) @ 14.65 MCF],MATCH('Mar 2020 EDI'!F164,rrcworking[RRC ID],0))</f>
        <v>0</v>
      </c>
      <c r="Y164" s="5">
        <f>INDEX(rrcworking[Oil Production],MATCH('Mar 2020 EDI'!F164,rrcworking[RRC ID],0))</f>
        <v>0</v>
      </c>
      <c r="AA164" s="5">
        <f>INDEX(rrcworking[Sales/Dispostion],MATCH('Mar 2020 EDI'!F164,rrcworking[RRC ID],0))</f>
        <v>0</v>
      </c>
      <c r="AQ164" s="5">
        <f>INDEX(rrcworking[Closing Stock (Oil)],MATCH('Mar 2020 EDI'!F164,rrcworking[RRC ID],0))</f>
        <v>0</v>
      </c>
    </row>
    <row r="165" spans="1:43">
      <c r="A165" s="4" t="s">
        <v>1</v>
      </c>
      <c r="B165" s="1" t="s">
        <v>1063</v>
      </c>
      <c r="C165" s="10" t="s">
        <v>910</v>
      </c>
      <c r="D165" s="1" t="s">
        <v>620</v>
      </c>
      <c r="E165" s="1" t="s">
        <v>59</v>
      </c>
      <c r="F165" s="1" t="s">
        <v>578</v>
      </c>
      <c r="I165" s="10" t="s">
        <v>3</v>
      </c>
      <c r="J165" s="123" t="s">
        <v>3</v>
      </c>
      <c r="K165" s="1" t="s">
        <v>1091</v>
      </c>
      <c r="M165" s="5">
        <v>202003</v>
      </c>
      <c r="N165" s="5">
        <f>INDEX(rrcworking[Formation Production (MCF) @ 14.65 psi],MATCH('Mar 2020 EDI'!F165,rrcworking[RRC ID],0))</f>
        <v>0</v>
      </c>
      <c r="O165" s="5">
        <f>INDEX(rrcworking[Lease Use (MCF)],MATCH('Mar 2020 EDI'!F165,rrcworking[RRC ID],0))</f>
        <v>0</v>
      </c>
      <c r="P165" s="5">
        <f>INDEX(rrcworking[Disposition Volume (MCF) @ 14.65 MCF],MATCH('Mar 2020 EDI'!F165,rrcworking[RRC ID],0))</f>
        <v>0</v>
      </c>
      <c r="Y165" s="5">
        <f>INDEX(rrcworking[Oil Production],MATCH('Mar 2020 EDI'!F165,rrcworking[RRC ID],0))</f>
        <v>0</v>
      </c>
      <c r="AA165" s="5">
        <f>INDEX(rrcworking[Sales/Dispostion],MATCH('Mar 2020 EDI'!F165,rrcworking[RRC ID],0))</f>
        <v>0</v>
      </c>
      <c r="AQ165" s="5">
        <f>INDEX(rrcworking[Closing Stock (Oil)],MATCH('Mar 2020 EDI'!F165,rrcworking[RRC ID],0))</f>
        <v>0</v>
      </c>
    </row>
    <row r="166" spans="1:43">
      <c r="A166" s="4" t="s">
        <v>1</v>
      </c>
      <c r="B166" s="1" t="s">
        <v>1064</v>
      </c>
      <c r="C166" s="10" t="s">
        <v>910</v>
      </c>
      <c r="D166" s="1" t="s">
        <v>620</v>
      </c>
      <c r="E166" s="1" t="s">
        <v>59</v>
      </c>
      <c r="F166" s="1" t="s">
        <v>579</v>
      </c>
      <c r="I166" s="10" t="s">
        <v>3</v>
      </c>
      <c r="J166" s="123" t="s">
        <v>3</v>
      </c>
      <c r="K166" s="1" t="s">
        <v>1091</v>
      </c>
      <c r="M166" s="5">
        <v>202003</v>
      </c>
      <c r="N166" s="5">
        <f>INDEX(rrcworking[Formation Production (MCF) @ 14.65 psi],MATCH('Mar 2020 EDI'!F166,rrcworking[RRC ID],0))</f>
        <v>268</v>
      </c>
      <c r="O166" s="5">
        <f>INDEX(rrcworking[Lease Use (MCF)],MATCH('Mar 2020 EDI'!F166,rrcworking[RRC ID],0))</f>
        <v>0</v>
      </c>
      <c r="P166" s="5">
        <f>INDEX(rrcworking[Disposition Volume (MCF) @ 14.65 MCF],MATCH('Mar 2020 EDI'!F166,rrcworking[RRC ID],0))</f>
        <v>268</v>
      </c>
      <c r="Y166" s="5">
        <f>INDEX(rrcworking[Oil Production],MATCH('Mar 2020 EDI'!F166,rrcworking[RRC ID],0))</f>
        <v>0</v>
      </c>
      <c r="AA166" s="5">
        <f>INDEX(rrcworking[Sales/Dispostion],MATCH('Mar 2020 EDI'!F166,rrcworking[RRC ID],0))</f>
        <v>0</v>
      </c>
      <c r="AQ166" s="5">
        <f>INDEX(rrcworking[Closing Stock (Oil)],MATCH('Mar 2020 EDI'!F166,rrcworking[RRC ID],0))</f>
        <v>3</v>
      </c>
    </row>
    <row r="167" spans="1:43">
      <c r="A167" s="4" t="s">
        <v>1</v>
      </c>
      <c r="B167" s="1" t="s">
        <v>1065</v>
      </c>
      <c r="C167" s="10" t="s">
        <v>910</v>
      </c>
      <c r="D167" s="1" t="s">
        <v>620</v>
      </c>
      <c r="E167" s="1" t="s">
        <v>59</v>
      </c>
      <c r="F167" s="1" t="s">
        <v>580</v>
      </c>
      <c r="I167" s="10" t="s">
        <v>3</v>
      </c>
      <c r="J167" s="123" t="s">
        <v>3</v>
      </c>
      <c r="K167" s="1" t="s">
        <v>1091</v>
      </c>
      <c r="M167" s="5">
        <v>202003</v>
      </c>
      <c r="N167" s="5">
        <f>INDEX(rrcworking[Formation Production (MCF) @ 14.65 psi],MATCH('Mar 2020 EDI'!F167,rrcworking[RRC ID],0))</f>
        <v>185</v>
      </c>
      <c r="O167" s="5">
        <f>INDEX(rrcworking[Lease Use (MCF)],MATCH('Mar 2020 EDI'!F167,rrcworking[RRC ID],0))</f>
        <v>0</v>
      </c>
      <c r="P167" s="5">
        <f>INDEX(rrcworking[Disposition Volume (MCF) @ 14.65 MCF],MATCH('Mar 2020 EDI'!F167,rrcworking[RRC ID],0))</f>
        <v>185</v>
      </c>
      <c r="Y167" s="5">
        <f>INDEX(rrcworking[Oil Production],MATCH('Mar 2020 EDI'!F167,rrcworking[RRC ID],0))</f>
        <v>0</v>
      </c>
      <c r="AA167" s="5">
        <f>INDEX(rrcworking[Sales/Dispostion],MATCH('Mar 2020 EDI'!F167,rrcworking[RRC ID],0))</f>
        <v>0</v>
      </c>
      <c r="AQ167" s="5">
        <f>INDEX(rrcworking[Closing Stock (Oil)],MATCH('Mar 2020 EDI'!F167,rrcworking[RRC ID],0))</f>
        <v>0</v>
      </c>
    </row>
    <row r="168" spans="1:43">
      <c r="A168" s="4" t="s">
        <v>1</v>
      </c>
      <c r="B168" s="1" t="s">
        <v>1066</v>
      </c>
      <c r="C168" s="10" t="s">
        <v>910</v>
      </c>
      <c r="D168" s="1" t="s">
        <v>620</v>
      </c>
      <c r="E168" s="1" t="s">
        <v>59</v>
      </c>
      <c r="F168" s="1" t="s">
        <v>581</v>
      </c>
      <c r="I168" s="10" t="s">
        <v>3</v>
      </c>
      <c r="J168" s="123" t="s">
        <v>3</v>
      </c>
      <c r="K168" s="1" t="s">
        <v>1091</v>
      </c>
      <c r="M168" s="5">
        <v>202003</v>
      </c>
      <c r="N168" s="5">
        <f>INDEX(rrcworking[Formation Production (MCF) @ 14.65 psi],MATCH('Mar 2020 EDI'!F168,rrcworking[RRC ID],0))</f>
        <v>743</v>
      </c>
      <c r="O168" s="5">
        <f>INDEX(rrcworking[Lease Use (MCF)],MATCH('Mar 2020 EDI'!F168,rrcworking[RRC ID],0))</f>
        <v>0</v>
      </c>
      <c r="P168" s="5">
        <f>INDEX(rrcworking[Disposition Volume (MCF) @ 14.65 MCF],MATCH('Mar 2020 EDI'!F168,rrcworking[RRC ID],0))</f>
        <v>743</v>
      </c>
      <c r="Y168" s="5">
        <f>INDEX(rrcworking[Oil Production],MATCH('Mar 2020 EDI'!F168,rrcworking[RRC ID],0))</f>
        <v>0</v>
      </c>
      <c r="AA168" s="5">
        <f>INDEX(rrcworking[Sales/Dispostion],MATCH('Mar 2020 EDI'!F168,rrcworking[RRC ID],0))</f>
        <v>0</v>
      </c>
      <c r="AQ168" s="5">
        <f>INDEX(rrcworking[Closing Stock (Oil)],MATCH('Mar 2020 EDI'!F168,rrcworking[RRC ID],0))</f>
        <v>0</v>
      </c>
    </row>
    <row r="169" spans="1:43">
      <c r="A169" s="4" t="s">
        <v>1</v>
      </c>
      <c r="B169" s="1" t="s">
        <v>1067</v>
      </c>
      <c r="C169" s="10" t="s">
        <v>910</v>
      </c>
      <c r="D169" s="1" t="s">
        <v>620</v>
      </c>
      <c r="E169" s="1" t="s">
        <v>59</v>
      </c>
      <c r="F169" s="1" t="s">
        <v>582</v>
      </c>
      <c r="I169" s="10" t="s">
        <v>3</v>
      </c>
      <c r="J169" s="123" t="s">
        <v>3</v>
      </c>
      <c r="K169" s="1" t="s">
        <v>1091</v>
      </c>
      <c r="M169" s="5">
        <v>202003</v>
      </c>
      <c r="N169" s="5">
        <f>INDEX(rrcworking[Formation Production (MCF) @ 14.65 psi],MATCH('Mar 2020 EDI'!F169,rrcworking[RRC ID],0))</f>
        <v>0</v>
      </c>
      <c r="O169" s="5">
        <f>INDEX(rrcworking[Lease Use (MCF)],MATCH('Mar 2020 EDI'!F169,rrcworking[RRC ID],0))</f>
        <v>0</v>
      </c>
      <c r="P169" s="5">
        <f>INDEX(rrcworking[Disposition Volume (MCF) @ 14.65 MCF],MATCH('Mar 2020 EDI'!F169,rrcworking[RRC ID],0))</f>
        <v>0</v>
      </c>
      <c r="Y169" s="5">
        <f>INDEX(rrcworking[Oil Production],MATCH('Mar 2020 EDI'!F169,rrcworking[RRC ID],0))</f>
        <v>0</v>
      </c>
      <c r="AA169" s="5">
        <f>INDEX(rrcworking[Sales/Dispostion],MATCH('Mar 2020 EDI'!F169,rrcworking[RRC ID],0))</f>
        <v>0</v>
      </c>
      <c r="AQ169" s="5">
        <f>INDEX(rrcworking[Closing Stock (Oil)],MATCH('Mar 2020 EDI'!F169,rrcworking[RRC ID],0))</f>
        <v>0</v>
      </c>
    </row>
    <row r="170" spans="1:43">
      <c r="A170" s="4" t="s">
        <v>1</v>
      </c>
      <c r="B170" s="1" t="s">
        <v>1068</v>
      </c>
      <c r="C170" s="10" t="s">
        <v>910</v>
      </c>
      <c r="D170" s="1" t="s">
        <v>620</v>
      </c>
      <c r="E170" s="1" t="s">
        <v>59</v>
      </c>
      <c r="F170" s="1" t="s">
        <v>583</v>
      </c>
      <c r="I170" s="10" t="s">
        <v>3</v>
      </c>
      <c r="J170" s="123" t="s">
        <v>3</v>
      </c>
      <c r="K170" s="1" t="s">
        <v>1091</v>
      </c>
      <c r="M170" s="5">
        <v>202003</v>
      </c>
      <c r="N170" s="5">
        <f>INDEX(rrcworking[Formation Production (MCF) @ 14.65 psi],MATCH('Mar 2020 EDI'!F170,rrcworking[RRC ID],0))</f>
        <v>1653</v>
      </c>
      <c r="O170" s="5">
        <f>INDEX(rrcworking[Lease Use (MCF)],MATCH('Mar 2020 EDI'!F170,rrcworking[RRC ID],0))</f>
        <v>0</v>
      </c>
      <c r="P170" s="5">
        <f>INDEX(rrcworking[Disposition Volume (MCF) @ 14.65 MCF],MATCH('Mar 2020 EDI'!F170,rrcworking[RRC ID],0))</f>
        <v>1653</v>
      </c>
      <c r="Y170" s="5">
        <f>INDEX(rrcworking[Oil Production],MATCH('Mar 2020 EDI'!F170,rrcworking[RRC ID],0))</f>
        <v>2</v>
      </c>
      <c r="AA170" s="5">
        <f>INDEX(rrcworking[Sales/Dispostion],MATCH('Mar 2020 EDI'!F170,rrcworking[RRC ID],0))</f>
        <v>0</v>
      </c>
      <c r="AQ170" s="5">
        <f>INDEX(rrcworking[Closing Stock (Oil)],MATCH('Mar 2020 EDI'!F170,rrcworking[RRC ID],0))</f>
        <v>294</v>
      </c>
    </row>
    <row r="171" spans="1:43">
      <c r="A171" s="4" t="s">
        <v>1</v>
      </c>
      <c r="B171" s="1" t="s">
        <v>1069</v>
      </c>
      <c r="C171" s="10" t="s">
        <v>910</v>
      </c>
      <c r="D171" s="1" t="s">
        <v>620</v>
      </c>
      <c r="E171" s="1" t="s">
        <v>59</v>
      </c>
      <c r="F171" s="1" t="s">
        <v>584</v>
      </c>
      <c r="I171" s="10" t="s">
        <v>3</v>
      </c>
      <c r="J171" s="123" t="s">
        <v>3</v>
      </c>
      <c r="K171" s="1" t="s">
        <v>1091</v>
      </c>
      <c r="M171" s="5">
        <v>202003</v>
      </c>
      <c r="N171" s="5">
        <f>INDEX(rrcworking[Formation Production (MCF) @ 14.65 psi],MATCH('Mar 2020 EDI'!F171,rrcworking[RRC ID],0))</f>
        <v>0</v>
      </c>
      <c r="O171" s="5">
        <f>INDEX(rrcworking[Lease Use (MCF)],MATCH('Mar 2020 EDI'!F171,rrcworking[RRC ID],0))</f>
        <v>0</v>
      </c>
      <c r="P171" s="5">
        <f>INDEX(rrcworking[Disposition Volume (MCF) @ 14.65 MCF],MATCH('Mar 2020 EDI'!F171,rrcworking[RRC ID],0))</f>
        <v>0</v>
      </c>
      <c r="Y171" s="5">
        <f>INDEX(rrcworking[Oil Production],MATCH('Mar 2020 EDI'!F171,rrcworking[RRC ID],0))</f>
        <v>0</v>
      </c>
      <c r="AA171" s="5">
        <f>INDEX(rrcworking[Sales/Dispostion],MATCH('Mar 2020 EDI'!F171,rrcworking[RRC ID],0))</f>
        <v>0</v>
      </c>
      <c r="AQ171" s="5">
        <f>INDEX(rrcworking[Closing Stock (Oil)],MATCH('Mar 2020 EDI'!F171,rrcworking[RRC ID],0))</f>
        <v>166</v>
      </c>
    </row>
    <row r="172" spans="1:43">
      <c r="A172" s="4" t="s">
        <v>1</v>
      </c>
      <c r="B172" s="1" t="s">
        <v>1070</v>
      </c>
      <c r="C172" s="10" t="s">
        <v>910</v>
      </c>
      <c r="D172" s="1" t="s">
        <v>620</v>
      </c>
      <c r="E172" s="1" t="s">
        <v>59</v>
      </c>
      <c r="F172" s="1" t="s">
        <v>585</v>
      </c>
      <c r="I172" s="10" t="s">
        <v>3</v>
      </c>
      <c r="J172" s="123" t="s">
        <v>3</v>
      </c>
      <c r="K172" s="1">
        <v>5050</v>
      </c>
      <c r="M172" s="5">
        <v>202003</v>
      </c>
      <c r="N172" s="5">
        <f>INDEX(rrcworking[Formation Production (MCF) @ 14.65 psi],MATCH('Mar 2020 EDI'!F172,rrcworking[RRC ID],0))</f>
        <v>3372</v>
      </c>
      <c r="O172" s="5">
        <f>INDEX(rrcworking[Lease Use (MCF)],MATCH('Mar 2020 EDI'!F172,rrcworking[RRC ID],0))</f>
        <v>0</v>
      </c>
      <c r="P172" s="5">
        <f>INDEX(rrcworking[Disposition Volume (MCF) @ 14.65 MCF],MATCH('Mar 2020 EDI'!F172,rrcworking[RRC ID],0))</f>
        <v>3372</v>
      </c>
      <c r="Y172" s="5">
        <f>INDEX(rrcworking[Oil Production],MATCH('Mar 2020 EDI'!F172,rrcworking[RRC ID],0))</f>
        <v>0</v>
      </c>
      <c r="AA172" s="5">
        <f>INDEX(rrcworking[Sales/Dispostion],MATCH('Mar 2020 EDI'!F172,rrcworking[RRC ID],0))</f>
        <v>0</v>
      </c>
      <c r="AQ172" s="5">
        <f>INDEX(rrcworking[Closing Stock (Oil)],MATCH('Mar 2020 EDI'!F172,rrcworking[RRC ID],0))</f>
        <v>36</v>
      </c>
    </row>
    <row r="173" spans="1:43">
      <c r="A173" s="4" t="s">
        <v>1</v>
      </c>
      <c r="B173" s="1" t="s">
        <v>1071</v>
      </c>
      <c r="C173" s="10" t="s">
        <v>910</v>
      </c>
      <c r="D173" s="1" t="s">
        <v>620</v>
      </c>
      <c r="E173" s="1" t="s">
        <v>59</v>
      </c>
      <c r="F173" s="1" t="s">
        <v>586</v>
      </c>
      <c r="I173" s="10" t="s">
        <v>3</v>
      </c>
      <c r="J173" s="123" t="s">
        <v>3</v>
      </c>
      <c r="K173" s="1" t="s">
        <v>1091</v>
      </c>
      <c r="M173" s="5">
        <v>202003</v>
      </c>
      <c r="N173" s="5">
        <f>INDEX(rrcworking[Formation Production (MCF) @ 14.65 psi],MATCH('Mar 2020 EDI'!F173,rrcworking[RRC ID],0))</f>
        <v>0</v>
      </c>
      <c r="O173" s="5">
        <f>INDEX(rrcworking[Lease Use (MCF)],MATCH('Mar 2020 EDI'!F173,rrcworking[RRC ID],0))</f>
        <v>0</v>
      </c>
      <c r="P173" s="5">
        <f>INDEX(rrcworking[Disposition Volume (MCF) @ 14.65 MCF],MATCH('Mar 2020 EDI'!F173,rrcworking[RRC ID],0))</f>
        <v>0</v>
      </c>
      <c r="Y173" s="5">
        <f>INDEX(rrcworking[Oil Production],MATCH('Mar 2020 EDI'!F173,rrcworking[RRC ID],0))</f>
        <v>0</v>
      </c>
      <c r="AA173" s="5">
        <f>INDEX(rrcworking[Sales/Dispostion],MATCH('Mar 2020 EDI'!F173,rrcworking[RRC ID],0))</f>
        <v>0</v>
      </c>
      <c r="AQ173" s="5">
        <f>INDEX(rrcworking[Closing Stock (Oil)],MATCH('Mar 2020 EDI'!F173,rrcworking[RRC ID],0))</f>
        <v>0</v>
      </c>
    </row>
    <row r="174" spans="1:43">
      <c r="A174" s="4" t="s">
        <v>1</v>
      </c>
      <c r="B174" s="1" t="s">
        <v>1072</v>
      </c>
      <c r="C174" s="10" t="s">
        <v>910</v>
      </c>
      <c r="D174" s="1" t="s">
        <v>620</v>
      </c>
      <c r="E174" s="1" t="s">
        <v>59</v>
      </c>
      <c r="F174" s="1" t="s">
        <v>587</v>
      </c>
      <c r="I174" s="10" t="s">
        <v>3</v>
      </c>
      <c r="J174" s="123" t="s">
        <v>3</v>
      </c>
      <c r="K174" s="1" t="s">
        <v>1091</v>
      </c>
      <c r="M174" s="5">
        <v>202003</v>
      </c>
      <c r="N174" s="5">
        <f>INDEX(rrcworking[Formation Production (MCF) @ 14.65 psi],MATCH('Mar 2020 EDI'!F174,rrcworking[RRC ID],0))</f>
        <v>0</v>
      </c>
      <c r="O174" s="5">
        <f>INDEX(rrcworking[Lease Use (MCF)],MATCH('Mar 2020 EDI'!F174,rrcworking[RRC ID],0))</f>
        <v>0</v>
      </c>
      <c r="P174" s="5">
        <f>INDEX(rrcworking[Disposition Volume (MCF) @ 14.65 MCF],MATCH('Mar 2020 EDI'!F174,rrcworking[RRC ID],0))</f>
        <v>0</v>
      </c>
      <c r="Y174" s="5">
        <f>INDEX(rrcworking[Oil Production],MATCH('Mar 2020 EDI'!F174,rrcworking[RRC ID],0))</f>
        <v>0</v>
      </c>
      <c r="AA174" s="5">
        <f>INDEX(rrcworking[Sales/Dispostion],MATCH('Mar 2020 EDI'!F174,rrcworking[RRC ID],0))</f>
        <v>0</v>
      </c>
      <c r="AQ174" s="5">
        <f>INDEX(rrcworking[Closing Stock (Oil)],MATCH('Mar 2020 EDI'!F174,rrcworking[RRC ID],0))</f>
        <v>92</v>
      </c>
    </row>
    <row r="175" spans="1:43">
      <c r="A175" s="4" t="s">
        <v>1</v>
      </c>
      <c r="B175" s="1" t="s">
        <v>1073</v>
      </c>
      <c r="C175" s="10" t="s">
        <v>910</v>
      </c>
      <c r="D175" s="1" t="s">
        <v>620</v>
      </c>
      <c r="E175" s="1" t="s">
        <v>59</v>
      </c>
      <c r="F175" s="1" t="s">
        <v>588</v>
      </c>
      <c r="I175" s="10" t="s">
        <v>3</v>
      </c>
      <c r="J175" s="123" t="s">
        <v>3</v>
      </c>
      <c r="K175" s="1" t="s">
        <v>1091</v>
      </c>
      <c r="M175" s="5">
        <v>202003</v>
      </c>
      <c r="N175" s="5">
        <f>INDEX(rrcworking[Formation Production (MCF) @ 14.65 psi],MATCH('Mar 2020 EDI'!F175,rrcworking[RRC ID],0))</f>
        <v>0</v>
      </c>
      <c r="O175" s="5">
        <f>INDEX(rrcworking[Lease Use (MCF)],MATCH('Mar 2020 EDI'!F175,rrcworking[RRC ID],0))</f>
        <v>0</v>
      </c>
      <c r="P175" s="5">
        <f>INDEX(rrcworking[Disposition Volume (MCF) @ 14.65 MCF],MATCH('Mar 2020 EDI'!F175,rrcworking[RRC ID],0))</f>
        <v>0</v>
      </c>
      <c r="Y175" s="5">
        <f>INDEX(rrcworking[Oil Production],MATCH('Mar 2020 EDI'!F175,rrcworking[RRC ID],0))</f>
        <v>0</v>
      </c>
      <c r="AA175" s="5">
        <f>INDEX(rrcworking[Sales/Dispostion],MATCH('Mar 2020 EDI'!F175,rrcworking[RRC ID],0))</f>
        <v>0</v>
      </c>
      <c r="AQ175" s="5">
        <f>INDEX(rrcworking[Closing Stock (Oil)],MATCH('Mar 2020 EDI'!F175,rrcworking[RRC ID],0))</f>
        <v>0</v>
      </c>
    </row>
    <row r="176" spans="1:43">
      <c r="A176" s="4" t="s">
        <v>1</v>
      </c>
      <c r="B176" s="1" t="s">
        <v>1074</v>
      </c>
      <c r="C176" s="10" t="s">
        <v>910</v>
      </c>
      <c r="D176" s="1" t="s">
        <v>620</v>
      </c>
      <c r="E176" s="1" t="s">
        <v>2</v>
      </c>
      <c r="F176" s="1" t="s">
        <v>589</v>
      </c>
      <c r="I176" s="10" t="s">
        <v>3</v>
      </c>
      <c r="J176" s="123" t="s">
        <v>3</v>
      </c>
      <c r="K176" s="1" t="s">
        <v>1091</v>
      </c>
      <c r="M176" s="5">
        <v>202003</v>
      </c>
      <c r="N176" s="5">
        <f>INDEX(rrcworking[Formation Production (MCF) @ 14.65 psi],MATCH('Mar 2020 EDI'!F176,rrcworking[RRC ID],0))</f>
        <v>0</v>
      </c>
      <c r="O176" s="5">
        <f>INDEX(rrcworking[Lease Use (MCF)],MATCH('Mar 2020 EDI'!F176,rrcworking[RRC ID],0))</f>
        <v>0</v>
      </c>
      <c r="P176" s="5">
        <f>INDEX(rrcworking[Disposition Volume (MCF) @ 14.65 MCF],MATCH('Mar 2020 EDI'!F176,rrcworking[RRC ID],0))</f>
        <v>0</v>
      </c>
      <c r="Y176" s="5">
        <f>INDEX(rrcworking[Oil Production],MATCH('Mar 2020 EDI'!F176,rrcworking[RRC ID],0))</f>
        <v>261</v>
      </c>
      <c r="AA176" s="5">
        <f>INDEX(rrcworking[Sales/Dispostion],MATCH('Mar 2020 EDI'!F176,rrcworking[RRC ID],0))</f>
        <v>184</v>
      </c>
      <c r="AQ176" s="5">
        <f>INDEX(rrcworking[Closing Stock (Oil)],MATCH('Mar 2020 EDI'!F176,rrcworking[RRC ID],0))</f>
        <v>254</v>
      </c>
    </row>
    <row r="177" spans="1:46">
      <c r="A177" s="4" t="s">
        <v>1</v>
      </c>
      <c r="B177" s="1" t="s">
        <v>1075</v>
      </c>
      <c r="C177" s="10" t="s">
        <v>910</v>
      </c>
      <c r="D177" s="1" t="s">
        <v>620</v>
      </c>
      <c r="E177" s="1" t="s">
        <v>59</v>
      </c>
      <c r="F177" s="1" t="s">
        <v>590</v>
      </c>
      <c r="I177" s="10" t="s">
        <v>3</v>
      </c>
      <c r="J177" s="123" t="s">
        <v>3</v>
      </c>
      <c r="K177" s="1" t="s">
        <v>1091</v>
      </c>
      <c r="M177" s="5">
        <v>202003</v>
      </c>
      <c r="N177" s="5">
        <f>INDEX(rrcworking[Formation Production (MCF) @ 14.65 psi],MATCH('Mar 2020 EDI'!F177,rrcworking[RRC ID],0))</f>
        <v>0</v>
      </c>
      <c r="O177" s="5">
        <f>INDEX(rrcworking[Lease Use (MCF)],MATCH('Mar 2020 EDI'!F177,rrcworking[RRC ID],0))</f>
        <v>0</v>
      </c>
      <c r="P177" s="5">
        <f>INDEX(rrcworking[Disposition Volume (MCF) @ 14.65 MCF],MATCH('Mar 2020 EDI'!F177,rrcworking[RRC ID],0))</f>
        <v>0</v>
      </c>
      <c r="Y177" s="5">
        <f>INDEX(rrcworking[Oil Production],MATCH('Mar 2020 EDI'!F177,rrcworking[RRC ID],0))</f>
        <v>0</v>
      </c>
      <c r="AA177" s="5">
        <f>INDEX(rrcworking[Sales/Dispostion],MATCH('Mar 2020 EDI'!F177,rrcworking[RRC ID],0))</f>
        <v>0</v>
      </c>
      <c r="AQ177" s="5">
        <f>INDEX(rrcworking[Closing Stock (Oil)],MATCH('Mar 2020 EDI'!F177,rrcworking[RRC ID],0))</f>
        <v>0</v>
      </c>
    </row>
    <row r="178" spans="1:46">
      <c r="A178" s="4" t="s">
        <v>1</v>
      </c>
      <c r="B178" s="1" t="s">
        <v>1076</v>
      </c>
      <c r="C178" s="10" t="s">
        <v>910</v>
      </c>
      <c r="D178" s="1" t="s">
        <v>620</v>
      </c>
      <c r="E178" s="1" t="s">
        <v>59</v>
      </c>
      <c r="F178" s="1" t="s">
        <v>591</v>
      </c>
      <c r="I178" s="10" t="s">
        <v>3</v>
      </c>
      <c r="J178" s="123" t="s">
        <v>3</v>
      </c>
      <c r="K178" s="1" t="s">
        <v>1091</v>
      </c>
      <c r="M178" s="5">
        <v>202003</v>
      </c>
      <c r="N178" s="5">
        <f>INDEX(rrcworking[Formation Production (MCF) @ 14.65 psi],MATCH('Mar 2020 EDI'!F178,rrcworking[RRC ID],0))</f>
        <v>991</v>
      </c>
      <c r="O178" s="5">
        <f>INDEX(rrcworking[Lease Use (MCF)],MATCH('Mar 2020 EDI'!F178,rrcworking[RRC ID],0))</f>
        <v>28</v>
      </c>
      <c r="P178" s="5">
        <f>INDEX(rrcworking[Disposition Volume (MCF) @ 14.65 MCF],MATCH('Mar 2020 EDI'!F178,rrcworking[RRC ID],0))</f>
        <v>963</v>
      </c>
      <c r="Y178" s="5">
        <f>INDEX(rrcworking[Oil Production],MATCH('Mar 2020 EDI'!F178,rrcworking[RRC ID],0))</f>
        <v>0</v>
      </c>
      <c r="AA178" s="5">
        <f>INDEX(rrcworking[Sales/Dispostion],MATCH('Mar 2020 EDI'!F178,rrcworking[RRC ID],0))</f>
        <v>0</v>
      </c>
      <c r="AQ178" s="5">
        <f>INDEX(rrcworking[Closing Stock (Oil)],MATCH('Mar 2020 EDI'!F178,rrcworking[RRC ID],0))</f>
        <v>0</v>
      </c>
    </row>
    <row r="179" spans="1:46">
      <c r="A179" s="4" t="s">
        <v>1</v>
      </c>
      <c r="B179" s="1" t="s">
        <v>1077</v>
      </c>
      <c r="C179" s="10" t="s">
        <v>910</v>
      </c>
      <c r="D179" s="1" t="s">
        <v>620</v>
      </c>
      <c r="E179" s="1" t="s">
        <v>59</v>
      </c>
      <c r="F179" s="1" t="s">
        <v>592</v>
      </c>
      <c r="I179" s="10" t="s">
        <v>3</v>
      </c>
      <c r="J179" s="123" t="s">
        <v>3</v>
      </c>
      <c r="K179" s="1" t="s">
        <v>1091</v>
      </c>
      <c r="M179" s="5">
        <v>202003</v>
      </c>
      <c r="N179" s="5">
        <f>INDEX(rrcworking[Formation Production (MCF) @ 14.65 psi],MATCH('Mar 2020 EDI'!F179,rrcworking[RRC ID],0))</f>
        <v>2629</v>
      </c>
      <c r="O179" s="5">
        <f>INDEX(rrcworking[Lease Use (MCF)],MATCH('Mar 2020 EDI'!F179,rrcworking[RRC ID],0))</f>
        <v>112</v>
      </c>
      <c r="P179" s="5">
        <f>INDEX(rrcworking[Disposition Volume (MCF) @ 14.65 MCF],MATCH('Mar 2020 EDI'!F179,rrcworking[RRC ID],0))</f>
        <v>2517</v>
      </c>
      <c r="Y179" s="5">
        <f>INDEX(rrcworking[Oil Production],MATCH('Mar 2020 EDI'!F179,rrcworking[RRC ID],0))</f>
        <v>0</v>
      </c>
      <c r="AA179" s="5">
        <f>INDEX(rrcworking[Sales/Dispostion],MATCH('Mar 2020 EDI'!F179,rrcworking[RRC ID],0))</f>
        <v>0</v>
      </c>
      <c r="AQ179" s="5">
        <f>INDEX(rrcworking[Closing Stock (Oil)],MATCH('Mar 2020 EDI'!F179,rrcworking[RRC ID],0))</f>
        <v>0</v>
      </c>
    </row>
    <row r="180" spans="1:46">
      <c r="A180" s="4" t="s">
        <v>1</v>
      </c>
      <c r="B180" s="1" t="s">
        <v>1078</v>
      </c>
      <c r="C180" s="10" t="s">
        <v>910</v>
      </c>
      <c r="D180" s="1" t="s">
        <v>620</v>
      </c>
      <c r="E180" s="1" t="s">
        <v>59</v>
      </c>
      <c r="F180" s="1" t="s">
        <v>593</v>
      </c>
      <c r="I180" s="10" t="s">
        <v>3</v>
      </c>
      <c r="J180" s="123" t="s">
        <v>3</v>
      </c>
      <c r="K180" s="1" t="s">
        <v>1091</v>
      </c>
      <c r="M180" s="5">
        <v>202003</v>
      </c>
      <c r="N180" s="5">
        <f>INDEX(rrcworking[Formation Production (MCF) @ 14.65 psi],MATCH('Mar 2020 EDI'!F180,rrcworking[RRC ID],0))</f>
        <v>0</v>
      </c>
      <c r="O180" s="5">
        <f>INDEX(rrcworking[Lease Use (MCF)],MATCH('Mar 2020 EDI'!F180,rrcworking[RRC ID],0))</f>
        <v>0</v>
      </c>
      <c r="P180" s="5">
        <f>INDEX(rrcworking[Disposition Volume (MCF) @ 14.65 MCF],MATCH('Mar 2020 EDI'!F180,rrcworking[RRC ID],0))</f>
        <v>0</v>
      </c>
      <c r="Y180" s="5">
        <f>INDEX(rrcworking[Oil Production],MATCH('Mar 2020 EDI'!F180,rrcworking[RRC ID],0))</f>
        <v>0</v>
      </c>
      <c r="AA180" s="5">
        <f>INDEX(rrcworking[Sales/Dispostion],MATCH('Mar 2020 EDI'!F180,rrcworking[RRC ID],0))</f>
        <v>0</v>
      </c>
      <c r="AQ180" s="5">
        <f>INDEX(rrcworking[Closing Stock (Oil)],MATCH('Mar 2020 EDI'!F180,rrcworking[RRC ID],0))</f>
        <v>49</v>
      </c>
    </row>
    <row r="181" spans="1:46">
      <c r="A181" s="4" t="s">
        <v>1</v>
      </c>
      <c r="B181" s="1" t="s">
        <v>1079</v>
      </c>
      <c r="C181" s="10" t="s">
        <v>910</v>
      </c>
      <c r="D181" s="1" t="s">
        <v>620</v>
      </c>
      <c r="E181" s="1" t="s">
        <v>59</v>
      </c>
      <c r="F181" s="1" t="s">
        <v>594</v>
      </c>
      <c r="I181" s="10" t="s">
        <v>3</v>
      </c>
      <c r="J181" s="123" t="s">
        <v>3</v>
      </c>
      <c r="K181" s="1" t="s">
        <v>1091</v>
      </c>
      <c r="M181" s="5">
        <v>202003</v>
      </c>
      <c r="N181" s="5">
        <f>INDEX(rrcworking[Formation Production (MCF) @ 14.65 psi],MATCH('Mar 2020 EDI'!F181,rrcworking[RRC ID],0))</f>
        <v>0</v>
      </c>
      <c r="O181" s="5">
        <f>INDEX(rrcworking[Lease Use (MCF)],MATCH('Mar 2020 EDI'!F181,rrcworking[RRC ID],0))</f>
        <v>0</v>
      </c>
      <c r="P181" s="5">
        <f>INDEX(rrcworking[Disposition Volume (MCF) @ 14.65 MCF],MATCH('Mar 2020 EDI'!F181,rrcworking[RRC ID],0))</f>
        <v>0</v>
      </c>
      <c r="Y181" s="5">
        <f>INDEX(rrcworking[Oil Production],MATCH('Mar 2020 EDI'!F181,rrcworking[RRC ID],0))</f>
        <v>0</v>
      </c>
      <c r="AA181" s="5">
        <f>INDEX(rrcworking[Sales/Dispostion],MATCH('Mar 2020 EDI'!F181,rrcworking[RRC ID],0))</f>
        <v>0</v>
      </c>
      <c r="AQ181" s="5">
        <f>INDEX(rrcworking[Closing Stock (Oil)],MATCH('Mar 2020 EDI'!F181,rrcworking[RRC ID],0))</f>
        <v>0</v>
      </c>
    </row>
    <row r="182" spans="1:46">
      <c r="A182" s="4" t="s">
        <v>1</v>
      </c>
      <c r="B182" s="1" t="s">
        <v>1080</v>
      </c>
      <c r="C182" s="10" t="s">
        <v>910</v>
      </c>
      <c r="D182" s="1" t="s">
        <v>620</v>
      </c>
      <c r="E182" s="1" t="s">
        <v>2</v>
      </c>
      <c r="F182" s="1" t="s">
        <v>595</v>
      </c>
      <c r="I182" s="10" t="s">
        <v>3</v>
      </c>
      <c r="J182" s="123" t="s">
        <v>3</v>
      </c>
      <c r="K182" s="1" t="s">
        <v>1091</v>
      </c>
      <c r="M182" s="5">
        <v>202003</v>
      </c>
      <c r="N182" s="5">
        <f>INDEX(rrcworking[Formation Production (MCF) @ 14.65 psi],MATCH('Mar 2020 EDI'!F182,rrcworking[RRC ID],0))</f>
        <v>0</v>
      </c>
      <c r="O182" s="5">
        <f>INDEX(rrcworking[Lease Use (MCF)],MATCH('Mar 2020 EDI'!F182,rrcworking[RRC ID],0))</f>
        <v>0</v>
      </c>
      <c r="P182" s="5">
        <f>INDEX(rrcworking[Disposition Volume (MCF) @ 14.65 MCF],MATCH('Mar 2020 EDI'!F182,rrcworking[RRC ID],0))</f>
        <v>0</v>
      </c>
      <c r="Y182" s="5">
        <f>INDEX(rrcworking[Oil Production],MATCH('Mar 2020 EDI'!F182,rrcworking[RRC ID],0))</f>
        <v>0</v>
      </c>
      <c r="AA182" s="5">
        <f>INDEX(rrcworking[Sales/Dispostion],MATCH('Mar 2020 EDI'!F182,rrcworking[RRC ID],0))</f>
        <v>0</v>
      </c>
      <c r="AQ182" s="5">
        <f>INDEX(rrcworking[Closing Stock (Oil)],MATCH('Mar 2020 EDI'!F182,rrcworking[RRC ID],0))</f>
        <v>0</v>
      </c>
    </row>
    <row r="183" spans="1:46">
      <c r="A183" s="4" t="s">
        <v>1</v>
      </c>
      <c r="B183" s="1" t="s">
        <v>1081</v>
      </c>
      <c r="C183" s="10" t="s">
        <v>910</v>
      </c>
      <c r="D183" s="1" t="s">
        <v>620</v>
      </c>
      <c r="E183" s="1" t="s">
        <v>2</v>
      </c>
      <c r="F183" s="1" t="s">
        <v>596</v>
      </c>
      <c r="I183" s="10" t="s">
        <v>3</v>
      </c>
      <c r="J183" s="123" t="s">
        <v>3</v>
      </c>
      <c r="K183" s="1">
        <v>6114</v>
      </c>
      <c r="M183" s="5">
        <v>202003</v>
      </c>
      <c r="N183" s="5">
        <f>INDEX(rrcworking[Formation Production (MCF) @ 14.65 psi],MATCH('Mar 2020 EDI'!F183,rrcworking[RRC ID],0))</f>
        <v>0</v>
      </c>
      <c r="O183" s="5">
        <f>INDEX(rrcworking[Lease Use (MCF)],MATCH('Mar 2020 EDI'!F183,rrcworking[RRC ID],0))</f>
        <v>0</v>
      </c>
      <c r="P183" s="5">
        <f>INDEX(rrcworking[Disposition Volume (MCF) @ 14.65 MCF],MATCH('Mar 2020 EDI'!F183,rrcworking[RRC ID],0))</f>
        <v>0</v>
      </c>
      <c r="Y183" s="5">
        <f>INDEX(rrcworking[Oil Production],MATCH('Mar 2020 EDI'!F183,rrcworking[RRC ID],0))</f>
        <v>105</v>
      </c>
      <c r="AA183" s="5">
        <f>INDEX(rrcworking[Sales/Dispostion],MATCH('Mar 2020 EDI'!F183,rrcworking[RRC ID],0))</f>
        <v>0</v>
      </c>
      <c r="AQ183" s="5">
        <f>INDEX(rrcworking[Closing Stock (Oil)],MATCH('Mar 2020 EDI'!F183,rrcworking[RRC ID],0))</f>
        <v>232</v>
      </c>
    </row>
    <row r="184" spans="1:46">
      <c r="A184" s="4" t="s">
        <v>1</v>
      </c>
      <c r="B184" s="1" t="s">
        <v>1082</v>
      </c>
      <c r="C184" s="10" t="s">
        <v>910</v>
      </c>
      <c r="D184" s="1" t="s">
        <v>620</v>
      </c>
      <c r="E184" s="1" t="s">
        <v>2</v>
      </c>
      <c r="F184" s="1" t="s">
        <v>597</v>
      </c>
      <c r="I184" s="10" t="s">
        <v>3</v>
      </c>
      <c r="J184" s="123" t="s">
        <v>3</v>
      </c>
      <c r="K184" s="1" t="s">
        <v>1091</v>
      </c>
      <c r="M184" s="5">
        <v>202003</v>
      </c>
      <c r="N184" s="5">
        <f>INDEX(rrcworking[Formation Production (MCF) @ 14.65 psi],MATCH('Mar 2020 EDI'!F184,rrcworking[RRC ID],0))</f>
        <v>0</v>
      </c>
      <c r="O184" s="5">
        <f>INDEX(rrcworking[Lease Use (MCF)],MATCH('Mar 2020 EDI'!F184,rrcworking[RRC ID],0))</f>
        <v>0</v>
      </c>
      <c r="P184" s="5">
        <f>INDEX(rrcworking[Disposition Volume (MCF) @ 14.65 MCF],MATCH('Mar 2020 EDI'!F184,rrcworking[RRC ID],0))</f>
        <v>0</v>
      </c>
      <c r="Y184" s="5">
        <f>INDEX(rrcworking[Oil Production],MATCH('Mar 2020 EDI'!F184,rrcworking[RRC ID],0))</f>
        <v>0</v>
      </c>
      <c r="AA184" s="5">
        <f>INDEX(rrcworking[Sales/Dispostion],MATCH('Mar 2020 EDI'!F184,rrcworking[RRC ID],0))</f>
        <v>0</v>
      </c>
      <c r="AQ184" s="5">
        <f>INDEX(rrcworking[Closing Stock (Oil)],MATCH('Mar 2020 EDI'!F184,rrcworking[RRC ID],0))</f>
        <v>0</v>
      </c>
    </row>
    <row r="185" spans="1:46">
      <c r="A185" s="4" t="s">
        <v>1</v>
      </c>
      <c r="B185" s="1" t="s">
        <v>1083</v>
      </c>
      <c r="C185" s="10" t="s">
        <v>910</v>
      </c>
      <c r="D185" s="1" t="s">
        <v>620</v>
      </c>
      <c r="E185" s="1" t="s">
        <v>59</v>
      </c>
      <c r="F185" s="1" t="s">
        <v>598</v>
      </c>
      <c r="I185" s="10" t="s">
        <v>3</v>
      </c>
      <c r="J185" s="123" t="s">
        <v>3</v>
      </c>
      <c r="K185" s="1" t="s">
        <v>1091</v>
      </c>
      <c r="M185" s="5">
        <v>202003</v>
      </c>
      <c r="N185" s="5">
        <f>INDEX(rrcworking[Formation Production (MCF) @ 14.65 psi],MATCH('Mar 2020 EDI'!F185,rrcworking[RRC ID],0))</f>
        <v>0</v>
      </c>
      <c r="O185" s="5">
        <f>INDEX(rrcworking[Lease Use (MCF)],MATCH('Mar 2020 EDI'!F185,rrcworking[RRC ID],0))</f>
        <v>0</v>
      </c>
      <c r="P185" s="5">
        <f>INDEX(rrcworking[Disposition Volume (MCF) @ 14.65 MCF],MATCH('Mar 2020 EDI'!F185,rrcworking[RRC ID],0))</f>
        <v>0</v>
      </c>
      <c r="Y185" s="5">
        <f>INDEX(rrcworking[Oil Production],MATCH('Mar 2020 EDI'!F185,rrcworking[RRC ID],0))</f>
        <v>0</v>
      </c>
      <c r="AA185" s="5">
        <f>INDEX(rrcworking[Sales/Dispostion],MATCH('Mar 2020 EDI'!F185,rrcworking[RRC ID],0))</f>
        <v>0</v>
      </c>
      <c r="AQ185" s="5">
        <f>INDEX(rrcworking[Closing Stock (Oil)],MATCH('Mar 2020 EDI'!F185,rrcworking[RRC ID],0))</f>
        <v>0</v>
      </c>
    </row>
    <row r="186" spans="1:46">
      <c r="A186" s="4" t="s">
        <v>1</v>
      </c>
      <c r="B186" s="1" t="s">
        <v>1084</v>
      </c>
      <c r="C186" s="10" t="s">
        <v>910</v>
      </c>
      <c r="D186" s="1" t="s">
        <v>620</v>
      </c>
      <c r="E186" s="1" t="s">
        <v>2</v>
      </c>
      <c r="F186" s="1" t="s">
        <v>599</v>
      </c>
      <c r="I186" s="10" t="s">
        <v>3</v>
      </c>
      <c r="J186" s="123" t="s">
        <v>3</v>
      </c>
      <c r="K186" s="1">
        <v>6114</v>
      </c>
      <c r="M186" s="5">
        <v>202003</v>
      </c>
      <c r="N186" s="5">
        <f>INDEX(rrcworking[Formation Production (MCF) @ 14.65 psi],MATCH('Mar 2020 EDI'!F186,rrcworking[RRC ID],0))</f>
        <v>0</v>
      </c>
      <c r="O186" s="5">
        <f>INDEX(rrcworking[Lease Use (MCF)],MATCH('Mar 2020 EDI'!F186,rrcworking[RRC ID],0))</f>
        <v>0</v>
      </c>
      <c r="P186" s="5">
        <f>INDEX(rrcworking[Disposition Volume (MCF) @ 14.65 MCF],MATCH('Mar 2020 EDI'!F186,rrcworking[RRC ID],0))</f>
        <v>0</v>
      </c>
      <c r="Y186" s="5">
        <f>INDEX(rrcworking[Oil Production],MATCH('Mar 2020 EDI'!F186,rrcworking[RRC ID],0))</f>
        <v>0</v>
      </c>
      <c r="AA186" s="5">
        <f>INDEX(rrcworking[Sales/Dispostion],MATCH('Mar 2020 EDI'!F186,rrcworking[RRC ID],0))</f>
        <v>0</v>
      </c>
      <c r="AQ186" s="5">
        <f>INDEX(rrcworking[Closing Stock (Oil)],MATCH('Mar 2020 EDI'!F186,rrcworking[RRC ID],0))</f>
        <v>0</v>
      </c>
    </row>
    <row r="187" spans="1:46">
      <c r="A187" s="4" t="s">
        <v>1</v>
      </c>
      <c r="B187" s="1" t="s">
        <v>1085</v>
      </c>
      <c r="C187" s="10" t="s">
        <v>910</v>
      </c>
      <c r="D187" s="1" t="s">
        <v>620</v>
      </c>
      <c r="E187" s="1" t="s">
        <v>2</v>
      </c>
      <c r="F187" s="1" t="s">
        <v>600</v>
      </c>
      <c r="I187" s="10" t="s">
        <v>3</v>
      </c>
      <c r="J187" s="123" t="s">
        <v>3</v>
      </c>
      <c r="K187" s="1" t="s">
        <v>1091</v>
      </c>
      <c r="M187" s="5">
        <v>202003</v>
      </c>
      <c r="N187" s="5">
        <f>INDEX(rrcworking[Formation Production (MCF) @ 14.65 psi],MATCH('Mar 2020 EDI'!F187,rrcworking[RRC ID],0))</f>
        <v>0</v>
      </c>
      <c r="O187" s="5">
        <f>INDEX(rrcworking[Lease Use (MCF)],MATCH('Mar 2020 EDI'!F187,rrcworking[RRC ID],0))</f>
        <v>0</v>
      </c>
      <c r="P187" s="5">
        <f>INDEX(rrcworking[Disposition Volume (MCF) @ 14.65 MCF],MATCH('Mar 2020 EDI'!F187,rrcworking[RRC ID],0))</f>
        <v>0</v>
      </c>
      <c r="Y187" s="5">
        <f>INDEX(rrcworking[Oil Production],MATCH('Mar 2020 EDI'!F187,rrcworking[RRC ID],0))</f>
        <v>0</v>
      </c>
      <c r="AA187" s="5">
        <f>INDEX(rrcworking[Sales/Dispostion],MATCH('Mar 2020 EDI'!F187,rrcworking[RRC ID],0))</f>
        <v>0</v>
      </c>
      <c r="AQ187" s="5">
        <f>INDEX(rrcworking[Closing Stock (Oil)],MATCH('Mar 2020 EDI'!F187,rrcworking[RRC ID],0))</f>
        <v>64</v>
      </c>
    </row>
    <row r="188" spans="1:46">
      <c r="A188" s="4" t="s">
        <v>1</v>
      </c>
      <c r="B188" s="1" t="s">
        <v>1086</v>
      </c>
      <c r="C188" s="10" t="s">
        <v>910</v>
      </c>
      <c r="D188" s="1" t="s">
        <v>620</v>
      </c>
      <c r="E188" s="1" t="s">
        <v>59</v>
      </c>
      <c r="F188" s="1" t="s">
        <v>601</v>
      </c>
      <c r="I188" s="10" t="s">
        <v>3</v>
      </c>
      <c r="J188" s="123" t="s">
        <v>3</v>
      </c>
      <c r="K188" s="1">
        <v>5050</v>
      </c>
      <c r="M188" s="5">
        <v>202003</v>
      </c>
      <c r="N188" s="5">
        <f>INDEX(rrcworking[Formation Production (MCF) @ 14.65 psi],MATCH('Mar 2020 EDI'!F188,rrcworking[RRC ID],0))</f>
        <v>6641</v>
      </c>
      <c r="O188" s="5">
        <f>INDEX(rrcworking[Lease Use (MCF)],MATCH('Mar 2020 EDI'!F188,rrcworking[RRC ID],0))</f>
        <v>310</v>
      </c>
      <c r="P188" s="5">
        <f>INDEX(rrcworking[Disposition Volume (MCF) @ 14.65 MCF],MATCH('Mar 2020 EDI'!F188,rrcworking[RRC ID],0))</f>
        <v>6331</v>
      </c>
      <c r="Y188" s="5">
        <f>INDEX(rrcworking[Oil Production],MATCH('Mar 2020 EDI'!F188,rrcworking[RRC ID],0))</f>
        <v>24</v>
      </c>
      <c r="AA188" s="5">
        <f>INDEX(rrcworking[Sales/Dispostion],MATCH('Mar 2020 EDI'!F188,rrcworking[RRC ID],0))</f>
        <v>0</v>
      </c>
      <c r="AQ188" s="5">
        <f>INDEX(rrcworking[Closing Stock (Oil)],MATCH('Mar 2020 EDI'!F188,rrcworking[RRC ID],0))</f>
        <v>204</v>
      </c>
    </row>
    <row r="189" spans="1:46">
      <c r="A189" s="4" t="s">
        <v>1</v>
      </c>
      <c r="B189" s="1" t="s">
        <v>1087</v>
      </c>
      <c r="C189" s="10" t="s">
        <v>910</v>
      </c>
      <c r="D189" s="1" t="s">
        <v>620</v>
      </c>
      <c r="E189" s="1" t="s">
        <v>2</v>
      </c>
      <c r="F189" s="1" t="s">
        <v>602</v>
      </c>
      <c r="I189" s="10" t="s">
        <v>3</v>
      </c>
      <c r="J189" s="123" t="s">
        <v>3</v>
      </c>
      <c r="K189" s="1" t="s">
        <v>1091</v>
      </c>
      <c r="M189" s="5">
        <v>202003</v>
      </c>
      <c r="N189" s="5">
        <f>INDEX(rrcworking[Formation Production (MCF) @ 14.65 psi],MATCH('Mar 2020 EDI'!F189,rrcworking[RRC ID],0))</f>
        <v>0</v>
      </c>
      <c r="O189" s="5">
        <f>INDEX(rrcworking[Lease Use (MCF)],MATCH('Mar 2020 EDI'!F189,rrcworking[RRC ID],0))</f>
        <v>0</v>
      </c>
      <c r="P189" s="5">
        <f>INDEX(rrcworking[Disposition Volume (MCF) @ 14.65 MCF],MATCH('Mar 2020 EDI'!F189,rrcworking[RRC ID],0))</f>
        <v>0</v>
      </c>
      <c r="Y189" s="5">
        <f>INDEX(rrcworking[Oil Production],MATCH('Mar 2020 EDI'!F189,rrcworking[RRC ID],0))</f>
        <v>0</v>
      </c>
      <c r="AA189" s="5">
        <f>INDEX(rrcworking[Sales/Dispostion],MATCH('Mar 2020 EDI'!F189,rrcworking[RRC ID],0))</f>
        <v>0</v>
      </c>
      <c r="AQ189" s="5">
        <f>INDEX(rrcworking[Closing Stock (Oil)],MATCH('Mar 2020 EDI'!F189,rrcworking[RRC ID],0))</f>
        <v>63</v>
      </c>
    </row>
    <row r="190" spans="1:46">
      <c r="A190" s="4" t="s">
        <v>1</v>
      </c>
      <c r="B190" s="1" t="s">
        <v>1088</v>
      </c>
      <c r="C190" s="10" t="s">
        <v>910</v>
      </c>
      <c r="D190" s="10" t="s">
        <v>619</v>
      </c>
      <c r="E190" s="10" t="s">
        <v>2</v>
      </c>
      <c r="F190" s="10" t="s">
        <v>1253</v>
      </c>
      <c r="I190" s="10" t="s">
        <v>3</v>
      </c>
      <c r="J190" s="123" t="s">
        <v>3</v>
      </c>
      <c r="M190" s="5">
        <v>202003</v>
      </c>
      <c r="N190" s="5">
        <f>INDEX(rrcworking[Formation Production (MCF) @ 14.65 psi],MATCH('Mar 2020 EDI'!F190,rrcworking[RRC ID],0))</f>
        <v>333</v>
      </c>
      <c r="O190" s="5">
        <f>INDEX(rrcworking[Lease Use (MCF)],MATCH('Mar 2020 EDI'!F190,rrcworking[RRC ID],0))</f>
        <v>0</v>
      </c>
      <c r="P190" s="5">
        <f>INDEX(rrcworking[Disposition Volume (MCF) @ 14.65 MCF],MATCH('Mar 2020 EDI'!F190,rrcworking[RRC ID],0))</f>
        <v>333</v>
      </c>
      <c r="Y190" s="5">
        <f>INDEX(rrcworking[Oil Production],MATCH('Mar 2020 EDI'!F190,rrcworking[RRC ID],0))</f>
        <v>2250</v>
      </c>
      <c r="AA190" s="5">
        <f>INDEX(rrcworking[Sales/Dispostion],MATCH('Mar 2020 EDI'!F190,rrcworking[RRC ID],0))</f>
        <v>2140</v>
      </c>
      <c r="AQ190" s="5">
        <f>INDEX(rrcworking[Closing Stock (Oil)],MATCH('Mar 2020 EDI'!F190,rrcworking[RRC ID],0))</f>
        <v>230</v>
      </c>
      <c r="AR190" s="145" t="s">
        <v>1107</v>
      </c>
      <c r="AS190" s="145" t="s">
        <v>1108</v>
      </c>
      <c r="AT190" s="145" t="s">
        <v>61</v>
      </c>
    </row>
    <row r="191" spans="1:46">
      <c r="A191" s="4" t="s">
        <v>1</v>
      </c>
      <c r="B191" s="1" t="s">
        <v>1089</v>
      </c>
      <c r="C191" s="10" t="s">
        <v>910</v>
      </c>
      <c r="D191" s="10" t="s">
        <v>619</v>
      </c>
      <c r="E191" s="10" t="s">
        <v>2</v>
      </c>
      <c r="F191" s="10" t="s">
        <v>1138</v>
      </c>
      <c r="I191" s="10" t="s">
        <v>3</v>
      </c>
      <c r="J191" s="123" t="s">
        <v>3</v>
      </c>
      <c r="M191" s="5">
        <v>202003</v>
      </c>
      <c r="N191" s="5">
        <f>INDEX(rrcworking[Formation Production (MCF) @ 14.65 psi],MATCH('Mar 2020 EDI'!F191,rrcworking[RRC ID],0))</f>
        <v>0</v>
      </c>
      <c r="O191" s="5">
        <f>INDEX(rrcworking[Lease Use (MCF)],MATCH('Mar 2020 EDI'!F191,rrcworking[RRC ID],0))</f>
        <v>0</v>
      </c>
      <c r="P191" s="5">
        <f>INDEX(rrcworking[Disposition Volume (MCF) @ 14.65 MCF],MATCH('Mar 2020 EDI'!F191,rrcworking[RRC ID],0))</f>
        <v>0</v>
      </c>
      <c r="Y191" s="5">
        <f>INDEX(rrcworking[Oil Production],MATCH('Mar 2020 EDI'!F191,rrcworking[RRC ID],0))</f>
        <v>382</v>
      </c>
      <c r="AA191" s="5">
        <f>INDEX(rrcworking[Sales/Dispostion],MATCH('Mar 2020 EDI'!F191,rrcworking[RRC ID],0))</f>
        <v>514</v>
      </c>
      <c r="AQ191" s="5">
        <f>INDEX(rrcworking[Closing Stock (Oil)],MATCH('Mar 2020 EDI'!F191,rrcworking[RRC ID],0))</f>
        <v>76</v>
      </c>
      <c r="AR191" s="145"/>
      <c r="AS191" s="145"/>
      <c r="AT191" s="145"/>
    </row>
    <row r="192" spans="1:46" s="217" customFormat="1">
      <c r="A192" s="220" t="s">
        <v>1</v>
      </c>
      <c r="B192" s="1" t="s">
        <v>1090</v>
      </c>
      <c r="C192" s="221" t="s">
        <v>910</v>
      </c>
      <c r="D192" s="221" t="s">
        <v>619</v>
      </c>
      <c r="E192" s="221" t="s">
        <v>65</v>
      </c>
      <c r="F192" s="221" t="s">
        <v>1260</v>
      </c>
      <c r="G192" s="222" t="s">
        <v>1260</v>
      </c>
      <c r="H192" s="222"/>
      <c r="I192" s="221" t="s">
        <v>3</v>
      </c>
      <c r="J192" s="222" t="s">
        <v>3</v>
      </c>
      <c r="K192" s="222"/>
      <c r="L192" s="222"/>
      <c r="M192" s="5">
        <v>202003</v>
      </c>
      <c r="N192" s="219">
        <f>INDEX(rrcworking[Formation Production (MCF) @ 14.65 psi],MATCH('Mar 2020 EDI'!F192,rrcworking[RRC ID],0))</f>
        <v>5455</v>
      </c>
      <c r="O192" s="219"/>
      <c r="P192" s="219"/>
      <c r="Q192" s="219"/>
      <c r="R192" s="219">
        <f>INDEX(rrcworking[Lease Use (MCF)],MATCH('Mar 2020 EDI'!G192,rrcworking[RRC ID],0))</f>
        <v>5455</v>
      </c>
      <c r="S192" s="222" t="s">
        <v>1264</v>
      </c>
      <c r="T192" s="219"/>
      <c r="U192" s="219"/>
      <c r="V192" s="219"/>
      <c r="W192" s="222"/>
      <c r="X192" s="219"/>
      <c r="Y192" s="219">
        <f>INDEX(rrcworking[Oil Production],MATCH('Mar 2020 EDI'!F192,rrcworking[RRC ID],0))</f>
        <v>155</v>
      </c>
      <c r="Z192" s="219"/>
      <c r="AA192" s="219">
        <f>INDEX(rrcworking[Sales/Dispostion],MATCH('Mar 2020 EDI'!F192,rrcworking[RRC ID],0))</f>
        <v>0</v>
      </c>
      <c r="AB192" s="219"/>
      <c r="AC192" s="219"/>
      <c r="AD192" s="222"/>
      <c r="AE192" s="219"/>
      <c r="AF192" s="222"/>
      <c r="AG192" s="219"/>
      <c r="AH192" s="219"/>
      <c r="AI192" s="222"/>
      <c r="AJ192" s="219"/>
      <c r="AK192" s="219"/>
      <c r="AL192" s="219"/>
      <c r="AM192" s="219"/>
      <c r="AN192" s="219"/>
      <c r="AO192" s="222"/>
      <c r="AP192" s="219"/>
      <c r="AQ192" s="219">
        <f>INDEX(rrcworking[Closing Stock (Oil)],MATCH('Mar 2020 EDI'!F192,rrcworking[RRC ID],0))</f>
        <v>362</v>
      </c>
      <c r="AR192" s="223" t="s">
        <v>1266</v>
      </c>
      <c r="AS192" s="223" t="s">
        <v>1265</v>
      </c>
      <c r="AT192" s="223" t="s">
        <v>58</v>
      </c>
    </row>
  </sheetData>
  <autoFilter ref="A3:AT190"/>
  <phoneticPr fontId="0" type="noConversion"/>
  <hyperlinks>
    <hyperlink ref="D2" r:id="rId1"/>
  </hyperlinks>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pageSetUpPr fitToPage="1"/>
  </sheetPr>
  <dimension ref="C1:AQ196"/>
  <sheetViews>
    <sheetView zoomScale="85" zoomScaleNormal="85" zoomScalePageLayoutView="85" workbookViewId="0">
      <pane xSplit="5" topLeftCell="T1" activePane="topRight" state="frozen"/>
      <selection pane="topRight" activeCell="AB2" sqref="AB2"/>
    </sheetView>
  </sheetViews>
  <sheetFormatPr baseColWidth="10" defaultColWidth="8.83203125" defaultRowHeight="12" x14ac:dyDescent="0"/>
  <cols>
    <col min="1" max="2" width="2.33203125" customWidth="1"/>
    <col min="3" max="3" width="18" customWidth="1"/>
    <col min="4" max="4" width="36.6640625" customWidth="1"/>
    <col min="5" max="5" width="33.1640625" customWidth="1"/>
    <col min="6" max="6" width="12.6640625" customWidth="1"/>
    <col min="7" max="7" width="14.83203125" customWidth="1"/>
    <col min="8" max="8" width="17.5" customWidth="1"/>
    <col min="9" max="9" width="11.83203125" customWidth="1"/>
    <col min="10" max="10" width="16.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customWidth="1"/>
    <col min="23" max="23" width="13" customWidth="1"/>
    <col min="24" max="24" width="14.33203125" style="25" customWidth="1"/>
    <col min="25" max="25" width="18.33203125" customWidth="1"/>
    <col min="26" max="26" width="16.83203125" customWidth="1"/>
    <col min="27" max="27" width="14.1640625" customWidth="1"/>
    <col min="28" max="28" width="22.83203125" customWidth="1"/>
    <col min="29" max="29" width="35.5" customWidth="1"/>
    <col min="30" max="30" width="52.83203125" customWidth="1"/>
    <col min="31" max="31" width="12.33203125" customWidth="1"/>
    <col min="34" max="35" width="8.83203125" customWidth="1"/>
    <col min="39" max="39" width="15.5" customWidth="1"/>
    <col min="40" max="40" width="15.33203125" customWidth="1"/>
    <col min="41" max="41" width="27.33203125" customWidth="1"/>
    <col min="42" max="42" width="48.6640625" customWidth="1"/>
    <col min="43" max="43" width="92.83203125" customWidth="1"/>
  </cols>
  <sheetData>
    <row r="1" spans="3:43" ht="42">
      <c r="C1" s="117" t="s">
        <v>615</v>
      </c>
      <c r="D1" s="118">
        <v>43862</v>
      </c>
    </row>
    <row r="2" spans="3:43" ht="50">
      <c r="C2" s="280"/>
      <c r="D2" s="281"/>
      <c r="E2" s="281"/>
      <c r="F2" s="281"/>
      <c r="G2" s="281"/>
      <c r="Q2" s="26" t="s">
        <v>627</v>
      </c>
      <c r="R2" s="27">
        <v>1.0054609999999999</v>
      </c>
      <c r="AD2" s="119" t="s">
        <v>909</v>
      </c>
    </row>
    <row r="3" spans="3:43" ht="43">
      <c r="Z3" s="283"/>
      <c r="AA3" s="283"/>
      <c r="AB3" s="283"/>
      <c r="AH3" s="277" t="s">
        <v>1233</v>
      </c>
      <c r="AI3" s="278"/>
      <c r="AJ3" s="278"/>
      <c r="AK3" s="278"/>
      <c r="AL3" s="278"/>
      <c r="AM3" s="278"/>
      <c r="AN3" s="278"/>
      <c r="AO3" s="278"/>
      <c r="AP3" s="278"/>
      <c r="AQ3" s="279"/>
    </row>
    <row r="4" spans="3:43" s="117" customFormat="1" ht="112">
      <c r="C4" s="275" t="s">
        <v>1100</v>
      </c>
      <c r="D4" s="282"/>
      <c r="E4" s="282"/>
      <c r="F4" s="282"/>
      <c r="G4" s="282"/>
      <c r="H4" s="282"/>
      <c r="I4" s="282"/>
      <c r="J4" s="282"/>
      <c r="K4" s="276"/>
      <c r="L4" s="275" t="s">
        <v>1101</v>
      </c>
      <c r="M4" s="282"/>
      <c r="N4" s="282"/>
      <c r="O4" s="276"/>
      <c r="P4" s="275" t="s">
        <v>610</v>
      </c>
      <c r="Q4" s="282"/>
      <c r="R4" s="282"/>
      <c r="S4" s="282"/>
      <c r="T4" s="282"/>
      <c r="U4" s="276"/>
      <c r="V4" s="275" t="s">
        <v>621</v>
      </c>
      <c r="W4" s="282"/>
      <c r="X4" s="282"/>
      <c r="Y4" s="282"/>
      <c r="Z4" s="282"/>
      <c r="AA4" s="282"/>
      <c r="AB4" s="276"/>
      <c r="AC4" s="275" t="s">
        <v>1232</v>
      </c>
      <c r="AD4" s="276"/>
      <c r="AE4" s="190" t="s">
        <v>1114</v>
      </c>
      <c r="AF4" s="183"/>
      <c r="AG4" s="183"/>
      <c r="AH4" s="191"/>
      <c r="AI4" s="192"/>
      <c r="AJ4" s="192"/>
      <c r="AK4" s="192" t="s">
        <v>1149</v>
      </c>
      <c r="AL4" s="192" t="s">
        <v>1150</v>
      </c>
      <c r="AM4" s="192" t="s">
        <v>1151</v>
      </c>
      <c r="AN4" s="192" t="s">
        <v>1152</v>
      </c>
      <c r="AO4" s="192" t="s">
        <v>1153</v>
      </c>
      <c r="AP4" s="192" t="s">
        <v>1154</v>
      </c>
      <c r="AQ4" s="193" t="s">
        <v>1245</v>
      </c>
    </row>
    <row r="5" spans="3:43" s="17" customFormat="1" ht="49" thickBot="1">
      <c r="C5" s="8" t="s">
        <v>1117</v>
      </c>
      <c r="D5" s="8" t="s">
        <v>47</v>
      </c>
      <c r="E5" s="8" t="s">
        <v>48</v>
      </c>
      <c r="F5" s="8" t="s">
        <v>605</v>
      </c>
      <c r="G5" s="8" t="s">
        <v>14</v>
      </c>
      <c r="H5" s="8" t="s">
        <v>7</v>
      </c>
      <c r="I5" s="8" t="s">
        <v>8</v>
      </c>
      <c r="J5" s="16" t="s">
        <v>603</v>
      </c>
      <c r="K5" s="16" t="s">
        <v>604</v>
      </c>
      <c r="L5" s="109" t="s">
        <v>607</v>
      </c>
      <c r="M5" s="110" t="s">
        <v>606</v>
      </c>
      <c r="N5" s="110" t="s">
        <v>608</v>
      </c>
      <c r="O5" s="111" t="s">
        <v>609</v>
      </c>
      <c r="P5" s="264" t="s">
        <v>1296</v>
      </c>
      <c r="Q5" s="23" t="s">
        <v>611</v>
      </c>
      <c r="R5" s="265" t="s">
        <v>1295</v>
      </c>
      <c r="S5" s="115" t="s">
        <v>613</v>
      </c>
      <c r="T5" s="115" t="s">
        <v>614</v>
      </c>
      <c r="U5" s="116" t="s">
        <v>908</v>
      </c>
      <c r="V5" s="17" t="s">
        <v>624</v>
      </c>
      <c r="W5" s="17" t="s">
        <v>622</v>
      </c>
      <c r="X5" s="8" t="s">
        <v>1116</v>
      </c>
      <c r="Y5" s="8" t="s">
        <v>793</v>
      </c>
      <c r="Z5" s="8" t="s">
        <v>794</v>
      </c>
      <c r="AA5" s="17" t="s">
        <v>623</v>
      </c>
      <c r="AB5" s="17" t="s">
        <v>625</v>
      </c>
      <c r="AC5" s="8" t="s">
        <v>906</v>
      </c>
      <c r="AD5" s="8" t="s">
        <v>907</v>
      </c>
      <c r="AE5" s="189" t="s">
        <v>902</v>
      </c>
      <c r="AF5" s="115" t="s">
        <v>1294</v>
      </c>
      <c r="AG5" s="8" t="s">
        <v>612</v>
      </c>
      <c r="AH5" s="8" t="s">
        <v>1155</v>
      </c>
      <c r="AI5" s="8" t="s">
        <v>1156</v>
      </c>
      <c r="AJ5" s="17" t="s">
        <v>1157</v>
      </c>
      <c r="AK5" s="17" t="s">
        <v>1158</v>
      </c>
      <c r="AL5" s="17" t="s">
        <v>1159</v>
      </c>
      <c r="AM5" s="17" t="s">
        <v>1160</v>
      </c>
      <c r="AN5" s="17" t="s">
        <v>1161</v>
      </c>
      <c r="AO5" s="17" t="s">
        <v>1162</v>
      </c>
      <c r="AP5" s="17" t="s">
        <v>1163</v>
      </c>
      <c r="AQ5" s="17" t="s">
        <v>1164</v>
      </c>
    </row>
    <row r="6" spans="3:43" ht="15" customHeight="1" thickTop="1">
      <c r="C6" s="80" t="e">
        <v>#N/A</v>
      </c>
      <c r="D6" s="62" t="s">
        <v>164</v>
      </c>
      <c r="E6" s="131" t="s">
        <v>165</v>
      </c>
      <c r="F6" s="129">
        <v>0</v>
      </c>
      <c r="G6" s="120" t="s">
        <v>1091</v>
      </c>
      <c r="H6" s="18" t="s">
        <v>619</v>
      </c>
      <c r="I6" s="18" t="s">
        <v>2</v>
      </c>
      <c r="J6" s="19" t="s">
        <v>469</v>
      </c>
      <c r="K6" s="103">
        <v>27151</v>
      </c>
      <c r="L6" s="141">
        <f>INDEX(Table1[Production],MATCH(rrcworking[[#This Row],[RRC ID Number]],Table1[RRC Identifier],0))</f>
        <v>0</v>
      </c>
      <c r="M6" s="28">
        <f>INDEX(Table1[Formation Production],MATCH(rrcworking[[#This Row],[RRC ID Number]],Table1[RRC Identifier],0))</f>
        <v>0</v>
      </c>
      <c r="N6" s="29">
        <f>INDEX(Table1[On Hand End of Month],MATCH(rrcworking[[#This Row],[RRC ID Number]],Table1[RRC Identifier],0))</f>
        <v>108</v>
      </c>
      <c r="O6" s="105" t="b">
        <f t="shared" ref="O6:O37" si="0">IF(AND(L6=0,M6=0), TRUE, FALSE)</f>
        <v>1</v>
      </c>
      <c r="P6" s="181"/>
      <c r="Q6" s="127">
        <f>rrcworking[[#This Row],[Last Month Closing Stock]]</f>
        <v>108</v>
      </c>
      <c r="R6" s="181">
        <f>rrcworking[[#This Row],[Opening Oil Stock]]</f>
        <v>108</v>
      </c>
      <c r="S6" s="143">
        <f>IF(ISERROR(INDEX(Table2[OIL],MATCH(rrcworking[[#This Row],[Magnum Wolfpak '#]],Table2[Rox Wolf'#],0))),0,INDEX(Table2[OIL],MATCH(rrcworking[[#This Row],[Magnum Wolfpak '#]],Table2[Rox Wolf'#],0)))</f>
        <v>0</v>
      </c>
      <c r="T6" s="34">
        <f>rrcworking[[#This Row],[Closing Stock (Oil)]]+rrcworking[[#This Row],[Sales/Dispostion]]-rrcworking[[#This Row],[Opening Oil Stock]]</f>
        <v>0</v>
      </c>
      <c r="U6" s="112">
        <f>rrcworking[[#This Row],[Gauge Sheet Prod Volume]]-rrcworking[[#This Row],[Oil Production]]</f>
        <v>0</v>
      </c>
      <c r="V6" s="143">
        <f>IF(ISERROR(INDEX(Table2[GAS],MATCH(rrcworking[[#This Row],[Magnum Wolfpak '#]],Table2[Rox Wolf'#],0))),0,INDEX(Table2[GAS],MATCH(rrcworking[[#This Row],[Magnum Wolfpak '#]],Table2[Rox Wolf'#],0)))</f>
        <v>0</v>
      </c>
      <c r="W6" s="24"/>
      <c r="X6" s="134">
        <f>IF(rrcworking[[#This Row],[Pressure Base]]=14.73,rrcworking[[#This Row],[Gas Sales Statement Volume (MCF)]]*$R$2,rrcworking[[#This Row],[Gas Sales Statement Volume (MCF)]])</f>
        <v>0</v>
      </c>
      <c r="Y6" s="59"/>
      <c r="Z6" s="59"/>
      <c r="AA6" s="143">
        <f>IF(ISERROR(INDEX(Table2[LEASE USE],MATCH(rrcworking[[#This Row],[Magnum Wolfpak '#]],Table2[Rox Wolf'#],0))),0,INDEX(Table2[LEASE USE],MATCH(rrcworking[[#This Row],[Magnum Wolfpak '#]],Table2[Rox Wolf'#],0)))</f>
        <v>0</v>
      </c>
      <c r="AB6" s="56">
        <f>rrcworking[[#This Row],[Disposition Volume (MCF) @ 14.65 MCF]]+rrcworking[[#This Row],[Lease Use (MCF)]]</f>
        <v>0</v>
      </c>
      <c r="AC6" s="37"/>
      <c r="AD6" s="37"/>
      <c r="AE6" s="187">
        <f>COUNTIF(FilterList,rrcworking[[#This Row],[Magnum Wolfpak '#]])</f>
        <v>0</v>
      </c>
      <c r="AF6" s="184"/>
      <c r="AG6" s="185"/>
      <c r="AH6" s="37"/>
      <c r="AI6" s="37"/>
      <c r="AJ6" s="37"/>
      <c r="AK6" s="37"/>
      <c r="AL6" s="37"/>
      <c r="AM6" s="37"/>
      <c r="AN6" s="37"/>
      <c r="AO6" s="37"/>
      <c r="AP6" s="37"/>
      <c r="AQ6" s="37"/>
    </row>
    <row r="7" spans="3:43" ht="14" customHeight="1">
      <c r="C7" s="80">
        <v>99265</v>
      </c>
      <c r="D7" s="62" t="s">
        <v>326</v>
      </c>
      <c r="E7" s="131" t="s">
        <v>327</v>
      </c>
      <c r="F7" s="129">
        <v>1</v>
      </c>
      <c r="G7" s="120" t="s">
        <v>1091</v>
      </c>
      <c r="H7" s="18" t="s">
        <v>620</v>
      </c>
      <c r="I7" s="18" t="s">
        <v>59</v>
      </c>
      <c r="J7" s="19" t="s">
        <v>562</v>
      </c>
      <c r="K7" s="103">
        <v>244496</v>
      </c>
      <c r="L7" s="101">
        <f>INDEX(Table1[Production],MATCH(rrcworking[[#This Row],[RRC ID Number]],Table1[RRC Identifier],0))</f>
        <v>0</v>
      </c>
      <c r="M7" s="30">
        <f>INDEX(Table1[Formation Production],MATCH(rrcworking[[#This Row],[RRC ID Number]],Table1[RRC Identifier],0))</f>
        <v>11857</v>
      </c>
      <c r="N7" s="31">
        <f>INDEX(Table1[On Hand End of Month],MATCH(rrcworking[[#This Row],[RRC ID Number]],Table1[RRC Identifier],0))</f>
        <v>162</v>
      </c>
      <c r="O7" s="106" t="b">
        <f t="shared" si="0"/>
        <v>0</v>
      </c>
      <c r="P7" s="181"/>
      <c r="Q7" s="127">
        <f>rrcworking[[#This Row],[Last Month Closing Stock]]</f>
        <v>162</v>
      </c>
      <c r="R7" s="181">
        <v>162</v>
      </c>
      <c r="S7" s="143">
        <f>IF(ISERROR(INDEX(Table2[OIL],MATCH(rrcworking[[#This Row],[Magnum Wolfpak '#]],Table2[Rox Wolf'#],0))),0,INDEX(Table2[OIL],MATCH(rrcworking[[#This Row],[Magnum Wolfpak '#]],Table2[Rox Wolf'#],0)))</f>
        <v>0</v>
      </c>
      <c r="T7" s="35">
        <f>rrcworking[[#This Row],[Closing Stock (Oil)]]+rrcworking[[#This Row],[Sales/Dispostion]]-rrcworking[[#This Row],[Opening Oil Stock]]</f>
        <v>0</v>
      </c>
      <c r="U7" s="112">
        <f>rrcworking[[#This Row],[Gauge Sheet Prod Volume]]-rrcworking[[#This Row],[Oil Production]]</f>
        <v>0</v>
      </c>
      <c r="V7" s="143">
        <f>IF(ISERROR(INDEX(Table2[GAS],MATCH(rrcworking[[#This Row],[Magnum Wolfpak '#]],Table2[Rox Wolf'#],0))),0,INDEX(Table2[GAS],MATCH(rrcworking[[#This Row],[Magnum Wolfpak '#]],Table2[Rox Wolf'#],0)))</f>
        <v>8863</v>
      </c>
      <c r="W7" s="24"/>
      <c r="X7" s="135">
        <f>IF(rrcworking[[#This Row],[Pressure Base]]=14.73,rrcworking[[#This Row],[Gas Sales Statement Volume (MCF)]]*$R$2,rrcworking[[#This Row],[Gas Sales Statement Volume (MCF)]])</f>
        <v>8863</v>
      </c>
      <c r="Y7" s="60"/>
      <c r="Z7" s="60"/>
      <c r="AA7" s="143">
        <f>IF(ISERROR(INDEX(Table2[LEASE USE],MATCH(rrcworking[[#This Row],[Magnum Wolfpak '#]],Table2[Rox Wolf'#],0))),0,INDEX(Table2[LEASE USE],MATCH(rrcworking[[#This Row],[Magnum Wolfpak '#]],Table2[Rox Wolf'#],0)))</f>
        <v>245</v>
      </c>
      <c r="AB7" s="57">
        <f>rrcworking[[#This Row],[Disposition Volume (MCF) @ 14.65 MCF]]+rrcworking[[#This Row],[Lease Use (MCF)]]</f>
        <v>9108</v>
      </c>
      <c r="AC7" s="37"/>
      <c r="AD7" s="37"/>
      <c r="AE7" s="187">
        <f>COUNTIF(FilterList,rrcworking[[#This Row],[Magnum Wolfpak '#]])</f>
        <v>0</v>
      </c>
      <c r="AF7" s="184"/>
      <c r="AG7" s="185"/>
      <c r="AH7" s="37"/>
      <c r="AI7" s="37"/>
      <c r="AJ7" s="186"/>
      <c r="AK7" s="186"/>
      <c r="AL7" s="186"/>
      <c r="AM7" s="186"/>
      <c r="AN7" s="186"/>
      <c r="AO7" s="186"/>
      <c r="AP7" s="37" t="s">
        <v>1165</v>
      </c>
      <c r="AQ7" s="37" t="s">
        <v>1166</v>
      </c>
    </row>
    <row r="8" spans="3:43" ht="14" customHeight="1">
      <c r="C8" s="80">
        <v>99266</v>
      </c>
      <c r="D8" s="62" t="s">
        <v>326</v>
      </c>
      <c r="E8" s="131" t="s">
        <v>327</v>
      </c>
      <c r="F8" s="129">
        <v>2</v>
      </c>
      <c r="G8" s="120" t="s">
        <v>1091</v>
      </c>
      <c r="H8" s="18" t="s">
        <v>620</v>
      </c>
      <c r="I8" s="18" t="s">
        <v>59</v>
      </c>
      <c r="J8" s="19" t="s">
        <v>563</v>
      </c>
      <c r="K8" s="103">
        <v>248176</v>
      </c>
      <c r="L8" s="101">
        <f>INDEX(Table1[Production],MATCH(rrcworking[[#This Row],[RRC ID Number]],Table1[RRC Identifier],0))</f>
        <v>0</v>
      </c>
      <c r="M8" s="30">
        <f>INDEX(Table1[Formation Production],MATCH(rrcworking[[#This Row],[RRC ID Number]],Table1[RRC Identifier],0))</f>
        <v>2613</v>
      </c>
      <c r="N8" s="31">
        <f>INDEX(Table1[On Hand End of Month],MATCH(rrcworking[[#This Row],[RRC ID Number]],Table1[RRC Identifier],0))</f>
        <v>0</v>
      </c>
      <c r="O8" s="106" t="b">
        <f t="shared" si="0"/>
        <v>0</v>
      </c>
      <c r="P8" s="181"/>
      <c r="Q8" s="127">
        <f>rrcworking[[#This Row],[Last Month Closing Stock]]</f>
        <v>0</v>
      </c>
      <c r="R8" s="181">
        <f>rrcworking[[#This Row],[Opening Oil Stock]]</f>
        <v>0</v>
      </c>
      <c r="S8" s="143">
        <f>IF(ISERROR(INDEX(Table2[OIL],MATCH(rrcworking[[#This Row],[Magnum Wolfpak '#]],Table2[Rox Wolf'#],0))),0,INDEX(Table2[OIL],MATCH(rrcworking[[#This Row],[Magnum Wolfpak '#]],Table2[Rox Wolf'#],0)))</f>
        <v>0</v>
      </c>
      <c r="T8" s="35">
        <f>rrcworking[[#This Row],[Closing Stock (Oil)]]+rrcworking[[#This Row],[Sales/Dispostion]]-rrcworking[[#This Row],[Opening Oil Stock]]</f>
        <v>0</v>
      </c>
      <c r="U8" s="112">
        <f>rrcworking[[#This Row],[Gauge Sheet Prod Volume]]-rrcworking[[#This Row],[Oil Production]]</f>
        <v>0</v>
      </c>
      <c r="V8" s="143">
        <f>IF(ISERROR(INDEX(Table2[GAS],MATCH(rrcworking[[#This Row],[Magnum Wolfpak '#]],Table2[Rox Wolf'#],0))),0,INDEX(Table2[GAS],MATCH(rrcworking[[#This Row],[Magnum Wolfpak '#]],Table2[Rox Wolf'#],0)))</f>
        <v>3068</v>
      </c>
      <c r="W8" s="24"/>
      <c r="X8" s="135">
        <f>IF(rrcworking[[#This Row],[Pressure Base]]=14.73,rrcworking[[#This Row],[Gas Sales Statement Volume (MCF)]]*$R$2,rrcworking[[#This Row],[Gas Sales Statement Volume (MCF)]])</f>
        <v>3068</v>
      </c>
      <c r="Y8" s="60"/>
      <c r="Z8" s="60"/>
      <c r="AA8" s="143">
        <f>IF(ISERROR(INDEX(Table2[LEASE USE],MATCH(rrcworking[[#This Row],[Magnum Wolfpak '#]],Table2[Rox Wolf'#],0))),0,INDEX(Table2[LEASE USE],MATCH(rrcworking[[#This Row],[Magnum Wolfpak '#]],Table2[Rox Wolf'#],0)))</f>
        <v>85</v>
      </c>
      <c r="AB8" s="57">
        <f>rrcworking[[#This Row],[Disposition Volume (MCF) @ 14.65 MCF]]+rrcworking[[#This Row],[Lease Use (MCF)]]</f>
        <v>3153</v>
      </c>
      <c r="AC8" s="37"/>
      <c r="AD8" s="37"/>
      <c r="AE8" s="187">
        <f>COUNTIF(FilterList,rrcworking[[#This Row],[Magnum Wolfpak '#]])</f>
        <v>0</v>
      </c>
      <c r="AF8" s="184"/>
      <c r="AG8" s="185"/>
      <c r="AH8" s="37"/>
      <c r="AI8" s="37"/>
      <c r="AJ8" s="186"/>
      <c r="AK8" s="186"/>
      <c r="AL8" s="186"/>
      <c r="AM8" s="186"/>
      <c r="AN8" s="186"/>
      <c r="AO8" s="186"/>
      <c r="AP8" s="37" t="s">
        <v>1165</v>
      </c>
      <c r="AQ8" s="37" t="s">
        <v>1166</v>
      </c>
    </row>
    <row r="9" spans="3:43" ht="14" customHeight="1">
      <c r="C9" s="80">
        <v>99267</v>
      </c>
      <c r="D9" s="62" t="s">
        <v>326</v>
      </c>
      <c r="E9" s="131" t="s">
        <v>327</v>
      </c>
      <c r="F9" s="129">
        <v>3</v>
      </c>
      <c r="G9" s="120" t="s">
        <v>1091</v>
      </c>
      <c r="H9" s="18" t="s">
        <v>620</v>
      </c>
      <c r="I9" s="18" t="s">
        <v>59</v>
      </c>
      <c r="J9" s="19" t="s">
        <v>565</v>
      </c>
      <c r="K9" s="103">
        <v>255119</v>
      </c>
      <c r="L9" s="101">
        <f>INDEX(Table1[Production],MATCH(rrcworking[[#This Row],[RRC ID Number]],Table1[RRC Identifier],0))</f>
        <v>0</v>
      </c>
      <c r="M9" s="30">
        <f>INDEX(Table1[Formation Production],MATCH(rrcworking[[#This Row],[RRC ID Number]],Table1[RRC Identifier],0))</f>
        <v>234</v>
      </c>
      <c r="N9" s="31">
        <f>INDEX(Table1[On Hand End of Month],MATCH(rrcworking[[#This Row],[RRC ID Number]],Table1[RRC Identifier],0))</f>
        <v>0</v>
      </c>
      <c r="O9" s="106" t="b">
        <f t="shared" si="0"/>
        <v>0</v>
      </c>
      <c r="P9" s="181"/>
      <c r="Q9" s="127">
        <f>rrcworking[[#This Row],[Last Month Closing Stock]]</f>
        <v>0</v>
      </c>
      <c r="R9" s="181">
        <f>rrcworking[[#This Row],[Opening Oil Stock]]</f>
        <v>0</v>
      </c>
      <c r="S9" s="143">
        <f>IF(ISERROR(INDEX(Table2[OIL],MATCH(rrcworking[[#This Row],[Magnum Wolfpak '#]],Table2[Rox Wolf'#],0))),0,INDEX(Table2[OIL],MATCH(rrcworking[[#This Row],[Magnum Wolfpak '#]],Table2[Rox Wolf'#],0)))</f>
        <v>0</v>
      </c>
      <c r="T9" s="35">
        <f>rrcworking[[#This Row],[Closing Stock (Oil)]]+rrcworking[[#This Row],[Sales/Dispostion]]-rrcworking[[#This Row],[Opening Oil Stock]]</f>
        <v>0</v>
      </c>
      <c r="U9" s="112">
        <f>rrcworking[[#This Row],[Gauge Sheet Prod Volume]]-rrcworking[[#This Row],[Oil Production]]</f>
        <v>0</v>
      </c>
      <c r="V9" s="143">
        <f>IF(ISERROR(INDEX(Table2[GAS],MATCH(rrcworking[[#This Row],[Magnum Wolfpak '#]],Table2[Rox Wolf'#],0))),0,INDEX(Table2[GAS],MATCH(rrcworking[[#This Row],[Magnum Wolfpak '#]],Table2[Rox Wolf'#],0)))</f>
        <v>372</v>
      </c>
      <c r="W9" s="24"/>
      <c r="X9" s="135">
        <f>IF(rrcworking[[#This Row],[Pressure Base]]=14.73,rrcworking[[#This Row],[Gas Sales Statement Volume (MCF)]]*$R$2,rrcworking[[#This Row],[Gas Sales Statement Volume (MCF)]])</f>
        <v>372</v>
      </c>
      <c r="Y9" s="60"/>
      <c r="Z9" s="60"/>
      <c r="AA9" s="143">
        <f>IF(ISERROR(INDEX(Table2[LEASE USE],MATCH(rrcworking[[#This Row],[Magnum Wolfpak '#]],Table2[Rox Wolf'#],0))),0,INDEX(Table2[LEASE USE],MATCH(rrcworking[[#This Row],[Magnum Wolfpak '#]],Table2[Rox Wolf'#],0)))</f>
        <v>22</v>
      </c>
      <c r="AB9" s="57">
        <f>rrcworking[[#This Row],[Disposition Volume (MCF) @ 14.65 MCF]]+rrcworking[[#This Row],[Lease Use (MCF)]]</f>
        <v>394</v>
      </c>
      <c r="AC9" s="37"/>
      <c r="AD9" s="37"/>
      <c r="AE9" s="187">
        <f>COUNTIF(FilterList,rrcworking[[#This Row],[Magnum Wolfpak '#]])</f>
        <v>0</v>
      </c>
      <c r="AF9" s="184"/>
      <c r="AG9" s="185"/>
      <c r="AH9" s="37"/>
      <c r="AI9" s="37"/>
      <c r="AJ9" s="186"/>
      <c r="AK9" s="186"/>
      <c r="AL9" s="186"/>
      <c r="AM9" s="186"/>
      <c r="AN9" s="186"/>
      <c r="AO9" s="186"/>
      <c r="AP9" s="37" t="s">
        <v>1165</v>
      </c>
      <c r="AQ9" s="37" t="s">
        <v>1166</v>
      </c>
    </row>
    <row r="10" spans="3:43" ht="14" customHeight="1">
      <c r="C10" s="80">
        <v>99229</v>
      </c>
      <c r="D10" s="62" t="s">
        <v>222</v>
      </c>
      <c r="E10" s="131" t="s">
        <v>223</v>
      </c>
      <c r="F10" s="129">
        <v>0</v>
      </c>
      <c r="G10" s="120" t="s">
        <v>1091</v>
      </c>
      <c r="H10" s="18" t="s">
        <v>619</v>
      </c>
      <c r="I10" s="18" t="s">
        <v>2</v>
      </c>
      <c r="J10" s="19" t="s">
        <v>500</v>
      </c>
      <c r="K10" s="103">
        <v>26834</v>
      </c>
      <c r="L10" s="101">
        <f>INDEX(Table1[Production],MATCH(rrcworking[[#This Row],[RRC ID Number]],Table1[RRC Identifier],0))</f>
        <v>405</v>
      </c>
      <c r="M10" s="30">
        <f>INDEX(Table1[Formation Production],MATCH(rrcworking[[#This Row],[RRC ID Number]],Table1[RRC Identifier],0))</f>
        <v>0</v>
      </c>
      <c r="N10" s="31">
        <f>INDEX(Table1[On Hand End of Month],MATCH(rrcworking[[#This Row],[RRC ID Number]],Table1[RRC Identifier],0))</f>
        <v>262</v>
      </c>
      <c r="O10" s="106" t="b">
        <f t="shared" si="0"/>
        <v>0</v>
      </c>
      <c r="P10" s="181">
        <v>0</v>
      </c>
      <c r="Q10" s="127">
        <f>rrcworking[[#This Row],[Last Month Closing Stock]]</f>
        <v>262</v>
      </c>
      <c r="R10" s="182">
        <v>262</v>
      </c>
      <c r="S10" s="143">
        <f>IF(ISERROR(INDEX(Table2[OIL],MATCH(rrcworking[[#This Row],[Magnum Wolfpak '#]],Table2[Rox Wolf'#],0))),0,INDEX(Table2[OIL],MATCH(rrcworking[[#This Row],[Magnum Wolfpak '#]],Table2[Rox Wolf'#],0)))</f>
        <v>0</v>
      </c>
      <c r="T10" s="35">
        <f>rrcworking[[#This Row],[Closing Stock (Oil)]]+rrcworking[[#This Row],[Sales/Dispostion]]-rrcworking[[#This Row],[Opening Oil Stock]]</f>
        <v>0</v>
      </c>
      <c r="U10" s="112">
        <f>rrcworking[[#This Row],[Gauge Sheet Prod Volume]]-rrcworking[[#This Row],[Oil Production]]</f>
        <v>0</v>
      </c>
      <c r="V10" s="143">
        <f>IF(ISERROR(INDEX(Table2[GAS],MATCH(rrcworking[[#This Row],[Magnum Wolfpak '#]],Table2[Rox Wolf'#],0))),0,INDEX(Table2[GAS],MATCH(rrcworking[[#This Row],[Magnum Wolfpak '#]],Table2[Rox Wolf'#],0)))</f>
        <v>0</v>
      </c>
      <c r="W10" s="24"/>
      <c r="X10" s="135">
        <f>IF(rrcworking[[#This Row],[Pressure Base]]=14.73,rrcworking[[#This Row],[Gas Sales Statement Volume (MCF)]]*$R$2,rrcworking[[#This Row],[Gas Sales Statement Volume (MCF)]])</f>
        <v>0</v>
      </c>
      <c r="Y10" s="85"/>
      <c r="Z10" s="60">
        <v>1</v>
      </c>
      <c r="AA10" s="143">
        <f>IF(ISERROR(INDEX(Table2[LEASE USE],MATCH(rrcworking[[#This Row],[Magnum Wolfpak '#]],Table2[Rox Wolf'#],0))),0,INDEX(Table2[LEASE USE],MATCH(rrcworking[[#This Row],[Magnum Wolfpak '#]],Table2[Rox Wolf'#],0)))</f>
        <v>0</v>
      </c>
      <c r="AB10" s="57">
        <f>rrcworking[[#This Row],[Disposition Volume (MCF) @ 14.65 MCF]]+rrcworking[[#This Row],[Lease Use (MCF)]]</f>
        <v>0</v>
      </c>
      <c r="AC10" s="37"/>
      <c r="AD10" s="37" t="s">
        <v>1275</v>
      </c>
      <c r="AE10" s="187">
        <f>COUNTIF(FilterList,rrcworking[[#This Row],[Magnum Wolfpak '#]])</f>
        <v>0</v>
      </c>
      <c r="AF10" s="184"/>
      <c r="AG10" s="185"/>
      <c r="AH10" s="37"/>
      <c r="AI10" s="185"/>
      <c r="AJ10" s="186">
        <v>3</v>
      </c>
      <c r="AK10" s="186" t="s">
        <v>1141</v>
      </c>
      <c r="AL10" s="186" t="s">
        <v>1141</v>
      </c>
      <c r="AM10" s="186" t="s">
        <v>1168</v>
      </c>
      <c r="AN10" s="186" t="s">
        <v>1167</v>
      </c>
      <c r="AO10" s="186" t="s">
        <v>1169</v>
      </c>
      <c r="AP10" s="37" t="s">
        <v>1165</v>
      </c>
      <c r="AQ10" s="37" t="s">
        <v>1170</v>
      </c>
    </row>
    <row r="11" spans="3:43" ht="14" customHeight="1">
      <c r="C11" s="80" t="e">
        <v>#N/A</v>
      </c>
      <c r="D11" s="62" t="s">
        <v>226</v>
      </c>
      <c r="E11" s="131" t="s">
        <v>223</v>
      </c>
      <c r="F11" s="129" t="s">
        <v>227</v>
      </c>
      <c r="G11" s="120" t="s">
        <v>1091</v>
      </c>
      <c r="H11" s="18" t="s">
        <v>619</v>
      </c>
      <c r="I11" s="18" t="s">
        <v>59</v>
      </c>
      <c r="J11" s="19" t="s">
        <v>502</v>
      </c>
      <c r="K11" s="103">
        <v>275419</v>
      </c>
      <c r="L11" s="101">
        <f>INDEX(Table1[Production],MATCH(rrcworking[[#This Row],[RRC ID Number]],Table1[RRC Identifier],0))</f>
        <v>0</v>
      </c>
      <c r="M11" s="30">
        <f>INDEX(Table1[Formation Production],MATCH(rrcworking[[#This Row],[RRC ID Number]],Table1[RRC Identifier],0))</f>
        <v>0</v>
      </c>
      <c r="N11" s="31">
        <f>INDEX(Table1[On Hand End of Month],MATCH(rrcworking[[#This Row],[RRC ID Number]],Table1[RRC Identifier],0))</f>
        <v>0</v>
      </c>
      <c r="O11" s="106" t="b">
        <f t="shared" si="0"/>
        <v>1</v>
      </c>
      <c r="P11" s="181"/>
      <c r="Q11" s="127">
        <f>rrcworking[[#This Row],[Last Month Closing Stock]]</f>
        <v>0</v>
      </c>
      <c r="R11" s="181">
        <f>rrcworking[[#This Row],[Opening Oil Stock]]</f>
        <v>0</v>
      </c>
      <c r="S11" s="143">
        <f>IF(ISERROR(INDEX(Table2[OIL],MATCH(rrcworking[[#This Row],[Magnum Wolfpak '#]],Table2[Rox Wolf'#],0))),0,INDEX(Table2[OIL],MATCH(rrcworking[[#This Row],[Magnum Wolfpak '#]],Table2[Rox Wolf'#],0)))</f>
        <v>0</v>
      </c>
      <c r="T11" s="35">
        <f>rrcworking[[#This Row],[Closing Stock (Oil)]]+rrcworking[[#This Row],[Sales/Dispostion]]-rrcworking[[#This Row],[Opening Oil Stock]]</f>
        <v>0</v>
      </c>
      <c r="U11" s="112">
        <f>rrcworking[[#This Row],[Gauge Sheet Prod Volume]]-rrcworking[[#This Row],[Oil Production]]</f>
        <v>0</v>
      </c>
      <c r="V11" s="143">
        <f>IF(ISERROR(INDEX(Table2[GAS],MATCH(rrcworking[[#This Row],[Magnum Wolfpak '#]],Table2[Rox Wolf'#],0))),0,INDEX(Table2[GAS],MATCH(rrcworking[[#This Row],[Magnum Wolfpak '#]],Table2[Rox Wolf'#],0)))</f>
        <v>0</v>
      </c>
      <c r="W11" s="24"/>
      <c r="X11" s="135">
        <f>IF(rrcworking[[#This Row],[Pressure Base]]=14.73,rrcworking[[#This Row],[Gas Sales Statement Volume (MCF)]]*$R$2,rrcworking[[#This Row],[Gas Sales Statement Volume (MCF)]])</f>
        <v>0</v>
      </c>
      <c r="Y11" s="60"/>
      <c r="Z11" s="60"/>
      <c r="AA11" s="143">
        <f>IF(ISERROR(INDEX(Table2[LEASE USE],MATCH(rrcworking[[#This Row],[Magnum Wolfpak '#]],Table2[Rox Wolf'#],0))),0,INDEX(Table2[LEASE USE],MATCH(rrcworking[[#This Row],[Magnum Wolfpak '#]],Table2[Rox Wolf'#],0)))</f>
        <v>0</v>
      </c>
      <c r="AB11" s="57">
        <f>rrcworking[[#This Row],[Disposition Volume (MCF) @ 14.65 MCF]]+rrcworking[[#This Row],[Lease Use (MCF)]]</f>
        <v>0</v>
      </c>
      <c r="AC11" s="37"/>
      <c r="AD11" s="37"/>
      <c r="AE11" s="187">
        <f>COUNTIF(FilterList,rrcworking[[#This Row],[Magnum Wolfpak '#]])</f>
        <v>0</v>
      </c>
      <c r="AF11" s="184"/>
      <c r="AG11" s="185"/>
      <c r="AH11" s="37"/>
      <c r="AI11" s="37"/>
      <c r="AJ11" s="37"/>
      <c r="AK11" s="37"/>
      <c r="AL11" s="37"/>
      <c r="AM11" s="37"/>
      <c r="AN11" s="37"/>
      <c r="AO11" s="37"/>
      <c r="AP11" s="37"/>
      <c r="AQ11" s="37"/>
    </row>
    <row r="12" spans="3:43" ht="14" customHeight="1">
      <c r="C12" s="80" t="e">
        <v>#N/A</v>
      </c>
      <c r="D12" s="62" t="s">
        <v>146</v>
      </c>
      <c r="E12" s="131" t="s">
        <v>147</v>
      </c>
      <c r="F12" s="129">
        <v>0</v>
      </c>
      <c r="G12" s="120" t="s">
        <v>1091</v>
      </c>
      <c r="H12" s="18" t="s">
        <v>619</v>
      </c>
      <c r="I12" s="18" t="s">
        <v>2</v>
      </c>
      <c r="J12" s="19" t="s">
        <v>458</v>
      </c>
      <c r="K12" s="103">
        <v>27142</v>
      </c>
      <c r="L12" s="101">
        <f>INDEX(Table1[Production],MATCH(rrcworking[[#This Row],[RRC ID Number]],Table1[RRC Identifier],0))</f>
        <v>0</v>
      </c>
      <c r="M12" s="30">
        <f>INDEX(Table1[Formation Production],MATCH(rrcworking[[#This Row],[RRC ID Number]],Table1[RRC Identifier],0))</f>
        <v>0</v>
      </c>
      <c r="N12" s="31">
        <f>INDEX(Table1[On Hand End of Month],MATCH(rrcworking[[#This Row],[RRC ID Number]],Table1[RRC Identifier],0))</f>
        <v>0</v>
      </c>
      <c r="O12" s="106" t="b">
        <f t="shared" si="0"/>
        <v>1</v>
      </c>
      <c r="P12" s="181"/>
      <c r="Q12" s="127">
        <f>rrcworking[[#This Row],[Last Month Closing Stock]]</f>
        <v>0</v>
      </c>
      <c r="R12" s="181">
        <f>rrcworking[[#This Row],[Opening Oil Stock]]</f>
        <v>0</v>
      </c>
      <c r="S12" s="143">
        <f>IF(ISERROR(INDEX(Table2[OIL],MATCH(rrcworking[[#This Row],[Magnum Wolfpak '#]],Table2[Rox Wolf'#],0))),0,INDEX(Table2[OIL],MATCH(rrcworking[[#This Row],[Magnum Wolfpak '#]],Table2[Rox Wolf'#],0)))</f>
        <v>0</v>
      </c>
      <c r="T12" s="35">
        <f>rrcworking[[#This Row],[Closing Stock (Oil)]]+rrcworking[[#This Row],[Sales/Dispostion]]-rrcworking[[#This Row],[Opening Oil Stock]]</f>
        <v>0</v>
      </c>
      <c r="U12" s="112">
        <f>rrcworking[[#This Row],[Gauge Sheet Prod Volume]]-rrcworking[[#This Row],[Oil Production]]</f>
        <v>0</v>
      </c>
      <c r="V12" s="143">
        <f>IF(ISERROR(INDEX(Table2[GAS],MATCH(rrcworking[[#This Row],[Magnum Wolfpak '#]],Table2[Rox Wolf'#],0))),0,INDEX(Table2[GAS],MATCH(rrcworking[[#This Row],[Magnum Wolfpak '#]],Table2[Rox Wolf'#],0)))</f>
        <v>0</v>
      </c>
      <c r="W12" s="24"/>
      <c r="X12" s="135">
        <f>IF(rrcworking[[#This Row],[Pressure Base]]=14.73,rrcworking[[#This Row],[Gas Sales Statement Volume (MCF)]]*$R$2,rrcworking[[#This Row],[Gas Sales Statement Volume (MCF)]])</f>
        <v>0</v>
      </c>
      <c r="Y12" s="60"/>
      <c r="Z12" s="60"/>
      <c r="AA12" s="143">
        <f>IF(ISERROR(INDEX(Table2[LEASE USE],MATCH(rrcworking[[#This Row],[Magnum Wolfpak '#]],Table2[Rox Wolf'#],0))),0,INDEX(Table2[LEASE USE],MATCH(rrcworking[[#This Row],[Magnum Wolfpak '#]],Table2[Rox Wolf'#],0)))</f>
        <v>0</v>
      </c>
      <c r="AB12" s="57">
        <f>rrcworking[[#This Row],[Disposition Volume (MCF) @ 14.65 MCF]]+rrcworking[[#This Row],[Lease Use (MCF)]]</f>
        <v>0</v>
      </c>
      <c r="AC12" s="37"/>
      <c r="AD12" s="37"/>
      <c r="AE12" s="187">
        <f>COUNTIF(FilterList,rrcworking[[#This Row],[Magnum Wolfpak '#]])</f>
        <v>0</v>
      </c>
      <c r="AF12" s="184"/>
      <c r="AG12" s="185"/>
      <c r="AH12" s="37"/>
      <c r="AI12" s="37"/>
      <c r="AJ12" s="37"/>
      <c r="AK12" s="37"/>
      <c r="AL12" s="37"/>
      <c r="AM12" s="37"/>
      <c r="AN12" s="37"/>
      <c r="AO12" s="37"/>
      <c r="AP12" s="37"/>
      <c r="AQ12" s="37"/>
    </row>
    <row r="13" spans="3:43" ht="42">
      <c r="C13" s="210">
        <v>99282</v>
      </c>
      <c r="D13" s="211" t="s">
        <v>1259</v>
      </c>
      <c r="E13" s="212" t="s">
        <v>1268</v>
      </c>
      <c r="F13" s="213" t="s">
        <v>58</v>
      </c>
      <c r="G13" s="214"/>
      <c r="H13" s="215" t="s">
        <v>619</v>
      </c>
      <c r="I13" s="216" t="s">
        <v>65</v>
      </c>
      <c r="J13" s="218" t="s">
        <v>1260</v>
      </c>
      <c r="K13" s="103">
        <v>819991</v>
      </c>
      <c r="L13" s="101">
        <f>INDEX(Table1[Production],MATCH(rrcworking[[#This Row],[RRC ID Number]],Table1[RRC Identifier],0))</f>
        <v>193</v>
      </c>
      <c r="M13" s="30">
        <f>INDEX(Table1[Formation Production],MATCH(rrcworking[[#This Row],[RRC ID Number]],Table1[RRC Identifier],0))</f>
        <v>4597</v>
      </c>
      <c r="N13" s="31">
        <f>INDEX(Table1[On Hand End of Month],MATCH(rrcworking[[#This Row],[RRC ID Number]],Table1[RRC Identifier],0))</f>
        <v>207</v>
      </c>
      <c r="O13" s="106" t="b">
        <f>IF(AND(L13=0,M13=0), TRUE, FALSE)</f>
        <v>0</v>
      </c>
      <c r="P13" s="181">
        <v>157</v>
      </c>
      <c r="Q13" s="127">
        <f>rrcworking[[#This Row],[Last Month Closing Stock]]</f>
        <v>207</v>
      </c>
      <c r="R13" s="181">
        <v>362</v>
      </c>
      <c r="S13" s="143">
        <f>IF(ISERROR(INDEX(Table2[OIL],MATCH(rrcworking[[#This Row],[Magnum Wolfpak '#]],Table2[Rox Wolf'#],0))),0,INDEX(Table2[OIL],MATCH(rrcworking[[#This Row],[Magnum Wolfpak '#]],Table2[Rox Wolf'#],0)))</f>
        <v>0</v>
      </c>
      <c r="T13" s="35">
        <f>rrcworking[[#This Row],[Closing Stock (Oil)]]+rrcworking[[#This Row],[Sales/Dispostion]]-rrcworking[[#This Row],[Opening Oil Stock]]</f>
        <v>155</v>
      </c>
      <c r="U13" s="112">
        <f>rrcworking[[#This Row],[Gauge Sheet Prod Volume]]-rrcworking[[#This Row],[Oil Production]]</f>
        <v>2</v>
      </c>
      <c r="V13" s="143"/>
      <c r="W13" s="24"/>
      <c r="X13" s="135">
        <f>IF(rrcworking[[#This Row],[Pressure Base]]=14.73,rrcworking[[#This Row],[Gas Sales Statement Volume (MCF)]]*$R$2,rrcworking[[#This Row],[Gas Sales Statement Volume (MCF)]])</f>
        <v>0</v>
      </c>
      <c r="Y13" s="60"/>
      <c r="Z13" s="60"/>
      <c r="AA13" s="274">
        <v>5455</v>
      </c>
      <c r="AB13" s="57">
        <f>rrcworking[[#This Row],[Disposition Volume (MCF) @ 14.65 MCF]]+rrcworking[[#This Row],[Lease Use (MCF)]]</f>
        <v>5455</v>
      </c>
      <c r="AC13" s="37" t="s">
        <v>1263</v>
      </c>
      <c r="AD13" s="37" t="s">
        <v>1307</v>
      </c>
      <c r="AE13" s="187">
        <f>COUNTIF(FilterList,rrcworking[[#This Row],[Magnum Wolfpak '#]])</f>
        <v>0</v>
      </c>
      <c r="AF13" s="184"/>
      <c r="AG13" s="185"/>
      <c r="AH13" s="37"/>
      <c r="AI13" s="37"/>
      <c r="AJ13" s="37">
        <v>2</v>
      </c>
      <c r="AK13" s="37" t="s">
        <v>1141</v>
      </c>
      <c r="AL13" s="37" t="s">
        <v>1141</v>
      </c>
      <c r="AM13" s="37" t="s">
        <v>1203</v>
      </c>
      <c r="AN13" s="37" t="s">
        <v>1141</v>
      </c>
      <c r="AO13" s="37" t="s">
        <v>1205</v>
      </c>
      <c r="AP13" s="37" t="s">
        <v>1261</v>
      </c>
      <c r="AQ13" s="37" t="s">
        <v>1262</v>
      </c>
    </row>
    <row r="14" spans="3:43" ht="14" customHeight="1">
      <c r="C14" s="80">
        <v>93701</v>
      </c>
      <c r="D14" s="62" t="s">
        <v>93</v>
      </c>
      <c r="E14" s="131" t="s">
        <v>94</v>
      </c>
      <c r="F14" s="129">
        <v>1</v>
      </c>
      <c r="G14" s="120" t="s">
        <v>1091</v>
      </c>
      <c r="H14" s="18" t="s">
        <v>618</v>
      </c>
      <c r="I14" s="18" t="s">
        <v>59</v>
      </c>
      <c r="J14" s="19" t="s">
        <v>424</v>
      </c>
      <c r="K14" s="103">
        <v>207897</v>
      </c>
      <c r="L14" s="101">
        <f>INDEX(Table1[Production],MATCH(rrcworking[[#This Row],[RRC ID Number]],Table1[RRC Identifier],0))</f>
        <v>0</v>
      </c>
      <c r="M14" s="30">
        <f>INDEX(Table1[Formation Production],MATCH(rrcworking[[#This Row],[RRC ID Number]],Table1[RRC Identifier],0))</f>
        <v>6</v>
      </c>
      <c r="N14" s="31">
        <f>INDEX(Table1[On Hand End of Month],MATCH(rrcworking[[#This Row],[RRC ID Number]],Table1[RRC Identifier],0))</f>
        <v>0</v>
      </c>
      <c r="O14" s="106" t="b">
        <f t="shared" si="0"/>
        <v>0</v>
      </c>
      <c r="P14" s="181">
        <v>0</v>
      </c>
      <c r="Q14" s="127">
        <f>rrcworking[[#This Row],[Last Month Closing Stock]]</f>
        <v>0</v>
      </c>
      <c r="R14" s="181">
        <v>0</v>
      </c>
      <c r="S14" s="143">
        <f>IF(ISERROR(INDEX(Table2[OIL],MATCH(rrcworking[[#This Row],[Magnum Wolfpak '#]],Table2[Rox Wolf'#],0))),0,INDEX(Table2[OIL],MATCH(rrcworking[[#This Row],[Magnum Wolfpak '#]],Table2[Rox Wolf'#],0)))</f>
        <v>0</v>
      </c>
      <c r="T14" s="35">
        <f>rrcworking[[#This Row],[Closing Stock (Oil)]]+rrcworking[[#This Row],[Sales/Dispostion]]-rrcworking[[#This Row],[Opening Oil Stock]]</f>
        <v>0</v>
      </c>
      <c r="U14" s="112">
        <f>rrcworking[[#This Row],[Gauge Sheet Prod Volume]]-rrcworking[[#This Row],[Oil Production]]</f>
        <v>0</v>
      </c>
      <c r="V14" s="143">
        <f>IF(ISERROR(INDEX(Table2[GAS],MATCH(rrcworking[[#This Row],[Magnum Wolfpak '#]],Table2[Rox Wolf'#],0))),0,INDEX(Table2[GAS],MATCH(rrcworking[[#This Row],[Magnum Wolfpak '#]],Table2[Rox Wolf'#],0)))</f>
        <v>10</v>
      </c>
      <c r="W14" s="24"/>
      <c r="X14" s="135">
        <f>IF(rrcworking[[#This Row],[Pressure Base]]=14.73,rrcworking[[#This Row],[Gas Sales Statement Volume (MCF)]]*$R$2,rrcworking[[#This Row],[Gas Sales Statement Volume (MCF)]])</f>
        <v>10</v>
      </c>
      <c r="Y14" s="60"/>
      <c r="Z14" s="60"/>
      <c r="AA14" s="143">
        <f>IF(ISERROR(INDEX(Table2[LEASE USE],MATCH(rrcworking[[#This Row],[Magnum Wolfpak '#]],Table2[Rox Wolf'#],0))),0,INDEX(Table2[LEASE USE],MATCH(rrcworking[[#This Row],[Magnum Wolfpak '#]],Table2[Rox Wolf'#],0)))</f>
        <v>0</v>
      </c>
      <c r="AB14" s="57">
        <f>rrcworking[[#This Row],[Disposition Volume (MCF) @ 14.65 MCF]]+rrcworking[[#This Row],[Lease Use (MCF)]]</f>
        <v>10</v>
      </c>
      <c r="AC14" s="37"/>
      <c r="AD14" s="37"/>
      <c r="AE14" s="187">
        <f>COUNTIF(FilterList,rrcworking[[#This Row],[Magnum Wolfpak '#]])</f>
        <v>0</v>
      </c>
      <c r="AF14" s="184"/>
      <c r="AG14" s="185"/>
      <c r="AH14" s="37"/>
      <c r="AI14" s="37"/>
      <c r="AJ14" s="37"/>
      <c r="AK14" s="37"/>
      <c r="AL14" s="37"/>
      <c r="AM14" s="37"/>
      <c r="AN14" s="37"/>
      <c r="AO14" s="37"/>
      <c r="AP14" s="37" t="s">
        <v>1165</v>
      </c>
      <c r="AQ14" s="37" t="s">
        <v>1171</v>
      </c>
    </row>
    <row r="15" spans="3:43" ht="14" customHeight="1">
      <c r="C15" s="80" t="e">
        <v>#N/A</v>
      </c>
      <c r="D15" s="62" t="s">
        <v>303</v>
      </c>
      <c r="E15" s="131" t="s">
        <v>304</v>
      </c>
      <c r="F15" s="129">
        <v>0</v>
      </c>
      <c r="G15" s="120" t="s">
        <v>1091</v>
      </c>
      <c r="H15" s="18" t="s">
        <v>619</v>
      </c>
      <c r="I15" s="18" t="s">
        <v>2</v>
      </c>
      <c r="J15" s="19" t="s">
        <v>550</v>
      </c>
      <c r="K15" s="103">
        <v>22499</v>
      </c>
      <c r="L15" s="101">
        <f>INDEX(Table1[Production],MATCH(rrcworking[[#This Row],[RRC ID Number]],Table1[RRC Identifier],0))</f>
        <v>0</v>
      </c>
      <c r="M15" s="30">
        <f>INDEX(Table1[Formation Production],MATCH(rrcworking[[#This Row],[RRC ID Number]],Table1[RRC Identifier],0))</f>
        <v>0</v>
      </c>
      <c r="N15" s="31">
        <f>INDEX(Table1[On Hand End of Month],MATCH(rrcworking[[#This Row],[RRC ID Number]],Table1[RRC Identifier],0))</f>
        <v>0</v>
      </c>
      <c r="O15" s="106" t="b">
        <f t="shared" si="0"/>
        <v>1</v>
      </c>
      <c r="P15" s="181"/>
      <c r="Q15" s="127">
        <f>rrcworking[[#This Row],[Last Month Closing Stock]]</f>
        <v>0</v>
      </c>
      <c r="R15" s="181">
        <f>rrcworking[[#This Row],[Opening Oil Stock]]</f>
        <v>0</v>
      </c>
      <c r="S15" s="143">
        <f>IF(ISERROR(INDEX(Table2[OIL],MATCH(rrcworking[[#This Row],[Magnum Wolfpak '#]],Table2[Rox Wolf'#],0))),0,INDEX(Table2[OIL],MATCH(rrcworking[[#This Row],[Magnum Wolfpak '#]],Table2[Rox Wolf'#],0)))</f>
        <v>0</v>
      </c>
      <c r="T15" s="35">
        <f>rrcworking[[#This Row],[Closing Stock (Oil)]]+rrcworking[[#This Row],[Sales/Dispostion]]-rrcworking[[#This Row],[Opening Oil Stock]]</f>
        <v>0</v>
      </c>
      <c r="U15" s="112">
        <f>rrcworking[[#This Row],[Gauge Sheet Prod Volume]]-rrcworking[[#This Row],[Oil Production]]</f>
        <v>0</v>
      </c>
      <c r="V15" s="143">
        <f>IF(ISERROR(INDEX(Table2[GAS],MATCH(rrcworking[[#This Row],[Magnum Wolfpak '#]],Table2[Rox Wolf'#],0))),0,INDEX(Table2[GAS],MATCH(rrcworking[[#This Row],[Magnum Wolfpak '#]],Table2[Rox Wolf'#],0)))</f>
        <v>0</v>
      </c>
      <c r="W15" s="24"/>
      <c r="X15" s="135">
        <f>IF(rrcworking[[#This Row],[Pressure Base]]=14.73,rrcworking[[#This Row],[Gas Sales Statement Volume (MCF)]]*$R$2,rrcworking[[#This Row],[Gas Sales Statement Volume (MCF)]])</f>
        <v>0</v>
      </c>
      <c r="Y15" s="60"/>
      <c r="Z15" s="60"/>
      <c r="AA15" s="143">
        <f>IF(ISERROR(INDEX(Table2[LEASE USE],MATCH(rrcworking[[#This Row],[Magnum Wolfpak '#]],Table2[Rox Wolf'#],0))),0,INDEX(Table2[LEASE USE],MATCH(rrcworking[[#This Row],[Magnum Wolfpak '#]],Table2[Rox Wolf'#],0)))</f>
        <v>0</v>
      </c>
      <c r="AB15" s="57">
        <f>rrcworking[[#This Row],[Disposition Volume (MCF) @ 14.65 MCF]]+rrcworking[[#This Row],[Lease Use (MCF)]]</f>
        <v>0</v>
      </c>
      <c r="AC15" s="37"/>
      <c r="AD15" s="37"/>
      <c r="AE15" s="187">
        <f>COUNTIF(FilterList,rrcworking[[#This Row],[Magnum Wolfpak '#]])</f>
        <v>0</v>
      </c>
      <c r="AF15" s="184"/>
      <c r="AG15" s="185"/>
      <c r="AH15" s="37"/>
      <c r="AI15" s="37"/>
      <c r="AJ15" s="37"/>
      <c r="AK15" s="37"/>
      <c r="AL15" s="37"/>
      <c r="AM15" s="37"/>
      <c r="AN15" s="37"/>
      <c r="AO15" s="37"/>
      <c r="AP15" s="37"/>
      <c r="AQ15" s="37"/>
    </row>
    <row r="16" spans="3:43" ht="14" customHeight="1">
      <c r="C16" s="80" t="e">
        <v>#N/A</v>
      </c>
      <c r="D16" s="62" t="s">
        <v>74</v>
      </c>
      <c r="E16" s="131" t="s">
        <v>75</v>
      </c>
      <c r="F16" s="129" t="s">
        <v>76</v>
      </c>
      <c r="G16" s="120" t="s">
        <v>1091</v>
      </c>
      <c r="H16" s="18" t="s">
        <v>618</v>
      </c>
      <c r="I16" s="18" t="s">
        <v>59</v>
      </c>
      <c r="J16" s="19" t="s">
        <v>416</v>
      </c>
      <c r="K16" s="103">
        <v>127436</v>
      </c>
      <c r="L16" s="142">
        <f>INDEX(Table1[Production],MATCH(rrcworking[[#This Row],[RRC ID Number]],Table1[RRC Identifier],0))</f>
        <v>0</v>
      </c>
      <c r="M16" s="30">
        <f>INDEX(Table1[Formation Production],MATCH(rrcworking[[#This Row],[RRC ID Number]],Table1[RRC Identifier],0))</f>
        <v>0</v>
      </c>
      <c r="N16" s="31">
        <f>INDEX(Table1[On Hand End of Month],MATCH(rrcworking[[#This Row],[RRC ID Number]],Table1[RRC Identifier],0))</f>
        <v>0</v>
      </c>
      <c r="O16" s="106" t="b">
        <f t="shared" si="0"/>
        <v>1</v>
      </c>
      <c r="P16" s="181"/>
      <c r="Q16" s="127">
        <f>rrcworking[[#This Row],[Last Month Closing Stock]]</f>
        <v>0</v>
      </c>
      <c r="R16" s="181">
        <f>rrcworking[[#This Row],[Opening Oil Stock]]</f>
        <v>0</v>
      </c>
      <c r="S16" s="143">
        <f>IF(ISERROR(INDEX(Table2[OIL],MATCH(rrcworking[[#This Row],[Magnum Wolfpak '#]],Table2[Rox Wolf'#],0))),0,INDEX(Table2[OIL],MATCH(rrcworking[[#This Row],[Magnum Wolfpak '#]],Table2[Rox Wolf'#],0)))</f>
        <v>0</v>
      </c>
      <c r="T16" s="35">
        <f>rrcworking[[#This Row],[Closing Stock (Oil)]]+rrcworking[[#This Row],[Sales/Dispostion]]-rrcworking[[#This Row],[Opening Oil Stock]]</f>
        <v>0</v>
      </c>
      <c r="U16" s="112">
        <f>rrcworking[[#This Row],[Gauge Sheet Prod Volume]]-rrcworking[[#This Row],[Oil Production]]</f>
        <v>0</v>
      </c>
      <c r="V16" s="143">
        <f>IF(ISERROR(INDEX(Table2[GAS],MATCH(rrcworking[[#This Row],[Magnum Wolfpak '#]],Table2[Rox Wolf'#],0))),0,INDEX(Table2[GAS],MATCH(rrcworking[[#This Row],[Magnum Wolfpak '#]],Table2[Rox Wolf'#],0)))</f>
        <v>0</v>
      </c>
      <c r="W16" s="24"/>
      <c r="X16" s="135">
        <f>IF(rrcworking[[#This Row],[Pressure Base]]=14.73,rrcworking[[#This Row],[Gas Sales Statement Volume (MCF)]]*$R$2,rrcworking[[#This Row],[Gas Sales Statement Volume (MCF)]])</f>
        <v>0</v>
      </c>
      <c r="Y16" s="60"/>
      <c r="Z16" s="60"/>
      <c r="AA16" s="143">
        <f>IF(ISERROR(INDEX(Table2[LEASE USE],MATCH(rrcworking[[#This Row],[Magnum Wolfpak '#]],Table2[Rox Wolf'#],0))),0,INDEX(Table2[LEASE USE],MATCH(rrcworking[[#This Row],[Magnum Wolfpak '#]],Table2[Rox Wolf'#],0)))</f>
        <v>0</v>
      </c>
      <c r="AB16" s="57">
        <f>rrcworking[[#This Row],[Disposition Volume (MCF) @ 14.65 MCF]]+rrcworking[[#This Row],[Lease Use (MCF)]]</f>
        <v>0</v>
      </c>
      <c r="AC16" s="37"/>
      <c r="AD16" s="37"/>
      <c r="AE16" s="187">
        <f>COUNTIF(FilterList,rrcworking[[#This Row],[Magnum Wolfpak '#]])</f>
        <v>0</v>
      </c>
      <c r="AF16" s="184"/>
      <c r="AG16" s="185"/>
      <c r="AH16" s="37"/>
      <c r="AI16" s="37"/>
      <c r="AJ16" s="37"/>
      <c r="AK16" s="37"/>
      <c r="AL16" s="37"/>
      <c r="AM16" s="37"/>
      <c r="AN16" s="37"/>
      <c r="AO16" s="37"/>
      <c r="AP16" s="37"/>
      <c r="AQ16" s="37"/>
    </row>
    <row r="17" spans="3:43" ht="28">
      <c r="C17" s="80">
        <v>99230</v>
      </c>
      <c r="D17" s="62" t="s">
        <v>172</v>
      </c>
      <c r="E17" s="132" t="s">
        <v>171</v>
      </c>
      <c r="F17" s="129">
        <v>2</v>
      </c>
      <c r="G17" s="120" t="s">
        <v>1091</v>
      </c>
      <c r="H17" s="18" t="s">
        <v>619</v>
      </c>
      <c r="I17" s="18" t="s">
        <v>59</v>
      </c>
      <c r="J17" s="19" t="s">
        <v>473</v>
      </c>
      <c r="K17" s="103">
        <v>279199</v>
      </c>
      <c r="L17" s="101">
        <f>INDEX(Table1[Production],MATCH(rrcworking[[#This Row],[RRC ID Number]],Table1[RRC Identifier],0))</f>
        <v>246</v>
      </c>
      <c r="M17" s="30">
        <f>INDEX(Table1[Formation Production],MATCH(rrcworking[[#This Row],[RRC ID Number]],Table1[RRC Identifier],0))</f>
        <v>2098</v>
      </c>
      <c r="N17" s="31">
        <f>INDEX(Table1[On Hand End of Month],MATCH(rrcworking[[#This Row],[RRC ID Number]],Table1[RRC Identifier],0))</f>
        <v>200</v>
      </c>
      <c r="O17" s="106" t="b">
        <f t="shared" si="0"/>
        <v>0</v>
      </c>
      <c r="P17" s="181">
        <v>230</v>
      </c>
      <c r="Q17" s="127">
        <f>rrcworking[[#This Row],[Last Month Closing Stock]]</f>
        <v>200</v>
      </c>
      <c r="R17" s="182">
        <v>48</v>
      </c>
      <c r="S17" s="143">
        <f>IF(ISERROR(INDEX(Table2[OIL],MATCH(rrcworking[[#This Row],[Magnum Wolfpak '#]],Table2[Rox Wolf'#],0))),0,INDEX(Table2[OIL],MATCH(rrcworking[[#This Row],[Magnum Wolfpak '#]],Table2[Rox Wolf'#],0)))</f>
        <v>180</v>
      </c>
      <c r="T17" s="35">
        <f>rrcworking[[#This Row],[Closing Stock (Oil)]]+rrcworking[[#This Row],[Sales/Dispostion]]-rrcworking[[#This Row],[Opening Oil Stock]]</f>
        <v>28</v>
      </c>
      <c r="U17" s="112">
        <f>rrcworking[[#This Row],[Gauge Sheet Prod Volume]]-rrcworking[[#This Row],[Oil Production]]</f>
        <v>202</v>
      </c>
      <c r="V17" s="143">
        <f>IF(ISERROR(INDEX(Table2[GAS],MATCH(rrcworking[[#This Row],[Magnum Wolfpak '#]],Table2[Rox Wolf'#],0))),0,INDEX(Table2[GAS],MATCH(rrcworking[[#This Row],[Magnum Wolfpak '#]],Table2[Rox Wolf'#],0)))</f>
        <v>2019</v>
      </c>
      <c r="W17" s="24"/>
      <c r="X17" s="135">
        <f>IF(rrcworking[[#This Row],[Pressure Base]]=14.73,rrcworking[[#This Row],[Gas Sales Statement Volume (MCF)]]*$R$2,rrcworking[[#This Row],[Gas Sales Statement Volume (MCF)]])</f>
        <v>2019</v>
      </c>
      <c r="Y17" s="60"/>
      <c r="Z17" s="60"/>
      <c r="AA17" s="143">
        <f>IF(ISERROR(INDEX(Table2[LEASE USE],MATCH(rrcworking[[#This Row],[Magnum Wolfpak '#]],Table2[Rox Wolf'#],0))),0,INDEX(Table2[LEASE USE],MATCH(rrcworking[[#This Row],[Magnum Wolfpak '#]],Table2[Rox Wolf'#],0)))</f>
        <v>0</v>
      </c>
      <c r="AB17" s="57">
        <f>rrcworking[[#This Row],[Disposition Volume (MCF) @ 14.65 MCF]]+rrcworking[[#This Row],[Lease Use (MCF)]]</f>
        <v>2019</v>
      </c>
      <c r="AC17" s="37"/>
      <c r="AD17" s="37" t="s">
        <v>1308</v>
      </c>
      <c r="AE17" s="187">
        <f>COUNTIF(FilterList,rrcworking[[#This Row],[Magnum Wolfpak '#]])</f>
        <v>0</v>
      </c>
      <c r="AF17" s="184"/>
      <c r="AG17" s="185"/>
      <c r="AH17" s="37"/>
      <c r="AI17" s="185"/>
      <c r="AJ17" s="37">
        <v>1</v>
      </c>
      <c r="AK17" s="37" t="s">
        <v>1141</v>
      </c>
      <c r="AL17" s="37" t="s">
        <v>1141</v>
      </c>
      <c r="AM17" s="37" t="s">
        <v>1172</v>
      </c>
      <c r="AN17" s="37" t="s">
        <v>1141</v>
      </c>
      <c r="AO17" s="37" t="s">
        <v>1173</v>
      </c>
      <c r="AP17" s="37" t="s">
        <v>1174</v>
      </c>
      <c r="AQ17" s="37" t="s">
        <v>1175</v>
      </c>
    </row>
    <row r="18" spans="3:43" ht="14" customHeight="1">
      <c r="C18" s="80" t="e">
        <v>#N/A</v>
      </c>
      <c r="D18" s="62" t="s">
        <v>170</v>
      </c>
      <c r="E18" s="131" t="s">
        <v>171</v>
      </c>
      <c r="F18" s="129">
        <v>1</v>
      </c>
      <c r="G18" s="120" t="s">
        <v>1091</v>
      </c>
      <c r="H18" s="18" t="s">
        <v>619</v>
      </c>
      <c r="I18" s="18" t="s">
        <v>59</v>
      </c>
      <c r="J18" s="19" t="s">
        <v>472</v>
      </c>
      <c r="K18" s="103">
        <v>272614</v>
      </c>
      <c r="L18" s="101">
        <f>INDEX(Table1[Production],MATCH(rrcworking[[#This Row],[RRC ID Number]],Table1[RRC Identifier],0))</f>
        <v>0</v>
      </c>
      <c r="M18" s="30">
        <f>INDEX(Table1[Formation Production],MATCH(rrcworking[[#This Row],[RRC ID Number]],Table1[RRC Identifier],0))</f>
        <v>0</v>
      </c>
      <c r="N18" s="31">
        <f>INDEX(Table1[On Hand End of Month],MATCH(rrcworking[[#This Row],[RRC ID Number]],Table1[RRC Identifier],0))</f>
        <v>0</v>
      </c>
      <c r="O18" s="106" t="b">
        <f t="shared" si="0"/>
        <v>1</v>
      </c>
      <c r="P18" s="181"/>
      <c r="Q18" s="127">
        <f>rrcworking[[#This Row],[Last Month Closing Stock]]</f>
        <v>0</v>
      </c>
      <c r="R18" s="181">
        <f>rrcworking[[#This Row],[Opening Oil Stock]]</f>
        <v>0</v>
      </c>
      <c r="S18" s="143">
        <f>IF(ISERROR(INDEX(Table2[OIL],MATCH(rrcworking[[#This Row],[Magnum Wolfpak '#]],Table2[Rox Wolf'#],0))),0,INDEX(Table2[OIL],MATCH(rrcworking[[#This Row],[Magnum Wolfpak '#]],Table2[Rox Wolf'#],0)))</f>
        <v>0</v>
      </c>
      <c r="T18" s="35">
        <f>rrcworking[[#This Row],[Closing Stock (Oil)]]+rrcworking[[#This Row],[Sales/Dispostion]]-rrcworking[[#This Row],[Opening Oil Stock]]</f>
        <v>0</v>
      </c>
      <c r="U18" s="112">
        <f>rrcworking[[#This Row],[Gauge Sheet Prod Volume]]-rrcworking[[#This Row],[Oil Production]]</f>
        <v>0</v>
      </c>
      <c r="V18" s="143">
        <f>IF(ISERROR(INDEX(Table2[GAS],MATCH(rrcworking[[#This Row],[Magnum Wolfpak '#]],Table2[Rox Wolf'#],0))),0,INDEX(Table2[GAS],MATCH(rrcworking[[#This Row],[Magnum Wolfpak '#]],Table2[Rox Wolf'#],0)))</f>
        <v>0</v>
      </c>
      <c r="W18" s="24"/>
      <c r="X18" s="135">
        <f>IF(rrcworking[[#This Row],[Pressure Base]]=14.73,rrcworking[[#This Row],[Gas Sales Statement Volume (MCF)]]*$R$2,rrcworking[[#This Row],[Gas Sales Statement Volume (MCF)]])</f>
        <v>0</v>
      </c>
      <c r="Y18" s="60"/>
      <c r="Z18" s="60"/>
      <c r="AA18" s="143">
        <f>IF(ISERROR(INDEX(Table2[LEASE USE],MATCH(rrcworking[[#This Row],[Magnum Wolfpak '#]],Table2[Rox Wolf'#],0))),0,INDEX(Table2[LEASE USE],MATCH(rrcworking[[#This Row],[Magnum Wolfpak '#]],Table2[Rox Wolf'#],0)))</f>
        <v>0</v>
      </c>
      <c r="AB18" s="57">
        <f>rrcworking[[#This Row],[Disposition Volume (MCF) @ 14.65 MCF]]+rrcworking[[#This Row],[Lease Use (MCF)]]</f>
        <v>0</v>
      </c>
      <c r="AC18" s="37"/>
      <c r="AD18" s="37"/>
      <c r="AE18" s="187">
        <f>COUNTIF(FilterList,rrcworking[[#This Row],[Magnum Wolfpak '#]])</f>
        <v>0</v>
      </c>
      <c r="AF18" s="184"/>
      <c r="AG18" s="185"/>
      <c r="AH18" s="37"/>
      <c r="AI18" s="37"/>
      <c r="AJ18" s="37"/>
      <c r="AK18" s="37"/>
      <c r="AL18" s="37"/>
      <c r="AM18" s="37"/>
      <c r="AN18" s="37"/>
      <c r="AO18" s="37"/>
      <c r="AP18" s="37"/>
      <c r="AQ18" s="37"/>
    </row>
    <row r="19" spans="3:43" ht="14" customHeight="1">
      <c r="C19" s="80" t="e">
        <v>#N/A</v>
      </c>
      <c r="D19" s="62" t="s">
        <v>380</v>
      </c>
      <c r="E19" s="131" t="s">
        <v>381</v>
      </c>
      <c r="F19" s="129">
        <v>0</v>
      </c>
      <c r="G19" s="120" t="s">
        <v>1091</v>
      </c>
      <c r="H19" s="18" t="s">
        <v>620</v>
      </c>
      <c r="I19" s="18" t="s">
        <v>2</v>
      </c>
      <c r="J19" s="19" t="s">
        <v>595</v>
      </c>
      <c r="K19" s="103">
        <v>12803</v>
      </c>
      <c r="L19" s="101">
        <f>INDEX(Table1[Production],MATCH(rrcworking[[#This Row],[RRC ID Number]],Table1[RRC Identifier],0))</f>
        <v>0</v>
      </c>
      <c r="M19" s="30">
        <f>INDEX(Table1[Formation Production],MATCH(rrcworking[[#This Row],[RRC ID Number]],Table1[RRC Identifier],0))</f>
        <v>0</v>
      </c>
      <c r="N19" s="31">
        <f>INDEX(Table1[On Hand End of Month],MATCH(rrcworking[[#This Row],[RRC ID Number]],Table1[RRC Identifier],0))</f>
        <v>0</v>
      </c>
      <c r="O19" s="106" t="b">
        <f t="shared" si="0"/>
        <v>1</v>
      </c>
      <c r="P19" s="181"/>
      <c r="Q19" s="127">
        <f>rrcworking[[#This Row],[Last Month Closing Stock]]</f>
        <v>0</v>
      </c>
      <c r="R19" s="181">
        <f>rrcworking[[#This Row],[Opening Oil Stock]]</f>
        <v>0</v>
      </c>
      <c r="S19" s="143">
        <f>IF(ISERROR(INDEX(Table2[OIL],MATCH(rrcworking[[#This Row],[Magnum Wolfpak '#]],Table2[Rox Wolf'#],0))),0,INDEX(Table2[OIL],MATCH(rrcworking[[#This Row],[Magnum Wolfpak '#]],Table2[Rox Wolf'#],0)))</f>
        <v>0</v>
      </c>
      <c r="T19" s="35">
        <f>rrcworking[[#This Row],[Closing Stock (Oil)]]+rrcworking[[#This Row],[Sales/Dispostion]]-rrcworking[[#This Row],[Opening Oil Stock]]</f>
        <v>0</v>
      </c>
      <c r="U19" s="112">
        <f>rrcworking[[#This Row],[Gauge Sheet Prod Volume]]-rrcworking[[#This Row],[Oil Production]]</f>
        <v>0</v>
      </c>
      <c r="V19" s="143">
        <f>IF(ISERROR(INDEX(Table2[GAS],MATCH(rrcworking[[#This Row],[Magnum Wolfpak '#]],Table2[Rox Wolf'#],0))),0,INDEX(Table2[GAS],MATCH(rrcworking[[#This Row],[Magnum Wolfpak '#]],Table2[Rox Wolf'#],0)))</f>
        <v>0</v>
      </c>
      <c r="W19" s="24"/>
      <c r="X19" s="135">
        <f>IF(rrcworking[[#This Row],[Pressure Base]]=14.73,rrcworking[[#This Row],[Gas Sales Statement Volume (MCF)]]*$R$2,rrcworking[[#This Row],[Gas Sales Statement Volume (MCF)]])</f>
        <v>0</v>
      </c>
      <c r="Y19" s="60"/>
      <c r="Z19" s="60"/>
      <c r="AA19" s="143">
        <f>IF(ISERROR(INDEX(Table2[LEASE USE],MATCH(rrcworking[[#This Row],[Magnum Wolfpak '#]],Table2[Rox Wolf'#],0))),0,INDEX(Table2[LEASE USE],MATCH(rrcworking[[#This Row],[Magnum Wolfpak '#]],Table2[Rox Wolf'#],0)))</f>
        <v>0</v>
      </c>
      <c r="AB19" s="57">
        <f>rrcworking[[#This Row],[Disposition Volume (MCF) @ 14.65 MCF]]+rrcworking[[#This Row],[Lease Use (MCF)]]</f>
        <v>0</v>
      </c>
      <c r="AC19" s="37"/>
      <c r="AD19" s="37"/>
      <c r="AE19" s="187">
        <f>COUNTIF(FilterList,rrcworking[[#This Row],[Magnum Wolfpak '#]])</f>
        <v>0</v>
      </c>
      <c r="AF19" s="184"/>
      <c r="AG19" s="185"/>
      <c r="AH19" s="37"/>
      <c r="AI19" s="37"/>
      <c r="AJ19" s="37"/>
      <c r="AK19" s="37"/>
      <c r="AL19" s="37"/>
      <c r="AM19" s="37"/>
      <c r="AN19" s="37"/>
      <c r="AO19" s="37"/>
      <c r="AP19" s="37"/>
      <c r="AQ19" s="37"/>
    </row>
    <row r="20" spans="3:43" ht="14" customHeight="1">
      <c r="C20" s="80" t="e">
        <v>#N/A</v>
      </c>
      <c r="D20" s="62" t="s">
        <v>382</v>
      </c>
      <c r="E20" s="131" t="s">
        <v>384</v>
      </c>
      <c r="F20" s="129">
        <v>0</v>
      </c>
      <c r="G20" s="120" t="s">
        <v>1091</v>
      </c>
      <c r="H20" s="18" t="s">
        <v>620</v>
      </c>
      <c r="I20" s="18" t="s">
        <v>2</v>
      </c>
      <c r="J20" s="19" t="s">
        <v>597</v>
      </c>
      <c r="K20" s="103">
        <v>8717</v>
      </c>
      <c r="L20" s="101">
        <f>INDEX(Table1[Production],MATCH(rrcworking[[#This Row],[RRC ID Number]],Table1[RRC Identifier],0))</f>
        <v>0</v>
      </c>
      <c r="M20" s="30">
        <f>INDEX(Table1[Formation Production],MATCH(rrcworking[[#This Row],[RRC ID Number]],Table1[RRC Identifier],0))</f>
        <v>0</v>
      </c>
      <c r="N20" s="31">
        <f>INDEX(Table1[On Hand End of Month],MATCH(rrcworking[[#This Row],[RRC ID Number]],Table1[RRC Identifier],0))</f>
        <v>0</v>
      </c>
      <c r="O20" s="106" t="b">
        <f t="shared" si="0"/>
        <v>1</v>
      </c>
      <c r="P20" s="181"/>
      <c r="Q20" s="127">
        <f>rrcworking[[#This Row],[Last Month Closing Stock]]</f>
        <v>0</v>
      </c>
      <c r="R20" s="181">
        <f>rrcworking[[#This Row],[Opening Oil Stock]]</f>
        <v>0</v>
      </c>
      <c r="S20" s="143">
        <f>IF(ISERROR(INDEX(Table2[OIL],MATCH(rrcworking[[#This Row],[Magnum Wolfpak '#]],Table2[Rox Wolf'#],0))),0,INDEX(Table2[OIL],MATCH(rrcworking[[#This Row],[Magnum Wolfpak '#]],Table2[Rox Wolf'#],0)))</f>
        <v>0</v>
      </c>
      <c r="T20" s="35">
        <f>rrcworking[[#This Row],[Closing Stock (Oil)]]+rrcworking[[#This Row],[Sales/Dispostion]]-rrcworking[[#This Row],[Opening Oil Stock]]</f>
        <v>0</v>
      </c>
      <c r="U20" s="112">
        <f>rrcworking[[#This Row],[Gauge Sheet Prod Volume]]-rrcworking[[#This Row],[Oil Production]]</f>
        <v>0</v>
      </c>
      <c r="V20" s="143">
        <f>IF(ISERROR(INDEX(Table2[GAS],MATCH(rrcworking[[#This Row],[Magnum Wolfpak '#]],Table2[Rox Wolf'#],0))),0,INDEX(Table2[GAS],MATCH(rrcworking[[#This Row],[Magnum Wolfpak '#]],Table2[Rox Wolf'#],0)))</f>
        <v>0</v>
      </c>
      <c r="W20" s="24"/>
      <c r="X20" s="135">
        <f>IF(rrcworking[[#This Row],[Pressure Base]]=14.73,rrcworking[[#This Row],[Gas Sales Statement Volume (MCF)]]*$R$2,rrcworking[[#This Row],[Gas Sales Statement Volume (MCF)]])</f>
        <v>0</v>
      </c>
      <c r="Y20" s="60"/>
      <c r="Z20" s="60"/>
      <c r="AA20" s="143">
        <f>IF(ISERROR(INDEX(Table2[LEASE USE],MATCH(rrcworking[[#This Row],[Magnum Wolfpak '#]],Table2[Rox Wolf'#],0))),0,INDEX(Table2[LEASE USE],MATCH(rrcworking[[#This Row],[Magnum Wolfpak '#]],Table2[Rox Wolf'#],0)))</f>
        <v>0</v>
      </c>
      <c r="AB20" s="57">
        <f>rrcworking[[#This Row],[Disposition Volume (MCF) @ 14.65 MCF]]+rrcworking[[#This Row],[Lease Use (MCF)]]</f>
        <v>0</v>
      </c>
      <c r="AC20" s="37"/>
      <c r="AD20" s="37"/>
      <c r="AE20" s="187">
        <f>COUNTIF(FilterList,rrcworking[[#This Row],[Magnum Wolfpak '#]])</f>
        <v>0</v>
      </c>
      <c r="AF20" s="184"/>
      <c r="AG20" s="185"/>
      <c r="AH20" s="37"/>
      <c r="AI20" s="37"/>
      <c r="AJ20" s="37"/>
      <c r="AK20" s="37"/>
      <c r="AL20" s="37"/>
      <c r="AM20" s="37"/>
      <c r="AN20" s="37"/>
      <c r="AO20" s="37"/>
      <c r="AP20" s="37"/>
      <c r="AQ20" s="37"/>
    </row>
    <row r="21" spans="3:43" ht="14" customHeight="1">
      <c r="C21" s="80">
        <v>98201</v>
      </c>
      <c r="D21" s="62" t="s">
        <v>130</v>
      </c>
      <c r="E21" s="131" t="s">
        <v>131</v>
      </c>
      <c r="F21" s="129">
        <v>1</v>
      </c>
      <c r="G21" s="120" t="s">
        <v>1091</v>
      </c>
      <c r="H21" s="18" t="s">
        <v>618</v>
      </c>
      <c r="I21" s="18" t="s">
        <v>59</v>
      </c>
      <c r="J21" s="19" t="s">
        <v>448</v>
      </c>
      <c r="K21" s="103">
        <v>133437</v>
      </c>
      <c r="L21" s="101">
        <f>INDEX(Table1[Production],MATCH(rrcworking[[#This Row],[RRC ID Number]],Table1[RRC Identifier],0))</f>
        <v>0</v>
      </c>
      <c r="M21" s="30">
        <f>INDEX(Table1[Formation Production],MATCH(rrcworking[[#This Row],[RRC ID Number]],Table1[RRC Identifier],0))</f>
        <v>0</v>
      </c>
      <c r="N21" s="31">
        <f>INDEX(Table1[On Hand End of Month],MATCH(rrcworking[[#This Row],[RRC ID Number]],Table1[RRC Identifier],0))</f>
        <v>166</v>
      </c>
      <c r="O21" s="106" t="b">
        <f t="shared" si="0"/>
        <v>1</v>
      </c>
      <c r="P21" s="181">
        <v>0</v>
      </c>
      <c r="Q21" s="127">
        <f>rrcworking[[#This Row],[Last Month Closing Stock]]</f>
        <v>166</v>
      </c>
      <c r="R21" s="181">
        <v>166</v>
      </c>
      <c r="S21" s="143">
        <f>IF(ISERROR(INDEX(Table2[OIL],MATCH(rrcworking[[#This Row],[Magnum Wolfpak '#]],Table2[Rox Wolf'#],0))),0,INDEX(Table2[OIL],MATCH(rrcworking[[#This Row],[Magnum Wolfpak '#]],Table2[Rox Wolf'#],0)))</f>
        <v>0</v>
      </c>
      <c r="T21" s="35">
        <f>rrcworking[[#This Row],[Closing Stock (Oil)]]+rrcworking[[#This Row],[Sales/Dispostion]]-rrcworking[[#This Row],[Opening Oil Stock]]</f>
        <v>0</v>
      </c>
      <c r="U21" s="112">
        <f>rrcworking[[#This Row],[Gauge Sheet Prod Volume]]-rrcworking[[#This Row],[Oil Production]]</f>
        <v>0</v>
      </c>
      <c r="V21" s="143">
        <f>IF(ISERROR(INDEX(Table2[GAS],MATCH(rrcworking[[#This Row],[Magnum Wolfpak '#]],Table2[Rox Wolf'#],0))),0,INDEX(Table2[GAS],MATCH(rrcworking[[#This Row],[Magnum Wolfpak '#]],Table2[Rox Wolf'#],0)))</f>
        <v>0</v>
      </c>
      <c r="W21" s="24"/>
      <c r="X21" s="135">
        <f>IF(rrcworking[[#This Row],[Pressure Base]]=14.73,rrcworking[[#This Row],[Gas Sales Statement Volume (MCF)]]*$R$2,rrcworking[[#This Row],[Gas Sales Statement Volume (MCF)]])</f>
        <v>0</v>
      </c>
      <c r="Y21" s="60"/>
      <c r="Z21" s="60"/>
      <c r="AA21" s="143">
        <f>IF(ISERROR(INDEX(Table2[LEASE USE],MATCH(rrcworking[[#This Row],[Magnum Wolfpak '#]],Table2[Rox Wolf'#],0))),0,INDEX(Table2[LEASE USE],MATCH(rrcworking[[#This Row],[Magnum Wolfpak '#]],Table2[Rox Wolf'#],0)))</f>
        <v>0</v>
      </c>
      <c r="AB21" s="57">
        <f>rrcworking[[#This Row],[Disposition Volume (MCF) @ 14.65 MCF]]+rrcworking[[#This Row],[Lease Use (MCF)]]</f>
        <v>0</v>
      </c>
      <c r="AC21" s="37"/>
      <c r="AD21" s="37"/>
      <c r="AE21" s="187">
        <f>COUNTIF(FilterList,rrcworking[[#This Row],[Magnum Wolfpak '#]])</f>
        <v>1</v>
      </c>
      <c r="AF21" s="184"/>
      <c r="AG21" s="185"/>
      <c r="AH21" s="37"/>
      <c r="AI21" s="185"/>
      <c r="AJ21" s="186"/>
      <c r="AK21" s="186"/>
      <c r="AL21" s="186"/>
      <c r="AM21" s="186"/>
      <c r="AN21" s="186"/>
      <c r="AO21" s="186"/>
      <c r="AP21" s="37" t="s">
        <v>1165</v>
      </c>
      <c r="AQ21" s="37" t="s">
        <v>1176</v>
      </c>
    </row>
    <row r="22" spans="3:43" ht="14" customHeight="1">
      <c r="C22" s="80">
        <v>99294</v>
      </c>
      <c r="D22" s="62" t="s">
        <v>185</v>
      </c>
      <c r="E22" s="131" t="s">
        <v>182</v>
      </c>
      <c r="F22" s="140" t="s">
        <v>1094</v>
      </c>
      <c r="G22" s="120" t="s">
        <v>1091</v>
      </c>
      <c r="H22" s="18" t="s">
        <v>619</v>
      </c>
      <c r="I22" s="18" t="s">
        <v>2</v>
      </c>
      <c r="J22" s="19" t="s">
        <v>481</v>
      </c>
      <c r="K22" s="103">
        <v>27236</v>
      </c>
      <c r="L22" s="101">
        <f>INDEX(Table1[Production],MATCH(rrcworking[[#This Row],[RRC ID Number]],Table1[RRC Identifier],0))</f>
        <v>1022</v>
      </c>
      <c r="M22" s="30">
        <f>INDEX(Table1[Formation Production],MATCH(rrcworking[[#This Row],[RRC ID Number]],Table1[RRC Identifier],0))</f>
        <v>1102</v>
      </c>
      <c r="N22" s="31">
        <f>INDEX(Table1[On Hand End of Month],MATCH(rrcworking[[#This Row],[RRC ID Number]],Table1[RRC Identifier],0))</f>
        <v>105</v>
      </c>
      <c r="O22" s="106" t="b">
        <f t="shared" si="0"/>
        <v>0</v>
      </c>
      <c r="P22" s="181">
        <v>1266</v>
      </c>
      <c r="Q22" s="127">
        <f>rrcworking[[#This Row],[Last Month Closing Stock]]</f>
        <v>105</v>
      </c>
      <c r="R22" s="182">
        <v>224</v>
      </c>
      <c r="S22" s="143">
        <f>IF(ISERROR(INDEX(Table2[OIL],MATCH(rrcworking[[#This Row],[Magnum Wolfpak '#]],Table2[Rox Wolf'#],0))),0,INDEX(Table2[OIL],MATCH(rrcworking[[#This Row],[Magnum Wolfpak '#]],Table2[Rox Wolf'#],0)))</f>
        <v>1109</v>
      </c>
      <c r="T22" s="35">
        <f>rrcworking[[#This Row],[Closing Stock (Oil)]]+rrcworking[[#This Row],[Sales/Dispostion]]-rrcworking[[#This Row],[Opening Oil Stock]]</f>
        <v>1228</v>
      </c>
      <c r="U22" s="112">
        <f>rrcworking[[#This Row],[Gauge Sheet Prod Volume]]-rrcworking[[#This Row],[Oil Production]]</f>
        <v>38</v>
      </c>
      <c r="V22" s="143">
        <f>IF(ISERROR(INDEX(Table2[GAS],MATCH(rrcworking[[#This Row],[Magnum Wolfpak '#]],Table2[Rox Wolf'#],0))),0,INDEX(Table2[GAS],MATCH(rrcworking[[#This Row],[Magnum Wolfpak '#]],Table2[Rox Wolf'#],0)))</f>
        <v>1530</v>
      </c>
      <c r="W22" s="24"/>
      <c r="X22" s="135">
        <f>IF(rrcworking[[#This Row],[Pressure Base]]=14.73,rrcworking[[#This Row],[Gas Sales Statement Volume (MCF)]]*$R$2,rrcworking[[#This Row],[Gas Sales Statement Volume (MCF)]])</f>
        <v>1530</v>
      </c>
      <c r="Y22" s="85"/>
      <c r="Z22" s="60">
        <v>1</v>
      </c>
      <c r="AA22" s="143">
        <f>IF(ISERROR(INDEX(Table2[LEASE USE],MATCH(rrcworking[[#This Row],[Magnum Wolfpak '#]],Table2[Rox Wolf'#],0))),0,INDEX(Table2[LEASE USE],MATCH(rrcworking[[#This Row],[Magnum Wolfpak '#]],Table2[Rox Wolf'#],0)))</f>
        <v>31</v>
      </c>
      <c r="AB22" s="57">
        <f>rrcworking[[#This Row],[Disposition Volume (MCF) @ 14.65 MCF]]+rrcworking[[#This Row],[Lease Use (MCF)]]</f>
        <v>1561</v>
      </c>
      <c r="AC22" s="37"/>
      <c r="AD22" s="37"/>
      <c r="AE22" s="187">
        <f>COUNTIF(FilterList,rrcworking[[#This Row],[Magnum Wolfpak '#]])</f>
        <v>0</v>
      </c>
      <c r="AF22" s="184"/>
      <c r="AG22" s="185"/>
      <c r="AH22" s="37"/>
      <c r="AI22" s="185"/>
      <c r="AJ22" s="37">
        <v>1</v>
      </c>
      <c r="AK22" s="37" t="s">
        <v>1141</v>
      </c>
      <c r="AL22" s="37" t="s">
        <v>1167</v>
      </c>
      <c r="AM22" s="37" t="s">
        <v>1177</v>
      </c>
      <c r="AN22" s="37" t="s">
        <v>1167</v>
      </c>
      <c r="AO22" s="37" t="s">
        <v>1178</v>
      </c>
      <c r="AP22" s="37" t="s">
        <v>1179</v>
      </c>
      <c r="AQ22" s="37" t="s">
        <v>1180</v>
      </c>
    </row>
    <row r="23" spans="3:43" ht="14" customHeight="1">
      <c r="C23" s="80" t="e">
        <v>#N/A</v>
      </c>
      <c r="D23" s="62" t="s">
        <v>307</v>
      </c>
      <c r="E23" s="131" t="s">
        <v>182</v>
      </c>
      <c r="F23" s="129" t="s">
        <v>1234</v>
      </c>
      <c r="G23" s="120" t="s">
        <v>1091</v>
      </c>
      <c r="H23" s="18" t="s">
        <v>619</v>
      </c>
      <c r="I23" s="18" t="s">
        <v>59</v>
      </c>
      <c r="J23" s="19" t="s">
        <v>552</v>
      </c>
      <c r="K23" s="103">
        <v>283360</v>
      </c>
      <c r="L23" s="101">
        <f>INDEX(Table1[Production],MATCH(rrcworking[[#This Row],[RRC ID Number]],Table1[RRC Identifier],0))</f>
        <v>0</v>
      </c>
      <c r="M23" s="30">
        <f>INDEX(Table1[Formation Production],MATCH(rrcworking[[#This Row],[RRC ID Number]],Table1[RRC Identifier],0))</f>
        <v>0</v>
      </c>
      <c r="N23" s="31">
        <f>INDEX(Table1[On Hand End of Month],MATCH(rrcworking[[#This Row],[RRC ID Number]],Table1[RRC Identifier],0))</f>
        <v>134</v>
      </c>
      <c r="O23" s="106" t="b">
        <f t="shared" si="0"/>
        <v>1</v>
      </c>
      <c r="P23" s="181"/>
      <c r="Q23" s="127">
        <f>rrcworking[[#This Row],[Last Month Closing Stock]]</f>
        <v>134</v>
      </c>
      <c r="R23" s="181">
        <f>rrcworking[[#This Row],[Opening Oil Stock]]</f>
        <v>134</v>
      </c>
      <c r="S23" s="143">
        <f>IF(ISERROR(INDEX(Table2[OIL],MATCH(rrcworking[[#This Row],[Magnum Wolfpak '#]],Table2[Rox Wolf'#],0))),0,INDEX(Table2[OIL],MATCH(rrcworking[[#This Row],[Magnum Wolfpak '#]],Table2[Rox Wolf'#],0)))</f>
        <v>0</v>
      </c>
      <c r="T23" s="35">
        <f>rrcworking[[#This Row],[Closing Stock (Oil)]]+rrcworking[[#This Row],[Sales/Dispostion]]-rrcworking[[#This Row],[Opening Oil Stock]]</f>
        <v>0</v>
      </c>
      <c r="U23" s="112">
        <f>rrcworking[[#This Row],[Gauge Sheet Prod Volume]]-rrcworking[[#This Row],[Oil Production]]</f>
        <v>0</v>
      </c>
      <c r="V23" s="143">
        <f>IF(ISERROR(INDEX(Table2[GAS],MATCH(rrcworking[[#This Row],[Magnum Wolfpak '#]],Table2[Rox Wolf'#],0))),0,INDEX(Table2[GAS],MATCH(rrcworking[[#This Row],[Magnum Wolfpak '#]],Table2[Rox Wolf'#],0)))</f>
        <v>0</v>
      </c>
      <c r="W23" s="24"/>
      <c r="X23" s="135">
        <f>IF(rrcworking[[#This Row],[Pressure Base]]=14.73,rrcworking[[#This Row],[Gas Sales Statement Volume (MCF)]]*$R$2,rrcworking[[#This Row],[Gas Sales Statement Volume (MCF)]])</f>
        <v>0</v>
      </c>
      <c r="Y23" s="60"/>
      <c r="Z23" s="60"/>
      <c r="AA23" s="143">
        <f>IF(ISERROR(INDEX(Table2[LEASE USE],MATCH(rrcworking[[#This Row],[Magnum Wolfpak '#]],Table2[Rox Wolf'#],0))),0,INDEX(Table2[LEASE USE],MATCH(rrcworking[[#This Row],[Magnum Wolfpak '#]],Table2[Rox Wolf'#],0)))</f>
        <v>0</v>
      </c>
      <c r="AB23" s="57">
        <f>rrcworking[[#This Row],[Disposition Volume (MCF) @ 14.65 MCF]]+rrcworking[[#This Row],[Lease Use (MCF)]]</f>
        <v>0</v>
      </c>
      <c r="AC23" s="37"/>
      <c r="AD23" s="37"/>
      <c r="AE23" s="187">
        <f>COUNTIF(FilterList,rrcworking[[#This Row],[Magnum Wolfpak '#]])</f>
        <v>0</v>
      </c>
      <c r="AF23" s="184"/>
      <c r="AG23" s="185"/>
      <c r="AH23" s="37"/>
      <c r="AI23" s="37"/>
      <c r="AJ23" s="37"/>
      <c r="AK23" s="37"/>
      <c r="AL23" s="37"/>
      <c r="AM23" s="37"/>
      <c r="AN23" s="37"/>
      <c r="AO23" s="37"/>
      <c r="AP23" s="37"/>
      <c r="AQ23" s="37"/>
    </row>
    <row r="24" spans="3:43" ht="14" customHeight="1">
      <c r="C24" s="80">
        <v>99293</v>
      </c>
      <c r="D24" s="62" t="s">
        <v>181</v>
      </c>
      <c r="E24" s="131" t="s">
        <v>182</v>
      </c>
      <c r="F24" s="140" t="s">
        <v>1092</v>
      </c>
      <c r="G24" s="120" t="s">
        <v>1091</v>
      </c>
      <c r="H24" s="18" t="s">
        <v>619</v>
      </c>
      <c r="I24" s="18" t="s">
        <v>2</v>
      </c>
      <c r="J24" s="19" t="s">
        <v>478</v>
      </c>
      <c r="K24" s="103">
        <v>27285</v>
      </c>
      <c r="L24" s="101">
        <f>INDEX(Table1[Production],MATCH(rrcworking[[#This Row],[RRC ID Number]],Table1[RRC Identifier],0))</f>
        <v>115</v>
      </c>
      <c r="M24" s="30">
        <f>INDEX(Table1[Formation Production],MATCH(rrcworking[[#This Row],[RRC ID Number]],Table1[RRC Identifier],0))</f>
        <v>621</v>
      </c>
      <c r="N24" s="31">
        <f>INDEX(Table1[On Hand End of Month],MATCH(rrcworking[[#This Row],[RRC ID Number]],Table1[RRC Identifier],0))</f>
        <v>262</v>
      </c>
      <c r="O24" s="106" t="b">
        <f t="shared" si="0"/>
        <v>0</v>
      </c>
      <c r="P24" s="181">
        <v>127</v>
      </c>
      <c r="Q24" s="127">
        <f>rrcworking[[#This Row],[Last Month Closing Stock]]</f>
        <v>262</v>
      </c>
      <c r="R24" s="182">
        <v>374</v>
      </c>
      <c r="S24" s="143">
        <f>IF(ISERROR(INDEX(Table2[OIL],MATCH(rrcworking[[#This Row],[Magnum Wolfpak '#]],Table2[Rox Wolf'#],0))),0,INDEX(Table2[OIL],MATCH(rrcworking[[#This Row],[Magnum Wolfpak '#]],Table2[Rox Wolf'#],0)))</f>
        <v>0</v>
      </c>
      <c r="T24" s="35">
        <f>rrcworking[[#This Row],[Closing Stock (Oil)]]+rrcworking[[#This Row],[Sales/Dispostion]]-rrcworking[[#This Row],[Opening Oil Stock]]</f>
        <v>112</v>
      </c>
      <c r="U24" s="112">
        <f>rrcworking[[#This Row],[Gauge Sheet Prod Volume]]-rrcworking[[#This Row],[Oil Production]]</f>
        <v>15</v>
      </c>
      <c r="V24" s="143">
        <f>IF(ISERROR(INDEX(Table2[GAS],MATCH(rrcworking[[#This Row],[Magnum Wolfpak '#]],Table2[Rox Wolf'#],0))),0,INDEX(Table2[GAS],MATCH(rrcworking[[#This Row],[Magnum Wolfpak '#]],Table2[Rox Wolf'#],0)))</f>
        <v>608</v>
      </c>
      <c r="W24" s="24"/>
      <c r="X24" s="135">
        <f>IF(rrcworking[[#This Row],[Pressure Base]]=14.73,rrcworking[[#This Row],[Gas Sales Statement Volume (MCF)]]*$R$2,rrcworking[[#This Row],[Gas Sales Statement Volume (MCF)]])</f>
        <v>608</v>
      </c>
      <c r="Y24" s="85"/>
      <c r="Z24" s="60">
        <v>1</v>
      </c>
      <c r="AA24" s="143">
        <f>IF(ISERROR(INDEX(Table2[LEASE USE],MATCH(rrcworking[[#This Row],[Magnum Wolfpak '#]],Table2[Rox Wolf'#],0))),0,INDEX(Table2[LEASE USE],MATCH(rrcworking[[#This Row],[Magnum Wolfpak '#]],Table2[Rox Wolf'#],0)))</f>
        <v>31</v>
      </c>
      <c r="AB24" s="57">
        <f>rrcworking[[#This Row],[Disposition Volume (MCF) @ 14.65 MCF]]+rrcworking[[#This Row],[Lease Use (MCF)]]</f>
        <v>639</v>
      </c>
      <c r="AC24" s="37"/>
      <c r="AD24" s="37"/>
      <c r="AE24" s="187">
        <f>COUNTIF(FilterList,rrcworking[[#This Row],[Magnum Wolfpak '#]])</f>
        <v>0</v>
      </c>
      <c r="AF24" s="184"/>
      <c r="AG24" s="185"/>
      <c r="AH24" s="37"/>
      <c r="AI24" s="185"/>
      <c r="AJ24" s="37">
        <v>3</v>
      </c>
      <c r="AK24" s="37" t="s">
        <v>1141</v>
      </c>
      <c r="AL24" s="37" t="s">
        <v>1167</v>
      </c>
      <c r="AM24" s="37" t="s">
        <v>1181</v>
      </c>
      <c r="AN24" s="37" t="s">
        <v>1167</v>
      </c>
      <c r="AO24" s="37" t="s">
        <v>1178</v>
      </c>
      <c r="AP24" s="37" t="s">
        <v>1182</v>
      </c>
      <c r="AQ24" s="37"/>
    </row>
    <row r="25" spans="3:43" ht="14">
      <c r="C25" s="80">
        <v>99286</v>
      </c>
      <c r="D25" s="62" t="s">
        <v>183</v>
      </c>
      <c r="E25" s="131" t="s">
        <v>182</v>
      </c>
      <c r="F25" s="129" t="s">
        <v>1235</v>
      </c>
      <c r="G25" s="120" t="s">
        <v>1091</v>
      </c>
      <c r="H25" s="18" t="s">
        <v>619</v>
      </c>
      <c r="I25" s="18" t="s">
        <v>59</v>
      </c>
      <c r="J25" s="19" t="s">
        <v>479</v>
      </c>
      <c r="K25" s="103">
        <v>282350</v>
      </c>
      <c r="L25" s="101">
        <f>INDEX(Table1[Production],MATCH(rrcworking[[#This Row],[RRC ID Number]],Table1[RRC Identifier],0))</f>
        <v>105</v>
      </c>
      <c r="M25" s="30">
        <f>INDEX(Table1[Formation Production],MATCH(rrcworking[[#This Row],[RRC ID Number]],Table1[RRC Identifier],0))</f>
        <v>646</v>
      </c>
      <c r="N25" s="31">
        <f>INDEX(Table1[On Hand End of Month],MATCH(rrcworking[[#This Row],[RRC ID Number]],Table1[RRC Identifier],0))</f>
        <v>361</v>
      </c>
      <c r="O25" s="106" t="b">
        <f t="shared" si="0"/>
        <v>0</v>
      </c>
      <c r="P25" s="181">
        <v>25</v>
      </c>
      <c r="Q25" s="127">
        <f>rrcworking[[#This Row],[Last Month Closing Stock]]</f>
        <v>361</v>
      </c>
      <c r="R25" s="182">
        <v>384</v>
      </c>
      <c r="S25" s="143">
        <f>IF(ISERROR(INDEX(Table2[OIL],MATCH(rrcworking[[#This Row],[Magnum Wolfpak '#]],Table2[Rox Wolf'#],0))),0,INDEX(Table2[OIL],MATCH(rrcworking[[#This Row],[Magnum Wolfpak '#]],Table2[Rox Wolf'#],0)))</f>
        <v>0</v>
      </c>
      <c r="T25" s="35">
        <f>rrcworking[[#This Row],[Closing Stock (Oil)]]+rrcworking[[#This Row],[Sales/Dispostion]]-rrcworking[[#This Row],[Opening Oil Stock]]</f>
        <v>23</v>
      </c>
      <c r="U25" s="112">
        <f>rrcworking[[#This Row],[Gauge Sheet Prod Volume]]-rrcworking[[#This Row],[Oil Production]]</f>
        <v>2</v>
      </c>
      <c r="V25" s="143">
        <f>IF(ISERROR(INDEX(Table2[GAS],MATCH(rrcworking[[#This Row],[Magnum Wolfpak '#]],Table2[Rox Wolf'#],0))),0,INDEX(Table2[GAS],MATCH(rrcworking[[#This Row],[Magnum Wolfpak '#]],Table2[Rox Wolf'#],0)))</f>
        <v>654</v>
      </c>
      <c r="W25" s="24"/>
      <c r="X25" s="135">
        <f>IF(rrcworking[[#This Row],[Pressure Base]]=14.73,rrcworking[[#This Row],[Gas Sales Statement Volume (MCF)]]*$R$2,rrcworking[[#This Row],[Gas Sales Statement Volume (MCF)]])</f>
        <v>654</v>
      </c>
      <c r="Y25" s="85"/>
      <c r="Z25" s="60">
        <v>2</v>
      </c>
      <c r="AA25" s="143">
        <f>IF(ISERROR(INDEX(Table2[LEASE USE],MATCH(rrcworking[[#This Row],[Magnum Wolfpak '#]],Table2[Rox Wolf'#],0))),0,INDEX(Table2[LEASE USE],MATCH(rrcworking[[#This Row],[Magnum Wolfpak '#]],Table2[Rox Wolf'#],0)))</f>
        <v>0</v>
      </c>
      <c r="AB25" s="57">
        <f>rrcworking[[#This Row],[Disposition Volume (MCF) @ 14.65 MCF]]+rrcworking[[#This Row],[Lease Use (MCF)]]</f>
        <v>654</v>
      </c>
      <c r="AC25" s="37"/>
      <c r="AD25" s="37"/>
      <c r="AE25" s="187">
        <f>COUNTIF(FilterList,rrcworking[[#This Row],[Magnum Wolfpak '#]])</f>
        <v>0</v>
      </c>
      <c r="AF25" s="184"/>
      <c r="AG25" s="185"/>
      <c r="AH25" s="37"/>
      <c r="AI25" s="185"/>
      <c r="AJ25" s="37">
        <v>3</v>
      </c>
      <c r="AK25" s="37" t="s">
        <v>1141</v>
      </c>
      <c r="AL25" s="37" t="s">
        <v>1167</v>
      </c>
      <c r="AM25" s="37" t="s">
        <v>1181</v>
      </c>
      <c r="AN25" s="37" t="s">
        <v>1167</v>
      </c>
      <c r="AO25" s="37" t="s">
        <v>1178</v>
      </c>
      <c r="AP25" s="37" t="s">
        <v>1236</v>
      </c>
      <c r="AQ25" s="37"/>
    </row>
    <row r="26" spans="3:43" ht="14">
      <c r="C26" s="80">
        <v>99295</v>
      </c>
      <c r="D26" s="62" t="s">
        <v>183</v>
      </c>
      <c r="E26" s="131" t="s">
        <v>182</v>
      </c>
      <c r="F26" s="140" t="s">
        <v>1093</v>
      </c>
      <c r="G26" s="120" t="s">
        <v>1091</v>
      </c>
      <c r="H26" s="18" t="s">
        <v>619</v>
      </c>
      <c r="I26" s="18" t="s">
        <v>2</v>
      </c>
      <c r="J26" s="19" t="s">
        <v>480</v>
      </c>
      <c r="K26" s="103">
        <v>27418</v>
      </c>
      <c r="L26" s="101">
        <f>INDEX(Table1[Production],MATCH(rrcworking[[#This Row],[RRC ID Number]],Table1[RRC Identifier],0))</f>
        <v>2507</v>
      </c>
      <c r="M26" s="30">
        <f>INDEX(Table1[Formation Production],MATCH(rrcworking[[#This Row],[RRC ID Number]],Table1[RRC Identifier],0))</f>
        <v>3632</v>
      </c>
      <c r="N26" s="31">
        <f>INDEX(Table1[On Hand End of Month],MATCH(rrcworking[[#This Row],[RRC ID Number]],Table1[RRC Identifier],0))</f>
        <v>401</v>
      </c>
      <c r="O26" s="106" t="b">
        <f t="shared" si="0"/>
        <v>0</v>
      </c>
      <c r="P26" s="181">
        <v>2797</v>
      </c>
      <c r="Q26" s="127">
        <f>rrcworking[[#This Row],[Last Month Closing Stock]]</f>
        <v>401</v>
      </c>
      <c r="R26" s="182">
        <v>606</v>
      </c>
      <c r="S26" s="143">
        <f>IF(ISERROR(INDEX(Table2[OIL],MATCH(rrcworking[[#This Row],[Magnum Wolfpak '#]],Table2[Rox Wolf'#],0))),0,INDEX(Table2[OIL],MATCH(rrcworking[[#This Row],[Magnum Wolfpak '#]],Table2[Rox Wolf'#],0)))</f>
        <v>2469</v>
      </c>
      <c r="T26" s="35">
        <f>rrcworking[[#This Row],[Closing Stock (Oil)]]+rrcworking[[#This Row],[Sales/Dispostion]]-rrcworking[[#This Row],[Opening Oil Stock]]</f>
        <v>2674</v>
      </c>
      <c r="U26" s="112">
        <f>rrcworking[[#This Row],[Gauge Sheet Prod Volume]]-rrcworking[[#This Row],[Oil Production]]</f>
        <v>123</v>
      </c>
      <c r="V26" s="143">
        <f>IF(ISERROR(INDEX(Table2[GAS],MATCH(rrcworking[[#This Row],[Magnum Wolfpak '#]],Table2[Rox Wolf'#],0))),0,INDEX(Table2[GAS],MATCH(rrcworking[[#This Row],[Magnum Wolfpak '#]],Table2[Rox Wolf'#],0)))</f>
        <v>3861</v>
      </c>
      <c r="W26" s="24"/>
      <c r="X26" s="135">
        <f>IF(rrcworking[[#This Row],[Pressure Base]]=14.73,rrcworking[[#This Row],[Gas Sales Statement Volume (MCF)]]*$R$2,rrcworking[[#This Row],[Gas Sales Statement Volume (MCF)]])</f>
        <v>3861</v>
      </c>
      <c r="Y26" s="85"/>
      <c r="Z26" s="60">
        <v>7</v>
      </c>
      <c r="AA26" s="143">
        <f>IF(ISERROR(INDEX(Table2[LEASE USE],MATCH(rrcworking[[#This Row],[Magnum Wolfpak '#]],Table2[Rox Wolf'#],0))),0,INDEX(Table2[LEASE USE],MATCH(rrcworking[[#This Row],[Magnum Wolfpak '#]],Table2[Rox Wolf'#],0)))</f>
        <v>217</v>
      </c>
      <c r="AB26" s="57">
        <f>rrcworking[[#This Row],[Disposition Volume (MCF) @ 14.65 MCF]]+rrcworking[[#This Row],[Lease Use (MCF)]]</f>
        <v>4078</v>
      </c>
      <c r="AC26" s="37"/>
      <c r="AD26" s="37"/>
      <c r="AE26" s="187">
        <f>COUNTIF(FilterList,rrcworking[[#This Row],[Magnum Wolfpak '#]])</f>
        <v>0</v>
      </c>
      <c r="AF26" s="184"/>
      <c r="AG26" s="185"/>
      <c r="AH26" s="37"/>
      <c r="AI26" s="185"/>
      <c r="AJ26" s="37">
        <v>2</v>
      </c>
      <c r="AK26" s="37" t="s">
        <v>1141</v>
      </c>
      <c r="AL26" s="37" t="s">
        <v>1167</v>
      </c>
      <c r="AM26" s="37" t="s">
        <v>1183</v>
      </c>
      <c r="AN26" s="37" t="s">
        <v>1167</v>
      </c>
      <c r="AO26" s="37" t="s">
        <v>1178</v>
      </c>
      <c r="AP26" s="37" t="s">
        <v>1184</v>
      </c>
      <c r="AQ26" s="37"/>
    </row>
    <row r="27" spans="3:43" ht="14">
      <c r="C27" s="80">
        <v>99228</v>
      </c>
      <c r="D27" s="62" t="s">
        <v>77</v>
      </c>
      <c r="E27" s="131" t="s">
        <v>78</v>
      </c>
      <c r="F27" s="129" t="s">
        <v>79</v>
      </c>
      <c r="G27" s="120" t="s">
        <v>1091</v>
      </c>
      <c r="H27" s="18" t="s">
        <v>618</v>
      </c>
      <c r="I27" s="18" t="s">
        <v>59</v>
      </c>
      <c r="J27" s="19" t="s">
        <v>417</v>
      </c>
      <c r="K27" s="103">
        <v>272206</v>
      </c>
      <c r="L27" s="101">
        <f>INDEX(Table1[Production],MATCH(rrcworking[[#This Row],[RRC ID Number]],Table1[RRC Identifier],0))</f>
        <v>0</v>
      </c>
      <c r="M27" s="30">
        <f>INDEX(Table1[Formation Production],MATCH(rrcworking[[#This Row],[RRC ID Number]],Table1[RRC Identifier],0))</f>
        <v>0</v>
      </c>
      <c r="N27" s="31">
        <f>INDEX(Table1[On Hand End of Month],MATCH(rrcworking[[#This Row],[RRC ID Number]],Table1[RRC Identifier],0))</f>
        <v>149</v>
      </c>
      <c r="O27" s="106" t="b">
        <f t="shared" si="0"/>
        <v>1</v>
      </c>
      <c r="P27" s="181">
        <v>0</v>
      </c>
      <c r="Q27" s="127">
        <f>rrcworking[[#This Row],[Last Month Closing Stock]]</f>
        <v>149</v>
      </c>
      <c r="R27" s="181">
        <v>149</v>
      </c>
      <c r="S27" s="143">
        <f>IF(ISERROR(INDEX(Table2[OIL],MATCH(rrcworking[[#This Row],[Magnum Wolfpak '#]],Table2[Rox Wolf'#],0))),0,INDEX(Table2[OIL],MATCH(rrcworking[[#This Row],[Magnum Wolfpak '#]],Table2[Rox Wolf'#],0)))</f>
        <v>0</v>
      </c>
      <c r="T27" s="35">
        <f>rrcworking[[#This Row],[Closing Stock (Oil)]]+rrcworking[[#This Row],[Sales/Dispostion]]-rrcworking[[#This Row],[Opening Oil Stock]]</f>
        <v>0</v>
      </c>
      <c r="U27" s="112">
        <f>rrcworking[[#This Row],[Gauge Sheet Prod Volume]]-rrcworking[[#This Row],[Oil Production]]</f>
        <v>0</v>
      </c>
      <c r="V27" s="143">
        <f>IF(ISERROR(INDEX(Table2[GAS],MATCH(rrcworking[[#This Row],[Magnum Wolfpak '#]],Table2[Rox Wolf'#],0))),0,INDEX(Table2[GAS],MATCH(rrcworking[[#This Row],[Magnum Wolfpak '#]],Table2[Rox Wolf'#],0)))</f>
        <v>0</v>
      </c>
      <c r="W27" s="24"/>
      <c r="X27" s="135">
        <f>IF(rrcworking[[#This Row],[Pressure Base]]=14.73,rrcworking[[#This Row],[Gas Sales Statement Volume (MCF)]]*$R$2,rrcworking[[#This Row],[Gas Sales Statement Volume (MCF)]])</f>
        <v>0</v>
      </c>
      <c r="Y27" s="85"/>
      <c r="Z27" s="60">
        <v>1</v>
      </c>
      <c r="AA27" s="143">
        <f>IF(ISERROR(INDEX(Table2[LEASE USE],MATCH(rrcworking[[#This Row],[Magnum Wolfpak '#]],Table2[Rox Wolf'#],0))),0,INDEX(Table2[LEASE USE],MATCH(rrcworking[[#This Row],[Magnum Wolfpak '#]],Table2[Rox Wolf'#],0)))</f>
        <v>0</v>
      </c>
      <c r="AB27" s="57">
        <f>rrcworking[[#This Row],[Disposition Volume (MCF) @ 14.65 MCF]]+rrcworking[[#This Row],[Lease Use (MCF)]]</f>
        <v>0</v>
      </c>
      <c r="AC27" s="37"/>
      <c r="AD27" s="37"/>
      <c r="AE27" s="187">
        <f>COUNTIF(FilterList,rrcworking[[#This Row],[Magnum Wolfpak '#]])</f>
        <v>0</v>
      </c>
      <c r="AF27" s="184"/>
      <c r="AG27" s="185"/>
      <c r="AH27" s="37"/>
      <c r="AI27" s="37"/>
      <c r="AJ27" s="37">
        <v>3</v>
      </c>
      <c r="AK27" s="37" t="s">
        <v>1141</v>
      </c>
      <c r="AL27" s="37" t="s">
        <v>1167</v>
      </c>
      <c r="AM27" s="37" t="s">
        <v>1181</v>
      </c>
      <c r="AN27" s="37" t="s">
        <v>1167</v>
      </c>
      <c r="AO27" s="37" t="s">
        <v>1178</v>
      </c>
      <c r="AP27" s="37" t="s">
        <v>1185</v>
      </c>
      <c r="AQ27" s="37"/>
    </row>
    <row r="28" spans="3:43" ht="14" customHeight="1">
      <c r="C28" s="80" t="e">
        <v>#N/A</v>
      </c>
      <c r="D28" s="62" t="s">
        <v>88</v>
      </c>
      <c r="E28" s="131" t="s">
        <v>89</v>
      </c>
      <c r="F28" s="129">
        <v>1</v>
      </c>
      <c r="G28" s="120" t="s">
        <v>1091</v>
      </c>
      <c r="H28" s="18" t="s">
        <v>618</v>
      </c>
      <c r="I28" s="18" t="s">
        <v>59</v>
      </c>
      <c r="J28" s="19" t="s">
        <v>422</v>
      </c>
      <c r="K28" s="103">
        <v>258014</v>
      </c>
      <c r="L28" s="101">
        <f>INDEX(Table1[Production],MATCH(rrcworking[[#This Row],[RRC ID Number]],Table1[RRC Identifier],0))</f>
        <v>0</v>
      </c>
      <c r="M28" s="30">
        <f>INDEX(Table1[Formation Production],MATCH(rrcworking[[#This Row],[RRC ID Number]],Table1[RRC Identifier],0))</f>
        <v>0</v>
      </c>
      <c r="N28" s="31">
        <f>INDEX(Table1[On Hand End of Month],MATCH(rrcworking[[#This Row],[RRC ID Number]],Table1[RRC Identifier],0))</f>
        <v>132</v>
      </c>
      <c r="O28" s="106" t="b">
        <f t="shared" si="0"/>
        <v>1</v>
      </c>
      <c r="P28" s="181"/>
      <c r="Q28" s="127">
        <f>rrcworking[[#This Row],[Last Month Closing Stock]]</f>
        <v>132</v>
      </c>
      <c r="R28" s="181">
        <f>rrcworking[[#This Row],[Opening Oil Stock]]</f>
        <v>132</v>
      </c>
      <c r="S28" s="143">
        <f>IF(ISERROR(INDEX(Table2[OIL],MATCH(rrcworking[[#This Row],[Magnum Wolfpak '#]],Table2[Rox Wolf'#],0))),0,INDEX(Table2[OIL],MATCH(rrcworking[[#This Row],[Magnum Wolfpak '#]],Table2[Rox Wolf'#],0)))</f>
        <v>0</v>
      </c>
      <c r="T28" s="35">
        <f>rrcworking[[#This Row],[Closing Stock (Oil)]]+rrcworking[[#This Row],[Sales/Dispostion]]-rrcworking[[#This Row],[Opening Oil Stock]]</f>
        <v>0</v>
      </c>
      <c r="U28" s="112">
        <f>rrcworking[[#This Row],[Gauge Sheet Prod Volume]]-rrcworking[[#This Row],[Oil Production]]</f>
        <v>0</v>
      </c>
      <c r="V28" s="143">
        <f>IF(ISERROR(INDEX(Table2[GAS],MATCH(rrcworking[[#This Row],[Magnum Wolfpak '#]],Table2[Rox Wolf'#],0))),0,INDEX(Table2[GAS],MATCH(rrcworking[[#This Row],[Magnum Wolfpak '#]],Table2[Rox Wolf'#],0)))</f>
        <v>0</v>
      </c>
      <c r="W28" s="24"/>
      <c r="X28" s="135">
        <f>IF(rrcworking[[#This Row],[Pressure Base]]=14.73,rrcworking[[#This Row],[Gas Sales Statement Volume (MCF)]]*$R$2,rrcworking[[#This Row],[Gas Sales Statement Volume (MCF)]])</f>
        <v>0</v>
      </c>
      <c r="Y28" s="60"/>
      <c r="Z28" s="60"/>
      <c r="AA28" s="143">
        <f>IF(ISERROR(INDEX(Table2[LEASE USE],MATCH(rrcworking[[#This Row],[Magnum Wolfpak '#]],Table2[Rox Wolf'#],0))),0,INDEX(Table2[LEASE USE],MATCH(rrcworking[[#This Row],[Magnum Wolfpak '#]],Table2[Rox Wolf'#],0)))</f>
        <v>0</v>
      </c>
      <c r="AB28" s="57">
        <f>rrcworking[[#This Row],[Disposition Volume (MCF) @ 14.65 MCF]]+rrcworking[[#This Row],[Lease Use (MCF)]]</f>
        <v>0</v>
      </c>
      <c r="AC28" s="37"/>
      <c r="AD28" s="37"/>
      <c r="AE28" s="187">
        <f>COUNTIF(FilterList,rrcworking[[#This Row],[Magnum Wolfpak '#]])</f>
        <v>0</v>
      </c>
      <c r="AF28" s="184"/>
      <c r="AG28" s="185"/>
      <c r="AH28" s="37"/>
      <c r="AI28" s="37"/>
      <c r="AJ28" s="37"/>
      <c r="AK28" s="37"/>
      <c r="AL28" s="37"/>
      <c r="AM28" s="37"/>
      <c r="AN28" s="37"/>
      <c r="AO28" s="37"/>
      <c r="AP28" s="37"/>
      <c r="AQ28" s="37"/>
    </row>
    <row r="29" spans="3:43" ht="14" customHeight="1">
      <c r="C29" s="80">
        <v>99255</v>
      </c>
      <c r="D29" s="62" t="s">
        <v>114</v>
      </c>
      <c r="E29" s="131" t="s">
        <v>89</v>
      </c>
      <c r="F29" s="129">
        <v>1</v>
      </c>
      <c r="G29" s="120" t="s">
        <v>1091</v>
      </c>
      <c r="H29" s="18" t="s">
        <v>618</v>
      </c>
      <c r="I29" s="18" t="s">
        <v>59</v>
      </c>
      <c r="J29" s="19" t="s">
        <v>437</v>
      </c>
      <c r="K29" s="103">
        <v>286124</v>
      </c>
      <c r="L29" s="101">
        <f>INDEX(Table1[Production],MATCH(rrcworking[[#This Row],[RRC ID Number]],Table1[RRC Identifier],0))</f>
        <v>0</v>
      </c>
      <c r="M29" s="30">
        <f>INDEX(Table1[Formation Production],MATCH(rrcworking[[#This Row],[RRC ID Number]],Table1[RRC Identifier],0))</f>
        <v>0</v>
      </c>
      <c r="N29" s="31">
        <f>INDEX(Table1[On Hand End of Month],MATCH(rrcworking[[#This Row],[RRC ID Number]],Table1[RRC Identifier],0))</f>
        <v>80</v>
      </c>
      <c r="O29" s="106" t="b">
        <f t="shared" si="0"/>
        <v>1</v>
      </c>
      <c r="P29" s="181">
        <v>0</v>
      </c>
      <c r="Q29" s="127">
        <f>rrcworking[[#This Row],[Last Month Closing Stock]]</f>
        <v>80</v>
      </c>
      <c r="R29" s="181">
        <v>80</v>
      </c>
      <c r="S29" s="143">
        <f>IF(ISERROR(INDEX(Table2[OIL],MATCH(rrcworking[[#This Row],[Magnum Wolfpak '#]],Table2[Rox Wolf'#],0))),0,INDEX(Table2[OIL],MATCH(rrcworking[[#This Row],[Magnum Wolfpak '#]],Table2[Rox Wolf'#],0)))</f>
        <v>0</v>
      </c>
      <c r="T29" s="35">
        <f>rrcworking[[#This Row],[Closing Stock (Oil)]]+rrcworking[[#This Row],[Sales/Dispostion]]-rrcworking[[#This Row],[Opening Oil Stock]]</f>
        <v>0</v>
      </c>
      <c r="U29" s="112">
        <f>rrcworking[[#This Row],[Gauge Sheet Prod Volume]]-rrcworking[[#This Row],[Oil Production]]</f>
        <v>0</v>
      </c>
      <c r="V29" s="143">
        <f>IF(ISERROR(INDEX(Table2[GAS],MATCH(rrcworking[[#This Row],[Magnum Wolfpak '#]],Table2[Rox Wolf'#],0))),0,INDEX(Table2[GAS],MATCH(rrcworking[[#This Row],[Magnum Wolfpak '#]],Table2[Rox Wolf'#],0)))</f>
        <v>0</v>
      </c>
      <c r="W29" s="24"/>
      <c r="X29" s="135">
        <f>IF(rrcworking[[#This Row],[Pressure Base]]=14.73,rrcworking[[#This Row],[Gas Sales Statement Volume (MCF)]]*$R$2,rrcworking[[#This Row],[Gas Sales Statement Volume (MCF)]])</f>
        <v>0</v>
      </c>
      <c r="Y29" s="85"/>
      <c r="Z29" s="60">
        <v>1</v>
      </c>
      <c r="AA29" s="143">
        <f>IF(ISERROR(INDEX(Table2[LEASE USE],MATCH(rrcworking[[#This Row],[Magnum Wolfpak '#]],Table2[Rox Wolf'#],0))),0,INDEX(Table2[LEASE USE],MATCH(rrcworking[[#This Row],[Magnum Wolfpak '#]],Table2[Rox Wolf'#],0)))</f>
        <v>0</v>
      </c>
      <c r="AB29" s="57">
        <f>rrcworking[[#This Row],[Disposition Volume (MCF) @ 14.65 MCF]]+rrcworking[[#This Row],[Lease Use (MCF)]]</f>
        <v>0</v>
      </c>
      <c r="AC29" s="37"/>
      <c r="AD29" s="37" t="s">
        <v>1136</v>
      </c>
      <c r="AE29" s="187">
        <f>COUNTIF(FilterList,rrcworking[[#This Row],[Magnum Wolfpak '#]])</f>
        <v>0</v>
      </c>
      <c r="AF29" s="184"/>
      <c r="AG29" s="185"/>
      <c r="AH29" s="87"/>
      <c r="AI29" s="87"/>
      <c r="AJ29" s="186"/>
      <c r="AK29" s="186"/>
      <c r="AL29" s="186"/>
      <c r="AM29" s="186"/>
      <c r="AN29" s="186"/>
      <c r="AO29" s="186"/>
      <c r="AP29" s="37" t="s">
        <v>1165</v>
      </c>
      <c r="AQ29" s="37" t="s">
        <v>1186</v>
      </c>
    </row>
    <row r="30" spans="3:43" ht="14" customHeight="1">
      <c r="C30" s="80" t="e">
        <v>#N/A</v>
      </c>
      <c r="D30" s="62" t="s">
        <v>282</v>
      </c>
      <c r="E30" s="131" t="s">
        <v>284</v>
      </c>
      <c r="F30" s="129">
        <v>0</v>
      </c>
      <c r="G30" s="120" t="s">
        <v>1091</v>
      </c>
      <c r="H30" s="18" t="s">
        <v>619</v>
      </c>
      <c r="I30" s="18" t="s">
        <v>2</v>
      </c>
      <c r="J30" s="19" t="s">
        <v>537</v>
      </c>
      <c r="K30" s="103">
        <v>27162</v>
      </c>
      <c r="L30" s="101">
        <f>INDEX(Table1[Production],MATCH(rrcworking[[#This Row],[RRC ID Number]],Table1[RRC Identifier],0))</f>
        <v>0</v>
      </c>
      <c r="M30" s="30">
        <f>INDEX(Table1[Formation Production],MATCH(rrcworking[[#This Row],[RRC ID Number]],Table1[RRC Identifier],0))</f>
        <v>0</v>
      </c>
      <c r="N30" s="31">
        <f>INDEX(Table1[On Hand End of Month],MATCH(rrcworking[[#This Row],[RRC ID Number]],Table1[RRC Identifier],0))</f>
        <v>0</v>
      </c>
      <c r="O30" s="106" t="b">
        <f t="shared" si="0"/>
        <v>1</v>
      </c>
      <c r="P30" s="181"/>
      <c r="Q30" s="127">
        <f>rrcworking[[#This Row],[Last Month Closing Stock]]</f>
        <v>0</v>
      </c>
      <c r="R30" s="181">
        <f>rrcworking[[#This Row],[Opening Oil Stock]]</f>
        <v>0</v>
      </c>
      <c r="S30" s="143">
        <f>IF(ISERROR(INDEX(Table2[OIL],MATCH(rrcworking[[#This Row],[Magnum Wolfpak '#]],Table2[Rox Wolf'#],0))),0,INDEX(Table2[OIL],MATCH(rrcworking[[#This Row],[Magnum Wolfpak '#]],Table2[Rox Wolf'#],0)))</f>
        <v>0</v>
      </c>
      <c r="T30" s="35">
        <f>rrcworking[[#This Row],[Closing Stock (Oil)]]+rrcworking[[#This Row],[Sales/Dispostion]]-rrcworking[[#This Row],[Opening Oil Stock]]</f>
        <v>0</v>
      </c>
      <c r="U30" s="112">
        <f>rrcworking[[#This Row],[Gauge Sheet Prod Volume]]-rrcworking[[#This Row],[Oil Production]]</f>
        <v>0</v>
      </c>
      <c r="V30" s="143">
        <f>IF(ISERROR(INDEX(Table2[GAS],MATCH(rrcworking[[#This Row],[Magnum Wolfpak '#]],Table2[Rox Wolf'#],0))),0,INDEX(Table2[GAS],MATCH(rrcworking[[#This Row],[Magnum Wolfpak '#]],Table2[Rox Wolf'#],0)))</f>
        <v>0</v>
      </c>
      <c r="W30" s="24"/>
      <c r="X30" s="135">
        <f>IF(rrcworking[[#This Row],[Pressure Base]]=14.73,rrcworking[[#This Row],[Gas Sales Statement Volume (MCF)]]*$R$2,rrcworking[[#This Row],[Gas Sales Statement Volume (MCF)]])</f>
        <v>0</v>
      </c>
      <c r="Y30" s="60"/>
      <c r="Z30" s="60"/>
      <c r="AA30" s="143">
        <f>IF(ISERROR(INDEX(Table2[LEASE USE],MATCH(rrcworking[[#This Row],[Magnum Wolfpak '#]],Table2[Rox Wolf'#],0))),0,INDEX(Table2[LEASE USE],MATCH(rrcworking[[#This Row],[Magnum Wolfpak '#]],Table2[Rox Wolf'#],0)))</f>
        <v>0</v>
      </c>
      <c r="AB30" s="57">
        <f>rrcworking[[#This Row],[Disposition Volume (MCF) @ 14.65 MCF]]+rrcworking[[#This Row],[Lease Use (MCF)]]</f>
        <v>0</v>
      </c>
      <c r="AC30" s="37"/>
      <c r="AD30" s="37"/>
      <c r="AE30" s="187">
        <f>COUNTIF(FilterList,rrcworking[[#This Row],[Magnum Wolfpak '#]])</f>
        <v>0</v>
      </c>
      <c r="AF30" s="184"/>
      <c r="AG30" s="185"/>
      <c r="AH30" s="37"/>
      <c r="AI30" s="37"/>
      <c r="AJ30" s="37"/>
      <c r="AK30" s="37"/>
      <c r="AL30" s="37"/>
      <c r="AM30" s="37"/>
      <c r="AN30" s="37"/>
      <c r="AO30" s="37"/>
      <c r="AP30" s="37"/>
      <c r="AQ30" s="37"/>
    </row>
    <row r="31" spans="3:43" ht="14" customHeight="1">
      <c r="C31" s="80" t="e">
        <v>#N/A</v>
      </c>
      <c r="D31" s="62" t="s">
        <v>257</v>
      </c>
      <c r="E31" s="131" t="s">
        <v>258</v>
      </c>
      <c r="F31" s="129">
        <v>0</v>
      </c>
      <c r="G31" s="120" t="s">
        <v>1091</v>
      </c>
      <c r="H31" s="18" t="s">
        <v>619</v>
      </c>
      <c r="I31" s="18" t="s">
        <v>2</v>
      </c>
      <c r="J31" s="19" t="s">
        <v>518</v>
      </c>
      <c r="K31" s="103">
        <v>21879</v>
      </c>
      <c r="L31" s="101">
        <f>INDEX(Table1[Production],MATCH(rrcworking[[#This Row],[RRC ID Number]],Table1[RRC Identifier],0))</f>
        <v>0</v>
      </c>
      <c r="M31" s="30">
        <f>INDEX(Table1[Formation Production],MATCH(rrcworking[[#This Row],[RRC ID Number]],Table1[RRC Identifier],0))</f>
        <v>0</v>
      </c>
      <c r="N31" s="31">
        <f>INDEX(Table1[On Hand End of Month],MATCH(rrcworking[[#This Row],[RRC ID Number]],Table1[RRC Identifier],0))</f>
        <v>0</v>
      </c>
      <c r="O31" s="106" t="b">
        <f t="shared" si="0"/>
        <v>1</v>
      </c>
      <c r="P31" s="181"/>
      <c r="Q31" s="127">
        <f>rrcworking[[#This Row],[Last Month Closing Stock]]</f>
        <v>0</v>
      </c>
      <c r="R31" s="181">
        <f>rrcworking[[#This Row],[Opening Oil Stock]]</f>
        <v>0</v>
      </c>
      <c r="S31" s="143">
        <f>IF(ISERROR(INDEX(Table2[OIL],MATCH(rrcworking[[#This Row],[Magnum Wolfpak '#]],Table2[Rox Wolf'#],0))),0,INDEX(Table2[OIL],MATCH(rrcworking[[#This Row],[Magnum Wolfpak '#]],Table2[Rox Wolf'#],0)))</f>
        <v>0</v>
      </c>
      <c r="T31" s="35">
        <f>rrcworking[[#This Row],[Closing Stock (Oil)]]+rrcworking[[#This Row],[Sales/Dispostion]]-rrcworking[[#This Row],[Opening Oil Stock]]</f>
        <v>0</v>
      </c>
      <c r="U31" s="112">
        <f>rrcworking[[#This Row],[Gauge Sheet Prod Volume]]-rrcworking[[#This Row],[Oil Production]]</f>
        <v>0</v>
      </c>
      <c r="V31" s="143">
        <f>IF(ISERROR(INDEX(Table2[GAS],MATCH(rrcworking[[#This Row],[Magnum Wolfpak '#]],Table2[Rox Wolf'#],0))),0,INDEX(Table2[GAS],MATCH(rrcworking[[#This Row],[Magnum Wolfpak '#]],Table2[Rox Wolf'#],0)))</f>
        <v>0</v>
      </c>
      <c r="W31" s="24"/>
      <c r="X31" s="135">
        <f>IF(rrcworking[[#This Row],[Pressure Base]]=14.73,rrcworking[[#This Row],[Gas Sales Statement Volume (MCF)]]*$R$2,rrcworking[[#This Row],[Gas Sales Statement Volume (MCF)]])</f>
        <v>0</v>
      </c>
      <c r="Y31" s="60"/>
      <c r="Z31" s="60"/>
      <c r="AA31" s="143">
        <f>IF(ISERROR(INDEX(Table2[LEASE USE],MATCH(rrcworking[[#This Row],[Magnum Wolfpak '#]],Table2[Rox Wolf'#],0))),0,INDEX(Table2[LEASE USE],MATCH(rrcworking[[#This Row],[Magnum Wolfpak '#]],Table2[Rox Wolf'#],0)))</f>
        <v>0</v>
      </c>
      <c r="AB31" s="57">
        <f>rrcworking[[#This Row],[Disposition Volume (MCF) @ 14.65 MCF]]+rrcworking[[#This Row],[Lease Use (MCF)]]</f>
        <v>0</v>
      </c>
      <c r="AC31" s="37"/>
      <c r="AD31" s="37"/>
      <c r="AE31" s="187">
        <f>COUNTIF(FilterList,rrcworking[[#This Row],[Magnum Wolfpak '#]])</f>
        <v>0</v>
      </c>
      <c r="AF31" s="184"/>
      <c r="AG31" s="185"/>
      <c r="AH31" s="37"/>
      <c r="AI31" s="37"/>
      <c r="AJ31" s="37"/>
      <c r="AK31" s="37"/>
      <c r="AL31" s="37"/>
      <c r="AM31" s="37"/>
      <c r="AN31" s="37"/>
      <c r="AO31" s="37"/>
      <c r="AP31" s="37"/>
      <c r="AQ31" s="37"/>
    </row>
    <row r="32" spans="3:43" ht="14" customHeight="1">
      <c r="C32" s="80">
        <v>98921</v>
      </c>
      <c r="D32" s="62" t="s">
        <v>104</v>
      </c>
      <c r="E32" s="131" t="s">
        <v>105</v>
      </c>
      <c r="F32" s="129">
        <v>0</v>
      </c>
      <c r="G32" s="120" t="s">
        <v>1091</v>
      </c>
      <c r="H32" s="18" t="s">
        <v>618</v>
      </c>
      <c r="I32" s="18" t="s">
        <v>2</v>
      </c>
      <c r="J32" s="19" t="s">
        <v>431</v>
      </c>
      <c r="K32" s="103">
        <v>8646</v>
      </c>
      <c r="L32" s="101">
        <f>INDEX(Table1[Production],MATCH(rrcworking[[#This Row],[RRC ID Number]],Table1[RRC Identifier],0))</f>
        <v>185</v>
      </c>
      <c r="M32" s="30">
        <f>INDEX(Table1[Formation Production],MATCH(rrcworking[[#This Row],[RRC ID Number]],Table1[RRC Identifier],0))</f>
        <v>0</v>
      </c>
      <c r="N32" s="31">
        <f>INDEX(Table1[On Hand End of Month],MATCH(rrcworking[[#This Row],[RRC ID Number]],Table1[RRC Identifier],0))</f>
        <v>105</v>
      </c>
      <c r="O32" s="106" t="b">
        <f t="shared" si="0"/>
        <v>0</v>
      </c>
      <c r="P32" s="181">
        <v>178</v>
      </c>
      <c r="Q32" s="127">
        <f>rrcworking[[#This Row],[Last Month Closing Stock]]</f>
        <v>105</v>
      </c>
      <c r="R32" s="182">
        <v>116</v>
      </c>
      <c r="S32" s="143">
        <f>IF(ISERROR(INDEX(Table2[OIL],MATCH(rrcworking[[#This Row],[Magnum Wolfpak '#]],Table2[Rox Wolf'#],0))),0,INDEX(Table2[OIL],MATCH(rrcworking[[#This Row],[Magnum Wolfpak '#]],Table2[Rox Wolf'#],0)))</f>
        <v>164</v>
      </c>
      <c r="T32" s="35">
        <f>rrcworking[[#This Row],[Closing Stock (Oil)]]+rrcworking[[#This Row],[Sales/Dispostion]]-rrcworking[[#This Row],[Opening Oil Stock]]</f>
        <v>175</v>
      </c>
      <c r="U32" s="112">
        <f>rrcworking[[#This Row],[Gauge Sheet Prod Volume]]-rrcworking[[#This Row],[Oil Production]]</f>
        <v>3</v>
      </c>
      <c r="V32" s="143">
        <f>IF(ISERROR(INDEX(Table2[GAS],MATCH(rrcworking[[#This Row],[Magnum Wolfpak '#]],Table2[Rox Wolf'#],0))),0,INDEX(Table2[GAS],MATCH(rrcworking[[#This Row],[Magnum Wolfpak '#]],Table2[Rox Wolf'#],0)))</f>
        <v>0</v>
      </c>
      <c r="W32" s="24"/>
      <c r="X32" s="135">
        <f>IF(rrcworking[[#This Row],[Pressure Base]]=14.73,rrcworking[[#This Row],[Gas Sales Statement Volume (MCF)]]*$R$2,rrcworking[[#This Row],[Gas Sales Statement Volume (MCF)]])</f>
        <v>0</v>
      </c>
      <c r="Y32" s="60"/>
      <c r="Z32" s="60"/>
      <c r="AA32" s="143">
        <f>IF(ISERROR(INDEX(Table2[LEASE USE],MATCH(rrcworking[[#This Row],[Magnum Wolfpak '#]],Table2[Rox Wolf'#],0))),0,INDEX(Table2[LEASE USE],MATCH(rrcworking[[#This Row],[Magnum Wolfpak '#]],Table2[Rox Wolf'#],0)))</f>
        <v>0</v>
      </c>
      <c r="AB32" s="57">
        <f>rrcworking[[#This Row],[Disposition Volume (MCF) @ 14.65 MCF]]+rrcworking[[#This Row],[Lease Use (MCF)]]</f>
        <v>0</v>
      </c>
      <c r="AC32" s="37"/>
      <c r="AD32" s="37"/>
      <c r="AE32" s="187">
        <f>COUNTIF(FilterList,rrcworking[[#This Row],[Magnum Wolfpak '#]])</f>
        <v>0</v>
      </c>
      <c r="AF32" s="184"/>
      <c r="AG32" s="185"/>
      <c r="AH32" s="37"/>
      <c r="AI32" s="185"/>
      <c r="AJ32" s="37">
        <v>2</v>
      </c>
      <c r="AK32" s="37" t="s">
        <v>1141</v>
      </c>
      <c r="AL32" s="37" t="s">
        <v>1141</v>
      </c>
      <c r="AM32" s="37" t="s">
        <v>1187</v>
      </c>
      <c r="AN32" s="37" t="s">
        <v>1167</v>
      </c>
      <c r="AO32" s="37" t="s">
        <v>1188</v>
      </c>
      <c r="AP32" s="37" t="s">
        <v>1189</v>
      </c>
      <c r="AQ32" s="37"/>
    </row>
    <row r="33" spans="3:43" ht="14" customHeight="1">
      <c r="C33" s="80" t="e">
        <v>#N/A</v>
      </c>
      <c r="D33" s="62" t="s">
        <v>373</v>
      </c>
      <c r="E33" s="131" t="s">
        <v>374</v>
      </c>
      <c r="F33" s="129">
        <v>2</v>
      </c>
      <c r="G33" s="120" t="s">
        <v>1091</v>
      </c>
      <c r="H33" s="18" t="s">
        <v>620</v>
      </c>
      <c r="I33" s="18" t="s">
        <v>59</v>
      </c>
      <c r="J33" s="19" t="s">
        <v>590</v>
      </c>
      <c r="K33" s="103">
        <v>195786</v>
      </c>
      <c r="L33" s="101">
        <f>INDEX(Table1[Production],MATCH(rrcworking[[#This Row],[RRC ID Number]],Table1[RRC Identifier],0))</f>
        <v>0</v>
      </c>
      <c r="M33" s="30">
        <f>INDEX(Table1[Formation Production],MATCH(rrcworking[[#This Row],[RRC ID Number]],Table1[RRC Identifier],0))</f>
        <v>0</v>
      </c>
      <c r="N33" s="31">
        <f>INDEX(Table1[On Hand End of Month],MATCH(rrcworking[[#This Row],[RRC ID Number]],Table1[RRC Identifier],0))</f>
        <v>0</v>
      </c>
      <c r="O33" s="106" t="b">
        <f t="shared" si="0"/>
        <v>1</v>
      </c>
      <c r="P33" s="181"/>
      <c r="Q33" s="127">
        <f>rrcworking[[#This Row],[Last Month Closing Stock]]</f>
        <v>0</v>
      </c>
      <c r="R33" s="181">
        <f>rrcworking[[#This Row],[Opening Oil Stock]]</f>
        <v>0</v>
      </c>
      <c r="S33" s="143">
        <f>IF(ISERROR(INDEX(Table2[OIL],MATCH(rrcworking[[#This Row],[Magnum Wolfpak '#]],Table2[Rox Wolf'#],0))),0,INDEX(Table2[OIL],MATCH(rrcworking[[#This Row],[Magnum Wolfpak '#]],Table2[Rox Wolf'#],0)))</f>
        <v>0</v>
      </c>
      <c r="T33" s="35">
        <f>rrcworking[[#This Row],[Closing Stock (Oil)]]+rrcworking[[#This Row],[Sales/Dispostion]]-rrcworking[[#This Row],[Opening Oil Stock]]</f>
        <v>0</v>
      </c>
      <c r="U33" s="112">
        <f>rrcworking[[#This Row],[Gauge Sheet Prod Volume]]-rrcworking[[#This Row],[Oil Production]]</f>
        <v>0</v>
      </c>
      <c r="V33" s="143">
        <f>IF(ISERROR(INDEX(Table2[GAS],MATCH(rrcworking[[#This Row],[Magnum Wolfpak '#]],Table2[Rox Wolf'#],0))),0,INDEX(Table2[GAS],MATCH(rrcworking[[#This Row],[Magnum Wolfpak '#]],Table2[Rox Wolf'#],0)))</f>
        <v>0</v>
      </c>
      <c r="W33" s="24"/>
      <c r="X33" s="135">
        <f>IF(rrcworking[[#This Row],[Pressure Base]]=14.73,rrcworking[[#This Row],[Gas Sales Statement Volume (MCF)]]*$R$2,rrcworking[[#This Row],[Gas Sales Statement Volume (MCF)]])</f>
        <v>0</v>
      </c>
      <c r="Y33" s="60"/>
      <c r="Z33" s="60"/>
      <c r="AA33" s="143">
        <f>IF(ISERROR(INDEX(Table2[LEASE USE],MATCH(rrcworking[[#This Row],[Magnum Wolfpak '#]],Table2[Rox Wolf'#],0))),0,INDEX(Table2[LEASE USE],MATCH(rrcworking[[#This Row],[Magnum Wolfpak '#]],Table2[Rox Wolf'#],0)))</f>
        <v>0</v>
      </c>
      <c r="AB33" s="57">
        <f>rrcworking[[#This Row],[Disposition Volume (MCF) @ 14.65 MCF]]+rrcworking[[#This Row],[Lease Use (MCF)]]</f>
        <v>0</v>
      </c>
      <c r="AC33" s="37"/>
      <c r="AD33" s="37"/>
      <c r="AE33" s="187">
        <f>COUNTIF(FilterList,rrcworking[[#This Row],[Magnum Wolfpak '#]])</f>
        <v>0</v>
      </c>
      <c r="AF33" s="184"/>
      <c r="AG33" s="185"/>
      <c r="AH33" s="37"/>
      <c r="AI33" s="37"/>
      <c r="AJ33" s="37"/>
      <c r="AK33" s="37"/>
      <c r="AL33" s="37"/>
      <c r="AM33" s="37"/>
      <c r="AN33" s="37"/>
      <c r="AO33" s="37"/>
      <c r="AP33" s="37"/>
      <c r="AQ33" s="37"/>
    </row>
    <row r="34" spans="3:43" ht="14" customHeight="1">
      <c r="C34" s="80" t="e">
        <v>#N/A</v>
      </c>
      <c r="D34" s="62" t="s">
        <v>314</v>
      </c>
      <c r="E34" s="131" t="s">
        <v>315</v>
      </c>
      <c r="F34" s="129">
        <v>0</v>
      </c>
      <c r="G34" s="120" t="s">
        <v>1091</v>
      </c>
      <c r="H34" s="18" t="s">
        <v>620</v>
      </c>
      <c r="I34" s="18" t="s">
        <v>2</v>
      </c>
      <c r="J34" s="19" t="s">
        <v>556</v>
      </c>
      <c r="K34" s="103">
        <v>13410</v>
      </c>
      <c r="L34" s="101">
        <f>INDEX(Table1[Production],MATCH(rrcworking[[#This Row],[RRC ID Number]],Table1[RRC Identifier],0))</f>
        <v>0</v>
      </c>
      <c r="M34" s="30">
        <f>INDEX(Table1[Formation Production],MATCH(rrcworking[[#This Row],[RRC ID Number]],Table1[RRC Identifier],0))</f>
        <v>0</v>
      </c>
      <c r="N34" s="31">
        <f>INDEX(Table1[On Hand End of Month],MATCH(rrcworking[[#This Row],[RRC ID Number]],Table1[RRC Identifier],0))</f>
        <v>235</v>
      </c>
      <c r="O34" s="106" t="b">
        <f t="shared" si="0"/>
        <v>1</v>
      </c>
      <c r="P34" s="181"/>
      <c r="Q34" s="127">
        <f>rrcworking[[#This Row],[Last Month Closing Stock]]</f>
        <v>235</v>
      </c>
      <c r="R34" s="181">
        <f>rrcworking[[#This Row],[Opening Oil Stock]]</f>
        <v>235</v>
      </c>
      <c r="S34" s="143">
        <f>IF(ISERROR(INDEX(Table2[OIL],MATCH(rrcworking[[#This Row],[Magnum Wolfpak '#]],Table2[Rox Wolf'#],0))),0,INDEX(Table2[OIL],MATCH(rrcworking[[#This Row],[Magnum Wolfpak '#]],Table2[Rox Wolf'#],0)))</f>
        <v>0</v>
      </c>
      <c r="T34" s="35">
        <f>rrcworking[[#This Row],[Closing Stock (Oil)]]+rrcworking[[#This Row],[Sales/Dispostion]]-rrcworking[[#This Row],[Opening Oil Stock]]</f>
        <v>0</v>
      </c>
      <c r="U34" s="112">
        <f>rrcworking[[#This Row],[Gauge Sheet Prod Volume]]-rrcworking[[#This Row],[Oil Production]]</f>
        <v>0</v>
      </c>
      <c r="V34" s="143">
        <f>IF(ISERROR(INDEX(Table2[GAS],MATCH(rrcworking[[#This Row],[Magnum Wolfpak '#]],Table2[Rox Wolf'#],0))),0,INDEX(Table2[GAS],MATCH(rrcworking[[#This Row],[Magnum Wolfpak '#]],Table2[Rox Wolf'#],0)))</f>
        <v>0</v>
      </c>
      <c r="W34" s="24"/>
      <c r="X34" s="135">
        <f>IF(rrcworking[[#This Row],[Pressure Base]]=14.73,rrcworking[[#This Row],[Gas Sales Statement Volume (MCF)]]*$R$2,rrcworking[[#This Row],[Gas Sales Statement Volume (MCF)]])</f>
        <v>0</v>
      </c>
      <c r="Y34" s="60"/>
      <c r="Z34" s="60"/>
      <c r="AA34" s="143">
        <f>IF(ISERROR(INDEX(Table2[LEASE USE],MATCH(rrcworking[[#This Row],[Magnum Wolfpak '#]],Table2[Rox Wolf'#],0))),0,INDEX(Table2[LEASE USE],MATCH(rrcworking[[#This Row],[Magnum Wolfpak '#]],Table2[Rox Wolf'#],0)))</f>
        <v>0</v>
      </c>
      <c r="AB34" s="57">
        <f>rrcworking[[#This Row],[Disposition Volume (MCF) @ 14.65 MCF]]+rrcworking[[#This Row],[Lease Use (MCF)]]</f>
        <v>0</v>
      </c>
      <c r="AC34" s="37"/>
      <c r="AD34" s="37"/>
      <c r="AE34" s="187">
        <f>COUNTIF(FilterList,rrcworking[[#This Row],[Magnum Wolfpak '#]])</f>
        <v>0</v>
      </c>
      <c r="AF34" s="184"/>
      <c r="AG34" s="185"/>
      <c r="AH34" s="37"/>
      <c r="AI34" s="37"/>
      <c r="AJ34" s="37"/>
      <c r="AK34" s="37"/>
      <c r="AL34" s="37"/>
      <c r="AM34" s="37"/>
      <c r="AN34" s="37"/>
      <c r="AO34" s="37"/>
      <c r="AP34" s="37"/>
      <c r="AQ34" s="37"/>
    </row>
    <row r="35" spans="3:43" ht="14" customHeight="1">
      <c r="C35" s="80">
        <v>99017</v>
      </c>
      <c r="D35" s="62" t="s">
        <v>80</v>
      </c>
      <c r="E35" s="131" t="s">
        <v>81</v>
      </c>
      <c r="F35" s="129">
        <v>1</v>
      </c>
      <c r="G35" s="120" t="s">
        <v>1091</v>
      </c>
      <c r="H35" s="18" t="s">
        <v>618</v>
      </c>
      <c r="I35" s="18" t="s">
        <v>59</v>
      </c>
      <c r="J35" s="19" t="s">
        <v>418</v>
      </c>
      <c r="K35" s="103">
        <v>250887</v>
      </c>
      <c r="L35" s="101">
        <f>INDEX(Table1[Production],MATCH(rrcworking[[#This Row],[RRC ID Number]],Table1[RRC Identifier],0))</f>
        <v>0</v>
      </c>
      <c r="M35" s="30">
        <f>INDEX(Table1[Formation Production],MATCH(rrcworking[[#This Row],[RRC ID Number]],Table1[RRC Identifier],0))</f>
        <v>4641</v>
      </c>
      <c r="N35" s="31">
        <f>INDEX(Table1[On Hand End of Month],MATCH(rrcworking[[#This Row],[RRC ID Number]],Table1[RRC Identifier],0))</f>
        <v>0</v>
      </c>
      <c r="O35" s="106" t="b">
        <f t="shared" si="0"/>
        <v>0</v>
      </c>
      <c r="P35" s="181">
        <v>0</v>
      </c>
      <c r="Q35" s="127">
        <f>rrcworking[[#This Row],[Last Month Closing Stock]]</f>
        <v>0</v>
      </c>
      <c r="R35" s="181">
        <v>0</v>
      </c>
      <c r="S35" s="143">
        <f>IF(ISERROR(INDEX(Table2[OIL],MATCH(rrcworking[[#This Row],[Magnum Wolfpak '#]],Table2[Rox Wolf'#],0))),0,INDEX(Table2[OIL],MATCH(rrcworking[[#This Row],[Magnum Wolfpak '#]],Table2[Rox Wolf'#],0)))</f>
        <v>0</v>
      </c>
      <c r="T35" s="35">
        <f>rrcworking[[#This Row],[Closing Stock (Oil)]]+rrcworking[[#This Row],[Sales/Dispostion]]-rrcworking[[#This Row],[Opening Oil Stock]]</f>
        <v>0</v>
      </c>
      <c r="U35" s="112">
        <f>rrcworking[[#This Row],[Gauge Sheet Prod Volume]]-rrcworking[[#This Row],[Oil Production]]</f>
        <v>0</v>
      </c>
      <c r="V35" s="143">
        <f>IF(ISERROR(INDEX(Table2[GAS],MATCH(rrcworking[[#This Row],[Magnum Wolfpak '#]],Table2[Rox Wolf'#],0))),0,INDEX(Table2[GAS],MATCH(rrcworking[[#This Row],[Magnum Wolfpak '#]],Table2[Rox Wolf'#],0)))</f>
        <v>4448</v>
      </c>
      <c r="W35" s="24"/>
      <c r="X35" s="135">
        <f>IF(rrcworking[[#This Row],[Pressure Base]]=14.73,rrcworking[[#This Row],[Gas Sales Statement Volume (MCF)]]*$R$2,rrcworking[[#This Row],[Gas Sales Statement Volume (MCF)]])</f>
        <v>4448</v>
      </c>
      <c r="Y35" s="85"/>
      <c r="Z35" s="60">
        <v>7</v>
      </c>
      <c r="AA35" s="143">
        <f>IF(ISERROR(INDEX(Table2[LEASE USE],MATCH(rrcworking[[#This Row],[Magnum Wolfpak '#]],Table2[Rox Wolf'#],0))),0,INDEX(Table2[LEASE USE],MATCH(rrcworking[[#This Row],[Magnum Wolfpak '#]],Table2[Rox Wolf'#],0)))</f>
        <v>210</v>
      </c>
      <c r="AB35" s="57">
        <f>rrcworking[[#This Row],[Disposition Volume (MCF) @ 14.65 MCF]]+rrcworking[[#This Row],[Lease Use (MCF)]]</f>
        <v>4658</v>
      </c>
      <c r="AC35" s="37"/>
      <c r="AD35" s="37"/>
      <c r="AE35" s="187">
        <f>COUNTIF(FilterList,rrcworking[[#This Row],[Magnum Wolfpak '#]])</f>
        <v>0</v>
      </c>
      <c r="AF35" s="184"/>
      <c r="AG35" s="185"/>
      <c r="AH35" s="37"/>
      <c r="AI35" s="37"/>
      <c r="AJ35" s="37">
        <v>3</v>
      </c>
      <c r="AK35" s="37" t="s">
        <v>1141</v>
      </c>
      <c r="AL35" s="37" t="s">
        <v>1167</v>
      </c>
      <c r="AM35" s="37" t="s">
        <v>1181</v>
      </c>
      <c r="AN35" s="37" t="s">
        <v>1167</v>
      </c>
      <c r="AO35" s="37" t="s">
        <v>1178</v>
      </c>
      <c r="AP35" s="37" t="s">
        <v>1190</v>
      </c>
      <c r="AQ35" s="37"/>
    </row>
    <row r="36" spans="3:43" ht="14" customHeight="1">
      <c r="C36" s="80">
        <v>99067</v>
      </c>
      <c r="D36" s="62" t="s">
        <v>352</v>
      </c>
      <c r="E36" s="131" t="s">
        <v>353</v>
      </c>
      <c r="F36" s="129">
        <v>14</v>
      </c>
      <c r="G36" s="120" t="s">
        <v>1091</v>
      </c>
      <c r="H36" s="18" t="s">
        <v>620</v>
      </c>
      <c r="I36" s="18" t="s">
        <v>59</v>
      </c>
      <c r="J36" s="19" t="s">
        <v>579</v>
      </c>
      <c r="K36" s="103">
        <v>162080</v>
      </c>
      <c r="L36" s="101">
        <f>INDEX(Table1[Production],MATCH(rrcworking[[#This Row],[RRC ID Number]],Table1[RRC Identifier],0))</f>
        <v>0</v>
      </c>
      <c r="M36" s="30">
        <f>INDEX(Table1[Formation Production],MATCH(rrcworking[[#This Row],[RRC ID Number]],Table1[RRC Identifier],0))</f>
        <v>324</v>
      </c>
      <c r="N36" s="31">
        <f>INDEX(Table1[On Hand End of Month],MATCH(rrcworking[[#This Row],[RRC ID Number]],Table1[RRC Identifier],0))</f>
        <v>3</v>
      </c>
      <c r="O36" s="106" t="b">
        <f t="shared" si="0"/>
        <v>0</v>
      </c>
      <c r="P36" s="181"/>
      <c r="Q36" s="127">
        <f>rrcworking[[#This Row],[Last Month Closing Stock]]</f>
        <v>3</v>
      </c>
      <c r="R36" s="181">
        <f>rrcworking[[#This Row],[Opening Oil Stock]]</f>
        <v>3</v>
      </c>
      <c r="S36" s="143">
        <f>IF(ISERROR(INDEX(Table2[OIL],MATCH(rrcworking[[#This Row],[Magnum Wolfpak '#]],Table2[Rox Wolf'#],0))),0,INDEX(Table2[OIL],MATCH(rrcworking[[#This Row],[Magnum Wolfpak '#]],Table2[Rox Wolf'#],0)))</f>
        <v>0</v>
      </c>
      <c r="T36" s="35">
        <f>rrcworking[[#This Row],[Closing Stock (Oil)]]+rrcworking[[#This Row],[Sales/Dispostion]]-rrcworking[[#This Row],[Opening Oil Stock]]</f>
        <v>0</v>
      </c>
      <c r="U36" s="112">
        <f>rrcworking[[#This Row],[Gauge Sheet Prod Volume]]-rrcworking[[#This Row],[Oil Production]]</f>
        <v>0</v>
      </c>
      <c r="V36" s="143">
        <f>IF(ISERROR(INDEX(Table2[GAS],MATCH(rrcworking[[#This Row],[Magnum Wolfpak '#]],Table2[Rox Wolf'#],0))),0,INDEX(Table2[GAS],MATCH(rrcworking[[#This Row],[Magnum Wolfpak '#]],Table2[Rox Wolf'#],0)))</f>
        <v>268</v>
      </c>
      <c r="W36" s="24"/>
      <c r="X36" s="135">
        <f>IF(rrcworking[[#This Row],[Pressure Base]]=14.73,rrcworking[[#This Row],[Gas Sales Statement Volume (MCF)]]*$R$2,rrcworking[[#This Row],[Gas Sales Statement Volume (MCF)]])</f>
        <v>268</v>
      </c>
      <c r="Y36" s="60"/>
      <c r="Z36" s="60"/>
      <c r="AA36" s="143">
        <f>IF(ISERROR(INDEX(Table2[LEASE USE],MATCH(rrcworking[[#This Row],[Magnum Wolfpak '#]],Table2[Rox Wolf'#],0))),0,INDEX(Table2[LEASE USE],MATCH(rrcworking[[#This Row],[Magnum Wolfpak '#]],Table2[Rox Wolf'#],0)))</f>
        <v>0</v>
      </c>
      <c r="AB36" s="57">
        <f>rrcworking[[#This Row],[Disposition Volume (MCF) @ 14.65 MCF]]+rrcworking[[#This Row],[Lease Use (MCF)]]</f>
        <v>268</v>
      </c>
      <c r="AC36" s="97"/>
      <c r="AD36" s="37"/>
      <c r="AE36" s="187">
        <f>COUNTIF(FilterList,rrcworking[[#This Row],[Magnum Wolfpak '#]])</f>
        <v>0</v>
      </c>
      <c r="AF36" s="184"/>
      <c r="AG36" s="185"/>
      <c r="AH36" s="87"/>
      <c r="AI36" s="87"/>
      <c r="AJ36" s="186"/>
      <c r="AK36" s="186"/>
      <c r="AL36" s="186"/>
      <c r="AM36" s="186"/>
      <c r="AN36" s="186"/>
      <c r="AO36" s="186"/>
      <c r="AP36" s="37" t="s">
        <v>1165</v>
      </c>
      <c r="AQ36" s="37" t="s">
        <v>1191</v>
      </c>
    </row>
    <row r="37" spans="3:43" ht="14" customHeight="1">
      <c r="C37" s="80">
        <v>98915</v>
      </c>
      <c r="D37" s="62" t="s">
        <v>141</v>
      </c>
      <c r="E37" s="131" t="s">
        <v>143</v>
      </c>
      <c r="F37" s="129">
        <v>4</v>
      </c>
      <c r="G37" s="120" t="s">
        <v>1091</v>
      </c>
      <c r="H37" s="18" t="s">
        <v>618</v>
      </c>
      <c r="I37" s="18" t="s">
        <v>59</v>
      </c>
      <c r="J37" s="19" t="s">
        <v>456</v>
      </c>
      <c r="K37" s="103">
        <v>174916</v>
      </c>
      <c r="L37" s="101">
        <f>INDEX(Table1[Production],MATCH(rrcworking[[#This Row],[RRC ID Number]],Table1[RRC Identifier],0))</f>
        <v>0</v>
      </c>
      <c r="M37" s="30">
        <f>INDEX(Table1[Formation Production],MATCH(rrcworking[[#This Row],[RRC ID Number]],Table1[RRC Identifier],0))</f>
        <v>81</v>
      </c>
      <c r="N37" s="31">
        <f>INDEX(Table1[On Hand End of Month],MATCH(rrcworking[[#This Row],[RRC ID Number]],Table1[RRC Identifier],0))</f>
        <v>0</v>
      </c>
      <c r="O37" s="106" t="b">
        <f t="shared" si="0"/>
        <v>0</v>
      </c>
      <c r="P37" s="181">
        <v>0</v>
      </c>
      <c r="Q37" s="127">
        <f>rrcworking[[#This Row],[Last Month Closing Stock]]</f>
        <v>0</v>
      </c>
      <c r="R37" s="181">
        <v>0</v>
      </c>
      <c r="S37" s="143">
        <f>IF(ISERROR(INDEX(Table2[OIL],MATCH(rrcworking[[#This Row],[Magnum Wolfpak '#]],Table2[Rox Wolf'#],0))),0,INDEX(Table2[OIL],MATCH(rrcworking[[#This Row],[Magnum Wolfpak '#]],Table2[Rox Wolf'#],0)))</f>
        <v>0</v>
      </c>
      <c r="T37" s="35">
        <f>rrcworking[[#This Row],[Closing Stock (Oil)]]+rrcworking[[#This Row],[Sales/Dispostion]]-rrcworking[[#This Row],[Opening Oil Stock]]</f>
        <v>0</v>
      </c>
      <c r="U37" s="112">
        <f>rrcworking[[#This Row],[Gauge Sheet Prod Volume]]-rrcworking[[#This Row],[Oil Production]]</f>
        <v>0</v>
      </c>
      <c r="V37" s="143">
        <f>IF(ISERROR(INDEX(Table2[GAS],MATCH(rrcworking[[#This Row],[Magnum Wolfpak '#]],Table2[Rox Wolf'#],0))),0,INDEX(Table2[GAS],MATCH(rrcworking[[#This Row],[Magnum Wolfpak '#]],Table2[Rox Wolf'#],0)))</f>
        <v>0</v>
      </c>
      <c r="W37" s="24"/>
      <c r="X37" s="135">
        <f>IF(rrcworking[[#This Row],[Pressure Base]]=14.73,rrcworking[[#This Row],[Gas Sales Statement Volume (MCF)]]*$R$2,rrcworking[[#This Row],[Gas Sales Statement Volume (MCF)]])</f>
        <v>0</v>
      </c>
      <c r="Y37" s="60"/>
      <c r="Z37" s="60"/>
      <c r="AA37" s="143">
        <f>IF(ISERROR(INDEX(Table2[LEASE USE],MATCH(rrcworking[[#This Row],[Magnum Wolfpak '#]],Table2[Rox Wolf'#],0))),0,INDEX(Table2[LEASE USE],MATCH(rrcworking[[#This Row],[Magnum Wolfpak '#]],Table2[Rox Wolf'#],0)))</f>
        <v>0</v>
      </c>
      <c r="AB37" s="57">
        <f>rrcworking[[#This Row],[Disposition Volume (MCF) @ 14.65 MCF]]+rrcworking[[#This Row],[Lease Use (MCF)]]</f>
        <v>0</v>
      </c>
      <c r="AC37" s="37"/>
      <c r="AD37" s="37"/>
      <c r="AE37" s="187">
        <f>COUNTIF(FilterList,rrcworking[[#This Row],[Magnum Wolfpak '#]])</f>
        <v>0</v>
      </c>
      <c r="AF37" s="184"/>
      <c r="AG37" s="185"/>
      <c r="AH37" s="37"/>
      <c r="AI37" s="37"/>
      <c r="AJ37" s="37"/>
      <c r="AK37" s="37"/>
      <c r="AL37" s="37"/>
      <c r="AM37" s="37"/>
      <c r="AN37" s="37"/>
      <c r="AO37" s="37"/>
      <c r="AP37" s="37" t="s">
        <v>1165</v>
      </c>
      <c r="AQ37" s="37" t="s">
        <v>1171</v>
      </c>
    </row>
    <row r="38" spans="3:43" ht="14" customHeight="1">
      <c r="C38" s="82">
        <v>99069</v>
      </c>
      <c r="D38" s="98" t="s">
        <v>358</v>
      </c>
      <c r="E38" s="132" t="s">
        <v>359</v>
      </c>
      <c r="F38" s="128">
        <v>2</v>
      </c>
      <c r="G38" s="121" t="s">
        <v>1091</v>
      </c>
      <c r="H38" s="125" t="s">
        <v>620</v>
      </c>
      <c r="I38" s="125" t="s">
        <v>59</v>
      </c>
      <c r="J38" s="83" t="s">
        <v>583</v>
      </c>
      <c r="K38" s="104">
        <v>194224</v>
      </c>
      <c r="L38" s="101">
        <f>INDEX(Table1[Production],MATCH(rrcworking[[#This Row],[RRC ID Number]],Table1[RRC Identifier],0))</f>
        <v>13</v>
      </c>
      <c r="M38" s="30">
        <f>INDEX(Table1[Formation Production],MATCH(rrcworking[[#This Row],[RRC ID Number]],Table1[RRC Identifier],0))</f>
        <v>1993</v>
      </c>
      <c r="N38" s="99">
        <f>INDEX(Table1[On Hand End of Month],MATCH(rrcworking[[#This Row],[RRC ID Number]],Table1[RRC Identifier],0))</f>
        <v>292</v>
      </c>
      <c r="O38" s="107" t="b">
        <f t="shared" ref="O38:O69" si="1">IF(AND(L38=0,M38=0), TRUE, FALSE)</f>
        <v>0</v>
      </c>
      <c r="P38" s="181">
        <v>7</v>
      </c>
      <c r="Q38" s="127">
        <f>rrcworking[[#This Row],[Last Month Closing Stock]]</f>
        <v>292</v>
      </c>
      <c r="R38" s="182">
        <v>294</v>
      </c>
      <c r="S38" s="143">
        <f>IF(ISERROR(INDEX(Table2[OIL],MATCH(rrcworking[[#This Row],[Magnum Wolfpak '#]],Table2[Rox Wolf'#],0))),0,INDEX(Table2[OIL],MATCH(rrcworking[[#This Row],[Magnum Wolfpak '#]],Table2[Rox Wolf'#],0)))</f>
        <v>0</v>
      </c>
      <c r="T38" s="100">
        <f>rrcworking[[#This Row],[Closing Stock (Oil)]]+rrcworking[[#This Row],[Sales/Dispostion]]-rrcworking[[#This Row],[Opening Oil Stock]]</f>
        <v>2</v>
      </c>
      <c r="U38" s="113">
        <f>rrcworking[[#This Row],[Gauge Sheet Prod Volume]]-rrcworking[[#This Row],[Oil Production]]</f>
        <v>5</v>
      </c>
      <c r="V38" s="143">
        <f>IF(ISERROR(INDEX(Table2[GAS],MATCH(rrcworking[[#This Row],[Magnum Wolfpak '#]],Table2[Rox Wolf'#],0))),0,INDEX(Table2[GAS],MATCH(rrcworking[[#This Row],[Magnum Wolfpak '#]],Table2[Rox Wolf'#],0)))</f>
        <v>1653</v>
      </c>
      <c r="W38" s="84"/>
      <c r="X38" s="136">
        <f>IF(rrcworking[[#This Row],[Pressure Base]]=14.73,rrcworking[[#This Row],[Gas Sales Statement Volume (MCF)]]*$R$2,rrcworking[[#This Row],[Gas Sales Statement Volume (MCF)]])</f>
        <v>1653</v>
      </c>
      <c r="Y38" s="133"/>
      <c r="Z38" s="85">
        <v>3</v>
      </c>
      <c r="AA38" s="143">
        <f>IF(ISERROR(INDEX(Table2[LEASE USE],MATCH(rrcworking[[#This Row],[Magnum Wolfpak '#]],Table2[Rox Wolf'#],0))),0,INDEX(Table2[LEASE USE],MATCH(rrcworking[[#This Row],[Magnum Wolfpak '#]],Table2[Rox Wolf'#],0)))</f>
        <v>0</v>
      </c>
      <c r="AB38" s="86">
        <f>rrcworking[[#This Row],[Disposition Volume (MCF) @ 14.65 MCF]]+rrcworking[[#This Row],[Lease Use (MCF)]]</f>
        <v>1653</v>
      </c>
      <c r="AC38" s="87"/>
      <c r="AD38" s="87" t="s">
        <v>1269</v>
      </c>
      <c r="AE38" s="187">
        <f>COUNTIF(FilterList,rrcworking[[#This Row],[Magnum Wolfpak '#]])</f>
        <v>0</v>
      </c>
      <c r="AF38" s="184"/>
      <c r="AG38" s="185"/>
      <c r="AH38" s="37"/>
      <c r="AI38" s="185"/>
      <c r="AJ38" s="37">
        <v>1</v>
      </c>
      <c r="AK38" s="37" t="s">
        <v>1167</v>
      </c>
      <c r="AL38" s="37" t="s">
        <v>1167</v>
      </c>
      <c r="AM38" s="37" t="s">
        <v>1192</v>
      </c>
      <c r="AN38" s="37" t="s">
        <v>1167</v>
      </c>
      <c r="AO38" s="37" t="s">
        <v>1193</v>
      </c>
      <c r="AP38" s="37" t="s">
        <v>1194</v>
      </c>
      <c r="AQ38" s="37"/>
    </row>
    <row r="39" spans="3:43" ht="14" customHeight="1">
      <c r="C39" s="80" t="e">
        <v>#N/A</v>
      </c>
      <c r="D39" s="62" t="s">
        <v>335</v>
      </c>
      <c r="E39" s="131" t="s">
        <v>337</v>
      </c>
      <c r="F39" s="129">
        <v>0</v>
      </c>
      <c r="G39" s="120" t="s">
        <v>1091</v>
      </c>
      <c r="H39" s="18" t="s">
        <v>620</v>
      </c>
      <c r="I39" s="18" t="s">
        <v>2</v>
      </c>
      <c r="J39" s="19" t="s">
        <v>570</v>
      </c>
      <c r="K39" s="103">
        <v>10563</v>
      </c>
      <c r="L39" s="101">
        <f>INDEX(Table1[Production],MATCH(rrcworking[[#This Row],[RRC ID Number]],Table1[RRC Identifier],0))</f>
        <v>0</v>
      </c>
      <c r="M39" s="30">
        <f>INDEX(Table1[Formation Production],MATCH(rrcworking[[#This Row],[RRC ID Number]],Table1[RRC Identifier],0))</f>
        <v>0</v>
      </c>
      <c r="N39" s="31">
        <f>INDEX(Table1[On Hand End of Month],MATCH(rrcworking[[#This Row],[RRC ID Number]],Table1[RRC Identifier],0))</f>
        <v>69</v>
      </c>
      <c r="O39" s="106" t="b">
        <f t="shared" si="1"/>
        <v>1</v>
      </c>
      <c r="P39" s="181"/>
      <c r="Q39" s="127">
        <f>rrcworking[[#This Row],[Last Month Closing Stock]]</f>
        <v>69</v>
      </c>
      <c r="R39" s="181">
        <f>rrcworking[[#This Row],[Opening Oil Stock]]</f>
        <v>69</v>
      </c>
      <c r="S39" s="143">
        <f>IF(ISERROR(INDEX(Table2[OIL],MATCH(rrcworking[[#This Row],[Magnum Wolfpak '#]],Table2[Rox Wolf'#],0))),0,INDEX(Table2[OIL],MATCH(rrcworking[[#This Row],[Magnum Wolfpak '#]],Table2[Rox Wolf'#],0)))</f>
        <v>0</v>
      </c>
      <c r="T39" s="35">
        <f>rrcworking[[#This Row],[Closing Stock (Oil)]]+rrcworking[[#This Row],[Sales/Dispostion]]-rrcworking[[#This Row],[Opening Oil Stock]]</f>
        <v>0</v>
      </c>
      <c r="U39" s="112">
        <f>rrcworking[[#This Row],[Gauge Sheet Prod Volume]]-rrcworking[[#This Row],[Oil Production]]</f>
        <v>0</v>
      </c>
      <c r="V39" s="143">
        <f>IF(ISERROR(INDEX(Table2[GAS],MATCH(rrcworking[[#This Row],[Magnum Wolfpak '#]],Table2[Rox Wolf'#],0))),0,INDEX(Table2[GAS],MATCH(rrcworking[[#This Row],[Magnum Wolfpak '#]],Table2[Rox Wolf'#],0)))</f>
        <v>0</v>
      </c>
      <c r="W39" s="24"/>
      <c r="X39" s="135">
        <f>IF(rrcworking[[#This Row],[Pressure Base]]=14.73,rrcworking[[#This Row],[Gas Sales Statement Volume (MCF)]]*$R$2,rrcworking[[#This Row],[Gas Sales Statement Volume (MCF)]])</f>
        <v>0</v>
      </c>
      <c r="Y39" s="60"/>
      <c r="Z39" s="60"/>
      <c r="AA39" s="143">
        <f>IF(ISERROR(INDEX(Table2[LEASE USE],MATCH(rrcworking[[#This Row],[Magnum Wolfpak '#]],Table2[Rox Wolf'#],0))),0,INDEX(Table2[LEASE USE],MATCH(rrcworking[[#This Row],[Magnum Wolfpak '#]],Table2[Rox Wolf'#],0)))</f>
        <v>0</v>
      </c>
      <c r="AB39" s="57">
        <f>rrcworking[[#This Row],[Disposition Volume (MCF) @ 14.65 MCF]]+rrcworking[[#This Row],[Lease Use (MCF)]]</f>
        <v>0</v>
      </c>
      <c r="AC39" s="37"/>
      <c r="AD39" s="37"/>
      <c r="AE39" s="187">
        <f>COUNTIF(FilterList,rrcworking[[#This Row],[Magnum Wolfpak '#]])</f>
        <v>0</v>
      </c>
      <c r="AF39" s="184"/>
      <c r="AG39" s="185"/>
      <c r="AH39" s="37"/>
      <c r="AI39" s="37"/>
      <c r="AJ39" s="37"/>
      <c r="AK39" s="37"/>
      <c r="AL39" s="37"/>
      <c r="AM39" s="37"/>
      <c r="AN39" s="37"/>
      <c r="AO39" s="37"/>
      <c r="AP39" s="37"/>
      <c r="AQ39" s="37"/>
    </row>
    <row r="40" spans="3:43" ht="14" customHeight="1">
      <c r="C40" s="80" t="e">
        <v>#N/A</v>
      </c>
      <c r="D40" s="62" t="s">
        <v>82</v>
      </c>
      <c r="E40" s="131" t="s">
        <v>83</v>
      </c>
      <c r="F40" s="129" t="s">
        <v>84</v>
      </c>
      <c r="G40" s="120" t="s">
        <v>1091</v>
      </c>
      <c r="H40" s="18" t="s">
        <v>618</v>
      </c>
      <c r="I40" s="18" t="s">
        <v>59</v>
      </c>
      <c r="J40" s="19" t="s">
        <v>419</v>
      </c>
      <c r="K40" s="103">
        <v>270531</v>
      </c>
      <c r="L40" s="101">
        <f>INDEX(Table1[Production],MATCH(rrcworking[[#This Row],[RRC ID Number]],Table1[RRC Identifier],0))</f>
        <v>0</v>
      </c>
      <c r="M40" s="30">
        <f>INDEX(Table1[Formation Production],MATCH(rrcworking[[#This Row],[RRC ID Number]],Table1[RRC Identifier],0))</f>
        <v>0</v>
      </c>
      <c r="N40" s="31">
        <f>INDEX(Table1[On Hand End of Month],MATCH(rrcworking[[#This Row],[RRC ID Number]],Table1[RRC Identifier],0))</f>
        <v>26</v>
      </c>
      <c r="O40" s="106" t="b">
        <f t="shared" si="1"/>
        <v>1</v>
      </c>
      <c r="P40" s="181"/>
      <c r="Q40" s="127">
        <f>rrcworking[[#This Row],[Last Month Closing Stock]]</f>
        <v>26</v>
      </c>
      <c r="R40" s="181">
        <f>rrcworking[[#This Row],[Opening Oil Stock]]</f>
        <v>26</v>
      </c>
      <c r="S40" s="143">
        <f>IF(ISERROR(INDEX(Table2[OIL],MATCH(rrcworking[[#This Row],[Magnum Wolfpak '#]],Table2[Rox Wolf'#],0))),0,INDEX(Table2[OIL],MATCH(rrcworking[[#This Row],[Magnum Wolfpak '#]],Table2[Rox Wolf'#],0)))</f>
        <v>0</v>
      </c>
      <c r="T40" s="35">
        <f>rrcworking[[#This Row],[Closing Stock (Oil)]]+rrcworking[[#This Row],[Sales/Dispostion]]-rrcworking[[#This Row],[Opening Oil Stock]]</f>
        <v>0</v>
      </c>
      <c r="U40" s="112">
        <f>rrcworking[[#This Row],[Gauge Sheet Prod Volume]]-rrcworking[[#This Row],[Oil Production]]</f>
        <v>0</v>
      </c>
      <c r="V40" s="143">
        <f>IF(ISERROR(INDEX(Table2[GAS],MATCH(rrcworking[[#This Row],[Magnum Wolfpak '#]],Table2[Rox Wolf'#],0))),0,INDEX(Table2[GAS],MATCH(rrcworking[[#This Row],[Magnum Wolfpak '#]],Table2[Rox Wolf'#],0)))</f>
        <v>0</v>
      </c>
      <c r="W40" s="24"/>
      <c r="X40" s="135">
        <f>IF(rrcworking[[#This Row],[Pressure Base]]=14.73,rrcworking[[#This Row],[Gas Sales Statement Volume (MCF)]]*$R$2,rrcworking[[#This Row],[Gas Sales Statement Volume (MCF)]])</f>
        <v>0</v>
      </c>
      <c r="Y40" s="60"/>
      <c r="Z40" s="60"/>
      <c r="AA40" s="143">
        <f>IF(ISERROR(INDEX(Table2[LEASE USE],MATCH(rrcworking[[#This Row],[Magnum Wolfpak '#]],Table2[Rox Wolf'#],0))),0,INDEX(Table2[LEASE USE],MATCH(rrcworking[[#This Row],[Magnum Wolfpak '#]],Table2[Rox Wolf'#],0)))</f>
        <v>0</v>
      </c>
      <c r="AB40" s="57">
        <f>rrcworking[[#This Row],[Disposition Volume (MCF) @ 14.65 MCF]]+rrcworking[[#This Row],[Lease Use (MCF)]]</f>
        <v>0</v>
      </c>
      <c r="AC40" s="37"/>
      <c r="AD40" s="37"/>
      <c r="AE40" s="187">
        <f>COUNTIF(FilterList,rrcworking[[#This Row],[Magnum Wolfpak '#]])</f>
        <v>0</v>
      </c>
      <c r="AF40" s="184"/>
      <c r="AG40" s="185"/>
      <c r="AH40" s="37"/>
      <c r="AI40" s="37"/>
      <c r="AJ40" s="37"/>
      <c r="AK40" s="37"/>
      <c r="AL40" s="37"/>
      <c r="AM40" s="37"/>
      <c r="AN40" s="37"/>
      <c r="AO40" s="37"/>
      <c r="AP40" s="37"/>
      <c r="AQ40" s="37"/>
    </row>
    <row r="41" spans="3:43" ht="14" customHeight="1">
      <c r="C41" s="80" t="e">
        <v>#N/A</v>
      </c>
      <c r="D41" s="62" t="s">
        <v>179</v>
      </c>
      <c r="E41" s="131" t="s">
        <v>180</v>
      </c>
      <c r="F41" s="129">
        <v>1</v>
      </c>
      <c r="G41" s="120" t="s">
        <v>1091</v>
      </c>
      <c r="H41" s="18" t="s">
        <v>619</v>
      </c>
      <c r="I41" s="18" t="s">
        <v>59</v>
      </c>
      <c r="J41" s="19" t="s">
        <v>477</v>
      </c>
      <c r="K41" s="103">
        <v>160307</v>
      </c>
      <c r="L41" s="101">
        <f>INDEX(Table1[Production],MATCH(rrcworking[[#This Row],[RRC ID Number]],Table1[RRC Identifier],0))</f>
        <v>0</v>
      </c>
      <c r="M41" s="30">
        <f>INDEX(Table1[Formation Production],MATCH(rrcworking[[#This Row],[RRC ID Number]],Table1[RRC Identifier],0))</f>
        <v>0</v>
      </c>
      <c r="N41" s="31">
        <f>INDEX(Table1[On Hand End of Month],MATCH(rrcworking[[#This Row],[RRC ID Number]],Table1[RRC Identifier],0))</f>
        <v>173</v>
      </c>
      <c r="O41" s="106" t="b">
        <f t="shared" si="1"/>
        <v>1</v>
      </c>
      <c r="P41" s="181"/>
      <c r="Q41" s="127">
        <f>rrcworking[[#This Row],[Last Month Closing Stock]]</f>
        <v>173</v>
      </c>
      <c r="R41" s="181">
        <f>rrcworking[[#This Row],[Opening Oil Stock]]</f>
        <v>173</v>
      </c>
      <c r="S41" s="143">
        <f>IF(ISERROR(INDEX(Table2[OIL],MATCH(rrcworking[[#This Row],[Magnum Wolfpak '#]],Table2[Rox Wolf'#],0))),0,INDEX(Table2[OIL],MATCH(rrcworking[[#This Row],[Magnum Wolfpak '#]],Table2[Rox Wolf'#],0)))</f>
        <v>0</v>
      </c>
      <c r="T41" s="35">
        <f>rrcworking[[#This Row],[Closing Stock (Oil)]]+rrcworking[[#This Row],[Sales/Dispostion]]-rrcworking[[#This Row],[Opening Oil Stock]]</f>
        <v>0</v>
      </c>
      <c r="U41" s="112">
        <f>rrcworking[[#This Row],[Gauge Sheet Prod Volume]]-rrcworking[[#This Row],[Oil Production]]</f>
        <v>0</v>
      </c>
      <c r="V41" s="143">
        <f>IF(ISERROR(INDEX(Table2[GAS],MATCH(rrcworking[[#This Row],[Magnum Wolfpak '#]],Table2[Rox Wolf'#],0))),0,INDEX(Table2[GAS],MATCH(rrcworking[[#This Row],[Magnum Wolfpak '#]],Table2[Rox Wolf'#],0)))</f>
        <v>0</v>
      </c>
      <c r="W41" s="24"/>
      <c r="X41" s="135">
        <f>IF(rrcworking[[#This Row],[Pressure Base]]=14.73,rrcworking[[#This Row],[Gas Sales Statement Volume (MCF)]]*$R$2,rrcworking[[#This Row],[Gas Sales Statement Volume (MCF)]])</f>
        <v>0</v>
      </c>
      <c r="Y41" s="60"/>
      <c r="Z41" s="60"/>
      <c r="AA41" s="143">
        <f>IF(ISERROR(INDEX(Table2[LEASE USE],MATCH(rrcworking[[#This Row],[Magnum Wolfpak '#]],Table2[Rox Wolf'#],0))),0,INDEX(Table2[LEASE USE],MATCH(rrcworking[[#This Row],[Magnum Wolfpak '#]],Table2[Rox Wolf'#],0)))</f>
        <v>0</v>
      </c>
      <c r="AB41" s="57">
        <f>rrcworking[[#This Row],[Disposition Volume (MCF) @ 14.65 MCF]]+rrcworking[[#This Row],[Lease Use (MCF)]]</f>
        <v>0</v>
      </c>
      <c r="AC41" s="37"/>
      <c r="AD41" s="37"/>
      <c r="AE41" s="187">
        <f>COUNTIF(FilterList,rrcworking[[#This Row],[Magnum Wolfpak '#]])</f>
        <v>0</v>
      </c>
      <c r="AF41" s="184"/>
      <c r="AG41" s="185"/>
      <c r="AH41" s="37"/>
      <c r="AI41" s="37"/>
      <c r="AJ41" s="37"/>
      <c r="AK41" s="37"/>
      <c r="AL41" s="37"/>
      <c r="AM41" s="37"/>
      <c r="AN41" s="37"/>
      <c r="AO41" s="37"/>
      <c r="AP41" s="37"/>
      <c r="AQ41" s="37"/>
    </row>
    <row r="42" spans="3:43" ht="14" customHeight="1">
      <c r="C42" s="80">
        <v>98965</v>
      </c>
      <c r="D42" s="62" t="s">
        <v>190</v>
      </c>
      <c r="E42" s="131" t="s">
        <v>192</v>
      </c>
      <c r="F42" s="129">
        <v>3</v>
      </c>
      <c r="G42" s="120" t="s">
        <v>1091</v>
      </c>
      <c r="H42" s="171" t="s">
        <v>1142</v>
      </c>
      <c r="I42" s="18" t="s">
        <v>59</v>
      </c>
      <c r="J42" s="19" t="s">
        <v>484</v>
      </c>
      <c r="K42" s="103">
        <v>278004</v>
      </c>
      <c r="L42" s="101">
        <f>INDEX(Table1[Production],MATCH(rrcworking[[#This Row],[RRC ID Number]],Table1[RRC Identifier],0))</f>
        <v>10</v>
      </c>
      <c r="M42" s="30">
        <f>INDEX(Table1[Formation Production],MATCH(rrcworking[[#This Row],[RRC ID Number]],Table1[RRC Identifier],0))</f>
        <v>578</v>
      </c>
      <c r="N42" s="31">
        <f>INDEX(Table1[On Hand End of Month],MATCH(rrcworking[[#This Row],[RRC ID Number]],Table1[RRC Identifier],0))</f>
        <v>67</v>
      </c>
      <c r="O42" s="106" t="b">
        <f t="shared" si="1"/>
        <v>0</v>
      </c>
      <c r="P42" s="181">
        <v>7</v>
      </c>
      <c r="Q42" s="127">
        <f>rrcworking[[#This Row],[Last Month Closing Stock]]</f>
        <v>67</v>
      </c>
      <c r="R42" s="182">
        <v>73</v>
      </c>
      <c r="S42" s="143">
        <f>IF(ISERROR(INDEX(Table2[OIL],MATCH(rrcworking[[#This Row],[Magnum Wolfpak '#]],Table2[Rox Wolf'#],0))),0,INDEX(Table2[OIL],MATCH(rrcworking[[#This Row],[Magnum Wolfpak '#]],Table2[Rox Wolf'#],0)))</f>
        <v>0</v>
      </c>
      <c r="T42" s="35">
        <f>rrcworking[[#This Row],[Closing Stock (Oil)]]+rrcworking[[#This Row],[Sales/Dispostion]]-rrcworking[[#This Row],[Opening Oil Stock]]</f>
        <v>6</v>
      </c>
      <c r="U42" s="112">
        <f>rrcworking[[#This Row],[Gauge Sheet Prod Volume]]-rrcworking[[#This Row],[Oil Production]]</f>
        <v>1</v>
      </c>
      <c r="V42" s="143">
        <f>IF(ISERROR(INDEX(Table2[GAS],MATCH(rrcworking[[#This Row],[Magnum Wolfpak '#]],Table2[Rox Wolf'#],0))),0,INDEX(Table2[GAS],MATCH(rrcworking[[#This Row],[Magnum Wolfpak '#]],Table2[Rox Wolf'#],0)))</f>
        <v>792</v>
      </c>
      <c r="W42" s="24"/>
      <c r="X42" s="135">
        <f>IF(rrcworking[[#This Row],[Pressure Base]]=14.73,rrcworking[[#This Row],[Gas Sales Statement Volume (MCF)]]*$R$2,rrcworking[[#This Row],[Gas Sales Statement Volume (MCF)]])</f>
        <v>792</v>
      </c>
      <c r="Y42" s="85"/>
      <c r="Z42" s="60">
        <v>1</v>
      </c>
      <c r="AA42" s="143">
        <f>IF(ISERROR(INDEX(Table2[LEASE USE],MATCH(rrcworking[[#This Row],[Magnum Wolfpak '#]],Table2[Rox Wolf'#],0))),0,INDEX(Table2[LEASE USE],MATCH(rrcworking[[#This Row],[Magnum Wolfpak '#]],Table2[Rox Wolf'#],0)))</f>
        <v>31</v>
      </c>
      <c r="AB42" s="57">
        <f>rrcworking[[#This Row],[Disposition Volume (MCF) @ 14.65 MCF]]+rrcworking[[#This Row],[Lease Use (MCF)]]</f>
        <v>823</v>
      </c>
      <c r="AC42" s="37"/>
      <c r="AD42" s="37" t="s">
        <v>1148</v>
      </c>
      <c r="AE42" s="187">
        <f>COUNTIF(FilterList,rrcworking[[#This Row],[Magnum Wolfpak '#]])</f>
        <v>0</v>
      </c>
      <c r="AF42" s="184"/>
      <c r="AG42" s="185"/>
      <c r="AH42" s="37"/>
      <c r="AI42" s="185"/>
      <c r="AJ42" s="37">
        <v>1</v>
      </c>
      <c r="AK42" s="37" t="s">
        <v>1167</v>
      </c>
      <c r="AL42" s="37" t="s">
        <v>1167</v>
      </c>
      <c r="AM42" s="37" t="s">
        <v>1195</v>
      </c>
      <c r="AN42" s="37" t="s">
        <v>1167</v>
      </c>
      <c r="AO42" s="37" t="s">
        <v>1178</v>
      </c>
      <c r="AP42" s="37" t="s">
        <v>1196</v>
      </c>
      <c r="AQ42" s="37" t="s">
        <v>1197</v>
      </c>
    </row>
    <row r="43" spans="3:43" ht="14" customHeight="1">
      <c r="C43" s="80" t="e">
        <v>#N/A</v>
      </c>
      <c r="D43" s="62" t="s">
        <v>190</v>
      </c>
      <c r="E43" s="131" t="s">
        <v>191</v>
      </c>
      <c r="F43" s="129">
        <v>0</v>
      </c>
      <c r="G43" s="120" t="s">
        <v>1091</v>
      </c>
      <c r="H43" s="18" t="s">
        <v>619</v>
      </c>
      <c r="I43" s="18" t="s">
        <v>2</v>
      </c>
      <c r="J43" s="19" t="s">
        <v>485</v>
      </c>
      <c r="K43" s="103">
        <v>24455</v>
      </c>
      <c r="L43" s="101">
        <f>INDEX(Table1[Production],MATCH(rrcworking[[#This Row],[RRC ID Number]],Table1[RRC Identifier],0))</f>
        <v>0</v>
      </c>
      <c r="M43" s="30">
        <f>INDEX(Table1[Formation Production],MATCH(rrcworking[[#This Row],[RRC ID Number]],Table1[RRC Identifier],0))</f>
        <v>0</v>
      </c>
      <c r="N43" s="31">
        <f>INDEX(Table1[On Hand End of Month],MATCH(rrcworking[[#This Row],[RRC ID Number]],Table1[RRC Identifier],0))</f>
        <v>0</v>
      </c>
      <c r="O43" s="106" t="b">
        <f t="shared" si="1"/>
        <v>1</v>
      </c>
      <c r="P43" s="181"/>
      <c r="Q43" s="127">
        <f>rrcworking[[#This Row],[Last Month Closing Stock]]</f>
        <v>0</v>
      </c>
      <c r="R43" s="181">
        <f>rrcworking[[#This Row],[Opening Oil Stock]]</f>
        <v>0</v>
      </c>
      <c r="S43" s="143">
        <f>IF(ISERROR(INDEX(Table2[OIL],MATCH(rrcworking[[#This Row],[Magnum Wolfpak '#]],Table2[Rox Wolf'#],0))),0,INDEX(Table2[OIL],MATCH(rrcworking[[#This Row],[Magnum Wolfpak '#]],Table2[Rox Wolf'#],0)))</f>
        <v>0</v>
      </c>
      <c r="T43" s="35">
        <f>rrcworking[[#This Row],[Closing Stock (Oil)]]+rrcworking[[#This Row],[Sales/Dispostion]]-rrcworking[[#This Row],[Opening Oil Stock]]</f>
        <v>0</v>
      </c>
      <c r="U43" s="112">
        <f>rrcworking[[#This Row],[Gauge Sheet Prod Volume]]-rrcworking[[#This Row],[Oil Production]]</f>
        <v>0</v>
      </c>
      <c r="V43" s="143">
        <f>IF(ISERROR(INDEX(Table2[GAS],MATCH(rrcworking[[#This Row],[Magnum Wolfpak '#]],Table2[Rox Wolf'#],0))),0,INDEX(Table2[GAS],MATCH(rrcworking[[#This Row],[Magnum Wolfpak '#]],Table2[Rox Wolf'#],0)))</f>
        <v>0</v>
      </c>
      <c r="W43" s="24"/>
      <c r="X43" s="135">
        <f>IF(rrcworking[[#This Row],[Pressure Base]]=14.73,rrcworking[[#This Row],[Gas Sales Statement Volume (MCF)]]*$R$2,rrcworking[[#This Row],[Gas Sales Statement Volume (MCF)]])</f>
        <v>0</v>
      </c>
      <c r="Y43" s="60"/>
      <c r="Z43" s="60"/>
      <c r="AA43" s="143">
        <f>IF(ISERROR(INDEX(Table2[LEASE USE],MATCH(rrcworking[[#This Row],[Magnum Wolfpak '#]],Table2[Rox Wolf'#],0))),0,INDEX(Table2[LEASE USE],MATCH(rrcworking[[#This Row],[Magnum Wolfpak '#]],Table2[Rox Wolf'#],0)))</f>
        <v>0</v>
      </c>
      <c r="AB43" s="57">
        <f>rrcworking[[#This Row],[Disposition Volume (MCF) @ 14.65 MCF]]+rrcworking[[#This Row],[Lease Use (MCF)]]</f>
        <v>0</v>
      </c>
      <c r="AC43" s="37"/>
      <c r="AD43" s="37"/>
      <c r="AE43" s="187">
        <f>COUNTIF(FilterList,rrcworking[[#This Row],[Magnum Wolfpak '#]])</f>
        <v>0</v>
      </c>
      <c r="AF43" s="184"/>
      <c r="AG43" s="185"/>
      <c r="AH43" s="37"/>
      <c r="AI43" s="37"/>
      <c r="AJ43" s="37"/>
      <c r="AK43" s="37"/>
      <c r="AL43" s="37"/>
      <c r="AM43" s="37"/>
      <c r="AN43" s="37"/>
      <c r="AO43" s="37"/>
      <c r="AP43" s="37"/>
      <c r="AQ43" s="37"/>
    </row>
    <row r="44" spans="3:43" ht="14" customHeight="1">
      <c r="C44" s="80" t="e">
        <v>#N/A</v>
      </c>
      <c r="D44" s="62" t="s">
        <v>204</v>
      </c>
      <c r="E44" s="131" t="s">
        <v>205</v>
      </c>
      <c r="F44" s="129" t="s">
        <v>206</v>
      </c>
      <c r="G44" s="120" t="s">
        <v>1091</v>
      </c>
      <c r="H44" s="18" t="s">
        <v>619</v>
      </c>
      <c r="I44" s="18" t="s">
        <v>59</v>
      </c>
      <c r="J44" s="19" t="s">
        <v>492</v>
      </c>
      <c r="K44" s="103">
        <v>177442</v>
      </c>
      <c r="L44" s="101">
        <f>INDEX(Table1[Production],MATCH(rrcworking[[#This Row],[RRC ID Number]],Table1[RRC Identifier],0))</f>
        <v>0</v>
      </c>
      <c r="M44" s="30">
        <f>INDEX(Table1[Formation Production],MATCH(rrcworking[[#This Row],[RRC ID Number]],Table1[RRC Identifier],0))</f>
        <v>0</v>
      </c>
      <c r="N44" s="31">
        <f>INDEX(Table1[On Hand End of Month],MATCH(rrcworking[[#This Row],[RRC ID Number]],Table1[RRC Identifier],0))</f>
        <v>0</v>
      </c>
      <c r="O44" s="106" t="b">
        <f t="shared" si="1"/>
        <v>1</v>
      </c>
      <c r="P44" s="181"/>
      <c r="Q44" s="127">
        <f>rrcworking[[#This Row],[Last Month Closing Stock]]</f>
        <v>0</v>
      </c>
      <c r="R44" s="181">
        <f>rrcworking[[#This Row],[Opening Oil Stock]]</f>
        <v>0</v>
      </c>
      <c r="S44" s="143">
        <f>IF(ISERROR(INDEX(Table2[OIL],MATCH(rrcworking[[#This Row],[Magnum Wolfpak '#]],Table2[Rox Wolf'#],0))),0,INDEX(Table2[OIL],MATCH(rrcworking[[#This Row],[Magnum Wolfpak '#]],Table2[Rox Wolf'#],0)))</f>
        <v>0</v>
      </c>
      <c r="T44" s="35">
        <f>rrcworking[[#This Row],[Closing Stock (Oil)]]+rrcworking[[#This Row],[Sales/Dispostion]]-rrcworking[[#This Row],[Opening Oil Stock]]</f>
        <v>0</v>
      </c>
      <c r="U44" s="112">
        <f>rrcworking[[#This Row],[Gauge Sheet Prod Volume]]-rrcworking[[#This Row],[Oil Production]]</f>
        <v>0</v>
      </c>
      <c r="V44" s="143">
        <f>IF(ISERROR(INDEX(Table2[GAS],MATCH(rrcworking[[#This Row],[Magnum Wolfpak '#]],Table2[Rox Wolf'#],0))),0,INDEX(Table2[GAS],MATCH(rrcworking[[#This Row],[Magnum Wolfpak '#]],Table2[Rox Wolf'#],0)))</f>
        <v>0</v>
      </c>
      <c r="W44" s="24"/>
      <c r="X44" s="135">
        <f>IF(rrcworking[[#This Row],[Pressure Base]]=14.73,rrcworking[[#This Row],[Gas Sales Statement Volume (MCF)]]*$R$2,rrcworking[[#This Row],[Gas Sales Statement Volume (MCF)]])</f>
        <v>0</v>
      </c>
      <c r="Y44" s="60"/>
      <c r="Z44" s="60"/>
      <c r="AA44" s="143">
        <f>IF(ISERROR(INDEX(Table2[LEASE USE],MATCH(rrcworking[[#This Row],[Magnum Wolfpak '#]],Table2[Rox Wolf'#],0))),0,INDEX(Table2[LEASE USE],MATCH(rrcworking[[#This Row],[Magnum Wolfpak '#]],Table2[Rox Wolf'#],0)))</f>
        <v>0</v>
      </c>
      <c r="AB44" s="57">
        <f>rrcworking[[#This Row],[Disposition Volume (MCF) @ 14.65 MCF]]+rrcworking[[#This Row],[Lease Use (MCF)]]</f>
        <v>0</v>
      </c>
      <c r="AC44" s="37"/>
      <c r="AD44" s="37"/>
      <c r="AE44" s="187">
        <f>COUNTIF(FilterList,rrcworking[[#This Row],[Magnum Wolfpak '#]])</f>
        <v>0</v>
      </c>
      <c r="AF44" s="184"/>
      <c r="AG44" s="185"/>
      <c r="AH44" s="37"/>
      <c r="AI44" s="37"/>
      <c r="AJ44" s="37"/>
      <c r="AK44" s="37"/>
      <c r="AL44" s="37"/>
      <c r="AM44" s="37"/>
      <c r="AN44" s="37"/>
      <c r="AO44" s="37"/>
      <c r="AP44" s="37"/>
      <c r="AQ44" s="37"/>
    </row>
    <row r="45" spans="3:43" ht="14" customHeight="1">
      <c r="C45" s="80" t="e">
        <v>#N/A</v>
      </c>
      <c r="D45" s="62" t="s">
        <v>152</v>
      </c>
      <c r="E45" s="131" t="s">
        <v>153</v>
      </c>
      <c r="F45" s="140" t="s">
        <v>57</v>
      </c>
      <c r="G45" s="120" t="s">
        <v>1091</v>
      </c>
      <c r="H45" s="18" t="s">
        <v>619</v>
      </c>
      <c r="I45" s="18" t="s">
        <v>2</v>
      </c>
      <c r="J45" s="19" t="s">
        <v>461</v>
      </c>
      <c r="K45" s="103">
        <v>26482</v>
      </c>
      <c r="L45" s="101">
        <f>INDEX(Table1[Production],MATCH(rrcworking[[#This Row],[RRC ID Number]],Table1[RRC Identifier],0))</f>
        <v>0</v>
      </c>
      <c r="M45" s="30">
        <f>INDEX(Table1[Formation Production],MATCH(rrcworking[[#This Row],[RRC ID Number]],Table1[RRC Identifier],0))</f>
        <v>0</v>
      </c>
      <c r="N45" s="31">
        <f>INDEX(Table1[On Hand End of Month],MATCH(rrcworking[[#This Row],[RRC ID Number]],Table1[RRC Identifier],0))</f>
        <v>139</v>
      </c>
      <c r="O45" s="106" t="b">
        <f t="shared" si="1"/>
        <v>1</v>
      </c>
      <c r="P45" s="181"/>
      <c r="Q45" s="127">
        <f>rrcworking[[#This Row],[Last Month Closing Stock]]</f>
        <v>139</v>
      </c>
      <c r="R45" s="181">
        <f>rrcworking[[#This Row],[Opening Oil Stock]]</f>
        <v>139</v>
      </c>
      <c r="S45" s="143">
        <f>IF(ISERROR(INDEX(Table2[OIL],MATCH(rrcworking[[#This Row],[Magnum Wolfpak '#]],Table2[Rox Wolf'#],0))),0,INDEX(Table2[OIL],MATCH(rrcworking[[#This Row],[Magnum Wolfpak '#]],Table2[Rox Wolf'#],0)))</f>
        <v>0</v>
      </c>
      <c r="T45" s="35">
        <f>rrcworking[[#This Row],[Closing Stock (Oil)]]+rrcworking[[#This Row],[Sales/Dispostion]]-rrcworking[[#This Row],[Opening Oil Stock]]</f>
        <v>0</v>
      </c>
      <c r="U45" s="112">
        <f>rrcworking[[#This Row],[Gauge Sheet Prod Volume]]-rrcworking[[#This Row],[Oil Production]]</f>
        <v>0</v>
      </c>
      <c r="V45" s="143">
        <f>IF(ISERROR(INDEX(Table2[GAS],MATCH(rrcworking[[#This Row],[Magnum Wolfpak '#]],Table2[Rox Wolf'#],0))),0,INDEX(Table2[GAS],MATCH(rrcworking[[#This Row],[Magnum Wolfpak '#]],Table2[Rox Wolf'#],0)))</f>
        <v>0</v>
      </c>
      <c r="W45" s="24"/>
      <c r="X45" s="135">
        <f>IF(rrcworking[[#This Row],[Pressure Base]]=14.73,rrcworking[[#This Row],[Gas Sales Statement Volume (MCF)]]*$R$2,rrcworking[[#This Row],[Gas Sales Statement Volume (MCF)]])</f>
        <v>0</v>
      </c>
      <c r="Y45" s="60"/>
      <c r="Z45" s="60"/>
      <c r="AA45" s="143">
        <f>IF(ISERROR(INDEX(Table2[LEASE USE],MATCH(rrcworking[[#This Row],[Magnum Wolfpak '#]],Table2[Rox Wolf'#],0))),0,INDEX(Table2[LEASE USE],MATCH(rrcworking[[#This Row],[Magnum Wolfpak '#]],Table2[Rox Wolf'#],0)))</f>
        <v>0</v>
      </c>
      <c r="AB45" s="57">
        <f>rrcworking[[#This Row],[Disposition Volume (MCF) @ 14.65 MCF]]+rrcworking[[#This Row],[Lease Use (MCF)]]</f>
        <v>0</v>
      </c>
      <c r="AC45" s="37"/>
      <c r="AD45" s="37"/>
      <c r="AE45" s="187">
        <f>COUNTIF(FilterList,rrcworking[[#This Row],[Magnum Wolfpak '#]])</f>
        <v>0</v>
      </c>
      <c r="AF45" s="184"/>
      <c r="AG45" s="185"/>
      <c r="AH45" s="37"/>
      <c r="AI45" s="37"/>
      <c r="AJ45" s="37"/>
      <c r="AK45" s="37"/>
      <c r="AL45" s="37"/>
      <c r="AM45" s="37"/>
      <c r="AN45" s="37"/>
      <c r="AO45" s="37"/>
      <c r="AP45" s="37"/>
      <c r="AQ45" s="37"/>
    </row>
    <row r="46" spans="3:43" ht="14" customHeight="1">
      <c r="C46" s="80">
        <v>99225</v>
      </c>
      <c r="D46" s="62" t="s">
        <v>155</v>
      </c>
      <c r="E46" s="131" t="s">
        <v>153</v>
      </c>
      <c r="F46" s="140" t="s">
        <v>1133</v>
      </c>
      <c r="G46" s="120" t="s">
        <v>1091</v>
      </c>
      <c r="H46" s="18" t="s">
        <v>619</v>
      </c>
      <c r="I46" s="18" t="s">
        <v>2</v>
      </c>
      <c r="J46" s="19" t="s">
        <v>463</v>
      </c>
      <c r="K46" s="103">
        <v>26262</v>
      </c>
      <c r="L46" s="101">
        <f>INDEX(Table1[Production],MATCH(rrcworking[[#This Row],[RRC ID Number]],Table1[RRC Identifier],0))</f>
        <v>0</v>
      </c>
      <c r="M46" s="30">
        <f>INDEX(Table1[Formation Production],MATCH(rrcworking[[#This Row],[RRC ID Number]],Table1[RRC Identifier],0))</f>
        <v>0</v>
      </c>
      <c r="N46" s="31">
        <f>INDEX(Table1[On Hand End of Month],MATCH(rrcworking[[#This Row],[RRC ID Number]],Table1[RRC Identifier],0))</f>
        <v>28</v>
      </c>
      <c r="O46" s="106" t="b">
        <f t="shared" si="1"/>
        <v>1</v>
      </c>
      <c r="P46" s="181">
        <v>0</v>
      </c>
      <c r="Q46" s="127">
        <f>rrcworking[[#This Row],[Last Month Closing Stock]]</f>
        <v>28</v>
      </c>
      <c r="R46" s="181">
        <v>28</v>
      </c>
      <c r="S46" s="143">
        <f>IF(ISERROR(INDEX(Table2[OIL],MATCH(rrcworking[[#This Row],[Magnum Wolfpak '#]],Table2[Rox Wolf'#],0))),0,INDEX(Table2[OIL],MATCH(rrcworking[[#This Row],[Magnum Wolfpak '#]],Table2[Rox Wolf'#],0)))</f>
        <v>0</v>
      </c>
      <c r="T46" s="35">
        <f>rrcworking[[#This Row],[Closing Stock (Oil)]]+rrcworking[[#This Row],[Sales/Dispostion]]-rrcworking[[#This Row],[Opening Oil Stock]]</f>
        <v>0</v>
      </c>
      <c r="U46" s="112">
        <f>rrcworking[[#This Row],[Gauge Sheet Prod Volume]]-rrcworking[[#This Row],[Oil Production]]</f>
        <v>0</v>
      </c>
      <c r="V46" s="143">
        <f>IF(ISERROR(INDEX(Table2[GAS],MATCH(rrcworking[[#This Row],[Magnum Wolfpak '#]],Table2[Rox Wolf'#],0))),0,INDEX(Table2[GAS],MATCH(rrcworking[[#This Row],[Magnum Wolfpak '#]],Table2[Rox Wolf'#],0)))</f>
        <v>0</v>
      </c>
      <c r="W46" s="24"/>
      <c r="X46" s="135">
        <f>IF(rrcworking[[#This Row],[Pressure Base]]=14.73,rrcworking[[#This Row],[Gas Sales Statement Volume (MCF)]]*$R$2,rrcworking[[#This Row],[Gas Sales Statement Volume (MCF)]])</f>
        <v>0</v>
      </c>
      <c r="Y46" s="60"/>
      <c r="Z46" s="60"/>
      <c r="AA46" s="143">
        <f>IF(ISERROR(INDEX(Table2[LEASE USE],MATCH(rrcworking[[#This Row],[Magnum Wolfpak '#]],Table2[Rox Wolf'#],0))),0,INDEX(Table2[LEASE USE],MATCH(rrcworking[[#This Row],[Magnum Wolfpak '#]],Table2[Rox Wolf'#],0)))</f>
        <v>0</v>
      </c>
      <c r="AB46" s="57">
        <f>rrcworking[[#This Row],[Disposition Volume (MCF) @ 14.65 MCF]]+rrcworking[[#This Row],[Lease Use (MCF)]]</f>
        <v>0</v>
      </c>
      <c r="AC46" s="37"/>
      <c r="AD46" s="37" t="s">
        <v>1140</v>
      </c>
      <c r="AE46" s="187">
        <f>COUNTIF(FilterList,rrcworking[[#This Row],[Magnum Wolfpak '#]])</f>
        <v>0</v>
      </c>
      <c r="AF46" s="184"/>
      <c r="AG46" s="185"/>
      <c r="AH46" s="37"/>
      <c r="AI46" s="37"/>
      <c r="AJ46" s="186"/>
      <c r="AK46" s="186"/>
      <c r="AL46" s="186"/>
      <c r="AM46" s="186"/>
      <c r="AN46" s="186"/>
      <c r="AO46" s="186"/>
      <c r="AP46" s="37" t="s">
        <v>1165</v>
      </c>
      <c r="AQ46" s="37" t="s">
        <v>1191</v>
      </c>
    </row>
    <row r="47" spans="3:43" ht="126" customHeight="1">
      <c r="C47" s="80" t="e">
        <v>#N/A</v>
      </c>
      <c r="D47" s="62" t="s">
        <v>159</v>
      </c>
      <c r="E47" s="131" t="s">
        <v>153</v>
      </c>
      <c r="F47" s="140" t="s">
        <v>58</v>
      </c>
      <c r="G47" s="120" t="s">
        <v>1091</v>
      </c>
      <c r="H47" s="18" t="s">
        <v>619</v>
      </c>
      <c r="I47" s="18" t="s">
        <v>2</v>
      </c>
      <c r="J47" s="19" t="s">
        <v>466</v>
      </c>
      <c r="K47" s="103">
        <v>26909</v>
      </c>
      <c r="L47" s="101">
        <f>INDEX(Table1[Production],MATCH(rrcworking[[#This Row],[RRC ID Number]],Table1[RRC Identifier],0))</f>
        <v>0</v>
      </c>
      <c r="M47" s="30">
        <f>INDEX(Table1[Formation Production],MATCH(rrcworking[[#This Row],[RRC ID Number]],Table1[RRC Identifier],0))</f>
        <v>0</v>
      </c>
      <c r="N47" s="31">
        <f>INDEX(Table1[On Hand End of Month],MATCH(rrcworking[[#This Row],[RRC ID Number]],Table1[RRC Identifier],0))</f>
        <v>32</v>
      </c>
      <c r="O47" s="106" t="b">
        <f t="shared" si="1"/>
        <v>1</v>
      </c>
      <c r="P47" s="181"/>
      <c r="Q47" s="127">
        <f>rrcworking[[#This Row],[Last Month Closing Stock]]</f>
        <v>32</v>
      </c>
      <c r="R47" s="181">
        <f>rrcworking[[#This Row],[Opening Oil Stock]]</f>
        <v>32</v>
      </c>
      <c r="S47" s="143">
        <f>IF(ISERROR(INDEX(Table2[OIL],MATCH(rrcworking[[#This Row],[Magnum Wolfpak '#]],Table2[Rox Wolf'#],0))),0,INDEX(Table2[OIL],MATCH(rrcworking[[#This Row],[Magnum Wolfpak '#]],Table2[Rox Wolf'#],0)))</f>
        <v>0</v>
      </c>
      <c r="T47" s="35">
        <f>rrcworking[[#This Row],[Closing Stock (Oil)]]+rrcworking[[#This Row],[Sales/Dispostion]]-rrcworking[[#This Row],[Opening Oil Stock]]</f>
        <v>0</v>
      </c>
      <c r="U47" s="112">
        <f>rrcworking[[#This Row],[Gauge Sheet Prod Volume]]-rrcworking[[#This Row],[Oil Production]]</f>
        <v>0</v>
      </c>
      <c r="V47" s="143">
        <f>IF(ISERROR(INDEX(Table2[GAS],MATCH(rrcworking[[#This Row],[Magnum Wolfpak '#]],Table2[Rox Wolf'#],0))),0,INDEX(Table2[GAS],MATCH(rrcworking[[#This Row],[Magnum Wolfpak '#]],Table2[Rox Wolf'#],0)))</f>
        <v>0</v>
      </c>
      <c r="W47" s="24"/>
      <c r="X47" s="135">
        <f>IF(rrcworking[[#This Row],[Pressure Base]]=14.73,rrcworking[[#This Row],[Gas Sales Statement Volume (MCF)]]*$R$2,rrcworking[[#This Row],[Gas Sales Statement Volume (MCF)]])</f>
        <v>0</v>
      </c>
      <c r="Y47" s="60"/>
      <c r="Z47" s="60"/>
      <c r="AA47" s="143">
        <f>IF(ISERROR(INDEX(Table2[LEASE USE],MATCH(rrcworking[[#This Row],[Magnum Wolfpak '#]],Table2[Rox Wolf'#],0))),0,INDEX(Table2[LEASE USE],MATCH(rrcworking[[#This Row],[Magnum Wolfpak '#]],Table2[Rox Wolf'#],0)))</f>
        <v>0</v>
      </c>
      <c r="AB47" s="57">
        <f>rrcworking[[#This Row],[Disposition Volume (MCF) @ 14.65 MCF]]+rrcworking[[#This Row],[Lease Use (MCF)]]</f>
        <v>0</v>
      </c>
      <c r="AC47" s="37"/>
      <c r="AD47" s="37"/>
      <c r="AE47" s="187">
        <f>COUNTIF(FilterList,rrcworking[[#This Row],[Magnum Wolfpak '#]])</f>
        <v>0</v>
      </c>
      <c r="AF47" s="184"/>
      <c r="AG47" s="185"/>
      <c r="AH47" s="37"/>
      <c r="AI47" s="37"/>
      <c r="AJ47" s="37"/>
      <c r="AK47" s="37"/>
      <c r="AL47" s="37"/>
      <c r="AM47" s="37"/>
      <c r="AN47" s="37"/>
      <c r="AO47" s="37"/>
      <c r="AP47" s="37"/>
      <c r="AQ47" s="37"/>
    </row>
    <row r="48" spans="3:43" ht="14" customHeight="1">
      <c r="C48" s="80" t="e">
        <v>#N/A</v>
      </c>
      <c r="D48" s="62" t="s">
        <v>152</v>
      </c>
      <c r="E48" s="131" t="s">
        <v>154</v>
      </c>
      <c r="F48" s="129">
        <v>0</v>
      </c>
      <c r="G48" s="120" t="s">
        <v>1091</v>
      </c>
      <c r="H48" s="18" t="s">
        <v>619</v>
      </c>
      <c r="I48" s="18" t="s">
        <v>2</v>
      </c>
      <c r="J48" s="19" t="s">
        <v>462</v>
      </c>
      <c r="K48" s="103">
        <v>27150</v>
      </c>
      <c r="L48" s="101">
        <f>INDEX(Table1[Production],MATCH(rrcworking[[#This Row],[RRC ID Number]],Table1[RRC Identifier],0))</f>
        <v>0</v>
      </c>
      <c r="M48" s="30">
        <f>INDEX(Table1[Formation Production],MATCH(rrcworking[[#This Row],[RRC ID Number]],Table1[RRC Identifier],0))</f>
        <v>0</v>
      </c>
      <c r="N48" s="31">
        <f>INDEX(Table1[On Hand End of Month],MATCH(rrcworking[[#This Row],[RRC ID Number]],Table1[RRC Identifier],0))</f>
        <v>0</v>
      </c>
      <c r="O48" s="106" t="b">
        <f t="shared" si="1"/>
        <v>1</v>
      </c>
      <c r="P48" s="181"/>
      <c r="Q48" s="127">
        <f>rrcworking[[#This Row],[Last Month Closing Stock]]</f>
        <v>0</v>
      </c>
      <c r="R48" s="181">
        <f>rrcworking[[#This Row],[Opening Oil Stock]]</f>
        <v>0</v>
      </c>
      <c r="S48" s="143">
        <f>IF(ISERROR(INDEX(Table2[OIL],MATCH(rrcworking[[#This Row],[Magnum Wolfpak '#]],Table2[Rox Wolf'#],0))),0,INDEX(Table2[OIL],MATCH(rrcworking[[#This Row],[Magnum Wolfpak '#]],Table2[Rox Wolf'#],0)))</f>
        <v>0</v>
      </c>
      <c r="T48" s="35">
        <f>rrcworking[[#This Row],[Closing Stock (Oil)]]+rrcworking[[#This Row],[Sales/Dispostion]]-rrcworking[[#This Row],[Opening Oil Stock]]</f>
        <v>0</v>
      </c>
      <c r="U48" s="112">
        <f>rrcworking[[#This Row],[Gauge Sheet Prod Volume]]-rrcworking[[#This Row],[Oil Production]]</f>
        <v>0</v>
      </c>
      <c r="V48" s="143">
        <f>IF(ISERROR(INDEX(Table2[GAS],MATCH(rrcworking[[#This Row],[Magnum Wolfpak '#]],Table2[Rox Wolf'#],0))),0,INDEX(Table2[GAS],MATCH(rrcworking[[#This Row],[Magnum Wolfpak '#]],Table2[Rox Wolf'#],0)))</f>
        <v>0</v>
      </c>
      <c r="W48" s="24"/>
      <c r="X48" s="135">
        <f>IF(rrcworking[[#This Row],[Pressure Base]]=14.73,rrcworking[[#This Row],[Gas Sales Statement Volume (MCF)]]*$R$2,rrcworking[[#This Row],[Gas Sales Statement Volume (MCF)]])</f>
        <v>0</v>
      </c>
      <c r="Y48" s="60"/>
      <c r="Z48" s="60"/>
      <c r="AA48" s="143">
        <f>IF(ISERROR(INDEX(Table2[LEASE USE],MATCH(rrcworking[[#This Row],[Magnum Wolfpak '#]],Table2[Rox Wolf'#],0))),0,INDEX(Table2[LEASE USE],MATCH(rrcworking[[#This Row],[Magnum Wolfpak '#]],Table2[Rox Wolf'#],0)))</f>
        <v>0</v>
      </c>
      <c r="AB48" s="57">
        <f>rrcworking[[#This Row],[Disposition Volume (MCF) @ 14.65 MCF]]+rrcworking[[#This Row],[Lease Use (MCF)]]</f>
        <v>0</v>
      </c>
      <c r="AC48" s="37"/>
      <c r="AD48" s="37"/>
      <c r="AE48" s="187">
        <f>COUNTIF(FilterList,rrcworking[[#This Row],[Magnum Wolfpak '#]])</f>
        <v>0</v>
      </c>
      <c r="AF48" s="184"/>
      <c r="AG48" s="185"/>
      <c r="AH48" s="37"/>
      <c r="AI48" s="37"/>
      <c r="AJ48" s="37"/>
      <c r="AK48" s="37"/>
      <c r="AL48" s="37"/>
      <c r="AM48" s="37"/>
      <c r="AN48" s="37"/>
      <c r="AO48" s="37"/>
      <c r="AP48" s="37"/>
      <c r="AQ48" s="37"/>
    </row>
    <row r="49" spans="3:43" ht="14" customHeight="1">
      <c r="C49" s="80" t="e">
        <v>#N/A</v>
      </c>
      <c r="D49" s="62" t="s">
        <v>157</v>
      </c>
      <c r="E49" s="131" t="s">
        <v>158</v>
      </c>
      <c r="F49" s="129">
        <v>5</v>
      </c>
      <c r="G49" s="120" t="s">
        <v>1091</v>
      </c>
      <c r="H49" s="18" t="s">
        <v>619</v>
      </c>
      <c r="I49" s="18" t="s">
        <v>59</v>
      </c>
      <c r="J49" s="19" t="s">
        <v>465</v>
      </c>
      <c r="K49" s="103">
        <v>223401</v>
      </c>
      <c r="L49" s="101">
        <f>INDEX(Table1[Production],MATCH(rrcworking[[#This Row],[RRC ID Number]],Table1[RRC Identifier],0))</f>
        <v>0</v>
      </c>
      <c r="M49" s="30">
        <f>INDEX(Table1[Formation Production],MATCH(rrcworking[[#This Row],[RRC ID Number]],Table1[RRC Identifier],0))</f>
        <v>0</v>
      </c>
      <c r="N49" s="31">
        <f>INDEX(Table1[On Hand End of Month],MATCH(rrcworking[[#This Row],[RRC ID Number]],Table1[RRC Identifier],0))</f>
        <v>0</v>
      </c>
      <c r="O49" s="106" t="b">
        <f t="shared" si="1"/>
        <v>1</v>
      </c>
      <c r="P49" s="181"/>
      <c r="Q49" s="127">
        <f>rrcworking[[#This Row],[Last Month Closing Stock]]</f>
        <v>0</v>
      </c>
      <c r="R49" s="181">
        <f>rrcworking[[#This Row],[Opening Oil Stock]]</f>
        <v>0</v>
      </c>
      <c r="S49" s="143">
        <f>IF(ISERROR(INDEX(Table2[OIL],MATCH(rrcworking[[#This Row],[Magnum Wolfpak '#]],Table2[Rox Wolf'#],0))),0,INDEX(Table2[OIL],MATCH(rrcworking[[#This Row],[Magnum Wolfpak '#]],Table2[Rox Wolf'#],0)))</f>
        <v>0</v>
      </c>
      <c r="T49" s="35">
        <f>rrcworking[[#This Row],[Closing Stock (Oil)]]+rrcworking[[#This Row],[Sales/Dispostion]]-rrcworking[[#This Row],[Opening Oil Stock]]</f>
        <v>0</v>
      </c>
      <c r="U49" s="112">
        <f>rrcworking[[#This Row],[Gauge Sheet Prod Volume]]-rrcworking[[#This Row],[Oil Production]]</f>
        <v>0</v>
      </c>
      <c r="V49" s="143">
        <f>IF(ISERROR(INDEX(Table2[GAS],MATCH(rrcworking[[#This Row],[Magnum Wolfpak '#]],Table2[Rox Wolf'#],0))),0,INDEX(Table2[GAS],MATCH(rrcworking[[#This Row],[Magnum Wolfpak '#]],Table2[Rox Wolf'#],0)))</f>
        <v>0</v>
      </c>
      <c r="W49" s="24"/>
      <c r="X49" s="135">
        <f>IF(rrcworking[[#This Row],[Pressure Base]]=14.73,rrcworking[[#This Row],[Gas Sales Statement Volume (MCF)]]*$R$2,rrcworking[[#This Row],[Gas Sales Statement Volume (MCF)]])</f>
        <v>0</v>
      </c>
      <c r="Y49" s="60"/>
      <c r="Z49" s="60"/>
      <c r="AA49" s="143">
        <f>IF(ISERROR(INDEX(Table2[LEASE USE],MATCH(rrcworking[[#This Row],[Magnum Wolfpak '#]],Table2[Rox Wolf'#],0))),0,INDEX(Table2[LEASE USE],MATCH(rrcworking[[#This Row],[Magnum Wolfpak '#]],Table2[Rox Wolf'#],0)))</f>
        <v>0</v>
      </c>
      <c r="AB49" s="57">
        <f>rrcworking[[#This Row],[Disposition Volume (MCF) @ 14.65 MCF]]+rrcworking[[#This Row],[Lease Use (MCF)]]</f>
        <v>0</v>
      </c>
      <c r="AC49" s="37"/>
      <c r="AD49" s="37"/>
      <c r="AE49" s="187">
        <f>COUNTIF(FilterList,rrcworking[[#This Row],[Magnum Wolfpak '#]])</f>
        <v>0</v>
      </c>
      <c r="AF49" s="184"/>
      <c r="AG49" s="185"/>
      <c r="AH49" s="37"/>
      <c r="AI49" s="37"/>
      <c r="AJ49" s="37"/>
      <c r="AK49" s="37"/>
      <c r="AL49" s="37"/>
      <c r="AM49" s="37"/>
      <c r="AN49" s="37"/>
      <c r="AO49" s="37"/>
      <c r="AP49" s="37"/>
      <c r="AQ49" s="37"/>
    </row>
    <row r="50" spans="3:43" ht="14" customHeight="1">
      <c r="C50" s="80" t="e">
        <v>#N/A</v>
      </c>
      <c r="D50" s="62" t="s">
        <v>178</v>
      </c>
      <c r="E50" s="131" t="s">
        <v>158</v>
      </c>
      <c r="F50" s="129">
        <v>1</v>
      </c>
      <c r="G50" s="120" t="s">
        <v>1091</v>
      </c>
      <c r="H50" s="18" t="s">
        <v>619</v>
      </c>
      <c r="I50" s="18" t="s">
        <v>59</v>
      </c>
      <c r="J50" s="19" t="s">
        <v>476</v>
      </c>
      <c r="K50" s="103">
        <v>188081</v>
      </c>
      <c r="L50" s="101">
        <f>INDEX(Table1[Production],MATCH(rrcworking[[#This Row],[RRC ID Number]],Table1[RRC Identifier],0))</f>
        <v>0</v>
      </c>
      <c r="M50" s="30">
        <f>INDEX(Table1[Formation Production],MATCH(rrcworking[[#This Row],[RRC ID Number]],Table1[RRC Identifier],0))</f>
        <v>0</v>
      </c>
      <c r="N50" s="31">
        <f>INDEX(Table1[On Hand End of Month],MATCH(rrcworking[[#This Row],[RRC ID Number]],Table1[RRC Identifier],0))</f>
        <v>0</v>
      </c>
      <c r="O50" s="106" t="b">
        <f t="shared" si="1"/>
        <v>1</v>
      </c>
      <c r="P50" s="181"/>
      <c r="Q50" s="127">
        <f>rrcworking[[#This Row],[Last Month Closing Stock]]</f>
        <v>0</v>
      </c>
      <c r="R50" s="181">
        <f>rrcworking[[#This Row],[Opening Oil Stock]]</f>
        <v>0</v>
      </c>
      <c r="S50" s="143">
        <f>IF(ISERROR(INDEX(Table2[OIL],MATCH(rrcworking[[#This Row],[Magnum Wolfpak '#]],Table2[Rox Wolf'#],0))),0,INDEX(Table2[OIL],MATCH(rrcworking[[#This Row],[Magnum Wolfpak '#]],Table2[Rox Wolf'#],0)))</f>
        <v>0</v>
      </c>
      <c r="T50" s="35">
        <f>rrcworking[[#This Row],[Closing Stock (Oil)]]+rrcworking[[#This Row],[Sales/Dispostion]]-rrcworking[[#This Row],[Opening Oil Stock]]</f>
        <v>0</v>
      </c>
      <c r="U50" s="112">
        <f>rrcworking[[#This Row],[Gauge Sheet Prod Volume]]-rrcworking[[#This Row],[Oil Production]]</f>
        <v>0</v>
      </c>
      <c r="V50" s="143">
        <f>IF(ISERROR(INDEX(Table2[GAS],MATCH(rrcworking[[#This Row],[Magnum Wolfpak '#]],Table2[Rox Wolf'#],0))),0,INDEX(Table2[GAS],MATCH(rrcworking[[#This Row],[Magnum Wolfpak '#]],Table2[Rox Wolf'#],0)))</f>
        <v>0</v>
      </c>
      <c r="W50" s="24"/>
      <c r="X50" s="135">
        <f>IF(rrcworking[[#This Row],[Pressure Base]]=14.73,rrcworking[[#This Row],[Gas Sales Statement Volume (MCF)]]*$R$2,rrcworking[[#This Row],[Gas Sales Statement Volume (MCF)]])</f>
        <v>0</v>
      </c>
      <c r="Y50" s="60"/>
      <c r="Z50" s="60"/>
      <c r="AA50" s="143">
        <f>IF(ISERROR(INDEX(Table2[LEASE USE],MATCH(rrcworking[[#This Row],[Magnum Wolfpak '#]],Table2[Rox Wolf'#],0))),0,INDEX(Table2[LEASE USE],MATCH(rrcworking[[#This Row],[Magnum Wolfpak '#]],Table2[Rox Wolf'#],0)))</f>
        <v>0</v>
      </c>
      <c r="AB50" s="57">
        <f>rrcworking[[#This Row],[Disposition Volume (MCF) @ 14.65 MCF]]+rrcworking[[#This Row],[Lease Use (MCF)]]</f>
        <v>0</v>
      </c>
      <c r="AC50" s="37"/>
      <c r="AD50" s="37"/>
      <c r="AE50" s="187">
        <f>COUNTIF(FilterList,rrcworking[[#This Row],[Magnum Wolfpak '#]])</f>
        <v>0</v>
      </c>
      <c r="AF50" s="184"/>
      <c r="AG50" s="185"/>
      <c r="AH50" s="37"/>
      <c r="AI50" s="37"/>
      <c r="AJ50" s="37"/>
      <c r="AK50" s="37"/>
      <c r="AL50" s="37"/>
      <c r="AM50" s="37"/>
      <c r="AN50" s="37"/>
      <c r="AO50" s="37"/>
      <c r="AP50" s="37"/>
      <c r="AQ50" s="37"/>
    </row>
    <row r="51" spans="3:43" ht="14" customHeight="1">
      <c r="C51" s="80" t="e">
        <v>#N/A</v>
      </c>
      <c r="D51" s="62" t="s">
        <v>162</v>
      </c>
      <c r="E51" s="131" t="s">
        <v>163</v>
      </c>
      <c r="F51" s="129">
        <v>7</v>
      </c>
      <c r="G51" s="120" t="s">
        <v>1091</v>
      </c>
      <c r="H51" s="18" t="s">
        <v>619</v>
      </c>
      <c r="I51" s="18" t="s">
        <v>59</v>
      </c>
      <c r="J51" s="19" t="s">
        <v>468</v>
      </c>
      <c r="K51" s="103">
        <v>250605</v>
      </c>
      <c r="L51" s="101">
        <f>INDEX(Table1[Production],MATCH(rrcworking[[#This Row],[RRC ID Number]],Table1[RRC Identifier],0))</f>
        <v>0</v>
      </c>
      <c r="M51" s="30">
        <f>INDEX(Table1[Formation Production],MATCH(rrcworking[[#This Row],[RRC ID Number]],Table1[RRC Identifier],0))</f>
        <v>0</v>
      </c>
      <c r="N51" s="31">
        <f>INDEX(Table1[On Hand End of Month],MATCH(rrcworking[[#This Row],[RRC ID Number]],Table1[RRC Identifier],0))</f>
        <v>0</v>
      </c>
      <c r="O51" s="106" t="b">
        <f t="shared" si="1"/>
        <v>1</v>
      </c>
      <c r="P51" s="181"/>
      <c r="Q51" s="127">
        <f>rrcworking[[#This Row],[Last Month Closing Stock]]</f>
        <v>0</v>
      </c>
      <c r="R51" s="181">
        <f>rrcworking[[#This Row],[Opening Oil Stock]]</f>
        <v>0</v>
      </c>
      <c r="S51" s="143">
        <f>IF(ISERROR(INDEX(Table2[OIL],MATCH(rrcworking[[#This Row],[Magnum Wolfpak '#]],Table2[Rox Wolf'#],0))),0,INDEX(Table2[OIL],MATCH(rrcworking[[#This Row],[Magnum Wolfpak '#]],Table2[Rox Wolf'#],0)))</f>
        <v>0</v>
      </c>
      <c r="T51" s="35">
        <f>rrcworking[[#This Row],[Closing Stock (Oil)]]+rrcworking[[#This Row],[Sales/Dispostion]]-rrcworking[[#This Row],[Opening Oil Stock]]</f>
        <v>0</v>
      </c>
      <c r="U51" s="112">
        <f>rrcworking[[#This Row],[Gauge Sheet Prod Volume]]-rrcworking[[#This Row],[Oil Production]]</f>
        <v>0</v>
      </c>
      <c r="V51" s="143">
        <f>IF(ISERROR(INDEX(Table2[GAS],MATCH(rrcworking[[#This Row],[Magnum Wolfpak '#]],Table2[Rox Wolf'#],0))),0,INDEX(Table2[GAS],MATCH(rrcworking[[#This Row],[Magnum Wolfpak '#]],Table2[Rox Wolf'#],0)))</f>
        <v>0</v>
      </c>
      <c r="W51" s="24"/>
      <c r="X51" s="135">
        <f>IF(rrcworking[[#This Row],[Pressure Base]]=14.73,rrcworking[[#This Row],[Gas Sales Statement Volume (MCF)]]*$R$2,rrcworking[[#This Row],[Gas Sales Statement Volume (MCF)]])</f>
        <v>0</v>
      </c>
      <c r="Y51" s="60"/>
      <c r="Z51" s="60"/>
      <c r="AA51" s="143">
        <f>IF(ISERROR(INDEX(Table2[LEASE USE],MATCH(rrcworking[[#This Row],[Magnum Wolfpak '#]],Table2[Rox Wolf'#],0))),0,INDEX(Table2[LEASE USE],MATCH(rrcworking[[#This Row],[Magnum Wolfpak '#]],Table2[Rox Wolf'#],0)))</f>
        <v>0</v>
      </c>
      <c r="AB51" s="57">
        <f>rrcworking[[#This Row],[Disposition Volume (MCF) @ 14.65 MCF]]+rrcworking[[#This Row],[Lease Use (MCF)]]</f>
        <v>0</v>
      </c>
      <c r="AC51" s="37"/>
      <c r="AD51" s="37"/>
      <c r="AE51" s="187">
        <f>COUNTIF(FilterList,rrcworking[[#This Row],[Magnum Wolfpak '#]])</f>
        <v>0</v>
      </c>
      <c r="AF51" s="184"/>
      <c r="AG51" s="185"/>
      <c r="AH51" s="37"/>
      <c r="AI51" s="37"/>
      <c r="AJ51" s="37"/>
      <c r="AK51" s="37"/>
      <c r="AL51" s="37"/>
      <c r="AM51" s="37"/>
      <c r="AN51" s="37"/>
      <c r="AO51" s="37"/>
      <c r="AP51" s="37"/>
      <c r="AQ51" s="37"/>
    </row>
    <row r="52" spans="3:43" ht="14">
      <c r="C52" s="80" t="e">
        <v>#N/A</v>
      </c>
      <c r="D52" s="62" t="s">
        <v>160</v>
      </c>
      <c r="E52" s="131" t="s">
        <v>161</v>
      </c>
      <c r="F52" s="129">
        <v>1</v>
      </c>
      <c r="G52" s="120" t="s">
        <v>1091</v>
      </c>
      <c r="H52" s="18" t="s">
        <v>619</v>
      </c>
      <c r="I52" s="18" t="s">
        <v>59</v>
      </c>
      <c r="J52" s="19" t="s">
        <v>467</v>
      </c>
      <c r="K52" s="103">
        <v>233975</v>
      </c>
      <c r="L52" s="101">
        <f>INDEX(Table1[Production],MATCH(rrcworking[[#This Row],[RRC ID Number]],Table1[RRC Identifier],0))</f>
        <v>0</v>
      </c>
      <c r="M52" s="30">
        <f>INDEX(Table1[Formation Production],MATCH(rrcworking[[#This Row],[RRC ID Number]],Table1[RRC Identifier],0))</f>
        <v>0</v>
      </c>
      <c r="N52" s="31">
        <f>INDEX(Table1[On Hand End of Month],MATCH(rrcworking[[#This Row],[RRC ID Number]],Table1[RRC Identifier],0))</f>
        <v>0</v>
      </c>
      <c r="O52" s="106" t="b">
        <f t="shared" si="1"/>
        <v>1</v>
      </c>
      <c r="P52" s="181"/>
      <c r="Q52" s="127">
        <f>rrcworking[[#This Row],[Last Month Closing Stock]]</f>
        <v>0</v>
      </c>
      <c r="R52" s="181">
        <f>rrcworking[[#This Row],[Opening Oil Stock]]</f>
        <v>0</v>
      </c>
      <c r="S52" s="143">
        <f>IF(ISERROR(INDEX(Table2[OIL],MATCH(rrcworking[[#This Row],[Magnum Wolfpak '#]],Table2[Rox Wolf'#],0))),0,INDEX(Table2[OIL],MATCH(rrcworking[[#This Row],[Magnum Wolfpak '#]],Table2[Rox Wolf'#],0)))</f>
        <v>0</v>
      </c>
      <c r="T52" s="35">
        <f>rrcworking[[#This Row],[Closing Stock (Oil)]]+rrcworking[[#This Row],[Sales/Dispostion]]-rrcworking[[#This Row],[Opening Oil Stock]]</f>
        <v>0</v>
      </c>
      <c r="U52" s="112">
        <f>rrcworking[[#This Row],[Gauge Sheet Prod Volume]]-rrcworking[[#This Row],[Oil Production]]</f>
        <v>0</v>
      </c>
      <c r="V52" s="143">
        <f>IF(ISERROR(INDEX(Table2[GAS],MATCH(rrcworking[[#This Row],[Magnum Wolfpak '#]],Table2[Rox Wolf'#],0))),0,INDEX(Table2[GAS],MATCH(rrcworking[[#This Row],[Magnum Wolfpak '#]],Table2[Rox Wolf'#],0)))</f>
        <v>0</v>
      </c>
      <c r="W52" s="24"/>
      <c r="X52" s="135">
        <f>IF(rrcworking[[#This Row],[Pressure Base]]=14.73,rrcworking[[#This Row],[Gas Sales Statement Volume (MCF)]]*$R$2,rrcworking[[#This Row],[Gas Sales Statement Volume (MCF)]])</f>
        <v>0</v>
      </c>
      <c r="Y52" s="60"/>
      <c r="Z52" s="60"/>
      <c r="AA52" s="143">
        <f>IF(ISERROR(INDEX(Table2[LEASE USE],MATCH(rrcworking[[#This Row],[Magnum Wolfpak '#]],Table2[Rox Wolf'#],0))),0,INDEX(Table2[LEASE USE],MATCH(rrcworking[[#This Row],[Magnum Wolfpak '#]],Table2[Rox Wolf'#],0)))</f>
        <v>0</v>
      </c>
      <c r="AB52" s="57">
        <f>rrcworking[[#This Row],[Disposition Volume (MCF) @ 14.65 MCF]]+rrcworking[[#This Row],[Lease Use (MCF)]]</f>
        <v>0</v>
      </c>
      <c r="AC52" s="37"/>
      <c r="AD52" s="37"/>
      <c r="AE52" s="187">
        <f>COUNTIF(FilterList,rrcworking[[#This Row],[Magnum Wolfpak '#]])</f>
        <v>0</v>
      </c>
      <c r="AF52" s="184"/>
      <c r="AG52" s="185"/>
      <c r="AH52" s="37"/>
      <c r="AI52" s="37"/>
      <c r="AJ52" s="37"/>
      <c r="AK52" s="37"/>
      <c r="AL52" s="37"/>
      <c r="AM52" s="37"/>
      <c r="AN52" s="37"/>
      <c r="AO52" s="37"/>
      <c r="AP52" s="37"/>
      <c r="AQ52" s="37"/>
    </row>
    <row r="53" spans="3:43" ht="14">
      <c r="C53" s="80" t="e">
        <v>#N/A</v>
      </c>
      <c r="D53" s="62" t="s">
        <v>309</v>
      </c>
      <c r="E53" s="131" t="s">
        <v>311</v>
      </c>
      <c r="F53" s="129">
        <v>1</v>
      </c>
      <c r="G53" s="120" t="s">
        <v>1091</v>
      </c>
      <c r="H53" s="18" t="s">
        <v>620</v>
      </c>
      <c r="I53" s="18" t="s">
        <v>59</v>
      </c>
      <c r="J53" s="19" t="s">
        <v>553</v>
      </c>
      <c r="K53" s="103">
        <v>225615</v>
      </c>
      <c r="L53" s="101">
        <f>INDEX(Table1[Production],MATCH(rrcworking[[#This Row],[RRC ID Number]],Table1[RRC Identifier],0))</f>
        <v>0</v>
      </c>
      <c r="M53" s="30">
        <f>INDEX(Table1[Formation Production],MATCH(rrcworking[[#This Row],[RRC ID Number]],Table1[RRC Identifier],0))</f>
        <v>0</v>
      </c>
      <c r="N53" s="31">
        <f>INDEX(Table1[On Hand End of Month],MATCH(rrcworking[[#This Row],[RRC ID Number]],Table1[RRC Identifier],0))</f>
        <v>0</v>
      </c>
      <c r="O53" s="106" t="b">
        <f t="shared" si="1"/>
        <v>1</v>
      </c>
      <c r="P53" s="181"/>
      <c r="Q53" s="127">
        <f>rrcworking[[#This Row],[Last Month Closing Stock]]</f>
        <v>0</v>
      </c>
      <c r="R53" s="181">
        <f>rrcworking[[#This Row],[Opening Oil Stock]]</f>
        <v>0</v>
      </c>
      <c r="S53" s="143">
        <f>IF(ISERROR(INDEX(Table2[OIL],MATCH(rrcworking[[#This Row],[Magnum Wolfpak '#]],Table2[Rox Wolf'#],0))),0,INDEX(Table2[OIL],MATCH(rrcworking[[#This Row],[Magnum Wolfpak '#]],Table2[Rox Wolf'#],0)))</f>
        <v>0</v>
      </c>
      <c r="T53" s="35">
        <f>rrcworking[[#This Row],[Closing Stock (Oil)]]+rrcworking[[#This Row],[Sales/Dispostion]]-rrcworking[[#This Row],[Opening Oil Stock]]</f>
        <v>0</v>
      </c>
      <c r="U53" s="112">
        <f>rrcworking[[#This Row],[Gauge Sheet Prod Volume]]-rrcworking[[#This Row],[Oil Production]]</f>
        <v>0</v>
      </c>
      <c r="V53" s="143">
        <f>IF(ISERROR(INDEX(Table2[GAS],MATCH(rrcworking[[#This Row],[Magnum Wolfpak '#]],Table2[Rox Wolf'#],0))),0,INDEX(Table2[GAS],MATCH(rrcworking[[#This Row],[Magnum Wolfpak '#]],Table2[Rox Wolf'#],0)))</f>
        <v>0</v>
      </c>
      <c r="W53" s="24"/>
      <c r="X53" s="135">
        <f>IF(rrcworking[[#This Row],[Pressure Base]]=14.73,rrcworking[[#This Row],[Gas Sales Statement Volume (MCF)]]*$R$2,rrcworking[[#This Row],[Gas Sales Statement Volume (MCF)]])</f>
        <v>0</v>
      </c>
      <c r="Y53" s="60"/>
      <c r="Z53" s="60"/>
      <c r="AA53" s="143">
        <f>IF(ISERROR(INDEX(Table2[LEASE USE],MATCH(rrcworking[[#This Row],[Magnum Wolfpak '#]],Table2[Rox Wolf'#],0))),0,INDEX(Table2[LEASE USE],MATCH(rrcworking[[#This Row],[Magnum Wolfpak '#]],Table2[Rox Wolf'#],0)))</f>
        <v>0</v>
      </c>
      <c r="AB53" s="57">
        <f>rrcworking[[#This Row],[Disposition Volume (MCF) @ 14.65 MCF]]+rrcworking[[#This Row],[Lease Use (MCF)]]</f>
        <v>0</v>
      </c>
      <c r="AC53" s="37"/>
      <c r="AD53" s="37"/>
      <c r="AE53" s="187">
        <f>COUNTIF(FilterList,rrcworking[[#This Row],[Magnum Wolfpak '#]])</f>
        <v>0</v>
      </c>
      <c r="AF53" s="184"/>
      <c r="AG53" s="185"/>
      <c r="AH53" s="37"/>
      <c r="AI53" s="37"/>
      <c r="AJ53" s="37"/>
      <c r="AK53" s="37"/>
      <c r="AL53" s="37"/>
      <c r="AM53" s="37"/>
      <c r="AN53" s="37"/>
      <c r="AO53" s="37"/>
      <c r="AP53" s="37"/>
      <c r="AQ53" s="37"/>
    </row>
    <row r="54" spans="3:43" ht="14">
      <c r="C54" s="80">
        <v>99307</v>
      </c>
      <c r="D54" s="62" t="s">
        <v>254</v>
      </c>
      <c r="E54" s="131" t="s">
        <v>255</v>
      </c>
      <c r="F54" s="129">
        <v>2</v>
      </c>
      <c r="G54" s="120" t="s">
        <v>1091</v>
      </c>
      <c r="H54" s="18" t="s">
        <v>619</v>
      </c>
      <c r="I54" s="18" t="s">
        <v>59</v>
      </c>
      <c r="J54" s="19" t="s">
        <v>516</v>
      </c>
      <c r="K54" s="103">
        <v>247945</v>
      </c>
      <c r="L54" s="101">
        <f>INDEX(Table1[Production],MATCH(rrcworking[[#This Row],[RRC ID Number]],Table1[RRC Identifier],0))</f>
        <v>10</v>
      </c>
      <c r="M54" s="30">
        <f>INDEX(Table1[Formation Production],MATCH(rrcworking[[#This Row],[RRC ID Number]],Table1[RRC Identifier],0))</f>
        <v>576</v>
      </c>
      <c r="N54" s="31">
        <f>INDEX(Table1[On Hand End of Month],MATCH(rrcworking[[#This Row],[RRC ID Number]],Table1[RRC Identifier],0))</f>
        <v>102</v>
      </c>
      <c r="O54" s="106" t="b">
        <f t="shared" si="1"/>
        <v>0</v>
      </c>
      <c r="P54" s="181">
        <v>23</v>
      </c>
      <c r="Q54" s="127">
        <f>rrcworking[[#This Row],[Last Month Closing Stock]]</f>
        <v>102</v>
      </c>
      <c r="R54" s="182">
        <v>125</v>
      </c>
      <c r="S54" s="143">
        <f>IF(ISERROR(INDEX(Table2[OIL],MATCH(rrcworking[[#This Row],[Magnum Wolfpak '#]],Table2[Rox Wolf'#],0))),0,INDEX(Table2[OIL],MATCH(rrcworking[[#This Row],[Magnum Wolfpak '#]],Table2[Rox Wolf'#],0)))</f>
        <v>0</v>
      </c>
      <c r="T54" s="35">
        <f>rrcworking[[#This Row],[Closing Stock (Oil)]]+rrcworking[[#This Row],[Sales/Dispostion]]-rrcworking[[#This Row],[Opening Oil Stock]]</f>
        <v>23</v>
      </c>
      <c r="U54" s="112">
        <f>rrcworking[[#This Row],[Gauge Sheet Prod Volume]]-rrcworking[[#This Row],[Oil Production]]</f>
        <v>0</v>
      </c>
      <c r="V54" s="143">
        <f>IF(ISERROR(INDEX(Table2[GAS],MATCH(rrcworking[[#This Row],[Magnum Wolfpak '#]],Table2[Rox Wolf'#],0))),0,INDEX(Table2[GAS],MATCH(rrcworking[[#This Row],[Magnum Wolfpak '#]],Table2[Rox Wolf'#],0)))</f>
        <v>548</v>
      </c>
      <c r="W54" s="24"/>
      <c r="X54" s="135">
        <f>IF(rrcworking[[#This Row],[Pressure Base]]=14.73,rrcworking[[#This Row],[Gas Sales Statement Volume (MCF)]]*$R$2,rrcworking[[#This Row],[Gas Sales Statement Volume (MCF)]])</f>
        <v>548</v>
      </c>
      <c r="Y54" s="60"/>
      <c r="Z54" s="60"/>
      <c r="AA54" s="143">
        <f>IF(ISERROR(INDEX(Table2[LEASE USE],MATCH(rrcworking[[#This Row],[Magnum Wolfpak '#]],Table2[Rox Wolf'#],0))),0,INDEX(Table2[LEASE USE],MATCH(rrcworking[[#This Row],[Magnum Wolfpak '#]],Table2[Rox Wolf'#],0)))</f>
        <v>0</v>
      </c>
      <c r="AB54" s="57">
        <f>rrcworking[[#This Row],[Disposition Volume (MCF) @ 14.65 MCF]]+rrcworking[[#This Row],[Lease Use (MCF)]]</f>
        <v>548</v>
      </c>
      <c r="AC54" s="37"/>
      <c r="AD54" s="37"/>
      <c r="AE54" s="187">
        <f>COUNTIF(FilterList,rrcworking[[#This Row],[Magnum Wolfpak '#]])</f>
        <v>0</v>
      </c>
      <c r="AF54" s="184"/>
      <c r="AG54" s="185"/>
      <c r="AH54" s="37"/>
      <c r="AI54" s="185"/>
      <c r="AJ54" s="37">
        <v>2</v>
      </c>
      <c r="AK54" s="37" t="s">
        <v>1141</v>
      </c>
      <c r="AL54" s="37" t="s">
        <v>1141</v>
      </c>
      <c r="AM54" s="37" t="s">
        <v>1198</v>
      </c>
      <c r="AN54" s="37" t="s">
        <v>1141</v>
      </c>
      <c r="AO54" s="37" t="s">
        <v>1173</v>
      </c>
      <c r="AP54" s="37" t="s">
        <v>1199</v>
      </c>
      <c r="AQ54" s="37"/>
    </row>
    <row r="55" spans="3:43" ht="14">
      <c r="C55" s="80" t="e">
        <v>#N/A</v>
      </c>
      <c r="D55" s="62" t="s">
        <v>99</v>
      </c>
      <c r="E55" s="131" t="s">
        <v>97</v>
      </c>
      <c r="F55" s="129">
        <v>0</v>
      </c>
      <c r="G55" s="120" t="s">
        <v>1091</v>
      </c>
      <c r="H55" s="18" t="s">
        <v>618</v>
      </c>
      <c r="I55" s="18" t="s">
        <v>2</v>
      </c>
      <c r="J55" s="19" t="s">
        <v>428</v>
      </c>
      <c r="K55" s="103">
        <v>8462</v>
      </c>
      <c r="L55" s="101">
        <f>INDEX(Table1[Production],MATCH(rrcworking[[#This Row],[RRC ID Number]],Table1[RRC Identifier],0))</f>
        <v>0</v>
      </c>
      <c r="M55" s="30">
        <f>INDEX(Table1[Formation Production],MATCH(rrcworking[[#This Row],[RRC ID Number]],Table1[RRC Identifier],0))</f>
        <v>0</v>
      </c>
      <c r="N55" s="31">
        <f>INDEX(Table1[On Hand End of Month],MATCH(rrcworking[[#This Row],[RRC ID Number]],Table1[RRC Identifier],0))</f>
        <v>0</v>
      </c>
      <c r="O55" s="106" t="b">
        <f t="shared" si="1"/>
        <v>1</v>
      </c>
      <c r="P55" s="181"/>
      <c r="Q55" s="127">
        <f>rrcworking[[#This Row],[Last Month Closing Stock]]</f>
        <v>0</v>
      </c>
      <c r="R55" s="181">
        <f>rrcworking[[#This Row],[Opening Oil Stock]]</f>
        <v>0</v>
      </c>
      <c r="S55" s="143">
        <f>IF(ISERROR(INDEX(Table2[OIL],MATCH(rrcworking[[#This Row],[Magnum Wolfpak '#]],Table2[Rox Wolf'#],0))),0,INDEX(Table2[OIL],MATCH(rrcworking[[#This Row],[Magnum Wolfpak '#]],Table2[Rox Wolf'#],0)))</f>
        <v>0</v>
      </c>
      <c r="T55" s="35">
        <f>rrcworking[[#This Row],[Closing Stock (Oil)]]+rrcworking[[#This Row],[Sales/Dispostion]]-rrcworking[[#This Row],[Opening Oil Stock]]</f>
        <v>0</v>
      </c>
      <c r="U55" s="112">
        <f>rrcworking[[#This Row],[Gauge Sheet Prod Volume]]-rrcworking[[#This Row],[Oil Production]]</f>
        <v>0</v>
      </c>
      <c r="V55" s="143">
        <f>IF(ISERROR(INDEX(Table2[GAS],MATCH(rrcworking[[#This Row],[Magnum Wolfpak '#]],Table2[Rox Wolf'#],0))),0,INDEX(Table2[GAS],MATCH(rrcworking[[#This Row],[Magnum Wolfpak '#]],Table2[Rox Wolf'#],0)))</f>
        <v>0</v>
      </c>
      <c r="W55" s="24"/>
      <c r="X55" s="135">
        <f>IF(rrcworking[[#This Row],[Pressure Base]]=14.73,rrcworking[[#This Row],[Gas Sales Statement Volume (MCF)]]*$R$2,rrcworking[[#This Row],[Gas Sales Statement Volume (MCF)]])</f>
        <v>0</v>
      </c>
      <c r="Y55" s="60"/>
      <c r="Z55" s="60"/>
      <c r="AA55" s="143">
        <f>IF(ISERROR(INDEX(Table2[LEASE USE],MATCH(rrcworking[[#This Row],[Magnum Wolfpak '#]],Table2[Rox Wolf'#],0))),0,INDEX(Table2[LEASE USE],MATCH(rrcworking[[#This Row],[Magnum Wolfpak '#]],Table2[Rox Wolf'#],0)))</f>
        <v>0</v>
      </c>
      <c r="AB55" s="57">
        <f>rrcworking[[#This Row],[Disposition Volume (MCF) @ 14.65 MCF]]+rrcworking[[#This Row],[Lease Use (MCF)]]</f>
        <v>0</v>
      </c>
      <c r="AC55" s="37"/>
      <c r="AD55" s="37"/>
      <c r="AE55" s="187">
        <f>COUNTIF(FilterList,rrcworking[[#This Row],[Magnum Wolfpak '#]])</f>
        <v>0</v>
      </c>
      <c r="AF55" s="184"/>
      <c r="AG55" s="185"/>
      <c r="AH55" s="37"/>
      <c r="AI55" s="37"/>
      <c r="AJ55" s="37"/>
      <c r="AK55" s="37"/>
      <c r="AL55" s="37"/>
      <c r="AM55" s="37"/>
      <c r="AN55" s="37"/>
      <c r="AO55" s="37"/>
      <c r="AP55" s="37"/>
      <c r="AQ55" s="37"/>
    </row>
    <row r="56" spans="3:43" ht="14">
      <c r="C56" s="80">
        <v>93806</v>
      </c>
      <c r="D56" s="62" t="s">
        <v>96</v>
      </c>
      <c r="E56" s="131" t="s">
        <v>97</v>
      </c>
      <c r="F56" s="129">
        <v>0</v>
      </c>
      <c r="G56" s="120" t="s">
        <v>1091</v>
      </c>
      <c r="H56" s="18" t="s">
        <v>618</v>
      </c>
      <c r="I56" s="18" t="s">
        <v>2</v>
      </c>
      <c r="J56" s="19" t="s">
        <v>426</v>
      </c>
      <c r="K56" s="103">
        <v>5446</v>
      </c>
      <c r="L56" s="101">
        <f>INDEX(Table1[Production],MATCH(rrcworking[[#This Row],[RRC ID Number]],Table1[RRC Identifier],0))</f>
        <v>16</v>
      </c>
      <c r="M56" s="30">
        <f>INDEX(Table1[Formation Production],MATCH(rrcworking[[#This Row],[RRC ID Number]],Table1[RRC Identifier],0))</f>
        <v>0</v>
      </c>
      <c r="N56" s="31">
        <f>INDEX(Table1[On Hand End of Month],MATCH(rrcworking[[#This Row],[RRC ID Number]],Table1[RRC Identifier],0))</f>
        <v>65</v>
      </c>
      <c r="O56" s="106" t="b">
        <f t="shared" si="1"/>
        <v>0</v>
      </c>
      <c r="P56" s="181">
        <v>19</v>
      </c>
      <c r="Q56" s="127">
        <f>rrcworking[[#This Row],[Last Month Closing Stock]]</f>
        <v>65</v>
      </c>
      <c r="R56" s="182">
        <v>85</v>
      </c>
      <c r="S56" s="143">
        <f>IF(ISERROR(INDEX(Table2[OIL],MATCH(rrcworking[[#This Row],[Magnum Wolfpak '#]],Table2[Rox Wolf'#],0))),0,INDEX(Table2[OIL],MATCH(rrcworking[[#This Row],[Magnum Wolfpak '#]],Table2[Rox Wolf'#],0)))</f>
        <v>0</v>
      </c>
      <c r="T56" s="35">
        <f>rrcworking[[#This Row],[Closing Stock (Oil)]]+rrcworking[[#This Row],[Sales/Dispostion]]-rrcworking[[#This Row],[Opening Oil Stock]]</f>
        <v>20</v>
      </c>
      <c r="U56" s="112">
        <f>rrcworking[[#This Row],[Gauge Sheet Prod Volume]]-rrcworking[[#This Row],[Oil Production]]</f>
        <v>-1</v>
      </c>
      <c r="V56" s="143">
        <f>IF(ISERROR(INDEX(Table2[GAS],MATCH(rrcworking[[#This Row],[Magnum Wolfpak '#]],Table2[Rox Wolf'#],0))),0,INDEX(Table2[GAS],MATCH(rrcworking[[#This Row],[Magnum Wolfpak '#]],Table2[Rox Wolf'#],0)))</f>
        <v>0</v>
      </c>
      <c r="W56" s="24"/>
      <c r="X56" s="135">
        <f>IF(rrcworking[[#This Row],[Pressure Base]]=14.73,rrcworking[[#This Row],[Gas Sales Statement Volume (MCF)]]*$R$2,rrcworking[[#This Row],[Gas Sales Statement Volume (MCF)]])</f>
        <v>0</v>
      </c>
      <c r="Y56" s="60"/>
      <c r="Z56" s="60"/>
      <c r="AA56" s="143">
        <f>IF(ISERROR(INDEX(Table2[LEASE USE],MATCH(rrcworking[[#This Row],[Magnum Wolfpak '#]],Table2[Rox Wolf'#],0))),0,INDEX(Table2[LEASE USE],MATCH(rrcworking[[#This Row],[Magnum Wolfpak '#]],Table2[Rox Wolf'#],0)))</f>
        <v>0</v>
      </c>
      <c r="AB56" s="57">
        <f>rrcworking[[#This Row],[Disposition Volume (MCF) @ 14.65 MCF]]+rrcworking[[#This Row],[Lease Use (MCF)]]</f>
        <v>0</v>
      </c>
      <c r="AC56" s="37"/>
      <c r="AD56" s="37"/>
      <c r="AE56" s="187">
        <f>COUNTIF(FilterList,rrcworking[[#This Row],[Magnum Wolfpak '#]])</f>
        <v>0</v>
      </c>
      <c r="AF56" s="184"/>
      <c r="AG56" s="185"/>
      <c r="AH56" s="37"/>
      <c r="AI56" s="185"/>
      <c r="AJ56" s="186"/>
      <c r="AK56" s="186"/>
      <c r="AL56" s="186"/>
      <c r="AM56" s="186"/>
      <c r="AN56" s="186"/>
      <c r="AO56" s="186"/>
      <c r="AP56" s="37" t="s">
        <v>1165</v>
      </c>
      <c r="AQ56" s="37" t="s">
        <v>1171</v>
      </c>
    </row>
    <row r="57" spans="3:43" ht="14">
      <c r="C57" s="80" t="e">
        <v>#N/A</v>
      </c>
      <c r="D57" s="62" t="s">
        <v>329</v>
      </c>
      <c r="E57" s="131" t="s">
        <v>330</v>
      </c>
      <c r="F57" s="129">
        <v>0</v>
      </c>
      <c r="G57" s="120" t="s">
        <v>1091</v>
      </c>
      <c r="H57" s="18" t="s">
        <v>620</v>
      </c>
      <c r="I57" s="18" t="s">
        <v>2</v>
      </c>
      <c r="J57" s="19" t="s">
        <v>566</v>
      </c>
      <c r="K57" s="103">
        <v>12696</v>
      </c>
      <c r="L57" s="101">
        <f>INDEX(Table1[Production],MATCH(rrcworking[[#This Row],[RRC ID Number]],Table1[RRC Identifier],0))</f>
        <v>0</v>
      </c>
      <c r="M57" s="30">
        <f>INDEX(Table1[Formation Production],MATCH(rrcworking[[#This Row],[RRC ID Number]],Table1[RRC Identifier],0))</f>
        <v>0</v>
      </c>
      <c r="N57" s="31">
        <f>INDEX(Table1[On Hand End of Month],MATCH(rrcworking[[#This Row],[RRC ID Number]],Table1[RRC Identifier],0))</f>
        <v>47</v>
      </c>
      <c r="O57" s="106" t="b">
        <f t="shared" si="1"/>
        <v>1</v>
      </c>
      <c r="P57" s="181"/>
      <c r="Q57" s="127">
        <f>rrcworking[[#This Row],[Last Month Closing Stock]]</f>
        <v>47</v>
      </c>
      <c r="R57" s="181">
        <f>rrcworking[[#This Row],[Opening Oil Stock]]</f>
        <v>47</v>
      </c>
      <c r="S57" s="143">
        <f>IF(ISERROR(INDEX(Table2[OIL],MATCH(rrcworking[[#This Row],[Magnum Wolfpak '#]],Table2[Rox Wolf'#],0))),0,INDEX(Table2[OIL],MATCH(rrcworking[[#This Row],[Magnum Wolfpak '#]],Table2[Rox Wolf'#],0)))</f>
        <v>0</v>
      </c>
      <c r="T57" s="35">
        <f>rrcworking[[#This Row],[Closing Stock (Oil)]]+rrcworking[[#This Row],[Sales/Dispostion]]-rrcworking[[#This Row],[Opening Oil Stock]]</f>
        <v>0</v>
      </c>
      <c r="U57" s="112">
        <f>rrcworking[[#This Row],[Gauge Sheet Prod Volume]]-rrcworking[[#This Row],[Oil Production]]</f>
        <v>0</v>
      </c>
      <c r="V57" s="143">
        <f>IF(ISERROR(INDEX(Table2[GAS],MATCH(rrcworking[[#This Row],[Magnum Wolfpak '#]],Table2[Rox Wolf'#],0))),0,INDEX(Table2[GAS],MATCH(rrcworking[[#This Row],[Magnum Wolfpak '#]],Table2[Rox Wolf'#],0)))</f>
        <v>0</v>
      </c>
      <c r="W57" s="24"/>
      <c r="X57" s="135">
        <f>IF(rrcworking[[#This Row],[Pressure Base]]=14.73,rrcworking[[#This Row],[Gas Sales Statement Volume (MCF)]]*$R$2,rrcworking[[#This Row],[Gas Sales Statement Volume (MCF)]])</f>
        <v>0</v>
      </c>
      <c r="Y57" s="60"/>
      <c r="Z57" s="60"/>
      <c r="AA57" s="143">
        <f>IF(ISERROR(INDEX(Table2[LEASE USE],MATCH(rrcworking[[#This Row],[Magnum Wolfpak '#]],Table2[Rox Wolf'#],0))),0,INDEX(Table2[LEASE USE],MATCH(rrcworking[[#This Row],[Magnum Wolfpak '#]],Table2[Rox Wolf'#],0)))</f>
        <v>0</v>
      </c>
      <c r="AB57" s="57">
        <f>rrcworking[[#This Row],[Disposition Volume (MCF) @ 14.65 MCF]]+rrcworking[[#This Row],[Lease Use (MCF)]]</f>
        <v>0</v>
      </c>
      <c r="AC57" s="37"/>
      <c r="AD57" s="37"/>
      <c r="AE57" s="187">
        <f>COUNTIF(FilterList,rrcworking[[#This Row],[Magnum Wolfpak '#]])</f>
        <v>0</v>
      </c>
      <c r="AF57" s="184"/>
      <c r="AG57" s="185"/>
      <c r="AH57" s="37"/>
      <c r="AI57" s="37"/>
      <c r="AJ57" s="37"/>
      <c r="AK57" s="37"/>
      <c r="AL57" s="37"/>
      <c r="AM57" s="37"/>
      <c r="AN57" s="37"/>
      <c r="AO57" s="37"/>
      <c r="AP57" s="37"/>
      <c r="AQ57" s="37"/>
    </row>
    <row r="58" spans="3:43" ht="14">
      <c r="C58" s="80" t="e">
        <v>#N/A</v>
      </c>
      <c r="D58" s="62" t="s">
        <v>331</v>
      </c>
      <c r="E58" s="131" t="s">
        <v>332</v>
      </c>
      <c r="F58" s="129">
        <v>0</v>
      </c>
      <c r="G58" s="120" t="s">
        <v>1091</v>
      </c>
      <c r="H58" s="18" t="s">
        <v>620</v>
      </c>
      <c r="I58" s="18" t="s">
        <v>2</v>
      </c>
      <c r="J58" s="19" t="s">
        <v>567</v>
      </c>
      <c r="K58" s="103">
        <v>13742</v>
      </c>
      <c r="L58" s="101">
        <f>INDEX(Table1[Production],MATCH(rrcworking[[#This Row],[RRC ID Number]],Table1[RRC Identifier],0))</f>
        <v>0</v>
      </c>
      <c r="M58" s="30">
        <f>INDEX(Table1[Formation Production],MATCH(rrcworking[[#This Row],[RRC ID Number]],Table1[RRC Identifier],0))</f>
        <v>0</v>
      </c>
      <c r="N58" s="31">
        <f>INDEX(Table1[On Hand End of Month],MATCH(rrcworking[[#This Row],[RRC ID Number]],Table1[RRC Identifier],0))</f>
        <v>52</v>
      </c>
      <c r="O58" s="106" t="b">
        <f t="shared" si="1"/>
        <v>1</v>
      </c>
      <c r="P58" s="181"/>
      <c r="Q58" s="127">
        <f>rrcworking[[#This Row],[Last Month Closing Stock]]</f>
        <v>52</v>
      </c>
      <c r="R58" s="181">
        <f>rrcworking[[#This Row],[Opening Oil Stock]]</f>
        <v>52</v>
      </c>
      <c r="S58" s="143">
        <f>IF(ISERROR(INDEX(Table2[OIL],MATCH(rrcworking[[#This Row],[Magnum Wolfpak '#]],Table2[Rox Wolf'#],0))),0,INDEX(Table2[OIL],MATCH(rrcworking[[#This Row],[Magnum Wolfpak '#]],Table2[Rox Wolf'#],0)))</f>
        <v>0</v>
      </c>
      <c r="T58" s="35">
        <f>rrcworking[[#This Row],[Closing Stock (Oil)]]+rrcworking[[#This Row],[Sales/Dispostion]]-rrcworking[[#This Row],[Opening Oil Stock]]</f>
        <v>0</v>
      </c>
      <c r="U58" s="112">
        <f>rrcworking[[#This Row],[Gauge Sheet Prod Volume]]-rrcworking[[#This Row],[Oil Production]]</f>
        <v>0</v>
      </c>
      <c r="V58" s="143">
        <f>IF(ISERROR(INDEX(Table2[GAS],MATCH(rrcworking[[#This Row],[Magnum Wolfpak '#]],Table2[Rox Wolf'#],0))),0,INDEX(Table2[GAS],MATCH(rrcworking[[#This Row],[Magnum Wolfpak '#]],Table2[Rox Wolf'#],0)))</f>
        <v>0</v>
      </c>
      <c r="W58" s="24"/>
      <c r="X58" s="135">
        <f>IF(rrcworking[[#This Row],[Pressure Base]]=14.73,rrcworking[[#This Row],[Gas Sales Statement Volume (MCF)]]*$R$2,rrcworking[[#This Row],[Gas Sales Statement Volume (MCF)]])</f>
        <v>0</v>
      </c>
      <c r="Y58" s="60"/>
      <c r="Z58" s="60"/>
      <c r="AA58" s="143">
        <f>IF(ISERROR(INDEX(Table2[LEASE USE],MATCH(rrcworking[[#This Row],[Magnum Wolfpak '#]],Table2[Rox Wolf'#],0))),0,INDEX(Table2[LEASE USE],MATCH(rrcworking[[#This Row],[Magnum Wolfpak '#]],Table2[Rox Wolf'#],0)))</f>
        <v>0</v>
      </c>
      <c r="AB58" s="57">
        <f>rrcworking[[#This Row],[Disposition Volume (MCF) @ 14.65 MCF]]+rrcworking[[#This Row],[Lease Use (MCF)]]</f>
        <v>0</v>
      </c>
      <c r="AC58" s="37"/>
      <c r="AD58" s="37"/>
      <c r="AE58" s="187">
        <f>COUNTIF(FilterList,rrcworking[[#This Row],[Magnum Wolfpak '#]])</f>
        <v>0</v>
      </c>
      <c r="AF58" s="184"/>
      <c r="AG58" s="185"/>
      <c r="AH58" s="37"/>
      <c r="AI58" s="37"/>
      <c r="AJ58" s="37"/>
      <c r="AK58" s="37"/>
      <c r="AL58" s="37"/>
      <c r="AM58" s="37"/>
      <c r="AN58" s="37"/>
      <c r="AO58" s="37"/>
      <c r="AP58" s="37"/>
      <c r="AQ58" s="37"/>
    </row>
    <row r="59" spans="3:43" ht="14">
      <c r="C59" s="80" t="e">
        <v>#N/A</v>
      </c>
      <c r="D59" s="62" t="s">
        <v>318</v>
      </c>
      <c r="E59" s="131" t="s">
        <v>319</v>
      </c>
      <c r="F59" s="129">
        <v>1</v>
      </c>
      <c r="G59" s="120" t="s">
        <v>1091</v>
      </c>
      <c r="H59" s="18" t="s">
        <v>620</v>
      </c>
      <c r="I59" s="18" t="s">
        <v>59</v>
      </c>
      <c r="J59" s="19" t="s">
        <v>558</v>
      </c>
      <c r="K59" s="103">
        <v>39333</v>
      </c>
      <c r="L59" s="101">
        <f>INDEX(Table1[Production],MATCH(rrcworking[[#This Row],[RRC ID Number]],Table1[RRC Identifier],0))</f>
        <v>0</v>
      </c>
      <c r="M59" s="30">
        <f>INDEX(Table1[Formation Production],MATCH(rrcworking[[#This Row],[RRC ID Number]],Table1[RRC Identifier],0))</f>
        <v>0</v>
      </c>
      <c r="N59" s="31">
        <f>INDEX(Table1[On Hand End of Month],MATCH(rrcworking[[#This Row],[RRC ID Number]],Table1[RRC Identifier],0))</f>
        <v>0</v>
      </c>
      <c r="O59" s="106" t="b">
        <f t="shared" si="1"/>
        <v>1</v>
      </c>
      <c r="P59" s="181"/>
      <c r="Q59" s="127">
        <f>rrcworking[[#This Row],[Last Month Closing Stock]]</f>
        <v>0</v>
      </c>
      <c r="R59" s="181">
        <f>rrcworking[[#This Row],[Opening Oil Stock]]</f>
        <v>0</v>
      </c>
      <c r="S59" s="143">
        <f>IF(ISERROR(INDEX(Table2[OIL],MATCH(rrcworking[[#This Row],[Magnum Wolfpak '#]],Table2[Rox Wolf'#],0))),0,INDEX(Table2[OIL],MATCH(rrcworking[[#This Row],[Magnum Wolfpak '#]],Table2[Rox Wolf'#],0)))</f>
        <v>0</v>
      </c>
      <c r="T59" s="35">
        <f>rrcworking[[#This Row],[Closing Stock (Oil)]]+rrcworking[[#This Row],[Sales/Dispostion]]-rrcworking[[#This Row],[Opening Oil Stock]]</f>
        <v>0</v>
      </c>
      <c r="U59" s="112">
        <f>rrcworking[[#This Row],[Gauge Sheet Prod Volume]]-rrcworking[[#This Row],[Oil Production]]</f>
        <v>0</v>
      </c>
      <c r="V59" s="143">
        <f>IF(ISERROR(INDEX(Table2[GAS],MATCH(rrcworking[[#This Row],[Magnum Wolfpak '#]],Table2[Rox Wolf'#],0))),0,INDEX(Table2[GAS],MATCH(rrcworking[[#This Row],[Magnum Wolfpak '#]],Table2[Rox Wolf'#],0)))</f>
        <v>0</v>
      </c>
      <c r="W59" s="24"/>
      <c r="X59" s="135">
        <f>IF(rrcworking[[#This Row],[Pressure Base]]=14.73,rrcworking[[#This Row],[Gas Sales Statement Volume (MCF)]]*$R$2,rrcworking[[#This Row],[Gas Sales Statement Volume (MCF)]])</f>
        <v>0</v>
      </c>
      <c r="Y59" s="60"/>
      <c r="Z59" s="60"/>
      <c r="AA59" s="143">
        <f>IF(ISERROR(INDEX(Table2[LEASE USE],MATCH(rrcworking[[#This Row],[Magnum Wolfpak '#]],Table2[Rox Wolf'#],0))),0,INDEX(Table2[LEASE USE],MATCH(rrcworking[[#This Row],[Magnum Wolfpak '#]],Table2[Rox Wolf'#],0)))</f>
        <v>0</v>
      </c>
      <c r="AB59" s="57">
        <f>rrcworking[[#This Row],[Disposition Volume (MCF) @ 14.65 MCF]]+rrcworking[[#This Row],[Lease Use (MCF)]]</f>
        <v>0</v>
      </c>
      <c r="AC59" s="37"/>
      <c r="AD59" s="37"/>
      <c r="AE59" s="187">
        <f>COUNTIF(FilterList,rrcworking[[#This Row],[Magnum Wolfpak '#]])</f>
        <v>0</v>
      </c>
      <c r="AF59" s="184"/>
      <c r="AG59" s="185"/>
      <c r="AH59" s="37"/>
      <c r="AI59" s="37"/>
      <c r="AJ59" s="37"/>
      <c r="AK59" s="37"/>
      <c r="AL59" s="37"/>
      <c r="AM59" s="37"/>
      <c r="AN59" s="37"/>
      <c r="AO59" s="37"/>
      <c r="AP59" s="37"/>
      <c r="AQ59" s="37"/>
    </row>
    <row r="60" spans="3:43" ht="14">
      <c r="C60" s="80" t="e">
        <v>#N/A</v>
      </c>
      <c r="D60" s="62" t="s">
        <v>320</v>
      </c>
      <c r="E60" s="131" t="s">
        <v>321</v>
      </c>
      <c r="F60" s="129">
        <v>0</v>
      </c>
      <c r="G60" s="120" t="s">
        <v>1091</v>
      </c>
      <c r="H60" s="18" t="s">
        <v>620</v>
      </c>
      <c r="I60" s="18" t="s">
        <v>2</v>
      </c>
      <c r="J60" s="19" t="s">
        <v>559</v>
      </c>
      <c r="K60" s="103">
        <v>13726</v>
      </c>
      <c r="L60" s="101">
        <f>INDEX(Table1[Production],MATCH(rrcworking[[#This Row],[RRC ID Number]],Table1[RRC Identifier],0))</f>
        <v>0</v>
      </c>
      <c r="M60" s="30">
        <f>INDEX(Table1[Formation Production],MATCH(rrcworking[[#This Row],[RRC ID Number]],Table1[RRC Identifier],0))</f>
        <v>0</v>
      </c>
      <c r="N60" s="31">
        <f>INDEX(Table1[On Hand End of Month],MATCH(rrcworking[[#This Row],[RRC ID Number]],Table1[RRC Identifier],0))</f>
        <v>90</v>
      </c>
      <c r="O60" s="106" t="b">
        <f t="shared" si="1"/>
        <v>1</v>
      </c>
      <c r="P60" s="181"/>
      <c r="Q60" s="127">
        <f>rrcworking[[#This Row],[Last Month Closing Stock]]</f>
        <v>90</v>
      </c>
      <c r="R60" s="181">
        <f>rrcworking[[#This Row],[Opening Oil Stock]]</f>
        <v>90</v>
      </c>
      <c r="S60" s="143">
        <f>IF(ISERROR(INDEX(Table2[OIL],MATCH(rrcworking[[#This Row],[Magnum Wolfpak '#]],Table2[Rox Wolf'#],0))),0,INDEX(Table2[OIL],MATCH(rrcworking[[#This Row],[Magnum Wolfpak '#]],Table2[Rox Wolf'#],0)))</f>
        <v>0</v>
      </c>
      <c r="T60" s="35">
        <f>rrcworking[[#This Row],[Closing Stock (Oil)]]+rrcworking[[#This Row],[Sales/Dispostion]]-rrcworking[[#This Row],[Opening Oil Stock]]</f>
        <v>0</v>
      </c>
      <c r="U60" s="112">
        <f>rrcworking[[#This Row],[Gauge Sheet Prod Volume]]-rrcworking[[#This Row],[Oil Production]]</f>
        <v>0</v>
      </c>
      <c r="V60" s="143">
        <f>IF(ISERROR(INDEX(Table2[GAS],MATCH(rrcworking[[#This Row],[Magnum Wolfpak '#]],Table2[Rox Wolf'#],0))),0,INDEX(Table2[GAS],MATCH(rrcworking[[#This Row],[Magnum Wolfpak '#]],Table2[Rox Wolf'#],0)))</f>
        <v>0</v>
      </c>
      <c r="W60" s="24"/>
      <c r="X60" s="135">
        <f>IF(rrcworking[[#This Row],[Pressure Base]]=14.73,rrcworking[[#This Row],[Gas Sales Statement Volume (MCF)]]*$R$2,rrcworking[[#This Row],[Gas Sales Statement Volume (MCF)]])</f>
        <v>0</v>
      </c>
      <c r="Y60" s="60"/>
      <c r="Z60" s="60"/>
      <c r="AA60" s="143">
        <f>IF(ISERROR(INDEX(Table2[LEASE USE],MATCH(rrcworking[[#This Row],[Magnum Wolfpak '#]],Table2[Rox Wolf'#],0))),0,INDEX(Table2[LEASE USE],MATCH(rrcworking[[#This Row],[Magnum Wolfpak '#]],Table2[Rox Wolf'#],0)))</f>
        <v>0</v>
      </c>
      <c r="AB60" s="57">
        <f>rrcworking[[#This Row],[Disposition Volume (MCF) @ 14.65 MCF]]+rrcworking[[#This Row],[Lease Use (MCF)]]</f>
        <v>0</v>
      </c>
      <c r="AC60" s="37"/>
      <c r="AD60" s="37"/>
      <c r="AE60" s="187">
        <f>COUNTIF(FilterList,rrcworking[[#This Row],[Magnum Wolfpak '#]])</f>
        <v>0</v>
      </c>
      <c r="AF60" s="184"/>
      <c r="AG60" s="185"/>
      <c r="AH60" s="37"/>
      <c r="AI60" s="37"/>
      <c r="AJ60" s="37"/>
      <c r="AK60" s="37"/>
      <c r="AL60" s="37"/>
      <c r="AM60" s="37"/>
      <c r="AN60" s="37"/>
      <c r="AO60" s="37"/>
      <c r="AP60" s="37"/>
      <c r="AQ60" s="37"/>
    </row>
    <row r="61" spans="3:43" ht="14">
      <c r="C61" s="80" t="e">
        <v>#N/A</v>
      </c>
      <c r="D61" s="62" t="s">
        <v>305</v>
      </c>
      <c r="E61" s="131" t="s">
        <v>306</v>
      </c>
      <c r="F61" s="129">
        <v>1</v>
      </c>
      <c r="G61" s="120" t="s">
        <v>1091</v>
      </c>
      <c r="H61" s="18" t="s">
        <v>619</v>
      </c>
      <c r="I61" s="18" t="s">
        <v>59</v>
      </c>
      <c r="J61" s="19" t="s">
        <v>551</v>
      </c>
      <c r="K61" s="103">
        <v>200844</v>
      </c>
      <c r="L61" s="101">
        <f>INDEX(Table1[Production],MATCH(rrcworking[[#This Row],[RRC ID Number]],Table1[RRC Identifier],0))</f>
        <v>0</v>
      </c>
      <c r="M61" s="30">
        <f>INDEX(Table1[Formation Production],MATCH(rrcworking[[#This Row],[RRC ID Number]],Table1[RRC Identifier],0))</f>
        <v>0</v>
      </c>
      <c r="N61" s="31">
        <f>INDEX(Table1[On Hand End of Month],MATCH(rrcworking[[#This Row],[RRC ID Number]],Table1[RRC Identifier],0))</f>
        <v>135</v>
      </c>
      <c r="O61" s="106" t="b">
        <f t="shared" si="1"/>
        <v>1</v>
      </c>
      <c r="P61" s="181"/>
      <c r="Q61" s="127">
        <f>rrcworking[[#This Row],[Last Month Closing Stock]]</f>
        <v>135</v>
      </c>
      <c r="R61" s="181">
        <f>rrcworking[[#This Row],[Opening Oil Stock]]</f>
        <v>135</v>
      </c>
      <c r="S61" s="143">
        <f>IF(ISERROR(INDEX(Table2[OIL],MATCH(rrcworking[[#This Row],[Magnum Wolfpak '#]],Table2[Rox Wolf'#],0))),0,INDEX(Table2[OIL],MATCH(rrcworking[[#This Row],[Magnum Wolfpak '#]],Table2[Rox Wolf'#],0)))</f>
        <v>0</v>
      </c>
      <c r="T61" s="35">
        <f>rrcworking[[#This Row],[Closing Stock (Oil)]]+rrcworking[[#This Row],[Sales/Dispostion]]-rrcworking[[#This Row],[Opening Oil Stock]]</f>
        <v>0</v>
      </c>
      <c r="U61" s="112">
        <f>rrcworking[[#This Row],[Gauge Sheet Prod Volume]]-rrcworking[[#This Row],[Oil Production]]</f>
        <v>0</v>
      </c>
      <c r="V61" s="143">
        <f>IF(ISERROR(INDEX(Table2[GAS],MATCH(rrcworking[[#This Row],[Magnum Wolfpak '#]],Table2[Rox Wolf'#],0))),0,INDEX(Table2[GAS],MATCH(rrcworking[[#This Row],[Magnum Wolfpak '#]],Table2[Rox Wolf'#],0)))</f>
        <v>0</v>
      </c>
      <c r="W61" s="24"/>
      <c r="X61" s="135">
        <f>IF(rrcworking[[#This Row],[Pressure Base]]=14.73,rrcworking[[#This Row],[Gas Sales Statement Volume (MCF)]]*$R$2,rrcworking[[#This Row],[Gas Sales Statement Volume (MCF)]])</f>
        <v>0</v>
      </c>
      <c r="Y61" s="60"/>
      <c r="Z61" s="60"/>
      <c r="AA61" s="143">
        <f>IF(ISERROR(INDEX(Table2[LEASE USE],MATCH(rrcworking[[#This Row],[Magnum Wolfpak '#]],Table2[Rox Wolf'#],0))),0,INDEX(Table2[LEASE USE],MATCH(rrcworking[[#This Row],[Magnum Wolfpak '#]],Table2[Rox Wolf'#],0)))</f>
        <v>0</v>
      </c>
      <c r="AB61" s="57">
        <f>rrcworking[[#This Row],[Disposition Volume (MCF) @ 14.65 MCF]]+rrcworking[[#This Row],[Lease Use (MCF)]]</f>
        <v>0</v>
      </c>
      <c r="AC61" s="37"/>
      <c r="AD61" s="37"/>
      <c r="AE61" s="187">
        <f>COUNTIF(FilterList,rrcworking[[#This Row],[Magnum Wolfpak '#]])</f>
        <v>0</v>
      </c>
      <c r="AF61" s="184"/>
      <c r="AG61" s="185"/>
      <c r="AH61" s="37"/>
      <c r="AI61" s="37"/>
      <c r="AJ61" s="37"/>
      <c r="AK61" s="37"/>
      <c r="AL61" s="37"/>
      <c r="AM61" s="37"/>
      <c r="AN61" s="37"/>
      <c r="AO61" s="37"/>
      <c r="AP61" s="37"/>
      <c r="AQ61" s="37"/>
    </row>
    <row r="62" spans="3:43" ht="14">
      <c r="C62" s="80" t="e">
        <v>#N/A</v>
      </c>
      <c r="D62" s="62" t="s">
        <v>259</v>
      </c>
      <c r="E62" s="131" t="s">
        <v>260</v>
      </c>
      <c r="F62" s="129">
        <v>1</v>
      </c>
      <c r="G62" s="120" t="s">
        <v>1091</v>
      </c>
      <c r="H62" s="18" t="s">
        <v>619</v>
      </c>
      <c r="I62" s="18" t="s">
        <v>59</v>
      </c>
      <c r="J62" s="19" t="s">
        <v>519</v>
      </c>
      <c r="K62" s="103">
        <v>158027</v>
      </c>
      <c r="L62" s="101">
        <f>INDEX(Table1[Production],MATCH(rrcworking[[#This Row],[RRC ID Number]],Table1[RRC Identifier],0))</f>
        <v>0</v>
      </c>
      <c r="M62" s="30">
        <f>INDEX(Table1[Formation Production],MATCH(rrcworking[[#This Row],[RRC ID Number]],Table1[RRC Identifier],0))</f>
        <v>0</v>
      </c>
      <c r="N62" s="31">
        <f>INDEX(Table1[On Hand End of Month],MATCH(rrcworking[[#This Row],[RRC ID Number]],Table1[RRC Identifier],0))</f>
        <v>0</v>
      </c>
      <c r="O62" s="106" t="b">
        <f t="shared" si="1"/>
        <v>1</v>
      </c>
      <c r="P62" s="181"/>
      <c r="Q62" s="127">
        <f>rrcworking[[#This Row],[Last Month Closing Stock]]</f>
        <v>0</v>
      </c>
      <c r="R62" s="181">
        <f>rrcworking[[#This Row],[Opening Oil Stock]]</f>
        <v>0</v>
      </c>
      <c r="S62" s="143">
        <f>IF(ISERROR(INDEX(Table2[OIL],MATCH(rrcworking[[#This Row],[Magnum Wolfpak '#]],Table2[Rox Wolf'#],0))),0,INDEX(Table2[OIL],MATCH(rrcworking[[#This Row],[Magnum Wolfpak '#]],Table2[Rox Wolf'#],0)))</f>
        <v>0</v>
      </c>
      <c r="T62" s="35">
        <f>rrcworking[[#This Row],[Closing Stock (Oil)]]+rrcworking[[#This Row],[Sales/Dispostion]]-rrcworking[[#This Row],[Opening Oil Stock]]</f>
        <v>0</v>
      </c>
      <c r="U62" s="112">
        <f>rrcworking[[#This Row],[Gauge Sheet Prod Volume]]-rrcworking[[#This Row],[Oil Production]]</f>
        <v>0</v>
      </c>
      <c r="V62" s="143">
        <f>IF(ISERROR(INDEX(Table2[GAS],MATCH(rrcworking[[#This Row],[Magnum Wolfpak '#]],Table2[Rox Wolf'#],0))),0,INDEX(Table2[GAS],MATCH(rrcworking[[#This Row],[Magnum Wolfpak '#]],Table2[Rox Wolf'#],0)))</f>
        <v>0</v>
      </c>
      <c r="W62" s="24"/>
      <c r="X62" s="135">
        <f>IF(rrcworking[[#This Row],[Pressure Base]]=14.73,rrcworking[[#This Row],[Gas Sales Statement Volume (MCF)]]*$R$2,rrcworking[[#This Row],[Gas Sales Statement Volume (MCF)]])</f>
        <v>0</v>
      </c>
      <c r="Y62" s="60"/>
      <c r="Z62" s="60"/>
      <c r="AA62" s="143">
        <f>IF(ISERROR(INDEX(Table2[LEASE USE],MATCH(rrcworking[[#This Row],[Magnum Wolfpak '#]],Table2[Rox Wolf'#],0))),0,INDEX(Table2[LEASE USE],MATCH(rrcworking[[#This Row],[Magnum Wolfpak '#]],Table2[Rox Wolf'#],0)))</f>
        <v>0</v>
      </c>
      <c r="AB62" s="57">
        <f>rrcworking[[#This Row],[Disposition Volume (MCF) @ 14.65 MCF]]+rrcworking[[#This Row],[Lease Use (MCF)]]</f>
        <v>0</v>
      </c>
      <c r="AC62" s="97"/>
      <c r="AD62" s="37"/>
      <c r="AE62" s="187">
        <f>COUNTIF(FilterList,rrcworking[[#This Row],[Magnum Wolfpak '#]])</f>
        <v>0</v>
      </c>
      <c r="AF62" s="184"/>
      <c r="AG62" s="185"/>
      <c r="AH62" s="37"/>
      <c r="AI62" s="37"/>
      <c r="AJ62" s="37"/>
      <c r="AK62" s="37"/>
      <c r="AL62" s="37"/>
      <c r="AM62" s="37"/>
      <c r="AN62" s="37"/>
      <c r="AO62" s="37"/>
      <c r="AP62" s="37"/>
      <c r="AQ62" s="37"/>
    </row>
    <row r="63" spans="3:43" ht="14">
      <c r="C63" s="80">
        <v>99007</v>
      </c>
      <c r="D63" s="62" t="s">
        <v>275</v>
      </c>
      <c r="E63" s="131" t="s">
        <v>281</v>
      </c>
      <c r="F63" s="129">
        <v>6</v>
      </c>
      <c r="G63" s="120" t="s">
        <v>1091</v>
      </c>
      <c r="H63" s="18" t="s">
        <v>619</v>
      </c>
      <c r="I63" s="18" t="s">
        <v>59</v>
      </c>
      <c r="J63" s="19" t="s">
        <v>532</v>
      </c>
      <c r="K63" s="103">
        <v>210200</v>
      </c>
      <c r="L63" s="101">
        <f>INDEX(Table1[Production],MATCH(rrcworking[[#This Row],[RRC ID Number]],Table1[RRC Identifier],0))</f>
        <v>0</v>
      </c>
      <c r="M63" s="30">
        <f>INDEX(Table1[Formation Production],MATCH(rrcworking[[#This Row],[RRC ID Number]],Table1[RRC Identifier],0))</f>
        <v>336</v>
      </c>
      <c r="N63" s="31">
        <f>INDEX(Table1[On Hand End of Month],MATCH(rrcworking[[#This Row],[RRC ID Number]],Table1[RRC Identifier],0))</f>
        <v>33</v>
      </c>
      <c r="O63" s="106" t="b">
        <f t="shared" si="1"/>
        <v>0</v>
      </c>
      <c r="P63" s="181">
        <v>0</v>
      </c>
      <c r="Q63" s="127">
        <f>rrcworking[[#This Row],[Last Month Closing Stock]]</f>
        <v>33</v>
      </c>
      <c r="R63" s="181">
        <v>33</v>
      </c>
      <c r="S63" s="143">
        <f>IF(ISERROR(INDEX(Table2[OIL],MATCH(rrcworking[[#This Row],[Magnum Wolfpak '#]],Table2[Rox Wolf'#],0))),0,INDEX(Table2[OIL],MATCH(rrcworking[[#This Row],[Magnum Wolfpak '#]],Table2[Rox Wolf'#],0)))</f>
        <v>0</v>
      </c>
      <c r="T63" s="35">
        <f>rrcworking[[#This Row],[Closing Stock (Oil)]]+rrcworking[[#This Row],[Sales/Dispostion]]-rrcworking[[#This Row],[Opening Oil Stock]]</f>
        <v>0</v>
      </c>
      <c r="U63" s="112">
        <f>rrcworking[[#This Row],[Gauge Sheet Prod Volume]]-rrcworking[[#This Row],[Oil Production]]</f>
        <v>0</v>
      </c>
      <c r="V63" s="143">
        <f>IF(ISERROR(INDEX(Table2[GAS],MATCH(rrcworking[[#This Row],[Magnum Wolfpak '#]],Table2[Rox Wolf'#],0))),0,INDEX(Table2[GAS],MATCH(rrcworking[[#This Row],[Magnum Wolfpak '#]],Table2[Rox Wolf'#],0)))</f>
        <v>114</v>
      </c>
      <c r="W63" s="24"/>
      <c r="X63" s="135">
        <f>IF(rrcworking[[#This Row],[Pressure Base]]=14.73,rrcworking[[#This Row],[Gas Sales Statement Volume (MCF)]]*$R$2,rrcworking[[#This Row],[Gas Sales Statement Volume (MCF)]])</f>
        <v>114</v>
      </c>
      <c r="Y63" s="85"/>
      <c r="Z63" s="60">
        <v>1</v>
      </c>
      <c r="AA63" s="143">
        <f>IF(ISERROR(INDEX(Table2[LEASE USE],MATCH(rrcworking[[#This Row],[Magnum Wolfpak '#]],Table2[Rox Wolf'#],0))),0,INDEX(Table2[LEASE USE],MATCH(rrcworking[[#This Row],[Magnum Wolfpak '#]],Table2[Rox Wolf'#],0)))</f>
        <v>31</v>
      </c>
      <c r="AB63" s="57">
        <f>rrcworking[[#This Row],[Disposition Volume (MCF) @ 14.65 MCF]]+rrcworking[[#This Row],[Lease Use (MCF)]]</f>
        <v>145</v>
      </c>
      <c r="AC63" s="37"/>
      <c r="AD63" s="37"/>
      <c r="AE63" s="187">
        <f>COUNTIF(FilterList,rrcworking[[#This Row],[Magnum Wolfpak '#]])</f>
        <v>0</v>
      </c>
      <c r="AF63" s="184"/>
      <c r="AG63" s="185"/>
      <c r="AH63" s="37"/>
      <c r="AI63" s="37"/>
      <c r="AJ63" s="186"/>
      <c r="AK63" s="186"/>
      <c r="AL63" s="186"/>
      <c r="AM63" s="186"/>
      <c r="AN63" s="186"/>
      <c r="AO63" s="186"/>
      <c r="AP63" s="37" t="s">
        <v>1165</v>
      </c>
      <c r="AQ63" s="37" t="s">
        <v>1200</v>
      </c>
    </row>
    <row r="64" spans="3:43" ht="14">
      <c r="C64" s="80">
        <v>98988</v>
      </c>
      <c r="D64" s="62" t="s">
        <v>275</v>
      </c>
      <c r="E64" s="131" t="s">
        <v>281</v>
      </c>
      <c r="F64" s="129">
        <v>2</v>
      </c>
      <c r="G64" s="120" t="s">
        <v>1091</v>
      </c>
      <c r="H64" s="18" t="s">
        <v>619</v>
      </c>
      <c r="I64" s="18" t="s">
        <v>59</v>
      </c>
      <c r="J64" s="19" t="s">
        <v>533</v>
      </c>
      <c r="K64" s="103">
        <v>215622</v>
      </c>
      <c r="L64" s="101">
        <f>INDEX(Table1[Production],MATCH(rrcworking[[#This Row],[RRC ID Number]],Table1[RRC Identifier],0))</f>
        <v>0</v>
      </c>
      <c r="M64" s="30">
        <f>INDEX(Table1[Formation Production],MATCH(rrcworking[[#This Row],[RRC ID Number]],Table1[RRC Identifier],0))</f>
        <v>1851</v>
      </c>
      <c r="N64" s="31">
        <f>INDEX(Table1[On Hand End of Month],MATCH(rrcworking[[#This Row],[RRC ID Number]],Table1[RRC Identifier],0))</f>
        <v>98</v>
      </c>
      <c r="O64" s="106" t="b">
        <f t="shared" si="1"/>
        <v>0</v>
      </c>
      <c r="P64" s="181">
        <v>0</v>
      </c>
      <c r="Q64" s="127">
        <f>rrcworking[[#This Row],[Last Month Closing Stock]]</f>
        <v>98</v>
      </c>
      <c r="R64" s="181">
        <v>98</v>
      </c>
      <c r="S64" s="143">
        <f>IF(ISERROR(INDEX(Table2[OIL],MATCH(rrcworking[[#This Row],[Magnum Wolfpak '#]],Table2[Rox Wolf'#],0))),0,INDEX(Table2[OIL],MATCH(rrcworking[[#This Row],[Magnum Wolfpak '#]],Table2[Rox Wolf'#],0)))</f>
        <v>0</v>
      </c>
      <c r="T64" s="35">
        <f>rrcworking[[#This Row],[Closing Stock (Oil)]]+rrcworking[[#This Row],[Sales/Dispostion]]-rrcworking[[#This Row],[Opening Oil Stock]]</f>
        <v>0</v>
      </c>
      <c r="U64" s="112">
        <f>rrcworking[[#This Row],[Gauge Sheet Prod Volume]]-rrcworking[[#This Row],[Oil Production]]</f>
        <v>0</v>
      </c>
      <c r="V64" s="143">
        <f>IF(ISERROR(INDEX(Table2[GAS],MATCH(rrcworking[[#This Row],[Magnum Wolfpak '#]],Table2[Rox Wolf'#],0))),0,INDEX(Table2[GAS],MATCH(rrcworking[[#This Row],[Magnum Wolfpak '#]],Table2[Rox Wolf'#],0)))</f>
        <v>2438</v>
      </c>
      <c r="W64" s="24"/>
      <c r="X64" s="135">
        <f>IF(rrcworking[[#This Row],[Pressure Base]]=14.73,rrcworking[[#This Row],[Gas Sales Statement Volume (MCF)]]*$R$2,rrcworking[[#This Row],[Gas Sales Statement Volume (MCF)]])</f>
        <v>2438</v>
      </c>
      <c r="Y64" s="85"/>
      <c r="Z64" s="60">
        <v>5</v>
      </c>
      <c r="AA64" s="143">
        <f>IF(ISERROR(INDEX(Table2[LEASE USE],MATCH(rrcworking[[#This Row],[Magnum Wolfpak '#]],Table2[Rox Wolf'#],0))),0,INDEX(Table2[LEASE USE],MATCH(rrcworking[[#This Row],[Magnum Wolfpak '#]],Table2[Rox Wolf'#],0)))</f>
        <v>155</v>
      </c>
      <c r="AB64" s="57">
        <f>rrcworking[[#This Row],[Disposition Volume (MCF) @ 14.65 MCF]]+rrcworking[[#This Row],[Lease Use (MCF)]]</f>
        <v>2593</v>
      </c>
      <c r="AC64" s="37"/>
      <c r="AD64" s="37"/>
      <c r="AE64" s="187">
        <f>COUNTIF(FilterList,rrcworking[[#This Row],[Magnum Wolfpak '#]])</f>
        <v>0</v>
      </c>
      <c r="AF64" s="184"/>
      <c r="AG64" s="185"/>
      <c r="AH64" s="37"/>
      <c r="AI64" s="37"/>
      <c r="AJ64" s="186"/>
      <c r="AK64" s="186"/>
      <c r="AL64" s="186"/>
      <c r="AM64" s="186"/>
      <c r="AN64" s="186"/>
      <c r="AO64" s="186"/>
      <c r="AP64" s="37" t="s">
        <v>1165</v>
      </c>
      <c r="AQ64" s="37" t="s">
        <v>1200</v>
      </c>
    </row>
    <row r="65" spans="3:43" ht="14">
      <c r="C65" s="80">
        <v>98987</v>
      </c>
      <c r="D65" s="62" t="s">
        <v>275</v>
      </c>
      <c r="E65" s="131" t="s">
        <v>277</v>
      </c>
      <c r="F65" s="129">
        <v>1</v>
      </c>
      <c r="G65" s="120" t="s">
        <v>1091</v>
      </c>
      <c r="H65" s="18" t="s">
        <v>619</v>
      </c>
      <c r="I65" s="18" t="s">
        <v>59</v>
      </c>
      <c r="J65" s="19" t="s">
        <v>528</v>
      </c>
      <c r="K65" s="103">
        <v>183638</v>
      </c>
      <c r="L65" s="101">
        <f>INDEX(Table1[Production],MATCH(rrcworking[[#This Row],[RRC ID Number]],Table1[RRC Identifier],0))</f>
        <v>0</v>
      </c>
      <c r="M65" s="30">
        <f>INDEX(Table1[Formation Production],MATCH(rrcworking[[#This Row],[RRC ID Number]],Table1[RRC Identifier],0))</f>
        <v>158</v>
      </c>
      <c r="N65" s="31">
        <f>INDEX(Table1[On Hand End of Month],MATCH(rrcworking[[#This Row],[RRC ID Number]],Table1[RRC Identifier],0))</f>
        <v>0</v>
      </c>
      <c r="O65" s="106" t="b">
        <f t="shared" si="1"/>
        <v>0</v>
      </c>
      <c r="P65" s="181">
        <v>0</v>
      </c>
      <c r="Q65" s="127">
        <f>rrcworking[[#This Row],[Last Month Closing Stock]]</f>
        <v>0</v>
      </c>
      <c r="R65" s="181">
        <v>0</v>
      </c>
      <c r="S65" s="143">
        <f>IF(ISERROR(INDEX(Table2[OIL],MATCH(rrcworking[[#This Row],[Magnum Wolfpak '#]],Table2[Rox Wolf'#],0))),0,INDEX(Table2[OIL],MATCH(rrcworking[[#This Row],[Magnum Wolfpak '#]],Table2[Rox Wolf'#],0)))</f>
        <v>0</v>
      </c>
      <c r="T65" s="35">
        <f>rrcworking[[#This Row],[Closing Stock (Oil)]]+rrcworking[[#This Row],[Sales/Dispostion]]-rrcworking[[#This Row],[Opening Oil Stock]]</f>
        <v>0</v>
      </c>
      <c r="U65" s="112">
        <f>rrcworking[[#This Row],[Gauge Sheet Prod Volume]]-rrcworking[[#This Row],[Oil Production]]</f>
        <v>0</v>
      </c>
      <c r="V65" s="143">
        <f>IF(ISERROR(INDEX(Table2[GAS],MATCH(rrcworking[[#This Row],[Magnum Wolfpak '#]],Table2[Rox Wolf'#],0))),0,INDEX(Table2[GAS],MATCH(rrcworking[[#This Row],[Magnum Wolfpak '#]],Table2[Rox Wolf'#],0)))</f>
        <v>0</v>
      </c>
      <c r="W65" s="24"/>
      <c r="X65" s="135">
        <f>IF(rrcworking[[#This Row],[Pressure Base]]=14.73,rrcworking[[#This Row],[Gas Sales Statement Volume (MCF)]]*$R$2,rrcworking[[#This Row],[Gas Sales Statement Volume (MCF)]])</f>
        <v>0</v>
      </c>
      <c r="Y65" s="85"/>
      <c r="Z65" s="60">
        <v>1</v>
      </c>
      <c r="AA65" s="143">
        <f>IF(ISERROR(INDEX(Table2[LEASE USE],MATCH(rrcworking[[#This Row],[Magnum Wolfpak '#]],Table2[Rox Wolf'#],0))),0,INDEX(Table2[LEASE USE],MATCH(rrcworking[[#This Row],[Magnum Wolfpak '#]],Table2[Rox Wolf'#],0)))</f>
        <v>0</v>
      </c>
      <c r="AB65" s="57">
        <f>rrcworking[[#This Row],[Disposition Volume (MCF) @ 14.65 MCF]]+rrcworking[[#This Row],[Lease Use (MCF)]]</f>
        <v>0</v>
      </c>
      <c r="AC65" s="37"/>
      <c r="AD65" s="37"/>
      <c r="AE65" s="187">
        <f>COUNTIF(FilterList,rrcworking[[#This Row],[Magnum Wolfpak '#]])</f>
        <v>0</v>
      </c>
      <c r="AF65" s="184"/>
      <c r="AG65" s="185"/>
      <c r="AH65" s="37"/>
      <c r="AI65" s="37"/>
      <c r="AJ65" s="186"/>
      <c r="AK65" s="186"/>
      <c r="AL65" s="186"/>
      <c r="AM65" s="186"/>
      <c r="AN65" s="186"/>
      <c r="AO65" s="186"/>
      <c r="AP65" s="37" t="s">
        <v>1165</v>
      </c>
      <c r="AQ65" s="37" t="s">
        <v>1200</v>
      </c>
    </row>
    <row r="66" spans="3:43" ht="56">
      <c r="C66" s="80">
        <v>98956</v>
      </c>
      <c r="D66" s="62" t="s">
        <v>275</v>
      </c>
      <c r="E66" s="131" t="s">
        <v>278</v>
      </c>
      <c r="F66" s="129">
        <v>1</v>
      </c>
      <c r="G66" s="120">
        <v>1988</v>
      </c>
      <c r="H66" s="18" t="s">
        <v>619</v>
      </c>
      <c r="I66" s="18" t="s">
        <v>59</v>
      </c>
      <c r="J66" s="19" t="s">
        <v>529</v>
      </c>
      <c r="K66" s="103">
        <v>199834</v>
      </c>
      <c r="L66" s="101">
        <f>INDEX(Table1[Production],MATCH(rrcworking[[#This Row],[RRC ID Number]],Table1[RRC Identifier],0))</f>
        <v>39</v>
      </c>
      <c r="M66" s="30">
        <f>INDEX(Table1[Formation Production],MATCH(rrcworking[[#This Row],[RRC ID Number]],Table1[RRC Identifier],0))</f>
        <v>643</v>
      </c>
      <c r="N66" s="31">
        <f>INDEX(Table1[On Hand End of Month],MATCH(rrcworking[[#This Row],[RRC ID Number]],Table1[RRC Identifier],0))</f>
        <v>123</v>
      </c>
      <c r="O66" s="106" t="b">
        <f t="shared" si="1"/>
        <v>0</v>
      </c>
      <c r="P66" s="181">
        <v>36</v>
      </c>
      <c r="Q66" s="127">
        <f>rrcworking[[#This Row],[Last Month Closing Stock]]</f>
        <v>123</v>
      </c>
      <c r="R66" s="181">
        <v>149</v>
      </c>
      <c r="S66" s="143">
        <f>IF(ISERROR(INDEX(Table2[OIL],MATCH(rrcworking[[#This Row],[Magnum Wolfpak '#]],Table2[Rox Wolf'#],0))),0,INDEX(Table2[OIL],MATCH(rrcworking[[#This Row],[Magnum Wolfpak '#]],Table2[Rox Wolf'#],0)))</f>
        <v>0</v>
      </c>
      <c r="T66" s="35">
        <f>rrcworking[[#This Row],[Closing Stock (Oil)]]+rrcworking[[#This Row],[Sales/Dispostion]]-rrcworking[[#This Row],[Opening Oil Stock]]</f>
        <v>26</v>
      </c>
      <c r="U66" s="112">
        <f>rrcworking[[#This Row],[Gauge Sheet Prod Volume]]-rrcworking[[#This Row],[Oil Production]]</f>
        <v>10</v>
      </c>
      <c r="V66" s="143">
        <f>IF(ISERROR(INDEX(Table2[GAS],MATCH(rrcworking[[#This Row],[Magnum Wolfpak '#]],Table2[Rox Wolf'#],0))),0,INDEX(Table2[GAS],MATCH(rrcworking[[#This Row],[Magnum Wolfpak '#]],Table2[Rox Wolf'#],0)))</f>
        <v>490</v>
      </c>
      <c r="W66" s="24"/>
      <c r="X66" s="135">
        <f>IF(rrcworking[[#This Row],[Pressure Base]]=14.73,rrcworking[[#This Row],[Gas Sales Statement Volume (MCF)]]*$R$2,rrcworking[[#This Row],[Gas Sales Statement Volume (MCF)]])</f>
        <v>490</v>
      </c>
      <c r="Y66" s="85"/>
      <c r="Z66" s="60">
        <v>2</v>
      </c>
      <c r="AA66" s="143">
        <f>IF(ISERROR(INDEX(Table2[LEASE USE],MATCH(rrcworking[[#This Row],[Magnum Wolfpak '#]],Table2[Rox Wolf'#],0))),0,INDEX(Table2[LEASE USE],MATCH(rrcworking[[#This Row],[Magnum Wolfpak '#]],Table2[Rox Wolf'#],0)))</f>
        <v>62</v>
      </c>
      <c r="AB66" s="57">
        <f>rrcworking[[#This Row],[Disposition Volume (MCF) @ 14.65 MCF]]+rrcworking[[#This Row],[Lease Use (MCF)]]</f>
        <v>552</v>
      </c>
      <c r="AC66" s="37"/>
      <c r="AD66" s="37" t="s">
        <v>1146</v>
      </c>
      <c r="AE66" s="187">
        <f>COUNTIF(FilterList,rrcworking[[#This Row],[Magnum Wolfpak '#]])</f>
        <v>0</v>
      </c>
      <c r="AF66" s="184"/>
      <c r="AG66" s="185"/>
      <c r="AH66" s="37"/>
      <c r="AI66" s="37"/>
      <c r="AJ66" s="186"/>
      <c r="AK66" s="186"/>
      <c r="AL66" s="186"/>
      <c r="AM66" s="186"/>
      <c r="AN66" s="186"/>
      <c r="AO66" s="186"/>
      <c r="AP66" s="37" t="s">
        <v>1165</v>
      </c>
      <c r="AQ66" s="37" t="s">
        <v>1200</v>
      </c>
    </row>
    <row r="67" spans="3:43" ht="14">
      <c r="C67" s="80" t="e">
        <v>#N/A</v>
      </c>
      <c r="D67" s="62" t="s">
        <v>275</v>
      </c>
      <c r="E67" s="131" t="s">
        <v>276</v>
      </c>
      <c r="F67" s="129">
        <v>4</v>
      </c>
      <c r="G67" s="120">
        <v>1988</v>
      </c>
      <c r="H67" s="18" t="s">
        <v>619</v>
      </c>
      <c r="I67" s="18" t="s">
        <v>59</v>
      </c>
      <c r="J67" s="19" t="s">
        <v>527</v>
      </c>
      <c r="K67" s="103">
        <v>163161</v>
      </c>
      <c r="L67" s="101">
        <f>INDEX(Table1[Production],MATCH(rrcworking[[#This Row],[RRC ID Number]],Table1[RRC Identifier],0))</f>
        <v>0</v>
      </c>
      <c r="M67" s="30">
        <f>INDEX(Table1[Formation Production],MATCH(rrcworking[[#This Row],[RRC ID Number]],Table1[RRC Identifier],0))</f>
        <v>0</v>
      </c>
      <c r="N67" s="31">
        <f>INDEX(Table1[On Hand End of Month],MATCH(rrcworking[[#This Row],[RRC ID Number]],Table1[RRC Identifier],0))</f>
        <v>0</v>
      </c>
      <c r="O67" s="106" t="b">
        <f t="shared" si="1"/>
        <v>1</v>
      </c>
      <c r="P67" s="181"/>
      <c r="Q67" s="127">
        <f>rrcworking[[#This Row],[Last Month Closing Stock]]</f>
        <v>0</v>
      </c>
      <c r="R67" s="181">
        <f>rrcworking[[#This Row],[Opening Oil Stock]]</f>
        <v>0</v>
      </c>
      <c r="S67" s="143">
        <f>IF(ISERROR(INDEX(Table2[OIL],MATCH(rrcworking[[#This Row],[Magnum Wolfpak '#]],Table2[Rox Wolf'#],0))),0,INDEX(Table2[OIL],MATCH(rrcworking[[#This Row],[Magnum Wolfpak '#]],Table2[Rox Wolf'#],0)))</f>
        <v>0</v>
      </c>
      <c r="T67" s="35">
        <f>rrcworking[[#This Row],[Closing Stock (Oil)]]+rrcworking[[#This Row],[Sales/Dispostion]]-rrcworking[[#This Row],[Opening Oil Stock]]</f>
        <v>0</v>
      </c>
      <c r="U67" s="112">
        <f>rrcworking[[#This Row],[Gauge Sheet Prod Volume]]-rrcworking[[#This Row],[Oil Production]]</f>
        <v>0</v>
      </c>
      <c r="V67" s="143">
        <f>IF(ISERROR(INDEX(Table2[GAS],MATCH(rrcworking[[#This Row],[Magnum Wolfpak '#]],Table2[Rox Wolf'#],0))),0,INDEX(Table2[GAS],MATCH(rrcworking[[#This Row],[Magnum Wolfpak '#]],Table2[Rox Wolf'#],0)))</f>
        <v>0</v>
      </c>
      <c r="W67" s="24"/>
      <c r="X67" s="135">
        <f>IF(rrcworking[[#This Row],[Pressure Base]]=14.73,rrcworking[[#This Row],[Gas Sales Statement Volume (MCF)]]*$R$2,rrcworking[[#This Row],[Gas Sales Statement Volume (MCF)]])</f>
        <v>0</v>
      </c>
      <c r="Y67" s="60"/>
      <c r="Z67" s="60"/>
      <c r="AA67" s="143">
        <f>IF(ISERROR(INDEX(Table2[LEASE USE],MATCH(rrcworking[[#This Row],[Magnum Wolfpak '#]],Table2[Rox Wolf'#],0))),0,INDEX(Table2[LEASE USE],MATCH(rrcworking[[#This Row],[Magnum Wolfpak '#]],Table2[Rox Wolf'#],0)))</f>
        <v>0</v>
      </c>
      <c r="AB67" s="57">
        <f>rrcworking[[#This Row],[Disposition Volume (MCF) @ 14.65 MCF]]+rrcworking[[#This Row],[Lease Use (MCF)]]</f>
        <v>0</v>
      </c>
      <c r="AC67" s="37"/>
      <c r="AD67" s="37"/>
      <c r="AE67" s="187">
        <f>COUNTIF(FilterList,rrcworking[[#This Row],[Magnum Wolfpak '#]])</f>
        <v>0</v>
      </c>
      <c r="AF67" s="184"/>
      <c r="AG67" s="185"/>
      <c r="AH67" s="37"/>
      <c r="AI67" s="37"/>
      <c r="AJ67" s="37"/>
      <c r="AK67" s="37"/>
      <c r="AL67" s="37"/>
      <c r="AM67" s="37"/>
      <c r="AN67" s="37"/>
      <c r="AO67" s="37"/>
      <c r="AP67" s="37"/>
      <c r="AQ67" s="37"/>
    </row>
    <row r="68" spans="3:43" ht="14">
      <c r="C68" s="80">
        <v>98959</v>
      </c>
      <c r="D68" s="62" t="s">
        <v>275</v>
      </c>
      <c r="E68" s="131" t="s">
        <v>279</v>
      </c>
      <c r="F68" s="129">
        <v>3</v>
      </c>
      <c r="G68" s="120">
        <v>1988</v>
      </c>
      <c r="H68" s="18" t="s">
        <v>619</v>
      </c>
      <c r="I68" s="18" t="s">
        <v>59</v>
      </c>
      <c r="J68" s="19" t="s">
        <v>530</v>
      </c>
      <c r="K68" s="103">
        <v>201550</v>
      </c>
      <c r="L68" s="101">
        <f>INDEX(Table1[Production],MATCH(rrcworking[[#This Row],[RRC ID Number]],Table1[RRC Identifier],0))</f>
        <v>0</v>
      </c>
      <c r="M68" s="30">
        <f>INDEX(Table1[Formation Production],MATCH(rrcworking[[#This Row],[RRC ID Number]],Table1[RRC Identifier],0))</f>
        <v>89</v>
      </c>
      <c r="N68" s="31">
        <f>INDEX(Table1[On Hand End of Month],MATCH(rrcworking[[#This Row],[RRC ID Number]],Table1[RRC Identifier],0))</f>
        <v>0</v>
      </c>
      <c r="O68" s="106" t="b">
        <f t="shared" si="1"/>
        <v>0</v>
      </c>
      <c r="P68" s="181">
        <v>0</v>
      </c>
      <c r="Q68" s="127">
        <f>rrcworking[[#This Row],[Last Month Closing Stock]]</f>
        <v>0</v>
      </c>
      <c r="R68" s="181">
        <v>0</v>
      </c>
      <c r="S68" s="143">
        <f>IF(ISERROR(INDEX(Table2[OIL],MATCH(rrcworking[[#This Row],[Magnum Wolfpak '#]],Table2[Rox Wolf'#],0))),0,INDEX(Table2[OIL],MATCH(rrcworking[[#This Row],[Magnum Wolfpak '#]],Table2[Rox Wolf'#],0)))</f>
        <v>0</v>
      </c>
      <c r="T68" s="35">
        <f>rrcworking[[#This Row],[Closing Stock (Oil)]]+rrcworking[[#This Row],[Sales/Dispostion]]-rrcworking[[#This Row],[Opening Oil Stock]]</f>
        <v>0</v>
      </c>
      <c r="U68" s="112">
        <f>rrcworking[[#This Row],[Gauge Sheet Prod Volume]]-rrcworking[[#This Row],[Oil Production]]</f>
        <v>0</v>
      </c>
      <c r="V68" s="143">
        <f>IF(ISERROR(INDEX(Table2[GAS],MATCH(rrcworking[[#This Row],[Magnum Wolfpak '#]],Table2[Rox Wolf'#],0))),0,INDEX(Table2[GAS],MATCH(rrcworking[[#This Row],[Magnum Wolfpak '#]],Table2[Rox Wolf'#],0)))</f>
        <v>73</v>
      </c>
      <c r="W68" s="24"/>
      <c r="X68" s="135">
        <f>IF(rrcworking[[#This Row],[Pressure Base]]=14.73,rrcworking[[#This Row],[Gas Sales Statement Volume (MCF)]]*$R$2,rrcworking[[#This Row],[Gas Sales Statement Volume (MCF)]])</f>
        <v>73</v>
      </c>
      <c r="Y68" s="60"/>
      <c r="Z68" s="60">
        <v>0</v>
      </c>
      <c r="AA68" s="143">
        <f>IF(ISERROR(INDEX(Table2[LEASE USE],MATCH(rrcworking[[#This Row],[Magnum Wolfpak '#]],Table2[Rox Wolf'#],0))),0,INDEX(Table2[LEASE USE],MATCH(rrcworking[[#This Row],[Magnum Wolfpak '#]],Table2[Rox Wolf'#],0)))</f>
        <v>0</v>
      </c>
      <c r="AB68" s="57">
        <f>rrcworking[[#This Row],[Disposition Volume (MCF) @ 14.65 MCF]]+rrcworking[[#This Row],[Lease Use (MCF)]]</f>
        <v>73</v>
      </c>
      <c r="AC68" s="37"/>
      <c r="AD68" s="37"/>
      <c r="AE68" s="187">
        <f>COUNTIF(FilterList,rrcworking[[#This Row],[Magnum Wolfpak '#]])</f>
        <v>0</v>
      </c>
      <c r="AF68" s="184"/>
      <c r="AG68" s="185"/>
      <c r="AH68" s="37"/>
      <c r="AI68" s="37"/>
      <c r="AJ68" s="186"/>
      <c r="AK68" s="186"/>
      <c r="AL68" s="186"/>
      <c r="AM68" s="186"/>
      <c r="AN68" s="186"/>
      <c r="AO68" s="186"/>
      <c r="AP68" s="37" t="s">
        <v>1165</v>
      </c>
      <c r="AQ68" s="37" t="s">
        <v>1200</v>
      </c>
    </row>
    <row r="69" spans="3:43" ht="14">
      <c r="C69" s="80">
        <v>98958</v>
      </c>
      <c r="D69" s="62" t="s">
        <v>275</v>
      </c>
      <c r="E69" s="131" t="s">
        <v>279</v>
      </c>
      <c r="F69" s="129">
        <v>1</v>
      </c>
      <c r="G69" s="120" t="s">
        <v>1091</v>
      </c>
      <c r="H69" s="18" t="s">
        <v>619</v>
      </c>
      <c r="I69" s="18" t="s">
        <v>59</v>
      </c>
      <c r="J69" s="19" t="s">
        <v>535</v>
      </c>
      <c r="K69" s="103">
        <v>217825</v>
      </c>
      <c r="L69" s="101">
        <f>INDEX(Table1[Production],MATCH(rrcworking[[#This Row],[RRC ID Number]],Table1[RRC Identifier],0))</f>
        <v>0</v>
      </c>
      <c r="M69" s="30">
        <f>INDEX(Table1[Formation Production],MATCH(rrcworking[[#This Row],[RRC ID Number]],Table1[RRC Identifier],0))</f>
        <v>2717</v>
      </c>
      <c r="N69" s="31">
        <f>INDEX(Table1[On Hand End of Month],MATCH(rrcworking[[#This Row],[RRC ID Number]],Table1[RRC Identifier],0))</f>
        <v>0</v>
      </c>
      <c r="O69" s="106" t="b">
        <f t="shared" si="1"/>
        <v>0</v>
      </c>
      <c r="P69" s="181">
        <v>0</v>
      </c>
      <c r="Q69" s="127">
        <f>rrcworking[[#This Row],[Last Month Closing Stock]]</f>
        <v>0</v>
      </c>
      <c r="R69" s="181">
        <v>0</v>
      </c>
      <c r="S69" s="143">
        <f>IF(ISERROR(INDEX(Table2[OIL],MATCH(rrcworking[[#This Row],[Magnum Wolfpak '#]],Table2[Rox Wolf'#],0))),0,INDEX(Table2[OIL],MATCH(rrcworking[[#This Row],[Magnum Wolfpak '#]],Table2[Rox Wolf'#],0)))</f>
        <v>0</v>
      </c>
      <c r="T69" s="35">
        <f>rrcworking[[#This Row],[Closing Stock (Oil)]]+rrcworking[[#This Row],[Sales/Dispostion]]-rrcworking[[#This Row],[Opening Oil Stock]]</f>
        <v>0</v>
      </c>
      <c r="U69" s="112">
        <f>rrcworking[[#This Row],[Gauge Sheet Prod Volume]]-rrcworking[[#This Row],[Oil Production]]</f>
        <v>0</v>
      </c>
      <c r="V69" s="143">
        <f>IF(ISERROR(INDEX(Table2[GAS],MATCH(rrcworking[[#This Row],[Magnum Wolfpak '#]],Table2[Rox Wolf'#],0))),0,INDEX(Table2[GAS],MATCH(rrcworking[[#This Row],[Magnum Wolfpak '#]],Table2[Rox Wolf'#],0)))</f>
        <v>2368</v>
      </c>
      <c r="W69" s="24"/>
      <c r="X69" s="135">
        <f>IF(rrcworking[[#This Row],[Pressure Base]]=14.73,rrcworking[[#This Row],[Gas Sales Statement Volume (MCF)]]*$R$2,rrcworking[[#This Row],[Gas Sales Statement Volume (MCF)]])</f>
        <v>2368</v>
      </c>
      <c r="Y69" s="85"/>
      <c r="Z69" s="60">
        <v>6</v>
      </c>
      <c r="AA69" s="143">
        <f>IF(ISERROR(INDEX(Table2[LEASE USE],MATCH(rrcworking[[#This Row],[Magnum Wolfpak '#]],Table2[Rox Wolf'#],0))),0,INDEX(Table2[LEASE USE],MATCH(rrcworking[[#This Row],[Magnum Wolfpak '#]],Table2[Rox Wolf'#],0)))</f>
        <v>186</v>
      </c>
      <c r="AB69" s="57">
        <f>rrcworking[[#This Row],[Disposition Volume (MCF) @ 14.65 MCF]]+rrcworking[[#This Row],[Lease Use (MCF)]]</f>
        <v>2554</v>
      </c>
      <c r="AC69" s="37"/>
      <c r="AD69" s="37"/>
      <c r="AE69" s="187">
        <f>COUNTIF(FilterList,rrcworking[[#This Row],[Magnum Wolfpak '#]])</f>
        <v>0</v>
      </c>
      <c r="AF69" s="184"/>
      <c r="AG69" s="185"/>
      <c r="AH69" s="37"/>
      <c r="AI69" s="37"/>
      <c r="AJ69" s="186"/>
      <c r="AK69" s="186"/>
      <c r="AL69" s="186"/>
      <c r="AM69" s="186"/>
      <c r="AN69" s="186"/>
      <c r="AO69" s="186"/>
      <c r="AP69" s="37" t="s">
        <v>1165</v>
      </c>
      <c r="AQ69" s="37" t="s">
        <v>1200</v>
      </c>
    </row>
    <row r="70" spans="3:43" ht="14">
      <c r="C70" s="80" t="e">
        <v>#N/A</v>
      </c>
      <c r="D70" s="62" t="s">
        <v>275</v>
      </c>
      <c r="E70" s="131" t="s">
        <v>279</v>
      </c>
      <c r="F70" s="129">
        <v>5</v>
      </c>
      <c r="G70" s="120" t="s">
        <v>1091</v>
      </c>
      <c r="H70" s="18" t="s">
        <v>619</v>
      </c>
      <c r="I70" s="18" t="s">
        <v>59</v>
      </c>
      <c r="J70" s="19" t="s">
        <v>534</v>
      </c>
      <c r="K70" s="103">
        <v>216963</v>
      </c>
      <c r="L70" s="101">
        <f>INDEX(Table1[Production],MATCH(rrcworking[[#This Row],[RRC ID Number]],Table1[RRC Identifier],0))</f>
        <v>0</v>
      </c>
      <c r="M70" s="30">
        <f>INDEX(Table1[Formation Production],MATCH(rrcworking[[#This Row],[RRC ID Number]],Table1[RRC Identifier],0))</f>
        <v>0</v>
      </c>
      <c r="N70" s="31">
        <f>INDEX(Table1[On Hand End of Month],MATCH(rrcworking[[#This Row],[RRC ID Number]],Table1[RRC Identifier],0))</f>
        <v>0</v>
      </c>
      <c r="O70" s="106" t="b">
        <f t="shared" ref="O70:O100" si="2">IF(AND(L70=0,M70=0), TRUE, FALSE)</f>
        <v>1</v>
      </c>
      <c r="P70" s="181"/>
      <c r="Q70" s="127">
        <f>rrcworking[[#This Row],[Last Month Closing Stock]]</f>
        <v>0</v>
      </c>
      <c r="R70" s="181">
        <f>rrcworking[[#This Row],[Opening Oil Stock]]</f>
        <v>0</v>
      </c>
      <c r="S70" s="143">
        <f>IF(ISERROR(INDEX(Table2[OIL],MATCH(rrcworking[[#This Row],[Magnum Wolfpak '#]],Table2[Rox Wolf'#],0))),0,INDEX(Table2[OIL],MATCH(rrcworking[[#This Row],[Magnum Wolfpak '#]],Table2[Rox Wolf'#],0)))</f>
        <v>0</v>
      </c>
      <c r="T70" s="35">
        <f>rrcworking[[#This Row],[Closing Stock (Oil)]]+rrcworking[[#This Row],[Sales/Dispostion]]-rrcworking[[#This Row],[Opening Oil Stock]]</f>
        <v>0</v>
      </c>
      <c r="U70" s="112">
        <f>rrcworking[[#This Row],[Gauge Sheet Prod Volume]]-rrcworking[[#This Row],[Oil Production]]</f>
        <v>0</v>
      </c>
      <c r="V70" s="143">
        <f>IF(ISERROR(INDEX(Table2[GAS],MATCH(rrcworking[[#This Row],[Magnum Wolfpak '#]],Table2[Rox Wolf'#],0))),0,INDEX(Table2[GAS],MATCH(rrcworking[[#This Row],[Magnum Wolfpak '#]],Table2[Rox Wolf'#],0)))</f>
        <v>0</v>
      </c>
      <c r="W70" s="24"/>
      <c r="X70" s="135">
        <f>IF(rrcworking[[#This Row],[Pressure Base]]=14.73,rrcworking[[#This Row],[Gas Sales Statement Volume (MCF)]]*$R$2,rrcworking[[#This Row],[Gas Sales Statement Volume (MCF)]])</f>
        <v>0</v>
      </c>
      <c r="Y70" s="60"/>
      <c r="Z70" s="60"/>
      <c r="AA70" s="143">
        <f>IF(ISERROR(INDEX(Table2[LEASE USE],MATCH(rrcworking[[#This Row],[Magnum Wolfpak '#]],Table2[Rox Wolf'#],0))),0,INDEX(Table2[LEASE USE],MATCH(rrcworking[[#This Row],[Magnum Wolfpak '#]],Table2[Rox Wolf'#],0)))</f>
        <v>0</v>
      </c>
      <c r="AB70" s="57">
        <f>rrcworking[[#This Row],[Disposition Volume (MCF) @ 14.65 MCF]]+rrcworking[[#This Row],[Lease Use (MCF)]]</f>
        <v>0</v>
      </c>
      <c r="AC70" s="37"/>
      <c r="AD70" s="37"/>
      <c r="AE70" s="187">
        <f>COUNTIF(FilterList,rrcworking[[#This Row],[Magnum Wolfpak '#]])</f>
        <v>0</v>
      </c>
      <c r="AF70" s="184"/>
      <c r="AG70" s="185"/>
      <c r="AH70" s="37"/>
      <c r="AI70" s="37"/>
      <c r="AJ70" s="37"/>
      <c r="AK70" s="37"/>
      <c r="AL70" s="37"/>
      <c r="AM70" s="37"/>
      <c r="AN70" s="37"/>
      <c r="AO70" s="37"/>
      <c r="AP70" s="37"/>
      <c r="AQ70" s="37"/>
    </row>
    <row r="71" spans="3:43" ht="14">
      <c r="C71" s="80">
        <v>99093</v>
      </c>
      <c r="D71" s="62" t="s">
        <v>338</v>
      </c>
      <c r="E71" s="131" t="s">
        <v>339</v>
      </c>
      <c r="F71" s="129">
        <v>2</v>
      </c>
      <c r="G71" s="120" t="s">
        <v>1091</v>
      </c>
      <c r="H71" s="18" t="s">
        <v>620</v>
      </c>
      <c r="I71" s="18" t="s">
        <v>59</v>
      </c>
      <c r="J71" s="19" t="s">
        <v>571</v>
      </c>
      <c r="K71" s="103">
        <v>212342</v>
      </c>
      <c r="L71" s="101">
        <f>INDEX(Table1[Production],MATCH(rrcworking[[#This Row],[RRC ID Number]],Table1[RRC Identifier],0))</f>
        <v>0</v>
      </c>
      <c r="M71" s="30">
        <f>INDEX(Table1[Formation Production],MATCH(rrcworking[[#This Row],[RRC ID Number]],Table1[RRC Identifier],0))</f>
        <v>0</v>
      </c>
      <c r="N71" s="31">
        <f>INDEX(Table1[On Hand End of Month],MATCH(rrcworking[[#This Row],[RRC ID Number]],Table1[RRC Identifier],0))</f>
        <v>0</v>
      </c>
      <c r="O71" s="106" t="b">
        <f t="shared" si="2"/>
        <v>1</v>
      </c>
      <c r="P71" s="181"/>
      <c r="Q71" s="127">
        <f>rrcworking[[#This Row],[Last Month Closing Stock]]</f>
        <v>0</v>
      </c>
      <c r="R71" s="181">
        <f>rrcworking[[#This Row],[Opening Oil Stock]]</f>
        <v>0</v>
      </c>
      <c r="S71" s="143">
        <f>IF(ISERROR(INDEX(Table2[OIL],MATCH(rrcworking[[#This Row],[Magnum Wolfpak '#]],Table2[Rox Wolf'#],0))),0,INDEX(Table2[OIL],MATCH(rrcworking[[#This Row],[Magnum Wolfpak '#]],Table2[Rox Wolf'#],0)))</f>
        <v>0</v>
      </c>
      <c r="T71" s="35">
        <f>rrcworking[[#This Row],[Closing Stock (Oil)]]+rrcworking[[#This Row],[Sales/Dispostion]]-rrcworking[[#This Row],[Opening Oil Stock]]</f>
        <v>0</v>
      </c>
      <c r="U71" s="112">
        <f>rrcworking[[#This Row],[Gauge Sheet Prod Volume]]-rrcworking[[#This Row],[Oil Production]]</f>
        <v>0</v>
      </c>
      <c r="V71" s="143">
        <f>IF(ISERROR(INDEX(Table2[GAS],MATCH(rrcworking[[#This Row],[Magnum Wolfpak '#]],Table2[Rox Wolf'#],0))),0,INDEX(Table2[GAS],MATCH(rrcworking[[#This Row],[Magnum Wolfpak '#]],Table2[Rox Wolf'#],0)))</f>
        <v>2545</v>
      </c>
      <c r="W71" s="24"/>
      <c r="X71" s="135">
        <f>IF(rrcworking[[#This Row],[Pressure Base]]=14.73,rrcworking[[#This Row],[Gas Sales Statement Volume (MCF)]]*$R$2,rrcworking[[#This Row],[Gas Sales Statement Volume (MCF)]])</f>
        <v>2545</v>
      </c>
      <c r="Y71" s="85"/>
      <c r="Z71" s="60">
        <v>4</v>
      </c>
      <c r="AA71" s="143">
        <f>IF(ISERROR(INDEX(Table2[LEASE USE],MATCH(rrcworking[[#This Row],[Magnum Wolfpak '#]],Table2[Rox Wolf'#],0))),0,INDEX(Table2[LEASE USE],MATCH(rrcworking[[#This Row],[Magnum Wolfpak '#]],Table2[Rox Wolf'#],0)))</f>
        <v>112</v>
      </c>
      <c r="AB71" s="57">
        <f>rrcworking[[#This Row],[Disposition Volume (MCF) @ 14.65 MCF]]+rrcworking[[#This Row],[Lease Use (MCF)]]</f>
        <v>2657</v>
      </c>
      <c r="AC71" s="97"/>
      <c r="AD71" s="37"/>
      <c r="AE71" s="187">
        <f>COUNTIF(FilterList,rrcworking[[#This Row],[Magnum Wolfpak '#]])</f>
        <v>0</v>
      </c>
      <c r="AF71" s="184"/>
      <c r="AG71" s="185"/>
      <c r="AH71" s="37"/>
      <c r="AI71" s="37"/>
      <c r="AJ71" s="186"/>
      <c r="AK71" s="186"/>
      <c r="AL71" s="186"/>
      <c r="AM71" s="186"/>
      <c r="AN71" s="186"/>
      <c r="AO71" s="186"/>
      <c r="AP71" s="37" t="s">
        <v>1165</v>
      </c>
      <c r="AQ71" s="37" t="s">
        <v>1201</v>
      </c>
    </row>
    <row r="72" spans="3:43" ht="14">
      <c r="C72" s="80">
        <v>99095</v>
      </c>
      <c r="D72" s="62" t="s">
        <v>375</v>
      </c>
      <c r="E72" s="131" t="s">
        <v>339</v>
      </c>
      <c r="F72" s="129">
        <v>5</v>
      </c>
      <c r="G72" s="120" t="s">
        <v>1091</v>
      </c>
      <c r="H72" s="18" t="s">
        <v>620</v>
      </c>
      <c r="I72" s="18" t="s">
        <v>59</v>
      </c>
      <c r="J72" s="19" t="s">
        <v>591</v>
      </c>
      <c r="K72" s="103">
        <v>226100</v>
      </c>
      <c r="L72" s="101">
        <f>INDEX(Table1[Production],MATCH(rrcworking[[#This Row],[RRC ID Number]],Table1[RRC Identifier],0))</f>
        <v>0</v>
      </c>
      <c r="M72" s="30">
        <f>INDEX(Table1[Formation Production],MATCH(rrcworking[[#This Row],[RRC ID Number]],Table1[RRC Identifier],0))</f>
        <v>29</v>
      </c>
      <c r="N72" s="31">
        <f>INDEX(Table1[On Hand End of Month],MATCH(rrcworking[[#This Row],[RRC ID Number]],Table1[RRC Identifier],0))</f>
        <v>0</v>
      </c>
      <c r="O72" s="106" t="b">
        <f t="shared" si="2"/>
        <v>0</v>
      </c>
      <c r="P72" s="181"/>
      <c r="Q72" s="127">
        <f>rrcworking[[#This Row],[Last Month Closing Stock]]</f>
        <v>0</v>
      </c>
      <c r="R72" s="181">
        <f>rrcworking[[#This Row],[Opening Oil Stock]]</f>
        <v>0</v>
      </c>
      <c r="S72" s="143">
        <f>IF(ISERROR(INDEX(Table2[OIL],MATCH(rrcworking[[#This Row],[Magnum Wolfpak '#]],Table2[Rox Wolf'#],0))),0,INDEX(Table2[OIL],MATCH(rrcworking[[#This Row],[Magnum Wolfpak '#]],Table2[Rox Wolf'#],0)))</f>
        <v>0</v>
      </c>
      <c r="T72" s="35">
        <f>rrcworking[[#This Row],[Closing Stock (Oil)]]+rrcworking[[#This Row],[Sales/Dispostion]]-rrcworking[[#This Row],[Opening Oil Stock]]</f>
        <v>0</v>
      </c>
      <c r="U72" s="112">
        <f>rrcworking[[#This Row],[Gauge Sheet Prod Volume]]-rrcworking[[#This Row],[Oil Production]]</f>
        <v>0</v>
      </c>
      <c r="V72" s="143">
        <f>IF(ISERROR(INDEX(Table2[GAS],MATCH(rrcworking[[#This Row],[Magnum Wolfpak '#]],Table2[Rox Wolf'#],0))),0,INDEX(Table2[GAS],MATCH(rrcworking[[#This Row],[Magnum Wolfpak '#]],Table2[Rox Wolf'#],0)))</f>
        <v>963</v>
      </c>
      <c r="W72" s="24"/>
      <c r="X72" s="135">
        <f>IF(rrcworking[[#This Row],[Pressure Base]]=14.73,rrcworking[[#This Row],[Gas Sales Statement Volume (MCF)]]*$R$2,rrcworking[[#This Row],[Gas Sales Statement Volume (MCF)]])</f>
        <v>963</v>
      </c>
      <c r="Y72" s="85"/>
      <c r="Z72" s="60">
        <v>1</v>
      </c>
      <c r="AA72" s="143">
        <f>IF(ISERROR(INDEX(Table2[LEASE USE],MATCH(rrcworking[[#This Row],[Magnum Wolfpak '#]],Table2[Rox Wolf'#],0))),0,INDEX(Table2[LEASE USE],MATCH(rrcworking[[#This Row],[Magnum Wolfpak '#]],Table2[Rox Wolf'#],0)))</f>
        <v>28</v>
      </c>
      <c r="AB72" s="57">
        <f>rrcworking[[#This Row],[Disposition Volume (MCF) @ 14.65 MCF]]+rrcworking[[#This Row],[Lease Use (MCF)]]</f>
        <v>991</v>
      </c>
      <c r="AC72" s="37"/>
      <c r="AD72" s="37"/>
      <c r="AE72" s="187">
        <f>COUNTIF(FilterList,rrcworking[[#This Row],[Magnum Wolfpak '#]])</f>
        <v>0</v>
      </c>
      <c r="AF72" s="184"/>
      <c r="AG72" s="185"/>
      <c r="AH72" s="37"/>
      <c r="AI72" s="37"/>
      <c r="AJ72" s="186"/>
      <c r="AK72" s="186"/>
      <c r="AL72" s="186"/>
      <c r="AM72" s="186"/>
      <c r="AN72" s="186"/>
      <c r="AO72" s="186"/>
      <c r="AP72" s="37" t="s">
        <v>1165</v>
      </c>
      <c r="AQ72" s="37" t="s">
        <v>1201</v>
      </c>
    </row>
    <row r="73" spans="3:43" ht="14">
      <c r="C73" s="80">
        <v>99094</v>
      </c>
      <c r="D73" s="62" t="s">
        <v>375</v>
      </c>
      <c r="E73" s="131" t="s">
        <v>339</v>
      </c>
      <c r="F73" s="129">
        <v>3</v>
      </c>
      <c r="G73" s="120" t="s">
        <v>1091</v>
      </c>
      <c r="H73" s="18" t="s">
        <v>620</v>
      </c>
      <c r="I73" s="18" t="s">
        <v>59</v>
      </c>
      <c r="J73" s="19" t="s">
        <v>592</v>
      </c>
      <c r="K73" s="103">
        <v>233961</v>
      </c>
      <c r="L73" s="101">
        <f>INDEX(Table1[Production],MATCH(rrcworking[[#This Row],[RRC ID Number]],Table1[RRC Identifier],0))</f>
        <v>0</v>
      </c>
      <c r="M73" s="30">
        <f>INDEX(Table1[Formation Production],MATCH(rrcworking[[#This Row],[RRC ID Number]],Table1[RRC Identifier],0))</f>
        <v>116</v>
      </c>
      <c r="N73" s="31">
        <f>INDEX(Table1[On Hand End of Month],MATCH(rrcworking[[#This Row],[RRC ID Number]],Table1[RRC Identifier],0))</f>
        <v>0</v>
      </c>
      <c r="O73" s="106" t="b">
        <f t="shared" si="2"/>
        <v>0</v>
      </c>
      <c r="P73" s="181"/>
      <c r="Q73" s="127">
        <f>rrcworking[[#This Row],[Last Month Closing Stock]]</f>
        <v>0</v>
      </c>
      <c r="R73" s="181">
        <f>rrcworking[[#This Row],[Opening Oil Stock]]</f>
        <v>0</v>
      </c>
      <c r="S73" s="143">
        <f>IF(ISERROR(INDEX(Table2[OIL],MATCH(rrcworking[[#This Row],[Magnum Wolfpak '#]],Table2[Rox Wolf'#],0))),0,INDEX(Table2[OIL],MATCH(rrcworking[[#This Row],[Magnum Wolfpak '#]],Table2[Rox Wolf'#],0)))</f>
        <v>0</v>
      </c>
      <c r="T73" s="35">
        <f>rrcworking[[#This Row],[Closing Stock (Oil)]]+rrcworking[[#This Row],[Sales/Dispostion]]-rrcworking[[#This Row],[Opening Oil Stock]]</f>
        <v>0</v>
      </c>
      <c r="U73" s="112">
        <f>rrcworking[[#This Row],[Gauge Sheet Prod Volume]]-rrcworking[[#This Row],[Oil Production]]</f>
        <v>0</v>
      </c>
      <c r="V73" s="143">
        <f>IF(ISERROR(INDEX(Table2[GAS],MATCH(rrcworking[[#This Row],[Magnum Wolfpak '#]],Table2[Rox Wolf'#],0))),0,INDEX(Table2[GAS],MATCH(rrcworking[[#This Row],[Magnum Wolfpak '#]],Table2[Rox Wolf'#],0)))</f>
        <v>2517</v>
      </c>
      <c r="W73" s="24"/>
      <c r="X73" s="135">
        <f>IF(rrcworking[[#This Row],[Pressure Base]]=14.73,rrcworking[[#This Row],[Gas Sales Statement Volume (MCF)]]*$R$2,rrcworking[[#This Row],[Gas Sales Statement Volume (MCF)]])</f>
        <v>2517</v>
      </c>
      <c r="Y73" s="85"/>
      <c r="Z73" s="60">
        <v>4</v>
      </c>
      <c r="AA73" s="143">
        <f>IF(ISERROR(INDEX(Table2[LEASE USE],MATCH(rrcworking[[#This Row],[Magnum Wolfpak '#]],Table2[Rox Wolf'#],0))),0,INDEX(Table2[LEASE USE],MATCH(rrcworking[[#This Row],[Magnum Wolfpak '#]],Table2[Rox Wolf'#],0)))</f>
        <v>112</v>
      </c>
      <c r="AB73" s="57">
        <f>rrcworking[[#This Row],[Disposition Volume (MCF) @ 14.65 MCF]]+rrcworking[[#This Row],[Lease Use (MCF)]]</f>
        <v>2629</v>
      </c>
      <c r="AC73" s="37"/>
      <c r="AD73" s="37"/>
      <c r="AE73" s="187">
        <f>COUNTIF(FilterList,rrcworking[[#This Row],[Magnum Wolfpak '#]])</f>
        <v>0</v>
      </c>
      <c r="AF73" s="184"/>
      <c r="AG73" s="185"/>
      <c r="AH73" s="37"/>
      <c r="AI73" s="37"/>
      <c r="AJ73" s="186"/>
      <c r="AK73" s="186"/>
      <c r="AL73" s="186"/>
      <c r="AM73" s="186"/>
      <c r="AN73" s="186"/>
      <c r="AO73" s="186"/>
      <c r="AP73" s="37" t="s">
        <v>1165</v>
      </c>
      <c r="AQ73" s="37" t="s">
        <v>1201</v>
      </c>
    </row>
    <row r="74" spans="3:43" ht="14">
      <c r="C74" s="80" t="e">
        <v>#N/A</v>
      </c>
      <c r="D74" s="62" t="s">
        <v>338</v>
      </c>
      <c r="E74" s="131" t="s">
        <v>339</v>
      </c>
      <c r="F74" s="129">
        <v>1</v>
      </c>
      <c r="G74" s="120" t="s">
        <v>1091</v>
      </c>
      <c r="H74" s="18" t="s">
        <v>620</v>
      </c>
      <c r="I74" s="18" t="s">
        <v>59</v>
      </c>
      <c r="J74" s="19" t="s">
        <v>572</v>
      </c>
      <c r="K74" s="103">
        <v>213792</v>
      </c>
      <c r="L74" s="101">
        <f>INDEX(Table1[Production],MATCH(rrcworking[[#This Row],[RRC ID Number]],Table1[RRC Identifier],0))</f>
        <v>0</v>
      </c>
      <c r="M74" s="30">
        <f>INDEX(Table1[Formation Production],MATCH(rrcworking[[#This Row],[RRC ID Number]],Table1[RRC Identifier],0))</f>
        <v>0</v>
      </c>
      <c r="N74" s="31">
        <f>INDEX(Table1[On Hand End of Month],MATCH(rrcworking[[#This Row],[RRC ID Number]],Table1[RRC Identifier],0))</f>
        <v>43</v>
      </c>
      <c r="O74" s="106" t="b">
        <f t="shared" si="2"/>
        <v>1</v>
      </c>
      <c r="P74" s="181"/>
      <c r="Q74" s="127">
        <f>rrcworking[[#This Row],[Last Month Closing Stock]]</f>
        <v>43</v>
      </c>
      <c r="R74" s="181">
        <f>rrcworking[[#This Row],[Opening Oil Stock]]</f>
        <v>43</v>
      </c>
      <c r="S74" s="143">
        <f>IF(ISERROR(INDEX(Table2[OIL],MATCH(rrcworking[[#This Row],[Magnum Wolfpak '#]],Table2[Rox Wolf'#],0))),0,INDEX(Table2[OIL],MATCH(rrcworking[[#This Row],[Magnum Wolfpak '#]],Table2[Rox Wolf'#],0)))</f>
        <v>0</v>
      </c>
      <c r="T74" s="35">
        <f>rrcworking[[#This Row],[Closing Stock (Oil)]]+rrcworking[[#This Row],[Sales/Dispostion]]-rrcworking[[#This Row],[Opening Oil Stock]]</f>
        <v>0</v>
      </c>
      <c r="U74" s="112">
        <f>rrcworking[[#This Row],[Gauge Sheet Prod Volume]]-rrcworking[[#This Row],[Oil Production]]</f>
        <v>0</v>
      </c>
      <c r="V74" s="143">
        <f>IF(ISERROR(INDEX(Table2[GAS],MATCH(rrcworking[[#This Row],[Magnum Wolfpak '#]],Table2[Rox Wolf'#],0))),0,INDEX(Table2[GAS],MATCH(rrcworking[[#This Row],[Magnum Wolfpak '#]],Table2[Rox Wolf'#],0)))</f>
        <v>0</v>
      </c>
      <c r="W74" s="24"/>
      <c r="X74" s="135">
        <f>IF(rrcworking[[#This Row],[Pressure Base]]=14.73,rrcworking[[#This Row],[Gas Sales Statement Volume (MCF)]]*$R$2,rrcworking[[#This Row],[Gas Sales Statement Volume (MCF)]])</f>
        <v>0</v>
      </c>
      <c r="Y74" s="60"/>
      <c r="Z74" s="60"/>
      <c r="AA74" s="143">
        <f>IF(ISERROR(INDEX(Table2[LEASE USE],MATCH(rrcworking[[#This Row],[Magnum Wolfpak '#]],Table2[Rox Wolf'#],0))),0,INDEX(Table2[LEASE USE],MATCH(rrcworking[[#This Row],[Magnum Wolfpak '#]],Table2[Rox Wolf'#],0)))</f>
        <v>0</v>
      </c>
      <c r="AB74" s="57">
        <f>rrcworking[[#This Row],[Disposition Volume (MCF) @ 14.65 MCF]]+rrcworking[[#This Row],[Lease Use (MCF)]]</f>
        <v>0</v>
      </c>
      <c r="AC74" s="37"/>
      <c r="AD74" s="37"/>
      <c r="AE74" s="187">
        <f>COUNTIF(FilterList,rrcworking[[#This Row],[Magnum Wolfpak '#]])</f>
        <v>0</v>
      </c>
      <c r="AF74" s="184"/>
      <c r="AG74" s="185"/>
      <c r="AH74" s="37"/>
      <c r="AI74" s="37"/>
      <c r="AJ74" s="37"/>
      <c r="AK74" s="37"/>
      <c r="AL74" s="37"/>
      <c r="AM74" s="37"/>
      <c r="AN74" s="37"/>
      <c r="AO74" s="37"/>
      <c r="AP74" s="37"/>
      <c r="AQ74" s="37"/>
    </row>
    <row r="75" spans="3:43" ht="84">
      <c r="C75" s="80">
        <v>99158</v>
      </c>
      <c r="D75" s="62" t="s">
        <v>210</v>
      </c>
      <c r="E75" s="131" t="s">
        <v>1292</v>
      </c>
      <c r="F75" s="129">
        <v>0</v>
      </c>
      <c r="G75" s="120" t="s">
        <v>1091</v>
      </c>
      <c r="H75" s="18" t="s">
        <v>619</v>
      </c>
      <c r="I75" s="18" t="s">
        <v>2</v>
      </c>
      <c r="J75" s="19" t="s">
        <v>495</v>
      </c>
      <c r="K75" s="103">
        <v>2812</v>
      </c>
      <c r="L75" s="101">
        <f>INDEX(Table1[Production],MATCH(rrcworking[[#This Row],[RRC ID Number]],Table1[RRC Identifier],0))</f>
        <v>0</v>
      </c>
      <c r="M75" s="30">
        <f>INDEX(Table1[Formation Production],MATCH(rrcworking[[#This Row],[RRC ID Number]],Table1[RRC Identifier],0))</f>
        <v>0</v>
      </c>
      <c r="N75" s="31">
        <f>INDEX(Table1[On Hand End of Month],MATCH(rrcworking[[#This Row],[RRC ID Number]],Table1[RRC Identifier],0))</f>
        <v>18</v>
      </c>
      <c r="O75" s="106" t="b">
        <f t="shared" si="2"/>
        <v>1</v>
      </c>
      <c r="P75" s="181">
        <v>0</v>
      </c>
      <c r="Q75" s="127">
        <f>rrcworking[[#This Row],[Last Month Closing Stock]]</f>
        <v>18</v>
      </c>
      <c r="R75" s="181">
        <v>18</v>
      </c>
      <c r="S75" s="143">
        <f>IF(ISERROR(INDEX(Table2[OIL],MATCH(rrcworking[[#This Row],[Magnum Wolfpak '#]],Table2[Rox Wolf'#],0))),0,INDEX(Table2[OIL],MATCH(rrcworking[[#This Row],[Magnum Wolfpak '#]],Table2[Rox Wolf'#],0)))</f>
        <v>0</v>
      </c>
      <c r="T75" s="35">
        <f>rrcworking[[#This Row],[Closing Stock (Oil)]]+rrcworking[[#This Row],[Sales/Dispostion]]-rrcworking[[#This Row],[Opening Oil Stock]]</f>
        <v>0</v>
      </c>
      <c r="U75" s="112">
        <f>rrcworking[[#This Row],[Gauge Sheet Prod Volume]]-rrcworking[[#This Row],[Oil Production]]</f>
        <v>0</v>
      </c>
      <c r="V75" s="143">
        <f>IF(ISERROR(INDEX(Table2[GAS],MATCH(rrcworking[[#This Row],[Magnum Wolfpak '#]],Table2[Rox Wolf'#],0))),0,INDEX(Table2[GAS],MATCH(rrcworking[[#This Row],[Magnum Wolfpak '#]],Table2[Rox Wolf'#],0)))</f>
        <v>0</v>
      </c>
      <c r="W75" s="24"/>
      <c r="X75" s="135">
        <f>IF(rrcworking[[#This Row],[Pressure Base]]=14.73,rrcworking[[#This Row],[Gas Sales Statement Volume (MCF)]]*$R$2,rrcworking[[#This Row],[Gas Sales Statement Volume (MCF)]])</f>
        <v>0</v>
      </c>
      <c r="Y75" s="60"/>
      <c r="Z75" s="60"/>
      <c r="AA75" s="143">
        <f>IF(ISERROR(INDEX(Table2[LEASE USE],MATCH(rrcworking[[#This Row],[Magnum Wolfpak '#]],Table2[Rox Wolf'#],0))),0,INDEX(Table2[LEASE USE],MATCH(rrcworking[[#This Row],[Magnum Wolfpak '#]],Table2[Rox Wolf'#],0)))</f>
        <v>0</v>
      </c>
      <c r="AB75" s="57">
        <f>rrcworking[[#This Row],[Disposition Volume (MCF) @ 14.65 MCF]]+rrcworking[[#This Row],[Lease Use (MCF)]]</f>
        <v>0</v>
      </c>
      <c r="AC75" s="37"/>
      <c r="AD75" s="37" t="s">
        <v>1291</v>
      </c>
      <c r="AE75" s="187">
        <f>COUNTIF(FilterList,rrcworking[[#This Row],[Magnum Wolfpak '#]])</f>
        <v>0</v>
      </c>
      <c r="AF75" s="184"/>
      <c r="AG75" s="185"/>
      <c r="AH75" s="37"/>
      <c r="AI75" s="37"/>
      <c r="AJ75" s="37"/>
      <c r="AK75" s="37"/>
      <c r="AL75" s="37"/>
      <c r="AM75" s="37"/>
      <c r="AN75" s="37"/>
      <c r="AO75" s="37"/>
      <c r="AP75" s="37"/>
      <c r="AQ75" s="37"/>
    </row>
    <row r="76" spans="3:43" ht="14">
      <c r="C76" s="80" t="e">
        <v>#N/A</v>
      </c>
      <c r="D76" s="62" t="s">
        <v>224</v>
      </c>
      <c r="E76" s="131" t="s">
        <v>225</v>
      </c>
      <c r="F76" s="129">
        <v>0</v>
      </c>
      <c r="G76" s="120" t="s">
        <v>1091</v>
      </c>
      <c r="H76" s="18" t="s">
        <v>619</v>
      </c>
      <c r="I76" s="18" t="s">
        <v>2</v>
      </c>
      <c r="J76" s="19" t="s">
        <v>501</v>
      </c>
      <c r="K76" s="103">
        <v>26193</v>
      </c>
      <c r="L76" s="101">
        <f>INDEX(Table1[Production],MATCH(rrcworking[[#This Row],[RRC ID Number]],Table1[RRC Identifier],0))</f>
        <v>0</v>
      </c>
      <c r="M76" s="30">
        <f>INDEX(Table1[Formation Production],MATCH(rrcworking[[#This Row],[RRC ID Number]],Table1[RRC Identifier],0))</f>
        <v>0</v>
      </c>
      <c r="N76" s="31">
        <f>INDEX(Table1[On Hand End of Month],MATCH(rrcworking[[#This Row],[RRC ID Number]],Table1[RRC Identifier],0))</f>
        <v>68</v>
      </c>
      <c r="O76" s="106" t="b">
        <f t="shared" si="2"/>
        <v>1</v>
      </c>
      <c r="P76" s="181"/>
      <c r="Q76" s="127">
        <f>rrcworking[[#This Row],[Last Month Closing Stock]]</f>
        <v>68</v>
      </c>
      <c r="R76" s="181">
        <f>rrcworking[[#This Row],[Opening Oil Stock]]</f>
        <v>68</v>
      </c>
      <c r="S76" s="143">
        <f>IF(ISERROR(INDEX(Table2[OIL],MATCH(rrcworking[[#This Row],[Magnum Wolfpak '#]],Table2[Rox Wolf'#],0))),0,INDEX(Table2[OIL],MATCH(rrcworking[[#This Row],[Magnum Wolfpak '#]],Table2[Rox Wolf'#],0)))</f>
        <v>0</v>
      </c>
      <c r="T76" s="35">
        <f>rrcworking[[#This Row],[Closing Stock (Oil)]]+rrcworking[[#This Row],[Sales/Dispostion]]-rrcworking[[#This Row],[Opening Oil Stock]]</f>
        <v>0</v>
      </c>
      <c r="U76" s="112">
        <f>rrcworking[[#This Row],[Gauge Sheet Prod Volume]]-rrcworking[[#This Row],[Oil Production]]</f>
        <v>0</v>
      </c>
      <c r="V76" s="143">
        <f>IF(ISERROR(INDEX(Table2[GAS],MATCH(rrcworking[[#This Row],[Magnum Wolfpak '#]],Table2[Rox Wolf'#],0))),0,INDEX(Table2[GAS],MATCH(rrcworking[[#This Row],[Magnum Wolfpak '#]],Table2[Rox Wolf'#],0)))</f>
        <v>0</v>
      </c>
      <c r="W76" s="24"/>
      <c r="X76" s="135">
        <f>IF(rrcworking[[#This Row],[Pressure Base]]=14.73,rrcworking[[#This Row],[Gas Sales Statement Volume (MCF)]]*$R$2,rrcworking[[#This Row],[Gas Sales Statement Volume (MCF)]])</f>
        <v>0</v>
      </c>
      <c r="Y76" s="60"/>
      <c r="Z76" s="60"/>
      <c r="AA76" s="143">
        <f>IF(ISERROR(INDEX(Table2[LEASE USE],MATCH(rrcworking[[#This Row],[Magnum Wolfpak '#]],Table2[Rox Wolf'#],0))),0,INDEX(Table2[LEASE USE],MATCH(rrcworking[[#This Row],[Magnum Wolfpak '#]],Table2[Rox Wolf'#],0)))</f>
        <v>0</v>
      </c>
      <c r="AB76" s="57">
        <f>rrcworking[[#This Row],[Disposition Volume (MCF) @ 14.65 MCF]]+rrcworking[[#This Row],[Lease Use (MCF)]]</f>
        <v>0</v>
      </c>
      <c r="AC76" s="97"/>
      <c r="AD76" s="37"/>
      <c r="AE76" s="187">
        <f>COUNTIF(FilterList,rrcworking[[#This Row],[Magnum Wolfpak '#]])</f>
        <v>0</v>
      </c>
      <c r="AF76" s="184"/>
      <c r="AG76" s="185"/>
      <c r="AH76" s="37"/>
      <c r="AI76" s="37"/>
      <c r="AJ76" s="37"/>
      <c r="AK76" s="37"/>
      <c r="AL76" s="37"/>
      <c r="AM76" s="37"/>
      <c r="AN76" s="37"/>
      <c r="AO76" s="37"/>
      <c r="AP76" s="37"/>
      <c r="AQ76" s="37"/>
    </row>
    <row r="77" spans="3:43" ht="14">
      <c r="C77" s="80" t="e">
        <v>#N/A</v>
      </c>
      <c r="D77" s="62" t="s">
        <v>298</v>
      </c>
      <c r="E77" s="131" t="s">
        <v>299</v>
      </c>
      <c r="F77" s="129">
        <v>0</v>
      </c>
      <c r="G77" s="120" t="s">
        <v>1091</v>
      </c>
      <c r="H77" s="18" t="s">
        <v>619</v>
      </c>
      <c r="I77" s="18" t="s">
        <v>2</v>
      </c>
      <c r="J77" s="19" t="s">
        <v>548</v>
      </c>
      <c r="K77" s="103">
        <v>24414</v>
      </c>
      <c r="L77" s="101">
        <f>INDEX(Table1[Production],MATCH(rrcworking[[#This Row],[RRC ID Number]],Table1[RRC Identifier],0))</f>
        <v>0</v>
      </c>
      <c r="M77" s="30">
        <f>INDEX(Table1[Formation Production],MATCH(rrcworking[[#This Row],[RRC ID Number]],Table1[RRC Identifier],0))</f>
        <v>0</v>
      </c>
      <c r="N77" s="31">
        <f>INDEX(Table1[On Hand End of Month],MATCH(rrcworking[[#This Row],[RRC ID Number]],Table1[RRC Identifier],0))</f>
        <v>0</v>
      </c>
      <c r="O77" s="106" t="b">
        <f t="shared" si="2"/>
        <v>1</v>
      </c>
      <c r="P77" s="181"/>
      <c r="Q77" s="127">
        <f>rrcworking[[#This Row],[Last Month Closing Stock]]</f>
        <v>0</v>
      </c>
      <c r="R77" s="181">
        <f>rrcworking[[#This Row],[Opening Oil Stock]]</f>
        <v>0</v>
      </c>
      <c r="S77" s="143">
        <f>IF(ISERROR(INDEX(Table2[OIL],MATCH(rrcworking[[#This Row],[Magnum Wolfpak '#]],Table2[Rox Wolf'#],0))),0,INDEX(Table2[OIL],MATCH(rrcworking[[#This Row],[Magnum Wolfpak '#]],Table2[Rox Wolf'#],0)))</f>
        <v>0</v>
      </c>
      <c r="T77" s="35">
        <f>rrcworking[[#This Row],[Closing Stock (Oil)]]+rrcworking[[#This Row],[Sales/Dispostion]]-rrcworking[[#This Row],[Opening Oil Stock]]</f>
        <v>0</v>
      </c>
      <c r="U77" s="112">
        <f>rrcworking[[#This Row],[Gauge Sheet Prod Volume]]-rrcworking[[#This Row],[Oil Production]]</f>
        <v>0</v>
      </c>
      <c r="V77" s="143">
        <f>IF(ISERROR(INDEX(Table2[GAS],MATCH(rrcworking[[#This Row],[Magnum Wolfpak '#]],Table2[Rox Wolf'#],0))),0,INDEX(Table2[GAS],MATCH(rrcworking[[#This Row],[Magnum Wolfpak '#]],Table2[Rox Wolf'#],0)))</f>
        <v>0</v>
      </c>
      <c r="W77" s="24"/>
      <c r="X77" s="135">
        <f>IF(rrcworking[[#This Row],[Pressure Base]]=14.73,rrcworking[[#This Row],[Gas Sales Statement Volume (MCF)]]*$R$2,rrcworking[[#This Row],[Gas Sales Statement Volume (MCF)]])</f>
        <v>0</v>
      </c>
      <c r="Y77" s="60"/>
      <c r="Z77" s="60"/>
      <c r="AA77" s="143">
        <f>IF(ISERROR(INDEX(Table2[LEASE USE],MATCH(rrcworking[[#This Row],[Magnum Wolfpak '#]],Table2[Rox Wolf'#],0))),0,INDEX(Table2[LEASE USE],MATCH(rrcworking[[#This Row],[Magnum Wolfpak '#]],Table2[Rox Wolf'#],0)))</f>
        <v>0</v>
      </c>
      <c r="AB77" s="57">
        <f>rrcworking[[#This Row],[Disposition Volume (MCF) @ 14.65 MCF]]+rrcworking[[#This Row],[Lease Use (MCF)]]</f>
        <v>0</v>
      </c>
      <c r="AC77" s="37"/>
      <c r="AD77" s="37"/>
      <c r="AE77" s="187">
        <f>COUNTIF(FilterList,rrcworking[[#This Row],[Magnum Wolfpak '#]])</f>
        <v>0</v>
      </c>
      <c r="AF77" s="184"/>
      <c r="AG77" s="185"/>
      <c r="AH77" s="37"/>
      <c r="AI77" s="37"/>
      <c r="AJ77" s="37"/>
      <c r="AK77" s="37"/>
      <c r="AL77" s="37"/>
      <c r="AM77" s="37"/>
      <c r="AN77" s="37"/>
      <c r="AO77" s="37"/>
      <c r="AP77" s="37"/>
      <c r="AQ77" s="37"/>
    </row>
    <row r="78" spans="3:43" ht="14">
      <c r="C78" s="80" t="e">
        <v>#N/A</v>
      </c>
      <c r="D78" s="62" t="s">
        <v>120</v>
      </c>
      <c r="E78" s="131" t="s">
        <v>121</v>
      </c>
      <c r="F78" s="129">
        <v>0</v>
      </c>
      <c r="G78" s="120" t="s">
        <v>1091</v>
      </c>
      <c r="H78" s="18" t="s">
        <v>618</v>
      </c>
      <c r="I78" s="18" t="s">
        <v>2</v>
      </c>
      <c r="J78" s="19" t="s">
        <v>441</v>
      </c>
      <c r="K78" s="103">
        <v>6739</v>
      </c>
      <c r="L78" s="101">
        <f>INDEX(Table1[Production],MATCH(rrcworking[[#This Row],[RRC ID Number]],Table1[RRC Identifier],0))</f>
        <v>0</v>
      </c>
      <c r="M78" s="30">
        <f>INDEX(Table1[Formation Production],MATCH(rrcworking[[#This Row],[RRC ID Number]],Table1[RRC Identifier],0))</f>
        <v>0</v>
      </c>
      <c r="N78" s="31">
        <f>INDEX(Table1[On Hand End of Month],MATCH(rrcworking[[#This Row],[RRC ID Number]],Table1[RRC Identifier],0))</f>
        <v>0</v>
      </c>
      <c r="O78" s="106" t="b">
        <f t="shared" si="2"/>
        <v>1</v>
      </c>
      <c r="P78" s="181"/>
      <c r="Q78" s="127">
        <f>rrcworking[[#This Row],[Last Month Closing Stock]]</f>
        <v>0</v>
      </c>
      <c r="R78" s="181">
        <f>rrcworking[[#This Row],[Opening Oil Stock]]</f>
        <v>0</v>
      </c>
      <c r="S78" s="143">
        <f>IF(ISERROR(INDEX(Table2[OIL],MATCH(rrcworking[[#This Row],[Magnum Wolfpak '#]],Table2[Rox Wolf'#],0))),0,INDEX(Table2[OIL],MATCH(rrcworking[[#This Row],[Magnum Wolfpak '#]],Table2[Rox Wolf'#],0)))</f>
        <v>0</v>
      </c>
      <c r="T78" s="35">
        <f>rrcworking[[#This Row],[Closing Stock (Oil)]]+rrcworking[[#This Row],[Sales/Dispostion]]-rrcworking[[#This Row],[Opening Oil Stock]]</f>
        <v>0</v>
      </c>
      <c r="U78" s="112">
        <f>rrcworking[[#This Row],[Gauge Sheet Prod Volume]]-rrcworking[[#This Row],[Oil Production]]</f>
        <v>0</v>
      </c>
      <c r="V78" s="143">
        <f>IF(ISERROR(INDEX(Table2[GAS],MATCH(rrcworking[[#This Row],[Magnum Wolfpak '#]],Table2[Rox Wolf'#],0))),0,INDEX(Table2[GAS],MATCH(rrcworking[[#This Row],[Magnum Wolfpak '#]],Table2[Rox Wolf'#],0)))</f>
        <v>0</v>
      </c>
      <c r="W78" s="24"/>
      <c r="X78" s="135">
        <f>IF(rrcworking[[#This Row],[Pressure Base]]=14.73,rrcworking[[#This Row],[Gas Sales Statement Volume (MCF)]]*$R$2,rrcworking[[#This Row],[Gas Sales Statement Volume (MCF)]])</f>
        <v>0</v>
      </c>
      <c r="Y78" s="60"/>
      <c r="Z78" s="60"/>
      <c r="AA78" s="143">
        <f>IF(ISERROR(INDEX(Table2[LEASE USE],MATCH(rrcworking[[#This Row],[Magnum Wolfpak '#]],Table2[Rox Wolf'#],0))),0,INDEX(Table2[LEASE USE],MATCH(rrcworking[[#This Row],[Magnum Wolfpak '#]],Table2[Rox Wolf'#],0)))</f>
        <v>0</v>
      </c>
      <c r="AB78" s="57">
        <f>rrcworking[[#This Row],[Disposition Volume (MCF) @ 14.65 MCF]]+rrcworking[[#This Row],[Lease Use (MCF)]]</f>
        <v>0</v>
      </c>
      <c r="AC78" s="37"/>
      <c r="AD78" s="37"/>
      <c r="AE78" s="187">
        <f>COUNTIF(FilterList,rrcworking[[#This Row],[Magnum Wolfpak '#]])</f>
        <v>0</v>
      </c>
      <c r="AF78" s="184"/>
      <c r="AG78" s="185"/>
      <c r="AH78" s="37"/>
      <c r="AI78" s="37"/>
      <c r="AJ78" s="37"/>
      <c r="AK78" s="37"/>
      <c r="AL78" s="37"/>
      <c r="AM78" s="37"/>
      <c r="AN78" s="37"/>
      <c r="AO78" s="37"/>
      <c r="AP78" s="37"/>
      <c r="AQ78" s="37"/>
    </row>
    <row r="79" spans="3:43" ht="14">
      <c r="C79" s="80" t="e">
        <v>#N/A</v>
      </c>
      <c r="D79" s="62" t="s">
        <v>122</v>
      </c>
      <c r="E79" s="131" t="s">
        <v>121</v>
      </c>
      <c r="F79" s="129">
        <v>0</v>
      </c>
      <c r="G79" s="120" t="s">
        <v>1091</v>
      </c>
      <c r="H79" s="18" t="s">
        <v>618</v>
      </c>
      <c r="I79" s="18" t="s">
        <v>2</v>
      </c>
      <c r="J79" s="19" t="s">
        <v>442</v>
      </c>
      <c r="K79" s="103">
        <v>8169</v>
      </c>
      <c r="L79" s="101">
        <f>INDEX(Table1[Production],MATCH(rrcworking[[#This Row],[RRC ID Number]],Table1[RRC Identifier],0))</f>
        <v>0</v>
      </c>
      <c r="M79" s="30">
        <f>INDEX(Table1[Formation Production],MATCH(rrcworking[[#This Row],[RRC ID Number]],Table1[RRC Identifier],0))</f>
        <v>0</v>
      </c>
      <c r="N79" s="31">
        <f>INDEX(Table1[On Hand End of Month],MATCH(rrcworking[[#This Row],[RRC ID Number]],Table1[RRC Identifier],0))</f>
        <v>0</v>
      </c>
      <c r="O79" s="106" t="b">
        <f t="shared" si="2"/>
        <v>1</v>
      </c>
      <c r="P79" s="181"/>
      <c r="Q79" s="127">
        <f>rrcworking[[#This Row],[Last Month Closing Stock]]</f>
        <v>0</v>
      </c>
      <c r="R79" s="181">
        <f>rrcworking[[#This Row],[Opening Oil Stock]]</f>
        <v>0</v>
      </c>
      <c r="S79" s="143">
        <f>IF(ISERROR(INDEX(Table2[OIL],MATCH(rrcworking[[#This Row],[Magnum Wolfpak '#]],Table2[Rox Wolf'#],0))),0,INDEX(Table2[OIL],MATCH(rrcworking[[#This Row],[Magnum Wolfpak '#]],Table2[Rox Wolf'#],0)))</f>
        <v>0</v>
      </c>
      <c r="T79" s="35">
        <f>rrcworking[[#This Row],[Closing Stock (Oil)]]+rrcworking[[#This Row],[Sales/Dispostion]]-rrcworking[[#This Row],[Opening Oil Stock]]</f>
        <v>0</v>
      </c>
      <c r="U79" s="112">
        <f>rrcworking[[#This Row],[Gauge Sheet Prod Volume]]-rrcworking[[#This Row],[Oil Production]]</f>
        <v>0</v>
      </c>
      <c r="V79" s="143">
        <f>IF(ISERROR(INDEX(Table2[GAS],MATCH(rrcworking[[#This Row],[Magnum Wolfpak '#]],Table2[Rox Wolf'#],0))),0,INDEX(Table2[GAS],MATCH(rrcworking[[#This Row],[Magnum Wolfpak '#]],Table2[Rox Wolf'#],0)))</f>
        <v>0</v>
      </c>
      <c r="W79" s="24"/>
      <c r="X79" s="135">
        <f>IF(rrcworking[[#This Row],[Pressure Base]]=14.73,rrcworking[[#This Row],[Gas Sales Statement Volume (MCF)]]*$R$2,rrcworking[[#This Row],[Gas Sales Statement Volume (MCF)]])</f>
        <v>0</v>
      </c>
      <c r="Y79" s="60"/>
      <c r="Z79" s="60"/>
      <c r="AA79" s="143">
        <f>IF(ISERROR(INDEX(Table2[LEASE USE],MATCH(rrcworking[[#This Row],[Magnum Wolfpak '#]],Table2[Rox Wolf'#],0))),0,INDEX(Table2[LEASE USE],MATCH(rrcworking[[#This Row],[Magnum Wolfpak '#]],Table2[Rox Wolf'#],0)))</f>
        <v>0</v>
      </c>
      <c r="AB79" s="57">
        <f>rrcworking[[#This Row],[Disposition Volume (MCF) @ 14.65 MCF]]+rrcworking[[#This Row],[Lease Use (MCF)]]</f>
        <v>0</v>
      </c>
      <c r="AC79" s="37"/>
      <c r="AD79" s="37"/>
      <c r="AE79" s="187">
        <f>COUNTIF(FilterList,rrcworking[[#This Row],[Magnum Wolfpak '#]])</f>
        <v>0</v>
      </c>
      <c r="AF79" s="184"/>
      <c r="AG79" s="185"/>
      <c r="AH79" s="37"/>
      <c r="AI79" s="37"/>
      <c r="AJ79" s="37"/>
      <c r="AK79" s="37"/>
      <c r="AL79" s="37"/>
      <c r="AM79" s="37"/>
      <c r="AN79" s="37"/>
      <c r="AO79" s="37"/>
      <c r="AP79" s="37"/>
      <c r="AQ79" s="37"/>
    </row>
    <row r="80" spans="3:43" ht="42">
      <c r="C80" s="80">
        <v>82001</v>
      </c>
      <c r="D80" s="62" t="s">
        <v>291</v>
      </c>
      <c r="E80" s="131" t="s">
        <v>292</v>
      </c>
      <c r="F80" s="129">
        <v>0</v>
      </c>
      <c r="G80" s="120" t="s">
        <v>1091</v>
      </c>
      <c r="H80" s="18" t="s">
        <v>619</v>
      </c>
      <c r="I80" s="18" t="s">
        <v>2</v>
      </c>
      <c r="J80" s="19" t="s">
        <v>541</v>
      </c>
      <c r="K80" s="103">
        <v>25782</v>
      </c>
      <c r="L80" s="101">
        <f>INDEX(Table1[Production],MATCH(rrcworking[[#This Row],[RRC ID Number]],Table1[RRC Identifier],0))</f>
        <v>25</v>
      </c>
      <c r="M80" s="30">
        <f>INDEX(Table1[Formation Production],MATCH(rrcworking[[#This Row],[RRC ID Number]],Table1[RRC Identifier],0))</f>
        <v>174</v>
      </c>
      <c r="N80" s="31">
        <f>INDEX(Table1[On Hand End of Month],MATCH(rrcworking[[#This Row],[RRC ID Number]],Table1[RRC Identifier],0))</f>
        <v>224</v>
      </c>
      <c r="O80" s="106" t="b">
        <f t="shared" si="2"/>
        <v>0</v>
      </c>
      <c r="P80" s="181">
        <v>17</v>
      </c>
      <c r="Q80" s="127">
        <f>rrcworking[[#This Row],[Last Month Closing Stock]]</f>
        <v>224</v>
      </c>
      <c r="R80" s="181">
        <v>235</v>
      </c>
      <c r="S80" s="143">
        <f>IF(ISERROR(INDEX(Table2[OIL],MATCH(rrcworking[[#This Row],[Magnum Wolfpak '#]],Table2[Rox Wolf'#],0))),0,INDEX(Table2[OIL],MATCH(rrcworking[[#This Row],[Magnum Wolfpak '#]],Table2[Rox Wolf'#],0)))</f>
        <v>0</v>
      </c>
      <c r="T80" s="35">
        <f>rrcworking[[#This Row],[Closing Stock (Oil)]]+rrcworking[[#This Row],[Sales/Dispostion]]-rrcworking[[#This Row],[Opening Oil Stock]]</f>
        <v>11</v>
      </c>
      <c r="U80" s="112">
        <f>rrcworking[[#This Row],[Gauge Sheet Prod Volume]]-rrcworking[[#This Row],[Oil Production]]</f>
        <v>6</v>
      </c>
      <c r="V80" s="143">
        <f>IF(ISERROR(INDEX(Table2[GAS],MATCH(rrcworking[[#This Row],[Magnum Wolfpak '#]],Table2[Rox Wolf'#],0))),0,INDEX(Table2[GAS],MATCH(rrcworking[[#This Row],[Magnum Wolfpak '#]],Table2[Rox Wolf'#],0)))</f>
        <v>48</v>
      </c>
      <c r="W80" s="24"/>
      <c r="X80" s="135">
        <f>IF(rrcworking[[#This Row],[Pressure Base]]=14.73,rrcworking[[#This Row],[Gas Sales Statement Volume (MCF)]]*$R$2,rrcworking[[#This Row],[Gas Sales Statement Volume (MCF)]])</f>
        <v>48</v>
      </c>
      <c r="Y80" s="60"/>
      <c r="Z80" s="60">
        <v>0</v>
      </c>
      <c r="AA80" s="143">
        <f>IF(ISERROR(INDEX(Table2[LEASE USE],MATCH(rrcworking[[#This Row],[Magnum Wolfpak '#]],Table2[Rox Wolf'#],0))),0,INDEX(Table2[LEASE USE],MATCH(rrcworking[[#This Row],[Magnum Wolfpak '#]],Table2[Rox Wolf'#],0)))</f>
        <v>0</v>
      </c>
      <c r="AB80" s="57">
        <f>rrcworking[[#This Row],[Disposition Volume (MCF) @ 14.65 MCF]]+rrcworking[[#This Row],[Lease Use (MCF)]]</f>
        <v>48</v>
      </c>
      <c r="AC80" s="37"/>
      <c r="AD80" s="37" t="s">
        <v>1298</v>
      </c>
      <c r="AE80" s="187">
        <f>COUNTIF(FilterList,rrcworking[[#This Row],[Magnum Wolfpak '#]])</f>
        <v>0</v>
      </c>
      <c r="AF80" s="184"/>
      <c r="AG80" s="185"/>
      <c r="AH80" s="37"/>
      <c r="AI80" s="185"/>
      <c r="AJ80" s="186"/>
      <c r="AK80" s="186"/>
      <c r="AL80" s="186"/>
      <c r="AM80" s="186"/>
      <c r="AN80" s="186"/>
      <c r="AO80" s="186"/>
      <c r="AP80" s="37" t="s">
        <v>1165</v>
      </c>
      <c r="AQ80" s="37" t="s">
        <v>1200</v>
      </c>
    </row>
    <row r="81" spans="3:43" ht="28">
      <c r="C81" s="80">
        <v>96701</v>
      </c>
      <c r="D81" s="62" t="s">
        <v>285</v>
      </c>
      <c r="E81" s="131" t="s">
        <v>286</v>
      </c>
      <c r="F81" s="129">
        <v>1</v>
      </c>
      <c r="G81" s="120" t="s">
        <v>1091</v>
      </c>
      <c r="H81" s="18" t="s">
        <v>619</v>
      </c>
      <c r="I81" s="18" t="s">
        <v>59</v>
      </c>
      <c r="J81" s="19" t="s">
        <v>538</v>
      </c>
      <c r="K81" s="103">
        <v>280832</v>
      </c>
      <c r="L81" s="101">
        <f>INDEX(Table1[Production],MATCH(rrcworking[[#This Row],[RRC ID Number]],Table1[RRC Identifier],0))</f>
        <v>0</v>
      </c>
      <c r="M81" s="30">
        <f>INDEX(Table1[Formation Production],MATCH(rrcworking[[#This Row],[RRC ID Number]],Table1[RRC Identifier],0))</f>
        <v>7</v>
      </c>
      <c r="N81" s="31">
        <f>INDEX(Table1[On Hand End of Month],MATCH(rrcworking[[#This Row],[RRC ID Number]],Table1[RRC Identifier],0))</f>
        <v>48</v>
      </c>
      <c r="O81" s="106" t="b">
        <f t="shared" si="2"/>
        <v>0</v>
      </c>
      <c r="P81" s="181">
        <v>0</v>
      </c>
      <c r="Q81" s="127">
        <f>rrcworking[[#This Row],[Last Month Closing Stock]]</f>
        <v>48</v>
      </c>
      <c r="R81" s="181">
        <v>48</v>
      </c>
      <c r="S81" s="143">
        <f>IF(ISERROR(INDEX(Table2[OIL],MATCH(rrcworking[[#This Row],[Magnum Wolfpak '#]],Table2[Rox Wolf'#],0))),0,INDEX(Table2[OIL],MATCH(rrcworking[[#This Row],[Magnum Wolfpak '#]],Table2[Rox Wolf'#],0)))</f>
        <v>0</v>
      </c>
      <c r="T81" s="35">
        <f>rrcworking[[#This Row],[Closing Stock (Oil)]]+rrcworking[[#This Row],[Sales/Dispostion]]-rrcworking[[#This Row],[Opening Oil Stock]]</f>
        <v>0</v>
      </c>
      <c r="U81" s="112">
        <f>rrcworking[[#This Row],[Gauge Sheet Prod Volume]]-rrcworking[[#This Row],[Oil Production]]</f>
        <v>0</v>
      </c>
      <c r="V81" s="143">
        <f>IF(ISERROR(INDEX(Table2[GAS],MATCH(rrcworking[[#This Row],[Magnum Wolfpak '#]],Table2[Rox Wolf'#],0))),0,INDEX(Table2[GAS],MATCH(rrcworking[[#This Row],[Magnum Wolfpak '#]],Table2[Rox Wolf'#],0)))</f>
        <v>38</v>
      </c>
      <c r="W81" s="24"/>
      <c r="X81" s="135">
        <f>IF(rrcworking[[#This Row],[Pressure Base]]=14.73,rrcworking[[#This Row],[Gas Sales Statement Volume (MCF)]]*$R$2,rrcworking[[#This Row],[Gas Sales Statement Volume (MCF)]])</f>
        <v>38</v>
      </c>
      <c r="Y81" s="60"/>
      <c r="Z81" s="60">
        <v>0</v>
      </c>
      <c r="AA81" s="143">
        <f>IF(ISERROR(INDEX(Table2[LEASE USE],MATCH(rrcworking[[#This Row],[Magnum Wolfpak '#]],Table2[Rox Wolf'#],0))),0,INDEX(Table2[LEASE USE],MATCH(rrcworking[[#This Row],[Magnum Wolfpak '#]],Table2[Rox Wolf'#],0)))</f>
        <v>0</v>
      </c>
      <c r="AB81" s="57">
        <f>rrcworking[[#This Row],[Disposition Volume (MCF) @ 14.65 MCF]]+rrcworking[[#This Row],[Lease Use (MCF)]]</f>
        <v>38</v>
      </c>
      <c r="AC81" s="37"/>
      <c r="AD81" s="37" t="s">
        <v>1293</v>
      </c>
      <c r="AE81" s="187">
        <f>COUNTIF(FilterList,rrcworking[[#This Row],[Magnum Wolfpak '#]])</f>
        <v>0</v>
      </c>
      <c r="AF81" s="184"/>
      <c r="AG81" s="185"/>
      <c r="AH81" s="87"/>
      <c r="AI81" s="87"/>
      <c r="AJ81" s="186"/>
      <c r="AK81" s="186"/>
      <c r="AL81" s="186"/>
      <c r="AM81" s="186"/>
      <c r="AN81" s="186"/>
      <c r="AO81" s="186"/>
      <c r="AP81" s="37" t="s">
        <v>1165</v>
      </c>
      <c r="AQ81" s="37" t="s">
        <v>1200</v>
      </c>
    </row>
    <row r="82" spans="3:43" ht="14">
      <c r="C82" s="80" t="e">
        <v>#N/A</v>
      </c>
      <c r="D82" s="62" t="s">
        <v>291</v>
      </c>
      <c r="E82" s="131" t="s">
        <v>286</v>
      </c>
      <c r="F82" s="129">
        <v>0</v>
      </c>
      <c r="G82" s="120" t="s">
        <v>1091</v>
      </c>
      <c r="H82" s="18" t="s">
        <v>619</v>
      </c>
      <c r="I82" s="18" t="s">
        <v>2</v>
      </c>
      <c r="J82" s="19" t="s">
        <v>542</v>
      </c>
      <c r="K82" s="103">
        <v>25785</v>
      </c>
      <c r="L82" s="101">
        <f>INDEX(Table1[Production],MATCH(rrcworking[[#This Row],[RRC ID Number]],Table1[RRC Identifier],0))</f>
        <v>0</v>
      </c>
      <c r="M82" s="30">
        <f>INDEX(Table1[Formation Production],MATCH(rrcworking[[#This Row],[RRC ID Number]],Table1[RRC Identifier],0))</f>
        <v>0</v>
      </c>
      <c r="N82" s="31">
        <f>INDEX(Table1[On Hand End of Month],MATCH(rrcworking[[#This Row],[RRC ID Number]],Table1[RRC Identifier],0))</f>
        <v>0</v>
      </c>
      <c r="O82" s="106" t="b">
        <f t="shared" si="2"/>
        <v>1</v>
      </c>
      <c r="P82" s="181"/>
      <c r="Q82" s="127">
        <f>rrcworking[[#This Row],[Last Month Closing Stock]]</f>
        <v>0</v>
      </c>
      <c r="R82" s="181">
        <f>rrcworking[[#This Row],[Opening Oil Stock]]</f>
        <v>0</v>
      </c>
      <c r="S82" s="143">
        <f>IF(ISERROR(INDEX(Table2[OIL],MATCH(rrcworking[[#This Row],[Magnum Wolfpak '#]],Table2[Rox Wolf'#],0))),0,INDEX(Table2[OIL],MATCH(rrcworking[[#This Row],[Magnum Wolfpak '#]],Table2[Rox Wolf'#],0)))</f>
        <v>0</v>
      </c>
      <c r="T82" s="35">
        <f>rrcworking[[#This Row],[Closing Stock (Oil)]]+rrcworking[[#This Row],[Sales/Dispostion]]-rrcworking[[#This Row],[Opening Oil Stock]]</f>
        <v>0</v>
      </c>
      <c r="U82" s="112">
        <f>rrcworking[[#This Row],[Gauge Sheet Prod Volume]]-rrcworking[[#This Row],[Oil Production]]</f>
        <v>0</v>
      </c>
      <c r="V82" s="143">
        <f>IF(ISERROR(INDEX(Table2[GAS],MATCH(rrcworking[[#This Row],[Magnum Wolfpak '#]],Table2[Rox Wolf'#],0))),0,INDEX(Table2[GAS],MATCH(rrcworking[[#This Row],[Magnum Wolfpak '#]],Table2[Rox Wolf'#],0)))</f>
        <v>0</v>
      </c>
      <c r="W82" s="24"/>
      <c r="X82" s="135">
        <f>IF(rrcworking[[#This Row],[Pressure Base]]=14.73,rrcworking[[#This Row],[Gas Sales Statement Volume (MCF)]]*$R$2,rrcworking[[#This Row],[Gas Sales Statement Volume (MCF)]])</f>
        <v>0</v>
      </c>
      <c r="Y82" s="60"/>
      <c r="Z82" s="60"/>
      <c r="AA82" s="143">
        <f>IF(ISERROR(INDEX(Table2[LEASE USE],MATCH(rrcworking[[#This Row],[Magnum Wolfpak '#]],Table2[Rox Wolf'#],0))),0,INDEX(Table2[LEASE USE],MATCH(rrcworking[[#This Row],[Magnum Wolfpak '#]],Table2[Rox Wolf'#],0)))</f>
        <v>0</v>
      </c>
      <c r="AB82" s="57">
        <f>rrcworking[[#This Row],[Disposition Volume (MCF) @ 14.65 MCF]]+rrcworking[[#This Row],[Lease Use (MCF)]]</f>
        <v>0</v>
      </c>
      <c r="AC82" s="37"/>
      <c r="AD82" s="37"/>
      <c r="AE82" s="187">
        <f>COUNTIF(FilterList,rrcworking[[#This Row],[Magnum Wolfpak '#]])</f>
        <v>0</v>
      </c>
      <c r="AF82" s="184"/>
      <c r="AG82" s="185"/>
      <c r="AH82" s="37"/>
      <c r="AI82" s="37"/>
      <c r="AJ82" s="37"/>
      <c r="AK82" s="37"/>
      <c r="AL82" s="37"/>
      <c r="AM82" s="37"/>
      <c r="AN82" s="37"/>
      <c r="AO82" s="37"/>
      <c r="AP82" s="37"/>
      <c r="AQ82" s="37"/>
    </row>
    <row r="83" spans="3:43" ht="112">
      <c r="C83" s="80">
        <v>96501</v>
      </c>
      <c r="D83" s="62" t="s">
        <v>287</v>
      </c>
      <c r="E83" s="131" t="s">
        <v>288</v>
      </c>
      <c r="F83" s="129">
        <v>1</v>
      </c>
      <c r="G83" s="120" t="s">
        <v>1091</v>
      </c>
      <c r="H83" s="18" t="s">
        <v>619</v>
      </c>
      <c r="I83" s="18" t="s">
        <v>59</v>
      </c>
      <c r="J83" s="19" t="s">
        <v>539</v>
      </c>
      <c r="K83" s="103">
        <v>161374</v>
      </c>
      <c r="L83" s="101">
        <f>INDEX(Table1[Production],MATCH(rrcworking[[#This Row],[RRC ID Number]],Table1[RRC Identifier],0))</f>
        <v>1</v>
      </c>
      <c r="M83" s="30">
        <f>INDEX(Table1[Formation Production],MATCH(rrcworking[[#This Row],[RRC ID Number]],Table1[RRC Identifier],0))</f>
        <v>841</v>
      </c>
      <c r="N83" s="31">
        <f>INDEX(Table1[On Hand End of Month],MATCH(rrcworking[[#This Row],[RRC ID Number]],Table1[RRC Identifier],0))</f>
        <v>235</v>
      </c>
      <c r="O83" s="106" t="b">
        <f t="shared" si="2"/>
        <v>0</v>
      </c>
      <c r="P83" s="181">
        <v>5</v>
      </c>
      <c r="Q83" s="127">
        <f>rrcworking[[#This Row],[Last Month Closing Stock]]</f>
        <v>235</v>
      </c>
      <c r="R83" s="181">
        <v>238</v>
      </c>
      <c r="S83" s="143">
        <f>IF(ISERROR(INDEX(Table2[OIL],MATCH(rrcworking[[#This Row],[Magnum Wolfpak '#]],Table2[Rox Wolf'#],0))),0,INDEX(Table2[OIL],MATCH(rrcworking[[#This Row],[Magnum Wolfpak '#]],Table2[Rox Wolf'#],0)))</f>
        <v>0</v>
      </c>
      <c r="T83" s="35">
        <f>rrcworking[[#This Row],[Closing Stock (Oil)]]+rrcworking[[#This Row],[Sales/Dispostion]]-rrcworking[[#This Row],[Opening Oil Stock]]</f>
        <v>3</v>
      </c>
      <c r="U83" s="112">
        <f>rrcworking[[#This Row],[Gauge Sheet Prod Volume]]-rrcworking[[#This Row],[Oil Production]]</f>
        <v>2</v>
      </c>
      <c r="V83" s="143">
        <f>IF(ISERROR(INDEX(Table2[GAS],MATCH(rrcworking[[#This Row],[Magnum Wolfpak '#]],Table2[Rox Wolf'#],0))),0,INDEX(Table2[GAS],MATCH(rrcworking[[#This Row],[Magnum Wolfpak '#]],Table2[Rox Wolf'#],0)))</f>
        <v>2078</v>
      </c>
      <c r="W83" s="24"/>
      <c r="X83" s="135">
        <f>IF(rrcworking[[#This Row],[Pressure Base]]=14.73,rrcworking[[#This Row],[Gas Sales Statement Volume (MCF)]]*$R$2,rrcworking[[#This Row],[Gas Sales Statement Volume (MCF)]])</f>
        <v>2078</v>
      </c>
      <c r="Y83" s="85"/>
      <c r="Z83" s="60">
        <v>3</v>
      </c>
      <c r="AA83" s="143">
        <f>IF(ISERROR(INDEX(Table2[LEASE USE],MATCH(rrcworking[[#This Row],[Magnum Wolfpak '#]],Table2[Rox Wolf'#],0))),0,INDEX(Table2[LEASE USE],MATCH(rrcworking[[#This Row],[Magnum Wolfpak '#]],Table2[Rox Wolf'#],0)))</f>
        <v>93</v>
      </c>
      <c r="AB83" s="57">
        <f>rrcworking[[#This Row],[Disposition Volume (MCF) @ 14.65 MCF]]+rrcworking[[#This Row],[Lease Use (MCF)]]</f>
        <v>2171</v>
      </c>
      <c r="AC83" s="37"/>
      <c r="AD83" s="37" t="s">
        <v>1297</v>
      </c>
      <c r="AE83" s="187">
        <f>COUNTIF(FilterList,rrcworking[[#This Row],[Magnum Wolfpak '#]])</f>
        <v>0</v>
      </c>
      <c r="AF83" s="184"/>
      <c r="AG83" s="185"/>
      <c r="AH83" s="37"/>
      <c r="AI83" s="185"/>
      <c r="AJ83" s="186"/>
      <c r="AK83" s="186"/>
      <c r="AL83" s="186"/>
      <c r="AM83" s="186"/>
      <c r="AN83" s="186"/>
      <c r="AO83" s="186"/>
      <c r="AP83" s="37" t="s">
        <v>1165</v>
      </c>
      <c r="AQ83" s="37" t="s">
        <v>1200</v>
      </c>
    </row>
    <row r="84" spans="3:43" ht="14">
      <c r="C84" s="82" t="e">
        <v>#N/A</v>
      </c>
      <c r="D84" s="98" t="s">
        <v>289</v>
      </c>
      <c r="E84" s="132" t="s">
        <v>290</v>
      </c>
      <c r="F84" s="128">
        <v>0</v>
      </c>
      <c r="G84" s="121" t="s">
        <v>1091</v>
      </c>
      <c r="H84" s="18" t="s">
        <v>619</v>
      </c>
      <c r="I84" s="18" t="s">
        <v>2</v>
      </c>
      <c r="J84" s="19" t="s">
        <v>540</v>
      </c>
      <c r="K84" s="103">
        <v>19798</v>
      </c>
      <c r="L84" s="101">
        <f>INDEX(Table1[Production],MATCH(rrcworking[[#This Row],[RRC ID Number]],Table1[RRC Identifier],0))</f>
        <v>0</v>
      </c>
      <c r="M84" s="30">
        <f>INDEX(Table1[Formation Production],MATCH(rrcworking[[#This Row],[RRC ID Number]],Table1[RRC Identifier],0))</f>
        <v>0</v>
      </c>
      <c r="N84" s="31">
        <f>INDEX(Table1[On Hand End of Month],MATCH(rrcworking[[#This Row],[RRC ID Number]],Table1[RRC Identifier],0))</f>
        <v>70</v>
      </c>
      <c r="O84" s="106" t="b">
        <f t="shared" si="2"/>
        <v>1</v>
      </c>
      <c r="P84" s="181"/>
      <c r="Q84" s="127">
        <f>rrcworking[[#This Row],[Last Month Closing Stock]]</f>
        <v>70</v>
      </c>
      <c r="R84" s="181">
        <f>rrcworking[[#This Row],[Opening Oil Stock]]</f>
        <v>70</v>
      </c>
      <c r="S84" s="144">
        <f>IF(ISERROR(INDEX(Table2[OIL],MATCH(rrcworking[[#This Row],[Magnum Wolfpak '#]],Table2[Rox Wolf'#],0))),0,INDEX(Table2[OIL],MATCH(rrcworking[[#This Row],[Magnum Wolfpak '#]],Table2[Rox Wolf'#],0)))</f>
        <v>0</v>
      </c>
      <c r="T84" s="35">
        <f>rrcworking[[#This Row],[Closing Stock (Oil)]]+rrcworking[[#This Row],[Sales/Dispostion]]-rrcworking[[#This Row],[Opening Oil Stock]]</f>
        <v>0</v>
      </c>
      <c r="U84" s="112">
        <f>rrcworking[[#This Row],[Gauge Sheet Prod Volume]]-rrcworking[[#This Row],[Oil Production]]</f>
        <v>0</v>
      </c>
      <c r="V84" s="143">
        <f>IF(ISERROR(INDEX(Table2[GAS],MATCH(rrcworking[[#This Row],[Magnum Wolfpak '#]],Table2[Rox Wolf'#],0))),0,INDEX(Table2[GAS],MATCH(rrcworking[[#This Row],[Magnum Wolfpak '#]],Table2[Rox Wolf'#],0)))</f>
        <v>0</v>
      </c>
      <c r="W84" s="24"/>
      <c r="X84" s="135">
        <f>IF(rrcworking[[#This Row],[Pressure Base]]=14.73,rrcworking[[#This Row],[Gas Sales Statement Volume (MCF)]]*$R$2,rrcworking[[#This Row],[Gas Sales Statement Volume (MCF)]])</f>
        <v>0</v>
      </c>
      <c r="Y84" s="60"/>
      <c r="Z84" s="60"/>
      <c r="AA84" s="143">
        <f>IF(ISERROR(INDEX(Table2[LEASE USE],MATCH(rrcworking[[#This Row],[Magnum Wolfpak '#]],Table2[Rox Wolf'#],0))),0,INDEX(Table2[LEASE USE],MATCH(rrcworking[[#This Row],[Magnum Wolfpak '#]],Table2[Rox Wolf'#],0)))</f>
        <v>0</v>
      </c>
      <c r="AB84" s="57">
        <f>rrcworking[[#This Row],[Disposition Volume (MCF) @ 14.65 MCF]]+rrcworking[[#This Row],[Lease Use (MCF)]]</f>
        <v>0</v>
      </c>
      <c r="AC84" s="37"/>
      <c r="AD84" s="37"/>
      <c r="AE84" s="187">
        <f>COUNTIF(FilterList,rrcworking[[#This Row],[Magnum Wolfpak '#]])</f>
        <v>0</v>
      </c>
      <c r="AF84" s="184"/>
      <c r="AG84" s="185"/>
      <c r="AH84" s="37"/>
      <c r="AI84" s="37"/>
      <c r="AJ84" s="37"/>
      <c r="AK84" s="37"/>
      <c r="AL84" s="37"/>
      <c r="AM84" s="37"/>
      <c r="AN84" s="37"/>
      <c r="AO84" s="37"/>
      <c r="AP84" s="37"/>
      <c r="AQ84" s="37"/>
    </row>
    <row r="85" spans="3:43" ht="14">
      <c r="C85" s="80" t="e">
        <v>#N/A</v>
      </c>
      <c r="D85" s="62" t="s">
        <v>248</v>
      </c>
      <c r="E85" s="131" t="s">
        <v>249</v>
      </c>
      <c r="F85" s="129">
        <v>2</v>
      </c>
      <c r="G85" s="120" t="s">
        <v>1091</v>
      </c>
      <c r="H85" s="18" t="s">
        <v>619</v>
      </c>
      <c r="I85" s="18" t="s">
        <v>59</v>
      </c>
      <c r="J85" s="19" t="s">
        <v>513</v>
      </c>
      <c r="K85" s="103">
        <v>194105</v>
      </c>
      <c r="L85" s="101">
        <f>INDEX(Table1[Production],MATCH(rrcworking[[#This Row],[RRC ID Number]],Table1[RRC Identifier],0))</f>
        <v>0</v>
      </c>
      <c r="M85" s="30">
        <f>INDEX(Table1[Formation Production],MATCH(rrcworking[[#This Row],[RRC ID Number]],Table1[RRC Identifier],0))</f>
        <v>0</v>
      </c>
      <c r="N85" s="31">
        <f>INDEX(Table1[On Hand End of Month],MATCH(rrcworking[[#This Row],[RRC ID Number]],Table1[RRC Identifier],0))</f>
        <v>0</v>
      </c>
      <c r="O85" s="106" t="b">
        <f t="shared" si="2"/>
        <v>1</v>
      </c>
      <c r="P85" s="181"/>
      <c r="Q85" s="127">
        <f>rrcworking[[#This Row],[Last Month Closing Stock]]</f>
        <v>0</v>
      </c>
      <c r="R85" s="181">
        <f>rrcworking[[#This Row],[Opening Oil Stock]]</f>
        <v>0</v>
      </c>
      <c r="S85" s="143">
        <f>IF(ISERROR(INDEX(Table2[OIL],MATCH(rrcworking[[#This Row],[Magnum Wolfpak '#]],Table2[Rox Wolf'#],0))),0,INDEX(Table2[OIL],MATCH(rrcworking[[#This Row],[Magnum Wolfpak '#]],Table2[Rox Wolf'#],0)))</f>
        <v>0</v>
      </c>
      <c r="T85" s="35">
        <f>rrcworking[[#This Row],[Closing Stock (Oil)]]+rrcworking[[#This Row],[Sales/Dispostion]]-rrcworking[[#This Row],[Opening Oil Stock]]</f>
        <v>0</v>
      </c>
      <c r="U85" s="112">
        <f>rrcworking[[#This Row],[Gauge Sheet Prod Volume]]-rrcworking[[#This Row],[Oil Production]]</f>
        <v>0</v>
      </c>
      <c r="V85" s="143">
        <f>IF(ISERROR(INDEX(Table2[GAS],MATCH(rrcworking[[#This Row],[Magnum Wolfpak '#]],Table2[Rox Wolf'#],0))),0,INDEX(Table2[GAS],MATCH(rrcworking[[#This Row],[Magnum Wolfpak '#]],Table2[Rox Wolf'#],0)))</f>
        <v>0</v>
      </c>
      <c r="W85" s="24"/>
      <c r="X85" s="135">
        <f>IF(rrcworking[[#This Row],[Pressure Base]]=14.73,rrcworking[[#This Row],[Gas Sales Statement Volume (MCF)]]*$R$2,rrcworking[[#This Row],[Gas Sales Statement Volume (MCF)]])</f>
        <v>0</v>
      </c>
      <c r="Y85" s="60"/>
      <c r="Z85" s="60"/>
      <c r="AA85" s="143">
        <f>IF(ISERROR(INDEX(Table2[LEASE USE],MATCH(rrcworking[[#This Row],[Magnum Wolfpak '#]],Table2[Rox Wolf'#],0))),0,INDEX(Table2[LEASE USE],MATCH(rrcworking[[#This Row],[Magnum Wolfpak '#]],Table2[Rox Wolf'#],0)))</f>
        <v>0</v>
      </c>
      <c r="AB85" s="57">
        <f>rrcworking[[#This Row],[Disposition Volume (MCF) @ 14.65 MCF]]+rrcworking[[#This Row],[Lease Use (MCF)]]</f>
        <v>0</v>
      </c>
      <c r="AC85" s="37"/>
      <c r="AD85" s="37"/>
      <c r="AE85" s="187">
        <f>COUNTIF(FilterList,rrcworking[[#This Row],[Magnum Wolfpak '#]])</f>
        <v>0</v>
      </c>
      <c r="AF85" s="184"/>
      <c r="AG85" s="185"/>
      <c r="AH85" s="37"/>
      <c r="AI85" s="37"/>
      <c r="AJ85" s="37"/>
      <c r="AK85" s="37"/>
      <c r="AL85" s="37"/>
      <c r="AM85" s="37"/>
      <c r="AN85" s="37"/>
      <c r="AO85" s="37"/>
      <c r="AP85" s="37"/>
      <c r="AQ85" s="37"/>
    </row>
    <row r="86" spans="3:43" ht="14">
      <c r="C86" s="80" t="e">
        <v>#N/A</v>
      </c>
      <c r="D86" s="62" t="s">
        <v>250</v>
      </c>
      <c r="E86" s="131" t="s">
        <v>249</v>
      </c>
      <c r="F86" s="129">
        <v>1</v>
      </c>
      <c r="G86" s="120" t="s">
        <v>1091</v>
      </c>
      <c r="H86" s="18" t="s">
        <v>619</v>
      </c>
      <c r="I86" s="18" t="s">
        <v>59</v>
      </c>
      <c r="J86" s="19" t="s">
        <v>514</v>
      </c>
      <c r="K86" s="103">
        <v>130820</v>
      </c>
      <c r="L86" s="101">
        <f>INDEX(Table1[Production],MATCH(rrcworking[[#This Row],[RRC ID Number]],Table1[RRC Identifier],0))</f>
        <v>0</v>
      </c>
      <c r="M86" s="30">
        <f>INDEX(Table1[Formation Production],MATCH(rrcworking[[#This Row],[RRC ID Number]],Table1[RRC Identifier],0))</f>
        <v>0</v>
      </c>
      <c r="N86" s="31">
        <f>INDEX(Table1[On Hand End of Month],MATCH(rrcworking[[#This Row],[RRC ID Number]],Table1[RRC Identifier],0))</f>
        <v>0</v>
      </c>
      <c r="O86" s="106" t="b">
        <f t="shared" si="2"/>
        <v>1</v>
      </c>
      <c r="P86" s="181"/>
      <c r="Q86" s="127">
        <f>rrcworking[[#This Row],[Last Month Closing Stock]]</f>
        <v>0</v>
      </c>
      <c r="R86" s="181">
        <f>rrcworking[[#This Row],[Opening Oil Stock]]</f>
        <v>0</v>
      </c>
      <c r="S86" s="143">
        <f>IF(ISERROR(INDEX(Table2[OIL],MATCH(rrcworking[[#This Row],[Magnum Wolfpak '#]],Table2[Rox Wolf'#],0))),0,INDEX(Table2[OIL],MATCH(rrcworking[[#This Row],[Magnum Wolfpak '#]],Table2[Rox Wolf'#],0)))</f>
        <v>0</v>
      </c>
      <c r="T86" s="35">
        <f>rrcworking[[#This Row],[Closing Stock (Oil)]]+rrcworking[[#This Row],[Sales/Dispostion]]-rrcworking[[#This Row],[Opening Oil Stock]]</f>
        <v>0</v>
      </c>
      <c r="U86" s="112">
        <f>rrcworking[[#This Row],[Gauge Sheet Prod Volume]]-rrcworking[[#This Row],[Oil Production]]</f>
        <v>0</v>
      </c>
      <c r="V86" s="143">
        <f>IF(ISERROR(INDEX(Table2[GAS],MATCH(rrcworking[[#This Row],[Magnum Wolfpak '#]],Table2[Rox Wolf'#],0))),0,INDEX(Table2[GAS],MATCH(rrcworking[[#This Row],[Magnum Wolfpak '#]],Table2[Rox Wolf'#],0)))</f>
        <v>0</v>
      </c>
      <c r="W86" s="24"/>
      <c r="X86" s="135">
        <f>IF(rrcworking[[#This Row],[Pressure Base]]=14.73,rrcworking[[#This Row],[Gas Sales Statement Volume (MCF)]]*$R$2,rrcworking[[#This Row],[Gas Sales Statement Volume (MCF)]])</f>
        <v>0</v>
      </c>
      <c r="Y86" s="60"/>
      <c r="Z86" s="60"/>
      <c r="AA86" s="143">
        <f>IF(ISERROR(INDEX(Table2[LEASE USE],MATCH(rrcworking[[#This Row],[Magnum Wolfpak '#]],Table2[Rox Wolf'#],0))),0,INDEX(Table2[LEASE USE],MATCH(rrcworking[[#This Row],[Magnum Wolfpak '#]],Table2[Rox Wolf'#],0)))</f>
        <v>0</v>
      </c>
      <c r="AB86" s="57">
        <f>rrcworking[[#This Row],[Disposition Volume (MCF) @ 14.65 MCF]]+rrcworking[[#This Row],[Lease Use (MCF)]]</f>
        <v>0</v>
      </c>
      <c r="AC86" s="37"/>
      <c r="AD86" s="37"/>
      <c r="AE86" s="187">
        <f>COUNTIF(FilterList,rrcworking[[#This Row],[Magnum Wolfpak '#]])</f>
        <v>0</v>
      </c>
      <c r="AF86" s="184"/>
      <c r="AG86" s="185"/>
      <c r="AH86" s="37"/>
      <c r="AI86" s="37"/>
      <c r="AJ86" s="37"/>
      <c r="AK86" s="37"/>
      <c r="AL86" s="37"/>
      <c r="AM86" s="37"/>
      <c r="AN86" s="37"/>
      <c r="AO86" s="37"/>
      <c r="AP86" s="37"/>
      <c r="AQ86" s="37"/>
    </row>
    <row r="87" spans="3:43" ht="14">
      <c r="C87" s="80" t="e">
        <v>#N/A</v>
      </c>
      <c r="D87" s="62" t="s">
        <v>354</v>
      </c>
      <c r="E87" s="131" t="s">
        <v>357</v>
      </c>
      <c r="F87" s="129">
        <v>3</v>
      </c>
      <c r="G87" s="120" t="s">
        <v>1091</v>
      </c>
      <c r="H87" s="18" t="s">
        <v>620</v>
      </c>
      <c r="I87" s="18" t="s">
        <v>59</v>
      </c>
      <c r="J87" s="19" t="s">
        <v>582</v>
      </c>
      <c r="K87" s="103">
        <v>191863</v>
      </c>
      <c r="L87" s="101">
        <f>INDEX(Table1[Production],MATCH(rrcworking[[#This Row],[RRC ID Number]],Table1[RRC Identifier],0))</f>
        <v>0</v>
      </c>
      <c r="M87" s="30">
        <f>INDEX(Table1[Formation Production],MATCH(rrcworking[[#This Row],[RRC ID Number]],Table1[RRC Identifier],0))</f>
        <v>0</v>
      </c>
      <c r="N87" s="31">
        <f>INDEX(Table1[On Hand End of Month],MATCH(rrcworking[[#This Row],[RRC ID Number]],Table1[RRC Identifier],0))</f>
        <v>0</v>
      </c>
      <c r="O87" s="106" t="b">
        <f t="shared" si="2"/>
        <v>1</v>
      </c>
      <c r="P87" s="181"/>
      <c r="Q87" s="127">
        <f>rrcworking[[#This Row],[Last Month Closing Stock]]</f>
        <v>0</v>
      </c>
      <c r="R87" s="181">
        <f>rrcworking[[#This Row],[Opening Oil Stock]]</f>
        <v>0</v>
      </c>
      <c r="S87" s="143">
        <f>IF(ISERROR(INDEX(Table2[OIL],MATCH(rrcworking[[#This Row],[Magnum Wolfpak '#]],Table2[Rox Wolf'#],0))),0,INDEX(Table2[OIL],MATCH(rrcworking[[#This Row],[Magnum Wolfpak '#]],Table2[Rox Wolf'#],0)))</f>
        <v>0</v>
      </c>
      <c r="T87" s="35">
        <f>rrcworking[[#This Row],[Closing Stock (Oil)]]+rrcworking[[#This Row],[Sales/Dispostion]]-rrcworking[[#This Row],[Opening Oil Stock]]</f>
        <v>0</v>
      </c>
      <c r="U87" s="112">
        <f>rrcworking[[#This Row],[Gauge Sheet Prod Volume]]-rrcworking[[#This Row],[Oil Production]]</f>
        <v>0</v>
      </c>
      <c r="V87" s="143">
        <f>IF(ISERROR(INDEX(Table2[GAS],MATCH(rrcworking[[#This Row],[Magnum Wolfpak '#]],Table2[Rox Wolf'#],0))),0,INDEX(Table2[GAS],MATCH(rrcworking[[#This Row],[Magnum Wolfpak '#]],Table2[Rox Wolf'#],0)))</f>
        <v>0</v>
      </c>
      <c r="W87" s="24"/>
      <c r="X87" s="135">
        <f>IF(rrcworking[[#This Row],[Pressure Base]]=14.73,rrcworking[[#This Row],[Gas Sales Statement Volume (MCF)]]*$R$2,rrcworking[[#This Row],[Gas Sales Statement Volume (MCF)]])</f>
        <v>0</v>
      </c>
      <c r="Y87" s="60"/>
      <c r="Z87" s="60"/>
      <c r="AA87" s="143">
        <f>IF(ISERROR(INDEX(Table2[LEASE USE],MATCH(rrcworking[[#This Row],[Magnum Wolfpak '#]],Table2[Rox Wolf'#],0))),0,INDEX(Table2[LEASE USE],MATCH(rrcworking[[#This Row],[Magnum Wolfpak '#]],Table2[Rox Wolf'#],0)))</f>
        <v>0</v>
      </c>
      <c r="AB87" s="57">
        <f>rrcworking[[#This Row],[Disposition Volume (MCF) @ 14.65 MCF]]+rrcworking[[#This Row],[Lease Use (MCF)]]</f>
        <v>0</v>
      </c>
      <c r="AC87" s="37"/>
      <c r="AD87" s="37"/>
      <c r="AE87" s="187">
        <f>COUNTIF(FilterList,rrcworking[[#This Row],[Magnum Wolfpak '#]])</f>
        <v>0</v>
      </c>
      <c r="AF87" s="184"/>
      <c r="AG87" s="185"/>
      <c r="AH87" s="37"/>
      <c r="AI87" s="37"/>
      <c r="AJ87" s="37"/>
      <c r="AK87" s="37"/>
      <c r="AL87" s="37"/>
      <c r="AM87" s="37"/>
      <c r="AN87" s="37"/>
      <c r="AO87" s="37"/>
      <c r="AP87" s="37"/>
      <c r="AQ87" s="37"/>
    </row>
    <row r="88" spans="3:43" ht="14">
      <c r="C88" s="80">
        <v>99066</v>
      </c>
      <c r="D88" s="62" t="s">
        <v>354</v>
      </c>
      <c r="E88" s="131" t="s">
        <v>356</v>
      </c>
      <c r="F88" s="129">
        <v>2</v>
      </c>
      <c r="G88" s="120" t="s">
        <v>1091</v>
      </c>
      <c r="H88" s="18" t="s">
        <v>620</v>
      </c>
      <c r="I88" s="18" t="s">
        <v>59</v>
      </c>
      <c r="J88" s="19" t="s">
        <v>581</v>
      </c>
      <c r="K88" s="103">
        <v>11885</v>
      </c>
      <c r="L88" s="101">
        <f>INDEX(Table1[Production],MATCH(rrcworking[[#This Row],[RRC ID Number]],Table1[RRC Identifier],0))</f>
        <v>0</v>
      </c>
      <c r="M88" s="30">
        <f>INDEX(Table1[Formation Production],MATCH(rrcworking[[#This Row],[RRC ID Number]],Table1[RRC Identifier],0))</f>
        <v>901</v>
      </c>
      <c r="N88" s="31">
        <f>INDEX(Table1[On Hand End of Month],MATCH(rrcworking[[#This Row],[RRC ID Number]],Table1[RRC Identifier],0))</f>
        <v>0</v>
      </c>
      <c r="O88" s="106" t="b">
        <f t="shared" si="2"/>
        <v>0</v>
      </c>
      <c r="P88" s="181">
        <v>0</v>
      </c>
      <c r="Q88" s="127">
        <f>rrcworking[[#This Row],[Last Month Closing Stock]]</f>
        <v>0</v>
      </c>
      <c r="R88" s="181">
        <v>0</v>
      </c>
      <c r="S88" s="143">
        <f>IF(ISERROR(INDEX(Table2[OIL],MATCH(rrcworking[[#This Row],[Magnum Wolfpak '#]],Table2[Rox Wolf'#],0))),0,INDEX(Table2[OIL],MATCH(rrcworking[[#This Row],[Magnum Wolfpak '#]],Table2[Rox Wolf'#],0)))</f>
        <v>0</v>
      </c>
      <c r="T88" s="35">
        <f>rrcworking[[#This Row],[Closing Stock (Oil)]]+rrcworking[[#This Row],[Sales/Dispostion]]-rrcworking[[#This Row],[Opening Oil Stock]]</f>
        <v>0</v>
      </c>
      <c r="U88" s="112">
        <f>rrcworking[[#This Row],[Gauge Sheet Prod Volume]]-rrcworking[[#This Row],[Oil Production]]</f>
        <v>0</v>
      </c>
      <c r="V88" s="143">
        <f>IF(ISERROR(INDEX(Table2[GAS],MATCH(rrcworking[[#This Row],[Magnum Wolfpak '#]],Table2[Rox Wolf'#],0))),0,INDEX(Table2[GAS],MATCH(rrcworking[[#This Row],[Magnum Wolfpak '#]],Table2[Rox Wolf'#],0)))</f>
        <v>743</v>
      </c>
      <c r="W88" s="24"/>
      <c r="X88" s="135">
        <f>IF(rrcworking[[#This Row],[Pressure Base]]=14.73,rrcworking[[#This Row],[Gas Sales Statement Volume (MCF)]]*$R$2,rrcworking[[#This Row],[Gas Sales Statement Volume (MCF)]])</f>
        <v>743</v>
      </c>
      <c r="Y88" s="60"/>
      <c r="Z88" s="60"/>
      <c r="AA88" s="143">
        <f>IF(ISERROR(INDEX(Table2[LEASE USE],MATCH(rrcworking[[#This Row],[Magnum Wolfpak '#]],Table2[Rox Wolf'#],0))),0,INDEX(Table2[LEASE USE],MATCH(rrcworking[[#This Row],[Magnum Wolfpak '#]],Table2[Rox Wolf'#],0)))</f>
        <v>0</v>
      </c>
      <c r="AB88" s="57">
        <f>rrcworking[[#This Row],[Disposition Volume (MCF) @ 14.65 MCF]]+rrcworking[[#This Row],[Lease Use (MCF)]]</f>
        <v>743</v>
      </c>
      <c r="AC88" s="37"/>
      <c r="AD88" s="37"/>
      <c r="AE88" s="187">
        <f>COUNTIF(FilterList,rrcworking[[#This Row],[Magnum Wolfpak '#]])</f>
        <v>0</v>
      </c>
      <c r="AF88" s="184"/>
      <c r="AG88" s="185"/>
      <c r="AH88" s="87"/>
      <c r="AI88" s="87"/>
      <c r="AJ88" s="186"/>
      <c r="AK88" s="186"/>
      <c r="AL88" s="186"/>
      <c r="AM88" s="186"/>
      <c r="AN88" s="186"/>
      <c r="AO88" s="186"/>
      <c r="AP88" s="37" t="s">
        <v>1165</v>
      </c>
      <c r="AQ88" s="37" t="s">
        <v>1202</v>
      </c>
    </row>
    <row r="89" spans="3:43" ht="14">
      <c r="C89" s="80">
        <v>99113</v>
      </c>
      <c r="D89" s="62" t="s">
        <v>354</v>
      </c>
      <c r="E89" s="131" t="s">
        <v>355</v>
      </c>
      <c r="F89" s="129">
        <v>1</v>
      </c>
      <c r="G89" s="120" t="s">
        <v>1091</v>
      </c>
      <c r="H89" s="18" t="s">
        <v>620</v>
      </c>
      <c r="I89" s="18" t="s">
        <v>59</v>
      </c>
      <c r="J89" s="19" t="s">
        <v>580</v>
      </c>
      <c r="K89" s="103">
        <v>11877</v>
      </c>
      <c r="L89" s="101">
        <f>INDEX(Table1[Production],MATCH(rrcworking[[#This Row],[RRC ID Number]],Table1[RRC Identifier],0))</f>
        <v>0</v>
      </c>
      <c r="M89" s="30">
        <f>INDEX(Table1[Formation Production],MATCH(rrcworking[[#This Row],[RRC ID Number]],Table1[RRC Identifier],0))</f>
        <v>224</v>
      </c>
      <c r="N89" s="31">
        <f>INDEX(Table1[On Hand End of Month],MATCH(rrcworking[[#This Row],[RRC ID Number]],Table1[RRC Identifier],0))</f>
        <v>0</v>
      </c>
      <c r="O89" s="106" t="b">
        <f t="shared" si="2"/>
        <v>0</v>
      </c>
      <c r="P89" s="181"/>
      <c r="Q89" s="127">
        <f>rrcworking[[#This Row],[Last Month Closing Stock]]</f>
        <v>0</v>
      </c>
      <c r="R89" s="181">
        <f>rrcworking[[#This Row],[Opening Oil Stock]]</f>
        <v>0</v>
      </c>
      <c r="S89" s="143">
        <f>IF(ISERROR(INDEX(Table2[OIL],MATCH(rrcworking[[#This Row],[Magnum Wolfpak '#]],Table2[Rox Wolf'#],0))),0,INDEX(Table2[OIL],MATCH(rrcworking[[#This Row],[Magnum Wolfpak '#]],Table2[Rox Wolf'#],0)))</f>
        <v>0</v>
      </c>
      <c r="T89" s="35">
        <f>rrcworking[[#This Row],[Closing Stock (Oil)]]+rrcworking[[#This Row],[Sales/Dispostion]]-rrcworking[[#This Row],[Opening Oil Stock]]</f>
        <v>0</v>
      </c>
      <c r="U89" s="112">
        <f>rrcworking[[#This Row],[Gauge Sheet Prod Volume]]-rrcworking[[#This Row],[Oil Production]]</f>
        <v>0</v>
      </c>
      <c r="V89" s="143">
        <f>IF(ISERROR(INDEX(Table2[GAS],MATCH(rrcworking[[#This Row],[Magnum Wolfpak '#]],Table2[Rox Wolf'#],0))),0,INDEX(Table2[GAS],MATCH(rrcworking[[#This Row],[Magnum Wolfpak '#]],Table2[Rox Wolf'#],0)))</f>
        <v>185</v>
      </c>
      <c r="W89" s="24"/>
      <c r="X89" s="135">
        <f>IF(rrcworking[[#This Row],[Pressure Base]]=14.73,rrcworking[[#This Row],[Gas Sales Statement Volume (MCF)]]*$R$2,rrcworking[[#This Row],[Gas Sales Statement Volume (MCF)]])</f>
        <v>185</v>
      </c>
      <c r="Y89" s="60"/>
      <c r="Z89" s="60"/>
      <c r="AA89" s="143">
        <f>IF(ISERROR(INDEX(Table2[LEASE USE],MATCH(rrcworking[[#This Row],[Magnum Wolfpak '#]],Table2[Rox Wolf'#],0))),0,INDEX(Table2[LEASE USE],MATCH(rrcworking[[#This Row],[Magnum Wolfpak '#]],Table2[Rox Wolf'#],0)))</f>
        <v>0</v>
      </c>
      <c r="AB89" s="57">
        <f>rrcworking[[#This Row],[Disposition Volume (MCF) @ 14.65 MCF]]+rrcworking[[#This Row],[Lease Use (MCF)]]</f>
        <v>185</v>
      </c>
      <c r="AC89" s="37"/>
      <c r="AD89" s="37"/>
      <c r="AE89" s="187">
        <f>COUNTIF(FilterList,rrcworking[[#This Row],[Magnum Wolfpak '#]])</f>
        <v>0</v>
      </c>
      <c r="AF89" s="184"/>
      <c r="AG89" s="185"/>
      <c r="AH89" s="87"/>
      <c r="AI89" s="87"/>
      <c r="AJ89" s="186"/>
      <c r="AK89" s="186"/>
      <c r="AL89" s="186"/>
      <c r="AM89" s="186"/>
      <c r="AN89" s="186"/>
      <c r="AO89" s="186"/>
      <c r="AP89" s="37" t="s">
        <v>1165</v>
      </c>
      <c r="AQ89" s="37" t="s">
        <v>1191</v>
      </c>
    </row>
    <row r="90" spans="3:43" ht="112">
      <c r="C90" s="80">
        <v>99278</v>
      </c>
      <c r="D90" s="62" t="s">
        <v>175</v>
      </c>
      <c r="E90" s="131" t="s">
        <v>176</v>
      </c>
      <c r="F90" s="129" t="s">
        <v>177</v>
      </c>
      <c r="G90" s="120" t="s">
        <v>1091</v>
      </c>
      <c r="H90" s="18" t="s">
        <v>619</v>
      </c>
      <c r="I90" s="18" t="s">
        <v>59</v>
      </c>
      <c r="J90" s="19" t="s">
        <v>475</v>
      </c>
      <c r="K90" s="103">
        <v>206045</v>
      </c>
      <c r="L90" s="101">
        <f>INDEX(Table1[Production],MATCH(rrcworking[[#This Row],[RRC ID Number]],Table1[RRC Identifier],0))</f>
        <v>30</v>
      </c>
      <c r="M90" s="30">
        <f>INDEX(Table1[Formation Production],MATCH(rrcworking[[#This Row],[RRC ID Number]],Table1[RRC Identifier],0))</f>
        <v>7259</v>
      </c>
      <c r="N90" s="31">
        <f>INDEX(Table1[On Hand End of Month],MATCH(rrcworking[[#This Row],[RRC ID Number]],Table1[RRC Identifier],0))</f>
        <v>95</v>
      </c>
      <c r="O90" s="106" t="b">
        <f t="shared" si="2"/>
        <v>0</v>
      </c>
      <c r="P90" s="181">
        <v>0</v>
      </c>
      <c r="Q90" s="127">
        <f>rrcworking[[#This Row],[Last Month Closing Stock]]</f>
        <v>95</v>
      </c>
      <c r="R90" s="181">
        <v>124</v>
      </c>
      <c r="S90" s="143">
        <f>IF(ISERROR(INDEX(Table2[OIL],MATCH(rrcworking[[#This Row],[Magnum Wolfpak '#]],Table2[Rox Wolf'#],0))),0,INDEX(Table2[OIL],MATCH(rrcworking[[#This Row],[Magnum Wolfpak '#]],Table2[Rox Wolf'#],0)))</f>
        <v>0</v>
      </c>
      <c r="T90" s="35">
        <f>rrcworking[[#This Row],[Closing Stock (Oil)]]+rrcworking[[#This Row],[Sales/Dispostion]]-rrcworking[[#This Row],[Opening Oil Stock]]</f>
        <v>29</v>
      </c>
      <c r="U90" s="112">
        <f>rrcworking[[#This Row],[Gauge Sheet Prod Volume]]-rrcworking[[#This Row],[Oil Production]]</f>
        <v>-29</v>
      </c>
      <c r="V90" s="143">
        <f>IF(ISERROR(INDEX(Table2[GAS],MATCH(rrcworking[[#This Row],[Magnum Wolfpak '#]],Table2[Rox Wolf'#],0))),0,INDEX(Table2[GAS],MATCH(rrcworking[[#This Row],[Magnum Wolfpak '#]],Table2[Rox Wolf'#],0)))</f>
        <v>7509</v>
      </c>
      <c r="W90" s="24"/>
      <c r="X90" s="135">
        <f>IF(rrcworking[[#This Row],[Pressure Base]]=14.73,rrcworking[[#This Row],[Gas Sales Statement Volume (MCF)]]*$R$2,rrcworking[[#This Row],[Gas Sales Statement Volume (MCF)]])</f>
        <v>7509</v>
      </c>
      <c r="Y90" s="85"/>
      <c r="Z90" s="60">
        <v>13</v>
      </c>
      <c r="AA90" s="143">
        <f>IF(ISERROR(INDEX(Table2[LEASE USE],MATCH(rrcworking[[#This Row],[Magnum Wolfpak '#]],Table2[Rox Wolf'#],0))),0,INDEX(Table2[LEASE USE],MATCH(rrcworking[[#This Row],[Magnum Wolfpak '#]],Table2[Rox Wolf'#],0)))</f>
        <v>403</v>
      </c>
      <c r="AB90" s="57">
        <f>rrcworking[[#This Row],[Disposition Volume (MCF) @ 14.65 MCF]]+rrcworking[[#This Row],[Lease Use (MCF)]]</f>
        <v>7912</v>
      </c>
      <c r="AC90" s="37"/>
      <c r="AD90" s="37" t="s">
        <v>1309</v>
      </c>
      <c r="AE90" s="187">
        <f>COUNTIF(FilterList,rrcworking[[#This Row],[Magnum Wolfpak '#]])</f>
        <v>0</v>
      </c>
      <c r="AF90" s="184"/>
      <c r="AG90" s="185"/>
      <c r="AH90" s="37"/>
      <c r="AI90" s="37"/>
      <c r="AJ90" s="37">
        <v>2</v>
      </c>
      <c r="AK90" s="37" t="s">
        <v>1141</v>
      </c>
      <c r="AL90" s="37" t="s">
        <v>1167</v>
      </c>
      <c r="AM90" s="37" t="s">
        <v>1203</v>
      </c>
      <c r="AN90" s="37" t="s">
        <v>1141</v>
      </c>
      <c r="AO90" s="37" t="s">
        <v>1173</v>
      </c>
      <c r="AP90" s="37" t="s">
        <v>1204</v>
      </c>
      <c r="AQ90" s="37"/>
    </row>
    <row r="91" spans="3:43" ht="14">
      <c r="C91" s="80" t="e">
        <v>#N/A</v>
      </c>
      <c r="D91" s="62" t="s">
        <v>115</v>
      </c>
      <c r="E91" s="131" t="s">
        <v>116</v>
      </c>
      <c r="F91" s="129">
        <v>1</v>
      </c>
      <c r="G91" s="120">
        <v>5113</v>
      </c>
      <c r="H91" s="18" t="s">
        <v>618</v>
      </c>
      <c r="I91" s="18" t="s">
        <v>59</v>
      </c>
      <c r="J91" s="19" t="s">
        <v>438</v>
      </c>
      <c r="K91" s="103">
        <v>132690</v>
      </c>
      <c r="L91" s="101">
        <f>INDEX(Table1[Production],MATCH(rrcworking[[#This Row],[RRC ID Number]],Table1[RRC Identifier],0))</f>
        <v>0</v>
      </c>
      <c r="M91" s="30">
        <f>INDEX(Table1[Formation Production],MATCH(rrcworking[[#This Row],[RRC ID Number]],Table1[RRC Identifier],0))</f>
        <v>0</v>
      </c>
      <c r="N91" s="31">
        <f>INDEX(Table1[On Hand End of Month],MATCH(rrcworking[[#This Row],[RRC ID Number]],Table1[RRC Identifier],0))</f>
        <v>84</v>
      </c>
      <c r="O91" s="106" t="b">
        <f t="shared" si="2"/>
        <v>1</v>
      </c>
      <c r="P91" s="181"/>
      <c r="Q91" s="127">
        <f>rrcworking[[#This Row],[Last Month Closing Stock]]</f>
        <v>84</v>
      </c>
      <c r="R91" s="181">
        <f>rrcworking[[#This Row],[Opening Oil Stock]]</f>
        <v>84</v>
      </c>
      <c r="S91" s="143">
        <f>IF(ISERROR(INDEX(Table2[OIL],MATCH(rrcworking[[#This Row],[Magnum Wolfpak '#]],Table2[Rox Wolf'#],0))),0,INDEX(Table2[OIL],MATCH(rrcworking[[#This Row],[Magnum Wolfpak '#]],Table2[Rox Wolf'#],0)))</f>
        <v>0</v>
      </c>
      <c r="T91" s="35">
        <f>rrcworking[[#This Row],[Closing Stock (Oil)]]+rrcworking[[#This Row],[Sales/Dispostion]]-rrcworking[[#This Row],[Opening Oil Stock]]</f>
        <v>0</v>
      </c>
      <c r="U91" s="112">
        <f>rrcworking[[#This Row],[Gauge Sheet Prod Volume]]-rrcworking[[#This Row],[Oil Production]]</f>
        <v>0</v>
      </c>
      <c r="V91" s="143">
        <f>IF(ISERROR(INDEX(Table2[GAS],MATCH(rrcworking[[#This Row],[Magnum Wolfpak '#]],Table2[Rox Wolf'#],0))),0,INDEX(Table2[GAS],MATCH(rrcworking[[#This Row],[Magnum Wolfpak '#]],Table2[Rox Wolf'#],0)))</f>
        <v>0</v>
      </c>
      <c r="W91" s="24"/>
      <c r="X91" s="135">
        <f>IF(rrcworking[[#This Row],[Pressure Base]]=14.73,rrcworking[[#This Row],[Gas Sales Statement Volume (MCF)]]*$R$2,rrcworking[[#This Row],[Gas Sales Statement Volume (MCF)]])</f>
        <v>0</v>
      </c>
      <c r="Y91" s="60"/>
      <c r="Z91" s="60"/>
      <c r="AA91" s="143">
        <f>IF(ISERROR(INDEX(Table2[LEASE USE],MATCH(rrcworking[[#This Row],[Magnum Wolfpak '#]],Table2[Rox Wolf'#],0))),0,INDEX(Table2[LEASE USE],MATCH(rrcworking[[#This Row],[Magnum Wolfpak '#]],Table2[Rox Wolf'#],0)))</f>
        <v>0</v>
      </c>
      <c r="AB91" s="57">
        <f>rrcworking[[#This Row],[Disposition Volume (MCF) @ 14.65 MCF]]+rrcworking[[#This Row],[Lease Use (MCF)]]</f>
        <v>0</v>
      </c>
      <c r="AC91" s="37"/>
      <c r="AD91" s="37"/>
      <c r="AE91" s="187">
        <f>COUNTIF(FilterList,rrcworking[[#This Row],[Magnum Wolfpak '#]])</f>
        <v>0</v>
      </c>
      <c r="AF91" s="184"/>
      <c r="AG91" s="185"/>
      <c r="AH91" s="37"/>
      <c r="AI91" s="37"/>
      <c r="AJ91" s="37"/>
      <c r="AK91" s="37"/>
      <c r="AL91" s="37"/>
      <c r="AM91" s="37"/>
      <c r="AN91" s="37"/>
      <c r="AO91" s="37"/>
      <c r="AP91" s="37"/>
      <c r="AQ91" s="37"/>
    </row>
    <row r="92" spans="3:43" ht="14">
      <c r="C92" s="80" t="e">
        <v>#N/A</v>
      </c>
      <c r="D92" s="62" t="s">
        <v>360</v>
      </c>
      <c r="E92" s="131" t="s">
        <v>361</v>
      </c>
      <c r="F92" s="129">
        <v>1</v>
      </c>
      <c r="G92" s="120" t="s">
        <v>1091</v>
      </c>
      <c r="H92" s="18" t="s">
        <v>620</v>
      </c>
      <c r="I92" s="18" t="s">
        <v>59</v>
      </c>
      <c r="J92" s="19" t="s">
        <v>584</v>
      </c>
      <c r="K92" s="103">
        <v>127818</v>
      </c>
      <c r="L92" s="101">
        <f>INDEX(Table1[Production],MATCH(rrcworking[[#This Row],[RRC ID Number]],Table1[RRC Identifier],0))</f>
        <v>0</v>
      </c>
      <c r="M92" s="30">
        <f>INDEX(Table1[Formation Production],MATCH(rrcworking[[#This Row],[RRC ID Number]],Table1[RRC Identifier],0))</f>
        <v>0</v>
      </c>
      <c r="N92" s="31">
        <f>INDEX(Table1[On Hand End of Month],MATCH(rrcworking[[#This Row],[RRC ID Number]],Table1[RRC Identifier],0))</f>
        <v>166</v>
      </c>
      <c r="O92" s="106" t="b">
        <f t="shared" si="2"/>
        <v>1</v>
      </c>
      <c r="P92" s="181"/>
      <c r="Q92" s="127">
        <f>rrcworking[[#This Row],[Last Month Closing Stock]]</f>
        <v>166</v>
      </c>
      <c r="R92" s="181">
        <f>rrcworking[[#This Row],[Opening Oil Stock]]</f>
        <v>166</v>
      </c>
      <c r="S92" s="143">
        <f>IF(ISERROR(INDEX(Table2[OIL],MATCH(rrcworking[[#This Row],[Magnum Wolfpak '#]],Table2[Rox Wolf'#],0))),0,INDEX(Table2[OIL],MATCH(rrcworking[[#This Row],[Magnum Wolfpak '#]],Table2[Rox Wolf'#],0)))</f>
        <v>0</v>
      </c>
      <c r="T92" s="35">
        <f>rrcworking[[#This Row],[Closing Stock (Oil)]]+rrcworking[[#This Row],[Sales/Dispostion]]-rrcworking[[#This Row],[Opening Oil Stock]]</f>
        <v>0</v>
      </c>
      <c r="U92" s="112">
        <f>rrcworking[[#This Row],[Gauge Sheet Prod Volume]]-rrcworking[[#This Row],[Oil Production]]</f>
        <v>0</v>
      </c>
      <c r="V92" s="143">
        <f>IF(ISERROR(INDEX(Table2[GAS],MATCH(rrcworking[[#This Row],[Magnum Wolfpak '#]],Table2[Rox Wolf'#],0))),0,INDEX(Table2[GAS],MATCH(rrcworking[[#This Row],[Magnum Wolfpak '#]],Table2[Rox Wolf'#],0)))</f>
        <v>0</v>
      </c>
      <c r="W92" s="24"/>
      <c r="X92" s="135">
        <f>IF(rrcworking[[#This Row],[Pressure Base]]=14.73,rrcworking[[#This Row],[Gas Sales Statement Volume (MCF)]]*$R$2,rrcworking[[#This Row],[Gas Sales Statement Volume (MCF)]])</f>
        <v>0</v>
      </c>
      <c r="Y92" s="60"/>
      <c r="Z92" s="60"/>
      <c r="AA92" s="143">
        <f>IF(ISERROR(INDEX(Table2[LEASE USE],MATCH(rrcworking[[#This Row],[Magnum Wolfpak '#]],Table2[Rox Wolf'#],0))),0,INDEX(Table2[LEASE USE],MATCH(rrcworking[[#This Row],[Magnum Wolfpak '#]],Table2[Rox Wolf'#],0)))</f>
        <v>0</v>
      </c>
      <c r="AB92" s="57">
        <f>rrcworking[[#This Row],[Disposition Volume (MCF) @ 14.65 MCF]]+rrcworking[[#This Row],[Lease Use (MCF)]]</f>
        <v>0</v>
      </c>
      <c r="AC92" s="37"/>
      <c r="AD92" s="37"/>
      <c r="AE92" s="187">
        <f>COUNTIF(FilterList,rrcworking[[#This Row],[Magnum Wolfpak '#]])</f>
        <v>0</v>
      </c>
      <c r="AF92" s="184"/>
      <c r="AG92" s="185"/>
      <c r="AH92" s="37"/>
      <c r="AI92" s="37"/>
      <c r="AJ92" s="37"/>
      <c r="AK92" s="37"/>
      <c r="AL92" s="37"/>
      <c r="AM92" s="37"/>
      <c r="AN92" s="37"/>
      <c r="AO92" s="37"/>
      <c r="AP92" s="37"/>
      <c r="AQ92" s="37"/>
    </row>
    <row r="93" spans="3:43" ht="14">
      <c r="C93" s="80">
        <v>98990</v>
      </c>
      <c r="D93" s="62" t="s">
        <v>340</v>
      </c>
      <c r="E93" s="131" t="s">
        <v>341</v>
      </c>
      <c r="F93" s="129">
        <v>2</v>
      </c>
      <c r="G93" s="120" t="s">
        <v>1091</v>
      </c>
      <c r="H93" s="18" t="s">
        <v>620</v>
      </c>
      <c r="I93" s="18" t="s">
        <v>59</v>
      </c>
      <c r="J93" s="19" t="s">
        <v>573</v>
      </c>
      <c r="K93" s="103">
        <v>173434</v>
      </c>
      <c r="L93" s="101">
        <f>INDEX(Table1[Production],MATCH(rrcworking[[#This Row],[RRC ID Number]],Table1[RRC Identifier],0))</f>
        <v>0</v>
      </c>
      <c r="M93" s="30">
        <f>INDEX(Table1[Formation Production],MATCH(rrcworking[[#This Row],[RRC ID Number]],Table1[RRC Identifier],0))</f>
        <v>165</v>
      </c>
      <c r="N93" s="31">
        <f>INDEX(Table1[On Hand End of Month],MATCH(rrcworking[[#This Row],[RRC ID Number]],Table1[RRC Identifier],0))</f>
        <v>169</v>
      </c>
      <c r="O93" s="106" t="b">
        <f t="shared" si="2"/>
        <v>0</v>
      </c>
      <c r="P93" s="181">
        <v>0</v>
      </c>
      <c r="Q93" s="127">
        <f>rrcworking[[#This Row],[Last Month Closing Stock]]</f>
        <v>169</v>
      </c>
      <c r="R93" s="181">
        <v>169</v>
      </c>
      <c r="S93" s="143">
        <f>IF(ISERROR(INDEX(Table2[OIL],MATCH(rrcworking[[#This Row],[Magnum Wolfpak '#]],Table2[Rox Wolf'#],0))),0,INDEX(Table2[OIL],MATCH(rrcworking[[#This Row],[Magnum Wolfpak '#]],Table2[Rox Wolf'#],0)))</f>
        <v>0</v>
      </c>
      <c r="T93" s="35">
        <f>rrcworking[[#This Row],[Closing Stock (Oil)]]+rrcworking[[#This Row],[Sales/Dispostion]]-rrcworking[[#This Row],[Opening Oil Stock]]</f>
        <v>0</v>
      </c>
      <c r="U93" s="112">
        <f>rrcworking[[#This Row],[Gauge Sheet Prod Volume]]-rrcworking[[#This Row],[Oil Production]]</f>
        <v>0</v>
      </c>
      <c r="V93" s="143">
        <v>107</v>
      </c>
      <c r="W93" s="24"/>
      <c r="X93" s="135">
        <f>IF(rrcworking[[#This Row],[Pressure Base]]=14.73,rrcworking[[#This Row],[Gas Sales Statement Volume (MCF)]]*$R$2,rrcworking[[#This Row],[Gas Sales Statement Volume (MCF)]])</f>
        <v>107</v>
      </c>
      <c r="Y93" s="60"/>
      <c r="Z93" s="60">
        <v>0</v>
      </c>
      <c r="AA93" s="143">
        <f>IF(ISERROR(INDEX(Table2[LEASE USE],MATCH(rrcworking[[#This Row],[Magnum Wolfpak '#]],Table2[Rox Wolf'#],0))),0,INDEX(Table2[LEASE USE],MATCH(rrcworking[[#This Row],[Magnum Wolfpak '#]],Table2[Rox Wolf'#],0)))</f>
        <v>0</v>
      </c>
      <c r="AB93" s="57">
        <f>rrcworking[[#This Row],[Disposition Volume (MCF) @ 14.65 MCF]]+rrcworking[[#This Row],[Lease Use (MCF)]]</f>
        <v>107</v>
      </c>
      <c r="AC93" s="37"/>
      <c r="AD93" s="37"/>
      <c r="AE93" s="187">
        <f>COUNTIF(FilterList,rrcworking[[#This Row],[Magnum Wolfpak '#]])</f>
        <v>0</v>
      </c>
      <c r="AF93" s="184"/>
      <c r="AG93" s="185"/>
      <c r="AH93" s="37"/>
      <c r="AI93" s="37"/>
      <c r="AJ93" s="37">
        <v>1</v>
      </c>
      <c r="AK93" s="37" t="s">
        <v>1167</v>
      </c>
      <c r="AL93" s="37" t="s">
        <v>1167</v>
      </c>
      <c r="AM93" s="37" t="s">
        <v>1172</v>
      </c>
      <c r="AN93" s="37" t="s">
        <v>1141</v>
      </c>
      <c r="AO93" s="37" t="s">
        <v>1205</v>
      </c>
      <c r="AP93" s="37" t="s">
        <v>1206</v>
      </c>
      <c r="AQ93" s="37"/>
    </row>
    <row r="94" spans="3:43" ht="14">
      <c r="C94" s="80">
        <v>93901</v>
      </c>
      <c r="D94" s="62" t="s">
        <v>96</v>
      </c>
      <c r="E94" s="131" t="s">
        <v>98</v>
      </c>
      <c r="F94" s="129">
        <v>0</v>
      </c>
      <c r="G94" s="120" t="s">
        <v>1091</v>
      </c>
      <c r="H94" s="18" t="s">
        <v>618</v>
      </c>
      <c r="I94" s="18" t="s">
        <v>2</v>
      </c>
      <c r="J94" s="19" t="s">
        <v>427</v>
      </c>
      <c r="K94" s="103">
        <v>6169</v>
      </c>
      <c r="L94" s="101">
        <f>INDEX(Table1[Production],MATCH(rrcworking[[#This Row],[RRC ID Number]],Table1[RRC Identifier],0))</f>
        <v>16</v>
      </c>
      <c r="M94" s="30">
        <f>INDEX(Table1[Formation Production],MATCH(rrcworking[[#This Row],[RRC ID Number]],Table1[RRC Identifier],0))</f>
        <v>0</v>
      </c>
      <c r="N94" s="31">
        <f>INDEX(Table1[On Hand End of Month],MATCH(rrcworking[[#This Row],[RRC ID Number]],Table1[RRC Identifier],0))</f>
        <v>120</v>
      </c>
      <c r="O94" s="106" t="b">
        <f t="shared" si="2"/>
        <v>0</v>
      </c>
      <c r="P94" s="181">
        <v>19</v>
      </c>
      <c r="Q94" s="127">
        <f>rrcworking[[#This Row],[Last Month Closing Stock]]</f>
        <v>120</v>
      </c>
      <c r="R94" s="182">
        <v>140</v>
      </c>
      <c r="S94" s="143">
        <f>IF(ISERROR(INDEX(Table2[OIL],MATCH(rrcworking[[#This Row],[Magnum Wolfpak '#]],Table2[Rox Wolf'#],0))),0,INDEX(Table2[OIL],MATCH(rrcworking[[#This Row],[Magnum Wolfpak '#]],Table2[Rox Wolf'#],0)))</f>
        <v>0</v>
      </c>
      <c r="T94" s="35">
        <f>rrcworking[[#This Row],[Closing Stock (Oil)]]+rrcworking[[#This Row],[Sales/Dispostion]]-rrcworking[[#This Row],[Opening Oil Stock]]</f>
        <v>20</v>
      </c>
      <c r="U94" s="112">
        <f>rrcworking[[#This Row],[Gauge Sheet Prod Volume]]-rrcworking[[#This Row],[Oil Production]]</f>
        <v>-1</v>
      </c>
      <c r="V94" s="143">
        <f>IF(ISERROR(INDEX(Table2[GAS],MATCH(rrcworking[[#This Row],[Magnum Wolfpak '#]],Table2[Rox Wolf'#],0))),0,INDEX(Table2[GAS],MATCH(rrcworking[[#This Row],[Magnum Wolfpak '#]],Table2[Rox Wolf'#],0)))</f>
        <v>0</v>
      </c>
      <c r="W94" s="24"/>
      <c r="X94" s="135">
        <f>IF(rrcworking[[#This Row],[Pressure Base]]=14.73,rrcworking[[#This Row],[Gas Sales Statement Volume (MCF)]]*$R$2,rrcworking[[#This Row],[Gas Sales Statement Volume (MCF)]])</f>
        <v>0</v>
      </c>
      <c r="Y94" s="60"/>
      <c r="Z94" s="60"/>
      <c r="AA94" s="143">
        <f>IF(ISERROR(INDEX(Table2[LEASE USE],MATCH(rrcworking[[#This Row],[Magnum Wolfpak '#]],Table2[Rox Wolf'#],0))),0,INDEX(Table2[LEASE USE],MATCH(rrcworking[[#This Row],[Magnum Wolfpak '#]],Table2[Rox Wolf'#],0)))</f>
        <v>0</v>
      </c>
      <c r="AB94" s="57">
        <f>rrcworking[[#This Row],[Disposition Volume (MCF) @ 14.65 MCF]]+rrcworking[[#This Row],[Lease Use (MCF)]]</f>
        <v>0</v>
      </c>
      <c r="AC94" s="37"/>
      <c r="AD94" s="37"/>
      <c r="AE94" s="187">
        <f>COUNTIF(FilterList,rrcworking[[#This Row],[Magnum Wolfpak '#]])</f>
        <v>0</v>
      </c>
      <c r="AF94" s="184"/>
      <c r="AG94" s="185"/>
      <c r="AH94" s="37"/>
      <c r="AI94" s="185"/>
      <c r="AJ94" s="186"/>
      <c r="AK94" s="186"/>
      <c r="AL94" s="186"/>
      <c r="AM94" s="186"/>
      <c r="AN94" s="186"/>
      <c r="AO94" s="186"/>
      <c r="AP94" s="37" t="s">
        <v>1165</v>
      </c>
      <c r="AQ94" s="37" t="s">
        <v>1171</v>
      </c>
    </row>
    <row r="95" spans="3:43" ht="14">
      <c r="C95" s="80" t="e">
        <v>#N/A</v>
      </c>
      <c r="D95" s="62" t="s">
        <v>215</v>
      </c>
      <c r="E95" s="131" t="s">
        <v>212</v>
      </c>
      <c r="F95" s="129">
        <v>7</v>
      </c>
      <c r="G95" s="120">
        <v>1471</v>
      </c>
      <c r="H95" s="18" t="s">
        <v>619</v>
      </c>
      <c r="I95" s="18" t="s">
        <v>59</v>
      </c>
      <c r="J95" s="19" t="s">
        <v>497</v>
      </c>
      <c r="K95" s="103">
        <v>133198</v>
      </c>
      <c r="L95" s="101">
        <f>INDEX(Table1[Production],MATCH(rrcworking[[#This Row],[RRC ID Number]],Table1[RRC Identifier],0))</f>
        <v>0</v>
      </c>
      <c r="M95" s="30">
        <f>INDEX(Table1[Formation Production],MATCH(rrcworking[[#This Row],[RRC ID Number]],Table1[RRC Identifier],0))</f>
        <v>0</v>
      </c>
      <c r="N95" s="31">
        <f>INDEX(Table1[On Hand End of Month],MATCH(rrcworking[[#This Row],[RRC ID Number]],Table1[RRC Identifier],0))</f>
        <v>0</v>
      </c>
      <c r="O95" s="106" t="b">
        <f t="shared" si="2"/>
        <v>1</v>
      </c>
      <c r="P95" s="181"/>
      <c r="Q95" s="127">
        <f>rrcworking[[#This Row],[Last Month Closing Stock]]</f>
        <v>0</v>
      </c>
      <c r="R95" s="181">
        <f>rrcworking[[#This Row],[Opening Oil Stock]]</f>
        <v>0</v>
      </c>
      <c r="S95" s="143">
        <f>IF(ISERROR(INDEX(Table2[OIL],MATCH(rrcworking[[#This Row],[Magnum Wolfpak '#]],Table2[Rox Wolf'#],0))),0,INDEX(Table2[OIL],MATCH(rrcworking[[#This Row],[Magnum Wolfpak '#]],Table2[Rox Wolf'#],0)))</f>
        <v>0</v>
      </c>
      <c r="T95" s="35">
        <f>rrcworking[[#This Row],[Closing Stock (Oil)]]+rrcworking[[#This Row],[Sales/Dispostion]]-rrcworking[[#This Row],[Opening Oil Stock]]</f>
        <v>0</v>
      </c>
      <c r="U95" s="112">
        <f>rrcworking[[#This Row],[Gauge Sheet Prod Volume]]-rrcworking[[#This Row],[Oil Production]]</f>
        <v>0</v>
      </c>
      <c r="V95" s="143">
        <f>IF(ISERROR(INDEX(Table2[GAS],MATCH(rrcworking[[#This Row],[Magnum Wolfpak '#]],Table2[Rox Wolf'#],0))),0,INDEX(Table2[GAS],MATCH(rrcworking[[#This Row],[Magnum Wolfpak '#]],Table2[Rox Wolf'#],0)))</f>
        <v>0</v>
      </c>
      <c r="W95" s="24"/>
      <c r="X95" s="135">
        <f>IF(rrcworking[[#This Row],[Pressure Base]]=14.73,rrcworking[[#This Row],[Gas Sales Statement Volume (MCF)]]*$R$2,rrcworking[[#This Row],[Gas Sales Statement Volume (MCF)]])</f>
        <v>0</v>
      </c>
      <c r="Y95" s="60"/>
      <c r="Z95" s="60"/>
      <c r="AA95" s="143">
        <f>IF(ISERROR(INDEX(Table2[LEASE USE],MATCH(rrcworking[[#This Row],[Magnum Wolfpak '#]],Table2[Rox Wolf'#],0))),0,INDEX(Table2[LEASE USE],MATCH(rrcworking[[#This Row],[Magnum Wolfpak '#]],Table2[Rox Wolf'#],0)))</f>
        <v>0</v>
      </c>
      <c r="AB95" s="57">
        <f>rrcworking[[#This Row],[Disposition Volume (MCF) @ 14.65 MCF]]+rrcworking[[#This Row],[Lease Use (MCF)]]</f>
        <v>0</v>
      </c>
      <c r="AC95" s="37"/>
      <c r="AD95" s="37"/>
      <c r="AE95" s="187">
        <f>COUNTIF(FilterList,rrcworking[[#This Row],[Magnum Wolfpak '#]])</f>
        <v>0</v>
      </c>
      <c r="AF95" s="184"/>
      <c r="AG95" s="185"/>
      <c r="AH95" s="37"/>
      <c r="AI95" s="37"/>
      <c r="AJ95" s="37"/>
      <c r="AK95" s="37"/>
      <c r="AL95" s="37"/>
      <c r="AM95" s="37"/>
      <c r="AN95" s="37"/>
      <c r="AO95" s="37"/>
      <c r="AP95" s="37"/>
      <c r="AQ95" s="37"/>
    </row>
    <row r="96" spans="3:43" ht="28">
      <c r="C96" s="80">
        <v>99159</v>
      </c>
      <c r="D96" s="62" t="s">
        <v>210</v>
      </c>
      <c r="E96" s="131" t="s">
        <v>212</v>
      </c>
      <c r="F96" s="140" t="s">
        <v>62</v>
      </c>
      <c r="G96" s="120"/>
      <c r="H96" s="18" t="s">
        <v>619</v>
      </c>
      <c r="I96" s="166" t="s">
        <v>59</v>
      </c>
      <c r="J96" s="165" t="s">
        <v>1134</v>
      </c>
      <c r="K96" s="103">
        <v>287522</v>
      </c>
      <c r="L96" s="101">
        <f>INDEX(Table1[Production],MATCH(rrcworking[[#This Row],[RRC ID Number]],Table1[RRC Identifier],0))</f>
        <v>23</v>
      </c>
      <c r="M96" s="30">
        <f>INDEX(Table1[Formation Production],MATCH(rrcworking[[#This Row],[RRC ID Number]],Table1[RRC Identifier],0))</f>
        <v>3981</v>
      </c>
      <c r="N96" s="31">
        <f>INDEX(Table1[On Hand End of Month],MATCH(rrcworking[[#This Row],[RRC ID Number]],Table1[RRC Identifier],0))</f>
        <v>49</v>
      </c>
      <c r="O96" s="106" t="b">
        <f t="shared" si="2"/>
        <v>0</v>
      </c>
      <c r="P96" s="181">
        <v>17</v>
      </c>
      <c r="Q96" s="127">
        <f>rrcworking[[#This Row],[Last Month Closing Stock]]</f>
        <v>49</v>
      </c>
      <c r="R96" s="182">
        <v>66</v>
      </c>
      <c r="S96" s="143">
        <f>IF(ISERROR(INDEX(Table2[OIL],MATCH(rrcworking[[#This Row],[Magnum Wolfpak '#]],Table2[Rox Wolf'#],0))),0,INDEX(Table2[OIL],MATCH(rrcworking[[#This Row],[Magnum Wolfpak '#]],Table2[Rox Wolf'#],0)))</f>
        <v>0</v>
      </c>
      <c r="T96" s="35">
        <f>rrcworking[[#This Row],[Closing Stock (Oil)]]+rrcworking[[#This Row],[Sales/Dispostion]]-rrcworking[[#This Row],[Opening Oil Stock]]</f>
        <v>17</v>
      </c>
      <c r="U96" s="112">
        <f>rrcworking[[#This Row],[Gauge Sheet Prod Volume]]-rrcworking[[#This Row],[Oil Production]]</f>
        <v>0</v>
      </c>
      <c r="V96" s="143">
        <f>IF(ISERROR(INDEX(Table2[GAS],MATCH(rrcworking[[#This Row],[Magnum Wolfpak '#]],Table2[Rox Wolf'#],0))),0,INDEX(Table2[GAS],MATCH(rrcworking[[#This Row],[Magnum Wolfpak '#]],Table2[Rox Wolf'#],0)))</f>
        <v>3506</v>
      </c>
      <c r="W96" s="24"/>
      <c r="X96" s="135">
        <f>IF(rrcworking[[#This Row],[Pressure Base]]=14.73,rrcworking[[#This Row],[Gas Sales Statement Volume (MCF)]]*$R$2,rrcworking[[#This Row],[Gas Sales Statement Volume (MCF)]])</f>
        <v>3506</v>
      </c>
      <c r="Y96" s="85"/>
      <c r="Z96" s="60">
        <v>6</v>
      </c>
      <c r="AA96" s="143">
        <f>IF(ISERROR(INDEX(Table2[LEASE USE],MATCH(rrcworking[[#This Row],[Magnum Wolfpak '#]],Table2[Rox Wolf'#],0))),0,INDEX(Table2[LEASE USE],MATCH(rrcworking[[#This Row],[Magnum Wolfpak '#]],Table2[Rox Wolf'#],0)))</f>
        <v>186</v>
      </c>
      <c r="AB96" s="57">
        <f>rrcworking[[#This Row],[Disposition Volume (MCF) @ 14.65 MCF]]+rrcworking[[#This Row],[Lease Use (MCF)]]</f>
        <v>3692</v>
      </c>
      <c r="AC96" s="37"/>
      <c r="AD96" s="37" t="s">
        <v>1135</v>
      </c>
      <c r="AE96" s="187">
        <f>COUNTIF(FilterList,rrcworking[[#This Row],[Magnum Wolfpak '#]])</f>
        <v>0</v>
      </c>
      <c r="AF96" s="184"/>
      <c r="AG96" s="185"/>
      <c r="AH96" s="37"/>
      <c r="AI96" s="185"/>
      <c r="AJ96" s="37">
        <v>2</v>
      </c>
      <c r="AK96" s="37" t="s">
        <v>1167</v>
      </c>
      <c r="AL96" s="37" t="s">
        <v>1167</v>
      </c>
      <c r="AM96" s="37" t="s">
        <v>1187</v>
      </c>
      <c r="AN96" s="37" t="s">
        <v>1167</v>
      </c>
      <c r="AO96" s="37" t="s">
        <v>1188</v>
      </c>
      <c r="AP96" s="37" t="s">
        <v>1237</v>
      </c>
      <c r="AQ96" s="37"/>
    </row>
    <row r="97" spans="3:43" ht="14">
      <c r="C97" s="80" t="e">
        <v>#N/A</v>
      </c>
      <c r="D97" s="62" t="s">
        <v>216</v>
      </c>
      <c r="E97" s="131" t="s">
        <v>217</v>
      </c>
      <c r="F97" s="129">
        <v>0</v>
      </c>
      <c r="G97" s="120">
        <v>1471</v>
      </c>
      <c r="H97" s="18" t="s">
        <v>619</v>
      </c>
      <c r="I97" s="18" t="s">
        <v>2</v>
      </c>
      <c r="J97" s="19" t="s">
        <v>498</v>
      </c>
      <c r="K97" s="103">
        <v>22393</v>
      </c>
      <c r="L97" s="101">
        <f>INDEX(Table1[Production],MATCH(rrcworking[[#This Row],[RRC ID Number]],Table1[RRC Identifier],0))</f>
        <v>0</v>
      </c>
      <c r="M97" s="30">
        <f>INDEX(Table1[Formation Production],MATCH(rrcworking[[#This Row],[RRC ID Number]],Table1[RRC Identifier],0))</f>
        <v>0</v>
      </c>
      <c r="N97" s="31">
        <f>INDEX(Table1[On Hand End of Month],MATCH(rrcworking[[#This Row],[RRC ID Number]],Table1[RRC Identifier],0))</f>
        <v>0</v>
      </c>
      <c r="O97" s="106" t="b">
        <f t="shared" si="2"/>
        <v>1</v>
      </c>
      <c r="P97" s="181"/>
      <c r="Q97" s="127">
        <f>rrcworking[[#This Row],[Last Month Closing Stock]]</f>
        <v>0</v>
      </c>
      <c r="R97" s="181">
        <f>rrcworking[[#This Row],[Opening Oil Stock]]</f>
        <v>0</v>
      </c>
      <c r="S97" s="143">
        <f>IF(ISERROR(INDEX(Table2[OIL],MATCH(rrcworking[[#This Row],[Magnum Wolfpak '#]],Table2[Rox Wolf'#],0))),0,INDEX(Table2[OIL],MATCH(rrcworking[[#This Row],[Magnum Wolfpak '#]],Table2[Rox Wolf'#],0)))</f>
        <v>0</v>
      </c>
      <c r="T97" s="35">
        <f>rrcworking[[#This Row],[Closing Stock (Oil)]]+rrcworking[[#This Row],[Sales/Dispostion]]-rrcworking[[#This Row],[Opening Oil Stock]]</f>
        <v>0</v>
      </c>
      <c r="U97" s="112">
        <f>rrcworking[[#This Row],[Gauge Sheet Prod Volume]]-rrcworking[[#This Row],[Oil Production]]</f>
        <v>0</v>
      </c>
      <c r="V97" s="143">
        <f>IF(ISERROR(INDEX(Table2[GAS],MATCH(rrcworking[[#This Row],[Magnum Wolfpak '#]],Table2[Rox Wolf'#],0))),0,INDEX(Table2[GAS],MATCH(rrcworking[[#This Row],[Magnum Wolfpak '#]],Table2[Rox Wolf'#],0)))</f>
        <v>0</v>
      </c>
      <c r="W97" s="24"/>
      <c r="X97" s="135">
        <f>IF(rrcworking[[#This Row],[Pressure Base]]=14.73,rrcworking[[#This Row],[Gas Sales Statement Volume (MCF)]]*$R$2,rrcworking[[#This Row],[Gas Sales Statement Volume (MCF)]])</f>
        <v>0</v>
      </c>
      <c r="Y97" s="60"/>
      <c r="Z97" s="60"/>
      <c r="AA97" s="143">
        <f>IF(ISERROR(INDEX(Table2[LEASE USE],MATCH(rrcworking[[#This Row],[Magnum Wolfpak '#]],Table2[Rox Wolf'#],0))),0,INDEX(Table2[LEASE USE],MATCH(rrcworking[[#This Row],[Magnum Wolfpak '#]],Table2[Rox Wolf'#],0)))</f>
        <v>0</v>
      </c>
      <c r="AB97" s="57">
        <f>rrcworking[[#This Row],[Disposition Volume (MCF) @ 14.65 MCF]]+rrcworking[[#This Row],[Lease Use (MCF)]]</f>
        <v>0</v>
      </c>
      <c r="AC97" s="37"/>
      <c r="AD97" s="37"/>
      <c r="AE97" s="187">
        <f>COUNTIF(FilterList,rrcworking[[#This Row],[Magnum Wolfpak '#]])</f>
        <v>0</v>
      </c>
      <c r="AF97" s="184"/>
      <c r="AG97" s="185"/>
      <c r="AH97" s="37"/>
      <c r="AI97" s="37"/>
      <c r="AJ97" s="37"/>
      <c r="AK97" s="37"/>
      <c r="AL97" s="37"/>
      <c r="AM97" s="37"/>
      <c r="AN97" s="37"/>
      <c r="AO97" s="37"/>
      <c r="AP97" s="37"/>
      <c r="AQ97" s="37"/>
    </row>
    <row r="98" spans="3:43" ht="14">
      <c r="C98" s="80">
        <v>98955</v>
      </c>
      <c r="D98" s="62" t="s">
        <v>275</v>
      </c>
      <c r="E98" s="131" t="s">
        <v>280</v>
      </c>
      <c r="F98" s="129">
        <v>1</v>
      </c>
      <c r="G98" s="120" t="s">
        <v>1091</v>
      </c>
      <c r="H98" s="18" t="s">
        <v>619</v>
      </c>
      <c r="I98" s="18" t="s">
        <v>59</v>
      </c>
      <c r="J98" s="19" t="s">
        <v>531</v>
      </c>
      <c r="K98" s="103">
        <v>210199</v>
      </c>
      <c r="L98" s="101">
        <f>INDEX(Table1[Production],MATCH(rrcworking[[#This Row],[RRC ID Number]],Table1[RRC Identifier],0))</f>
        <v>0</v>
      </c>
      <c r="M98" s="30">
        <f>INDEX(Table1[Formation Production],MATCH(rrcworking[[#This Row],[RRC ID Number]],Table1[RRC Identifier],0))</f>
        <v>512</v>
      </c>
      <c r="N98" s="31">
        <f>INDEX(Table1[On Hand End of Month],MATCH(rrcworking[[#This Row],[RRC ID Number]],Table1[RRC Identifier],0))</f>
        <v>63</v>
      </c>
      <c r="O98" s="106" t="b">
        <f t="shared" si="2"/>
        <v>0</v>
      </c>
      <c r="P98" s="181">
        <v>0</v>
      </c>
      <c r="Q98" s="127">
        <f>rrcworking[[#This Row],[Last Month Closing Stock]]</f>
        <v>63</v>
      </c>
      <c r="R98" s="181">
        <v>63</v>
      </c>
      <c r="S98" s="143">
        <f>IF(ISERROR(INDEX(Table2[OIL],MATCH(rrcworking[[#This Row],[Magnum Wolfpak '#]],Table2[Rox Wolf'#],0))),0,INDEX(Table2[OIL],MATCH(rrcworking[[#This Row],[Magnum Wolfpak '#]],Table2[Rox Wolf'#],0)))</f>
        <v>0</v>
      </c>
      <c r="T98" s="35">
        <f>rrcworking[[#This Row],[Closing Stock (Oil)]]+rrcworking[[#This Row],[Sales/Dispostion]]-rrcworking[[#This Row],[Opening Oil Stock]]</f>
        <v>0</v>
      </c>
      <c r="U98" s="112">
        <f>rrcworking[[#This Row],[Gauge Sheet Prod Volume]]-rrcworking[[#This Row],[Oil Production]]</f>
        <v>0</v>
      </c>
      <c r="V98" s="143">
        <f>IF(ISERROR(INDEX(Table2[GAS],MATCH(rrcworking[[#This Row],[Magnum Wolfpak '#]],Table2[Rox Wolf'#],0))),0,INDEX(Table2[GAS],MATCH(rrcworking[[#This Row],[Magnum Wolfpak '#]],Table2[Rox Wolf'#],0)))</f>
        <v>531</v>
      </c>
      <c r="W98" s="24"/>
      <c r="X98" s="135">
        <f>IF(rrcworking[[#This Row],[Pressure Base]]=14.73,rrcworking[[#This Row],[Gas Sales Statement Volume (MCF)]]*$R$2,rrcworking[[#This Row],[Gas Sales Statement Volume (MCF)]])</f>
        <v>531</v>
      </c>
      <c r="Y98" s="85"/>
      <c r="Z98" s="60">
        <v>1</v>
      </c>
      <c r="AA98" s="143">
        <f>IF(ISERROR(INDEX(Table2[LEASE USE],MATCH(rrcworking[[#This Row],[Magnum Wolfpak '#]],Table2[Rox Wolf'#],0))),0,INDEX(Table2[LEASE USE],MATCH(rrcworking[[#This Row],[Magnum Wolfpak '#]],Table2[Rox Wolf'#],0)))</f>
        <v>31</v>
      </c>
      <c r="AB98" s="57">
        <f>rrcworking[[#This Row],[Disposition Volume (MCF) @ 14.65 MCF]]+rrcworking[[#This Row],[Lease Use (MCF)]]</f>
        <v>562</v>
      </c>
      <c r="AC98" s="37"/>
      <c r="AD98" s="37"/>
      <c r="AE98" s="187">
        <f>COUNTIF(FilterList,rrcworking[[#This Row],[Magnum Wolfpak '#]])</f>
        <v>0</v>
      </c>
      <c r="AF98" s="184"/>
      <c r="AG98" s="185"/>
      <c r="AH98" s="37"/>
      <c r="AI98" s="37"/>
      <c r="AJ98" s="186"/>
      <c r="AK98" s="186"/>
      <c r="AL98" s="186"/>
      <c r="AM98" s="186"/>
      <c r="AN98" s="186"/>
      <c r="AO98" s="186"/>
      <c r="AP98" s="37" t="s">
        <v>1165</v>
      </c>
      <c r="AQ98" s="37" t="s">
        <v>1200</v>
      </c>
    </row>
    <row r="99" spans="3:43" ht="14">
      <c r="C99" s="80" t="e">
        <v>#N/A</v>
      </c>
      <c r="D99" s="62" t="s">
        <v>106</v>
      </c>
      <c r="E99" s="131" t="s">
        <v>107</v>
      </c>
      <c r="F99" s="129">
        <v>1</v>
      </c>
      <c r="G99" s="120" t="s">
        <v>1091</v>
      </c>
      <c r="H99" s="18" t="s">
        <v>618</v>
      </c>
      <c r="I99" s="18" t="s">
        <v>59</v>
      </c>
      <c r="J99" s="19" t="s">
        <v>432</v>
      </c>
      <c r="K99" s="103">
        <v>52283</v>
      </c>
      <c r="L99" s="101">
        <f>INDEX(Table1[Production],MATCH(rrcworking[[#This Row],[RRC ID Number]],Table1[RRC Identifier],0))</f>
        <v>0</v>
      </c>
      <c r="M99" s="30">
        <f>INDEX(Table1[Formation Production],MATCH(rrcworking[[#This Row],[RRC ID Number]],Table1[RRC Identifier],0))</f>
        <v>0</v>
      </c>
      <c r="N99" s="31">
        <f>INDEX(Table1[On Hand End of Month],MATCH(rrcworking[[#This Row],[RRC ID Number]],Table1[RRC Identifier],0))</f>
        <v>240</v>
      </c>
      <c r="O99" s="106" t="b">
        <f t="shared" si="2"/>
        <v>1</v>
      </c>
      <c r="P99" s="181"/>
      <c r="Q99" s="127">
        <f>rrcworking[[#This Row],[Last Month Closing Stock]]</f>
        <v>240</v>
      </c>
      <c r="R99" s="181">
        <f>rrcworking[[#This Row],[Opening Oil Stock]]</f>
        <v>240</v>
      </c>
      <c r="S99" s="143">
        <f>IF(ISERROR(INDEX(Table2[OIL],MATCH(rrcworking[[#This Row],[Magnum Wolfpak '#]],Table2[Rox Wolf'#],0))),0,INDEX(Table2[OIL],MATCH(rrcworking[[#This Row],[Magnum Wolfpak '#]],Table2[Rox Wolf'#],0)))</f>
        <v>0</v>
      </c>
      <c r="T99" s="35">
        <f>rrcworking[[#This Row],[Closing Stock (Oil)]]+rrcworking[[#This Row],[Sales/Dispostion]]-rrcworking[[#This Row],[Opening Oil Stock]]</f>
        <v>0</v>
      </c>
      <c r="U99" s="112">
        <f>rrcworking[[#This Row],[Gauge Sheet Prod Volume]]-rrcworking[[#This Row],[Oil Production]]</f>
        <v>0</v>
      </c>
      <c r="V99" s="143">
        <f>IF(ISERROR(INDEX(Table2[GAS],MATCH(rrcworking[[#This Row],[Magnum Wolfpak '#]],Table2[Rox Wolf'#],0))),0,INDEX(Table2[GAS],MATCH(rrcworking[[#This Row],[Magnum Wolfpak '#]],Table2[Rox Wolf'#],0)))</f>
        <v>0</v>
      </c>
      <c r="W99" s="24"/>
      <c r="X99" s="135">
        <f>IF(rrcworking[[#This Row],[Pressure Base]]=14.73,rrcworking[[#This Row],[Gas Sales Statement Volume (MCF)]]*$R$2,rrcworking[[#This Row],[Gas Sales Statement Volume (MCF)]])</f>
        <v>0</v>
      </c>
      <c r="Y99" s="60"/>
      <c r="Z99" s="60"/>
      <c r="AA99" s="143">
        <f>IF(ISERROR(INDEX(Table2[LEASE USE],MATCH(rrcworking[[#This Row],[Magnum Wolfpak '#]],Table2[Rox Wolf'#],0))),0,INDEX(Table2[LEASE USE],MATCH(rrcworking[[#This Row],[Magnum Wolfpak '#]],Table2[Rox Wolf'#],0)))</f>
        <v>0</v>
      </c>
      <c r="AB99" s="57">
        <f>rrcworking[[#This Row],[Disposition Volume (MCF) @ 14.65 MCF]]+rrcworking[[#This Row],[Lease Use (MCF)]]</f>
        <v>0</v>
      </c>
      <c r="AC99" s="37"/>
      <c r="AD99" s="37"/>
      <c r="AE99" s="187">
        <f>COUNTIF(FilterList,rrcworking[[#This Row],[Magnum Wolfpak '#]])</f>
        <v>0</v>
      </c>
      <c r="AF99" s="184"/>
      <c r="AG99" s="185"/>
      <c r="AH99" s="37"/>
      <c r="AI99" s="37"/>
      <c r="AJ99" s="37"/>
      <c r="AK99" s="37"/>
      <c r="AL99" s="37"/>
      <c r="AM99" s="37"/>
      <c r="AN99" s="37"/>
      <c r="AO99" s="37"/>
      <c r="AP99" s="37"/>
      <c r="AQ99" s="37"/>
    </row>
    <row r="100" spans="3:43" ht="14">
      <c r="C100" s="80" t="e">
        <v>#N/A</v>
      </c>
      <c r="D100" s="62" t="s">
        <v>367</v>
      </c>
      <c r="E100" s="131" t="s">
        <v>368</v>
      </c>
      <c r="F100" s="129">
        <v>1</v>
      </c>
      <c r="G100" s="120" t="s">
        <v>1091</v>
      </c>
      <c r="H100" s="18" t="s">
        <v>620</v>
      </c>
      <c r="I100" s="18" t="s">
        <v>59</v>
      </c>
      <c r="J100" s="19" t="s">
        <v>587</v>
      </c>
      <c r="K100" s="103">
        <v>140637</v>
      </c>
      <c r="L100" s="101">
        <f>INDEX(Table1[Production],MATCH(rrcworking[[#This Row],[RRC ID Number]],Table1[RRC Identifier],0))</f>
        <v>0</v>
      </c>
      <c r="M100" s="30">
        <f>INDEX(Table1[Formation Production],MATCH(rrcworking[[#This Row],[RRC ID Number]],Table1[RRC Identifier],0))</f>
        <v>0</v>
      </c>
      <c r="N100" s="31">
        <f>INDEX(Table1[On Hand End of Month],MATCH(rrcworking[[#This Row],[RRC ID Number]],Table1[RRC Identifier],0))</f>
        <v>92</v>
      </c>
      <c r="O100" s="106" t="b">
        <f t="shared" si="2"/>
        <v>1</v>
      </c>
      <c r="P100" s="181"/>
      <c r="Q100" s="127">
        <f>rrcworking[[#This Row],[Last Month Closing Stock]]</f>
        <v>92</v>
      </c>
      <c r="R100" s="181">
        <f>rrcworking[[#This Row],[Opening Oil Stock]]</f>
        <v>92</v>
      </c>
      <c r="S100" s="143">
        <f>IF(ISERROR(INDEX(Table2[OIL],MATCH(rrcworking[[#This Row],[Magnum Wolfpak '#]],Table2[Rox Wolf'#],0))),0,INDEX(Table2[OIL],MATCH(rrcworking[[#This Row],[Magnum Wolfpak '#]],Table2[Rox Wolf'#],0)))</f>
        <v>0</v>
      </c>
      <c r="T100" s="35">
        <f>rrcworking[[#This Row],[Closing Stock (Oil)]]+rrcworking[[#This Row],[Sales/Dispostion]]-rrcworking[[#This Row],[Opening Oil Stock]]</f>
        <v>0</v>
      </c>
      <c r="U100" s="112">
        <f>rrcworking[[#This Row],[Gauge Sheet Prod Volume]]-rrcworking[[#This Row],[Oil Production]]</f>
        <v>0</v>
      </c>
      <c r="V100" s="143">
        <f>IF(ISERROR(INDEX(Table2[GAS],MATCH(rrcworking[[#This Row],[Magnum Wolfpak '#]],Table2[Rox Wolf'#],0))),0,INDEX(Table2[GAS],MATCH(rrcworking[[#This Row],[Magnum Wolfpak '#]],Table2[Rox Wolf'#],0)))</f>
        <v>0</v>
      </c>
      <c r="W100" s="24"/>
      <c r="X100" s="135">
        <f>IF(rrcworking[[#This Row],[Pressure Base]]=14.73,rrcworking[[#This Row],[Gas Sales Statement Volume (MCF)]]*$R$2,rrcworking[[#This Row],[Gas Sales Statement Volume (MCF)]])</f>
        <v>0</v>
      </c>
      <c r="Y100" s="60"/>
      <c r="Z100" s="60"/>
      <c r="AA100" s="143">
        <f>IF(ISERROR(INDEX(Table2[LEASE USE],MATCH(rrcworking[[#This Row],[Magnum Wolfpak '#]],Table2[Rox Wolf'#],0))),0,INDEX(Table2[LEASE USE],MATCH(rrcworking[[#This Row],[Magnum Wolfpak '#]],Table2[Rox Wolf'#],0)))</f>
        <v>0</v>
      </c>
      <c r="AB100" s="57">
        <f>rrcworking[[#This Row],[Disposition Volume (MCF) @ 14.65 MCF]]+rrcworking[[#This Row],[Lease Use (MCF)]]</f>
        <v>0</v>
      </c>
      <c r="AC100" s="37"/>
      <c r="AD100" s="37"/>
      <c r="AE100" s="187">
        <f>COUNTIF(FilterList,rrcworking[[#This Row],[Magnum Wolfpak '#]])</f>
        <v>0</v>
      </c>
      <c r="AF100" s="184"/>
      <c r="AG100" s="185"/>
      <c r="AH100" s="37"/>
      <c r="AI100" s="37"/>
      <c r="AJ100" s="37"/>
      <c r="AK100" s="37"/>
      <c r="AL100" s="37"/>
      <c r="AM100" s="37"/>
      <c r="AN100" s="37"/>
      <c r="AO100" s="37"/>
      <c r="AP100" s="37"/>
      <c r="AQ100" s="37"/>
    </row>
    <row r="101" spans="3:43" ht="14">
      <c r="C101" s="80" t="e">
        <v>#N/A</v>
      </c>
      <c r="D101" s="62" t="s">
        <v>134</v>
      </c>
      <c r="E101" s="131" t="s">
        <v>135</v>
      </c>
      <c r="F101" s="129">
        <v>2</v>
      </c>
      <c r="G101" s="120" t="s">
        <v>1091</v>
      </c>
      <c r="H101" s="18" t="s">
        <v>618</v>
      </c>
      <c r="I101" s="18" t="s">
        <v>59</v>
      </c>
      <c r="J101" s="19" t="s">
        <v>450</v>
      </c>
      <c r="K101" s="103">
        <v>220079</v>
      </c>
      <c r="L101" s="101">
        <f>INDEX(Table1[Production],MATCH(rrcworking[[#This Row],[RRC ID Number]],Table1[RRC Identifier],0))</f>
        <v>0</v>
      </c>
      <c r="M101" s="30">
        <f>INDEX(Table1[Formation Production],MATCH(rrcworking[[#This Row],[RRC ID Number]],Table1[RRC Identifier],0))</f>
        <v>0</v>
      </c>
      <c r="N101" s="31">
        <f>INDEX(Table1[On Hand End of Month],MATCH(rrcworking[[#This Row],[RRC ID Number]],Table1[RRC Identifier],0))</f>
        <v>0</v>
      </c>
      <c r="O101" s="106" t="b">
        <f t="shared" ref="O101:O133" si="3">IF(AND(L101=0,M101=0), TRUE, FALSE)</f>
        <v>1</v>
      </c>
      <c r="P101" s="181"/>
      <c r="Q101" s="127">
        <f>rrcworking[[#This Row],[Last Month Closing Stock]]</f>
        <v>0</v>
      </c>
      <c r="R101" s="181">
        <f>rrcworking[[#This Row],[Opening Oil Stock]]</f>
        <v>0</v>
      </c>
      <c r="S101" s="143">
        <f>IF(ISERROR(INDEX(Table2[OIL],MATCH(rrcworking[[#This Row],[Magnum Wolfpak '#]],Table2[Rox Wolf'#],0))),0,INDEX(Table2[OIL],MATCH(rrcworking[[#This Row],[Magnum Wolfpak '#]],Table2[Rox Wolf'#],0)))</f>
        <v>0</v>
      </c>
      <c r="T101" s="35">
        <f>rrcworking[[#This Row],[Closing Stock (Oil)]]+rrcworking[[#This Row],[Sales/Dispostion]]-rrcworking[[#This Row],[Opening Oil Stock]]</f>
        <v>0</v>
      </c>
      <c r="U101" s="112">
        <f>rrcworking[[#This Row],[Gauge Sheet Prod Volume]]-rrcworking[[#This Row],[Oil Production]]</f>
        <v>0</v>
      </c>
      <c r="V101" s="143">
        <f>IF(ISERROR(INDEX(Table2[GAS],MATCH(rrcworking[[#This Row],[Magnum Wolfpak '#]],Table2[Rox Wolf'#],0))),0,INDEX(Table2[GAS],MATCH(rrcworking[[#This Row],[Magnum Wolfpak '#]],Table2[Rox Wolf'#],0)))</f>
        <v>0</v>
      </c>
      <c r="W101" s="24"/>
      <c r="X101" s="135">
        <f>IF(rrcworking[[#This Row],[Pressure Base]]=14.73,rrcworking[[#This Row],[Gas Sales Statement Volume (MCF)]]*$R$2,rrcworking[[#This Row],[Gas Sales Statement Volume (MCF)]])</f>
        <v>0</v>
      </c>
      <c r="Y101" s="60"/>
      <c r="Z101" s="60"/>
      <c r="AA101" s="143">
        <f>IF(ISERROR(INDEX(Table2[LEASE USE],MATCH(rrcworking[[#This Row],[Magnum Wolfpak '#]],Table2[Rox Wolf'#],0))),0,INDEX(Table2[LEASE USE],MATCH(rrcworking[[#This Row],[Magnum Wolfpak '#]],Table2[Rox Wolf'#],0)))</f>
        <v>0</v>
      </c>
      <c r="AB101" s="57">
        <f>rrcworking[[#This Row],[Disposition Volume (MCF) @ 14.65 MCF]]+rrcworking[[#This Row],[Lease Use (MCF)]]</f>
        <v>0</v>
      </c>
      <c r="AC101" s="37"/>
      <c r="AD101" s="37"/>
      <c r="AE101" s="187">
        <f>COUNTIF(FilterList,rrcworking[[#This Row],[Magnum Wolfpak '#]])</f>
        <v>0</v>
      </c>
      <c r="AF101" s="184"/>
      <c r="AG101" s="185"/>
      <c r="AH101" s="37"/>
      <c r="AI101" s="37"/>
      <c r="AJ101" s="37"/>
      <c r="AK101" s="37"/>
      <c r="AL101" s="37"/>
      <c r="AM101" s="37"/>
      <c r="AN101" s="37"/>
      <c r="AO101" s="37"/>
      <c r="AP101" s="37"/>
      <c r="AQ101" s="37"/>
    </row>
    <row r="102" spans="3:43" ht="14">
      <c r="C102" s="80">
        <v>99269</v>
      </c>
      <c r="D102" s="62" t="s">
        <v>316</v>
      </c>
      <c r="E102" s="131" t="s">
        <v>317</v>
      </c>
      <c r="F102" s="129">
        <v>1</v>
      </c>
      <c r="G102" s="120" t="s">
        <v>1091</v>
      </c>
      <c r="H102" s="18" t="s">
        <v>620</v>
      </c>
      <c r="I102" s="18" t="s">
        <v>59</v>
      </c>
      <c r="J102" s="19" t="s">
        <v>557</v>
      </c>
      <c r="K102" s="103">
        <v>255120</v>
      </c>
      <c r="L102" s="101">
        <f>INDEX(Table1[Production],MATCH(rrcworking[[#This Row],[RRC ID Number]],Table1[RRC Identifier],0))</f>
        <v>0</v>
      </c>
      <c r="M102" s="30">
        <f>INDEX(Table1[Formation Production],MATCH(rrcworking[[#This Row],[RRC ID Number]],Table1[RRC Identifier],0))</f>
        <v>1458</v>
      </c>
      <c r="N102" s="31">
        <f>INDEX(Table1[On Hand End of Month],MATCH(rrcworking[[#This Row],[RRC ID Number]],Table1[RRC Identifier],0))</f>
        <v>0</v>
      </c>
      <c r="O102" s="106" t="b">
        <f t="shared" si="3"/>
        <v>0</v>
      </c>
      <c r="P102" s="181"/>
      <c r="Q102" s="127">
        <f>rrcworking[[#This Row],[Last Month Closing Stock]]</f>
        <v>0</v>
      </c>
      <c r="R102" s="181">
        <f>rrcworking[[#This Row],[Opening Oil Stock]]</f>
        <v>0</v>
      </c>
      <c r="S102" s="143">
        <f>IF(ISERROR(INDEX(Table2[OIL],MATCH(rrcworking[[#This Row],[Magnum Wolfpak '#]],Table2[Rox Wolf'#],0))),0,INDEX(Table2[OIL],MATCH(rrcworking[[#This Row],[Magnum Wolfpak '#]],Table2[Rox Wolf'#],0)))</f>
        <v>0</v>
      </c>
      <c r="T102" s="35">
        <f>rrcworking[[#This Row],[Closing Stock (Oil)]]+rrcworking[[#This Row],[Sales/Dispostion]]-rrcworking[[#This Row],[Opening Oil Stock]]</f>
        <v>0</v>
      </c>
      <c r="U102" s="112">
        <f>rrcworking[[#This Row],[Gauge Sheet Prod Volume]]-rrcworking[[#This Row],[Oil Production]]</f>
        <v>0</v>
      </c>
      <c r="V102" s="143">
        <f>IF(ISERROR(INDEX(Table2[GAS],MATCH(rrcworking[[#This Row],[Magnum Wolfpak '#]],Table2[Rox Wolf'#],0))),0,INDEX(Table2[GAS],MATCH(rrcworking[[#This Row],[Magnum Wolfpak '#]],Table2[Rox Wolf'#],0)))</f>
        <v>1074</v>
      </c>
      <c r="W102" s="24"/>
      <c r="X102" s="135">
        <f>IF(rrcworking[[#This Row],[Pressure Base]]=14.73,rrcworking[[#This Row],[Gas Sales Statement Volume (MCF)]]*$R$2,rrcworking[[#This Row],[Gas Sales Statement Volume (MCF)]])</f>
        <v>1074</v>
      </c>
      <c r="Y102" s="60"/>
      <c r="Z102" s="60"/>
      <c r="AA102" s="143">
        <f>IF(ISERROR(INDEX(Table2[LEASE USE],MATCH(rrcworking[[#This Row],[Magnum Wolfpak '#]],Table2[Rox Wolf'#],0))),0,INDEX(Table2[LEASE USE],MATCH(rrcworking[[#This Row],[Magnum Wolfpak '#]],Table2[Rox Wolf'#],0)))</f>
        <v>310</v>
      </c>
      <c r="AB102" s="57">
        <f>rrcworking[[#This Row],[Disposition Volume (MCF) @ 14.65 MCF]]+rrcworking[[#This Row],[Lease Use (MCF)]]</f>
        <v>1384</v>
      </c>
      <c r="AC102" s="37" t="s">
        <v>1118</v>
      </c>
      <c r="AD102" s="37"/>
      <c r="AE102" s="187">
        <f>COUNTIF(FilterList,rrcworking[[#This Row],[Magnum Wolfpak '#]])</f>
        <v>1</v>
      </c>
      <c r="AF102" s="184"/>
      <c r="AG102" s="185"/>
      <c r="AH102" s="37"/>
      <c r="AI102" s="37"/>
      <c r="AJ102" s="186"/>
      <c r="AK102" s="186"/>
      <c r="AL102" s="186"/>
      <c r="AM102" s="186"/>
      <c r="AN102" s="186"/>
      <c r="AO102" s="186"/>
      <c r="AP102" s="37" t="s">
        <v>1165</v>
      </c>
      <c r="AQ102" s="37" t="s">
        <v>1191</v>
      </c>
    </row>
    <row r="103" spans="3:43" ht="14">
      <c r="C103" s="80" t="e">
        <v>#N/A</v>
      </c>
      <c r="D103" s="62" t="s">
        <v>342</v>
      </c>
      <c r="E103" s="131" t="s">
        <v>343</v>
      </c>
      <c r="F103" s="129">
        <v>1</v>
      </c>
      <c r="G103" s="120" t="s">
        <v>1091</v>
      </c>
      <c r="H103" s="18" t="s">
        <v>620</v>
      </c>
      <c r="I103" s="18" t="s">
        <v>59</v>
      </c>
      <c r="J103" s="19" t="s">
        <v>574</v>
      </c>
      <c r="K103" s="103">
        <v>252973</v>
      </c>
      <c r="L103" s="101">
        <f>INDEX(Table1[Production],MATCH(rrcworking[[#This Row],[RRC ID Number]],Table1[RRC Identifier],0))</f>
        <v>0</v>
      </c>
      <c r="M103" s="30">
        <f>INDEX(Table1[Formation Production],MATCH(rrcworking[[#This Row],[RRC ID Number]],Table1[RRC Identifier],0))</f>
        <v>0</v>
      </c>
      <c r="N103" s="31">
        <f>INDEX(Table1[On Hand End of Month],MATCH(rrcworking[[#This Row],[RRC ID Number]],Table1[RRC Identifier],0))</f>
        <v>93</v>
      </c>
      <c r="O103" s="106" t="b">
        <f t="shared" si="3"/>
        <v>1</v>
      </c>
      <c r="P103" s="181"/>
      <c r="Q103" s="127">
        <f>rrcworking[[#This Row],[Last Month Closing Stock]]</f>
        <v>93</v>
      </c>
      <c r="R103" s="181">
        <f>rrcworking[[#This Row],[Opening Oil Stock]]</f>
        <v>93</v>
      </c>
      <c r="S103" s="143">
        <f>IF(ISERROR(INDEX(Table2[OIL],MATCH(rrcworking[[#This Row],[Magnum Wolfpak '#]],Table2[Rox Wolf'#],0))),0,INDEX(Table2[OIL],MATCH(rrcworking[[#This Row],[Magnum Wolfpak '#]],Table2[Rox Wolf'#],0)))</f>
        <v>0</v>
      </c>
      <c r="T103" s="35">
        <f>rrcworking[[#This Row],[Closing Stock (Oil)]]+rrcworking[[#This Row],[Sales/Dispostion]]-rrcworking[[#This Row],[Opening Oil Stock]]</f>
        <v>0</v>
      </c>
      <c r="U103" s="112">
        <f>rrcworking[[#This Row],[Gauge Sheet Prod Volume]]-rrcworking[[#This Row],[Oil Production]]</f>
        <v>0</v>
      </c>
      <c r="V103" s="143">
        <f>IF(ISERROR(INDEX(Table2[GAS],MATCH(rrcworking[[#This Row],[Magnum Wolfpak '#]],Table2[Rox Wolf'#],0))),0,INDEX(Table2[GAS],MATCH(rrcworking[[#This Row],[Magnum Wolfpak '#]],Table2[Rox Wolf'#],0)))</f>
        <v>0</v>
      </c>
      <c r="W103" s="24"/>
      <c r="X103" s="135">
        <f>IF(rrcworking[[#This Row],[Pressure Base]]=14.73,rrcworking[[#This Row],[Gas Sales Statement Volume (MCF)]]*$R$2,rrcworking[[#This Row],[Gas Sales Statement Volume (MCF)]])</f>
        <v>0</v>
      </c>
      <c r="Y103" s="60"/>
      <c r="Z103" s="60"/>
      <c r="AA103" s="143">
        <f>IF(ISERROR(INDEX(Table2[LEASE USE],MATCH(rrcworking[[#This Row],[Magnum Wolfpak '#]],Table2[Rox Wolf'#],0))),0,INDEX(Table2[LEASE USE],MATCH(rrcworking[[#This Row],[Magnum Wolfpak '#]],Table2[Rox Wolf'#],0)))</f>
        <v>0</v>
      </c>
      <c r="AB103" s="57">
        <f>rrcworking[[#This Row],[Disposition Volume (MCF) @ 14.65 MCF]]+rrcworking[[#This Row],[Lease Use (MCF)]]</f>
        <v>0</v>
      </c>
      <c r="AC103" s="37"/>
      <c r="AD103" s="37"/>
      <c r="AE103" s="187">
        <f>COUNTIF(FilterList,rrcworking[[#This Row],[Magnum Wolfpak '#]])</f>
        <v>0</v>
      </c>
      <c r="AF103" s="184"/>
      <c r="AG103" s="185"/>
      <c r="AH103" s="37"/>
      <c r="AI103" s="37"/>
      <c r="AJ103" s="37"/>
      <c r="AK103" s="37"/>
      <c r="AL103" s="37"/>
      <c r="AM103" s="37"/>
      <c r="AN103" s="37"/>
      <c r="AO103" s="37"/>
      <c r="AP103" s="37"/>
      <c r="AQ103" s="37"/>
    </row>
    <row r="104" spans="3:43" ht="56">
      <c r="C104" s="80">
        <v>92001</v>
      </c>
      <c r="D104" s="62" t="s">
        <v>231</v>
      </c>
      <c r="E104" s="131" t="s">
        <v>232</v>
      </c>
      <c r="F104" s="129">
        <v>0</v>
      </c>
      <c r="G104" s="120" t="s">
        <v>1091</v>
      </c>
      <c r="H104" s="18" t="s">
        <v>619</v>
      </c>
      <c r="I104" s="18" t="s">
        <v>2</v>
      </c>
      <c r="J104" s="19" t="s">
        <v>504</v>
      </c>
      <c r="K104" s="103">
        <v>18769</v>
      </c>
      <c r="L104" s="101">
        <f>INDEX(Table1[Production],MATCH(rrcworking[[#This Row],[RRC ID Number]],Table1[RRC Identifier],0))</f>
        <v>130</v>
      </c>
      <c r="M104" s="30">
        <f>INDEX(Table1[Formation Production],MATCH(rrcworking[[#This Row],[RRC ID Number]],Table1[RRC Identifier],0))</f>
        <v>0</v>
      </c>
      <c r="N104" s="31">
        <f>INDEX(Table1[On Hand End of Month],MATCH(rrcworking[[#This Row],[RRC ID Number]],Table1[RRC Identifier],0))</f>
        <v>237</v>
      </c>
      <c r="O104" s="106" t="b">
        <f t="shared" si="3"/>
        <v>0</v>
      </c>
      <c r="P104" s="181">
        <v>74</v>
      </c>
      <c r="Q104" s="127">
        <f>rrcworking[[#This Row],[Last Month Closing Stock]]</f>
        <v>237</v>
      </c>
      <c r="R104" s="182">
        <v>127</v>
      </c>
      <c r="S104" s="143">
        <f>IF(ISERROR(INDEX(Table2[OIL],MATCH(rrcworking[[#This Row],[Magnum Wolfpak '#]],Table2[Rox Wolf'#],0))),0,INDEX(Table2[OIL],MATCH(rrcworking[[#This Row],[Magnum Wolfpak '#]],Table2[Rox Wolf'#],0)))</f>
        <v>184</v>
      </c>
      <c r="T104" s="35">
        <f>rrcworking[[#This Row],[Closing Stock (Oil)]]+rrcworking[[#This Row],[Sales/Dispostion]]-rrcworking[[#This Row],[Opening Oil Stock]]</f>
        <v>74</v>
      </c>
      <c r="U104" s="112">
        <f>rrcworking[[#This Row],[Gauge Sheet Prod Volume]]-rrcworking[[#This Row],[Oil Production]]</f>
        <v>0</v>
      </c>
      <c r="V104" s="143">
        <f>IF(ISERROR(INDEX(Table2[GAS],MATCH(rrcworking[[#This Row],[Magnum Wolfpak '#]],Table2[Rox Wolf'#],0))),0,INDEX(Table2[GAS],MATCH(rrcworking[[#This Row],[Magnum Wolfpak '#]],Table2[Rox Wolf'#],0)))</f>
        <v>0</v>
      </c>
      <c r="W104" s="24"/>
      <c r="X104" s="135">
        <f>IF(rrcworking[[#This Row],[Pressure Base]]=14.73,rrcworking[[#This Row],[Gas Sales Statement Volume (MCF)]]*$R$2,rrcworking[[#This Row],[Gas Sales Statement Volume (MCF)]])</f>
        <v>0</v>
      </c>
      <c r="Y104" s="60"/>
      <c r="Z104" s="60"/>
      <c r="AA104" s="143">
        <f>IF(ISERROR(INDEX(Table2[LEASE USE],MATCH(rrcworking[[#This Row],[Magnum Wolfpak '#]],Table2[Rox Wolf'#],0))),0,INDEX(Table2[LEASE USE],MATCH(rrcworking[[#This Row],[Magnum Wolfpak '#]],Table2[Rox Wolf'#],0)))</f>
        <v>0</v>
      </c>
      <c r="AB104" s="57">
        <f>rrcworking[[#This Row],[Disposition Volume (MCF) @ 14.65 MCF]]+rrcworking[[#This Row],[Lease Use (MCF)]]</f>
        <v>0</v>
      </c>
      <c r="AC104" s="37"/>
      <c r="AD104" s="37" t="s">
        <v>1301</v>
      </c>
      <c r="AE104" s="187">
        <f>COUNTIF(FilterList,rrcworking[[#This Row],[Magnum Wolfpak '#]])</f>
        <v>0</v>
      </c>
      <c r="AF104" s="184"/>
      <c r="AG104" s="185"/>
      <c r="AH104" s="37"/>
      <c r="AI104" s="185"/>
      <c r="AJ104" s="186"/>
      <c r="AK104" s="186"/>
      <c r="AL104" s="186"/>
      <c r="AM104" s="186"/>
      <c r="AN104" s="186"/>
      <c r="AO104" s="186"/>
      <c r="AP104" s="37" t="s">
        <v>1165</v>
      </c>
      <c r="AQ104" s="37" t="s">
        <v>1200</v>
      </c>
    </row>
    <row r="105" spans="3:43" ht="56">
      <c r="C105" s="80">
        <v>99058</v>
      </c>
      <c r="D105" s="62" t="s">
        <v>344</v>
      </c>
      <c r="E105" s="131" t="s">
        <v>345</v>
      </c>
      <c r="F105" s="129" t="s">
        <v>346</v>
      </c>
      <c r="G105" s="120" t="s">
        <v>1091</v>
      </c>
      <c r="H105" s="18" t="s">
        <v>620</v>
      </c>
      <c r="I105" s="18" t="s">
        <v>59</v>
      </c>
      <c r="J105" s="19" t="s">
        <v>575</v>
      </c>
      <c r="K105" s="103">
        <v>201238</v>
      </c>
      <c r="L105" s="101">
        <f>INDEX(Table1[Production],MATCH(rrcworking[[#This Row],[RRC ID Number]],Table1[RRC Identifier],0))</f>
        <v>8</v>
      </c>
      <c r="M105" s="30">
        <f>INDEX(Table1[Formation Production],MATCH(rrcworking[[#This Row],[RRC ID Number]],Table1[RRC Identifier],0))</f>
        <v>2827</v>
      </c>
      <c r="N105" s="31">
        <f>INDEX(Table1[On Hand End of Month],MATCH(rrcworking[[#This Row],[RRC ID Number]],Table1[RRC Identifier],0))</f>
        <v>92</v>
      </c>
      <c r="O105" s="106" t="b">
        <f t="shared" si="3"/>
        <v>0</v>
      </c>
      <c r="P105" s="181">
        <v>2</v>
      </c>
      <c r="Q105" s="127">
        <f>rrcworking[[#This Row],[Last Month Closing Stock]]</f>
        <v>92</v>
      </c>
      <c r="R105" s="181">
        <v>93</v>
      </c>
      <c r="S105" s="143">
        <f>IF(ISERROR(INDEX(Table2[OIL],MATCH(rrcworking[[#This Row],[Magnum Wolfpak '#]],Table2[Rox Wolf'#],0))),0,INDEX(Table2[OIL],MATCH(rrcworking[[#This Row],[Magnum Wolfpak '#]],Table2[Rox Wolf'#],0)))</f>
        <v>0</v>
      </c>
      <c r="T105" s="35">
        <f>rrcworking[[#This Row],[Closing Stock (Oil)]]+rrcworking[[#This Row],[Sales/Dispostion]]-rrcworking[[#This Row],[Opening Oil Stock]]</f>
        <v>1</v>
      </c>
      <c r="U105" s="112">
        <f>rrcworking[[#This Row],[Gauge Sheet Prod Volume]]-rrcworking[[#This Row],[Oil Production]]</f>
        <v>1</v>
      </c>
      <c r="V105" s="143">
        <f>IF(ISERROR(INDEX(Table2[GAS],MATCH(rrcworking[[#This Row],[Magnum Wolfpak '#]],Table2[Rox Wolf'#],0))),0,INDEX(Table2[GAS],MATCH(rrcworking[[#This Row],[Magnum Wolfpak '#]],Table2[Rox Wolf'#],0)))</f>
        <v>2494</v>
      </c>
      <c r="W105" s="24"/>
      <c r="X105" s="135">
        <f>IF(rrcworking[[#This Row],[Pressure Base]]=14.73,rrcworking[[#This Row],[Gas Sales Statement Volume (MCF)]]*$R$2,rrcworking[[#This Row],[Gas Sales Statement Volume (MCF)]])</f>
        <v>2494</v>
      </c>
      <c r="Y105" s="60"/>
      <c r="Z105" s="60"/>
      <c r="AA105" s="143">
        <f>IF(ISERROR(INDEX(Table2[LEASE USE],MATCH(rrcworking[[#This Row],[Magnum Wolfpak '#]],Table2[Rox Wolf'#],0))),0,INDEX(Table2[LEASE USE],MATCH(rrcworking[[#This Row],[Magnum Wolfpak '#]],Table2[Rox Wolf'#],0)))</f>
        <v>0</v>
      </c>
      <c r="AB105" s="57">
        <f>rrcworking[[#This Row],[Disposition Volume (MCF) @ 14.65 MCF]]+rrcworking[[#This Row],[Lease Use (MCF)]]</f>
        <v>2494</v>
      </c>
      <c r="AC105" s="37"/>
      <c r="AD105" s="37" t="s">
        <v>1304</v>
      </c>
      <c r="AE105" s="187">
        <f>COUNTIF(FilterList,rrcworking[[#This Row],[Magnum Wolfpak '#]])</f>
        <v>0</v>
      </c>
      <c r="AF105" s="184"/>
      <c r="AG105" s="185"/>
      <c r="AH105" s="87"/>
      <c r="AI105" s="87"/>
      <c r="AJ105" s="186"/>
      <c r="AK105" s="186"/>
      <c r="AL105" s="186"/>
      <c r="AM105" s="186"/>
      <c r="AN105" s="186"/>
      <c r="AO105" s="186"/>
      <c r="AP105" s="37" t="s">
        <v>1165</v>
      </c>
      <c r="AQ105" s="37" t="s">
        <v>1207</v>
      </c>
    </row>
    <row r="106" spans="3:43" ht="14">
      <c r="C106" s="80" t="e">
        <v>#N/A</v>
      </c>
      <c r="D106" s="62" t="s">
        <v>347</v>
      </c>
      <c r="E106" s="131" t="s">
        <v>345</v>
      </c>
      <c r="F106" s="129">
        <v>20</v>
      </c>
      <c r="G106" s="120" t="s">
        <v>1091</v>
      </c>
      <c r="H106" s="18" t="s">
        <v>620</v>
      </c>
      <c r="I106" s="18" t="s">
        <v>59</v>
      </c>
      <c r="J106" s="19" t="s">
        <v>576</v>
      </c>
      <c r="K106" s="103">
        <v>242290</v>
      </c>
      <c r="L106" s="101">
        <f>INDEX(Table1[Production],MATCH(rrcworking[[#This Row],[RRC ID Number]],Table1[RRC Identifier],0))</f>
        <v>0</v>
      </c>
      <c r="M106" s="30">
        <f>INDEX(Table1[Formation Production],MATCH(rrcworking[[#This Row],[RRC ID Number]],Table1[RRC Identifier],0))</f>
        <v>0</v>
      </c>
      <c r="N106" s="31">
        <f>INDEX(Table1[On Hand End of Month],MATCH(rrcworking[[#This Row],[RRC ID Number]],Table1[RRC Identifier],0))</f>
        <v>0</v>
      </c>
      <c r="O106" s="106" t="b">
        <f t="shared" si="3"/>
        <v>1</v>
      </c>
      <c r="P106" s="181"/>
      <c r="Q106" s="127">
        <f>rrcworking[[#This Row],[Last Month Closing Stock]]</f>
        <v>0</v>
      </c>
      <c r="R106" s="181">
        <f>rrcworking[[#This Row],[Opening Oil Stock]]</f>
        <v>0</v>
      </c>
      <c r="S106" s="143">
        <f>IF(ISERROR(INDEX(Table2[OIL],MATCH(rrcworking[[#This Row],[Magnum Wolfpak '#]],Table2[Rox Wolf'#],0))),0,INDEX(Table2[OIL],MATCH(rrcworking[[#This Row],[Magnum Wolfpak '#]],Table2[Rox Wolf'#],0)))</f>
        <v>0</v>
      </c>
      <c r="T106" s="35">
        <f>rrcworking[[#This Row],[Closing Stock (Oil)]]+rrcworking[[#This Row],[Sales/Dispostion]]-rrcworking[[#This Row],[Opening Oil Stock]]</f>
        <v>0</v>
      </c>
      <c r="U106" s="112">
        <f>rrcworking[[#This Row],[Gauge Sheet Prod Volume]]-rrcworking[[#This Row],[Oil Production]]</f>
        <v>0</v>
      </c>
      <c r="V106" s="143">
        <f>IF(ISERROR(INDEX(Table2[GAS],MATCH(rrcworking[[#This Row],[Magnum Wolfpak '#]],Table2[Rox Wolf'#],0))),0,INDEX(Table2[GAS],MATCH(rrcworking[[#This Row],[Magnum Wolfpak '#]],Table2[Rox Wolf'#],0)))</f>
        <v>0</v>
      </c>
      <c r="W106" s="24"/>
      <c r="X106" s="135">
        <f>IF(rrcworking[[#This Row],[Pressure Base]]=14.73,rrcworking[[#This Row],[Gas Sales Statement Volume (MCF)]]*$R$2,rrcworking[[#This Row],[Gas Sales Statement Volume (MCF)]])</f>
        <v>0</v>
      </c>
      <c r="Y106" s="60"/>
      <c r="Z106" s="60"/>
      <c r="AA106" s="143">
        <f>IF(ISERROR(INDEX(Table2[LEASE USE],MATCH(rrcworking[[#This Row],[Magnum Wolfpak '#]],Table2[Rox Wolf'#],0))),0,INDEX(Table2[LEASE USE],MATCH(rrcworking[[#This Row],[Magnum Wolfpak '#]],Table2[Rox Wolf'#],0)))</f>
        <v>0</v>
      </c>
      <c r="AB106" s="57">
        <f>rrcworking[[#This Row],[Disposition Volume (MCF) @ 14.65 MCF]]+rrcworking[[#This Row],[Lease Use (MCF)]]</f>
        <v>0</v>
      </c>
      <c r="AC106" s="37"/>
      <c r="AD106" s="37"/>
      <c r="AE106" s="187">
        <f>COUNTIF(FilterList,rrcworking[[#This Row],[Magnum Wolfpak '#]])</f>
        <v>0</v>
      </c>
      <c r="AF106" s="184"/>
      <c r="AG106" s="185"/>
      <c r="AH106" s="37"/>
      <c r="AI106" s="37"/>
      <c r="AJ106" s="37"/>
      <c r="AK106" s="37"/>
      <c r="AL106" s="37"/>
      <c r="AM106" s="37"/>
      <c r="AN106" s="37"/>
      <c r="AO106" s="37"/>
      <c r="AP106" s="37"/>
      <c r="AQ106" s="37"/>
    </row>
    <row r="107" spans="3:43" ht="14">
      <c r="C107" s="80" t="e">
        <v>#N/A</v>
      </c>
      <c r="D107" s="62" t="s">
        <v>348</v>
      </c>
      <c r="E107" s="131" t="s">
        <v>345</v>
      </c>
      <c r="F107" s="129" t="s">
        <v>349</v>
      </c>
      <c r="G107" s="120" t="s">
        <v>1091</v>
      </c>
      <c r="H107" s="18" t="s">
        <v>620</v>
      </c>
      <c r="I107" s="18" t="s">
        <v>59</v>
      </c>
      <c r="J107" s="19" t="s">
        <v>577</v>
      </c>
      <c r="K107" s="103">
        <v>198253</v>
      </c>
      <c r="L107" s="101">
        <f>INDEX(Table1[Production],MATCH(rrcworking[[#This Row],[RRC ID Number]],Table1[RRC Identifier],0))</f>
        <v>0</v>
      </c>
      <c r="M107" s="30">
        <f>INDEX(Table1[Formation Production],MATCH(rrcworking[[#This Row],[RRC ID Number]],Table1[RRC Identifier],0))</f>
        <v>0</v>
      </c>
      <c r="N107" s="31">
        <f>INDEX(Table1[On Hand End of Month],MATCH(rrcworking[[#This Row],[RRC ID Number]],Table1[RRC Identifier],0))</f>
        <v>0</v>
      </c>
      <c r="O107" s="106" t="b">
        <f t="shared" si="3"/>
        <v>1</v>
      </c>
      <c r="P107" s="181"/>
      <c r="Q107" s="127">
        <f>rrcworking[[#This Row],[Last Month Closing Stock]]</f>
        <v>0</v>
      </c>
      <c r="R107" s="181">
        <f>rrcworking[[#This Row],[Opening Oil Stock]]</f>
        <v>0</v>
      </c>
      <c r="S107" s="143">
        <f>IF(ISERROR(INDEX(Table2[OIL],MATCH(rrcworking[[#This Row],[Magnum Wolfpak '#]],Table2[Rox Wolf'#],0))),0,INDEX(Table2[OIL],MATCH(rrcworking[[#This Row],[Magnum Wolfpak '#]],Table2[Rox Wolf'#],0)))</f>
        <v>0</v>
      </c>
      <c r="T107" s="35">
        <f>rrcworking[[#This Row],[Closing Stock (Oil)]]+rrcworking[[#This Row],[Sales/Dispostion]]-rrcworking[[#This Row],[Opening Oil Stock]]</f>
        <v>0</v>
      </c>
      <c r="U107" s="112">
        <f>rrcworking[[#This Row],[Gauge Sheet Prod Volume]]-rrcworking[[#This Row],[Oil Production]]</f>
        <v>0</v>
      </c>
      <c r="V107" s="143">
        <f>IF(ISERROR(INDEX(Table2[GAS],MATCH(rrcworking[[#This Row],[Magnum Wolfpak '#]],Table2[Rox Wolf'#],0))),0,INDEX(Table2[GAS],MATCH(rrcworking[[#This Row],[Magnum Wolfpak '#]],Table2[Rox Wolf'#],0)))</f>
        <v>0</v>
      </c>
      <c r="W107" s="24"/>
      <c r="X107" s="135">
        <f>IF(rrcworking[[#This Row],[Pressure Base]]=14.73,rrcworking[[#This Row],[Gas Sales Statement Volume (MCF)]]*$R$2,rrcworking[[#This Row],[Gas Sales Statement Volume (MCF)]])</f>
        <v>0</v>
      </c>
      <c r="Y107" s="60"/>
      <c r="Z107" s="60"/>
      <c r="AA107" s="143">
        <f>IF(ISERROR(INDEX(Table2[LEASE USE],MATCH(rrcworking[[#This Row],[Magnum Wolfpak '#]],Table2[Rox Wolf'#],0))),0,INDEX(Table2[LEASE USE],MATCH(rrcworking[[#This Row],[Magnum Wolfpak '#]],Table2[Rox Wolf'#],0)))</f>
        <v>0</v>
      </c>
      <c r="AB107" s="57">
        <f>rrcworking[[#This Row],[Disposition Volume (MCF) @ 14.65 MCF]]+rrcworking[[#This Row],[Lease Use (MCF)]]</f>
        <v>0</v>
      </c>
      <c r="AC107" s="37"/>
      <c r="AD107" s="37"/>
      <c r="AE107" s="187">
        <f>COUNTIF(FilterList,rrcworking[[#This Row],[Magnum Wolfpak '#]])</f>
        <v>0</v>
      </c>
      <c r="AF107" s="184"/>
      <c r="AG107" s="185"/>
      <c r="AH107" s="37"/>
      <c r="AI107" s="37"/>
      <c r="AJ107" s="37"/>
      <c r="AK107" s="37"/>
      <c r="AL107" s="37"/>
      <c r="AM107" s="37"/>
      <c r="AN107" s="37"/>
      <c r="AO107" s="37"/>
      <c r="AP107" s="37"/>
      <c r="AQ107" s="37"/>
    </row>
    <row r="108" spans="3:43" ht="14">
      <c r="C108" s="80" t="e">
        <v>#N/A</v>
      </c>
      <c r="D108" s="62" t="s">
        <v>350</v>
      </c>
      <c r="E108" s="131" t="s">
        <v>345</v>
      </c>
      <c r="F108" s="129" t="s">
        <v>351</v>
      </c>
      <c r="G108" s="120" t="s">
        <v>1091</v>
      </c>
      <c r="H108" s="18" t="s">
        <v>620</v>
      </c>
      <c r="I108" s="18" t="s">
        <v>59</v>
      </c>
      <c r="J108" s="19" t="s">
        <v>578</v>
      </c>
      <c r="K108" s="103">
        <v>159856</v>
      </c>
      <c r="L108" s="101">
        <f>INDEX(Table1[Production],MATCH(rrcworking[[#This Row],[RRC ID Number]],Table1[RRC Identifier],0))</f>
        <v>0</v>
      </c>
      <c r="M108" s="30">
        <f>INDEX(Table1[Formation Production],MATCH(rrcworking[[#This Row],[RRC ID Number]],Table1[RRC Identifier],0))</f>
        <v>0</v>
      </c>
      <c r="N108" s="31">
        <f>INDEX(Table1[On Hand End of Month],MATCH(rrcworking[[#This Row],[RRC ID Number]],Table1[RRC Identifier],0))</f>
        <v>0</v>
      </c>
      <c r="O108" s="106" t="b">
        <f t="shared" si="3"/>
        <v>1</v>
      </c>
      <c r="P108" s="181"/>
      <c r="Q108" s="127">
        <f>rrcworking[[#This Row],[Last Month Closing Stock]]</f>
        <v>0</v>
      </c>
      <c r="R108" s="181">
        <f>rrcworking[[#This Row],[Opening Oil Stock]]</f>
        <v>0</v>
      </c>
      <c r="S108" s="143">
        <f>IF(ISERROR(INDEX(Table2[OIL],MATCH(rrcworking[[#This Row],[Magnum Wolfpak '#]],Table2[Rox Wolf'#],0))),0,INDEX(Table2[OIL],MATCH(rrcworking[[#This Row],[Magnum Wolfpak '#]],Table2[Rox Wolf'#],0)))</f>
        <v>0</v>
      </c>
      <c r="T108" s="35">
        <f>rrcworking[[#This Row],[Closing Stock (Oil)]]+rrcworking[[#This Row],[Sales/Dispostion]]-rrcworking[[#This Row],[Opening Oil Stock]]</f>
        <v>0</v>
      </c>
      <c r="U108" s="112">
        <f>rrcworking[[#This Row],[Gauge Sheet Prod Volume]]-rrcworking[[#This Row],[Oil Production]]</f>
        <v>0</v>
      </c>
      <c r="V108" s="143">
        <f>IF(ISERROR(INDEX(Table2[GAS],MATCH(rrcworking[[#This Row],[Magnum Wolfpak '#]],Table2[Rox Wolf'#],0))),0,INDEX(Table2[GAS],MATCH(rrcworking[[#This Row],[Magnum Wolfpak '#]],Table2[Rox Wolf'#],0)))</f>
        <v>0</v>
      </c>
      <c r="W108" s="24"/>
      <c r="X108" s="135">
        <f>IF(rrcworking[[#This Row],[Pressure Base]]=14.73,rrcworking[[#This Row],[Gas Sales Statement Volume (MCF)]]*$R$2,rrcworking[[#This Row],[Gas Sales Statement Volume (MCF)]])</f>
        <v>0</v>
      </c>
      <c r="Y108" s="60"/>
      <c r="Z108" s="60"/>
      <c r="AA108" s="143">
        <f>IF(ISERROR(INDEX(Table2[LEASE USE],MATCH(rrcworking[[#This Row],[Magnum Wolfpak '#]],Table2[Rox Wolf'#],0))),0,INDEX(Table2[LEASE USE],MATCH(rrcworking[[#This Row],[Magnum Wolfpak '#]],Table2[Rox Wolf'#],0)))</f>
        <v>0</v>
      </c>
      <c r="AB108" s="57">
        <f>rrcworking[[#This Row],[Disposition Volume (MCF) @ 14.65 MCF]]+rrcworking[[#This Row],[Lease Use (MCF)]]</f>
        <v>0</v>
      </c>
      <c r="AC108" s="37"/>
      <c r="AD108" s="37"/>
      <c r="AE108" s="187">
        <f>COUNTIF(FilterList,rrcworking[[#This Row],[Magnum Wolfpak '#]])</f>
        <v>0</v>
      </c>
      <c r="AF108" s="184"/>
      <c r="AG108" s="185"/>
      <c r="AH108" s="37"/>
      <c r="AI108" s="37"/>
      <c r="AJ108" s="37"/>
      <c r="AK108" s="37"/>
      <c r="AL108" s="37"/>
      <c r="AM108" s="37"/>
      <c r="AN108" s="37"/>
      <c r="AO108" s="37"/>
      <c r="AP108" s="37"/>
      <c r="AQ108" s="37"/>
    </row>
    <row r="109" spans="3:43" ht="14">
      <c r="C109" s="80" t="e">
        <v>#N/A</v>
      </c>
      <c r="D109" s="62" t="s">
        <v>238</v>
      </c>
      <c r="E109" s="131" t="s">
        <v>239</v>
      </c>
      <c r="F109" s="129">
        <v>0</v>
      </c>
      <c r="G109" s="120" t="s">
        <v>1091</v>
      </c>
      <c r="H109" s="18" t="s">
        <v>619</v>
      </c>
      <c r="I109" s="18" t="s">
        <v>2</v>
      </c>
      <c r="J109" s="19" t="s">
        <v>508</v>
      </c>
      <c r="K109" s="103">
        <v>12721</v>
      </c>
      <c r="L109" s="101">
        <f>INDEX(Table1[Production],MATCH(rrcworking[[#This Row],[RRC ID Number]],Table1[RRC Identifier],0))</f>
        <v>0</v>
      </c>
      <c r="M109" s="30">
        <f>INDEX(Table1[Formation Production],MATCH(rrcworking[[#This Row],[RRC ID Number]],Table1[RRC Identifier],0))</f>
        <v>0</v>
      </c>
      <c r="N109" s="31">
        <f>INDEX(Table1[On Hand End of Month],MATCH(rrcworking[[#This Row],[RRC ID Number]],Table1[RRC Identifier],0))</f>
        <v>0</v>
      </c>
      <c r="O109" s="106" t="b">
        <f t="shared" si="3"/>
        <v>1</v>
      </c>
      <c r="P109" s="181"/>
      <c r="Q109" s="127">
        <f>rrcworking[[#This Row],[Last Month Closing Stock]]</f>
        <v>0</v>
      </c>
      <c r="R109" s="181">
        <f>rrcworking[[#This Row],[Opening Oil Stock]]</f>
        <v>0</v>
      </c>
      <c r="S109" s="143">
        <f>IF(ISERROR(INDEX(Table2[OIL],MATCH(rrcworking[[#This Row],[Magnum Wolfpak '#]],Table2[Rox Wolf'#],0))),0,INDEX(Table2[OIL],MATCH(rrcworking[[#This Row],[Magnum Wolfpak '#]],Table2[Rox Wolf'#],0)))</f>
        <v>0</v>
      </c>
      <c r="T109" s="35">
        <f>rrcworking[[#This Row],[Closing Stock (Oil)]]+rrcworking[[#This Row],[Sales/Dispostion]]-rrcworking[[#This Row],[Opening Oil Stock]]</f>
        <v>0</v>
      </c>
      <c r="U109" s="112">
        <f>rrcworking[[#This Row],[Gauge Sheet Prod Volume]]-rrcworking[[#This Row],[Oil Production]]</f>
        <v>0</v>
      </c>
      <c r="V109" s="143">
        <f>IF(ISERROR(INDEX(Table2[GAS],MATCH(rrcworking[[#This Row],[Magnum Wolfpak '#]],Table2[Rox Wolf'#],0))),0,INDEX(Table2[GAS],MATCH(rrcworking[[#This Row],[Magnum Wolfpak '#]],Table2[Rox Wolf'#],0)))</f>
        <v>0</v>
      </c>
      <c r="W109" s="24"/>
      <c r="X109" s="135">
        <f>IF(rrcworking[[#This Row],[Pressure Base]]=14.73,rrcworking[[#This Row],[Gas Sales Statement Volume (MCF)]]*$R$2,rrcworking[[#This Row],[Gas Sales Statement Volume (MCF)]])</f>
        <v>0</v>
      </c>
      <c r="Y109" s="60"/>
      <c r="Z109" s="60"/>
      <c r="AA109" s="143">
        <f>IF(ISERROR(INDEX(Table2[LEASE USE],MATCH(rrcworking[[#This Row],[Magnum Wolfpak '#]],Table2[Rox Wolf'#],0))),0,INDEX(Table2[LEASE USE],MATCH(rrcworking[[#This Row],[Magnum Wolfpak '#]],Table2[Rox Wolf'#],0)))</f>
        <v>0</v>
      </c>
      <c r="AB109" s="57">
        <f>rrcworking[[#This Row],[Disposition Volume (MCF) @ 14.65 MCF]]+rrcworking[[#This Row],[Lease Use (MCF)]]</f>
        <v>0</v>
      </c>
      <c r="AC109" s="37"/>
      <c r="AD109" s="37"/>
      <c r="AE109" s="187">
        <f>COUNTIF(FilterList,rrcworking[[#This Row],[Magnum Wolfpak '#]])</f>
        <v>0</v>
      </c>
      <c r="AF109" s="184"/>
      <c r="AG109" s="185"/>
      <c r="AH109" s="37"/>
      <c r="AI109" s="37"/>
      <c r="AJ109" s="37"/>
      <c r="AK109" s="37"/>
      <c r="AL109" s="37"/>
      <c r="AM109" s="37"/>
      <c r="AN109" s="37"/>
      <c r="AO109" s="37"/>
      <c r="AP109" s="37"/>
      <c r="AQ109" s="37"/>
    </row>
    <row r="110" spans="3:43" ht="14">
      <c r="C110" s="80" t="e">
        <v>#N/A</v>
      </c>
      <c r="D110" s="62" t="s">
        <v>385</v>
      </c>
      <c r="E110" s="131" t="s">
        <v>386</v>
      </c>
      <c r="F110" s="129">
        <v>4</v>
      </c>
      <c r="G110" s="120" t="s">
        <v>1091</v>
      </c>
      <c r="H110" s="18" t="s">
        <v>620</v>
      </c>
      <c r="I110" s="18" t="s">
        <v>59</v>
      </c>
      <c r="J110" s="19" t="s">
        <v>598</v>
      </c>
      <c r="K110" s="103">
        <v>190124</v>
      </c>
      <c r="L110" s="101">
        <f>INDEX(Table1[Production],MATCH(rrcworking[[#This Row],[RRC ID Number]],Table1[RRC Identifier],0))</f>
        <v>0</v>
      </c>
      <c r="M110" s="30">
        <f>INDEX(Table1[Formation Production],MATCH(rrcworking[[#This Row],[RRC ID Number]],Table1[RRC Identifier],0))</f>
        <v>0</v>
      </c>
      <c r="N110" s="31">
        <f>INDEX(Table1[On Hand End of Month],MATCH(rrcworking[[#This Row],[RRC ID Number]],Table1[RRC Identifier],0))</f>
        <v>0</v>
      </c>
      <c r="O110" s="106" t="b">
        <f t="shared" si="3"/>
        <v>1</v>
      </c>
      <c r="P110" s="181"/>
      <c r="Q110" s="127">
        <f>rrcworking[[#This Row],[Last Month Closing Stock]]</f>
        <v>0</v>
      </c>
      <c r="R110" s="181">
        <f>rrcworking[[#This Row],[Opening Oil Stock]]</f>
        <v>0</v>
      </c>
      <c r="S110" s="143">
        <f>IF(ISERROR(INDEX(Table2[OIL],MATCH(rrcworking[[#This Row],[Magnum Wolfpak '#]],Table2[Rox Wolf'#],0))),0,INDEX(Table2[OIL],MATCH(rrcworking[[#This Row],[Magnum Wolfpak '#]],Table2[Rox Wolf'#],0)))</f>
        <v>0</v>
      </c>
      <c r="T110" s="35">
        <f>rrcworking[[#This Row],[Closing Stock (Oil)]]+rrcworking[[#This Row],[Sales/Dispostion]]-rrcworking[[#This Row],[Opening Oil Stock]]</f>
        <v>0</v>
      </c>
      <c r="U110" s="112">
        <f>rrcworking[[#This Row],[Gauge Sheet Prod Volume]]-rrcworking[[#This Row],[Oil Production]]</f>
        <v>0</v>
      </c>
      <c r="V110" s="143">
        <f>IF(ISERROR(INDEX(Table2[GAS],MATCH(rrcworking[[#This Row],[Magnum Wolfpak '#]],Table2[Rox Wolf'#],0))),0,INDEX(Table2[GAS],MATCH(rrcworking[[#This Row],[Magnum Wolfpak '#]],Table2[Rox Wolf'#],0)))</f>
        <v>0</v>
      </c>
      <c r="W110" s="24"/>
      <c r="X110" s="135">
        <f>IF(rrcworking[[#This Row],[Pressure Base]]=14.73,rrcworking[[#This Row],[Gas Sales Statement Volume (MCF)]]*$R$2,rrcworking[[#This Row],[Gas Sales Statement Volume (MCF)]])</f>
        <v>0</v>
      </c>
      <c r="Y110" s="60"/>
      <c r="Z110" s="60"/>
      <c r="AA110" s="143">
        <f>IF(ISERROR(INDEX(Table2[LEASE USE],MATCH(rrcworking[[#This Row],[Magnum Wolfpak '#]],Table2[Rox Wolf'#],0))),0,INDEX(Table2[LEASE USE],MATCH(rrcworking[[#This Row],[Magnum Wolfpak '#]],Table2[Rox Wolf'#],0)))</f>
        <v>0</v>
      </c>
      <c r="AB110" s="57">
        <f>rrcworking[[#This Row],[Disposition Volume (MCF) @ 14.65 MCF]]+rrcworking[[#This Row],[Lease Use (MCF)]]</f>
        <v>0</v>
      </c>
      <c r="AC110" s="37"/>
      <c r="AD110" s="37"/>
      <c r="AE110" s="187">
        <f>COUNTIF(FilterList,rrcworking[[#This Row],[Magnum Wolfpak '#]])</f>
        <v>0</v>
      </c>
      <c r="AF110" s="184"/>
      <c r="AG110" s="185"/>
      <c r="AH110" s="37"/>
      <c r="AI110" s="37"/>
      <c r="AJ110" s="37"/>
      <c r="AK110" s="37"/>
      <c r="AL110" s="37"/>
      <c r="AM110" s="37"/>
      <c r="AN110" s="37"/>
      <c r="AO110" s="37"/>
      <c r="AP110" s="37"/>
      <c r="AQ110" s="37"/>
    </row>
    <row r="111" spans="3:43" ht="70">
      <c r="C111" s="80">
        <v>99128</v>
      </c>
      <c r="D111" s="62" t="s">
        <v>391</v>
      </c>
      <c r="E111" s="131" t="s">
        <v>386</v>
      </c>
      <c r="F111" s="129" t="s">
        <v>392</v>
      </c>
      <c r="G111" s="120">
        <v>5050</v>
      </c>
      <c r="H111" s="21" t="s">
        <v>620</v>
      </c>
      <c r="I111" s="21" t="s">
        <v>59</v>
      </c>
      <c r="J111" s="19" t="s">
        <v>601</v>
      </c>
      <c r="K111" s="103">
        <v>66093</v>
      </c>
      <c r="L111" s="101">
        <f>INDEX(Table1[Production],MATCH(rrcworking[[#This Row],[RRC ID Number]],Table1[RRC Identifier],0))</f>
        <v>129</v>
      </c>
      <c r="M111" s="30">
        <f>INDEX(Table1[Formation Production],MATCH(rrcworking[[#This Row],[RRC ID Number]],Table1[RRC Identifier],0))</f>
        <v>2301</v>
      </c>
      <c r="N111" s="31">
        <f>INDEX(Table1[On Hand End of Month],MATCH(rrcworking[[#This Row],[RRC ID Number]],Table1[RRC Identifier],0))</f>
        <v>180</v>
      </c>
      <c r="O111" s="106" t="b">
        <f t="shared" si="3"/>
        <v>0</v>
      </c>
      <c r="P111" s="181">
        <v>24</v>
      </c>
      <c r="Q111" s="127">
        <f>rrcworking[[#This Row],[Last Month Closing Stock]]</f>
        <v>180</v>
      </c>
      <c r="R111" s="182">
        <v>204</v>
      </c>
      <c r="S111" s="143">
        <f>IF(ISERROR(INDEX(Table2[OIL],MATCH(rrcworking[[#This Row],[Magnum Wolfpak '#]],Table2[Rox Wolf'#],0))),0,INDEX(Table2[OIL],MATCH(rrcworking[[#This Row],[Magnum Wolfpak '#]],Table2[Rox Wolf'#],0)))</f>
        <v>0</v>
      </c>
      <c r="T111" s="35">
        <f>rrcworking[[#This Row],[Closing Stock (Oil)]]+rrcworking[[#This Row],[Sales/Dispostion]]-rrcworking[[#This Row],[Opening Oil Stock]]</f>
        <v>24</v>
      </c>
      <c r="U111" s="112">
        <f>rrcworking[[#This Row],[Gauge Sheet Prod Volume]]-rrcworking[[#This Row],[Oil Production]]</f>
        <v>0</v>
      </c>
      <c r="V111" s="143">
        <f>IF(ISERROR(INDEX(Table2[GAS],MATCH(rrcworking[[#This Row],[Magnum Wolfpak '#]],Table2[Rox Wolf'#],0))),0,INDEX(Table2[GAS],MATCH(rrcworking[[#This Row],[Magnum Wolfpak '#]],Table2[Rox Wolf'#],0)))</f>
        <v>6331</v>
      </c>
      <c r="W111" s="24"/>
      <c r="X111" s="135">
        <f>IF(rrcworking[[#This Row],[Pressure Base]]=14.73,rrcworking[[#This Row],[Gas Sales Statement Volume (MCF)]]*$R$2,rrcworking[[#This Row],[Gas Sales Statement Volume (MCF)]])</f>
        <v>6331</v>
      </c>
      <c r="Y111" s="85"/>
      <c r="Z111" s="60">
        <v>10</v>
      </c>
      <c r="AA111" s="143">
        <f>IF(ISERROR(INDEX(Table2[LEASE USE],MATCH(rrcworking[[#This Row],[Magnum Wolfpak '#]],Table2[Rox Wolf'#],0))),0,INDEX(Table2[LEASE USE],MATCH(rrcworking[[#This Row],[Magnum Wolfpak '#]],Table2[Rox Wolf'#],0)))</f>
        <v>310</v>
      </c>
      <c r="AB111" s="57">
        <f>rrcworking[[#This Row],[Disposition Volume (MCF) @ 14.65 MCF]]+rrcworking[[#This Row],[Lease Use (MCF)]]</f>
        <v>6641</v>
      </c>
      <c r="AC111" s="37"/>
      <c r="AD111" s="37" t="s">
        <v>1276</v>
      </c>
      <c r="AE111" s="187">
        <f>COUNTIF(FilterList,rrcworking[[#This Row],[Magnum Wolfpak '#]])</f>
        <v>0</v>
      </c>
      <c r="AF111" s="184"/>
      <c r="AG111" s="185"/>
      <c r="AH111" s="37"/>
      <c r="AI111" s="185"/>
      <c r="AJ111" s="186"/>
      <c r="AK111" s="186"/>
      <c r="AL111" s="186"/>
      <c r="AM111" s="186"/>
      <c r="AN111" s="186"/>
      <c r="AO111" s="186"/>
      <c r="AP111" s="37" t="s">
        <v>1165</v>
      </c>
      <c r="AQ111" s="37" t="s">
        <v>1208</v>
      </c>
    </row>
    <row r="112" spans="3:43" ht="112">
      <c r="C112" s="80">
        <v>99134</v>
      </c>
      <c r="D112" s="62" t="s">
        <v>362</v>
      </c>
      <c r="E112" s="131" t="s">
        <v>363</v>
      </c>
      <c r="F112" s="129" t="s">
        <v>364</v>
      </c>
      <c r="G112" s="120">
        <v>5050</v>
      </c>
      <c r="H112" s="18" t="s">
        <v>620</v>
      </c>
      <c r="I112" s="18" t="s">
        <v>59</v>
      </c>
      <c r="J112" s="19" t="s">
        <v>585</v>
      </c>
      <c r="K112" s="103">
        <v>276012</v>
      </c>
      <c r="L112" s="101">
        <f>INDEX(Table1[Production],MATCH(rrcworking[[#This Row],[RRC ID Number]],Table1[RRC Identifier],0))</f>
        <v>0</v>
      </c>
      <c r="M112" s="30">
        <f>INDEX(Table1[Formation Production],MATCH(rrcworking[[#This Row],[RRC ID Number]],Table1[RRC Identifier],0))</f>
        <v>3001</v>
      </c>
      <c r="N112" s="31">
        <f>INDEX(Table1[On Hand End of Month],MATCH(rrcworking[[#This Row],[RRC ID Number]],Table1[RRC Identifier],0))</f>
        <v>36</v>
      </c>
      <c r="O112" s="106" t="b">
        <f t="shared" si="3"/>
        <v>0</v>
      </c>
      <c r="P112" s="181">
        <v>0</v>
      </c>
      <c r="Q112" s="127">
        <f>rrcworking[[#This Row],[Last Month Closing Stock]]</f>
        <v>36</v>
      </c>
      <c r="R112" s="181">
        <v>36</v>
      </c>
      <c r="S112" s="143">
        <f>IF(ISERROR(INDEX(Table2[OIL],MATCH(rrcworking[[#This Row],[Magnum Wolfpak '#]],Table2[Rox Wolf'#],0))),0,INDEX(Table2[OIL],MATCH(rrcworking[[#This Row],[Magnum Wolfpak '#]],Table2[Rox Wolf'#],0)))</f>
        <v>0</v>
      </c>
      <c r="T112" s="35">
        <f>rrcworking[[#This Row],[Closing Stock (Oil)]]+rrcworking[[#This Row],[Sales/Dispostion]]-rrcworking[[#This Row],[Opening Oil Stock]]</f>
        <v>0</v>
      </c>
      <c r="U112" s="112">
        <f>rrcworking[[#This Row],[Gauge Sheet Prod Volume]]-rrcworking[[#This Row],[Oil Production]]</f>
        <v>0</v>
      </c>
      <c r="V112" s="143">
        <f>IF(ISERROR(INDEX(Table2[GAS],MATCH(rrcworking[[#This Row],[Magnum Wolfpak '#]],Table2[Rox Wolf'#],0))),0,INDEX(Table2[GAS],MATCH(rrcworking[[#This Row],[Magnum Wolfpak '#]],Table2[Rox Wolf'#],0)))</f>
        <v>3372</v>
      </c>
      <c r="W112" s="24"/>
      <c r="X112" s="135">
        <f>IF(rrcworking[[#This Row],[Pressure Base]]=14.73,rrcworking[[#This Row],[Gas Sales Statement Volume (MCF)]]*$R$2,rrcworking[[#This Row],[Gas Sales Statement Volume (MCF)]])</f>
        <v>3372</v>
      </c>
      <c r="Y112" s="60"/>
      <c r="Z112" s="60">
        <v>0</v>
      </c>
      <c r="AA112" s="143">
        <f>IF(ISERROR(INDEX(Table2[LEASE USE],MATCH(rrcworking[[#This Row],[Magnum Wolfpak '#]],Table2[Rox Wolf'#],0))),0,INDEX(Table2[LEASE USE],MATCH(rrcworking[[#This Row],[Magnum Wolfpak '#]],Table2[Rox Wolf'#],0)))</f>
        <v>0</v>
      </c>
      <c r="AB112" s="57">
        <f>rrcworking[[#This Row],[Disposition Volume (MCF) @ 14.65 MCF]]+rrcworking[[#This Row],[Lease Use (MCF)]]</f>
        <v>3372</v>
      </c>
      <c r="AC112" s="37"/>
      <c r="AD112" s="37" t="s">
        <v>1270</v>
      </c>
      <c r="AE112" s="187">
        <f>COUNTIF(FilterList,rrcworking[[#This Row],[Magnum Wolfpak '#]])</f>
        <v>0</v>
      </c>
      <c r="AF112" s="184"/>
      <c r="AG112" s="185"/>
      <c r="AH112" s="37"/>
      <c r="AI112" s="37"/>
      <c r="AJ112" s="186"/>
      <c r="AK112" s="186"/>
      <c r="AL112" s="186"/>
      <c r="AM112" s="186"/>
      <c r="AN112" s="186"/>
      <c r="AO112" s="186"/>
      <c r="AP112" s="37" t="s">
        <v>1165</v>
      </c>
      <c r="AQ112" s="37" t="s">
        <v>1191</v>
      </c>
    </row>
    <row r="113" spans="3:43" ht="42">
      <c r="C113" s="80">
        <v>99216</v>
      </c>
      <c r="D113" s="62" t="s">
        <v>210</v>
      </c>
      <c r="E113" s="131" t="s">
        <v>213</v>
      </c>
      <c r="F113" s="140" t="s">
        <v>911</v>
      </c>
      <c r="G113" s="120" t="s">
        <v>1091</v>
      </c>
      <c r="H113" s="18" t="s">
        <v>619</v>
      </c>
      <c r="I113" s="18" t="s">
        <v>2</v>
      </c>
      <c r="J113" s="19" t="s">
        <v>496</v>
      </c>
      <c r="K113" s="103">
        <v>26743</v>
      </c>
      <c r="L113" s="101">
        <f>INDEX(Table1[Production],MATCH(rrcworking[[#This Row],[RRC ID Number]],Table1[RRC Identifier],0))</f>
        <v>0</v>
      </c>
      <c r="M113" s="30">
        <f>INDEX(Table1[Formation Production],MATCH(rrcworking[[#This Row],[RRC ID Number]],Table1[RRC Identifier],0))</f>
        <v>0</v>
      </c>
      <c r="N113" s="31">
        <f>INDEX(Table1[On Hand End of Month],MATCH(rrcworking[[#This Row],[RRC ID Number]],Table1[RRC Identifier],0))</f>
        <v>0</v>
      </c>
      <c r="O113" s="106" t="b">
        <f t="shared" si="3"/>
        <v>1</v>
      </c>
      <c r="P113" s="181"/>
      <c r="Q113" s="127">
        <f>rrcworking[[#This Row],[Last Month Closing Stock]]</f>
        <v>0</v>
      </c>
      <c r="R113" s="181">
        <f>rrcworking[[#This Row],[Opening Oil Stock]]</f>
        <v>0</v>
      </c>
      <c r="S113" s="143">
        <f>IF(ISERROR(INDEX(Table2[OIL],MATCH(rrcworking[[#This Row],[Magnum Wolfpak '#]],Table2[Rox Wolf'#],0))),0,INDEX(Table2[OIL],MATCH(rrcworking[[#This Row],[Magnum Wolfpak '#]],Table2[Rox Wolf'#],0)))</f>
        <v>0</v>
      </c>
      <c r="T113" s="35">
        <f>rrcworking[[#This Row],[Closing Stock (Oil)]]+rrcworking[[#This Row],[Sales/Dispostion]]-rrcworking[[#This Row],[Opening Oil Stock]]</f>
        <v>0</v>
      </c>
      <c r="U113" s="112">
        <f>rrcworking[[#This Row],[Gauge Sheet Prod Volume]]-rrcworking[[#This Row],[Oil Production]]</f>
        <v>0</v>
      </c>
      <c r="V113" s="143">
        <f>IF(ISERROR(INDEX(Table2[GAS],MATCH(rrcworking[[#This Row],[Magnum Wolfpak '#]],Table2[Rox Wolf'#],0))),0,INDEX(Table2[GAS],MATCH(rrcworking[[#This Row],[Magnum Wolfpak '#]],Table2[Rox Wolf'#],0)))</f>
        <v>0</v>
      </c>
      <c r="W113" s="24"/>
      <c r="X113" s="135">
        <f>IF(rrcworking[[#This Row],[Pressure Base]]=14.73,rrcworking[[#This Row],[Gas Sales Statement Volume (MCF)]]*$R$2,rrcworking[[#This Row],[Gas Sales Statement Volume (MCF)]])</f>
        <v>0</v>
      </c>
      <c r="Y113" s="60"/>
      <c r="Z113" s="60">
        <v>2</v>
      </c>
      <c r="AA113" s="143">
        <f>IF(ISERROR(INDEX(Table2[LEASE USE],MATCH(rrcworking[[#This Row],[Magnum Wolfpak '#]],Table2[Rox Wolf'#],0))),0,INDEX(Table2[LEASE USE],MATCH(rrcworking[[#This Row],[Magnum Wolfpak '#]],Table2[Rox Wolf'#],0)))</f>
        <v>0</v>
      </c>
      <c r="AB113" s="57">
        <f>rrcworking[[#This Row],[Disposition Volume (MCF) @ 14.65 MCF]]+rrcworking[[#This Row],[Lease Use (MCF)]]</f>
        <v>0</v>
      </c>
      <c r="AC113" s="37"/>
      <c r="AD113" s="37" t="s">
        <v>1137</v>
      </c>
      <c r="AE113" s="187">
        <f>COUNTIF(FilterList,rrcworking[[#This Row],[Magnum Wolfpak '#]])</f>
        <v>0</v>
      </c>
      <c r="AF113" s="184"/>
      <c r="AG113" s="185"/>
      <c r="AH113" s="87"/>
      <c r="AI113" s="87"/>
      <c r="AJ113" s="186"/>
      <c r="AK113" s="186"/>
      <c r="AL113" s="186"/>
      <c r="AM113" s="186"/>
      <c r="AN113" s="186"/>
      <c r="AO113" s="186"/>
      <c r="AP113" s="37" t="s">
        <v>1165</v>
      </c>
      <c r="AQ113" s="37" t="s">
        <v>1191</v>
      </c>
    </row>
    <row r="114" spans="3:43" ht="28">
      <c r="C114" s="80">
        <v>99186</v>
      </c>
      <c r="D114" s="170" t="s">
        <v>210</v>
      </c>
      <c r="E114" s="3" t="s">
        <v>219</v>
      </c>
      <c r="F114" s="140" t="s">
        <v>57</v>
      </c>
      <c r="G114" s="120"/>
      <c r="H114" s="166" t="s">
        <v>619</v>
      </c>
      <c r="I114" s="166" t="s">
        <v>2</v>
      </c>
      <c r="J114" s="165" t="s">
        <v>1138</v>
      </c>
      <c r="K114" s="103">
        <v>27533</v>
      </c>
      <c r="L114" s="101">
        <f>INDEX(Table1[Production],MATCH(rrcworking[[#This Row],[RRC ID Number]],Table1[RRC Identifier],0))</f>
        <v>310</v>
      </c>
      <c r="M114" s="30">
        <f>INDEX(Table1[Formation Production],MATCH(rrcworking[[#This Row],[RRC ID Number]],Table1[RRC Identifier],0))</f>
        <v>174</v>
      </c>
      <c r="N114" s="31">
        <f>INDEX(Table1[On Hand End of Month],MATCH(rrcworking[[#This Row],[RRC ID Number]],Table1[RRC Identifier],0))</f>
        <v>208</v>
      </c>
      <c r="O114" s="106" t="b">
        <f>IF(AND(L114=0,M114=0), TRUE, FALSE)</f>
        <v>0</v>
      </c>
      <c r="P114" s="181">
        <v>389</v>
      </c>
      <c r="Q114" s="127">
        <f>rrcworking[[#This Row],[Last Month Closing Stock]]</f>
        <v>208</v>
      </c>
      <c r="R114" s="181">
        <v>76</v>
      </c>
      <c r="S114" s="143">
        <f>IF(ISERROR(INDEX(Table2[OIL],MATCH(rrcworking[[#This Row],[Magnum Wolfpak '#]],Table2[Rox Wolf'#],0))),0,INDEX(Table2[OIL],MATCH(rrcworking[[#This Row],[Magnum Wolfpak '#]],Table2[Rox Wolf'#],0)))</f>
        <v>514</v>
      </c>
      <c r="T114" s="35">
        <f>rrcworking[[#This Row],[Closing Stock (Oil)]]+rrcworking[[#This Row],[Sales/Dispostion]]-rrcworking[[#This Row],[Opening Oil Stock]]</f>
        <v>382</v>
      </c>
      <c r="U114" s="112">
        <f>rrcworking[[#This Row],[Gauge Sheet Prod Volume]]-rrcworking[[#This Row],[Oil Production]]</f>
        <v>7</v>
      </c>
      <c r="V114" s="143">
        <f>IF(ISERROR(INDEX(Table2[GAS],MATCH(rrcworking[[#This Row],[Magnum Wolfpak '#]],Table2[Rox Wolf'#],0))),0,INDEX(Table2[GAS],MATCH(rrcworking[[#This Row],[Magnum Wolfpak '#]],Table2[Rox Wolf'#],0)))</f>
        <v>0</v>
      </c>
      <c r="W114" s="24"/>
      <c r="X114" s="135">
        <f>IF(rrcworking[[#This Row],[Pressure Base]]=14.73,rrcworking[[#This Row],[Gas Sales Statement Volume (MCF)]]*$R$2,rrcworking[[#This Row],[Gas Sales Statement Volume (MCF)]])</f>
        <v>0</v>
      </c>
      <c r="Y114" s="60"/>
      <c r="Z114" s="60"/>
      <c r="AA114" s="143">
        <f>IF(ISERROR(INDEX(Table2[LEASE USE],MATCH(rrcworking[[#This Row],[Magnum Wolfpak '#]],Table2[Rox Wolf'#],0))),0,INDEX(Table2[LEASE USE],MATCH(rrcworking[[#This Row],[Magnum Wolfpak '#]],Table2[Rox Wolf'#],0)))</f>
        <v>0</v>
      </c>
      <c r="AB114" s="57">
        <f>rrcworking[[#This Row],[Disposition Volume (MCF) @ 14.65 MCF]]+rrcworking[[#This Row],[Lease Use (MCF)]]</f>
        <v>0</v>
      </c>
      <c r="AC114" s="37"/>
      <c r="AD114" s="37" t="s">
        <v>1139</v>
      </c>
      <c r="AE114" s="187">
        <f>COUNTIF(FilterList,rrcworking[[#This Row],[Magnum Wolfpak '#]])</f>
        <v>0</v>
      </c>
      <c r="AF114" s="184"/>
      <c r="AG114" s="185"/>
      <c r="AH114" s="87"/>
      <c r="AI114" s="87"/>
      <c r="AJ114" s="186"/>
      <c r="AK114" s="186"/>
      <c r="AL114" s="186"/>
      <c r="AM114" s="186"/>
      <c r="AN114" s="186"/>
      <c r="AO114" s="186"/>
      <c r="AP114" s="37" t="s">
        <v>1165</v>
      </c>
      <c r="AQ114" s="37" t="s">
        <v>1209</v>
      </c>
    </row>
    <row r="115" spans="3:43" ht="14">
      <c r="C115" s="80" t="e">
        <v>#N/A</v>
      </c>
      <c r="D115" s="62" t="s">
        <v>218</v>
      </c>
      <c r="E115" s="131" t="s">
        <v>219</v>
      </c>
      <c r="F115" s="129">
        <v>7</v>
      </c>
      <c r="G115" s="120" t="s">
        <v>1091</v>
      </c>
      <c r="H115" s="18" t="s">
        <v>619</v>
      </c>
      <c r="I115" s="18" t="s">
        <v>59</v>
      </c>
      <c r="J115" s="19" t="s">
        <v>499</v>
      </c>
      <c r="K115" s="103">
        <v>229081</v>
      </c>
      <c r="L115" s="101">
        <f>INDEX(Table1[Production],MATCH(rrcworking[[#This Row],[RRC ID Number]],Table1[RRC Identifier],0))</f>
        <v>0</v>
      </c>
      <c r="M115" s="30">
        <f>INDEX(Table1[Formation Production],MATCH(rrcworking[[#This Row],[RRC ID Number]],Table1[RRC Identifier],0))</f>
        <v>0</v>
      </c>
      <c r="N115" s="31">
        <f>INDEX(Table1[On Hand End of Month],MATCH(rrcworking[[#This Row],[RRC ID Number]],Table1[RRC Identifier],0))</f>
        <v>0</v>
      </c>
      <c r="O115" s="106" t="b">
        <f t="shared" si="3"/>
        <v>1</v>
      </c>
      <c r="P115" s="181"/>
      <c r="Q115" s="127">
        <f>rrcworking[[#This Row],[Last Month Closing Stock]]</f>
        <v>0</v>
      </c>
      <c r="R115" s="181">
        <f>rrcworking[[#This Row],[Opening Oil Stock]]</f>
        <v>0</v>
      </c>
      <c r="S115" s="143">
        <f>IF(ISERROR(INDEX(Table2[OIL],MATCH(rrcworking[[#This Row],[Magnum Wolfpak '#]],Table2[Rox Wolf'#],0))),0,INDEX(Table2[OIL],MATCH(rrcworking[[#This Row],[Magnum Wolfpak '#]],Table2[Rox Wolf'#],0)))</f>
        <v>0</v>
      </c>
      <c r="T115" s="35">
        <f>rrcworking[[#This Row],[Closing Stock (Oil)]]+rrcworking[[#This Row],[Sales/Dispostion]]-rrcworking[[#This Row],[Opening Oil Stock]]</f>
        <v>0</v>
      </c>
      <c r="U115" s="112">
        <f>rrcworking[[#This Row],[Gauge Sheet Prod Volume]]-rrcworking[[#This Row],[Oil Production]]</f>
        <v>0</v>
      </c>
      <c r="V115" s="143">
        <f>IF(ISERROR(INDEX(Table2[GAS],MATCH(rrcworking[[#This Row],[Magnum Wolfpak '#]],Table2[Rox Wolf'#],0))),0,INDEX(Table2[GAS],MATCH(rrcworking[[#This Row],[Magnum Wolfpak '#]],Table2[Rox Wolf'#],0)))</f>
        <v>0</v>
      </c>
      <c r="W115" s="24"/>
      <c r="X115" s="135">
        <f>IF(rrcworking[[#This Row],[Pressure Base]]=14.73,rrcworking[[#This Row],[Gas Sales Statement Volume (MCF)]]*$R$2,rrcworking[[#This Row],[Gas Sales Statement Volume (MCF)]])</f>
        <v>0</v>
      </c>
      <c r="Y115" s="60"/>
      <c r="Z115" s="60"/>
      <c r="AA115" s="143">
        <f>IF(ISERROR(INDEX(Table2[LEASE USE],MATCH(rrcworking[[#This Row],[Magnum Wolfpak '#]],Table2[Rox Wolf'#],0))),0,INDEX(Table2[LEASE USE],MATCH(rrcworking[[#This Row],[Magnum Wolfpak '#]],Table2[Rox Wolf'#],0)))</f>
        <v>0</v>
      </c>
      <c r="AB115" s="57">
        <f>rrcworking[[#This Row],[Disposition Volume (MCF) @ 14.65 MCF]]+rrcworking[[#This Row],[Lease Use (MCF)]]</f>
        <v>0</v>
      </c>
      <c r="AC115" s="37"/>
      <c r="AD115" s="37"/>
      <c r="AE115" s="187">
        <f>COUNTIF(FilterList,rrcworking[[#This Row],[Magnum Wolfpak '#]])</f>
        <v>0</v>
      </c>
      <c r="AF115" s="184"/>
      <c r="AG115" s="185"/>
      <c r="AH115" s="37"/>
      <c r="AI115" s="37"/>
      <c r="AJ115" s="37"/>
      <c r="AK115" s="37"/>
      <c r="AL115" s="37"/>
      <c r="AM115" s="37"/>
      <c r="AN115" s="37"/>
      <c r="AO115" s="37"/>
      <c r="AP115" s="37"/>
      <c r="AQ115" s="37"/>
    </row>
    <row r="116" spans="3:43" ht="14">
      <c r="C116" s="80" t="e">
        <v>#N/A</v>
      </c>
      <c r="D116" s="62" t="s">
        <v>333</v>
      </c>
      <c r="E116" s="131" t="s">
        <v>334</v>
      </c>
      <c r="F116" s="129">
        <v>2</v>
      </c>
      <c r="G116" s="120" t="s">
        <v>1091</v>
      </c>
      <c r="H116" s="18" t="s">
        <v>620</v>
      </c>
      <c r="I116" s="18" t="s">
        <v>59</v>
      </c>
      <c r="J116" s="19" t="s">
        <v>568</v>
      </c>
      <c r="K116" s="103">
        <v>54242</v>
      </c>
      <c r="L116" s="101">
        <f>INDEX(Table1[Production],MATCH(rrcworking[[#This Row],[RRC ID Number]],Table1[RRC Identifier],0))</f>
        <v>0</v>
      </c>
      <c r="M116" s="30">
        <f>INDEX(Table1[Formation Production],MATCH(rrcworking[[#This Row],[RRC ID Number]],Table1[RRC Identifier],0))</f>
        <v>0</v>
      </c>
      <c r="N116" s="31">
        <f>INDEX(Table1[On Hand End of Month],MATCH(rrcworking[[#This Row],[RRC ID Number]],Table1[RRC Identifier],0))</f>
        <v>0</v>
      </c>
      <c r="O116" s="106" t="b">
        <f t="shared" si="3"/>
        <v>1</v>
      </c>
      <c r="P116" s="181"/>
      <c r="Q116" s="127">
        <f>rrcworking[[#This Row],[Last Month Closing Stock]]</f>
        <v>0</v>
      </c>
      <c r="R116" s="181">
        <f>rrcworking[[#This Row],[Opening Oil Stock]]</f>
        <v>0</v>
      </c>
      <c r="S116" s="143">
        <f>IF(ISERROR(INDEX(Table2[OIL],MATCH(rrcworking[[#This Row],[Magnum Wolfpak '#]],Table2[Rox Wolf'#],0))),0,INDEX(Table2[OIL],MATCH(rrcworking[[#This Row],[Magnum Wolfpak '#]],Table2[Rox Wolf'#],0)))</f>
        <v>0</v>
      </c>
      <c r="T116" s="35">
        <f>rrcworking[[#This Row],[Closing Stock (Oil)]]+rrcworking[[#This Row],[Sales/Dispostion]]-rrcworking[[#This Row],[Opening Oil Stock]]</f>
        <v>0</v>
      </c>
      <c r="U116" s="112">
        <f>rrcworking[[#This Row],[Gauge Sheet Prod Volume]]-rrcworking[[#This Row],[Oil Production]]</f>
        <v>0</v>
      </c>
      <c r="V116" s="143">
        <f>IF(ISERROR(INDEX(Table2[GAS],MATCH(rrcworking[[#This Row],[Magnum Wolfpak '#]],Table2[Rox Wolf'#],0))),0,INDEX(Table2[GAS],MATCH(rrcworking[[#This Row],[Magnum Wolfpak '#]],Table2[Rox Wolf'#],0)))</f>
        <v>0</v>
      </c>
      <c r="W116" s="24"/>
      <c r="X116" s="135">
        <f>IF(rrcworking[[#This Row],[Pressure Base]]=14.73,rrcworking[[#This Row],[Gas Sales Statement Volume (MCF)]]*$R$2,rrcworking[[#This Row],[Gas Sales Statement Volume (MCF)]])</f>
        <v>0</v>
      </c>
      <c r="Y116" s="60"/>
      <c r="Z116" s="60"/>
      <c r="AA116" s="143">
        <f>IF(ISERROR(INDEX(Table2[LEASE USE],MATCH(rrcworking[[#This Row],[Magnum Wolfpak '#]],Table2[Rox Wolf'#],0))),0,INDEX(Table2[LEASE USE],MATCH(rrcworking[[#This Row],[Magnum Wolfpak '#]],Table2[Rox Wolf'#],0)))</f>
        <v>0</v>
      </c>
      <c r="AB116" s="57">
        <f>rrcworking[[#This Row],[Disposition Volume (MCF) @ 14.65 MCF]]+rrcworking[[#This Row],[Lease Use (MCF)]]</f>
        <v>0</v>
      </c>
      <c r="AC116" s="37"/>
      <c r="AD116" s="37"/>
      <c r="AE116" s="187">
        <f>COUNTIF(FilterList,rrcworking[[#This Row],[Magnum Wolfpak '#]])</f>
        <v>0</v>
      </c>
      <c r="AF116" s="184"/>
      <c r="AG116" s="185"/>
      <c r="AH116" s="37"/>
      <c r="AI116" s="37"/>
      <c r="AJ116" s="37"/>
      <c r="AK116" s="37"/>
      <c r="AL116" s="37"/>
      <c r="AM116" s="37"/>
      <c r="AN116" s="37"/>
      <c r="AO116" s="37"/>
      <c r="AP116" s="37"/>
      <c r="AQ116" s="37"/>
    </row>
    <row r="117" spans="3:43" ht="14">
      <c r="C117" s="80" t="e">
        <v>#N/A</v>
      </c>
      <c r="D117" s="62" t="s">
        <v>123</v>
      </c>
      <c r="E117" s="131" t="s">
        <v>124</v>
      </c>
      <c r="F117" s="129">
        <v>0</v>
      </c>
      <c r="G117" s="120" t="s">
        <v>1091</v>
      </c>
      <c r="H117" s="18" t="s">
        <v>618</v>
      </c>
      <c r="I117" s="18" t="s">
        <v>2</v>
      </c>
      <c r="J117" s="19" t="s">
        <v>443</v>
      </c>
      <c r="K117" s="103">
        <v>8635</v>
      </c>
      <c r="L117" s="101">
        <f>INDEX(Table1[Production],MATCH(rrcworking[[#This Row],[RRC ID Number]],Table1[RRC Identifier],0))</f>
        <v>0</v>
      </c>
      <c r="M117" s="30">
        <f>INDEX(Table1[Formation Production],MATCH(rrcworking[[#This Row],[RRC ID Number]],Table1[RRC Identifier],0))</f>
        <v>0</v>
      </c>
      <c r="N117" s="31">
        <f>INDEX(Table1[On Hand End of Month],MATCH(rrcworking[[#This Row],[RRC ID Number]],Table1[RRC Identifier],0))</f>
        <v>0</v>
      </c>
      <c r="O117" s="106" t="b">
        <f t="shared" si="3"/>
        <v>1</v>
      </c>
      <c r="P117" s="181"/>
      <c r="Q117" s="127">
        <f>rrcworking[[#This Row],[Last Month Closing Stock]]</f>
        <v>0</v>
      </c>
      <c r="R117" s="181">
        <f>rrcworking[[#This Row],[Opening Oil Stock]]</f>
        <v>0</v>
      </c>
      <c r="S117" s="143">
        <f>IF(ISERROR(INDEX(Table2[OIL],MATCH(rrcworking[[#This Row],[Magnum Wolfpak '#]],Table2[Rox Wolf'#],0))),0,INDEX(Table2[OIL],MATCH(rrcworking[[#This Row],[Magnum Wolfpak '#]],Table2[Rox Wolf'#],0)))</f>
        <v>0</v>
      </c>
      <c r="T117" s="35">
        <f>rrcworking[[#This Row],[Closing Stock (Oil)]]+rrcworking[[#This Row],[Sales/Dispostion]]-rrcworking[[#This Row],[Opening Oil Stock]]</f>
        <v>0</v>
      </c>
      <c r="U117" s="112">
        <f>rrcworking[[#This Row],[Gauge Sheet Prod Volume]]-rrcworking[[#This Row],[Oil Production]]</f>
        <v>0</v>
      </c>
      <c r="V117" s="143">
        <f>IF(ISERROR(INDEX(Table2[GAS],MATCH(rrcworking[[#This Row],[Magnum Wolfpak '#]],Table2[Rox Wolf'#],0))),0,INDEX(Table2[GAS],MATCH(rrcworking[[#This Row],[Magnum Wolfpak '#]],Table2[Rox Wolf'#],0)))</f>
        <v>0</v>
      </c>
      <c r="W117" s="24"/>
      <c r="X117" s="135">
        <f>IF(rrcworking[[#This Row],[Pressure Base]]=14.73,rrcworking[[#This Row],[Gas Sales Statement Volume (MCF)]]*$R$2,rrcworking[[#This Row],[Gas Sales Statement Volume (MCF)]])</f>
        <v>0</v>
      </c>
      <c r="Y117" s="60"/>
      <c r="Z117" s="60"/>
      <c r="AA117" s="143">
        <f>IF(ISERROR(INDEX(Table2[LEASE USE],MATCH(rrcworking[[#This Row],[Magnum Wolfpak '#]],Table2[Rox Wolf'#],0))),0,INDEX(Table2[LEASE USE],MATCH(rrcworking[[#This Row],[Magnum Wolfpak '#]],Table2[Rox Wolf'#],0)))</f>
        <v>0</v>
      </c>
      <c r="AB117" s="57">
        <f>rrcworking[[#This Row],[Disposition Volume (MCF) @ 14.65 MCF]]+rrcworking[[#This Row],[Lease Use (MCF)]]</f>
        <v>0</v>
      </c>
      <c r="AC117" s="37"/>
      <c r="AD117" s="37"/>
      <c r="AE117" s="187">
        <f>COUNTIF(FilterList,rrcworking[[#This Row],[Magnum Wolfpak '#]])</f>
        <v>0</v>
      </c>
      <c r="AF117" s="184"/>
      <c r="AG117" s="185"/>
      <c r="AH117" s="37"/>
      <c r="AI117" s="37"/>
      <c r="AJ117" s="37"/>
      <c r="AK117" s="37"/>
      <c r="AL117" s="37"/>
      <c r="AM117" s="37"/>
      <c r="AN117" s="37"/>
      <c r="AO117" s="37"/>
      <c r="AP117" s="37"/>
      <c r="AQ117" s="37"/>
    </row>
    <row r="118" spans="3:43" ht="14">
      <c r="C118" s="80" t="e">
        <v>#N/A</v>
      </c>
      <c r="D118" s="62" t="s">
        <v>125</v>
      </c>
      <c r="E118" s="131" t="s">
        <v>124</v>
      </c>
      <c r="F118" s="129">
        <v>0</v>
      </c>
      <c r="G118" s="120" t="s">
        <v>1091</v>
      </c>
      <c r="H118" s="18" t="s">
        <v>618</v>
      </c>
      <c r="I118" s="18" t="s">
        <v>2</v>
      </c>
      <c r="J118" s="19" t="s">
        <v>444</v>
      </c>
      <c r="K118" s="103">
        <v>8247</v>
      </c>
      <c r="L118" s="101">
        <f>INDEX(Table1[Production],MATCH(rrcworking[[#This Row],[RRC ID Number]],Table1[RRC Identifier],0))</f>
        <v>0</v>
      </c>
      <c r="M118" s="30">
        <f>INDEX(Table1[Formation Production],MATCH(rrcworking[[#This Row],[RRC ID Number]],Table1[RRC Identifier],0))</f>
        <v>0</v>
      </c>
      <c r="N118" s="31">
        <f>INDEX(Table1[On Hand End of Month],MATCH(rrcworking[[#This Row],[RRC ID Number]],Table1[RRC Identifier],0))</f>
        <v>0</v>
      </c>
      <c r="O118" s="106" t="b">
        <f t="shared" si="3"/>
        <v>1</v>
      </c>
      <c r="P118" s="181"/>
      <c r="Q118" s="127">
        <f>rrcworking[[#This Row],[Last Month Closing Stock]]</f>
        <v>0</v>
      </c>
      <c r="R118" s="181">
        <f>rrcworking[[#This Row],[Opening Oil Stock]]</f>
        <v>0</v>
      </c>
      <c r="S118" s="143">
        <f>IF(ISERROR(INDEX(Table2[OIL],MATCH(rrcworking[[#This Row],[Magnum Wolfpak '#]],Table2[Rox Wolf'#],0))),0,INDEX(Table2[OIL],MATCH(rrcworking[[#This Row],[Magnum Wolfpak '#]],Table2[Rox Wolf'#],0)))</f>
        <v>0</v>
      </c>
      <c r="T118" s="35">
        <f>rrcworking[[#This Row],[Closing Stock (Oil)]]+rrcworking[[#This Row],[Sales/Dispostion]]-rrcworking[[#This Row],[Opening Oil Stock]]</f>
        <v>0</v>
      </c>
      <c r="U118" s="112">
        <f>rrcworking[[#This Row],[Gauge Sheet Prod Volume]]-rrcworking[[#This Row],[Oil Production]]</f>
        <v>0</v>
      </c>
      <c r="V118" s="143">
        <f>IF(ISERROR(INDEX(Table2[GAS],MATCH(rrcworking[[#This Row],[Magnum Wolfpak '#]],Table2[Rox Wolf'#],0))),0,INDEX(Table2[GAS],MATCH(rrcworking[[#This Row],[Magnum Wolfpak '#]],Table2[Rox Wolf'#],0)))</f>
        <v>0</v>
      </c>
      <c r="W118" s="24"/>
      <c r="X118" s="135">
        <f>IF(rrcworking[[#This Row],[Pressure Base]]=14.73,rrcworking[[#This Row],[Gas Sales Statement Volume (MCF)]]*$R$2,rrcworking[[#This Row],[Gas Sales Statement Volume (MCF)]])</f>
        <v>0</v>
      </c>
      <c r="Y118" s="60"/>
      <c r="Z118" s="60"/>
      <c r="AA118" s="143">
        <f>IF(ISERROR(INDEX(Table2[LEASE USE],MATCH(rrcworking[[#This Row],[Magnum Wolfpak '#]],Table2[Rox Wolf'#],0))),0,INDEX(Table2[LEASE USE],MATCH(rrcworking[[#This Row],[Magnum Wolfpak '#]],Table2[Rox Wolf'#],0)))</f>
        <v>0</v>
      </c>
      <c r="AB118" s="57">
        <f>rrcworking[[#This Row],[Disposition Volume (MCF) @ 14.65 MCF]]+rrcworking[[#This Row],[Lease Use (MCF)]]</f>
        <v>0</v>
      </c>
      <c r="AC118" s="37"/>
      <c r="AD118" s="37"/>
      <c r="AE118" s="187">
        <f>COUNTIF(FilterList,rrcworking[[#This Row],[Magnum Wolfpak '#]])</f>
        <v>0</v>
      </c>
      <c r="AF118" s="184"/>
      <c r="AG118" s="185"/>
      <c r="AH118" s="37"/>
      <c r="AI118" s="37"/>
      <c r="AJ118" s="37"/>
      <c r="AK118" s="37"/>
      <c r="AL118" s="37"/>
      <c r="AM118" s="37"/>
      <c r="AN118" s="37"/>
      <c r="AO118" s="37"/>
      <c r="AP118" s="37"/>
      <c r="AQ118" s="37"/>
    </row>
    <row r="119" spans="3:43" ht="14">
      <c r="C119" s="80" t="e">
        <v>#N/A</v>
      </c>
      <c r="D119" s="62" t="s">
        <v>126</v>
      </c>
      <c r="E119" s="131" t="s">
        <v>124</v>
      </c>
      <c r="F119" s="129">
        <v>5</v>
      </c>
      <c r="G119" s="120" t="s">
        <v>1091</v>
      </c>
      <c r="H119" s="18" t="s">
        <v>618</v>
      </c>
      <c r="I119" s="18" t="s">
        <v>59</v>
      </c>
      <c r="J119" s="19" t="s">
        <v>445</v>
      </c>
      <c r="K119" s="103">
        <v>182045</v>
      </c>
      <c r="L119" s="101">
        <f>INDEX(Table1[Production],MATCH(rrcworking[[#This Row],[RRC ID Number]],Table1[RRC Identifier],0))</f>
        <v>0</v>
      </c>
      <c r="M119" s="30">
        <f>INDEX(Table1[Formation Production],MATCH(rrcworking[[#This Row],[RRC ID Number]],Table1[RRC Identifier],0))</f>
        <v>0</v>
      </c>
      <c r="N119" s="31">
        <f>INDEX(Table1[On Hand End of Month],MATCH(rrcworking[[#This Row],[RRC ID Number]],Table1[RRC Identifier],0))</f>
        <v>0</v>
      </c>
      <c r="O119" s="106" t="b">
        <f t="shared" si="3"/>
        <v>1</v>
      </c>
      <c r="P119" s="181"/>
      <c r="Q119" s="127">
        <f>rrcworking[[#This Row],[Last Month Closing Stock]]</f>
        <v>0</v>
      </c>
      <c r="R119" s="181">
        <f>rrcworking[[#This Row],[Opening Oil Stock]]</f>
        <v>0</v>
      </c>
      <c r="S119" s="143">
        <f>IF(ISERROR(INDEX(Table2[OIL],MATCH(rrcworking[[#This Row],[Magnum Wolfpak '#]],Table2[Rox Wolf'#],0))),0,INDEX(Table2[OIL],MATCH(rrcworking[[#This Row],[Magnum Wolfpak '#]],Table2[Rox Wolf'#],0)))</f>
        <v>0</v>
      </c>
      <c r="T119" s="35">
        <f>rrcworking[[#This Row],[Closing Stock (Oil)]]+rrcworking[[#This Row],[Sales/Dispostion]]-rrcworking[[#This Row],[Opening Oil Stock]]</f>
        <v>0</v>
      </c>
      <c r="U119" s="112">
        <f>rrcworking[[#This Row],[Gauge Sheet Prod Volume]]-rrcworking[[#This Row],[Oil Production]]</f>
        <v>0</v>
      </c>
      <c r="V119" s="143">
        <f>IF(ISERROR(INDEX(Table2[GAS],MATCH(rrcworking[[#This Row],[Magnum Wolfpak '#]],Table2[Rox Wolf'#],0))),0,INDEX(Table2[GAS],MATCH(rrcworking[[#This Row],[Magnum Wolfpak '#]],Table2[Rox Wolf'#],0)))</f>
        <v>0</v>
      </c>
      <c r="W119" s="24"/>
      <c r="X119" s="135">
        <f>IF(rrcworking[[#This Row],[Pressure Base]]=14.73,rrcworking[[#This Row],[Gas Sales Statement Volume (MCF)]]*$R$2,rrcworking[[#This Row],[Gas Sales Statement Volume (MCF)]])</f>
        <v>0</v>
      </c>
      <c r="Y119" s="60"/>
      <c r="Z119" s="60"/>
      <c r="AA119" s="143">
        <f>IF(ISERROR(INDEX(Table2[LEASE USE],MATCH(rrcworking[[#This Row],[Magnum Wolfpak '#]],Table2[Rox Wolf'#],0))),0,INDEX(Table2[LEASE USE],MATCH(rrcworking[[#This Row],[Magnum Wolfpak '#]],Table2[Rox Wolf'#],0)))</f>
        <v>0</v>
      </c>
      <c r="AB119" s="57">
        <f>rrcworking[[#This Row],[Disposition Volume (MCF) @ 14.65 MCF]]+rrcworking[[#This Row],[Lease Use (MCF)]]</f>
        <v>0</v>
      </c>
      <c r="AC119" s="37"/>
      <c r="AD119" s="37"/>
      <c r="AE119" s="187">
        <f>COUNTIF(FilterList,rrcworking[[#This Row],[Magnum Wolfpak '#]])</f>
        <v>0</v>
      </c>
      <c r="AF119" s="184"/>
      <c r="AG119" s="185"/>
      <c r="AH119" s="37"/>
      <c r="AI119" s="37"/>
      <c r="AJ119" s="37"/>
      <c r="AK119" s="37"/>
      <c r="AL119" s="37"/>
      <c r="AM119" s="37"/>
      <c r="AN119" s="37"/>
      <c r="AO119" s="37"/>
      <c r="AP119" s="37"/>
      <c r="AQ119" s="37"/>
    </row>
    <row r="120" spans="3:43" ht="70">
      <c r="C120" s="80">
        <v>99288</v>
      </c>
      <c r="D120" s="62" t="s">
        <v>155</v>
      </c>
      <c r="E120" s="131" t="s">
        <v>156</v>
      </c>
      <c r="F120" s="129">
        <v>0</v>
      </c>
      <c r="G120" s="120" t="s">
        <v>1091</v>
      </c>
      <c r="H120" s="18" t="s">
        <v>619</v>
      </c>
      <c r="I120" s="18" t="s">
        <v>2</v>
      </c>
      <c r="J120" s="19" t="s">
        <v>464</v>
      </c>
      <c r="K120" s="103">
        <v>27348</v>
      </c>
      <c r="L120" s="101">
        <f>INDEX(Table1[Production],MATCH(rrcworking[[#This Row],[RRC ID Number]],Table1[RRC Identifier],0))</f>
        <v>0</v>
      </c>
      <c r="M120" s="30">
        <f>INDEX(Table1[Formation Production],MATCH(rrcworking[[#This Row],[RRC ID Number]],Table1[RRC Identifier],0))</f>
        <v>541</v>
      </c>
      <c r="N120" s="31">
        <f>INDEX(Table1[On Hand End of Month],MATCH(rrcworking[[#This Row],[RRC ID Number]],Table1[RRC Identifier],0))</f>
        <v>187</v>
      </c>
      <c r="O120" s="106" t="b">
        <f t="shared" si="3"/>
        <v>0</v>
      </c>
      <c r="P120" s="181">
        <v>0</v>
      </c>
      <c r="Q120" s="127">
        <f>rrcworking[[#This Row],[Last Month Closing Stock]]</f>
        <v>187</v>
      </c>
      <c r="R120" s="181">
        <v>51</v>
      </c>
      <c r="S120" s="143">
        <f>IF(ISERROR(INDEX(Table2[OIL],MATCH(rrcworking[[#This Row],[Magnum Wolfpak '#]],Table2[Rox Wolf'#],0))),0,INDEX(Table2[OIL],MATCH(rrcworking[[#This Row],[Magnum Wolfpak '#]],Table2[Rox Wolf'#],0)))</f>
        <v>136</v>
      </c>
      <c r="T120" s="35">
        <f>rrcworking[[#This Row],[Closing Stock (Oil)]]+rrcworking[[#This Row],[Sales/Dispostion]]-rrcworking[[#This Row],[Opening Oil Stock]]</f>
        <v>0</v>
      </c>
      <c r="U120" s="112">
        <f>rrcworking[[#This Row],[Gauge Sheet Prod Volume]]-rrcworking[[#This Row],[Oil Production]]</f>
        <v>0</v>
      </c>
      <c r="V120" s="143">
        <f>IF(ISERROR(INDEX(Table2[GAS],MATCH(rrcworking[[#This Row],[Magnum Wolfpak '#]],Table2[Rox Wolf'#],0))),0,INDEX(Table2[GAS],MATCH(rrcworking[[#This Row],[Magnum Wolfpak '#]],Table2[Rox Wolf'#],0)))</f>
        <v>622</v>
      </c>
      <c r="W120" s="24"/>
      <c r="X120" s="135">
        <f>IF(rrcworking[[#This Row],[Pressure Base]]=14.73,rrcworking[[#This Row],[Gas Sales Statement Volume (MCF)]]*$R$2,rrcworking[[#This Row],[Gas Sales Statement Volume (MCF)]])</f>
        <v>622</v>
      </c>
      <c r="Y120" s="60"/>
      <c r="Z120" s="60"/>
      <c r="AA120" s="143">
        <f>IF(ISERROR(INDEX(Table2[LEASE USE],MATCH(rrcworking[[#This Row],[Magnum Wolfpak '#]],Table2[Rox Wolf'#],0))),0,INDEX(Table2[LEASE USE],MATCH(rrcworking[[#This Row],[Magnum Wolfpak '#]],Table2[Rox Wolf'#],0)))</f>
        <v>0</v>
      </c>
      <c r="AB120" s="57">
        <f>rrcworking[[#This Row],[Disposition Volume (MCF) @ 14.65 MCF]]+rrcworking[[#This Row],[Lease Use (MCF)]]</f>
        <v>622</v>
      </c>
      <c r="AC120" s="37"/>
      <c r="AD120" s="37" t="s">
        <v>1303</v>
      </c>
      <c r="AE120" s="187">
        <f>COUNTIF(FilterList,rrcworking[[#This Row],[Magnum Wolfpak '#]])</f>
        <v>1</v>
      </c>
      <c r="AF120" s="184"/>
      <c r="AG120" s="185"/>
      <c r="AH120" s="37"/>
      <c r="AI120" s="37"/>
      <c r="AJ120" s="37">
        <v>2</v>
      </c>
      <c r="AK120" s="37" t="s">
        <v>1167</v>
      </c>
      <c r="AL120" s="37" t="s">
        <v>1167</v>
      </c>
      <c r="AM120" s="37" t="s">
        <v>1198</v>
      </c>
      <c r="AN120" s="37" t="s">
        <v>1141</v>
      </c>
      <c r="AO120" s="37" t="s">
        <v>1173</v>
      </c>
      <c r="AP120" s="37" t="s">
        <v>1165</v>
      </c>
      <c r="AQ120" s="37" t="s">
        <v>1242</v>
      </c>
    </row>
    <row r="121" spans="3:43" ht="28">
      <c r="C121" s="80">
        <v>99297</v>
      </c>
      <c r="D121" s="170" t="s">
        <v>152</v>
      </c>
      <c r="E121" s="20" t="s">
        <v>795</v>
      </c>
      <c r="F121" s="21" t="s">
        <v>61</v>
      </c>
      <c r="G121" s="120"/>
      <c r="H121" s="21" t="s">
        <v>619</v>
      </c>
      <c r="I121" s="21" t="s">
        <v>2</v>
      </c>
      <c r="J121" s="205" t="s">
        <v>1253</v>
      </c>
      <c r="K121" s="103">
        <v>27617</v>
      </c>
      <c r="L121" s="101">
        <f>INDEX(Table1[Production],MATCH(rrcworking[[#This Row],[RRC ID Number]],Table1[RRC Identifier],0))</f>
        <v>2253</v>
      </c>
      <c r="M121" s="30">
        <f>INDEX(Table1[Formation Production],MATCH(rrcworking[[#This Row],[RRC ID Number]],Table1[RRC Identifier],0))</f>
        <v>791</v>
      </c>
      <c r="N121" s="31">
        <f>INDEX(Table1[On Hand End of Month],MATCH(rrcworking[[#This Row],[RRC ID Number]],Table1[RRC Identifier],0))</f>
        <v>120</v>
      </c>
      <c r="O121" s="106" t="b">
        <f t="shared" si="3"/>
        <v>0</v>
      </c>
      <c r="P121" s="181">
        <v>2259</v>
      </c>
      <c r="Q121" s="127">
        <f>rrcworking[[#This Row],[Last Month Closing Stock]]</f>
        <v>120</v>
      </c>
      <c r="R121" s="182">
        <v>230</v>
      </c>
      <c r="S121" s="143">
        <f>IF(ISERROR(INDEX(Table2[OIL],MATCH(rrcworking[[#This Row],[Magnum Wolfpak '#]],Table2[Rox Wolf'#],0))),0,INDEX(Table2[OIL],MATCH(rrcworking[[#This Row],[Magnum Wolfpak '#]],Table2[Rox Wolf'#],0)))</f>
        <v>2140</v>
      </c>
      <c r="T121" s="100">
        <f>rrcworking[[#This Row],[Closing Stock (Oil)]]+rrcworking[[#This Row],[Sales/Dispostion]]-rrcworking[[#This Row],[Opening Oil Stock]]</f>
        <v>2250</v>
      </c>
      <c r="U121" s="114">
        <f>rrcworking[[#This Row],[Gauge Sheet Prod Volume]]-rrcworking[[#This Row],[Oil Production]]</f>
        <v>9</v>
      </c>
      <c r="V121" s="143">
        <f>IF(ISERROR(INDEX(Table2[GAS],MATCH(rrcworking[[#This Row],[Magnum Wolfpak '#]],Table2[Rox Wolf'#],0))),0,INDEX(Table2[GAS],MATCH(rrcworking[[#This Row],[Magnum Wolfpak '#]],Table2[Rox Wolf'#],0)))</f>
        <v>333</v>
      </c>
      <c r="W121" s="24"/>
      <c r="X121" s="135">
        <f>IF(rrcworking[[#This Row],[Pressure Base]]=14.73,rrcworking[[#This Row],[Gas Sales Statement Volume (MCF)]]*$R$2,rrcworking[[#This Row],[Gas Sales Statement Volume (MCF)]])</f>
        <v>333</v>
      </c>
      <c r="Y121" s="60"/>
      <c r="Z121" s="60"/>
      <c r="AA121" s="143">
        <f>IF(ISERROR(INDEX(Table2[LEASE USE],MATCH(rrcworking[[#This Row],[Magnum Wolfpak '#]],Table2[Rox Wolf'#],0))),0,INDEX(Table2[LEASE USE],MATCH(rrcworking[[#This Row],[Magnum Wolfpak '#]],Table2[Rox Wolf'#],0)))</f>
        <v>0</v>
      </c>
      <c r="AB121" s="57">
        <f>rrcworking[[#This Row],[Disposition Volume (MCF) @ 14.65 MCF]]+rrcworking[[#This Row],[Lease Use (MCF)]]</f>
        <v>333</v>
      </c>
      <c r="AC121" s="37"/>
      <c r="AD121" s="37" t="s">
        <v>1254</v>
      </c>
      <c r="AE121" s="187">
        <f>COUNTIF(FilterList,rrcworking[[#This Row],[Magnum Wolfpak '#]])</f>
        <v>0</v>
      </c>
      <c r="AF121" s="184"/>
      <c r="AG121" s="185"/>
      <c r="AH121" s="37"/>
      <c r="AI121" s="185"/>
      <c r="AJ121" s="37">
        <v>2</v>
      </c>
      <c r="AK121" s="37" t="s">
        <v>1167</v>
      </c>
      <c r="AL121" s="37" t="s">
        <v>1167</v>
      </c>
      <c r="AM121" s="37" t="s">
        <v>1198</v>
      </c>
      <c r="AN121" s="37" t="s">
        <v>1141</v>
      </c>
      <c r="AO121" s="37" t="s">
        <v>1173</v>
      </c>
      <c r="AP121" s="37" t="s">
        <v>1210</v>
      </c>
      <c r="AQ121" s="37"/>
    </row>
    <row r="122" spans="3:43" ht="14">
      <c r="C122" s="80" t="e">
        <v>#N/A</v>
      </c>
      <c r="D122" s="62" t="s">
        <v>228</v>
      </c>
      <c r="E122" s="131" t="s">
        <v>229</v>
      </c>
      <c r="F122" s="129">
        <v>1</v>
      </c>
      <c r="G122" s="120" t="s">
        <v>1091</v>
      </c>
      <c r="H122" s="18" t="s">
        <v>619</v>
      </c>
      <c r="I122" s="18" t="s">
        <v>59</v>
      </c>
      <c r="J122" s="19" t="s">
        <v>503</v>
      </c>
      <c r="K122" s="103">
        <v>139199</v>
      </c>
      <c r="L122" s="101">
        <f>INDEX(Table1[Production],MATCH(rrcworking[[#This Row],[RRC ID Number]],Table1[RRC Identifier],0))</f>
        <v>0</v>
      </c>
      <c r="M122" s="30">
        <f>INDEX(Table1[Formation Production],MATCH(rrcworking[[#This Row],[RRC ID Number]],Table1[RRC Identifier],0))</f>
        <v>0</v>
      </c>
      <c r="N122" s="31">
        <f>INDEX(Table1[On Hand End of Month],MATCH(rrcworking[[#This Row],[RRC ID Number]],Table1[RRC Identifier],0))</f>
        <v>0</v>
      </c>
      <c r="O122" s="106" t="b">
        <f t="shared" si="3"/>
        <v>1</v>
      </c>
      <c r="P122" s="181"/>
      <c r="Q122" s="127">
        <f>rrcworking[[#This Row],[Last Month Closing Stock]]</f>
        <v>0</v>
      </c>
      <c r="R122" s="181">
        <f>rrcworking[[#This Row],[Opening Oil Stock]]</f>
        <v>0</v>
      </c>
      <c r="S122" s="143">
        <f>IF(ISERROR(INDEX(Table2[OIL],MATCH(rrcworking[[#This Row],[Magnum Wolfpak '#]],Table2[Rox Wolf'#],0))),0,INDEX(Table2[OIL],MATCH(rrcworking[[#This Row],[Magnum Wolfpak '#]],Table2[Rox Wolf'#],0)))</f>
        <v>0</v>
      </c>
      <c r="T122" s="35">
        <f>rrcworking[[#This Row],[Closing Stock (Oil)]]+rrcworking[[#This Row],[Sales/Dispostion]]-rrcworking[[#This Row],[Opening Oil Stock]]</f>
        <v>0</v>
      </c>
      <c r="U122" s="112">
        <f>rrcworking[[#This Row],[Gauge Sheet Prod Volume]]-rrcworking[[#This Row],[Oil Production]]</f>
        <v>0</v>
      </c>
      <c r="V122" s="143">
        <f>IF(ISERROR(INDEX(Table2[GAS],MATCH(rrcworking[[#This Row],[Magnum Wolfpak '#]],Table2[Rox Wolf'#],0))),0,INDEX(Table2[GAS],MATCH(rrcworking[[#This Row],[Magnum Wolfpak '#]],Table2[Rox Wolf'#],0)))</f>
        <v>0</v>
      </c>
      <c r="W122" s="24"/>
      <c r="X122" s="135">
        <f>IF(rrcworking[[#This Row],[Pressure Base]]=14.73,rrcworking[[#This Row],[Gas Sales Statement Volume (MCF)]]*$R$2,rrcworking[[#This Row],[Gas Sales Statement Volume (MCF)]])</f>
        <v>0</v>
      </c>
      <c r="Y122" s="60"/>
      <c r="Z122" s="60"/>
      <c r="AA122" s="143">
        <f>IF(ISERROR(INDEX(Table2[LEASE USE],MATCH(rrcworking[[#This Row],[Magnum Wolfpak '#]],Table2[Rox Wolf'#],0))),0,INDEX(Table2[LEASE USE],MATCH(rrcworking[[#This Row],[Magnum Wolfpak '#]],Table2[Rox Wolf'#],0)))</f>
        <v>0</v>
      </c>
      <c r="AB122" s="57">
        <f>rrcworking[[#This Row],[Disposition Volume (MCF) @ 14.65 MCF]]+rrcworking[[#This Row],[Lease Use (MCF)]]</f>
        <v>0</v>
      </c>
      <c r="AC122" s="37"/>
      <c r="AD122" s="37"/>
      <c r="AE122" s="187">
        <f>COUNTIF(FilterList,rrcworking[[#This Row],[Magnum Wolfpak '#]])</f>
        <v>0</v>
      </c>
      <c r="AF122" s="184"/>
      <c r="AG122" s="185"/>
      <c r="AH122" s="37"/>
      <c r="AI122" s="37"/>
      <c r="AJ122" s="37"/>
      <c r="AK122" s="37"/>
      <c r="AL122" s="37"/>
      <c r="AM122" s="37"/>
      <c r="AN122" s="37"/>
      <c r="AO122" s="37"/>
      <c r="AP122" s="37"/>
      <c r="AQ122" s="37"/>
    </row>
    <row r="123" spans="3:43" ht="14">
      <c r="C123" s="80">
        <v>99268</v>
      </c>
      <c r="D123" s="62" t="s">
        <v>326</v>
      </c>
      <c r="E123" s="131" t="s">
        <v>328</v>
      </c>
      <c r="F123" s="129">
        <v>1</v>
      </c>
      <c r="G123" s="120" t="s">
        <v>1091</v>
      </c>
      <c r="H123" s="18" t="s">
        <v>620</v>
      </c>
      <c r="I123" s="18" t="s">
        <v>59</v>
      </c>
      <c r="J123" s="19" t="s">
        <v>564</v>
      </c>
      <c r="K123" s="103">
        <v>250087</v>
      </c>
      <c r="L123" s="101">
        <f>INDEX(Table1[Production],MATCH(rrcworking[[#This Row],[RRC ID Number]],Table1[RRC Identifier],0))</f>
        <v>0</v>
      </c>
      <c r="M123" s="30">
        <f>INDEX(Table1[Formation Production],MATCH(rrcworking[[#This Row],[RRC ID Number]],Table1[RRC Identifier],0))</f>
        <v>7496</v>
      </c>
      <c r="N123" s="31">
        <f>INDEX(Table1[On Hand End of Month],MATCH(rrcworking[[#This Row],[RRC ID Number]],Table1[RRC Identifier],0))</f>
        <v>24</v>
      </c>
      <c r="O123" s="106" t="b">
        <f t="shared" si="3"/>
        <v>0</v>
      </c>
      <c r="P123" s="181">
        <v>0</v>
      </c>
      <c r="Q123" s="127">
        <f>rrcworking[[#This Row],[Last Month Closing Stock]]</f>
        <v>24</v>
      </c>
      <c r="R123" s="181">
        <v>24</v>
      </c>
      <c r="S123" s="143">
        <f>IF(ISERROR(INDEX(Table2[OIL],MATCH(rrcworking[[#This Row],[Magnum Wolfpak '#]],Table2[Rox Wolf'#],0))),0,INDEX(Table2[OIL],MATCH(rrcworking[[#This Row],[Magnum Wolfpak '#]],Table2[Rox Wolf'#],0)))</f>
        <v>0</v>
      </c>
      <c r="T123" s="35">
        <f>rrcworking[[#This Row],[Closing Stock (Oil)]]+rrcworking[[#This Row],[Sales/Dispostion]]-rrcworking[[#This Row],[Opening Oil Stock]]</f>
        <v>0</v>
      </c>
      <c r="U123" s="112">
        <f>rrcworking[[#This Row],[Gauge Sheet Prod Volume]]-rrcworking[[#This Row],[Oil Production]]</f>
        <v>0</v>
      </c>
      <c r="V123" s="143">
        <f>IF(ISERROR(INDEX(Table2[GAS],MATCH(rrcworking[[#This Row],[Magnum Wolfpak '#]],Table2[Rox Wolf'#],0))),0,INDEX(Table2[GAS],MATCH(rrcworking[[#This Row],[Magnum Wolfpak '#]],Table2[Rox Wolf'#],0)))</f>
        <v>4692</v>
      </c>
      <c r="W123" s="24"/>
      <c r="X123" s="135">
        <f>IF(rrcworking[[#This Row],[Pressure Base]]=14.73,rrcworking[[#This Row],[Gas Sales Statement Volume (MCF)]]*$R$2,rrcworking[[#This Row],[Gas Sales Statement Volume (MCF)]])</f>
        <v>4692</v>
      </c>
      <c r="Y123" s="60"/>
      <c r="Z123" s="60"/>
      <c r="AA123" s="143">
        <f>IF(ISERROR(INDEX(Table2[LEASE USE],MATCH(rrcworking[[#This Row],[Magnum Wolfpak '#]],Table2[Rox Wolf'#],0))),0,INDEX(Table2[LEASE USE],MATCH(rrcworking[[#This Row],[Magnum Wolfpak '#]],Table2[Rox Wolf'#],0)))</f>
        <v>282</v>
      </c>
      <c r="AB123" s="57">
        <f>rrcworking[[#This Row],[Disposition Volume (MCF) @ 14.65 MCF]]+rrcworking[[#This Row],[Lease Use (MCF)]]</f>
        <v>4974</v>
      </c>
      <c r="AC123" s="37" t="s">
        <v>1118</v>
      </c>
      <c r="AD123" s="37"/>
      <c r="AE123" s="187">
        <f>COUNTIF(FilterList,rrcworking[[#This Row],[Magnum Wolfpak '#]])</f>
        <v>0</v>
      </c>
      <c r="AF123" s="184"/>
      <c r="AG123" s="185"/>
      <c r="AH123" s="37"/>
      <c r="AI123" s="37"/>
      <c r="AJ123" s="37">
        <v>1</v>
      </c>
      <c r="AK123" s="37" t="s">
        <v>1167</v>
      </c>
      <c r="AL123" s="37" t="s">
        <v>1167</v>
      </c>
      <c r="AM123" s="37" t="s">
        <v>1211</v>
      </c>
      <c r="AN123" s="37" t="s">
        <v>1141</v>
      </c>
      <c r="AO123" s="37" t="s">
        <v>1212</v>
      </c>
      <c r="AP123" s="37" t="s">
        <v>1165</v>
      </c>
      <c r="AQ123" s="37" t="s">
        <v>1213</v>
      </c>
    </row>
    <row r="124" spans="3:43" ht="70">
      <c r="C124" s="80">
        <v>99102</v>
      </c>
      <c r="D124" s="62" t="s">
        <v>102</v>
      </c>
      <c r="E124" s="131" t="s">
        <v>103</v>
      </c>
      <c r="F124" s="129">
        <v>1</v>
      </c>
      <c r="G124" s="120" t="s">
        <v>1091</v>
      </c>
      <c r="H124" s="18" t="s">
        <v>618</v>
      </c>
      <c r="I124" s="18" t="s">
        <v>59</v>
      </c>
      <c r="J124" s="19" t="s">
        <v>430</v>
      </c>
      <c r="K124" s="103">
        <v>245422</v>
      </c>
      <c r="L124" s="101">
        <f>INDEX(Table1[Production],MATCH(rrcworking[[#This Row],[RRC ID Number]],Table1[RRC Identifier],0))</f>
        <v>685</v>
      </c>
      <c r="M124" s="30">
        <f>INDEX(Table1[Formation Production],MATCH(rrcworking[[#This Row],[RRC ID Number]],Table1[RRC Identifier],0))</f>
        <v>46878</v>
      </c>
      <c r="N124" s="31">
        <f>INDEX(Table1[On Hand End of Month],MATCH(rrcworking[[#This Row],[RRC ID Number]],Table1[RRC Identifier],0))</f>
        <v>135</v>
      </c>
      <c r="O124" s="106" t="b">
        <f t="shared" si="3"/>
        <v>0</v>
      </c>
      <c r="P124" s="181">
        <v>371</v>
      </c>
      <c r="Q124" s="127">
        <f>rrcworking[[#This Row],[Last Month Closing Stock]]</f>
        <v>135</v>
      </c>
      <c r="R124" s="182">
        <v>316</v>
      </c>
      <c r="S124" s="143">
        <f>IF(ISERROR(INDEX(Table2[OIL],MATCH(rrcworking[[#This Row],[Magnum Wolfpak '#]],Table2[Rox Wolf'#],0))),0,INDEX(Table2[OIL],MATCH(rrcworking[[#This Row],[Magnum Wolfpak '#]],Table2[Rox Wolf'#],0)))</f>
        <v>379</v>
      </c>
      <c r="T124" s="35">
        <f>rrcworking[[#This Row],[Closing Stock (Oil)]]+rrcworking[[#This Row],[Sales/Dispostion]]-rrcworking[[#This Row],[Opening Oil Stock]]</f>
        <v>560</v>
      </c>
      <c r="U124" s="112">
        <f>rrcworking[[#This Row],[Gauge Sheet Prod Volume]]-rrcworking[[#This Row],[Oil Production]]</f>
        <v>-189</v>
      </c>
      <c r="V124" s="143">
        <f>IF(ISERROR(INDEX(Table2[GAS],MATCH(rrcworking[[#This Row],[Magnum Wolfpak '#]],Table2[Rox Wolf'#],0))),0,INDEX(Table2[GAS],MATCH(rrcworking[[#This Row],[Magnum Wolfpak '#]],Table2[Rox Wolf'#],0)))</f>
        <v>42445</v>
      </c>
      <c r="W124" s="24"/>
      <c r="X124" s="135">
        <f>IF(rrcworking[[#This Row],[Pressure Base]]=14.73,rrcworking[[#This Row],[Gas Sales Statement Volume (MCF)]]*$R$2,rrcworking[[#This Row],[Gas Sales Statement Volume (MCF)]])</f>
        <v>42445</v>
      </c>
      <c r="Y124" s="60"/>
      <c r="Z124" s="60"/>
      <c r="AA124" s="143">
        <f>IF(ISERROR(INDEX(Table2[LEASE USE],MATCH(rrcworking[[#This Row],[Magnum Wolfpak '#]],Table2[Rox Wolf'#],0))),0,INDEX(Table2[LEASE USE],MATCH(rrcworking[[#This Row],[Magnum Wolfpak '#]],Table2[Rox Wolf'#],0)))</f>
        <v>0</v>
      </c>
      <c r="AB124" s="57">
        <f>rrcworking[[#This Row],[Disposition Volume (MCF) @ 14.65 MCF]]+rrcworking[[#This Row],[Lease Use (MCF)]]</f>
        <v>42445</v>
      </c>
      <c r="AC124" s="87"/>
      <c r="AD124" s="87" t="s">
        <v>1310</v>
      </c>
      <c r="AE124" s="187">
        <f>COUNTIF(FilterList,rrcworking[[#This Row],[Magnum Wolfpak '#]])</f>
        <v>0</v>
      </c>
      <c r="AF124" s="184"/>
      <c r="AG124" s="185"/>
      <c r="AH124" s="37"/>
      <c r="AI124" s="185"/>
      <c r="AJ124" s="37">
        <v>2</v>
      </c>
      <c r="AK124" s="37" t="s">
        <v>1141</v>
      </c>
      <c r="AL124" s="37" t="s">
        <v>1167</v>
      </c>
      <c r="AM124" s="37" t="s">
        <v>1214</v>
      </c>
      <c r="AN124" s="37" t="s">
        <v>1167</v>
      </c>
      <c r="AO124" s="37" t="s">
        <v>1178</v>
      </c>
      <c r="AP124" s="37" t="s">
        <v>1215</v>
      </c>
      <c r="AQ124" s="37"/>
    </row>
    <row r="125" spans="3:43" ht="14">
      <c r="C125" s="80" t="e">
        <v>#N/A</v>
      </c>
      <c r="D125" s="62" t="s">
        <v>132</v>
      </c>
      <c r="E125" s="131" t="s">
        <v>133</v>
      </c>
      <c r="F125" s="129">
        <v>1</v>
      </c>
      <c r="G125" s="120" t="s">
        <v>1091</v>
      </c>
      <c r="H125" s="18" t="s">
        <v>618</v>
      </c>
      <c r="I125" s="18" t="s">
        <v>59</v>
      </c>
      <c r="J125" s="19" t="s">
        <v>449</v>
      </c>
      <c r="K125" s="103">
        <v>264004</v>
      </c>
      <c r="L125" s="101">
        <f>INDEX(Table1[Production],MATCH(rrcworking[[#This Row],[RRC ID Number]],Table1[RRC Identifier],0))</f>
        <v>0</v>
      </c>
      <c r="M125" s="30">
        <f>INDEX(Table1[Formation Production],MATCH(rrcworking[[#This Row],[RRC ID Number]],Table1[RRC Identifier],0))</f>
        <v>0</v>
      </c>
      <c r="N125" s="31">
        <f>INDEX(Table1[On Hand End of Month],MATCH(rrcworking[[#This Row],[RRC ID Number]],Table1[RRC Identifier],0))</f>
        <v>0</v>
      </c>
      <c r="O125" s="106" t="b">
        <f t="shared" si="3"/>
        <v>1</v>
      </c>
      <c r="P125" s="181"/>
      <c r="Q125" s="127">
        <f>rrcworking[[#This Row],[Last Month Closing Stock]]</f>
        <v>0</v>
      </c>
      <c r="R125" s="181">
        <f>rrcworking[[#This Row],[Opening Oil Stock]]</f>
        <v>0</v>
      </c>
      <c r="S125" s="143">
        <f>IF(ISERROR(INDEX(Table2[OIL],MATCH(rrcworking[[#This Row],[Magnum Wolfpak '#]],Table2[Rox Wolf'#],0))),0,INDEX(Table2[OIL],MATCH(rrcworking[[#This Row],[Magnum Wolfpak '#]],Table2[Rox Wolf'#],0)))</f>
        <v>0</v>
      </c>
      <c r="T125" s="35">
        <f>rrcworking[[#This Row],[Closing Stock (Oil)]]+rrcworking[[#This Row],[Sales/Dispostion]]-rrcworking[[#This Row],[Opening Oil Stock]]</f>
        <v>0</v>
      </c>
      <c r="U125" s="112">
        <f>rrcworking[[#This Row],[Gauge Sheet Prod Volume]]-rrcworking[[#This Row],[Oil Production]]</f>
        <v>0</v>
      </c>
      <c r="V125" s="143">
        <f>IF(ISERROR(INDEX(Table2[GAS],MATCH(rrcworking[[#This Row],[Magnum Wolfpak '#]],Table2[Rox Wolf'#],0))),0,INDEX(Table2[GAS],MATCH(rrcworking[[#This Row],[Magnum Wolfpak '#]],Table2[Rox Wolf'#],0)))</f>
        <v>0</v>
      </c>
      <c r="W125" s="24"/>
      <c r="X125" s="135">
        <f>IF(rrcworking[[#This Row],[Pressure Base]]=14.73,rrcworking[[#This Row],[Gas Sales Statement Volume (MCF)]]*$R$2,rrcworking[[#This Row],[Gas Sales Statement Volume (MCF)]])</f>
        <v>0</v>
      </c>
      <c r="Y125" s="60"/>
      <c r="Z125" s="60"/>
      <c r="AA125" s="143">
        <f>IF(ISERROR(INDEX(Table2[LEASE USE],MATCH(rrcworking[[#This Row],[Magnum Wolfpak '#]],Table2[Rox Wolf'#],0))),0,INDEX(Table2[LEASE USE],MATCH(rrcworking[[#This Row],[Magnum Wolfpak '#]],Table2[Rox Wolf'#],0)))</f>
        <v>0</v>
      </c>
      <c r="AB125" s="57">
        <f>rrcworking[[#This Row],[Disposition Volume (MCF) @ 14.65 MCF]]+rrcworking[[#This Row],[Lease Use (MCF)]]</f>
        <v>0</v>
      </c>
      <c r="AC125" s="37"/>
      <c r="AD125" s="37"/>
      <c r="AE125" s="187">
        <f>COUNTIF(FilterList,rrcworking[[#This Row],[Magnum Wolfpak '#]])</f>
        <v>0</v>
      </c>
      <c r="AF125" s="184"/>
      <c r="AG125" s="185"/>
      <c r="AH125" s="37"/>
      <c r="AI125" s="37"/>
      <c r="AJ125" s="37"/>
      <c r="AK125" s="37"/>
      <c r="AL125" s="37"/>
      <c r="AM125" s="37"/>
      <c r="AN125" s="37"/>
      <c r="AO125" s="37"/>
      <c r="AP125" s="37"/>
      <c r="AQ125" s="37"/>
    </row>
    <row r="126" spans="3:43" ht="14">
      <c r="C126" s="80" t="e">
        <v>#N/A</v>
      </c>
      <c r="D126" s="62" t="s">
        <v>242</v>
      </c>
      <c r="E126" s="131" t="s">
        <v>243</v>
      </c>
      <c r="F126" s="129">
        <v>2</v>
      </c>
      <c r="G126" s="120" t="s">
        <v>1091</v>
      </c>
      <c r="H126" s="18" t="s">
        <v>619</v>
      </c>
      <c r="I126" s="18" t="s">
        <v>59</v>
      </c>
      <c r="J126" s="19" t="s">
        <v>510</v>
      </c>
      <c r="K126" s="103">
        <v>235116</v>
      </c>
      <c r="L126" s="101">
        <f>INDEX(Table1[Production],MATCH(rrcworking[[#This Row],[RRC ID Number]],Table1[RRC Identifier],0))</f>
        <v>0</v>
      </c>
      <c r="M126" s="30">
        <f>INDEX(Table1[Formation Production],MATCH(rrcworking[[#This Row],[RRC ID Number]],Table1[RRC Identifier],0))</f>
        <v>0</v>
      </c>
      <c r="N126" s="31">
        <f>INDEX(Table1[On Hand End of Month],MATCH(rrcworking[[#This Row],[RRC ID Number]],Table1[RRC Identifier],0))</f>
        <v>0</v>
      </c>
      <c r="O126" s="106" t="b">
        <f t="shared" si="3"/>
        <v>1</v>
      </c>
      <c r="P126" s="181"/>
      <c r="Q126" s="127">
        <f>rrcworking[[#This Row],[Last Month Closing Stock]]</f>
        <v>0</v>
      </c>
      <c r="R126" s="181">
        <f>rrcworking[[#This Row],[Opening Oil Stock]]</f>
        <v>0</v>
      </c>
      <c r="S126" s="143">
        <f>IF(ISERROR(INDEX(Table2[OIL],MATCH(rrcworking[[#This Row],[Magnum Wolfpak '#]],Table2[Rox Wolf'#],0))),0,INDEX(Table2[OIL],MATCH(rrcworking[[#This Row],[Magnum Wolfpak '#]],Table2[Rox Wolf'#],0)))</f>
        <v>0</v>
      </c>
      <c r="T126" s="35">
        <f>rrcworking[[#This Row],[Closing Stock (Oil)]]+rrcworking[[#This Row],[Sales/Dispostion]]-rrcworking[[#This Row],[Opening Oil Stock]]</f>
        <v>0</v>
      </c>
      <c r="U126" s="112">
        <f>rrcworking[[#This Row],[Gauge Sheet Prod Volume]]-rrcworking[[#This Row],[Oil Production]]</f>
        <v>0</v>
      </c>
      <c r="V126" s="143">
        <f>IF(ISERROR(INDEX(Table2[GAS],MATCH(rrcworking[[#This Row],[Magnum Wolfpak '#]],Table2[Rox Wolf'#],0))),0,INDEX(Table2[GAS],MATCH(rrcworking[[#This Row],[Magnum Wolfpak '#]],Table2[Rox Wolf'#],0)))</f>
        <v>0</v>
      </c>
      <c r="W126" s="24"/>
      <c r="X126" s="135">
        <f>IF(rrcworking[[#This Row],[Pressure Base]]=14.73,rrcworking[[#This Row],[Gas Sales Statement Volume (MCF)]]*$R$2,rrcworking[[#This Row],[Gas Sales Statement Volume (MCF)]])</f>
        <v>0</v>
      </c>
      <c r="Y126" s="60"/>
      <c r="Z126" s="60"/>
      <c r="AA126" s="143">
        <f>IF(ISERROR(INDEX(Table2[LEASE USE],MATCH(rrcworking[[#This Row],[Magnum Wolfpak '#]],Table2[Rox Wolf'#],0))),0,INDEX(Table2[LEASE USE],MATCH(rrcworking[[#This Row],[Magnum Wolfpak '#]],Table2[Rox Wolf'#],0)))</f>
        <v>0</v>
      </c>
      <c r="AB126" s="57">
        <f>rrcworking[[#This Row],[Disposition Volume (MCF) @ 14.65 MCF]]+rrcworking[[#This Row],[Lease Use (MCF)]]</f>
        <v>0</v>
      </c>
      <c r="AC126" s="37"/>
      <c r="AD126" s="37"/>
      <c r="AE126" s="187">
        <f>COUNTIF(FilterList,rrcworking[[#This Row],[Magnum Wolfpak '#]])</f>
        <v>0</v>
      </c>
      <c r="AF126" s="184"/>
      <c r="AG126" s="185"/>
      <c r="AH126" s="37"/>
      <c r="AI126" s="37"/>
      <c r="AJ126" s="37"/>
      <c r="AK126" s="37"/>
      <c r="AL126" s="37"/>
      <c r="AM126" s="37"/>
      <c r="AN126" s="37"/>
      <c r="AO126" s="37"/>
      <c r="AP126" s="37"/>
      <c r="AQ126" s="37"/>
    </row>
    <row r="127" spans="3:43" ht="98">
      <c r="C127" s="80">
        <v>98801</v>
      </c>
      <c r="D127" s="62" t="s">
        <v>244</v>
      </c>
      <c r="E127" s="131" t="s">
        <v>245</v>
      </c>
      <c r="F127" s="129">
        <v>1</v>
      </c>
      <c r="G127" s="120" t="s">
        <v>1091</v>
      </c>
      <c r="H127" s="18" t="s">
        <v>619</v>
      </c>
      <c r="I127" s="18" t="s">
        <v>59</v>
      </c>
      <c r="J127" s="19" t="s">
        <v>511</v>
      </c>
      <c r="K127" s="103">
        <v>164970</v>
      </c>
      <c r="L127" s="101">
        <f>INDEX(Table1[Production],MATCH(rrcworking[[#This Row],[RRC ID Number]],Table1[RRC Identifier],0))</f>
        <v>327</v>
      </c>
      <c r="M127" s="30">
        <f>INDEX(Table1[Formation Production],MATCH(rrcworking[[#This Row],[RRC ID Number]],Table1[RRC Identifier],0))</f>
        <v>3871</v>
      </c>
      <c r="N127" s="31">
        <f>INDEX(Table1[On Hand End of Month],MATCH(rrcworking[[#This Row],[RRC ID Number]],Table1[RRC Identifier],0))</f>
        <v>246</v>
      </c>
      <c r="O127" s="106" t="b">
        <f t="shared" si="3"/>
        <v>0</v>
      </c>
      <c r="P127" s="181">
        <v>175</v>
      </c>
      <c r="Q127" s="127">
        <f>rrcworking[[#This Row],[Last Month Closing Stock]]</f>
        <v>246</v>
      </c>
      <c r="R127" s="182">
        <v>63</v>
      </c>
      <c r="S127" s="143">
        <f>IF(ISERROR(INDEX(Table2[OIL],MATCH(rrcworking[[#This Row],[Magnum Wolfpak '#]],Table2[Rox Wolf'#],0))),0,INDEX(Table2[OIL],MATCH(rrcworking[[#This Row],[Magnum Wolfpak '#]],Table2[Rox Wolf'#],0)))</f>
        <v>190</v>
      </c>
      <c r="T127" s="35">
        <f>rrcworking[[#This Row],[Closing Stock (Oil)]]+rrcworking[[#This Row],[Sales/Dispostion]]-rrcworking[[#This Row],[Opening Oil Stock]]</f>
        <v>7</v>
      </c>
      <c r="U127" s="112">
        <f>rrcworking[[#This Row],[Gauge Sheet Prod Volume]]-rrcworking[[#This Row],[Oil Production]]</f>
        <v>168</v>
      </c>
      <c r="V127" s="143">
        <f>IF(ISERROR(INDEX(Table2[GAS],MATCH(rrcworking[[#This Row],[Magnum Wolfpak '#]],Table2[Rox Wolf'#],0))),0,INDEX(Table2[GAS],MATCH(rrcworking[[#This Row],[Magnum Wolfpak '#]],Table2[Rox Wolf'#],0)))</f>
        <v>6502</v>
      </c>
      <c r="W127" s="24"/>
      <c r="X127" s="135">
        <f>IF(rrcworking[[#This Row],[Pressure Base]]=14.73,rrcworking[[#This Row],[Gas Sales Statement Volume (MCF)]]*$R$2,rrcworking[[#This Row],[Gas Sales Statement Volume (MCF)]])</f>
        <v>6502</v>
      </c>
      <c r="Y127" s="85"/>
      <c r="Z127" s="60">
        <v>7</v>
      </c>
      <c r="AA127" s="143">
        <f>IF(ISERROR(INDEX(Table2[LEASE USE],MATCH(rrcworking[[#This Row],[Magnum Wolfpak '#]],Table2[Rox Wolf'#],0))),0,INDEX(Table2[LEASE USE],MATCH(rrcworking[[#This Row],[Magnum Wolfpak '#]],Table2[Rox Wolf'#],0)))</f>
        <v>217</v>
      </c>
      <c r="AB127" s="57">
        <f>rrcworking[[#This Row],[Disposition Volume (MCF) @ 14.65 MCF]]+rrcworking[[#This Row],[Lease Use (MCF)]]</f>
        <v>6719</v>
      </c>
      <c r="AC127" s="37"/>
      <c r="AD127" s="37" t="s">
        <v>1279</v>
      </c>
      <c r="AE127" s="187">
        <f>COUNTIF(FilterList,rrcworking[[#This Row],[Magnum Wolfpak '#]])</f>
        <v>0</v>
      </c>
      <c r="AF127" s="184"/>
      <c r="AG127" s="185"/>
      <c r="AH127" s="37"/>
      <c r="AI127" s="185"/>
      <c r="AJ127" s="37">
        <v>1</v>
      </c>
      <c r="AK127" s="37" t="s">
        <v>1167</v>
      </c>
      <c r="AL127" s="37" t="s">
        <v>1167</v>
      </c>
      <c r="AM127" s="37" t="s">
        <v>1272</v>
      </c>
      <c r="AN127" s="37" t="s">
        <v>1141</v>
      </c>
      <c r="AO127" s="37" t="s">
        <v>1273</v>
      </c>
      <c r="AP127" s="37" t="s">
        <v>1216</v>
      </c>
      <c r="AQ127" s="37" t="s">
        <v>1274</v>
      </c>
    </row>
    <row r="128" spans="3:43" ht="56">
      <c r="C128" s="80">
        <v>99259</v>
      </c>
      <c r="D128" s="62" t="s">
        <v>371</v>
      </c>
      <c r="E128" s="131" t="s">
        <v>372</v>
      </c>
      <c r="F128" s="129">
        <v>0</v>
      </c>
      <c r="G128" s="120" t="s">
        <v>1091</v>
      </c>
      <c r="H128" s="18" t="s">
        <v>620</v>
      </c>
      <c r="I128" s="18" t="s">
        <v>2</v>
      </c>
      <c r="J128" s="19" t="s">
        <v>589</v>
      </c>
      <c r="K128" s="103">
        <v>14061</v>
      </c>
      <c r="L128" s="101">
        <f>INDEX(Table1[Production],MATCH(rrcworking[[#This Row],[RRC ID Number]],Table1[RRC Identifier],0))</f>
        <v>238</v>
      </c>
      <c r="M128" s="30">
        <f>INDEX(Table1[Formation Production],MATCH(rrcworking[[#This Row],[RRC ID Number]],Table1[RRC Identifier],0))</f>
        <v>0</v>
      </c>
      <c r="N128" s="31">
        <f>INDEX(Table1[On Hand End of Month],MATCH(rrcworking[[#This Row],[RRC ID Number]],Table1[RRC Identifier],0))</f>
        <v>177</v>
      </c>
      <c r="O128" s="106" t="b">
        <f t="shared" si="3"/>
        <v>0</v>
      </c>
      <c r="P128" s="181">
        <v>266</v>
      </c>
      <c r="Q128" s="127">
        <f>rrcworking[[#This Row],[Last Month Closing Stock]]</f>
        <v>177</v>
      </c>
      <c r="R128" s="182">
        <v>254</v>
      </c>
      <c r="S128" s="143">
        <f>IF(ISERROR(INDEX(Table2[OIL],MATCH(rrcworking[[#This Row],[Magnum Wolfpak '#]],Table2[Rox Wolf'#],0))),0,INDEX(Table2[OIL],MATCH(rrcworking[[#This Row],[Magnum Wolfpak '#]],Table2[Rox Wolf'#],0)))</f>
        <v>184</v>
      </c>
      <c r="T128" s="35">
        <f>rrcworking[[#This Row],[Closing Stock (Oil)]]+rrcworking[[#This Row],[Sales/Dispostion]]-rrcworking[[#This Row],[Opening Oil Stock]]</f>
        <v>261</v>
      </c>
      <c r="U128" s="112">
        <f>rrcworking[[#This Row],[Gauge Sheet Prod Volume]]-rrcworking[[#This Row],[Oil Production]]</f>
        <v>5</v>
      </c>
      <c r="V128" s="143">
        <f>IF(ISERROR(INDEX(Table2[GAS],MATCH(rrcworking[[#This Row],[Magnum Wolfpak '#]],Table2[Rox Wolf'#],0))),0,INDEX(Table2[GAS],MATCH(rrcworking[[#This Row],[Magnum Wolfpak '#]],Table2[Rox Wolf'#],0)))</f>
        <v>0</v>
      </c>
      <c r="W128" s="24"/>
      <c r="X128" s="135">
        <f>IF(rrcworking[[#This Row],[Pressure Base]]=14.73,rrcworking[[#This Row],[Gas Sales Statement Volume (MCF)]]*$R$2,rrcworking[[#This Row],[Gas Sales Statement Volume (MCF)]])</f>
        <v>0</v>
      </c>
      <c r="Y128" s="60"/>
      <c r="Z128" s="60"/>
      <c r="AA128" s="143">
        <f>IF(ISERROR(INDEX(Table2[LEASE USE],MATCH(rrcworking[[#This Row],[Magnum Wolfpak '#]],Table2[Rox Wolf'#],0))),0,INDEX(Table2[LEASE USE],MATCH(rrcworking[[#This Row],[Magnum Wolfpak '#]],Table2[Rox Wolf'#],0)))</f>
        <v>0</v>
      </c>
      <c r="AB128" s="57">
        <f>rrcworking[[#This Row],[Disposition Volume (MCF) @ 14.65 MCF]]+rrcworking[[#This Row],[Lease Use (MCF)]]</f>
        <v>0</v>
      </c>
      <c r="AC128" s="37"/>
      <c r="AD128" s="37" t="s">
        <v>1280</v>
      </c>
      <c r="AE128" s="187">
        <f>COUNTIF(FilterList,rrcworking[[#This Row],[Magnum Wolfpak '#]])</f>
        <v>0</v>
      </c>
      <c r="AF128" s="184"/>
      <c r="AG128" s="185"/>
      <c r="AH128" s="37"/>
      <c r="AI128" s="185"/>
      <c r="AJ128" s="37">
        <v>2</v>
      </c>
      <c r="AK128" s="37" t="s">
        <v>1141</v>
      </c>
      <c r="AL128" s="37" t="s">
        <v>1141</v>
      </c>
      <c r="AM128" s="37" t="s">
        <v>1203</v>
      </c>
      <c r="AN128" s="37" t="s">
        <v>1141</v>
      </c>
      <c r="AO128" s="37" t="s">
        <v>1173</v>
      </c>
      <c r="AP128" s="37" t="s">
        <v>1255</v>
      </c>
      <c r="AQ128" s="37"/>
    </row>
    <row r="129" spans="3:43" ht="28">
      <c r="C129" s="80">
        <v>95801</v>
      </c>
      <c r="D129" s="62" t="s">
        <v>335</v>
      </c>
      <c r="E129" s="131" t="s">
        <v>336</v>
      </c>
      <c r="F129" s="129">
        <v>0</v>
      </c>
      <c r="G129" s="120" t="s">
        <v>1091</v>
      </c>
      <c r="H129" s="18" t="s">
        <v>620</v>
      </c>
      <c r="I129" s="18" t="s">
        <v>2</v>
      </c>
      <c r="J129" s="19" t="s">
        <v>569</v>
      </c>
      <c r="K129" s="103">
        <v>10325</v>
      </c>
      <c r="L129" s="101">
        <f>INDEX(Table1[Production],MATCH(rrcworking[[#This Row],[RRC ID Number]],Table1[RRC Identifier],0))</f>
        <v>1</v>
      </c>
      <c r="M129" s="30">
        <f>INDEX(Table1[Formation Production],MATCH(rrcworking[[#This Row],[RRC ID Number]],Table1[RRC Identifier],0))</f>
        <v>0</v>
      </c>
      <c r="N129" s="31">
        <f>INDEX(Table1[On Hand End of Month],MATCH(rrcworking[[#This Row],[RRC ID Number]],Table1[RRC Identifier],0))</f>
        <v>63</v>
      </c>
      <c r="O129" s="106" t="b">
        <f t="shared" si="3"/>
        <v>0</v>
      </c>
      <c r="P129" s="181">
        <v>2</v>
      </c>
      <c r="Q129" s="127">
        <f>rrcworking[[#This Row],[Last Month Closing Stock]]</f>
        <v>63</v>
      </c>
      <c r="R129" s="182">
        <v>65</v>
      </c>
      <c r="S129" s="143">
        <f>IF(ISERROR(INDEX(Table2[OIL],MATCH(rrcworking[[#This Row],[Magnum Wolfpak '#]],Table2[Rox Wolf'#],0))),0,INDEX(Table2[OIL],MATCH(rrcworking[[#This Row],[Magnum Wolfpak '#]],Table2[Rox Wolf'#],0)))</f>
        <v>0</v>
      </c>
      <c r="T129" s="35">
        <f>rrcworking[[#This Row],[Closing Stock (Oil)]]+rrcworking[[#This Row],[Sales/Dispostion]]-rrcworking[[#This Row],[Opening Oil Stock]]</f>
        <v>2</v>
      </c>
      <c r="U129" s="112">
        <f>rrcworking[[#This Row],[Gauge Sheet Prod Volume]]-rrcworking[[#This Row],[Oil Production]]</f>
        <v>0</v>
      </c>
      <c r="V129" s="143">
        <f>IF(ISERROR(INDEX(Table2[GAS],MATCH(rrcworking[[#This Row],[Magnum Wolfpak '#]],Table2[Rox Wolf'#],0))),0,INDEX(Table2[GAS],MATCH(rrcworking[[#This Row],[Magnum Wolfpak '#]],Table2[Rox Wolf'#],0)))</f>
        <v>0</v>
      </c>
      <c r="W129" s="24"/>
      <c r="X129" s="135">
        <f>IF(rrcworking[[#This Row],[Pressure Base]]=14.73,rrcworking[[#This Row],[Gas Sales Statement Volume (MCF)]]*$R$2,rrcworking[[#This Row],[Gas Sales Statement Volume (MCF)]])</f>
        <v>0</v>
      </c>
      <c r="Y129" s="60"/>
      <c r="Z129" s="60"/>
      <c r="AA129" s="143">
        <f>IF(ISERROR(INDEX(Table2[LEASE USE],MATCH(rrcworking[[#This Row],[Magnum Wolfpak '#]],Table2[Rox Wolf'#],0))),0,INDEX(Table2[LEASE USE],MATCH(rrcworking[[#This Row],[Magnum Wolfpak '#]],Table2[Rox Wolf'#],0)))</f>
        <v>0</v>
      </c>
      <c r="AB129" s="57">
        <f>rrcworking[[#This Row],[Disposition Volume (MCF) @ 14.65 MCF]]+rrcworking[[#This Row],[Lease Use (MCF)]]</f>
        <v>0</v>
      </c>
      <c r="AC129" s="37"/>
      <c r="AD129" s="37"/>
      <c r="AE129" s="187">
        <f>COUNTIF(FilterList,rrcworking[[#This Row],[Magnum Wolfpak '#]])</f>
        <v>0</v>
      </c>
      <c r="AF129" s="184"/>
      <c r="AG129" s="185"/>
      <c r="AH129" s="37"/>
      <c r="AI129" s="185"/>
      <c r="AJ129" s="37">
        <v>2</v>
      </c>
      <c r="AK129" s="37" t="s">
        <v>1167</v>
      </c>
      <c r="AL129" s="37" t="s">
        <v>1167</v>
      </c>
      <c r="AM129" s="37" t="s">
        <v>1198</v>
      </c>
      <c r="AN129" s="37" t="s">
        <v>1167</v>
      </c>
      <c r="AO129" s="37" t="s">
        <v>1173</v>
      </c>
      <c r="AP129" s="37" t="s">
        <v>1238</v>
      </c>
      <c r="AQ129" s="37"/>
    </row>
    <row r="130" spans="3:43" ht="14">
      <c r="C130" s="80" t="e">
        <v>#N/A</v>
      </c>
      <c r="D130" s="62" t="s">
        <v>118</v>
      </c>
      <c r="E130" s="131" t="s">
        <v>119</v>
      </c>
      <c r="F130" s="129">
        <v>0</v>
      </c>
      <c r="G130" s="120" t="s">
        <v>1091</v>
      </c>
      <c r="H130" s="18" t="s">
        <v>618</v>
      </c>
      <c r="I130" s="18" t="s">
        <v>2</v>
      </c>
      <c r="J130" s="19" t="s">
        <v>440</v>
      </c>
      <c r="K130" s="103">
        <v>5086</v>
      </c>
      <c r="L130" s="101">
        <f>INDEX(Table1[Production],MATCH(rrcworking[[#This Row],[RRC ID Number]],Table1[RRC Identifier],0))</f>
        <v>0</v>
      </c>
      <c r="M130" s="30">
        <f>INDEX(Table1[Formation Production],MATCH(rrcworking[[#This Row],[RRC ID Number]],Table1[RRC Identifier],0))</f>
        <v>0</v>
      </c>
      <c r="N130" s="31">
        <f>INDEX(Table1[On Hand End of Month],MATCH(rrcworking[[#This Row],[RRC ID Number]],Table1[RRC Identifier],0))</f>
        <v>0</v>
      </c>
      <c r="O130" s="106" t="b">
        <f t="shared" si="3"/>
        <v>1</v>
      </c>
      <c r="P130" s="181"/>
      <c r="Q130" s="127">
        <f>rrcworking[[#This Row],[Last Month Closing Stock]]</f>
        <v>0</v>
      </c>
      <c r="R130" s="181">
        <f>rrcworking[[#This Row],[Opening Oil Stock]]</f>
        <v>0</v>
      </c>
      <c r="S130" s="143">
        <f>IF(ISERROR(INDEX(Table2[OIL],MATCH(rrcworking[[#This Row],[Magnum Wolfpak '#]],Table2[Rox Wolf'#],0))),0,INDEX(Table2[OIL],MATCH(rrcworking[[#This Row],[Magnum Wolfpak '#]],Table2[Rox Wolf'#],0)))</f>
        <v>0</v>
      </c>
      <c r="T130" s="35">
        <f>rrcworking[[#This Row],[Closing Stock (Oil)]]+rrcworking[[#This Row],[Sales/Dispostion]]-rrcworking[[#This Row],[Opening Oil Stock]]</f>
        <v>0</v>
      </c>
      <c r="U130" s="112">
        <f>rrcworking[[#This Row],[Gauge Sheet Prod Volume]]-rrcworking[[#This Row],[Oil Production]]</f>
        <v>0</v>
      </c>
      <c r="V130" s="143">
        <f>IF(ISERROR(INDEX(Table2[GAS],MATCH(rrcworking[[#This Row],[Magnum Wolfpak '#]],Table2[Rox Wolf'#],0))),0,INDEX(Table2[GAS],MATCH(rrcworking[[#This Row],[Magnum Wolfpak '#]],Table2[Rox Wolf'#],0)))</f>
        <v>0</v>
      </c>
      <c r="W130" s="24"/>
      <c r="X130" s="135">
        <f>IF(rrcworking[[#This Row],[Pressure Base]]=14.73,rrcworking[[#This Row],[Gas Sales Statement Volume (MCF)]]*$R$2,rrcworking[[#This Row],[Gas Sales Statement Volume (MCF)]])</f>
        <v>0</v>
      </c>
      <c r="Y130" s="60"/>
      <c r="Z130" s="60"/>
      <c r="AA130" s="143">
        <f>IF(ISERROR(INDEX(Table2[LEASE USE],MATCH(rrcworking[[#This Row],[Magnum Wolfpak '#]],Table2[Rox Wolf'#],0))),0,INDEX(Table2[LEASE USE],MATCH(rrcworking[[#This Row],[Magnum Wolfpak '#]],Table2[Rox Wolf'#],0)))</f>
        <v>0</v>
      </c>
      <c r="AB130" s="57">
        <f>rrcworking[[#This Row],[Disposition Volume (MCF) @ 14.65 MCF]]+rrcworking[[#This Row],[Lease Use (MCF)]]</f>
        <v>0</v>
      </c>
      <c r="AC130" s="37"/>
      <c r="AD130" s="37"/>
      <c r="AE130" s="187">
        <f>COUNTIF(FilterList,rrcworking[[#This Row],[Magnum Wolfpak '#]])</f>
        <v>0</v>
      </c>
      <c r="AF130" s="184"/>
      <c r="AG130" s="185"/>
      <c r="AH130" s="37"/>
      <c r="AI130" s="37"/>
      <c r="AJ130" s="37"/>
      <c r="AK130" s="37"/>
      <c r="AL130" s="37"/>
      <c r="AM130" s="37"/>
      <c r="AN130" s="37"/>
      <c r="AO130" s="37"/>
      <c r="AP130" s="37"/>
      <c r="AQ130" s="37"/>
    </row>
    <row r="131" spans="3:43" ht="14">
      <c r="C131" s="80" t="e">
        <v>#N/A</v>
      </c>
      <c r="D131" s="62" t="s">
        <v>312</v>
      </c>
      <c r="E131" s="131" t="s">
        <v>313</v>
      </c>
      <c r="F131" s="129">
        <v>1</v>
      </c>
      <c r="G131" s="120" t="s">
        <v>1091</v>
      </c>
      <c r="H131" s="18" t="s">
        <v>620</v>
      </c>
      <c r="I131" s="18" t="s">
        <v>59</v>
      </c>
      <c r="J131" s="19" t="s">
        <v>555</v>
      </c>
      <c r="K131" s="103">
        <v>115364</v>
      </c>
      <c r="L131" s="101">
        <f>INDEX(Table1[Production],MATCH(rrcworking[[#This Row],[RRC ID Number]],Table1[RRC Identifier],0))</f>
        <v>0</v>
      </c>
      <c r="M131" s="30">
        <f>INDEX(Table1[Formation Production],MATCH(rrcworking[[#This Row],[RRC ID Number]],Table1[RRC Identifier],0))</f>
        <v>0</v>
      </c>
      <c r="N131" s="31">
        <f>INDEX(Table1[On Hand End of Month],MATCH(rrcworking[[#This Row],[RRC ID Number]],Table1[RRC Identifier],0))</f>
        <v>0</v>
      </c>
      <c r="O131" s="106" t="b">
        <f t="shared" si="3"/>
        <v>1</v>
      </c>
      <c r="P131" s="181"/>
      <c r="Q131" s="127">
        <f>rrcworking[[#This Row],[Last Month Closing Stock]]</f>
        <v>0</v>
      </c>
      <c r="R131" s="181">
        <f>rrcworking[[#This Row],[Opening Oil Stock]]</f>
        <v>0</v>
      </c>
      <c r="S131" s="143">
        <f>IF(ISERROR(INDEX(Table2[OIL],MATCH(rrcworking[[#This Row],[Magnum Wolfpak '#]],Table2[Rox Wolf'#],0))),0,INDEX(Table2[OIL],MATCH(rrcworking[[#This Row],[Magnum Wolfpak '#]],Table2[Rox Wolf'#],0)))</f>
        <v>0</v>
      </c>
      <c r="T131" s="35">
        <f>rrcworking[[#This Row],[Closing Stock (Oil)]]+rrcworking[[#This Row],[Sales/Dispostion]]-rrcworking[[#This Row],[Opening Oil Stock]]</f>
        <v>0</v>
      </c>
      <c r="U131" s="112">
        <f>rrcworking[[#This Row],[Gauge Sheet Prod Volume]]-rrcworking[[#This Row],[Oil Production]]</f>
        <v>0</v>
      </c>
      <c r="V131" s="143">
        <f>IF(ISERROR(INDEX(Table2[GAS],MATCH(rrcworking[[#This Row],[Magnum Wolfpak '#]],Table2[Rox Wolf'#],0))),0,INDEX(Table2[GAS],MATCH(rrcworking[[#This Row],[Magnum Wolfpak '#]],Table2[Rox Wolf'#],0)))</f>
        <v>0</v>
      </c>
      <c r="W131" s="24"/>
      <c r="X131" s="135">
        <f>IF(rrcworking[[#This Row],[Pressure Base]]=14.73,rrcworking[[#This Row],[Gas Sales Statement Volume (MCF)]]*$R$2,rrcworking[[#This Row],[Gas Sales Statement Volume (MCF)]])</f>
        <v>0</v>
      </c>
      <c r="Y131" s="60"/>
      <c r="Z131" s="60"/>
      <c r="AA131" s="143">
        <f>IF(ISERROR(INDEX(Table2[LEASE USE],MATCH(rrcworking[[#This Row],[Magnum Wolfpak '#]],Table2[Rox Wolf'#],0))),0,INDEX(Table2[LEASE USE],MATCH(rrcworking[[#This Row],[Magnum Wolfpak '#]],Table2[Rox Wolf'#],0)))</f>
        <v>0</v>
      </c>
      <c r="AB131" s="57">
        <f>rrcworking[[#This Row],[Disposition Volume (MCF) @ 14.65 MCF]]+rrcworking[[#This Row],[Lease Use (MCF)]]</f>
        <v>0</v>
      </c>
      <c r="AC131" s="97"/>
      <c r="AD131" s="97"/>
      <c r="AE131" s="187">
        <f>COUNTIF(FilterList,rrcworking[[#This Row],[Magnum Wolfpak '#]])</f>
        <v>0</v>
      </c>
      <c r="AF131" s="184"/>
      <c r="AG131" s="185"/>
      <c r="AH131" s="37"/>
      <c r="AI131" s="37"/>
      <c r="AJ131" s="37"/>
      <c r="AK131" s="37"/>
      <c r="AL131" s="37"/>
      <c r="AM131" s="37"/>
      <c r="AN131" s="37"/>
      <c r="AO131" s="37"/>
      <c r="AP131" s="37"/>
      <c r="AQ131" s="37"/>
    </row>
    <row r="132" spans="3:43" ht="42">
      <c r="C132" s="80">
        <v>98961</v>
      </c>
      <c r="D132" s="62" t="s">
        <v>295</v>
      </c>
      <c r="E132" s="131" t="s">
        <v>296</v>
      </c>
      <c r="F132" s="129">
        <v>0</v>
      </c>
      <c r="G132" s="120" t="s">
        <v>1091</v>
      </c>
      <c r="H132" s="18" t="s">
        <v>619</v>
      </c>
      <c r="I132" s="18" t="s">
        <v>2</v>
      </c>
      <c r="J132" s="19" t="s">
        <v>545</v>
      </c>
      <c r="K132" s="103">
        <v>24644</v>
      </c>
      <c r="L132" s="101">
        <f>INDEX(Table1[Production],MATCH(rrcworking[[#This Row],[RRC ID Number]],Table1[RRC Identifier],0))</f>
        <v>290</v>
      </c>
      <c r="M132" s="30">
        <f>INDEX(Table1[Formation Production],MATCH(rrcworking[[#This Row],[RRC ID Number]],Table1[RRC Identifier],0))</f>
        <v>0</v>
      </c>
      <c r="N132" s="31">
        <f>INDEX(Table1[On Hand End of Month],MATCH(rrcworking[[#This Row],[RRC ID Number]],Table1[RRC Identifier],0))</f>
        <v>171</v>
      </c>
      <c r="O132" s="106" t="b">
        <f t="shared" si="3"/>
        <v>0</v>
      </c>
      <c r="P132" s="181">
        <v>294</v>
      </c>
      <c r="Q132" s="127">
        <f>rrcworking[[#This Row],[Last Month Closing Stock]]</f>
        <v>171</v>
      </c>
      <c r="R132" s="182">
        <v>105</v>
      </c>
      <c r="S132" s="143">
        <f>IF(ISERROR(INDEX(Table2[OIL],MATCH(rrcworking[[#This Row],[Magnum Wolfpak '#]],Table2[Rox Wolf'#],0))),0,INDEX(Table2[OIL],MATCH(rrcworking[[#This Row],[Magnum Wolfpak '#]],Table2[Rox Wolf'#],0)))</f>
        <v>355</v>
      </c>
      <c r="T132" s="35">
        <f>rrcworking[[#This Row],[Closing Stock (Oil)]]+rrcworking[[#This Row],[Sales/Dispostion]]-rrcworking[[#This Row],[Opening Oil Stock]]</f>
        <v>289</v>
      </c>
      <c r="U132" s="112">
        <f>rrcworking[[#This Row],[Gauge Sheet Prod Volume]]-rrcworking[[#This Row],[Oil Production]]</f>
        <v>5</v>
      </c>
      <c r="V132" s="143">
        <f>IF(ISERROR(INDEX(Table2[GAS],MATCH(rrcworking[[#This Row],[Magnum Wolfpak '#]],Table2[Rox Wolf'#],0))),0,INDEX(Table2[GAS],MATCH(rrcworking[[#This Row],[Magnum Wolfpak '#]],Table2[Rox Wolf'#],0)))</f>
        <v>2046</v>
      </c>
      <c r="W132" s="24"/>
      <c r="X132" s="135">
        <f>IF(rrcworking[[#This Row],[Pressure Base]]=14.73,rrcworking[[#This Row],[Gas Sales Statement Volume (MCF)]]*$R$2,rrcworking[[#This Row],[Gas Sales Statement Volume (MCF)]])</f>
        <v>2046</v>
      </c>
      <c r="Y132" s="60"/>
      <c r="Z132" s="60">
        <v>0</v>
      </c>
      <c r="AA132" s="143">
        <f>IF(ISERROR(INDEX(Table2[LEASE USE],MATCH(rrcworking[[#This Row],[Magnum Wolfpak '#]],Table2[Rox Wolf'#],0))),0,INDEX(Table2[LEASE USE],MATCH(rrcworking[[#This Row],[Magnum Wolfpak '#]],Table2[Rox Wolf'#],0)))</f>
        <v>0</v>
      </c>
      <c r="AB132" s="57">
        <f>rrcworking[[#This Row],[Disposition Volume (MCF) @ 14.65 MCF]]+rrcworking[[#This Row],[Lease Use (MCF)]]</f>
        <v>2046</v>
      </c>
      <c r="AC132" s="37"/>
      <c r="AD132" s="37" t="s">
        <v>1247</v>
      </c>
      <c r="AE132" s="187">
        <f>COUNTIF(FilterList,rrcworking[[#This Row],[Magnum Wolfpak '#]])</f>
        <v>0</v>
      </c>
      <c r="AF132" s="184"/>
      <c r="AG132" s="185"/>
      <c r="AH132" s="37"/>
      <c r="AI132" s="185"/>
      <c r="AJ132" s="186"/>
      <c r="AK132" s="186"/>
      <c r="AL132" s="186"/>
      <c r="AM132" s="186"/>
      <c r="AN132" s="186"/>
      <c r="AO132" s="186"/>
      <c r="AP132" s="37" t="s">
        <v>1165</v>
      </c>
      <c r="AQ132" s="37" t="s">
        <v>1200</v>
      </c>
    </row>
    <row r="133" spans="3:43" ht="14">
      <c r="C133" s="80" t="e">
        <v>#N/A</v>
      </c>
      <c r="D133" s="62" t="s">
        <v>295</v>
      </c>
      <c r="E133" s="131" t="s">
        <v>296</v>
      </c>
      <c r="F133" s="129">
        <v>3</v>
      </c>
      <c r="G133" s="120" t="s">
        <v>1091</v>
      </c>
      <c r="H133" s="18" t="s">
        <v>619</v>
      </c>
      <c r="I133" s="18" t="s">
        <v>59</v>
      </c>
      <c r="J133" s="19" t="s">
        <v>544</v>
      </c>
      <c r="K133" s="103">
        <v>129832</v>
      </c>
      <c r="L133" s="101">
        <f>INDEX(Table1[Production],MATCH(rrcworking[[#This Row],[RRC ID Number]],Table1[RRC Identifier],0))</f>
        <v>0</v>
      </c>
      <c r="M133" s="30">
        <f>INDEX(Table1[Formation Production],MATCH(rrcworking[[#This Row],[RRC ID Number]],Table1[RRC Identifier],0))</f>
        <v>0</v>
      </c>
      <c r="N133" s="31">
        <f>INDEX(Table1[On Hand End of Month],MATCH(rrcworking[[#This Row],[RRC ID Number]],Table1[RRC Identifier],0))</f>
        <v>0</v>
      </c>
      <c r="O133" s="106" t="b">
        <f t="shared" si="3"/>
        <v>1</v>
      </c>
      <c r="P133" s="181"/>
      <c r="Q133" s="127">
        <f>rrcworking[[#This Row],[Last Month Closing Stock]]</f>
        <v>0</v>
      </c>
      <c r="R133" s="181">
        <f>rrcworking[[#This Row],[Opening Oil Stock]]</f>
        <v>0</v>
      </c>
      <c r="S133" s="143">
        <f>IF(ISERROR(INDEX(Table2[OIL],MATCH(rrcworking[[#This Row],[Magnum Wolfpak '#]],Table2[Rox Wolf'#],0))),0,INDEX(Table2[OIL],MATCH(rrcworking[[#This Row],[Magnum Wolfpak '#]],Table2[Rox Wolf'#],0)))</f>
        <v>0</v>
      </c>
      <c r="T133" s="35">
        <f>rrcworking[[#This Row],[Closing Stock (Oil)]]+rrcworking[[#This Row],[Sales/Dispostion]]-rrcworking[[#This Row],[Opening Oil Stock]]</f>
        <v>0</v>
      </c>
      <c r="U133" s="112">
        <f>rrcworking[[#This Row],[Gauge Sheet Prod Volume]]-rrcworking[[#This Row],[Oil Production]]</f>
        <v>0</v>
      </c>
      <c r="V133" s="143">
        <f>IF(ISERROR(INDEX(Table2[GAS],MATCH(rrcworking[[#This Row],[Magnum Wolfpak '#]],Table2[Rox Wolf'#],0))),0,INDEX(Table2[GAS],MATCH(rrcworking[[#This Row],[Magnum Wolfpak '#]],Table2[Rox Wolf'#],0)))</f>
        <v>0</v>
      </c>
      <c r="W133" s="24"/>
      <c r="X133" s="135">
        <f>IF(rrcworking[[#This Row],[Pressure Base]]=14.73,rrcworking[[#This Row],[Gas Sales Statement Volume (MCF)]]*$R$2,rrcworking[[#This Row],[Gas Sales Statement Volume (MCF)]])</f>
        <v>0</v>
      </c>
      <c r="Y133" s="60"/>
      <c r="Z133" s="60"/>
      <c r="AA133" s="143">
        <f>IF(ISERROR(INDEX(Table2[LEASE USE],MATCH(rrcworking[[#This Row],[Magnum Wolfpak '#]],Table2[Rox Wolf'#],0))),0,INDEX(Table2[LEASE USE],MATCH(rrcworking[[#This Row],[Magnum Wolfpak '#]],Table2[Rox Wolf'#],0)))</f>
        <v>0</v>
      </c>
      <c r="AB133" s="57">
        <f>rrcworking[[#This Row],[Disposition Volume (MCF) @ 14.65 MCF]]+rrcworking[[#This Row],[Lease Use (MCF)]]</f>
        <v>0</v>
      </c>
      <c r="AC133" s="97"/>
      <c r="AD133" s="97"/>
      <c r="AE133" s="187">
        <f>COUNTIF(FilterList,rrcworking[[#This Row],[Magnum Wolfpak '#]])</f>
        <v>0</v>
      </c>
      <c r="AF133" s="184"/>
      <c r="AG133" s="185"/>
      <c r="AH133" s="37"/>
      <c r="AI133" s="37"/>
      <c r="AJ133" s="37"/>
      <c r="AK133" s="37"/>
      <c r="AL133" s="37"/>
      <c r="AM133" s="37"/>
      <c r="AN133" s="37"/>
      <c r="AO133" s="37"/>
      <c r="AP133" s="37"/>
      <c r="AQ133" s="37"/>
    </row>
    <row r="134" spans="3:43" ht="14">
      <c r="C134" s="80" t="e">
        <v>#N/A</v>
      </c>
      <c r="D134" s="62" t="s">
        <v>297</v>
      </c>
      <c r="E134" s="131" t="s">
        <v>296</v>
      </c>
      <c r="F134" s="129">
        <v>5</v>
      </c>
      <c r="G134" s="120" t="s">
        <v>1091</v>
      </c>
      <c r="H134" s="18" t="s">
        <v>619</v>
      </c>
      <c r="I134" s="18" t="s">
        <v>59</v>
      </c>
      <c r="J134" s="19" t="s">
        <v>546</v>
      </c>
      <c r="K134" s="103">
        <v>127418</v>
      </c>
      <c r="L134" s="101">
        <f>INDEX(Table1[Production],MATCH(rrcworking[[#This Row],[RRC ID Number]],Table1[RRC Identifier],0))</f>
        <v>0</v>
      </c>
      <c r="M134" s="30">
        <f>INDEX(Table1[Formation Production],MATCH(rrcworking[[#This Row],[RRC ID Number]],Table1[RRC Identifier],0))</f>
        <v>0</v>
      </c>
      <c r="N134" s="31">
        <f>INDEX(Table1[On Hand End of Month],MATCH(rrcworking[[#This Row],[RRC ID Number]],Table1[RRC Identifier],0))</f>
        <v>0</v>
      </c>
      <c r="O134" s="106" t="b">
        <f t="shared" ref="O134:O164" si="4">IF(AND(L134=0,M134=0), TRUE, FALSE)</f>
        <v>1</v>
      </c>
      <c r="P134" s="181"/>
      <c r="Q134" s="127">
        <f>rrcworking[[#This Row],[Last Month Closing Stock]]</f>
        <v>0</v>
      </c>
      <c r="R134" s="181">
        <f>rrcworking[[#This Row],[Opening Oil Stock]]</f>
        <v>0</v>
      </c>
      <c r="S134" s="143">
        <f>IF(ISERROR(INDEX(Table2[OIL],MATCH(rrcworking[[#This Row],[Magnum Wolfpak '#]],Table2[Rox Wolf'#],0))),0,INDEX(Table2[OIL],MATCH(rrcworking[[#This Row],[Magnum Wolfpak '#]],Table2[Rox Wolf'#],0)))</f>
        <v>0</v>
      </c>
      <c r="T134" s="35">
        <f>rrcworking[[#This Row],[Closing Stock (Oil)]]+rrcworking[[#This Row],[Sales/Dispostion]]-rrcworking[[#This Row],[Opening Oil Stock]]</f>
        <v>0</v>
      </c>
      <c r="U134" s="112">
        <f>rrcworking[[#This Row],[Gauge Sheet Prod Volume]]-rrcworking[[#This Row],[Oil Production]]</f>
        <v>0</v>
      </c>
      <c r="V134" s="143">
        <f>IF(ISERROR(INDEX(Table2[GAS],MATCH(rrcworking[[#This Row],[Magnum Wolfpak '#]],Table2[Rox Wolf'#],0))),0,INDEX(Table2[GAS],MATCH(rrcworking[[#This Row],[Magnum Wolfpak '#]],Table2[Rox Wolf'#],0)))</f>
        <v>0</v>
      </c>
      <c r="W134" s="24"/>
      <c r="X134" s="135">
        <f>IF(rrcworking[[#This Row],[Pressure Base]]=14.73,rrcworking[[#This Row],[Gas Sales Statement Volume (MCF)]]*$R$2,rrcworking[[#This Row],[Gas Sales Statement Volume (MCF)]])</f>
        <v>0</v>
      </c>
      <c r="Y134" s="60"/>
      <c r="Z134" s="60"/>
      <c r="AA134" s="143">
        <f>IF(ISERROR(INDEX(Table2[LEASE USE],MATCH(rrcworking[[#This Row],[Magnum Wolfpak '#]],Table2[Rox Wolf'#],0))),0,INDEX(Table2[LEASE USE],MATCH(rrcworking[[#This Row],[Magnum Wolfpak '#]],Table2[Rox Wolf'#],0)))</f>
        <v>0</v>
      </c>
      <c r="AB134" s="57">
        <f>rrcworking[[#This Row],[Disposition Volume (MCF) @ 14.65 MCF]]+rrcworking[[#This Row],[Lease Use (MCF)]]</f>
        <v>0</v>
      </c>
      <c r="AC134" s="37"/>
      <c r="AD134" s="37"/>
      <c r="AE134" s="187">
        <f>COUNTIF(FilterList,rrcworking[[#This Row],[Magnum Wolfpak '#]])</f>
        <v>0</v>
      </c>
      <c r="AF134" s="184"/>
      <c r="AG134" s="185"/>
      <c r="AH134" s="37"/>
      <c r="AI134" s="37"/>
      <c r="AJ134" s="37"/>
      <c r="AK134" s="37"/>
      <c r="AL134" s="37"/>
      <c r="AM134" s="37"/>
      <c r="AN134" s="37"/>
      <c r="AO134" s="37"/>
      <c r="AP134" s="37"/>
      <c r="AQ134" s="37"/>
    </row>
    <row r="135" spans="3:43" ht="14">
      <c r="C135" s="80" t="e">
        <v>#N/A</v>
      </c>
      <c r="D135" s="62" t="s">
        <v>297</v>
      </c>
      <c r="E135" s="131" t="s">
        <v>296</v>
      </c>
      <c r="F135" s="129">
        <v>4</v>
      </c>
      <c r="G135" s="120" t="s">
        <v>1091</v>
      </c>
      <c r="H135" s="18" t="s">
        <v>619</v>
      </c>
      <c r="I135" s="18" t="s">
        <v>59</v>
      </c>
      <c r="J135" s="19" t="s">
        <v>547</v>
      </c>
      <c r="K135" s="103">
        <v>128149</v>
      </c>
      <c r="L135" s="101">
        <f>INDEX(Table1[Production],MATCH(rrcworking[[#This Row],[RRC ID Number]],Table1[RRC Identifier],0))</f>
        <v>0</v>
      </c>
      <c r="M135" s="30">
        <f>INDEX(Table1[Formation Production],MATCH(rrcworking[[#This Row],[RRC ID Number]],Table1[RRC Identifier],0))</f>
        <v>0</v>
      </c>
      <c r="N135" s="31">
        <f>INDEX(Table1[On Hand End of Month],MATCH(rrcworking[[#This Row],[RRC ID Number]],Table1[RRC Identifier],0))</f>
        <v>0</v>
      </c>
      <c r="O135" s="106" t="b">
        <f t="shared" si="4"/>
        <v>1</v>
      </c>
      <c r="P135" s="181"/>
      <c r="Q135" s="127">
        <f>rrcworking[[#This Row],[Last Month Closing Stock]]</f>
        <v>0</v>
      </c>
      <c r="R135" s="181">
        <f>rrcworking[[#This Row],[Opening Oil Stock]]</f>
        <v>0</v>
      </c>
      <c r="S135" s="143">
        <f>IF(ISERROR(INDEX(Table2[OIL],MATCH(rrcworking[[#This Row],[Magnum Wolfpak '#]],Table2[Rox Wolf'#],0))),0,INDEX(Table2[OIL],MATCH(rrcworking[[#This Row],[Magnum Wolfpak '#]],Table2[Rox Wolf'#],0)))</f>
        <v>0</v>
      </c>
      <c r="T135" s="35">
        <f>rrcworking[[#This Row],[Closing Stock (Oil)]]+rrcworking[[#This Row],[Sales/Dispostion]]-rrcworking[[#This Row],[Opening Oil Stock]]</f>
        <v>0</v>
      </c>
      <c r="U135" s="112">
        <f>rrcworking[[#This Row],[Gauge Sheet Prod Volume]]-rrcworking[[#This Row],[Oil Production]]</f>
        <v>0</v>
      </c>
      <c r="V135" s="143">
        <f>IF(ISERROR(INDEX(Table2[GAS],MATCH(rrcworking[[#This Row],[Magnum Wolfpak '#]],Table2[Rox Wolf'#],0))),0,INDEX(Table2[GAS],MATCH(rrcworking[[#This Row],[Magnum Wolfpak '#]],Table2[Rox Wolf'#],0)))</f>
        <v>0</v>
      </c>
      <c r="W135" s="24"/>
      <c r="X135" s="135">
        <f>IF(rrcworking[[#This Row],[Pressure Base]]=14.73,rrcworking[[#This Row],[Gas Sales Statement Volume (MCF)]]*$R$2,rrcworking[[#This Row],[Gas Sales Statement Volume (MCF)]])</f>
        <v>0</v>
      </c>
      <c r="Y135" s="60"/>
      <c r="Z135" s="60"/>
      <c r="AA135" s="143">
        <f>IF(ISERROR(INDEX(Table2[LEASE USE],MATCH(rrcworking[[#This Row],[Magnum Wolfpak '#]],Table2[Rox Wolf'#],0))),0,INDEX(Table2[LEASE USE],MATCH(rrcworking[[#This Row],[Magnum Wolfpak '#]],Table2[Rox Wolf'#],0)))</f>
        <v>0</v>
      </c>
      <c r="AB135" s="57">
        <f>rrcworking[[#This Row],[Disposition Volume (MCF) @ 14.65 MCF]]+rrcworking[[#This Row],[Lease Use (MCF)]]</f>
        <v>0</v>
      </c>
      <c r="AC135" s="37"/>
      <c r="AD135" s="37"/>
      <c r="AE135" s="187">
        <f>COUNTIF(FilterList,rrcworking[[#This Row],[Magnum Wolfpak '#]])</f>
        <v>0</v>
      </c>
      <c r="AF135" s="184"/>
      <c r="AG135" s="185"/>
      <c r="AH135" s="37"/>
      <c r="AI135" s="37"/>
      <c r="AJ135" s="37"/>
      <c r="AK135" s="37"/>
      <c r="AL135" s="37"/>
      <c r="AM135" s="37"/>
      <c r="AN135" s="37"/>
      <c r="AO135" s="37"/>
      <c r="AP135" s="37"/>
      <c r="AQ135" s="37"/>
    </row>
    <row r="136" spans="3:43" ht="140">
      <c r="C136" s="80">
        <v>99132</v>
      </c>
      <c r="D136" s="62" t="s">
        <v>382</v>
      </c>
      <c r="E136" s="131" t="s">
        <v>383</v>
      </c>
      <c r="F136" s="140" t="s">
        <v>61</v>
      </c>
      <c r="G136" s="120">
        <v>6114</v>
      </c>
      <c r="H136" s="18" t="s">
        <v>620</v>
      </c>
      <c r="I136" s="18" t="s">
        <v>2</v>
      </c>
      <c r="J136" s="19" t="s">
        <v>596</v>
      </c>
      <c r="K136" s="103">
        <v>3212</v>
      </c>
      <c r="L136" s="101">
        <f>INDEX(Table1[Production],MATCH(rrcworking[[#This Row],[RRC ID Number]],Table1[RRC Identifier],0))</f>
        <v>102</v>
      </c>
      <c r="M136" s="30">
        <f>INDEX(Table1[Formation Production],MATCH(rrcworking[[#This Row],[RRC ID Number]],Table1[RRC Identifier],0))</f>
        <v>88</v>
      </c>
      <c r="N136" s="31">
        <f>INDEX(Table1[On Hand End of Month],MATCH(rrcworking[[#This Row],[RRC ID Number]],Table1[RRC Identifier],0))</f>
        <v>127</v>
      </c>
      <c r="O136" s="106" t="b">
        <f t="shared" si="4"/>
        <v>0</v>
      </c>
      <c r="P136" s="181">
        <v>232</v>
      </c>
      <c r="Q136" s="127">
        <f>rrcworking[[#This Row],[Last Month Closing Stock]]</f>
        <v>127</v>
      </c>
      <c r="R136" s="182">
        <v>232</v>
      </c>
      <c r="S136" s="143">
        <f>IF(ISERROR(INDEX(Table2[OIL],MATCH(rrcworking[[#This Row],[Magnum Wolfpak '#]],Table2[Rox Wolf'#],0))),0,INDEX(Table2[OIL],MATCH(rrcworking[[#This Row],[Magnum Wolfpak '#]],Table2[Rox Wolf'#],0)))</f>
        <v>0</v>
      </c>
      <c r="T136" s="35">
        <f>rrcworking[[#This Row],[Closing Stock (Oil)]]+rrcworking[[#This Row],[Sales/Dispostion]]-rrcworking[[#This Row],[Opening Oil Stock]]</f>
        <v>105</v>
      </c>
      <c r="U136" s="112">
        <f>rrcworking[[#This Row],[Gauge Sheet Prod Volume]]-rrcworking[[#This Row],[Oil Production]]</f>
        <v>127</v>
      </c>
      <c r="V136" s="143">
        <f>IF(ISERROR(INDEX(Table2[GAS],MATCH(rrcworking[[#This Row],[Magnum Wolfpak '#]],Table2[Rox Wolf'#],0))),0,INDEX(Table2[GAS],MATCH(rrcworking[[#This Row],[Magnum Wolfpak '#]],Table2[Rox Wolf'#],0)))</f>
        <v>0</v>
      </c>
      <c r="W136" s="24"/>
      <c r="X136" s="135">
        <f>IF(rrcworking[[#This Row],[Pressure Base]]=14.73,rrcworking[[#This Row],[Gas Sales Statement Volume (MCF)]]*$R$2,rrcworking[[#This Row],[Gas Sales Statement Volume (MCF)]])</f>
        <v>0</v>
      </c>
      <c r="Y136" s="60"/>
      <c r="Z136" s="60">
        <v>4</v>
      </c>
      <c r="AA136" s="143">
        <f>IF(ISERROR(INDEX(Table2[LEASE USE],MATCH(rrcworking[[#This Row],[Magnum Wolfpak '#]],Table2[Rox Wolf'#],0))),0,INDEX(Table2[LEASE USE],MATCH(rrcworking[[#This Row],[Magnum Wolfpak '#]],Table2[Rox Wolf'#],0)))</f>
        <v>0</v>
      </c>
      <c r="AB136" s="57">
        <f>rrcworking[[#This Row],[Disposition Volume (MCF) @ 14.65 MCF]]+rrcworking[[#This Row],[Lease Use (MCF)]]</f>
        <v>0</v>
      </c>
      <c r="AC136" s="37"/>
      <c r="AD136" s="37" t="s">
        <v>1302</v>
      </c>
      <c r="AE136" s="187">
        <f>COUNTIF(FilterList,rrcworking[[#This Row],[Magnum Wolfpak '#]])</f>
        <v>1</v>
      </c>
      <c r="AF136" s="184"/>
      <c r="AG136" s="185"/>
      <c r="AH136" s="37"/>
      <c r="AI136" s="185"/>
      <c r="AJ136" s="186"/>
      <c r="AK136" s="186"/>
      <c r="AL136" s="186"/>
      <c r="AM136" s="186"/>
      <c r="AN136" s="186"/>
      <c r="AO136" s="186"/>
      <c r="AP136" s="37" t="s">
        <v>1165</v>
      </c>
      <c r="AQ136" s="37" t="s">
        <v>1208</v>
      </c>
    </row>
    <row r="137" spans="3:43" ht="14">
      <c r="C137" s="80">
        <v>99133</v>
      </c>
      <c r="D137" s="62" t="s">
        <v>387</v>
      </c>
      <c r="E137" s="131" t="s">
        <v>388</v>
      </c>
      <c r="F137" s="140" t="s">
        <v>911</v>
      </c>
      <c r="G137" s="120">
        <v>6114</v>
      </c>
      <c r="H137" s="18" t="s">
        <v>620</v>
      </c>
      <c r="I137" s="18" t="s">
        <v>2</v>
      </c>
      <c r="J137" s="19" t="s">
        <v>599</v>
      </c>
      <c r="K137" s="103">
        <v>13668</v>
      </c>
      <c r="L137" s="101">
        <f>INDEX(Table1[Production],MATCH(rrcworking[[#This Row],[RRC ID Number]],Table1[RRC Identifier],0))</f>
        <v>0</v>
      </c>
      <c r="M137" s="30">
        <f>INDEX(Table1[Formation Production],MATCH(rrcworking[[#This Row],[RRC ID Number]],Table1[RRC Identifier],0))</f>
        <v>0</v>
      </c>
      <c r="N137" s="31">
        <f>INDEX(Table1[On Hand End of Month],MATCH(rrcworking[[#This Row],[RRC ID Number]],Table1[RRC Identifier],0))</f>
        <v>0</v>
      </c>
      <c r="O137" s="106" t="b">
        <f t="shared" si="4"/>
        <v>1</v>
      </c>
      <c r="P137" s="181">
        <v>0</v>
      </c>
      <c r="Q137" s="127">
        <f>rrcworking[[#This Row],[Last Month Closing Stock]]</f>
        <v>0</v>
      </c>
      <c r="R137" s="181">
        <v>0</v>
      </c>
      <c r="S137" s="144">
        <f>IF(ISERROR(INDEX(Table2[OIL],MATCH(rrcworking[[#This Row],[Magnum Wolfpak '#]],Table2[Rox Wolf'#],0))),0,INDEX(Table2[OIL],MATCH(rrcworking[[#This Row],[Magnum Wolfpak '#]],Table2[Rox Wolf'#],0)))</f>
        <v>0</v>
      </c>
      <c r="T137" s="35">
        <f>rrcworking[[#This Row],[Closing Stock (Oil)]]+rrcworking[[#This Row],[Sales/Dispostion]]-rrcworking[[#This Row],[Opening Oil Stock]]</f>
        <v>0</v>
      </c>
      <c r="U137" s="112">
        <f>rrcworking[[#This Row],[Gauge Sheet Prod Volume]]-rrcworking[[#This Row],[Oil Production]]</f>
        <v>0</v>
      </c>
      <c r="V137" s="143">
        <f>IF(ISERROR(INDEX(Table2[GAS],MATCH(rrcworking[[#This Row],[Magnum Wolfpak '#]],Table2[Rox Wolf'#],0))),0,INDEX(Table2[GAS],MATCH(rrcworking[[#This Row],[Magnum Wolfpak '#]],Table2[Rox Wolf'#],0)))</f>
        <v>0</v>
      </c>
      <c r="W137" s="24"/>
      <c r="X137" s="135">
        <f>IF(rrcworking[[#This Row],[Pressure Base]]=14.73,rrcworking[[#This Row],[Gas Sales Statement Volume (MCF)]]*$R$2,rrcworking[[#This Row],[Gas Sales Statement Volume (MCF)]])</f>
        <v>0</v>
      </c>
      <c r="Y137" s="60"/>
      <c r="Z137" s="60"/>
      <c r="AA137" s="143">
        <f>IF(ISERROR(INDEX(Table2[LEASE USE],MATCH(rrcworking[[#This Row],[Magnum Wolfpak '#]],Table2[Rox Wolf'#],0))),0,INDEX(Table2[LEASE USE],MATCH(rrcworking[[#This Row],[Magnum Wolfpak '#]],Table2[Rox Wolf'#],0)))</f>
        <v>0</v>
      </c>
      <c r="AB137" s="57">
        <f>rrcworking[[#This Row],[Disposition Volume (MCF) @ 14.65 MCF]]+rrcworking[[#This Row],[Lease Use (MCF)]]</f>
        <v>0</v>
      </c>
      <c r="AC137" s="63"/>
      <c r="AD137" s="37"/>
      <c r="AE137" s="187">
        <f>COUNTIF(FilterList,rrcworking[[#This Row],[Magnum Wolfpak '#]])</f>
        <v>1</v>
      </c>
      <c r="AF137" s="184"/>
      <c r="AG137" s="185"/>
      <c r="AH137" s="37"/>
      <c r="AI137" s="37"/>
      <c r="AJ137" s="186"/>
      <c r="AK137" s="186"/>
      <c r="AL137" s="186"/>
      <c r="AM137" s="186"/>
      <c r="AN137" s="186"/>
      <c r="AO137" s="186"/>
      <c r="AP137" s="37" t="s">
        <v>1165</v>
      </c>
      <c r="AQ137" s="37"/>
    </row>
    <row r="138" spans="3:43" ht="14">
      <c r="C138" s="80" t="e">
        <v>#N/A</v>
      </c>
      <c r="D138" s="62" t="s">
        <v>389</v>
      </c>
      <c r="E138" s="131" t="s">
        <v>390</v>
      </c>
      <c r="F138" s="129">
        <v>0</v>
      </c>
      <c r="G138" s="120" t="s">
        <v>1091</v>
      </c>
      <c r="H138" s="18" t="s">
        <v>620</v>
      </c>
      <c r="I138" s="18" t="s">
        <v>2</v>
      </c>
      <c r="J138" s="19" t="s">
        <v>600</v>
      </c>
      <c r="K138" s="103">
        <v>13664</v>
      </c>
      <c r="L138" s="101">
        <f>INDEX(Table1[Production],MATCH(rrcworking[[#This Row],[RRC ID Number]],Table1[RRC Identifier],0))</f>
        <v>0</v>
      </c>
      <c r="M138" s="30">
        <f>INDEX(Table1[Formation Production],MATCH(rrcworking[[#This Row],[RRC ID Number]],Table1[RRC Identifier],0))</f>
        <v>0</v>
      </c>
      <c r="N138" s="31">
        <f>INDEX(Table1[On Hand End of Month],MATCH(rrcworking[[#This Row],[RRC ID Number]],Table1[RRC Identifier],0))</f>
        <v>64</v>
      </c>
      <c r="O138" s="106" t="b">
        <f t="shared" si="4"/>
        <v>1</v>
      </c>
      <c r="P138" s="181"/>
      <c r="Q138" s="127">
        <f>rrcworking[[#This Row],[Last Month Closing Stock]]</f>
        <v>64</v>
      </c>
      <c r="R138" s="181">
        <f>rrcworking[[#This Row],[Opening Oil Stock]]</f>
        <v>64</v>
      </c>
      <c r="S138" s="143">
        <f>IF(ISERROR(INDEX(Table2[OIL],MATCH(rrcworking[[#This Row],[Magnum Wolfpak '#]],Table2[Rox Wolf'#],0))),0,INDEX(Table2[OIL],MATCH(rrcworking[[#This Row],[Magnum Wolfpak '#]],Table2[Rox Wolf'#],0)))</f>
        <v>0</v>
      </c>
      <c r="T138" s="35">
        <f>rrcworking[[#This Row],[Closing Stock (Oil)]]+rrcworking[[#This Row],[Sales/Dispostion]]-rrcworking[[#This Row],[Opening Oil Stock]]</f>
        <v>0</v>
      </c>
      <c r="U138" s="112">
        <f>rrcworking[[#This Row],[Gauge Sheet Prod Volume]]-rrcworking[[#This Row],[Oil Production]]</f>
        <v>0</v>
      </c>
      <c r="V138" s="143">
        <f>IF(ISERROR(INDEX(Table2[GAS],MATCH(rrcworking[[#This Row],[Magnum Wolfpak '#]],Table2[Rox Wolf'#],0))),0,INDEX(Table2[GAS],MATCH(rrcworking[[#This Row],[Magnum Wolfpak '#]],Table2[Rox Wolf'#],0)))</f>
        <v>0</v>
      </c>
      <c r="W138" s="24"/>
      <c r="X138" s="135">
        <f>IF(rrcworking[[#This Row],[Pressure Base]]=14.73,rrcworking[[#This Row],[Gas Sales Statement Volume (MCF)]]*$R$2,rrcworking[[#This Row],[Gas Sales Statement Volume (MCF)]])</f>
        <v>0</v>
      </c>
      <c r="Y138" s="60"/>
      <c r="Z138" s="60"/>
      <c r="AA138" s="143">
        <f>IF(ISERROR(INDEX(Table2[LEASE USE],MATCH(rrcworking[[#This Row],[Magnum Wolfpak '#]],Table2[Rox Wolf'#],0))),0,INDEX(Table2[LEASE USE],MATCH(rrcworking[[#This Row],[Magnum Wolfpak '#]],Table2[Rox Wolf'#],0)))</f>
        <v>0</v>
      </c>
      <c r="AB138" s="57">
        <f>rrcworking[[#This Row],[Disposition Volume (MCF) @ 14.65 MCF]]+rrcworking[[#This Row],[Lease Use (MCF)]]</f>
        <v>0</v>
      </c>
      <c r="AC138" s="37"/>
      <c r="AD138" s="37"/>
      <c r="AE138" s="187">
        <f>COUNTIF(FilterList,rrcworking[[#This Row],[Magnum Wolfpak '#]])</f>
        <v>0</v>
      </c>
      <c r="AF138" s="184"/>
      <c r="AG138" s="185"/>
      <c r="AH138" s="37"/>
      <c r="AI138" s="37"/>
      <c r="AJ138" s="37"/>
      <c r="AK138" s="37"/>
      <c r="AL138" s="37"/>
      <c r="AM138" s="37"/>
      <c r="AN138" s="37"/>
      <c r="AO138" s="37"/>
      <c r="AP138" s="37"/>
      <c r="AQ138" s="37"/>
    </row>
    <row r="139" spans="3:43" ht="14">
      <c r="C139" s="80" t="e">
        <v>#N/A</v>
      </c>
      <c r="D139" s="62" t="s">
        <v>365</v>
      </c>
      <c r="E139" s="131" t="s">
        <v>366</v>
      </c>
      <c r="F139" s="129">
        <v>2</v>
      </c>
      <c r="G139" s="120" t="s">
        <v>1091</v>
      </c>
      <c r="H139" s="18" t="s">
        <v>620</v>
      </c>
      <c r="I139" s="18" t="s">
        <v>59</v>
      </c>
      <c r="J139" s="19" t="s">
        <v>586</v>
      </c>
      <c r="K139" s="103">
        <v>192315</v>
      </c>
      <c r="L139" s="101">
        <f>INDEX(Table1[Production],MATCH(rrcworking[[#This Row],[RRC ID Number]],Table1[RRC Identifier],0))</f>
        <v>0</v>
      </c>
      <c r="M139" s="30">
        <f>INDEX(Table1[Formation Production],MATCH(rrcworking[[#This Row],[RRC ID Number]],Table1[RRC Identifier],0))</f>
        <v>0</v>
      </c>
      <c r="N139" s="31">
        <f>INDEX(Table1[On Hand End of Month],MATCH(rrcworking[[#This Row],[RRC ID Number]],Table1[RRC Identifier],0))</f>
        <v>0</v>
      </c>
      <c r="O139" s="106" t="b">
        <f t="shared" si="4"/>
        <v>1</v>
      </c>
      <c r="P139" s="181"/>
      <c r="Q139" s="127">
        <f>rrcworking[[#This Row],[Last Month Closing Stock]]</f>
        <v>0</v>
      </c>
      <c r="R139" s="181">
        <f>rrcworking[[#This Row],[Opening Oil Stock]]</f>
        <v>0</v>
      </c>
      <c r="S139" s="143">
        <f>IF(ISERROR(INDEX(Table2[OIL],MATCH(rrcworking[[#This Row],[Magnum Wolfpak '#]],Table2[Rox Wolf'#],0))),0,INDEX(Table2[OIL],MATCH(rrcworking[[#This Row],[Magnum Wolfpak '#]],Table2[Rox Wolf'#],0)))</f>
        <v>0</v>
      </c>
      <c r="T139" s="35">
        <f>rrcworking[[#This Row],[Closing Stock (Oil)]]+rrcworking[[#This Row],[Sales/Dispostion]]-rrcworking[[#This Row],[Opening Oil Stock]]</f>
        <v>0</v>
      </c>
      <c r="U139" s="112">
        <f>rrcworking[[#This Row],[Gauge Sheet Prod Volume]]-rrcworking[[#This Row],[Oil Production]]</f>
        <v>0</v>
      </c>
      <c r="V139" s="143">
        <f>IF(ISERROR(INDEX(Table2[GAS],MATCH(rrcworking[[#This Row],[Magnum Wolfpak '#]],Table2[Rox Wolf'#],0))),0,INDEX(Table2[GAS],MATCH(rrcworking[[#This Row],[Magnum Wolfpak '#]],Table2[Rox Wolf'#],0)))</f>
        <v>0</v>
      </c>
      <c r="W139" s="24"/>
      <c r="X139" s="135">
        <f>IF(rrcworking[[#This Row],[Pressure Base]]=14.73,rrcworking[[#This Row],[Gas Sales Statement Volume (MCF)]]*$R$2,rrcworking[[#This Row],[Gas Sales Statement Volume (MCF)]])</f>
        <v>0</v>
      </c>
      <c r="Y139" s="60"/>
      <c r="Z139" s="60"/>
      <c r="AA139" s="143">
        <f>IF(ISERROR(INDEX(Table2[LEASE USE],MATCH(rrcworking[[#This Row],[Magnum Wolfpak '#]],Table2[Rox Wolf'#],0))),0,INDEX(Table2[LEASE USE],MATCH(rrcworking[[#This Row],[Magnum Wolfpak '#]],Table2[Rox Wolf'#],0)))</f>
        <v>0</v>
      </c>
      <c r="AB139" s="57">
        <f>rrcworking[[#This Row],[Disposition Volume (MCF) @ 14.65 MCF]]+rrcworking[[#This Row],[Lease Use (MCF)]]</f>
        <v>0</v>
      </c>
      <c r="AC139" s="37"/>
      <c r="AD139" s="37"/>
      <c r="AE139" s="187">
        <f>COUNTIF(FilterList,rrcworking[[#This Row],[Magnum Wolfpak '#]])</f>
        <v>0</v>
      </c>
      <c r="AF139" s="184"/>
      <c r="AG139" s="185"/>
      <c r="AH139" s="37"/>
      <c r="AI139" s="37"/>
      <c r="AJ139" s="37"/>
      <c r="AK139" s="37"/>
      <c r="AL139" s="37"/>
      <c r="AM139" s="37"/>
      <c r="AN139" s="37"/>
      <c r="AO139" s="37"/>
      <c r="AP139" s="37"/>
      <c r="AQ139" s="37"/>
    </row>
    <row r="140" spans="3:43" ht="14">
      <c r="C140" s="80" t="e">
        <v>#N/A</v>
      </c>
      <c r="D140" s="62" t="s">
        <v>127</v>
      </c>
      <c r="E140" s="131" t="s">
        <v>128</v>
      </c>
      <c r="F140" s="129">
        <v>0</v>
      </c>
      <c r="G140" s="120" t="s">
        <v>1091</v>
      </c>
      <c r="H140" s="18" t="s">
        <v>618</v>
      </c>
      <c r="I140" s="18" t="s">
        <v>2</v>
      </c>
      <c r="J140" s="19" t="s">
        <v>446</v>
      </c>
      <c r="K140" s="103">
        <v>4248</v>
      </c>
      <c r="L140" s="101">
        <f>INDEX(Table1[Production],MATCH(rrcworking[[#This Row],[RRC ID Number]],Table1[RRC Identifier],0))</f>
        <v>0</v>
      </c>
      <c r="M140" s="30">
        <f>INDEX(Table1[Formation Production],MATCH(rrcworking[[#This Row],[RRC ID Number]],Table1[RRC Identifier],0))</f>
        <v>0</v>
      </c>
      <c r="N140" s="31">
        <f>INDEX(Table1[On Hand End of Month],MATCH(rrcworking[[#This Row],[RRC ID Number]],Table1[RRC Identifier],0))</f>
        <v>213</v>
      </c>
      <c r="O140" s="106" t="b">
        <f t="shared" si="4"/>
        <v>1</v>
      </c>
      <c r="P140" s="181"/>
      <c r="Q140" s="127">
        <f>rrcworking[[#This Row],[Last Month Closing Stock]]</f>
        <v>213</v>
      </c>
      <c r="R140" s="181">
        <f>rrcworking[[#This Row],[Opening Oil Stock]]</f>
        <v>213</v>
      </c>
      <c r="S140" s="143">
        <f>IF(ISERROR(INDEX(Table2[OIL],MATCH(rrcworking[[#This Row],[Magnum Wolfpak '#]],Table2[Rox Wolf'#],0))),0,INDEX(Table2[OIL],MATCH(rrcworking[[#This Row],[Magnum Wolfpak '#]],Table2[Rox Wolf'#],0)))</f>
        <v>0</v>
      </c>
      <c r="T140" s="35">
        <f>rrcworking[[#This Row],[Closing Stock (Oil)]]+rrcworking[[#This Row],[Sales/Dispostion]]-rrcworking[[#This Row],[Opening Oil Stock]]</f>
        <v>0</v>
      </c>
      <c r="U140" s="112">
        <f>rrcworking[[#This Row],[Gauge Sheet Prod Volume]]-rrcworking[[#This Row],[Oil Production]]</f>
        <v>0</v>
      </c>
      <c r="V140" s="143">
        <f>IF(ISERROR(INDEX(Table2[GAS],MATCH(rrcworking[[#This Row],[Magnum Wolfpak '#]],Table2[Rox Wolf'#],0))),0,INDEX(Table2[GAS],MATCH(rrcworking[[#This Row],[Magnum Wolfpak '#]],Table2[Rox Wolf'#],0)))</f>
        <v>0</v>
      </c>
      <c r="W140" s="24"/>
      <c r="X140" s="135">
        <f>IF(rrcworking[[#This Row],[Pressure Base]]=14.73,rrcworking[[#This Row],[Gas Sales Statement Volume (MCF)]]*$R$2,rrcworking[[#This Row],[Gas Sales Statement Volume (MCF)]])</f>
        <v>0</v>
      </c>
      <c r="Y140" s="60"/>
      <c r="Z140" s="60"/>
      <c r="AA140" s="143">
        <f>IF(ISERROR(INDEX(Table2[LEASE USE],MATCH(rrcworking[[#This Row],[Magnum Wolfpak '#]],Table2[Rox Wolf'#],0))),0,INDEX(Table2[LEASE USE],MATCH(rrcworking[[#This Row],[Magnum Wolfpak '#]],Table2[Rox Wolf'#],0)))</f>
        <v>0</v>
      </c>
      <c r="AB140" s="57">
        <f>rrcworking[[#This Row],[Disposition Volume (MCF) @ 14.65 MCF]]+rrcworking[[#This Row],[Lease Use (MCF)]]</f>
        <v>0</v>
      </c>
      <c r="AC140" s="37"/>
      <c r="AD140" s="37"/>
      <c r="AE140" s="187">
        <f>COUNTIF(FilterList,rrcworking[[#This Row],[Magnum Wolfpak '#]])</f>
        <v>0</v>
      </c>
      <c r="AF140" s="184"/>
      <c r="AG140" s="185"/>
      <c r="AH140" s="37"/>
      <c r="AI140" s="37"/>
      <c r="AJ140" s="37"/>
      <c r="AK140" s="37"/>
      <c r="AL140" s="37"/>
      <c r="AM140" s="37"/>
      <c r="AN140" s="37"/>
      <c r="AO140" s="37"/>
      <c r="AP140" s="37"/>
      <c r="AQ140" s="37"/>
    </row>
    <row r="141" spans="3:43" ht="14">
      <c r="C141" s="80" t="e">
        <v>#N/A</v>
      </c>
      <c r="D141" s="62" t="s">
        <v>271</v>
      </c>
      <c r="E141" s="131" t="s">
        <v>272</v>
      </c>
      <c r="F141" s="129">
        <v>1</v>
      </c>
      <c r="G141" s="120" t="s">
        <v>1091</v>
      </c>
      <c r="H141" s="18" t="s">
        <v>619</v>
      </c>
      <c r="I141" s="18" t="s">
        <v>59</v>
      </c>
      <c r="J141" s="19" t="s">
        <v>525</v>
      </c>
      <c r="K141" s="103">
        <v>58664</v>
      </c>
      <c r="L141" s="101">
        <f>INDEX(Table1[Production],MATCH(rrcworking[[#This Row],[RRC ID Number]],Table1[RRC Identifier],0))</f>
        <v>0</v>
      </c>
      <c r="M141" s="30">
        <f>INDEX(Table1[Formation Production],MATCH(rrcworking[[#This Row],[RRC ID Number]],Table1[RRC Identifier],0))</f>
        <v>0</v>
      </c>
      <c r="N141" s="31">
        <f>INDEX(Table1[On Hand End of Month],MATCH(rrcworking[[#This Row],[RRC ID Number]],Table1[RRC Identifier],0))</f>
        <v>0</v>
      </c>
      <c r="O141" s="106" t="b">
        <f t="shared" si="4"/>
        <v>1</v>
      </c>
      <c r="P141" s="181"/>
      <c r="Q141" s="127">
        <f>rrcworking[[#This Row],[Last Month Closing Stock]]</f>
        <v>0</v>
      </c>
      <c r="R141" s="181">
        <f>rrcworking[[#This Row],[Opening Oil Stock]]</f>
        <v>0</v>
      </c>
      <c r="S141" s="143">
        <f>IF(ISERROR(INDEX(Table2[OIL],MATCH(rrcworking[[#This Row],[Magnum Wolfpak '#]],Table2[Rox Wolf'#],0))),0,INDEX(Table2[OIL],MATCH(rrcworking[[#This Row],[Magnum Wolfpak '#]],Table2[Rox Wolf'#],0)))</f>
        <v>0</v>
      </c>
      <c r="T141" s="35">
        <f>rrcworking[[#This Row],[Closing Stock (Oil)]]+rrcworking[[#This Row],[Sales/Dispostion]]-rrcworking[[#This Row],[Opening Oil Stock]]</f>
        <v>0</v>
      </c>
      <c r="U141" s="112">
        <f>rrcworking[[#This Row],[Gauge Sheet Prod Volume]]-rrcworking[[#This Row],[Oil Production]]</f>
        <v>0</v>
      </c>
      <c r="V141" s="143">
        <f>IF(ISERROR(INDEX(Table2[GAS],MATCH(rrcworking[[#This Row],[Magnum Wolfpak '#]],Table2[Rox Wolf'#],0))),0,INDEX(Table2[GAS],MATCH(rrcworking[[#This Row],[Magnum Wolfpak '#]],Table2[Rox Wolf'#],0)))</f>
        <v>0</v>
      </c>
      <c r="W141" s="24"/>
      <c r="X141" s="135">
        <f>IF(rrcworking[[#This Row],[Pressure Base]]=14.73,rrcworking[[#This Row],[Gas Sales Statement Volume (MCF)]]*$R$2,rrcworking[[#This Row],[Gas Sales Statement Volume (MCF)]])</f>
        <v>0</v>
      </c>
      <c r="Y141" s="60"/>
      <c r="Z141" s="60"/>
      <c r="AA141" s="143">
        <f>IF(ISERROR(INDEX(Table2[LEASE USE],MATCH(rrcworking[[#This Row],[Magnum Wolfpak '#]],Table2[Rox Wolf'#],0))),0,INDEX(Table2[LEASE USE],MATCH(rrcworking[[#This Row],[Magnum Wolfpak '#]],Table2[Rox Wolf'#],0)))</f>
        <v>0</v>
      </c>
      <c r="AB141" s="57">
        <f>rrcworking[[#This Row],[Disposition Volume (MCF) @ 14.65 MCF]]+rrcworking[[#This Row],[Lease Use (MCF)]]</f>
        <v>0</v>
      </c>
      <c r="AC141" s="97"/>
      <c r="AD141" s="37"/>
      <c r="AE141" s="187">
        <f>COUNTIF(FilterList,rrcworking[[#This Row],[Magnum Wolfpak '#]])</f>
        <v>0</v>
      </c>
      <c r="AF141" s="184"/>
      <c r="AG141" s="185"/>
      <c r="AH141" s="37"/>
      <c r="AI141" s="37"/>
      <c r="AJ141" s="37"/>
      <c r="AK141" s="37"/>
      <c r="AL141" s="37"/>
      <c r="AM141" s="37"/>
      <c r="AN141" s="37"/>
      <c r="AO141" s="37"/>
      <c r="AP141" s="37"/>
      <c r="AQ141" s="37"/>
    </row>
    <row r="142" spans="3:43" ht="14">
      <c r="C142" s="80" t="e">
        <v>#N/A</v>
      </c>
      <c r="D142" s="62" t="s">
        <v>112</v>
      </c>
      <c r="E142" s="131" t="s">
        <v>113</v>
      </c>
      <c r="F142" s="129">
        <v>5</v>
      </c>
      <c r="G142" s="120">
        <v>5048</v>
      </c>
      <c r="H142" s="18" t="s">
        <v>618</v>
      </c>
      <c r="I142" s="18" t="s">
        <v>59</v>
      </c>
      <c r="J142" s="19" t="s">
        <v>436</v>
      </c>
      <c r="K142" s="103">
        <v>198005</v>
      </c>
      <c r="L142" s="101">
        <f>INDEX(Table1[Production],MATCH(rrcworking[[#This Row],[RRC ID Number]],Table1[RRC Identifier],0))</f>
        <v>0</v>
      </c>
      <c r="M142" s="30">
        <f>INDEX(Table1[Formation Production],MATCH(rrcworking[[#This Row],[RRC ID Number]],Table1[RRC Identifier],0))</f>
        <v>0</v>
      </c>
      <c r="N142" s="31">
        <f>INDEX(Table1[On Hand End of Month],MATCH(rrcworking[[#This Row],[RRC ID Number]],Table1[RRC Identifier],0))</f>
        <v>0</v>
      </c>
      <c r="O142" s="106" t="b">
        <f t="shared" si="4"/>
        <v>1</v>
      </c>
      <c r="P142" s="181"/>
      <c r="Q142" s="127">
        <f>rrcworking[[#This Row],[Last Month Closing Stock]]</f>
        <v>0</v>
      </c>
      <c r="R142" s="181">
        <f>rrcworking[[#This Row],[Opening Oil Stock]]</f>
        <v>0</v>
      </c>
      <c r="S142" s="143">
        <f>IF(ISERROR(INDEX(Table2[OIL],MATCH(rrcworking[[#This Row],[Magnum Wolfpak '#]],Table2[Rox Wolf'#],0))),0,INDEX(Table2[OIL],MATCH(rrcworking[[#This Row],[Magnum Wolfpak '#]],Table2[Rox Wolf'#],0)))</f>
        <v>0</v>
      </c>
      <c r="T142" s="35">
        <f>rrcworking[[#This Row],[Closing Stock (Oil)]]+rrcworking[[#This Row],[Sales/Dispostion]]-rrcworking[[#This Row],[Opening Oil Stock]]</f>
        <v>0</v>
      </c>
      <c r="U142" s="112">
        <f>rrcworking[[#This Row],[Gauge Sheet Prod Volume]]-rrcworking[[#This Row],[Oil Production]]</f>
        <v>0</v>
      </c>
      <c r="V142" s="143">
        <f>IF(ISERROR(INDEX(Table2[GAS],MATCH(rrcworking[[#This Row],[Magnum Wolfpak '#]],Table2[Rox Wolf'#],0))),0,INDEX(Table2[GAS],MATCH(rrcworking[[#This Row],[Magnum Wolfpak '#]],Table2[Rox Wolf'#],0)))</f>
        <v>0</v>
      </c>
      <c r="W142" s="24"/>
      <c r="X142" s="135">
        <f>IF(rrcworking[[#This Row],[Pressure Base]]=14.73,rrcworking[[#This Row],[Gas Sales Statement Volume (MCF)]]*$R$2,rrcworking[[#This Row],[Gas Sales Statement Volume (MCF)]])</f>
        <v>0</v>
      </c>
      <c r="Y142" s="60"/>
      <c r="Z142" s="60"/>
      <c r="AA142" s="143">
        <f>IF(ISERROR(INDEX(Table2[LEASE USE],MATCH(rrcworking[[#This Row],[Magnum Wolfpak '#]],Table2[Rox Wolf'#],0))),0,INDEX(Table2[LEASE USE],MATCH(rrcworking[[#This Row],[Magnum Wolfpak '#]],Table2[Rox Wolf'#],0)))</f>
        <v>0</v>
      </c>
      <c r="AB142" s="57">
        <f>rrcworking[[#This Row],[Disposition Volume (MCF) @ 14.65 MCF]]+rrcworking[[#This Row],[Lease Use (MCF)]]</f>
        <v>0</v>
      </c>
      <c r="AC142" s="97"/>
      <c r="AD142" s="37"/>
      <c r="AE142" s="187">
        <f>COUNTIF(FilterList,rrcworking[[#This Row],[Magnum Wolfpak '#]])</f>
        <v>0</v>
      </c>
      <c r="AF142" s="184"/>
      <c r="AG142" s="185"/>
      <c r="AH142" s="37"/>
      <c r="AI142" s="37"/>
      <c r="AJ142" s="37"/>
      <c r="AK142" s="37"/>
      <c r="AL142" s="37"/>
      <c r="AM142" s="37"/>
      <c r="AN142" s="37"/>
      <c r="AO142" s="37"/>
      <c r="AP142" s="37"/>
      <c r="AQ142" s="37"/>
    </row>
    <row r="143" spans="3:43" ht="14">
      <c r="C143" s="80" t="e">
        <v>#N/A</v>
      </c>
      <c r="D143" s="62" t="s">
        <v>129</v>
      </c>
      <c r="E143" s="131" t="s">
        <v>113</v>
      </c>
      <c r="F143" s="129">
        <v>3</v>
      </c>
      <c r="G143" s="120">
        <v>5048</v>
      </c>
      <c r="H143" s="18" t="s">
        <v>618</v>
      </c>
      <c r="I143" s="18" t="s">
        <v>59</v>
      </c>
      <c r="J143" s="19" t="s">
        <v>447</v>
      </c>
      <c r="K143" s="103">
        <v>184558</v>
      </c>
      <c r="L143" s="101">
        <f>INDEX(Table1[Production],MATCH(rrcworking[[#This Row],[RRC ID Number]],Table1[RRC Identifier],0))</f>
        <v>0</v>
      </c>
      <c r="M143" s="30">
        <f>INDEX(Table1[Formation Production],MATCH(rrcworking[[#This Row],[RRC ID Number]],Table1[RRC Identifier],0))</f>
        <v>0</v>
      </c>
      <c r="N143" s="31">
        <f>INDEX(Table1[On Hand End of Month],MATCH(rrcworking[[#This Row],[RRC ID Number]],Table1[RRC Identifier],0))</f>
        <v>0</v>
      </c>
      <c r="O143" s="106" t="b">
        <f t="shared" si="4"/>
        <v>1</v>
      </c>
      <c r="P143" s="181"/>
      <c r="Q143" s="127">
        <f>rrcworking[[#This Row],[Last Month Closing Stock]]</f>
        <v>0</v>
      </c>
      <c r="R143" s="181">
        <f>rrcworking[[#This Row],[Opening Oil Stock]]</f>
        <v>0</v>
      </c>
      <c r="S143" s="143">
        <f>IF(ISERROR(INDEX(Table2[OIL],MATCH(rrcworking[[#This Row],[Magnum Wolfpak '#]],Table2[Rox Wolf'#],0))),0,INDEX(Table2[OIL],MATCH(rrcworking[[#This Row],[Magnum Wolfpak '#]],Table2[Rox Wolf'#],0)))</f>
        <v>0</v>
      </c>
      <c r="T143" s="35">
        <f>rrcworking[[#This Row],[Closing Stock (Oil)]]+rrcworking[[#This Row],[Sales/Dispostion]]-rrcworking[[#This Row],[Opening Oil Stock]]</f>
        <v>0</v>
      </c>
      <c r="U143" s="112">
        <f>rrcworking[[#This Row],[Gauge Sheet Prod Volume]]-rrcworking[[#This Row],[Oil Production]]</f>
        <v>0</v>
      </c>
      <c r="V143" s="143">
        <f>IF(ISERROR(INDEX(Table2[GAS],MATCH(rrcworking[[#This Row],[Magnum Wolfpak '#]],Table2[Rox Wolf'#],0))),0,INDEX(Table2[GAS],MATCH(rrcworking[[#This Row],[Magnum Wolfpak '#]],Table2[Rox Wolf'#],0)))</f>
        <v>0</v>
      </c>
      <c r="W143" s="24"/>
      <c r="X143" s="135">
        <f>IF(rrcworking[[#This Row],[Pressure Base]]=14.73,rrcworking[[#This Row],[Gas Sales Statement Volume (MCF)]]*$R$2,rrcworking[[#This Row],[Gas Sales Statement Volume (MCF)]])</f>
        <v>0</v>
      </c>
      <c r="Y143" s="60"/>
      <c r="Z143" s="60"/>
      <c r="AA143" s="143">
        <f>IF(ISERROR(INDEX(Table2[LEASE USE],MATCH(rrcworking[[#This Row],[Magnum Wolfpak '#]],Table2[Rox Wolf'#],0))),0,INDEX(Table2[LEASE USE],MATCH(rrcworking[[#This Row],[Magnum Wolfpak '#]],Table2[Rox Wolf'#],0)))</f>
        <v>0</v>
      </c>
      <c r="AB143" s="57">
        <f>rrcworking[[#This Row],[Disposition Volume (MCF) @ 14.65 MCF]]+rrcworking[[#This Row],[Lease Use (MCF)]]</f>
        <v>0</v>
      </c>
      <c r="AC143" s="37"/>
      <c r="AD143" s="37"/>
      <c r="AE143" s="187">
        <f>COUNTIF(FilterList,rrcworking[[#This Row],[Magnum Wolfpak '#]])</f>
        <v>0</v>
      </c>
      <c r="AF143" s="184"/>
      <c r="AG143" s="185"/>
      <c r="AH143" s="37"/>
      <c r="AI143" s="37"/>
      <c r="AJ143" s="37"/>
      <c r="AK143" s="37"/>
      <c r="AL143" s="37"/>
      <c r="AM143" s="37"/>
      <c r="AN143" s="37"/>
      <c r="AO143" s="37"/>
      <c r="AP143" s="37"/>
      <c r="AQ143" s="37"/>
    </row>
    <row r="144" spans="3:43" ht="14">
      <c r="C144" s="80" t="e">
        <v>#N/A</v>
      </c>
      <c r="D144" s="62" t="s">
        <v>110</v>
      </c>
      <c r="E144" s="131" t="s">
        <v>111</v>
      </c>
      <c r="F144" s="129">
        <v>1</v>
      </c>
      <c r="G144" s="120" t="s">
        <v>1091</v>
      </c>
      <c r="H144" s="18" t="s">
        <v>618</v>
      </c>
      <c r="I144" s="18" t="s">
        <v>59</v>
      </c>
      <c r="J144" s="19" t="s">
        <v>434</v>
      </c>
      <c r="K144" s="103">
        <v>172874</v>
      </c>
      <c r="L144" s="101">
        <f>INDEX(Table1[Production],MATCH(rrcworking[[#This Row],[RRC ID Number]],Table1[RRC Identifier],0))</f>
        <v>0</v>
      </c>
      <c r="M144" s="30">
        <f>INDEX(Table1[Formation Production],MATCH(rrcworking[[#This Row],[RRC ID Number]],Table1[RRC Identifier],0))</f>
        <v>0</v>
      </c>
      <c r="N144" s="31">
        <f>INDEX(Table1[On Hand End of Month],MATCH(rrcworking[[#This Row],[RRC ID Number]],Table1[RRC Identifier],0))</f>
        <v>0</v>
      </c>
      <c r="O144" s="106" t="b">
        <f t="shared" si="4"/>
        <v>1</v>
      </c>
      <c r="P144" s="181"/>
      <c r="Q144" s="127">
        <f>rrcworking[[#This Row],[Last Month Closing Stock]]</f>
        <v>0</v>
      </c>
      <c r="R144" s="181">
        <f>rrcworking[[#This Row],[Opening Oil Stock]]</f>
        <v>0</v>
      </c>
      <c r="S144" s="143">
        <f>IF(ISERROR(INDEX(Table2[OIL],MATCH(rrcworking[[#This Row],[Magnum Wolfpak '#]],Table2[Rox Wolf'#],0))),0,INDEX(Table2[OIL],MATCH(rrcworking[[#This Row],[Magnum Wolfpak '#]],Table2[Rox Wolf'#],0)))</f>
        <v>0</v>
      </c>
      <c r="T144" s="35">
        <f>rrcworking[[#This Row],[Closing Stock (Oil)]]+rrcworking[[#This Row],[Sales/Dispostion]]-rrcworking[[#This Row],[Opening Oil Stock]]</f>
        <v>0</v>
      </c>
      <c r="U144" s="112">
        <f>rrcworking[[#This Row],[Gauge Sheet Prod Volume]]-rrcworking[[#This Row],[Oil Production]]</f>
        <v>0</v>
      </c>
      <c r="V144" s="143">
        <f>IF(ISERROR(INDEX(Table2[GAS],MATCH(rrcworking[[#This Row],[Magnum Wolfpak '#]],Table2[Rox Wolf'#],0))),0,INDEX(Table2[GAS],MATCH(rrcworking[[#This Row],[Magnum Wolfpak '#]],Table2[Rox Wolf'#],0)))</f>
        <v>0</v>
      </c>
      <c r="W144" s="24"/>
      <c r="X144" s="135">
        <f>IF(rrcworking[[#This Row],[Pressure Base]]=14.73,rrcworking[[#This Row],[Gas Sales Statement Volume (MCF)]]*$R$2,rrcworking[[#This Row],[Gas Sales Statement Volume (MCF)]])</f>
        <v>0</v>
      </c>
      <c r="Y144" s="60"/>
      <c r="Z144" s="60"/>
      <c r="AA144" s="143">
        <f>IF(ISERROR(INDEX(Table2[LEASE USE],MATCH(rrcworking[[#This Row],[Magnum Wolfpak '#]],Table2[Rox Wolf'#],0))),0,INDEX(Table2[LEASE USE],MATCH(rrcworking[[#This Row],[Magnum Wolfpak '#]],Table2[Rox Wolf'#],0)))</f>
        <v>0</v>
      </c>
      <c r="AB144" s="57">
        <f>rrcworking[[#This Row],[Disposition Volume (MCF) @ 14.65 MCF]]+rrcworking[[#This Row],[Lease Use (MCF)]]</f>
        <v>0</v>
      </c>
      <c r="AC144" s="37"/>
      <c r="AD144" s="37"/>
      <c r="AE144" s="187">
        <f>COUNTIF(FilterList,rrcworking[[#This Row],[Magnum Wolfpak '#]])</f>
        <v>0</v>
      </c>
      <c r="AF144" s="184"/>
      <c r="AG144" s="185"/>
      <c r="AH144" s="37"/>
      <c r="AI144" s="37"/>
      <c r="AJ144" s="37"/>
      <c r="AK144" s="37"/>
      <c r="AL144" s="37"/>
      <c r="AM144" s="37"/>
      <c r="AN144" s="37"/>
      <c r="AO144" s="37"/>
      <c r="AP144" s="37"/>
      <c r="AQ144" s="37"/>
    </row>
    <row r="145" spans="3:43" ht="14">
      <c r="C145" s="80">
        <v>99256</v>
      </c>
      <c r="D145" s="62" t="s">
        <v>112</v>
      </c>
      <c r="E145" s="131" t="s">
        <v>111</v>
      </c>
      <c r="F145" s="129">
        <v>1</v>
      </c>
      <c r="G145" s="120">
        <v>5048</v>
      </c>
      <c r="H145" s="18" t="s">
        <v>618</v>
      </c>
      <c r="I145" s="18" t="s">
        <v>59</v>
      </c>
      <c r="J145" s="19" t="s">
        <v>435</v>
      </c>
      <c r="K145" s="103">
        <v>180461</v>
      </c>
      <c r="L145" s="101">
        <f>INDEX(Table1[Production],MATCH(rrcworking[[#This Row],[RRC ID Number]],Table1[RRC Identifier],0))</f>
        <v>21</v>
      </c>
      <c r="M145" s="30">
        <f>INDEX(Table1[Formation Production],MATCH(rrcworking[[#This Row],[RRC ID Number]],Table1[RRC Identifier],0))</f>
        <v>1435</v>
      </c>
      <c r="N145" s="31">
        <f>INDEX(Table1[On Hand End of Month],MATCH(rrcworking[[#This Row],[RRC ID Number]],Table1[RRC Identifier],0))</f>
        <v>115</v>
      </c>
      <c r="O145" s="106" t="b">
        <f t="shared" si="4"/>
        <v>0</v>
      </c>
      <c r="P145" s="181">
        <v>48</v>
      </c>
      <c r="Q145" s="127">
        <f>rrcworking[[#This Row],[Last Month Closing Stock]]</f>
        <v>115</v>
      </c>
      <c r="R145" s="182">
        <v>164</v>
      </c>
      <c r="S145" s="143">
        <f>IF(ISERROR(INDEX(Table2[OIL],MATCH(rrcworking[[#This Row],[Magnum Wolfpak '#]],Table2[Rox Wolf'#],0))),0,INDEX(Table2[OIL],MATCH(rrcworking[[#This Row],[Magnum Wolfpak '#]],Table2[Rox Wolf'#],0)))</f>
        <v>0</v>
      </c>
      <c r="T145" s="35">
        <f>rrcworking[[#This Row],[Closing Stock (Oil)]]+rrcworking[[#This Row],[Sales/Dispostion]]-rrcworking[[#This Row],[Opening Oil Stock]]</f>
        <v>49</v>
      </c>
      <c r="U145" s="112">
        <f>rrcworking[[#This Row],[Gauge Sheet Prod Volume]]-rrcworking[[#This Row],[Oil Production]]</f>
        <v>-1</v>
      </c>
      <c r="V145" s="143">
        <f>IF(ISERROR(INDEX(Table2[GAS],MATCH(rrcworking[[#This Row],[Magnum Wolfpak '#]],Table2[Rox Wolf'#],0))),0,INDEX(Table2[GAS],MATCH(rrcworking[[#This Row],[Magnum Wolfpak '#]],Table2[Rox Wolf'#],0)))</f>
        <v>1723</v>
      </c>
      <c r="W145" s="24"/>
      <c r="X145" s="135">
        <f>IF(rrcworking[[#This Row],[Pressure Base]]=14.73,rrcworking[[#This Row],[Gas Sales Statement Volume (MCF)]]*$R$2,rrcworking[[#This Row],[Gas Sales Statement Volume (MCF)]])</f>
        <v>1723</v>
      </c>
      <c r="Y145" s="60"/>
      <c r="Z145" s="60"/>
      <c r="AA145" s="143">
        <f>IF(ISERROR(INDEX(Table2[LEASE USE],MATCH(rrcworking[[#This Row],[Magnum Wolfpak '#]],Table2[Rox Wolf'#],0))),0,INDEX(Table2[LEASE USE],MATCH(rrcworking[[#This Row],[Magnum Wolfpak '#]],Table2[Rox Wolf'#],0)))</f>
        <v>0</v>
      </c>
      <c r="AB145" s="57">
        <f>rrcworking[[#This Row],[Disposition Volume (MCF) @ 14.65 MCF]]+rrcworking[[#This Row],[Lease Use (MCF)]]</f>
        <v>1723</v>
      </c>
      <c r="AC145" s="37"/>
      <c r="AD145" s="37"/>
      <c r="AE145" s="187">
        <f>COUNTIF(FilterList,rrcworking[[#This Row],[Magnum Wolfpak '#]])</f>
        <v>0</v>
      </c>
      <c r="AF145" s="184"/>
      <c r="AG145" s="185"/>
      <c r="AH145" s="37"/>
      <c r="AI145" s="185"/>
      <c r="AJ145" s="37">
        <v>2</v>
      </c>
      <c r="AK145" s="37" t="s">
        <v>1167</v>
      </c>
      <c r="AL145" s="37" t="s">
        <v>1167</v>
      </c>
      <c r="AM145" s="37" t="s">
        <v>1217</v>
      </c>
      <c r="AN145" s="37" t="s">
        <v>1167</v>
      </c>
      <c r="AO145" s="37" t="s">
        <v>1306</v>
      </c>
      <c r="AP145" s="37" t="s">
        <v>1218</v>
      </c>
      <c r="AQ145" s="37"/>
    </row>
    <row r="146" spans="3:43" ht="14">
      <c r="C146" s="80" t="e">
        <v>#N/A</v>
      </c>
      <c r="D146" s="62" t="s">
        <v>108</v>
      </c>
      <c r="E146" s="131" t="s">
        <v>109</v>
      </c>
      <c r="F146" s="129">
        <v>1</v>
      </c>
      <c r="G146" s="120" t="s">
        <v>1091</v>
      </c>
      <c r="H146" s="18" t="s">
        <v>618</v>
      </c>
      <c r="I146" s="18" t="s">
        <v>59</v>
      </c>
      <c r="J146" s="19" t="s">
        <v>433</v>
      </c>
      <c r="K146" s="103">
        <v>253815</v>
      </c>
      <c r="L146" s="101">
        <f>INDEX(Table1[Production],MATCH(rrcworking[[#This Row],[RRC ID Number]],Table1[RRC Identifier],0))</f>
        <v>0</v>
      </c>
      <c r="M146" s="30">
        <f>INDEX(Table1[Formation Production],MATCH(rrcworking[[#This Row],[RRC ID Number]],Table1[RRC Identifier],0))</f>
        <v>0</v>
      </c>
      <c r="N146" s="31">
        <f>INDEX(Table1[On Hand End of Month],MATCH(rrcworking[[#This Row],[RRC ID Number]],Table1[RRC Identifier],0))</f>
        <v>0</v>
      </c>
      <c r="O146" s="106" t="b">
        <f t="shared" si="4"/>
        <v>1</v>
      </c>
      <c r="P146" s="181"/>
      <c r="Q146" s="127">
        <f>rrcworking[[#This Row],[Last Month Closing Stock]]</f>
        <v>0</v>
      </c>
      <c r="R146" s="181">
        <f>rrcworking[[#This Row],[Opening Oil Stock]]</f>
        <v>0</v>
      </c>
      <c r="S146" s="143">
        <f>IF(ISERROR(INDEX(Table2[OIL],MATCH(rrcworking[[#This Row],[Magnum Wolfpak '#]],Table2[Rox Wolf'#],0))),0,INDEX(Table2[OIL],MATCH(rrcworking[[#This Row],[Magnum Wolfpak '#]],Table2[Rox Wolf'#],0)))</f>
        <v>0</v>
      </c>
      <c r="T146" s="35">
        <f>rrcworking[[#This Row],[Closing Stock (Oil)]]+rrcworking[[#This Row],[Sales/Dispostion]]-rrcworking[[#This Row],[Opening Oil Stock]]</f>
        <v>0</v>
      </c>
      <c r="U146" s="112">
        <f>rrcworking[[#This Row],[Gauge Sheet Prod Volume]]-rrcworking[[#This Row],[Oil Production]]</f>
        <v>0</v>
      </c>
      <c r="V146" s="143">
        <f>IF(ISERROR(INDEX(Table2[GAS],MATCH(rrcworking[[#This Row],[Magnum Wolfpak '#]],Table2[Rox Wolf'#],0))),0,INDEX(Table2[GAS],MATCH(rrcworking[[#This Row],[Magnum Wolfpak '#]],Table2[Rox Wolf'#],0)))</f>
        <v>0</v>
      </c>
      <c r="W146" s="24"/>
      <c r="X146" s="135">
        <f>IF(rrcworking[[#This Row],[Pressure Base]]=14.73,rrcworking[[#This Row],[Gas Sales Statement Volume (MCF)]]*$R$2,rrcworking[[#This Row],[Gas Sales Statement Volume (MCF)]])</f>
        <v>0</v>
      </c>
      <c r="Y146" s="60"/>
      <c r="Z146" s="60"/>
      <c r="AA146" s="143">
        <f>IF(ISERROR(INDEX(Table2[LEASE USE],MATCH(rrcworking[[#This Row],[Magnum Wolfpak '#]],Table2[Rox Wolf'#],0))),0,INDEX(Table2[LEASE USE],MATCH(rrcworking[[#This Row],[Magnum Wolfpak '#]],Table2[Rox Wolf'#],0)))</f>
        <v>0</v>
      </c>
      <c r="AB146" s="57">
        <f>rrcworking[[#This Row],[Disposition Volume (MCF) @ 14.65 MCF]]+rrcworking[[#This Row],[Lease Use (MCF)]]</f>
        <v>0</v>
      </c>
      <c r="AC146" s="37"/>
      <c r="AD146" s="37"/>
      <c r="AE146" s="187">
        <f>COUNTIF(FilterList,rrcworking[[#This Row],[Magnum Wolfpak '#]])</f>
        <v>0</v>
      </c>
      <c r="AF146" s="184"/>
      <c r="AG146" s="185"/>
      <c r="AH146" s="37"/>
      <c r="AI146" s="37"/>
      <c r="AJ146" s="37"/>
      <c r="AK146" s="37"/>
      <c r="AL146" s="37"/>
      <c r="AM146" s="37"/>
      <c r="AN146" s="37"/>
      <c r="AO146" s="37"/>
      <c r="AP146" s="37"/>
      <c r="AQ146" s="37"/>
    </row>
    <row r="147" spans="3:43" ht="14">
      <c r="C147" s="80" t="e">
        <v>#N/A</v>
      </c>
      <c r="D147" s="62" t="s">
        <v>195</v>
      </c>
      <c r="E147" s="131" t="s">
        <v>196</v>
      </c>
      <c r="F147" s="129">
        <v>0</v>
      </c>
      <c r="G147" s="120" t="s">
        <v>1091</v>
      </c>
      <c r="H147" s="18" t="s">
        <v>619</v>
      </c>
      <c r="I147" s="18" t="s">
        <v>2</v>
      </c>
      <c r="J147" s="19" t="s">
        <v>487</v>
      </c>
      <c r="K147" s="103">
        <v>24246</v>
      </c>
      <c r="L147" s="101">
        <f>INDEX(Table1[Production],MATCH(rrcworking[[#This Row],[RRC ID Number]],Table1[RRC Identifier],0))</f>
        <v>0</v>
      </c>
      <c r="M147" s="30">
        <f>INDEX(Table1[Formation Production],MATCH(rrcworking[[#This Row],[RRC ID Number]],Table1[RRC Identifier],0))</f>
        <v>0</v>
      </c>
      <c r="N147" s="31">
        <f>INDEX(Table1[On Hand End of Month],MATCH(rrcworking[[#This Row],[RRC ID Number]],Table1[RRC Identifier],0))</f>
        <v>52</v>
      </c>
      <c r="O147" s="106" t="b">
        <f t="shared" si="4"/>
        <v>1</v>
      </c>
      <c r="P147" s="181"/>
      <c r="Q147" s="127">
        <f>rrcworking[[#This Row],[Last Month Closing Stock]]</f>
        <v>52</v>
      </c>
      <c r="R147" s="181">
        <f>rrcworking[[#This Row],[Opening Oil Stock]]</f>
        <v>52</v>
      </c>
      <c r="S147" s="143">
        <f>IF(ISERROR(INDEX(Table2[OIL],MATCH(rrcworking[[#This Row],[Magnum Wolfpak '#]],Table2[Rox Wolf'#],0))),0,INDEX(Table2[OIL],MATCH(rrcworking[[#This Row],[Magnum Wolfpak '#]],Table2[Rox Wolf'#],0)))</f>
        <v>0</v>
      </c>
      <c r="T147" s="35">
        <f>rrcworking[[#This Row],[Closing Stock (Oil)]]+rrcworking[[#This Row],[Sales/Dispostion]]-rrcworking[[#This Row],[Opening Oil Stock]]</f>
        <v>0</v>
      </c>
      <c r="U147" s="112">
        <f>rrcworking[[#This Row],[Gauge Sheet Prod Volume]]-rrcworking[[#This Row],[Oil Production]]</f>
        <v>0</v>
      </c>
      <c r="V147" s="143">
        <f>IF(ISERROR(INDEX(Table2[GAS],MATCH(rrcworking[[#This Row],[Magnum Wolfpak '#]],Table2[Rox Wolf'#],0))),0,INDEX(Table2[GAS],MATCH(rrcworking[[#This Row],[Magnum Wolfpak '#]],Table2[Rox Wolf'#],0)))</f>
        <v>0</v>
      </c>
      <c r="W147" s="24"/>
      <c r="X147" s="135">
        <f>IF(rrcworking[[#This Row],[Pressure Base]]=14.73,rrcworking[[#This Row],[Gas Sales Statement Volume (MCF)]]*$R$2,rrcworking[[#This Row],[Gas Sales Statement Volume (MCF)]])</f>
        <v>0</v>
      </c>
      <c r="Y147" s="60"/>
      <c r="Z147" s="60"/>
      <c r="AA147" s="143">
        <f>IF(ISERROR(INDEX(Table2[LEASE USE],MATCH(rrcworking[[#This Row],[Magnum Wolfpak '#]],Table2[Rox Wolf'#],0))),0,INDEX(Table2[LEASE USE],MATCH(rrcworking[[#This Row],[Magnum Wolfpak '#]],Table2[Rox Wolf'#],0)))</f>
        <v>0</v>
      </c>
      <c r="AB147" s="57">
        <f>rrcworking[[#This Row],[Disposition Volume (MCF) @ 14.65 MCF]]+rrcworking[[#This Row],[Lease Use (MCF)]]</f>
        <v>0</v>
      </c>
      <c r="AC147" s="63"/>
      <c r="AD147" s="37"/>
      <c r="AE147" s="187">
        <f>COUNTIF(FilterList,rrcworking[[#This Row],[Magnum Wolfpak '#]])</f>
        <v>0</v>
      </c>
      <c r="AF147" s="184"/>
      <c r="AG147" s="185"/>
      <c r="AH147" s="37"/>
      <c r="AI147" s="37"/>
      <c r="AJ147" s="37"/>
      <c r="AK147" s="37"/>
      <c r="AL147" s="37"/>
      <c r="AM147" s="37"/>
      <c r="AN147" s="37"/>
      <c r="AO147" s="37"/>
      <c r="AP147" s="37"/>
      <c r="AQ147" s="37"/>
    </row>
    <row r="148" spans="3:43" ht="14">
      <c r="C148" s="80" t="e">
        <v>#N/A</v>
      </c>
      <c r="D148" s="62" t="s">
        <v>150</v>
      </c>
      <c r="E148" s="131" t="s">
        <v>151</v>
      </c>
      <c r="F148" s="129">
        <v>1</v>
      </c>
      <c r="G148" s="120" t="s">
        <v>1091</v>
      </c>
      <c r="H148" s="18" t="s">
        <v>619</v>
      </c>
      <c r="I148" s="18" t="s">
        <v>59</v>
      </c>
      <c r="J148" s="19" t="s">
        <v>460</v>
      </c>
      <c r="K148" s="103">
        <v>253385</v>
      </c>
      <c r="L148" s="101">
        <f>INDEX(Table1[Production],MATCH(rrcworking[[#This Row],[RRC ID Number]],Table1[RRC Identifier],0))</f>
        <v>0</v>
      </c>
      <c r="M148" s="30">
        <f>INDEX(Table1[Formation Production],MATCH(rrcworking[[#This Row],[RRC ID Number]],Table1[RRC Identifier],0))</f>
        <v>0</v>
      </c>
      <c r="N148" s="31">
        <f>INDEX(Table1[On Hand End of Month],MATCH(rrcworking[[#This Row],[RRC ID Number]],Table1[RRC Identifier],0))</f>
        <v>53</v>
      </c>
      <c r="O148" s="106" t="b">
        <f t="shared" si="4"/>
        <v>1</v>
      </c>
      <c r="P148" s="181"/>
      <c r="Q148" s="127">
        <f>rrcworking[[#This Row],[Last Month Closing Stock]]</f>
        <v>53</v>
      </c>
      <c r="R148" s="181">
        <f>rrcworking[[#This Row],[Opening Oil Stock]]</f>
        <v>53</v>
      </c>
      <c r="S148" s="143">
        <f>IF(ISERROR(INDEX(Table2[OIL],MATCH(rrcworking[[#This Row],[Magnum Wolfpak '#]],Table2[Rox Wolf'#],0))),0,INDEX(Table2[OIL],MATCH(rrcworking[[#This Row],[Magnum Wolfpak '#]],Table2[Rox Wolf'#],0)))</f>
        <v>0</v>
      </c>
      <c r="T148" s="35">
        <f>rrcworking[[#This Row],[Closing Stock (Oil)]]+rrcworking[[#This Row],[Sales/Dispostion]]-rrcworking[[#This Row],[Opening Oil Stock]]</f>
        <v>0</v>
      </c>
      <c r="U148" s="112">
        <f>rrcworking[[#This Row],[Gauge Sheet Prod Volume]]-rrcworking[[#This Row],[Oil Production]]</f>
        <v>0</v>
      </c>
      <c r="V148" s="143">
        <f>IF(ISERROR(INDEX(Table2[GAS],MATCH(rrcworking[[#This Row],[Magnum Wolfpak '#]],Table2[Rox Wolf'#],0))),0,INDEX(Table2[GAS],MATCH(rrcworking[[#This Row],[Magnum Wolfpak '#]],Table2[Rox Wolf'#],0)))</f>
        <v>0</v>
      </c>
      <c r="W148" s="24"/>
      <c r="X148" s="135">
        <f>IF(rrcworking[[#This Row],[Pressure Base]]=14.73,rrcworking[[#This Row],[Gas Sales Statement Volume (MCF)]]*$R$2,rrcworking[[#This Row],[Gas Sales Statement Volume (MCF)]])</f>
        <v>0</v>
      </c>
      <c r="Y148" s="60"/>
      <c r="Z148" s="60"/>
      <c r="AA148" s="143">
        <f>IF(ISERROR(INDEX(Table2[LEASE USE],MATCH(rrcworking[[#This Row],[Magnum Wolfpak '#]],Table2[Rox Wolf'#],0))),0,INDEX(Table2[LEASE USE],MATCH(rrcworking[[#This Row],[Magnum Wolfpak '#]],Table2[Rox Wolf'#],0)))</f>
        <v>0</v>
      </c>
      <c r="AB148" s="57">
        <f>rrcworking[[#This Row],[Disposition Volume (MCF) @ 14.65 MCF]]+rrcworking[[#This Row],[Lease Use (MCF)]]</f>
        <v>0</v>
      </c>
      <c r="AC148" s="37"/>
      <c r="AD148" s="37"/>
      <c r="AE148" s="187">
        <f>COUNTIF(FilterList,rrcworking[[#This Row],[Magnum Wolfpak '#]])</f>
        <v>0</v>
      </c>
      <c r="AF148" s="184"/>
      <c r="AG148" s="185"/>
      <c r="AH148" s="37"/>
      <c r="AI148" s="37"/>
      <c r="AJ148" s="37"/>
      <c r="AK148" s="37"/>
      <c r="AL148" s="37"/>
      <c r="AM148" s="37"/>
      <c r="AN148" s="37"/>
      <c r="AO148" s="37"/>
      <c r="AP148" s="37"/>
      <c r="AQ148" s="37"/>
    </row>
    <row r="149" spans="3:43" ht="98">
      <c r="C149" s="80">
        <v>98910</v>
      </c>
      <c r="D149" s="62" t="s">
        <v>282</v>
      </c>
      <c r="E149" s="131" t="s">
        <v>283</v>
      </c>
      <c r="F149" s="129">
        <v>0</v>
      </c>
      <c r="G149" s="120" t="s">
        <v>1091</v>
      </c>
      <c r="H149" s="18" t="s">
        <v>619</v>
      </c>
      <c r="I149" s="18" t="s">
        <v>2</v>
      </c>
      <c r="J149" s="19" t="s">
        <v>536</v>
      </c>
      <c r="K149" s="103">
        <v>11349</v>
      </c>
      <c r="L149" s="101">
        <f>INDEX(Table1[Production],MATCH(rrcworking[[#This Row],[RRC ID Number]],Table1[RRC Identifier],0))</f>
        <v>1190</v>
      </c>
      <c r="M149" s="30">
        <f>INDEX(Table1[Formation Production],MATCH(rrcworking[[#This Row],[RRC ID Number]],Table1[RRC Identifier],0))</f>
        <v>116</v>
      </c>
      <c r="N149" s="31">
        <f>INDEX(Table1[On Hand End of Month],MATCH(rrcworking[[#This Row],[RRC ID Number]],Table1[RRC Identifier],0))</f>
        <v>225</v>
      </c>
      <c r="O149" s="106" t="b">
        <f t="shared" si="4"/>
        <v>0</v>
      </c>
      <c r="P149" s="181">
        <v>1165</v>
      </c>
      <c r="Q149" s="127">
        <f>rrcworking[[#This Row],[Last Month Closing Stock]]</f>
        <v>225</v>
      </c>
      <c r="R149" s="182">
        <v>208</v>
      </c>
      <c r="S149" s="143">
        <f>IF(ISERROR(INDEX(Table2[OIL],MATCH(rrcworking[[#This Row],[Magnum Wolfpak '#]],Table2[Rox Wolf'#],0))),0,INDEX(Table2[OIL],MATCH(rrcworking[[#This Row],[Magnum Wolfpak '#]],Table2[Rox Wolf'#],0)))</f>
        <v>994</v>
      </c>
      <c r="T149" s="35">
        <f>rrcworking[[#This Row],[Closing Stock (Oil)]]+rrcworking[[#This Row],[Sales/Dispostion]]-rrcworking[[#This Row],[Opening Oil Stock]]</f>
        <v>977</v>
      </c>
      <c r="U149" s="112">
        <f>rrcworking[[#This Row],[Gauge Sheet Prod Volume]]-rrcworking[[#This Row],[Oil Production]]</f>
        <v>188</v>
      </c>
      <c r="V149" s="143">
        <f>IF(ISERROR(INDEX(Table2[GAS],MATCH(rrcworking[[#This Row],[Magnum Wolfpak '#]],Table2[Rox Wolf'#],0))),0,INDEX(Table2[GAS],MATCH(rrcworking[[#This Row],[Magnum Wolfpak '#]],Table2[Rox Wolf'#],0)))</f>
        <v>0</v>
      </c>
      <c r="W149" s="24"/>
      <c r="X149" s="135">
        <f>IF(rrcworking[[#This Row],[Pressure Base]]=14.73,rrcworking[[#This Row],[Gas Sales Statement Volume (MCF)]]*$R$2,rrcworking[[#This Row],[Gas Sales Statement Volume (MCF)]])</f>
        <v>0</v>
      </c>
      <c r="Y149" s="60"/>
      <c r="Z149" s="60">
        <v>4</v>
      </c>
      <c r="AA149" s="143">
        <f>IF(ISERROR(INDEX(Table2[LEASE USE],MATCH(rrcworking[[#This Row],[Magnum Wolfpak '#]],Table2[Rox Wolf'#],0))),0,INDEX(Table2[LEASE USE],MATCH(rrcworking[[#This Row],[Magnum Wolfpak '#]],Table2[Rox Wolf'#],0)))</f>
        <v>124</v>
      </c>
      <c r="AB149" s="57">
        <f>rrcworking[[#This Row],[Disposition Volume (MCF) @ 14.65 MCF]]+rrcworking[[#This Row],[Lease Use (MCF)]]</f>
        <v>124</v>
      </c>
      <c r="AC149" s="37"/>
      <c r="AD149" s="37" t="s">
        <v>1300</v>
      </c>
      <c r="AE149" s="187">
        <f>COUNTIF(FilterList,rrcworking[[#This Row],[Magnum Wolfpak '#]])</f>
        <v>0</v>
      </c>
      <c r="AF149" s="184"/>
      <c r="AG149" s="185"/>
      <c r="AH149" s="37"/>
      <c r="AI149" s="185"/>
      <c r="AJ149" s="186"/>
      <c r="AK149" s="186"/>
      <c r="AL149" s="186"/>
      <c r="AM149" s="186"/>
      <c r="AN149" s="186"/>
      <c r="AO149" s="186"/>
      <c r="AP149" s="37" t="s">
        <v>1165</v>
      </c>
      <c r="AQ149" s="37" t="s">
        <v>1200</v>
      </c>
    </row>
    <row r="150" spans="3:43" ht="14">
      <c r="C150" s="80" t="e">
        <v>#N/A</v>
      </c>
      <c r="D150" s="62" t="s">
        <v>322</v>
      </c>
      <c r="E150" s="131" t="s">
        <v>323</v>
      </c>
      <c r="F150" s="129">
        <v>1</v>
      </c>
      <c r="G150" s="120" t="s">
        <v>1091</v>
      </c>
      <c r="H150" s="18" t="s">
        <v>620</v>
      </c>
      <c r="I150" s="18" t="s">
        <v>59</v>
      </c>
      <c r="J150" s="19" t="s">
        <v>560</v>
      </c>
      <c r="K150" s="103">
        <v>167923</v>
      </c>
      <c r="L150" s="101">
        <f>INDEX(Table1[Production],MATCH(rrcworking[[#This Row],[RRC ID Number]],Table1[RRC Identifier],0))</f>
        <v>0</v>
      </c>
      <c r="M150" s="30">
        <f>INDEX(Table1[Formation Production],MATCH(rrcworking[[#This Row],[RRC ID Number]],Table1[RRC Identifier],0))</f>
        <v>0</v>
      </c>
      <c r="N150" s="31">
        <f>INDEX(Table1[On Hand End of Month],MATCH(rrcworking[[#This Row],[RRC ID Number]],Table1[RRC Identifier],0))</f>
        <v>0</v>
      </c>
      <c r="O150" s="106" t="b">
        <f t="shared" si="4"/>
        <v>1</v>
      </c>
      <c r="P150" s="181"/>
      <c r="Q150" s="127">
        <f>rrcworking[[#This Row],[Last Month Closing Stock]]</f>
        <v>0</v>
      </c>
      <c r="R150" s="181">
        <f>rrcworking[[#This Row],[Opening Oil Stock]]</f>
        <v>0</v>
      </c>
      <c r="S150" s="143">
        <f>IF(ISERROR(INDEX(Table2[OIL],MATCH(rrcworking[[#This Row],[Magnum Wolfpak '#]],Table2[Rox Wolf'#],0))),0,INDEX(Table2[OIL],MATCH(rrcworking[[#This Row],[Magnum Wolfpak '#]],Table2[Rox Wolf'#],0)))</f>
        <v>0</v>
      </c>
      <c r="T150" s="35">
        <f>rrcworking[[#This Row],[Closing Stock (Oil)]]+rrcworking[[#This Row],[Sales/Dispostion]]-rrcworking[[#This Row],[Opening Oil Stock]]</f>
        <v>0</v>
      </c>
      <c r="U150" s="112">
        <f>rrcworking[[#This Row],[Gauge Sheet Prod Volume]]-rrcworking[[#This Row],[Oil Production]]</f>
        <v>0</v>
      </c>
      <c r="V150" s="143">
        <f>IF(ISERROR(INDEX(Table2[GAS],MATCH(rrcworking[[#This Row],[Magnum Wolfpak '#]],Table2[Rox Wolf'#],0))),0,INDEX(Table2[GAS],MATCH(rrcworking[[#This Row],[Magnum Wolfpak '#]],Table2[Rox Wolf'#],0)))</f>
        <v>0</v>
      </c>
      <c r="W150" s="24"/>
      <c r="X150" s="135">
        <f>IF(rrcworking[[#This Row],[Pressure Base]]=14.73,rrcworking[[#This Row],[Gas Sales Statement Volume (MCF)]]*$R$2,rrcworking[[#This Row],[Gas Sales Statement Volume (MCF)]])</f>
        <v>0</v>
      </c>
      <c r="Y150" s="60"/>
      <c r="Z150" s="60"/>
      <c r="AA150" s="143">
        <f>IF(ISERROR(INDEX(Table2[LEASE USE],MATCH(rrcworking[[#This Row],[Magnum Wolfpak '#]],Table2[Rox Wolf'#],0))),0,INDEX(Table2[LEASE USE],MATCH(rrcworking[[#This Row],[Magnum Wolfpak '#]],Table2[Rox Wolf'#],0)))</f>
        <v>0</v>
      </c>
      <c r="AB150" s="57">
        <f>rrcworking[[#This Row],[Disposition Volume (MCF) @ 14.65 MCF]]+rrcworking[[#This Row],[Lease Use (MCF)]]</f>
        <v>0</v>
      </c>
      <c r="AC150" s="37"/>
      <c r="AD150" s="37"/>
      <c r="AE150" s="187">
        <f>COUNTIF(FilterList,rrcworking[[#This Row],[Magnum Wolfpak '#]])</f>
        <v>0</v>
      </c>
      <c r="AF150" s="184"/>
      <c r="AG150" s="185"/>
      <c r="AH150" s="37"/>
      <c r="AI150" s="37"/>
      <c r="AJ150" s="37"/>
      <c r="AK150" s="37"/>
      <c r="AL150" s="37"/>
      <c r="AM150" s="37"/>
      <c r="AN150" s="37"/>
      <c r="AO150" s="37"/>
      <c r="AP150" s="37"/>
      <c r="AQ150" s="37"/>
    </row>
    <row r="151" spans="3:43" ht="14">
      <c r="C151" s="80" t="e">
        <v>#N/A</v>
      </c>
      <c r="D151" s="62" t="s">
        <v>263</v>
      </c>
      <c r="E151" s="131" t="s">
        <v>264</v>
      </c>
      <c r="F151" s="129">
        <v>1</v>
      </c>
      <c r="G151" s="120" t="s">
        <v>1091</v>
      </c>
      <c r="H151" s="18" t="s">
        <v>619</v>
      </c>
      <c r="I151" s="18" t="s">
        <v>59</v>
      </c>
      <c r="J151" s="19" t="s">
        <v>521</v>
      </c>
      <c r="K151" s="103">
        <v>47134</v>
      </c>
      <c r="L151" s="101">
        <f>INDEX(Table1[Production],MATCH(rrcworking[[#This Row],[RRC ID Number]],Table1[RRC Identifier],0))</f>
        <v>0</v>
      </c>
      <c r="M151" s="30">
        <f>INDEX(Table1[Formation Production],MATCH(rrcworking[[#This Row],[RRC ID Number]],Table1[RRC Identifier],0))</f>
        <v>0</v>
      </c>
      <c r="N151" s="31">
        <f>INDEX(Table1[On Hand End of Month],MATCH(rrcworking[[#This Row],[RRC ID Number]],Table1[RRC Identifier],0))</f>
        <v>0</v>
      </c>
      <c r="O151" s="106" t="b">
        <f t="shared" si="4"/>
        <v>1</v>
      </c>
      <c r="P151" s="181"/>
      <c r="Q151" s="127">
        <f>rrcworking[[#This Row],[Last Month Closing Stock]]</f>
        <v>0</v>
      </c>
      <c r="R151" s="181">
        <f>rrcworking[[#This Row],[Opening Oil Stock]]</f>
        <v>0</v>
      </c>
      <c r="S151" s="143">
        <f>IF(ISERROR(INDEX(Table2[OIL],MATCH(rrcworking[[#This Row],[Magnum Wolfpak '#]],Table2[Rox Wolf'#],0))),0,INDEX(Table2[OIL],MATCH(rrcworking[[#This Row],[Magnum Wolfpak '#]],Table2[Rox Wolf'#],0)))</f>
        <v>0</v>
      </c>
      <c r="T151" s="35">
        <f>rrcworking[[#This Row],[Closing Stock (Oil)]]+rrcworking[[#This Row],[Sales/Dispostion]]-rrcworking[[#This Row],[Opening Oil Stock]]</f>
        <v>0</v>
      </c>
      <c r="U151" s="112">
        <f>rrcworking[[#This Row],[Gauge Sheet Prod Volume]]-rrcworking[[#This Row],[Oil Production]]</f>
        <v>0</v>
      </c>
      <c r="V151" s="143">
        <f>IF(ISERROR(INDEX(Table2[GAS],MATCH(rrcworking[[#This Row],[Magnum Wolfpak '#]],Table2[Rox Wolf'#],0))),0,INDEX(Table2[GAS],MATCH(rrcworking[[#This Row],[Magnum Wolfpak '#]],Table2[Rox Wolf'#],0)))</f>
        <v>0</v>
      </c>
      <c r="W151" s="24"/>
      <c r="X151" s="135">
        <f>IF(rrcworking[[#This Row],[Pressure Base]]=14.73,rrcworking[[#This Row],[Gas Sales Statement Volume (MCF)]]*$R$2,rrcworking[[#This Row],[Gas Sales Statement Volume (MCF)]])</f>
        <v>0</v>
      </c>
      <c r="Y151" s="60"/>
      <c r="Z151" s="60"/>
      <c r="AA151" s="143">
        <f>IF(ISERROR(INDEX(Table2[LEASE USE],MATCH(rrcworking[[#This Row],[Magnum Wolfpak '#]],Table2[Rox Wolf'#],0))),0,INDEX(Table2[LEASE USE],MATCH(rrcworking[[#This Row],[Magnum Wolfpak '#]],Table2[Rox Wolf'#],0)))</f>
        <v>0</v>
      </c>
      <c r="AB151" s="57">
        <f>rrcworking[[#This Row],[Disposition Volume (MCF) @ 14.65 MCF]]+rrcworking[[#This Row],[Lease Use (MCF)]]</f>
        <v>0</v>
      </c>
      <c r="AC151" s="37"/>
      <c r="AD151" s="37"/>
      <c r="AE151" s="187">
        <f>COUNTIF(FilterList,rrcworking[[#This Row],[Magnum Wolfpak '#]])</f>
        <v>0</v>
      </c>
      <c r="AF151" s="184"/>
      <c r="AG151" s="185"/>
      <c r="AH151" s="37"/>
      <c r="AI151" s="37"/>
      <c r="AJ151" s="37"/>
      <c r="AK151" s="37"/>
      <c r="AL151" s="37"/>
      <c r="AM151" s="37"/>
      <c r="AN151" s="37"/>
      <c r="AO151" s="37"/>
      <c r="AP151" s="37"/>
      <c r="AQ151" s="37"/>
    </row>
    <row r="152" spans="3:43" ht="14">
      <c r="C152" s="80">
        <v>98401</v>
      </c>
      <c r="D152" s="62" t="s">
        <v>261</v>
      </c>
      <c r="E152" s="131" t="s">
        <v>262</v>
      </c>
      <c r="F152" s="129">
        <v>2</v>
      </c>
      <c r="G152" s="120" t="s">
        <v>1091</v>
      </c>
      <c r="H152" s="18" t="s">
        <v>619</v>
      </c>
      <c r="I152" s="18" t="s">
        <v>59</v>
      </c>
      <c r="J152" s="19" t="s">
        <v>520</v>
      </c>
      <c r="K152" s="103">
        <v>193384</v>
      </c>
      <c r="L152" s="101">
        <f>INDEX(Table1[Production],MATCH(rrcworking[[#This Row],[RRC ID Number]],Table1[RRC Identifier],0))</f>
        <v>65</v>
      </c>
      <c r="M152" s="30">
        <f>INDEX(Table1[Formation Production],MATCH(rrcworking[[#This Row],[RRC ID Number]],Table1[RRC Identifier],0))</f>
        <v>2704</v>
      </c>
      <c r="N152" s="31">
        <f>INDEX(Table1[On Hand End of Month],MATCH(rrcworking[[#This Row],[RRC ID Number]],Table1[RRC Identifier],0))</f>
        <v>64</v>
      </c>
      <c r="O152" s="106" t="b">
        <f t="shared" si="4"/>
        <v>0</v>
      </c>
      <c r="P152" s="181">
        <v>65</v>
      </c>
      <c r="Q152" s="127">
        <f>rrcworking[[#This Row],[Last Month Closing Stock]]</f>
        <v>64</v>
      </c>
      <c r="R152" s="182">
        <v>129</v>
      </c>
      <c r="S152" s="143">
        <f>IF(ISERROR(INDEX(Table2[OIL],MATCH(rrcworking[[#This Row],[Magnum Wolfpak '#]],Table2[Rox Wolf'#],0))),0,INDEX(Table2[OIL],MATCH(rrcworking[[#This Row],[Magnum Wolfpak '#]],Table2[Rox Wolf'#],0)))</f>
        <v>0</v>
      </c>
      <c r="T152" s="35">
        <f>rrcworking[[#This Row],[Closing Stock (Oil)]]+rrcworking[[#This Row],[Sales/Dispostion]]-rrcworking[[#This Row],[Opening Oil Stock]]</f>
        <v>65</v>
      </c>
      <c r="U152" s="112">
        <f>rrcworking[[#This Row],[Gauge Sheet Prod Volume]]-rrcworking[[#This Row],[Oil Production]]</f>
        <v>0</v>
      </c>
      <c r="V152" s="143">
        <f>IF(ISERROR(INDEX(Table2[GAS],MATCH(rrcworking[[#This Row],[Magnum Wolfpak '#]],Table2[Rox Wolf'#],0))),0,INDEX(Table2[GAS],MATCH(rrcworking[[#This Row],[Magnum Wolfpak '#]],Table2[Rox Wolf'#],0)))</f>
        <v>3130</v>
      </c>
      <c r="W152" s="24"/>
      <c r="X152" s="135">
        <f>IF(rrcworking[[#This Row],[Pressure Base]]=14.73,rrcworking[[#This Row],[Gas Sales Statement Volume (MCF)]]*$R$2,rrcworking[[#This Row],[Gas Sales Statement Volume (MCF)]])</f>
        <v>3130</v>
      </c>
      <c r="Y152" s="85"/>
      <c r="Z152" s="60">
        <v>3</v>
      </c>
      <c r="AA152" s="143">
        <f>IF(ISERROR(INDEX(Table2[LEASE USE],MATCH(rrcworking[[#This Row],[Magnum Wolfpak '#]],Table2[Rox Wolf'#],0))),0,INDEX(Table2[LEASE USE],MATCH(rrcworking[[#This Row],[Magnum Wolfpak '#]],Table2[Rox Wolf'#],0)))</f>
        <v>93</v>
      </c>
      <c r="AB152" s="57">
        <f>rrcworking[[#This Row],[Disposition Volume (MCF) @ 14.65 MCF]]+rrcworking[[#This Row],[Lease Use (MCF)]]</f>
        <v>3223</v>
      </c>
      <c r="AC152" s="37"/>
      <c r="AD152" s="37"/>
      <c r="AE152" s="187">
        <f>COUNTIF(FilterList,rrcworking[[#This Row],[Magnum Wolfpak '#]])</f>
        <v>0</v>
      </c>
      <c r="AF152" s="184"/>
      <c r="AG152" s="185"/>
      <c r="AH152" s="37"/>
      <c r="AI152" s="185"/>
      <c r="AJ152" s="37">
        <v>2</v>
      </c>
      <c r="AK152" s="37" t="s">
        <v>1167</v>
      </c>
      <c r="AL152" s="37" t="s">
        <v>1167</v>
      </c>
      <c r="AM152" s="37" t="s">
        <v>1214</v>
      </c>
      <c r="AN152" s="37" t="s">
        <v>1167</v>
      </c>
      <c r="AO152" s="37" t="s">
        <v>1178</v>
      </c>
      <c r="AP152" s="37" t="s">
        <v>1219</v>
      </c>
      <c r="AQ152" s="37"/>
    </row>
    <row r="153" spans="3:43" ht="14">
      <c r="C153" s="80" t="e">
        <v>#N/A</v>
      </c>
      <c r="D153" s="62" t="s">
        <v>269</v>
      </c>
      <c r="E153" s="131" t="s">
        <v>270</v>
      </c>
      <c r="F153" s="129">
        <v>2</v>
      </c>
      <c r="G153" s="120" t="s">
        <v>1091</v>
      </c>
      <c r="H153" s="18" t="s">
        <v>619</v>
      </c>
      <c r="I153" s="18" t="s">
        <v>59</v>
      </c>
      <c r="J153" s="19" t="s">
        <v>524</v>
      </c>
      <c r="K153" s="103">
        <v>214235</v>
      </c>
      <c r="L153" s="101">
        <f>INDEX(Table1[Production],MATCH(rrcworking[[#This Row],[RRC ID Number]],Table1[RRC Identifier],0))</f>
        <v>0</v>
      </c>
      <c r="M153" s="30">
        <f>INDEX(Table1[Formation Production],MATCH(rrcworking[[#This Row],[RRC ID Number]],Table1[RRC Identifier],0))</f>
        <v>0</v>
      </c>
      <c r="N153" s="31">
        <f>INDEX(Table1[On Hand End of Month],MATCH(rrcworking[[#This Row],[RRC ID Number]],Table1[RRC Identifier],0))</f>
        <v>0</v>
      </c>
      <c r="O153" s="106" t="b">
        <f t="shared" si="4"/>
        <v>1</v>
      </c>
      <c r="P153" s="181"/>
      <c r="Q153" s="127">
        <f>rrcworking[[#This Row],[Last Month Closing Stock]]</f>
        <v>0</v>
      </c>
      <c r="R153" s="181">
        <f>rrcworking[[#This Row],[Opening Oil Stock]]</f>
        <v>0</v>
      </c>
      <c r="S153" s="143">
        <f>IF(ISERROR(INDEX(Table2[OIL],MATCH(rrcworking[[#This Row],[Magnum Wolfpak '#]],Table2[Rox Wolf'#],0))),0,INDEX(Table2[OIL],MATCH(rrcworking[[#This Row],[Magnum Wolfpak '#]],Table2[Rox Wolf'#],0)))</f>
        <v>0</v>
      </c>
      <c r="T153" s="35">
        <f>rrcworking[[#This Row],[Closing Stock (Oil)]]+rrcworking[[#This Row],[Sales/Dispostion]]-rrcworking[[#This Row],[Opening Oil Stock]]</f>
        <v>0</v>
      </c>
      <c r="U153" s="112">
        <f>rrcworking[[#This Row],[Gauge Sheet Prod Volume]]-rrcworking[[#This Row],[Oil Production]]</f>
        <v>0</v>
      </c>
      <c r="V153" s="143">
        <f>IF(ISERROR(INDEX(Table2[GAS],MATCH(rrcworking[[#This Row],[Magnum Wolfpak '#]],Table2[Rox Wolf'#],0))),0,INDEX(Table2[GAS],MATCH(rrcworking[[#This Row],[Magnum Wolfpak '#]],Table2[Rox Wolf'#],0)))</f>
        <v>0</v>
      </c>
      <c r="W153" s="24"/>
      <c r="X153" s="135">
        <f>IF(rrcworking[[#This Row],[Pressure Base]]=14.73,rrcworking[[#This Row],[Gas Sales Statement Volume (MCF)]]*$R$2,rrcworking[[#This Row],[Gas Sales Statement Volume (MCF)]])</f>
        <v>0</v>
      </c>
      <c r="Y153" s="60"/>
      <c r="Z153" s="60"/>
      <c r="AA153" s="143">
        <f>IF(ISERROR(INDEX(Table2[LEASE USE],MATCH(rrcworking[[#This Row],[Magnum Wolfpak '#]],Table2[Rox Wolf'#],0))),0,INDEX(Table2[LEASE USE],MATCH(rrcworking[[#This Row],[Magnum Wolfpak '#]],Table2[Rox Wolf'#],0)))</f>
        <v>0</v>
      </c>
      <c r="AB153" s="57">
        <f>rrcworking[[#This Row],[Disposition Volume (MCF) @ 14.65 MCF]]+rrcworking[[#This Row],[Lease Use (MCF)]]</f>
        <v>0</v>
      </c>
      <c r="AC153" s="97"/>
      <c r="AD153" s="37"/>
      <c r="AE153" s="187">
        <f>COUNTIF(FilterList,rrcworking[[#This Row],[Magnum Wolfpak '#]])</f>
        <v>0</v>
      </c>
      <c r="AF153" s="184"/>
      <c r="AG153" s="185"/>
      <c r="AH153" s="37"/>
      <c r="AI153" s="37"/>
      <c r="AJ153" s="37"/>
      <c r="AK153" s="37"/>
      <c r="AL153" s="37"/>
      <c r="AM153" s="37"/>
      <c r="AN153" s="37"/>
      <c r="AO153" s="37"/>
      <c r="AP153" s="37"/>
      <c r="AQ153" s="37"/>
    </row>
    <row r="154" spans="3:43" ht="126">
      <c r="C154" s="80">
        <v>96901</v>
      </c>
      <c r="D154" s="62" t="s">
        <v>265</v>
      </c>
      <c r="E154" s="131" t="s">
        <v>266</v>
      </c>
      <c r="F154" s="129">
        <v>1</v>
      </c>
      <c r="G154" s="120" t="s">
        <v>1091</v>
      </c>
      <c r="H154" s="18" t="s">
        <v>619</v>
      </c>
      <c r="I154" s="18" t="s">
        <v>59</v>
      </c>
      <c r="J154" s="19" t="s">
        <v>522</v>
      </c>
      <c r="K154" s="103">
        <v>158691</v>
      </c>
      <c r="L154" s="101">
        <f>INDEX(Table1[Production],MATCH(rrcworking[[#This Row],[RRC ID Number]],Table1[RRC Identifier],0))</f>
        <v>11</v>
      </c>
      <c r="M154" s="30">
        <f>INDEX(Table1[Formation Production],MATCH(rrcworking[[#This Row],[RRC ID Number]],Table1[RRC Identifier],0))</f>
        <v>1339</v>
      </c>
      <c r="N154" s="31">
        <f>INDEX(Table1[On Hand End of Month],MATCH(rrcworking[[#This Row],[RRC ID Number]],Table1[RRC Identifier],0))</f>
        <v>197</v>
      </c>
      <c r="O154" s="106" t="b">
        <f t="shared" si="4"/>
        <v>0</v>
      </c>
      <c r="P154" s="181">
        <v>26</v>
      </c>
      <c r="Q154" s="127">
        <f>rrcworking[[#This Row],[Last Month Closing Stock]]</f>
        <v>197</v>
      </c>
      <c r="R154" s="182">
        <v>65</v>
      </c>
      <c r="S154" s="143">
        <f>IF(ISERROR(INDEX(Table2[OIL],MATCH(rrcworking[[#This Row],[Magnum Wolfpak '#]],Table2[Rox Wolf'#],0))),0,INDEX(Table2[OIL],MATCH(rrcworking[[#This Row],[Magnum Wolfpak '#]],Table2[Rox Wolf'#],0)))</f>
        <v>136</v>
      </c>
      <c r="T154" s="35">
        <f>rrcworking[[#This Row],[Closing Stock (Oil)]]+rrcworking[[#This Row],[Sales/Dispostion]]-rrcworking[[#This Row],[Opening Oil Stock]]</f>
        <v>4</v>
      </c>
      <c r="U154" s="112">
        <f>rrcworking[[#This Row],[Gauge Sheet Prod Volume]]-rrcworking[[#This Row],[Oil Production]]</f>
        <v>22</v>
      </c>
      <c r="V154" s="143">
        <f>IF(ISERROR(INDEX(Table2[GAS],MATCH(rrcworking[[#This Row],[Magnum Wolfpak '#]],Table2[Rox Wolf'#],0))),0,INDEX(Table2[GAS],MATCH(rrcworking[[#This Row],[Magnum Wolfpak '#]],Table2[Rox Wolf'#],0)))</f>
        <v>1353</v>
      </c>
      <c r="W154" s="24"/>
      <c r="X154" s="135">
        <f>IF(rrcworking[[#This Row],[Pressure Base]]=14.73,rrcworking[[#This Row],[Gas Sales Statement Volume (MCF)]]*$R$2,rrcworking[[#This Row],[Gas Sales Statement Volume (MCF)]])</f>
        <v>1353</v>
      </c>
      <c r="Y154" s="85"/>
      <c r="Z154" s="60">
        <v>1</v>
      </c>
      <c r="AA154" s="143">
        <f>IF(ISERROR(INDEX(Table2[LEASE USE],MATCH(rrcworking[[#This Row],[Magnum Wolfpak '#]],Table2[Rox Wolf'#],0))),0,INDEX(Table2[LEASE USE],MATCH(rrcworking[[#This Row],[Magnum Wolfpak '#]],Table2[Rox Wolf'#],0)))</f>
        <v>31</v>
      </c>
      <c r="AB154" s="57">
        <f>rrcworking[[#This Row],[Disposition Volume (MCF) @ 14.65 MCF]]+rrcworking[[#This Row],[Lease Use (MCF)]]</f>
        <v>1384</v>
      </c>
      <c r="AC154" s="37"/>
      <c r="AD154" s="37" t="s">
        <v>1305</v>
      </c>
      <c r="AE154" s="187">
        <f>COUNTIF(FilterList,rrcworking[[#This Row],[Magnum Wolfpak '#]])</f>
        <v>0</v>
      </c>
      <c r="AF154" s="184"/>
      <c r="AG154" s="185"/>
      <c r="AH154" s="37"/>
      <c r="AI154" s="185"/>
      <c r="AJ154" s="37">
        <v>1</v>
      </c>
      <c r="AK154" s="37" t="s">
        <v>1167</v>
      </c>
      <c r="AL154" s="37" t="s">
        <v>1167</v>
      </c>
      <c r="AM154" s="37" t="s">
        <v>1195</v>
      </c>
      <c r="AN154" s="37" t="s">
        <v>1167</v>
      </c>
      <c r="AO154" s="37" t="s">
        <v>1178</v>
      </c>
      <c r="AP154" s="37" t="s">
        <v>1219</v>
      </c>
      <c r="AQ154" s="37"/>
    </row>
    <row r="155" spans="3:43" ht="14">
      <c r="C155" s="80" t="e">
        <v>#N/A</v>
      </c>
      <c r="D155" s="62" t="s">
        <v>240</v>
      </c>
      <c r="E155" s="131" t="s">
        <v>241</v>
      </c>
      <c r="F155" s="129">
        <v>1</v>
      </c>
      <c r="G155" s="120" t="s">
        <v>1091</v>
      </c>
      <c r="H155" s="18" t="s">
        <v>619</v>
      </c>
      <c r="I155" s="18" t="s">
        <v>59</v>
      </c>
      <c r="J155" s="19" t="s">
        <v>509</v>
      </c>
      <c r="K155" s="103">
        <v>214543</v>
      </c>
      <c r="L155" s="101">
        <f>INDEX(Table1[Production],MATCH(rrcworking[[#This Row],[RRC ID Number]],Table1[RRC Identifier],0))</f>
        <v>0</v>
      </c>
      <c r="M155" s="30">
        <f>INDEX(Table1[Formation Production],MATCH(rrcworking[[#This Row],[RRC ID Number]],Table1[RRC Identifier],0))</f>
        <v>0</v>
      </c>
      <c r="N155" s="31">
        <f>INDEX(Table1[On Hand End of Month],MATCH(rrcworking[[#This Row],[RRC ID Number]],Table1[RRC Identifier],0))</f>
        <v>0</v>
      </c>
      <c r="O155" s="106" t="b">
        <f t="shared" si="4"/>
        <v>1</v>
      </c>
      <c r="P155" s="181"/>
      <c r="Q155" s="127">
        <f>rrcworking[[#This Row],[Last Month Closing Stock]]</f>
        <v>0</v>
      </c>
      <c r="R155" s="181">
        <f>rrcworking[[#This Row],[Opening Oil Stock]]</f>
        <v>0</v>
      </c>
      <c r="S155" s="143">
        <f>IF(ISERROR(INDEX(Table2[OIL],MATCH(rrcworking[[#This Row],[Magnum Wolfpak '#]],Table2[Rox Wolf'#],0))),0,INDEX(Table2[OIL],MATCH(rrcworking[[#This Row],[Magnum Wolfpak '#]],Table2[Rox Wolf'#],0)))</f>
        <v>0</v>
      </c>
      <c r="T155" s="35">
        <f>rrcworking[[#This Row],[Closing Stock (Oil)]]+rrcworking[[#This Row],[Sales/Dispostion]]-rrcworking[[#This Row],[Opening Oil Stock]]</f>
        <v>0</v>
      </c>
      <c r="U155" s="112">
        <f>rrcworking[[#This Row],[Gauge Sheet Prod Volume]]-rrcworking[[#This Row],[Oil Production]]</f>
        <v>0</v>
      </c>
      <c r="V155" s="143">
        <f>IF(ISERROR(INDEX(Table2[GAS],MATCH(rrcworking[[#This Row],[Magnum Wolfpak '#]],Table2[Rox Wolf'#],0))),0,INDEX(Table2[GAS],MATCH(rrcworking[[#This Row],[Magnum Wolfpak '#]],Table2[Rox Wolf'#],0)))</f>
        <v>0</v>
      </c>
      <c r="W155" s="24"/>
      <c r="X155" s="135">
        <f>IF(rrcworking[[#This Row],[Pressure Base]]=14.73,rrcworking[[#This Row],[Gas Sales Statement Volume (MCF)]]*$R$2,rrcworking[[#This Row],[Gas Sales Statement Volume (MCF)]])</f>
        <v>0</v>
      </c>
      <c r="Y155" s="60"/>
      <c r="Z155" s="60"/>
      <c r="AA155" s="143">
        <f>IF(ISERROR(INDEX(Table2[LEASE USE],MATCH(rrcworking[[#This Row],[Magnum Wolfpak '#]],Table2[Rox Wolf'#],0))),0,INDEX(Table2[LEASE USE],MATCH(rrcworking[[#This Row],[Magnum Wolfpak '#]],Table2[Rox Wolf'#],0)))</f>
        <v>0</v>
      </c>
      <c r="AB155" s="57">
        <f>rrcworking[[#This Row],[Disposition Volume (MCF) @ 14.65 MCF]]+rrcworking[[#This Row],[Lease Use (MCF)]]</f>
        <v>0</v>
      </c>
      <c r="AC155" s="37"/>
      <c r="AD155" s="37"/>
      <c r="AE155" s="187">
        <f>COUNTIF(FilterList,rrcworking[[#This Row],[Magnum Wolfpak '#]])</f>
        <v>0</v>
      </c>
      <c r="AF155" s="184"/>
      <c r="AG155" s="185"/>
      <c r="AH155" s="37"/>
      <c r="AI155" s="37"/>
      <c r="AJ155" s="37"/>
      <c r="AK155" s="37"/>
      <c r="AL155" s="37"/>
      <c r="AM155" s="37"/>
      <c r="AN155" s="37"/>
      <c r="AO155" s="37"/>
      <c r="AP155" s="37"/>
      <c r="AQ155" s="37"/>
    </row>
    <row r="156" spans="3:43" ht="14">
      <c r="C156" s="80">
        <v>99101</v>
      </c>
      <c r="D156" s="62" t="s">
        <v>207</v>
      </c>
      <c r="E156" s="131" t="s">
        <v>208</v>
      </c>
      <c r="F156" s="129" t="s">
        <v>209</v>
      </c>
      <c r="G156" s="120" t="s">
        <v>1091</v>
      </c>
      <c r="H156" s="18" t="s">
        <v>619</v>
      </c>
      <c r="I156" s="18" t="s">
        <v>59</v>
      </c>
      <c r="J156" s="19" t="s">
        <v>493</v>
      </c>
      <c r="K156" s="103">
        <v>284976</v>
      </c>
      <c r="L156" s="101">
        <f>INDEX(Table1[Production],MATCH(rrcworking[[#This Row],[RRC ID Number]],Table1[RRC Identifier],0))</f>
        <v>123</v>
      </c>
      <c r="M156" s="30">
        <f>INDEX(Table1[Formation Production],MATCH(rrcworking[[#This Row],[RRC ID Number]],Table1[RRC Identifier],0))</f>
        <v>11265</v>
      </c>
      <c r="N156" s="31">
        <f>INDEX(Table1[On Hand End of Month],MATCH(rrcworking[[#This Row],[RRC ID Number]],Table1[RRC Identifier],0))</f>
        <v>140</v>
      </c>
      <c r="O156" s="106" t="b">
        <f t="shared" si="4"/>
        <v>0</v>
      </c>
      <c r="P156" s="181">
        <v>9</v>
      </c>
      <c r="Q156" s="127">
        <f>rrcworking[[#This Row],[Last Month Closing Stock]]</f>
        <v>140</v>
      </c>
      <c r="R156" s="182">
        <v>150</v>
      </c>
      <c r="S156" s="143">
        <f>IF(ISERROR(INDEX(Table2[OIL],MATCH(rrcworking[[#This Row],[Magnum Wolfpak '#]],Table2[Rox Wolf'#],0))),0,INDEX(Table2[OIL],MATCH(rrcworking[[#This Row],[Magnum Wolfpak '#]],Table2[Rox Wolf'#],0)))</f>
        <v>0</v>
      </c>
      <c r="T156" s="35">
        <f>rrcworking[[#This Row],[Closing Stock (Oil)]]+rrcworking[[#This Row],[Sales/Dispostion]]-rrcworking[[#This Row],[Opening Oil Stock]]</f>
        <v>10</v>
      </c>
      <c r="U156" s="112">
        <f>rrcworking[[#This Row],[Gauge Sheet Prod Volume]]-rrcworking[[#This Row],[Oil Production]]</f>
        <v>-1</v>
      </c>
      <c r="V156" s="143">
        <f>IF(ISERROR(INDEX(Table2[GAS],MATCH(rrcworking[[#This Row],[Magnum Wolfpak '#]],Table2[Rox Wolf'#],0))),0,INDEX(Table2[GAS],MATCH(rrcworking[[#This Row],[Magnum Wolfpak '#]],Table2[Rox Wolf'#],0)))</f>
        <v>661</v>
      </c>
      <c r="W156" s="24"/>
      <c r="X156" s="135">
        <f>IF(rrcworking[[#This Row],[Pressure Base]]=14.73,rrcworking[[#This Row],[Gas Sales Statement Volume (MCF)]]*$R$2,rrcworking[[#This Row],[Gas Sales Statement Volume (MCF)]])</f>
        <v>661</v>
      </c>
      <c r="Y156" s="60"/>
      <c r="Z156" s="60"/>
      <c r="AA156" s="143">
        <f>IF(ISERROR(INDEX(Table2[LEASE USE],MATCH(rrcworking[[#This Row],[Magnum Wolfpak '#]],Table2[Rox Wolf'#],0))),0,INDEX(Table2[LEASE USE],MATCH(rrcworking[[#This Row],[Magnum Wolfpak '#]],Table2[Rox Wolf'#],0)))</f>
        <v>0</v>
      </c>
      <c r="AB156" s="57">
        <f>rrcworking[[#This Row],[Disposition Volume (MCF) @ 14.65 MCF]]+rrcworking[[#This Row],[Lease Use (MCF)]]</f>
        <v>661</v>
      </c>
      <c r="AC156" s="37"/>
      <c r="AD156" s="37"/>
      <c r="AE156" s="187">
        <f>COUNTIF(FilterList,rrcworking[[#This Row],[Magnum Wolfpak '#]])</f>
        <v>0</v>
      </c>
      <c r="AF156" s="184"/>
      <c r="AG156" s="185"/>
      <c r="AH156" s="37"/>
      <c r="AI156" s="185"/>
      <c r="AJ156" s="37">
        <v>3</v>
      </c>
      <c r="AK156" s="37" t="s">
        <v>1141</v>
      </c>
      <c r="AL156" s="37" t="s">
        <v>1141</v>
      </c>
      <c r="AM156" s="37" t="s">
        <v>1181</v>
      </c>
      <c r="AN156" s="37" t="s">
        <v>1141</v>
      </c>
      <c r="AO156" s="37" t="s">
        <v>1178</v>
      </c>
      <c r="AP156" s="37" t="s">
        <v>1220</v>
      </c>
      <c r="AQ156" s="37"/>
    </row>
    <row r="157" spans="3:43" ht="14">
      <c r="C157" s="80" t="e">
        <v>#N/A</v>
      </c>
      <c r="D157" s="62" t="s">
        <v>293</v>
      </c>
      <c r="E157" s="131" t="s">
        <v>294</v>
      </c>
      <c r="F157" s="129">
        <v>5</v>
      </c>
      <c r="G157" s="120" t="s">
        <v>1091</v>
      </c>
      <c r="H157" s="18" t="s">
        <v>619</v>
      </c>
      <c r="I157" s="18" t="s">
        <v>59</v>
      </c>
      <c r="J157" s="19" t="s">
        <v>543</v>
      </c>
      <c r="K157" s="103">
        <v>179674</v>
      </c>
      <c r="L157" s="101">
        <f>INDEX(Table1[Production],MATCH(rrcworking[[#This Row],[RRC ID Number]],Table1[RRC Identifier],0))</f>
        <v>0</v>
      </c>
      <c r="M157" s="30">
        <f>INDEX(Table1[Formation Production],MATCH(rrcworking[[#This Row],[RRC ID Number]],Table1[RRC Identifier],0))</f>
        <v>0</v>
      </c>
      <c r="N157" s="31">
        <f>INDEX(Table1[On Hand End of Month],MATCH(rrcworking[[#This Row],[RRC ID Number]],Table1[RRC Identifier],0))</f>
        <v>0</v>
      </c>
      <c r="O157" s="106" t="b">
        <f t="shared" si="4"/>
        <v>1</v>
      </c>
      <c r="P157" s="181"/>
      <c r="Q157" s="127">
        <f>rrcworking[[#This Row],[Last Month Closing Stock]]</f>
        <v>0</v>
      </c>
      <c r="R157" s="181">
        <f>rrcworking[[#This Row],[Opening Oil Stock]]</f>
        <v>0</v>
      </c>
      <c r="S157" s="143">
        <f>IF(ISERROR(INDEX(Table2[OIL],MATCH(rrcworking[[#This Row],[Magnum Wolfpak '#]],Table2[Rox Wolf'#],0))),0,INDEX(Table2[OIL],MATCH(rrcworking[[#This Row],[Magnum Wolfpak '#]],Table2[Rox Wolf'#],0)))</f>
        <v>0</v>
      </c>
      <c r="T157" s="35">
        <f>rrcworking[[#This Row],[Closing Stock (Oil)]]+rrcworking[[#This Row],[Sales/Dispostion]]-rrcworking[[#This Row],[Opening Oil Stock]]</f>
        <v>0</v>
      </c>
      <c r="U157" s="112">
        <f>rrcworking[[#This Row],[Gauge Sheet Prod Volume]]-rrcworking[[#This Row],[Oil Production]]</f>
        <v>0</v>
      </c>
      <c r="V157" s="143">
        <f>IF(ISERROR(INDEX(Table2[GAS],MATCH(rrcworking[[#This Row],[Magnum Wolfpak '#]],Table2[Rox Wolf'#],0))),0,INDEX(Table2[GAS],MATCH(rrcworking[[#This Row],[Magnum Wolfpak '#]],Table2[Rox Wolf'#],0)))</f>
        <v>0</v>
      </c>
      <c r="W157" s="24"/>
      <c r="X157" s="135">
        <f>IF(rrcworking[[#This Row],[Pressure Base]]=14.73,rrcworking[[#This Row],[Gas Sales Statement Volume (MCF)]]*$R$2,rrcworking[[#This Row],[Gas Sales Statement Volume (MCF)]])</f>
        <v>0</v>
      </c>
      <c r="Y157" s="60"/>
      <c r="Z157" s="60"/>
      <c r="AA157" s="143">
        <f>IF(ISERROR(INDEX(Table2[LEASE USE],MATCH(rrcworking[[#This Row],[Magnum Wolfpak '#]],Table2[Rox Wolf'#],0))),0,INDEX(Table2[LEASE USE],MATCH(rrcworking[[#This Row],[Magnum Wolfpak '#]],Table2[Rox Wolf'#],0)))</f>
        <v>0</v>
      </c>
      <c r="AB157" s="57">
        <f>rrcworking[[#This Row],[Disposition Volume (MCF) @ 14.65 MCF]]+rrcworking[[#This Row],[Lease Use (MCF)]]</f>
        <v>0</v>
      </c>
      <c r="AC157" s="37"/>
      <c r="AD157" s="37"/>
      <c r="AE157" s="187">
        <f>COUNTIF(FilterList,rrcworking[[#This Row],[Magnum Wolfpak '#]])</f>
        <v>0</v>
      </c>
      <c r="AF157" s="184"/>
      <c r="AG157" s="185"/>
      <c r="AH157" s="37"/>
      <c r="AI157" s="37"/>
      <c r="AJ157" s="37"/>
      <c r="AK157" s="37"/>
      <c r="AL157" s="37"/>
      <c r="AM157" s="37"/>
      <c r="AN157" s="37"/>
      <c r="AO157" s="37"/>
      <c r="AP157" s="37"/>
      <c r="AQ157" s="37"/>
    </row>
    <row r="158" spans="3:43" ht="14">
      <c r="C158" s="80" t="e">
        <v>#N/A</v>
      </c>
      <c r="D158" s="62" t="s">
        <v>376</v>
      </c>
      <c r="E158" s="131" t="s">
        <v>377</v>
      </c>
      <c r="F158" s="129">
        <v>2</v>
      </c>
      <c r="G158" s="120" t="s">
        <v>1091</v>
      </c>
      <c r="H158" s="18" t="s">
        <v>620</v>
      </c>
      <c r="I158" s="18" t="s">
        <v>59</v>
      </c>
      <c r="J158" s="19" t="s">
        <v>593</v>
      </c>
      <c r="K158" s="103">
        <v>142434</v>
      </c>
      <c r="L158" s="101">
        <f>INDEX(Table1[Production],MATCH(rrcworking[[#This Row],[RRC ID Number]],Table1[RRC Identifier],0))</f>
        <v>0</v>
      </c>
      <c r="M158" s="30">
        <f>INDEX(Table1[Formation Production],MATCH(rrcworking[[#This Row],[RRC ID Number]],Table1[RRC Identifier],0))</f>
        <v>0</v>
      </c>
      <c r="N158" s="31">
        <f>INDEX(Table1[On Hand End of Month],MATCH(rrcworking[[#This Row],[RRC ID Number]],Table1[RRC Identifier],0))</f>
        <v>49</v>
      </c>
      <c r="O158" s="106" t="b">
        <f t="shared" si="4"/>
        <v>1</v>
      </c>
      <c r="P158" s="181"/>
      <c r="Q158" s="127">
        <f>rrcworking[[#This Row],[Last Month Closing Stock]]</f>
        <v>49</v>
      </c>
      <c r="R158" s="181">
        <f>rrcworking[[#This Row],[Opening Oil Stock]]</f>
        <v>49</v>
      </c>
      <c r="S158" s="143">
        <f>IF(ISERROR(INDEX(Table2[OIL],MATCH(rrcworking[[#This Row],[Magnum Wolfpak '#]],Table2[Rox Wolf'#],0))),0,INDEX(Table2[OIL],MATCH(rrcworking[[#This Row],[Magnum Wolfpak '#]],Table2[Rox Wolf'#],0)))</f>
        <v>0</v>
      </c>
      <c r="T158" s="35">
        <f>rrcworking[[#This Row],[Closing Stock (Oil)]]+rrcworking[[#This Row],[Sales/Dispostion]]-rrcworking[[#This Row],[Opening Oil Stock]]</f>
        <v>0</v>
      </c>
      <c r="U158" s="112">
        <f>rrcworking[[#This Row],[Gauge Sheet Prod Volume]]-rrcworking[[#This Row],[Oil Production]]</f>
        <v>0</v>
      </c>
      <c r="V158" s="143">
        <f>IF(ISERROR(INDEX(Table2[GAS],MATCH(rrcworking[[#This Row],[Magnum Wolfpak '#]],Table2[Rox Wolf'#],0))),0,INDEX(Table2[GAS],MATCH(rrcworking[[#This Row],[Magnum Wolfpak '#]],Table2[Rox Wolf'#],0)))</f>
        <v>0</v>
      </c>
      <c r="W158" s="24"/>
      <c r="X158" s="135">
        <f>IF(rrcworking[[#This Row],[Pressure Base]]=14.73,rrcworking[[#This Row],[Gas Sales Statement Volume (MCF)]]*$R$2,rrcworking[[#This Row],[Gas Sales Statement Volume (MCF)]])</f>
        <v>0</v>
      </c>
      <c r="Y158" s="60"/>
      <c r="Z158" s="60"/>
      <c r="AA158" s="143">
        <f>IF(ISERROR(INDEX(Table2[LEASE USE],MATCH(rrcworking[[#This Row],[Magnum Wolfpak '#]],Table2[Rox Wolf'#],0))),0,INDEX(Table2[LEASE USE],MATCH(rrcworking[[#This Row],[Magnum Wolfpak '#]],Table2[Rox Wolf'#],0)))</f>
        <v>0</v>
      </c>
      <c r="AB158" s="57">
        <f>rrcworking[[#This Row],[Disposition Volume (MCF) @ 14.65 MCF]]+rrcworking[[#This Row],[Lease Use (MCF)]]</f>
        <v>0</v>
      </c>
      <c r="AC158" s="37"/>
      <c r="AD158" s="37"/>
      <c r="AE158" s="187">
        <f>COUNTIF(FilterList,rrcworking[[#This Row],[Magnum Wolfpak '#]])</f>
        <v>0</v>
      </c>
      <c r="AF158" s="184"/>
      <c r="AG158" s="185"/>
      <c r="AH158" s="37"/>
      <c r="AI158" s="37"/>
      <c r="AJ158" s="37"/>
      <c r="AK158" s="37"/>
      <c r="AL158" s="37"/>
      <c r="AM158" s="37"/>
      <c r="AN158" s="37"/>
      <c r="AO158" s="37"/>
      <c r="AP158" s="37"/>
      <c r="AQ158" s="37"/>
    </row>
    <row r="159" spans="3:43" ht="14">
      <c r="C159" s="80" t="e">
        <v>#N/A</v>
      </c>
      <c r="D159" s="62" t="s">
        <v>378</v>
      </c>
      <c r="E159" s="131" t="s">
        <v>379</v>
      </c>
      <c r="F159" s="129">
        <v>1</v>
      </c>
      <c r="G159" s="120" t="s">
        <v>1091</v>
      </c>
      <c r="H159" s="18" t="s">
        <v>620</v>
      </c>
      <c r="I159" s="18" t="s">
        <v>59</v>
      </c>
      <c r="J159" s="19" t="s">
        <v>594</v>
      </c>
      <c r="K159" s="103">
        <v>142269</v>
      </c>
      <c r="L159" s="101">
        <f>INDEX(Table1[Production],MATCH(rrcworking[[#This Row],[RRC ID Number]],Table1[RRC Identifier],0))</f>
        <v>0</v>
      </c>
      <c r="M159" s="30">
        <f>INDEX(Table1[Formation Production],MATCH(rrcworking[[#This Row],[RRC ID Number]],Table1[RRC Identifier],0))</f>
        <v>0</v>
      </c>
      <c r="N159" s="31">
        <f>INDEX(Table1[On Hand End of Month],MATCH(rrcworking[[#This Row],[RRC ID Number]],Table1[RRC Identifier],0))</f>
        <v>0</v>
      </c>
      <c r="O159" s="106" t="b">
        <f t="shared" si="4"/>
        <v>1</v>
      </c>
      <c r="P159" s="181"/>
      <c r="Q159" s="127">
        <f>rrcworking[[#This Row],[Last Month Closing Stock]]</f>
        <v>0</v>
      </c>
      <c r="R159" s="181">
        <f>rrcworking[[#This Row],[Opening Oil Stock]]</f>
        <v>0</v>
      </c>
      <c r="S159" s="143">
        <f>IF(ISERROR(INDEX(Table2[OIL],MATCH(rrcworking[[#This Row],[Magnum Wolfpak '#]],Table2[Rox Wolf'#],0))),0,INDEX(Table2[OIL],MATCH(rrcworking[[#This Row],[Magnum Wolfpak '#]],Table2[Rox Wolf'#],0)))</f>
        <v>0</v>
      </c>
      <c r="T159" s="35">
        <f>rrcworking[[#This Row],[Closing Stock (Oil)]]+rrcworking[[#This Row],[Sales/Dispostion]]-rrcworking[[#This Row],[Opening Oil Stock]]</f>
        <v>0</v>
      </c>
      <c r="U159" s="112">
        <f>rrcworking[[#This Row],[Gauge Sheet Prod Volume]]-rrcworking[[#This Row],[Oil Production]]</f>
        <v>0</v>
      </c>
      <c r="V159" s="143">
        <f>IF(ISERROR(INDEX(Table2[GAS],MATCH(rrcworking[[#This Row],[Magnum Wolfpak '#]],Table2[Rox Wolf'#],0))),0,INDEX(Table2[GAS],MATCH(rrcworking[[#This Row],[Magnum Wolfpak '#]],Table2[Rox Wolf'#],0)))</f>
        <v>0</v>
      </c>
      <c r="W159" s="24"/>
      <c r="X159" s="135">
        <f>IF(rrcworking[[#This Row],[Pressure Base]]=14.73,rrcworking[[#This Row],[Gas Sales Statement Volume (MCF)]]*$R$2,rrcworking[[#This Row],[Gas Sales Statement Volume (MCF)]])</f>
        <v>0</v>
      </c>
      <c r="Y159" s="60"/>
      <c r="Z159" s="60"/>
      <c r="AA159" s="143">
        <f>IF(ISERROR(INDEX(Table2[LEASE USE],MATCH(rrcworking[[#This Row],[Magnum Wolfpak '#]],Table2[Rox Wolf'#],0))),0,INDEX(Table2[LEASE USE],MATCH(rrcworking[[#This Row],[Magnum Wolfpak '#]],Table2[Rox Wolf'#],0)))</f>
        <v>0</v>
      </c>
      <c r="AB159" s="57">
        <f>rrcworking[[#This Row],[Disposition Volume (MCF) @ 14.65 MCF]]+rrcworking[[#This Row],[Lease Use (MCF)]]</f>
        <v>0</v>
      </c>
      <c r="AC159" s="37"/>
      <c r="AD159" s="37"/>
      <c r="AE159" s="187">
        <f>COUNTIF(FilterList,rrcworking[[#This Row],[Magnum Wolfpak '#]])</f>
        <v>0</v>
      </c>
      <c r="AF159" s="184"/>
      <c r="AG159" s="185"/>
      <c r="AH159" s="37"/>
      <c r="AI159" s="37"/>
      <c r="AJ159" s="37"/>
      <c r="AK159" s="37"/>
      <c r="AL159" s="37"/>
      <c r="AM159" s="37"/>
      <c r="AN159" s="37"/>
      <c r="AO159" s="37"/>
      <c r="AP159" s="37"/>
      <c r="AQ159" s="37"/>
    </row>
    <row r="160" spans="3:43" ht="14">
      <c r="C160" s="80" t="e">
        <v>#N/A</v>
      </c>
      <c r="D160" s="62" t="s">
        <v>273</v>
      </c>
      <c r="E160" s="131" t="s">
        <v>274</v>
      </c>
      <c r="F160" s="129">
        <v>1</v>
      </c>
      <c r="G160" s="120" t="s">
        <v>1091</v>
      </c>
      <c r="H160" s="18" t="s">
        <v>619</v>
      </c>
      <c r="I160" s="18" t="s">
        <v>59</v>
      </c>
      <c r="J160" s="19" t="s">
        <v>526</v>
      </c>
      <c r="K160" s="103">
        <v>238352</v>
      </c>
      <c r="L160" s="101">
        <f>INDEX(Table1[Production],MATCH(rrcworking[[#This Row],[RRC ID Number]],Table1[RRC Identifier],0))</f>
        <v>0</v>
      </c>
      <c r="M160" s="30">
        <f>INDEX(Table1[Formation Production],MATCH(rrcworking[[#This Row],[RRC ID Number]],Table1[RRC Identifier],0))</f>
        <v>0</v>
      </c>
      <c r="N160" s="31">
        <f>INDEX(Table1[On Hand End of Month],MATCH(rrcworking[[#This Row],[RRC ID Number]],Table1[RRC Identifier],0))</f>
        <v>0</v>
      </c>
      <c r="O160" s="106" t="b">
        <f t="shared" si="4"/>
        <v>1</v>
      </c>
      <c r="P160" s="181"/>
      <c r="Q160" s="127">
        <f>rrcworking[[#This Row],[Last Month Closing Stock]]</f>
        <v>0</v>
      </c>
      <c r="R160" s="181">
        <f>rrcworking[[#This Row],[Opening Oil Stock]]</f>
        <v>0</v>
      </c>
      <c r="S160" s="143">
        <f>IF(ISERROR(INDEX(Table2[OIL],MATCH(rrcworking[[#This Row],[Magnum Wolfpak '#]],Table2[Rox Wolf'#],0))),0,INDEX(Table2[OIL],MATCH(rrcworking[[#This Row],[Magnum Wolfpak '#]],Table2[Rox Wolf'#],0)))</f>
        <v>0</v>
      </c>
      <c r="T160" s="35">
        <f>rrcworking[[#This Row],[Closing Stock (Oil)]]+rrcworking[[#This Row],[Sales/Dispostion]]-rrcworking[[#This Row],[Opening Oil Stock]]</f>
        <v>0</v>
      </c>
      <c r="U160" s="112">
        <f>rrcworking[[#This Row],[Gauge Sheet Prod Volume]]-rrcworking[[#This Row],[Oil Production]]</f>
        <v>0</v>
      </c>
      <c r="V160" s="143">
        <f>IF(ISERROR(INDEX(Table2[GAS],MATCH(rrcworking[[#This Row],[Magnum Wolfpak '#]],Table2[Rox Wolf'#],0))),0,INDEX(Table2[GAS],MATCH(rrcworking[[#This Row],[Magnum Wolfpak '#]],Table2[Rox Wolf'#],0)))</f>
        <v>0</v>
      </c>
      <c r="W160" s="24"/>
      <c r="X160" s="135">
        <f>IF(rrcworking[[#This Row],[Pressure Base]]=14.73,rrcworking[[#This Row],[Gas Sales Statement Volume (MCF)]]*$R$2,rrcworking[[#This Row],[Gas Sales Statement Volume (MCF)]])</f>
        <v>0</v>
      </c>
      <c r="Y160" s="60"/>
      <c r="Z160" s="60"/>
      <c r="AA160" s="143">
        <f>IF(ISERROR(INDEX(Table2[LEASE USE],MATCH(rrcworking[[#This Row],[Magnum Wolfpak '#]],Table2[Rox Wolf'#],0))),0,INDEX(Table2[LEASE USE],MATCH(rrcworking[[#This Row],[Magnum Wolfpak '#]],Table2[Rox Wolf'#],0)))</f>
        <v>0</v>
      </c>
      <c r="AB160" s="57">
        <f>rrcworking[[#This Row],[Disposition Volume (MCF) @ 14.65 MCF]]+rrcworking[[#This Row],[Lease Use (MCF)]]</f>
        <v>0</v>
      </c>
      <c r="AC160" s="37"/>
      <c r="AD160" s="37"/>
      <c r="AE160" s="187">
        <f>COUNTIF(FilterList,rrcworking[[#This Row],[Magnum Wolfpak '#]])</f>
        <v>0</v>
      </c>
      <c r="AF160" s="184"/>
      <c r="AG160" s="185"/>
      <c r="AH160" s="37"/>
      <c r="AI160" s="37"/>
      <c r="AJ160" s="37"/>
      <c r="AK160" s="37"/>
      <c r="AL160" s="37"/>
      <c r="AM160" s="37"/>
      <c r="AN160" s="37"/>
      <c r="AO160" s="37"/>
      <c r="AP160" s="37"/>
      <c r="AQ160" s="37"/>
    </row>
    <row r="161" spans="3:43" ht="14">
      <c r="C161" s="80" t="e">
        <v>#N/A</v>
      </c>
      <c r="D161" s="62" t="s">
        <v>197</v>
      </c>
      <c r="E161" s="131" t="s">
        <v>198</v>
      </c>
      <c r="F161" s="129">
        <v>0</v>
      </c>
      <c r="G161" s="120" t="s">
        <v>1091</v>
      </c>
      <c r="H161" s="18" t="s">
        <v>619</v>
      </c>
      <c r="I161" s="18" t="s">
        <v>2</v>
      </c>
      <c r="J161" s="19" t="s">
        <v>488</v>
      </c>
      <c r="K161" s="103">
        <v>27279</v>
      </c>
      <c r="L161" s="101">
        <f>INDEX(Table1[Production],MATCH(rrcworking[[#This Row],[RRC ID Number]],Table1[RRC Identifier],0))</f>
        <v>0</v>
      </c>
      <c r="M161" s="30">
        <f>INDEX(Table1[Formation Production],MATCH(rrcworking[[#This Row],[RRC ID Number]],Table1[RRC Identifier],0))</f>
        <v>0</v>
      </c>
      <c r="N161" s="31">
        <f>INDEX(Table1[On Hand End of Month],MATCH(rrcworking[[#This Row],[RRC ID Number]],Table1[RRC Identifier],0))</f>
        <v>229</v>
      </c>
      <c r="O161" s="106" t="b">
        <f t="shared" si="4"/>
        <v>1</v>
      </c>
      <c r="P161" s="181"/>
      <c r="Q161" s="127">
        <f>rrcworking[[#This Row],[Last Month Closing Stock]]</f>
        <v>229</v>
      </c>
      <c r="R161" s="181">
        <f>rrcworking[[#This Row],[Opening Oil Stock]]</f>
        <v>229</v>
      </c>
      <c r="S161" s="143">
        <f>IF(ISERROR(INDEX(Table2[OIL],MATCH(rrcworking[[#This Row],[Magnum Wolfpak '#]],Table2[Rox Wolf'#],0))),0,INDEX(Table2[OIL],MATCH(rrcworking[[#This Row],[Magnum Wolfpak '#]],Table2[Rox Wolf'#],0)))</f>
        <v>0</v>
      </c>
      <c r="T161" s="35">
        <f>rrcworking[[#This Row],[Closing Stock (Oil)]]+rrcworking[[#This Row],[Sales/Dispostion]]-rrcworking[[#This Row],[Opening Oil Stock]]</f>
        <v>0</v>
      </c>
      <c r="U161" s="112">
        <f>rrcworking[[#This Row],[Gauge Sheet Prod Volume]]-rrcworking[[#This Row],[Oil Production]]</f>
        <v>0</v>
      </c>
      <c r="V161" s="143">
        <f>IF(ISERROR(INDEX(Table2[GAS],MATCH(rrcworking[[#This Row],[Magnum Wolfpak '#]],Table2[Rox Wolf'#],0))),0,INDEX(Table2[GAS],MATCH(rrcworking[[#This Row],[Magnum Wolfpak '#]],Table2[Rox Wolf'#],0)))</f>
        <v>0</v>
      </c>
      <c r="W161" s="24"/>
      <c r="X161" s="135">
        <f>IF(rrcworking[[#This Row],[Pressure Base]]=14.73,rrcworking[[#This Row],[Gas Sales Statement Volume (MCF)]]*$R$2,rrcworking[[#This Row],[Gas Sales Statement Volume (MCF)]])</f>
        <v>0</v>
      </c>
      <c r="Y161" s="60"/>
      <c r="Z161" s="60"/>
      <c r="AA161" s="143">
        <f>IF(ISERROR(INDEX(Table2[LEASE USE],MATCH(rrcworking[[#This Row],[Magnum Wolfpak '#]],Table2[Rox Wolf'#],0))),0,INDEX(Table2[LEASE USE],MATCH(rrcworking[[#This Row],[Magnum Wolfpak '#]],Table2[Rox Wolf'#],0)))</f>
        <v>0</v>
      </c>
      <c r="AB161" s="57">
        <f>rrcworking[[#This Row],[Disposition Volume (MCF) @ 14.65 MCF]]+rrcworking[[#This Row],[Lease Use (MCF)]]</f>
        <v>0</v>
      </c>
      <c r="AC161" s="37"/>
      <c r="AD161" s="37"/>
      <c r="AE161" s="187">
        <f>COUNTIF(FilterList,rrcworking[[#This Row],[Magnum Wolfpak '#]])</f>
        <v>0</v>
      </c>
      <c r="AF161" s="184"/>
      <c r="AG161" s="185"/>
      <c r="AH161" s="37"/>
      <c r="AI161" s="37"/>
      <c r="AJ161" s="37"/>
      <c r="AK161" s="37"/>
      <c r="AL161" s="37"/>
      <c r="AM161" s="37"/>
      <c r="AN161" s="37"/>
      <c r="AO161" s="37"/>
      <c r="AP161" s="37"/>
      <c r="AQ161" s="37"/>
    </row>
    <row r="162" spans="3:43" ht="14">
      <c r="C162" s="80" t="e">
        <v>#N/A</v>
      </c>
      <c r="D162" s="62" t="s">
        <v>100</v>
      </c>
      <c r="E162" s="131" t="s">
        <v>101</v>
      </c>
      <c r="F162" s="129">
        <v>1</v>
      </c>
      <c r="G162" s="120" t="s">
        <v>1091</v>
      </c>
      <c r="H162" s="18" t="s">
        <v>618</v>
      </c>
      <c r="I162" s="18" t="s">
        <v>59</v>
      </c>
      <c r="J162" s="19" t="s">
        <v>429</v>
      </c>
      <c r="K162" s="103">
        <v>192476</v>
      </c>
      <c r="L162" s="101">
        <f>INDEX(Table1[Production],MATCH(rrcworking[[#This Row],[RRC ID Number]],Table1[RRC Identifier],0))</f>
        <v>0</v>
      </c>
      <c r="M162" s="30">
        <f>INDEX(Table1[Formation Production],MATCH(rrcworking[[#This Row],[RRC ID Number]],Table1[RRC Identifier],0))</f>
        <v>0</v>
      </c>
      <c r="N162" s="31">
        <f>INDEX(Table1[On Hand End of Month],MATCH(rrcworking[[#This Row],[RRC ID Number]],Table1[RRC Identifier],0))</f>
        <v>116</v>
      </c>
      <c r="O162" s="106" t="b">
        <f t="shared" si="4"/>
        <v>1</v>
      </c>
      <c r="P162" s="181"/>
      <c r="Q162" s="127">
        <f>rrcworking[[#This Row],[Last Month Closing Stock]]</f>
        <v>116</v>
      </c>
      <c r="R162" s="181">
        <f>rrcworking[[#This Row],[Opening Oil Stock]]</f>
        <v>116</v>
      </c>
      <c r="S162" s="143">
        <f>IF(ISERROR(INDEX(Table2[OIL],MATCH(rrcworking[[#This Row],[Magnum Wolfpak '#]],Table2[Rox Wolf'#],0))),0,INDEX(Table2[OIL],MATCH(rrcworking[[#This Row],[Magnum Wolfpak '#]],Table2[Rox Wolf'#],0)))</f>
        <v>0</v>
      </c>
      <c r="T162" s="35">
        <f>rrcworking[[#This Row],[Closing Stock (Oil)]]+rrcworking[[#This Row],[Sales/Dispostion]]-rrcworking[[#This Row],[Opening Oil Stock]]</f>
        <v>0</v>
      </c>
      <c r="U162" s="112">
        <f>rrcworking[[#This Row],[Gauge Sheet Prod Volume]]-rrcworking[[#This Row],[Oil Production]]</f>
        <v>0</v>
      </c>
      <c r="V162" s="143">
        <f>IF(ISERROR(INDEX(Table2[GAS],MATCH(rrcworking[[#This Row],[Magnum Wolfpak '#]],Table2[Rox Wolf'#],0))),0,INDEX(Table2[GAS],MATCH(rrcworking[[#This Row],[Magnum Wolfpak '#]],Table2[Rox Wolf'#],0)))</f>
        <v>0</v>
      </c>
      <c r="W162" s="24"/>
      <c r="X162" s="135">
        <f>IF(rrcworking[[#This Row],[Pressure Base]]=14.73,rrcworking[[#This Row],[Gas Sales Statement Volume (MCF)]]*$R$2,rrcworking[[#This Row],[Gas Sales Statement Volume (MCF)]])</f>
        <v>0</v>
      </c>
      <c r="Y162" s="60"/>
      <c r="Z162" s="60"/>
      <c r="AA162" s="143">
        <f>IF(ISERROR(INDEX(Table2[LEASE USE],MATCH(rrcworking[[#This Row],[Magnum Wolfpak '#]],Table2[Rox Wolf'#],0))),0,INDEX(Table2[LEASE USE],MATCH(rrcworking[[#This Row],[Magnum Wolfpak '#]],Table2[Rox Wolf'#],0)))</f>
        <v>0</v>
      </c>
      <c r="AB162" s="57">
        <f>rrcworking[[#This Row],[Disposition Volume (MCF) @ 14.65 MCF]]+rrcworking[[#This Row],[Lease Use (MCF)]]</f>
        <v>0</v>
      </c>
      <c r="AC162" s="37"/>
      <c r="AD162" s="37"/>
      <c r="AE162" s="187">
        <f>COUNTIF(FilterList,rrcworking[[#This Row],[Magnum Wolfpak '#]])</f>
        <v>0</v>
      </c>
      <c r="AF162" s="184"/>
      <c r="AG162" s="185"/>
      <c r="AH162" s="37"/>
      <c r="AI162" s="37"/>
      <c r="AJ162" s="37"/>
      <c r="AK162" s="37"/>
      <c r="AL162" s="37"/>
      <c r="AM162" s="37"/>
      <c r="AN162" s="37"/>
      <c r="AO162" s="37"/>
      <c r="AP162" s="37"/>
      <c r="AQ162" s="37"/>
    </row>
    <row r="163" spans="3:43" ht="14">
      <c r="C163" s="80">
        <v>99026</v>
      </c>
      <c r="D163" s="62" t="s">
        <v>193</v>
      </c>
      <c r="E163" s="131" t="s">
        <v>194</v>
      </c>
      <c r="F163" s="129">
        <v>0</v>
      </c>
      <c r="G163" s="120" t="s">
        <v>1091</v>
      </c>
      <c r="H163" s="18" t="s">
        <v>619</v>
      </c>
      <c r="I163" s="18" t="s">
        <v>2</v>
      </c>
      <c r="J163" s="19" t="s">
        <v>486</v>
      </c>
      <c r="K163" s="103">
        <v>2099</v>
      </c>
      <c r="L163" s="101">
        <f>INDEX(Table1[Production],MATCH(rrcworking[[#This Row],[RRC ID Number]],Table1[RRC Identifier],0))</f>
        <v>396</v>
      </c>
      <c r="M163" s="30">
        <f>INDEX(Table1[Formation Production],MATCH(rrcworking[[#This Row],[RRC ID Number]],Table1[RRC Identifier],0))</f>
        <v>0</v>
      </c>
      <c r="N163" s="31">
        <f>INDEX(Table1[On Hand End of Month],MATCH(rrcworking[[#This Row],[RRC ID Number]],Table1[RRC Identifier],0))</f>
        <v>126</v>
      </c>
      <c r="O163" s="106" t="b">
        <f t="shared" si="4"/>
        <v>0</v>
      </c>
      <c r="P163" s="181">
        <v>499</v>
      </c>
      <c r="Q163" s="127">
        <f>rrcworking[[#This Row],[Last Month Closing Stock]]</f>
        <v>126</v>
      </c>
      <c r="R163" s="181">
        <v>282</v>
      </c>
      <c r="S163" s="143">
        <f>IF(ISERROR(INDEX(Table2[OIL],MATCH(rrcworking[[#This Row],[Magnum Wolfpak '#]],Table2[Rox Wolf'#],0))),0,INDEX(Table2[OIL],MATCH(rrcworking[[#This Row],[Magnum Wolfpak '#]],Table2[Rox Wolf'#],0)))</f>
        <v>340</v>
      </c>
      <c r="T163" s="35">
        <f>rrcworking[[#This Row],[Closing Stock (Oil)]]+rrcworking[[#This Row],[Sales/Dispostion]]-rrcworking[[#This Row],[Opening Oil Stock]]</f>
        <v>496</v>
      </c>
      <c r="U163" s="112">
        <f>rrcworking[[#This Row],[Gauge Sheet Prod Volume]]-rrcworking[[#This Row],[Oil Production]]</f>
        <v>3</v>
      </c>
      <c r="V163" s="143">
        <f>IF(ISERROR(INDEX(Table2[GAS],MATCH(rrcworking[[#This Row],[Magnum Wolfpak '#]],Table2[Rox Wolf'#],0))),0,INDEX(Table2[GAS],MATCH(rrcworking[[#This Row],[Magnum Wolfpak '#]],Table2[Rox Wolf'#],0)))</f>
        <v>0</v>
      </c>
      <c r="W163" s="24"/>
      <c r="X163" s="135">
        <f>IF(rrcworking[[#This Row],[Pressure Base]]=14.73,rrcworking[[#This Row],[Gas Sales Statement Volume (MCF)]]*$R$2,rrcworking[[#This Row],[Gas Sales Statement Volume (MCF)]])</f>
        <v>0</v>
      </c>
      <c r="Y163" s="60"/>
      <c r="Z163" s="60"/>
      <c r="AA163" s="143">
        <f>IF(ISERROR(INDEX(Table2[LEASE USE],MATCH(rrcworking[[#This Row],[Magnum Wolfpak '#]],Table2[Rox Wolf'#],0))),0,INDEX(Table2[LEASE USE],MATCH(rrcworking[[#This Row],[Magnum Wolfpak '#]],Table2[Rox Wolf'#],0)))</f>
        <v>0</v>
      </c>
      <c r="AB163" s="57">
        <f>rrcworking[[#This Row],[Disposition Volume (MCF) @ 14.65 MCF]]+rrcworking[[#This Row],[Lease Use (MCF)]]</f>
        <v>0</v>
      </c>
      <c r="AC163" s="37"/>
      <c r="AD163" s="37"/>
      <c r="AE163" s="187">
        <f>COUNTIF(FilterList,rrcworking[[#This Row],[Magnum Wolfpak '#]])</f>
        <v>0</v>
      </c>
      <c r="AF163" s="184"/>
      <c r="AG163" s="185"/>
      <c r="AH163" s="37"/>
      <c r="AI163" s="37"/>
      <c r="AJ163" s="186"/>
      <c r="AK163" s="186"/>
      <c r="AL163" s="186"/>
      <c r="AM163" s="186"/>
      <c r="AN163" s="186"/>
      <c r="AO163" s="186"/>
      <c r="AP163" s="37" t="s">
        <v>1165</v>
      </c>
      <c r="AQ163" s="37" t="s">
        <v>1200</v>
      </c>
    </row>
    <row r="164" spans="3:43" ht="28">
      <c r="C164" s="80">
        <v>99312</v>
      </c>
      <c r="D164" s="62" t="s">
        <v>256</v>
      </c>
      <c r="E164" s="131" t="s">
        <v>252</v>
      </c>
      <c r="F164" s="129" t="s">
        <v>227</v>
      </c>
      <c r="G164" s="120" t="s">
        <v>1091</v>
      </c>
      <c r="H164" s="18" t="s">
        <v>619</v>
      </c>
      <c r="I164" s="18" t="s">
        <v>59</v>
      </c>
      <c r="J164" s="19" t="s">
        <v>517</v>
      </c>
      <c r="K164" s="103">
        <v>285001</v>
      </c>
      <c r="L164" s="101">
        <f>INDEX(Table1[Production],MATCH(rrcworking[[#This Row],[RRC ID Number]],Table1[RRC Identifier],0))</f>
        <v>9</v>
      </c>
      <c r="M164" s="30">
        <f>INDEX(Table1[Formation Production],MATCH(rrcworking[[#This Row],[RRC ID Number]],Table1[RRC Identifier],0))</f>
        <v>2176</v>
      </c>
      <c r="N164" s="31">
        <f>INDEX(Table1[On Hand End of Month],MATCH(rrcworking[[#This Row],[RRC ID Number]],Table1[RRC Identifier],0))</f>
        <v>109</v>
      </c>
      <c r="O164" s="106" t="b">
        <f t="shared" si="4"/>
        <v>0</v>
      </c>
      <c r="P164" s="181">
        <v>0</v>
      </c>
      <c r="Q164" s="127">
        <f>rrcworking[[#This Row],[Last Month Closing Stock]]</f>
        <v>109</v>
      </c>
      <c r="R164" s="182">
        <v>109</v>
      </c>
      <c r="S164" s="143">
        <f>IF(ISERROR(INDEX(Table2[OIL],MATCH(rrcworking[[#This Row],[Magnum Wolfpak '#]],Table2[Rox Wolf'#],0))),0,INDEX(Table2[OIL],MATCH(rrcworking[[#This Row],[Magnum Wolfpak '#]],Table2[Rox Wolf'#],0)))</f>
        <v>0</v>
      </c>
      <c r="T164" s="35">
        <f>rrcworking[[#This Row],[Closing Stock (Oil)]]+rrcworking[[#This Row],[Sales/Dispostion]]-rrcworking[[#This Row],[Opening Oil Stock]]</f>
        <v>0</v>
      </c>
      <c r="U164" s="112">
        <f>rrcworking[[#This Row],[Gauge Sheet Prod Volume]]-rrcworking[[#This Row],[Oil Production]]</f>
        <v>0</v>
      </c>
      <c r="V164" s="143">
        <f>IF(ISERROR(INDEX(Table2[GAS],MATCH(rrcworking[[#This Row],[Magnum Wolfpak '#]],Table2[Rox Wolf'#],0))),0,INDEX(Table2[GAS],MATCH(rrcworking[[#This Row],[Magnum Wolfpak '#]],Table2[Rox Wolf'#],0)))</f>
        <v>86</v>
      </c>
      <c r="W164" s="24"/>
      <c r="X164" s="135">
        <f>IF(rrcworking[[#This Row],[Pressure Base]]=14.73,rrcworking[[#This Row],[Gas Sales Statement Volume (MCF)]]*$R$2,rrcworking[[#This Row],[Gas Sales Statement Volume (MCF)]])</f>
        <v>86</v>
      </c>
      <c r="Y164" s="85"/>
      <c r="Z164" s="60">
        <v>21</v>
      </c>
      <c r="AA164" s="143">
        <f>IF(ISERROR(INDEX(Table2[LEASE USE],MATCH(rrcworking[[#This Row],[Magnum Wolfpak '#]],Table2[Rox Wolf'#],0))),0,INDEX(Table2[LEASE USE],MATCH(rrcworking[[#This Row],[Magnum Wolfpak '#]],Table2[Rox Wolf'#],0)))</f>
        <v>21</v>
      </c>
      <c r="AB164" s="57">
        <f>rrcworking[[#This Row],[Disposition Volume (MCF) @ 14.65 MCF]]+rrcworking[[#This Row],[Lease Use (MCF)]]</f>
        <v>107</v>
      </c>
      <c r="AC164" s="37"/>
      <c r="AD164" s="37" t="s">
        <v>1244</v>
      </c>
      <c r="AE164" s="187">
        <f>COUNTIF(FilterList,rrcworking[[#This Row],[Magnum Wolfpak '#]])</f>
        <v>0</v>
      </c>
      <c r="AF164" s="184"/>
      <c r="AG164" s="185"/>
      <c r="AH164" s="37"/>
      <c r="AI164" s="185"/>
      <c r="AJ164" s="37">
        <v>1</v>
      </c>
      <c r="AK164" s="37" t="s">
        <v>1141</v>
      </c>
      <c r="AL164" s="37" t="s">
        <v>1141</v>
      </c>
      <c r="AM164" s="37" t="s">
        <v>1177</v>
      </c>
      <c r="AN164" s="37" t="s">
        <v>1141</v>
      </c>
      <c r="AO164" s="37" t="s">
        <v>1178</v>
      </c>
      <c r="AP164" s="37" t="s">
        <v>1221</v>
      </c>
      <c r="AQ164" s="37"/>
    </row>
    <row r="165" spans="3:43" ht="28">
      <c r="C165" s="80">
        <v>99246</v>
      </c>
      <c r="D165" s="62" t="s">
        <v>251</v>
      </c>
      <c r="E165" s="131" t="s">
        <v>252</v>
      </c>
      <c r="F165" s="129" t="s">
        <v>253</v>
      </c>
      <c r="G165" s="120" t="s">
        <v>1091</v>
      </c>
      <c r="H165" s="18" t="s">
        <v>619</v>
      </c>
      <c r="I165" s="18" t="s">
        <v>59</v>
      </c>
      <c r="J165" s="19" t="s">
        <v>515</v>
      </c>
      <c r="K165" s="103">
        <v>284977</v>
      </c>
      <c r="L165" s="101">
        <f>INDEX(Table1[Production],MATCH(rrcworking[[#This Row],[RRC ID Number]],Table1[RRC Identifier],0))</f>
        <v>27</v>
      </c>
      <c r="M165" s="30">
        <f>INDEX(Table1[Formation Production],MATCH(rrcworking[[#This Row],[RRC ID Number]],Table1[RRC Identifier],0))</f>
        <v>13115</v>
      </c>
      <c r="N165" s="31">
        <f>INDEX(Table1[On Hand End of Month],MATCH(rrcworking[[#This Row],[RRC ID Number]],Table1[RRC Identifier],0))</f>
        <v>102</v>
      </c>
      <c r="O165" s="106" t="b">
        <f t="shared" ref="O165:O194" si="5">IF(AND(L165=0,M165=0), TRUE, FALSE)</f>
        <v>0</v>
      </c>
      <c r="P165" s="181">
        <v>35</v>
      </c>
      <c r="Q165" s="127">
        <f>rrcworking[[#This Row],[Last Month Closing Stock]]</f>
        <v>102</v>
      </c>
      <c r="R165" s="182">
        <v>137</v>
      </c>
      <c r="S165" s="143">
        <f>IF(ISERROR(INDEX(Table2[OIL],MATCH(rrcworking[[#This Row],[Magnum Wolfpak '#]],Table2[Rox Wolf'#],0))),0,INDEX(Table2[OIL],MATCH(rrcworking[[#This Row],[Magnum Wolfpak '#]],Table2[Rox Wolf'#],0)))</f>
        <v>0</v>
      </c>
      <c r="T165" s="35">
        <f>rrcworking[[#This Row],[Closing Stock (Oil)]]+rrcworking[[#This Row],[Sales/Dispostion]]-rrcworking[[#This Row],[Opening Oil Stock]]</f>
        <v>35</v>
      </c>
      <c r="U165" s="112">
        <f>rrcworking[[#This Row],[Gauge Sheet Prod Volume]]-rrcworking[[#This Row],[Oil Production]]</f>
        <v>0</v>
      </c>
      <c r="V165" s="143">
        <f>IF(ISERROR(INDEX(Table2[GAS],MATCH(rrcworking[[#This Row],[Magnum Wolfpak '#]],Table2[Rox Wolf'#],0))),0,INDEX(Table2[GAS],MATCH(rrcworking[[#This Row],[Magnum Wolfpak '#]],Table2[Rox Wolf'#],0)))</f>
        <v>13682</v>
      </c>
      <c r="W165" s="24"/>
      <c r="X165" s="135">
        <f>IF(rrcworking[[#This Row],[Pressure Base]]=14.73,rrcworking[[#This Row],[Gas Sales Statement Volume (MCF)]]*$R$2,rrcworking[[#This Row],[Gas Sales Statement Volume (MCF)]])</f>
        <v>13682</v>
      </c>
      <c r="Y165" s="85"/>
      <c r="Z165" s="60">
        <v>25</v>
      </c>
      <c r="AA165" s="143">
        <f>IF(ISERROR(INDEX(Table2[LEASE USE],MATCH(rrcworking[[#This Row],[Magnum Wolfpak '#]],Table2[Rox Wolf'#],0))),0,INDEX(Table2[LEASE USE],MATCH(rrcworking[[#This Row],[Magnum Wolfpak '#]],Table2[Rox Wolf'#],0)))</f>
        <v>575</v>
      </c>
      <c r="AB165" s="57">
        <f>rrcworking[[#This Row],[Disposition Volume (MCF) @ 14.65 MCF]]+rrcworking[[#This Row],[Lease Use (MCF)]]</f>
        <v>14257</v>
      </c>
      <c r="AC165" s="37"/>
      <c r="AD165" s="37" t="s">
        <v>1244</v>
      </c>
      <c r="AE165" s="187">
        <f>COUNTIF(FilterList,rrcworking[[#This Row],[Magnum Wolfpak '#]])</f>
        <v>0</v>
      </c>
      <c r="AF165" s="184"/>
      <c r="AG165" s="185"/>
      <c r="AH165" s="37"/>
      <c r="AI165" s="185"/>
      <c r="AJ165" s="37">
        <v>2</v>
      </c>
      <c r="AK165" s="37" t="s">
        <v>1141</v>
      </c>
      <c r="AL165" s="37" t="s">
        <v>1141</v>
      </c>
      <c r="AM165" s="37" t="s">
        <v>1183</v>
      </c>
      <c r="AN165" s="37" t="s">
        <v>1141</v>
      </c>
      <c r="AO165" s="37" t="s">
        <v>1178</v>
      </c>
      <c r="AP165" s="37" t="s">
        <v>1222</v>
      </c>
      <c r="AQ165" s="37"/>
    </row>
    <row r="166" spans="3:43" ht="14">
      <c r="C166" s="80" t="e">
        <v>#N/A</v>
      </c>
      <c r="D166" s="62" t="s">
        <v>300</v>
      </c>
      <c r="E166" s="131" t="s">
        <v>301</v>
      </c>
      <c r="F166" s="129" t="s">
        <v>302</v>
      </c>
      <c r="G166" s="120" t="s">
        <v>1091</v>
      </c>
      <c r="H166" s="18" t="s">
        <v>619</v>
      </c>
      <c r="I166" s="18" t="s">
        <v>59</v>
      </c>
      <c r="J166" s="19" t="s">
        <v>549</v>
      </c>
      <c r="K166" s="103">
        <v>201104</v>
      </c>
      <c r="L166" s="101">
        <f>INDEX(Table1[Production],MATCH(rrcworking[[#This Row],[RRC ID Number]],Table1[RRC Identifier],0))</f>
        <v>0</v>
      </c>
      <c r="M166" s="30">
        <f>INDEX(Table1[Formation Production],MATCH(rrcworking[[#This Row],[RRC ID Number]],Table1[RRC Identifier],0))</f>
        <v>0</v>
      </c>
      <c r="N166" s="31">
        <f>INDEX(Table1[On Hand End of Month],MATCH(rrcworking[[#This Row],[RRC ID Number]],Table1[RRC Identifier],0))</f>
        <v>0</v>
      </c>
      <c r="O166" s="106" t="b">
        <f t="shared" si="5"/>
        <v>1</v>
      </c>
      <c r="P166" s="181"/>
      <c r="Q166" s="127">
        <f>rrcworking[[#This Row],[Last Month Closing Stock]]</f>
        <v>0</v>
      </c>
      <c r="R166" s="181">
        <f>rrcworking[[#This Row],[Opening Oil Stock]]</f>
        <v>0</v>
      </c>
      <c r="S166" s="143">
        <f>IF(ISERROR(INDEX(Table2[OIL],MATCH(rrcworking[[#This Row],[Magnum Wolfpak '#]],Table2[Rox Wolf'#],0))),0,INDEX(Table2[OIL],MATCH(rrcworking[[#This Row],[Magnum Wolfpak '#]],Table2[Rox Wolf'#],0)))</f>
        <v>0</v>
      </c>
      <c r="T166" s="35">
        <f>rrcworking[[#This Row],[Closing Stock (Oil)]]+rrcworking[[#This Row],[Sales/Dispostion]]-rrcworking[[#This Row],[Opening Oil Stock]]</f>
        <v>0</v>
      </c>
      <c r="U166" s="112">
        <f>rrcworking[[#This Row],[Gauge Sheet Prod Volume]]-rrcworking[[#This Row],[Oil Production]]</f>
        <v>0</v>
      </c>
      <c r="V166" s="143">
        <f>IF(ISERROR(INDEX(Table2[GAS],MATCH(rrcworking[[#This Row],[Magnum Wolfpak '#]],Table2[Rox Wolf'#],0))),0,INDEX(Table2[GAS],MATCH(rrcworking[[#This Row],[Magnum Wolfpak '#]],Table2[Rox Wolf'#],0)))</f>
        <v>0</v>
      </c>
      <c r="W166" s="24"/>
      <c r="X166" s="135">
        <f>IF(rrcworking[[#This Row],[Pressure Base]]=14.73,rrcworking[[#This Row],[Gas Sales Statement Volume (MCF)]]*$R$2,rrcworking[[#This Row],[Gas Sales Statement Volume (MCF)]])</f>
        <v>0</v>
      </c>
      <c r="Y166" s="60"/>
      <c r="Z166" s="60"/>
      <c r="AA166" s="143">
        <f>IF(ISERROR(INDEX(Table2[LEASE USE],MATCH(rrcworking[[#This Row],[Magnum Wolfpak '#]],Table2[Rox Wolf'#],0))),0,INDEX(Table2[LEASE USE],MATCH(rrcworking[[#This Row],[Magnum Wolfpak '#]],Table2[Rox Wolf'#],0)))</f>
        <v>0</v>
      </c>
      <c r="AB166" s="57">
        <f>rrcworking[[#This Row],[Disposition Volume (MCF) @ 14.65 MCF]]+rrcworking[[#This Row],[Lease Use (MCF)]]</f>
        <v>0</v>
      </c>
      <c r="AC166" s="37"/>
      <c r="AD166" s="37"/>
      <c r="AE166" s="187">
        <f>COUNTIF(FilterList,rrcworking[[#This Row],[Magnum Wolfpak '#]])</f>
        <v>0</v>
      </c>
      <c r="AF166" s="184"/>
      <c r="AG166" s="185"/>
      <c r="AH166" s="37"/>
      <c r="AI166" s="37"/>
      <c r="AJ166" s="37"/>
      <c r="AK166" s="37"/>
      <c r="AL166" s="37"/>
      <c r="AM166" s="37"/>
      <c r="AN166" s="37"/>
      <c r="AO166" s="37"/>
      <c r="AP166" s="37"/>
      <c r="AQ166" s="37"/>
    </row>
    <row r="167" spans="3:43" ht="84">
      <c r="C167" s="80">
        <v>99140</v>
      </c>
      <c r="D167" s="62" t="s">
        <v>188</v>
      </c>
      <c r="E167" s="131" t="s">
        <v>189</v>
      </c>
      <c r="F167" s="129">
        <v>0</v>
      </c>
      <c r="G167" s="120" t="s">
        <v>1091</v>
      </c>
      <c r="H167" s="18" t="s">
        <v>619</v>
      </c>
      <c r="I167" s="18" t="s">
        <v>2</v>
      </c>
      <c r="J167" s="19" t="s">
        <v>483</v>
      </c>
      <c r="K167" s="103">
        <v>26501</v>
      </c>
      <c r="L167" s="101">
        <f>INDEX(Table1[Production],MATCH(rrcworking[[#This Row],[RRC ID Number]],Table1[RRC Identifier],0))</f>
        <v>0</v>
      </c>
      <c r="M167" s="30">
        <f>INDEX(Table1[Formation Production],MATCH(rrcworking[[#This Row],[RRC ID Number]],Table1[RRC Identifier],0))</f>
        <v>0</v>
      </c>
      <c r="N167" s="31">
        <f>INDEX(Table1[On Hand End of Month],MATCH(rrcworking[[#This Row],[RRC ID Number]],Table1[RRC Identifier],0))</f>
        <v>114</v>
      </c>
      <c r="O167" s="106" t="b">
        <f t="shared" si="5"/>
        <v>1</v>
      </c>
      <c r="P167" s="181">
        <v>0</v>
      </c>
      <c r="Q167" s="127">
        <f>rrcworking[[#This Row],[Last Month Closing Stock]]</f>
        <v>114</v>
      </c>
      <c r="R167" s="181">
        <v>114</v>
      </c>
      <c r="S167" s="143">
        <f>IF(ISERROR(INDEX(Table2[OIL],MATCH(rrcworking[[#This Row],[Magnum Wolfpak '#]],Table2[Rox Wolf'#],0))),0,INDEX(Table2[OIL],MATCH(rrcworking[[#This Row],[Magnum Wolfpak '#]],Table2[Rox Wolf'#],0)))</f>
        <v>0</v>
      </c>
      <c r="T167" s="35">
        <f>rrcworking[[#This Row],[Closing Stock (Oil)]]+rrcworking[[#This Row],[Sales/Dispostion]]-rrcworking[[#This Row],[Opening Oil Stock]]</f>
        <v>0</v>
      </c>
      <c r="U167" s="112">
        <f>rrcworking[[#This Row],[Gauge Sheet Prod Volume]]-rrcworking[[#This Row],[Oil Production]]</f>
        <v>0</v>
      </c>
      <c r="V167" s="143">
        <f>IF(ISERROR(INDEX(Table2[GAS],MATCH(rrcworking[[#This Row],[Magnum Wolfpak '#]],Table2[Rox Wolf'#],0))),0,INDEX(Table2[GAS],MATCH(rrcworking[[#This Row],[Magnum Wolfpak '#]],Table2[Rox Wolf'#],0)))</f>
        <v>0</v>
      </c>
      <c r="W167" s="24"/>
      <c r="X167" s="135">
        <f>IF(rrcworking[[#This Row],[Pressure Base]]=14.73,rrcworking[[#This Row],[Gas Sales Statement Volume (MCF)]]*$R$2,rrcworking[[#This Row],[Gas Sales Statement Volume (MCF)]])</f>
        <v>0</v>
      </c>
      <c r="Y167" s="60"/>
      <c r="Z167" s="60"/>
      <c r="AA167" s="143">
        <f>IF(ISERROR(INDEX(Table2[LEASE USE],MATCH(rrcworking[[#This Row],[Magnum Wolfpak '#]],Table2[Rox Wolf'#],0))),0,INDEX(Table2[LEASE USE],MATCH(rrcworking[[#This Row],[Magnum Wolfpak '#]],Table2[Rox Wolf'#],0)))</f>
        <v>0</v>
      </c>
      <c r="AB167" s="57">
        <f>rrcworking[[#This Row],[Disposition Volume (MCF) @ 14.65 MCF]]+rrcworking[[#This Row],[Lease Use (MCF)]]</f>
        <v>0</v>
      </c>
      <c r="AC167" s="37"/>
      <c r="AD167" s="37" t="s">
        <v>1147</v>
      </c>
      <c r="AE167" s="187">
        <f>COUNTIF(FilterList,rrcworking[[#This Row],[Magnum Wolfpak '#]])</f>
        <v>0</v>
      </c>
      <c r="AF167" s="184"/>
      <c r="AG167" s="185"/>
      <c r="AH167" s="37"/>
      <c r="AI167" s="37"/>
      <c r="AJ167" s="37"/>
      <c r="AK167" s="37"/>
      <c r="AL167" s="37"/>
      <c r="AM167" s="37"/>
      <c r="AN167" s="37"/>
      <c r="AO167" s="37"/>
      <c r="AP167" s="37" t="s">
        <v>1165</v>
      </c>
      <c r="AQ167" s="37" t="s">
        <v>1223</v>
      </c>
    </row>
    <row r="168" spans="3:43" ht="28">
      <c r="C168" s="80">
        <v>98979</v>
      </c>
      <c r="D168" s="62" t="s">
        <v>309</v>
      </c>
      <c r="E168" s="131" t="s">
        <v>310</v>
      </c>
      <c r="F168" s="129">
        <v>0</v>
      </c>
      <c r="G168" s="120" t="s">
        <v>1091</v>
      </c>
      <c r="H168" s="18" t="s">
        <v>620</v>
      </c>
      <c r="I168" s="18" t="s">
        <v>2</v>
      </c>
      <c r="J168" s="19" t="s">
        <v>554</v>
      </c>
      <c r="K168" s="103">
        <v>13355</v>
      </c>
      <c r="L168" s="101">
        <f>INDEX(Table1[Production],MATCH(rrcworking[[#This Row],[RRC ID Number]],Table1[RRC Identifier],0))</f>
        <v>50</v>
      </c>
      <c r="M168" s="30">
        <f>INDEX(Table1[Formation Production],MATCH(rrcworking[[#This Row],[RRC ID Number]],Table1[RRC Identifier],0))</f>
        <v>244</v>
      </c>
      <c r="N168" s="31">
        <f>INDEX(Table1[On Hand End of Month],MATCH(rrcworking[[#This Row],[RRC ID Number]],Table1[RRC Identifier],0))</f>
        <v>161</v>
      </c>
      <c r="O168" s="106" t="b">
        <f t="shared" si="5"/>
        <v>0</v>
      </c>
      <c r="P168" s="181">
        <v>67</v>
      </c>
      <c r="Q168" s="127">
        <f>rrcworking[[#This Row],[Last Month Closing Stock]]</f>
        <v>161</v>
      </c>
      <c r="R168" s="182">
        <v>45</v>
      </c>
      <c r="S168" s="143">
        <f>IF(ISERROR(INDEX(Table2[OIL],MATCH(rrcworking[[#This Row],[Magnum Wolfpak '#]],Table2[Rox Wolf'#],0))),0,INDEX(Table2[OIL],MATCH(rrcworking[[#This Row],[Magnum Wolfpak '#]],Table2[Rox Wolf'#],0)))</f>
        <v>181</v>
      </c>
      <c r="T168" s="35">
        <f>rrcworking[[#This Row],[Closing Stock (Oil)]]+rrcworking[[#This Row],[Sales/Dispostion]]-rrcworking[[#This Row],[Opening Oil Stock]]</f>
        <v>65</v>
      </c>
      <c r="U168" s="112">
        <f>rrcworking[[#This Row],[Gauge Sheet Prod Volume]]-rrcworking[[#This Row],[Oil Production]]</f>
        <v>2</v>
      </c>
      <c r="V168" s="143">
        <f>IF(ISERROR(INDEX(Table2[GAS],MATCH(rrcworking[[#This Row],[Magnum Wolfpak '#]],Table2[Rox Wolf'#],0))),0,INDEX(Table2[GAS],MATCH(rrcworking[[#This Row],[Magnum Wolfpak '#]],Table2[Rox Wolf'#],0)))</f>
        <v>392</v>
      </c>
      <c r="W168" s="24"/>
      <c r="X168" s="135">
        <f>IF(rrcworking[[#This Row],[Pressure Base]]=14.73,rrcworking[[#This Row],[Gas Sales Statement Volume (MCF)]]*$R$2,rrcworking[[#This Row],[Gas Sales Statement Volume (MCF)]])</f>
        <v>392</v>
      </c>
      <c r="Y168" s="60"/>
      <c r="Z168" s="60">
        <v>0</v>
      </c>
      <c r="AA168" s="143">
        <f>IF(ISERROR(INDEX(Table2[LEASE USE],MATCH(rrcworking[[#This Row],[Magnum Wolfpak '#]],Table2[Rox Wolf'#],0))),0,INDEX(Table2[LEASE USE],MATCH(rrcworking[[#This Row],[Magnum Wolfpak '#]],Table2[Rox Wolf'#],0)))</f>
        <v>0</v>
      </c>
      <c r="AB168" s="57">
        <f>rrcworking[[#This Row],[Disposition Volume (MCF) @ 14.65 MCF]]+rrcworking[[#This Row],[Lease Use (MCF)]]</f>
        <v>392</v>
      </c>
      <c r="AC168" s="37"/>
      <c r="AD168" s="37"/>
      <c r="AE168" s="187">
        <f>COUNTIF(FilterList,rrcworking[[#This Row],[Magnum Wolfpak '#]])</f>
        <v>0</v>
      </c>
      <c r="AF168" s="184"/>
      <c r="AG168" s="185"/>
      <c r="AH168" s="37"/>
      <c r="AI168" s="185"/>
      <c r="AJ168" s="37">
        <v>2</v>
      </c>
      <c r="AK168" s="37" t="s">
        <v>1167</v>
      </c>
      <c r="AL168" s="37" t="s">
        <v>1167</v>
      </c>
      <c r="AM168" s="37" t="s">
        <v>1198</v>
      </c>
      <c r="AN168" s="37" t="s">
        <v>1167</v>
      </c>
      <c r="AO168" s="37" t="s">
        <v>1173</v>
      </c>
      <c r="AP168" s="37" t="s">
        <v>1238</v>
      </c>
      <c r="AQ168" s="37"/>
    </row>
    <row r="169" spans="3:43" ht="14">
      <c r="C169" s="80" t="e">
        <v>#N/A</v>
      </c>
      <c r="D169" s="62" t="s">
        <v>95</v>
      </c>
      <c r="E169" s="131" t="s">
        <v>92</v>
      </c>
      <c r="F169" s="129">
        <v>5</v>
      </c>
      <c r="G169" s="120" t="s">
        <v>1091</v>
      </c>
      <c r="H169" s="18" t="s">
        <v>618</v>
      </c>
      <c r="I169" s="18" t="s">
        <v>59</v>
      </c>
      <c r="J169" s="19" t="s">
        <v>425</v>
      </c>
      <c r="K169" s="103">
        <v>145447</v>
      </c>
      <c r="L169" s="101">
        <f>INDEX(Table1[Production],MATCH(rrcworking[[#This Row],[RRC ID Number]],Table1[RRC Identifier],0))</f>
        <v>0</v>
      </c>
      <c r="M169" s="30">
        <f>INDEX(Table1[Formation Production],MATCH(rrcworking[[#This Row],[RRC ID Number]],Table1[RRC Identifier],0))</f>
        <v>0</v>
      </c>
      <c r="N169" s="31">
        <f>INDEX(Table1[On Hand End of Month],MATCH(rrcworking[[#This Row],[RRC ID Number]],Table1[RRC Identifier],0))</f>
        <v>0</v>
      </c>
      <c r="O169" s="106" t="b">
        <f t="shared" si="5"/>
        <v>1</v>
      </c>
      <c r="P169" s="181"/>
      <c r="Q169" s="127">
        <f>rrcworking[[#This Row],[Last Month Closing Stock]]</f>
        <v>0</v>
      </c>
      <c r="R169" s="181">
        <f>rrcworking[[#This Row],[Opening Oil Stock]]</f>
        <v>0</v>
      </c>
      <c r="S169" s="143">
        <f>IF(ISERROR(INDEX(Table2[OIL],MATCH(rrcworking[[#This Row],[Magnum Wolfpak '#]],Table2[Rox Wolf'#],0))),0,INDEX(Table2[OIL],MATCH(rrcworking[[#This Row],[Magnum Wolfpak '#]],Table2[Rox Wolf'#],0)))</f>
        <v>0</v>
      </c>
      <c r="T169" s="35">
        <f>rrcworking[[#This Row],[Closing Stock (Oil)]]+rrcworking[[#This Row],[Sales/Dispostion]]-rrcworking[[#This Row],[Opening Oil Stock]]</f>
        <v>0</v>
      </c>
      <c r="U169" s="112">
        <f>rrcworking[[#This Row],[Gauge Sheet Prod Volume]]-rrcworking[[#This Row],[Oil Production]]</f>
        <v>0</v>
      </c>
      <c r="V169" s="143">
        <f>IF(ISERROR(INDEX(Table2[GAS],MATCH(rrcworking[[#This Row],[Magnum Wolfpak '#]],Table2[Rox Wolf'#],0))),0,INDEX(Table2[GAS],MATCH(rrcworking[[#This Row],[Magnum Wolfpak '#]],Table2[Rox Wolf'#],0)))</f>
        <v>0</v>
      </c>
      <c r="W169" s="24"/>
      <c r="X169" s="135">
        <f>IF(rrcworking[[#This Row],[Pressure Base]]=14.73,rrcworking[[#This Row],[Gas Sales Statement Volume (MCF)]]*$R$2,rrcworking[[#This Row],[Gas Sales Statement Volume (MCF)]])</f>
        <v>0</v>
      </c>
      <c r="Y169" s="60"/>
      <c r="Z169" s="60"/>
      <c r="AA169" s="143">
        <f>IF(ISERROR(INDEX(Table2[LEASE USE],MATCH(rrcworking[[#This Row],[Magnum Wolfpak '#]],Table2[Rox Wolf'#],0))),0,INDEX(Table2[LEASE USE],MATCH(rrcworking[[#This Row],[Magnum Wolfpak '#]],Table2[Rox Wolf'#],0)))</f>
        <v>0</v>
      </c>
      <c r="AB169" s="57">
        <f>rrcworking[[#This Row],[Disposition Volume (MCF) @ 14.65 MCF]]+rrcworking[[#This Row],[Lease Use (MCF)]]</f>
        <v>0</v>
      </c>
      <c r="AC169" s="37"/>
      <c r="AD169" s="37"/>
      <c r="AE169" s="187">
        <f>COUNTIF(FilterList,rrcworking[[#This Row],[Magnum Wolfpak '#]])</f>
        <v>0</v>
      </c>
      <c r="AF169" s="184"/>
      <c r="AG169" s="185"/>
      <c r="AH169" s="37"/>
      <c r="AI169" s="37"/>
      <c r="AJ169" s="37"/>
      <c r="AK169" s="37"/>
      <c r="AL169" s="37"/>
      <c r="AM169" s="37"/>
      <c r="AN169" s="37"/>
      <c r="AO169" s="37"/>
      <c r="AP169" s="37"/>
      <c r="AQ169" s="37"/>
    </row>
    <row r="170" spans="3:43" ht="14">
      <c r="C170" s="80">
        <v>34001</v>
      </c>
      <c r="D170" s="62" t="s">
        <v>91</v>
      </c>
      <c r="E170" s="131" t="s">
        <v>92</v>
      </c>
      <c r="F170" s="129">
        <v>0</v>
      </c>
      <c r="G170" s="120" t="s">
        <v>1091</v>
      </c>
      <c r="H170" s="18" t="s">
        <v>618</v>
      </c>
      <c r="I170" s="18" t="s">
        <v>2</v>
      </c>
      <c r="J170" s="19" t="s">
        <v>423</v>
      </c>
      <c r="K170" s="103">
        <v>394</v>
      </c>
      <c r="L170" s="101">
        <f>INDEX(Table1[Production],MATCH(rrcworking[[#This Row],[RRC ID Number]],Table1[RRC Identifier],0))</f>
        <v>621</v>
      </c>
      <c r="M170" s="30">
        <f>INDEX(Table1[Formation Production],MATCH(rrcworking[[#This Row],[RRC ID Number]],Table1[RRC Identifier],0))</f>
        <v>0</v>
      </c>
      <c r="N170" s="31">
        <f>INDEX(Table1[On Hand End of Month],MATCH(rrcworking[[#This Row],[RRC ID Number]],Table1[RRC Identifier],0))</f>
        <v>536</v>
      </c>
      <c r="O170" s="106" t="b">
        <f t="shared" si="5"/>
        <v>0</v>
      </c>
      <c r="P170" s="181">
        <v>707</v>
      </c>
      <c r="Q170" s="127">
        <f>rrcworking[[#This Row],[Last Month Closing Stock]]</f>
        <v>536</v>
      </c>
      <c r="R170" s="182">
        <v>406</v>
      </c>
      <c r="S170" s="143">
        <f>IF(ISERROR(INDEX(Table2[OIL],MATCH(rrcworking[[#This Row],[Magnum Wolfpak '#]],Table2[Rox Wolf'#],0))),0,INDEX(Table2[OIL],MATCH(rrcworking[[#This Row],[Magnum Wolfpak '#]],Table2[Rox Wolf'#],0)))</f>
        <v>835</v>
      </c>
      <c r="T170" s="35">
        <f>rrcworking[[#This Row],[Closing Stock (Oil)]]+rrcworking[[#This Row],[Sales/Dispostion]]-rrcworking[[#This Row],[Opening Oil Stock]]</f>
        <v>705</v>
      </c>
      <c r="U170" s="112">
        <f>rrcworking[[#This Row],[Gauge Sheet Prod Volume]]-rrcworking[[#This Row],[Oil Production]]</f>
        <v>2</v>
      </c>
      <c r="V170" s="143">
        <f>IF(ISERROR(INDEX(Table2[GAS],MATCH(rrcworking[[#This Row],[Magnum Wolfpak '#]],Table2[Rox Wolf'#],0))),0,INDEX(Table2[GAS],MATCH(rrcworking[[#This Row],[Magnum Wolfpak '#]],Table2[Rox Wolf'#],0)))</f>
        <v>0</v>
      </c>
      <c r="W170" s="24"/>
      <c r="X170" s="135">
        <f>IF(rrcworking[[#This Row],[Pressure Base]]=14.73,rrcworking[[#This Row],[Gas Sales Statement Volume (MCF)]]*$R$2,rrcworking[[#This Row],[Gas Sales Statement Volume (MCF)]])</f>
        <v>0</v>
      </c>
      <c r="Y170" s="60"/>
      <c r="Z170" s="60"/>
      <c r="AA170" s="143">
        <f>IF(ISERROR(INDEX(Table2[LEASE USE],MATCH(rrcworking[[#This Row],[Magnum Wolfpak '#]],Table2[Rox Wolf'#],0))),0,INDEX(Table2[LEASE USE],MATCH(rrcworking[[#This Row],[Magnum Wolfpak '#]],Table2[Rox Wolf'#],0)))</f>
        <v>0</v>
      </c>
      <c r="AB170" s="57">
        <f>rrcworking[[#This Row],[Disposition Volume (MCF) @ 14.65 MCF]]+rrcworking[[#This Row],[Lease Use (MCF)]]</f>
        <v>0</v>
      </c>
      <c r="AC170" s="37"/>
      <c r="AD170" s="37"/>
      <c r="AE170" s="187">
        <f>COUNTIF(FilterList,rrcworking[[#This Row],[Magnum Wolfpak '#]])</f>
        <v>0</v>
      </c>
      <c r="AF170" s="184"/>
      <c r="AG170" s="185"/>
      <c r="AH170" s="37"/>
      <c r="AI170" s="185"/>
      <c r="AJ170" s="186"/>
      <c r="AK170" s="186"/>
      <c r="AL170" s="186"/>
      <c r="AM170" s="186"/>
      <c r="AN170" s="186"/>
      <c r="AO170" s="186"/>
      <c r="AP170" s="37" t="s">
        <v>1165</v>
      </c>
      <c r="AQ170" s="37" t="s">
        <v>1171</v>
      </c>
    </row>
    <row r="171" spans="3:43" ht="14">
      <c r="C171" s="80" t="e">
        <v>#N/A</v>
      </c>
      <c r="D171" s="62" t="s">
        <v>324</v>
      </c>
      <c r="E171" s="131" t="s">
        <v>325</v>
      </c>
      <c r="F171" s="129">
        <v>0</v>
      </c>
      <c r="G171" s="120" t="s">
        <v>1091</v>
      </c>
      <c r="H171" s="18" t="s">
        <v>620</v>
      </c>
      <c r="I171" s="18" t="s">
        <v>2</v>
      </c>
      <c r="J171" s="19" t="s">
        <v>561</v>
      </c>
      <c r="K171" s="103">
        <v>12863</v>
      </c>
      <c r="L171" s="101">
        <f>INDEX(Table1[Production],MATCH(rrcworking[[#This Row],[RRC ID Number]],Table1[RRC Identifier],0))</f>
        <v>0</v>
      </c>
      <c r="M171" s="30">
        <f>INDEX(Table1[Formation Production],MATCH(rrcworking[[#This Row],[RRC ID Number]],Table1[RRC Identifier],0))</f>
        <v>0</v>
      </c>
      <c r="N171" s="31">
        <f>INDEX(Table1[On Hand End of Month],MATCH(rrcworking[[#This Row],[RRC ID Number]],Table1[RRC Identifier],0))</f>
        <v>0</v>
      </c>
      <c r="O171" s="106" t="b">
        <f t="shared" si="5"/>
        <v>1</v>
      </c>
      <c r="P171" s="181"/>
      <c r="Q171" s="127">
        <f>rrcworking[[#This Row],[Last Month Closing Stock]]</f>
        <v>0</v>
      </c>
      <c r="R171" s="181">
        <f>rrcworking[[#This Row],[Opening Oil Stock]]</f>
        <v>0</v>
      </c>
      <c r="S171" s="143">
        <f>IF(ISERROR(INDEX(Table2[OIL],MATCH(rrcworking[[#This Row],[Magnum Wolfpak '#]],Table2[Rox Wolf'#],0))),0,INDEX(Table2[OIL],MATCH(rrcworking[[#This Row],[Magnum Wolfpak '#]],Table2[Rox Wolf'#],0)))</f>
        <v>0</v>
      </c>
      <c r="T171" s="35">
        <f>rrcworking[[#This Row],[Closing Stock (Oil)]]+rrcworking[[#This Row],[Sales/Dispostion]]-rrcworking[[#This Row],[Opening Oil Stock]]</f>
        <v>0</v>
      </c>
      <c r="U171" s="112">
        <f>rrcworking[[#This Row],[Gauge Sheet Prod Volume]]-rrcworking[[#This Row],[Oil Production]]</f>
        <v>0</v>
      </c>
      <c r="V171" s="143">
        <f>IF(ISERROR(INDEX(Table2[GAS],MATCH(rrcworking[[#This Row],[Magnum Wolfpak '#]],Table2[Rox Wolf'#],0))),0,INDEX(Table2[GAS],MATCH(rrcworking[[#This Row],[Magnum Wolfpak '#]],Table2[Rox Wolf'#],0)))</f>
        <v>0</v>
      </c>
      <c r="W171" s="24"/>
      <c r="X171" s="135">
        <f>IF(rrcworking[[#This Row],[Pressure Base]]=14.73,rrcworking[[#This Row],[Gas Sales Statement Volume (MCF)]]*$R$2,rrcworking[[#This Row],[Gas Sales Statement Volume (MCF)]])</f>
        <v>0</v>
      </c>
      <c r="Y171" s="60"/>
      <c r="Z171" s="60"/>
      <c r="AA171" s="143">
        <f>IF(ISERROR(INDEX(Table2[LEASE USE],MATCH(rrcworking[[#This Row],[Magnum Wolfpak '#]],Table2[Rox Wolf'#],0))),0,INDEX(Table2[LEASE USE],MATCH(rrcworking[[#This Row],[Magnum Wolfpak '#]],Table2[Rox Wolf'#],0)))</f>
        <v>0</v>
      </c>
      <c r="AB171" s="57">
        <f>rrcworking[[#This Row],[Disposition Volume (MCF) @ 14.65 MCF]]+rrcworking[[#This Row],[Lease Use (MCF)]]</f>
        <v>0</v>
      </c>
      <c r="AC171" s="37"/>
      <c r="AD171" s="37"/>
      <c r="AE171" s="187">
        <f>COUNTIF(FilterList,rrcworking[[#This Row],[Magnum Wolfpak '#]])</f>
        <v>0</v>
      </c>
      <c r="AF171" s="184"/>
      <c r="AG171" s="185"/>
      <c r="AH171" s="37"/>
      <c r="AI171" s="37"/>
      <c r="AJ171" s="37"/>
      <c r="AK171" s="37"/>
      <c r="AL171" s="37"/>
      <c r="AM171" s="37"/>
      <c r="AN171" s="37"/>
      <c r="AO171" s="37"/>
      <c r="AP171" s="37"/>
      <c r="AQ171" s="37"/>
    </row>
    <row r="172" spans="3:43" ht="14">
      <c r="C172" s="80" t="e">
        <v>#N/A</v>
      </c>
      <c r="D172" s="62" t="s">
        <v>136</v>
      </c>
      <c r="E172" s="131" t="s">
        <v>137</v>
      </c>
      <c r="F172" s="129">
        <v>0</v>
      </c>
      <c r="G172" s="120" t="s">
        <v>1091</v>
      </c>
      <c r="H172" s="18" t="s">
        <v>618</v>
      </c>
      <c r="I172" s="18" t="s">
        <v>2</v>
      </c>
      <c r="J172" s="19" t="s">
        <v>452</v>
      </c>
      <c r="K172" s="103">
        <v>10778</v>
      </c>
      <c r="L172" s="101">
        <f>INDEX(Table1[Production],MATCH(rrcworking[[#This Row],[RRC ID Number]],Table1[RRC Identifier],0))</f>
        <v>0</v>
      </c>
      <c r="M172" s="30">
        <f>INDEX(Table1[Formation Production],MATCH(rrcworking[[#This Row],[RRC ID Number]],Table1[RRC Identifier],0))</f>
        <v>0</v>
      </c>
      <c r="N172" s="31">
        <f>INDEX(Table1[On Hand End of Month],MATCH(rrcworking[[#This Row],[RRC ID Number]],Table1[RRC Identifier],0))</f>
        <v>0</v>
      </c>
      <c r="O172" s="106" t="b">
        <f t="shared" si="5"/>
        <v>1</v>
      </c>
      <c r="P172" s="181"/>
      <c r="Q172" s="127">
        <f>rrcworking[[#This Row],[Last Month Closing Stock]]</f>
        <v>0</v>
      </c>
      <c r="R172" s="181">
        <f>rrcworking[[#This Row],[Opening Oil Stock]]</f>
        <v>0</v>
      </c>
      <c r="S172" s="143">
        <f>IF(ISERROR(INDEX(Table2[OIL],MATCH(rrcworking[[#This Row],[Magnum Wolfpak '#]],Table2[Rox Wolf'#],0))),0,INDEX(Table2[OIL],MATCH(rrcworking[[#This Row],[Magnum Wolfpak '#]],Table2[Rox Wolf'#],0)))</f>
        <v>0</v>
      </c>
      <c r="T172" s="35">
        <f>rrcworking[[#This Row],[Closing Stock (Oil)]]+rrcworking[[#This Row],[Sales/Dispostion]]-rrcworking[[#This Row],[Opening Oil Stock]]</f>
        <v>0</v>
      </c>
      <c r="U172" s="112">
        <f>rrcworking[[#This Row],[Gauge Sheet Prod Volume]]-rrcworking[[#This Row],[Oil Production]]</f>
        <v>0</v>
      </c>
      <c r="V172" s="143">
        <f>IF(ISERROR(INDEX(Table2[GAS],MATCH(rrcworking[[#This Row],[Magnum Wolfpak '#]],Table2[Rox Wolf'#],0))),0,INDEX(Table2[GAS],MATCH(rrcworking[[#This Row],[Magnum Wolfpak '#]],Table2[Rox Wolf'#],0)))</f>
        <v>0</v>
      </c>
      <c r="W172" s="24"/>
      <c r="X172" s="135">
        <f>IF(rrcworking[[#This Row],[Pressure Base]]=14.73,rrcworking[[#This Row],[Gas Sales Statement Volume (MCF)]]*$R$2,rrcworking[[#This Row],[Gas Sales Statement Volume (MCF)]])</f>
        <v>0</v>
      </c>
      <c r="Y172" s="60"/>
      <c r="Z172" s="60"/>
      <c r="AA172" s="143">
        <f>IF(ISERROR(INDEX(Table2[LEASE USE],MATCH(rrcworking[[#This Row],[Magnum Wolfpak '#]],Table2[Rox Wolf'#],0))),0,INDEX(Table2[LEASE USE],MATCH(rrcworking[[#This Row],[Magnum Wolfpak '#]],Table2[Rox Wolf'#],0)))</f>
        <v>0</v>
      </c>
      <c r="AB172" s="57">
        <f>rrcworking[[#This Row],[Disposition Volume (MCF) @ 14.65 MCF]]+rrcworking[[#This Row],[Lease Use (MCF)]]</f>
        <v>0</v>
      </c>
      <c r="AC172" s="37"/>
      <c r="AD172" s="37"/>
      <c r="AE172" s="187">
        <f>COUNTIF(FilterList,rrcworking[[#This Row],[Magnum Wolfpak '#]])</f>
        <v>0</v>
      </c>
      <c r="AF172" s="184"/>
      <c r="AG172" s="185"/>
      <c r="AH172" s="37"/>
      <c r="AI172" s="37"/>
      <c r="AJ172" s="37"/>
      <c r="AK172" s="37"/>
      <c r="AL172" s="37"/>
      <c r="AM172" s="37"/>
      <c r="AN172" s="37"/>
      <c r="AO172" s="37"/>
      <c r="AP172" s="37"/>
      <c r="AQ172" s="37"/>
    </row>
    <row r="173" spans="3:43" ht="14">
      <c r="C173" s="80" t="e">
        <v>#N/A</v>
      </c>
      <c r="D173" s="62" t="s">
        <v>136</v>
      </c>
      <c r="E173" s="131" t="s">
        <v>138</v>
      </c>
      <c r="F173" s="129">
        <v>1</v>
      </c>
      <c r="G173" s="120" t="s">
        <v>1091</v>
      </c>
      <c r="H173" s="18" t="s">
        <v>618</v>
      </c>
      <c r="I173" s="18" t="s">
        <v>59</v>
      </c>
      <c r="J173" s="19" t="s">
        <v>451</v>
      </c>
      <c r="K173" s="103">
        <v>280417</v>
      </c>
      <c r="L173" s="101">
        <f>INDEX(Table1[Production],MATCH(rrcworking[[#This Row],[RRC ID Number]],Table1[RRC Identifier],0))</f>
        <v>0</v>
      </c>
      <c r="M173" s="30">
        <f>INDEX(Table1[Formation Production],MATCH(rrcworking[[#This Row],[RRC ID Number]],Table1[RRC Identifier],0))</f>
        <v>0</v>
      </c>
      <c r="N173" s="31">
        <f>INDEX(Table1[On Hand End of Month],MATCH(rrcworking[[#This Row],[RRC ID Number]],Table1[RRC Identifier],0))</f>
        <v>0</v>
      </c>
      <c r="O173" s="106" t="b">
        <f t="shared" si="5"/>
        <v>1</v>
      </c>
      <c r="P173" s="181"/>
      <c r="Q173" s="127">
        <f>rrcworking[[#This Row],[Last Month Closing Stock]]</f>
        <v>0</v>
      </c>
      <c r="R173" s="181">
        <f>rrcworking[[#This Row],[Opening Oil Stock]]</f>
        <v>0</v>
      </c>
      <c r="S173" s="143">
        <f>IF(ISERROR(INDEX(Table2[OIL],MATCH(rrcworking[[#This Row],[Magnum Wolfpak '#]],Table2[Rox Wolf'#],0))),0,INDEX(Table2[OIL],MATCH(rrcworking[[#This Row],[Magnum Wolfpak '#]],Table2[Rox Wolf'#],0)))</f>
        <v>0</v>
      </c>
      <c r="T173" s="35">
        <f>rrcworking[[#This Row],[Closing Stock (Oil)]]+rrcworking[[#This Row],[Sales/Dispostion]]-rrcworking[[#This Row],[Opening Oil Stock]]</f>
        <v>0</v>
      </c>
      <c r="U173" s="112">
        <f>rrcworking[[#This Row],[Gauge Sheet Prod Volume]]-rrcworking[[#This Row],[Oil Production]]</f>
        <v>0</v>
      </c>
      <c r="V173" s="143">
        <f>IF(ISERROR(INDEX(Table2[GAS],MATCH(rrcworking[[#This Row],[Magnum Wolfpak '#]],Table2[Rox Wolf'#],0))),0,INDEX(Table2[GAS],MATCH(rrcworking[[#This Row],[Magnum Wolfpak '#]],Table2[Rox Wolf'#],0)))</f>
        <v>0</v>
      </c>
      <c r="W173" s="24"/>
      <c r="X173" s="135">
        <f>IF(rrcworking[[#This Row],[Pressure Base]]=14.73,rrcworking[[#This Row],[Gas Sales Statement Volume (MCF)]]*$R$2,rrcworking[[#This Row],[Gas Sales Statement Volume (MCF)]])</f>
        <v>0</v>
      </c>
      <c r="Y173" s="60"/>
      <c r="Z173" s="60"/>
      <c r="AA173" s="143">
        <f>IF(ISERROR(INDEX(Table2[LEASE USE],MATCH(rrcworking[[#This Row],[Magnum Wolfpak '#]],Table2[Rox Wolf'#],0))),0,INDEX(Table2[LEASE USE],MATCH(rrcworking[[#This Row],[Magnum Wolfpak '#]],Table2[Rox Wolf'#],0)))</f>
        <v>0</v>
      </c>
      <c r="AB173" s="57">
        <f>rrcworking[[#This Row],[Disposition Volume (MCF) @ 14.65 MCF]]+rrcworking[[#This Row],[Lease Use (MCF)]]</f>
        <v>0</v>
      </c>
      <c r="AC173" s="37"/>
      <c r="AD173" s="37"/>
      <c r="AE173" s="187">
        <f>COUNTIF(FilterList,rrcworking[[#This Row],[Magnum Wolfpak '#]])</f>
        <v>0</v>
      </c>
      <c r="AF173" s="184"/>
      <c r="AG173" s="185"/>
      <c r="AH173" s="37"/>
      <c r="AI173" s="37"/>
      <c r="AJ173" s="37"/>
      <c r="AK173" s="37"/>
      <c r="AL173" s="37"/>
      <c r="AM173" s="37"/>
      <c r="AN173" s="37"/>
      <c r="AO173" s="37"/>
      <c r="AP173" s="37"/>
      <c r="AQ173" s="37"/>
    </row>
    <row r="174" spans="3:43" ht="14">
      <c r="C174" s="80" t="e">
        <v>#N/A</v>
      </c>
      <c r="D174" s="62" t="s">
        <v>237</v>
      </c>
      <c r="E174" s="131" t="s">
        <v>234</v>
      </c>
      <c r="F174" s="129">
        <v>3</v>
      </c>
      <c r="G174" s="120" t="s">
        <v>1091</v>
      </c>
      <c r="H174" s="18" t="s">
        <v>619</v>
      </c>
      <c r="I174" s="18" t="s">
        <v>59</v>
      </c>
      <c r="J174" s="19" t="s">
        <v>507</v>
      </c>
      <c r="K174" s="103">
        <v>38467</v>
      </c>
      <c r="L174" s="101">
        <f>INDEX(Table1[Production],MATCH(rrcworking[[#This Row],[RRC ID Number]],Table1[RRC Identifier],0))</f>
        <v>0</v>
      </c>
      <c r="M174" s="30">
        <f>INDEX(Table1[Formation Production],MATCH(rrcworking[[#This Row],[RRC ID Number]],Table1[RRC Identifier],0))</f>
        <v>0</v>
      </c>
      <c r="N174" s="31">
        <f>INDEX(Table1[On Hand End of Month],MATCH(rrcworking[[#This Row],[RRC ID Number]],Table1[RRC Identifier],0))</f>
        <v>0</v>
      </c>
      <c r="O174" s="106" t="b">
        <f t="shared" si="5"/>
        <v>1</v>
      </c>
      <c r="P174" s="181"/>
      <c r="Q174" s="127">
        <f>rrcworking[[#This Row],[Last Month Closing Stock]]</f>
        <v>0</v>
      </c>
      <c r="R174" s="181">
        <f>rrcworking[[#This Row],[Opening Oil Stock]]</f>
        <v>0</v>
      </c>
      <c r="S174" s="143">
        <f>IF(ISERROR(INDEX(Table2[OIL],MATCH(rrcworking[[#This Row],[Magnum Wolfpak '#]],Table2[Rox Wolf'#],0))),0,INDEX(Table2[OIL],MATCH(rrcworking[[#This Row],[Magnum Wolfpak '#]],Table2[Rox Wolf'#],0)))</f>
        <v>0</v>
      </c>
      <c r="T174" s="35">
        <f>rrcworking[[#This Row],[Closing Stock (Oil)]]+rrcworking[[#This Row],[Sales/Dispostion]]-rrcworking[[#This Row],[Opening Oil Stock]]</f>
        <v>0</v>
      </c>
      <c r="U174" s="112">
        <f>rrcworking[[#This Row],[Gauge Sheet Prod Volume]]-rrcworking[[#This Row],[Oil Production]]</f>
        <v>0</v>
      </c>
      <c r="V174" s="143">
        <f>IF(ISERROR(INDEX(Table2[GAS],MATCH(rrcworking[[#This Row],[Magnum Wolfpak '#]],Table2[Rox Wolf'#],0))),0,INDEX(Table2[GAS],MATCH(rrcworking[[#This Row],[Magnum Wolfpak '#]],Table2[Rox Wolf'#],0)))</f>
        <v>0</v>
      </c>
      <c r="W174" s="24"/>
      <c r="X174" s="135">
        <f>IF(rrcworking[[#This Row],[Pressure Base]]=14.73,rrcworking[[#This Row],[Gas Sales Statement Volume (MCF)]]*$R$2,rrcworking[[#This Row],[Gas Sales Statement Volume (MCF)]])</f>
        <v>0</v>
      </c>
      <c r="Y174" s="60"/>
      <c r="Z174" s="60"/>
      <c r="AA174" s="143">
        <f>IF(ISERROR(INDEX(Table2[LEASE USE],MATCH(rrcworking[[#This Row],[Magnum Wolfpak '#]],Table2[Rox Wolf'#],0))),0,INDEX(Table2[LEASE USE],MATCH(rrcworking[[#This Row],[Magnum Wolfpak '#]],Table2[Rox Wolf'#],0)))</f>
        <v>0</v>
      </c>
      <c r="AB174" s="57">
        <f>rrcworking[[#This Row],[Disposition Volume (MCF) @ 14.65 MCF]]+rrcworking[[#This Row],[Lease Use (MCF)]]</f>
        <v>0</v>
      </c>
      <c r="AC174" s="97"/>
      <c r="AD174" s="37"/>
      <c r="AE174" s="187">
        <f>COUNTIF(FilterList,rrcworking[[#This Row],[Magnum Wolfpak '#]])</f>
        <v>0</v>
      </c>
      <c r="AF174" s="184"/>
      <c r="AG174" s="185"/>
      <c r="AH174" s="37"/>
      <c r="AI174" s="37"/>
      <c r="AJ174" s="37"/>
      <c r="AK174" s="37"/>
      <c r="AL174" s="37"/>
      <c r="AM174" s="37"/>
      <c r="AN174" s="37"/>
      <c r="AO174" s="37"/>
      <c r="AP174" s="37"/>
      <c r="AQ174" s="37"/>
    </row>
    <row r="175" spans="3:43" ht="14">
      <c r="C175" s="81">
        <v>599109</v>
      </c>
      <c r="D175" s="62" t="s">
        <v>233</v>
      </c>
      <c r="E175" s="131" t="s">
        <v>234</v>
      </c>
      <c r="F175" s="129">
        <v>5</v>
      </c>
      <c r="G175" s="120" t="s">
        <v>1091</v>
      </c>
      <c r="H175" s="18" t="s">
        <v>619</v>
      </c>
      <c r="I175" s="18" t="s">
        <v>59</v>
      </c>
      <c r="J175" s="19" t="s">
        <v>505</v>
      </c>
      <c r="K175" s="103">
        <v>184787</v>
      </c>
      <c r="L175" s="101">
        <f>INDEX(Table1[Production],MATCH(rrcworking[[#This Row],[RRC ID Number]],Table1[RRC Identifier],0))</f>
        <v>156</v>
      </c>
      <c r="M175" s="30">
        <f>INDEX(Table1[Formation Production],MATCH(rrcworking[[#This Row],[RRC ID Number]],Table1[RRC Identifier],0))</f>
        <v>12042</v>
      </c>
      <c r="N175" s="31">
        <f>INDEX(Table1[On Hand End of Month],MATCH(rrcworking[[#This Row],[RRC ID Number]],Table1[RRC Identifier],0))</f>
        <v>124</v>
      </c>
      <c r="O175" s="106" t="b">
        <f t="shared" si="5"/>
        <v>0</v>
      </c>
      <c r="P175" s="181">
        <v>218</v>
      </c>
      <c r="Q175" s="127">
        <f>rrcworking[[#This Row],[Last Month Closing Stock]]</f>
        <v>124</v>
      </c>
      <c r="R175" s="182">
        <v>172</v>
      </c>
      <c r="S175" s="143">
        <f>IF(ISERROR(INDEX(Table2[OIL],MATCH(rrcworking[[#This Row],[Magnum Wolfpak '#]],Table2[Rox Wolf'#],0))),0,INDEX(Table2[OIL],MATCH(rrcworking[[#This Row],[Magnum Wolfpak '#]],Table2[Rox Wolf'#],0)))</f>
        <v>168</v>
      </c>
      <c r="T175" s="35">
        <f>rrcworking[[#This Row],[Closing Stock (Oil)]]+rrcworking[[#This Row],[Sales/Dispostion]]-rrcworking[[#This Row],[Opening Oil Stock]]</f>
        <v>216</v>
      </c>
      <c r="U175" s="112">
        <f>rrcworking[[#This Row],[Gauge Sheet Prod Volume]]-rrcworking[[#This Row],[Oil Production]]</f>
        <v>2</v>
      </c>
      <c r="V175" s="143">
        <f>IF(ISERROR(INDEX(Table2[GAS],MATCH(rrcworking[[#This Row],[Magnum Wolfpak '#]],Table2[Rox Wolf'#],0))),0,INDEX(Table2[GAS],MATCH(rrcworking[[#This Row],[Magnum Wolfpak '#]],Table2[Rox Wolf'#],0)))</f>
        <v>11501</v>
      </c>
      <c r="W175" s="24"/>
      <c r="X175" s="135">
        <f>IF(rrcworking[[#This Row],[Pressure Base]]=14.73,rrcworking[[#This Row],[Gas Sales Statement Volume (MCF)]]*$R$2,rrcworking[[#This Row],[Gas Sales Statement Volume (MCF)]])</f>
        <v>11501</v>
      </c>
      <c r="Y175" s="133"/>
      <c r="Z175" s="60">
        <v>15</v>
      </c>
      <c r="AA175" s="143">
        <f>IF(ISERROR(INDEX(Table2[LEASE USE],MATCH(rrcworking[[#This Row],[Magnum Wolfpak '#]],Table2[Rox Wolf'#],0))),0,INDEX(Table2[LEASE USE],MATCH(rrcworking[[#This Row],[Magnum Wolfpak '#]],Table2[Rox Wolf'#],0)))</f>
        <v>465</v>
      </c>
      <c r="AB175" s="57">
        <f>rrcworking[[#This Row],[Disposition Volume (MCF) @ 14.65 MCF]]+rrcworking[[#This Row],[Lease Use (MCF)]]</f>
        <v>11966</v>
      </c>
      <c r="AC175" s="37"/>
      <c r="AD175" s="37"/>
      <c r="AE175" s="187">
        <f>COUNTIF(FilterList,rrcworking[[#This Row],[Magnum Wolfpak '#]])</f>
        <v>0</v>
      </c>
      <c r="AF175" s="184"/>
      <c r="AG175" s="185"/>
      <c r="AH175" s="37"/>
      <c r="AI175" s="185"/>
      <c r="AJ175" s="186"/>
      <c r="AK175" s="186"/>
      <c r="AL175" s="186"/>
      <c r="AM175" s="186"/>
      <c r="AN175" s="186"/>
      <c r="AO175" s="186"/>
      <c r="AP175" s="37" t="s">
        <v>1165</v>
      </c>
      <c r="AQ175" s="37" t="s">
        <v>1200</v>
      </c>
    </row>
    <row r="176" spans="3:43" ht="168">
      <c r="C176" s="81">
        <v>699109</v>
      </c>
      <c r="D176" s="62" t="s">
        <v>235</v>
      </c>
      <c r="E176" s="131" t="s">
        <v>236</v>
      </c>
      <c r="F176" s="129">
        <v>23</v>
      </c>
      <c r="G176" s="120" t="s">
        <v>1091</v>
      </c>
      <c r="H176" s="18" t="s">
        <v>619</v>
      </c>
      <c r="I176" s="18" t="s">
        <v>59</v>
      </c>
      <c r="J176" s="19" t="s">
        <v>506</v>
      </c>
      <c r="K176" s="103">
        <v>113719</v>
      </c>
      <c r="L176" s="101">
        <f>INDEX(Table1[Production],MATCH(rrcworking[[#This Row],[RRC ID Number]],Table1[RRC Identifier],0))</f>
        <v>4</v>
      </c>
      <c r="M176" s="30">
        <f>INDEX(Table1[Formation Production],MATCH(rrcworking[[#This Row],[RRC ID Number]],Table1[RRC Identifier],0))</f>
        <v>1576</v>
      </c>
      <c r="N176" s="31">
        <f>INDEX(Table1[On Hand End of Month],MATCH(rrcworking[[#This Row],[RRC ID Number]],Table1[RRC Identifier],0))</f>
        <v>103</v>
      </c>
      <c r="O176" s="106" t="b">
        <f t="shared" si="5"/>
        <v>0</v>
      </c>
      <c r="P176" s="181">
        <v>17</v>
      </c>
      <c r="Q176" s="127">
        <f>rrcworking[[#This Row],[Last Month Closing Stock]]</f>
        <v>103</v>
      </c>
      <c r="R176" s="182">
        <v>110</v>
      </c>
      <c r="S176" s="143">
        <f>IF(ISERROR(INDEX(Table2[OIL],MATCH(rrcworking[[#This Row],[Magnum Wolfpak '#]],Table2[Rox Wolf'#],0))),0,INDEX(Table2[OIL],MATCH(rrcworking[[#This Row],[Magnum Wolfpak '#]],Table2[Rox Wolf'#],0)))</f>
        <v>0</v>
      </c>
      <c r="T176" s="35">
        <f>rrcworking[[#This Row],[Closing Stock (Oil)]]+rrcworking[[#This Row],[Sales/Dispostion]]-rrcworking[[#This Row],[Opening Oil Stock]]</f>
        <v>7</v>
      </c>
      <c r="U176" s="112">
        <f>rrcworking[[#This Row],[Gauge Sheet Prod Volume]]-rrcworking[[#This Row],[Oil Production]]</f>
        <v>10</v>
      </c>
      <c r="V176" s="143">
        <f>IF(ISERROR(INDEX(Table2[GAS],MATCH(rrcworking[[#This Row],[Magnum Wolfpak '#]],Table2[Rox Wolf'#],0))),0,INDEX(Table2[GAS],MATCH(rrcworking[[#This Row],[Magnum Wolfpak '#]],Table2[Rox Wolf'#],0)))</f>
        <v>1651</v>
      </c>
      <c r="W176" s="24"/>
      <c r="X176" s="135">
        <f>IF(rrcworking[[#This Row],[Pressure Base]]=14.73,rrcworking[[#This Row],[Gas Sales Statement Volume (MCF)]]*$R$2,rrcworking[[#This Row],[Gas Sales Statement Volume (MCF)]])</f>
        <v>1651</v>
      </c>
      <c r="Y176" s="60"/>
      <c r="Z176" s="60"/>
      <c r="AA176" s="143">
        <f>IF(ISERROR(INDEX(Table2[LEASE USE],MATCH(rrcworking[[#This Row],[Magnum Wolfpak '#]],Table2[Rox Wolf'#],0))),0,INDEX(Table2[LEASE USE],MATCH(rrcworking[[#This Row],[Magnum Wolfpak '#]],Table2[Rox Wolf'#],0)))</f>
        <v>0</v>
      </c>
      <c r="AB176" s="57">
        <f>rrcworking[[#This Row],[Disposition Volume (MCF) @ 14.65 MCF]]+rrcworking[[#This Row],[Lease Use (MCF)]]</f>
        <v>1651</v>
      </c>
      <c r="AC176" s="37"/>
      <c r="AD176" s="37" t="s">
        <v>1299</v>
      </c>
      <c r="AE176" s="187">
        <f>COUNTIF(FilterList,rrcworking[[#This Row],[Magnum Wolfpak '#]])</f>
        <v>0</v>
      </c>
      <c r="AF176" s="184"/>
      <c r="AG176" s="185"/>
      <c r="AH176" s="37"/>
      <c r="AI176" s="185"/>
      <c r="AJ176" s="186"/>
      <c r="AK176" s="186"/>
      <c r="AL176" s="186"/>
      <c r="AM176" s="186"/>
      <c r="AN176" s="186"/>
      <c r="AO176" s="186"/>
      <c r="AP176" s="37" t="s">
        <v>1165</v>
      </c>
      <c r="AQ176" s="37" t="s">
        <v>1200</v>
      </c>
    </row>
    <row r="177" spans="3:43" ht="14">
      <c r="C177" s="80" t="e">
        <v>#N/A</v>
      </c>
      <c r="D177" s="62" t="s">
        <v>141</v>
      </c>
      <c r="E177" s="131" t="s">
        <v>142</v>
      </c>
      <c r="F177" s="129">
        <v>1</v>
      </c>
      <c r="G177" s="120" t="s">
        <v>1091</v>
      </c>
      <c r="H177" s="18" t="s">
        <v>618</v>
      </c>
      <c r="I177" s="18" t="s">
        <v>59</v>
      </c>
      <c r="J177" s="19" t="s">
        <v>454</v>
      </c>
      <c r="K177" s="103">
        <v>53255</v>
      </c>
      <c r="L177" s="101">
        <f>INDEX(Table1[Production],MATCH(rrcworking[[#This Row],[RRC ID Number]],Table1[RRC Identifier],0))</f>
        <v>0</v>
      </c>
      <c r="M177" s="30">
        <f>INDEX(Table1[Formation Production],MATCH(rrcworking[[#This Row],[RRC ID Number]],Table1[RRC Identifier],0))</f>
        <v>0</v>
      </c>
      <c r="N177" s="31">
        <f>INDEX(Table1[On Hand End of Month],MATCH(rrcworking[[#This Row],[RRC ID Number]],Table1[RRC Identifier],0))</f>
        <v>0</v>
      </c>
      <c r="O177" s="106" t="b">
        <f t="shared" si="5"/>
        <v>1</v>
      </c>
      <c r="P177" s="181"/>
      <c r="Q177" s="127">
        <f>rrcworking[[#This Row],[Last Month Closing Stock]]</f>
        <v>0</v>
      </c>
      <c r="R177" s="181">
        <f>rrcworking[[#This Row],[Opening Oil Stock]]</f>
        <v>0</v>
      </c>
      <c r="S177" s="143">
        <f>IF(ISERROR(INDEX(Table2[OIL],MATCH(rrcworking[[#This Row],[Magnum Wolfpak '#]],Table2[Rox Wolf'#],0))),0,INDEX(Table2[OIL],MATCH(rrcworking[[#This Row],[Magnum Wolfpak '#]],Table2[Rox Wolf'#],0)))</f>
        <v>0</v>
      </c>
      <c r="T177" s="35">
        <f>rrcworking[[#This Row],[Closing Stock (Oil)]]+rrcworking[[#This Row],[Sales/Dispostion]]-rrcworking[[#This Row],[Opening Oil Stock]]</f>
        <v>0</v>
      </c>
      <c r="U177" s="112">
        <f>rrcworking[[#This Row],[Gauge Sheet Prod Volume]]-rrcworking[[#This Row],[Oil Production]]</f>
        <v>0</v>
      </c>
      <c r="V177" s="143">
        <f>IF(ISERROR(INDEX(Table2[GAS],MATCH(rrcworking[[#This Row],[Magnum Wolfpak '#]],Table2[Rox Wolf'#],0))),0,INDEX(Table2[GAS],MATCH(rrcworking[[#This Row],[Magnum Wolfpak '#]],Table2[Rox Wolf'#],0)))</f>
        <v>0</v>
      </c>
      <c r="W177" s="24"/>
      <c r="X177" s="135">
        <f>IF(rrcworking[[#This Row],[Pressure Base]]=14.73,rrcworking[[#This Row],[Gas Sales Statement Volume (MCF)]]*$R$2,rrcworking[[#This Row],[Gas Sales Statement Volume (MCF)]])</f>
        <v>0</v>
      </c>
      <c r="Y177" s="60"/>
      <c r="Z177" s="60"/>
      <c r="AA177" s="143">
        <f>IF(ISERROR(INDEX(Table2[LEASE USE],MATCH(rrcworking[[#This Row],[Magnum Wolfpak '#]],Table2[Rox Wolf'#],0))),0,INDEX(Table2[LEASE USE],MATCH(rrcworking[[#This Row],[Magnum Wolfpak '#]],Table2[Rox Wolf'#],0)))</f>
        <v>0</v>
      </c>
      <c r="AB177" s="57">
        <f>rrcworking[[#This Row],[Disposition Volume (MCF) @ 14.65 MCF]]+rrcworking[[#This Row],[Lease Use (MCF)]]</f>
        <v>0</v>
      </c>
      <c r="AC177" s="37"/>
      <c r="AD177" s="37"/>
      <c r="AE177" s="187">
        <f>COUNTIF(FilterList,rrcworking[[#This Row],[Magnum Wolfpak '#]])</f>
        <v>0</v>
      </c>
      <c r="AF177" s="184"/>
      <c r="AG177" s="185"/>
      <c r="AH177" s="37"/>
      <c r="AI177" s="37"/>
      <c r="AJ177" s="37"/>
      <c r="AK177" s="37"/>
      <c r="AL177" s="37"/>
      <c r="AM177" s="37"/>
      <c r="AN177" s="37"/>
      <c r="AO177" s="37"/>
      <c r="AP177" s="37"/>
      <c r="AQ177" s="37"/>
    </row>
    <row r="178" spans="3:43" ht="14">
      <c r="C178" s="80" t="e">
        <v>#N/A</v>
      </c>
      <c r="D178" s="62" t="s">
        <v>141</v>
      </c>
      <c r="E178" s="131" t="s">
        <v>142</v>
      </c>
      <c r="F178" s="129">
        <v>2</v>
      </c>
      <c r="G178" s="120" t="s">
        <v>1091</v>
      </c>
      <c r="H178" s="18" t="s">
        <v>618</v>
      </c>
      <c r="I178" s="18" t="s">
        <v>59</v>
      </c>
      <c r="J178" s="19" t="s">
        <v>455</v>
      </c>
      <c r="K178" s="103">
        <v>59225</v>
      </c>
      <c r="L178" s="101">
        <f>INDEX(Table1[Production],MATCH(rrcworking[[#This Row],[RRC ID Number]],Table1[RRC Identifier],0))</f>
        <v>0</v>
      </c>
      <c r="M178" s="30">
        <f>INDEX(Table1[Formation Production],MATCH(rrcworking[[#This Row],[RRC ID Number]],Table1[RRC Identifier],0))</f>
        <v>0</v>
      </c>
      <c r="N178" s="31">
        <f>INDEX(Table1[On Hand End of Month],MATCH(rrcworking[[#This Row],[RRC ID Number]],Table1[RRC Identifier],0))</f>
        <v>0</v>
      </c>
      <c r="O178" s="106" t="b">
        <f t="shared" si="5"/>
        <v>1</v>
      </c>
      <c r="P178" s="181"/>
      <c r="Q178" s="127">
        <f>rrcworking[[#This Row],[Last Month Closing Stock]]</f>
        <v>0</v>
      </c>
      <c r="R178" s="181">
        <f>rrcworking[[#This Row],[Opening Oil Stock]]</f>
        <v>0</v>
      </c>
      <c r="S178" s="143">
        <f>IF(ISERROR(INDEX(Table2[OIL],MATCH(rrcworking[[#This Row],[Magnum Wolfpak '#]],Table2[Rox Wolf'#],0))),0,INDEX(Table2[OIL],MATCH(rrcworking[[#This Row],[Magnum Wolfpak '#]],Table2[Rox Wolf'#],0)))</f>
        <v>0</v>
      </c>
      <c r="T178" s="35">
        <f>rrcworking[[#This Row],[Closing Stock (Oil)]]+rrcworking[[#This Row],[Sales/Dispostion]]-rrcworking[[#This Row],[Opening Oil Stock]]</f>
        <v>0</v>
      </c>
      <c r="U178" s="112">
        <f>rrcworking[[#This Row],[Gauge Sheet Prod Volume]]-rrcworking[[#This Row],[Oil Production]]</f>
        <v>0</v>
      </c>
      <c r="V178" s="143">
        <f>IF(ISERROR(INDEX(Table2[GAS],MATCH(rrcworking[[#This Row],[Magnum Wolfpak '#]],Table2[Rox Wolf'#],0))),0,INDEX(Table2[GAS],MATCH(rrcworking[[#This Row],[Magnum Wolfpak '#]],Table2[Rox Wolf'#],0)))</f>
        <v>0</v>
      </c>
      <c r="W178" s="24"/>
      <c r="X178" s="135">
        <f>IF(rrcworking[[#This Row],[Pressure Base]]=14.73,rrcworking[[#This Row],[Gas Sales Statement Volume (MCF)]]*$R$2,rrcworking[[#This Row],[Gas Sales Statement Volume (MCF)]])</f>
        <v>0</v>
      </c>
      <c r="Y178" s="60"/>
      <c r="Z178" s="60"/>
      <c r="AA178" s="143">
        <f>IF(ISERROR(INDEX(Table2[LEASE USE],MATCH(rrcworking[[#This Row],[Magnum Wolfpak '#]],Table2[Rox Wolf'#],0))),0,INDEX(Table2[LEASE USE],MATCH(rrcworking[[#This Row],[Magnum Wolfpak '#]],Table2[Rox Wolf'#],0)))</f>
        <v>0</v>
      </c>
      <c r="AB178" s="57">
        <f>rrcworking[[#This Row],[Disposition Volume (MCF) @ 14.65 MCF]]+rrcworking[[#This Row],[Lease Use (MCF)]]</f>
        <v>0</v>
      </c>
      <c r="AC178" s="37"/>
      <c r="AD178" s="37"/>
      <c r="AE178" s="187">
        <f>COUNTIF(FilterList,rrcworking[[#This Row],[Magnum Wolfpak '#]])</f>
        <v>0</v>
      </c>
      <c r="AF178" s="184"/>
      <c r="AG178" s="185"/>
      <c r="AH178" s="37"/>
      <c r="AI178" s="37"/>
      <c r="AJ178" s="37"/>
      <c r="AK178" s="37"/>
      <c r="AL178" s="37"/>
      <c r="AM178" s="37"/>
      <c r="AN178" s="37"/>
      <c r="AO178" s="37"/>
      <c r="AP178" s="37"/>
      <c r="AQ178" s="37"/>
    </row>
    <row r="179" spans="3:43" ht="14">
      <c r="C179" s="80" t="e">
        <v>#N/A</v>
      </c>
      <c r="D179" s="62" t="s">
        <v>139</v>
      </c>
      <c r="E179" s="131" t="s">
        <v>140</v>
      </c>
      <c r="F179" s="129">
        <v>1</v>
      </c>
      <c r="G179" s="120" t="s">
        <v>1091</v>
      </c>
      <c r="H179" s="18" t="s">
        <v>618</v>
      </c>
      <c r="I179" s="18" t="s">
        <v>59</v>
      </c>
      <c r="J179" s="19" t="s">
        <v>453</v>
      </c>
      <c r="K179" s="103">
        <v>138470</v>
      </c>
      <c r="L179" s="101">
        <f>INDEX(Table1[Production],MATCH(rrcworking[[#This Row],[RRC ID Number]],Table1[RRC Identifier],0))</f>
        <v>0</v>
      </c>
      <c r="M179" s="30">
        <f>INDEX(Table1[Formation Production],MATCH(rrcworking[[#This Row],[RRC ID Number]],Table1[RRC Identifier],0))</f>
        <v>0</v>
      </c>
      <c r="N179" s="31">
        <f>INDEX(Table1[On Hand End of Month],MATCH(rrcworking[[#This Row],[RRC ID Number]],Table1[RRC Identifier],0))</f>
        <v>0</v>
      </c>
      <c r="O179" s="106" t="b">
        <f t="shared" si="5"/>
        <v>1</v>
      </c>
      <c r="P179" s="181"/>
      <c r="Q179" s="127">
        <f>rrcworking[[#This Row],[Last Month Closing Stock]]</f>
        <v>0</v>
      </c>
      <c r="R179" s="181">
        <f>rrcworking[[#This Row],[Opening Oil Stock]]</f>
        <v>0</v>
      </c>
      <c r="S179" s="143">
        <f>IF(ISERROR(INDEX(Table2[OIL],MATCH(rrcworking[[#This Row],[Magnum Wolfpak '#]],Table2[Rox Wolf'#],0))),0,INDEX(Table2[OIL],MATCH(rrcworking[[#This Row],[Magnum Wolfpak '#]],Table2[Rox Wolf'#],0)))</f>
        <v>0</v>
      </c>
      <c r="T179" s="35">
        <f>rrcworking[[#This Row],[Closing Stock (Oil)]]+rrcworking[[#This Row],[Sales/Dispostion]]-rrcworking[[#This Row],[Opening Oil Stock]]</f>
        <v>0</v>
      </c>
      <c r="U179" s="112">
        <f>rrcworking[[#This Row],[Gauge Sheet Prod Volume]]-rrcworking[[#This Row],[Oil Production]]</f>
        <v>0</v>
      </c>
      <c r="V179" s="143">
        <f>IF(ISERROR(INDEX(Table2[GAS],MATCH(rrcworking[[#This Row],[Magnum Wolfpak '#]],Table2[Rox Wolf'#],0))),0,INDEX(Table2[GAS],MATCH(rrcworking[[#This Row],[Magnum Wolfpak '#]],Table2[Rox Wolf'#],0)))</f>
        <v>0</v>
      </c>
      <c r="W179" s="24"/>
      <c r="X179" s="135">
        <f>IF(rrcworking[[#This Row],[Pressure Base]]=14.73,rrcworking[[#This Row],[Gas Sales Statement Volume (MCF)]]*$R$2,rrcworking[[#This Row],[Gas Sales Statement Volume (MCF)]])</f>
        <v>0</v>
      </c>
      <c r="Y179" s="60"/>
      <c r="Z179" s="60"/>
      <c r="AA179" s="143">
        <f>IF(ISERROR(INDEX(Table2[LEASE USE],MATCH(rrcworking[[#This Row],[Magnum Wolfpak '#]],Table2[Rox Wolf'#],0))),0,INDEX(Table2[LEASE USE],MATCH(rrcworking[[#This Row],[Magnum Wolfpak '#]],Table2[Rox Wolf'#],0)))</f>
        <v>0</v>
      </c>
      <c r="AB179" s="57">
        <f>rrcworking[[#This Row],[Disposition Volume (MCF) @ 14.65 MCF]]+rrcworking[[#This Row],[Lease Use (MCF)]]</f>
        <v>0</v>
      </c>
      <c r="AC179" s="37"/>
      <c r="AD179" s="37"/>
      <c r="AE179" s="187">
        <f>COUNTIF(FilterList,rrcworking[[#This Row],[Magnum Wolfpak '#]])</f>
        <v>0</v>
      </c>
      <c r="AF179" s="184"/>
      <c r="AG179" s="185"/>
      <c r="AH179" s="37"/>
      <c r="AI179" s="37"/>
      <c r="AJ179" s="37"/>
      <c r="AK179" s="37"/>
      <c r="AL179" s="37"/>
      <c r="AM179" s="37"/>
      <c r="AN179" s="37"/>
      <c r="AO179" s="37"/>
      <c r="AP179" s="37"/>
      <c r="AQ179" s="37"/>
    </row>
    <row r="180" spans="3:43" ht="14">
      <c r="C180" s="80">
        <v>99270</v>
      </c>
      <c r="D180" s="62" t="s">
        <v>148</v>
      </c>
      <c r="E180" s="131" t="s">
        <v>149</v>
      </c>
      <c r="F180" s="129">
        <v>1</v>
      </c>
      <c r="G180" s="120" t="s">
        <v>1091</v>
      </c>
      <c r="H180" s="18" t="s">
        <v>619</v>
      </c>
      <c r="I180" s="18" t="s">
        <v>59</v>
      </c>
      <c r="J180" s="19" t="s">
        <v>459</v>
      </c>
      <c r="K180" s="103">
        <v>280236</v>
      </c>
      <c r="L180" s="101">
        <f>INDEX(Table1[Production],MATCH(rrcworking[[#This Row],[RRC ID Number]],Table1[RRC Identifier],0))</f>
        <v>1406</v>
      </c>
      <c r="M180" s="30">
        <f>INDEX(Table1[Formation Production],MATCH(rrcworking[[#This Row],[RRC ID Number]],Table1[RRC Identifier],0))</f>
        <v>74317</v>
      </c>
      <c r="N180" s="31">
        <f>INDEX(Table1[On Hand End of Month],MATCH(rrcworking[[#This Row],[RRC ID Number]],Table1[RRC Identifier],0))</f>
        <v>428</v>
      </c>
      <c r="O180" s="106" t="b">
        <f t="shared" si="5"/>
        <v>0</v>
      </c>
      <c r="P180" s="181">
        <v>1134</v>
      </c>
      <c r="Q180" s="127">
        <f>rrcworking[[#This Row],[Last Month Closing Stock]]</f>
        <v>428</v>
      </c>
      <c r="R180" s="182">
        <v>218</v>
      </c>
      <c r="S180" s="143">
        <f>IF(ISERROR(INDEX(Table2[OIL],MATCH(rrcworking[[#This Row],[Magnum Wolfpak '#]],Table2[Rox Wolf'#],0))),0,INDEX(Table2[OIL],MATCH(rrcworking[[#This Row],[Magnum Wolfpak '#]],Table2[Rox Wolf'#],0)))</f>
        <v>1340</v>
      </c>
      <c r="T180" s="35">
        <f>rrcworking[[#This Row],[Closing Stock (Oil)]]+rrcworking[[#This Row],[Sales/Dispostion]]-rrcworking[[#This Row],[Opening Oil Stock]]</f>
        <v>1130</v>
      </c>
      <c r="U180" s="112">
        <f>rrcworking[[#This Row],[Gauge Sheet Prod Volume]]-rrcworking[[#This Row],[Oil Production]]</f>
        <v>4</v>
      </c>
      <c r="V180" s="143">
        <f>IF(ISERROR(INDEX(Table2[GAS],MATCH(rrcworking[[#This Row],[Magnum Wolfpak '#]],Table2[Rox Wolf'#],0))),0,INDEX(Table2[GAS],MATCH(rrcworking[[#This Row],[Magnum Wolfpak '#]],Table2[Rox Wolf'#],0)))</f>
        <v>63375</v>
      </c>
      <c r="W180" s="24"/>
      <c r="X180" s="135">
        <f>IF(rrcworking[[#This Row],[Pressure Base]]=14.73,rrcworking[[#This Row],[Gas Sales Statement Volume (MCF)]]*$R$2,rrcworking[[#This Row],[Gas Sales Statement Volume (MCF)]])</f>
        <v>63375</v>
      </c>
      <c r="Y180" s="85"/>
      <c r="Z180" s="60">
        <v>21</v>
      </c>
      <c r="AA180" s="143">
        <f>IF(ISERROR(INDEX(Table2[LEASE USE],MATCH(rrcworking[[#This Row],[Magnum Wolfpak '#]],Table2[Rox Wolf'#],0))),0,INDEX(Table2[LEASE USE],MATCH(rrcworking[[#This Row],[Magnum Wolfpak '#]],Table2[Rox Wolf'#],0)))</f>
        <v>651</v>
      </c>
      <c r="AB180" s="57">
        <f>rrcworking[[#This Row],[Disposition Volume (MCF) @ 14.65 MCF]]+rrcworking[[#This Row],[Lease Use (MCF)]]</f>
        <v>64026</v>
      </c>
      <c r="AC180" s="37"/>
      <c r="AD180" s="37"/>
      <c r="AE180" s="187">
        <f>COUNTIF(FilterList,rrcworking[[#This Row],[Magnum Wolfpak '#]])</f>
        <v>0</v>
      </c>
      <c r="AF180" s="184"/>
      <c r="AG180" s="185"/>
      <c r="AH180" s="37"/>
      <c r="AI180" s="185"/>
      <c r="AJ180" s="37">
        <v>2</v>
      </c>
      <c r="AK180" s="37" t="s">
        <v>1141</v>
      </c>
      <c r="AL180" s="37" t="s">
        <v>1141</v>
      </c>
      <c r="AM180" s="37" t="s">
        <v>1183</v>
      </c>
      <c r="AN180" s="37" t="s">
        <v>1141</v>
      </c>
      <c r="AO180" s="37" t="s">
        <v>1178</v>
      </c>
      <c r="AP180" s="37" t="s">
        <v>1224</v>
      </c>
      <c r="AQ180" s="37"/>
    </row>
    <row r="181" spans="3:43" ht="14">
      <c r="C181" s="80">
        <v>99247</v>
      </c>
      <c r="D181" s="62" t="s">
        <v>144</v>
      </c>
      <c r="E181" s="131" t="s">
        <v>145</v>
      </c>
      <c r="F181" s="129">
        <v>0</v>
      </c>
      <c r="G181" s="120" t="s">
        <v>1091</v>
      </c>
      <c r="H181" s="18" t="s">
        <v>618</v>
      </c>
      <c r="I181" s="18" t="s">
        <v>2</v>
      </c>
      <c r="J181" s="19" t="s">
        <v>457</v>
      </c>
      <c r="K181" s="103">
        <v>10230</v>
      </c>
      <c r="L181" s="101">
        <f>INDEX(Table1[Production],MATCH(rrcworking[[#This Row],[RRC ID Number]],Table1[RRC Identifier],0))</f>
        <v>71</v>
      </c>
      <c r="M181" s="30">
        <f>INDEX(Table1[Formation Production],MATCH(rrcworking[[#This Row],[RRC ID Number]],Table1[RRC Identifier],0))</f>
        <v>0</v>
      </c>
      <c r="N181" s="31">
        <f>INDEX(Table1[On Hand End of Month],MATCH(rrcworking[[#This Row],[RRC ID Number]],Table1[RRC Identifier],0))</f>
        <v>286</v>
      </c>
      <c r="O181" s="106" t="b">
        <f t="shared" si="5"/>
        <v>0</v>
      </c>
      <c r="P181" s="181">
        <v>78</v>
      </c>
      <c r="Q181" s="127">
        <f>rrcworking[[#This Row],[Last Month Closing Stock]]</f>
        <v>286</v>
      </c>
      <c r="R181" s="182">
        <v>177</v>
      </c>
      <c r="S181" s="143">
        <f>IF(ISERROR(INDEX(Table2[OIL],MATCH(rrcworking[[#This Row],[Magnum Wolfpak '#]],Table2[Rox Wolf'#],0))),0,INDEX(Table2[OIL],MATCH(rrcworking[[#This Row],[Magnum Wolfpak '#]],Table2[Rox Wolf'#],0)))</f>
        <v>185</v>
      </c>
      <c r="T181" s="35">
        <f>rrcworking[[#This Row],[Closing Stock (Oil)]]+rrcworking[[#This Row],[Sales/Dispostion]]-rrcworking[[#This Row],[Opening Oil Stock]]</f>
        <v>76</v>
      </c>
      <c r="U181" s="112">
        <f>rrcworking[[#This Row],[Gauge Sheet Prod Volume]]-rrcworking[[#This Row],[Oil Production]]</f>
        <v>2</v>
      </c>
      <c r="V181" s="143">
        <f>IF(ISERROR(INDEX(Table2[GAS],MATCH(rrcworking[[#This Row],[Magnum Wolfpak '#]],Table2[Rox Wolf'#],0))),0,INDEX(Table2[GAS],MATCH(rrcworking[[#This Row],[Magnum Wolfpak '#]],Table2[Rox Wolf'#],0)))</f>
        <v>0</v>
      </c>
      <c r="W181" s="24"/>
      <c r="X181" s="135">
        <f>IF(rrcworking[[#This Row],[Pressure Base]]=14.73,rrcworking[[#This Row],[Gas Sales Statement Volume (MCF)]]*$R$2,rrcworking[[#This Row],[Gas Sales Statement Volume (MCF)]])</f>
        <v>0</v>
      </c>
      <c r="Y181" s="60"/>
      <c r="Z181" s="60"/>
      <c r="AA181" s="143">
        <f>IF(ISERROR(INDEX(Table2[LEASE USE],MATCH(rrcworking[[#This Row],[Magnum Wolfpak '#]],Table2[Rox Wolf'#],0))),0,INDEX(Table2[LEASE USE],MATCH(rrcworking[[#This Row],[Magnum Wolfpak '#]],Table2[Rox Wolf'#],0)))</f>
        <v>0</v>
      </c>
      <c r="AB181" s="57">
        <f>rrcworking[[#This Row],[Disposition Volume (MCF) @ 14.65 MCF]]+rrcworking[[#This Row],[Lease Use (MCF)]]</f>
        <v>0</v>
      </c>
      <c r="AC181" s="37"/>
      <c r="AD181" s="37"/>
      <c r="AE181" s="187">
        <f>COUNTIF(FilterList,rrcworking[[#This Row],[Magnum Wolfpak '#]])</f>
        <v>1</v>
      </c>
      <c r="AF181" s="184"/>
      <c r="AG181" s="185"/>
      <c r="AH181" s="37"/>
      <c r="AI181" s="185"/>
      <c r="AJ181" s="37">
        <v>2</v>
      </c>
      <c r="AK181" s="37" t="s">
        <v>1141</v>
      </c>
      <c r="AL181" s="37" t="s">
        <v>1167</v>
      </c>
      <c r="AM181" s="37" t="s">
        <v>1198</v>
      </c>
      <c r="AN181" s="37" t="s">
        <v>1141</v>
      </c>
      <c r="AO181" s="37" t="s">
        <v>1173</v>
      </c>
      <c r="AP181" s="37" t="s">
        <v>1225</v>
      </c>
      <c r="AQ181" s="37" t="s">
        <v>1246</v>
      </c>
    </row>
    <row r="182" spans="3:43" ht="56">
      <c r="C182" s="80">
        <v>98983</v>
      </c>
      <c r="D182" s="62" t="s">
        <v>393</v>
      </c>
      <c r="E182" s="131" t="s">
        <v>394</v>
      </c>
      <c r="F182" s="129">
        <v>0</v>
      </c>
      <c r="G182" s="120" t="s">
        <v>1091</v>
      </c>
      <c r="H182" s="21" t="s">
        <v>620</v>
      </c>
      <c r="I182" s="21" t="s">
        <v>2</v>
      </c>
      <c r="J182" s="19" t="s">
        <v>602</v>
      </c>
      <c r="K182" s="103">
        <v>12360</v>
      </c>
      <c r="L182" s="101">
        <f>INDEX(Table1[Production],MATCH(rrcworking[[#This Row],[RRC ID Number]],Table1[RRC Identifier],0))</f>
        <v>0</v>
      </c>
      <c r="M182" s="30">
        <f>INDEX(Table1[Formation Production],MATCH(rrcworking[[#This Row],[RRC ID Number]],Table1[RRC Identifier],0))</f>
        <v>0</v>
      </c>
      <c r="N182" s="31">
        <f>INDEX(Table1[On Hand End of Month],MATCH(rrcworking[[#This Row],[RRC ID Number]],Table1[RRC Identifier],0))</f>
        <v>63</v>
      </c>
      <c r="O182" s="106" t="b">
        <f t="shared" si="5"/>
        <v>1</v>
      </c>
      <c r="P182" s="181">
        <v>0</v>
      </c>
      <c r="Q182" s="127">
        <f>rrcworking[[#This Row],[Last Month Closing Stock]]</f>
        <v>63</v>
      </c>
      <c r="R182" s="181">
        <v>63</v>
      </c>
      <c r="S182" s="143">
        <f>IF(ISERROR(INDEX(Table2[OIL],MATCH(rrcworking[[#This Row],[Magnum Wolfpak '#]],Table2[Rox Wolf'#],0))),0,INDEX(Table2[OIL],MATCH(rrcworking[[#This Row],[Magnum Wolfpak '#]],Table2[Rox Wolf'#],0)))</f>
        <v>0</v>
      </c>
      <c r="T182" s="35">
        <f>rrcworking[[#This Row],[Closing Stock (Oil)]]+rrcworking[[#This Row],[Sales/Dispostion]]-rrcworking[[#This Row],[Opening Oil Stock]]</f>
        <v>0</v>
      </c>
      <c r="U182" s="112">
        <f>rrcworking[[#This Row],[Gauge Sheet Prod Volume]]-rrcworking[[#This Row],[Oil Production]]</f>
        <v>0</v>
      </c>
      <c r="V182" s="143">
        <f>IF(ISERROR(INDEX(Table2[GAS],MATCH(rrcworking[[#This Row],[Magnum Wolfpak '#]],Table2[Rox Wolf'#],0))),0,INDEX(Table2[GAS],MATCH(rrcworking[[#This Row],[Magnum Wolfpak '#]],Table2[Rox Wolf'#],0)))</f>
        <v>0</v>
      </c>
      <c r="W182" s="24"/>
      <c r="X182" s="135">
        <f>IF(rrcworking[[#This Row],[Pressure Base]]=14.73,rrcworking[[#This Row],[Gas Sales Statement Volume (MCF)]]*$R$2,rrcworking[[#This Row],[Gas Sales Statement Volume (MCF)]])</f>
        <v>0</v>
      </c>
      <c r="Y182" s="60"/>
      <c r="Z182" s="60"/>
      <c r="AA182" s="143">
        <f>IF(ISERROR(INDEX(Table2[LEASE USE],MATCH(rrcworking[[#This Row],[Magnum Wolfpak '#]],Table2[Rox Wolf'#],0))),0,INDEX(Table2[LEASE USE],MATCH(rrcworking[[#This Row],[Magnum Wolfpak '#]],Table2[Rox Wolf'#],0)))</f>
        <v>0</v>
      </c>
      <c r="AB182" s="57">
        <f>rrcworking[[#This Row],[Disposition Volume (MCF) @ 14.65 MCF]]+rrcworking[[#This Row],[Lease Use (MCF)]]</f>
        <v>0</v>
      </c>
      <c r="AC182" s="37"/>
      <c r="AD182" s="37" t="s">
        <v>1109</v>
      </c>
      <c r="AE182" s="187">
        <f>COUNTIF(FilterList,rrcworking[[#This Row],[Magnum Wolfpak '#]])</f>
        <v>0</v>
      </c>
      <c r="AF182" s="184"/>
      <c r="AG182" s="185"/>
      <c r="AH182" s="37"/>
      <c r="AI182" s="37"/>
      <c r="AJ182" s="37">
        <v>2</v>
      </c>
      <c r="AK182" s="37" t="s">
        <v>1167</v>
      </c>
      <c r="AL182" s="37" t="s">
        <v>1167</v>
      </c>
      <c r="AM182" s="37" t="s">
        <v>1198</v>
      </c>
      <c r="AN182" s="37" t="s">
        <v>1167</v>
      </c>
      <c r="AO182" s="37" t="s">
        <v>1173</v>
      </c>
      <c r="AP182" s="37" t="s">
        <v>1238</v>
      </c>
      <c r="AQ182" s="37"/>
    </row>
    <row r="183" spans="3:43" ht="28">
      <c r="C183" s="80">
        <v>99161</v>
      </c>
      <c r="D183" s="62" t="s">
        <v>220</v>
      </c>
      <c r="E183" s="131" t="s">
        <v>221</v>
      </c>
      <c r="F183" s="129">
        <v>6</v>
      </c>
      <c r="G183" s="120" t="s">
        <v>1091</v>
      </c>
      <c r="H183" s="18" t="s">
        <v>619</v>
      </c>
      <c r="I183" s="225" t="s">
        <v>2</v>
      </c>
      <c r="J183" s="204" t="s">
        <v>1250</v>
      </c>
      <c r="K183" s="103">
        <v>2817</v>
      </c>
      <c r="L183" s="101">
        <f>INDEX(Table1[Production],MATCH(rrcworking[[#This Row],[RRC ID Number]],Table1[RRC Identifier],0))</f>
        <v>248</v>
      </c>
      <c r="M183" s="30">
        <f>INDEX(Table1[Formation Production],MATCH(rrcworking[[#This Row],[RRC ID Number]],Table1[RRC Identifier],0))</f>
        <v>112</v>
      </c>
      <c r="N183" s="31">
        <f>INDEX(Table1[On Hand End of Month],MATCH(rrcworking[[#This Row],[RRC ID Number]],Table1[RRC Identifier],0))</f>
        <v>208</v>
      </c>
      <c r="O183" s="106" t="b">
        <f t="shared" si="5"/>
        <v>0</v>
      </c>
      <c r="P183" s="181">
        <v>289</v>
      </c>
      <c r="Q183" s="127">
        <f>rrcworking[[#This Row],[Last Month Closing Stock]]</f>
        <v>208</v>
      </c>
      <c r="R183" s="182">
        <v>159</v>
      </c>
      <c r="S183" s="143">
        <f>IF(ISERROR(INDEX(Table2[OIL],MATCH(rrcworking[[#This Row],[Magnum Wolfpak '#]],Table2[Rox Wolf'#],0))),0,INDEX(Table2[OIL],MATCH(rrcworking[[#This Row],[Magnum Wolfpak '#]],Table2[Rox Wolf'#],0)))</f>
        <v>334</v>
      </c>
      <c r="T183" s="35">
        <f>rrcworking[[#This Row],[Closing Stock (Oil)]]+rrcworking[[#This Row],[Sales/Dispostion]]-rrcworking[[#This Row],[Opening Oil Stock]]</f>
        <v>285</v>
      </c>
      <c r="U183" s="112">
        <f>rrcworking[[#This Row],[Gauge Sheet Prod Volume]]-rrcworking[[#This Row],[Oil Production]]</f>
        <v>4</v>
      </c>
      <c r="V183" s="143">
        <f>IF(ISERROR(INDEX(Table2[GAS],MATCH(rrcworking[[#This Row],[Magnum Wolfpak '#]],Table2[Rox Wolf'#],0))),0,INDEX(Table2[GAS],MATCH(rrcworking[[#This Row],[Magnum Wolfpak '#]],Table2[Rox Wolf'#],0)))</f>
        <v>0</v>
      </c>
      <c r="W183" s="24"/>
      <c r="X183" s="135">
        <f>IF(rrcworking[[#This Row],[Pressure Base]]=14.73,rrcworking[[#This Row],[Gas Sales Statement Volume (MCF)]]*$R$2,rrcworking[[#This Row],[Gas Sales Statement Volume (MCF)]])</f>
        <v>0</v>
      </c>
      <c r="Y183" s="60"/>
      <c r="Z183" s="60">
        <v>4</v>
      </c>
      <c r="AA183" s="143">
        <f>IF(ISERROR(INDEX(Table2[LEASE USE],MATCH(rrcworking[[#This Row],[Magnum Wolfpak '#]],Table2[Rox Wolf'#],0))),0,INDEX(Table2[LEASE USE],MATCH(rrcworking[[#This Row],[Magnum Wolfpak '#]],Table2[Rox Wolf'#],0)))</f>
        <v>0</v>
      </c>
      <c r="AB183" s="57">
        <f>rrcworking[[#This Row],[Disposition Volume (MCF) @ 14.65 MCF]]+rrcworking[[#This Row],[Lease Use (MCF)]]</f>
        <v>0</v>
      </c>
      <c r="AC183" s="37"/>
      <c r="AD183" s="37" t="s">
        <v>1249</v>
      </c>
      <c r="AE183" s="187">
        <f>COUNTIF(FilterList,rrcworking[[#This Row],[Magnum Wolfpak '#]])</f>
        <v>0</v>
      </c>
      <c r="AF183" s="184"/>
      <c r="AG183" s="185"/>
      <c r="AH183" s="37"/>
      <c r="AI183" s="185"/>
      <c r="AJ183" s="37">
        <v>2</v>
      </c>
      <c r="AK183" s="37" t="s">
        <v>1167</v>
      </c>
      <c r="AL183" s="37" t="s">
        <v>1167</v>
      </c>
      <c r="AM183" s="37" t="s">
        <v>1226</v>
      </c>
      <c r="AN183" s="37" t="s">
        <v>1167</v>
      </c>
      <c r="AO183" s="37" t="s">
        <v>1227</v>
      </c>
      <c r="AP183" s="37" t="s">
        <v>1237</v>
      </c>
      <c r="AQ183" s="37" t="s">
        <v>1228</v>
      </c>
    </row>
    <row r="184" spans="3:43" ht="98">
      <c r="C184" s="82">
        <v>48001</v>
      </c>
      <c r="D184" s="98" t="s">
        <v>246</v>
      </c>
      <c r="E184" s="132" t="s">
        <v>247</v>
      </c>
      <c r="F184" s="128">
        <v>0</v>
      </c>
      <c r="G184" s="121" t="s">
        <v>1091</v>
      </c>
      <c r="H184" s="125" t="s">
        <v>619</v>
      </c>
      <c r="I184" s="125" t="s">
        <v>2</v>
      </c>
      <c r="J184" s="83" t="s">
        <v>512</v>
      </c>
      <c r="K184" s="104">
        <v>24861</v>
      </c>
      <c r="L184" s="99">
        <f>INDEX(Table1[Production],MATCH(rrcworking[[#This Row],[RRC ID Number]],Table1[RRC Identifier],0))</f>
        <v>0</v>
      </c>
      <c r="M184" s="99">
        <f>INDEX(Table1[Formation Production],MATCH(rrcworking[[#This Row],[RRC ID Number]],Table1[RRC Identifier],0))</f>
        <v>8</v>
      </c>
      <c r="N184" s="99">
        <f>INDEX(Table1[On Hand End of Month],MATCH(rrcworking[[#This Row],[RRC ID Number]],Table1[RRC Identifier],0))</f>
        <v>45</v>
      </c>
      <c r="O184" s="107" t="b">
        <f t="shared" si="5"/>
        <v>0</v>
      </c>
      <c r="P184" s="181">
        <v>0</v>
      </c>
      <c r="Q184" s="127">
        <f>rrcworking[[#This Row],[Last Month Closing Stock]]</f>
        <v>45</v>
      </c>
      <c r="R184" s="181">
        <v>45</v>
      </c>
      <c r="S184" s="143">
        <f>IF(ISERROR(INDEX(Table2[OIL],MATCH(rrcworking[[#This Row],[Magnum Wolfpak '#]],Table2[Rox Wolf'#],0))),0,INDEX(Table2[OIL],MATCH(rrcworking[[#This Row],[Magnum Wolfpak '#]],Table2[Rox Wolf'#],0)))</f>
        <v>0</v>
      </c>
      <c r="T184" s="100">
        <f>rrcworking[[#This Row],[Closing Stock (Oil)]]+rrcworking[[#This Row],[Sales/Dispostion]]-rrcworking[[#This Row],[Opening Oil Stock]]</f>
        <v>0</v>
      </c>
      <c r="U184" s="113">
        <f>rrcworking[[#This Row],[Gauge Sheet Prod Volume]]-rrcworking[[#This Row],[Oil Production]]</f>
        <v>0</v>
      </c>
      <c r="V184" s="143">
        <f>IF(ISERROR(INDEX(Table2[GAS],MATCH(rrcworking[[#This Row],[Magnum Wolfpak '#]],Table2[Rox Wolf'#],0))),0,INDEX(Table2[GAS],MATCH(rrcworking[[#This Row],[Magnum Wolfpak '#]],Table2[Rox Wolf'#],0)))</f>
        <v>187</v>
      </c>
      <c r="W184" s="84"/>
      <c r="X184" s="136">
        <f>IF(rrcworking[[#This Row],[Pressure Base]]=14.73,rrcworking[[#This Row],[Gas Sales Statement Volume (MCF)]]*$R$2,rrcworking[[#This Row],[Gas Sales Statement Volume (MCF)]])</f>
        <v>187</v>
      </c>
      <c r="Y184" s="85"/>
      <c r="Z184" s="85">
        <v>1</v>
      </c>
      <c r="AA184" s="143">
        <f>IF(ISERROR(INDEX(Table2[LEASE USE],MATCH(rrcworking[[#This Row],[Magnum Wolfpak '#]],Table2[Rox Wolf'#],0))),0,INDEX(Table2[LEASE USE],MATCH(rrcworking[[#This Row],[Magnum Wolfpak '#]],Table2[Rox Wolf'#],0)))</f>
        <v>31</v>
      </c>
      <c r="AB184" s="86">
        <f>rrcworking[[#This Row],[Disposition Volume (MCF) @ 14.65 MCF]]+rrcworking[[#This Row],[Lease Use (MCF)]]</f>
        <v>218</v>
      </c>
      <c r="AC184" s="87"/>
      <c r="AD184" s="37" t="s">
        <v>1278</v>
      </c>
      <c r="AE184" s="188">
        <f>COUNTIF(FilterList,rrcworking[[#This Row],[Magnum Wolfpak '#]])</f>
        <v>0</v>
      </c>
      <c r="AF184" s="184"/>
      <c r="AG184" s="185"/>
      <c r="AH184" s="37"/>
      <c r="AI184" s="37"/>
      <c r="AJ184" s="37">
        <v>1</v>
      </c>
      <c r="AK184" s="37" t="s">
        <v>1167</v>
      </c>
      <c r="AL184" s="37" t="s">
        <v>1167</v>
      </c>
      <c r="AM184" s="37" t="s">
        <v>1272</v>
      </c>
      <c r="AN184" s="37" t="s">
        <v>1141</v>
      </c>
      <c r="AO184" s="37" t="s">
        <v>1273</v>
      </c>
      <c r="AP184" s="37" t="s">
        <v>1216</v>
      </c>
      <c r="AQ184" s="37" t="s">
        <v>1274</v>
      </c>
    </row>
    <row r="185" spans="3:43" ht="14">
      <c r="C185" s="80" t="e">
        <v>#N/A</v>
      </c>
      <c r="D185" s="62" t="s">
        <v>173</v>
      </c>
      <c r="E185" s="131" t="s">
        <v>174</v>
      </c>
      <c r="F185" s="129">
        <v>0</v>
      </c>
      <c r="G185" s="120" t="s">
        <v>1091</v>
      </c>
      <c r="H185" s="18" t="s">
        <v>619</v>
      </c>
      <c r="I185" s="18" t="s">
        <v>2</v>
      </c>
      <c r="J185" s="19" t="s">
        <v>474</v>
      </c>
      <c r="K185" s="103">
        <v>15252</v>
      </c>
      <c r="L185" s="101">
        <f>INDEX(Table1[Production],MATCH(rrcworking[[#This Row],[RRC ID Number]],Table1[RRC Identifier],0))</f>
        <v>0</v>
      </c>
      <c r="M185" s="30">
        <f>INDEX(Table1[Formation Production],MATCH(rrcworking[[#This Row],[RRC ID Number]],Table1[RRC Identifier],0))</f>
        <v>0</v>
      </c>
      <c r="N185" s="31">
        <f>INDEX(Table1[On Hand End of Month],MATCH(rrcworking[[#This Row],[RRC ID Number]],Table1[RRC Identifier],0))</f>
        <v>0</v>
      </c>
      <c r="O185" s="106" t="b">
        <f t="shared" si="5"/>
        <v>1</v>
      </c>
      <c r="P185" s="181"/>
      <c r="Q185" s="127">
        <f>rrcworking[[#This Row],[Last Month Closing Stock]]</f>
        <v>0</v>
      </c>
      <c r="R185" s="181">
        <f>rrcworking[[#This Row],[Opening Oil Stock]]</f>
        <v>0</v>
      </c>
      <c r="S185" s="143">
        <f>IF(ISERROR(INDEX(Table2[OIL],MATCH(rrcworking[[#This Row],[Magnum Wolfpak '#]],Table2[Rox Wolf'#],0))),0,INDEX(Table2[OIL],MATCH(rrcworking[[#This Row],[Magnum Wolfpak '#]],Table2[Rox Wolf'#],0)))</f>
        <v>0</v>
      </c>
      <c r="T185" s="35">
        <f>rrcworking[[#This Row],[Closing Stock (Oil)]]+rrcworking[[#This Row],[Sales/Dispostion]]-rrcworking[[#This Row],[Opening Oil Stock]]</f>
        <v>0</v>
      </c>
      <c r="U185" s="112">
        <f>rrcworking[[#This Row],[Gauge Sheet Prod Volume]]-rrcworking[[#This Row],[Oil Production]]</f>
        <v>0</v>
      </c>
      <c r="V185" s="143">
        <f>IF(ISERROR(INDEX(Table2[GAS],MATCH(rrcworking[[#This Row],[Magnum Wolfpak '#]],Table2[Rox Wolf'#],0))),0,INDEX(Table2[GAS],MATCH(rrcworking[[#This Row],[Magnum Wolfpak '#]],Table2[Rox Wolf'#],0)))</f>
        <v>0</v>
      </c>
      <c r="W185" s="24"/>
      <c r="X185" s="135">
        <f>IF(rrcworking[[#This Row],[Pressure Base]]=14.73,rrcworking[[#This Row],[Gas Sales Statement Volume (MCF)]]*$R$2,rrcworking[[#This Row],[Gas Sales Statement Volume (MCF)]])</f>
        <v>0</v>
      </c>
      <c r="Y185" s="60"/>
      <c r="Z185" s="60"/>
      <c r="AA185" s="143">
        <f>IF(ISERROR(INDEX(Table2[LEASE USE],MATCH(rrcworking[[#This Row],[Magnum Wolfpak '#]],Table2[Rox Wolf'#],0))),0,INDEX(Table2[LEASE USE],MATCH(rrcworking[[#This Row],[Magnum Wolfpak '#]],Table2[Rox Wolf'#],0)))</f>
        <v>0</v>
      </c>
      <c r="AB185" s="57">
        <f>rrcworking[[#This Row],[Disposition Volume (MCF) @ 14.65 MCF]]+rrcworking[[#This Row],[Lease Use (MCF)]]</f>
        <v>0</v>
      </c>
      <c r="AC185" s="37"/>
      <c r="AD185" s="37"/>
      <c r="AE185" s="187">
        <f>COUNTIF(FilterList,rrcworking[[#This Row],[Magnum Wolfpak '#]])</f>
        <v>0</v>
      </c>
      <c r="AF185" s="184"/>
      <c r="AG185" s="185"/>
      <c r="AH185" s="37"/>
      <c r="AI185" s="37"/>
      <c r="AJ185" s="37"/>
      <c r="AK185" s="37"/>
      <c r="AL185" s="37"/>
      <c r="AM185" s="37"/>
      <c r="AN185" s="37"/>
      <c r="AO185" s="37"/>
      <c r="AP185" s="37"/>
      <c r="AQ185" s="37"/>
    </row>
    <row r="186" spans="3:43" ht="14">
      <c r="C186" s="80" t="e">
        <v>#N/A</v>
      </c>
      <c r="D186" s="62" t="s">
        <v>369</v>
      </c>
      <c r="E186" s="131" t="s">
        <v>370</v>
      </c>
      <c r="F186" s="129">
        <v>1</v>
      </c>
      <c r="G186" s="120" t="s">
        <v>1091</v>
      </c>
      <c r="H186" s="18" t="s">
        <v>620</v>
      </c>
      <c r="I186" s="18" t="s">
        <v>59</v>
      </c>
      <c r="J186" s="19" t="s">
        <v>588</v>
      </c>
      <c r="K186" s="103">
        <v>120373</v>
      </c>
      <c r="L186" s="101">
        <f>INDEX(Table1[Production],MATCH(rrcworking[[#This Row],[RRC ID Number]],Table1[RRC Identifier],0))</f>
        <v>0</v>
      </c>
      <c r="M186" s="30">
        <f>INDEX(Table1[Formation Production],MATCH(rrcworking[[#This Row],[RRC ID Number]],Table1[RRC Identifier],0))</f>
        <v>0</v>
      </c>
      <c r="N186" s="31">
        <f>INDEX(Table1[On Hand End of Month],MATCH(rrcworking[[#This Row],[RRC ID Number]],Table1[RRC Identifier],0))</f>
        <v>0</v>
      </c>
      <c r="O186" s="106" t="b">
        <f t="shared" si="5"/>
        <v>1</v>
      </c>
      <c r="P186" s="181"/>
      <c r="Q186" s="127">
        <f>rrcworking[[#This Row],[Last Month Closing Stock]]</f>
        <v>0</v>
      </c>
      <c r="R186" s="181">
        <f>rrcworking[[#This Row],[Opening Oil Stock]]</f>
        <v>0</v>
      </c>
      <c r="S186" s="143">
        <f>IF(ISERROR(INDEX(Table2[OIL],MATCH(rrcworking[[#This Row],[Magnum Wolfpak '#]],Table2[Rox Wolf'#],0))),0,INDEX(Table2[OIL],MATCH(rrcworking[[#This Row],[Magnum Wolfpak '#]],Table2[Rox Wolf'#],0)))</f>
        <v>0</v>
      </c>
      <c r="T186" s="35">
        <f>rrcworking[[#This Row],[Closing Stock (Oil)]]+rrcworking[[#This Row],[Sales/Dispostion]]-rrcworking[[#This Row],[Opening Oil Stock]]</f>
        <v>0</v>
      </c>
      <c r="U186" s="112">
        <f>rrcworking[[#This Row],[Gauge Sheet Prod Volume]]-rrcworking[[#This Row],[Oil Production]]</f>
        <v>0</v>
      </c>
      <c r="V186" s="143">
        <f>IF(ISERROR(INDEX(Table2[GAS],MATCH(rrcworking[[#This Row],[Magnum Wolfpak '#]],Table2[Rox Wolf'#],0))),0,INDEX(Table2[GAS],MATCH(rrcworking[[#This Row],[Magnum Wolfpak '#]],Table2[Rox Wolf'#],0)))</f>
        <v>0</v>
      </c>
      <c r="W186" s="24"/>
      <c r="X186" s="135">
        <f>IF(rrcworking[[#This Row],[Pressure Base]]=14.73,rrcworking[[#This Row],[Gas Sales Statement Volume (MCF)]]*$R$2,rrcworking[[#This Row],[Gas Sales Statement Volume (MCF)]])</f>
        <v>0</v>
      </c>
      <c r="Y186" s="60"/>
      <c r="Z186" s="60"/>
      <c r="AA186" s="143">
        <f>IF(ISERROR(INDEX(Table2[LEASE USE],MATCH(rrcworking[[#This Row],[Magnum Wolfpak '#]],Table2[Rox Wolf'#],0))),0,INDEX(Table2[LEASE USE],MATCH(rrcworking[[#This Row],[Magnum Wolfpak '#]],Table2[Rox Wolf'#],0)))</f>
        <v>0</v>
      </c>
      <c r="AB186" s="57">
        <f>rrcworking[[#This Row],[Disposition Volume (MCF) @ 14.65 MCF]]+rrcworking[[#This Row],[Lease Use (MCF)]]</f>
        <v>0</v>
      </c>
      <c r="AC186" s="37"/>
      <c r="AD186" s="37"/>
      <c r="AE186" s="187">
        <f>COUNTIF(FilterList,rrcworking[[#This Row],[Magnum Wolfpak '#]])</f>
        <v>0</v>
      </c>
      <c r="AF186" s="184"/>
      <c r="AG186" s="185"/>
      <c r="AH186" s="37"/>
      <c r="AI186" s="37"/>
      <c r="AJ186" s="37"/>
      <c r="AK186" s="37"/>
      <c r="AL186" s="37"/>
      <c r="AM186" s="37"/>
      <c r="AN186" s="37"/>
      <c r="AO186" s="37"/>
      <c r="AP186" s="37"/>
      <c r="AQ186" s="37"/>
    </row>
    <row r="187" spans="3:43" ht="42">
      <c r="C187" s="80">
        <v>99305</v>
      </c>
      <c r="D187" s="62" t="s">
        <v>202</v>
      </c>
      <c r="E187" s="131" t="s">
        <v>203</v>
      </c>
      <c r="F187" s="129">
        <v>0</v>
      </c>
      <c r="G187" s="120" t="s">
        <v>1091</v>
      </c>
      <c r="H187" s="18" t="s">
        <v>619</v>
      </c>
      <c r="I187" s="18" t="s">
        <v>2</v>
      </c>
      <c r="J187" s="19" t="s">
        <v>491</v>
      </c>
      <c r="K187" s="103">
        <v>27401</v>
      </c>
      <c r="L187" s="101">
        <f>INDEX(Table1[Production],MATCH(rrcworking[[#This Row],[RRC ID Number]],Table1[RRC Identifier],0))</f>
        <v>36</v>
      </c>
      <c r="M187" s="30">
        <f>INDEX(Table1[Formation Production],MATCH(rrcworking[[#This Row],[RRC ID Number]],Table1[RRC Identifier],0))</f>
        <v>0</v>
      </c>
      <c r="N187" s="31">
        <f>INDEX(Table1[On Hand End of Month],MATCH(rrcworking[[#This Row],[RRC ID Number]],Table1[RRC Identifier],0))</f>
        <v>390</v>
      </c>
      <c r="O187" s="106" t="b">
        <f t="shared" si="5"/>
        <v>0</v>
      </c>
      <c r="P187" s="181">
        <v>22</v>
      </c>
      <c r="Q187" s="127">
        <f>rrcworking[[#This Row],[Last Month Closing Stock]]</f>
        <v>390</v>
      </c>
      <c r="R187" s="182">
        <v>410</v>
      </c>
      <c r="S187" s="143">
        <f>IF(ISERROR(INDEX(Table2[OIL],MATCH(rrcworking[[#This Row],[Magnum Wolfpak '#]],Table2[Rox Wolf'#],0))),0,INDEX(Table2[OIL],MATCH(rrcworking[[#This Row],[Magnum Wolfpak '#]],Table2[Rox Wolf'#],0)))</f>
        <v>0</v>
      </c>
      <c r="T187" s="35">
        <f>rrcworking[[#This Row],[Closing Stock (Oil)]]+rrcworking[[#This Row],[Sales/Dispostion]]-rrcworking[[#This Row],[Opening Oil Stock]]</f>
        <v>20</v>
      </c>
      <c r="U187" s="112">
        <f>rrcworking[[#This Row],[Gauge Sheet Prod Volume]]-rrcworking[[#This Row],[Oil Production]]</f>
        <v>2</v>
      </c>
      <c r="V187" s="143">
        <f>IF(ISERROR(INDEX(Table2[GAS],MATCH(rrcworking[[#This Row],[Magnum Wolfpak '#]],Table2[Rox Wolf'#],0))),0,INDEX(Table2[GAS],MATCH(rrcworking[[#This Row],[Magnum Wolfpak '#]],Table2[Rox Wolf'#],0)))</f>
        <v>0</v>
      </c>
      <c r="W187" s="24"/>
      <c r="X187" s="135">
        <f>IF(rrcworking[[#This Row],[Pressure Base]]=14.73,rrcworking[[#This Row],[Gas Sales Statement Volume (MCF)]]*$R$2,rrcworking[[#This Row],[Gas Sales Statement Volume (MCF)]])</f>
        <v>0</v>
      </c>
      <c r="Y187" s="60"/>
      <c r="Z187" s="60"/>
      <c r="AA187" s="143">
        <f>IF(ISERROR(INDEX(Table2[LEASE USE],MATCH(rrcworking[[#This Row],[Magnum Wolfpak '#]],Table2[Rox Wolf'#],0))),0,INDEX(Table2[LEASE USE],MATCH(rrcworking[[#This Row],[Magnum Wolfpak '#]],Table2[Rox Wolf'#],0)))</f>
        <v>0</v>
      </c>
      <c r="AB187" s="57">
        <f>rrcworking[[#This Row],[Disposition Volume (MCF) @ 14.65 MCF]]+rrcworking[[#This Row],[Lease Use (MCF)]]</f>
        <v>0</v>
      </c>
      <c r="AC187" s="37"/>
      <c r="AD187" s="37" t="s">
        <v>1257</v>
      </c>
      <c r="AE187" s="187">
        <f>COUNTIF(FilterList,rrcworking[[#This Row],[Magnum Wolfpak '#]])</f>
        <v>0</v>
      </c>
      <c r="AF187" s="184"/>
      <c r="AG187" s="185"/>
      <c r="AH187" s="37"/>
      <c r="AI187" s="185"/>
      <c r="AJ187" s="37">
        <v>3</v>
      </c>
      <c r="AK187" s="37" t="s">
        <v>1141</v>
      </c>
      <c r="AL187" s="37" t="s">
        <v>1167</v>
      </c>
      <c r="AM187" s="37" t="s">
        <v>1256</v>
      </c>
      <c r="AN187" s="37" t="s">
        <v>1167</v>
      </c>
      <c r="AO187" s="37" t="s">
        <v>1178</v>
      </c>
      <c r="AP187" s="37" t="s">
        <v>1239</v>
      </c>
      <c r="AQ187" s="37"/>
    </row>
    <row r="188" spans="3:43" ht="14">
      <c r="C188" s="80">
        <v>99302</v>
      </c>
      <c r="D188" s="62" t="s">
        <v>199</v>
      </c>
      <c r="E188" s="131" t="s">
        <v>200</v>
      </c>
      <c r="F188" s="129">
        <v>0</v>
      </c>
      <c r="G188" s="120" t="s">
        <v>1091</v>
      </c>
      <c r="H188" s="18" t="s">
        <v>619</v>
      </c>
      <c r="I188" s="18" t="s">
        <v>2</v>
      </c>
      <c r="J188" s="19" t="s">
        <v>489</v>
      </c>
      <c r="K188" s="103">
        <v>27495</v>
      </c>
      <c r="L188" s="101">
        <f>INDEX(Table1[Production],MATCH(rrcworking[[#This Row],[RRC ID Number]],Table1[RRC Identifier],0))</f>
        <v>29</v>
      </c>
      <c r="M188" s="30">
        <f>INDEX(Table1[Formation Production],MATCH(rrcworking[[#This Row],[RRC ID Number]],Table1[RRC Identifier],0))</f>
        <v>0</v>
      </c>
      <c r="N188" s="31">
        <f>INDEX(Table1[On Hand End of Month],MATCH(rrcworking[[#This Row],[RRC ID Number]],Table1[RRC Identifier],0))</f>
        <v>249</v>
      </c>
      <c r="O188" s="106" t="b">
        <f t="shared" si="5"/>
        <v>0</v>
      </c>
      <c r="P188" s="181">
        <v>2</v>
      </c>
      <c r="Q188" s="127">
        <f>rrcworking[[#This Row],[Last Month Closing Stock]]</f>
        <v>249</v>
      </c>
      <c r="R188" s="181">
        <v>250</v>
      </c>
      <c r="S188" s="143">
        <f>IF(ISERROR(INDEX(Table2[OIL],MATCH(rrcworking[[#This Row],[Magnum Wolfpak '#]],Table2[Rox Wolf'#],0))),0,INDEX(Table2[OIL],MATCH(rrcworking[[#This Row],[Magnum Wolfpak '#]],Table2[Rox Wolf'#],0)))</f>
        <v>0</v>
      </c>
      <c r="T188" s="35">
        <f>rrcworking[[#This Row],[Closing Stock (Oil)]]+rrcworking[[#This Row],[Sales/Dispostion]]-rrcworking[[#This Row],[Opening Oil Stock]]</f>
        <v>1</v>
      </c>
      <c r="U188" s="112">
        <f>rrcworking[[#This Row],[Gauge Sheet Prod Volume]]-rrcworking[[#This Row],[Oil Production]]</f>
        <v>1</v>
      </c>
      <c r="V188" s="143">
        <f>IF(ISERROR(INDEX(Table2[GAS],MATCH(rrcworking[[#This Row],[Magnum Wolfpak '#]],Table2[Rox Wolf'#],0))),0,INDEX(Table2[GAS],MATCH(rrcworking[[#This Row],[Magnum Wolfpak '#]],Table2[Rox Wolf'#],0)))</f>
        <v>0</v>
      </c>
      <c r="W188" s="24"/>
      <c r="X188" s="135">
        <f>IF(rrcworking[[#This Row],[Pressure Base]]=14.73,rrcworking[[#This Row],[Gas Sales Statement Volume (MCF)]]*$R$2,rrcworking[[#This Row],[Gas Sales Statement Volume (MCF)]])</f>
        <v>0</v>
      </c>
      <c r="Y188" s="60"/>
      <c r="Z188" s="60"/>
      <c r="AA188" s="143">
        <f>IF(ISERROR(INDEX(Table2[LEASE USE],MATCH(rrcworking[[#This Row],[Magnum Wolfpak '#]],Table2[Rox Wolf'#],0))),0,INDEX(Table2[LEASE USE],MATCH(rrcworking[[#This Row],[Magnum Wolfpak '#]],Table2[Rox Wolf'#],0)))</f>
        <v>0</v>
      </c>
      <c r="AB188" s="57">
        <f>rrcworking[[#This Row],[Disposition Volume (MCF) @ 14.65 MCF]]+rrcworking[[#This Row],[Lease Use (MCF)]]</f>
        <v>0</v>
      </c>
      <c r="AC188" s="37"/>
      <c r="AD188" s="37"/>
      <c r="AE188" s="187">
        <f>COUNTIF(FilterList,rrcworking[[#This Row],[Magnum Wolfpak '#]])</f>
        <v>0</v>
      </c>
      <c r="AF188" s="184"/>
      <c r="AG188" s="185"/>
      <c r="AH188" s="37"/>
      <c r="AI188" s="37"/>
      <c r="AJ188" s="37">
        <v>1</v>
      </c>
      <c r="AK188" s="37" t="s">
        <v>1141</v>
      </c>
      <c r="AL188" s="37" t="s">
        <v>1167</v>
      </c>
      <c r="AM188" s="37" t="s">
        <v>1177</v>
      </c>
      <c r="AN188" s="37" t="s">
        <v>1167</v>
      </c>
      <c r="AO188" s="37" t="s">
        <v>1178</v>
      </c>
      <c r="AP188" s="37" t="s">
        <v>1240</v>
      </c>
      <c r="AQ188" s="37" t="s">
        <v>1180</v>
      </c>
    </row>
    <row r="189" spans="3:43" ht="98">
      <c r="C189" s="80">
        <v>99296</v>
      </c>
      <c r="D189" s="62" t="s">
        <v>199</v>
      </c>
      <c r="E189" s="131" t="s">
        <v>201</v>
      </c>
      <c r="F189" s="129">
        <v>0</v>
      </c>
      <c r="G189" s="120" t="s">
        <v>1091</v>
      </c>
      <c r="H189" s="18" t="s">
        <v>619</v>
      </c>
      <c r="I189" s="18" t="s">
        <v>2</v>
      </c>
      <c r="J189" s="19" t="s">
        <v>490</v>
      </c>
      <c r="K189" s="103">
        <v>27499</v>
      </c>
      <c r="L189" s="101">
        <f>INDEX(Table1[Production],MATCH(rrcworking[[#This Row],[RRC ID Number]],Table1[RRC Identifier],0))</f>
        <v>13</v>
      </c>
      <c r="M189" s="30">
        <f>INDEX(Table1[Formation Production],MATCH(rrcworking[[#This Row],[RRC ID Number]],Table1[RRC Identifier],0))</f>
        <v>0</v>
      </c>
      <c r="N189" s="31">
        <f>INDEX(Table1[On Hand End of Month],MATCH(rrcworking[[#This Row],[RRC ID Number]],Table1[RRC Identifier],0))</f>
        <v>282</v>
      </c>
      <c r="O189" s="106" t="b">
        <f t="shared" si="5"/>
        <v>0</v>
      </c>
      <c r="P189" s="181">
        <v>15</v>
      </c>
      <c r="Q189" s="127">
        <f>rrcworking[[#This Row],[Last Month Closing Stock]]</f>
        <v>282</v>
      </c>
      <c r="R189" s="182">
        <v>297</v>
      </c>
      <c r="S189" s="143">
        <f>IF(ISERROR(INDEX(Table2[OIL],MATCH(rrcworking[[#This Row],[Magnum Wolfpak '#]],Table2[Rox Wolf'#],0))),0,INDEX(Table2[OIL],MATCH(rrcworking[[#This Row],[Magnum Wolfpak '#]],Table2[Rox Wolf'#],0)))</f>
        <v>0</v>
      </c>
      <c r="T189" s="35">
        <f>rrcworking[[#This Row],[Closing Stock (Oil)]]+rrcworking[[#This Row],[Sales/Dispostion]]-rrcworking[[#This Row],[Opening Oil Stock]]</f>
        <v>15</v>
      </c>
      <c r="U189" s="112">
        <f>rrcworking[[#This Row],[Gauge Sheet Prod Volume]]-rrcworking[[#This Row],[Oil Production]]</f>
        <v>0</v>
      </c>
      <c r="V189" s="143">
        <f>IF(ISERROR(INDEX(Table2[GAS],MATCH(rrcworking[[#This Row],[Magnum Wolfpak '#]],Table2[Rox Wolf'#],0))),0,INDEX(Table2[GAS],MATCH(rrcworking[[#This Row],[Magnum Wolfpak '#]],Table2[Rox Wolf'#],0)))</f>
        <v>0</v>
      </c>
      <c r="W189" s="24"/>
      <c r="X189" s="135">
        <f>IF(rrcworking[[#This Row],[Pressure Base]]=14.73,rrcworking[[#This Row],[Gas Sales Statement Volume (MCF)]]*$R$2,rrcworking[[#This Row],[Gas Sales Statement Volume (MCF)]])</f>
        <v>0</v>
      </c>
      <c r="Y189" s="60"/>
      <c r="Z189" s="60"/>
      <c r="AA189" s="143">
        <f>IF(ISERROR(INDEX(Table2[LEASE USE],MATCH(rrcworking[[#This Row],[Magnum Wolfpak '#]],Table2[Rox Wolf'#],0))),0,INDEX(Table2[LEASE USE],MATCH(rrcworking[[#This Row],[Magnum Wolfpak '#]],Table2[Rox Wolf'#],0)))</f>
        <v>0</v>
      </c>
      <c r="AB189" s="57">
        <f>rrcworking[[#This Row],[Disposition Volume (MCF) @ 14.65 MCF]]+rrcworking[[#This Row],[Lease Use (MCF)]]</f>
        <v>0</v>
      </c>
      <c r="AC189" s="37"/>
      <c r="AD189" s="37" t="s">
        <v>1248</v>
      </c>
      <c r="AE189" s="187">
        <f>COUNTIF(FilterList,rrcworking[[#This Row],[Magnum Wolfpak '#]])</f>
        <v>0</v>
      </c>
      <c r="AF189" s="184"/>
      <c r="AG189" s="185"/>
      <c r="AH189" s="37"/>
      <c r="AI189" s="185"/>
      <c r="AJ189" s="37">
        <v>3</v>
      </c>
      <c r="AK189" s="37" t="s">
        <v>1141</v>
      </c>
      <c r="AL189" s="37" t="s">
        <v>1167</v>
      </c>
      <c r="AM189" s="37" t="s">
        <v>1181</v>
      </c>
      <c r="AN189" s="37" t="s">
        <v>1167</v>
      </c>
      <c r="AO189" s="37" t="s">
        <v>1178</v>
      </c>
      <c r="AP189" s="37" t="s">
        <v>1241</v>
      </c>
      <c r="AQ189" s="37"/>
    </row>
    <row r="190" spans="3:43" ht="14">
      <c r="C190" s="80" t="e">
        <v>#N/A</v>
      </c>
      <c r="D190" s="62" t="s">
        <v>115</v>
      </c>
      <c r="E190" s="131" t="s">
        <v>117</v>
      </c>
      <c r="F190" s="129">
        <v>2</v>
      </c>
      <c r="G190" s="120">
        <v>5113</v>
      </c>
      <c r="H190" s="18" t="s">
        <v>618</v>
      </c>
      <c r="I190" s="18" t="s">
        <v>59</v>
      </c>
      <c r="J190" s="19" t="s">
        <v>439</v>
      </c>
      <c r="K190" s="103">
        <v>189915</v>
      </c>
      <c r="L190" s="101">
        <f>INDEX(Table1[Production],MATCH(rrcworking[[#This Row],[RRC ID Number]],Table1[RRC Identifier],0))</f>
        <v>0</v>
      </c>
      <c r="M190" s="30">
        <f>INDEX(Table1[Formation Production],MATCH(rrcworking[[#This Row],[RRC ID Number]],Table1[RRC Identifier],0))</f>
        <v>0</v>
      </c>
      <c r="N190" s="31">
        <f>INDEX(Table1[On Hand End of Month],MATCH(rrcworking[[#This Row],[RRC ID Number]],Table1[RRC Identifier],0))</f>
        <v>0</v>
      </c>
      <c r="O190" s="106" t="b">
        <f t="shared" si="5"/>
        <v>1</v>
      </c>
      <c r="P190" s="181"/>
      <c r="Q190" s="127">
        <f>rrcworking[[#This Row],[Last Month Closing Stock]]</f>
        <v>0</v>
      </c>
      <c r="R190" s="181">
        <f>rrcworking[[#This Row],[Opening Oil Stock]]</f>
        <v>0</v>
      </c>
      <c r="S190" s="143">
        <f>IF(ISERROR(INDEX(Table2[OIL],MATCH(rrcworking[[#This Row],[Magnum Wolfpak '#]],Table2[Rox Wolf'#],0))),0,INDEX(Table2[OIL],MATCH(rrcworking[[#This Row],[Magnum Wolfpak '#]],Table2[Rox Wolf'#],0)))</f>
        <v>0</v>
      </c>
      <c r="T190" s="35">
        <f>rrcworking[[#This Row],[Closing Stock (Oil)]]+rrcworking[[#This Row],[Sales/Dispostion]]-rrcworking[[#This Row],[Opening Oil Stock]]</f>
        <v>0</v>
      </c>
      <c r="U190" s="112">
        <f>rrcworking[[#This Row],[Gauge Sheet Prod Volume]]-rrcworking[[#This Row],[Oil Production]]</f>
        <v>0</v>
      </c>
      <c r="V190" s="143">
        <f>IF(ISERROR(INDEX(Table2[GAS],MATCH(rrcworking[[#This Row],[Magnum Wolfpak '#]],Table2[Rox Wolf'#],0))),0,INDEX(Table2[GAS],MATCH(rrcworking[[#This Row],[Magnum Wolfpak '#]],Table2[Rox Wolf'#],0)))</f>
        <v>0</v>
      </c>
      <c r="W190" s="24"/>
      <c r="X190" s="135">
        <f>IF(rrcworking[[#This Row],[Pressure Base]]=14.73,rrcworking[[#This Row],[Gas Sales Statement Volume (MCF)]]*$R$2,rrcworking[[#This Row],[Gas Sales Statement Volume (MCF)]])</f>
        <v>0</v>
      </c>
      <c r="Y190" s="60"/>
      <c r="Z190" s="60"/>
      <c r="AA190" s="143">
        <f>IF(ISERROR(INDEX(Table2[LEASE USE],MATCH(rrcworking[[#This Row],[Magnum Wolfpak '#]],Table2[Rox Wolf'#],0))),0,INDEX(Table2[LEASE USE],MATCH(rrcworking[[#This Row],[Magnum Wolfpak '#]],Table2[Rox Wolf'#],0)))</f>
        <v>0</v>
      </c>
      <c r="AB190" s="57">
        <f>rrcworking[[#This Row],[Disposition Volume (MCF) @ 14.65 MCF]]+rrcworking[[#This Row],[Lease Use (MCF)]]</f>
        <v>0</v>
      </c>
      <c r="AC190" s="37"/>
      <c r="AD190" s="37"/>
      <c r="AE190" s="187">
        <f>COUNTIF(FilterList,rrcworking[[#This Row],[Magnum Wolfpak '#]])</f>
        <v>0</v>
      </c>
      <c r="AF190" s="184"/>
      <c r="AG190" s="185"/>
      <c r="AH190" s="37"/>
      <c r="AI190" s="37"/>
      <c r="AJ190" s="37"/>
      <c r="AK190" s="37"/>
      <c r="AL190" s="37"/>
      <c r="AM190" s="37"/>
      <c r="AN190" s="37"/>
      <c r="AO190" s="37"/>
      <c r="AP190" s="37"/>
      <c r="AQ190" s="37"/>
    </row>
    <row r="191" spans="3:43" ht="14">
      <c r="C191" s="80" t="e">
        <v>#N/A</v>
      </c>
      <c r="D191" s="62" t="s">
        <v>166</v>
      </c>
      <c r="E191" s="131" t="s">
        <v>167</v>
      </c>
      <c r="F191" s="129">
        <v>1</v>
      </c>
      <c r="G191" s="120" t="s">
        <v>1091</v>
      </c>
      <c r="H191" s="18" t="s">
        <v>619</v>
      </c>
      <c r="I191" s="18" t="s">
        <v>59</v>
      </c>
      <c r="J191" s="19" t="s">
        <v>470</v>
      </c>
      <c r="K191" s="103">
        <v>192497</v>
      </c>
      <c r="L191" s="101">
        <f>INDEX(Table1[Production],MATCH(rrcworking[[#This Row],[RRC ID Number]],Table1[RRC Identifier],0))</f>
        <v>0</v>
      </c>
      <c r="M191" s="30">
        <f>INDEX(Table1[Formation Production],MATCH(rrcworking[[#This Row],[RRC ID Number]],Table1[RRC Identifier],0))</f>
        <v>0</v>
      </c>
      <c r="N191" s="31">
        <f>INDEX(Table1[On Hand End of Month],MATCH(rrcworking[[#This Row],[RRC ID Number]],Table1[RRC Identifier],0))</f>
        <v>0</v>
      </c>
      <c r="O191" s="106" t="b">
        <f t="shared" si="5"/>
        <v>1</v>
      </c>
      <c r="P191" s="181"/>
      <c r="Q191" s="127">
        <f>rrcworking[[#This Row],[Last Month Closing Stock]]</f>
        <v>0</v>
      </c>
      <c r="R191" s="181">
        <f>rrcworking[[#This Row],[Opening Oil Stock]]</f>
        <v>0</v>
      </c>
      <c r="S191" s="143">
        <f>IF(ISERROR(INDEX(Table2[OIL],MATCH(rrcworking[[#This Row],[Magnum Wolfpak '#]],Table2[Rox Wolf'#],0))),0,INDEX(Table2[OIL],MATCH(rrcworking[[#This Row],[Magnum Wolfpak '#]],Table2[Rox Wolf'#],0)))</f>
        <v>0</v>
      </c>
      <c r="T191" s="35">
        <f>rrcworking[[#This Row],[Closing Stock (Oil)]]+rrcworking[[#This Row],[Sales/Dispostion]]-rrcworking[[#This Row],[Opening Oil Stock]]</f>
        <v>0</v>
      </c>
      <c r="U191" s="112">
        <f>rrcworking[[#This Row],[Gauge Sheet Prod Volume]]-rrcworking[[#This Row],[Oil Production]]</f>
        <v>0</v>
      </c>
      <c r="V191" s="143">
        <f>IF(ISERROR(INDEX(Table2[GAS],MATCH(rrcworking[[#This Row],[Magnum Wolfpak '#]],Table2[Rox Wolf'#],0))),0,INDEX(Table2[GAS],MATCH(rrcworking[[#This Row],[Magnum Wolfpak '#]],Table2[Rox Wolf'#],0)))</f>
        <v>0</v>
      </c>
      <c r="W191" s="24"/>
      <c r="X191" s="135">
        <f>IF(rrcworking[[#This Row],[Pressure Base]]=14.73,rrcworking[[#This Row],[Gas Sales Statement Volume (MCF)]]*$R$2,rrcworking[[#This Row],[Gas Sales Statement Volume (MCF)]])</f>
        <v>0</v>
      </c>
      <c r="Y191" s="60"/>
      <c r="Z191" s="60"/>
      <c r="AA191" s="143">
        <f>IF(ISERROR(INDEX(Table2[LEASE USE],MATCH(rrcworking[[#This Row],[Magnum Wolfpak '#]],Table2[Rox Wolf'#],0))),0,INDEX(Table2[LEASE USE],MATCH(rrcworking[[#This Row],[Magnum Wolfpak '#]],Table2[Rox Wolf'#],0)))</f>
        <v>0</v>
      </c>
      <c r="AB191" s="57">
        <f>rrcworking[[#This Row],[Disposition Volume (MCF) @ 14.65 MCF]]+rrcworking[[#This Row],[Lease Use (MCF)]]</f>
        <v>0</v>
      </c>
      <c r="AC191" s="37"/>
      <c r="AD191" s="37"/>
      <c r="AE191" s="187">
        <f>COUNTIF(FilterList,rrcworking[[#This Row],[Magnum Wolfpak '#]])</f>
        <v>0</v>
      </c>
      <c r="AF191" s="184"/>
      <c r="AG191" s="185"/>
      <c r="AH191" s="37"/>
      <c r="AI191" s="37"/>
      <c r="AJ191" s="37"/>
      <c r="AK191" s="37"/>
      <c r="AL191" s="37"/>
      <c r="AM191" s="37"/>
      <c r="AN191" s="37"/>
      <c r="AO191" s="37"/>
      <c r="AP191" s="37"/>
      <c r="AQ191" s="37"/>
    </row>
    <row r="192" spans="3:43" ht="28">
      <c r="C192" s="80">
        <v>99194</v>
      </c>
      <c r="D192" s="62" t="s">
        <v>168</v>
      </c>
      <c r="E192" s="131" t="s">
        <v>169</v>
      </c>
      <c r="F192" s="129">
        <v>0</v>
      </c>
      <c r="G192" s="120" t="s">
        <v>1091</v>
      </c>
      <c r="H192" s="18" t="s">
        <v>619</v>
      </c>
      <c r="I192" s="18" t="s">
        <v>2</v>
      </c>
      <c r="J192" s="19" t="s">
        <v>471</v>
      </c>
      <c r="K192" s="103">
        <v>21610</v>
      </c>
      <c r="L192" s="101">
        <f>INDEX(Table1[Production],MATCH(rrcworking[[#This Row],[RRC ID Number]],Table1[RRC Identifier],0))</f>
        <v>609</v>
      </c>
      <c r="M192" s="30">
        <f>INDEX(Table1[Formation Production],MATCH(rrcworking[[#This Row],[RRC ID Number]],Table1[RRC Identifier],0))</f>
        <v>0</v>
      </c>
      <c r="N192" s="31">
        <f>INDEX(Table1[On Hand End of Month],MATCH(rrcworking[[#This Row],[RRC ID Number]],Table1[RRC Identifier],0))</f>
        <v>284</v>
      </c>
      <c r="O192" s="106" t="b">
        <f t="shared" si="5"/>
        <v>0</v>
      </c>
      <c r="P192" s="181">
        <v>25</v>
      </c>
      <c r="Q192" s="127">
        <f>rrcworking[[#This Row],[Last Month Closing Stock]]</f>
        <v>284</v>
      </c>
      <c r="R192" s="182">
        <v>149</v>
      </c>
      <c r="S192" s="143">
        <f>IF(ISERROR(INDEX(Table2[OIL],MATCH(rrcworking[[#This Row],[Magnum Wolfpak '#]],Table2[Rox Wolf'#],0))),0,INDEX(Table2[OIL],MATCH(rrcworking[[#This Row],[Magnum Wolfpak '#]],Table2[Rox Wolf'#],0)))</f>
        <v>157</v>
      </c>
      <c r="T192" s="35">
        <f>rrcworking[[#This Row],[Closing Stock (Oil)]]+rrcworking[[#This Row],[Sales/Dispostion]]-rrcworking[[#This Row],[Opening Oil Stock]]</f>
        <v>22</v>
      </c>
      <c r="U192" s="112">
        <f>rrcworking[[#This Row],[Gauge Sheet Prod Volume]]-rrcworking[[#This Row],[Oil Production]]</f>
        <v>3</v>
      </c>
      <c r="V192" s="143">
        <f>IF(ISERROR(INDEX(Table2[GAS],MATCH(rrcworking[[#This Row],[Magnum Wolfpak '#]],Table2[Rox Wolf'#],0))),0,INDEX(Table2[GAS],MATCH(rrcworking[[#This Row],[Magnum Wolfpak '#]],Table2[Rox Wolf'#],0)))</f>
        <v>0</v>
      </c>
      <c r="W192" s="24"/>
      <c r="X192" s="135">
        <f>IF(rrcworking[[#This Row],[Pressure Base]]=14.73,rrcworking[[#This Row],[Gas Sales Statement Volume (MCF)]]*$R$2,rrcworking[[#This Row],[Gas Sales Statement Volume (MCF)]])</f>
        <v>0</v>
      </c>
      <c r="Y192" s="60"/>
      <c r="Z192" s="60"/>
      <c r="AA192" s="143">
        <f>IF(ISERROR(INDEX(Table2[LEASE USE],MATCH(rrcworking[[#This Row],[Magnum Wolfpak '#]],Table2[Rox Wolf'#],0))),0,INDEX(Table2[LEASE USE],MATCH(rrcworking[[#This Row],[Magnum Wolfpak '#]],Table2[Rox Wolf'#],0)))</f>
        <v>0</v>
      </c>
      <c r="AB192" s="57">
        <f>rrcworking[[#This Row],[Disposition Volume (MCF) @ 14.65 MCF]]+rrcworking[[#This Row],[Lease Use (MCF)]]</f>
        <v>0</v>
      </c>
      <c r="AC192" s="37"/>
      <c r="AD192" s="37" t="s">
        <v>1277</v>
      </c>
      <c r="AE192" s="187">
        <f>COUNTIF(FilterList,rrcworking[[#This Row],[Magnum Wolfpak '#]])</f>
        <v>0</v>
      </c>
      <c r="AF192" s="184"/>
      <c r="AG192" s="185"/>
      <c r="AH192" s="37"/>
      <c r="AI192" s="185"/>
      <c r="AJ192" s="37">
        <v>2</v>
      </c>
      <c r="AK192" s="37" t="s">
        <v>1167</v>
      </c>
      <c r="AL192" s="37" t="s">
        <v>1167</v>
      </c>
      <c r="AM192" s="37" t="s">
        <v>1229</v>
      </c>
      <c r="AN192" s="37" t="s">
        <v>1167</v>
      </c>
      <c r="AO192" s="37" t="s">
        <v>1230</v>
      </c>
      <c r="AP192" s="37" t="s">
        <v>1231</v>
      </c>
      <c r="AQ192" s="37" t="s">
        <v>1197</v>
      </c>
    </row>
    <row r="193" spans="3:43" ht="15" thickBot="1">
      <c r="C193" s="80">
        <v>80001</v>
      </c>
      <c r="D193" s="62" t="s">
        <v>267</v>
      </c>
      <c r="E193" s="131" t="s">
        <v>268</v>
      </c>
      <c r="F193" s="129">
        <v>1</v>
      </c>
      <c r="G193" s="120" t="s">
        <v>1091</v>
      </c>
      <c r="H193" s="18" t="s">
        <v>619</v>
      </c>
      <c r="I193" s="18" t="s">
        <v>59</v>
      </c>
      <c r="J193" s="19" t="s">
        <v>523</v>
      </c>
      <c r="K193" s="103">
        <v>91859</v>
      </c>
      <c r="L193" s="102">
        <f>INDEX(Table1[Production],MATCH(rrcworking[[#This Row],[RRC ID Number]],Table1[RRC Identifier],0))</f>
        <v>31</v>
      </c>
      <c r="M193" s="32">
        <f>INDEX(Table1[Formation Production],MATCH(rrcworking[[#This Row],[RRC ID Number]],Table1[RRC Identifier],0))</f>
        <v>1705</v>
      </c>
      <c r="N193" s="33">
        <f>INDEX(Table1[On Hand End of Month],MATCH(rrcworking[[#This Row],[RRC ID Number]],Table1[RRC Identifier],0))</f>
        <v>52</v>
      </c>
      <c r="O193" s="108" t="b">
        <f t="shared" si="5"/>
        <v>0</v>
      </c>
      <c r="P193" s="181">
        <v>46</v>
      </c>
      <c r="Q193" s="127">
        <f>rrcworking[[#This Row],[Last Month Closing Stock]]</f>
        <v>52</v>
      </c>
      <c r="R193" s="182">
        <v>99</v>
      </c>
      <c r="S193" s="143">
        <f>IF(ISERROR(INDEX(Table2[OIL],MATCH(rrcworking[[#This Row],[Magnum Wolfpak '#]],Table2[Rox Wolf'#],0))),0,INDEX(Table2[OIL],MATCH(rrcworking[[#This Row],[Magnum Wolfpak '#]],Table2[Rox Wolf'#],0)))</f>
        <v>0</v>
      </c>
      <c r="T193" s="35">
        <f>rrcworking[[#This Row],[Closing Stock (Oil)]]+rrcworking[[#This Row],[Sales/Dispostion]]-rrcworking[[#This Row],[Opening Oil Stock]]</f>
        <v>47</v>
      </c>
      <c r="U193" s="112">
        <f>rrcworking[[#This Row],[Gauge Sheet Prod Volume]]-rrcworking[[#This Row],[Oil Production]]</f>
        <v>-1</v>
      </c>
      <c r="V193" s="143">
        <f>IF(ISERROR(INDEX(Table2[GAS],MATCH(rrcworking[[#This Row],[Magnum Wolfpak '#]],Table2[Rox Wolf'#],0))),0,INDEX(Table2[GAS],MATCH(rrcworking[[#This Row],[Magnum Wolfpak '#]],Table2[Rox Wolf'#],0)))</f>
        <v>1668</v>
      </c>
      <c r="W193" s="24"/>
      <c r="X193" s="135">
        <f>IF(rrcworking[[#This Row],[Pressure Base]]=14.73,rrcworking[[#This Row],[Gas Sales Statement Volume (MCF)]]*$R$2,rrcworking[[#This Row],[Gas Sales Statement Volume (MCF)]])</f>
        <v>1668</v>
      </c>
      <c r="Y193" s="147"/>
      <c r="Z193" s="61">
        <v>4</v>
      </c>
      <c r="AA193" s="143">
        <f>IF(ISERROR(INDEX(Table2[LEASE USE],MATCH(rrcworking[[#This Row],[Magnum Wolfpak '#]],Table2[Rox Wolf'#],0))),0,INDEX(Table2[LEASE USE],MATCH(rrcworking[[#This Row],[Magnum Wolfpak '#]],Table2[Rox Wolf'#],0)))</f>
        <v>124</v>
      </c>
      <c r="AB193" s="58">
        <f>rrcworking[[#This Row],[Disposition Volume (MCF) @ 14.65 MCF]]+rrcworking[[#This Row],[Lease Use (MCF)]]</f>
        <v>1792</v>
      </c>
      <c r="AC193" s="37"/>
      <c r="AD193" s="37"/>
      <c r="AE193" s="187">
        <f>COUNTIF(FilterList,rrcworking[[#This Row],[Magnum Wolfpak '#]])</f>
        <v>0</v>
      </c>
      <c r="AF193" s="184"/>
      <c r="AG193" s="185"/>
      <c r="AH193" s="37"/>
      <c r="AI193" s="185"/>
      <c r="AJ193" s="37">
        <v>2</v>
      </c>
      <c r="AK193" s="37" t="s">
        <v>1167</v>
      </c>
      <c r="AL193" s="37" t="s">
        <v>1167</v>
      </c>
      <c r="AM193" s="37" t="s">
        <v>1214</v>
      </c>
      <c r="AN193" s="37" t="s">
        <v>1167</v>
      </c>
      <c r="AO193" s="37" t="s">
        <v>1178</v>
      </c>
      <c r="AP193" s="37" t="s">
        <v>1219</v>
      </c>
      <c r="AQ193" s="37"/>
    </row>
    <row r="194" spans="3:43" ht="16" thickTop="1" thickBot="1">
      <c r="C194" s="80" t="e">
        <v>#N/A</v>
      </c>
      <c r="D194" s="62" t="s">
        <v>85</v>
      </c>
      <c r="E194" s="131" t="s">
        <v>86</v>
      </c>
      <c r="F194" s="129">
        <v>1</v>
      </c>
      <c r="G194" s="120" t="s">
        <v>1091</v>
      </c>
      <c r="H194" s="18" t="s">
        <v>618</v>
      </c>
      <c r="I194" s="18" t="s">
        <v>59</v>
      </c>
      <c r="J194" s="19" t="s">
        <v>420</v>
      </c>
      <c r="K194" s="103">
        <v>200152</v>
      </c>
      <c r="L194" s="101">
        <f>INDEX(Table1[Production],MATCH(rrcworking[[#This Row],[RRC ID Number]],Table1[RRC Identifier],0))</f>
        <v>0</v>
      </c>
      <c r="M194" s="30">
        <f>INDEX(Table1[Formation Production],MATCH(rrcworking[[#This Row],[RRC ID Number]],Table1[RRC Identifier],0))</f>
        <v>0</v>
      </c>
      <c r="N194" s="31">
        <f>INDEX(Table1[On Hand End of Month],MATCH(rrcworking[[#This Row],[RRC ID Number]],Table1[RRC Identifier],0))</f>
        <v>0</v>
      </c>
      <c r="O194" s="106" t="b">
        <f t="shared" si="5"/>
        <v>1</v>
      </c>
      <c r="P194" s="181"/>
      <c r="Q194" s="127">
        <f>rrcworking[[#This Row],[Last Month Closing Stock]]</f>
        <v>0</v>
      </c>
      <c r="R194" s="181">
        <f>rrcworking[[#This Row],[Opening Oil Stock]]</f>
        <v>0</v>
      </c>
      <c r="S194" s="143">
        <f>IF(ISERROR(INDEX(Table2[OIL],MATCH(rrcworking[[#This Row],[Magnum Wolfpak '#]],Table2[Rox Wolf'#],0))),0,INDEX(Table2[OIL],MATCH(rrcworking[[#This Row],[Magnum Wolfpak '#]],Table2[Rox Wolf'#],0)))</f>
        <v>0</v>
      </c>
      <c r="T194" s="36">
        <f>rrcworking[[#This Row],[Closing Stock (Oil)]]+rrcworking[[#This Row],[Sales/Dispostion]]-rrcworking[[#This Row],[Opening Oil Stock]]</f>
        <v>0</v>
      </c>
      <c r="U194" s="112">
        <f>rrcworking[[#This Row],[Gauge Sheet Prod Volume]]-rrcworking[[#This Row],[Oil Production]]</f>
        <v>0</v>
      </c>
      <c r="V194" s="143">
        <f>IF(ISERROR(INDEX(Table2[GAS],MATCH(rrcworking[[#This Row],[Magnum Wolfpak '#]],Table2[Rox Wolf'#],0))),0,INDEX(Table2[GAS],MATCH(rrcworking[[#This Row],[Magnum Wolfpak '#]],Table2[Rox Wolf'#],0)))</f>
        <v>0</v>
      </c>
      <c r="W194" s="24"/>
      <c r="X194" s="137">
        <f>IF(rrcworking[[#This Row],[Pressure Base]]=14.73,rrcworking[[#This Row],[Gas Sales Statement Volume (MCF)]]*$R$2,rrcworking[[#This Row],[Gas Sales Statement Volume (MCF)]])</f>
        <v>0</v>
      </c>
      <c r="Y194" s="60"/>
      <c r="Z194" s="60"/>
      <c r="AA194" s="143">
        <f>IF(ISERROR(INDEX(Table2[LEASE USE],MATCH(rrcworking[[#This Row],[Magnum Wolfpak '#]],Table2[Rox Wolf'#],0))),0,INDEX(Table2[LEASE USE],MATCH(rrcworking[[#This Row],[Magnum Wolfpak '#]],Table2[Rox Wolf'#],0)))</f>
        <v>0</v>
      </c>
      <c r="AB194" s="60">
        <f>rrcworking[[#This Row],[Disposition Volume (MCF) @ 14.65 MCF]]+rrcworking[[#This Row],[Lease Use (MCF)]]</f>
        <v>0</v>
      </c>
      <c r="AC194" s="37"/>
      <c r="AD194" s="37"/>
      <c r="AE194" s="187">
        <f>COUNTIF(FilterList,rrcworking[[#This Row],[Magnum Wolfpak '#]])</f>
        <v>0</v>
      </c>
      <c r="AF194" s="184"/>
      <c r="AG194" s="185"/>
      <c r="AH194" s="37"/>
      <c r="AI194" s="37"/>
      <c r="AJ194" s="37"/>
      <c r="AK194" s="37"/>
      <c r="AL194" s="37"/>
      <c r="AM194" s="37"/>
      <c r="AN194" s="37"/>
      <c r="AO194" s="37"/>
      <c r="AP194" s="37"/>
      <c r="AQ194" s="37"/>
    </row>
    <row r="195" spans="3:43" ht="15" thickTop="1">
      <c r="C195" s="246">
        <f>SUBTOTAL(103,rrcworking[Magnum Wolfpak '#])</f>
        <v>189</v>
      </c>
      <c r="D195" s="247"/>
      <c r="E195" s="247" t="s">
        <v>626</v>
      </c>
      <c r="F195" s="248">
        <f>SUBTOTAL(103,rrcworking[Well Number])</f>
        <v>189</v>
      </c>
      <c r="G195" s="248"/>
      <c r="H195" s="248"/>
      <c r="I195" s="248"/>
      <c r="J195" s="249"/>
      <c r="K195" s="250"/>
      <c r="L195" s="251">
        <f>SUBTOTAL(109,rrcworking[[ Last Month Oil Production]])</f>
        <v>14550</v>
      </c>
      <c r="M195" s="247">
        <f>SUBTOTAL(109,rrcworking[Last Month Gas Prod])</f>
        <v>247182</v>
      </c>
      <c r="N195" s="247">
        <f>SUBTOTAL(109,rrcworking[Last Month Closing Stock])</f>
        <v>13702</v>
      </c>
      <c r="O195" s="252"/>
      <c r="P195" s="252"/>
      <c r="Q195" s="251">
        <f>SUBTOTAL(109,rrcworking[Opening Oil Stock])</f>
        <v>13702</v>
      </c>
      <c r="R195" s="247"/>
      <c r="S195" s="247">
        <f>SUBTOTAL(109,rrcworking[Sales/Dispostion])</f>
        <v>12674</v>
      </c>
      <c r="T195" s="247">
        <f>SUBTOTAL(109,rrcworking[Oil Production])</f>
        <v>12732</v>
      </c>
      <c r="U195" s="247"/>
      <c r="V195" s="253">
        <f>SUBTOTAL(109,rrcworking[Gas Sales Statement Volume (MCF)])</f>
        <v>224267</v>
      </c>
      <c r="W195" s="247"/>
      <c r="X195" s="254">
        <f>SUBTOTAL(109,rrcworking[Disposition Volume (MCF) @ 14.65 MCF])</f>
        <v>224267</v>
      </c>
      <c r="Y195" s="247"/>
      <c r="Z195" s="247"/>
      <c r="AA195" s="247">
        <f>SUBTOTAL(109,rrcworking[Lease Use (MCF)])</f>
        <v>10960</v>
      </c>
      <c r="AB195" s="254">
        <f>SUBTOTAL(109,rrcworking[Formation Production (MCF) @ 14.65 psi])</f>
        <v>235227</v>
      </c>
      <c r="AC195" s="255">
        <f>SUBTOTAL(103,rrcworking[Gas Comments])</f>
        <v>3</v>
      </c>
      <c r="AD195" s="255"/>
      <c r="AE195" s="247"/>
      <c r="AF195" s="255"/>
      <c r="AG195" s="255"/>
      <c r="AH195" s="255"/>
      <c r="AI195" s="255"/>
      <c r="AJ195" s="255"/>
      <c r="AK195" s="255"/>
      <c r="AL195" s="255"/>
      <c r="AM195" s="255"/>
      <c r="AN195" s="255"/>
      <c r="AO195" s="255"/>
      <c r="AP195" s="255"/>
      <c r="AQ195" s="256"/>
    </row>
    <row r="196" spans="3:43" ht="36">
      <c r="AB196" s="224" t="s">
        <v>1267</v>
      </c>
    </row>
  </sheetData>
  <mergeCells count="8">
    <mergeCell ref="AC4:AD4"/>
    <mergeCell ref="AH3:AQ3"/>
    <mergeCell ref="C2:G2"/>
    <mergeCell ref="V4:AB4"/>
    <mergeCell ref="P4:U4"/>
    <mergeCell ref="L4:O4"/>
    <mergeCell ref="C4:K4"/>
    <mergeCell ref="Z3:AB3"/>
  </mergeCells>
  <phoneticPr fontId="70" type="noConversion"/>
  <conditionalFormatting sqref="U6:U194">
    <cfRule type="expression" dxfId="164" priority="2">
      <formula>ABS($U6)&gt;20</formula>
    </cfRule>
  </conditionalFormatting>
  <conditionalFormatting sqref="T6:T194">
    <cfRule type="cellIs" dxfId="163" priority="1" operator="lessThan">
      <formula>0</formula>
    </cfRule>
  </conditionalFormatting>
  <pageMargins left="0.25" right="0.25" top="0.75" bottom="0.75" header="0.3" footer="0.3"/>
  <pageSetup scale="19" orientation="landscape" horizontalDpi="1200" verticalDpi="1200"/>
  <ignoredErrors>
    <ignoredError sqref="F45:F49" numberStoredAsText="1"/>
  </ignoredErrors>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 Controller'!$C$4:$C$5</xm:f>
          </x14:formula1>
          <xm:sqref>W6:W194</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F192"/>
  <sheetViews>
    <sheetView workbookViewId="0"/>
  </sheetViews>
  <sheetFormatPr baseColWidth="10" defaultColWidth="8.83203125" defaultRowHeight="12" x14ac:dyDescent="0"/>
  <sheetData>
    <row r="1" spans="1:6">
      <c r="A1" t="s">
        <v>1097</v>
      </c>
      <c r="E1" t="s">
        <v>1095</v>
      </c>
      <c r="F1" t="s">
        <v>1096</v>
      </c>
    </row>
    <row r="2" spans="1:6" ht="21">
      <c r="A2" s="45" t="s">
        <v>658</v>
      </c>
      <c r="E2" t="s">
        <v>75</v>
      </c>
    </row>
    <row r="3" spans="1:6" ht="21">
      <c r="A3" s="45" t="s">
        <v>677</v>
      </c>
      <c r="E3" t="s">
        <v>78</v>
      </c>
      <c r="F3">
        <v>99228</v>
      </c>
    </row>
    <row r="4" spans="1:6" ht="21">
      <c r="A4" s="45" t="s">
        <v>712</v>
      </c>
      <c r="E4" t="s">
        <v>81</v>
      </c>
      <c r="F4">
        <v>99017</v>
      </c>
    </row>
    <row r="5" spans="1:6" ht="21">
      <c r="A5" s="45" t="s">
        <v>714</v>
      </c>
      <c r="E5" t="s">
        <v>83</v>
      </c>
    </row>
    <row r="6" spans="1:6" ht="21">
      <c r="A6" s="45" t="s">
        <v>720</v>
      </c>
      <c r="E6" t="s">
        <v>86</v>
      </c>
    </row>
    <row r="7" spans="1:6" ht="21">
      <c r="A7" s="45" t="s">
        <v>722</v>
      </c>
      <c r="E7" t="s">
        <v>87</v>
      </c>
    </row>
    <row r="8" spans="1:6" ht="21">
      <c r="A8" s="45" t="s">
        <v>724</v>
      </c>
      <c r="E8" t="s">
        <v>89</v>
      </c>
    </row>
    <row r="9" spans="1:6" ht="21">
      <c r="A9" s="45" t="s">
        <v>726</v>
      </c>
      <c r="E9" t="s">
        <v>92</v>
      </c>
      <c r="F9">
        <v>34001</v>
      </c>
    </row>
    <row r="10" spans="1:6" ht="21">
      <c r="A10" s="45" t="s">
        <v>730</v>
      </c>
      <c r="E10" t="s">
        <v>94</v>
      </c>
      <c r="F10">
        <v>93701</v>
      </c>
    </row>
    <row r="11" spans="1:6" ht="21">
      <c r="A11" s="45" t="s">
        <v>739</v>
      </c>
      <c r="E11" t="s">
        <v>92</v>
      </c>
    </row>
    <row r="12" spans="1:6" ht="21">
      <c r="A12" s="126" t="s">
        <v>740</v>
      </c>
      <c r="E12" t="s">
        <v>97</v>
      </c>
      <c r="F12">
        <v>93806</v>
      </c>
    </row>
    <row r="13" spans="1:6">
      <c r="E13" t="s">
        <v>98</v>
      </c>
    </row>
    <row r="14" spans="1:6">
      <c r="E14" t="s">
        <v>97</v>
      </c>
    </row>
    <row r="15" spans="1:6">
      <c r="E15" t="s">
        <v>101</v>
      </c>
    </row>
    <row r="16" spans="1:6">
      <c r="E16" t="s">
        <v>103</v>
      </c>
      <c r="F16">
        <v>99102</v>
      </c>
    </row>
    <row r="17" spans="5:6">
      <c r="E17" t="s">
        <v>105</v>
      </c>
      <c r="F17">
        <v>98921</v>
      </c>
    </row>
    <row r="18" spans="5:6">
      <c r="E18" t="s">
        <v>107</v>
      </c>
    </row>
    <row r="19" spans="5:6">
      <c r="E19" t="s">
        <v>109</v>
      </c>
    </row>
    <row r="20" spans="5:6">
      <c r="E20" t="s">
        <v>111</v>
      </c>
    </row>
    <row r="21" spans="5:6">
      <c r="E21" t="s">
        <v>111</v>
      </c>
      <c r="F21">
        <v>99256</v>
      </c>
    </row>
    <row r="22" spans="5:6">
      <c r="E22" t="s">
        <v>113</v>
      </c>
    </row>
    <row r="23" spans="5:6">
      <c r="E23" t="s">
        <v>89</v>
      </c>
      <c r="F23">
        <v>99255</v>
      </c>
    </row>
    <row r="24" spans="5:6">
      <c r="E24" t="s">
        <v>116</v>
      </c>
    </row>
    <row r="25" spans="5:6">
      <c r="E25" t="s">
        <v>117</v>
      </c>
    </row>
    <row r="26" spans="5:6">
      <c r="E26" t="s">
        <v>119</v>
      </c>
    </row>
    <row r="27" spans="5:6">
      <c r="E27" t="s">
        <v>121</v>
      </c>
    </row>
    <row r="28" spans="5:6">
      <c r="E28" t="s">
        <v>121</v>
      </c>
    </row>
    <row r="29" spans="5:6">
      <c r="E29" t="s">
        <v>124</v>
      </c>
    </row>
    <row r="30" spans="5:6">
      <c r="E30" t="s">
        <v>124</v>
      </c>
    </row>
    <row r="31" spans="5:6">
      <c r="E31" t="s">
        <v>124</v>
      </c>
    </row>
    <row r="32" spans="5:6">
      <c r="E32" t="s">
        <v>128</v>
      </c>
    </row>
    <row r="33" spans="5:6">
      <c r="E33" t="s">
        <v>113</v>
      </c>
    </row>
    <row r="34" spans="5:6">
      <c r="E34" t="s">
        <v>131</v>
      </c>
      <c r="F34">
        <v>98201</v>
      </c>
    </row>
    <row r="35" spans="5:6">
      <c r="E35" t="s">
        <v>133</v>
      </c>
    </row>
    <row r="36" spans="5:6">
      <c r="E36" t="s">
        <v>135</v>
      </c>
    </row>
    <row r="37" spans="5:6">
      <c r="E37" t="s">
        <v>138</v>
      </c>
    </row>
    <row r="38" spans="5:6">
      <c r="E38" t="s">
        <v>137</v>
      </c>
    </row>
    <row r="39" spans="5:6">
      <c r="E39" t="s">
        <v>140</v>
      </c>
    </row>
    <row r="40" spans="5:6">
      <c r="E40" t="s">
        <v>142</v>
      </c>
    </row>
    <row r="41" spans="5:6">
      <c r="E41" t="s">
        <v>142</v>
      </c>
    </row>
    <row r="42" spans="5:6">
      <c r="E42" t="s">
        <v>143</v>
      </c>
      <c r="F42">
        <v>98915</v>
      </c>
    </row>
    <row r="43" spans="5:6">
      <c r="E43" t="s">
        <v>145</v>
      </c>
    </row>
    <row r="44" spans="5:6">
      <c r="E44" t="s">
        <v>147</v>
      </c>
    </row>
    <row r="45" spans="5:6">
      <c r="E45" t="s">
        <v>149</v>
      </c>
      <c r="F45">
        <v>99270</v>
      </c>
    </row>
    <row r="46" spans="5:6">
      <c r="E46" t="s">
        <v>151</v>
      </c>
    </row>
    <row r="47" spans="5:6">
      <c r="E47" t="s">
        <v>153</v>
      </c>
    </row>
    <row r="48" spans="5:6">
      <c r="E48" t="s">
        <v>154</v>
      </c>
    </row>
    <row r="49" spans="5:6">
      <c r="E49" t="s">
        <v>153</v>
      </c>
    </row>
    <row r="50" spans="5:6">
      <c r="E50" t="s">
        <v>156</v>
      </c>
      <c r="F50">
        <v>99288</v>
      </c>
    </row>
    <row r="51" spans="5:6">
      <c r="E51" t="s">
        <v>158</v>
      </c>
    </row>
    <row r="52" spans="5:6">
      <c r="E52" t="s">
        <v>153</v>
      </c>
    </row>
    <row r="53" spans="5:6">
      <c r="E53" t="s">
        <v>161</v>
      </c>
    </row>
    <row r="54" spans="5:6">
      <c r="E54" t="s">
        <v>163</v>
      </c>
    </row>
    <row r="55" spans="5:6">
      <c r="E55" t="s">
        <v>165</v>
      </c>
    </row>
    <row r="56" spans="5:6">
      <c r="E56" t="s">
        <v>167</v>
      </c>
    </row>
    <row r="57" spans="5:6">
      <c r="E57" t="s">
        <v>169</v>
      </c>
      <c r="F57">
        <v>99194</v>
      </c>
    </row>
    <row r="58" spans="5:6">
      <c r="E58" t="s">
        <v>171</v>
      </c>
    </row>
    <row r="59" spans="5:6">
      <c r="E59" t="s">
        <v>171</v>
      </c>
      <c r="F59">
        <v>99230</v>
      </c>
    </row>
    <row r="60" spans="5:6">
      <c r="E60" t="s">
        <v>174</v>
      </c>
    </row>
    <row r="61" spans="5:6">
      <c r="E61" t="s">
        <v>176</v>
      </c>
      <c r="F61">
        <v>99278</v>
      </c>
    </row>
    <row r="62" spans="5:6">
      <c r="E62" t="s">
        <v>158</v>
      </c>
    </row>
    <row r="63" spans="5:6">
      <c r="E63" t="s">
        <v>180</v>
      </c>
    </row>
    <row r="64" spans="5:6">
      <c r="E64" t="s">
        <v>182</v>
      </c>
      <c r="F64">
        <v>99293</v>
      </c>
    </row>
    <row r="65" spans="5:6">
      <c r="E65" t="s">
        <v>182</v>
      </c>
      <c r="F65">
        <v>99286</v>
      </c>
    </row>
    <row r="66" spans="5:6">
      <c r="E66" t="s">
        <v>182</v>
      </c>
      <c r="F66">
        <v>99295</v>
      </c>
    </row>
    <row r="67" spans="5:6">
      <c r="E67" t="s">
        <v>182</v>
      </c>
      <c r="F67">
        <v>99294</v>
      </c>
    </row>
    <row r="68" spans="5:6">
      <c r="E68" t="s">
        <v>187</v>
      </c>
    </row>
    <row r="69" spans="5:6">
      <c r="E69" t="s">
        <v>189</v>
      </c>
      <c r="F69">
        <v>99140</v>
      </c>
    </row>
    <row r="70" spans="5:6">
      <c r="E70" t="s">
        <v>192</v>
      </c>
      <c r="F70">
        <v>98965</v>
      </c>
    </row>
    <row r="71" spans="5:6">
      <c r="E71" t="s">
        <v>191</v>
      </c>
    </row>
    <row r="72" spans="5:6">
      <c r="E72" t="s">
        <v>194</v>
      </c>
      <c r="F72" t="s">
        <v>812</v>
      </c>
    </row>
    <row r="73" spans="5:6">
      <c r="E73" t="s">
        <v>196</v>
      </c>
    </row>
    <row r="74" spans="5:6">
      <c r="E74" t="s">
        <v>198</v>
      </c>
    </row>
    <row r="75" spans="5:6">
      <c r="E75" t="s">
        <v>200</v>
      </c>
      <c r="F75">
        <v>99302</v>
      </c>
    </row>
    <row r="76" spans="5:6">
      <c r="E76" t="s">
        <v>201</v>
      </c>
      <c r="F76">
        <v>99296</v>
      </c>
    </row>
    <row r="77" spans="5:6">
      <c r="E77" t="s">
        <v>203</v>
      </c>
      <c r="F77">
        <v>99305</v>
      </c>
    </row>
    <row r="78" spans="5:6">
      <c r="E78" t="s">
        <v>205</v>
      </c>
    </row>
    <row r="79" spans="5:6">
      <c r="E79" t="s">
        <v>208</v>
      </c>
      <c r="F79">
        <v>99101</v>
      </c>
    </row>
    <row r="80" spans="5:6">
      <c r="E80" t="s">
        <v>214</v>
      </c>
    </row>
    <row r="81" spans="5:6">
      <c r="E81" t="s">
        <v>211</v>
      </c>
    </row>
    <row r="82" spans="5:6">
      <c r="E82" t="s">
        <v>212</v>
      </c>
      <c r="F82">
        <v>99159</v>
      </c>
    </row>
    <row r="83" spans="5:6">
      <c r="E83" t="s">
        <v>213</v>
      </c>
      <c r="F83">
        <v>99186</v>
      </c>
    </row>
    <row r="84" spans="5:6">
      <c r="E84" t="s">
        <v>212</v>
      </c>
    </row>
    <row r="85" spans="5:6">
      <c r="E85" t="s">
        <v>217</v>
      </c>
    </row>
    <row r="86" spans="5:6">
      <c r="E86" t="s">
        <v>219</v>
      </c>
    </row>
    <row r="87" spans="5:6">
      <c r="E87" t="s">
        <v>221</v>
      </c>
      <c r="F87">
        <v>99161</v>
      </c>
    </row>
    <row r="88" spans="5:6">
      <c r="E88" t="s">
        <v>223</v>
      </c>
      <c r="F88">
        <v>99229</v>
      </c>
    </row>
    <row r="89" spans="5:6">
      <c r="E89" t="s">
        <v>225</v>
      </c>
    </row>
    <row r="90" spans="5:6">
      <c r="E90" t="s">
        <v>223</v>
      </c>
    </row>
    <row r="91" spans="5:6">
      <c r="E91" t="s">
        <v>229</v>
      </c>
    </row>
    <row r="92" spans="5:6">
      <c r="E92" t="s">
        <v>230</v>
      </c>
    </row>
    <row r="93" spans="5:6">
      <c r="E93" t="s">
        <v>232</v>
      </c>
    </row>
    <row r="94" spans="5:6">
      <c r="E94" t="s">
        <v>234</v>
      </c>
      <c r="F94">
        <v>599109</v>
      </c>
    </row>
    <row r="95" spans="5:6">
      <c r="E95" t="s">
        <v>236</v>
      </c>
      <c r="F95" t="s">
        <v>817</v>
      </c>
    </row>
    <row r="96" spans="5:6">
      <c r="E96" t="s">
        <v>234</v>
      </c>
    </row>
    <row r="97" spans="5:6">
      <c r="E97" t="s">
        <v>239</v>
      </c>
    </row>
    <row r="98" spans="5:6">
      <c r="E98" t="s">
        <v>241</v>
      </c>
    </row>
    <row r="99" spans="5:6">
      <c r="E99" t="s">
        <v>243</v>
      </c>
    </row>
    <row r="100" spans="5:6">
      <c r="E100" t="s">
        <v>245</v>
      </c>
      <c r="F100">
        <v>98801</v>
      </c>
    </row>
    <row r="101" spans="5:6">
      <c r="E101" t="s">
        <v>247</v>
      </c>
      <c r="F101">
        <v>48001</v>
      </c>
    </row>
    <row r="102" spans="5:6">
      <c r="E102" t="s">
        <v>249</v>
      </c>
    </row>
    <row r="103" spans="5:6">
      <c r="E103" t="s">
        <v>249</v>
      </c>
    </row>
    <row r="104" spans="5:6">
      <c r="E104" t="s">
        <v>252</v>
      </c>
      <c r="F104">
        <v>99246</v>
      </c>
    </row>
    <row r="105" spans="5:6">
      <c r="E105" t="s">
        <v>255</v>
      </c>
      <c r="F105">
        <v>99307</v>
      </c>
    </row>
    <row r="106" spans="5:6">
      <c r="E106" t="s">
        <v>252</v>
      </c>
      <c r="F106">
        <v>99312</v>
      </c>
    </row>
    <row r="107" spans="5:6">
      <c r="E107" t="s">
        <v>258</v>
      </c>
    </row>
    <row r="108" spans="5:6">
      <c r="E108" t="s">
        <v>260</v>
      </c>
    </row>
    <row r="109" spans="5:6">
      <c r="E109" t="s">
        <v>262</v>
      </c>
      <c r="F109">
        <v>98401</v>
      </c>
    </row>
    <row r="110" spans="5:6">
      <c r="E110" t="s">
        <v>264</v>
      </c>
    </row>
    <row r="111" spans="5:6">
      <c r="E111" t="s">
        <v>266</v>
      </c>
      <c r="F111">
        <v>96901</v>
      </c>
    </row>
    <row r="112" spans="5:6">
      <c r="E112" t="s">
        <v>268</v>
      </c>
      <c r="F112">
        <v>80001</v>
      </c>
    </row>
    <row r="113" spans="5:6">
      <c r="E113" t="s">
        <v>270</v>
      </c>
    </row>
    <row r="114" spans="5:6">
      <c r="E114" t="s">
        <v>272</v>
      </c>
    </row>
    <row r="115" spans="5:6">
      <c r="E115" t="s">
        <v>274</v>
      </c>
    </row>
    <row r="116" spans="5:6">
      <c r="E116" t="s">
        <v>276</v>
      </c>
    </row>
    <row r="117" spans="5:6">
      <c r="E117" t="s">
        <v>277</v>
      </c>
      <c r="F117">
        <v>98987</v>
      </c>
    </row>
    <row r="118" spans="5:6">
      <c r="E118" t="s">
        <v>278</v>
      </c>
      <c r="F118">
        <v>98956</v>
      </c>
    </row>
    <row r="119" spans="5:6">
      <c r="E119" t="s">
        <v>279</v>
      </c>
      <c r="F119">
        <v>98959</v>
      </c>
    </row>
    <row r="120" spans="5:6">
      <c r="E120" t="s">
        <v>280</v>
      </c>
      <c r="F120">
        <v>98955</v>
      </c>
    </row>
    <row r="121" spans="5:6">
      <c r="E121" t="s">
        <v>281</v>
      </c>
      <c r="F121">
        <v>99007</v>
      </c>
    </row>
    <row r="122" spans="5:6">
      <c r="E122" t="s">
        <v>281</v>
      </c>
      <c r="F122">
        <v>98988</v>
      </c>
    </row>
    <row r="123" spans="5:6">
      <c r="E123" t="s">
        <v>279</v>
      </c>
    </row>
    <row r="124" spans="5:6">
      <c r="E124" t="s">
        <v>279</v>
      </c>
      <c r="F124">
        <v>98958</v>
      </c>
    </row>
    <row r="125" spans="5:6">
      <c r="E125" t="s">
        <v>283</v>
      </c>
      <c r="F125">
        <v>98910</v>
      </c>
    </row>
    <row r="126" spans="5:6">
      <c r="E126" t="s">
        <v>284</v>
      </c>
    </row>
    <row r="127" spans="5:6">
      <c r="E127" t="s">
        <v>286</v>
      </c>
      <c r="F127">
        <v>96701</v>
      </c>
    </row>
    <row r="128" spans="5:6">
      <c r="E128" t="s">
        <v>288</v>
      </c>
      <c r="F128">
        <v>96501</v>
      </c>
    </row>
    <row r="129" spans="5:6">
      <c r="E129" t="s">
        <v>290</v>
      </c>
    </row>
    <row r="130" spans="5:6">
      <c r="E130" t="s">
        <v>292</v>
      </c>
      <c r="F130">
        <v>82001</v>
      </c>
    </row>
    <row r="131" spans="5:6">
      <c r="E131" t="s">
        <v>286</v>
      </c>
    </row>
    <row r="132" spans="5:6">
      <c r="E132" t="s">
        <v>294</v>
      </c>
    </row>
    <row r="133" spans="5:6">
      <c r="E133" t="s">
        <v>296</v>
      </c>
    </row>
    <row r="134" spans="5:6">
      <c r="E134" t="s">
        <v>296</v>
      </c>
      <c r="F134">
        <v>98961</v>
      </c>
    </row>
    <row r="135" spans="5:6">
      <c r="E135" t="s">
        <v>296</v>
      </c>
    </row>
    <row r="136" spans="5:6">
      <c r="E136" t="s">
        <v>296</v>
      </c>
    </row>
    <row r="137" spans="5:6">
      <c r="E137" t="s">
        <v>299</v>
      </c>
    </row>
    <row r="138" spans="5:6">
      <c r="E138" t="s">
        <v>301</v>
      </c>
    </row>
    <row r="139" spans="5:6">
      <c r="E139" t="s">
        <v>304</v>
      </c>
    </row>
    <row r="140" spans="5:6">
      <c r="E140" t="s">
        <v>306</v>
      </c>
    </row>
    <row r="141" spans="5:6">
      <c r="E141" t="s">
        <v>182</v>
      </c>
    </row>
    <row r="142" spans="5:6">
      <c r="E142" t="s">
        <v>311</v>
      </c>
    </row>
    <row r="143" spans="5:6">
      <c r="E143" t="s">
        <v>310</v>
      </c>
      <c r="F143">
        <v>98979</v>
      </c>
    </row>
    <row r="144" spans="5:6">
      <c r="E144" t="s">
        <v>313</v>
      </c>
    </row>
    <row r="145" spans="5:6">
      <c r="E145" t="s">
        <v>315</v>
      </c>
    </row>
    <row r="146" spans="5:6">
      <c r="E146" t="s">
        <v>317</v>
      </c>
    </row>
    <row r="147" spans="5:6">
      <c r="E147" t="s">
        <v>319</v>
      </c>
    </row>
    <row r="148" spans="5:6">
      <c r="E148" t="s">
        <v>321</v>
      </c>
    </row>
    <row r="149" spans="5:6">
      <c r="E149" t="s">
        <v>323</v>
      </c>
    </row>
    <row r="150" spans="5:6">
      <c r="E150" t="s">
        <v>325</v>
      </c>
    </row>
    <row r="151" spans="5:6">
      <c r="E151" t="s">
        <v>327</v>
      </c>
    </row>
    <row r="152" spans="5:6">
      <c r="E152" t="s">
        <v>327</v>
      </c>
    </row>
    <row r="153" spans="5:6">
      <c r="E153" t="s">
        <v>328</v>
      </c>
    </row>
    <row r="154" spans="5:6">
      <c r="E154" t="s">
        <v>327</v>
      </c>
    </row>
    <row r="155" spans="5:6">
      <c r="E155" t="s">
        <v>330</v>
      </c>
    </row>
    <row r="156" spans="5:6">
      <c r="E156" t="s">
        <v>332</v>
      </c>
    </row>
    <row r="157" spans="5:6">
      <c r="E157" t="s">
        <v>334</v>
      </c>
    </row>
    <row r="158" spans="5:6">
      <c r="E158" t="s">
        <v>336</v>
      </c>
    </row>
    <row r="159" spans="5:6">
      <c r="E159" t="s">
        <v>337</v>
      </c>
    </row>
    <row r="160" spans="5:6">
      <c r="E160" t="s">
        <v>339</v>
      </c>
      <c r="F160">
        <v>99093</v>
      </c>
    </row>
    <row r="161" spans="5:6">
      <c r="E161" t="s">
        <v>339</v>
      </c>
    </row>
    <row r="162" spans="5:6">
      <c r="E162" t="s">
        <v>341</v>
      </c>
      <c r="F162">
        <v>98990</v>
      </c>
    </row>
    <row r="163" spans="5:6">
      <c r="E163" t="s">
        <v>343</v>
      </c>
    </row>
    <row r="164" spans="5:6">
      <c r="E164" t="s">
        <v>345</v>
      </c>
      <c r="F164">
        <v>99058</v>
      </c>
    </row>
    <row r="165" spans="5:6">
      <c r="E165" t="s">
        <v>345</v>
      </c>
    </row>
    <row r="166" spans="5:6">
      <c r="E166" t="s">
        <v>345</v>
      </c>
    </row>
    <row r="167" spans="5:6">
      <c r="E167" t="s">
        <v>345</v>
      </c>
    </row>
    <row r="168" spans="5:6">
      <c r="E168" t="s">
        <v>353</v>
      </c>
      <c r="F168">
        <v>99067</v>
      </c>
    </row>
    <row r="169" spans="5:6">
      <c r="E169" t="s">
        <v>355</v>
      </c>
      <c r="F169">
        <v>99113</v>
      </c>
    </row>
    <row r="170" spans="5:6">
      <c r="E170" t="s">
        <v>356</v>
      </c>
      <c r="F170">
        <v>99065</v>
      </c>
    </row>
    <row r="171" spans="5:6">
      <c r="E171" t="s">
        <v>357</v>
      </c>
    </row>
    <row r="172" spans="5:6">
      <c r="E172" t="s">
        <v>359</v>
      </c>
      <c r="F172">
        <v>99069</v>
      </c>
    </row>
    <row r="173" spans="5:6">
      <c r="E173" t="s">
        <v>361</v>
      </c>
    </row>
    <row r="174" spans="5:6">
      <c r="E174" t="s">
        <v>363</v>
      </c>
      <c r="F174">
        <v>99134</v>
      </c>
    </row>
    <row r="175" spans="5:6">
      <c r="E175" t="s">
        <v>366</v>
      </c>
    </row>
    <row r="176" spans="5:6">
      <c r="E176" t="s">
        <v>368</v>
      </c>
    </row>
    <row r="177" spans="5:6">
      <c r="E177" t="s">
        <v>370</v>
      </c>
    </row>
    <row r="178" spans="5:6">
      <c r="E178" t="s">
        <v>372</v>
      </c>
    </row>
    <row r="179" spans="5:6">
      <c r="E179" t="s">
        <v>374</v>
      </c>
    </row>
    <row r="180" spans="5:6">
      <c r="E180" t="s">
        <v>339</v>
      </c>
      <c r="F180">
        <v>99095</v>
      </c>
    </row>
    <row r="181" spans="5:6">
      <c r="E181" t="s">
        <v>339</v>
      </c>
      <c r="F181">
        <v>99094</v>
      </c>
    </row>
    <row r="182" spans="5:6">
      <c r="E182" t="s">
        <v>377</v>
      </c>
    </row>
    <row r="183" spans="5:6">
      <c r="E183" t="s">
        <v>379</v>
      </c>
    </row>
    <row r="184" spans="5:6">
      <c r="E184" t="s">
        <v>381</v>
      </c>
    </row>
    <row r="185" spans="5:6">
      <c r="E185" t="s">
        <v>383</v>
      </c>
      <c r="F185">
        <v>99132</v>
      </c>
    </row>
    <row r="186" spans="5:6">
      <c r="E186" t="s">
        <v>384</v>
      </c>
    </row>
    <row r="187" spans="5:6">
      <c r="E187" t="s">
        <v>386</v>
      </c>
    </row>
    <row r="188" spans="5:6">
      <c r="E188" t="s">
        <v>388</v>
      </c>
    </row>
    <row r="189" spans="5:6">
      <c r="E189" t="s">
        <v>390</v>
      </c>
    </row>
    <row r="190" spans="5:6">
      <c r="E190" t="s">
        <v>386</v>
      </c>
      <c r="F190">
        <v>99128</v>
      </c>
    </row>
    <row r="191" spans="5:6">
      <c r="E191" t="s">
        <v>394</v>
      </c>
    </row>
    <row r="192" spans="5:6">
      <c r="E192" t="s">
        <v>795</v>
      </c>
      <c r="F192">
        <v>99297</v>
      </c>
    </row>
  </sheetData>
  <pageMargins left="0.7" right="0.7" top="0.75" bottom="0.75" header="0.3" footer="0.3"/>
  <tableParts count="2">
    <tablePart r:id="rId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pageSetUpPr fitToPage="1"/>
  </sheetPr>
  <dimension ref="A1:AC96"/>
  <sheetViews>
    <sheetView topLeftCell="A47" workbookViewId="0">
      <selection activeCell="D49" sqref="D49:D50"/>
    </sheetView>
  </sheetViews>
  <sheetFormatPr baseColWidth="10" defaultColWidth="8.83203125" defaultRowHeight="12" x14ac:dyDescent="0"/>
  <cols>
    <col min="1" max="1" width="16.6640625" style="25" customWidth="1"/>
    <col min="2" max="2" width="30.83203125" style="17" bestFit="1" customWidth="1"/>
    <col min="3" max="3" width="8.83203125" style="156"/>
    <col min="4" max="4" width="22.33203125" style="156" customWidth="1"/>
    <col min="5" max="5" width="14.1640625" style="17" customWidth="1"/>
    <col min="6" max="6" width="15.6640625" style="25" customWidth="1"/>
    <col min="7" max="7" width="13" style="25" hidden="1" customWidth="1"/>
    <col min="8" max="8" width="15.6640625" style="25" hidden="1" customWidth="1"/>
    <col min="9" max="9" width="10" style="25" hidden="1" customWidth="1"/>
    <col min="10" max="10" width="0" style="25" hidden="1" customWidth="1"/>
    <col min="11" max="13" width="8.83203125" style="25"/>
    <col min="14" max="14" width="24.5" style="25" bestFit="1" customWidth="1"/>
    <col min="15" max="16384" width="8.83203125" style="25"/>
  </cols>
  <sheetData>
    <row r="1" spans="1:29" s="149" customFormat="1" ht="20">
      <c r="A1" s="284"/>
      <c r="B1" s="284"/>
      <c r="C1" s="284"/>
      <c r="D1" s="284"/>
      <c r="E1" s="284"/>
    </row>
    <row r="2" spans="1:29" s="149" customFormat="1" ht="20">
      <c r="A2" s="285"/>
      <c r="B2" s="285"/>
      <c r="C2" s="285"/>
      <c r="D2" s="285"/>
      <c r="E2" s="285"/>
      <c r="F2" s="201" t="s">
        <v>1145</v>
      </c>
      <c r="G2" s="202"/>
      <c r="H2" s="202"/>
      <c r="I2" s="202"/>
      <c r="J2" s="202"/>
      <c r="K2" s="202"/>
      <c r="L2" s="202"/>
      <c r="M2" s="202"/>
      <c r="N2" s="202"/>
      <c r="O2" s="202"/>
      <c r="P2" s="202"/>
      <c r="Q2" s="202"/>
      <c r="R2" s="202"/>
      <c r="S2" s="202"/>
      <c r="T2" s="202"/>
      <c r="U2" s="202"/>
      <c r="V2" s="202"/>
      <c r="W2" s="202"/>
      <c r="X2" s="202"/>
      <c r="Y2" s="202"/>
      <c r="Z2" s="202"/>
      <c r="AA2" s="202"/>
      <c r="AB2" s="202"/>
      <c r="AC2" s="202"/>
    </row>
    <row r="3" spans="1:29" s="149" customFormat="1" ht="20">
      <c r="B3" s="150"/>
      <c r="C3" s="151"/>
      <c r="D3" s="151"/>
      <c r="E3" s="150"/>
    </row>
    <row r="4" spans="1:29" ht="48.75" customHeight="1">
      <c r="A4" s="152" t="s">
        <v>1115</v>
      </c>
      <c r="B4" s="153" t="s">
        <v>825</v>
      </c>
      <c r="C4" s="154" t="s">
        <v>746</v>
      </c>
      <c r="D4" s="155" t="s">
        <v>747</v>
      </c>
      <c r="E4" s="154" t="s">
        <v>748</v>
      </c>
      <c r="F4" s="25" t="s">
        <v>1110</v>
      </c>
      <c r="G4" s="25" t="s">
        <v>1111</v>
      </c>
      <c r="H4" s="25" t="s">
        <v>1112</v>
      </c>
      <c r="I4" s="25" t="s">
        <v>1113</v>
      </c>
      <c r="J4" s="25" t="s">
        <v>1114</v>
      </c>
      <c r="K4" s="152" t="s">
        <v>1130</v>
      </c>
      <c r="M4"/>
      <c r="N4" t="s">
        <v>1289</v>
      </c>
    </row>
    <row r="5" spans="1:29" s="149" customFormat="1" ht="20">
      <c r="A5">
        <v>99265</v>
      </c>
      <c r="B5" t="s">
        <v>1120</v>
      </c>
      <c r="C5" s="161">
        <f>ROUND(INDEX(Table4[OIL],MATCH(Table2[[#This Row],[Rox Wolf'#]],Table4[Wolf],0)),0)</f>
        <v>0</v>
      </c>
      <c r="D5" s="161">
        <f>INDEX(Table4[GAS],MATCH(Table2[[#This Row],[Rox Wolf'#]],Table4[Wolf],0))</f>
        <v>8863</v>
      </c>
      <c r="E5" s="161">
        <f>INDEX(Table4[LEASE USE],MATCH(Table2[[#This Row],[Rox Wolf'#]],Table4[Wolf],0))</f>
        <v>245</v>
      </c>
      <c r="F5" s="163"/>
      <c r="G5" s="163"/>
      <c r="H5" s="163"/>
      <c r="I5" s="163"/>
      <c r="J5" s="159">
        <f>COUNTIF(FilterList,#REF!)</f>
        <v>0</v>
      </c>
      <c r="K5" s="163"/>
      <c r="M5" s="25"/>
      <c r="N5" s="259">
        <v>99265</v>
      </c>
    </row>
    <row r="6" spans="1:29" ht="14">
      <c r="A6">
        <v>99266</v>
      </c>
      <c r="B6" t="s">
        <v>1121</v>
      </c>
      <c r="C6" s="161">
        <f>ROUND(INDEX(Table4[OIL],MATCH(Table2[[#This Row],[Rox Wolf'#]],Table4[Wolf],0)),0)</f>
        <v>0</v>
      </c>
      <c r="D6" s="169">
        <f>INDEX(Table4[GAS],MATCH(Table2[[#This Row],[Rox Wolf'#]],Table4[Wolf],0))</f>
        <v>3068</v>
      </c>
      <c r="E6" s="169">
        <f>INDEX(Table4[LEASE USE],MATCH(Table2[[#This Row],[Rox Wolf'#]],Table4[Wolf],0))</f>
        <v>85</v>
      </c>
      <c r="F6" s="163"/>
      <c r="G6" s="163"/>
      <c r="H6" s="163"/>
      <c r="I6" s="163"/>
      <c r="J6" s="159">
        <f>COUNTIF(FilterList,#REF!)</f>
        <v>0</v>
      </c>
      <c r="K6" s="163"/>
      <c r="N6" s="260">
        <v>99266</v>
      </c>
    </row>
    <row r="7" spans="1:29" ht="14">
      <c r="A7">
        <v>99267</v>
      </c>
      <c r="B7" t="s">
        <v>1122</v>
      </c>
      <c r="C7" s="161">
        <f>ROUND(INDEX(Table4[OIL],MATCH(Table2[[#This Row],[Rox Wolf'#]],Table4[Wolf],0)),0)</f>
        <v>0</v>
      </c>
      <c r="D7" s="169">
        <f>INDEX(Table4[GAS],MATCH(Table2[[#This Row],[Rox Wolf'#]],Table4[Wolf],0))</f>
        <v>372</v>
      </c>
      <c r="E7" s="169">
        <f>INDEX(Table4[LEASE USE],MATCH(Table2[[#This Row],[Rox Wolf'#]],Table4[Wolf],0))</f>
        <v>22</v>
      </c>
      <c r="F7" s="163"/>
      <c r="G7" s="163"/>
      <c r="H7" s="163"/>
      <c r="I7" s="163"/>
      <c r="J7" s="159">
        <f>COUNTIF(FilterList,#REF!)</f>
        <v>0</v>
      </c>
      <c r="K7" s="163"/>
      <c r="N7" s="259">
        <v>99267</v>
      </c>
    </row>
    <row r="8" spans="1:29" ht="14">
      <c r="A8">
        <v>99229</v>
      </c>
      <c r="B8" t="s">
        <v>749</v>
      </c>
      <c r="C8" s="162">
        <f>ROUND(INDEX(Table4[OIL],MATCH(Table2[[#This Row],[Rox Wolf'#]],Table4[Wolf],0)),0)</f>
        <v>0</v>
      </c>
      <c r="D8" s="168">
        <f>INDEX(Table4[GAS],MATCH(Table2[[#This Row],[Rox Wolf'#]],Table4[Wolf],0))</f>
        <v>0</v>
      </c>
      <c r="E8" s="162">
        <f>INDEX(Table4[LEASE USE],MATCH(Table2[[#This Row],[Rox Wolf'#]],Table4[Wolf],0))</f>
        <v>0</v>
      </c>
      <c r="F8" s="163"/>
      <c r="G8" s="163"/>
      <c r="H8" s="163"/>
      <c r="I8" s="163"/>
      <c r="J8" s="159">
        <f>COUNTIF(FilterList,#REF!)</f>
        <v>0</v>
      </c>
      <c r="K8" s="163"/>
      <c r="N8" s="260">
        <v>99229</v>
      </c>
    </row>
    <row r="9" spans="1:29" ht="14">
      <c r="A9" s="195">
        <v>99282</v>
      </c>
      <c r="B9" s="195" t="s">
        <v>1268</v>
      </c>
      <c r="C9" s="162">
        <f>ROUND(INDEX(Table4[OIL],MATCH(Table2[[#This Row],[Rox Wolf'#]],Table4[Wolf],0)),0)</f>
        <v>0</v>
      </c>
      <c r="D9" s="168">
        <f>INDEX(Table4[GAS],MATCH(Table2[[#This Row],[Rox Wolf'#]],Table4[Wolf],0))</f>
        <v>0</v>
      </c>
      <c r="E9" s="162">
        <f>INDEX(Table4[LEASE USE],MATCH(Table2[[#This Row],[Rox Wolf'#]],Table4[Wolf],0))</f>
        <v>0</v>
      </c>
      <c r="F9" s="163"/>
      <c r="G9" s="163"/>
      <c r="H9" s="163"/>
      <c r="I9" s="163"/>
      <c r="J9" s="159">
        <f>COUNTIF(FilterList,#REF!)</f>
        <v>0</v>
      </c>
      <c r="K9" s="163"/>
      <c r="N9" s="259">
        <v>99282</v>
      </c>
    </row>
    <row r="10" spans="1:29" ht="14">
      <c r="A10">
        <v>93701</v>
      </c>
      <c r="B10" t="s">
        <v>796</v>
      </c>
      <c r="C10" s="162">
        <f>ROUND(INDEX(Table4[OIL],MATCH(Table2[[#This Row],[Rox Wolf'#]],Table4[Wolf],0)),0)</f>
        <v>0</v>
      </c>
      <c r="D10" s="168">
        <f>INDEX(Table4[GAS],MATCH(Table2[[#This Row],[Rox Wolf'#]],Table4[Wolf],0))</f>
        <v>10</v>
      </c>
      <c r="E10" s="162">
        <f>INDEX(Table4[LEASE USE],MATCH(Table2[[#This Row],[Rox Wolf'#]],Table4[Wolf],0))</f>
        <v>0</v>
      </c>
      <c r="F10" s="163"/>
      <c r="G10" s="163"/>
      <c r="H10" s="163"/>
      <c r="I10" s="163"/>
      <c r="J10" s="159">
        <f>COUNTIF(FilterList,#REF!)</f>
        <v>0</v>
      </c>
      <c r="K10" s="163"/>
      <c r="N10" s="260">
        <v>93701</v>
      </c>
    </row>
    <row r="11" spans="1:29" ht="14" hidden="1">
      <c r="A11">
        <v>99170</v>
      </c>
      <c r="B11" t="s">
        <v>798</v>
      </c>
      <c r="C11" s="162">
        <f>ROUND(INDEX(Table4[OIL],MATCH(Table2[[#This Row],[Rox Wolf'#]],Table4[Wolf],0)),0)</f>
        <v>0</v>
      </c>
      <c r="D11" s="168">
        <f>INDEX(Table4[GAS],MATCH(Table2[[#This Row],[Rox Wolf'#]],Table4[Wolf],0))</f>
        <v>0</v>
      </c>
      <c r="E11" s="162">
        <f>INDEX(Table4[LEASE USE],MATCH(Table2[[#This Row],[Rox Wolf'#]],Table4[Wolf],0))</f>
        <v>0</v>
      </c>
      <c r="F11" s="163"/>
      <c r="G11" s="163"/>
      <c r="H11" s="163"/>
      <c r="I11" s="163"/>
      <c r="J11" s="159">
        <f>COUNTIF(FilterList,#REF!)</f>
        <v>0</v>
      </c>
      <c r="K11" s="164" t="s">
        <v>1131</v>
      </c>
      <c r="M11"/>
      <c r="N11" s="259">
        <v>99170</v>
      </c>
    </row>
    <row r="12" spans="1:29" ht="14">
      <c r="A12">
        <v>96701</v>
      </c>
      <c r="B12" t="s">
        <v>750</v>
      </c>
      <c r="C12" s="162">
        <f>ROUND(INDEX(Table4[OIL],MATCH(Table2[[#This Row],[Rox Wolf'#]],Table4[Wolf],0)),0)</f>
        <v>0</v>
      </c>
      <c r="D12" s="168">
        <f>INDEX(Table4[GAS],MATCH(Table2[[#This Row],[Rox Wolf'#]],Table4[Wolf],0))</f>
        <v>38</v>
      </c>
      <c r="E12" s="162">
        <f>INDEX(Table4[LEASE USE],MATCH(Table2[[#This Row],[Rox Wolf'#]],Table4[Wolf],0))</f>
        <v>0</v>
      </c>
      <c r="F12" s="163"/>
      <c r="G12" s="163"/>
      <c r="H12" s="163"/>
      <c r="I12" s="163"/>
      <c r="J12" s="159">
        <f>COUNTIF(FilterList,#REF!)</f>
        <v>0</v>
      </c>
      <c r="K12" s="163"/>
      <c r="M12"/>
      <c r="N12" s="260">
        <v>96701</v>
      </c>
    </row>
    <row r="13" spans="1:29" ht="14">
      <c r="A13">
        <v>82001</v>
      </c>
      <c r="B13" t="s">
        <v>751</v>
      </c>
      <c r="C13" s="162">
        <f>ROUND(INDEX(Table4[OIL],MATCH(Table2[[#This Row],[Rox Wolf'#]],Table4[Wolf],0)),0)</f>
        <v>0</v>
      </c>
      <c r="D13" s="168">
        <f>INDEX(Table4[GAS],MATCH(Table2[[#This Row],[Rox Wolf'#]],Table4[Wolf],0))</f>
        <v>48</v>
      </c>
      <c r="E13" s="162">
        <f>INDEX(Table4[LEASE USE],MATCH(Table2[[#This Row],[Rox Wolf'#]],Table4[Wolf],0))</f>
        <v>0</v>
      </c>
      <c r="F13" s="163"/>
      <c r="G13" s="163"/>
      <c r="H13" s="163"/>
      <c r="I13" s="163"/>
      <c r="J13" s="159">
        <f>COUNTIF(FilterList,#REF!)</f>
        <v>0</v>
      </c>
      <c r="K13" s="163"/>
      <c r="M13"/>
      <c r="N13" s="259">
        <v>82001</v>
      </c>
    </row>
    <row r="14" spans="1:29" ht="14">
      <c r="A14">
        <v>96501</v>
      </c>
      <c r="B14" t="s">
        <v>752</v>
      </c>
      <c r="C14" s="162">
        <f>ROUND(INDEX(Table4[OIL],MATCH(Table2[[#This Row],[Rox Wolf'#]],Table4[Wolf],0)),0)</f>
        <v>0</v>
      </c>
      <c r="D14" s="168">
        <f>INDEX(Table4[GAS],MATCH(Table2[[#This Row],[Rox Wolf'#]],Table4[Wolf],0))</f>
        <v>2078</v>
      </c>
      <c r="E14" s="162">
        <f>INDEX(Table4[LEASE USE],MATCH(Table2[[#This Row],[Rox Wolf'#]],Table4[Wolf],0))</f>
        <v>93</v>
      </c>
      <c r="F14" s="163"/>
      <c r="G14" s="163"/>
      <c r="H14" s="163"/>
      <c r="I14" s="163"/>
      <c r="J14" s="159">
        <f>COUNTIF(FilterList,#REF!)</f>
        <v>0</v>
      </c>
      <c r="K14" s="163"/>
      <c r="L14"/>
      <c r="M14"/>
      <c r="N14" s="260">
        <v>96501</v>
      </c>
      <c r="O14"/>
    </row>
    <row r="15" spans="1:29" ht="14">
      <c r="A15">
        <v>99230</v>
      </c>
      <c r="B15" t="s">
        <v>753</v>
      </c>
      <c r="C15" s="162">
        <f>ROUND(INDEX(Table4[OIL],MATCH(Table2[[#This Row],[Rox Wolf'#]],Table4[Wolf],0)),0)</f>
        <v>180</v>
      </c>
      <c r="D15" s="168">
        <f>INDEX(Table4[GAS],MATCH(Table2[[#This Row],[Rox Wolf'#]],Table4[Wolf],0))</f>
        <v>2019</v>
      </c>
      <c r="E15" s="162">
        <f>INDEX(Table4[LEASE USE],MATCH(Table2[[#This Row],[Rox Wolf'#]],Table4[Wolf],0))</f>
        <v>0</v>
      </c>
      <c r="F15" s="163"/>
      <c r="G15" s="163"/>
      <c r="H15" s="163"/>
      <c r="I15" s="163"/>
      <c r="J15" s="159">
        <f>COUNTIF(FilterList,#REF!)</f>
        <v>0</v>
      </c>
      <c r="K15" s="163"/>
      <c r="L15"/>
      <c r="M15"/>
      <c r="N15" s="259">
        <v>99230</v>
      </c>
      <c r="O15"/>
    </row>
    <row r="16" spans="1:29" ht="14">
      <c r="A16">
        <v>99286</v>
      </c>
      <c r="B16" t="s">
        <v>754</v>
      </c>
      <c r="C16" s="162">
        <f>ROUND(INDEX(Table4[OIL],MATCH(Table2[[#This Row],[Rox Wolf'#]],Table4[Wolf],0)),0)</f>
        <v>0</v>
      </c>
      <c r="D16" s="168">
        <f>INDEX(Table4[GAS],MATCH(Table2[[#This Row],[Rox Wolf'#]],Table4[Wolf],0))</f>
        <v>654</v>
      </c>
      <c r="E16" s="162">
        <f>INDEX(Table4[LEASE USE],MATCH(Table2[[#This Row],[Rox Wolf'#]],Table4[Wolf],0))</f>
        <v>0</v>
      </c>
      <c r="F16" s="163"/>
      <c r="G16" s="163"/>
      <c r="H16" s="163"/>
      <c r="I16" s="163"/>
      <c r="J16" s="159">
        <f>COUNTIF(FilterList,#REF!)</f>
        <v>0</v>
      </c>
      <c r="K16" s="163"/>
      <c r="L16"/>
      <c r="M16"/>
      <c r="N16" s="260">
        <v>99286</v>
      </c>
      <c r="O16"/>
    </row>
    <row r="17" spans="1:15" ht="14">
      <c r="A17">
        <v>99294</v>
      </c>
      <c r="B17" t="s">
        <v>755</v>
      </c>
      <c r="C17" s="162">
        <f>ROUND(INDEX(Table4[OIL],MATCH(Table2[[#This Row],[Rox Wolf'#]],Table4[Wolf],0)),0)</f>
        <v>1109</v>
      </c>
      <c r="D17" s="168">
        <f>INDEX(Table4[GAS],MATCH(Table2[[#This Row],[Rox Wolf'#]],Table4[Wolf],0))</f>
        <v>1530</v>
      </c>
      <c r="E17" s="162">
        <f>INDEX(Table4[LEASE USE],MATCH(Table2[[#This Row],[Rox Wolf'#]],Table4[Wolf],0))</f>
        <v>31</v>
      </c>
      <c r="F17" s="163"/>
      <c r="G17" s="163"/>
      <c r="H17" s="163"/>
      <c r="I17" s="163"/>
      <c r="J17" s="159">
        <f>COUNTIF(FilterList,#REF!)</f>
        <v>0</v>
      </c>
      <c r="K17" s="163"/>
      <c r="L17"/>
      <c r="M17"/>
      <c r="N17" s="259">
        <v>99294</v>
      </c>
      <c r="O17"/>
    </row>
    <row r="18" spans="1:15" ht="14">
      <c r="A18">
        <v>99293</v>
      </c>
      <c r="B18" t="s">
        <v>756</v>
      </c>
      <c r="C18" s="162">
        <f>ROUND(INDEX(Table4[OIL],MATCH(Table2[[#This Row],[Rox Wolf'#]],Table4[Wolf],0)),0)</f>
        <v>0</v>
      </c>
      <c r="D18" s="168">
        <f>INDEX(Table4[GAS],MATCH(Table2[[#This Row],[Rox Wolf'#]],Table4[Wolf],0))</f>
        <v>608</v>
      </c>
      <c r="E18" s="162">
        <f>INDEX(Table4[LEASE USE],MATCH(Table2[[#This Row],[Rox Wolf'#]],Table4[Wolf],0))</f>
        <v>31</v>
      </c>
      <c r="F18" s="163"/>
      <c r="G18" s="163"/>
      <c r="H18" s="163"/>
      <c r="I18" s="163"/>
      <c r="J18" s="159">
        <f>COUNTIF(FilterList,#REF!)</f>
        <v>0</v>
      </c>
      <c r="K18" s="163"/>
      <c r="L18"/>
      <c r="M18"/>
      <c r="N18" s="260">
        <v>99293</v>
      </c>
      <c r="O18"/>
    </row>
    <row r="19" spans="1:15" ht="14">
      <c r="A19">
        <v>99295</v>
      </c>
      <c r="B19" t="s">
        <v>757</v>
      </c>
      <c r="C19" s="162">
        <f>ROUND(INDEX(Table4[OIL],MATCH(Table2[[#This Row],[Rox Wolf'#]],Table4[Wolf],0)),0)</f>
        <v>2469</v>
      </c>
      <c r="D19" s="168">
        <f>INDEX(Table4[GAS],MATCH(Table2[[#This Row],[Rox Wolf'#]],Table4[Wolf],0))</f>
        <v>3861</v>
      </c>
      <c r="E19" s="162">
        <f>INDEX(Table4[LEASE USE],MATCH(Table2[[#This Row],[Rox Wolf'#]],Table4[Wolf],0))</f>
        <v>217</v>
      </c>
      <c r="F19" s="163"/>
      <c r="G19" s="163"/>
      <c r="H19" s="163"/>
      <c r="I19" s="163"/>
      <c r="J19" s="159">
        <f>COUNTIF(FilterList,#REF!)</f>
        <v>0</v>
      </c>
      <c r="K19" s="163"/>
      <c r="L19"/>
      <c r="N19" s="259">
        <v>99295</v>
      </c>
      <c r="O19"/>
    </row>
    <row r="20" spans="1:15" ht="14">
      <c r="A20">
        <v>99228</v>
      </c>
      <c r="B20" t="s">
        <v>78</v>
      </c>
      <c r="C20" s="162">
        <f>ROUND(INDEX(Table4[OIL],MATCH(Table2[[#This Row],[Rox Wolf'#]],Table4[Wolf],0)),0)</f>
        <v>0</v>
      </c>
      <c r="D20" s="167">
        <f>INDEX(Table4[GAS],MATCH(Table2[[#This Row],[Rox Wolf'#]],Table4[Wolf],0))</f>
        <v>0</v>
      </c>
      <c r="E20" s="162">
        <f>INDEX(Table4[LEASE USE],MATCH(Table2[[#This Row],[Rox Wolf'#]],Table4[Wolf],0))</f>
        <v>0</v>
      </c>
      <c r="F20" s="163"/>
      <c r="G20" s="163"/>
      <c r="H20" s="163"/>
      <c r="I20" s="163"/>
      <c r="J20" s="159">
        <f>COUNTIF(FilterList,#REF!)</f>
        <v>0</v>
      </c>
      <c r="K20" s="163"/>
      <c r="L20"/>
      <c r="N20" s="260">
        <v>99228</v>
      </c>
      <c r="O20"/>
    </row>
    <row r="21" spans="1:15" ht="14" hidden="1">
      <c r="A21">
        <v>99200</v>
      </c>
      <c r="B21" t="s">
        <v>800</v>
      </c>
      <c r="C21" s="162">
        <f>ROUND(INDEX(Table4[OIL],MATCH(Table2[[#This Row],[Rox Wolf'#]],Table4[Wolf],0)),0)</f>
        <v>1288</v>
      </c>
      <c r="D21" s="168">
        <f>INDEX(Table4[GAS],MATCH(Table2[[#This Row],[Rox Wolf'#]],Table4[Wolf],0))</f>
        <v>0</v>
      </c>
      <c r="E21" s="162">
        <f>INDEX(Table4[LEASE USE],MATCH(Table2[[#This Row],[Rox Wolf'#]],Table4[Wolf],0))</f>
        <v>0</v>
      </c>
      <c r="F21" s="163"/>
      <c r="G21" s="163"/>
      <c r="H21" s="163"/>
      <c r="I21" s="163"/>
      <c r="J21" s="159">
        <f>COUNTIF(FilterList,#REF!)</f>
        <v>0</v>
      </c>
      <c r="K21" s="164" t="s">
        <v>1132</v>
      </c>
      <c r="L21"/>
      <c r="N21" s="259">
        <v>99200</v>
      </c>
      <c r="O21"/>
    </row>
    <row r="22" spans="1:15" ht="14">
      <c r="A22">
        <v>99255</v>
      </c>
      <c r="B22" t="s">
        <v>758</v>
      </c>
      <c r="C22" s="162">
        <f>ROUND(INDEX(Table4[OIL],MATCH(Table2[[#This Row],[Rox Wolf'#]],Table4[Wolf],0)),0)</f>
        <v>0</v>
      </c>
      <c r="D22" s="168">
        <f>INDEX(Table4[GAS],MATCH(Table2[[#This Row],[Rox Wolf'#]],Table4[Wolf],0))</f>
        <v>0</v>
      </c>
      <c r="E22" s="162">
        <f>INDEX(Table4[LEASE USE],MATCH(Table2[[#This Row],[Rox Wolf'#]],Table4[Wolf],0))</f>
        <v>0</v>
      </c>
      <c r="F22" s="163"/>
      <c r="G22" s="163"/>
      <c r="H22" s="163"/>
      <c r="I22" s="163"/>
      <c r="J22" s="159">
        <f>COUNTIF(FilterList,#REF!)</f>
        <v>0</v>
      </c>
      <c r="K22" s="163"/>
      <c r="N22" s="260">
        <v>99255</v>
      </c>
    </row>
    <row r="23" spans="1:15" ht="14">
      <c r="A23">
        <v>98921</v>
      </c>
      <c r="B23" t="s">
        <v>801</v>
      </c>
      <c r="C23" s="162">
        <f>ROUND(INDEX(Table4[OIL],MATCH(Table2[[#This Row],[Rox Wolf'#]],Table4[Wolf],0)),0)</f>
        <v>164</v>
      </c>
      <c r="D23" s="168">
        <f>INDEX(Table4[GAS],MATCH(Table2[[#This Row],[Rox Wolf'#]],Table4[Wolf],0))</f>
        <v>0</v>
      </c>
      <c r="E23" s="162">
        <f>INDEX(Table4[LEASE USE],MATCH(Table2[[#This Row],[Rox Wolf'#]],Table4[Wolf],0))</f>
        <v>0</v>
      </c>
      <c r="F23" s="163"/>
      <c r="G23" s="163"/>
      <c r="H23" s="163"/>
      <c r="I23" s="163"/>
      <c r="J23" s="159">
        <f>COUNTIF(FilterList,#REF!)</f>
        <v>0</v>
      </c>
      <c r="K23" s="163"/>
      <c r="N23" s="259">
        <v>98921</v>
      </c>
    </row>
    <row r="24" spans="1:15" ht="14">
      <c r="A24">
        <v>99017</v>
      </c>
      <c r="B24" t="s">
        <v>759</v>
      </c>
      <c r="C24" s="162">
        <f>ROUND(INDEX(Table4[OIL],MATCH(Table2[[#This Row],[Rox Wolf'#]],Table4[Wolf],0)),0)</f>
        <v>0</v>
      </c>
      <c r="D24" s="168">
        <f>INDEX(Table4[GAS],MATCH(Table2[[#This Row],[Rox Wolf'#]],Table4[Wolf],0))</f>
        <v>4448</v>
      </c>
      <c r="E24" s="162">
        <f>INDEX(Table4[LEASE USE],MATCH(Table2[[#This Row],[Rox Wolf'#]],Table4[Wolf],0))</f>
        <v>210</v>
      </c>
      <c r="F24" s="163"/>
      <c r="G24" s="163"/>
      <c r="H24" s="163"/>
      <c r="I24" s="163"/>
      <c r="J24" s="159">
        <f>COUNTIF(FilterList,#REF!)</f>
        <v>0</v>
      </c>
      <c r="K24" s="163"/>
      <c r="N24" s="260">
        <v>99017</v>
      </c>
    </row>
    <row r="25" spans="1:15" ht="14">
      <c r="A25">
        <v>99067</v>
      </c>
      <c r="B25" t="s">
        <v>760</v>
      </c>
      <c r="C25" s="162">
        <f>ROUND(INDEX(Table4[OIL],MATCH(Table2[[#This Row],[Rox Wolf'#]],Table4[Wolf],0)),0)</f>
        <v>0</v>
      </c>
      <c r="D25" s="168">
        <f>INDEX(Table4[GAS],MATCH(Table2[[#This Row],[Rox Wolf'#]],Table4[Wolf],0))</f>
        <v>268</v>
      </c>
      <c r="E25" s="162">
        <f>INDEX(Table4[LEASE USE],MATCH(Table2[[#This Row],[Rox Wolf'#]],Table4[Wolf],0))</f>
        <v>0</v>
      </c>
      <c r="F25" s="163"/>
      <c r="G25" s="163"/>
      <c r="H25" s="163"/>
      <c r="I25" s="163"/>
      <c r="J25" s="159">
        <f>COUNTIF(FilterList,#REF!)</f>
        <v>0</v>
      </c>
      <c r="K25" s="163"/>
      <c r="N25" s="259">
        <v>99067</v>
      </c>
    </row>
    <row r="26" spans="1:15" ht="14">
      <c r="A26">
        <v>99169</v>
      </c>
      <c r="B26" t="s">
        <v>802</v>
      </c>
      <c r="C26" s="162">
        <f>ROUND(INDEX(Table4[OIL],MATCH(Table2[[#This Row],[Rox Wolf'#]],Table4[Wolf],0)),0)</f>
        <v>0</v>
      </c>
      <c r="D26" s="168">
        <f>INDEX(Table4[GAS],MATCH(Table2[[#This Row],[Rox Wolf'#]],Table4[Wolf],0))</f>
        <v>0</v>
      </c>
      <c r="E26" s="162">
        <f>INDEX(Table4[LEASE USE],MATCH(Table2[[#This Row],[Rox Wolf'#]],Table4[Wolf],0))</f>
        <v>0</v>
      </c>
      <c r="F26" s="163"/>
      <c r="G26" s="163"/>
      <c r="H26" s="163"/>
      <c r="I26" s="163"/>
      <c r="J26" s="159">
        <f>COUNTIF(FilterList,#REF!)</f>
        <v>0</v>
      </c>
      <c r="K26" s="163"/>
      <c r="N26" s="260">
        <v>99169</v>
      </c>
    </row>
    <row r="27" spans="1:15" ht="14">
      <c r="A27">
        <v>99069</v>
      </c>
      <c r="B27" t="s">
        <v>761</v>
      </c>
      <c r="C27" s="162">
        <f>ROUND(INDEX(Table4[OIL],MATCH(Table2[[#This Row],[Rox Wolf'#]],Table4[Wolf],0)),0)</f>
        <v>0</v>
      </c>
      <c r="D27" s="168">
        <f>INDEX(Table4[GAS],MATCH(Table2[[#This Row],[Rox Wolf'#]],Table4[Wolf],0))</f>
        <v>1653</v>
      </c>
      <c r="E27" s="162">
        <f>INDEX(Table4[LEASE USE],MATCH(Table2[[#This Row],[Rox Wolf'#]],Table4[Wolf],0))</f>
        <v>0</v>
      </c>
      <c r="F27" s="163"/>
      <c r="G27" s="163"/>
      <c r="H27" s="163"/>
      <c r="I27" s="163"/>
      <c r="J27" s="159">
        <f>COUNTIF(FilterList,#REF!)</f>
        <v>0</v>
      </c>
      <c r="K27" s="163"/>
      <c r="N27" s="259">
        <v>99069</v>
      </c>
    </row>
    <row r="28" spans="1:15" ht="14">
      <c r="A28">
        <v>98965</v>
      </c>
      <c r="B28" t="s">
        <v>762</v>
      </c>
      <c r="C28" s="162">
        <f>ROUND(INDEX(Table4[OIL],MATCH(Table2[[#This Row],[Rox Wolf'#]],Table4[Wolf],0)),0)</f>
        <v>0</v>
      </c>
      <c r="D28" s="168">
        <f>INDEX(Table4[GAS],MATCH(Table2[[#This Row],[Rox Wolf'#]],Table4[Wolf],0))</f>
        <v>792</v>
      </c>
      <c r="E28" s="162">
        <f>INDEX(Table4[LEASE USE],MATCH(Table2[[#This Row],[Rox Wolf'#]],Table4[Wolf],0))</f>
        <v>31</v>
      </c>
      <c r="F28" s="163"/>
      <c r="G28" s="163"/>
      <c r="H28" s="163"/>
      <c r="I28" s="163"/>
      <c r="J28" s="159">
        <f>COUNTIF(FilterList,#REF!)</f>
        <v>0</v>
      </c>
      <c r="K28" s="163"/>
      <c r="N28" s="260">
        <v>98965</v>
      </c>
    </row>
    <row r="29" spans="1:15" ht="14">
      <c r="A29">
        <v>99225</v>
      </c>
      <c r="B29" t="s">
        <v>1123</v>
      </c>
      <c r="C29" s="162">
        <f>ROUND(INDEX(Table4[OIL],MATCH(Table2[[#This Row],[Rox Wolf'#]],Table4[Wolf],0)),0)</f>
        <v>0</v>
      </c>
      <c r="D29" s="168">
        <f>INDEX(Table4[GAS],MATCH(Table2[[#This Row],[Rox Wolf'#]],Table4[Wolf],0))</f>
        <v>0</v>
      </c>
      <c r="E29" s="162">
        <f>INDEX(Table4[LEASE USE],MATCH(Table2[[#This Row],[Rox Wolf'#]],Table4[Wolf],0))</f>
        <v>0</v>
      </c>
      <c r="F29" s="163"/>
      <c r="G29" s="163"/>
      <c r="H29" s="163"/>
      <c r="I29" s="163"/>
      <c r="J29" s="159">
        <f>COUNTIF(FilterList,#REF!)</f>
        <v>0</v>
      </c>
      <c r="K29" s="163"/>
      <c r="N29" s="259">
        <v>99225</v>
      </c>
    </row>
    <row r="30" spans="1:15" ht="14">
      <c r="A30">
        <v>48001</v>
      </c>
      <c r="B30" t="s">
        <v>763</v>
      </c>
      <c r="C30" s="162">
        <f>ROUND(INDEX(Table4[OIL],MATCH(Table2[[#This Row],[Rox Wolf'#]],Table4[Wolf],0)),0)</f>
        <v>0</v>
      </c>
      <c r="D30" s="168">
        <f>INDEX(Table4[GAS],MATCH(Table2[[#This Row],[Rox Wolf'#]],Table4[Wolf],0))</f>
        <v>187</v>
      </c>
      <c r="E30" s="162">
        <f>INDEX(Table4[LEASE USE],MATCH(Table2[[#This Row],[Rox Wolf'#]],Table4[Wolf],0))</f>
        <v>31</v>
      </c>
      <c r="F30" s="163"/>
      <c r="G30" s="163"/>
      <c r="H30" s="163"/>
      <c r="I30" s="163"/>
      <c r="J30" s="159">
        <f>COUNTIF(FilterList,#REF!)</f>
        <v>0</v>
      </c>
      <c r="K30" s="163"/>
      <c r="N30" s="260">
        <v>48001</v>
      </c>
    </row>
    <row r="31" spans="1:15" ht="14">
      <c r="A31">
        <v>93806</v>
      </c>
      <c r="B31" t="s">
        <v>803</v>
      </c>
      <c r="C31" s="162">
        <f>ROUND(INDEX(Table4[OIL],MATCH(Table2[[#This Row],[Rox Wolf'#]],Table4[Wolf],0)),0)</f>
        <v>0</v>
      </c>
      <c r="D31" s="168">
        <f>INDEX(Table4[GAS],MATCH(Table2[[#This Row],[Rox Wolf'#]],Table4[Wolf],0))</f>
        <v>0</v>
      </c>
      <c r="E31" s="162">
        <f>INDEX(Table4[LEASE USE],MATCH(Table2[[#This Row],[Rox Wolf'#]],Table4[Wolf],0))</f>
        <v>0</v>
      </c>
      <c r="F31" s="163"/>
      <c r="G31" s="163"/>
      <c r="H31" s="163"/>
      <c r="I31" s="163"/>
      <c r="J31" s="159">
        <f>COUNTIF(FilterList,#REF!)</f>
        <v>0</v>
      </c>
      <c r="K31" s="163"/>
      <c r="N31" s="259">
        <v>93806</v>
      </c>
    </row>
    <row r="32" spans="1:15" ht="14">
      <c r="A32">
        <v>98961</v>
      </c>
      <c r="B32" t="s">
        <v>804</v>
      </c>
      <c r="C32" s="162">
        <f>ROUND(INDEX(Table4[OIL],MATCH(Table2[[#This Row],[Rox Wolf'#]],Table4[Wolf],0)),0)</f>
        <v>355</v>
      </c>
      <c r="D32" s="168">
        <f>INDEX(Table4[GAS],MATCH(Table2[[#This Row],[Rox Wolf'#]],Table4[Wolf],0))</f>
        <v>2046</v>
      </c>
      <c r="E32" s="162">
        <f>INDEX(Table4[LEASE USE],MATCH(Table2[[#This Row],[Rox Wolf'#]],Table4[Wolf],0))</f>
        <v>0</v>
      </c>
      <c r="F32" s="163"/>
      <c r="G32" s="163"/>
      <c r="H32" s="163"/>
      <c r="I32" s="163"/>
      <c r="J32" s="159">
        <f>COUNTIF(FilterList,#REF!)</f>
        <v>0</v>
      </c>
      <c r="K32" s="163"/>
      <c r="N32" s="260">
        <v>98961</v>
      </c>
    </row>
    <row r="33" spans="1:14" ht="14">
      <c r="A33">
        <v>99307</v>
      </c>
      <c r="B33" t="s">
        <v>764</v>
      </c>
      <c r="C33" s="162">
        <f>ROUND(INDEX(Table4[OIL],MATCH(Table2[[#This Row],[Rox Wolf'#]],Table4[Wolf],0)),0)</f>
        <v>0</v>
      </c>
      <c r="D33" s="168">
        <f>INDEX(Table4[GAS],MATCH(Table2[[#This Row],[Rox Wolf'#]],Table4[Wolf],0))</f>
        <v>548</v>
      </c>
      <c r="E33" s="162">
        <f>INDEX(Table4[LEASE USE],MATCH(Table2[[#This Row],[Rox Wolf'#]],Table4[Wolf],0))</f>
        <v>0</v>
      </c>
      <c r="F33" s="163"/>
      <c r="G33" s="163"/>
      <c r="H33" s="163"/>
      <c r="I33" s="163"/>
      <c r="J33" s="159">
        <f>COUNTIF(FilterList,#REF!)</f>
        <v>0</v>
      </c>
      <c r="K33" s="163"/>
      <c r="N33" s="259">
        <v>99307</v>
      </c>
    </row>
    <row r="34" spans="1:14" ht="14">
      <c r="A34">
        <v>98987</v>
      </c>
      <c r="B34" t="s">
        <v>765</v>
      </c>
      <c r="C34" s="162">
        <f>ROUND(INDEX(Table4[OIL],MATCH(Table2[[#This Row],[Rox Wolf'#]],Table4[Wolf],0)),0)</f>
        <v>0</v>
      </c>
      <c r="D34" s="168">
        <f>INDEX(Table4[GAS],MATCH(Table2[[#This Row],[Rox Wolf'#]],Table4[Wolf],0))</f>
        <v>0</v>
      </c>
      <c r="E34" s="162">
        <f>INDEX(Table4[LEASE USE],MATCH(Table2[[#This Row],[Rox Wolf'#]],Table4[Wolf],0))</f>
        <v>0</v>
      </c>
      <c r="F34" s="163"/>
      <c r="G34" s="163"/>
      <c r="H34" s="163"/>
      <c r="I34" s="163"/>
      <c r="J34" s="159">
        <f>COUNTIF(FilterList,#REF!)</f>
        <v>0</v>
      </c>
      <c r="K34" s="163"/>
      <c r="N34" s="260">
        <v>98987</v>
      </c>
    </row>
    <row r="35" spans="1:14" ht="14">
      <c r="A35">
        <v>98988</v>
      </c>
      <c r="B35" t="s">
        <v>766</v>
      </c>
      <c r="C35" s="162">
        <f>ROUND(INDEX(Table4[OIL],MATCH(Table2[[#This Row],[Rox Wolf'#]],Table4[Wolf],0)),0)</f>
        <v>0</v>
      </c>
      <c r="D35" s="168">
        <f>INDEX(Table4[GAS],MATCH(Table2[[#This Row],[Rox Wolf'#]],Table4[Wolf],0))</f>
        <v>2438</v>
      </c>
      <c r="E35" s="162">
        <f>INDEX(Table4[LEASE USE],MATCH(Table2[[#This Row],[Rox Wolf'#]],Table4[Wolf],0))</f>
        <v>155</v>
      </c>
      <c r="F35" s="163"/>
      <c r="G35" s="163"/>
      <c r="H35" s="163"/>
      <c r="I35" s="163"/>
      <c r="J35" s="159">
        <f>COUNTIF(FilterList,#REF!)</f>
        <v>0</v>
      </c>
      <c r="K35" s="163"/>
      <c r="N35" s="259">
        <v>98988</v>
      </c>
    </row>
    <row r="36" spans="1:14" ht="14">
      <c r="A36">
        <v>99007</v>
      </c>
      <c r="B36" t="s">
        <v>767</v>
      </c>
      <c r="C36" s="162">
        <f>ROUND(INDEX(Table4[OIL],MATCH(Table2[[#This Row],[Rox Wolf'#]],Table4[Wolf],0)),0)</f>
        <v>0</v>
      </c>
      <c r="D36" s="168">
        <f>INDEX(Table4[GAS],MATCH(Table2[[#This Row],[Rox Wolf'#]],Table4[Wolf],0))</f>
        <v>114</v>
      </c>
      <c r="E36" s="162">
        <f>INDEX(Table4[LEASE USE],MATCH(Table2[[#This Row],[Rox Wolf'#]],Table4[Wolf],0))</f>
        <v>31</v>
      </c>
      <c r="F36" s="163"/>
      <c r="G36" s="163"/>
      <c r="H36" s="163"/>
      <c r="I36" s="163"/>
      <c r="J36" s="159">
        <f>COUNTIF(FilterList,#REF!)</f>
        <v>0</v>
      </c>
      <c r="K36" s="163"/>
      <c r="N36" s="260">
        <v>99007</v>
      </c>
    </row>
    <row r="37" spans="1:14" ht="14">
      <c r="A37">
        <v>98956</v>
      </c>
      <c r="B37" t="s">
        <v>768</v>
      </c>
      <c r="C37" s="162">
        <f>ROUND(INDEX(Table4[OIL],MATCH(Table2[[#This Row],[Rox Wolf'#]],Table4[Wolf],0)),0)</f>
        <v>0</v>
      </c>
      <c r="D37" s="168">
        <f>INDEX(Table4[GAS],MATCH(Table2[[#This Row],[Rox Wolf'#]],Table4[Wolf],0))</f>
        <v>490</v>
      </c>
      <c r="E37" s="162">
        <f>INDEX(Table4[LEASE USE],MATCH(Table2[[#This Row],[Rox Wolf'#]],Table4[Wolf],0))</f>
        <v>62</v>
      </c>
      <c r="F37" s="163"/>
      <c r="G37" s="163"/>
      <c r="H37" s="163"/>
      <c r="I37" s="163"/>
      <c r="J37" s="159">
        <f>COUNTIF(FilterList,#REF!)</f>
        <v>0</v>
      </c>
      <c r="K37" s="163"/>
      <c r="N37" s="259">
        <v>98956</v>
      </c>
    </row>
    <row r="38" spans="1:14" ht="14">
      <c r="A38">
        <v>98958</v>
      </c>
      <c r="B38" t="s">
        <v>769</v>
      </c>
      <c r="C38" s="162">
        <f>ROUND(INDEX(Table4[OIL],MATCH(Table2[[#This Row],[Rox Wolf'#]],Table4[Wolf],0)),0)</f>
        <v>0</v>
      </c>
      <c r="D38" s="168">
        <f>INDEX(Table4[GAS],MATCH(Table2[[#This Row],[Rox Wolf'#]],Table4[Wolf],0))</f>
        <v>2368</v>
      </c>
      <c r="E38" s="162">
        <f>INDEX(Table4[LEASE USE],MATCH(Table2[[#This Row],[Rox Wolf'#]],Table4[Wolf],0))</f>
        <v>186</v>
      </c>
      <c r="F38" s="163"/>
      <c r="G38" s="163"/>
      <c r="H38" s="163"/>
      <c r="I38" s="163"/>
      <c r="J38" s="159">
        <f>COUNTIF(FilterList,#REF!)</f>
        <v>0</v>
      </c>
      <c r="K38" s="163"/>
      <c r="N38" s="260">
        <v>98958</v>
      </c>
    </row>
    <row r="39" spans="1:14" ht="14">
      <c r="A39">
        <v>98959</v>
      </c>
      <c r="B39" t="s">
        <v>770</v>
      </c>
      <c r="C39" s="162">
        <f>ROUND(INDEX(Table4[OIL],MATCH(Table2[[#This Row],[Rox Wolf'#]],Table4[Wolf],0)),0)</f>
        <v>0</v>
      </c>
      <c r="D39" s="168">
        <f>INDEX(Table4[GAS],MATCH(Table2[[#This Row],[Rox Wolf'#]],Table4[Wolf],0))</f>
        <v>73</v>
      </c>
      <c r="E39" s="162">
        <f>INDEX(Table4[LEASE USE],MATCH(Table2[[#This Row],[Rox Wolf'#]],Table4[Wolf],0))</f>
        <v>0</v>
      </c>
      <c r="F39" s="163"/>
      <c r="G39" s="163"/>
      <c r="H39" s="163"/>
      <c r="I39" s="163"/>
      <c r="J39" s="159">
        <f>COUNTIF(FilterList,#REF!)</f>
        <v>0</v>
      </c>
      <c r="K39" s="163"/>
      <c r="N39" s="259">
        <v>98959</v>
      </c>
    </row>
    <row r="40" spans="1:14" ht="14">
      <c r="A40">
        <v>99093</v>
      </c>
      <c r="B40" t="s">
        <v>771</v>
      </c>
      <c r="C40" s="162">
        <f>ROUND(INDEX(Table4[OIL],MATCH(Table2[[#This Row],[Rox Wolf'#]],Table4[Wolf],0)),0)</f>
        <v>0</v>
      </c>
      <c r="D40" s="168">
        <f>INDEX(Table4[GAS],MATCH(Table2[[#This Row],[Rox Wolf'#]],Table4[Wolf],0))</f>
        <v>2545</v>
      </c>
      <c r="E40" s="162">
        <f>INDEX(Table4[LEASE USE],MATCH(Table2[[#This Row],[Rox Wolf'#]],Table4[Wolf],0))</f>
        <v>112</v>
      </c>
      <c r="F40" s="163"/>
      <c r="G40" s="163"/>
      <c r="H40" s="163"/>
      <c r="I40" s="163"/>
      <c r="J40" s="159">
        <f>COUNTIF(FilterList,#REF!)</f>
        <v>0</v>
      </c>
      <c r="K40" s="163"/>
      <c r="N40" s="260">
        <v>99093</v>
      </c>
    </row>
    <row r="41" spans="1:14" ht="14">
      <c r="A41">
        <v>99094</v>
      </c>
      <c r="B41" t="s">
        <v>772</v>
      </c>
      <c r="C41" s="162">
        <f>ROUND(INDEX(Table4[OIL],MATCH(Table2[[#This Row],[Rox Wolf'#]],Table4[Wolf],0)),0)</f>
        <v>0</v>
      </c>
      <c r="D41" s="168">
        <f>INDEX(Table4[GAS],MATCH(Table2[[#This Row],[Rox Wolf'#]],Table4[Wolf],0))</f>
        <v>2517</v>
      </c>
      <c r="E41" s="162">
        <f>INDEX(Table4[LEASE USE],MATCH(Table2[[#This Row],[Rox Wolf'#]],Table4[Wolf],0))</f>
        <v>112</v>
      </c>
      <c r="F41" s="163"/>
      <c r="G41" s="163"/>
      <c r="H41" s="163"/>
      <c r="I41" s="163"/>
      <c r="J41" s="159">
        <f>COUNTIF(FilterList,#REF!)</f>
        <v>0</v>
      </c>
      <c r="K41" s="163"/>
      <c r="N41" s="259">
        <v>99094</v>
      </c>
    </row>
    <row r="42" spans="1:14" ht="14">
      <c r="A42">
        <v>99095</v>
      </c>
      <c r="B42" t="s">
        <v>773</v>
      </c>
      <c r="C42" s="162">
        <f>ROUND(INDEX(Table4[OIL],MATCH(Table2[[#This Row],[Rox Wolf'#]],Table4[Wolf],0)),0)</f>
        <v>0</v>
      </c>
      <c r="D42" s="168">
        <f>INDEX(Table4[GAS],MATCH(Table2[[#This Row],[Rox Wolf'#]],Table4[Wolf],0))</f>
        <v>963</v>
      </c>
      <c r="E42" s="162">
        <f>INDEX(Table4[LEASE USE],MATCH(Table2[[#This Row],[Rox Wolf'#]],Table4[Wolf],0))</f>
        <v>28</v>
      </c>
      <c r="F42" s="163"/>
      <c r="G42" s="163"/>
      <c r="H42" s="163"/>
      <c r="I42" s="163"/>
      <c r="J42" s="159">
        <f>COUNTIF(FilterList,#REF!)</f>
        <v>0</v>
      </c>
      <c r="K42" s="163"/>
      <c r="N42" s="260">
        <v>99095</v>
      </c>
    </row>
    <row r="43" spans="1:14" ht="14">
      <c r="A43">
        <v>98801</v>
      </c>
      <c r="B43" t="s">
        <v>774</v>
      </c>
      <c r="C43" s="162">
        <f>ROUND(INDEX(Table4[OIL],MATCH(Table2[[#This Row],[Rox Wolf'#]],Table4[Wolf],0)),0)</f>
        <v>190</v>
      </c>
      <c r="D43" s="168">
        <f>INDEX(Table4[GAS],MATCH(Table2[[#This Row],[Rox Wolf'#]],Table4[Wolf],0))</f>
        <v>6502</v>
      </c>
      <c r="E43" s="162">
        <f>INDEX(Table4[LEASE USE],MATCH(Table2[[#This Row],[Rox Wolf'#]],Table4[Wolf],0))</f>
        <v>217</v>
      </c>
      <c r="F43" s="163"/>
      <c r="G43" s="163"/>
      <c r="H43" s="163"/>
      <c r="I43" s="163"/>
      <c r="J43" s="159">
        <f>COUNTIF(FilterList,#REF!)</f>
        <v>0</v>
      </c>
      <c r="K43" s="163"/>
      <c r="N43" s="259">
        <v>98801</v>
      </c>
    </row>
    <row r="44" spans="1:14" ht="14" hidden="1">
      <c r="A44">
        <v>94601</v>
      </c>
      <c r="B44" t="s">
        <v>805</v>
      </c>
      <c r="C44" s="162">
        <f>ROUND(INDEX(Table4[OIL],MATCH(Table2[[#This Row],[Rox Wolf'#]],Table4[Wolf],0)),0)</f>
        <v>362</v>
      </c>
      <c r="D44" s="168">
        <f>INDEX(Table4[GAS],MATCH(Table2[[#This Row],[Rox Wolf'#]],Table4[Wolf],0))</f>
        <v>2268</v>
      </c>
      <c r="E44" s="162">
        <f>INDEX(Table4[LEASE USE],MATCH(Table2[[#This Row],[Rox Wolf'#]],Table4[Wolf],0))</f>
        <v>0</v>
      </c>
      <c r="F44" s="163"/>
      <c r="G44" s="163"/>
      <c r="H44" s="163"/>
      <c r="I44" s="163"/>
      <c r="J44" s="159">
        <f>COUNTIF(FilterList,#REF!)</f>
        <v>0</v>
      </c>
      <c r="K44" s="164" t="s">
        <v>1132</v>
      </c>
      <c r="N44" s="260">
        <v>94601</v>
      </c>
    </row>
    <row r="45" spans="1:14" ht="14">
      <c r="A45">
        <v>99113</v>
      </c>
      <c r="B45" t="s">
        <v>775</v>
      </c>
      <c r="C45" s="162">
        <f>ROUND(INDEX(Table4[OIL],MATCH(Table2[[#This Row],[Rox Wolf'#]],Table4[Wolf],0)),0)</f>
        <v>0</v>
      </c>
      <c r="D45" s="168">
        <f>INDEX(Table4[GAS],MATCH(Table2[[#This Row],[Rox Wolf'#]],Table4[Wolf],0))</f>
        <v>185</v>
      </c>
      <c r="E45" s="162">
        <f>INDEX(Table4[LEASE USE],MATCH(Table2[[#This Row],[Rox Wolf'#]],Table4[Wolf],0))</f>
        <v>0</v>
      </c>
      <c r="F45" s="163"/>
      <c r="G45" s="163"/>
      <c r="H45" s="163"/>
      <c r="I45" s="163"/>
      <c r="J45" s="159">
        <f>COUNTIF(FilterList,#REF!)</f>
        <v>0</v>
      </c>
      <c r="K45" s="163"/>
      <c r="N45" s="259">
        <v>99113</v>
      </c>
    </row>
    <row r="46" spans="1:14" ht="14">
      <c r="A46">
        <v>99066</v>
      </c>
      <c r="B46" t="s">
        <v>776</v>
      </c>
      <c r="C46" s="162">
        <f>ROUND(INDEX(Table4[OIL],MATCH(Table2[[#This Row],[Rox Wolf'#]],Table4[Wolf],0)),0)</f>
        <v>0</v>
      </c>
      <c r="D46" s="168">
        <f>INDEX(Table4[GAS],MATCH(Table2[[#This Row],[Rox Wolf'#]],Table4[Wolf],0))</f>
        <v>743</v>
      </c>
      <c r="E46" s="162">
        <f>INDEX(Table4[LEASE USE],MATCH(Table2[[#This Row],[Rox Wolf'#]],Table4[Wolf],0))</f>
        <v>0</v>
      </c>
      <c r="F46" s="163"/>
      <c r="G46" s="163"/>
      <c r="H46" s="163"/>
      <c r="I46" s="163"/>
      <c r="J46" s="159">
        <f>COUNTIF(FilterList,#REF!)</f>
        <v>0</v>
      </c>
      <c r="K46" s="163"/>
      <c r="N46" s="260">
        <v>99066</v>
      </c>
    </row>
    <row r="47" spans="1:14" ht="14">
      <c r="A47">
        <v>99065</v>
      </c>
      <c r="B47" t="s">
        <v>777</v>
      </c>
      <c r="C47" s="162">
        <f>ROUND(INDEX(Table4[OIL],MATCH(Table2[[#This Row],[Rox Wolf'#]],Table4[Wolf],0)),0)</f>
        <v>0</v>
      </c>
      <c r="D47" s="168">
        <f>INDEX(Table4[GAS],MATCH(Table2[[#This Row],[Rox Wolf'#]],Table4[Wolf],0))</f>
        <v>0</v>
      </c>
      <c r="E47" s="162">
        <f>INDEX(Table4[LEASE USE],MATCH(Table2[[#This Row],[Rox Wolf'#]],Table4[Wolf],0))</f>
        <v>0</v>
      </c>
      <c r="F47" s="163"/>
      <c r="G47" s="163"/>
      <c r="H47" s="163"/>
      <c r="I47" s="163"/>
      <c r="J47" s="159">
        <f>COUNTIF(FilterList,#REF!)</f>
        <v>0</v>
      </c>
      <c r="K47" s="163"/>
      <c r="N47" s="259">
        <v>99065</v>
      </c>
    </row>
    <row r="48" spans="1:14" ht="14">
      <c r="A48">
        <v>99278</v>
      </c>
      <c r="B48" t="s">
        <v>778</v>
      </c>
      <c r="C48" s="162">
        <f>ROUND(INDEX(Table4[OIL],MATCH(Table2[[#This Row],[Rox Wolf'#]],Table4[Wolf],0)),0)</f>
        <v>0</v>
      </c>
      <c r="D48" s="168">
        <f>INDEX(Table4[GAS],MATCH(Table2[[#This Row],[Rox Wolf'#]],Table4[Wolf],0))</f>
        <v>7509</v>
      </c>
      <c r="E48" s="162">
        <f>INDEX(Table4[LEASE USE],MATCH(Table2[[#This Row],[Rox Wolf'#]],Table4[Wolf],0))</f>
        <v>403</v>
      </c>
      <c r="F48" s="163"/>
      <c r="G48" s="163"/>
      <c r="H48" s="163"/>
      <c r="I48" s="163"/>
      <c r="J48" s="159">
        <f>COUNTIF(FilterList,#REF!)</f>
        <v>0</v>
      </c>
      <c r="K48" s="163"/>
      <c r="N48" s="260">
        <v>99278</v>
      </c>
    </row>
    <row r="49" spans="1:14" ht="14">
      <c r="A49">
        <v>98990</v>
      </c>
      <c r="B49" t="s">
        <v>779</v>
      </c>
      <c r="C49" s="162">
        <f>ROUND(INDEX(Table4[OIL],MATCH(Table2[[#This Row],[Rox Wolf'#]],Table4[Wolf],0)),0)</f>
        <v>0</v>
      </c>
      <c r="D49" s="168">
        <f>INDEX(Table4[GAS],MATCH(Table2[[#This Row],[Rox Wolf'#]],Table4[Wolf],0))</f>
        <v>75</v>
      </c>
      <c r="E49" s="162">
        <f>INDEX(Table4[LEASE USE],MATCH(Table2[[#This Row],[Rox Wolf'#]],Table4[Wolf],0))</f>
        <v>0</v>
      </c>
      <c r="F49" s="163"/>
      <c r="G49" s="163"/>
      <c r="H49" s="163"/>
      <c r="I49" s="163"/>
      <c r="J49" s="159">
        <f>COUNTIF(FilterList,#REF!)</f>
        <v>0</v>
      </c>
      <c r="K49" s="163"/>
      <c r="N49" s="259">
        <v>98990</v>
      </c>
    </row>
    <row r="50" spans="1:14" ht="14">
      <c r="A50">
        <v>98976</v>
      </c>
      <c r="B50" t="s">
        <v>780</v>
      </c>
      <c r="C50" s="162">
        <f>ROUND(INDEX(Table4[OIL],MATCH(Table2[[#This Row],[Rox Wolf'#]],Table4[Wolf],0)),0)</f>
        <v>0</v>
      </c>
      <c r="D50" s="168">
        <f>INDEX(Table4[GAS],MATCH(Table2[[#This Row],[Rox Wolf'#]],Table4[Wolf],0))</f>
        <v>32</v>
      </c>
      <c r="E50" s="162">
        <f>INDEX(Table4[LEASE USE],MATCH(Table2[[#This Row],[Rox Wolf'#]],Table4[Wolf],0))</f>
        <v>0</v>
      </c>
      <c r="F50" s="163"/>
      <c r="G50" s="163"/>
      <c r="H50" s="163"/>
      <c r="I50" s="163"/>
      <c r="J50" s="159">
        <f>COUNTIF(FilterList,#REF!)</f>
        <v>0</v>
      </c>
      <c r="K50" s="163"/>
      <c r="N50" s="260">
        <v>98976</v>
      </c>
    </row>
    <row r="51" spans="1:14" ht="14">
      <c r="A51">
        <v>93901</v>
      </c>
      <c r="B51" t="s">
        <v>1124</v>
      </c>
      <c r="C51" s="162">
        <f>ROUND(INDEX(Table4[OIL],MATCH(Table2[[#This Row],[Rox Wolf'#]],Table4[Wolf],0)),0)</f>
        <v>0</v>
      </c>
      <c r="D51" s="168">
        <f>INDEX(Table4[GAS],MATCH(Table2[[#This Row],[Rox Wolf'#]],Table4[Wolf],0))</f>
        <v>0</v>
      </c>
      <c r="E51" s="162">
        <f>INDEX(Table4[LEASE USE],MATCH(Table2[[#This Row],[Rox Wolf'#]],Table4[Wolf],0))</f>
        <v>0</v>
      </c>
      <c r="F51" s="163"/>
      <c r="G51" s="163"/>
      <c r="H51" s="163"/>
      <c r="I51" s="163"/>
      <c r="J51" s="159">
        <f>COUNTIF(FilterList,#REF!)</f>
        <v>0</v>
      </c>
      <c r="K51" s="163"/>
      <c r="N51" s="259">
        <v>93901</v>
      </c>
    </row>
    <row r="52" spans="1:14" ht="14">
      <c r="A52">
        <v>99159</v>
      </c>
      <c r="B52" t="s">
        <v>781</v>
      </c>
      <c r="C52" s="162">
        <f>ROUND(INDEX(Table4[OIL],MATCH(Table2[[#This Row],[Rox Wolf'#]],Table4[Wolf],0)),0)</f>
        <v>0</v>
      </c>
      <c r="D52" s="168">
        <f>INDEX(Table4[GAS],MATCH(Table2[[#This Row],[Rox Wolf'#]],Table4[Wolf],0))</f>
        <v>3506</v>
      </c>
      <c r="E52" s="162">
        <f>INDEX(Table4[LEASE USE],MATCH(Table2[[#This Row],[Rox Wolf'#]],Table4[Wolf],0))</f>
        <v>186</v>
      </c>
      <c r="F52" s="163"/>
      <c r="G52" s="163"/>
      <c r="H52" s="163"/>
      <c r="I52" s="163"/>
      <c r="J52" s="159">
        <f>COUNTIF(FilterList,#REF!)</f>
        <v>0</v>
      </c>
      <c r="K52" s="163"/>
      <c r="N52" s="260">
        <v>99159</v>
      </c>
    </row>
    <row r="53" spans="1:14" ht="14">
      <c r="A53">
        <v>98955</v>
      </c>
      <c r="B53" t="s">
        <v>280</v>
      </c>
      <c r="C53" s="162">
        <f>ROUND(INDEX(Table4[OIL],MATCH(Table2[[#This Row],[Rox Wolf'#]],Table4[Wolf],0)),0)</f>
        <v>0</v>
      </c>
      <c r="D53" s="168">
        <f>INDEX(Table4[GAS],MATCH(Table2[[#This Row],[Rox Wolf'#]],Table4[Wolf],0))</f>
        <v>531</v>
      </c>
      <c r="E53" s="162">
        <f>INDEX(Table4[LEASE USE],MATCH(Table2[[#This Row],[Rox Wolf'#]],Table4[Wolf],0))</f>
        <v>31</v>
      </c>
      <c r="F53" s="163"/>
      <c r="G53" s="163"/>
      <c r="H53" s="163"/>
      <c r="I53" s="163"/>
      <c r="J53" s="159">
        <f>COUNTIF(FilterList,#REF!)</f>
        <v>0</v>
      </c>
      <c r="K53" s="163"/>
      <c r="N53" s="259">
        <v>98955</v>
      </c>
    </row>
    <row r="54" spans="1:14" ht="14">
      <c r="A54">
        <v>99269</v>
      </c>
      <c r="B54" t="s">
        <v>1125</v>
      </c>
      <c r="C54" s="161">
        <f>ROUND(INDEX(Table4[OIL],MATCH(Table2[[#This Row],[Rox Wolf'#]],Table4[Wolf],0)),0)</f>
        <v>0</v>
      </c>
      <c r="D54" s="169">
        <f>INDEX(Table4[GAS],MATCH(Table2[[#This Row],[Rox Wolf'#]],Table4[Wolf],0))</f>
        <v>1074</v>
      </c>
      <c r="E54" s="169">
        <f>INDEX(Table4[LEASE USE],MATCH(Table2[[#This Row],[Rox Wolf'#]],Table4[Wolf],0))</f>
        <v>310</v>
      </c>
      <c r="F54" s="163"/>
      <c r="G54" s="163"/>
      <c r="H54" s="163"/>
      <c r="I54" s="163"/>
      <c r="J54" s="159">
        <f>COUNTIF(FilterList,#REF!)</f>
        <v>0</v>
      </c>
      <c r="K54" s="163"/>
      <c r="N54" s="260">
        <v>99269</v>
      </c>
    </row>
    <row r="55" spans="1:14" ht="14">
      <c r="A55">
        <v>92001</v>
      </c>
      <c r="B55" t="s">
        <v>232</v>
      </c>
      <c r="C55" s="162">
        <f>ROUND(INDEX(Table4[OIL],MATCH(Table2[[#This Row],[Rox Wolf'#]],Table4[Wolf],0)),0)</f>
        <v>184</v>
      </c>
      <c r="D55" s="168">
        <f>INDEX(Table4[GAS],MATCH(Table2[[#This Row],[Rox Wolf'#]],Table4[Wolf],0))</f>
        <v>0</v>
      </c>
      <c r="E55" s="162">
        <f>INDEX(Table4[LEASE USE],MATCH(Table2[[#This Row],[Rox Wolf'#]],Table4[Wolf],0))</f>
        <v>0</v>
      </c>
      <c r="F55" s="163"/>
      <c r="G55" s="163"/>
      <c r="H55" s="163"/>
      <c r="I55" s="163"/>
      <c r="J55" s="159">
        <f>COUNTIF(FilterList,#REF!)</f>
        <v>0</v>
      </c>
      <c r="K55" s="163"/>
      <c r="N55" s="259">
        <v>92001</v>
      </c>
    </row>
    <row r="56" spans="1:14" ht="14">
      <c r="A56">
        <v>99058</v>
      </c>
      <c r="B56" t="s">
        <v>782</v>
      </c>
      <c r="C56" s="162">
        <f>ROUND(INDEX(Table4[OIL],MATCH(Table2[[#This Row],[Rox Wolf'#]],Table4[Wolf],0)),0)</f>
        <v>0</v>
      </c>
      <c r="D56" s="168">
        <f>INDEX(Table4[GAS],MATCH(Table2[[#This Row],[Rox Wolf'#]],Table4[Wolf],0))</f>
        <v>2494</v>
      </c>
      <c r="E56" s="162">
        <f>INDEX(Table4[LEASE USE],MATCH(Table2[[#This Row],[Rox Wolf'#]],Table4[Wolf],0))</f>
        <v>0</v>
      </c>
      <c r="F56" s="163"/>
      <c r="G56" s="163"/>
      <c r="H56" s="163"/>
      <c r="I56" s="163"/>
      <c r="J56" s="159">
        <f>COUNTIF(FilterList,#REF!)</f>
        <v>0</v>
      </c>
      <c r="K56" s="163"/>
      <c r="N56" s="260">
        <v>99058</v>
      </c>
    </row>
    <row r="57" spans="1:14" ht="14">
      <c r="A57">
        <v>99186</v>
      </c>
      <c r="B57" t="s">
        <v>807</v>
      </c>
      <c r="C57" s="162">
        <f>ROUND(INDEX(Table4[OIL],MATCH(Table2[[#This Row],[Rox Wolf'#]],Table4[Wolf],0)),0)</f>
        <v>514</v>
      </c>
      <c r="D57" s="168">
        <f>INDEX(Table4[GAS],MATCH(Table2[[#This Row],[Rox Wolf'#]],Table4[Wolf],0))</f>
        <v>0</v>
      </c>
      <c r="E57" s="162">
        <f>INDEX(Table4[LEASE USE],MATCH(Table2[[#This Row],[Rox Wolf'#]],Table4[Wolf],0))</f>
        <v>0</v>
      </c>
      <c r="F57" s="163"/>
      <c r="G57" s="163"/>
      <c r="H57" s="163"/>
      <c r="I57" s="163"/>
      <c r="J57" s="159">
        <f>COUNTIF(FilterList,#REF!)</f>
        <v>0</v>
      </c>
      <c r="K57" s="163"/>
      <c r="N57" s="259">
        <v>99186</v>
      </c>
    </row>
    <row r="58" spans="1:14" ht="14">
      <c r="A58">
        <v>99288</v>
      </c>
      <c r="B58" t="s">
        <v>1119</v>
      </c>
      <c r="C58" s="162">
        <f>ROUND(INDEX(Table4[OIL],MATCH(Table2[[#This Row],[Rox Wolf'#]],Table4[Wolf],0)),0)</f>
        <v>136</v>
      </c>
      <c r="D58" s="168">
        <f>INDEX(Table4[GAS],MATCH(Table2[[#This Row],[Rox Wolf'#]],Table4[Wolf],0))</f>
        <v>622</v>
      </c>
      <c r="E58" s="162">
        <f>INDEX(Table4[LEASE USE],MATCH(Table2[[#This Row],[Rox Wolf'#]],Table4[Wolf],0))</f>
        <v>0</v>
      </c>
      <c r="F58" s="163"/>
      <c r="G58" s="163"/>
      <c r="H58" s="163"/>
      <c r="I58" s="163"/>
      <c r="J58" s="159">
        <f>COUNTIF(FilterList,#REF!)</f>
        <v>0</v>
      </c>
      <c r="K58" s="163"/>
      <c r="N58" s="260">
        <v>99288</v>
      </c>
    </row>
    <row r="59" spans="1:14" ht="14">
      <c r="A59">
        <v>99297</v>
      </c>
      <c r="B59" t="s">
        <v>783</v>
      </c>
      <c r="C59" s="162">
        <f>ROUND(INDEX(Table4[OIL],MATCH(Table2[[#This Row],[Rox Wolf'#]],Table4[Wolf],0)),0)</f>
        <v>2140</v>
      </c>
      <c r="D59" s="168">
        <f>INDEX(Table4[GAS],MATCH(Table2[[#This Row],[Rox Wolf'#]],Table4[Wolf],0))</f>
        <v>333</v>
      </c>
      <c r="E59" s="162">
        <f>INDEX(Table4[LEASE USE],MATCH(Table2[[#This Row],[Rox Wolf'#]],Table4[Wolf],0))</f>
        <v>0</v>
      </c>
      <c r="F59" s="163"/>
      <c r="G59" s="163"/>
      <c r="H59" s="163"/>
      <c r="I59" s="163"/>
      <c r="J59" s="159">
        <f>COUNTIF(FilterList,#REF!)</f>
        <v>0</v>
      </c>
      <c r="K59" s="163"/>
      <c r="N59" s="259">
        <v>99297</v>
      </c>
    </row>
    <row r="60" spans="1:14" ht="14" hidden="1">
      <c r="A60">
        <v>99122</v>
      </c>
      <c r="B60" s="3" t="s">
        <v>1243</v>
      </c>
      <c r="C60" s="161">
        <f>ROUND(INDEX(Table4[OIL],MATCH(Table2[[#This Row],[Rox Wolf'#]],Table4[Wolf],0)),0)</f>
        <v>0</v>
      </c>
      <c r="D60" s="169">
        <f>INDEX(Table4[GAS],MATCH(Table2[[#This Row],[Rox Wolf'#]],Table4[Wolf],0))</f>
        <v>0</v>
      </c>
      <c r="E60" s="169">
        <f>INDEX(Table4[LEASE USE],MATCH(Table2[[#This Row],[Rox Wolf'#]],Table4[Wolf],0))</f>
        <v>0</v>
      </c>
      <c r="F60" s="163"/>
      <c r="G60" s="163"/>
      <c r="H60" s="163"/>
      <c r="I60" s="163"/>
      <c r="J60" s="159">
        <f>COUNTIF(FilterList,#REF!)</f>
        <v>0</v>
      </c>
      <c r="K60" s="203" t="s">
        <v>1132</v>
      </c>
      <c r="N60" s="260">
        <v>99122</v>
      </c>
    </row>
    <row r="61" spans="1:14" ht="14">
      <c r="A61">
        <v>99268</v>
      </c>
      <c r="B61" t="s">
        <v>1126</v>
      </c>
      <c r="C61" s="161">
        <f>ROUND(INDEX(Table4[OIL],MATCH(Table2[[#This Row],[Rox Wolf'#]],Table4[Wolf],0)),0)</f>
        <v>0</v>
      </c>
      <c r="D61" s="169">
        <f>INDEX(Table4[GAS],MATCH(Table2[[#This Row],[Rox Wolf'#]],Table4[Wolf],0))</f>
        <v>4692</v>
      </c>
      <c r="E61" s="169">
        <f>INDEX(Table4[LEASE USE],MATCH(Table2[[#This Row],[Rox Wolf'#]],Table4[Wolf],0))</f>
        <v>282</v>
      </c>
      <c r="F61" s="163"/>
      <c r="G61" s="163"/>
      <c r="H61" s="163"/>
      <c r="I61" s="163"/>
      <c r="J61" s="159">
        <f>COUNTIF(FilterList,#REF!)</f>
        <v>0</v>
      </c>
      <c r="K61" s="163"/>
      <c r="N61" s="259">
        <v>99268</v>
      </c>
    </row>
    <row r="62" spans="1:14" ht="14">
      <c r="A62">
        <v>99102</v>
      </c>
      <c r="B62" t="s">
        <v>784</v>
      </c>
      <c r="C62" s="162">
        <f>ROUND(INDEX(Table4[OIL],MATCH(Table2[[#This Row],[Rox Wolf'#]],Table4[Wolf],0)),0)</f>
        <v>379</v>
      </c>
      <c r="D62" s="168">
        <f>INDEX(Table4[GAS],MATCH(Table2[[#This Row],[Rox Wolf'#]],Table4[Wolf],0))</f>
        <v>42445</v>
      </c>
      <c r="E62" s="162">
        <f>INDEX(Table4[LEASE USE],MATCH(Table2[[#This Row],[Rox Wolf'#]],Table4[Wolf],0))</f>
        <v>0</v>
      </c>
      <c r="F62" s="163"/>
      <c r="G62" s="163"/>
      <c r="H62" s="163"/>
      <c r="I62" s="163"/>
      <c r="J62" s="159">
        <f>COUNTIF(FilterList,#REF!)</f>
        <v>0</v>
      </c>
      <c r="K62" s="163"/>
      <c r="N62" s="260">
        <v>99102</v>
      </c>
    </row>
    <row r="63" spans="1:14" ht="14">
      <c r="A63">
        <v>99259</v>
      </c>
      <c r="B63" t="s">
        <v>1102</v>
      </c>
      <c r="C63" s="162">
        <f>ROUND(INDEX(Table4[OIL],MATCH(Table2[[#This Row],[Rox Wolf'#]],Table4[Wolf],0)),0)</f>
        <v>184</v>
      </c>
      <c r="D63" s="168">
        <f>INDEX(Table4[GAS],MATCH(Table2[[#This Row],[Rox Wolf'#]],Table4[Wolf],0))</f>
        <v>0</v>
      </c>
      <c r="E63" s="162">
        <f>INDEX(Table4[LEASE USE],MATCH(Table2[[#This Row],[Rox Wolf'#]],Table4[Wolf],0))</f>
        <v>0</v>
      </c>
      <c r="F63" s="163"/>
      <c r="G63" s="163"/>
      <c r="H63" s="163"/>
      <c r="I63" s="163"/>
      <c r="J63" s="159">
        <f>COUNTIF(FilterList,#REF!)</f>
        <v>0</v>
      </c>
      <c r="K63" s="163"/>
      <c r="N63" s="259">
        <v>99259</v>
      </c>
    </row>
    <row r="64" spans="1:14" ht="14">
      <c r="A64">
        <v>95801</v>
      </c>
      <c r="B64" t="s">
        <v>1127</v>
      </c>
      <c r="C64" s="162">
        <f>ROUND(INDEX(Table4[OIL],MATCH(Table2[[#This Row],[Rox Wolf'#]],Table4[Wolf],0)),0)</f>
        <v>0</v>
      </c>
      <c r="D64" s="168">
        <f>INDEX(Table4[GAS],MATCH(Table2[[#This Row],[Rox Wolf'#]],Table4[Wolf],0))</f>
        <v>0</v>
      </c>
      <c r="E64" s="162">
        <f>INDEX(Table4[LEASE USE],MATCH(Table2[[#This Row],[Rox Wolf'#]],Table4[Wolf],0))</f>
        <v>0</v>
      </c>
      <c r="F64" s="163"/>
      <c r="G64" s="163"/>
      <c r="H64" s="163"/>
      <c r="I64" s="163"/>
      <c r="J64" s="159">
        <f>COUNTIF(FilterList,#REF!)</f>
        <v>0</v>
      </c>
      <c r="K64" s="163"/>
      <c r="N64" s="260">
        <v>95801</v>
      </c>
    </row>
    <row r="65" spans="1:14" ht="14">
      <c r="A65">
        <v>99132</v>
      </c>
      <c r="B65" t="s">
        <v>1103</v>
      </c>
      <c r="C65" s="162">
        <f>ROUND(INDEX(Table4[OIL],MATCH(Table2[[#This Row],[Rox Wolf'#]],Table4[Wolf],0)),0)</f>
        <v>0</v>
      </c>
      <c r="D65" s="168">
        <f>INDEX(Table4[GAS],MATCH(Table2[[#This Row],[Rox Wolf'#]],Table4[Wolf],0))</f>
        <v>0</v>
      </c>
      <c r="E65" s="162">
        <f>INDEX(Table4[LEASE USE],MATCH(Table2[[#This Row],[Rox Wolf'#]],Table4[Wolf],0))</f>
        <v>0</v>
      </c>
      <c r="F65" s="163"/>
      <c r="G65" s="163"/>
      <c r="H65" s="163"/>
      <c r="I65" s="163"/>
      <c r="J65" s="159">
        <f>COUNTIF(FilterList,#REF!)</f>
        <v>0</v>
      </c>
      <c r="K65" s="163"/>
      <c r="N65" s="259">
        <v>99132</v>
      </c>
    </row>
    <row r="66" spans="1:14" ht="14">
      <c r="A66">
        <v>99133</v>
      </c>
      <c r="B66" t="s">
        <v>1104</v>
      </c>
      <c r="C66" s="162">
        <f>ROUND(INDEX(Table4[OIL],MATCH(Table2[[#This Row],[Rox Wolf'#]],Table4[Wolf],0)),0)</f>
        <v>0</v>
      </c>
      <c r="D66" s="168">
        <f>INDEX(Table4[GAS],MATCH(Table2[[#This Row],[Rox Wolf'#]],Table4[Wolf],0))</f>
        <v>0</v>
      </c>
      <c r="E66" s="162">
        <f>INDEX(Table4[LEASE USE],MATCH(Table2[[#This Row],[Rox Wolf'#]],Table4[Wolf],0))</f>
        <v>0</v>
      </c>
      <c r="F66" s="163"/>
      <c r="G66" s="163"/>
      <c r="H66" s="163"/>
      <c r="I66" s="163"/>
      <c r="J66" s="159">
        <f>COUNTIF(FilterList,#REF!)</f>
        <v>0</v>
      </c>
      <c r="K66" s="163"/>
      <c r="N66" s="260">
        <v>99133</v>
      </c>
    </row>
    <row r="67" spans="1:14" ht="14">
      <c r="A67">
        <v>99128</v>
      </c>
      <c r="B67" t="s">
        <v>808</v>
      </c>
      <c r="C67" s="162">
        <f>ROUND(INDEX(Table4[OIL],MATCH(Table2[[#This Row],[Rox Wolf'#]],Table4[Wolf],0)),0)</f>
        <v>0</v>
      </c>
      <c r="D67" s="168">
        <f>INDEX(Table4[GAS],MATCH(Table2[[#This Row],[Rox Wolf'#]],Table4[Wolf],0))</f>
        <v>6331</v>
      </c>
      <c r="E67" s="162">
        <f>INDEX(Table4[LEASE USE],MATCH(Table2[[#This Row],[Rox Wolf'#]],Table4[Wolf],0))</f>
        <v>310</v>
      </c>
      <c r="F67" s="163"/>
      <c r="G67" s="163"/>
      <c r="H67" s="163"/>
      <c r="I67" s="163"/>
      <c r="J67" s="159">
        <f>COUNTIF(FilterList,#REF!)</f>
        <v>0</v>
      </c>
      <c r="K67" s="163"/>
      <c r="N67" s="259">
        <v>99128</v>
      </c>
    </row>
    <row r="68" spans="1:14" ht="14">
      <c r="A68">
        <v>99134</v>
      </c>
      <c r="B68" t="s">
        <v>809</v>
      </c>
      <c r="C68" s="162">
        <f>ROUND(INDEX(Table4[OIL],MATCH(Table2[[#This Row],[Rox Wolf'#]],Table4[Wolf],0)),0)</f>
        <v>0</v>
      </c>
      <c r="D68" s="168">
        <f>INDEX(Table4[GAS],MATCH(Table2[[#This Row],[Rox Wolf'#]],Table4[Wolf],0))</f>
        <v>3372</v>
      </c>
      <c r="E68" s="162">
        <f>INDEX(Table4[LEASE USE],MATCH(Table2[[#This Row],[Rox Wolf'#]],Table4[Wolf],0))</f>
        <v>0</v>
      </c>
      <c r="F68" s="163"/>
      <c r="G68" s="163"/>
      <c r="H68" s="163"/>
      <c r="I68" s="163"/>
      <c r="J68" s="159">
        <f>COUNTIF(FilterList,#REF!)</f>
        <v>0</v>
      </c>
      <c r="K68" s="163"/>
      <c r="N68" s="260">
        <v>99134</v>
      </c>
    </row>
    <row r="69" spans="1:14" ht="14">
      <c r="A69">
        <v>99256</v>
      </c>
      <c r="B69" t="s">
        <v>113</v>
      </c>
      <c r="C69" s="162">
        <f>ROUND(INDEX(Table4[OIL],MATCH(Table2[[#This Row],[Rox Wolf'#]],Table4[Wolf],0)),0)</f>
        <v>0</v>
      </c>
      <c r="D69" s="168">
        <f>INDEX(Table4[GAS],MATCH(Table2[[#This Row],[Rox Wolf'#]],Table4[Wolf],0))</f>
        <v>1723</v>
      </c>
      <c r="E69" s="162">
        <f>INDEX(Table4[LEASE USE],MATCH(Table2[[#This Row],[Rox Wolf'#]],Table4[Wolf],0))</f>
        <v>0</v>
      </c>
      <c r="F69" s="163"/>
      <c r="G69" s="163"/>
      <c r="H69" s="163"/>
      <c r="I69" s="163"/>
      <c r="J69" s="159">
        <f>COUNTIF(FilterList,#REF!)</f>
        <v>0</v>
      </c>
      <c r="K69" s="163"/>
      <c r="N69" s="259">
        <v>99256</v>
      </c>
    </row>
    <row r="70" spans="1:14" ht="14">
      <c r="A70">
        <v>98910</v>
      </c>
      <c r="B70" t="s">
        <v>810</v>
      </c>
      <c r="C70" s="162">
        <f>ROUND(INDEX(Table4[OIL],MATCH(Table2[[#This Row],[Rox Wolf'#]],Table4[Wolf],0)),0)</f>
        <v>994</v>
      </c>
      <c r="D70" s="168">
        <f>INDEX(Table4[GAS],MATCH(Table2[[#This Row],[Rox Wolf'#]],Table4[Wolf],0))</f>
        <v>0</v>
      </c>
      <c r="E70" s="162">
        <f>INDEX(Table4[LEASE USE],MATCH(Table2[[#This Row],[Rox Wolf'#]],Table4[Wolf],0))</f>
        <v>124</v>
      </c>
      <c r="F70" s="163"/>
      <c r="G70" s="163"/>
      <c r="H70" s="163"/>
      <c r="I70" s="163"/>
      <c r="J70" s="159">
        <f>COUNTIF(FilterList,#REF!)</f>
        <v>0</v>
      </c>
      <c r="K70" s="163"/>
      <c r="N70" s="260">
        <v>98910</v>
      </c>
    </row>
    <row r="71" spans="1:14" ht="14">
      <c r="A71">
        <v>98401</v>
      </c>
      <c r="B71" t="s">
        <v>785</v>
      </c>
      <c r="C71" s="162">
        <f>ROUND(INDEX(Table4[OIL],MATCH(Table2[[#This Row],[Rox Wolf'#]],Table4[Wolf],0)),0)</f>
        <v>0</v>
      </c>
      <c r="D71" s="168">
        <f>INDEX(Table4[GAS],MATCH(Table2[[#This Row],[Rox Wolf'#]],Table4[Wolf],0))</f>
        <v>3130</v>
      </c>
      <c r="E71" s="162">
        <f>INDEX(Table4[LEASE USE],MATCH(Table2[[#This Row],[Rox Wolf'#]],Table4[Wolf],0))</f>
        <v>93</v>
      </c>
      <c r="F71" s="163"/>
      <c r="G71" s="163"/>
      <c r="H71" s="163"/>
      <c r="I71" s="163"/>
      <c r="J71" s="159">
        <f>COUNTIF(FilterList,#REF!)</f>
        <v>0</v>
      </c>
      <c r="K71" s="163"/>
      <c r="N71" s="259">
        <v>98401</v>
      </c>
    </row>
    <row r="72" spans="1:14" ht="14">
      <c r="A72">
        <v>96901</v>
      </c>
      <c r="B72" t="s">
        <v>786</v>
      </c>
      <c r="C72" s="162">
        <f>ROUND(INDEX(Table4[OIL],MATCH(Table2[[#This Row],[Rox Wolf'#]],Table4[Wolf],0)),0)</f>
        <v>136</v>
      </c>
      <c r="D72" s="168">
        <f>INDEX(Table4[GAS],MATCH(Table2[[#This Row],[Rox Wolf'#]],Table4[Wolf],0))</f>
        <v>1353</v>
      </c>
      <c r="E72" s="162">
        <f>INDEX(Table4[LEASE USE],MATCH(Table2[[#This Row],[Rox Wolf'#]],Table4[Wolf],0))</f>
        <v>31</v>
      </c>
      <c r="F72" s="163"/>
      <c r="G72" s="163"/>
      <c r="H72" s="163"/>
      <c r="I72" s="163"/>
      <c r="J72" s="159">
        <f>COUNTIF(FilterList,#REF!)</f>
        <v>0</v>
      </c>
      <c r="K72" s="163"/>
      <c r="N72" s="260">
        <v>96901</v>
      </c>
    </row>
    <row r="73" spans="1:14" ht="14">
      <c r="A73">
        <v>99101</v>
      </c>
      <c r="B73" t="s">
        <v>811</v>
      </c>
      <c r="C73" s="162">
        <f>ROUND(INDEX(Table4[OIL],MATCH(Table2[[#This Row],[Rox Wolf'#]],Table4[Wolf],0)),0)</f>
        <v>0</v>
      </c>
      <c r="D73" s="168">
        <f>INDEX(Table4[GAS],MATCH(Table2[[#This Row],[Rox Wolf'#]],Table4[Wolf],0))</f>
        <v>661</v>
      </c>
      <c r="E73" s="162">
        <f>INDEX(Table4[LEASE USE],MATCH(Table2[[#This Row],[Rox Wolf'#]],Table4[Wolf],0))</f>
        <v>0</v>
      </c>
      <c r="F73" s="163"/>
      <c r="G73" s="163"/>
      <c r="H73" s="163"/>
      <c r="I73" s="163"/>
      <c r="J73" s="159">
        <f>COUNTIF(FilterList,#REF!)</f>
        <v>0</v>
      </c>
      <c r="K73" s="163"/>
      <c r="N73" s="259">
        <v>99101</v>
      </c>
    </row>
    <row r="74" spans="1:14" ht="14">
      <c r="A74">
        <v>99026</v>
      </c>
      <c r="B74" t="s">
        <v>813</v>
      </c>
      <c r="C74" s="162">
        <f>ROUND(INDEX(Table4[OIL],MATCH(Table2[[#This Row],[Rox Wolf'#]],Table4[Wolf],0)),0)</f>
        <v>340</v>
      </c>
      <c r="D74" s="168">
        <f>INDEX(Table4[GAS],MATCH(Table2[[#This Row],[Rox Wolf'#]],Table4[Wolf],0))</f>
        <v>0</v>
      </c>
      <c r="E74" s="162">
        <f>INDEX(Table4[LEASE USE],MATCH(Table2[[#This Row],[Rox Wolf'#]],Table4[Wolf],0))</f>
        <v>0</v>
      </c>
      <c r="F74" s="163"/>
      <c r="G74" s="163"/>
      <c r="H74" s="163"/>
      <c r="I74" s="163"/>
      <c r="J74" s="159">
        <f>COUNTIF(FilterList,#REF!)</f>
        <v>0</v>
      </c>
      <c r="K74" s="163"/>
      <c r="N74" s="260">
        <v>99026</v>
      </c>
    </row>
    <row r="75" spans="1:14" ht="14">
      <c r="A75">
        <v>99246</v>
      </c>
      <c r="B75" t="s">
        <v>787</v>
      </c>
      <c r="C75" s="162">
        <f>ROUND(INDEX(Table4[OIL],MATCH(Table2[[#This Row],[Rox Wolf'#]],Table4[Wolf],0)),0)</f>
        <v>0</v>
      </c>
      <c r="D75" s="168">
        <f>INDEX(Table4[GAS],MATCH(Table2[[#This Row],[Rox Wolf'#]],Table4[Wolf],0))</f>
        <v>13682</v>
      </c>
      <c r="E75" s="162">
        <f>INDEX(Table4[LEASE USE],MATCH(Table2[[#This Row],[Rox Wolf'#]],Table4[Wolf],0))</f>
        <v>575</v>
      </c>
      <c r="F75" s="163"/>
      <c r="G75" s="163"/>
      <c r="H75" s="163"/>
      <c r="I75" s="163"/>
      <c r="J75" s="159">
        <f>COUNTIF(FilterList,#REF!)</f>
        <v>0</v>
      </c>
      <c r="K75" s="163"/>
      <c r="N75" s="259">
        <v>99246</v>
      </c>
    </row>
    <row r="76" spans="1:14" ht="14">
      <c r="A76">
        <v>99312</v>
      </c>
      <c r="B76" t="s">
        <v>788</v>
      </c>
      <c r="C76" s="162">
        <f>ROUND(INDEX(Table4[OIL],MATCH(Table2[[#This Row],[Rox Wolf'#]],Table4[Wolf],0)),0)</f>
        <v>0</v>
      </c>
      <c r="D76" s="168">
        <f>INDEX(Table4[GAS],MATCH(Table2[[#This Row],[Rox Wolf'#]],Table4[Wolf],0))</f>
        <v>86</v>
      </c>
      <c r="E76" s="162">
        <f>INDEX(Table4[LEASE USE],MATCH(Table2[[#This Row],[Rox Wolf'#]],Table4[Wolf],0))</f>
        <v>21</v>
      </c>
      <c r="F76" s="163"/>
      <c r="G76" s="163"/>
      <c r="H76" s="163"/>
      <c r="I76" s="163"/>
      <c r="J76" s="159">
        <f>COUNTIF(FilterList,#REF!)</f>
        <v>0</v>
      </c>
      <c r="K76" s="163"/>
      <c r="N76" s="260">
        <v>99312</v>
      </c>
    </row>
    <row r="77" spans="1:14" ht="14">
      <c r="A77">
        <v>99140</v>
      </c>
      <c r="B77" t="s">
        <v>814</v>
      </c>
      <c r="C77" s="162">
        <f>ROUND(INDEX(Table4[OIL],MATCH(Table2[[#This Row],[Rox Wolf'#]],Table4[Wolf],0)),0)</f>
        <v>0</v>
      </c>
      <c r="D77" s="168">
        <f>INDEX(Table4[GAS],MATCH(Table2[[#This Row],[Rox Wolf'#]],Table4[Wolf],0))</f>
        <v>0</v>
      </c>
      <c r="E77" s="162">
        <f>INDEX(Table4[LEASE USE],MATCH(Table2[[#This Row],[Rox Wolf'#]],Table4[Wolf],0))</f>
        <v>0</v>
      </c>
      <c r="F77" s="163"/>
      <c r="G77" s="163"/>
      <c r="H77" s="163"/>
      <c r="I77" s="163"/>
      <c r="J77" s="159">
        <f>COUNTIF(FilterList,#REF!)</f>
        <v>0</v>
      </c>
      <c r="K77" s="163"/>
      <c r="N77" s="259">
        <v>99140</v>
      </c>
    </row>
    <row r="78" spans="1:14" ht="14">
      <c r="A78">
        <v>98979</v>
      </c>
      <c r="B78" t="s">
        <v>310</v>
      </c>
      <c r="C78" s="162">
        <f>ROUND(INDEX(Table4[OIL],MATCH(Table2[[#This Row],[Rox Wolf'#]],Table4[Wolf],0)),0)</f>
        <v>181</v>
      </c>
      <c r="D78" s="168">
        <f>INDEX(Table4[GAS],MATCH(Table2[[#This Row],[Rox Wolf'#]],Table4[Wolf],0))</f>
        <v>392</v>
      </c>
      <c r="E78" s="162">
        <f>INDEX(Table4[LEASE USE],MATCH(Table2[[#This Row],[Rox Wolf'#]],Table4[Wolf],0))</f>
        <v>0</v>
      </c>
      <c r="F78" s="163"/>
      <c r="G78" s="163"/>
      <c r="H78" s="163"/>
      <c r="I78" s="163"/>
      <c r="J78" s="159">
        <f>COUNTIF(FilterList,#REF!)</f>
        <v>0</v>
      </c>
      <c r="K78" s="163"/>
      <c r="N78" s="260">
        <v>98979</v>
      </c>
    </row>
    <row r="79" spans="1:14" ht="14">
      <c r="A79">
        <v>34001</v>
      </c>
      <c r="B79" t="s">
        <v>815</v>
      </c>
      <c r="C79" s="162">
        <f>ROUND(INDEX(Table4[OIL],MATCH(Table2[[#This Row],[Rox Wolf'#]],Table4[Wolf],0)),0)</f>
        <v>835</v>
      </c>
      <c r="D79" s="168">
        <f>INDEX(Table4[GAS],MATCH(Table2[[#This Row],[Rox Wolf'#]],Table4[Wolf],0))</f>
        <v>0</v>
      </c>
      <c r="E79" s="162">
        <f>INDEX(Table4[LEASE USE],MATCH(Table2[[#This Row],[Rox Wolf'#]],Table4[Wolf],0))</f>
        <v>0</v>
      </c>
      <c r="F79" s="163"/>
      <c r="G79" s="163"/>
      <c r="H79" s="163"/>
      <c r="I79" s="163"/>
      <c r="J79" s="159">
        <f>COUNTIF(FilterList,#REF!)</f>
        <v>0</v>
      </c>
      <c r="K79" s="163"/>
      <c r="N79" s="259">
        <v>34001</v>
      </c>
    </row>
    <row r="80" spans="1:14" ht="14">
      <c r="A80">
        <v>599109</v>
      </c>
      <c r="B80" t="s">
        <v>789</v>
      </c>
      <c r="C80" s="162">
        <f>ROUND(INDEX(Table4[OIL],MATCH(Table2[[#This Row],[Rox Wolf'#]],Table4[Wolf],0)),0)</f>
        <v>168</v>
      </c>
      <c r="D80" s="168">
        <f>INDEX(Table4[GAS],MATCH(Table2[[#This Row],[Rox Wolf'#]],Table4[Wolf],0))</f>
        <v>11501</v>
      </c>
      <c r="E80" s="162">
        <f>INDEX(Table4[LEASE USE],MATCH(Table2[[#This Row],[Rox Wolf'#]],Table4[Wolf],0))</f>
        <v>465</v>
      </c>
      <c r="F80" s="163"/>
      <c r="G80" s="163"/>
      <c r="H80" s="163"/>
      <c r="I80" s="163"/>
      <c r="J80" s="159">
        <f>COUNTIF(FilterList,#REF!)</f>
        <v>0</v>
      </c>
      <c r="K80" s="163"/>
      <c r="N80" s="260">
        <v>599109</v>
      </c>
    </row>
    <row r="81" spans="1:14" ht="14">
      <c r="A81">
        <v>699109</v>
      </c>
      <c r="B81" t="s">
        <v>790</v>
      </c>
      <c r="C81" s="162">
        <f>ROUND(INDEX(Table4[OIL],MATCH(Table2[[#This Row],[Rox Wolf'#]],Table4[Wolf],0)),0)</f>
        <v>0</v>
      </c>
      <c r="D81" s="168">
        <f>INDEX(Table4[GAS],MATCH(Table2[[#This Row],[Rox Wolf'#]],Table4[Wolf],0))</f>
        <v>1651</v>
      </c>
      <c r="E81" s="162">
        <f>INDEX(Table4[LEASE USE],MATCH(Table2[[#This Row],[Rox Wolf'#]],Table4[Wolf],0))</f>
        <v>0</v>
      </c>
      <c r="F81" s="163"/>
      <c r="G81" s="163"/>
      <c r="H81" s="163"/>
      <c r="I81" s="163"/>
      <c r="J81" s="159">
        <f>COUNTIF(FilterList,#REF!)</f>
        <v>0</v>
      </c>
      <c r="K81" s="163"/>
      <c r="N81" s="259">
        <v>699109</v>
      </c>
    </row>
    <row r="82" spans="1:14" ht="14">
      <c r="A82">
        <v>98915</v>
      </c>
      <c r="B82" t="s">
        <v>791</v>
      </c>
      <c r="C82" s="162">
        <f>ROUND(INDEX(Table4[OIL],MATCH(Table2[[#This Row],[Rox Wolf'#]],Table4[Wolf],0)),0)</f>
        <v>0</v>
      </c>
      <c r="D82" s="168">
        <f>INDEX(Table4[GAS],MATCH(Table2[[#This Row],[Rox Wolf'#]],Table4[Wolf],0))</f>
        <v>0</v>
      </c>
      <c r="E82" s="162">
        <f>INDEX(Table4[LEASE USE],MATCH(Table2[[#This Row],[Rox Wolf'#]],Table4[Wolf],0))</f>
        <v>0</v>
      </c>
      <c r="F82" s="163"/>
      <c r="G82" s="163"/>
      <c r="H82" s="163"/>
      <c r="I82" s="163"/>
      <c r="J82" s="159">
        <f>COUNTIF(FilterList,#REF!)</f>
        <v>0</v>
      </c>
      <c r="K82" s="163"/>
      <c r="N82" s="260">
        <v>98915</v>
      </c>
    </row>
    <row r="83" spans="1:14" ht="14">
      <c r="A83">
        <v>99270</v>
      </c>
      <c r="B83" t="s">
        <v>149</v>
      </c>
      <c r="C83" s="162">
        <f>ROUND(INDEX(Table4[OIL],MATCH(Table2[[#This Row],[Rox Wolf'#]],Table4[Wolf],0)),0)</f>
        <v>1340</v>
      </c>
      <c r="D83" s="168">
        <f>INDEX(Table4[GAS],MATCH(Table2[[#This Row],[Rox Wolf'#]],Table4[Wolf],0))</f>
        <v>63375</v>
      </c>
      <c r="E83" s="162">
        <f>INDEX(Table4[LEASE USE],MATCH(Table2[[#This Row],[Rox Wolf'#]],Table4[Wolf],0))</f>
        <v>651</v>
      </c>
      <c r="F83" s="163"/>
      <c r="G83" s="163"/>
      <c r="H83" s="163"/>
      <c r="I83" s="163"/>
      <c r="J83" s="159">
        <f>COUNTIF(FilterList,#REF!)</f>
        <v>0</v>
      </c>
      <c r="K83" s="163"/>
      <c r="N83" s="259">
        <v>99270</v>
      </c>
    </row>
    <row r="84" spans="1:14" ht="14">
      <c r="A84">
        <v>99247</v>
      </c>
      <c r="B84" t="s">
        <v>1128</v>
      </c>
      <c r="C84" s="162">
        <f>ROUND(INDEX(Table4[OIL],MATCH(Table2[[#This Row],[Rox Wolf'#]],Table4[Wolf],0)),0)</f>
        <v>185</v>
      </c>
      <c r="D84" s="168">
        <f>INDEX(Table4[GAS],MATCH(Table2[[#This Row],[Rox Wolf'#]],Table4[Wolf],0))</f>
        <v>0</v>
      </c>
      <c r="E84" s="162">
        <f>INDEX(Table4[LEASE USE],MATCH(Table2[[#This Row],[Rox Wolf'#]],Table4[Wolf],0))</f>
        <v>0</v>
      </c>
      <c r="F84" s="163"/>
      <c r="G84" s="163"/>
      <c r="H84" s="163"/>
      <c r="I84" s="163"/>
      <c r="J84" s="159">
        <f>COUNTIF(FilterList,#REF!)</f>
        <v>0</v>
      </c>
      <c r="K84" s="163"/>
      <c r="N84" s="260">
        <v>99247</v>
      </c>
    </row>
    <row r="85" spans="1:14" ht="14">
      <c r="A85">
        <v>98983</v>
      </c>
      <c r="B85" t="s">
        <v>1105</v>
      </c>
      <c r="C85" s="162">
        <f>ROUND(INDEX(Table4[OIL],MATCH(Table2[[#This Row],[Rox Wolf'#]],Table4[Wolf],0)),0)</f>
        <v>0</v>
      </c>
      <c r="D85" s="168">
        <f>INDEX(Table4[GAS],MATCH(Table2[[#This Row],[Rox Wolf'#]],Table4[Wolf],0))</f>
        <v>0</v>
      </c>
      <c r="E85" s="162">
        <f>INDEX(Table4[LEASE USE],MATCH(Table2[[#This Row],[Rox Wolf'#]],Table4[Wolf],0))</f>
        <v>0</v>
      </c>
      <c r="F85" s="163"/>
      <c r="G85" s="163"/>
      <c r="H85" s="163"/>
      <c r="I85" s="163"/>
      <c r="J85" s="159">
        <f>COUNTIF(FilterList,#REF!)</f>
        <v>0</v>
      </c>
      <c r="K85" s="163"/>
      <c r="N85" s="259">
        <v>98983</v>
      </c>
    </row>
    <row r="86" spans="1:14" ht="14">
      <c r="A86">
        <v>99161</v>
      </c>
      <c r="B86" t="s">
        <v>818</v>
      </c>
      <c r="C86" s="162">
        <f>ROUND(INDEX(Table4[OIL],MATCH(Table2[[#This Row],[Rox Wolf'#]],Table4[Wolf],0)),0)</f>
        <v>334</v>
      </c>
      <c r="D86" s="168">
        <f>INDEX(Table4[GAS],MATCH(Table2[[#This Row],[Rox Wolf'#]],Table4[Wolf],0))</f>
        <v>0</v>
      </c>
      <c r="E86" s="162">
        <f>INDEX(Table4[LEASE USE],MATCH(Table2[[#This Row],[Rox Wolf'#]],Table4[Wolf],0))</f>
        <v>0</v>
      </c>
      <c r="F86" s="163"/>
      <c r="G86" s="163"/>
      <c r="H86" s="163"/>
      <c r="I86" s="163"/>
      <c r="J86" s="159">
        <f>COUNTIF(FilterList,#REF!)</f>
        <v>0</v>
      </c>
      <c r="K86" s="163"/>
      <c r="N86" s="260">
        <v>99161</v>
      </c>
    </row>
    <row r="87" spans="1:14" ht="14">
      <c r="A87">
        <v>99305</v>
      </c>
      <c r="B87" t="s">
        <v>819</v>
      </c>
      <c r="C87" s="162">
        <f>ROUND(INDEX(Table4[OIL],MATCH(Table2[[#This Row],[Rox Wolf'#]],Table4[Wolf],0)),0)</f>
        <v>0</v>
      </c>
      <c r="D87" s="168">
        <f>INDEX(Table4[GAS],MATCH(Table2[[#This Row],[Rox Wolf'#]],Table4[Wolf],0))</f>
        <v>0</v>
      </c>
      <c r="E87" s="162">
        <f>INDEX(Table4[LEASE USE],MATCH(Table2[[#This Row],[Rox Wolf'#]],Table4[Wolf],0))</f>
        <v>0</v>
      </c>
      <c r="F87" s="163"/>
      <c r="G87" s="163"/>
      <c r="H87" s="163"/>
      <c r="I87" s="163"/>
      <c r="J87" s="159">
        <f>COUNTIF(FilterList,#REF!)</f>
        <v>0</v>
      </c>
      <c r="K87" s="163"/>
      <c r="N87" s="259">
        <v>99305</v>
      </c>
    </row>
    <row r="88" spans="1:14" ht="14">
      <c r="A88">
        <v>99302</v>
      </c>
      <c r="B88" t="s">
        <v>820</v>
      </c>
      <c r="C88" s="162">
        <f>ROUND(INDEX(Table4[OIL],MATCH(Table2[[#This Row],[Rox Wolf'#]],Table4[Wolf],0)),0)</f>
        <v>0</v>
      </c>
      <c r="D88" s="168">
        <f>INDEX(Table4[GAS],MATCH(Table2[[#This Row],[Rox Wolf'#]],Table4[Wolf],0))</f>
        <v>0</v>
      </c>
      <c r="E88" s="162">
        <f>INDEX(Table4[LEASE USE],MATCH(Table2[[#This Row],[Rox Wolf'#]],Table4[Wolf],0))</f>
        <v>0</v>
      </c>
      <c r="F88" s="163"/>
      <c r="G88" s="163"/>
      <c r="H88" s="163"/>
      <c r="I88" s="163"/>
      <c r="J88" s="159">
        <f>COUNTIF(FilterList,#REF!)</f>
        <v>0</v>
      </c>
      <c r="K88" s="163"/>
      <c r="N88" s="260">
        <v>99302</v>
      </c>
    </row>
    <row r="89" spans="1:14" ht="14">
      <c r="A89">
        <v>99296</v>
      </c>
      <c r="B89" t="s">
        <v>821</v>
      </c>
      <c r="C89" s="162">
        <f>ROUND(INDEX(Table4[OIL],MATCH(Table2[[#This Row],[Rox Wolf'#]],Table4[Wolf],0)),0)</f>
        <v>0</v>
      </c>
      <c r="D89" s="168">
        <f>INDEX(Table4[GAS],MATCH(Table2[[#This Row],[Rox Wolf'#]],Table4[Wolf],0))</f>
        <v>0</v>
      </c>
      <c r="E89" s="162">
        <f>INDEX(Table4[LEASE USE],MATCH(Table2[[#This Row],[Rox Wolf'#]],Table4[Wolf],0))</f>
        <v>0</v>
      </c>
      <c r="F89" s="163"/>
      <c r="G89" s="163"/>
      <c r="H89" s="163"/>
      <c r="I89" s="163"/>
      <c r="J89" s="159">
        <f>COUNTIF(FilterList,#REF!)</f>
        <v>0</v>
      </c>
      <c r="K89" s="163"/>
      <c r="N89" s="259">
        <v>99296</v>
      </c>
    </row>
    <row r="90" spans="1:14" ht="14">
      <c r="A90">
        <v>99194</v>
      </c>
      <c r="B90" t="s">
        <v>1106</v>
      </c>
      <c r="C90" s="162">
        <f>ROUND(INDEX(Table4[OIL],MATCH(Table2[[#This Row],[Rox Wolf'#]],Table4[Wolf],0)),0)</f>
        <v>157</v>
      </c>
      <c r="D90" s="168">
        <f>INDEX(Table4[GAS],MATCH(Table2[[#This Row],[Rox Wolf'#]],Table4[Wolf],0))</f>
        <v>0</v>
      </c>
      <c r="E90" s="162">
        <f>INDEX(Table4[LEASE USE],MATCH(Table2[[#This Row],[Rox Wolf'#]],Table4[Wolf],0))</f>
        <v>0</v>
      </c>
      <c r="F90" s="163"/>
      <c r="G90" s="163"/>
      <c r="H90" s="163"/>
      <c r="I90" s="163"/>
      <c r="J90" s="159">
        <f>COUNTIF(FilterList,#REF!)</f>
        <v>0</v>
      </c>
      <c r="K90" s="163"/>
      <c r="N90" s="260">
        <v>99194</v>
      </c>
    </row>
    <row r="91" spans="1:14" ht="14" hidden="1">
      <c r="A91">
        <v>99171</v>
      </c>
      <c r="B91" t="s">
        <v>822</v>
      </c>
      <c r="C91" s="162">
        <f>ROUND(INDEX(Table4[OIL],MATCH(Table2[[#This Row],[Rox Wolf'#]],Table4[Wolf],0)),0)</f>
        <v>353</v>
      </c>
      <c r="D91" s="168">
        <f>INDEX(Table4[GAS],MATCH(Table2[[#This Row],[Rox Wolf'#]],Table4[Wolf],0))</f>
        <v>0</v>
      </c>
      <c r="E91" s="162">
        <f>INDEX(Table4[LEASE USE],MATCH(Table2[[#This Row],[Rox Wolf'#]],Table4[Wolf],0))</f>
        <v>0</v>
      </c>
      <c r="F91" s="163"/>
      <c r="G91" s="163"/>
      <c r="H91" s="163"/>
      <c r="I91" s="163"/>
      <c r="J91" s="159">
        <f>COUNTIF(FilterList,#REF!)</f>
        <v>0</v>
      </c>
      <c r="K91" s="164" t="s">
        <v>1131</v>
      </c>
      <c r="N91" s="259">
        <v>99158</v>
      </c>
    </row>
    <row r="92" spans="1:14" ht="14" hidden="1">
      <c r="A92">
        <v>99172</v>
      </c>
      <c r="B92" t="s">
        <v>1129</v>
      </c>
      <c r="C92" s="162">
        <f>ROUND(INDEX(Table4[OIL],MATCH(Table2[[#This Row],[Rox Wolf'#]],Table4[Wolf],0)),0)</f>
        <v>0</v>
      </c>
      <c r="D92" s="168">
        <f>INDEX(Table4[GAS],MATCH(Table2[[#This Row],[Rox Wolf'#]],Table4[Wolf],0))</f>
        <v>0</v>
      </c>
      <c r="E92" s="162">
        <f>INDEX(Table4[LEASE USE],MATCH(Table2[[#This Row],[Rox Wolf'#]],Table4[Wolf],0))</f>
        <v>0</v>
      </c>
      <c r="F92" s="163"/>
      <c r="G92" s="163"/>
      <c r="H92" s="163"/>
      <c r="I92" s="163"/>
      <c r="J92" s="159">
        <f>COUNTIF(FilterList,#REF!)</f>
        <v>0</v>
      </c>
      <c r="K92" s="164" t="s">
        <v>1131</v>
      </c>
      <c r="N92" s="260">
        <v>99171</v>
      </c>
    </row>
    <row r="93" spans="1:14" ht="14" hidden="1">
      <c r="A93">
        <v>99173</v>
      </c>
      <c r="B93" t="s">
        <v>823</v>
      </c>
      <c r="C93" s="162">
        <f>ROUND(INDEX(Table4[OIL],MATCH(Table2[[#This Row],[Rox Wolf'#]],Table4[Wolf],0)),0)</f>
        <v>0</v>
      </c>
      <c r="D93" s="168">
        <f>INDEX(Table4[GAS],MATCH(Table2[[#This Row],[Rox Wolf'#]],Table4[Wolf],0))</f>
        <v>0</v>
      </c>
      <c r="E93" s="162">
        <f>INDEX(Table4[LEASE USE],MATCH(Table2[[#This Row],[Rox Wolf'#]],Table4[Wolf],0))</f>
        <v>0</v>
      </c>
      <c r="F93" s="163"/>
      <c r="G93" s="163"/>
      <c r="H93" s="163"/>
      <c r="I93" s="163"/>
      <c r="J93" s="159">
        <f>COUNTIF(FilterList,#REF!)</f>
        <v>0</v>
      </c>
      <c r="K93" s="164" t="s">
        <v>1131</v>
      </c>
      <c r="N93" s="259">
        <v>99172</v>
      </c>
    </row>
    <row r="94" spans="1:14" ht="14">
      <c r="A94">
        <v>80001</v>
      </c>
      <c r="B94" t="s">
        <v>792</v>
      </c>
      <c r="C94" s="162">
        <f>ROUND(INDEX(Table4[OIL],MATCH(Table2[[#This Row],[Rox Wolf'#]],Table4[Wolf],0)),0)</f>
        <v>0</v>
      </c>
      <c r="D94" s="168">
        <f>INDEX(Table4[GAS],MATCH(Table2[[#This Row],[Rox Wolf'#]],Table4[Wolf],0))</f>
        <v>1668</v>
      </c>
      <c r="E94" s="162">
        <f>INDEX(Table4[LEASE USE],MATCH(Table2[[#This Row],[Rox Wolf'#]],Table4[Wolf],0))</f>
        <v>124</v>
      </c>
      <c r="F94" s="163"/>
      <c r="G94" s="163"/>
      <c r="H94" s="163"/>
      <c r="I94" s="163"/>
      <c r="J94" s="159">
        <f>COUNTIF(FilterList,#REF!)</f>
        <v>0</v>
      </c>
      <c r="K94" s="163"/>
      <c r="N94" s="260">
        <v>99173</v>
      </c>
    </row>
    <row r="95" spans="1:14" ht="14">
      <c r="A95">
        <v>99158</v>
      </c>
      <c r="B95" t="s">
        <v>1290</v>
      </c>
      <c r="C95" s="162">
        <f>ROUND(INDEX(Table4[OIL],MATCH(Table2[[#This Row],[Rox Wolf'#]],Table4[Wolf],0)),0)</f>
        <v>0</v>
      </c>
      <c r="D95" s="168">
        <f>INDEX(Table4[GAS],MATCH(Table2[[#This Row],[Rox Wolf'#]],Table4[Wolf],0))</f>
        <v>0</v>
      </c>
      <c r="E95" s="162">
        <f>INDEX(Table4[LEASE USE],MATCH(Table2[[#This Row],[Rox Wolf'#]],Table4[Wolf],0))</f>
        <v>0</v>
      </c>
      <c r="F95" s="163"/>
      <c r="G95" s="163"/>
      <c r="H95" s="163"/>
      <c r="I95" s="163"/>
      <c r="J95" s="159">
        <f>COUNTIF(FilterList,#REF!)</f>
        <v>0</v>
      </c>
      <c r="K95" s="163"/>
      <c r="N95" s="260"/>
    </row>
    <row r="96" spans="1:14" ht="14">
      <c r="A96">
        <f>SUBTOTAL(103,Table2[Rox Wolf'#])</f>
        <v>84</v>
      </c>
      <c r="B96"/>
      <c r="C96">
        <f>SUBTOTAL(109,Table2[OIL])</f>
        <v>12674</v>
      </c>
      <c r="D96" s="5">
        <f>SUBTOTAL(109,Table2[GAS])</f>
        <v>224267</v>
      </c>
      <c r="E96">
        <f>SUBTOTAL(109,Table2[LEASE USE])</f>
        <v>5505</v>
      </c>
      <c r="F96"/>
      <c r="G96"/>
      <c r="H96"/>
      <c r="I96"/>
      <c r="J96">
        <f>SUBTOTAL(109,Table2[Filter])</f>
        <v>0</v>
      </c>
      <c r="N96" s="259">
        <v>80001</v>
      </c>
    </row>
  </sheetData>
  <mergeCells count="2">
    <mergeCell ref="A1:E1"/>
    <mergeCell ref="A2:E2"/>
  </mergeCells>
  <phoneticPr fontId="70" type="noConversion"/>
  <conditionalFormatting sqref="A5:A95">
    <cfRule type="duplicateValues" dxfId="75" priority="29"/>
  </conditionalFormatting>
  <conditionalFormatting sqref="B4:B95">
    <cfRule type="duplicateValues" dxfId="74" priority="31"/>
  </conditionalFormatting>
  <conditionalFormatting sqref="N5:N96 A5:A95">
    <cfRule type="duplicateValues" dxfId="73" priority="1"/>
  </conditionalFormatting>
  <pageMargins left="0.25" right="0.25" top="0.75" bottom="0.75" header="0.3" footer="0.3"/>
  <pageSetup scale="37" orientation="landscape"/>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6"/>
  <sheetViews>
    <sheetView workbookViewId="0">
      <selection activeCell="D10" sqref="D10"/>
    </sheetView>
  </sheetViews>
  <sheetFormatPr baseColWidth="10" defaultColWidth="8.83203125" defaultRowHeight="14" x14ac:dyDescent="0"/>
  <cols>
    <col min="1" max="1" width="12.83203125" style="174" customWidth="1"/>
    <col min="2" max="2" width="30" style="174" bestFit="1" customWidth="1"/>
    <col min="3" max="3" width="8.83203125" style="178"/>
    <col min="4" max="4" width="8.83203125" style="179"/>
    <col min="5" max="5" width="14.1640625" style="178" customWidth="1"/>
    <col min="6" max="16384" width="8.83203125" style="174"/>
  </cols>
  <sheetData>
    <row r="1" spans="1:5" s="172" customFormat="1" ht="20">
      <c r="A1" s="286" t="s">
        <v>628</v>
      </c>
      <c r="B1" s="286"/>
      <c r="C1" s="286"/>
      <c r="D1" s="286"/>
      <c r="E1" s="286"/>
    </row>
    <row r="2" spans="1:5" s="172" customFormat="1" ht="20">
      <c r="A2" s="287">
        <v>43831</v>
      </c>
      <c r="B2" s="287"/>
      <c r="C2" s="287"/>
      <c r="D2" s="287"/>
      <c r="E2" s="287"/>
    </row>
    <row r="3" spans="1:5" s="172" customFormat="1" ht="20">
      <c r="C3" s="194"/>
      <c r="D3" s="173"/>
      <c r="E3" s="194"/>
    </row>
    <row r="4" spans="1:5">
      <c r="A4" s="180" t="s">
        <v>1143</v>
      </c>
      <c r="B4" s="175" t="s">
        <v>1144</v>
      </c>
      <c r="C4" s="176" t="s">
        <v>746</v>
      </c>
      <c r="D4" s="177" t="s">
        <v>747</v>
      </c>
      <c r="E4" s="178" t="s">
        <v>748</v>
      </c>
    </row>
    <row r="5" spans="1:5">
      <c r="A5" s="195">
        <v>34001</v>
      </c>
      <c r="B5" s="195" t="s">
        <v>815</v>
      </c>
      <c r="C5" s="199">
        <v>835.31</v>
      </c>
      <c r="D5" s="200"/>
      <c r="E5" s="199">
        <v>0</v>
      </c>
    </row>
    <row r="6" spans="1:5">
      <c r="A6" s="195">
        <v>48001</v>
      </c>
      <c r="B6" s="195" t="s">
        <v>763</v>
      </c>
      <c r="C6" s="199"/>
      <c r="D6" s="200">
        <v>187</v>
      </c>
      <c r="E6" s="199">
        <v>31</v>
      </c>
    </row>
    <row r="7" spans="1:5">
      <c r="A7" s="195">
        <v>80001</v>
      </c>
      <c r="B7" s="195" t="s">
        <v>792</v>
      </c>
      <c r="C7" s="196"/>
      <c r="D7" s="197">
        <v>1668</v>
      </c>
      <c r="E7" s="198">
        <v>124</v>
      </c>
    </row>
    <row r="8" spans="1:5">
      <c r="A8" s="195">
        <v>82001</v>
      </c>
      <c r="B8" s="195" t="s">
        <v>751</v>
      </c>
      <c r="C8" s="196"/>
      <c r="D8" s="197">
        <v>48</v>
      </c>
      <c r="E8" s="198">
        <v>0</v>
      </c>
    </row>
    <row r="9" spans="1:5">
      <c r="A9" s="195">
        <v>92001</v>
      </c>
      <c r="B9" s="195" t="s">
        <v>232</v>
      </c>
      <c r="C9" s="196">
        <v>184</v>
      </c>
      <c r="D9" s="197"/>
      <c r="E9" s="198">
        <v>0</v>
      </c>
    </row>
    <row r="10" spans="1:5">
      <c r="A10" s="195">
        <v>93701</v>
      </c>
      <c r="B10" s="195" t="s">
        <v>796</v>
      </c>
      <c r="C10" s="196"/>
      <c r="D10" s="197">
        <v>10</v>
      </c>
      <c r="E10" s="198">
        <v>0</v>
      </c>
    </row>
    <row r="11" spans="1:5">
      <c r="A11" s="195">
        <v>93806</v>
      </c>
      <c r="B11" s="195" t="s">
        <v>803</v>
      </c>
      <c r="C11" s="196"/>
      <c r="D11" s="197"/>
      <c r="E11" s="198">
        <v>0</v>
      </c>
    </row>
    <row r="12" spans="1:5">
      <c r="A12" s="195">
        <v>93901</v>
      </c>
      <c r="B12" s="195" t="s">
        <v>1124</v>
      </c>
      <c r="C12" s="196"/>
      <c r="D12" s="197"/>
      <c r="E12" s="198"/>
    </row>
    <row r="13" spans="1:5">
      <c r="A13" s="195">
        <v>94601</v>
      </c>
      <c r="B13" s="195" t="s">
        <v>805</v>
      </c>
      <c r="C13" s="196">
        <v>362.33</v>
      </c>
      <c r="D13" s="197">
        <v>2268</v>
      </c>
      <c r="E13" s="198">
        <v>0</v>
      </c>
    </row>
    <row r="14" spans="1:5">
      <c r="A14" s="195">
        <v>95801</v>
      </c>
      <c r="B14" s="195" t="s">
        <v>1127</v>
      </c>
      <c r="C14" s="196"/>
      <c r="D14" s="197"/>
      <c r="E14" s="198"/>
    </row>
    <row r="15" spans="1:5">
      <c r="A15" s="195">
        <v>96501</v>
      </c>
      <c r="B15" s="195" t="s">
        <v>752</v>
      </c>
      <c r="C15" s="196"/>
      <c r="D15" s="197">
        <v>2078</v>
      </c>
      <c r="E15" s="198">
        <v>93</v>
      </c>
    </row>
    <row r="16" spans="1:5">
      <c r="A16" s="195">
        <v>96701</v>
      </c>
      <c r="B16" s="195" t="s">
        <v>750</v>
      </c>
      <c r="C16" s="196"/>
      <c r="D16" s="197">
        <v>38</v>
      </c>
      <c r="E16" s="198">
        <v>0</v>
      </c>
    </row>
    <row r="17" spans="1:5">
      <c r="A17" s="195">
        <v>96901</v>
      </c>
      <c r="B17" s="195" t="s">
        <v>786</v>
      </c>
      <c r="C17" s="196">
        <v>136.04</v>
      </c>
      <c r="D17" s="197">
        <v>1353</v>
      </c>
      <c r="E17" s="198">
        <v>31</v>
      </c>
    </row>
    <row r="18" spans="1:5">
      <c r="A18" s="195">
        <v>98401</v>
      </c>
      <c r="B18" s="195" t="s">
        <v>785</v>
      </c>
      <c r="C18" s="196"/>
      <c r="D18" s="197">
        <v>3130</v>
      </c>
      <c r="E18" s="198">
        <v>93</v>
      </c>
    </row>
    <row r="19" spans="1:5">
      <c r="A19" s="195">
        <v>98801</v>
      </c>
      <c r="B19" s="195" t="s">
        <v>774</v>
      </c>
      <c r="C19" s="196">
        <v>190.07</v>
      </c>
      <c r="D19" s="197">
        <v>6502</v>
      </c>
      <c r="E19" s="198">
        <v>217</v>
      </c>
    </row>
    <row r="20" spans="1:5">
      <c r="A20" s="195">
        <v>98910</v>
      </c>
      <c r="B20" s="195" t="s">
        <v>810</v>
      </c>
      <c r="C20" s="196">
        <v>994.16</v>
      </c>
      <c r="D20" s="197"/>
      <c r="E20" s="198">
        <v>124</v>
      </c>
    </row>
    <row r="21" spans="1:5">
      <c r="A21" s="195">
        <v>98915</v>
      </c>
      <c r="B21" s="195" t="s">
        <v>791</v>
      </c>
      <c r="C21" s="196"/>
      <c r="D21" s="197"/>
      <c r="E21" s="198">
        <v>0</v>
      </c>
    </row>
    <row r="22" spans="1:5">
      <c r="A22" s="195">
        <v>98921</v>
      </c>
      <c r="B22" s="195" t="s">
        <v>801</v>
      </c>
      <c r="C22" s="196">
        <v>164.23</v>
      </c>
      <c r="D22" s="197"/>
      <c r="E22" s="198">
        <v>0</v>
      </c>
    </row>
    <row r="23" spans="1:5">
      <c r="A23" s="195">
        <v>98955</v>
      </c>
      <c r="B23" s="195" t="s">
        <v>280</v>
      </c>
      <c r="C23" s="196"/>
      <c r="D23" s="197">
        <v>531</v>
      </c>
      <c r="E23" s="198">
        <v>31</v>
      </c>
    </row>
    <row r="24" spans="1:5">
      <c r="A24" s="195">
        <v>98956</v>
      </c>
      <c r="B24" s="195" t="s">
        <v>768</v>
      </c>
      <c r="C24" s="196"/>
      <c r="D24" s="197">
        <v>490</v>
      </c>
      <c r="E24" s="198">
        <v>62</v>
      </c>
    </row>
    <row r="25" spans="1:5">
      <c r="A25" s="195">
        <v>98958</v>
      </c>
      <c r="B25" s="195" t="s">
        <v>769</v>
      </c>
      <c r="C25" s="196"/>
      <c r="D25" s="197">
        <v>2368</v>
      </c>
      <c r="E25" s="198">
        <v>186</v>
      </c>
    </row>
    <row r="26" spans="1:5">
      <c r="A26" s="195">
        <v>98959</v>
      </c>
      <c r="B26" s="195" t="s">
        <v>770</v>
      </c>
      <c r="C26" s="196"/>
      <c r="D26" s="197">
        <v>73</v>
      </c>
      <c r="E26" s="198">
        <v>0</v>
      </c>
    </row>
    <row r="27" spans="1:5">
      <c r="A27" s="195">
        <v>98961</v>
      </c>
      <c r="B27" s="195" t="s">
        <v>804</v>
      </c>
      <c r="C27" s="196">
        <v>354.85</v>
      </c>
      <c r="D27" s="197">
        <v>2046</v>
      </c>
      <c r="E27" s="198">
        <v>0</v>
      </c>
    </row>
    <row r="28" spans="1:5">
      <c r="A28" s="195">
        <v>98965</v>
      </c>
      <c r="B28" s="195" t="s">
        <v>762</v>
      </c>
      <c r="C28" s="196"/>
      <c r="D28" s="197">
        <v>792</v>
      </c>
      <c r="E28" s="198">
        <v>31</v>
      </c>
    </row>
    <row r="29" spans="1:5">
      <c r="A29" s="195">
        <v>98976</v>
      </c>
      <c r="B29" s="195" t="s">
        <v>780</v>
      </c>
      <c r="C29" s="196"/>
      <c r="D29" s="197">
        <v>32</v>
      </c>
      <c r="E29" s="198">
        <v>0</v>
      </c>
    </row>
    <row r="30" spans="1:5">
      <c r="A30" s="195">
        <v>98979</v>
      </c>
      <c r="B30" s="195" t="s">
        <v>310</v>
      </c>
      <c r="C30" s="196">
        <v>180.9</v>
      </c>
      <c r="D30" s="197">
        <v>392</v>
      </c>
      <c r="E30" s="198">
        <v>0</v>
      </c>
    </row>
    <row r="31" spans="1:5">
      <c r="A31" s="195">
        <v>98983</v>
      </c>
      <c r="B31" s="195" t="s">
        <v>1105</v>
      </c>
      <c r="C31" s="196"/>
      <c r="D31" s="197"/>
      <c r="E31" s="198">
        <v>0</v>
      </c>
    </row>
    <row r="32" spans="1:5" ht="15.75" customHeight="1">
      <c r="A32" s="195">
        <v>98987</v>
      </c>
      <c r="B32" s="195" t="s">
        <v>765</v>
      </c>
      <c r="C32" s="196"/>
      <c r="D32" s="197">
        <v>0</v>
      </c>
      <c r="E32" s="198">
        <v>0</v>
      </c>
    </row>
    <row r="33" spans="1:5">
      <c r="A33" s="195">
        <v>98988</v>
      </c>
      <c r="B33" s="195" t="s">
        <v>766</v>
      </c>
      <c r="C33" s="196"/>
      <c r="D33" s="197">
        <v>2438</v>
      </c>
      <c r="E33" s="198">
        <v>155</v>
      </c>
    </row>
    <row r="34" spans="1:5">
      <c r="A34" s="195">
        <v>98990</v>
      </c>
      <c r="B34" s="195" t="s">
        <v>779</v>
      </c>
      <c r="C34" s="196"/>
      <c r="D34" s="197">
        <v>75</v>
      </c>
      <c r="E34" s="198">
        <v>0</v>
      </c>
    </row>
    <row r="35" spans="1:5">
      <c r="A35" s="195">
        <v>99007</v>
      </c>
      <c r="B35" s="195" t="s">
        <v>767</v>
      </c>
      <c r="C35" s="196"/>
      <c r="D35" s="197">
        <v>114</v>
      </c>
      <c r="E35" s="198">
        <v>31</v>
      </c>
    </row>
    <row r="36" spans="1:5">
      <c r="A36" s="195">
        <v>99017</v>
      </c>
      <c r="B36" s="195" t="s">
        <v>759</v>
      </c>
      <c r="C36" s="196"/>
      <c r="D36" s="197">
        <v>4448</v>
      </c>
      <c r="E36" s="198">
        <v>210</v>
      </c>
    </row>
    <row r="37" spans="1:5">
      <c r="A37" s="195">
        <v>99026</v>
      </c>
      <c r="B37" s="195" t="s">
        <v>813</v>
      </c>
      <c r="C37" s="196">
        <v>340.29</v>
      </c>
      <c r="D37" s="197"/>
      <c r="E37" s="198">
        <v>0</v>
      </c>
    </row>
    <row r="38" spans="1:5">
      <c r="A38" s="195">
        <v>99058</v>
      </c>
      <c r="B38" s="195" t="s">
        <v>782</v>
      </c>
      <c r="C38" s="196"/>
      <c r="D38" s="197">
        <v>2494</v>
      </c>
      <c r="E38" s="198">
        <v>0</v>
      </c>
    </row>
    <row r="39" spans="1:5">
      <c r="A39" s="195">
        <v>99065</v>
      </c>
      <c r="B39" s="195" t="s">
        <v>777</v>
      </c>
      <c r="C39" s="196"/>
      <c r="D39" s="197"/>
      <c r="E39" s="198">
        <v>0</v>
      </c>
    </row>
    <row r="40" spans="1:5">
      <c r="A40" s="195">
        <v>99066</v>
      </c>
      <c r="B40" s="195" t="s">
        <v>776</v>
      </c>
      <c r="C40" s="196"/>
      <c r="D40" s="197">
        <v>743</v>
      </c>
      <c r="E40" s="198">
        <v>0</v>
      </c>
    </row>
    <row r="41" spans="1:5">
      <c r="A41" s="195">
        <v>99067</v>
      </c>
      <c r="B41" s="195" t="s">
        <v>760</v>
      </c>
      <c r="C41" s="196"/>
      <c r="D41" s="197">
        <v>268</v>
      </c>
      <c r="E41" s="198">
        <v>0</v>
      </c>
    </row>
    <row r="42" spans="1:5">
      <c r="A42" s="195">
        <v>99069</v>
      </c>
      <c r="B42" s="195" t="s">
        <v>761</v>
      </c>
      <c r="C42" s="196"/>
      <c r="D42" s="197">
        <v>1653</v>
      </c>
      <c r="E42" s="198">
        <v>0</v>
      </c>
    </row>
    <row r="43" spans="1:5">
      <c r="A43" s="195">
        <v>99093</v>
      </c>
      <c r="B43" s="195" t="s">
        <v>771</v>
      </c>
      <c r="C43" s="196"/>
      <c r="D43" s="197">
        <v>2545</v>
      </c>
      <c r="E43" s="198">
        <v>112</v>
      </c>
    </row>
    <row r="44" spans="1:5">
      <c r="A44" s="195">
        <v>99094</v>
      </c>
      <c r="B44" s="195" t="s">
        <v>772</v>
      </c>
      <c r="C44" s="196"/>
      <c r="D44" s="197">
        <v>2517</v>
      </c>
      <c r="E44" s="198">
        <v>112</v>
      </c>
    </row>
    <row r="45" spans="1:5">
      <c r="A45" s="195">
        <v>99095</v>
      </c>
      <c r="B45" s="195" t="s">
        <v>773</v>
      </c>
      <c r="C45" s="196"/>
      <c r="D45" s="197">
        <v>963</v>
      </c>
      <c r="E45" s="198">
        <v>28</v>
      </c>
    </row>
    <row r="46" spans="1:5">
      <c r="A46" s="195">
        <v>99101</v>
      </c>
      <c r="B46" s="195" t="s">
        <v>811</v>
      </c>
      <c r="C46" s="196"/>
      <c r="D46" s="197">
        <v>661</v>
      </c>
      <c r="E46" s="198">
        <v>0</v>
      </c>
    </row>
    <row r="47" spans="1:5">
      <c r="A47" s="195">
        <v>99102</v>
      </c>
      <c r="B47" s="195" t="s">
        <v>784</v>
      </c>
      <c r="C47" s="196">
        <v>379.09</v>
      </c>
      <c r="D47" s="197">
        <v>42445</v>
      </c>
      <c r="E47" s="198">
        <v>0</v>
      </c>
    </row>
    <row r="48" spans="1:5">
      <c r="A48" s="195">
        <v>99113</v>
      </c>
      <c r="B48" s="195" t="s">
        <v>775</v>
      </c>
      <c r="C48" s="196"/>
      <c r="D48" s="197">
        <v>185</v>
      </c>
      <c r="E48" s="198">
        <v>0</v>
      </c>
    </row>
    <row r="49" spans="1:5">
      <c r="A49" s="195">
        <v>99122</v>
      </c>
      <c r="B49" s="195" t="s">
        <v>1243</v>
      </c>
      <c r="C49" s="196"/>
      <c r="D49" s="197"/>
      <c r="E49" s="198"/>
    </row>
    <row r="50" spans="1:5">
      <c r="A50" s="195">
        <v>99128</v>
      </c>
      <c r="B50" s="195" t="s">
        <v>808</v>
      </c>
      <c r="C50" s="196"/>
      <c r="D50" s="197">
        <v>6331</v>
      </c>
      <c r="E50" s="198">
        <v>310</v>
      </c>
    </row>
    <row r="51" spans="1:5">
      <c r="A51" s="195">
        <v>99132</v>
      </c>
      <c r="B51" s="195" t="s">
        <v>1103</v>
      </c>
      <c r="C51" s="196"/>
      <c r="D51" s="197"/>
      <c r="E51" s="198">
        <v>0</v>
      </c>
    </row>
    <row r="52" spans="1:5">
      <c r="A52" s="195">
        <v>99133</v>
      </c>
      <c r="B52" s="195" t="s">
        <v>1104</v>
      </c>
      <c r="C52" s="199"/>
      <c r="D52" s="200"/>
      <c r="E52" s="199">
        <v>0</v>
      </c>
    </row>
    <row r="53" spans="1:5">
      <c r="A53" s="195">
        <v>99134</v>
      </c>
      <c r="B53" s="195" t="s">
        <v>809</v>
      </c>
      <c r="C53" s="196"/>
      <c r="D53" s="197">
        <v>3372</v>
      </c>
      <c r="E53" s="198">
        <v>0</v>
      </c>
    </row>
    <row r="54" spans="1:5">
      <c r="A54" s="195">
        <v>99140</v>
      </c>
      <c r="B54" s="195" t="s">
        <v>814</v>
      </c>
      <c r="C54" s="196"/>
      <c r="D54" s="197"/>
      <c r="E54" s="198">
        <v>0</v>
      </c>
    </row>
    <row r="55" spans="1:5">
      <c r="A55" s="195">
        <v>99158</v>
      </c>
      <c r="B55" s="195" t="s">
        <v>1271</v>
      </c>
      <c r="C55" s="196"/>
      <c r="D55" s="197"/>
      <c r="E55" s="198"/>
    </row>
    <row r="56" spans="1:5">
      <c r="A56" s="195">
        <v>99159</v>
      </c>
      <c r="B56" s="195" t="s">
        <v>781</v>
      </c>
      <c r="C56" s="196"/>
      <c r="D56" s="197">
        <v>3506</v>
      </c>
      <c r="E56" s="198">
        <v>186</v>
      </c>
    </row>
    <row r="57" spans="1:5">
      <c r="A57" s="195">
        <v>99161</v>
      </c>
      <c r="B57" s="195" t="s">
        <v>818</v>
      </c>
      <c r="C57" s="196">
        <v>333.89</v>
      </c>
      <c r="D57" s="197"/>
      <c r="E57" s="198">
        <v>0</v>
      </c>
    </row>
    <row r="58" spans="1:5">
      <c r="A58" s="195">
        <v>99169</v>
      </c>
      <c r="B58" s="195" t="s">
        <v>802</v>
      </c>
      <c r="C58" s="196"/>
      <c r="D58" s="197"/>
      <c r="E58" s="198">
        <v>0</v>
      </c>
    </row>
    <row r="59" spans="1:5">
      <c r="A59" s="195">
        <v>99170</v>
      </c>
      <c r="B59" s="195" t="s">
        <v>798</v>
      </c>
      <c r="C59" s="199"/>
      <c r="D59" s="200"/>
      <c r="E59" s="199">
        <v>0</v>
      </c>
    </row>
    <row r="60" spans="1:5">
      <c r="A60" s="195">
        <v>99171</v>
      </c>
      <c r="B60" s="195" t="s">
        <v>822</v>
      </c>
      <c r="C60" s="196">
        <v>352.72</v>
      </c>
      <c r="D60" s="197"/>
      <c r="E60" s="198">
        <v>0</v>
      </c>
    </row>
    <row r="61" spans="1:5">
      <c r="A61" s="195">
        <v>99172</v>
      </c>
      <c r="B61" s="195" t="s">
        <v>1129</v>
      </c>
      <c r="C61" s="196"/>
      <c r="D61" s="197"/>
      <c r="E61" s="198">
        <v>0</v>
      </c>
    </row>
    <row r="62" spans="1:5">
      <c r="A62" s="195">
        <v>99173</v>
      </c>
      <c r="B62" s="195" t="s">
        <v>823</v>
      </c>
      <c r="C62" s="196"/>
      <c r="D62" s="197"/>
      <c r="E62" s="198">
        <v>0</v>
      </c>
    </row>
    <row r="63" spans="1:5">
      <c r="A63" s="195">
        <v>99186</v>
      </c>
      <c r="B63" s="195" t="s">
        <v>807</v>
      </c>
      <c r="C63" s="196">
        <v>514.23</v>
      </c>
      <c r="D63" s="197"/>
      <c r="E63" s="198">
        <v>0</v>
      </c>
    </row>
    <row r="64" spans="1:5">
      <c r="A64" s="195">
        <v>99194</v>
      </c>
      <c r="B64" s="195" t="s">
        <v>1106</v>
      </c>
      <c r="C64" s="196">
        <v>156.61000000000001</v>
      </c>
      <c r="D64" s="197"/>
      <c r="E64" s="198">
        <v>0</v>
      </c>
    </row>
    <row r="65" spans="1:5">
      <c r="A65" s="195">
        <v>99200</v>
      </c>
      <c r="B65" s="195" t="s">
        <v>800</v>
      </c>
      <c r="C65" s="196">
        <v>1287.8499999999999</v>
      </c>
      <c r="D65" s="197"/>
      <c r="E65" s="198">
        <v>0</v>
      </c>
    </row>
    <row r="66" spans="1:5">
      <c r="A66" s="195">
        <v>99225</v>
      </c>
      <c r="B66" s="195" t="s">
        <v>1123</v>
      </c>
      <c r="C66" s="196"/>
      <c r="D66" s="197"/>
      <c r="E66" s="198"/>
    </row>
    <row r="67" spans="1:5">
      <c r="A67" s="195">
        <v>99228</v>
      </c>
      <c r="B67" s="195" t="s">
        <v>78</v>
      </c>
      <c r="C67" s="196"/>
      <c r="D67" s="198"/>
      <c r="E67" s="198">
        <v>0</v>
      </c>
    </row>
    <row r="68" spans="1:5">
      <c r="A68" s="195">
        <v>99229</v>
      </c>
      <c r="B68" s="195" t="s">
        <v>749</v>
      </c>
      <c r="C68" s="196"/>
      <c r="D68" s="197"/>
      <c r="E68" s="198">
        <v>0</v>
      </c>
    </row>
    <row r="69" spans="1:5">
      <c r="A69" s="195">
        <v>99230</v>
      </c>
      <c r="B69" s="195" t="s">
        <v>753</v>
      </c>
      <c r="C69" s="196">
        <v>180.02</v>
      </c>
      <c r="D69" s="197">
        <v>2019</v>
      </c>
      <c r="E69" s="198">
        <v>0</v>
      </c>
    </row>
    <row r="70" spans="1:5">
      <c r="A70" s="195">
        <v>99246</v>
      </c>
      <c r="B70" s="195" t="s">
        <v>787</v>
      </c>
      <c r="C70" s="196"/>
      <c r="D70" s="197">
        <v>13682</v>
      </c>
      <c r="E70" s="198">
        <v>575</v>
      </c>
    </row>
    <row r="71" spans="1:5">
      <c r="A71" s="195">
        <v>99247</v>
      </c>
      <c r="B71" s="195" t="s">
        <v>1128</v>
      </c>
      <c r="C71" s="196">
        <v>184.57</v>
      </c>
      <c r="D71" s="197"/>
      <c r="E71" s="198">
        <v>0</v>
      </c>
    </row>
    <row r="72" spans="1:5">
      <c r="A72" s="195">
        <v>99255</v>
      </c>
      <c r="B72" s="195" t="s">
        <v>758</v>
      </c>
      <c r="C72" s="196"/>
      <c r="D72" s="197"/>
      <c r="E72" s="198">
        <v>0</v>
      </c>
    </row>
    <row r="73" spans="1:5">
      <c r="A73" s="195">
        <v>99256</v>
      </c>
      <c r="B73" s="195" t="s">
        <v>113</v>
      </c>
      <c r="C73" s="196"/>
      <c r="D73" s="197">
        <v>1723</v>
      </c>
      <c r="E73" s="198">
        <v>0</v>
      </c>
    </row>
    <row r="74" spans="1:5">
      <c r="A74" s="195">
        <v>99259</v>
      </c>
      <c r="B74" s="195" t="s">
        <v>1102</v>
      </c>
      <c r="C74" s="196">
        <v>184.01</v>
      </c>
      <c r="D74" s="197"/>
      <c r="E74" s="198"/>
    </row>
    <row r="75" spans="1:5">
      <c r="A75" s="195">
        <v>99265</v>
      </c>
      <c r="B75" s="195" t="s">
        <v>1120</v>
      </c>
      <c r="C75" s="196"/>
      <c r="D75" s="197">
        <v>8863</v>
      </c>
      <c r="E75" s="197">
        <v>245</v>
      </c>
    </row>
    <row r="76" spans="1:5">
      <c r="A76" s="195">
        <v>99266</v>
      </c>
      <c r="B76" s="195" t="s">
        <v>1121</v>
      </c>
      <c r="C76" s="196"/>
      <c r="D76" s="197">
        <v>3068</v>
      </c>
      <c r="E76" s="197">
        <v>85</v>
      </c>
    </row>
    <row r="77" spans="1:5">
      <c r="A77" s="195">
        <v>99267</v>
      </c>
      <c r="B77" s="195" t="s">
        <v>1122</v>
      </c>
      <c r="C77" s="196"/>
      <c r="D77" s="197">
        <v>372</v>
      </c>
      <c r="E77" s="197">
        <v>22</v>
      </c>
    </row>
    <row r="78" spans="1:5">
      <c r="A78" s="195">
        <v>99268</v>
      </c>
      <c r="B78" s="195" t="s">
        <v>1126</v>
      </c>
      <c r="C78" s="196"/>
      <c r="D78" s="197">
        <v>4692</v>
      </c>
      <c r="E78" s="197">
        <v>282</v>
      </c>
    </row>
    <row r="79" spans="1:5">
      <c r="A79" s="195">
        <v>99269</v>
      </c>
      <c r="B79" s="195" t="s">
        <v>1125</v>
      </c>
      <c r="C79" s="196"/>
      <c r="D79" s="197">
        <v>1074</v>
      </c>
      <c r="E79" s="197">
        <v>310</v>
      </c>
    </row>
    <row r="80" spans="1:5">
      <c r="A80" s="195">
        <v>99270</v>
      </c>
      <c r="B80" s="195" t="s">
        <v>149</v>
      </c>
      <c r="C80" s="196">
        <v>1339.85</v>
      </c>
      <c r="D80" s="197">
        <v>63375</v>
      </c>
      <c r="E80" s="198">
        <v>651</v>
      </c>
    </row>
    <row r="81" spans="1:5">
      <c r="A81" s="195">
        <v>99278</v>
      </c>
      <c r="B81" s="195" t="s">
        <v>778</v>
      </c>
      <c r="C81" s="196"/>
      <c r="D81" s="197">
        <v>7509</v>
      </c>
      <c r="E81" s="198">
        <v>403</v>
      </c>
    </row>
    <row r="82" spans="1:5">
      <c r="A82" s="195">
        <v>99282</v>
      </c>
      <c r="B82" s="195" t="s">
        <v>1268</v>
      </c>
      <c r="C82" s="196"/>
      <c r="D82" s="197"/>
      <c r="E82" s="198"/>
    </row>
    <row r="83" spans="1:5">
      <c r="A83" s="195">
        <v>99286</v>
      </c>
      <c r="B83" s="195" t="s">
        <v>754</v>
      </c>
      <c r="C83" s="196"/>
      <c r="D83" s="197">
        <v>654</v>
      </c>
      <c r="E83" s="198">
        <v>0</v>
      </c>
    </row>
    <row r="84" spans="1:5">
      <c r="A84" s="195">
        <v>99288</v>
      </c>
      <c r="B84" s="195" t="s">
        <v>1119</v>
      </c>
      <c r="C84" s="196">
        <v>136.21</v>
      </c>
      <c r="D84" s="197">
        <v>622</v>
      </c>
      <c r="E84" s="198">
        <v>0</v>
      </c>
    </row>
    <row r="85" spans="1:5">
      <c r="A85" s="195">
        <v>99293</v>
      </c>
      <c r="B85" s="195" t="s">
        <v>756</v>
      </c>
      <c r="C85" s="196"/>
      <c r="D85" s="197">
        <v>608</v>
      </c>
      <c r="E85" s="198">
        <v>31</v>
      </c>
    </row>
    <row r="86" spans="1:5">
      <c r="A86" s="195">
        <v>99294</v>
      </c>
      <c r="B86" s="195" t="s">
        <v>755</v>
      </c>
      <c r="C86" s="196">
        <v>1109.3399999999999</v>
      </c>
      <c r="D86" s="197">
        <v>1530</v>
      </c>
      <c r="E86" s="198">
        <v>31</v>
      </c>
    </row>
    <row r="87" spans="1:5">
      <c r="A87" s="195">
        <v>99295</v>
      </c>
      <c r="B87" s="195" t="s">
        <v>757</v>
      </c>
      <c r="C87" s="196">
        <v>2468.85</v>
      </c>
      <c r="D87" s="197">
        <v>3861</v>
      </c>
      <c r="E87" s="198">
        <v>217</v>
      </c>
    </row>
    <row r="88" spans="1:5">
      <c r="A88" s="195">
        <v>99296</v>
      </c>
      <c r="B88" s="195" t="s">
        <v>821</v>
      </c>
      <c r="C88" s="196"/>
      <c r="D88" s="197"/>
      <c r="E88" s="198">
        <v>0</v>
      </c>
    </row>
    <row r="89" spans="1:5">
      <c r="A89" s="195">
        <v>99297</v>
      </c>
      <c r="B89" s="195" t="s">
        <v>783</v>
      </c>
      <c r="C89" s="196">
        <v>2140.14</v>
      </c>
      <c r="D89" s="197">
        <v>333</v>
      </c>
      <c r="E89" s="198">
        <v>0</v>
      </c>
    </row>
    <row r="90" spans="1:5">
      <c r="A90" s="195">
        <v>99302</v>
      </c>
      <c r="B90" s="195" t="s">
        <v>820</v>
      </c>
      <c r="C90" s="196"/>
      <c r="D90" s="197"/>
      <c r="E90" s="198">
        <v>0</v>
      </c>
    </row>
    <row r="91" spans="1:5">
      <c r="A91" s="195">
        <v>99305</v>
      </c>
      <c r="B91" s="195" t="s">
        <v>819</v>
      </c>
      <c r="C91" s="196"/>
      <c r="D91" s="197"/>
      <c r="E91" s="198">
        <v>0</v>
      </c>
    </row>
    <row r="92" spans="1:5">
      <c r="A92" s="195">
        <v>99307</v>
      </c>
      <c r="B92" s="195" t="s">
        <v>764</v>
      </c>
      <c r="C92" s="196"/>
      <c r="D92" s="197">
        <v>548</v>
      </c>
      <c r="E92" s="198">
        <v>0</v>
      </c>
    </row>
    <row r="93" spans="1:5">
      <c r="A93" s="206">
        <v>99312</v>
      </c>
      <c r="B93" s="206" t="s">
        <v>788</v>
      </c>
      <c r="C93" s="207"/>
      <c r="D93" s="208">
        <v>86</v>
      </c>
      <c r="E93" s="209">
        <v>21</v>
      </c>
    </row>
    <row r="94" spans="1:5" s="172" customFormat="1" ht="20">
      <c r="A94" s="226">
        <v>599109</v>
      </c>
      <c r="B94" s="226" t="s">
        <v>789</v>
      </c>
      <c r="C94" s="226">
        <v>167.7</v>
      </c>
      <c r="D94" s="227">
        <v>11501</v>
      </c>
      <c r="E94" s="226">
        <v>465</v>
      </c>
    </row>
    <row r="95" spans="1:5">
      <c r="A95" s="174">
        <v>699109</v>
      </c>
      <c r="B95" s="174" t="s">
        <v>790</v>
      </c>
      <c r="D95" s="179">
        <v>1651</v>
      </c>
      <c r="E95" s="178">
        <v>0</v>
      </c>
    </row>
    <row r="96" spans="1:5">
      <c r="A96" s="228" t="s">
        <v>626</v>
      </c>
      <c r="B96" s="228">
        <f>SUBTOTAL(103,Table4[Lease])</f>
        <v>91</v>
      </c>
      <c r="C96" s="266">
        <f>SUBTOTAL(109,Table4[OIL])</f>
        <v>14677.26</v>
      </c>
      <c r="D96" s="267">
        <f>SUBTOTAL(109,Table4[GAS])</f>
        <v>226535</v>
      </c>
      <c r="E96" s="268">
        <f>SUBTOTAL(109,Table4[LEASE USE])</f>
        <v>5505</v>
      </c>
    </row>
  </sheetData>
  <mergeCells count="2">
    <mergeCell ref="A1:E1"/>
    <mergeCell ref="A2:E2"/>
  </mergeCells>
  <pageMargins left="0.7" right="0.7" top="0.75" bottom="0.75" header="0.3" footer="0.3"/>
  <pageSetup scale="68" orientation="portrait"/>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Q229"/>
  <sheetViews>
    <sheetView topLeftCell="F1" workbookViewId="0">
      <pane ySplit="8" topLeftCell="A131" activePane="bottomLeft" state="frozen"/>
      <selection pane="bottomLeft" activeCell="N157" sqref="N157"/>
    </sheetView>
  </sheetViews>
  <sheetFormatPr baseColWidth="10" defaultColWidth="8.83203125" defaultRowHeight="12" x14ac:dyDescent="0"/>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4">
      <c r="A1" s="13" t="s">
        <v>395</v>
      </c>
      <c r="B1" s="13"/>
      <c r="C1" s="13"/>
      <c r="D1" s="13"/>
      <c r="E1" s="13"/>
      <c r="F1" s="13"/>
      <c r="G1" s="13"/>
      <c r="H1" s="13"/>
      <c r="I1" s="13"/>
      <c r="J1" s="13"/>
      <c r="K1" s="13"/>
      <c r="L1" s="13"/>
      <c r="M1" s="13"/>
      <c r="N1" s="13"/>
      <c r="O1" s="13"/>
      <c r="P1" s="13"/>
      <c r="Q1" s="13"/>
    </row>
    <row r="2" spans="1:17" ht="14">
      <c r="A2" s="13"/>
      <c r="B2" s="13"/>
      <c r="C2" s="13"/>
      <c r="D2" s="13"/>
      <c r="E2" s="13"/>
      <c r="F2" s="13"/>
      <c r="G2" s="13"/>
      <c r="H2" s="13"/>
      <c r="I2" s="13"/>
      <c r="J2" s="13"/>
      <c r="K2" s="13"/>
      <c r="L2" s="13"/>
      <c r="M2" s="13"/>
      <c r="N2" s="13"/>
      <c r="O2" s="15"/>
      <c r="P2" s="13"/>
      <c r="Q2" s="13"/>
    </row>
    <row r="3" spans="1:17" ht="14">
      <c r="A3" s="13" t="s">
        <v>396</v>
      </c>
      <c r="B3" s="13"/>
      <c r="C3" s="13"/>
      <c r="D3" s="13" t="s">
        <v>70</v>
      </c>
      <c r="E3" s="13"/>
      <c r="F3" s="13"/>
      <c r="G3" s="13"/>
      <c r="H3" s="13"/>
      <c r="I3" s="13"/>
      <c r="J3" s="14" t="s">
        <v>397</v>
      </c>
      <c r="K3" s="13"/>
      <c r="L3" s="13" t="s">
        <v>398</v>
      </c>
      <c r="M3" s="13"/>
      <c r="N3" s="13"/>
      <c r="O3" s="13"/>
      <c r="P3" s="13"/>
      <c r="Q3" s="13"/>
    </row>
    <row r="4" spans="1:17" ht="66">
      <c r="A4" s="13" t="s">
        <v>399</v>
      </c>
      <c r="B4" s="13"/>
      <c r="C4" s="13"/>
      <c r="D4" s="130">
        <v>43862</v>
      </c>
      <c r="E4" s="13"/>
      <c r="F4" s="263" t="s">
        <v>1258</v>
      </c>
      <c r="G4" s="13"/>
      <c r="H4" s="13"/>
      <c r="I4" s="13"/>
      <c r="J4" s="14" t="s">
        <v>400</v>
      </c>
      <c r="K4" s="13"/>
      <c r="L4" s="13" t="s">
        <v>401</v>
      </c>
      <c r="M4" s="13"/>
      <c r="N4" s="13"/>
      <c r="O4" s="13"/>
      <c r="P4" s="13"/>
      <c r="Q4" s="13"/>
    </row>
    <row r="6" spans="1:17" ht="14">
      <c r="A6" s="13"/>
      <c r="B6" s="13"/>
      <c r="C6" s="13"/>
      <c r="D6" s="13"/>
      <c r="E6" s="13"/>
      <c r="F6" s="13"/>
      <c r="G6" s="13"/>
      <c r="H6" s="13"/>
      <c r="I6" s="13"/>
      <c r="J6" s="14" t="s">
        <v>402</v>
      </c>
      <c r="K6" s="13"/>
      <c r="L6" s="13"/>
      <c r="M6" s="13"/>
      <c r="N6" s="13"/>
      <c r="O6" s="14" t="s">
        <v>403</v>
      </c>
      <c r="P6" s="13"/>
      <c r="Q6" s="13"/>
    </row>
    <row r="7" spans="1:17" ht="14">
      <c r="A7" s="13"/>
      <c r="B7" s="13"/>
      <c r="C7" s="13"/>
      <c r="D7" s="13"/>
      <c r="E7" s="13"/>
      <c r="F7" s="13"/>
      <c r="G7" s="13"/>
      <c r="H7" s="13"/>
      <c r="I7" s="13"/>
      <c r="J7" s="13"/>
      <c r="K7" s="13"/>
      <c r="L7" s="13" t="s">
        <v>404</v>
      </c>
      <c r="M7" s="13"/>
      <c r="N7" s="13"/>
      <c r="O7" s="13"/>
      <c r="P7" s="13" t="s">
        <v>404</v>
      </c>
      <c r="Q7" s="13"/>
    </row>
    <row r="8" spans="1:17" ht="14">
      <c r="A8" s="146" t="s">
        <v>405</v>
      </c>
      <c r="B8" s="146" t="s">
        <v>8</v>
      </c>
      <c r="C8" s="146" t="s">
        <v>7</v>
      </c>
      <c r="D8" s="146" t="s">
        <v>71</v>
      </c>
      <c r="E8" s="146" t="s">
        <v>47</v>
      </c>
      <c r="F8" s="146" t="s">
        <v>48</v>
      </c>
      <c r="G8" s="146" t="s">
        <v>72</v>
      </c>
      <c r="H8" s="146" t="s">
        <v>406</v>
      </c>
      <c r="I8" s="146" t="s">
        <v>407</v>
      </c>
      <c r="J8" s="146" t="s">
        <v>408</v>
      </c>
      <c r="K8" s="146" t="s">
        <v>409</v>
      </c>
      <c r="L8" s="146" t="s">
        <v>410</v>
      </c>
      <c r="M8" s="146" t="s">
        <v>411</v>
      </c>
      <c r="N8" s="146" t="s">
        <v>412</v>
      </c>
      <c r="O8" s="146" t="s">
        <v>413</v>
      </c>
      <c r="P8" s="146" t="s">
        <v>414</v>
      </c>
      <c r="Q8" s="146" t="s">
        <v>415</v>
      </c>
    </row>
    <row r="9" spans="1:17" s="217" customFormat="1" ht="16">
      <c r="A9" s="261"/>
      <c r="B9" s="262" t="s">
        <v>1285</v>
      </c>
      <c r="C9" s="261">
        <v>3</v>
      </c>
      <c r="D9" s="261">
        <v>819991</v>
      </c>
      <c r="E9" s="262" t="s">
        <v>1286</v>
      </c>
      <c r="F9" s="262" t="s">
        <v>1287</v>
      </c>
      <c r="G9" s="262" t="s">
        <v>1288</v>
      </c>
      <c r="H9" s="261"/>
      <c r="I9" s="261"/>
      <c r="J9" s="272">
        <v>197</v>
      </c>
      <c r="K9" s="272">
        <v>193</v>
      </c>
      <c r="L9" s="272">
        <v>183</v>
      </c>
      <c r="M9" s="272">
        <v>1</v>
      </c>
      <c r="N9" s="272">
        <v>207</v>
      </c>
      <c r="O9" s="273">
        <v>4597</v>
      </c>
      <c r="P9" s="273">
        <v>4597</v>
      </c>
      <c r="Q9" s="272">
        <v>4</v>
      </c>
    </row>
    <row r="10" spans="1:17" s="217" customFormat="1">
      <c r="A10"/>
      <c r="B10" t="s">
        <v>73</v>
      </c>
      <c r="C10">
        <v>2</v>
      </c>
      <c r="D10">
        <v>127436</v>
      </c>
      <c r="E10" t="s">
        <v>74</v>
      </c>
      <c r="F10" t="s">
        <v>75</v>
      </c>
      <c r="G10" t="s">
        <v>76</v>
      </c>
      <c r="H10"/>
      <c r="I10"/>
      <c r="J10">
        <v>0</v>
      </c>
      <c r="K10">
        <v>0</v>
      </c>
      <c r="L10"/>
      <c r="M10"/>
      <c r="N10">
        <v>0</v>
      </c>
      <c r="O10">
        <v>0</v>
      </c>
      <c r="P10"/>
      <c r="Q10"/>
    </row>
    <row r="11" spans="1:17">
      <c r="B11" t="s">
        <v>73</v>
      </c>
      <c r="C11">
        <v>2</v>
      </c>
      <c r="D11">
        <v>272206</v>
      </c>
      <c r="E11" t="s">
        <v>77</v>
      </c>
      <c r="F11" t="s">
        <v>78</v>
      </c>
      <c r="G11" t="s">
        <v>79</v>
      </c>
      <c r="J11">
        <v>149</v>
      </c>
      <c r="K11">
        <v>0</v>
      </c>
      <c r="N11">
        <v>149</v>
      </c>
      <c r="O11">
        <v>0</v>
      </c>
    </row>
    <row r="12" spans="1:17">
      <c r="B12" t="s">
        <v>73</v>
      </c>
      <c r="C12">
        <v>2</v>
      </c>
      <c r="D12">
        <v>250887</v>
      </c>
      <c r="E12" t="s">
        <v>80</v>
      </c>
      <c r="F12" t="s">
        <v>81</v>
      </c>
      <c r="G12">
        <v>1</v>
      </c>
      <c r="J12">
        <v>0</v>
      </c>
      <c r="K12">
        <v>0</v>
      </c>
      <c r="N12">
        <v>0</v>
      </c>
      <c r="O12" s="160">
        <v>4641</v>
      </c>
      <c r="P12">
        <v>203</v>
      </c>
      <c r="Q12">
        <v>1</v>
      </c>
    </row>
    <row r="13" spans="1:17">
      <c r="P13" s="160">
        <v>4438</v>
      </c>
      <c r="Q13">
        <v>2</v>
      </c>
    </row>
    <row r="14" spans="1:17">
      <c r="B14" t="s">
        <v>73</v>
      </c>
      <c r="C14">
        <v>2</v>
      </c>
      <c r="D14">
        <v>270531</v>
      </c>
      <c r="E14" t="s">
        <v>82</v>
      </c>
      <c r="F14" t="s">
        <v>83</v>
      </c>
      <c r="G14" t="s">
        <v>84</v>
      </c>
      <c r="J14">
        <v>26</v>
      </c>
      <c r="K14">
        <v>0</v>
      </c>
      <c r="N14">
        <v>26</v>
      </c>
      <c r="O14">
        <v>0</v>
      </c>
    </row>
    <row r="15" spans="1:17">
      <c r="B15" t="s">
        <v>73</v>
      </c>
      <c r="C15">
        <v>2</v>
      </c>
      <c r="D15">
        <v>200152</v>
      </c>
      <c r="E15" t="s">
        <v>85</v>
      </c>
      <c r="F15" t="s">
        <v>86</v>
      </c>
      <c r="G15">
        <v>1</v>
      </c>
      <c r="J15">
        <v>0</v>
      </c>
      <c r="K15">
        <v>0</v>
      </c>
      <c r="N15">
        <v>0</v>
      </c>
      <c r="O15">
        <v>0</v>
      </c>
    </row>
    <row r="16" spans="1:17">
      <c r="B16" t="s">
        <v>73</v>
      </c>
      <c r="C16">
        <v>2</v>
      </c>
      <c r="D16">
        <v>258014</v>
      </c>
      <c r="E16" t="s">
        <v>88</v>
      </c>
      <c r="F16" t="s">
        <v>89</v>
      </c>
      <c r="G16">
        <v>1</v>
      </c>
      <c r="J16">
        <v>132</v>
      </c>
      <c r="K16">
        <v>0</v>
      </c>
      <c r="N16">
        <v>132</v>
      </c>
      <c r="O16">
        <v>0</v>
      </c>
    </row>
    <row r="17" spans="2:17">
      <c r="B17" t="s">
        <v>90</v>
      </c>
      <c r="C17">
        <v>2</v>
      </c>
      <c r="D17">
        <v>394</v>
      </c>
      <c r="E17" t="s">
        <v>91</v>
      </c>
      <c r="F17" t="s">
        <v>92</v>
      </c>
      <c r="J17">
        <v>413</v>
      </c>
      <c r="K17">
        <v>621</v>
      </c>
      <c r="L17">
        <v>498</v>
      </c>
      <c r="M17">
        <v>1</v>
      </c>
      <c r="N17">
        <v>536</v>
      </c>
      <c r="O17">
        <v>0</v>
      </c>
    </row>
    <row r="18" spans="2:17">
      <c r="B18" t="s">
        <v>73</v>
      </c>
      <c r="C18">
        <v>2</v>
      </c>
      <c r="D18">
        <v>207897</v>
      </c>
      <c r="E18" t="s">
        <v>93</v>
      </c>
      <c r="F18" t="s">
        <v>94</v>
      </c>
      <c r="G18">
        <v>1</v>
      </c>
      <c r="J18">
        <v>0</v>
      </c>
      <c r="K18">
        <v>0</v>
      </c>
      <c r="N18">
        <v>0</v>
      </c>
      <c r="O18">
        <v>6</v>
      </c>
      <c r="P18">
        <v>6</v>
      </c>
      <c r="Q18">
        <v>2</v>
      </c>
    </row>
    <row r="19" spans="2:17">
      <c r="B19" t="s">
        <v>73</v>
      </c>
      <c r="C19">
        <v>2</v>
      </c>
      <c r="D19">
        <v>145447</v>
      </c>
      <c r="E19" t="s">
        <v>95</v>
      </c>
      <c r="F19" t="s">
        <v>92</v>
      </c>
      <c r="G19">
        <v>5</v>
      </c>
      <c r="J19">
        <v>0</v>
      </c>
      <c r="K19">
        <v>0</v>
      </c>
      <c r="N19">
        <v>0</v>
      </c>
      <c r="O19">
        <v>0</v>
      </c>
    </row>
    <row r="20" spans="2:17">
      <c r="B20" t="s">
        <v>90</v>
      </c>
      <c r="C20">
        <v>2</v>
      </c>
      <c r="D20">
        <v>5446</v>
      </c>
      <c r="E20" t="s">
        <v>96</v>
      </c>
      <c r="F20" t="s">
        <v>97</v>
      </c>
      <c r="J20">
        <v>218</v>
      </c>
      <c r="K20">
        <v>16</v>
      </c>
      <c r="L20">
        <v>169</v>
      </c>
      <c r="M20">
        <v>1</v>
      </c>
      <c r="N20">
        <v>65</v>
      </c>
      <c r="O20">
        <v>0</v>
      </c>
    </row>
    <row r="21" spans="2:17">
      <c r="B21" t="s">
        <v>90</v>
      </c>
      <c r="C21">
        <v>2</v>
      </c>
      <c r="D21">
        <v>6169</v>
      </c>
      <c r="E21" t="s">
        <v>96</v>
      </c>
      <c r="F21" t="s">
        <v>98</v>
      </c>
      <c r="J21">
        <v>104</v>
      </c>
      <c r="K21">
        <v>16</v>
      </c>
      <c r="N21">
        <v>120</v>
      </c>
      <c r="O21">
        <v>0</v>
      </c>
    </row>
    <row r="22" spans="2:17">
      <c r="B22" t="s">
        <v>90</v>
      </c>
      <c r="C22">
        <v>2</v>
      </c>
      <c r="D22">
        <v>8462</v>
      </c>
      <c r="E22" t="s">
        <v>99</v>
      </c>
      <c r="F22" t="s">
        <v>97</v>
      </c>
      <c r="J22">
        <v>0</v>
      </c>
      <c r="K22">
        <v>0</v>
      </c>
      <c r="N22">
        <v>0</v>
      </c>
      <c r="O22">
        <v>0</v>
      </c>
    </row>
    <row r="23" spans="2:17">
      <c r="B23" t="s">
        <v>73</v>
      </c>
      <c r="C23">
        <v>2</v>
      </c>
      <c r="D23">
        <v>192476</v>
      </c>
      <c r="E23" t="s">
        <v>100</v>
      </c>
      <c r="F23" t="s">
        <v>101</v>
      </c>
      <c r="G23">
        <v>1</v>
      </c>
      <c r="J23">
        <v>116</v>
      </c>
      <c r="K23">
        <v>0</v>
      </c>
      <c r="N23">
        <v>116</v>
      </c>
      <c r="O23">
        <v>0</v>
      </c>
    </row>
    <row r="24" spans="2:17">
      <c r="B24" t="s">
        <v>73</v>
      </c>
      <c r="C24">
        <v>2</v>
      </c>
      <c r="D24">
        <v>245422</v>
      </c>
      <c r="E24" t="s">
        <v>102</v>
      </c>
      <c r="F24" t="s">
        <v>103</v>
      </c>
      <c r="G24">
        <v>1</v>
      </c>
      <c r="J24">
        <v>404</v>
      </c>
      <c r="K24">
        <v>685</v>
      </c>
      <c r="L24">
        <v>954</v>
      </c>
      <c r="M24">
        <v>1</v>
      </c>
      <c r="N24">
        <v>135</v>
      </c>
      <c r="O24" s="160">
        <v>46878</v>
      </c>
      <c r="P24" s="160">
        <v>46878</v>
      </c>
      <c r="Q24">
        <v>2</v>
      </c>
    </row>
    <row r="25" spans="2:17">
      <c r="B25" t="s">
        <v>90</v>
      </c>
      <c r="C25">
        <v>2</v>
      </c>
      <c r="D25">
        <v>8646</v>
      </c>
      <c r="E25" t="s">
        <v>104</v>
      </c>
      <c r="F25" t="s">
        <v>105</v>
      </c>
      <c r="J25">
        <v>88</v>
      </c>
      <c r="K25">
        <v>185</v>
      </c>
      <c r="L25">
        <v>168</v>
      </c>
      <c r="M25">
        <v>1</v>
      </c>
      <c r="N25">
        <v>105</v>
      </c>
      <c r="O25">
        <v>0</v>
      </c>
    </row>
    <row r="26" spans="2:17">
      <c r="B26" t="s">
        <v>73</v>
      </c>
      <c r="C26">
        <v>2</v>
      </c>
      <c r="D26">
        <v>52283</v>
      </c>
      <c r="E26" t="s">
        <v>106</v>
      </c>
      <c r="F26" t="s">
        <v>107</v>
      </c>
      <c r="G26">
        <v>1</v>
      </c>
      <c r="J26">
        <v>240</v>
      </c>
      <c r="K26">
        <v>0</v>
      </c>
      <c r="N26">
        <v>240</v>
      </c>
      <c r="O26">
        <v>0</v>
      </c>
    </row>
    <row r="27" spans="2:17">
      <c r="B27" t="s">
        <v>73</v>
      </c>
      <c r="C27">
        <v>2</v>
      </c>
      <c r="D27">
        <v>253815</v>
      </c>
      <c r="E27" t="s">
        <v>108</v>
      </c>
      <c r="F27" t="s">
        <v>109</v>
      </c>
      <c r="G27">
        <v>1</v>
      </c>
      <c r="J27">
        <v>0</v>
      </c>
      <c r="K27">
        <v>0</v>
      </c>
      <c r="N27">
        <v>0</v>
      </c>
      <c r="O27">
        <v>0</v>
      </c>
    </row>
    <row r="28" spans="2:17">
      <c r="B28" t="s">
        <v>73</v>
      </c>
      <c r="C28">
        <v>2</v>
      </c>
      <c r="D28">
        <v>172874</v>
      </c>
      <c r="E28" t="s">
        <v>110</v>
      </c>
      <c r="F28" t="s">
        <v>111</v>
      </c>
      <c r="G28">
        <v>1</v>
      </c>
      <c r="J28">
        <v>0</v>
      </c>
      <c r="K28">
        <v>0</v>
      </c>
      <c r="N28">
        <v>0</v>
      </c>
      <c r="O28">
        <v>0</v>
      </c>
    </row>
    <row r="29" spans="2:17">
      <c r="B29" t="s">
        <v>73</v>
      </c>
      <c r="C29">
        <v>2</v>
      </c>
      <c r="D29">
        <v>180461</v>
      </c>
      <c r="E29" t="s">
        <v>112</v>
      </c>
      <c r="F29" t="s">
        <v>111</v>
      </c>
      <c r="G29">
        <v>1</v>
      </c>
      <c r="I29">
        <v>5048</v>
      </c>
      <c r="J29">
        <v>94</v>
      </c>
      <c r="K29">
        <v>21</v>
      </c>
      <c r="N29">
        <v>115</v>
      </c>
      <c r="O29" s="160">
        <v>1435</v>
      </c>
      <c r="P29" s="160">
        <v>1435</v>
      </c>
      <c r="Q29">
        <v>2</v>
      </c>
    </row>
    <row r="30" spans="2:17">
      <c r="B30" t="s">
        <v>73</v>
      </c>
      <c r="C30">
        <v>2</v>
      </c>
      <c r="D30">
        <v>198005</v>
      </c>
      <c r="E30" t="s">
        <v>112</v>
      </c>
      <c r="F30" t="s">
        <v>113</v>
      </c>
      <c r="G30">
        <v>5</v>
      </c>
      <c r="I30">
        <v>5048</v>
      </c>
      <c r="J30">
        <v>0</v>
      </c>
      <c r="K30">
        <v>0</v>
      </c>
      <c r="N30">
        <v>0</v>
      </c>
      <c r="O30">
        <v>0</v>
      </c>
    </row>
    <row r="31" spans="2:17">
      <c r="B31" t="s">
        <v>73</v>
      </c>
      <c r="C31">
        <v>2</v>
      </c>
      <c r="D31">
        <v>286124</v>
      </c>
      <c r="E31" t="s">
        <v>114</v>
      </c>
      <c r="F31" t="s">
        <v>89</v>
      </c>
      <c r="G31">
        <v>1</v>
      </c>
      <c r="J31">
        <v>80</v>
      </c>
      <c r="K31">
        <v>0</v>
      </c>
      <c r="N31">
        <v>80</v>
      </c>
      <c r="O31">
        <v>0</v>
      </c>
    </row>
    <row r="32" spans="2:17">
      <c r="B32" t="s">
        <v>73</v>
      </c>
      <c r="C32">
        <v>2</v>
      </c>
      <c r="D32">
        <v>132690</v>
      </c>
      <c r="E32" t="s">
        <v>115</v>
      </c>
      <c r="F32" t="s">
        <v>116</v>
      </c>
      <c r="G32">
        <v>1</v>
      </c>
      <c r="I32">
        <v>5113</v>
      </c>
      <c r="J32">
        <v>84</v>
      </c>
      <c r="K32">
        <v>0</v>
      </c>
      <c r="N32">
        <v>84</v>
      </c>
      <c r="O32">
        <v>0</v>
      </c>
    </row>
    <row r="33" spans="2:15">
      <c r="B33" t="s">
        <v>73</v>
      </c>
      <c r="C33">
        <v>2</v>
      </c>
      <c r="D33">
        <v>189915</v>
      </c>
      <c r="E33" t="s">
        <v>115</v>
      </c>
      <c r="F33" t="s">
        <v>117</v>
      </c>
      <c r="G33">
        <v>2</v>
      </c>
      <c r="I33">
        <v>5113</v>
      </c>
      <c r="J33">
        <v>0</v>
      </c>
      <c r="K33">
        <v>0</v>
      </c>
      <c r="N33">
        <v>0</v>
      </c>
      <c r="O33">
        <v>0</v>
      </c>
    </row>
    <row r="34" spans="2:15">
      <c r="B34" t="s">
        <v>90</v>
      </c>
      <c r="C34">
        <v>2</v>
      </c>
      <c r="D34">
        <v>5086</v>
      </c>
      <c r="E34" t="s">
        <v>118</v>
      </c>
      <c r="F34" t="s">
        <v>119</v>
      </c>
      <c r="J34">
        <v>0</v>
      </c>
      <c r="K34">
        <v>0</v>
      </c>
      <c r="N34">
        <v>0</v>
      </c>
      <c r="O34">
        <v>0</v>
      </c>
    </row>
    <row r="35" spans="2:15">
      <c r="B35" t="s">
        <v>90</v>
      </c>
      <c r="C35">
        <v>2</v>
      </c>
      <c r="D35">
        <v>6739</v>
      </c>
      <c r="E35" t="s">
        <v>120</v>
      </c>
      <c r="F35" t="s">
        <v>121</v>
      </c>
      <c r="J35">
        <v>0</v>
      </c>
      <c r="K35">
        <v>0</v>
      </c>
      <c r="N35">
        <v>0</v>
      </c>
      <c r="O35">
        <v>0</v>
      </c>
    </row>
    <row r="36" spans="2:15">
      <c r="B36" t="s">
        <v>90</v>
      </c>
      <c r="C36">
        <v>2</v>
      </c>
      <c r="D36">
        <v>8169</v>
      </c>
      <c r="E36" t="s">
        <v>122</v>
      </c>
      <c r="F36" t="s">
        <v>121</v>
      </c>
      <c r="J36">
        <v>0</v>
      </c>
      <c r="K36">
        <v>0</v>
      </c>
      <c r="N36">
        <v>0</v>
      </c>
      <c r="O36">
        <v>0</v>
      </c>
    </row>
    <row r="37" spans="2:15">
      <c r="B37" t="s">
        <v>90</v>
      </c>
      <c r="C37">
        <v>2</v>
      </c>
      <c r="D37">
        <v>8635</v>
      </c>
      <c r="E37" t="s">
        <v>123</v>
      </c>
      <c r="F37" t="s">
        <v>124</v>
      </c>
      <c r="J37">
        <v>0</v>
      </c>
      <c r="K37">
        <v>0</v>
      </c>
      <c r="N37">
        <v>0</v>
      </c>
      <c r="O37">
        <v>0</v>
      </c>
    </row>
    <row r="38" spans="2:15">
      <c r="B38" t="s">
        <v>90</v>
      </c>
      <c r="C38">
        <v>2</v>
      </c>
      <c r="D38">
        <v>8247</v>
      </c>
      <c r="E38" t="s">
        <v>125</v>
      </c>
      <c r="F38" t="s">
        <v>124</v>
      </c>
      <c r="J38">
        <v>0</v>
      </c>
      <c r="K38">
        <v>0</v>
      </c>
      <c r="N38">
        <v>0</v>
      </c>
      <c r="O38">
        <v>0</v>
      </c>
    </row>
    <row r="39" spans="2:15">
      <c r="B39" t="s">
        <v>73</v>
      </c>
      <c r="C39">
        <v>2</v>
      </c>
      <c r="D39">
        <v>182045</v>
      </c>
      <c r="E39" t="s">
        <v>126</v>
      </c>
      <c r="F39" t="s">
        <v>124</v>
      </c>
      <c r="G39">
        <v>5</v>
      </c>
      <c r="J39">
        <v>0</v>
      </c>
      <c r="K39">
        <v>0</v>
      </c>
      <c r="N39">
        <v>0</v>
      </c>
      <c r="O39">
        <v>0</v>
      </c>
    </row>
    <row r="40" spans="2:15">
      <c r="B40" t="s">
        <v>90</v>
      </c>
      <c r="C40">
        <v>2</v>
      </c>
      <c r="D40">
        <v>4248</v>
      </c>
      <c r="E40" t="s">
        <v>127</v>
      </c>
      <c r="F40" t="s">
        <v>128</v>
      </c>
      <c r="J40">
        <v>213</v>
      </c>
      <c r="K40">
        <v>0</v>
      </c>
      <c r="N40">
        <v>213</v>
      </c>
      <c r="O40">
        <v>0</v>
      </c>
    </row>
    <row r="41" spans="2:15">
      <c r="B41" t="s">
        <v>73</v>
      </c>
      <c r="C41">
        <v>2</v>
      </c>
      <c r="D41">
        <v>184558</v>
      </c>
      <c r="E41" t="s">
        <v>129</v>
      </c>
      <c r="F41" t="s">
        <v>113</v>
      </c>
      <c r="G41">
        <v>3</v>
      </c>
      <c r="I41">
        <v>5048</v>
      </c>
      <c r="J41">
        <v>0</v>
      </c>
      <c r="K41">
        <v>0</v>
      </c>
      <c r="N41">
        <v>0</v>
      </c>
      <c r="O41">
        <v>0</v>
      </c>
    </row>
    <row r="42" spans="2:15">
      <c r="B42" t="s">
        <v>73</v>
      </c>
      <c r="C42">
        <v>2</v>
      </c>
      <c r="D42">
        <v>133437</v>
      </c>
      <c r="E42" t="s">
        <v>130</v>
      </c>
      <c r="F42" t="s">
        <v>131</v>
      </c>
      <c r="G42">
        <v>1</v>
      </c>
      <c r="J42">
        <v>166</v>
      </c>
      <c r="K42">
        <v>0</v>
      </c>
      <c r="N42">
        <v>166</v>
      </c>
      <c r="O42">
        <v>0</v>
      </c>
    </row>
    <row r="43" spans="2:15">
      <c r="B43" t="s">
        <v>73</v>
      </c>
      <c r="C43">
        <v>2</v>
      </c>
      <c r="D43">
        <v>264004</v>
      </c>
      <c r="E43" t="s">
        <v>132</v>
      </c>
      <c r="F43" t="s">
        <v>133</v>
      </c>
      <c r="G43">
        <v>1</v>
      </c>
      <c r="J43">
        <v>0</v>
      </c>
      <c r="K43">
        <v>0</v>
      </c>
      <c r="N43">
        <v>0</v>
      </c>
      <c r="O43">
        <v>0</v>
      </c>
    </row>
    <row r="44" spans="2:15">
      <c r="B44" t="s">
        <v>73</v>
      </c>
      <c r="C44">
        <v>2</v>
      </c>
      <c r="D44">
        <v>220079</v>
      </c>
      <c r="E44" t="s">
        <v>134</v>
      </c>
      <c r="F44" t="s">
        <v>135</v>
      </c>
      <c r="G44">
        <v>2</v>
      </c>
      <c r="J44">
        <v>0</v>
      </c>
      <c r="K44">
        <v>0</v>
      </c>
      <c r="N44">
        <v>0</v>
      </c>
      <c r="O44">
        <v>0</v>
      </c>
    </row>
    <row r="45" spans="2:15">
      <c r="B45" t="s">
        <v>90</v>
      </c>
      <c r="C45">
        <v>2</v>
      </c>
      <c r="D45">
        <v>10778</v>
      </c>
      <c r="E45" t="s">
        <v>136</v>
      </c>
      <c r="F45" t="s">
        <v>137</v>
      </c>
      <c r="J45">
        <v>0</v>
      </c>
      <c r="K45">
        <v>0</v>
      </c>
      <c r="N45">
        <v>0</v>
      </c>
      <c r="O45">
        <v>0</v>
      </c>
    </row>
    <row r="46" spans="2:15">
      <c r="B46" t="s">
        <v>73</v>
      </c>
      <c r="C46">
        <v>2</v>
      </c>
      <c r="D46">
        <v>280417</v>
      </c>
      <c r="E46" t="s">
        <v>136</v>
      </c>
      <c r="F46" t="s">
        <v>138</v>
      </c>
      <c r="G46">
        <v>1</v>
      </c>
      <c r="J46">
        <v>0</v>
      </c>
      <c r="K46">
        <v>0</v>
      </c>
      <c r="N46">
        <v>0</v>
      </c>
      <c r="O46">
        <v>0</v>
      </c>
    </row>
    <row r="47" spans="2:15">
      <c r="B47" t="s">
        <v>73</v>
      </c>
      <c r="C47">
        <v>2</v>
      </c>
      <c r="D47">
        <v>138470</v>
      </c>
      <c r="E47" t="s">
        <v>139</v>
      </c>
      <c r="F47" t="s">
        <v>140</v>
      </c>
      <c r="G47">
        <v>1</v>
      </c>
      <c r="J47">
        <v>0</v>
      </c>
      <c r="K47">
        <v>0</v>
      </c>
      <c r="N47">
        <v>0</v>
      </c>
      <c r="O47">
        <v>0</v>
      </c>
    </row>
    <row r="48" spans="2:15">
      <c r="B48" t="s">
        <v>73</v>
      </c>
      <c r="C48">
        <v>2</v>
      </c>
      <c r="D48">
        <v>53255</v>
      </c>
      <c r="E48" t="s">
        <v>141</v>
      </c>
      <c r="F48" t="s">
        <v>142</v>
      </c>
      <c r="G48">
        <v>1</v>
      </c>
      <c r="J48">
        <v>0</v>
      </c>
      <c r="K48">
        <v>0</v>
      </c>
      <c r="N48">
        <v>0</v>
      </c>
      <c r="O48">
        <v>0</v>
      </c>
    </row>
    <row r="49" spans="2:17">
      <c r="B49" t="s">
        <v>73</v>
      </c>
      <c r="C49">
        <v>2</v>
      </c>
      <c r="D49">
        <v>59225</v>
      </c>
      <c r="E49" t="s">
        <v>141</v>
      </c>
      <c r="F49" t="s">
        <v>142</v>
      </c>
      <c r="G49">
        <v>2</v>
      </c>
      <c r="J49">
        <v>0</v>
      </c>
      <c r="K49">
        <v>0</v>
      </c>
      <c r="N49">
        <v>0</v>
      </c>
      <c r="O49">
        <v>0</v>
      </c>
    </row>
    <row r="50" spans="2:17">
      <c r="B50" t="s">
        <v>73</v>
      </c>
      <c r="C50">
        <v>2</v>
      </c>
      <c r="D50">
        <v>174916</v>
      </c>
      <c r="E50" t="s">
        <v>141</v>
      </c>
      <c r="F50" t="s">
        <v>143</v>
      </c>
      <c r="G50">
        <v>4</v>
      </c>
      <c r="J50">
        <v>0</v>
      </c>
      <c r="K50">
        <v>0</v>
      </c>
      <c r="N50">
        <v>0</v>
      </c>
      <c r="O50">
        <v>81</v>
      </c>
      <c r="P50">
        <v>81</v>
      </c>
      <c r="Q50">
        <v>2</v>
      </c>
    </row>
    <row r="51" spans="2:17">
      <c r="B51" t="s">
        <v>90</v>
      </c>
      <c r="C51">
        <v>2</v>
      </c>
      <c r="D51">
        <v>10230</v>
      </c>
      <c r="E51" t="s">
        <v>144</v>
      </c>
      <c r="F51" t="s">
        <v>145</v>
      </c>
      <c r="J51">
        <v>215</v>
      </c>
      <c r="K51">
        <v>71</v>
      </c>
      <c r="N51">
        <v>286</v>
      </c>
      <c r="O51">
        <v>0</v>
      </c>
    </row>
    <row r="52" spans="2:17">
      <c r="B52" t="s">
        <v>90</v>
      </c>
      <c r="C52">
        <v>3</v>
      </c>
      <c r="D52">
        <v>27142</v>
      </c>
      <c r="E52" t="s">
        <v>146</v>
      </c>
      <c r="F52" t="s">
        <v>147</v>
      </c>
      <c r="J52">
        <v>0</v>
      </c>
      <c r="K52">
        <v>0</v>
      </c>
      <c r="N52">
        <v>0</v>
      </c>
      <c r="O52">
        <v>0</v>
      </c>
    </row>
    <row r="53" spans="2:17">
      <c r="B53" t="s">
        <v>73</v>
      </c>
      <c r="C53">
        <v>3</v>
      </c>
      <c r="D53">
        <v>280236</v>
      </c>
      <c r="E53" t="s">
        <v>148</v>
      </c>
      <c r="F53" t="s">
        <v>149</v>
      </c>
      <c r="G53">
        <v>1</v>
      </c>
      <c r="J53">
        <v>563</v>
      </c>
      <c r="K53" s="160">
        <v>1406</v>
      </c>
      <c r="L53" s="160">
        <v>1541</v>
      </c>
      <c r="M53">
        <v>1</v>
      </c>
      <c r="N53">
        <v>428</v>
      </c>
      <c r="O53" s="160">
        <v>74317</v>
      </c>
      <c r="P53">
        <v>609</v>
      </c>
      <c r="Q53">
        <v>1</v>
      </c>
    </row>
    <row r="54" spans="2:17">
      <c r="P54" s="160">
        <v>73708</v>
      </c>
      <c r="Q54">
        <v>2</v>
      </c>
    </row>
    <row r="55" spans="2:17">
      <c r="B55" t="s">
        <v>73</v>
      </c>
      <c r="C55">
        <v>3</v>
      </c>
      <c r="D55">
        <v>253385</v>
      </c>
      <c r="E55" t="s">
        <v>150</v>
      </c>
      <c r="F55" t="s">
        <v>151</v>
      </c>
      <c r="G55">
        <v>1</v>
      </c>
      <c r="J55">
        <v>53</v>
      </c>
      <c r="K55">
        <v>0</v>
      </c>
      <c r="N55">
        <v>53</v>
      </c>
      <c r="O55">
        <v>0</v>
      </c>
    </row>
    <row r="56" spans="2:17">
      <c r="B56" t="s">
        <v>90</v>
      </c>
      <c r="C56">
        <v>3</v>
      </c>
      <c r="D56">
        <v>26482</v>
      </c>
      <c r="E56" t="s">
        <v>152</v>
      </c>
      <c r="F56" t="s">
        <v>153</v>
      </c>
      <c r="J56">
        <v>139</v>
      </c>
      <c r="K56">
        <v>0</v>
      </c>
      <c r="N56">
        <v>139</v>
      </c>
      <c r="O56">
        <v>0</v>
      </c>
    </row>
    <row r="57" spans="2:17">
      <c r="B57" t="s">
        <v>90</v>
      </c>
      <c r="C57">
        <v>3</v>
      </c>
      <c r="D57">
        <v>27150</v>
      </c>
      <c r="E57" t="s">
        <v>152</v>
      </c>
      <c r="F57" t="s">
        <v>154</v>
      </c>
      <c r="J57">
        <v>0</v>
      </c>
      <c r="K57">
        <v>0</v>
      </c>
      <c r="N57">
        <v>0</v>
      </c>
      <c r="O57">
        <v>0</v>
      </c>
    </row>
    <row r="58" spans="2:17">
      <c r="B58" t="s">
        <v>90</v>
      </c>
      <c r="C58">
        <v>3</v>
      </c>
      <c r="D58">
        <v>26262</v>
      </c>
      <c r="E58" t="s">
        <v>155</v>
      </c>
      <c r="F58" t="s">
        <v>153</v>
      </c>
      <c r="J58">
        <v>28</v>
      </c>
      <c r="K58">
        <v>0</v>
      </c>
      <c r="N58">
        <v>28</v>
      </c>
      <c r="O58">
        <v>0</v>
      </c>
    </row>
    <row r="59" spans="2:17">
      <c r="B59" t="s">
        <v>90</v>
      </c>
      <c r="C59">
        <v>3</v>
      </c>
      <c r="D59">
        <v>27348</v>
      </c>
      <c r="E59" t="s">
        <v>155</v>
      </c>
      <c r="F59" t="s">
        <v>156</v>
      </c>
      <c r="J59">
        <v>187</v>
      </c>
      <c r="K59">
        <v>0</v>
      </c>
      <c r="N59">
        <v>187</v>
      </c>
      <c r="O59">
        <v>541</v>
      </c>
      <c r="P59">
        <v>541</v>
      </c>
      <c r="Q59">
        <v>2</v>
      </c>
    </row>
    <row r="60" spans="2:17">
      <c r="B60" t="s">
        <v>73</v>
      </c>
      <c r="C60">
        <v>3</v>
      </c>
      <c r="D60">
        <v>223401</v>
      </c>
      <c r="E60" t="s">
        <v>157</v>
      </c>
      <c r="F60" t="s">
        <v>158</v>
      </c>
      <c r="G60">
        <v>5</v>
      </c>
      <c r="J60">
        <v>0</v>
      </c>
      <c r="K60">
        <v>0</v>
      </c>
      <c r="N60">
        <v>0</v>
      </c>
      <c r="O60">
        <v>0</v>
      </c>
    </row>
    <row r="61" spans="2:17">
      <c r="B61" t="s">
        <v>90</v>
      </c>
      <c r="C61">
        <v>3</v>
      </c>
      <c r="D61">
        <v>27617</v>
      </c>
      <c r="E61" t="s">
        <v>1251</v>
      </c>
      <c r="F61" t="s">
        <v>1252</v>
      </c>
      <c r="J61">
        <v>189</v>
      </c>
      <c r="K61" s="160">
        <v>2253</v>
      </c>
      <c r="L61" s="160">
        <v>2322</v>
      </c>
      <c r="M61">
        <v>1</v>
      </c>
      <c r="N61">
        <v>120</v>
      </c>
      <c r="O61">
        <v>791</v>
      </c>
      <c r="P61">
        <v>791</v>
      </c>
      <c r="Q61">
        <v>2</v>
      </c>
    </row>
    <row r="62" spans="2:17">
      <c r="B62" t="s">
        <v>90</v>
      </c>
      <c r="C62">
        <v>3</v>
      </c>
      <c r="D62">
        <v>26909</v>
      </c>
      <c r="E62" t="s">
        <v>159</v>
      </c>
      <c r="F62" t="s">
        <v>153</v>
      </c>
      <c r="J62">
        <v>32</v>
      </c>
      <c r="K62">
        <v>0</v>
      </c>
      <c r="N62">
        <v>32</v>
      </c>
      <c r="O62">
        <v>0</v>
      </c>
    </row>
    <row r="63" spans="2:17">
      <c r="B63" t="s">
        <v>73</v>
      </c>
      <c r="C63">
        <v>3</v>
      </c>
      <c r="D63">
        <v>233975</v>
      </c>
      <c r="E63" t="s">
        <v>160</v>
      </c>
      <c r="F63" t="s">
        <v>161</v>
      </c>
      <c r="G63">
        <v>1</v>
      </c>
      <c r="J63">
        <v>0</v>
      </c>
      <c r="K63">
        <v>0</v>
      </c>
      <c r="N63">
        <v>0</v>
      </c>
      <c r="O63">
        <v>0</v>
      </c>
    </row>
    <row r="64" spans="2:17">
      <c r="B64" t="s">
        <v>73</v>
      </c>
      <c r="C64">
        <v>3</v>
      </c>
      <c r="D64">
        <v>250605</v>
      </c>
      <c r="E64" t="s">
        <v>162</v>
      </c>
      <c r="F64" t="s">
        <v>163</v>
      </c>
      <c r="G64">
        <v>7</v>
      </c>
      <c r="J64">
        <v>0</v>
      </c>
      <c r="K64">
        <v>0</v>
      </c>
      <c r="N64">
        <v>0</v>
      </c>
      <c r="O64">
        <v>0</v>
      </c>
    </row>
    <row r="65" spans="2:17">
      <c r="B65" t="s">
        <v>90</v>
      </c>
      <c r="C65">
        <v>3</v>
      </c>
      <c r="D65">
        <v>27151</v>
      </c>
      <c r="E65" t="s">
        <v>164</v>
      </c>
      <c r="F65" t="s">
        <v>165</v>
      </c>
      <c r="J65">
        <v>108</v>
      </c>
      <c r="K65">
        <v>0</v>
      </c>
      <c r="N65">
        <v>108</v>
      </c>
      <c r="O65">
        <v>0</v>
      </c>
    </row>
    <row r="66" spans="2:17">
      <c r="B66" t="s">
        <v>73</v>
      </c>
      <c r="C66">
        <v>3</v>
      </c>
      <c r="D66">
        <v>192497</v>
      </c>
      <c r="E66" t="s">
        <v>166</v>
      </c>
      <c r="F66" t="s">
        <v>167</v>
      </c>
      <c r="G66">
        <v>1</v>
      </c>
      <c r="J66">
        <v>0</v>
      </c>
      <c r="K66">
        <v>0</v>
      </c>
      <c r="N66">
        <v>0</v>
      </c>
      <c r="O66">
        <v>0</v>
      </c>
    </row>
    <row r="67" spans="2:17">
      <c r="B67" t="s">
        <v>90</v>
      </c>
      <c r="C67">
        <v>3</v>
      </c>
      <c r="D67">
        <v>21610</v>
      </c>
      <c r="E67" t="s">
        <v>168</v>
      </c>
      <c r="F67" t="s">
        <v>169</v>
      </c>
      <c r="J67">
        <v>192</v>
      </c>
      <c r="K67">
        <v>609</v>
      </c>
      <c r="L67">
        <v>517</v>
      </c>
      <c r="M67">
        <v>1</v>
      </c>
      <c r="N67">
        <v>284</v>
      </c>
      <c r="O67">
        <v>0</v>
      </c>
    </row>
    <row r="68" spans="2:17">
      <c r="B68" t="s">
        <v>73</v>
      </c>
      <c r="C68">
        <v>3</v>
      </c>
      <c r="D68">
        <v>272614</v>
      </c>
      <c r="E68" t="s">
        <v>170</v>
      </c>
      <c r="F68" t="s">
        <v>171</v>
      </c>
      <c r="G68">
        <v>1</v>
      </c>
      <c r="J68">
        <v>0</v>
      </c>
      <c r="K68">
        <v>0</v>
      </c>
      <c r="N68">
        <v>0</v>
      </c>
      <c r="O68">
        <v>0</v>
      </c>
    </row>
    <row r="69" spans="2:17">
      <c r="B69" t="s">
        <v>73</v>
      </c>
      <c r="C69">
        <v>3</v>
      </c>
      <c r="D69">
        <v>279199</v>
      </c>
      <c r="E69" t="s">
        <v>172</v>
      </c>
      <c r="F69" t="s">
        <v>171</v>
      </c>
      <c r="G69">
        <v>2</v>
      </c>
      <c r="J69">
        <v>137</v>
      </c>
      <c r="K69">
        <v>246</v>
      </c>
      <c r="L69">
        <v>183</v>
      </c>
      <c r="M69">
        <v>1</v>
      </c>
      <c r="N69">
        <v>200</v>
      </c>
      <c r="O69" s="160">
        <v>2098</v>
      </c>
      <c r="P69" s="160">
        <v>2098</v>
      </c>
      <c r="Q69">
        <v>2</v>
      </c>
    </row>
    <row r="70" spans="2:17">
      <c r="B70" t="s">
        <v>90</v>
      </c>
      <c r="C70">
        <v>3</v>
      </c>
      <c r="D70">
        <v>15252</v>
      </c>
      <c r="E70" t="s">
        <v>173</v>
      </c>
      <c r="F70" t="s">
        <v>174</v>
      </c>
      <c r="J70">
        <v>0</v>
      </c>
      <c r="K70">
        <v>0</v>
      </c>
      <c r="N70">
        <v>0</v>
      </c>
      <c r="O70">
        <v>0</v>
      </c>
    </row>
    <row r="71" spans="2:17">
      <c r="B71" t="s">
        <v>73</v>
      </c>
      <c r="C71">
        <v>3</v>
      </c>
      <c r="D71">
        <v>206045</v>
      </c>
      <c r="E71" t="s">
        <v>175</v>
      </c>
      <c r="F71" t="s">
        <v>176</v>
      </c>
      <c r="G71" t="s">
        <v>177</v>
      </c>
      <c r="J71">
        <v>65</v>
      </c>
      <c r="K71">
        <v>30</v>
      </c>
      <c r="N71">
        <v>95</v>
      </c>
      <c r="O71" s="160">
        <v>7259</v>
      </c>
      <c r="P71">
        <v>377</v>
      </c>
      <c r="Q71">
        <v>1</v>
      </c>
    </row>
    <row r="72" spans="2:17">
      <c r="P72" s="160">
        <v>6882</v>
      </c>
      <c r="Q72">
        <v>2</v>
      </c>
    </row>
    <row r="73" spans="2:17">
      <c r="B73" t="s">
        <v>73</v>
      </c>
      <c r="C73">
        <v>3</v>
      </c>
      <c r="D73">
        <v>188081</v>
      </c>
      <c r="E73" t="s">
        <v>178</v>
      </c>
      <c r="F73" t="s">
        <v>158</v>
      </c>
      <c r="G73">
        <v>1</v>
      </c>
      <c r="J73">
        <v>0</v>
      </c>
      <c r="K73">
        <v>0</v>
      </c>
      <c r="N73">
        <v>0</v>
      </c>
      <c r="O73">
        <v>0</v>
      </c>
    </row>
    <row r="74" spans="2:17">
      <c r="B74" t="s">
        <v>73</v>
      </c>
      <c r="C74">
        <v>3</v>
      </c>
      <c r="D74">
        <v>160307</v>
      </c>
      <c r="E74" t="s">
        <v>179</v>
      </c>
      <c r="F74" t="s">
        <v>180</v>
      </c>
      <c r="G74">
        <v>1</v>
      </c>
      <c r="J74">
        <v>173</v>
      </c>
      <c r="K74">
        <v>0</v>
      </c>
      <c r="N74">
        <v>173</v>
      </c>
      <c r="O74">
        <v>0</v>
      </c>
    </row>
    <row r="75" spans="2:17">
      <c r="B75" t="s">
        <v>90</v>
      </c>
      <c r="C75">
        <v>3</v>
      </c>
      <c r="D75">
        <v>27285</v>
      </c>
      <c r="E75" t="s">
        <v>181</v>
      </c>
      <c r="F75" t="s">
        <v>182</v>
      </c>
      <c r="J75">
        <v>319</v>
      </c>
      <c r="K75">
        <v>115</v>
      </c>
      <c r="L75">
        <v>172</v>
      </c>
      <c r="M75">
        <v>1</v>
      </c>
      <c r="N75">
        <v>262</v>
      </c>
      <c r="O75">
        <v>621</v>
      </c>
      <c r="P75">
        <v>28</v>
      </c>
      <c r="Q75">
        <v>1</v>
      </c>
    </row>
    <row r="76" spans="2:17">
      <c r="P76">
        <v>593</v>
      </c>
      <c r="Q76">
        <v>2</v>
      </c>
    </row>
    <row r="77" spans="2:17">
      <c r="B77" t="s">
        <v>90</v>
      </c>
      <c r="C77">
        <v>3</v>
      </c>
      <c r="D77">
        <v>27418</v>
      </c>
      <c r="E77" t="s">
        <v>183</v>
      </c>
      <c r="F77" t="s">
        <v>182</v>
      </c>
      <c r="J77">
        <v>212</v>
      </c>
      <c r="K77" s="160">
        <v>2507</v>
      </c>
      <c r="L77" s="160">
        <v>2318</v>
      </c>
      <c r="M77">
        <v>1</v>
      </c>
      <c r="N77">
        <v>401</v>
      </c>
      <c r="O77" s="160">
        <v>3632</v>
      </c>
      <c r="P77">
        <v>196</v>
      </c>
      <c r="Q77">
        <v>1</v>
      </c>
    </row>
    <row r="78" spans="2:17">
      <c r="P78" s="160">
        <v>3436</v>
      </c>
      <c r="Q78">
        <v>2</v>
      </c>
    </row>
    <row r="79" spans="2:17">
      <c r="B79" t="s">
        <v>73</v>
      </c>
      <c r="C79">
        <v>3</v>
      </c>
      <c r="D79">
        <v>282350</v>
      </c>
      <c r="E79" t="s">
        <v>183</v>
      </c>
      <c r="F79" t="s">
        <v>182</v>
      </c>
      <c r="G79" t="s">
        <v>184</v>
      </c>
      <c r="J79">
        <v>451</v>
      </c>
      <c r="K79">
        <v>105</v>
      </c>
      <c r="L79">
        <v>195</v>
      </c>
      <c r="M79">
        <v>1</v>
      </c>
      <c r="N79">
        <v>361</v>
      </c>
      <c r="O79">
        <v>646</v>
      </c>
      <c r="P79">
        <v>56</v>
      </c>
      <c r="Q79">
        <v>1</v>
      </c>
    </row>
    <row r="80" spans="2:17">
      <c r="P80">
        <v>590</v>
      </c>
      <c r="Q80">
        <v>2</v>
      </c>
    </row>
    <row r="81" spans="2:17">
      <c r="B81" t="s">
        <v>90</v>
      </c>
      <c r="C81">
        <v>3</v>
      </c>
      <c r="D81">
        <v>27236</v>
      </c>
      <c r="E81" t="s">
        <v>185</v>
      </c>
      <c r="F81" t="s">
        <v>182</v>
      </c>
      <c r="J81">
        <v>172</v>
      </c>
      <c r="K81" s="160">
        <v>1022</v>
      </c>
      <c r="L81" s="160">
        <v>1089</v>
      </c>
      <c r="M81">
        <v>1</v>
      </c>
      <c r="N81">
        <v>105</v>
      </c>
      <c r="O81" s="160">
        <v>1102</v>
      </c>
      <c r="P81">
        <v>28</v>
      </c>
      <c r="Q81">
        <v>1</v>
      </c>
    </row>
    <row r="82" spans="2:17">
      <c r="P82" s="160">
        <v>1074</v>
      </c>
      <c r="Q82">
        <v>2</v>
      </c>
    </row>
    <row r="83" spans="2:17">
      <c r="B83" t="s">
        <v>90</v>
      </c>
      <c r="C83">
        <v>3</v>
      </c>
      <c r="D83">
        <v>26501</v>
      </c>
      <c r="E83" t="s">
        <v>188</v>
      </c>
      <c r="F83" t="s">
        <v>189</v>
      </c>
      <c r="J83">
        <v>114</v>
      </c>
      <c r="K83">
        <v>0</v>
      </c>
      <c r="N83">
        <v>114</v>
      </c>
      <c r="O83">
        <v>0</v>
      </c>
    </row>
    <row r="84" spans="2:17">
      <c r="B84" t="s">
        <v>90</v>
      </c>
      <c r="C84">
        <v>3</v>
      </c>
      <c r="D84">
        <v>24455</v>
      </c>
      <c r="E84" t="s">
        <v>190</v>
      </c>
      <c r="F84" t="s">
        <v>191</v>
      </c>
      <c r="J84">
        <v>0</v>
      </c>
      <c r="K84">
        <v>0</v>
      </c>
      <c r="N84">
        <v>0</v>
      </c>
      <c r="O84">
        <v>0</v>
      </c>
    </row>
    <row r="85" spans="2:17">
      <c r="B85" t="s">
        <v>73</v>
      </c>
      <c r="C85">
        <v>3</v>
      </c>
      <c r="D85">
        <v>278004</v>
      </c>
      <c r="E85" t="s">
        <v>190</v>
      </c>
      <c r="F85" t="s">
        <v>192</v>
      </c>
      <c r="G85">
        <v>3</v>
      </c>
      <c r="J85">
        <v>57</v>
      </c>
      <c r="K85">
        <v>10</v>
      </c>
      <c r="N85">
        <v>67</v>
      </c>
      <c r="O85">
        <v>578</v>
      </c>
      <c r="P85">
        <v>27</v>
      </c>
      <c r="Q85">
        <v>1</v>
      </c>
    </row>
    <row r="86" spans="2:17">
      <c r="P86">
        <v>551</v>
      </c>
      <c r="Q86">
        <v>2</v>
      </c>
    </row>
    <row r="87" spans="2:17">
      <c r="B87" t="s">
        <v>90</v>
      </c>
      <c r="C87">
        <v>3</v>
      </c>
      <c r="D87">
        <v>2099</v>
      </c>
      <c r="E87" t="s">
        <v>193</v>
      </c>
      <c r="F87" t="s">
        <v>194</v>
      </c>
      <c r="J87">
        <v>244</v>
      </c>
      <c r="K87">
        <v>396</v>
      </c>
      <c r="L87">
        <v>514</v>
      </c>
      <c r="M87">
        <v>1</v>
      </c>
      <c r="N87">
        <v>126</v>
      </c>
      <c r="O87">
        <v>0</v>
      </c>
    </row>
    <row r="88" spans="2:17">
      <c r="B88" t="s">
        <v>90</v>
      </c>
      <c r="C88">
        <v>3</v>
      </c>
      <c r="D88">
        <v>24246</v>
      </c>
      <c r="E88" t="s">
        <v>195</v>
      </c>
      <c r="F88" t="s">
        <v>196</v>
      </c>
      <c r="J88">
        <v>52</v>
      </c>
      <c r="K88">
        <v>0</v>
      </c>
      <c r="N88">
        <v>52</v>
      </c>
      <c r="O88">
        <v>0</v>
      </c>
    </row>
    <row r="89" spans="2:17">
      <c r="B89" t="s">
        <v>90</v>
      </c>
      <c r="C89">
        <v>3</v>
      </c>
      <c r="D89">
        <v>27279</v>
      </c>
      <c r="E89" t="s">
        <v>197</v>
      </c>
      <c r="F89" t="s">
        <v>198</v>
      </c>
      <c r="J89">
        <v>229</v>
      </c>
      <c r="K89">
        <v>0</v>
      </c>
      <c r="N89">
        <v>229</v>
      </c>
      <c r="O89">
        <v>0</v>
      </c>
    </row>
    <row r="90" spans="2:17">
      <c r="B90" t="s">
        <v>90</v>
      </c>
      <c r="C90">
        <v>3</v>
      </c>
      <c r="D90">
        <v>27495</v>
      </c>
      <c r="E90" t="s">
        <v>199</v>
      </c>
      <c r="F90" t="s">
        <v>200</v>
      </c>
      <c r="J90">
        <v>220</v>
      </c>
      <c r="K90">
        <v>29</v>
      </c>
      <c r="N90">
        <v>249</v>
      </c>
      <c r="O90">
        <v>0</v>
      </c>
    </row>
    <row r="91" spans="2:17">
      <c r="B91" t="s">
        <v>90</v>
      </c>
      <c r="C91">
        <v>3</v>
      </c>
      <c r="D91">
        <v>27499</v>
      </c>
      <c r="E91" t="s">
        <v>199</v>
      </c>
      <c r="F91" t="s">
        <v>201</v>
      </c>
      <c r="J91">
        <v>269</v>
      </c>
      <c r="K91">
        <v>13</v>
      </c>
      <c r="N91">
        <v>282</v>
      </c>
      <c r="O91">
        <v>0</v>
      </c>
    </row>
    <row r="92" spans="2:17">
      <c r="B92" t="s">
        <v>90</v>
      </c>
      <c r="C92">
        <v>3</v>
      </c>
      <c r="D92">
        <v>27401</v>
      </c>
      <c r="E92" t="s">
        <v>202</v>
      </c>
      <c r="F92" t="s">
        <v>203</v>
      </c>
      <c r="J92">
        <v>354</v>
      </c>
      <c r="K92">
        <v>36</v>
      </c>
      <c r="N92">
        <v>390</v>
      </c>
      <c r="O92">
        <v>0</v>
      </c>
    </row>
    <row r="93" spans="2:17">
      <c r="B93" t="s">
        <v>73</v>
      </c>
      <c r="C93">
        <v>3</v>
      </c>
      <c r="D93">
        <v>177442</v>
      </c>
      <c r="E93" t="s">
        <v>204</v>
      </c>
      <c r="F93" t="s">
        <v>205</v>
      </c>
      <c r="G93" t="s">
        <v>206</v>
      </c>
      <c r="J93">
        <v>0</v>
      </c>
      <c r="K93">
        <v>0</v>
      </c>
      <c r="N93">
        <v>0</v>
      </c>
      <c r="O93">
        <v>0</v>
      </c>
    </row>
    <row r="94" spans="2:17">
      <c r="B94" t="s">
        <v>73</v>
      </c>
      <c r="C94">
        <v>3</v>
      </c>
      <c r="D94">
        <v>284976</v>
      </c>
      <c r="E94" t="s">
        <v>207</v>
      </c>
      <c r="F94" t="s">
        <v>208</v>
      </c>
      <c r="G94" t="s">
        <v>209</v>
      </c>
      <c r="J94">
        <v>194</v>
      </c>
      <c r="K94">
        <v>123</v>
      </c>
      <c r="L94">
        <v>177</v>
      </c>
      <c r="M94">
        <v>1</v>
      </c>
      <c r="N94">
        <v>140</v>
      </c>
      <c r="O94" s="160">
        <v>11265</v>
      </c>
      <c r="P94" s="160">
        <v>11265</v>
      </c>
      <c r="Q94">
        <v>2</v>
      </c>
    </row>
    <row r="95" spans="2:17">
      <c r="B95" t="s">
        <v>90</v>
      </c>
      <c r="C95">
        <v>3</v>
      </c>
      <c r="D95">
        <v>2812</v>
      </c>
      <c r="E95" t="s">
        <v>210</v>
      </c>
      <c r="F95" t="s">
        <v>211</v>
      </c>
      <c r="J95">
        <v>184</v>
      </c>
      <c r="K95">
        <v>0</v>
      </c>
      <c r="L95">
        <v>166</v>
      </c>
      <c r="M95">
        <v>1</v>
      </c>
      <c r="N95">
        <v>18</v>
      </c>
      <c r="O95">
        <v>0</v>
      </c>
    </row>
    <row r="96" spans="2:17">
      <c r="B96" t="s">
        <v>90</v>
      </c>
      <c r="C96">
        <v>3</v>
      </c>
      <c r="D96">
        <v>2817</v>
      </c>
      <c r="E96" t="s">
        <v>210</v>
      </c>
      <c r="F96" t="s">
        <v>221</v>
      </c>
      <c r="J96">
        <v>126</v>
      </c>
      <c r="K96">
        <v>248</v>
      </c>
      <c r="L96">
        <v>166</v>
      </c>
      <c r="M96">
        <v>1</v>
      </c>
      <c r="N96">
        <v>208</v>
      </c>
      <c r="O96">
        <v>112</v>
      </c>
      <c r="P96">
        <v>112</v>
      </c>
      <c r="Q96">
        <v>1</v>
      </c>
    </row>
    <row r="97" spans="2:17">
      <c r="B97" t="s">
        <v>90</v>
      </c>
      <c r="C97">
        <v>3</v>
      </c>
      <c r="D97">
        <v>26743</v>
      </c>
      <c r="E97" t="s">
        <v>210</v>
      </c>
      <c r="F97" t="s">
        <v>213</v>
      </c>
      <c r="J97">
        <v>0</v>
      </c>
      <c r="K97">
        <v>0</v>
      </c>
      <c r="N97">
        <v>0</v>
      </c>
      <c r="O97">
        <v>0</v>
      </c>
    </row>
    <row r="98" spans="2:17">
      <c r="B98" t="s">
        <v>90</v>
      </c>
      <c r="C98">
        <v>3</v>
      </c>
      <c r="D98">
        <v>27533</v>
      </c>
      <c r="E98" t="s">
        <v>210</v>
      </c>
      <c r="F98" t="s">
        <v>219</v>
      </c>
      <c r="J98">
        <v>79</v>
      </c>
      <c r="K98">
        <v>310</v>
      </c>
      <c r="L98">
        <v>181</v>
      </c>
      <c r="M98">
        <v>1</v>
      </c>
      <c r="N98">
        <v>208</v>
      </c>
      <c r="O98">
        <v>174</v>
      </c>
      <c r="P98">
        <v>174</v>
      </c>
      <c r="Q98">
        <v>1</v>
      </c>
    </row>
    <row r="99" spans="2:17">
      <c r="B99" t="s">
        <v>73</v>
      </c>
      <c r="C99">
        <v>3</v>
      </c>
      <c r="D99">
        <v>287522</v>
      </c>
      <c r="E99" t="s">
        <v>210</v>
      </c>
      <c r="F99" t="s">
        <v>212</v>
      </c>
      <c r="G99">
        <v>5</v>
      </c>
      <c r="J99">
        <v>192</v>
      </c>
      <c r="K99">
        <v>23</v>
      </c>
      <c r="L99">
        <v>166</v>
      </c>
      <c r="M99">
        <v>1</v>
      </c>
      <c r="N99">
        <v>49</v>
      </c>
      <c r="O99" s="160">
        <v>3981</v>
      </c>
      <c r="P99">
        <v>156</v>
      </c>
      <c r="Q99">
        <v>1</v>
      </c>
    </row>
    <row r="100" spans="2:17">
      <c r="P100" s="160">
        <v>3825</v>
      </c>
      <c r="Q100">
        <v>2</v>
      </c>
    </row>
    <row r="101" spans="2:17">
      <c r="B101" t="s">
        <v>73</v>
      </c>
      <c r="C101">
        <v>3</v>
      </c>
      <c r="D101">
        <v>133198</v>
      </c>
      <c r="E101" t="s">
        <v>215</v>
      </c>
      <c r="F101" t="s">
        <v>212</v>
      </c>
      <c r="G101">
        <v>7</v>
      </c>
      <c r="I101">
        <v>1471</v>
      </c>
      <c r="J101">
        <v>0</v>
      </c>
      <c r="K101">
        <v>0</v>
      </c>
      <c r="N101">
        <v>0</v>
      </c>
      <c r="O101">
        <v>0</v>
      </c>
    </row>
    <row r="102" spans="2:17">
      <c r="B102" t="s">
        <v>90</v>
      </c>
      <c r="C102">
        <v>3</v>
      </c>
      <c r="D102">
        <v>22393</v>
      </c>
      <c r="E102" t="s">
        <v>216</v>
      </c>
      <c r="F102" t="s">
        <v>217</v>
      </c>
      <c r="I102">
        <v>1471</v>
      </c>
      <c r="J102">
        <v>0</v>
      </c>
      <c r="K102">
        <v>0</v>
      </c>
      <c r="N102">
        <v>0</v>
      </c>
      <c r="O102">
        <v>0</v>
      </c>
    </row>
    <row r="103" spans="2:17">
      <c r="B103" t="s">
        <v>73</v>
      </c>
      <c r="C103">
        <v>3</v>
      </c>
      <c r="D103">
        <v>229081</v>
      </c>
      <c r="E103" t="s">
        <v>218</v>
      </c>
      <c r="F103" t="s">
        <v>219</v>
      </c>
      <c r="G103">
        <v>7</v>
      </c>
      <c r="J103">
        <v>0</v>
      </c>
      <c r="K103">
        <v>0</v>
      </c>
      <c r="N103">
        <v>0</v>
      </c>
      <c r="O103">
        <v>0</v>
      </c>
    </row>
    <row r="104" spans="2:17">
      <c r="B104" t="s">
        <v>90</v>
      </c>
      <c r="C104">
        <v>3</v>
      </c>
      <c r="D104">
        <v>26834</v>
      </c>
      <c r="E104" t="s">
        <v>222</v>
      </c>
      <c r="F104" t="s">
        <v>223</v>
      </c>
      <c r="J104">
        <v>214</v>
      </c>
      <c r="K104">
        <v>405</v>
      </c>
      <c r="L104">
        <v>357</v>
      </c>
      <c r="M104">
        <v>1</v>
      </c>
      <c r="N104">
        <v>262</v>
      </c>
      <c r="O104">
        <v>0</v>
      </c>
    </row>
    <row r="105" spans="2:17">
      <c r="B105" t="s">
        <v>90</v>
      </c>
      <c r="C105">
        <v>3</v>
      </c>
      <c r="D105">
        <v>26193</v>
      </c>
      <c r="E105" t="s">
        <v>224</v>
      </c>
      <c r="F105" t="s">
        <v>225</v>
      </c>
      <c r="J105">
        <v>68</v>
      </c>
      <c r="K105">
        <v>0</v>
      </c>
      <c r="N105">
        <v>68</v>
      </c>
      <c r="O105">
        <v>0</v>
      </c>
    </row>
    <row r="106" spans="2:17">
      <c r="B106" t="s">
        <v>73</v>
      </c>
      <c r="C106">
        <v>3</v>
      </c>
      <c r="D106">
        <v>275419</v>
      </c>
      <c r="E106" t="s">
        <v>226</v>
      </c>
      <c r="F106" t="s">
        <v>223</v>
      </c>
      <c r="G106" t="s">
        <v>227</v>
      </c>
      <c r="J106">
        <v>0</v>
      </c>
      <c r="K106">
        <v>0</v>
      </c>
      <c r="N106">
        <v>0</v>
      </c>
      <c r="O106">
        <v>0</v>
      </c>
    </row>
    <row r="107" spans="2:17">
      <c r="B107" t="s">
        <v>73</v>
      </c>
      <c r="C107">
        <v>3</v>
      </c>
      <c r="D107">
        <v>139199</v>
      </c>
      <c r="E107" t="s">
        <v>228</v>
      </c>
      <c r="F107" t="s">
        <v>229</v>
      </c>
      <c r="G107">
        <v>1</v>
      </c>
      <c r="J107">
        <v>0</v>
      </c>
      <c r="K107">
        <v>0</v>
      </c>
      <c r="N107">
        <v>0</v>
      </c>
      <c r="O107">
        <v>0</v>
      </c>
    </row>
    <row r="108" spans="2:17">
      <c r="B108" t="s">
        <v>90</v>
      </c>
      <c r="C108">
        <v>3</v>
      </c>
      <c r="D108">
        <v>18769</v>
      </c>
      <c r="E108" t="s">
        <v>231</v>
      </c>
      <c r="F108" t="s">
        <v>232</v>
      </c>
      <c r="J108">
        <v>107</v>
      </c>
      <c r="K108">
        <v>130</v>
      </c>
      <c r="N108">
        <v>237</v>
      </c>
      <c r="O108">
        <v>0</v>
      </c>
    </row>
    <row r="109" spans="2:17">
      <c r="B109" t="s">
        <v>73</v>
      </c>
      <c r="C109">
        <v>3</v>
      </c>
      <c r="D109">
        <v>184787</v>
      </c>
      <c r="E109" t="s">
        <v>233</v>
      </c>
      <c r="F109" t="s">
        <v>234</v>
      </c>
      <c r="G109">
        <v>5</v>
      </c>
      <c r="J109">
        <v>131</v>
      </c>
      <c r="K109">
        <v>156</v>
      </c>
      <c r="L109">
        <v>163</v>
      </c>
      <c r="M109">
        <v>1</v>
      </c>
      <c r="N109">
        <v>124</v>
      </c>
      <c r="O109" s="160">
        <v>12042</v>
      </c>
      <c r="P109">
        <v>435</v>
      </c>
      <c r="Q109">
        <v>1</v>
      </c>
    </row>
    <row r="110" spans="2:17">
      <c r="P110" s="160">
        <v>11607</v>
      </c>
      <c r="Q110">
        <v>2</v>
      </c>
    </row>
    <row r="111" spans="2:17">
      <c r="B111" t="s">
        <v>73</v>
      </c>
      <c r="C111">
        <v>3</v>
      </c>
      <c r="D111">
        <v>113719</v>
      </c>
      <c r="E111" t="s">
        <v>235</v>
      </c>
      <c r="F111" t="s">
        <v>236</v>
      </c>
      <c r="G111">
        <v>23</v>
      </c>
      <c r="J111">
        <v>99</v>
      </c>
      <c r="K111">
        <v>4</v>
      </c>
      <c r="N111">
        <v>103</v>
      </c>
      <c r="O111" s="160">
        <v>1576</v>
      </c>
      <c r="P111" s="160">
        <v>1576</v>
      </c>
      <c r="Q111">
        <v>2</v>
      </c>
    </row>
    <row r="112" spans="2:17">
      <c r="B112" t="s">
        <v>73</v>
      </c>
      <c r="C112">
        <v>3</v>
      </c>
      <c r="D112">
        <v>38467</v>
      </c>
      <c r="E112" t="s">
        <v>237</v>
      </c>
      <c r="F112" t="s">
        <v>234</v>
      </c>
      <c r="G112">
        <v>3</v>
      </c>
      <c r="J112">
        <v>0</v>
      </c>
      <c r="K112">
        <v>0</v>
      </c>
      <c r="N112">
        <v>0</v>
      </c>
      <c r="O112">
        <v>0</v>
      </c>
    </row>
    <row r="113" spans="2:17">
      <c r="B113" t="s">
        <v>90</v>
      </c>
      <c r="C113">
        <v>3</v>
      </c>
      <c r="D113">
        <v>12721</v>
      </c>
      <c r="E113" t="s">
        <v>238</v>
      </c>
      <c r="F113" t="s">
        <v>239</v>
      </c>
      <c r="J113">
        <v>0</v>
      </c>
      <c r="K113">
        <v>0</v>
      </c>
      <c r="N113">
        <v>0</v>
      </c>
      <c r="O113">
        <v>0</v>
      </c>
    </row>
    <row r="114" spans="2:17">
      <c r="B114" t="s">
        <v>73</v>
      </c>
      <c r="C114">
        <v>3</v>
      </c>
      <c r="D114">
        <v>214543</v>
      </c>
      <c r="E114" t="s">
        <v>240</v>
      </c>
      <c r="F114" t="s">
        <v>241</v>
      </c>
      <c r="G114">
        <v>1</v>
      </c>
      <c r="J114">
        <v>0</v>
      </c>
      <c r="K114">
        <v>0</v>
      </c>
      <c r="N114">
        <v>0</v>
      </c>
      <c r="O114">
        <v>0</v>
      </c>
    </row>
    <row r="115" spans="2:17">
      <c r="B115" t="s">
        <v>73</v>
      </c>
      <c r="C115">
        <v>3</v>
      </c>
      <c r="D115">
        <v>235116</v>
      </c>
      <c r="E115" t="s">
        <v>242</v>
      </c>
      <c r="F115" t="s">
        <v>243</v>
      </c>
      <c r="G115">
        <v>2</v>
      </c>
      <c r="J115">
        <v>0</v>
      </c>
      <c r="K115">
        <v>0</v>
      </c>
      <c r="N115">
        <v>0</v>
      </c>
      <c r="O115">
        <v>0</v>
      </c>
    </row>
    <row r="116" spans="2:17">
      <c r="B116" t="s">
        <v>73</v>
      </c>
      <c r="C116">
        <v>3</v>
      </c>
      <c r="D116">
        <v>164970</v>
      </c>
      <c r="E116" t="s">
        <v>244</v>
      </c>
      <c r="F116" t="s">
        <v>245</v>
      </c>
      <c r="G116">
        <v>1</v>
      </c>
      <c r="J116">
        <v>104</v>
      </c>
      <c r="K116">
        <v>327</v>
      </c>
      <c r="L116">
        <v>185</v>
      </c>
      <c r="M116">
        <v>1</v>
      </c>
      <c r="N116">
        <v>246</v>
      </c>
      <c r="O116" s="160">
        <v>3871</v>
      </c>
      <c r="P116">
        <v>203</v>
      </c>
      <c r="Q116">
        <v>1</v>
      </c>
    </row>
    <row r="117" spans="2:17">
      <c r="P117" s="160">
        <v>3668</v>
      </c>
      <c r="Q117">
        <v>2</v>
      </c>
    </row>
    <row r="118" spans="2:17">
      <c r="B118" t="s">
        <v>90</v>
      </c>
      <c r="C118">
        <v>3</v>
      </c>
      <c r="D118">
        <v>24861</v>
      </c>
      <c r="E118" t="s">
        <v>246</v>
      </c>
      <c r="F118" t="s">
        <v>247</v>
      </c>
      <c r="J118">
        <v>45</v>
      </c>
      <c r="K118">
        <v>0</v>
      </c>
      <c r="N118">
        <v>45</v>
      </c>
      <c r="O118">
        <v>8</v>
      </c>
      <c r="P118">
        <v>2</v>
      </c>
      <c r="Q118">
        <v>1</v>
      </c>
    </row>
    <row r="119" spans="2:17">
      <c r="P119">
        <v>6</v>
      </c>
      <c r="Q119">
        <v>2</v>
      </c>
    </row>
    <row r="120" spans="2:17">
      <c r="B120" t="s">
        <v>73</v>
      </c>
      <c r="C120">
        <v>3</v>
      </c>
      <c r="D120">
        <v>194105</v>
      </c>
      <c r="E120" t="s">
        <v>248</v>
      </c>
      <c r="F120" t="s">
        <v>249</v>
      </c>
      <c r="G120">
        <v>2</v>
      </c>
      <c r="J120">
        <v>0</v>
      </c>
      <c r="K120">
        <v>0</v>
      </c>
      <c r="N120">
        <v>0</v>
      </c>
      <c r="O120">
        <v>0</v>
      </c>
    </row>
    <row r="121" spans="2:17">
      <c r="B121" t="s">
        <v>73</v>
      </c>
      <c r="C121">
        <v>3</v>
      </c>
      <c r="D121">
        <v>130820</v>
      </c>
      <c r="E121" t="s">
        <v>250</v>
      </c>
      <c r="F121" t="s">
        <v>249</v>
      </c>
      <c r="G121">
        <v>1</v>
      </c>
      <c r="J121">
        <v>0</v>
      </c>
      <c r="K121">
        <v>0</v>
      </c>
      <c r="N121">
        <v>0</v>
      </c>
      <c r="O121">
        <v>0</v>
      </c>
    </row>
    <row r="122" spans="2:17">
      <c r="B122" t="s">
        <v>73</v>
      </c>
      <c r="C122">
        <v>3</v>
      </c>
      <c r="D122">
        <v>284977</v>
      </c>
      <c r="E122" t="s">
        <v>251</v>
      </c>
      <c r="F122" t="s">
        <v>252</v>
      </c>
      <c r="G122" t="s">
        <v>253</v>
      </c>
      <c r="J122">
        <v>75</v>
      </c>
      <c r="K122">
        <v>27</v>
      </c>
      <c r="N122">
        <v>102</v>
      </c>
      <c r="O122" s="160">
        <v>13115</v>
      </c>
      <c r="P122">
        <v>725</v>
      </c>
      <c r="Q122">
        <v>1</v>
      </c>
    </row>
    <row r="123" spans="2:17">
      <c r="P123" s="160">
        <v>12390</v>
      </c>
      <c r="Q123">
        <v>2</v>
      </c>
    </row>
    <row r="124" spans="2:17">
      <c r="B124" t="s">
        <v>73</v>
      </c>
      <c r="C124">
        <v>3</v>
      </c>
      <c r="D124">
        <v>247945</v>
      </c>
      <c r="E124" t="s">
        <v>254</v>
      </c>
      <c r="F124" t="s">
        <v>255</v>
      </c>
      <c r="G124">
        <v>2</v>
      </c>
      <c r="J124">
        <v>92</v>
      </c>
      <c r="K124">
        <v>10</v>
      </c>
      <c r="N124">
        <v>102</v>
      </c>
      <c r="O124">
        <v>576</v>
      </c>
      <c r="P124">
        <v>576</v>
      </c>
      <c r="Q124">
        <v>2</v>
      </c>
    </row>
    <row r="125" spans="2:17">
      <c r="B125" t="s">
        <v>73</v>
      </c>
      <c r="C125">
        <v>3</v>
      </c>
      <c r="D125">
        <v>285001</v>
      </c>
      <c r="E125" t="s">
        <v>256</v>
      </c>
      <c r="F125" t="s">
        <v>252</v>
      </c>
      <c r="G125" t="s">
        <v>227</v>
      </c>
      <c r="J125">
        <v>100</v>
      </c>
      <c r="K125">
        <v>9</v>
      </c>
      <c r="N125">
        <v>109</v>
      </c>
      <c r="O125" s="160">
        <v>2176</v>
      </c>
      <c r="P125">
        <v>609</v>
      </c>
      <c r="Q125">
        <v>1</v>
      </c>
    </row>
    <row r="126" spans="2:17">
      <c r="P126" s="160">
        <v>1567</v>
      </c>
      <c r="Q126">
        <v>2</v>
      </c>
    </row>
    <row r="127" spans="2:17">
      <c r="B127" t="s">
        <v>90</v>
      </c>
      <c r="C127">
        <v>3</v>
      </c>
      <c r="D127">
        <v>21879</v>
      </c>
      <c r="E127" t="s">
        <v>257</v>
      </c>
      <c r="F127" t="s">
        <v>258</v>
      </c>
      <c r="J127">
        <v>0</v>
      </c>
      <c r="K127">
        <v>0</v>
      </c>
      <c r="N127">
        <v>0</v>
      </c>
      <c r="O127">
        <v>0</v>
      </c>
    </row>
    <row r="128" spans="2:17">
      <c r="B128" t="s">
        <v>73</v>
      </c>
      <c r="C128">
        <v>3</v>
      </c>
      <c r="D128">
        <v>158027</v>
      </c>
      <c r="E128" t="s">
        <v>259</v>
      </c>
      <c r="F128" t="s">
        <v>260</v>
      </c>
      <c r="G128">
        <v>1</v>
      </c>
      <c r="J128">
        <v>0</v>
      </c>
      <c r="K128">
        <v>0</v>
      </c>
      <c r="N128">
        <v>0</v>
      </c>
      <c r="O128">
        <v>0</v>
      </c>
    </row>
    <row r="129" spans="2:17">
      <c r="B129" t="s">
        <v>73</v>
      </c>
      <c r="C129">
        <v>3</v>
      </c>
      <c r="D129">
        <v>193384</v>
      </c>
      <c r="E129" t="s">
        <v>261</v>
      </c>
      <c r="F129" t="s">
        <v>262</v>
      </c>
      <c r="G129">
        <v>2</v>
      </c>
      <c r="J129">
        <v>139</v>
      </c>
      <c r="K129">
        <v>65</v>
      </c>
      <c r="L129">
        <v>140</v>
      </c>
      <c r="M129">
        <v>1</v>
      </c>
      <c r="N129">
        <v>64</v>
      </c>
      <c r="O129" s="160">
        <v>2704</v>
      </c>
      <c r="P129">
        <v>87</v>
      </c>
      <c r="Q129">
        <v>1</v>
      </c>
    </row>
    <row r="130" spans="2:17">
      <c r="P130" s="160">
        <v>2617</v>
      </c>
      <c r="Q130">
        <v>2</v>
      </c>
    </row>
    <row r="131" spans="2:17">
      <c r="B131" t="s">
        <v>73</v>
      </c>
      <c r="C131">
        <v>3</v>
      </c>
      <c r="D131">
        <v>47134</v>
      </c>
      <c r="E131" t="s">
        <v>263</v>
      </c>
      <c r="F131" t="s">
        <v>264</v>
      </c>
      <c r="G131">
        <v>1</v>
      </c>
      <c r="J131">
        <v>0</v>
      </c>
      <c r="K131">
        <v>0</v>
      </c>
      <c r="N131">
        <v>0</v>
      </c>
      <c r="O131">
        <v>0</v>
      </c>
    </row>
    <row r="132" spans="2:17">
      <c r="B132" t="s">
        <v>73</v>
      </c>
      <c r="C132">
        <v>3</v>
      </c>
      <c r="D132">
        <v>158691</v>
      </c>
      <c r="E132" t="s">
        <v>265</v>
      </c>
      <c r="F132" t="s">
        <v>266</v>
      </c>
      <c r="G132">
        <v>1</v>
      </c>
      <c r="J132">
        <v>186</v>
      </c>
      <c r="K132">
        <v>11</v>
      </c>
      <c r="N132">
        <v>197</v>
      </c>
      <c r="O132" s="160">
        <v>1339</v>
      </c>
      <c r="P132">
        <v>29</v>
      </c>
      <c r="Q132">
        <v>1</v>
      </c>
    </row>
    <row r="133" spans="2:17">
      <c r="P133" s="160">
        <v>1310</v>
      </c>
      <c r="Q133">
        <v>2</v>
      </c>
    </row>
    <row r="134" spans="2:17">
      <c r="B134" t="s">
        <v>73</v>
      </c>
      <c r="C134">
        <v>3</v>
      </c>
      <c r="D134">
        <v>91859</v>
      </c>
      <c r="E134" t="s">
        <v>267</v>
      </c>
      <c r="F134" t="s">
        <v>268</v>
      </c>
      <c r="G134">
        <v>1</v>
      </c>
      <c r="J134">
        <v>21</v>
      </c>
      <c r="K134">
        <v>31</v>
      </c>
      <c r="N134">
        <v>52</v>
      </c>
      <c r="O134" s="160">
        <v>1705</v>
      </c>
      <c r="P134">
        <v>116</v>
      </c>
      <c r="Q134">
        <v>1</v>
      </c>
    </row>
    <row r="135" spans="2:17">
      <c r="P135" s="160">
        <v>1589</v>
      </c>
      <c r="Q135">
        <v>2</v>
      </c>
    </row>
    <row r="136" spans="2:17">
      <c r="B136" t="s">
        <v>73</v>
      </c>
      <c r="C136">
        <v>3</v>
      </c>
      <c r="D136">
        <v>214235</v>
      </c>
      <c r="E136" t="s">
        <v>269</v>
      </c>
      <c r="F136" t="s">
        <v>270</v>
      </c>
      <c r="G136">
        <v>2</v>
      </c>
      <c r="J136">
        <v>0</v>
      </c>
      <c r="K136">
        <v>0</v>
      </c>
      <c r="N136">
        <v>0</v>
      </c>
      <c r="O136">
        <v>0</v>
      </c>
    </row>
    <row r="137" spans="2:17">
      <c r="B137" t="s">
        <v>73</v>
      </c>
      <c r="C137">
        <v>3</v>
      </c>
      <c r="D137">
        <v>58664</v>
      </c>
      <c r="E137" t="s">
        <v>271</v>
      </c>
      <c r="F137" t="s">
        <v>272</v>
      </c>
      <c r="G137">
        <v>1</v>
      </c>
      <c r="J137">
        <v>0</v>
      </c>
      <c r="K137">
        <v>0</v>
      </c>
      <c r="N137">
        <v>0</v>
      </c>
      <c r="O137">
        <v>0</v>
      </c>
    </row>
    <row r="138" spans="2:17">
      <c r="B138" t="s">
        <v>73</v>
      </c>
      <c r="C138">
        <v>3</v>
      </c>
      <c r="D138">
        <v>238352</v>
      </c>
      <c r="E138" t="s">
        <v>273</v>
      </c>
      <c r="F138" t="s">
        <v>274</v>
      </c>
      <c r="G138">
        <v>1</v>
      </c>
      <c r="J138">
        <v>0</v>
      </c>
      <c r="K138">
        <v>0</v>
      </c>
      <c r="N138">
        <v>0</v>
      </c>
      <c r="O138">
        <v>0</v>
      </c>
    </row>
    <row r="139" spans="2:17">
      <c r="B139" t="s">
        <v>73</v>
      </c>
      <c r="C139">
        <v>3</v>
      </c>
      <c r="D139">
        <v>163161</v>
      </c>
      <c r="E139" t="s">
        <v>275</v>
      </c>
      <c r="F139" t="s">
        <v>276</v>
      </c>
      <c r="G139">
        <v>4</v>
      </c>
      <c r="I139">
        <v>1988</v>
      </c>
      <c r="J139">
        <v>0</v>
      </c>
      <c r="K139">
        <v>0</v>
      </c>
      <c r="N139">
        <v>0</v>
      </c>
      <c r="O139">
        <v>0</v>
      </c>
    </row>
    <row r="140" spans="2:17">
      <c r="B140" t="s">
        <v>73</v>
      </c>
      <c r="C140">
        <v>3</v>
      </c>
      <c r="D140">
        <v>183638</v>
      </c>
      <c r="E140" t="s">
        <v>275</v>
      </c>
      <c r="F140" t="s">
        <v>277</v>
      </c>
      <c r="G140">
        <v>1</v>
      </c>
      <c r="J140">
        <v>0</v>
      </c>
      <c r="K140">
        <v>0</v>
      </c>
      <c r="N140">
        <v>0</v>
      </c>
      <c r="O140">
        <v>158</v>
      </c>
      <c r="P140">
        <v>8</v>
      </c>
      <c r="Q140">
        <v>1</v>
      </c>
    </row>
    <row r="141" spans="2:17">
      <c r="P141">
        <v>150</v>
      </c>
      <c r="Q141">
        <v>2</v>
      </c>
    </row>
    <row r="142" spans="2:17">
      <c r="B142" t="s">
        <v>73</v>
      </c>
      <c r="C142">
        <v>3</v>
      </c>
      <c r="D142">
        <v>199834</v>
      </c>
      <c r="E142" t="s">
        <v>275</v>
      </c>
      <c r="F142" t="s">
        <v>278</v>
      </c>
      <c r="G142">
        <v>1</v>
      </c>
      <c r="I142">
        <v>1988</v>
      </c>
      <c r="J142">
        <v>259</v>
      </c>
      <c r="K142">
        <v>39</v>
      </c>
      <c r="L142">
        <v>175</v>
      </c>
      <c r="M142">
        <v>1</v>
      </c>
      <c r="N142">
        <v>123</v>
      </c>
      <c r="O142">
        <v>643</v>
      </c>
      <c r="P142">
        <v>56</v>
      </c>
      <c r="Q142">
        <v>1</v>
      </c>
    </row>
    <row r="143" spans="2:17">
      <c r="P143">
        <v>587</v>
      </c>
      <c r="Q143">
        <v>2</v>
      </c>
    </row>
    <row r="144" spans="2:17">
      <c r="B144" t="s">
        <v>73</v>
      </c>
      <c r="C144">
        <v>3</v>
      </c>
      <c r="D144">
        <v>201550</v>
      </c>
      <c r="E144" t="s">
        <v>275</v>
      </c>
      <c r="F144" t="s">
        <v>279</v>
      </c>
      <c r="G144">
        <v>3</v>
      </c>
      <c r="I144">
        <v>1988</v>
      </c>
      <c r="J144">
        <v>0</v>
      </c>
      <c r="K144">
        <v>0</v>
      </c>
      <c r="N144">
        <v>0</v>
      </c>
      <c r="O144">
        <v>89</v>
      </c>
      <c r="P144">
        <v>89</v>
      </c>
      <c r="Q144">
        <v>2</v>
      </c>
    </row>
    <row r="145" spans="2:17">
      <c r="B145" t="s">
        <v>73</v>
      </c>
      <c r="C145">
        <v>3</v>
      </c>
      <c r="D145">
        <v>210199</v>
      </c>
      <c r="E145" t="s">
        <v>275</v>
      </c>
      <c r="F145" t="s">
        <v>280</v>
      </c>
      <c r="G145">
        <v>1</v>
      </c>
      <c r="J145">
        <v>63</v>
      </c>
      <c r="K145">
        <v>0</v>
      </c>
      <c r="N145">
        <v>63</v>
      </c>
      <c r="O145">
        <v>512</v>
      </c>
      <c r="P145">
        <v>28</v>
      </c>
      <c r="Q145">
        <v>1</v>
      </c>
    </row>
    <row r="146" spans="2:17">
      <c r="P146">
        <v>484</v>
      </c>
      <c r="Q146">
        <v>2</v>
      </c>
    </row>
    <row r="147" spans="2:17">
      <c r="B147" t="s">
        <v>73</v>
      </c>
      <c r="C147">
        <v>3</v>
      </c>
      <c r="D147">
        <v>210200</v>
      </c>
      <c r="E147" t="s">
        <v>275</v>
      </c>
      <c r="F147" t="s">
        <v>281</v>
      </c>
      <c r="G147">
        <v>6</v>
      </c>
      <c r="J147">
        <v>33</v>
      </c>
      <c r="K147">
        <v>0</v>
      </c>
      <c r="N147">
        <v>33</v>
      </c>
      <c r="O147">
        <v>336</v>
      </c>
      <c r="P147">
        <v>6</v>
      </c>
      <c r="Q147">
        <v>1</v>
      </c>
    </row>
    <row r="148" spans="2:17">
      <c r="P148">
        <v>330</v>
      </c>
      <c r="Q148">
        <v>2</v>
      </c>
    </row>
    <row r="149" spans="2:17">
      <c r="B149" t="s">
        <v>73</v>
      </c>
      <c r="C149">
        <v>3</v>
      </c>
      <c r="D149">
        <v>215622</v>
      </c>
      <c r="E149" t="s">
        <v>275</v>
      </c>
      <c r="F149" t="s">
        <v>281</v>
      </c>
      <c r="G149">
        <v>2</v>
      </c>
      <c r="J149">
        <v>98</v>
      </c>
      <c r="K149">
        <v>0</v>
      </c>
      <c r="N149">
        <v>98</v>
      </c>
      <c r="O149" s="160">
        <v>1851</v>
      </c>
      <c r="P149">
        <v>25</v>
      </c>
      <c r="Q149">
        <v>1</v>
      </c>
    </row>
    <row r="150" spans="2:17">
      <c r="P150" s="160">
        <v>1826</v>
      </c>
      <c r="Q150">
        <v>2</v>
      </c>
    </row>
    <row r="151" spans="2:17">
      <c r="B151" t="s">
        <v>73</v>
      </c>
      <c r="C151">
        <v>3</v>
      </c>
      <c r="D151">
        <v>216963</v>
      </c>
      <c r="E151" t="s">
        <v>275</v>
      </c>
      <c r="F151" t="s">
        <v>279</v>
      </c>
      <c r="G151">
        <v>5</v>
      </c>
      <c r="J151">
        <v>0</v>
      </c>
      <c r="K151">
        <v>0</v>
      </c>
      <c r="N151">
        <v>0</v>
      </c>
      <c r="O151">
        <v>0</v>
      </c>
    </row>
    <row r="152" spans="2:17">
      <c r="B152" t="s">
        <v>73</v>
      </c>
      <c r="C152">
        <v>3</v>
      </c>
      <c r="D152">
        <v>217825</v>
      </c>
      <c r="E152" t="s">
        <v>275</v>
      </c>
      <c r="F152" t="s">
        <v>279</v>
      </c>
      <c r="G152">
        <v>1</v>
      </c>
      <c r="J152">
        <v>0</v>
      </c>
      <c r="K152">
        <v>0</v>
      </c>
      <c r="N152">
        <v>0</v>
      </c>
      <c r="O152" s="160">
        <v>2717</v>
      </c>
      <c r="P152">
        <v>168</v>
      </c>
      <c r="Q152">
        <v>1</v>
      </c>
    </row>
    <row r="153" spans="2:17">
      <c r="P153" s="160">
        <v>2549</v>
      </c>
      <c r="Q153">
        <v>2</v>
      </c>
    </row>
    <row r="154" spans="2:17">
      <c r="B154" t="s">
        <v>90</v>
      </c>
      <c r="C154">
        <v>3</v>
      </c>
      <c r="D154">
        <v>11349</v>
      </c>
      <c r="E154" t="s">
        <v>282</v>
      </c>
      <c r="F154" t="s">
        <v>283</v>
      </c>
      <c r="J154">
        <v>204</v>
      </c>
      <c r="K154" s="160">
        <v>1190</v>
      </c>
      <c r="L154" s="160">
        <v>1169</v>
      </c>
      <c r="M154">
        <v>1</v>
      </c>
      <c r="N154">
        <v>225</v>
      </c>
      <c r="O154">
        <v>116</v>
      </c>
      <c r="P154">
        <v>116</v>
      </c>
      <c r="Q154">
        <v>1</v>
      </c>
    </row>
    <row r="155" spans="2:17">
      <c r="B155" t="s">
        <v>90</v>
      </c>
      <c r="C155">
        <v>3</v>
      </c>
      <c r="D155">
        <v>27162</v>
      </c>
      <c r="E155" t="s">
        <v>282</v>
      </c>
      <c r="F155" t="s">
        <v>284</v>
      </c>
      <c r="J155">
        <v>0</v>
      </c>
      <c r="K155">
        <v>0</v>
      </c>
      <c r="N155">
        <v>0</v>
      </c>
      <c r="O155">
        <v>0</v>
      </c>
    </row>
    <row r="156" spans="2:17">
      <c r="B156" t="s">
        <v>73</v>
      </c>
      <c r="C156">
        <v>3</v>
      </c>
      <c r="D156">
        <v>280832</v>
      </c>
      <c r="E156" t="s">
        <v>285</v>
      </c>
      <c r="F156" t="s">
        <v>286</v>
      </c>
      <c r="G156">
        <v>1</v>
      </c>
      <c r="J156">
        <v>48</v>
      </c>
      <c r="K156">
        <v>0</v>
      </c>
      <c r="N156">
        <v>48</v>
      </c>
      <c r="O156">
        <v>7</v>
      </c>
      <c r="P156">
        <v>7</v>
      </c>
      <c r="Q156">
        <v>2</v>
      </c>
    </row>
    <row r="157" spans="2:17">
      <c r="B157" t="s">
        <v>73</v>
      </c>
      <c r="C157">
        <v>3</v>
      </c>
      <c r="D157">
        <v>161374</v>
      </c>
      <c r="E157" t="s">
        <v>287</v>
      </c>
      <c r="F157" t="s">
        <v>288</v>
      </c>
      <c r="G157">
        <v>1</v>
      </c>
      <c r="J157">
        <v>234</v>
      </c>
      <c r="K157">
        <v>1</v>
      </c>
      <c r="N157">
        <v>235</v>
      </c>
      <c r="O157">
        <v>841</v>
      </c>
      <c r="P157">
        <v>87</v>
      </c>
      <c r="Q157">
        <v>1</v>
      </c>
    </row>
    <row r="158" spans="2:17">
      <c r="P158">
        <v>754</v>
      </c>
      <c r="Q158">
        <v>2</v>
      </c>
    </row>
    <row r="159" spans="2:17">
      <c r="B159" t="s">
        <v>90</v>
      </c>
      <c r="C159">
        <v>3</v>
      </c>
      <c r="D159">
        <v>19798</v>
      </c>
      <c r="E159" t="s">
        <v>289</v>
      </c>
      <c r="F159" t="s">
        <v>290</v>
      </c>
      <c r="J159">
        <v>70</v>
      </c>
      <c r="K159">
        <v>0</v>
      </c>
      <c r="N159">
        <v>70</v>
      </c>
      <c r="O159">
        <v>0</v>
      </c>
    </row>
    <row r="160" spans="2:17">
      <c r="B160" t="s">
        <v>90</v>
      </c>
      <c r="C160">
        <v>3</v>
      </c>
      <c r="D160">
        <v>25782</v>
      </c>
      <c r="E160" t="s">
        <v>291</v>
      </c>
      <c r="F160" t="s">
        <v>292</v>
      </c>
      <c r="J160">
        <v>199</v>
      </c>
      <c r="K160">
        <v>25</v>
      </c>
      <c r="N160">
        <v>224</v>
      </c>
      <c r="O160">
        <v>174</v>
      </c>
      <c r="P160">
        <v>174</v>
      </c>
      <c r="Q160">
        <v>2</v>
      </c>
    </row>
    <row r="161" spans="1:17">
      <c r="B161" t="s">
        <v>90</v>
      </c>
      <c r="C161">
        <v>3</v>
      </c>
      <c r="D161">
        <v>25785</v>
      </c>
      <c r="E161" t="s">
        <v>291</v>
      </c>
      <c r="F161" t="s">
        <v>286</v>
      </c>
      <c r="J161">
        <v>0</v>
      </c>
      <c r="K161">
        <v>0</v>
      </c>
      <c r="N161">
        <v>0</v>
      </c>
      <c r="O161">
        <v>0</v>
      </c>
    </row>
    <row r="162" spans="1:17">
      <c r="B162" t="s">
        <v>73</v>
      </c>
      <c r="C162">
        <v>3</v>
      </c>
      <c r="D162">
        <v>179674</v>
      </c>
      <c r="E162" t="s">
        <v>293</v>
      </c>
      <c r="F162" t="s">
        <v>294</v>
      </c>
      <c r="G162">
        <v>5</v>
      </c>
      <c r="J162">
        <v>0</v>
      </c>
      <c r="K162">
        <v>0</v>
      </c>
      <c r="N162">
        <v>0</v>
      </c>
      <c r="O162">
        <v>0</v>
      </c>
    </row>
    <row r="163" spans="1:17">
      <c r="B163" t="s">
        <v>90</v>
      </c>
      <c r="C163">
        <v>3</v>
      </c>
      <c r="D163">
        <v>24644</v>
      </c>
      <c r="E163" t="s">
        <v>295</v>
      </c>
      <c r="F163" t="s">
        <v>296</v>
      </c>
      <c r="J163">
        <v>215</v>
      </c>
      <c r="K163">
        <v>290</v>
      </c>
      <c r="L163">
        <v>334</v>
      </c>
      <c r="M163">
        <v>1</v>
      </c>
      <c r="N163">
        <v>171</v>
      </c>
      <c r="O163">
        <v>0</v>
      </c>
    </row>
    <row r="164" spans="1:17">
      <c r="B164" t="s">
        <v>73</v>
      </c>
      <c r="C164">
        <v>3</v>
      </c>
      <c r="D164">
        <v>129832</v>
      </c>
      <c r="E164" t="s">
        <v>295</v>
      </c>
      <c r="F164" t="s">
        <v>296</v>
      </c>
      <c r="G164">
        <v>3</v>
      </c>
      <c r="J164">
        <v>0</v>
      </c>
      <c r="K164">
        <v>0</v>
      </c>
      <c r="N164">
        <v>0</v>
      </c>
      <c r="O164">
        <v>0</v>
      </c>
    </row>
    <row r="165" spans="1:17">
      <c r="B165" t="s">
        <v>73</v>
      </c>
      <c r="C165">
        <v>3</v>
      </c>
      <c r="D165">
        <v>127418</v>
      </c>
      <c r="E165" t="s">
        <v>297</v>
      </c>
      <c r="F165" t="s">
        <v>296</v>
      </c>
      <c r="G165">
        <v>5</v>
      </c>
      <c r="J165">
        <v>0</v>
      </c>
      <c r="K165">
        <v>0</v>
      </c>
      <c r="N165">
        <v>0</v>
      </c>
      <c r="O165">
        <v>0</v>
      </c>
    </row>
    <row r="166" spans="1:17">
      <c r="B166" t="s">
        <v>73</v>
      </c>
      <c r="C166">
        <v>3</v>
      </c>
      <c r="D166">
        <v>128149</v>
      </c>
      <c r="E166" t="s">
        <v>297</v>
      </c>
      <c r="F166" t="s">
        <v>296</v>
      </c>
      <c r="G166">
        <v>4</v>
      </c>
      <c r="J166">
        <v>0</v>
      </c>
      <c r="K166">
        <v>0</v>
      </c>
      <c r="N166">
        <v>0</v>
      </c>
      <c r="O166">
        <v>0</v>
      </c>
    </row>
    <row r="167" spans="1:17">
      <c r="B167" t="s">
        <v>90</v>
      </c>
      <c r="C167">
        <v>3</v>
      </c>
      <c r="D167">
        <v>24414</v>
      </c>
      <c r="E167" t="s">
        <v>298</v>
      </c>
      <c r="F167" t="s">
        <v>299</v>
      </c>
      <c r="J167">
        <v>0</v>
      </c>
      <c r="K167">
        <v>0</v>
      </c>
      <c r="N167">
        <v>0</v>
      </c>
      <c r="O167">
        <v>0</v>
      </c>
    </row>
    <row r="168" spans="1:17">
      <c r="B168" t="s">
        <v>73</v>
      </c>
      <c r="C168">
        <v>3</v>
      </c>
      <c r="D168">
        <v>201104</v>
      </c>
      <c r="E168" t="s">
        <v>300</v>
      </c>
      <c r="F168" t="s">
        <v>301</v>
      </c>
      <c r="G168" t="s">
        <v>302</v>
      </c>
      <c r="J168">
        <v>0</v>
      </c>
      <c r="K168">
        <v>0</v>
      </c>
      <c r="N168">
        <v>0</v>
      </c>
      <c r="O168">
        <v>0</v>
      </c>
    </row>
    <row r="169" spans="1:17">
      <c r="B169" t="s">
        <v>90</v>
      </c>
      <c r="C169">
        <v>3</v>
      </c>
      <c r="D169">
        <v>22499</v>
      </c>
      <c r="E169" t="s">
        <v>303</v>
      </c>
      <c r="F169" t="s">
        <v>304</v>
      </c>
      <c r="J169">
        <v>0</v>
      </c>
      <c r="K169">
        <v>0</v>
      </c>
      <c r="N169">
        <v>0</v>
      </c>
      <c r="O169">
        <v>0</v>
      </c>
    </row>
    <row r="170" spans="1:17">
      <c r="B170" t="s">
        <v>73</v>
      </c>
      <c r="C170">
        <v>3</v>
      </c>
      <c r="D170">
        <v>200844</v>
      </c>
      <c r="E170" t="s">
        <v>305</v>
      </c>
      <c r="F170" t="s">
        <v>306</v>
      </c>
      <c r="G170">
        <v>1</v>
      </c>
      <c r="J170">
        <v>135</v>
      </c>
      <c r="K170">
        <v>0</v>
      </c>
      <c r="N170">
        <v>135</v>
      </c>
      <c r="O170">
        <v>0</v>
      </c>
    </row>
    <row r="171" spans="1:17">
      <c r="B171" t="s">
        <v>73</v>
      </c>
      <c r="C171">
        <v>3</v>
      </c>
      <c r="D171">
        <v>283360</v>
      </c>
      <c r="E171" t="s">
        <v>307</v>
      </c>
      <c r="F171" t="s">
        <v>182</v>
      </c>
      <c r="G171" t="s">
        <v>308</v>
      </c>
      <c r="J171">
        <v>134</v>
      </c>
      <c r="K171">
        <v>0</v>
      </c>
      <c r="N171">
        <v>134</v>
      </c>
      <c r="O171">
        <v>0</v>
      </c>
    </row>
    <row r="172" spans="1:17">
      <c r="B172" t="s">
        <v>90</v>
      </c>
      <c r="C172">
        <v>4</v>
      </c>
      <c r="D172">
        <v>13355</v>
      </c>
      <c r="E172" t="s">
        <v>309</v>
      </c>
      <c r="F172" t="s">
        <v>310</v>
      </c>
      <c r="J172">
        <v>111</v>
      </c>
      <c r="K172">
        <v>50</v>
      </c>
      <c r="N172">
        <v>161</v>
      </c>
      <c r="O172">
        <v>244</v>
      </c>
      <c r="P172">
        <v>244</v>
      </c>
      <c r="Q172">
        <v>2</v>
      </c>
    </row>
    <row r="173" spans="1:17">
      <c r="B173" t="s">
        <v>73</v>
      </c>
      <c r="C173">
        <v>4</v>
      </c>
      <c r="D173">
        <v>225615</v>
      </c>
      <c r="E173" t="s">
        <v>309</v>
      </c>
      <c r="F173" t="s">
        <v>311</v>
      </c>
      <c r="G173">
        <v>1</v>
      </c>
      <c r="J173">
        <v>0</v>
      </c>
      <c r="K173">
        <v>0</v>
      </c>
      <c r="N173">
        <v>0</v>
      </c>
      <c r="O173">
        <v>0</v>
      </c>
    </row>
    <row r="174" spans="1:17">
      <c r="B174" t="s">
        <v>73</v>
      </c>
      <c r="C174">
        <v>4</v>
      </c>
      <c r="D174">
        <v>115364</v>
      </c>
      <c r="E174" t="s">
        <v>312</v>
      </c>
      <c r="F174" t="s">
        <v>313</v>
      </c>
      <c r="G174">
        <v>1</v>
      </c>
      <c r="J174">
        <v>0</v>
      </c>
      <c r="K174">
        <v>0</v>
      </c>
      <c r="N174">
        <v>0</v>
      </c>
      <c r="O174">
        <v>0</v>
      </c>
    </row>
    <row r="175" spans="1:17">
      <c r="A175" t="s">
        <v>1141</v>
      </c>
      <c r="B175" t="s">
        <v>90</v>
      </c>
      <c r="C175">
        <v>4</v>
      </c>
      <c r="D175">
        <v>13410</v>
      </c>
      <c r="E175" t="s">
        <v>314</v>
      </c>
      <c r="F175" t="s">
        <v>315</v>
      </c>
      <c r="J175">
        <v>185</v>
      </c>
      <c r="K175">
        <v>0</v>
      </c>
      <c r="N175">
        <v>235</v>
      </c>
      <c r="O175">
        <v>0</v>
      </c>
    </row>
    <row r="176" spans="1:17">
      <c r="B176" t="s">
        <v>73</v>
      </c>
      <c r="C176">
        <v>4</v>
      </c>
      <c r="D176">
        <v>255120</v>
      </c>
      <c r="E176" t="s">
        <v>316</v>
      </c>
      <c r="F176" t="s">
        <v>317</v>
      </c>
      <c r="G176">
        <v>1</v>
      </c>
      <c r="J176">
        <v>0</v>
      </c>
      <c r="K176">
        <v>0</v>
      </c>
      <c r="N176">
        <v>0</v>
      </c>
      <c r="O176" s="160">
        <v>1458</v>
      </c>
      <c r="P176">
        <v>290</v>
      </c>
      <c r="Q176">
        <v>1</v>
      </c>
    </row>
    <row r="177" spans="2:17">
      <c r="P177" s="160">
        <v>1168</v>
      </c>
      <c r="Q177">
        <v>2</v>
      </c>
    </row>
    <row r="178" spans="2:17">
      <c r="B178" t="s">
        <v>73</v>
      </c>
      <c r="C178">
        <v>4</v>
      </c>
      <c r="D178">
        <v>39333</v>
      </c>
      <c r="E178" t="s">
        <v>318</v>
      </c>
      <c r="F178" t="s">
        <v>319</v>
      </c>
      <c r="G178">
        <v>1</v>
      </c>
      <c r="J178">
        <v>0</v>
      </c>
      <c r="K178">
        <v>0</v>
      </c>
      <c r="N178">
        <v>0</v>
      </c>
      <c r="O178">
        <v>0</v>
      </c>
    </row>
    <row r="179" spans="2:17">
      <c r="B179" t="s">
        <v>90</v>
      </c>
      <c r="C179">
        <v>4</v>
      </c>
      <c r="D179">
        <v>13726</v>
      </c>
      <c r="E179" t="s">
        <v>320</v>
      </c>
      <c r="F179" t="s">
        <v>321</v>
      </c>
      <c r="J179">
        <v>90</v>
      </c>
      <c r="K179">
        <v>0</v>
      </c>
      <c r="N179">
        <v>90</v>
      </c>
      <c r="O179">
        <v>0</v>
      </c>
    </row>
    <row r="180" spans="2:17">
      <c r="B180" t="s">
        <v>73</v>
      </c>
      <c r="C180">
        <v>4</v>
      </c>
      <c r="D180">
        <v>167923</v>
      </c>
      <c r="E180" t="s">
        <v>322</v>
      </c>
      <c r="F180" t="s">
        <v>323</v>
      </c>
      <c r="G180">
        <v>1</v>
      </c>
      <c r="J180">
        <v>0</v>
      </c>
      <c r="K180">
        <v>0</v>
      </c>
      <c r="N180">
        <v>0</v>
      </c>
      <c r="O180">
        <v>0</v>
      </c>
    </row>
    <row r="181" spans="2:17">
      <c r="B181" t="s">
        <v>90</v>
      </c>
      <c r="C181">
        <v>4</v>
      </c>
      <c r="D181">
        <v>12863</v>
      </c>
      <c r="E181" t="s">
        <v>324</v>
      </c>
      <c r="F181" t="s">
        <v>325</v>
      </c>
      <c r="J181">
        <v>0</v>
      </c>
      <c r="K181">
        <v>0</v>
      </c>
      <c r="N181">
        <v>0</v>
      </c>
      <c r="O181">
        <v>0</v>
      </c>
    </row>
    <row r="182" spans="2:17">
      <c r="B182" t="s">
        <v>73</v>
      </c>
      <c r="C182">
        <v>4</v>
      </c>
      <c r="D182">
        <v>244496</v>
      </c>
      <c r="E182" t="s">
        <v>326</v>
      </c>
      <c r="F182" t="s">
        <v>327</v>
      </c>
      <c r="G182">
        <v>1</v>
      </c>
      <c r="J182">
        <v>162</v>
      </c>
      <c r="K182">
        <v>0</v>
      </c>
      <c r="N182">
        <v>162</v>
      </c>
      <c r="O182" s="160">
        <v>11857</v>
      </c>
      <c r="P182">
        <v>261</v>
      </c>
      <c r="Q182">
        <v>1</v>
      </c>
    </row>
    <row r="183" spans="2:17">
      <c r="P183" s="160">
        <v>11596</v>
      </c>
      <c r="Q183">
        <v>2</v>
      </c>
    </row>
    <row r="184" spans="2:17">
      <c r="B184" t="s">
        <v>73</v>
      </c>
      <c r="C184">
        <v>4</v>
      </c>
      <c r="D184">
        <v>248176</v>
      </c>
      <c r="E184" t="s">
        <v>326</v>
      </c>
      <c r="F184" t="s">
        <v>327</v>
      </c>
      <c r="G184">
        <v>2</v>
      </c>
      <c r="J184">
        <v>0</v>
      </c>
      <c r="K184">
        <v>0</v>
      </c>
      <c r="N184">
        <v>0</v>
      </c>
      <c r="O184" s="160">
        <v>2613</v>
      </c>
      <c r="P184">
        <v>58</v>
      </c>
      <c r="Q184">
        <v>1</v>
      </c>
    </row>
    <row r="185" spans="2:17">
      <c r="P185" s="160">
        <v>2555</v>
      </c>
      <c r="Q185">
        <v>2</v>
      </c>
    </row>
    <row r="186" spans="2:17">
      <c r="B186" t="s">
        <v>73</v>
      </c>
      <c r="C186">
        <v>4</v>
      </c>
      <c r="D186">
        <v>250087</v>
      </c>
      <c r="E186" t="s">
        <v>326</v>
      </c>
      <c r="F186" t="s">
        <v>328</v>
      </c>
      <c r="G186">
        <v>1</v>
      </c>
      <c r="J186">
        <v>24</v>
      </c>
      <c r="K186">
        <v>0</v>
      </c>
      <c r="N186">
        <v>24</v>
      </c>
      <c r="O186" s="160">
        <v>7496</v>
      </c>
      <c r="P186">
        <v>301</v>
      </c>
      <c r="Q186">
        <v>1</v>
      </c>
    </row>
    <row r="187" spans="2:17">
      <c r="P187" s="160">
        <v>7195</v>
      </c>
      <c r="Q187">
        <v>2</v>
      </c>
    </row>
    <row r="188" spans="2:17">
      <c r="B188" t="s">
        <v>73</v>
      </c>
      <c r="C188">
        <v>4</v>
      </c>
      <c r="D188">
        <v>255119</v>
      </c>
      <c r="E188" t="s">
        <v>326</v>
      </c>
      <c r="F188" t="s">
        <v>327</v>
      </c>
      <c r="G188">
        <v>3</v>
      </c>
      <c r="J188">
        <v>0</v>
      </c>
      <c r="K188">
        <v>0</v>
      </c>
      <c r="N188">
        <v>0</v>
      </c>
      <c r="O188">
        <v>234</v>
      </c>
      <c r="P188">
        <v>9</v>
      </c>
      <c r="Q188">
        <v>1</v>
      </c>
    </row>
    <row r="189" spans="2:17">
      <c r="P189">
        <v>225</v>
      </c>
      <c r="Q189">
        <v>2</v>
      </c>
    </row>
    <row r="190" spans="2:17">
      <c r="B190" t="s">
        <v>90</v>
      </c>
      <c r="C190">
        <v>4</v>
      </c>
      <c r="D190">
        <v>12696</v>
      </c>
      <c r="E190" t="s">
        <v>329</v>
      </c>
      <c r="F190" t="s">
        <v>330</v>
      </c>
      <c r="J190">
        <v>47</v>
      </c>
      <c r="K190">
        <v>0</v>
      </c>
      <c r="N190">
        <v>47</v>
      </c>
      <c r="O190">
        <v>0</v>
      </c>
    </row>
    <row r="191" spans="2:17">
      <c r="B191" t="s">
        <v>90</v>
      </c>
      <c r="C191">
        <v>4</v>
      </c>
      <c r="D191">
        <v>13742</v>
      </c>
      <c r="E191" t="s">
        <v>331</v>
      </c>
      <c r="F191" t="s">
        <v>332</v>
      </c>
      <c r="J191">
        <v>52</v>
      </c>
      <c r="K191">
        <v>0</v>
      </c>
      <c r="N191">
        <v>52</v>
      </c>
      <c r="O191">
        <v>0</v>
      </c>
    </row>
    <row r="192" spans="2:17">
      <c r="B192" t="s">
        <v>73</v>
      </c>
      <c r="C192">
        <v>4</v>
      </c>
      <c r="D192">
        <v>54242</v>
      </c>
      <c r="E192" t="s">
        <v>333</v>
      </c>
      <c r="F192" t="s">
        <v>334</v>
      </c>
      <c r="G192">
        <v>2</v>
      </c>
      <c r="J192">
        <v>0</v>
      </c>
      <c r="K192">
        <v>0</v>
      </c>
      <c r="N192">
        <v>0</v>
      </c>
      <c r="O192">
        <v>0</v>
      </c>
    </row>
    <row r="193" spans="2:17">
      <c r="B193" t="s">
        <v>90</v>
      </c>
      <c r="C193">
        <v>4</v>
      </c>
      <c r="D193">
        <v>10325</v>
      </c>
      <c r="E193" t="s">
        <v>335</v>
      </c>
      <c r="F193" t="s">
        <v>336</v>
      </c>
      <c r="J193">
        <v>62</v>
      </c>
      <c r="K193">
        <v>1</v>
      </c>
      <c r="N193">
        <v>63</v>
      </c>
      <c r="O193">
        <v>0</v>
      </c>
    </row>
    <row r="194" spans="2:17">
      <c r="B194" t="s">
        <v>90</v>
      </c>
      <c r="C194">
        <v>4</v>
      </c>
      <c r="D194">
        <v>10563</v>
      </c>
      <c r="E194" t="s">
        <v>335</v>
      </c>
      <c r="F194" t="s">
        <v>337</v>
      </c>
      <c r="J194">
        <v>69</v>
      </c>
      <c r="K194">
        <v>0</v>
      </c>
      <c r="N194">
        <v>69</v>
      </c>
      <c r="O194">
        <v>0</v>
      </c>
    </row>
    <row r="195" spans="2:17">
      <c r="B195" t="s">
        <v>73</v>
      </c>
      <c r="C195">
        <v>4</v>
      </c>
      <c r="D195">
        <v>212342</v>
      </c>
      <c r="E195" t="s">
        <v>338</v>
      </c>
      <c r="F195" t="s">
        <v>339</v>
      </c>
      <c r="G195">
        <v>2</v>
      </c>
      <c r="J195">
        <v>0</v>
      </c>
      <c r="K195">
        <v>0</v>
      </c>
      <c r="N195">
        <v>0</v>
      </c>
      <c r="O195">
        <v>0</v>
      </c>
    </row>
    <row r="196" spans="2:17">
      <c r="B196" t="s">
        <v>73</v>
      </c>
      <c r="C196">
        <v>4</v>
      </c>
      <c r="D196">
        <v>213792</v>
      </c>
      <c r="E196" t="s">
        <v>338</v>
      </c>
      <c r="F196" t="s">
        <v>339</v>
      </c>
      <c r="G196">
        <v>1</v>
      </c>
      <c r="J196">
        <v>43</v>
      </c>
      <c r="K196">
        <v>0</v>
      </c>
      <c r="N196">
        <v>43</v>
      </c>
      <c r="O196">
        <v>0</v>
      </c>
    </row>
    <row r="197" spans="2:17">
      <c r="B197" t="s">
        <v>73</v>
      </c>
      <c r="C197">
        <v>4</v>
      </c>
      <c r="D197">
        <v>173434</v>
      </c>
      <c r="E197" t="s">
        <v>340</v>
      </c>
      <c r="F197" t="s">
        <v>341</v>
      </c>
      <c r="G197">
        <v>2</v>
      </c>
      <c r="J197">
        <v>169</v>
      </c>
      <c r="K197">
        <v>0</v>
      </c>
      <c r="N197">
        <v>169</v>
      </c>
      <c r="O197">
        <v>165</v>
      </c>
      <c r="P197">
        <v>165</v>
      </c>
      <c r="Q197">
        <v>2</v>
      </c>
    </row>
    <row r="198" spans="2:17">
      <c r="B198" t="s">
        <v>73</v>
      </c>
      <c r="C198">
        <v>4</v>
      </c>
      <c r="D198">
        <v>252973</v>
      </c>
      <c r="E198" t="s">
        <v>342</v>
      </c>
      <c r="F198" t="s">
        <v>343</v>
      </c>
      <c r="G198">
        <v>1</v>
      </c>
      <c r="J198">
        <v>93</v>
      </c>
      <c r="K198">
        <v>0</v>
      </c>
      <c r="N198">
        <v>93</v>
      </c>
      <c r="O198">
        <v>0</v>
      </c>
    </row>
    <row r="199" spans="2:17">
      <c r="B199" t="s">
        <v>73</v>
      </c>
      <c r="C199">
        <v>4</v>
      </c>
      <c r="D199">
        <v>201238</v>
      </c>
      <c r="E199" t="s">
        <v>344</v>
      </c>
      <c r="F199" t="s">
        <v>345</v>
      </c>
      <c r="G199" t="s">
        <v>346</v>
      </c>
      <c r="J199">
        <v>84</v>
      </c>
      <c r="K199">
        <v>8</v>
      </c>
      <c r="N199">
        <v>92</v>
      </c>
      <c r="O199" s="160">
        <v>2827</v>
      </c>
      <c r="P199" s="160">
        <v>2827</v>
      </c>
      <c r="Q199">
        <v>2</v>
      </c>
    </row>
    <row r="200" spans="2:17">
      <c r="B200" t="s">
        <v>73</v>
      </c>
      <c r="C200">
        <v>4</v>
      </c>
      <c r="D200">
        <v>242290</v>
      </c>
      <c r="E200" t="s">
        <v>347</v>
      </c>
      <c r="F200" t="s">
        <v>345</v>
      </c>
      <c r="G200">
        <v>20</v>
      </c>
      <c r="J200">
        <v>0</v>
      </c>
      <c r="K200">
        <v>0</v>
      </c>
      <c r="N200">
        <v>0</v>
      </c>
      <c r="O200">
        <v>0</v>
      </c>
    </row>
    <row r="201" spans="2:17">
      <c r="B201" t="s">
        <v>73</v>
      </c>
      <c r="C201">
        <v>4</v>
      </c>
      <c r="D201">
        <v>198253</v>
      </c>
      <c r="E201" t="s">
        <v>348</v>
      </c>
      <c r="F201" t="s">
        <v>345</v>
      </c>
      <c r="G201" t="s">
        <v>349</v>
      </c>
      <c r="J201">
        <v>0</v>
      </c>
      <c r="K201">
        <v>0</v>
      </c>
      <c r="N201">
        <v>0</v>
      </c>
      <c r="O201">
        <v>0</v>
      </c>
    </row>
    <row r="202" spans="2:17">
      <c r="B202" t="s">
        <v>73</v>
      </c>
      <c r="C202">
        <v>4</v>
      </c>
      <c r="D202">
        <v>159856</v>
      </c>
      <c r="E202" t="s">
        <v>350</v>
      </c>
      <c r="F202" t="s">
        <v>345</v>
      </c>
      <c r="G202" t="s">
        <v>351</v>
      </c>
      <c r="J202">
        <v>0</v>
      </c>
      <c r="K202">
        <v>0</v>
      </c>
      <c r="N202">
        <v>0</v>
      </c>
      <c r="O202">
        <v>0</v>
      </c>
    </row>
    <row r="203" spans="2:17">
      <c r="B203" t="s">
        <v>73</v>
      </c>
      <c r="C203">
        <v>4</v>
      </c>
      <c r="D203">
        <v>162080</v>
      </c>
      <c r="E203" t="s">
        <v>352</v>
      </c>
      <c r="F203" t="s">
        <v>353</v>
      </c>
      <c r="G203">
        <v>14</v>
      </c>
      <c r="J203">
        <v>3</v>
      </c>
      <c r="K203">
        <v>0</v>
      </c>
      <c r="N203">
        <v>3</v>
      </c>
      <c r="O203">
        <v>324</v>
      </c>
      <c r="P203">
        <v>324</v>
      </c>
      <c r="Q203">
        <v>2</v>
      </c>
    </row>
    <row r="204" spans="2:17">
      <c r="B204" t="s">
        <v>73</v>
      </c>
      <c r="C204">
        <v>4</v>
      </c>
      <c r="D204">
        <v>11877</v>
      </c>
      <c r="E204" t="s">
        <v>354</v>
      </c>
      <c r="F204" t="s">
        <v>355</v>
      </c>
      <c r="G204">
        <v>1</v>
      </c>
      <c r="J204">
        <v>0</v>
      </c>
      <c r="K204">
        <v>0</v>
      </c>
      <c r="N204">
        <v>0</v>
      </c>
      <c r="O204">
        <v>224</v>
      </c>
      <c r="P204">
        <v>224</v>
      </c>
      <c r="Q204">
        <v>2</v>
      </c>
    </row>
    <row r="205" spans="2:17">
      <c r="B205" t="s">
        <v>73</v>
      </c>
      <c r="C205">
        <v>4</v>
      </c>
      <c r="D205">
        <v>11885</v>
      </c>
      <c r="E205" t="s">
        <v>354</v>
      </c>
      <c r="F205" t="s">
        <v>356</v>
      </c>
      <c r="G205">
        <v>2</v>
      </c>
      <c r="J205">
        <v>0</v>
      </c>
      <c r="K205">
        <v>0</v>
      </c>
      <c r="N205">
        <v>0</v>
      </c>
      <c r="O205">
        <v>901</v>
      </c>
      <c r="P205">
        <v>901</v>
      </c>
      <c r="Q205">
        <v>2</v>
      </c>
    </row>
    <row r="206" spans="2:17">
      <c r="B206" t="s">
        <v>73</v>
      </c>
      <c r="C206">
        <v>4</v>
      </c>
      <c r="D206">
        <v>191863</v>
      </c>
      <c r="E206" t="s">
        <v>354</v>
      </c>
      <c r="F206" t="s">
        <v>357</v>
      </c>
      <c r="G206">
        <v>3</v>
      </c>
      <c r="J206">
        <v>0</v>
      </c>
      <c r="K206">
        <v>0</v>
      </c>
      <c r="N206">
        <v>0</v>
      </c>
      <c r="O206">
        <v>0</v>
      </c>
    </row>
    <row r="207" spans="2:17">
      <c r="B207" t="s">
        <v>73</v>
      </c>
      <c r="C207">
        <v>4</v>
      </c>
      <c r="D207">
        <v>194224</v>
      </c>
      <c r="E207" t="s">
        <v>358</v>
      </c>
      <c r="F207" t="s">
        <v>359</v>
      </c>
      <c r="G207">
        <v>2</v>
      </c>
      <c r="J207">
        <v>279</v>
      </c>
      <c r="K207">
        <v>13</v>
      </c>
      <c r="N207">
        <v>292</v>
      </c>
      <c r="O207" s="160">
        <v>1993</v>
      </c>
      <c r="P207">
        <v>66</v>
      </c>
      <c r="Q207">
        <v>1</v>
      </c>
    </row>
    <row r="208" spans="2:17">
      <c r="P208" s="160">
        <v>1927</v>
      </c>
      <c r="Q208">
        <v>2</v>
      </c>
    </row>
    <row r="209" spans="2:17">
      <c r="B209" t="s">
        <v>73</v>
      </c>
      <c r="C209">
        <v>4</v>
      </c>
      <c r="D209">
        <v>127818</v>
      </c>
      <c r="E209" t="s">
        <v>360</v>
      </c>
      <c r="F209" t="s">
        <v>361</v>
      </c>
      <c r="G209">
        <v>1</v>
      </c>
      <c r="J209">
        <v>166</v>
      </c>
      <c r="K209">
        <v>0</v>
      </c>
      <c r="N209">
        <v>166</v>
      </c>
      <c r="O209">
        <v>0</v>
      </c>
    </row>
    <row r="210" spans="2:17">
      <c r="B210" t="s">
        <v>73</v>
      </c>
      <c r="C210">
        <v>4</v>
      </c>
      <c r="D210">
        <v>276012</v>
      </c>
      <c r="E210" t="s">
        <v>362</v>
      </c>
      <c r="F210" t="s">
        <v>363</v>
      </c>
      <c r="G210" t="s">
        <v>364</v>
      </c>
      <c r="I210">
        <v>5050</v>
      </c>
      <c r="J210">
        <v>36</v>
      </c>
      <c r="K210">
        <v>0</v>
      </c>
      <c r="N210">
        <v>36</v>
      </c>
      <c r="O210" s="160">
        <v>3001</v>
      </c>
      <c r="P210" s="160">
        <v>3001</v>
      </c>
      <c r="Q210">
        <v>2</v>
      </c>
    </row>
    <row r="211" spans="2:17">
      <c r="B211" t="s">
        <v>73</v>
      </c>
      <c r="C211">
        <v>4</v>
      </c>
      <c r="D211">
        <v>192315</v>
      </c>
      <c r="E211" t="s">
        <v>365</v>
      </c>
      <c r="F211" t="s">
        <v>366</v>
      </c>
      <c r="G211">
        <v>2</v>
      </c>
      <c r="J211">
        <v>0</v>
      </c>
      <c r="K211">
        <v>0</v>
      </c>
      <c r="N211">
        <v>0</v>
      </c>
      <c r="O211">
        <v>0</v>
      </c>
    </row>
    <row r="212" spans="2:17">
      <c r="B212" t="s">
        <v>73</v>
      </c>
      <c r="C212">
        <v>4</v>
      </c>
      <c r="D212">
        <v>140637</v>
      </c>
      <c r="E212" t="s">
        <v>367</v>
      </c>
      <c r="F212" t="s">
        <v>368</v>
      </c>
      <c r="G212">
        <v>1</v>
      </c>
      <c r="J212">
        <v>92</v>
      </c>
      <c r="K212">
        <v>0</v>
      </c>
      <c r="N212">
        <v>92</v>
      </c>
      <c r="O212">
        <v>0</v>
      </c>
    </row>
    <row r="213" spans="2:17">
      <c r="B213" t="s">
        <v>73</v>
      </c>
      <c r="C213">
        <v>4</v>
      </c>
      <c r="D213">
        <v>120373</v>
      </c>
      <c r="E213" t="s">
        <v>369</v>
      </c>
      <c r="F213" t="s">
        <v>370</v>
      </c>
      <c r="G213">
        <v>1</v>
      </c>
      <c r="J213">
        <v>0</v>
      </c>
      <c r="K213">
        <v>0</v>
      </c>
      <c r="N213">
        <v>0</v>
      </c>
      <c r="O213">
        <v>0</v>
      </c>
    </row>
    <row r="214" spans="2:17">
      <c r="B214" t="s">
        <v>90</v>
      </c>
      <c r="C214">
        <v>4</v>
      </c>
      <c r="D214">
        <v>14061</v>
      </c>
      <c r="E214" t="s">
        <v>371</v>
      </c>
      <c r="F214" t="s">
        <v>372</v>
      </c>
      <c r="J214">
        <v>124</v>
      </c>
      <c r="K214">
        <v>238</v>
      </c>
      <c r="L214">
        <v>185</v>
      </c>
      <c r="M214">
        <v>1</v>
      </c>
      <c r="N214">
        <v>177</v>
      </c>
      <c r="O214">
        <v>0</v>
      </c>
    </row>
    <row r="215" spans="2:17">
      <c r="B215" t="s">
        <v>73</v>
      </c>
      <c r="C215">
        <v>4</v>
      </c>
      <c r="D215">
        <v>195786</v>
      </c>
      <c r="E215" t="s">
        <v>373</v>
      </c>
      <c r="F215" t="s">
        <v>374</v>
      </c>
      <c r="G215">
        <v>2</v>
      </c>
      <c r="J215">
        <v>0</v>
      </c>
      <c r="K215">
        <v>0</v>
      </c>
      <c r="N215">
        <v>0</v>
      </c>
      <c r="O215">
        <v>0</v>
      </c>
    </row>
    <row r="216" spans="2:17">
      <c r="B216" t="s">
        <v>73</v>
      </c>
      <c r="C216">
        <v>4</v>
      </c>
      <c r="D216">
        <v>226100</v>
      </c>
      <c r="E216" t="s">
        <v>375</v>
      </c>
      <c r="F216" t="s">
        <v>339</v>
      </c>
      <c r="G216">
        <v>5</v>
      </c>
      <c r="J216">
        <v>0</v>
      </c>
      <c r="K216">
        <v>0</v>
      </c>
      <c r="N216">
        <v>0</v>
      </c>
      <c r="O216">
        <v>29</v>
      </c>
      <c r="P216">
        <v>29</v>
      </c>
      <c r="Q216">
        <v>1</v>
      </c>
    </row>
    <row r="217" spans="2:17">
      <c r="B217" t="s">
        <v>73</v>
      </c>
      <c r="C217">
        <v>4</v>
      </c>
      <c r="D217">
        <v>233961</v>
      </c>
      <c r="E217" t="s">
        <v>375</v>
      </c>
      <c r="F217" t="s">
        <v>339</v>
      </c>
      <c r="G217">
        <v>3</v>
      </c>
      <c r="J217">
        <v>0</v>
      </c>
      <c r="K217">
        <v>0</v>
      </c>
      <c r="N217">
        <v>0</v>
      </c>
      <c r="O217">
        <v>116</v>
      </c>
      <c r="P217">
        <v>116</v>
      </c>
      <c r="Q217">
        <v>1</v>
      </c>
    </row>
    <row r="218" spans="2:17">
      <c r="B218" t="s">
        <v>73</v>
      </c>
      <c r="C218">
        <v>4</v>
      </c>
      <c r="D218">
        <v>142434</v>
      </c>
      <c r="E218" t="s">
        <v>376</v>
      </c>
      <c r="F218" t="s">
        <v>377</v>
      </c>
      <c r="G218">
        <v>2</v>
      </c>
      <c r="J218">
        <v>49</v>
      </c>
      <c r="K218">
        <v>0</v>
      </c>
      <c r="N218">
        <v>49</v>
      </c>
      <c r="O218">
        <v>0</v>
      </c>
    </row>
    <row r="219" spans="2:17">
      <c r="B219" t="s">
        <v>73</v>
      </c>
      <c r="C219">
        <v>4</v>
      </c>
      <c r="D219">
        <v>142269</v>
      </c>
      <c r="E219" t="s">
        <v>378</v>
      </c>
      <c r="F219" t="s">
        <v>379</v>
      </c>
      <c r="G219">
        <v>1</v>
      </c>
      <c r="J219">
        <v>0</v>
      </c>
      <c r="K219">
        <v>0</v>
      </c>
      <c r="N219">
        <v>0</v>
      </c>
      <c r="O219">
        <v>0</v>
      </c>
    </row>
    <row r="220" spans="2:17">
      <c r="B220" t="s">
        <v>90</v>
      </c>
      <c r="C220">
        <v>4</v>
      </c>
      <c r="D220">
        <v>12803</v>
      </c>
      <c r="E220" t="s">
        <v>380</v>
      </c>
      <c r="F220" t="s">
        <v>381</v>
      </c>
      <c r="J220">
        <v>0</v>
      </c>
      <c r="K220">
        <v>0</v>
      </c>
      <c r="N220">
        <v>0</v>
      </c>
      <c r="O220">
        <v>0</v>
      </c>
    </row>
    <row r="221" spans="2:17">
      <c r="B221" t="s">
        <v>90</v>
      </c>
      <c r="C221">
        <v>4</v>
      </c>
      <c r="D221">
        <v>3212</v>
      </c>
      <c r="E221" t="s">
        <v>382</v>
      </c>
      <c r="F221" t="s">
        <v>383</v>
      </c>
      <c r="I221">
        <v>6114</v>
      </c>
      <c r="J221">
        <v>25</v>
      </c>
      <c r="K221">
        <v>102</v>
      </c>
      <c r="N221">
        <v>127</v>
      </c>
      <c r="O221">
        <v>88</v>
      </c>
      <c r="P221">
        <v>88</v>
      </c>
      <c r="Q221">
        <v>1</v>
      </c>
    </row>
    <row r="222" spans="2:17">
      <c r="B222" t="s">
        <v>90</v>
      </c>
      <c r="C222">
        <v>4</v>
      </c>
      <c r="D222">
        <v>8717</v>
      </c>
      <c r="E222" t="s">
        <v>382</v>
      </c>
      <c r="F222" t="s">
        <v>384</v>
      </c>
      <c r="J222">
        <v>0</v>
      </c>
      <c r="K222">
        <v>0</v>
      </c>
      <c r="N222">
        <v>0</v>
      </c>
      <c r="O222">
        <v>0</v>
      </c>
    </row>
    <row r="223" spans="2:17">
      <c r="B223" t="s">
        <v>73</v>
      </c>
      <c r="C223">
        <v>4</v>
      </c>
      <c r="D223">
        <v>190124</v>
      </c>
      <c r="E223" t="s">
        <v>385</v>
      </c>
      <c r="F223" t="s">
        <v>386</v>
      </c>
      <c r="G223">
        <v>4</v>
      </c>
      <c r="J223">
        <v>0</v>
      </c>
      <c r="K223">
        <v>0</v>
      </c>
      <c r="N223">
        <v>0</v>
      </c>
      <c r="O223">
        <v>0</v>
      </c>
    </row>
    <row r="224" spans="2:17">
      <c r="B224" t="s">
        <v>90</v>
      </c>
      <c r="C224">
        <v>4</v>
      </c>
      <c r="D224">
        <v>13668</v>
      </c>
      <c r="E224" t="s">
        <v>387</v>
      </c>
      <c r="F224" t="s">
        <v>388</v>
      </c>
      <c r="I224">
        <v>6114</v>
      </c>
      <c r="J224">
        <v>0</v>
      </c>
      <c r="K224">
        <v>0</v>
      </c>
      <c r="N224">
        <v>0</v>
      </c>
      <c r="O224">
        <v>0</v>
      </c>
    </row>
    <row r="225" spans="1:17">
      <c r="B225" t="s">
        <v>90</v>
      </c>
      <c r="C225">
        <v>4</v>
      </c>
      <c r="D225">
        <v>13664</v>
      </c>
      <c r="E225" t="s">
        <v>389</v>
      </c>
      <c r="F225" t="s">
        <v>390</v>
      </c>
      <c r="J225">
        <v>64</v>
      </c>
      <c r="K225">
        <v>0</v>
      </c>
      <c r="N225">
        <v>64</v>
      </c>
      <c r="O225">
        <v>0</v>
      </c>
    </row>
    <row r="226" spans="1:17">
      <c r="B226" t="s">
        <v>73</v>
      </c>
      <c r="C226">
        <v>4</v>
      </c>
      <c r="D226">
        <v>66093</v>
      </c>
      <c r="E226" t="s">
        <v>391</v>
      </c>
      <c r="F226" t="s">
        <v>386</v>
      </c>
      <c r="G226" t="s">
        <v>392</v>
      </c>
      <c r="I226">
        <v>5050</v>
      </c>
      <c r="J226">
        <v>51</v>
      </c>
      <c r="K226">
        <v>129</v>
      </c>
      <c r="N226">
        <v>180</v>
      </c>
      <c r="O226" s="160">
        <v>2301</v>
      </c>
      <c r="P226">
        <v>100</v>
      </c>
      <c r="Q226">
        <v>1</v>
      </c>
    </row>
    <row r="227" spans="1:17">
      <c r="P227" s="160">
        <v>2201</v>
      </c>
      <c r="Q227">
        <v>2</v>
      </c>
    </row>
    <row r="228" spans="1:17" ht="13" thickBot="1">
      <c r="B228" t="s">
        <v>90</v>
      </c>
      <c r="C228">
        <v>4</v>
      </c>
      <c r="D228">
        <v>12360</v>
      </c>
      <c r="E228" t="s">
        <v>393</v>
      </c>
      <c r="F228" t="s">
        <v>394</v>
      </c>
      <c r="J228">
        <v>63</v>
      </c>
      <c r="K228">
        <v>0</v>
      </c>
      <c r="N228">
        <v>63</v>
      </c>
      <c r="O228">
        <v>0</v>
      </c>
    </row>
    <row r="229" spans="1:17" ht="15" thickTop="1">
      <c r="A229" s="269" t="s">
        <v>626</v>
      </c>
      <c r="B229" s="249"/>
      <c r="C229" s="249"/>
      <c r="D229" s="249"/>
      <c r="E229" s="249">
        <f>SUBTOTAL(103,Table1[Field Name])</f>
        <v>189</v>
      </c>
      <c r="F229" s="249">
        <f>SUBTOTAL(103,Table1[Lease Name])</f>
        <v>189</v>
      </c>
      <c r="G229" s="249"/>
      <c r="H229" s="249"/>
      <c r="I229" s="249"/>
      <c r="J229" s="270">
        <f>SUBTOTAL(109,Table1[On Hand Beginning of Month])</f>
        <v>13489</v>
      </c>
      <c r="K229" s="249">
        <f>SUBTOTAL(109,Table1[Production])</f>
        <v>14550</v>
      </c>
      <c r="L229" s="249">
        <f>SUBTOTAL(109,Table1[Volume])</f>
        <v>14387</v>
      </c>
      <c r="M229" s="249"/>
      <c r="N229" s="249">
        <f>SUBTOTAL(109,Table1[On Hand End of Month])</f>
        <v>13702</v>
      </c>
      <c r="O229" s="270">
        <f>SUBTOTAL(109,Table1[Formation Production])</f>
        <v>247182</v>
      </c>
      <c r="P229" s="249">
        <f>SUBTOTAL(109,Table1[Volume2])</f>
        <v>247182</v>
      </c>
      <c r="Q229" s="271"/>
    </row>
  </sheetData>
  <pageMargins left="0.7" right="0.7" top="0.75" bottom="0.75" header="0.3" footer="0.3"/>
  <pageSetup orientation="portrait" horizontalDpi="1200" verticalDpi="120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4:J7"/>
  <sheetViews>
    <sheetView workbookViewId="0">
      <selection activeCell="J16" sqref="J16"/>
    </sheetView>
  </sheetViews>
  <sheetFormatPr baseColWidth="10" defaultRowHeight="12" x14ac:dyDescent="0"/>
  <cols>
    <col min="3" max="3" width="21.33203125" customWidth="1"/>
    <col min="4" max="4" width="14.6640625" bestFit="1" customWidth="1"/>
    <col min="9" max="9" width="36.83203125" customWidth="1"/>
  </cols>
  <sheetData>
    <row r="4" spans="2:10" ht="36">
      <c r="B4" s="229" t="s">
        <v>1117</v>
      </c>
      <c r="C4" s="230" t="s">
        <v>47</v>
      </c>
      <c r="D4" s="230" t="s">
        <v>48</v>
      </c>
      <c r="E4" s="230" t="s">
        <v>605</v>
      </c>
      <c r="F4" s="230" t="s">
        <v>7</v>
      </c>
      <c r="G4" s="230" t="s">
        <v>8</v>
      </c>
      <c r="H4" s="241" t="s">
        <v>603</v>
      </c>
      <c r="I4" s="230" t="s">
        <v>1283</v>
      </c>
      <c r="J4" s="257" t="s">
        <v>1284</v>
      </c>
    </row>
    <row r="5" spans="2:10" ht="28">
      <c r="B5" s="235" t="e">
        <v>#N/A</v>
      </c>
      <c r="C5" s="236" t="s">
        <v>85</v>
      </c>
      <c r="D5" s="237" t="s">
        <v>87</v>
      </c>
      <c r="E5" s="238">
        <v>1</v>
      </c>
      <c r="F5" s="242" t="s">
        <v>618</v>
      </c>
      <c r="G5" s="242" t="s">
        <v>59</v>
      </c>
      <c r="H5" s="243" t="s">
        <v>421</v>
      </c>
      <c r="I5" s="240" t="s">
        <v>1281</v>
      </c>
      <c r="J5" s="258">
        <v>43862</v>
      </c>
    </row>
    <row r="6" spans="2:10" ht="28">
      <c r="B6" s="234" t="e">
        <v>#N/A</v>
      </c>
      <c r="C6" s="231" t="s">
        <v>186</v>
      </c>
      <c r="D6" s="232" t="s">
        <v>187</v>
      </c>
      <c r="E6" s="233">
        <v>1</v>
      </c>
      <c r="F6" s="244" t="s">
        <v>619</v>
      </c>
      <c r="G6" s="244" t="s">
        <v>59</v>
      </c>
      <c r="H6" s="245" t="s">
        <v>482</v>
      </c>
      <c r="I6" s="239" t="s">
        <v>1281</v>
      </c>
      <c r="J6" s="258">
        <v>43862</v>
      </c>
    </row>
    <row r="7" spans="2:10" ht="28">
      <c r="B7" s="235" t="e">
        <v>#N/A</v>
      </c>
      <c r="C7" s="236" t="s">
        <v>210</v>
      </c>
      <c r="D7" s="237" t="s">
        <v>214</v>
      </c>
      <c r="E7" s="238">
        <v>1</v>
      </c>
      <c r="F7" s="242" t="s">
        <v>619</v>
      </c>
      <c r="G7" s="242" t="s">
        <v>59</v>
      </c>
      <c r="H7" s="243" t="s">
        <v>494</v>
      </c>
      <c r="I7" s="240" t="s">
        <v>1281</v>
      </c>
      <c r="J7" s="258">
        <v>43862</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6" filterMode="1" enableFormatConditionsCalculation="0">
    <pageSetUpPr fitToPage="1"/>
  </sheetPr>
  <dimension ref="A1:O78"/>
  <sheetViews>
    <sheetView showGridLines="0" topLeftCell="A4" zoomScale="70" zoomScaleNormal="70" zoomScalePageLayoutView="70" workbookViewId="0">
      <selection activeCell="C79" sqref="C79"/>
    </sheetView>
  </sheetViews>
  <sheetFormatPr baseColWidth="10" defaultColWidth="8.83203125" defaultRowHeight="21" x14ac:dyDescent="0"/>
  <cols>
    <col min="1" max="1" width="32.6640625" style="39" customWidth="1"/>
    <col min="2" max="2" width="13.6640625" style="39" customWidth="1"/>
    <col min="3" max="3" width="64.5" style="39" customWidth="1"/>
    <col min="4" max="4" width="16.1640625" style="39" customWidth="1"/>
    <col min="5" max="7" width="14.6640625" style="39" customWidth="1"/>
    <col min="8" max="9" width="17.33203125" style="40" customWidth="1"/>
    <col min="10" max="10" width="15" style="39" customWidth="1"/>
    <col min="11" max="11" width="16.6640625" style="41" customWidth="1"/>
    <col min="12" max="14" width="15.83203125" style="41" customWidth="1"/>
    <col min="15" max="15" width="26.5" style="41" bestFit="1" customWidth="1"/>
    <col min="16" max="18" width="8.83203125" style="41"/>
    <col min="19" max="19" width="34.6640625" style="41" customWidth="1"/>
    <col min="20" max="254" width="8.83203125" style="41"/>
    <col min="255" max="255" width="32.6640625" style="41" customWidth="1"/>
    <col min="256" max="256" width="13.6640625" style="41" customWidth="1"/>
    <col min="257" max="257" width="64.5" style="41" customWidth="1"/>
    <col min="258" max="258" width="16.1640625" style="41" customWidth="1"/>
    <col min="259" max="261" width="14.6640625" style="41" customWidth="1"/>
    <col min="262" max="263" width="17.33203125" style="41" customWidth="1"/>
    <col min="264" max="264" width="15" style="41" customWidth="1"/>
    <col min="265" max="265" width="16.6640625" style="41" customWidth="1"/>
    <col min="266" max="268" width="15.83203125" style="41" customWidth="1"/>
    <col min="269" max="274" width="8.83203125" style="41"/>
    <col min="275" max="275" width="34.6640625" style="41" customWidth="1"/>
    <col min="276" max="510" width="8.83203125" style="41"/>
    <col min="511" max="511" width="32.6640625" style="41" customWidth="1"/>
    <col min="512" max="512" width="13.6640625" style="41" customWidth="1"/>
    <col min="513" max="513" width="64.5" style="41" customWidth="1"/>
    <col min="514" max="514" width="16.1640625" style="41" customWidth="1"/>
    <col min="515" max="517" width="14.6640625" style="41" customWidth="1"/>
    <col min="518" max="519" width="17.33203125" style="41" customWidth="1"/>
    <col min="520" max="520" width="15" style="41" customWidth="1"/>
    <col min="521" max="521" width="16.6640625" style="41" customWidth="1"/>
    <col min="522" max="524" width="15.83203125" style="41" customWidth="1"/>
    <col min="525" max="530" width="8.83203125" style="41"/>
    <col min="531" max="531" width="34.6640625" style="41" customWidth="1"/>
    <col min="532" max="766" width="8.83203125" style="41"/>
    <col min="767" max="767" width="32.6640625" style="41" customWidth="1"/>
    <col min="768" max="768" width="13.6640625" style="41" customWidth="1"/>
    <col min="769" max="769" width="64.5" style="41" customWidth="1"/>
    <col min="770" max="770" width="16.1640625" style="41" customWidth="1"/>
    <col min="771" max="773" width="14.6640625" style="41" customWidth="1"/>
    <col min="774" max="775" width="17.33203125" style="41" customWidth="1"/>
    <col min="776" max="776" width="15" style="41" customWidth="1"/>
    <col min="777" max="777" width="16.6640625" style="41" customWidth="1"/>
    <col min="778" max="780" width="15.83203125" style="41" customWidth="1"/>
    <col min="781" max="786" width="8.83203125" style="41"/>
    <col min="787" max="787" width="34.6640625" style="41" customWidth="1"/>
    <col min="788" max="1022" width="8.83203125" style="41"/>
    <col min="1023" max="1023" width="32.6640625" style="41" customWidth="1"/>
    <col min="1024" max="1024" width="13.6640625" style="41" customWidth="1"/>
    <col min="1025" max="1025" width="64.5" style="41" customWidth="1"/>
    <col min="1026" max="1026" width="16.1640625" style="41" customWidth="1"/>
    <col min="1027" max="1029" width="14.6640625" style="41" customWidth="1"/>
    <col min="1030" max="1031" width="17.33203125" style="41" customWidth="1"/>
    <col min="1032" max="1032" width="15" style="41" customWidth="1"/>
    <col min="1033" max="1033" width="16.6640625" style="41" customWidth="1"/>
    <col min="1034" max="1036" width="15.83203125" style="41" customWidth="1"/>
    <col min="1037" max="1042" width="8.83203125" style="41"/>
    <col min="1043" max="1043" width="34.6640625" style="41" customWidth="1"/>
    <col min="1044" max="1278" width="8.83203125" style="41"/>
    <col min="1279" max="1279" width="32.6640625" style="41" customWidth="1"/>
    <col min="1280" max="1280" width="13.6640625" style="41" customWidth="1"/>
    <col min="1281" max="1281" width="64.5" style="41" customWidth="1"/>
    <col min="1282" max="1282" width="16.1640625" style="41" customWidth="1"/>
    <col min="1283" max="1285" width="14.6640625" style="41" customWidth="1"/>
    <col min="1286" max="1287" width="17.33203125" style="41" customWidth="1"/>
    <col min="1288" max="1288" width="15" style="41" customWidth="1"/>
    <col min="1289" max="1289" width="16.6640625" style="41" customWidth="1"/>
    <col min="1290" max="1292" width="15.83203125" style="41" customWidth="1"/>
    <col min="1293" max="1298" width="8.83203125" style="41"/>
    <col min="1299" max="1299" width="34.6640625" style="41" customWidth="1"/>
    <col min="1300" max="1534" width="8.83203125" style="41"/>
    <col min="1535" max="1535" width="32.6640625" style="41" customWidth="1"/>
    <col min="1536" max="1536" width="13.6640625" style="41" customWidth="1"/>
    <col min="1537" max="1537" width="64.5" style="41" customWidth="1"/>
    <col min="1538" max="1538" width="16.1640625" style="41" customWidth="1"/>
    <col min="1539" max="1541" width="14.6640625" style="41" customWidth="1"/>
    <col min="1542" max="1543" width="17.33203125" style="41" customWidth="1"/>
    <col min="1544" max="1544" width="15" style="41" customWidth="1"/>
    <col min="1545" max="1545" width="16.6640625" style="41" customWidth="1"/>
    <col min="1546" max="1548" width="15.83203125" style="41" customWidth="1"/>
    <col min="1549" max="1554" width="8.83203125" style="41"/>
    <col min="1555" max="1555" width="34.6640625" style="41" customWidth="1"/>
    <col min="1556" max="1790" width="8.83203125" style="41"/>
    <col min="1791" max="1791" width="32.6640625" style="41" customWidth="1"/>
    <col min="1792" max="1792" width="13.6640625" style="41" customWidth="1"/>
    <col min="1793" max="1793" width="64.5" style="41" customWidth="1"/>
    <col min="1794" max="1794" width="16.1640625" style="41" customWidth="1"/>
    <col min="1795" max="1797" width="14.6640625" style="41" customWidth="1"/>
    <col min="1798" max="1799" width="17.33203125" style="41" customWidth="1"/>
    <col min="1800" max="1800" width="15" style="41" customWidth="1"/>
    <col min="1801" max="1801" width="16.6640625" style="41" customWidth="1"/>
    <col min="1802" max="1804" width="15.83203125" style="41" customWidth="1"/>
    <col min="1805" max="1810" width="8.83203125" style="41"/>
    <col min="1811" max="1811" width="34.6640625" style="41" customWidth="1"/>
    <col min="1812" max="2046" width="8.83203125" style="41"/>
    <col min="2047" max="2047" width="32.6640625" style="41" customWidth="1"/>
    <col min="2048" max="2048" width="13.6640625" style="41" customWidth="1"/>
    <col min="2049" max="2049" width="64.5" style="41" customWidth="1"/>
    <col min="2050" max="2050" width="16.1640625" style="41" customWidth="1"/>
    <col min="2051" max="2053" width="14.6640625" style="41" customWidth="1"/>
    <col min="2054" max="2055" width="17.33203125" style="41" customWidth="1"/>
    <col min="2056" max="2056" width="15" style="41" customWidth="1"/>
    <col min="2057" max="2057" width="16.6640625" style="41" customWidth="1"/>
    <col min="2058" max="2060" width="15.83203125" style="41" customWidth="1"/>
    <col min="2061" max="2066" width="8.83203125" style="41"/>
    <col min="2067" max="2067" width="34.6640625" style="41" customWidth="1"/>
    <col min="2068" max="2302" width="8.83203125" style="41"/>
    <col min="2303" max="2303" width="32.6640625" style="41" customWidth="1"/>
    <col min="2304" max="2304" width="13.6640625" style="41" customWidth="1"/>
    <col min="2305" max="2305" width="64.5" style="41" customWidth="1"/>
    <col min="2306" max="2306" width="16.1640625" style="41" customWidth="1"/>
    <col min="2307" max="2309" width="14.6640625" style="41" customWidth="1"/>
    <col min="2310" max="2311" width="17.33203125" style="41" customWidth="1"/>
    <col min="2312" max="2312" width="15" style="41" customWidth="1"/>
    <col min="2313" max="2313" width="16.6640625" style="41" customWidth="1"/>
    <col min="2314" max="2316" width="15.83203125" style="41" customWidth="1"/>
    <col min="2317" max="2322" width="8.83203125" style="41"/>
    <col min="2323" max="2323" width="34.6640625" style="41" customWidth="1"/>
    <col min="2324" max="2558" width="8.83203125" style="41"/>
    <col min="2559" max="2559" width="32.6640625" style="41" customWidth="1"/>
    <col min="2560" max="2560" width="13.6640625" style="41" customWidth="1"/>
    <col min="2561" max="2561" width="64.5" style="41" customWidth="1"/>
    <col min="2562" max="2562" width="16.1640625" style="41" customWidth="1"/>
    <col min="2563" max="2565" width="14.6640625" style="41" customWidth="1"/>
    <col min="2566" max="2567" width="17.33203125" style="41" customWidth="1"/>
    <col min="2568" max="2568" width="15" style="41" customWidth="1"/>
    <col min="2569" max="2569" width="16.6640625" style="41" customWidth="1"/>
    <col min="2570" max="2572" width="15.83203125" style="41" customWidth="1"/>
    <col min="2573" max="2578" width="8.83203125" style="41"/>
    <col min="2579" max="2579" width="34.6640625" style="41" customWidth="1"/>
    <col min="2580" max="2814" width="8.83203125" style="41"/>
    <col min="2815" max="2815" width="32.6640625" style="41" customWidth="1"/>
    <col min="2816" max="2816" width="13.6640625" style="41" customWidth="1"/>
    <col min="2817" max="2817" width="64.5" style="41" customWidth="1"/>
    <col min="2818" max="2818" width="16.1640625" style="41" customWidth="1"/>
    <col min="2819" max="2821" width="14.6640625" style="41" customWidth="1"/>
    <col min="2822" max="2823" width="17.33203125" style="41" customWidth="1"/>
    <col min="2824" max="2824" width="15" style="41" customWidth="1"/>
    <col min="2825" max="2825" width="16.6640625" style="41" customWidth="1"/>
    <col min="2826" max="2828" width="15.83203125" style="41" customWidth="1"/>
    <col min="2829" max="2834" width="8.83203125" style="41"/>
    <col min="2835" max="2835" width="34.6640625" style="41" customWidth="1"/>
    <col min="2836" max="3070" width="8.83203125" style="41"/>
    <col min="3071" max="3071" width="32.6640625" style="41" customWidth="1"/>
    <col min="3072" max="3072" width="13.6640625" style="41" customWidth="1"/>
    <col min="3073" max="3073" width="64.5" style="41" customWidth="1"/>
    <col min="3074" max="3074" width="16.1640625" style="41" customWidth="1"/>
    <col min="3075" max="3077" width="14.6640625" style="41" customWidth="1"/>
    <col min="3078" max="3079" width="17.33203125" style="41" customWidth="1"/>
    <col min="3080" max="3080" width="15" style="41" customWidth="1"/>
    <col min="3081" max="3081" width="16.6640625" style="41" customWidth="1"/>
    <col min="3082" max="3084" width="15.83203125" style="41" customWidth="1"/>
    <col min="3085" max="3090" width="8.83203125" style="41"/>
    <col min="3091" max="3091" width="34.6640625" style="41" customWidth="1"/>
    <col min="3092" max="3326" width="8.83203125" style="41"/>
    <col min="3327" max="3327" width="32.6640625" style="41" customWidth="1"/>
    <col min="3328" max="3328" width="13.6640625" style="41" customWidth="1"/>
    <col min="3329" max="3329" width="64.5" style="41" customWidth="1"/>
    <col min="3330" max="3330" width="16.1640625" style="41" customWidth="1"/>
    <col min="3331" max="3333" width="14.6640625" style="41" customWidth="1"/>
    <col min="3334" max="3335" width="17.33203125" style="41" customWidth="1"/>
    <col min="3336" max="3336" width="15" style="41" customWidth="1"/>
    <col min="3337" max="3337" width="16.6640625" style="41" customWidth="1"/>
    <col min="3338" max="3340" width="15.83203125" style="41" customWidth="1"/>
    <col min="3341" max="3346" width="8.83203125" style="41"/>
    <col min="3347" max="3347" width="34.6640625" style="41" customWidth="1"/>
    <col min="3348" max="3582" width="8.83203125" style="41"/>
    <col min="3583" max="3583" width="32.6640625" style="41" customWidth="1"/>
    <col min="3584" max="3584" width="13.6640625" style="41" customWidth="1"/>
    <col min="3585" max="3585" width="64.5" style="41" customWidth="1"/>
    <col min="3586" max="3586" width="16.1640625" style="41" customWidth="1"/>
    <col min="3587" max="3589" width="14.6640625" style="41" customWidth="1"/>
    <col min="3590" max="3591" width="17.33203125" style="41" customWidth="1"/>
    <col min="3592" max="3592" width="15" style="41" customWidth="1"/>
    <col min="3593" max="3593" width="16.6640625" style="41" customWidth="1"/>
    <col min="3594" max="3596" width="15.83203125" style="41" customWidth="1"/>
    <col min="3597" max="3602" width="8.83203125" style="41"/>
    <col min="3603" max="3603" width="34.6640625" style="41" customWidth="1"/>
    <col min="3604" max="3838" width="8.83203125" style="41"/>
    <col min="3839" max="3839" width="32.6640625" style="41" customWidth="1"/>
    <col min="3840" max="3840" width="13.6640625" style="41" customWidth="1"/>
    <col min="3841" max="3841" width="64.5" style="41" customWidth="1"/>
    <col min="3842" max="3842" width="16.1640625" style="41" customWidth="1"/>
    <col min="3843" max="3845" width="14.6640625" style="41" customWidth="1"/>
    <col min="3846" max="3847" width="17.33203125" style="41" customWidth="1"/>
    <col min="3848" max="3848" width="15" style="41" customWidth="1"/>
    <col min="3849" max="3849" width="16.6640625" style="41" customWidth="1"/>
    <col min="3850" max="3852" width="15.83203125" style="41" customWidth="1"/>
    <col min="3853" max="3858" width="8.83203125" style="41"/>
    <col min="3859" max="3859" width="34.6640625" style="41" customWidth="1"/>
    <col min="3860" max="4094" width="8.83203125" style="41"/>
    <col min="4095" max="4095" width="32.6640625" style="41" customWidth="1"/>
    <col min="4096" max="4096" width="13.6640625" style="41" customWidth="1"/>
    <col min="4097" max="4097" width="64.5" style="41" customWidth="1"/>
    <col min="4098" max="4098" width="16.1640625" style="41" customWidth="1"/>
    <col min="4099" max="4101" width="14.6640625" style="41" customWidth="1"/>
    <col min="4102" max="4103" width="17.33203125" style="41" customWidth="1"/>
    <col min="4104" max="4104" width="15" style="41" customWidth="1"/>
    <col min="4105" max="4105" width="16.6640625" style="41" customWidth="1"/>
    <col min="4106" max="4108" width="15.83203125" style="41" customWidth="1"/>
    <col min="4109" max="4114" width="8.83203125" style="41"/>
    <col min="4115" max="4115" width="34.6640625" style="41" customWidth="1"/>
    <col min="4116" max="4350" width="8.83203125" style="41"/>
    <col min="4351" max="4351" width="32.6640625" style="41" customWidth="1"/>
    <col min="4352" max="4352" width="13.6640625" style="41" customWidth="1"/>
    <col min="4353" max="4353" width="64.5" style="41" customWidth="1"/>
    <col min="4354" max="4354" width="16.1640625" style="41" customWidth="1"/>
    <col min="4355" max="4357" width="14.6640625" style="41" customWidth="1"/>
    <col min="4358" max="4359" width="17.33203125" style="41" customWidth="1"/>
    <col min="4360" max="4360" width="15" style="41" customWidth="1"/>
    <col min="4361" max="4361" width="16.6640625" style="41" customWidth="1"/>
    <col min="4362" max="4364" width="15.83203125" style="41" customWidth="1"/>
    <col min="4365" max="4370" width="8.83203125" style="41"/>
    <col min="4371" max="4371" width="34.6640625" style="41" customWidth="1"/>
    <col min="4372" max="4606" width="8.83203125" style="41"/>
    <col min="4607" max="4607" width="32.6640625" style="41" customWidth="1"/>
    <col min="4608" max="4608" width="13.6640625" style="41" customWidth="1"/>
    <col min="4609" max="4609" width="64.5" style="41" customWidth="1"/>
    <col min="4610" max="4610" width="16.1640625" style="41" customWidth="1"/>
    <col min="4611" max="4613" width="14.6640625" style="41" customWidth="1"/>
    <col min="4614" max="4615" width="17.33203125" style="41" customWidth="1"/>
    <col min="4616" max="4616" width="15" style="41" customWidth="1"/>
    <col min="4617" max="4617" width="16.6640625" style="41" customWidth="1"/>
    <col min="4618" max="4620" width="15.83203125" style="41" customWidth="1"/>
    <col min="4621" max="4626" width="8.83203125" style="41"/>
    <col min="4627" max="4627" width="34.6640625" style="41" customWidth="1"/>
    <col min="4628" max="4862" width="8.83203125" style="41"/>
    <col min="4863" max="4863" width="32.6640625" style="41" customWidth="1"/>
    <col min="4864" max="4864" width="13.6640625" style="41" customWidth="1"/>
    <col min="4865" max="4865" width="64.5" style="41" customWidth="1"/>
    <col min="4866" max="4866" width="16.1640625" style="41" customWidth="1"/>
    <col min="4867" max="4869" width="14.6640625" style="41" customWidth="1"/>
    <col min="4870" max="4871" width="17.33203125" style="41" customWidth="1"/>
    <col min="4872" max="4872" width="15" style="41" customWidth="1"/>
    <col min="4873" max="4873" width="16.6640625" style="41" customWidth="1"/>
    <col min="4874" max="4876" width="15.83203125" style="41" customWidth="1"/>
    <col min="4877" max="4882" width="8.83203125" style="41"/>
    <col min="4883" max="4883" width="34.6640625" style="41" customWidth="1"/>
    <col min="4884" max="5118" width="8.83203125" style="41"/>
    <col min="5119" max="5119" width="32.6640625" style="41" customWidth="1"/>
    <col min="5120" max="5120" width="13.6640625" style="41" customWidth="1"/>
    <col min="5121" max="5121" width="64.5" style="41" customWidth="1"/>
    <col min="5122" max="5122" width="16.1640625" style="41" customWidth="1"/>
    <col min="5123" max="5125" width="14.6640625" style="41" customWidth="1"/>
    <col min="5126" max="5127" width="17.33203125" style="41" customWidth="1"/>
    <col min="5128" max="5128" width="15" style="41" customWidth="1"/>
    <col min="5129" max="5129" width="16.6640625" style="41" customWidth="1"/>
    <col min="5130" max="5132" width="15.83203125" style="41" customWidth="1"/>
    <col min="5133" max="5138" width="8.83203125" style="41"/>
    <col min="5139" max="5139" width="34.6640625" style="41" customWidth="1"/>
    <col min="5140" max="5374" width="8.83203125" style="41"/>
    <col min="5375" max="5375" width="32.6640625" style="41" customWidth="1"/>
    <col min="5376" max="5376" width="13.6640625" style="41" customWidth="1"/>
    <col min="5377" max="5377" width="64.5" style="41" customWidth="1"/>
    <col min="5378" max="5378" width="16.1640625" style="41" customWidth="1"/>
    <col min="5379" max="5381" width="14.6640625" style="41" customWidth="1"/>
    <col min="5382" max="5383" width="17.33203125" style="41" customWidth="1"/>
    <col min="5384" max="5384" width="15" style="41" customWidth="1"/>
    <col min="5385" max="5385" width="16.6640625" style="41" customWidth="1"/>
    <col min="5386" max="5388" width="15.83203125" style="41" customWidth="1"/>
    <col min="5389" max="5394" width="8.83203125" style="41"/>
    <col min="5395" max="5395" width="34.6640625" style="41" customWidth="1"/>
    <col min="5396" max="5630" width="8.83203125" style="41"/>
    <col min="5631" max="5631" width="32.6640625" style="41" customWidth="1"/>
    <col min="5632" max="5632" width="13.6640625" style="41" customWidth="1"/>
    <col min="5633" max="5633" width="64.5" style="41" customWidth="1"/>
    <col min="5634" max="5634" width="16.1640625" style="41" customWidth="1"/>
    <col min="5635" max="5637" width="14.6640625" style="41" customWidth="1"/>
    <col min="5638" max="5639" width="17.33203125" style="41" customWidth="1"/>
    <col min="5640" max="5640" width="15" style="41" customWidth="1"/>
    <col min="5641" max="5641" width="16.6640625" style="41" customWidth="1"/>
    <col min="5642" max="5644" width="15.83203125" style="41" customWidth="1"/>
    <col min="5645" max="5650" width="8.83203125" style="41"/>
    <col min="5651" max="5651" width="34.6640625" style="41" customWidth="1"/>
    <col min="5652" max="5886" width="8.83203125" style="41"/>
    <col min="5887" max="5887" width="32.6640625" style="41" customWidth="1"/>
    <col min="5888" max="5888" width="13.6640625" style="41" customWidth="1"/>
    <col min="5889" max="5889" width="64.5" style="41" customWidth="1"/>
    <col min="5890" max="5890" width="16.1640625" style="41" customWidth="1"/>
    <col min="5891" max="5893" width="14.6640625" style="41" customWidth="1"/>
    <col min="5894" max="5895" width="17.33203125" style="41" customWidth="1"/>
    <col min="5896" max="5896" width="15" style="41" customWidth="1"/>
    <col min="5897" max="5897" width="16.6640625" style="41" customWidth="1"/>
    <col min="5898" max="5900" width="15.83203125" style="41" customWidth="1"/>
    <col min="5901" max="5906" width="8.83203125" style="41"/>
    <col min="5907" max="5907" width="34.6640625" style="41" customWidth="1"/>
    <col min="5908" max="6142" width="8.83203125" style="41"/>
    <col min="6143" max="6143" width="32.6640625" style="41" customWidth="1"/>
    <col min="6144" max="6144" width="13.6640625" style="41" customWidth="1"/>
    <col min="6145" max="6145" width="64.5" style="41" customWidth="1"/>
    <col min="6146" max="6146" width="16.1640625" style="41" customWidth="1"/>
    <col min="6147" max="6149" width="14.6640625" style="41" customWidth="1"/>
    <col min="6150" max="6151" width="17.33203125" style="41" customWidth="1"/>
    <col min="6152" max="6152" width="15" style="41" customWidth="1"/>
    <col min="6153" max="6153" width="16.6640625" style="41" customWidth="1"/>
    <col min="6154" max="6156" width="15.83203125" style="41" customWidth="1"/>
    <col min="6157" max="6162" width="8.83203125" style="41"/>
    <col min="6163" max="6163" width="34.6640625" style="41" customWidth="1"/>
    <col min="6164" max="6398" width="8.83203125" style="41"/>
    <col min="6399" max="6399" width="32.6640625" style="41" customWidth="1"/>
    <col min="6400" max="6400" width="13.6640625" style="41" customWidth="1"/>
    <col min="6401" max="6401" width="64.5" style="41" customWidth="1"/>
    <col min="6402" max="6402" width="16.1640625" style="41" customWidth="1"/>
    <col min="6403" max="6405" width="14.6640625" style="41" customWidth="1"/>
    <col min="6406" max="6407" width="17.33203125" style="41" customWidth="1"/>
    <col min="6408" max="6408" width="15" style="41" customWidth="1"/>
    <col min="6409" max="6409" width="16.6640625" style="41" customWidth="1"/>
    <col min="6410" max="6412" width="15.83203125" style="41" customWidth="1"/>
    <col min="6413" max="6418" width="8.83203125" style="41"/>
    <col min="6419" max="6419" width="34.6640625" style="41" customWidth="1"/>
    <col min="6420" max="6654" width="8.83203125" style="41"/>
    <col min="6655" max="6655" width="32.6640625" style="41" customWidth="1"/>
    <col min="6656" max="6656" width="13.6640625" style="41" customWidth="1"/>
    <col min="6657" max="6657" width="64.5" style="41" customWidth="1"/>
    <col min="6658" max="6658" width="16.1640625" style="41" customWidth="1"/>
    <col min="6659" max="6661" width="14.6640625" style="41" customWidth="1"/>
    <col min="6662" max="6663" width="17.33203125" style="41" customWidth="1"/>
    <col min="6664" max="6664" width="15" style="41" customWidth="1"/>
    <col min="6665" max="6665" width="16.6640625" style="41" customWidth="1"/>
    <col min="6666" max="6668" width="15.83203125" style="41" customWidth="1"/>
    <col min="6669" max="6674" width="8.83203125" style="41"/>
    <col min="6675" max="6675" width="34.6640625" style="41" customWidth="1"/>
    <col min="6676" max="6910" width="8.83203125" style="41"/>
    <col min="6911" max="6911" width="32.6640625" style="41" customWidth="1"/>
    <col min="6912" max="6912" width="13.6640625" style="41" customWidth="1"/>
    <col min="6913" max="6913" width="64.5" style="41" customWidth="1"/>
    <col min="6914" max="6914" width="16.1640625" style="41" customWidth="1"/>
    <col min="6915" max="6917" width="14.6640625" style="41" customWidth="1"/>
    <col min="6918" max="6919" width="17.33203125" style="41" customWidth="1"/>
    <col min="6920" max="6920" width="15" style="41" customWidth="1"/>
    <col min="6921" max="6921" width="16.6640625" style="41" customWidth="1"/>
    <col min="6922" max="6924" width="15.83203125" style="41" customWidth="1"/>
    <col min="6925" max="6930" width="8.83203125" style="41"/>
    <col min="6931" max="6931" width="34.6640625" style="41" customWidth="1"/>
    <col min="6932" max="7166" width="8.83203125" style="41"/>
    <col min="7167" max="7167" width="32.6640625" style="41" customWidth="1"/>
    <col min="7168" max="7168" width="13.6640625" style="41" customWidth="1"/>
    <col min="7169" max="7169" width="64.5" style="41" customWidth="1"/>
    <col min="7170" max="7170" width="16.1640625" style="41" customWidth="1"/>
    <col min="7171" max="7173" width="14.6640625" style="41" customWidth="1"/>
    <col min="7174" max="7175" width="17.33203125" style="41" customWidth="1"/>
    <col min="7176" max="7176" width="15" style="41" customWidth="1"/>
    <col min="7177" max="7177" width="16.6640625" style="41" customWidth="1"/>
    <col min="7178" max="7180" width="15.83203125" style="41" customWidth="1"/>
    <col min="7181" max="7186" width="8.83203125" style="41"/>
    <col min="7187" max="7187" width="34.6640625" style="41" customWidth="1"/>
    <col min="7188" max="7422" width="8.83203125" style="41"/>
    <col min="7423" max="7423" width="32.6640625" style="41" customWidth="1"/>
    <col min="7424" max="7424" width="13.6640625" style="41" customWidth="1"/>
    <col min="7425" max="7425" width="64.5" style="41" customWidth="1"/>
    <col min="7426" max="7426" width="16.1640625" style="41" customWidth="1"/>
    <col min="7427" max="7429" width="14.6640625" style="41" customWidth="1"/>
    <col min="7430" max="7431" width="17.33203125" style="41" customWidth="1"/>
    <col min="7432" max="7432" width="15" style="41" customWidth="1"/>
    <col min="7433" max="7433" width="16.6640625" style="41" customWidth="1"/>
    <col min="7434" max="7436" width="15.83203125" style="41" customWidth="1"/>
    <col min="7437" max="7442" width="8.83203125" style="41"/>
    <col min="7443" max="7443" width="34.6640625" style="41" customWidth="1"/>
    <col min="7444" max="7678" width="8.83203125" style="41"/>
    <col min="7679" max="7679" width="32.6640625" style="41" customWidth="1"/>
    <col min="7680" max="7680" width="13.6640625" style="41" customWidth="1"/>
    <col min="7681" max="7681" width="64.5" style="41" customWidth="1"/>
    <col min="7682" max="7682" width="16.1640625" style="41" customWidth="1"/>
    <col min="7683" max="7685" width="14.6640625" style="41" customWidth="1"/>
    <col min="7686" max="7687" width="17.33203125" style="41" customWidth="1"/>
    <col min="7688" max="7688" width="15" style="41" customWidth="1"/>
    <col min="7689" max="7689" width="16.6640625" style="41" customWidth="1"/>
    <col min="7690" max="7692" width="15.83203125" style="41" customWidth="1"/>
    <col min="7693" max="7698" width="8.83203125" style="41"/>
    <col min="7699" max="7699" width="34.6640625" style="41" customWidth="1"/>
    <col min="7700" max="7934" width="8.83203125" style="41"/>
    <col min="7935" max="7935" width="32.6640625" style="41" customWidth="1"/>
    <col min="7936" max="7936" width="13.6640625" style="41" customWidth="1"/>
    <col min="7937" max="7937" width="64.5" style="41" customWidth="1"/>
    <col min="7938" max="7938" width="16.1640625" style="41" customWidth="1"/>
    <col min="7939" max="7941" width="14.6640625" style="41" customWidth="1"/>
    <col min="7942" max="7943" width="17.33203125" style="41" customWidth="1"/>
    <col min="7944" max="7944" width="15" style="41" customWidth="1"/>
    <col min="7945" max="7945" width="16.6640625" style="41" customWidth="1"/>
    <col min="7946" max="7948" width="15.83203125" style="41" customWidth="1"/>
    <col min="7949" max="7954" width="8.83203125" style="41"/>
    <col min="7955" max="7955" width="34.6640625" style="41" customWidth="1"/>
    <col min="7956" max="8190" width="8.83203125" style="41"/>
    <col min="8191" max="8191" width="32.6640625" style="41" customWidth="1"/>
    <col min="8192" max="8192" width="13.6640625" style="41" customWidth="1"/>
    <col min="8193" max="8193" width="64.5" style="41" customWidth="1"/>
    <col min="8194" max="8194" width="16.1640625" style="41" customWidth="1"/>
    <col min="8195" max="8197" width="14.6640625" style="41" customWidth="1"/>
    <col min="8198" max="8199" width="17.33203125" style="41" customWidth="1"/>
    <col min="8200" max="8200" width="15" style="41" customWidth="1"/>
    <col min="8201" max="8201" width="16.6640625" style="41" customWidth="1"/>
    <col min="8202" max="8204" width="15.83203125" style="41" customWidth="1"/>
    <col min="8205" max="8210" width="8.83203125" style="41"/>
    <col min="8211" max="8211" width="34.6640625" style="41" customWidth="1"/>
    <col min="8212" max="8446" width="8.83203125" style="41"/>
    <col min="8447" max="8447" width="32.6640625" style="41" customWidth="1"/>
    <col min="8448" max="8448" width="13.6640625" style="41" customWidth="1"/>
    <col min="8449" max="8449" width="64.5" style="41" customWidth="1"/>
    <col min="8450" max="8450" width="16.1640625" style="41" customWidth="1"/>
    <col min="8451" max="8453" width="14.6640625" style="41" customWidth="1"/>
    <col min="8454" max="8455" width="17.33203125" style="41" customWidth="1"/>
    <col min="8456" max="8456" width="15" style="41" customWidth="1"/>
    <col min="8457" max="8457" width="16.6640625" style="41" customWidth="1"/>
    <col min="8458" max="8460" width="15.83203125" style="41" customWidth="1"/>
    <col min="8461" max="8466" width="8.83203125" style="41"/>
    <col min="8467" max="8467" width="34.6640625" style="41" customWidth="1"/>
    <col min="8468" max="8702" width="8.83203125" style="41"/>
    <col min="8703" max="8703" width="32.6640625" style="41" customWidth="1"/>
    <col min="8704" max="8704" width="13.6640625" style="41" customWidth="1"/>
    <col min="8705" max="8705" width="64.5" style="41" customWidth="1"/>
    <col min="8706" max="8706" width="16.1640625" style="41" customWidth="1"/>
    <col min="8707" max="8709" width="14.6640625" style="41" customWidth="1"/>
    <col min="8710" max="8711" width="17.33203125" style="41" customWidth="1"/>
    <col min="8712" max="8712" width="15" style="41" customWidth="1"/>
    <col min="8713" max="8713" width="16.6640625" style="41" customWidth="1"/>
    <col min="8714" max="8716" width="15.83203125" style="41" customWidth="1"/>
    <col min="8717" max="8722" width="8.83203125" style="41"/>
    <col min="8723" max="8723" width="34.6640625" style="41" customWidth="1"/>
    <col min="8724" max="8958" width="8.83203125" style="41"/>
    <col min="8959" max="8959" width="32.6640625" style="41" customWidth="1"/>
    <col min="8960" max="8960" width="13.6640625" style="41" customWidth="1"/>
    <col min="8961" max="8961" width="64.5" style="41" customWidth="1"/>
    <col min="8962" max="8962" width="16.1640625" style="41" customWidth="1"/>
    <col min="8963" max="8965" width="14.6640625" style="41" customWidth="1"/>
    <col min="8966" max="8967" width="17.33203125" style="41" customWidth="1"/>
    <col min="8968" max="8968" width="15" style="41" customWidth="1"/>
    <col min="8969" max="8969" width="16.6640625" style="41" customWidth="1"/>
    <col min="8970" max="8972" width="15.83203125" style="41" customWidth="1"/>
    <col min="8973" max="8978" width="8.83203125" style="41"/>
    <col min="8979" max="8979" width="34.6640625" style="41" customWidth="1"/>
    <col min="8980" max="9214" width="8.83203125" style="41"/>
    <col min="9215" max="9215" width="32.6640625" style="41" customWidth="1"/>
    <col min="9216" max="9216" width="13.6640625" style="41" customWidth="1"/>
    <col min="9217" max="9217" width="64.5" style="41" customWidth="1"/>
    <col min="9218" max="9218" width="16.1640625" style="41" customWidth="1"/>
    <col min="9219" max="9221" width="14.6640625" style="41" customWidth="1"/>
    <col min="9222" max="9223" width="17.33203125" style="41" customWidth="1"/>
    <col min="9224" max="9224" width="15" style="41" customWidth="1"/>
    <col min="9225" max="9225" width="16.6640625" style="41" customWidth="1"/>
    <col min="9226" max="9228" width="15.83203125" style="41" customWidth="1"/>
    <col min="9229" max="9234" width="8.83203125" style="41"/>
    <col min="9235" max="9235" width="34.6640625" style="41" customWidth="1"/>
    <col min="9236" max="9470" width="8.83203125" style="41"/>
    <col min="9471" max="9471" width="32.6640625" style="41" customWidth="1"/>
    <col min="9472" max="9472" width="13.6640625" style="41" customWidth="1"/>
    <col min="9473" max="9473" width="64.5" style="41" customWidth="1"/>
    <col min="9474" max="9474" width="16.1640625" style="41" customWidth="1"/>
    <col min="9475" max="9477" width="14.6640625" style="41" customWidth="1"/>
    <col min="9478" max="9479" width="17.33203125" style="41" customWidth="1"/>
    <col min="9480" max="9480" width="15" style="41" customWidth="1"/>
    <col min="9481" max="9481" width="16.6640625" style="41" customWidth="1"/>
    <col min="9482" max="9484" width="15.83203125" style="41" customWidth="1"/>
    <col min="9485" max="9490" width="8.83203125" style="41"/>
    <col min="9491" max="9491" width="34.6640625" style="41" customWidth="1"/>
    <col min="9492" max="9726" width="8.83203125" style="41"/>
    <col min="9727" max="9727" width="32.6640625" style="41" customWidth="1"/>
    <col min="9728" max="9728" width="13.6640625" style="41" customWidth="1"/>
    <col min="9729" max="9729" width="64.5" style="41" customWidth="1"/>
    <col min="9730" max="9730" width="16.1640625" style="41" customWidth="1"/>
    <col min="9731" max="9733" width="14.6640625" style="41" customWidth="1"/>
    <col min="9734" max="9735" width="17.33203125" style="41" customWidth="1"/>
    <col min="9736" max="9736" width="15" style="41" customWidth="1"/>
    <col min="9737" max="9737" width="16.6640625" style="41" customWidth="1"/>
    <col min="9738" max="9740" width="15.83203125" style="41" customWidth="1"/>
    <col min="9741" max="9746" width="8.83203125" style="41"/>
    <col min="9747" max="9747" width="34.6640625" style="41" customWidth="1"/>
    <col min="9748" max="9982" width="8.83203125" style="41"/>
    <col min="9983" max="9983" width="32.6640625" style="41" customWidth="1"/>
    <col min="9984" max="9984" width="13.6640625" style="41" customWidth="1"/>
    <col min="9985" max="9985" width="64.5" style="41" customWidth="1"/>
    <col min="9986" max="9986" width="16.1640625" style="41" customWidth="1"/>
    <col min="9987" max="9989" width="14.6640625" style="41" customWidth="1"/>
    <col min="9990" max="9991" width="17.33203125" style="41" customWidth="1"/>
    <col min="9992" max="9992" width="15" style="41" customWidth="1"/>
    <col min="9993" max="9993" width="16.6640625" style="41" customWidth="1"/>
    <col min="9994" max="9996" width="15.83203125" style="41" customWidth="1"/>
    <col min="9997" max="10002" width="8.83203125" style="41"/>
    <col min="10003" max="10003" width="34.6640625" style="41" customWidth="1"/>
    <col min="10004" max="10238" width="8.83203125" style="41"/>
    <col min="10239" max="10239" width="32.6640625" style="41" customWidth="1"/>
    <col min="10240" max="10240" width="13.6640625" style="41" customWidth="1"/>
    <col min="10241" max="10241" width="64.5" style="41" customWidth="1"/>
    <col min="10242" max="10242" width="16.1640625" style="41" customWidth="1"/>
    <col min="10243" max="10245" width="14.6640625" style="41" customWidth="1"/>
    <col min="10246" max="10247" width="17.33203125" style="41" customWidth="1"/>
    <col min="10248" max="10248" width="15" style="41" customWidth="1"/>
    <col min="10249" max="10249" width="16.6640625" style="41" customWidth="1"/>
    <col min="10250" max="10252" width="15.83203125" style="41" customWidth="1"/>
    <col min="10253" max="10258" width="8.83203125" style="41"/>
    <col min="10259" max="10259" width="34.6640625" style="41" customWidth="1"/>
    <col min="10260" max="10494" width="8.83203125" style="41"/>
    <col min="10495" max="10495" width="32.6640625" style="41" customWidth="1"/>
    <col min="10496" max="10496" width="13.6640625" style="41" customWidth="1"/>
    <col min="10497" max="10497" width="64.5" style="41" customWidth="1"/>
    <col min="10498" max="10498" width="16.1640625" style="41" customWidth="1"/>
    <col min="10499" max="10501" width="14.6640625" style="41" customWidth="1"/>
    <col min="10502" max="10503" width="17.33203125" style="41" customWidth="1"/>
    <col min="10504" max="10504" width="15" style="41" customWidth="1"/>
    <col min="10505" max="10505" width="16.6640625" style="41" customWidth="1"/>
    <col min="10506" max="10508" width="15.83203125" style="41" customWidth="1"/>
    <col min="10509" max="10514" width="8.83203125" style="41"/>
    <col min="10515" max="10515" width="34.6640625" style="41" customWidth="1"/>
    <col min="10516" max="10750" width="8.83203125" style="41"/>
    <col min="10751" max="10751" width="32.6640625" style="41" customWidth="1"/>
    <col min="10752" max="10752" width="13.6640625" style="41" customWidth="1"/>
    <col min="10753" max="10753" width="64.5" style="41" customWidth="1"/>
    <col min="10754" max="10754" width="16.1640625" style="41" customWidth="1"/>
    <col min="10755" max="10757" width="14.6640625" style="41" customWidth="1"/>
    <col min="10758" max="10759" width="17.33203125" style="41" customWidth="1"/>
    <col min="10760" max="10760" width="15" style="41" customWidth="1"/>
    <col min="10761" max="10761" width="16.6640625" style="41" customWidth="1"/>
    <col min="10762" max="10764" width="15.83203125" style="41" customWidth="1"/>
    <col min="10765" max="10770" width="8.83203125" style="41"/>
    <col min="10771" max="10771" width="34.6640625" style="41" customWidth="1"/>
    <col min="10772" max="11006" width="8.83203125" style="41"/>
    <col min="11007" max="11007" width="32.6640625" style="41" customWidth="1"/>
    <col min="11008" max="11008" width="13.6640625" style="41" customWidth="1"/>
    <col min="11009" max="11009" width="64.5" style="41" customWidth="1"/>
    <col min="11010" max="11010" width="16.1640625" style="41" customWidth="1"/>
    <col min="11011" max="11013" width="14.6640625" style="41" customWidth="1"/>
    <col min="11014" max="11015" width="17.33203125" style="41" customWidth="1"/>
    <col min="11016" max="11016" width="15" style="41" customWidth="1"/>
    <col min="11017" max="11017" width="16.6640625" style="41" customWidth="1"/>
    <col min="11018" max="11020" width="15.83203125" style="41" customWidth="1"/>
    <col min="11021" max="11026" width="8.83203125" style="41"/>
    <col min="11027" max="11027" width="34.6640625" style="41" customWidth="1"/>
    <col min="11028" max="11262" width="8.83203125" style="41"/>
    <col min="11263" max="11263" width="32.6640625" style="41" customWidth="1"/>
    <col min="11264" max="11264" width="13.6640625" style="41" customWidth="1"/>
    <col min="11265" max="11265" width="64.5" style="41" customWidth="1"/>
    <col min="11266" max="11266" width="16.1640625" style="41" customWidth="1"/>
    <col min="11267" max="11269" width="14.6640625" style="41" customWidth="1"/>
    <col min="11270" max="11271" width="17.33203125" style="41" customWidth="1"/>
    <col min="11272" max="11272" width="15" style="41" customWidth="1"/>
    <col min="11273" max="11273" width="16.6640625" style="41" customWidth="1"/>
    <col min="11274" max="11276" width="15.83203125" style="41" customWidth="1"/>
    <col min="11277" max="11282" width="8.83203125" style="41"/>
    <col min="11283" max="11283" width="34.6640625" style="41" customWidth="1"/>
    <col min="11284" max="11518" width="8.83203125" style="41"/>
    <col min="11519" max="11519" width="32.6640625" style="41" customWidth="1"/>
    <col min="11520" max="11520" width="13.6640625" style="41" customWidth="1"/>
    <col min="11521" max="11521" width="64.5" style="41" customWidth="1"/>
    <col min="11522" max="11522" width="16.1640625" style="41" customWidth="1"/>
    <col min="11523" max="11525" width="14.6640625" style="41" customWidth="1"/>
    <col min="11526" max="11527" width="17.33203125" style="41" customWidth="1"/>
    <col min="11528" max="11528" width="15" style="41" customWidth="1"/>
    <col min="11529" max="11529" width="16.6640625" style="41" customWidth="1"/>
    <col min="11530" max="11532" width="15.83203125" style="41" customWidth="1"/>
    <col min="11533" max="11538" width="8.83203125" style="41"/>
    <col min="11539" max="11539" width="34.6640625" style="41" customWidth="1"/>
    <col min="11540" max="11774" width="8.83203125" style="41"/>
    <col min="11775" max="11775" width="32.6640625" style="41" customWidth="1"/>
    <col min="11776" max="11776" width="13.6640625" style="41" customWidth="1"/>
    <col min="11777" max="11777" width="64.5" style="41" customWidth="1"/>
    <col min="11778" max="11778" width="16.1640625" style="41" customWidth="1"/>
    <col min="11779" max="11781" width="14.6640625" style="41" customWidth="1"/>
    <col min="11782" max="11783" width="17.33203125" style="41" customWidth="1"/>
    <col min="11784" max="11784" width="15" style="41" customWidth="1"/>
    <col min="11785" max="11785" width="16.6640625" style="41" customWidth="1"/>
    <col min="11786" max="11788" width="15.83203125" style="41" customWidth="1"/>
    <col min="11789" max="11794" width="8.83203125" style="41"/>
    <col min="11795" max="11795" width="34.6640625" style="41" customWidth="1"/>
    <col min="11796" max="12030" width="8.83203125" style="41"/>
    <col min="12031" max="12031" width="32.6640625" style="41" customWidth="1"/>
    <col min="12032" max="12032" width="13.6640625" style="41" customWidth="1"/>
    <col min="12033" max="12033" width="64.5" style="41" customWidth="1"/>
    <col min="12034" max="12034" width="16.1640625" style="41" customWidth="1"/>
    <col min="12035" max="12037" width="14.6640625" style="41" customWidth="1"/>
    <col min="12038" max="12039" width="17.33203125" style="41" customWidth="1"/>
    <col min="12040" max="12040" width="15" style="41" customWidth="1"/>
    <col min="12041" max="12041" width="16.6640625" style="41" customWidth="1"/>
    <col min="12042" max="12044" width="15.83203125" style="41" customWidth="1"/>
    <col min="12045" max="12050" width="8.83203125" style="41"/>
    <col min="12051" max="12051" width="34.6640625" style="41" customWidth="1"/>
    <col min="12052" max="12286" width="8.83203125" style="41"/>
    <col min="12287" max="12287" width="32.6640625" style="41" customWidth="1"/>
    <col min="12288" max="12288" width="13.6640625" style="41" customWidth="1"/>
    <col min="12289" max="12289" width="64.5" style="41" customWidth="1"/>
    <col min="12290" max="12290" width="16.1640625" style="41" customWidth="1"/>
    <col min="12291" max="12293" width="14.6640625" style="41" customWidth="1"/>
    <col min="12294" max="12295" width="17.33203125" style="41" customWidth="1"/>
    <col min="12296" max="12296" width="15" style="41" customWidth="1"/>
    <col min="12297" max="12297" width="16.6640625" style="41" customWidth="1"/>
    <col min="12298" max="12300" width="15.83203125" style="41" customWidth="1"/>
    <col min="12301" max="12306" width="8.83203125" style="41"/>
    <col min="12307" max="12307" width="34.6640625" style="41" customWidth="1"/>
    <col min="12308" max="12542" width="8.83203125" style="41"/>
    <col min="12543" max="12543" width="32.6640625" style="41" customWidth="1"/>
    <col min="12544" max="12544" width="13.6640625" style="41" customWidth="1"/>
    <col min="12545" max="12545" width="64.5" style="41" customWidth="1"/>
    <col min="12546" max="12546" width="16.1640625" style="41" customWidth="1"/>
    <col min="12547" max="12549" width="14.6640625" style="41" customWidth="1"/>
    <col min="12550" max="12551" width="17.33203125" style="41" customWidth="1"/>
    <col min="12552" max="12552" width="15" style="41" customWidth="1"/>
    <col min="12553" max="12553" width="16.6640625" style="41" customWidth="1"/>
    <col min="12554" max="12556" width="15.83203125" style="41" customWidth="1"/>
    <col min="12557" max="12562" width="8.83203125" style="41"/>
    <col min="12563" max="12563" width="34.6640625" style="41" customWidth="1"/>
    <col min="12564" max="12798" width="8.83203125" style="41"/>
    <col min="12799" max="12799" width="32.6640625" style="41" customWidth="1"/>
    <col min="12800" max="12800" width="13.6640625" style="41" customWidth="1"/>
    <col min="12801" max="12801" width="64.5" style="41" customWidth="1"/>
    <col min="12802" max="12802" width="16.1640625" style="41" customWidth="1"/>
    <col min="12803" max="12805" width="14.6640625" style="41" customWidth="1"/>
    <col min="12806" max="12807" width="17.33203125" style="41" customWidth="1"/>
    <col min="12808" max="12808" width="15" style="41" customWidth="1"/>
    <col min="12809" max="12809" width="16.6640625" style="41" customWidth="1"/>
    <col min="12810" max="12812" width="15.83203125" style="41" customWidth="1"/>
    <col min="12813" max="12818" width="8.83203125" style="41"/>
    <col min="12819" max="12819" width="34.6640625" style="41" customWidth="1"/>
    <col min="12820" max="13054" width="8.83203125" style="41"/>
    <col min="13055" max="13055" width="32.6640625" style="41" customWidth="1"/>
    <col min="13056" max="13056" width="13.6640625" style="41" customWidth="1"/>
    <col min="13057" max="13057" width="64.5" style="41" customWidth="1"/>
    <col min="13058" max="13058" width="16.1640625" style="41" customWidth="1"/>
    <col min="13059" max="13061" width="14.6640625" style="41" customWidth="1"/>
    <col min="13062" max="13063" width="17.33203125" style="41" customWidth="1"/>
    <col min="13064" max="13064" width="15" style="41" customWidth="1"/>
    <col min="13065" max="13065" width="16.6640625" style="41" customWidth="1"/>
    <col min="13066" max="13068" width="15.83203125" style="41" customWidth="1"/>
    <col min="13069" max="13074" width="8.83203125" style="41"/>
    <col min="13075" max="13075" width="34.6640625" style="41" customWidth="1"/>
    <col min="13076" max="13310" width="8.83203125" style="41"/>
    <col min="13311" max="13311" width="32.6640625" style="41" customWidth="1"/>
    <col min="13312" max="13312" width="13.6640625" style="41" customWidth="1"/>
    <col min="13313" max="13313" width="64.5" style="41" customWidth="1"/>
    <col min="13314" max="13314" width="16.1640625" style="41" customWidth="1"/>
    <col min="13315" max="13317" width="14.6640625" style="41" customWidth="1"/>
    <col min="13318" max="13319" width="17.33203125" style="41" customWidth="1"/>
    <col min="13320" max="13320" width="15" style="41" customWidth="1"/>
    <col min="13321" max="13321" width="16.6640625" style="41" customWidth="1"/>
    <col min="13322" max="13324" width="15.83203125" style="41" customWidth="1"/>
    <col min="13325" max="13330" width="8.83203125" style="41"/>
    <col min="13331" max="13331" width="34.6640625" style="41" customWidth="1"/>
    <col min="13332" max="13566" width="8.83203125" style="41"/>
    <col min="13567" max="13567" width="32.6640625" style="41" customWidth="1"/>
    <col min="13568" max="13568" width="13.6640625" style="41" customWidth="1"/>
    <col min="13569" max="13569" width="64.5" style="41" customWidth="1"/>
    <col min="13570" max="13570" width="16.1640625" style="41" customWidth="1"/>
    <col min="13571" max="13573" width="14.6640625" style="41" customWidth="1"/>
    <col min="13574" max="13575" width="17.33203125" style="41" customWidth="1"/>
    <col min="13576" max="13576" width="15" style="41" customWidth="1"/>
    <col min="13577" max="13577" width="16.6640625" style="41" customWidth="1"/>
    <col min="13578" max="13580" width="15.83203125" style="41" customWidth="1"/>
    <col min="13581" max="13586" width="8.83203125" style="41"/>
    <col min="13587" max="13587" width="34.6640625" style="41" customWidth="1"/>
    <col min="13588" max="13822" width="8.83203125" style="41"/>
    <col min="13823" max="13823" width="32.6640625" style="41" customWidth="1"/>
    <col min="13824" max="13824" width="13.6640625" style="41" customWidth="1"/>
    <col min="13825" max="13825" width="64.5" style="41" customWidth="1"/>
    <col min="13826" max="13826" width="16.1640625" style="41" customWidth="1"/>
    <col min="13827" max="13829" width="14.6640625" style="41" customWidth="1"/>
    <col min="13830" max="13831" width="17.33203125" style="41" customWidth="1"/>
    <col min="13832" max="13832" width="15" style="41" customWidth="1"/>
    <col min="13833" max="13833" width="16.6640625" style="41" customWidth="1"/>
    <col min="13834" max="13836" width="15.83203125" style="41" customWidth="1"/>
    <col min="13837" max="13842" width="8.83203125" style="41"/>
    <col min="13843" max="13843" width="34.6640625" style="41" customWidth="1"/>
    <col min="13844" max="14078" width="8.83203125" style="41"/>
    <col min="14079" max="14079" width="32.6640625" style="41" customWidth="1"/>
    <col min="14080" max="14080" width="13.6640625" style="41" customWidth="1"/>
    <col min="14081" max="14081" width="64.5" style="41" customWidth="1"/>
    <col min="14082" max="14082" width="16.1640625" style="41" customWidth="1"/>
    <col min="14083" max="14085" width="14.6640625" style="41" customWidth="1"/>
    <col min="14086" max="14087" width="17.33203125" style="41" customWidth="1"/>
    <col min="14088" max="14088" width="15" style="41" customWidth="1"/>
    <col min="14089" max="14089" width="16.6640625" style="41" customWidth="1"/>
    <col min="14090" max="14092" width="15.83203125" style="41" customWidth="1"/>
    <col min="14093" max="14098" width="8.83203125" style="41"/>
    <col min="14099" max="14099" width="34.6640625" style="41" customWidth="1"/>
    <col min="14100" max="14334" width="8.83203125" style="41"/>
    <col min="14335" max="14335" width="32.6640625" style="41" customWidth="1"/>
    <col min="14336" max="14336" width="13.6640625" style="41" customWidth="1"/>
    <col min="14337" max="14337" width="64.5" style="41" customWidth="1"/>
    <col min="14338" max="14338" width="16.1640625" style="41" customWidth="1"/>
    <col min="14339" max="14341" width="14.6640625" style="41" customWidth="1"/>
    <col min="14342" max="14343" width="17.33203125" style="41" customWidth="1"/>
    <col min="14344" max="14344" width="15" style="41" customWidth="1"/>
    <col min="14345" max="14345" width="16.6640625" style="41" customWidth="1"/>
    <col min="14346" max="14348" width="15.83203125" style="41" customWidth="1"/>
    <col min="14349" max="14354" width="8.83203125" style="41"/>
    <col min="14355" max="14355" width="34.6640625" style="41" customWidth="1"/>
    <col min="14356" max="14590" width="8.83203125" style="41"/>
    <col min="14591" max="14591" width="32.6640625" style="41" customWidth="1"/>
    <col min="14592" max="14592" width="13.6640625" style="41" customWidth="1"/>
    <col min="14593" max="14593" width="64.5" style="41" customWidth="1"/>
    <col min="14594" max="14594" width="16.1640625" style="41" customWidth="1"/>
    <col min="14595" max="14597" width="14.6640625" style="41" customWidth="1"/>
    <col min="14598" max="14599" width="17.33203125" style="41" customWidth="1"/>
    <col min="14600" max="14600" width="15" style="41" customWidth="1"/>
    <col min="14601" max="14601" width="16.6640625" style="41" customWidth="1"/>
    <col min="14602" max="14604" width="15.83203125" style="41" customWidth="1"/>
    <col min="14605" max="14610" width="8.83203125" style="41"/>
    <col min="14611" max="14611" width="34.6640625" style="41" customWidth="1"/>
    <col min="14612" max="14846" width="8.83203125" style="41"/>
    <col min="14847" max="14847" width="32.6640625" style="41" customWidth="1"/>
    <col min="14848" max="14848" width="13.6640625" style="41" customWidth="1"/>
    <col min="14849" max="14849" width="64.5" style="41" customWidth="1"/>
    <col min="14850" max="14850" width="16.1640625" style="41" customWidth="1"/>
    <col min="14851" max="14853" width="14.6640625" style="41" customWidth="1"/>
    <col min="14854" max="14855" width="17.33203125" style="41" customWidth="1"/>
    <col min="14856" max="14856" width="15" style="41" customWidth="1"/>
    <col min="14857" max="14857" width="16.6640625" style="41" customWidth="1"/>
    <col min="14858" max="14860" width="15.83203125" style="41" customWidth="1"/>
    <col min="14861" max="14866" width="8.83203125" style="41"/>
    <col min="14867" max="14867" width="34.6640625" style="41" customWidth="1"/>
    <col min="14868" max="15102" width="8.83203125" style="41"/>
    <col min="15103" max="15103" width="32.6640625" style="41" customWidth="1"/>
    <col min="15104" max="15104" width="13.6640625" style="41" customWidth="1"/>
    <col min="15105" max="15105" width="64.5" style="41" customWidth="1"/>
    <col min="15106" max="15106" width="16.1640625" style="41" customWidth="1"/>
    <col min="15107" max="15109" width="14.6640625" style="41" customWidth="1"/>
    <col min="15110" max="15111" width="17.33203125" style="41" customWidth="1"/>
    <col min="15112" max="15112" width="15" style="41" customWidth="1"/>
    <col min="15113" max="15113" width="16.6640625" style="41" customWidth="1"/>
    <col min="15114" max="15116" width="15.83203125" style="41" customWidth="1"/>
    <col min="15117" max="15122" width="8.83203125" style="41"/>
    <col min="15123" max="15123" width="34.6640625" style="41" customWidth="1"/>
    <col min="15124" max="15358" width="8.83203125" style="41"/>
    <col min="15359" max="15359" width="32.6640625" style="41" customWidth="1"/>
    <col min="15360" max="15360" width="13.6640625" style="41" customWidth="1"/>
    <col min="15361" max="15361" width="64.5" style="41" customWidth="1"/>
    <col min="15362" max="15362" width="16.1640625" style="41" customWidth="1"/>
    <col min="15363" max="15365" width="14.6640625" style="41" customWidth="1"/>
    <col min="15366" max="15367" width="17.33203125" style="41" customWidth="1"/>
    <col min="15368" max="15368" width="15" style="41" customWidth="1"/>
    <col min="15369" max="15369" width="16.6640625" style="41" customWidth="1"/>
    <col min="15370" max="15372" width="15.83203125" style="41" customWidth="1"/>
    <col min="15373" max="15378" width="8.83203125" style="41"/>
    <col min="15379" max="15379" width="34.6640625" style="41" customWidth="1"/>
    <col min="15380" max="15614" width="8.83203125" style="41"/>
    <col min="15615" max="15615" width="32.6640625" style="41" customWidth="1"/>
    <col min="15616" max="15616" width="13.6640625" style="41" customWidth="1"/>
    <col min="15617" max="15617" width="64.5" style="41" customWidth="1"/>
    <col min="15618" max="15618" width="16.1640625" style="41" customWidth="1"/>
    <col min="15619" max="15621" width="14.6640625" style="41" customWidth="1"/>
    <col min="15622" max="15623" width="17.33203125" style="41" customWidth="1"/>
    <col min="15624" max="15624" width="15" style="41" customWidth="1"/>
    <col min="15625" max="15625" width="16.6640625" style="41" customWidth="1"/>
    <col min="15626" max="15628" width="15.83203125" style="41" customWidth="1"/>
    <col min="15629" max="15634" width="8.83203125" style="41"/>
    <col min="15635" max="15635" width="34.6640625" style="41" customWidth="1"/>
    <col min="15636" max="15870" width="8.83203125" style="41"/>
    <col min="15871" max="15871" width="32.6640625" style="41" customWidth="1"/>
    <col min="15872" max="15872" width="13.6640625" style="41" customWidth="1"/>
    <col min="15873" max="15873" width="64.5" style="41" customWidth="1"/>
    <col min="15874" max="15874" width="16.1640625" style="41" customWidth="1"/>
    <col min="15875" max="15877" width="14.6640625" style="41" customWidth="1"/>
    <col min="15878" max="15879" width="17.33203125" style="41" customWidth="1"/>
    <col min="15880" max="15880" width="15" style="41" customWidth="1"/>
    <col min="15881" max="15881" width="16.6640625" style="41" customWidth="1"/>
    <col min="15882" max="15884" width="15.83203125" style="41" customWidth="1"/>
    <col min="15885" max="15890" width="8.83203125" style="41"/>
    <col min="15891" max="15891" width="34.6640625" style="41" customWidth="1"/>
    <col min="15892" max="16126" width="8.83203125" style="41"/>
    <col min="16127" max="16127" width="32.6640625" style="41" customWidth="1"/>
    <col min="16128" max="16128" width="13.6640625" style="41" customWidth="1"/>
    <col min="16129" max="16129" width="64.5" style="41" customWidth="1"/>
    <col min="16130" max="16130" width="16.1640625" style="41" customWidth="1"/>
    <col min="16131" max="16133" width="14.6640625" style="41" customWidth="1"/>
    <col min="16134" max="16135" width="17.33203125" style="41" customWidth="1"/>
    <col min="16136" max="16136" width="15" style="41" customWidth="1"/>
    <col min="16137" max="16137" width="16.6640625" style="41" customWidth="1"/>
    <col min="16138" max="16140" width="15.83203125" style="41" customWidth="1"/>
    <col min="16141" max="16146" width="8.83203125" style="41"/>
    <col min="16147" max="16147" width="34.6640625" style="41" customWidth="1"/>
    <col min="16148" max="16384" width="8.83203125" style="41"/>
  </cols>
  <sheetData>
    <row r="1" spans="1:15">
      <c r="A1" s="38" t="s">
        <v>628</v>
      </c>
    </row>
    <row r="2" spans="1:15" ht="33">
      <c r="A2" s="38" t="s">
        <v>629</v>
      </c>
      <c r="E2" s="42" t="s">
        <v>630</v>
      </c>
      <c r="F2" s="42"/>
    </row>
    <row r="3" spans="1:15">
      <c r="A3" s="38" t="s">
        <v>631</v>
      </c>
    </row>
    <row r="4" spans="1:15">
      <c r="A4" s="38" t="s">
        <v>632</v>
      </c>
    </row>
    <row r="5" spans="1:15">
      <c r="G5" s="43" t="s">
        <v>633</v>
      </c>
    </row>
    <row r="6" spans="1:15">
      <c r="B6" s="44"/>
      <c r="C6" s="44"/>
      <c r="D6" s="44"/>
    </row>
    <row r="8" spans="1:15" ht="30" customHeight="1">
      <c r="A8" s="45" t="s">
        <v>633</v>
      </c>
      <c r="B8" s="45" t="s">
        <v>634</v>
      </c>
      <c r="C8" s="45" t="s">
        <v>635</v>
      </c>
      <c r="D8" s="45" t="s">
        <v>636</v>
      </c>
      <c r="E8" s="45" t="s">
        <v>637</v>
      </c>
      <c r="F8" s="46" t="s">
        <v>638</v>
      </c>
      <c r="G8" s="45" t="s">
        <v>639</v>
      </c>
      <c r="H8" s="47" t="s">
        <v>634</v>
      </c>
      <c r="I8" s="47" t="s">
        <v>640</v>
      </c>
      <c r="J8" s="45" t="s">
        <v>641</v>
      </c>
      <c r="K8" s="45" t="s">
        <v>642</v>
      </c>
      <c r="L8" s="45" t="s">
        <v>643</v>
      </c>
      <c r="M8" s="45" t="s">
        <v>644</v>
      </c>
      <c r="N8" s="45" t="s">
        <v>643</v>
      </c>
    </row>
    <row r="9" spans="1:15" ht="30" customHeight="1">
      <c r="A9" s="45" t="s">
        <v>640</v>
      </c>
      <c r="B9" s="45" t="s">
        <v>645</v>
      </c>
      <c r="C9" s="45" t="s">
        <v>646</v>
      </c>
      <c r="D9" s="45" t="s">
        <v>647</v>
      </c>
      <c r="E9" s="45" t="s">
        <v>648</v>
      </c>
      <c r="F9" s="45" t="s">
        <v>648</v>
      </c>
      <c r="G9" s="45" t="s">
        <v>649</v>
      </c>
      <c r="H9" s="47" t="s">
        <v>650</v>
      </c>
      <c r="I9" s="47" t="s">
        <v>650</v>
      </c>
      <c r="J9" s="45" t="s">
        <v>651</v>
      </c>
      <c r="K9" s="45" t="s">
        <v>651</v>
      </c>
      <c r="L9" s="45" t="s">
        <v>648</v>
      </c>
      <c r="M9" s="45" t="s">
        <v>652</v>
      </c>
      <c r="N9" s="45" t="s">
        <v>653</v>
      </c>
      <c r="O9" s="41" t="s">
        <v>1098</v>
      </c>
    </row>
    <row r="10" spans="1:15" s="48" customFormat="1" ht="30" hidden="1" customHeight="1">
      <c r="A10" s="45"/>
      <c r="B10" s="45"/>
      <c r="C10" s="45"/>
      <c r="D10" s="45"/>
      <c r="E10" s="45"/>
      <c r="F10" s="45"/>
      <c r="G10" s="45"/>
      <c r="H10" s="47"/>
      <c r="I10" s="47"/>
      <c r="J10" s="45"/>
      <c r="K10" s="45"/>
      <c r="L10" s="45"/>
      <c r="M10" s="45"/>
      <c r="N10" s="45"/>
    </row>
    <row r="11" spans="1:15" ht="30" hidden="1" customHeight="1">
      <c r="A11" s="45" t="s">
        <v>654</v>
      </c>
      <c r="B11" s="45" t="s">
        <v>655</v>
      </c>
      <c r="C11" s="49" t="s">
        <v>656</v>
      </c>
      <c r="D11" s="50" t="s">
        <v>657</v>
      </c>
      <c r="E11" s="51">
        <v>200</v>
      </c>
      <c r="F11" s="51">
        <v>40</v>
      </c>
      <c r="G11" s="51">
        <v>50</v>
      </c>
      <c r="H11" s="52" t="e">
        <f>(F11+#REF!)/E11</f>
        <v>#REF!</v>
      </c>
      <c r="I11" s="52">
        <f>F11/E11</f>
        <v>0.2</v>
      </c>
      <c r="J11" s="53">
        <v>40</v>
      </c>
      <c r="K11" s="51">
        <v>800</v>
      </c>
      <c r="L11" s="51">
        <v>0</v>
      </c>
      <c r="M11" s="51"/>
      <c r="N11" s="51"/>
    </row>
    <row r="12" spans="1:15" ht="30" hidden="1" customHeight="1">
      <c r="A12" s="45" t="s">
        <v>658</v>
      </c>
      <c r="B12" s="45" t="s">
        <v>655</v>
      </c>
      <c r="C12" s="49" t="s">
        <v>659</v>
      </c>
      <c r="D12" s="50" t="s">
        <v>660</v>
      </c>
      <c r="E12" s="51">
        <v>100</v>
      </c>
      <c r="F12" s="51">
        <v>20</v>
      </c>
      <c r="G12" s="51">
        <v>35</v>
      </c>
      <c r="H12" s="52">
        <f>F12/E12</f>
        <v>0.2</v>
      </c>
      <c r="I12" s="52">
        <f>F12/E12</f>
        <v>0.2</v>
      </c>
      <c r="J12" s="53">
        <v>60</v>
      </c>
      <c r="K12" s="51">
        <v>650</v>
      </c>
      <c r="L12" s="51">
        <f>I12*G12*8*24*0.001</f>
        <v>1.3440000000000001</v>
      </c>
      <c r="M12" s="51"/>
      <c r="N12" s="51"/>
    </row>
    <row r="13" spans="1:15" ht="30" customHeight="1">
      <c r="A13" s="45" t="s">
        <v>658</v>
      </c>
      <c r="B13" s="45" t="s">
        <v>661</v>
      </c>
      <c r="C13" s="49" t="s">
        <v>662</v>
      </c>
      <c r="D13" s="50"/>
      <c r="E13" s="51"/>
      <c r="F13" s="51"/>
      <c r="G13" s="51"/>
      <c r="H13" s="52"/>
      <c r="I13" s="52"/>
      <c r="J13" s="53"/>
      <c r="K13" s="51"/>
      <c r="L13" s="51">
        <v>4</v>
      </c>
      <c r="M13" s="51"/>
      <c r="N13" s="51" t="s">
        <v>663</v>
      </c>
      <c r="O13" s="41" t="s">
        <v>1099</v>
      </c>
    </row>
    <row r="14" spans="1:15" ht="30" hidden="1" customHeight="1">
      <c r="A14" s="45" t="s">
        <v>664</v>
      </c>
      <c r="B14" s="45" t="s">
        <v>655</v>
      </c>
      <c r="C14" s="54" t="s">
        <v>665</v>
      </c>
      <c r="D14" s="50" t="s">
        <v>660</v>
      </c>
      <c r="E14" s="51">
        <v>600</v>
      </c>
      <c r="F14" s="51">
        <v>300</v>
      </c>
      <c r="G14" s="51">
        <v>125</v>
      </c>
      <c r="H14" s="52">
        <f>(F14+F15)/E14</f>
        <v>0.66666666666666663</v>
      </c>
      <c r="I14" s="52">
        <f>F14/E14</f>
        <v>0.5</v>
      </c>
      <c r="J14" s="53">
        <v>35</v>
      </c>
      <c r="K14" s="51">
        <v>800</v>
      </c>
      <c r="L14" s="51">
        <f>I14*G14*8*24*0.001</f>
        <v>12</v>
      </c>
      <c r="M14" s="51"/>
      <c r="N14" s="51"/>
    </row>
    <row r="15" spans="1:15" ht="30" hidden="1" customHeight="1">
      <c r="A15" s="45" t="s">
        <v>666</v>
      </c>
      <c r="B15" s="45" t="s">
        <v>655</v>
      </c>
      <c r="C15" s="54" t="s">
        <v>665</v>
      </c>
      <c r="D15" s="50" t="s">
        <v>660</v>
      </c>
      <c r="E15" s="51">
        <v>600</v>
      </c>
      <c r="F15" s="51">
        <v>100</v>
      </c>
      <c r="G15" s="51">
        <v>125</v>
      </c>
      <c r="H15" s="52">
        <f>(F15+F14)/E15</f>
        <v>0.66666666666666663</v>
      </c>
      <c r="I15" s="52">
        <f>F15/E15</f>
        <v>0.16666666666666666</v>
      </c>
      <c r="J15" s="53">
        <v>35</v>
      </c>
      <c r="K15" s="51">
        <v>800</v>
      </c>
      <c r="L15" s="51">
        <f>I15*G15*8*24*0.001</f>
        <v>4</v>
      </c>
      <c r="M15" s="51"/>
      <c r="N15" s="51"/>
    </row>
    <row r="16" spans="1:15" ht="30" hidden="1" customHeight="1">
      <c r="A16" s="45" t="s">
        <v>667</v>
      </c>
      <c r="B16" s="45" t="s">
        <v>655</v>
      </c>
      <c r="C16" s="54" t="s">
        <v>668</v>
      </c>
      <c r="D16" s="50" t="s">
        <v>660</v>
      </c>
      <c r="E16" s="51">
        <v>400</v>
      </c>
      <c r="F16" s="51">
        <v>5</v>
      </c>
      <c r="G16" s="51">
        <v>80</v>
      </c>
      <c r="H16" s="52">
        <f>(F16+F57)/E16</f>
        <v>0.38750000000000001</v>
      </c>
      <c r="I16" s="52">
        <f>F16/E16</f>
        <v>1.2500000000000001E-2</v>
      </c>
      <c r="J16" s="53">
        <v>60</v>
      </c>
      <c r="K16" s="51">
        <v>750</v>
      </c>
      <c r="L16" s="51">
        <f>I16*G16*10*24*0.001</f>
        <v>0.24</v>
      </c>
      <c r="M16" s="51"/>
      <c r="N16" s="51"/>
    </row>
    <row r="17" spans="1:15" ht="30" hidden="1" customHeight="1">
      <c r="A17" s="45" t="s">
        <v>669</v>
      </c>
      <c r="B17" s="45" t="s">
        <v>655</v>
      </c>
      <c r="C17" s="54" t="s">
        <v>670</v>
      </c>
      <c r="D17" s="50" t="s">
        <v>657</v>
      </c>
      <c r="E17" s="51"/>
      <c r="F17" s="51"/>
      <c r="G17" s="51"/>
      <c r="H17" s="52"/>
      <c r="I17" s="52"/>
      <c r="J17" s="53"/>
      <c r="K17" s="51"/>
      <c r="L17" s="51"/>
      <c r="M17" s="51"/>
      <c r="N17" s="51"/>
    </row>
    <row r="18" spans="1:15" ht="30" hidden="1" customHeight="1">
      <c r="A18" s="45" t="s">
        <v>671</v>
      </c>
      <c r="B18" s="45" t="s">
        <v>655</v>
      </c>
      <c r="C18" s="54" t="s">
        <v>672</v>
      </c>
      <c r="D18" s="50" t="s">
        <v>660</v>
      </c>
      <c r="E18" s="51">
        <v>1000</v>
      </c>
      <c r="F18" s="51">
        <v>40</v>
      </c>
      <c r="G18" s="51">
        <v>185</v>
      </c>
      <c r="H18" s="52">
        <f>(F18+F19+F20+F21)/E18</f>
        <v>0.34</v>
      </c>
      <c r="I18" s="52">
        <f>F18/E18</f>
        <v>0.04</v>
      </c>
      <c r="J18" s="53">
        <v>40</v>
      </c>
      <c r="K18" s="51">
        <v>650</v>
      </c>
      <c r="L18" s="51">
        <f>I18*G18*8*24*0.001</f>
        <v>1.4208000000000003</v>
      </c>
      <c r="M18" s="51"/>
      <c r="N18" s="51"/>
    </row>
    <row r="19" spans="1:15" ht="30" hidden="1" customHeight="1">
      <c r="A19" s="45" t="s">
        <v>673</v>
      </c>
      <c r="B19" s="45" t="s">
        <v>655</v>
      </c>
      <c r="C19" s="54" t="s">
        <v>672</v>
      </c>
      <c r="D19" s="50" t="s">
        <v>660</v>
      </c>
      <c r="E19" s="51">
        <v>1000</v>
      </c>
      <c r="F19" s="51">
        <v>60</v>
      </c>
      <c r="G19" s="51">
        <v>185</v>
      </c>
      <c r="H19" s="52">
        <f>(F19+F20+F21+F18)/E19</f>
        <v>0.34</v>
      </c>
      <c r="I19" s="52">
        <f>F19/E19</f>
        <v>0.06</v>
      </c>
      <c r="J19" s="53">
        <v>40</v>
      </c>
      <c r="K19" s="51">
        <v>650</v>
      </c>
      <c r="L19" s="51">
        <f>I19*G19*8*24*0.001</f>
        <v>2.1311999999999998</v>
      </c>
      <c r="M19" s="51"/>
      <c r="N19" s="51"/>
    </row>
    <row r="20" spans="1:15" ht="30" hidden="1" customHeight="1">
      <c r="A20" s="45" t="s">
        <v>674</v>
      </c>
      <c r="B20" s="45" t="s">
        <v>655</v>
      </c>
      <c r="C20" s="54" t="s">
        <v>672</v>
      </c>
      <c r="D20" s="50" t="s">
        <v>660</v>
      </c>
      <c r="E20" s="51">
        <v>1000</v>
      </c>
      <c r="F20" s="51">
        <v>40</v>
      </c>
      <c r="G20" s="51">
        <v>185</v>
      </c>
      <c r="H20" s="52">
        <f>(F20+F21+F18+F19)/E20</f>
        <v>0.34</v>
      </c>
      <c r="I20" s="52">
        <f>F20/E20</f>
        <v>0.04</v>
      </c>
      <c r="J20" s="53">
        <v>40</v>
      </c>
      <c r="K20" s="51">
        <v>650</v>
      </c>
      <c r="L20" s="51">
        <f>I20*G20*8*24*0.001</f>
        <v>1.4208000000000003</v>
      </c>
      <c r="M20" s="51"/>
      <c r="N20" s="51"/>
    </row>
    <row r="21" spans="1:15" ht="30" hidden="1" customHeight="1">
      <c r="A21" s="45" t="s">
        <v>675</v>
      </c>
      <c r="B21" s="45" t="s">
        <v>655</v>
      </c>
      <c r="C21" s="54" t="s">
        <v>672</v>
      </c>
      <c r="D21" s="50" t="s">
        <v>660</v>
      </c>
      <c r="E21" s="51">
        <v>1000</v>
      </c>
      <c r="F21" s="51">
        <v>200</v>
      </c>
      <c r="G21" s="51">
        <v>185</v>
      </c>
      <c r="H21" s="52">
        <f>(F21+F18+F19+F20)/E21</f>
        <v>0.34</v>
      </c>
      <c r="I21" s="52">
        <f>F21/E21</f>
        <v>0.2</v>
      </c>
      <c r="J21" s="53">
        <v>40</v>
      </c>
      <c r="K21" s="51">
        <v>650</v>
      </c>
      <c r="L21" s="51">
        <f>I21*G21*8*24*0.001</f>
        <v>7.1040000000000001</v>
      </c>
      <c r="M21" s="51"/>
      <c r="N21" s="51"/>
    </row>
    <row r="22" spans="1:15" ht="30" hidden="1" customHeight="1">
      <c r="A22" s="45" t="s">
        <v>676</v>
      </c>
      <c r="B22" s="45" t="s">
        <v>655</v>
      </c>
      <c r="C22" s="54" t="s">
        <v>670</v>
      </c>
      <c r="D22" s="50" t="s">
        <v>660</v>
      </c>
      <c r="E22" s="51">
        <v>120</v>
      </c>
      <c r="F22" s="51">
        <v>25</v>
      </c>
      <c r="G22" s="51">
        <v>18</v>
      </c>
      <c r="H22" s="52">
        <f>F22/E22</f>
        <v>0.20833333333333334</v>
      </c>
      <c r="I22" s="52">
        <f>F22/E22</f>
        <v>0.20833333333333334</v>
      </c>
      <c r="J22" s="53">
        <v>35</v>
      </c>
      <c r="K22" s="51">
        <v>650</v>
      </c>
      <c r="L22" s="51">
        <f>I22*G22*10*24*0.001*1.5</f>
        <v>1.35</v>
      </c>
      <c r="M22" s="51"/>
      <c r="N22" s="51"/>
    </row>
    <row r="23" spans="1:15" ht="30" customHeight="1">
      <c r="A23" s="45" t="s">
        <v>677</v>
      </c>
      <c r="B23" s="45" t="s">
        <v>661</v>
      </c>
      <c r="C23" s="54" t="s">
        <v>678</v>
      </c>
      <c r="D23" s="50" t="s">
        <v>657</v>
      </c>
      <c r="E23" s="51"/>
      <c r="F23" s="51"/>
      <c r="G23" s="51"/>
      <c r="H23" s="52"/>
      <c r="I23" s="52"/>
      <c r="J23" s="53"/>
      <c r="K23" s="51"/>
      <c r="L23" s="51">
        <v>4</v>
      </c>
      <c r="M23" s="51"/>
      <c r="N23" s="51" t="s">
        <v>663</v>
      </c>
      <c r="O23" s="41" t="s">
        <v>1099</v>
      </c>
    </row>
    <row r="24" spans="1:15" ht="30" hidden="1" customHeight="1">
      <c r="A24" s="45" t="s">
        <v>679</v>
      </c>
      <c r="B24" s="45" t="s">
        <v>655</v>
      </c>
      <c r="C24" s="54" t="s">
        <v>668</v>
      </c>
      <c r="D24" s="50" t="s">
        <v>660</v>
      </c>
      <c r="E24" s="51">
        <v>350</v>
      </c>
      <c r="F24" s="51">
        <v>20</v>
      </c>
      <c r="G24" s="51">
        <v>87</v>
      </c>
      <c r="H24" s="52">
        <f>(F24+F26)/E24</f>
        <v>0.45714285714285713</v>
      </c>
      <c r="I24" s="52">
        <f>F24/E24</f>
        <v>5.7142857142857141E-2</v>
      </c>
      <c r="J24" s="53">
        <v>100</v>
      </c>
      <c r="K24" s="51">
        <v>1075</v>
      </c>
      <c r="L24" s="51">
        <f>I24*G24*8*24*0.001</f>
        <v>0.95451428571428576</v>
      </c>
      <c r="M24" s="51"/>
      <c r="N24" s="51"/>
    </row>
    <row r="25" spans="1:15" ht="30" hidden="1" customHeight="1">
      <c r="A25" s="45" t="s">
        <v>680</v>
      </c>
      <c r="B25" s="45" t="s">
        <v>655</v>
      </c>
      <c r="C25" s="54" t="s">
        <v>665</v>
      </c>
      <c r="D25" s="50" t="s">
        <v>660</v>
      </c>
      <c r="E25" s="51">
        <v>600</v>
      </c>
      <c r="F25" s="51">
        <v>350</v>
      </c>
      <c r="G25" s="51">
        <v>125</v>
      </c>
      <c r="H25" s="52">
        <f>F25/E25</f>
        <v>0.58333333333333337</v>
      </c>
      <c r="I25" s="52">
        <f>F25/E25</f>
        <v>0.58333333333333337</v>
      </c>
      <c r="J25" s="53">
        <v>90</v>
      </c>
      <c r="K25" s="51">
        <v>800</v>
      </c>
      <c r="L25" s="51">
        <f>I25*G25*8*24*0.001</f>
        <v>14</v>
      </c>
      <c r="M25" s="51"/>
      <c r="N25" s="51"/>
    </row>
    <row r="26" spans="1:15" ht="30" hidden="1" customHeight="1">
      <c r="A26" s="45" t="s">
        <v>681</v>
      </c>
      <c r="B26" s="45" t="s">
        <v>655</v>
      </c>
      <c r="C26" s="54" t="s">
        <v>668</v>
      </c>
      <c r="D26" s="50" t="s">
        <v>660</v>
      </c>
      <c r="E26" s="51">
        <v>350</v>
      </c>
      <c r="F26" s="51">
        <v>140</v>
      </c>
      <c r="G26" s="51">
        <v>87</v>
      </c>
      <c r="H26" s="52">
        <f>(F26+F24)/E26</f>
        <v>0.45714285714285713</v>
      </c>
      <c r="I26" s="52">
        <f>F26/E26</f>
        <v>0.4</v>
      </c>
      <c r="J26" s="53">
        <v>100</v>
      </c>
      <c r="K26" s="51">
        <v>1075</v>
      </c>
      <c r="L26" s="51">
        <f>I26*G26*8*24*0.001</f>
        <v>6.6816000000000004</v>
      </c>
      <c r="M26" s="51"/>
      <c r="N26" s="51" t="s">
        <v>633</v>
      </c>
    </row>
    <row r="27" spans="1:15" ht="30" hidden="1" customHeight="1">
      <c r="A27" s="45" t="s">
        <v>682</v>
      </c>
      <c r="B27" s="45" t="s">
        <v>655</v>
      </c>
      <c r="C27" s="49" t="s">
        <v>683</v>
      </c>
      <c r="D27" s="50" t="s">
        <v>660</v>
      </c>
      <c r="E27" s="51"/>
      <c r="F27" s="51"/>
      <c r="G27" s="51"/>
      <c r="H27" s="52"/>
      <c r="I27" s="52"/>
      <c r="J27" s="53"/>
      <c r="K27" s="51"/>
      <c r="L27" s="51"/>
      <c r="M27" s="51"/>
      <c r="N27" s="51" t="s">
        <v>684</v>
      </c>
    </row>
    <row r="28" spans="1:15" ht="30" hidden="1" customHeight="1">
      <c r="A28" s="45" t="s">
        <v>685</v>
      </c>
      <c r="B28" s="45" t="s">
        <v>655</v>
      </c>
      <c r="C28" s="49" t="s">
        <v>656</v>
      </c>
      <c r="D28" s="50" t="s">
        <v>660</v>
      </c>
      <c r="E28" s="51">
        <v>150</v>
      </c>
      <c r="F28" s="51">
        <v>50</v>
      </c>
      <c r="G28" s="51">
        <v>50</v>
      </c>
      <c r="H28" s="52">
        <f>(F28)/E28</f>
        <v>0.33333333333333331</v>
      </c>
      <c r="I28" s="52">
        <f>F28/E28</f>
        <v>0.33333333333333331</v>
      </c>
      <c r="J28" s="53">
        <v>20</v>
      </c>
      <c r="K28" s="51">
        <v>850</v>
      </c>
      <c r="L28" s="51">
        <f>I28*G28*8*24*0.001</f>
        <v>3.1999999999999997</v>
      </c>
      <c r="M28" s="51"/>
      <c r="N28" s="51"/>
    </row>
    <row r="29" spans="1:15" ht="30" hidden="1" customHeight="1">
      <c r="A29" s="45" t="s">
        <v>686</v>
      </c>
      <c r="B29" s="45" t="s">
        <v>655</v>
      </c>
      <c r="C29" s="54" t="s">
        <v>670</v>
      </c>
      <c r="D29" s="50" t="s">
        <v>660</v>
      </c>
      <c r="E29" s="51">
        <v>120</v>
      </c>
      <c r="F29" s="51">
        <v>20</v>
      </c>
      <c r="G29" s="51">
        <v>18</v>
      </c>
      <c r="H29" s="52">
        <f>(F29)/E29</f>
        <v>0.16666666666666666</v>
      </c>
      <c r="I29" s="52">
        <f>F29/E29</f>
        <v>0.16666666666666666</v>
      </c>
      <c r="J29" s="53">
        <v>20</v>
      </c>
      <c r="K29" s="51">
        <v>620</v>
      </c>
      <c r="L29" s="51">
        <f>I29*G29*8*24*0.001</f>
        <v>0.57600000000000007</v>
      </c>
      <c r="M29" s="51"/>
      <c r="N29" s="51"/>
    </row>
    <row r="30" spans="1:15" ht="30" hidden="1" customHeight="1">
      <c r="A30" s="45" t="s">
        <v>687</v>
      </c>
      <c r="B30" s="45" t="s">
        <v>655</v>
      </c>
      <c r="C30" s="54" t="s">
        <v>688</v>
      </c>
      <c r="D30" s="50" t="s">
        <v>660</v>
      </c>
      <c r="E30" s="51">
        <v>400</v>
      </c>
      <c r="F30" s="51">
        <v>105</v>
      </c>
      <c r="G30" s="51">
        <v>75</v>
      </c>
      <c r="H30" s="52">
        <f>(F30+F32+F31)/E30</f>
        <v>0.625</v>
      </c>
      <c r="I30" s="52">
        <f t="shared" ref="I30:I39" si="0">F30/E30</f>
        <v>0.26250000000000001</v>
      </c>
      <c r="J30" s="53">
        <v>200</v>
      </c>
      <c r="K30" s="51">
        <v>850</v>
      </c>
      <c r="L30" s="51">
        <f>I30*G30*8*24*0.001</f>
        <v>3.7800000000000002</v>
      </c>
      <c r="M30" s="51"/>
      <c r="N30" s="51"/>
    </row>
    <row r="31" spans="1:15" ht="30" hidden="1" customHeight="1">
      <c r="A31" s="45" t="s">
        <v>689</v>
      </c>
      <c r="B31" s="45" t="s">
        <v>655</v>
      </c>
      <c r="C31" s="54" t="s">
        <v>688</v>
      </c>
      <c r="D31" s="50" t="s">
        <v>660</v>
      </c>
      <c r="E31" s="51">
        <v>400</v>
      </c>
      <c r="F31" s="51">
        <v>105</v>
      </c>
      <c r="G31" s="51">
        <v>75</v>
      </c>
      <c r="H31" s="52">
        <f>(F31+F30+F32)/E31</f>
        <v>0.625</v>
      </c>
      <c r="I31" s="52">
        <f t="shared" si="0"/>
        <v>0.26250000000000001</v>
      </c>
      <c r="J31" s="53">
        <v>200</v>
      </c>
      <c r="K31" s="51">
        <v>850</v>
      </c>
      <c r="L31" s="51">
        <f>I31*G31*8*24*0.001</f>
        <v>3.7800000000000002</v>
      </c>
      <c r="M31" s="51"/>
      <c r="N31" s="51"/>
    </row>
    <row r="32" spans="1:15" ht="30" hidden="1" customHeight="1">
      <c r="A32" s="45" t="s">
        <v>690</v>
      </c>
      <c r="B32" s="45" t="s">
        <v>655</v>
      </c>
      <c r="C32" s="54" t="s">
        <v>688</v>
      </c>
      <c r="D32" s="50" t="s">
        <v>660</v>
      </c>
      <c r="E32" s="51">
        <v>400</v>
      </c>
      <c r="F32" s="51">
        <v>40</v>
      </c>
      <c r="G32" s="51">
        <v>75</v>
      </c>
      <c r="H32" s="52">
        <f>(F32+F31+F30)/E32</f>
        <v>0.625</v>
      </c>
      <c r="I32" s="52">
        <f t="shared" si="0"/>
        <v>0.1</v>
      </c>
      <c r="J32" s="53">
        <v>20</v>
      </c>
      <c r="K32" s="51">
        <v>700</v>
      </c>
      <c r="L32" s="51">
        <f t="shared" ref="L32:L40" si="1">I32*G32*8*24*0.001</f>
        <v>1.44</v>
      </c>
      <c r="M32" s="51"/>
      <c r="N32" s="51"/>
    </row>
    <row r="33" spans="1:14" ht="30" hidden="1" customHeight="1">
      <c r="A33" s="45" t="s">
        <v>691</v>
      </c>
      <c r="B33" s="45" t="s">
        <v>655</v>
      </c>
      <c r="C33" s="54" t="s">
        <v>668</v>
      </c>
      <c r="D33" s="50" t="s">
        <v>660</v>
      </c>
      <c r="E33" s="51">
        <v>350</v>
      </c>
      <c r="F33" s="51">
        <v>20</v>
      </c>
      <c r="G33" s="51">
        <v>87</v>
      </c>
      <c r="H33" s="52">
        <f>(F37+F38+F33+F35+F36+F48+F66+F34)/E33</f>
        <v>2.7857142857142856</v>
      </c>
      <c r="I33" s="52">
        <f>F33/E33</f>
        <v>5.7142857142857141E-2</v>
      </c>
      <c r="J33" s="53">
        <v>60</v>
      </c>
      <c r="K33" s="51">
        <v>850</v>
      </c>
      <c r="L33" s="51">
        <f>I33*G33*8*24*0.001</f>
        <v>0.95451428571428576</v>
      </c>
      <c r="M33" s="51"/>
      <c r="N33" s="51" t="s">
        <v>684</v>
      </c>
    </row>
    <row r="34" spans="1:14" ht="30" hidden="1" customHeight="1">
      <c r="A34" s="45" t="s">
        <v>692</v>
      </c>
      <c r="B34" s="45" t="s">
        <v>655</v>
      </c>
      <c r="C34" s="54" t="s">
        <v>668</v>
      </c>
      <c r="D34" s="50" t="s">
        <v>660</v>
      </c>
      <c r="E34" s="51">
        <v>350</v>
      </c>
      <c r="F34" s="51">
        <v>100</v>
      </c>
      <c r="G34" s="51">
        <v>87</v>
      </c>
      <c r="H34" s="52">
        <f>(F37+F38+F34+F35+F36+F48+F66+F33)/E34</f>
        <v>2.7857142857142856</v>
      </c>
      <c r="I34" s="52">
        <f t="shared" si="0"/>
        <v>0.2857142857142857</v>
      </c>
      <c r="J34" s="53">
        <v>60</v>
      </c>
      <c r="K34" s="51">
        <v>850</v>
      </c>
      <c r="L34" s="51">
        <f t="shared" si="1"/>
        <v>4.7725714285714274</v>
      </c>
      <c r="M34" s="51"/>
      <c r="N34" s="51" t="s">
        <v>684</v>
      </c>
    </row>
    <row r="35" spans="1:14" ht="30" hidden="1" customHeight="1">
      <c r="A35" s="45" t="s">
        <v>693</v>
      </c>
      <c r="B35" s="45" t="s">
        <v>655</v>
      </c>
      <c r="C35" s="54" t="s">
        <v>668</v>
      </c>
      <c r="D35" s="50" t="s">
        <v>660</v>
      </c>
      <c r="E35" s="51">
        <v>350</v>
      </c>
      <c r="F35" s="51">
        <v>20</v>
      </c>
      <c r="G35" s="51">
        <v>87</v>
      </c>
      <c r="H35" s="52">
        <f>(F38+F34+F35+F36+F37+F48+F66+F33)/E35</f>
        <v>2.7857142857142856</v>
      </c>
      <c r="I35" s="52">
        <f t="shared" si="0"/>
        <v>5.7142857142857141E-2</v>
      </c>
      <c r="J35" s="53">
        <v>60</v>
      </c>
      <c r="K35" s="51">
        <v>850</v>
      </c>
      <c r="L35" s="51">
        <f t="shared" si="1"/>
        <v>0.95451428571428576</v>
      </c>
      <c r="M35" s="51"/>
      <c r="N35" s="51" t="s">
        <v>684</v>
      </c>
    </row>
    <row r="36" spans="1:14" ht="30" hidden="1" customHeight="1">
      <c r="A36" s="45" t="s">
        <v>694</v>
      </c>
      <c r="B36" s="45" t="s">
        <v>655</v>
      </c>
      <c r="C36" s="54" t="s">
        <v>668</v>
      </c>
      <c r="D36" s="50" t="s">
        <v>660</v>
      </c>
      <c r="E36" s="51">
        <v>350</v>
      </c>
      <c r="F36" s="51">
        <v>50</v>
      </c>
      <c r="G36" s="51">
        <v>87</v>
      </c>
      <c r="H36" s="52">
        <f>(F34+F35+F36+F37+F38+F48+F66+F33)/E36</f>
        <v>2.7857142857142856</v>
      </c>
      <c r="I36" s="52">
        <f t="shared" si="0"/>
        <v>0.14285714285714285</v>
      </c>
      <c r="J36" s="53">
        <v>35</v>
      </c>
      <c r="K36" s="51">
        <v>900</v>
      </c>
      <c r="L36" s="51">
        <f t="shared" si="1"/>
        <v>2.3862857142857137</v>
      </c>
      <c r="M36" s="51"/>
      <c r="N36" s="51" t="s">
        <v>684</v>
      </c>
    </row>
    <row r="37" spans="1:14" ht="30" hidden="1" customHeight="1">
      <c r="A37" s="45" t="s">
        <v>695</v>
      </c>
      <c r="B37" s="45" t="s">
        <v>655</v>
      </c>
      <c r="C37" s="54" t="s">
        <v>668</v>
      </c>
      <c r="D37" s="50" t="s">
        <v>660</v>
      </c>
      <c r="E37" s="51">
        <v>350</v>
      </c>
      <c r="F37" s="51">
        <v>125</v>
      </c>
      <c r="G37" s="51">
        <v>87</v>
      </c>
      <c r="H37" s="52">
        <f>(F34+F35+F37+F38+F36+F48+F66+F33)/E37</f>
        <v>2.7857142857142856</v>
      </c>
      <c r="I37" s="52">
        <f t="shared" si="0"/>
        <v>0.35714285714285715</v>
      </c>
      <c r="J37" s="53">
        <v>35</v>
      </c>
      <c r="K37" s="51">
        <v>900</v>
      </c>
      <c r="L37" s="51">
        <f t="shared" si="1"/>
        <v>5.9657142857142862</v>
      </c>
      <c r="M37" s="51"/>
      <c r="N37" s="51" t="s">
        <v>684</v>
      </c>
    </row>
    <row r="38" spans="1:14" ht="30" hidden="1" customHeight="1">
      <c r="A38" s="45" t="s">
        <v>696</v>
      </c>
      <c r="B38" s="45" t="s">
        <v>655</v>
      </c>
      <c r="C38" s="54" t="s">
        <v>668</v>
      </c>
      <c r="D38" s="50" t="s">
        <v>660</v>
      </c>
      <c r="E38" s="51">
        <v>350</v>
      </c>
      <c r="F38" s="51">
        <v>5</v>
      </c>
      <c r="G38" s="51">
        <v>87</v>
      </c>
      <c r="H38" s="52">
        <f>(F34+F35+F38+F36+F37+F48+F66+F33)/E38</f>
        <v>2.7857142857142856</v>
      </c>
      <c r="I38" s="52">
        <f t="shared" si="0"/>
        <v>1.4285714285714285E-2</v>
      </c>
      <c r="J38" s="53">
        <v>35</v>
      </c>
      <c r="K38" s="51">
        <v>900</v>
      </c>
      <c r="L38" s="51">
        <f t="shared" si="1"/>
        <v>0.23862857142857144</v>
      </c>
      <c r="M38" s="51"/>
      <c r="N38" s="51" t="s">
        <v>684</v>
      </c>
    </row>
    <row r="39" spans="1:14" ht="30" hidden="1" customHeight="1">
      <c r="A39" s="45" t="s">
        <v>697</v>
      </c>
      <c r="B39" s="45" t="s">
        <v>655</v>
      </c>
      <c r="C39" s="49" t="s">
        <v>656</v>
      </c>
      <c r="D39" s="50" t="s">
        <v>657</v>
      </c>
      <c r="E39" s="51">
        <v>400</v>
      </c>
      <c r="F39" s="51">
        <v>0</v>
      </c>
      <c r="G39" s="51">
        <v>55</v>
      </c>
      <c r="H39" s="52">
        <f>(F39+F41+F40+F42)/E39</f>
        <v>0.27500000000000002</v>
      </c>
      <c r="I39" s="52">
        <f t="shared" si="0"/>
        <v>0</v>
      </c>
      <c r="J39" s="53">
        <v>60</v>
      </c>
      <c r="K39" s="51">
        <v>650</v>
      </c>
      <c r="L39" s="51">
        <f t="shared" si="1"/>
        <v>0</v>
      </c>
      <c r="M39" s="51"/>
      <c r="N39" s="51"/>
    </row>
    <row r="40" spans="1:14" ht="30" hidden="1" customHeight="1">
      <c r="A40" s="45" t="s">
        <v>698</v>
      </c>
      <c r="B40" s="45" t="s">
        <v>655</v>
      </c>
      <c r="C40" s="49" t="s">
        <v>656</v>
      </c>
      <c r="D40" s="50" t="s">
        <v>660</v>
      </c>
      <c r="E40" s="51">
        <v>400</v>
      </c>
      <c r="F40" s="51">
        <v>5</v>
      </c>
      <c r="G40" s="51">
        <v>55</v>
      </c>
      <c r="H40" s="52">
        <f>(F40+F39+F41+F42)/E40</f>
        <v>0.27500000000000002</v>
      </c>
      <c r="I40" s="52">
        <f>F40/E40</f>
        <v>1.2500000000000001E-2</v>
      </c>
      <c r="J40" s="53">
        <v>60</v>
      </c>
      <c r="K40" s="51">
        <v>650</v>
      </c>
      <c r="L40" s="51">
        <f t="shared" si="1"/>
        <v>0.13200000000000001</v>
      </c>
      <c r="M40" s="51"/>
      <c r="N40" s="51"/>
    </row>
    <row r="41" spans="1:14" ht="30" hidden="1" customHeight="1">
      <c r="A41" s="45" t="s">
        <v>699</v>
      </c>
      <c r="B41" s="45" t="s">
        <v>655</v>
      </c>
      <c r="C41" s="49" t="s">
        <v>656</v>
      </c>
      <c r="D41" s="50" t="s">
        <v>660</v>
      </c>
      <c r="E41" s="51">
        <v>400</v>
      </c>
      <c r="F41" s="51">
        <v>100</v>
      </c>
      <c r="G41" s="51">
        <v>55</v>
      </c>
      <c r="H41" s="52">
        <f>(F41+F39+F40+F42)/E41</f>
        <v>0.27500000000000002</v>
      </c>
      <c r="I41" s="52">
        <f>F41/E41</f>
        <v>0.25</v>
      </c>
      <c r="J41" s="53">
        <v>60</v>
      </c>
      <c r="K41" s="51">
        <v>650</v>
      </c>
      <c r="L41" s="51">
        <f>I41*G41*8*24*0.001</f>
        <v>2.64</v>
      </c>
      <c r="M41" s="51"/>
      <c r="N41" s="51"/>
    </row>
    <row r="42" spans="1:14" ht="30" hidden="1" customHeight="1">
      <c r="A42" s="45" t="s">
        <v>700</v>
      </c>
      <c r="B42" s="45" t="s">
        <v>655</v>
      </c>
      <c r="C42" s="49" t="s">
        <v>656</v>
      </c>
      <c r="D42" s="50" t="s">
        <v>660</v>
      </c>
      <c r="E42" s="51">
        <v>400</v>
      </c>
      <c r="F42" s="51">
        <v>5</v>
      </c>
      <c r="G42" s="51">
        <v>55</v>
      </c>
      <c r="H42" s="52">
        <f>(F42+F39+F40+F41)/E42</f>
        <v>0.27500000000000002</v>
      </c>
      <c r="I42" s="52">
        <f>F42/E42</f>
        <v>1.2500000000000001E-2</v>
      </c>
      <c r="J42" s="53">
        <v>60</v>
      </c>
      <c r="K42" s="51">
        <v>650</v>
      </c>
      <c r="L42" s="51">
        <f>I42*G42*8*24*0.001</f>
        <v>0.13200000000000001</v>
      </c>
      <c r="M42" s="51"/>
      <c r="N42" s="51"/>
    </row>
    <row r="43" spans="1:14" ht="30" hidden="1" customHeight="1">
      <c r="A43" s="45" t="s">
        <v>701</v>
      </c>
      <c r="B43" s="45" t="s">
        <v>655</v>
      </c>
      <c r="C43" s="49" t="s">
        <v>683</v>
      </c>
      <c r="D43" s="50" t="s">
        <v>660</v>
      </c>
      <c r="E43" s="51" t="s">
        <v>633</v>
      </c>
      <c r="F43" s="51" t="s">
        <v>633</v>
      </c>
      <c r="G43" s="51" t="s">
        <v>633</v>
      </c>
      <c r="H43" s="52" t="s">
        <v>633</v>
      </c>
      <c r="I43" s="52" t="s">
        <v>633</v>
      </c>
      <c r="J43" s="53" t="s">
        <v>633</v>
      </c>
      <c r="K43" s="51" t="s">
        <v>633</v>
      </c>
      <c r="L43" s="51" t="s">
        <v>633</v>
      </c>
      <c r="M43" s="51"/>
      <c r="N43" s="51" t="s">
        <v>684</v>
      </c>
    </row>
    <row r="44" spans="1:14" ht="30" hidden="1" customHeight="1">
      <c r="A44" s="45" t="s">
        <v>702</v>
      </c>
      <c r="B44" s="45" t="s">
        <v>655</v>
      </c>
      <c r="C44" s="49" t="s">
        <v>683</v>
      </c>
      <c r="D44" s="50" t="s">
        <v>660</v>
      </c>
      <c r="E44" s="51"/>
      <c r="F44" s="51"/>
      <c r="G44" s="51"/>
      <c r="H44" s="52"/>
      <c r="I44" s="52"/>
      <c r="J44" s="53"/>
      <c r="K44" s="51"/>
      <c r="L44" s="51"/>
      <c r="M44" s="51"/>
      <c r="N44" s="51" t="s">
        <v>684</v>
      </c>
    </row>
    <row r="45" spans="1:14" ht="30" hidden="1" customHeight="1">
      <c r="A45" s="45" t="s">
        <v>703</v>
      </c>
      <c r="B45" s="45" t="s">
        <v>655</v>
      </c>
      <c r="C45" s="49" t="s">
        <v>683</v>
      </c>
      <c r="D45" s="50" t="s">
        <v>660</v>
      </c>
      <c r="E45" s="51"/>
      <c r="F45" s="51"/>
      <c r="G45" s="51"/>
      <c r="H45" s="52"/>
      <c r="I45" s="52"/>
      <c r="J45" s="53"/>
      <c r="K45" s="51"/>
      <c r="L45" s="51"/>
      <c r="M45" s="51"/>
      <c r="N45" s="51" t="s">
        <v>684</v>
      </c>
    </row>
    <row r="46" spans="1:14" ht="30" hidden="1" customHeight="1">
      <c r="A46" s="45" t="s">
        <v>704</v>
      </c>
      <c r="B46" s="45" t="s">
        <v>655</v>
      </c>
      <c r="C46" s="54" t="s">
        <v>668</v>
      </c>
      <c r="D46" s="50" t="s">
        <v>660</v>
      </c>
      <c r="E46" s="51">
        <v>400</v>
      </c>
      <c r="F46" s="51">
        <v>300</v>
      </c>
      <c r="G46" s="51">
        <v>87</v>
      </c>
      <c r="H46" s="52">
        <f>(F46)/E46</f>
        <v>0.75</v>
      </c>
      <c r="I46" s="52">
        <f>F46/E46</f>
        <v>0.75</v>
      </c>
      <c r="J46" s="53">
        <v>50</v>
      </c>
      <c r="K46" s="51">
        <v>600</v>
      </c>
      <c r="L46" s="51">
        <f>I46*G46*8*24*0.001</f>
        <v>12.528</v>
      </c>
      <c r="M46" s="51"/>
      <c r="N46" s="51"/>
    </row>
    <row r="47" spans="1:14" ht="30" hidden="1" customHeight="1">
      <c r="A47" s="45" t="s">
        <v>705</v>
      </c>
      <c r="B47" s="45" t="s">
        <v>655</v>
      </c>
      <c r="C47" s="49" t="s">
        <v>656</v>
      </c>
      <c r="D47" s="50" t="s">
        <v>660</v>
      </c>
      <c r="E47" s="51">
        <v>200</v>
      </c>
      <c r="F47" s="51">
        <v>130</v>
      </c>
      <c r="G47" s="51">
        <v>50</v>
      </c>
      <c r="H47" s="52">
        <f>(F47+F54)/E47</f>
        <v>0.9</v>
      </c>
      <c r="I47" s="52">
        <f>F47/E47</f>
        <v>0.65</v>
      </c>
      <c r="J47" s="53">
        <v>50</v>
      </c>
      <c r="K47" s="51">
        <v>700</v>
      </c>
      <c r="L47" s="51">
        <f>I47*G47*8*24*0.001</f>
        <v>6.24</v>
      </c>
      <c r="M47" s="51"/>
      <c r="N47" s="51"/>
    </row>
    <row r="48" spans="1:14" ht="30" hidden="1" customHeight="1">
      <c r="A48" s="45" t="s">
        <v>706</v>
      </c>
      <c r="B48" s="45" t="s">
        <v>655</v>
      </c>
      <c r="C48" s="54" t="s">
        <v>668</v>
      </c>
      <c r="D48" s="50" t="s">
        <v>660</v>
      </c>
      <c r="E48" s="51">
        <v>350</v>
      </c>
      <c r="F48" s="51">
        <v>30</v>
      </c>
      <c r="G48" s="51">
        <v>87</v>
      </c>
      <c r="H48" s="52">
        <f>(F34+F35+F48+F36+F37+F38+F66+F33)/E48</f>
        <v>2.7857142857142856</v>
      </c>
      <c r="I48" s="52">
        <f>F48/E48</f>
        <v>8.5714285714285715E-2</v>
      </c>
      <c r="J48" s="53">
        <v>35</v>
      </c>
      <c r="K48" s="51">
        <v>900</v>
      </c>
      <c r="L48" s="51">
        <f>I48*G48*8*24*0.001</f>
        <v>1.4317714285714287</v>
      </c>
      <c r="M48" s="51"/>
      <c r="N48" s="51" t="s">
        <v>684</v>
      </c>
    </row>
    <row r="49" spans="1:15" ht="30" hidden="1" customHeight="1">
      <c r="A49" s="45" t="s">
        <v>707</v>
      </c>
      <c r="B49" s="45" t="s">
        <v>655</v>
      </c>
      <c r="C49" s="49" t="s">
        <v>708</v>
      </c>
      <c r="D49" s="50" t="s">
        <v>660</v>
      </c>
      <c r="E49" s="51">
        <v>200</v>
      </c>
      <c r="F49" s="51">
        <v>60</v>
      </c>
      <c r="G49" s="51">
        <v>40</v>
      </c>
      <c r="H49" s="52">
        <f>(F49)/E49</f>
        <v>0.3</v>
      </c>
      <c r="I49" s="52">
        <f>F49/E49</f>
        <v>0.3</v>
      </c>
      <c r="J49" s="53">
        <v>60</v>
      </c>
      <c r="K49" s="51">
        <v>650</v>
      </c>
      <c r="L49" s="51">
        <f>I49*G49*8*24*0.001</f>
        <v>2.3040000000000003</v>
      </c>
      <c r="M49" s="51"/>
      <c r="N49" s="51"/>
    </row>
    <row r="50" spans="1:15" ht="30" hidden="1" customHeight="1">
      <c r="A50" s="45" t="s">
        <v>709</v>
      </c>
      <c r="B50" s="45" t="s">
        <v>655</v>
      </c>
      <c r="C50" s="49" t="s">
        <v>683</v>
      </c>
      <c r="D50" s="50" t="s">
        <v>660</v>
      </c>
      <c r="E50" s="51"/>
      <c r="F50" s="51"/>
      <c r="G50" s="51" t="s">
        <v>633</v>
      </c>
      <c r="H50" s="52"/>
      <c r="I50" s="52"/>
      <c r="J50" s="53"/>
      <c r="K50" s="51"/>
      <c r="L50" s="51"/>
      <c r="M50" s="51"/>
      <c r="N50" s="51" t="s">
        <v>684</v>
      </c>
    </row>
    <row r="51" spans="1:15" ht="30" hidden="1" customHeight="1">
      <c r="A51" s="45" t="s">
        <v>710</v>
      </c>
      <c r="B51" s="45" t="s">
        <v>655</v>
      </c>
      <c r="C51" s="54" t="s">
        <v>668</v>
      </c>
      <c r="D51" s="50" t="s">
        <v>660</v>
      </c>
      <c r="E51" s="51">
        <v>300</v>
      </c>
      <c r="F51" s="51">
        <v>200</v>
      </c>
      <c r="G51" s="51">
        <v>80</v>
      </c>
      <c r="H51" s="52">
        <f>(F51+F53)/E51</f>
        <v>0.66666666666666663</v>
      </c>
      <c r="I51" s="52">
        <f>F51/E51</f>
        <v>0.66666666666666663</v>
      </c>
      <c r="J51" s="53">
        <v>35</v>
      </c>
      <c r="K51" s="51">
        <v>750</v>
      </c>
      <c r="L51" s="51">
        <f>I51*G51*8*24*0.001</f>
        <v>10.24</v>
      </c>
      <c r="M51" s="51"/>
      <c r="N51" s="51"/>
    </row>
    <row r="52" spans="1:15" ht="30" hidden="1" customHeight="1">
      <c r="A52" s="45" t="s">
        <v>711</v>
      </c>
      <c r="B52" s="45" t="s">
        <v>655</v>
      </c>
      <c r="C52" s="54" t="s">
        <v>668</v>
      </c>
      <c r="D52" s="50" t="s">
        <v>657</v>
      </c>
      <c r="E52" s="51">
        <v>300</v>
      </c>
      <c r="F52" s="51">
        <v>0</v>
      </c>
      <c r="G52" s="51">
        <v>80</v>
      </c>
      <c r="H52" s="52">
        <f>(F52+F51)/E52</f>
        <v>0.66666666666666663</v>
      </c>
      <c r="I52" s="52">
        <f>F52/E52</f>
        <v>0</v>
      </c>
      <c r="J52" s="53">
        <v>100</v>
      </c>
      <c r="K52" s="51">
        <v>750</v>
      </c>
      <c r="L52" s="51">
        <f>I52*G52*8*24*0.001</f>
        <v>0</v>
      </c>
      <c r="M52" s="51"/>
      <c r="N52" s="51"/>
    </row>
    <row r="53" spans="1:15" ht="30" customHeight="1">
      <c r="A53" s="45" t="s">
        <v>712</v>
      </c>
      <c r="B53" s="45" t="s">
        <v>661</v>
      </c>
      <c r="C53" s="54" t="s">
        <v>713</v>
      </c>
      <c r="D53" s="50" t="s">
        <v>657</v>
      </c>
      <c r="E53" s="51"/>
      <c r="F53" s="51"/>
      <c r="G53" s="51"/>
      <c r="H53" s="52"/>
      <c r="I53" s="52"/>
      <c r="J53" s="53"/>
      <c r="K53" s="51"/>
      <c r="L53" s="51">
        <v>4</v>
      </c>
      <c r="M53" s="51"/>
      <c r="N53" s="51" t="s">
        <v>663</v>
      </c>
      <c r="O53" s="41" t="s">
        <v>1099</v>
      </c>
    </row>
    <row r="54" spans="1:15" ht="30" hidden="1" customHeight="1">
      <c r="A54" s="45" t="s">
        <v>714</v>
      </c>
      <c r="B54" s="45" t="s">
        <v>655</v>
      </c>
      <c r="C54" s="54" t="s">
        <v>715</v>
      </c>
      <c r="D54" s="50" t="s">
        <v>660</v>
      </c>
      <c r="E54" s="51">
        <v>200</v>
      </c>
      <c r="F54" s="51">
        <v>50</v>
      </c>
      <c r="G54" s="51">
        <v>50</v>
      </c>
      <c r="H54" s="52">
        <f>(F54+F47)/E54</f>
        <v>0.9</v>
      </c>
      <c r="I54" s="52">
        <f>F54/E54</f>
        <v>0.25</v>
      </c>
      <c r="J54" s="53">
        <v>50</v>
      </c>
      <c r="K54" s="51">
        <v>700</v>
      </c>
      <c r="L54" s="51">
        <f>I54*G54*8*24*0.001</f>
        <v>2.4</v>
      </c>
      <c r="M54" s="51"/>
      <c r="N54" s="51"/>
    </row>
    <row r="55" spans="1:15" ht="30" customHeight="1">
      <c r="A55" s="45" t="s">
        <v>714</v>
      </c>
      <c r="B55" s="45" t="s">
        <v>661</v>
      </c>
      <c r="C55" s="54" t="s">
        <v>716</v>
      </c>
      <c r="D55" s="50" t="s">
        <v>657</v>
      </c>
      <c r="E55" s="51"/>
      <c r="F55" s="51"/>
      <c r="G55" s="51"/>
      <c r="H55" s="52"/>
      <c r="I55" s="52"/>
      <c r="J55" s="53"/>
      <c r="K55" s="51"/>
      <c r="L55" s="51">
        <v>4</v>
      </c>
      <c r="M55" s="51"/>
      <c r="N55" s="51" t="s">
        <v>663</v>
      </c>
      <c r="O55" s="41">
        <v>99186</v>
      </c>
    </row>
    <row r="56" spans="1:15" ht="30" hidden="1" customHeight="1">
      <c r="A56" s="45" t="s">
        <v>717</v>
      </c>
      <c r="B56" s="45" t="s">
        <v>655</v>
      </c>
      <c r="C56" s="54" t="s">
        <v>668</v>
      </c>
      <c r="D56" s="50" t="s">
        <v>660</v>
      </c>
      <c r="E56" s="51">
        <v>350</v>
      </c>
      <c r="F56" s="51">
        <v>150</v>
      </c>
      <c r="G56" s="51">
        <v>80</v>
      </c>
      <c r="H56" s="52">
        <f>(F56+F74)/E56</f>
        <v>0.47142857142857142</v>
      </c>
      <c r="I56" s="52">
        <f>F56/E56</f>
        <v>0.42857142857142855</v>
      </c>
      <c r="J56" s="53">
        <v>30</v>
      </c>
      <c r="K56" s="51">
        <v>900</v>
      </c>
      <c r="L56" s="51">
        <f>I56*G56*8*24*0.001</f>
        <v>6.5828571428571436</v>
      </c>
      <c r="M56" s="51"/>
      <c r="N56" s="51" t="s">
        <v>684</v>
      </c>
    </row>
    <row r="57" spans="1:15" ht="30" hidden="1" customHeight="1">
      <c r="A57" s="45" t="s">
        <v>718</v>
      </c>
      <c r="B57" s="45" t="s">
        <v>655</v>
      </c>
      <c r="C57" s="54" t="s">
        <v>668</v>
      </c>
      <c r="D57" s="50" t="s">
        <v>660</v>
      </c>
      <c r="E57" s="51">
        <v>400</v>
      </c>
      <c r="F57" s="51">
        <v>150</v>
      </c>
      <c r="G57" s="51">
        <v>80</v>
      </c>
      <c r="H57" s="52">
        <f>(F57+F16)/E57</f>
        <v>0.38750000000000001</v>
      </c>
      <c r="I57" s="52">
        <f>F57/E57</f>
        <v>0.375</v>
      </c>
      <c r="J57" s="53">
        <v>60</v>
      </c>
      <c r="K57" s="51">
        <v>750</v>
      </c>
      <c r="L57" s="51">
        <f>I57*G57*8*24*0.001</f>
        <v>5.76</v>
      </c>
      <c r="M57" s="51"/>
      <c r="N57" s="51"/>
    </row>
    <row r="58" spans="1:15" ht="30" hidden="1" customHeight="1">
      <c r="A58" s="45" t="s">
        <v>719</v>
      </c>
      <c r="B58" s="45" t="s">
        <v>655</v>
      </c>
      <c r="C58" s="49" t="s">
        <v>683</v>
      </c>
      <c r="D58" s="50" t="s">
        <v>657</v>
      </c>
      <c r="E58" s="51">
        <v>700</v>
      </c>
      <c r="F58" s="51" t="s">
        <v>633</v>
      </c>
      <c r="G58" s="51">
        <v>125</v>
      </c>
      <c r="H58" s="52">
        <f>(F58)/E58</f>
        <v>0</v>
      </c>
      <c r="I58" s="52">
        <f>F58/E58</f>
        <v>0</v>
      </c>
      <c r="J58" s="53">
        <v>100</v>
      </c>
      <c r="K58" s="51">
        <v>600</v>
      </c>
      <c r="L58" s="51">
        <f>I58*G58*8*24*0.001</f>
        <v>0</v>
      </c>
      <c r="M58" s="51"/>
      <c r="N58" s="51"/>
    </row>
    <row r="59" spans="1:15" ht="30" customHeight="1">
      <c r="A59" s="45" t="s">
        <v>720</v>
      </c>
      <c r="B59" s="45" t="s">
        <v>661</v>
      </c>
      <c r="C59" s="45" t="s">
        <v>721</v>
      </c>
      <c r="D59" s="50" t="s">
        <v>633</v>
      </c>
      <c r="E59" s="51"/>
      <c r="F59" s="51"/>
      <c r="G59" s="51"/>
      <c r="H59" s="52"/>
      <c r="I59" s="52"/>
      <c r="J59" s="53"/>
      <c r="K59" s="51"/>
      <c r="L59" s="51">
        <v>0</v>
      </c>
      <c r="M59" s="51" t="s">
        <v>633</v>
      </c>
      <c r="N59" s="51" t="s">
        <v>633</v>
      </c>
      <c r="O59" s="41" t="s">
        <v>1099</v>
      </c>
    </row>
    <row r="60" spans="1:15" ht="30" customHeight="1">
      <c r="A60" s="45" t="s">
        <v>722</v>
      </c>
      <c r="B60" s="45" t="s">
        <v>661</v>
      </c>
      <c r="C60" s="54" t="s">
        <v>723</v>
      </c>
      <c r="D60" s="50" t="s">
        <v>660</v>
      </c>
      <c r="E60" s="51" t="s">
        <v>633</v>
      </c>
      <c r="F60" s="51" t="s">
        <v>633</v>
      </c>
      <c r="G60" s="51" t="s">
        <v>633</v>
      </c>
      <c r="H60" s="52" t="s">
        <v>633</v>
      </c>
      <c r="I60" s="52" t="s">
        <v>633</v>
      </c>
      <c r="J60" s="53" t="s">
        <v>633</v>
      </c>
      <c r="K60" s="51" t="s">
        <v>633</v>
      </c>
      <c r="L60" s="51">
        <v>4</v>
      </c>
      <c r="M60" s="51"/>
      <c r="N60" s="51" t="s">
        <v>663</v>
      </c>
      <c r="O60" s="41" t="s">
        <v>1099</v>
      </c>
    </row>
    <row r="61" spans="1:15" ht="30" customHeight="1">
      <c r="A61" s="45" t="s">
        <v>724</v>
      </c>
      <c r="B61" s="45" t="s">
        <v>661</v>
      </c>
      <c r="C61" s="54" t="s">
        <v>725</v>
      </c>
      <c r="D61" s="50" t="s">
        <v>660</v>
      </c>
      <c r="E61" s="51">
        <v>400</v>
      </c>
      <c r="F61" s="51">
        <v>0</v>
      </c>
      <c r="G61" s="51">
        <v>85</v>
      </c>
      <c r="H61" s="52" t="e">
        <f>(F61+#REF!)/E61</f>
        <v>#REF!</v>
      </c>
      <c r="I61" s="52">
        <f>F61/E61</f>
        <v>0</v>
      </c>
      <c r="J61" s="53">
        <v>30</v>
      </c>
      <c r="K61" s="51">
        <v>420</v>
      </c>
      <c r="L61" s="51">
        <v>4</v>
      </c>
      <c r="M61" s="51"/>
      <c r="N61" s="51" t="s">
        <v>663</v>
      </c>
      <c r="O61" s="41">
        <v>99132</v>
      </c>
    </row>
    <row r="62" spans="1:15" ht="30" customHeight="1">
      <c r="A62" s="45" t="s">
        <v>726</v>
      </c>
      <c r="B62" s="45" t="s">
        <v>661</v>
      </c>
      <c r="C62" s="45" t="s">
        <v>633</v>
      </c>
      <c r="D62" s="50" t="s">
        <v>660</v>
      </c>
      <c r="E62" s="51"/>
      <c r="F62" s="51"/>
      <c r="G62" s="51"/>
      <c r="H62" s="52" t="s">
        <v>633</v>
      </c>
      <c r="I62" s="52"/>
      <c r="J62" s="53"/>
      <c r="K62" s="51"/>
      <c r="L62" s="51">
        <v>4</v>
      </c>
      <c r="M62" s="51"/>
      <c r="N62" s="51" t="s">
        <v>663</v>
      </c>
      <c r="O62" s="41">
        <v>98910</v>
      </c>
    </row>
    <row r="63" spans="1:15" ht="30" hidden="1" customHeight="1">
      <c r="A63" s="45" t="s">
        <v>727</v>
      </c>
      <c r="B63" s="45" t="s">
        <v>655</v>
      </c>
      <c r="C63" s="49" t="s">
        <v>728</v>
      </c>
      <c r="D63" s="50" t="s">
        <v>660</v>
      </c>
      <c r="E63" s="51">
        <v>300</v>
      </c>
      <c r="F63" s="51">
        <v>90</v>
      </c>
      <c r="G63" s="51">
        <v>55</v>
      </c>
      <c r="H63" s="52">
        <f>(F63+F76+F64)/E63</f>
        <v>0.6166666666666667</v>
      </c>
      <c r="I63" s="52">
        <f>F63/E63</f>
        <v>0.3</v>
      </c>
      <c r="J63" s="53">
        <v>30</v>
      </c>
      <c r="K63" s="51">
        <v>700</v>
      </c>
      <c r="L63" s="51">
        <f>I63*G63*8*24*0.001</f>
        <v>3.1680000000000001</v>
      </c>
      <c r="M63" s="51"/>
      <c r="N63" s="51"/>
    </row>
    <row r="64" spans="1:15" ht="30" hidden="1" customHeight="1">
      <c r="A64" s="45" t="s">
        <v>729</v>
      </c>
      <c r="B64" s="45" t="s">
        <v>655</v>
      </c>
      <c r="C64" s="49" t="s">
        <v>728</v>
      </c>
      <c r="D64" s="50" t="s">
        <v>660</v>
      </c>
      <c r="E64" s="51">
        <v>300</v>
      </c>
      <c r="F64" s="51">
        <v>15</v>
      </c>
      <c r="G64" s="51">
        <v>55</v>
      </c>
      <c r="H64" s="52">
        <f>(F64+F63+F76)/E64</f>
        <v>0.6166666666666667</v>
      </c>
      <c r="I64" s="52">
        <f>F64/E64</f>
        <v>0.05</v>
      </c>
      <c r="J64" s="53">
        <v>20</v>
      </c>
      <c r="K64" s="51">
        <v>700</v>
      </c>
      <c r="L64" s="51">
        <f>I64*G64*8*24*0.001</f>
        <v>0.52800000000000002</v>
      </c>
      <c r="M64" s="51"/>
      <c r="N64" s="51"/>
    </row>
    <row r="65" spans="1:15" ht="30" customHeight="1">
      <c r="A65" s="45" t="s">
        <v>730</v>
      </c>
      <c r="B65" s="45" t="s">
        <v>661</v>
      </c>
      <c r="C65" s="45" t="s">
        <v>721</v>
      </c>
      <c r="D65" s="50"/>
      <c r="E65" s="51"/>
      <c r="F65" s="51"/>
      <c r="G65" s="51"/>
      <c r="H65" s="52"/>
      <c r="I65" s="52"/>
      <c r="J65" s="53"/>
      <c r="K65" s="51"/>
      <c r="L65" s="51">
        <v>0</v>
      </c>
      <c r="M65" s="51"/>
      <c r="N65" s="51"/>
    </row>
    <row r="66" spans="1:15" ht="30" hidden="1" customHeight="1">
      <c r="A66" s="45" t="s">
        <v>731</v>
      </c>
      <c r="B66" s="45" t="s">
        <v>655</v>
      </c>
      <c r="C66" s="49" t="s">
        <v>732</v>
      </c>
      <c r="D66" s="50" t="s">
        <v>660</v>
      </c>
      <c r="E66" s="51">
        <v>700</v>
      </c>
      <c r="F66" s="51">
        <v>625</v>
      </c>
      <c r="G66" s="51">
        <v>125</v>
      </c>
      <c r="H66" s="52">
        <f>(F66)/E66</f>
        <v>0.8928571428571429</v>
      </c>
      <c r="I66" s="52">
        <f>F66/E66</f>
        <v>0.8928571428571429</v>
      </c>
      <c r="J66" s="53">
        <v>100</v>
      </c>
      <c r="K66" s="51">
        <v>700</v>
      </c>
      <c r="L66" s="51">
        <f>I66*G66*8*24*0.001</f>
        <v>21.428571428571427</v>
      </c>
      <c r="M66" s="51"/>
      <c r="N66" s="51"/>
    </row>
    <row r="67" spans="1:15" ht="30" hidden="1" customHeight="1">
      <c r="A67" s="45" t="s">
        <v>733</v>
      </c>
      <c r="B67" s="45" t="s">
        <v>655</v>
      </c>
      <c r="C67" s="54" t="s">
        <v>672</v>
      </c>
      <c r="D67" s="50" t="s">
        <v>660</v>
      </c>
      <c r="E67" s="51">
        <v>1300</v>
      </c>
      <c r="F67" s="51">
        <v>900</v>
      </c>
      <c r="G67" s="51">
        <v>185</v>
      </c>
      <c r="H67" s="52">
        <f>(F67)/E67</f>
        <v>0.69230769230769229</v>
      </c>
      <c r="I67" s="52">
        <f>F67/E67</f>
        <v>0.69230769230769229</v>
      </c>
      <c r="J67" s="53">
        <v>225</v>
      </c>
      <c r="K67" s="51">
        <v>700</v>
      </c>
      <c r="L67" s="51">
        <f>I67*G67*8*24*0.001</f>
        <v>24.590769230769226</v>
      </c>
      <c r="M67" s="51"/>
      <c r="N67" s="51"/>
    </row>
    <row r="68" spans="1:15" ht="30" hidden="1" customHeight="1">
      <c r="A68" s="45" t="s">
        <v>734</v>
      </c>
      <c r="B68" s="45" t="s">
        <v>655</v>
      </c>
      <c r="C68" s="55" t="s">
        <v>735</v>
      </c>
      <c r="D68" s="50" t="s">
        <v>660</v>
      </c>
      <c r="E68" s="51">
        <v>1250</v>
      </c>
      <c r="F68" s="51"/>
      <c r="G68" s="51">
        <v>275</v>
      </c>
      <c r="H68" s="52"/>
      <c r="I68" s="52"/>
      <c r="J68" s="53">
        <v>45</v>
      </c>
      <c r="K68" s="51">
        <v>800</v>
      </c>
      <c r="L68" s="51"/>
      <c r="M68" s="51"/>
      <c r="N68" s="51" t="s">
        <v>663</v>
      </c>
    </row>
    <row r="69" spans="1:15" ht="30" hidden="1" customHeight="1">
      <c r="A69" s="45" t="s">
        <v>736</v>
      </c>
      <c r="B69" s="45" t="s">
        <v>655</v>
      </c>
      <c r="C69" s="54" t="s">
        <v>737</v>
      </c>
      <c r="D69" s="51" t="s">
        <v>660</v>
      </c>
      <c r="E69" s="51">
        <v>700</v>
      </c>
      <c r="F69" s="51">
        <v>640</v>
      </c>
      <c r="G69" s="51">
        <v>87</v>
      </c>
      <c r="H69" s="52">
        <f>(F69+F70)/E69</f>
        <v>0.91428571428571426</v>
      </c>
      <c r="I69" s="52">
        <f>F69/E69</f>
        <v>0.91428571428571426</v>
      </c>
      <c r="J69" s="53">
        <v>30</v>
      </c>
      <c r="K69" s="51">
        <v>600</v>
      </c>
      <c r="L69" s="51">
        <f>I69*G69*8*24*0.001</f>
        <v>15.272228571428572</v>
      </c>
      <c r="M69" s="51"/>
      <c r="N69" s="51" t="s">
        <v>684</v>
      </c>
    </row>
    <row r="70" spans="1:15" ht="30" hidden="1" customHeight="1">
      <c r="A70" s="45" t="s">
        <v>738</v>
      </c>
      <c r="B70" s="45" t="s">
        <v>655</v>
      </c>
      <c r="C70" s="54" t="s">
        <v>737</v>
      </c>
      <c r="D70" s="50" t="s">
        <v>657</v>
      </c>
      <c r="E70" s="51">
        <v>700</v>
      </c>
      <c r="F70" s="51">
        <v>0</v>
      </c>
      <c r="G70" s="51">
        <v>87</v>
      </c>
      <c r="H70" s="52">
        <f>(F70+F69)/E70</f>
        <v>0.91428571428571426</v>
      </c>
      <c r="I70" s="52">
        <f>F70/E70</f>
        <v>0</v>
      </c>
      <c r="J70" s="53">
        <v>30</v>
      </c>
      <c r="K70" s="51">
        <v>600</v>
      </c>
      <c r="L70" s="51">
        <f>I70*G70*8*24*0.001</f>
        <v>0</v>
      </c>
      <c r="M70" s="51"/>
      <c r="N70" s="51" t="s">
        <v>684</v>
      </c>
    </row>
    <row r="71" spans="1:15" ht="30" customHeight="1">
      <c r="A71" s="45" t="s">
        <v>739</v>
      </c>
      <c r="B71" s="45" t="s">
        <v>661</v>
      </c>
      <c r="C71" s="45" t="s">
        <v>721</v>
      </c>
      <c r="D71" s="50" t="s">
        <v>633</v>
      </c>
      <c r="E71" s="51"/>
      <c r="F71" s="51"/>
      <c r="G71" s="51"/>
      <c r="H71" s="52"/>
      <c r="I71" s="52"/>
      <c r="J71" s="53"/>
      <c r="K71" s="51"/>
      <c r="L71" s="51">
        <v>0</v>
      </c>
      <c r="M71" s="51"/>
      <c r="N71" s="51" t="s">
        <v>633</v>
      </c>
    </row>
    <row r="72" spans="1:15" ht="30" customHeight="1">
      <c r="A72" s="45" t="s">
        <v>740</v>
      </c>
      <c r="B72" s="45" t="s">
        <v>661</v>
      </c>
      <c r="C72" s="54" t="s">
        <v>741</v>
      </c>
      <c r="D72" s="50" t="s">
        <v>660</v>
      </c>
      <c r="E72" s="51" t="s">
        <v>633</v>
      </c>
      <c r="F72" s="51" t="s">
        <v>633</v>
      </c>
      <c r="G72" s="51" t="s">
        <v>633</v>
      </c>
      <c r="H72" s="52" t="s">
        <v>633</v>
      </c>
      <c r="I72" s="52" t="s">
        <v>633</v>
      </c>
      <c r="J72" s="53" t="s">
        <v>633</v>
      </c>
      <c r="K72" s="51" t="s">
        <v>633</v>
      </c>
      <c r="L72" s="51">
        <v>4</v>
      </c>
      <c r="M72" s="51"/>
      <c r="N72" s="51" t="s">
        <v>663</v>
      </c>
      <c r="O72" s="41">
        <v>99161</v>
      </c>
    </row>
    <row r="73" spans="1:15" ht="30" hidden="1" customHeight="1">
      <c r="A73" s="45" t="s">
        <v>742</v>
      </c>
      <c r="B73" s="45" t="s">
        <v>655</v>
      </c>
      <c r="C73" s="49" t="s">
        <v>732</v>
      </c>
      <c r="D73" s="50" t="s">
        <v>660</v>
      </c>
      <c r="E73" s="51">
        <v>450</v>
      </c>
      <c r="F73" s="51">
        <v>400</v>
      </c>
      <c r="G73" s="51">
        <v>125</v>
      </c>
      <c r="H73" s="52">
        <f>F73/E73</f>
        <v>0.88888888888888884</v>
      </c>
      <c r="I73" s="52">
        <f>F73/E73</f>
        <v>0.88888888888888884</v>
      </c>
      <c r="J73" s="53">
        <v>25</v>
      </c>
      <c r="K73" s="51">
        <v>1300</v>
      </c>
      <c r="L73" s="51">
        <f>I73*G73*8*24*0.001</f>
        <v>21.333333333333332</v>
      </c>
      <c r="M73" s="51"/>
      <c r="N73" s="51" t="s">
        <v>684</v>
      </c>
    </row>
    <row r="74" spans="1:15" ht="30" hidden="1" customHeight="1">
      <c r="A74" s="45" t="s">
        <v>743</v>
      </c>
      <c r="B74" s="45" t="s">
        <v>655</v>
      </c>
      <c r="C74" s="54" t="s">
        <v>668</v>
      </c>
      <c r="D74" s="50" t="s">
        <v>660</v>
      </c>
      <c r="E74" s="51">
        <v>350</v>
      </c>
      <c r="F74" s="51">
        <v>15</v>
      </c>
      <c r="G74" s="51">
        <v>80</v>
      </c>
      <c r="H74" s="52">
        <f>(F74+F56)/E74</f>
        <v>0.47142857142857142</v>
      </c>
      <c r="I74" s="52">
        <f>F74/E74</f>
        <v>4.2857142857142858E-2</v>
      </c>
      <c r="J74" s="53">
        <v>30</v>
      </c>
      <c r="K74" s="51">
        <v>900</v>
      </c>
      <c r="L74" s="51">
        <f>I74*G74*8*24*0.001</f>
        <v>0.65828571428571436</v>
      </c>
      <c r="M74" s="51"/>
      <c r="N74" s="51" t="s">
        <v>684</v>
      </c>
    </row>
    <row r="75" spans="1:15" ht="30" hidden="1" customHeight="1">
      <c r="A75" s="45" t="s">
        <v>744</v>
      </c>
      <c r="B75" s="45" t="s">
        <v>655</v>
      </c>
      <c r="C75" s="54" t="s">
        <v>668</v>
      </c>
      <c r="D75" s="50" t="s">
        <v>657</v>
      </c>
      <c r="E75" s="51">
        <v>350</v>
      </c>
      <c r="F75" s="51">
        <v>0</v>
      </c>
      <c r="G75" s="51">
        <v>80</v>
      </c>
      <c r="H75" s="52">
        <f>F75/E75</f>
        <v>0</v>
      </c>
      <c r="I75" s="52">
        <f>F75/E75</f>
        <v>0</v>
      </c>
      <c r="J75" s="53">
        <v>40</v>
      </c>
      <c r="K75" s="51">
        <v>850</v>
      </c>
      <c r="L75" s="51">
        <f>I75*G75*8*24*0.001</f>
        <v>0</v>
      </c>
      <c r="M75" s="51"/>
      <c r="N75" s="51"/>
    </row>
    <row r="76" spans="1:15" ht="30" hidden="1" customHeight="1">
      <c r="A76" s="45" t="s">
        <v>745</v>
      </c>
      <c r="B76" s="45" t="s">
        <v>655</v>
      </c>
      <c r="C76" s="49" t="s">
        <v>728</v>
      </c>
      <c r="D76" s="50" t="s">
        <v>660</v>
      </c>
      <c r="E76" s="51">
        <v>300</v>
      </c>
      <c r="F76" s="51">
        <v>80</v>
      </c>
      <c r="G76" s="51">
        <v>85</v>
      </c>
      <c r="H76" s="52">
        <f>(F76+F63+F64)/E76</f>
        <v>0.6166666666666667</v>
      </c>
      <c r="I76" s="52">
        <f>F76/E76</f>
        <v>0.26666666666666666</v>
      </c>
      <c r="J76" s="53">
        <v>30</v>
      </c>
      <c r="K76" s="51">
        <v>700</v>
      </c>
      <c r="L76" s="51">
        <f>I76*G76*8*24*0.001</f>
        <v>4.3520000000000003</v>
      </c>
      <c r="M76" s="51"/>
      <c r="N76" s="51"/>
    </row>
    <row r="78" spans="1:15" s="40" customFormat="1">
      <c r="A78" s="39"/>
      <c r="B78" s="39"/>
      <c r="C78" s="39"/>
      <c r="D78" s="39"/>
      <c r="E78" s="39"/>
      <c r="F78" s="39"/>
      <c r="G78" s="43" t="s">
        <v>633</v>
      </c>
      <c r="J78" s="39"/>
      <c r="K78" s="41"/>
      <c r="L78" s="41"/>
      <c r="M78" s="41"/>
      <c r="N78" s="41"/>
      <c r="O78" s="41"/>
    </row>
  </sheetData>
  <autoFilter ref="A9:O76">
    <filterColumn colId="1">
      <filters>
        <filter val="PU"/>
      </filters>
    </filterColumn>
  </autoFilter>
  <pageMargins left="0.3" right="0.3" top="0.28000000000000003" bottom="0.4" header="0.5" footer="0.25"/>
  <pageSetup scale="38" fitToHeight="2" orientation="portrait"/>
  <headerFooter alignWithMargins="0">
    <oddFooter>&amp;L&amp;Z&amp;F</oddFoot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2:Y77"/>
  <sheetViews>
    <sheetView topLeftCell="A10" workbookViewId="0">
      <selection activeCell="O21" sqref="O21"/>
    </sheetView>
  </sheetViews>
  <sheetFormatPr baseColWidth="10" defaultColWidth="8.83203125" defaultRowHeight="12" x14ac:dyDescent="0"/>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18">
      <c r="B2" s="77" t="s">
        <v>898</v>
      </c>
    </row>
    <row r="3" spans="1:25" ht="13">
      <c r="A3" s="67" t="s">
        <v>887</v>
      </c>
      <c r="B3" s="66" t="s">
        <v>896</v>
      </c>
      <c r="C3" s="66" t="s">
        <v>897</v>
      </c>
      <c r="D3" s="66" t="s">
        <v>888</v>
      </c>
      <c r="E3" s="66" t="s">
        <v>889</v>
      </c>
      <c r="F3" s="66" t="s">
        <v>890</v>
      </c>
      <c r="G3" s="66" t="s">
        <v>891</v>
      </c>
      <c r="H3" s="66" t="s">
        <v>892</v>
      </c>
      <c r="I3" s="66" t="s">
        <v>893</v>
      </c>
      <c r="J3" s="66" t="s">
        <v>894</v>
      </c>
      <c r="K3" t="s">
        <v>895</v>
      </c>
    </row>
    <row r="4" spans="1:25" ht="14">
      <c r="A4" s="68">
        <v>560101</v>
      </c>
      <c r="B4" s="69" t="s">
        <v>827</v>
      </c>
      <c r="C4" s="69" t="s">
        <v>828</v>
      </c>
      <c r="D4" s="70">
        <v>2.355</v>
      </c>
      <c r="E4" s="68">
        <v>67</v>
      </c>
      <c r="F4" s="68">
        <v>76</v>
      </c>
      <c r="G4" s="68">
        <v>172</v>
      </c>
      <c r="H4" s="70">
        <v>0.70399999999999996</v>
      </c>
      <c r="J4" s="66"/>
      <c r="K4" s="78">
        <v>743.9</v>
      </c>
      <c r="M4" s="64" t="s">
        <v>824</v>
      </c>
      <c r="N4" s="64" t="s">
        <v>887</v>
      </c>
      <c r="O4" s="64" t="s">
        <v>896</v>
      </c>
      <c r="P4" s="64" t="s">
        <v>897</v>
      </c>
      <c r="Q4" s="64" t="s">
        <v>888</v>
      </c>
      <c r="R4" s="64" t="s">
        <v>889</v>
      </c>
      <c r="S4" s="64" t="s">
        <v>890</v>
      </c>
      <c r="T4" s="64" t="s">
        <v>891</v>
      </c>
      <c r="U4" s="64" t="s">
        <v>892</v>
      </c>
      <c r="V4" s="64" t="s">
        <v>893</v>
      </c>
      <c r="W4" s="64" t="s">
        <v>894</v>
      </c>
      <c r="X4" s="64" t="s">
        <v>895</v>
      </c>
      <c r="Y4" s="64" t="s">
        <v>826</v>
      </c>
    </row>
    <row r="5" spans="1:25" ht="13">
      <c r="A5" s="68">
        <v>561100</v>
      </c>
      <c r="B5" s="69" t="s">
        <v>829</v>
      </c>
      <c r="C5" s="69" t="s">
        <v>830</v>
      </c>
      <c r="D5" s="71">
        <v>0</v>
      </c>
      <c r="E5" s="68">
        <v>120</v>
      </c>
      <c r="F5" s="71">
        <v>0</v>
      </c>
      <c r="G5" s="68">
        <v>776</v>
      </c>
      <c r="H5" s="70">
        <v>0.64</v>
      </c>
      <c r="J5" s="66"/>
      <c r="K5" s="78">
        <v>19.8</v>
      </c>
      <c r="M5">
        <v>99229</v>
      </c>
      <c r="Q5" s="65"/>
      <c r="Y5" s="65">
        <v>0</v>
      </c>
    </row>
    <row r="6" spans="1:25" ht="13">
      <c r="A6" s="68">
        <v>561105</v>
      </c>
      <c r="B6" s="69" t="s">
        <v>831</v>
      </c>
      <c r="C6" s="69" t="s">
        <v>832</v>
      </c>
      <c r="D6" s="71">
        <v>0</v>
      </c>
      <c r="E6" s="68">
        <v>216</v>
      </c>
      <c r="F6" s="71">
        <v>0</v>
      </c>
      <c r="G6" s="68">
        <v>700</v>
      </c>
      <c r="H6" s="70">
        <v>0.64</v>
      </c>
      <c r="J6" s="66"/>
      <c r="K6" s="78">
        <v>27.4</v>
      </c>
      <c r="M6">
        <v>93701</v>
      </c>
      <c r="N6">
        <v>567105</v>
      </c>
      <c r="O6" t="s">
        <v>856</v>
      </c>
      <c r="P6" t="s">
        <v>857</v>
      </c>
      <c r="Q6" s="65">
        <v>62</v>
      </c>
      <c r="R6">
        <v>4</v>
      </c>
      <c r="S6">
        <v>4</v>
      </c>
      <c r="T6">
        <v>64</v>
      </c>
      <c r="U6">
        <v>0.56000000000000005</v>
      </c>
      <c r="X6">
        <v>420.3</v>
      </c>
      <c r="Y6" s="65">
        <v>0.8496428925630084</v>
      </c>
    </row>
    <row r="7" spans="1:25" ht="13">
      <c r="A7" s="68">
        <v>562100</v>
      </c>
      <c r="B7" s="69" t="s">
        <v>833</v>
      </c>
      <c r="C7" s="69" t="s">
        <v>834</v>
      </c>
      <c r="D7" s="71">
        <v>0</v>
      </c>
      <c r="E7" s="68">
        <v>14</v>
      </c>
      <c r="F7" s="71">
        <v>0</v>
      </c>
      <c r="G7" s="68">
        <v>73</v>
      </c>
      <c r="H7" s="70">
        <v>0.64</v>
      </c>
      <c r="J7" s="66"/>
      <c r="K7" s="78">
        <v>142.80000000000001</v>
      </c>
      <c r="M7" t="s">
        <v>797</v>
      </c>
      <c r="Q7" s="65"/>
      <c r="Y7" s="65">
        <v>0</v>
      </c>
    </row>
    <row r="8" spans="1:25" ht="13">
      <c r="A8" s="68">
        <v>565100</v>
      </c>
      <c r="B8" s="69" t="s">
        <v>750</v>
      </c>
      <c r="C8" s="69" t="s">
        <v>835</v>
      </c>
      <c r="D8" s="71">
        <v>0</v>
      </c>
      <c r="E8" s="68">
        <v>0</v>
      </c>
      <c r="F8" s="71">
        <v>0</v>
      </c>
      <c r="G8" s="68">
        <v>0</v>
      </c>
      <c r="H8" s="70">
        <v>0.66</v>
      </c>
      <c r="J8" s="66"/>
      <c r="K8" s="78">
        <v>0</v>
      </c>
      <c r="M8">
        <v>96701</v>
      </c>
      <c r="N8">
        <v>565100</v>
      </c>
      <c r="O8" t="s">
        <v>750</v>
      </c>
      <c r="P8" t="s">
        <v>835</v>
      </c>
      <c r="Q8" s="65">
        <v>0</v>
      </c>
      <c r="R8">
        <v>0</v>
      </c>
      <c r="S8">
        <v>0</v>
      </c>
      <c r="T8">
        <v>0</v>
      </c>
      <c r="U8">
        <v>0.66</v>
      </c>
      <c r="X8">
        <v>0</v>
      </c>
      <c r="Y8" s="65">
        <v>1</v>
      </c>
    </row>
    <row r="9" spans="1:25" ht="13">
      <c r="A9" s="68">
        <v>565105</v>
      </c>
      <c r="B9" s="69" t="s">
        <v>751</v>
      </c>
      <c r="C9" s="69" t="s">
        <v>836</v>
      </c>
      <c r="D9" s="68">
        <v>412</v>
      </c>
      <c r="E9" s="68">
        <v>17</v>
      </c>
      <c r="F9" s="68">
        <v>19</v>
      </c>
      <c r="G9" s="68">
        <v>57</v>
      </c>
      <c r="H9" s="70">
        <v>0.69599999999999995</v>
      </c>
      <c r="J9" s="66"/>
      <c r="K9" s="78">
        <v>528</v>
      </c>
      <c r="M9">
        <v>82001</v>
      </c>
      <c r="N9">
        <v>565105</v>
      </c>
      <c r="O9" t="s">
        <v>751</v>
      </c>
      <c r="P9" t="s">
        <v>836</v>
      </c>
      <c r="Q9" s="65">
        <v>412</v>
      </c>
      <c r="R9">
        <v>17</v>
      </c>
      <c r="S9">
        <v>19</v>
      </c>
      <c r="T9">
        <v>57</v>
      </c>
      <c r="U9">
        <v>0.69599999999999995</v>
      </c>
      <c r="X9">
        <v>528</v>
      </c>
      <c r="Y9" s="65">
        <v>1</v>
      </c>
    </row>
    <row r="10" spans="1:25" ht="13">
      <c r="A10" s="68">
        <v>565110</v>
      </c>
      <c r="B10" s="69" t="s">
        <v>752</v>
      </c>
      <c r="C10" s="69" t="s">
        <v>837</v>
      </c>
      <c r="D10" s="70">
        <v>3.77</v>
      </c>
      <c r="E10" s="68">
        <v>105</v>
      </c>
      <c r="F10" s="68">
        <v>122</v>
      </c>
      <c r="G10" s="68">
        <v>60</v>
      </c>
      <c r="H10" s="70">
        <v>0.73199999999999998</v>
      </c>
      <c r="J10" s="66"/>
      <c r="K10" s="78">
        <v>743.2</v>
      </c>
      <c r="M10">
        <v>96501</v>
      </c>
      <c r="N10">
        <v>565110</v>
      </c>
      <c r="O10" t="s">
        <v>752</v>
      </c>
      <c r="P10" t="s">
        <v>837</v>
      </c>
      <c r="Q10" s="65">
        <v>3.77</v>
      </c>
      <c r="R10">
        <v>105</v>
      </c>
      <c r="S10">
        <v>122</v>
      </c>
      <c r="T10">
        <v>60</v>
      </c>
      <c r="U10">
        <v>0.73199999999999998</v>
      </c>
      <c r="X10">
        <v>743.2</v>
      </c>
      <c r="Y10" s="65">
        <v>1</v>
      </c>
    </row>
    <row r="11" spans="1:25" ht="13">
      <c r="A11" s="68">
        <v>565115</v>
      </c>
      <c r="B11" s="69" t="s">
        <v>838</v>
      </c>
      <c r="C11" s="69" t="s">
        <v>839</v>
      </c>
      <c r="D11" s="72">
        <v>3067</v>
      </c>
      <c r="E11" s="68">
        <v>89</v>
      </c>
      <c r="F11" s="68">
        <v>99</v>
      </c>
      <c r="G11" s="68">
        <v>544</v>
      </c>
      <c r="H11" s="70">
        <v>0.70299999999999996</v>
      </c>
      <c r="J11" s="66"/>
      <c r="K11" s="78">
        <v>744.1</v>
      </c>
      <c r="M11">
        <v>99230</v>
      </c>
      <c r="Q11" s="65"/>
      <c r="Y11" s="65">
        <v>0</v>
      </c>
    </row>
    <row r="12" spans="1:25" ht="13">
      <c r="A12" s="68">
        <v>566100</v>
      </c>
      <c r="B12" s="69" t="s">
        <v>840</v>
      </c>
      <c r="C12" s="69" t="s">
        <v>841</v>
      </c>
      <c r="D12" s="70">
        <v>5.78</v>
      </c>
      <c r="E12" s="68">
        <v>171</v>
      </c>
      <c r="F12" s="68">
        <v>186</v>
      </c>
      <c r="G12" s="68">
        <v>696</v>
      </c>
      <c r="H12" s="70">
        <v>0.66300000000000003</v>
      </c>
      <c r="J12" s="66"/>
      <c r="K12" s="78">
        <v>744.4</v>
      </c>
      <c r="M12">
        <v>99286</v>
      </c>
      <c r="Q12" s="65"/>
      <c r="Y12" s="65">
        <v>0</v>
      </c>
    </row>
    <row r="13" spans="1:25" ht="13">
      <c r="A13" s="68">
        <v>566105</v>
      </c>
      <c r="B13" s="69" t="s">
        <v>842</v>
      </c>
      <c r="C13" s="69" t="s">
        <v>843</v>
      </c>
      <c r="D13" s="70">
        <v>6.9969999999999999</v>
      </c>
      <c r="E13" s="68">
        <v>315</v>
      </c>
      <c r="F13" s="68">
        <v>370</v>
      </c>
      <c r="G13" s="68">
        <v>65</v>
      </c>
      <c r="H13" s="70">
        <v>0.73199999999999998</v>
      </c>
      <c r="J13" s="66"/>
      <c r="K13" s="78">
        <v>454.4</v>
      </c>
      <c r="M13">
        <v>99294</v>
      </c>
      <c r="Q13" s="65"/>
      <c r="Y13" s="65">
        <v>0</v>
      </c>
    </row>
    <row r="14" spans="1:25" ht="13">
      <c r="A14" s="68">
        <v>566110</v>
      </c>
      <c r="B14" s="69" t="s">
        <v>844</v>
      </c>
      <c r="C14" s="69" t="s">
        <v>845</v>
      </c>
      <c r="D14" s="71">
        <v>0</v>
      </c>
      <c r="E14" s="68">
        <v>8</v>
      </c>
      <c r="F14" s="71">
        <v>0</v>
      </c>
      <c r="G14" s="68">
        <v>49</v>
      </c>
      <c r="H14" s="70">
        <v>0.74399999999999999</v>
      </c>
      <c r="J14" s="66"/>
      <c r="K14" s="78">
        <v>33.9</v>
      </c>
      <c r="M14">
        <v>99293</v>
      </c>
      <c r="Q14" s="65"/>
      <c r="Y14" s="65">
        <v>0</v>
      </c>
    </row>
    <row r="15" spans="1:25" ht="26">
      <c r="A15" s="68">
        <v>566115</v>
      </c>
      <c r="B15" s="69" t="s">
        <v>846</v>
      </c>
      <c r="C15" s="69" t="s">
        <v>847</v>
      </c>
      <c r="D15" s="70">
        <v>4.069</v>
      </c>
      <c r="E15" s="68">
        <v>184</v>
      </c>
      <c r="F15" s="68">
        <v>213</v>
      </c>
      <c r="G15" s="68">
        <v>739</v>
      </c>
      <c r="H15" s="70">
        <v>0.72799999999999998</v>
      </c>
      <c r="J15" s="66"/>
      <c r="K15" s="78">
        <v>458.6</v>
      </c>
      <c r="M15">
        <v>99295</v>
      </c>
      <c r="Q15" s="65"/>
      <c r="Y15" s="65">
        <v>0</v>
      </c>
    </row>
    <row r="16" spans="1:25" ht="13">
      <c r="A16" s="68">
        <v>566120</v>
      </c>
      <c r="B16" s="69" t="s">
        <v>848</v>
      </c>
      <c r="C16" s="69" t="s">
        <v>849</v>
      </c>
      <c r="D16" s="70">
        <v>5.0759999999999996</v>
      </c>
      <c r="E16" s="68">
        <v>232</v>
      </c>
      <c r="F16" s="68">
        <v>269</v>
      </c>
      <c r="G16" s="68">
        <v>63</v>
      </c>
      <c r="H16" s="70">
        <v>0.72799999999999998</v>
      </c>
      <c r="J16" s="66"/>
      <c r="K16" s="78">
        <v>452.8</v>
      </c>
      <c r="M16">
        <v>99228</v>
      </c>
      <c r="N16">
        <v>585100</v>
      </c>
      <c r="O16" t="s">
        <v>879</v>
      </c>
      <c r="P16" t="s">
        <v>880</v>
      </c>
      <c r="Q16" s="65">
        <v>0</v>
      </c>
      <c r="R16">
        <v>0</v>
      </c>
      <c r="S16">
        <v>0</v>
      </c>
      <c r="T16">
        <v>0</v>
      </c>
      <c r="U16">
        <v>0.69399999999999995</v>
      </c>
      <c r="X16">
        <v>0</v>
      </c>
      <c r="Y16" s="65">
        <v>0.96389264549316622</v>
      </c>
    </row>
    <row r="17" spans="1:25" ht="13">
      <c r="A17" s="68">
        <v>566125</v>
      </c>
      <c r="B17" s="69" t="s">
        <v>850</v>
      </c>
      <c r="C17" s="69" t="s">
        <v>851</v>
      </c>
      <c r="D17" s="70">
        <v>3.6240000000000001</v>
      </c>
      <c r="E17" s="68">
        <v>168</v>
      </c>
      <c r="F17" s="68">
        <v>195</v>
      </c>
      <c r="G17" s="68">
        <v>763</v>
      </c>
      <c r="H17" s="70">
        <v>0.72799999999999998</v>
      </c>
      <c r="J17" s="66"/>
      <c r="K17" s="78">
        <v>447</v>
      </c>
      <c r="M17" t="s">
        <v>799</v>
      </c>
      <c r="Q17" s="65"/>
      <c r="Y17" s="65">
        <v>0</v>
      </c>
    </row>
    <row r="18" spans="1:25" ht="13">
      <c r="A18" s="68">
        <v>566130</v>
      </c>
      <c r="B18" s="69" t="s">
        <v>852</v>
      </c>
      <c r="C18" s="69" t="s">
        <v>853</v>
      </c>
      <c r="D18" s="70">
        <v>4.3499999999999996</v>
      </c>
      <c r="E18" s="68">
        <v>198</v>
      </c>
      <c r="F18" s="68">
        <v>230</v>
      </c>
      <c r="G18" s="68">
        <v>62</v>
      </c>
      <c r="H18" s="70">
        <v>0.72799999999999998</v>
      </c>
      <c r="J18" s="66"/>
      <c r="K18" s="78">
        <v>454.3</v>
      </c>
      <c r="M18">
        <v>99255</v>
      </c>
      <c r="N18">
        <v>595101</v>
      </c>
      <c r="O18" t="s">
        <v>882</v>
      </c>
      <c r="P18" t="s">
        <v>883</v>
      </c>
      <c r="Q18" s="65">
        <v>788</v>
      </c>
      <c r="R18">
        <v>56</v>
      </c>
      <c r="S18">
        <v>62</v>
      </c>
      <c r="T18">
        <v>125</v>
      </c>
      <c r="U18">
        <v>0.622</v>
      </c>
      <c r="X18">
        <v>306.8</v>
      </c>
      <c r="Y18" s="65">
        <v>1</v>
      </c>
    </row>
    <row r="19" spans="1:25" ht="13">
      <c r="A19" s="68">
        <v>567100</v>
      </c>
      <c r="B19" s="69" t="s">
        <v>854</v>
      </c>
      <c r="C19" s="69" t="s">
        <v>855</v>
      </c>
      <c r="D19" s="71">
        <v>0</v>
      </c>
      <c r="E19" s="68">
        <v>315</v>
      </c>
      <c r="F19" s="71">
        <v>0</v>
      </c>
      <c r="G19" s="68">
        <v>180</v>
      </c>
      <c r="H19" s="70">
        <v>0.65</v>
      </c>
      <c r="J19" s="66"/>
      <c r="K19" s="78">
        <v>744</v>
      </c>
      <c r="Q19" s="65"/>
      <c r="Y19" s="65">
        <v>0</v>
      </c>
    </row>
    <row r="20" spans="1:25" ht="26">
      <c r="A20" s="68">
        <v>567105</v>
      </c>
      <c r="B20" s="69" t="s">
        <v>856</v>
      </c>
      <c r="C20" s="69" t="s">
        <v>857</v>
      </c>
      <c r="D20" s="68">
        <v>62</v>
      </c>
      <c r="E20" s="68">
        <v>4</v>
      </c>
      <c r="F20" s="71">
        <v>4</v>
      </c>
      <c r="G20" s="68">
        <v>64</v>
      </c>
      <c r="H20" s="70">
        <v>0.56000000000000005</v>
      </c>
      <c r="J20" s="66"/>
      <c r="K20" s="78">
        <v>420.3</v>
      </c>
      <c r="M20">
        <v>98921</v>
      </c>
      <c r="Q20" s="65"/>
      <c r="Y20" s="65">
        <v>0</v>
      </c>
    </row>
    <row r="21" spans="1:25" ht="26">
      <c r="A21" s="68">
        <v>567110</v>
      </c>
      <c r="B21" s="69" t="s">
        <v>858</v>
      </c>
      <c r="C21" s="73" t="s">
        <v>859</v>
      </c>
      <c r="D21" s="70">
        <v>1.48</v>
      </c>
      <c r="E21" s="68">
        <v>44</v>
      </c>
      <c r="F21" s="68">
        <v>48</v>
      </c>
      <c r="G21" s="68">
        <v>51</v>
      </c>
      <c r="H21" s="70">
        <v>0.65400000000000003</v>
      </c>
      <c r="J21" s="66"/>
      <c r="K21" s="78">
        <v>744.4</v>
      </c>
      <c r="M21">
        <v>99017</v>
      </c>
      <c r="N21">
        <v>575100</v>
      </c>
      <c r="O21" t="s">
        <v>874</v>
      </c>
      <c r="P21" t="s">
        <v>875</v>
      </c>
      <c r="Q21" s="65">
        <v>4.4630000000000001</v>
      </c>
      <c r="R21">
        <v>143</v>
      </c>
      <c r="S21">
        <v>144</v>
      </c>
      <c r="T21">
        <v>83</v>
      </c>
      <c r="U21">
        <v>0.55700000000000005</v>
      </c>
      <c r="X21">
        <v>743.9</v>
      </c>
      <c r="Y21" s="65">
        <v>0.961741324690499</v>
      </c>
    </row>
    <row r="22" spans="1:25" ht="13">
      <c r="A22" s="68">
        <v>568115</v>
      </c>
      <c r="B22" s="69" t="s">
        <v>860</v>
      </c>
      <c r="C22" s="69" t="s">
        <v>861</v>
      </c>
      <c r="D22" s="71">
        <v>0</v>
      </c>
      <c r="E22" s="68">
        <v>292</v>
      </c>
      <c r="F22" s="71">
        <v>0</v>
      </c>
      <c r="G22" s="68">
        <v>53</v>
      </c>
      <c r="H22" s="70">
        <v>0.6</v>
      </c>
      <c r="J22" s="66"/>
      <c r="K22" s="79">
        <v>508</v>
      </c>
      <c r="M22">
        <v>99067</v>
      </c>
      <c r="Q22" s="65"/>
      <c r="Y22" s="65">
        <v>0</v>
      </c>
    </row>
    <row r="23" spans="1:25" ht="13">
      <c r="A23" s="68">
        <v>568120</v>
      </c>
      <c r="B23" s="69" t="s">
        <v>863</v>
      </c>
      <c r="C23" s="69" t="s">
        <v>864</v>
      </c>
      <c r="D23" s="71">
        <v>0</v>
      </c>
      <c r="E23" s="68">
        <v>115</v>
      </c>
      <c r="F23" s="71">
        <v>0</v>
      </c>
      <c r="G23" s="68">
        <v>830</v>
      </c>
      <c r="H23" s="70">
        <v>0.6</v>
      </c>
      <c r="J23" s="66"/>
      <c r="K23" s="78">
        <v>743.8</v>
      </c>
      <c r="M23" t="s">
        <v>797</v>
      </c>
      <c r="Q23" s="65"/>
      <c r="Y23" s="65">
        <v>0</v>
      </c>
    </row>
    <row r="24" spans="1:25" ht="13">
      <c r="A24" s="68">
        <v>568125</v>
      </c>
      <c r="B24" s="69" t="s">
        <v>865</v>
      </c>
      <c r="C24" s="69" t="s">
        <v>866</v>
      </c>
      <c r="D24" s="71">
        <v>0</v>
      </c>
      <c r="E24" s="68">
        <v>6</v>
      </c>
      <c r="F24" s="71">
        <v>0</v>
      </c>
      <c r="G24" s="68">
        <v>45</v>
      </c>
      <c r="H24" s="70">
        <v>0.6</v>
      </c>
      <c r="J24" s="66"/>
      <c r="K24" s="78">
        <v>743.8</v>
      </c>
      <c r="M24">
        <v>99069</v>
      </c>
      <c r="Q24" s="65"/>
      <c r="Y24" s="65">
        <v>0</v>
      </c>
    </row>
    <row r="25" spans="1:25" ht="29">
      <c r="A25" s="68">
        <v>570100</v>
      </c>
      <c r="B25" s="69" t="s">
        <v>867</v>
      </c>
      <c r="C25" s="69" t="s">
        <v>868</v>
      </c>
      <c r="D25" s="70">
        <v>2.0169999999999999</v>
      </c>
      <c r="E25" s="68">
        <v>59</v>
      </c>
      <c r="F25" s="68">
        <v>65</v>
      </c>
      <c r="G25" s="68">
        <v>58</v>
      </c>
      <c r="H25" s="70">
        <v>0.67800000000000005</v>
      </c>
      <c r="J25" s="66"/>
      <c r="K25" s="78">
        <v>743.9</v>
      </c>
      <c r="M25">
        <v>98965</v>
      </c>
      <c r="Q25" s="65"/>
      <c r="Y25" s="65">
        <v>0</v>
      </c>
    </row>
    <row r="26" spans="1:25" ht="26">
      <c r="A26" s="68">
        <v>570105</v>
      </c>
      <c r="B26" s="69" t="s">
        <v>869</v>
      </c>
      <c r="C26" s="69" t="s">
        <v>870</v>
      </c>
      <c r="D26" s="70">
        <v>1.278</v>
      </c>
      <c r="E26" s="68">
        <v>43</v>
      </c>
      <c r="F26" s="68">
        <v>47</v>
      </c>
      <c r="G26" s="68">
        <v>59</v>
      </c>
      <c r="H26" s="70">
        <v>0.66100000000000003</v>
      </c>
      <c r="J26" s="66"/>
      <c r="K26" s="78">
        <v>656.4</v>
      </c>
      <c r="M26">
        <v>48001</v>
      </c>
      <c r="N26">
        <v>566110</v>
      </c>
      <c r="O26" t="s">
        <v>844</v>
      </c>
      <c r="P26" t="s">
        <v>845</v>
      </c>
      <c r="Q26" s="65">
        <v>0</v>
      </c>
      <c r="R26">
        <v>8</v>
      </c>
      <c r="S26">
        <v>0</v>
      </c>
      <c r="T26">
        <v>49</v>
      </c>
      <c r="U26">
        <v>0.74399999999999999</v>
      </c>
      <c r="X26">
        <v>33.9</v>
      </c>
      <c r="Y26" s="65">
        <v>0.95248731265651232</v>
      </c>
    </row>
    <row r="27" spans="1:25" ht="13">
      <c r="A27" s="68">
        <v>570110</v>
      </c>
      <c r="B27" s="69" t="s">
        <v>871</v>
      </c>
      <c r="C27" s="69" t="s">
        <v>872</v>
      </c>
      <c r="D27" s="70">
        <v>2.1080000000000001</v>
      </c>
      <c r="E27" s="68">
        <v>97</v>
      </c>
      <c r="F27" s="68">
        <v>107</v>
      </c>
      <c r="G27" s="68">
        <v>97</v>
      </c>
      <c r="H27" s="70">
        <v>0.68600000000000005</v>
      </c>
      <c r="J27" s="66"/>
      <c r="K27" s="78">
        <v>470.7</v>
      </c>
      <c r="M27">
        <v>93806</v>
      </c>
      <c r="Q27" s="65"/>
      <c r="Y27" s="65">
        <v>0</v>
      </c>
    </row>
    <row r="28" spans="1:25" ht="13">
      <c r="A28" s="68">
        <v>570115</v>
      </c>
      <c r="B28" s="69" t="s">
        <v>792</v>
      </c>
      <c r="C28" s="69" t="s">
        <v>873</v>
      </c>
      <c r="D28" s="70">
        <v>1.3480000000000001</v>
      </c>
      <c r="E28" s="68">
        <v>50</v>
      </c>
      <c r="F28" s="68">
        <v>54</v>
      </c>
      <c r="G28" s="68">
        <v>98</v>
      </c>
      <c r="H28" s="70">
        <v>0.70199999999999996</v>
      </c>
      <c r="J28" s="66"/>
      <c r="K28" s="78">
        <v>595.4</v>
      </c>
      <c r="M28">
        <v>98961</v>
      </c>
      <c r="Q28" s="65"/>
      <c r="Y28" s="65">
        <v>0</v>
      </c>
    </row>
    <row r="29" spans="1:25" ht="13">
      <c r="A29" s="68">
        <v>575100</v>
      </c>
      <c r="B29" s="69" t="s">
        <v>874</v>
      </c>
      <c r="C29" s="69" t="s">
        <v>875</v>
      </c>
      <c r="D29" s="70">
        <v>4.4630000000000001</v>
      </c>
      <c r="E29" s="68">
        <v>143</v>
      </c>
      <c r="F29" s="68">
        <v>144</v>
      </c>
      <c r="G29" s="68">
        <v>83</v>
      </c>
      <c r="H29" s="70">
        <v>0.55700000000000005</v>
      </c>
      <c r="J29" s="66"/>
      <c r="K29" s="78">
        <v>743.9</v>
      </c>
      <c r="M29">
        <v>99307</v>
      </c>
      <c r="Q29" s="65"/>
      <c r="Y29" s="65">
        <v>0</v>
      </c>
    </row>
    <row r="30" spans="1:25" ht="13">
      <c r="A30" s="68">
        <v>575105</v>
      </c>
      <c r="B30" s="69" t="s">
        <v>876</v>
      </c>
      <c r="C30" s="69" t="s">
        <v>877</v>
      </c>
      <c r="D30" s="71">
        <v>0</v>
      </c>
      <c r="E30" s="68">
        <v>206</v>
      </c>
      <c r="F30" s="71">
        <v>0</v>
      </c>
      <c r="G30" s="68">
        <v>1032</v>
      </c>
      <c r="H30" s="70">
        <v>0.65</v>
      </c>
      <c r="J30" s="66"/>
      <c r="K30" s="78">
        <v>744.1</v>
      </c>
      <c r="M30">
        <v>98987</v>
      </c>
      <c r="Q30" s="65"/>
      <c r="Y30" s="65">
        <v>0</v>
      </c>
    </row>
    <row r="31" spans="1:25" ht="13">
      <c r="A31" s="68">
        <v>580100</v>
      </c>
      <c r="B31" s="69" t="s">
        <v>784</v>
      </c>
      <c r="C31" s="69" t="s">
        <v>878</v>
      </c>
      <c r="D31" s="70">
        <v>69.777000000000001</v>
      </c>
      <c r="E31" s="70">
        <v>2.1080000000000001</v>
      </c>
      <c r="F31" s="70">
        <v>2.2509999999999999</v>
      </c>
      <c r="G31" s="68">
        <v>640</v>
      </c>
      <c r="H31" s="70">
        <v>0.65300000000000002</v>
      </c>
      <c r="J31" s="66"/>
      <c r="K31" s="78">
        <v>743.9</v>
      </c>
      <c r="M31">
        <v>98988</v>
      </c>
      <c r="Q31" s="65"/>
      <c r="Y31" s="65">
        <v>0</v>
      </c>
    </row>
    <row r="32" spans="1:25" ht="13">
      <c r="A32" s="68">
        <v>585100</v>
      </c>
      <c r="B32" s="69" t="s">
        <v>879</v>
      </c>
      <c r="C32" s="69" t="s">
        <v>880</v>
      </c>
      <c r="D32" s="71">
        <v>0</v>
      </c>
      <c r="E32" s="68">
        <v>0</v>
      </c>
      <c r="F32" s="71">
        <v>0</v>
      </c>
      <c r="G32" s="68">
        <v>0</v>
      </c>
      <c r="H32" s="70">
        <v>0.69399999999999995</v>
      </c>
      <c r="J32" s="66"/>
      <c r="K32" s="78">
        <v>0</v>
      </c>
      <c r="M32">
        <v>99007</v>
      </c>
      <c r="Q32" s="65"/>
      <c r="Y32" s="65">
        <v>0</v>
      </c>
    </row>
    <row r="33" spans="1:25" ht="13">
      <c r="A33" s="68">
        <v>585105</v>
      </c>
      <c r="B33" s="69" t="s">
        <v>881</v>
      </c>
      <c r="C33" s="69" t="s">
        <v>880</v>
      </c>
      <c r="D33" s="71">
        <v>0</v>
      </c>
      <c r="E33" s="68">
        <v>0</v>
      </c>
      <c r="F33" s="71">
        <v>0</v>
      </c>
      <c r="G33" s="68">
        <v>0</v>
      </c>
      <c r="H33" s="70">
        <v>0.69399999999999995</v>
      </c>
      <c r="J33" s="66"/>
      <c r="K33" s="78">
        <v>0</v>
      </c>
      <c r="M33">
        <v>98956</v>
      </c>
      <c r="Q33" s="65"/>
      <c r="Y33" s="65">
        <v>0</v>
      </c>
    </row>
    <row r="34" spans="1:25" ht="13">
      <c r="A34" s="68">
        <v>595101</v>
      </c>
      <c r="B34" s="69" t="s">
        <v>882</v>
      </c>
      <c r="C34" s="69" t="s">
        <v>883</v>
      </c>
      <c r="D34" s="68">
        <v>788</v>
      </c>
      <c r="E34" s="68">
        <v>56</v>
      </c>
      <c r="F34" s="68">
        <v>62</v>
      </c>
      <c r="G34" s="68">
        <v>125</v>
      </c>
      <c r="H34" s="70">
        <v>0.622</v>
      </c>
      <c r="J34" s="66"/>
      <c r="K34" s="78">
        <v>306.8</v>
      </c>
      <c r="M34">
        <v>89858</v>
      </c>
      <c r="Q34" s="65"/>
      <c r="Y34" s="65">
        <v>0</v>
      </c>
    </row>
    <row r="35" spans="1:25" ht="30">
      <c r="A35" s="74"/>
      <c r="B35" s="74"/>
      <c r="C35" s="75" t="s">
        <v>884</v>
      </c>
      <c r="D35" s="76" t="s">
        <v>885</v>
      </c>
      <c r="E35" s="74"/>
      <c r="F35" s="74"/>
      <c r="G35" s="74"/>
      <c r="H35" s="74"/>
      <c r="I35" s="74"/>
      <c r="J35" s="66"/>
      <c r="M35">
        <v>98959</v>
      </c>
      <c r="Q35" s="65"/>
      <c r="Y35" s="65">
        <v>0</v>
      </c>
    </row>
    <row r="36" spans="1:25" ht="13">
      <c r="A36" s="74"/>
      <c r="B36" s="69" t="s">
        <v>886</v>
      </c>
      <c r="C36" s="70">
        <v>139.07599999999999</v>
      </c>
      <c r="D36" s="70">
        <v>122.821</v>
      </c>
      <c r="E36" s="74"/>
      <c r="F36" s="74"/>
      <c r="G36" s="74"/>
      <c r="H36" s="74"/>
      <c r="I36" s="74"/>
      <c r="J36" s="66"/>
      <c r="M36">
        <v>99093</v>
      </c>
      <c r="Q36" s="65"/>
      <c r="Y36" s="65">
        <v>0</v>
      </c>
    </row>
    <row r="37" spans="1:25">
      <c r="M37">
        <v>99094</v>
      </c>
      <c r="Q37" s="65"/>
      <c r="Y37" s="65">
        <v>0</v>
      </c>
    </row>
    <row r="38" spans="1:25">
      <c r="M38">
        <v>99095</v>
      </c>
      <c r="Q38" s="65"/>
      <c r="Y38" s="65">
        <v>0</v>
      </c>
    </row>
    <row r="39" spans="1:25">
      <c r="M39">
        <v>98801</v>
      </c>
      <c r="Q39" s="65"/>
      <c r="Y39" s="65">
        <v>0</v>
      </c>
    </row>
    <row r="40" spans="1:25">
      <c r="M40" t="s">
        <v>799</v>
      </c>
      <c r="Q40" s="65"/>
      <c r="Y40" s="65">
        <v>0</v>
      </c>
    </row>
    <row r="41" spans="1:25">
      <c r="M41">
        <v>99113</v>
      </c>
      <c r="Q41" s="65"/>
      <c r="Y41" s="65">
        <v>0</v>
      </c>
    </row>
    <row r="42" spans="1:25">
      <c r="M42">
        <v>99066</v>
      </c>
      <c r="Q42" s="65"/>
      <c r="Y42" s="65">
        <v>0</v>
      </c>
    </row>
    <row r="43" spans="1:25">
      <c r="M43">
        <v>99065</v>
      </c>
      <c r="Q43" s="65"/>
      <c r="Y43" s="65">
        <v>0</v>
      </c>
    </row>
    <row r="44" spans="1:25">
      <c r="M44">
        <v>99278</v>
      </c>
      <c r="N44">
        <v>567100</v>
      </c>
      <c r="O44" t="s">
        <v>854</v>
      </c>
      <c r="P44" t="s">
        <v>855</v>
      </c>
      <c r="Q44" s="65">
        <v>0</v>
      </c>
      <c r="R44">
        <v>315</v>
      </c>
      <c r="S44">
        <v>0</v>
      </c>
      <c r="T44">
        <v>180</v>
      </c>
      <c r="U44">
        <v>0.65</v>
      </c>
      <c r="X44">
        <v>744</v>
      </c>
      <c r="Y44" s="65">
        <v>1</v>
      </c>
    </row>
    <row r="45" spans="1:25">
      <c r="M45">
        <v>98990</v>
      </c>
      <c r="Q45" s="65"/>
      <c r="Y45" s="65">
        <v>0</v>
      </c>
    </row>
    <row r="46" spans="1:25">
      <c r="M46">
        <v>98976</v>
      </c>
      <c r="Q46" s="65"/>
      <c r="Y46" s="65">
        <v>0</v>
      </c>
    </row>
    <row r="47" spans="1:25">
      <c r="M47">
        <v>99159</v>
      </c>
      <c r="Q47" s="65"/>
      <c r="Y47" s="65">
        <v>0</v>
      </c>
    </row>
    <row r="48" spans="1:25">
      <c r="M48" t="s">
        <v>806</v>
      </c>
      <c r="Q48" s="65"/>
      <c r="Y48" s="65">
        <v>0</v>
      </c>
    </row>
    <row r="49" spans="13:25">
      <c r="M49">
        <v>99058</v>
      </c>
      <c r="Q49" s="65"/>
      <c r="Y49" s="65">
        <v>0</v>
      </c>
    </row>
    <row r="50" spans="13:25">
      <c r="Q50" s="65"/>
      <c r="Y50" s="65">
        <v>0</v>
      </c>
    </row>
    <row r="51" spans="13:25">
      <c r="M51">
        <v>99297</v>
      </c>
      <c r="Q51" s="65"/>
      <c r="Y51" s="65">
        <v>0</v>
      </c>
    </row>
    <row r="52" spans="13:25">
      <c r="M52">
        <v>99102</v>
      </c>
      <c r="N52">
        <v>580100</v>
      </c>
      <c r="O52" t="s">
        <v>784</v>
      </c>
      <c r="P52" t="s">
        <v>878</v>
      </c>
      <c r="Q52" s="65">
        <v>69.777000000000001</v>
      </c>
      <c r="R52">
        <v>2.1080000000000001</v>
      </c>
      <c r="S52">
        <v>2.2509999999999999</v>
      </c>
      <c r="T52">
        <v>640</v>
      </c>
      <c r="U52">
        <v>0.65300000000000002</v>
      </c>
      <c r="X52">
        <v>743.9</v>
      </c>
      <c r="Y52" s="65">
        <v>1</v>
      </c>
    </row>
    <row r="53" spans="13:25">
      <c r="M53">
        <v>99128</v>
      </c>
      <c r="N53">
        <v>568115</v>
      </c>
      <c r="O53" t="s">
        <v>860</v>
      </c>
      <c r="P53" t="s">
        <v>861</v>
      </c>
      <c r="Q53" s="65">
        <v>0</v>
      </c>
      <c r="R53">
        <v>292</v>
      </c>
      <c r="S53">
        <v>0</v>
      </c>
      <c r="T53">
        <v>53</v>
      </c>
      <c r="U53">
        <v>0.6</v>
      </c>
      <c r="X53" t="s">
        <v>862</v>
      </c>
      <c r="Y53" s="65">
        <v>0.61904761904761907</v>
      </c>
    </row>
    <row r="54" spans="13:25">
      <c r="M54">
        <v>99134</v>
      </c>
      <c r="N54">
        <v>568120</v>
      </c>
      <c r="O54" t="s">
        <v>863</v>
      </c>
      <c r="P54" t="s">
        <v>864</v>
      </c>
      <c r="Q54" s="65">
        <v>0</v>
      </c>
      <c r="R54">
        <v>115</v>
      </c>
      <c r="S54">
        <v>0</v>
      </c>
      <c r="T54">
        <v>830</v>
      </c>
      <c r="U54">
        <v>0.6</v>
      </c>
      <c r="X54">
        <v>743.8</v>
      </c>
      <c r="Y54" s="65">
        <v>0.98654708520179368</v>
      </c>
    </row>
    <row r="55" spans="13:25">
      <c r="M55">
        <v>99256</v>
      </c>
      <c r="N55">
        <v>560101</v>
      </c>
      <c r="O55" t="s">
        <v>827</v>
      </c>
      <c r="P55" t="s">
        <v>828</v>
      </c>
      <c r="Q55" s="65">
        <v>2.355</v>
      </c>
      <c r="R55">
        <v>67</v>
      </c>
      <c r="S55">
        <v>76</v>
      </c>
      <c r="T55">
        <v>172</v>
      </c>
      <c r="U55">
        <v>0.70399999999999996</v>
      </c>
      <c r="X55">
        <v>743.9</v>
      </c>
      <c r="Y55" s="65">
        <v>0.89230769230769236</v>
      </c>
    </row>
    <row r="56" spans="13:25">
      <c r="M56">
        <v>98910</v>
      </c>
      <c r="Q56" s="65"/>
      <c r="Y56" s="65">
        <v>0</v>
      </c>
    </row>
    <row r="57" spans="13:25">
      <c r="M57">
        <v>98401</v>
      </c>
      <c r="N57">
        <v>570110</v>
      </c>
      <c r="O57" t="s">
        <v>871</v>
      </c>
      <c r="P57" t="s">
        <v>872</v>
      </c>
      <c r="Q57" s="65">
        <v>2.1080000000000001</v>
      </c>
      <c r="R57">
        <v>97</v>
      </c>
      <c r="S57">
        <v>107</v>
      </c>
      <c r="T57">
        <v>97</v>
      </c>
      <c r="U57">
        <v>0.68600000000000005</v>
      </c>
      <c r="X57">
        <v>470.7</v>
      </c>
      <c r="Y57" s="65">
        <v>1</v>
      </c>
    </row>
    <row r="58" spans="13:25">
      <c r="M58">
        <v>96901</v>
      </c>
      <c r="N58">
        <v>570100</v>
      </c>
      <c r="O58" t="s">
        <v>899</v>
      </c>
      <c r="P58" t="s">
        <v>868</v>
      </c>
      <c r="Q58" s="65">
        <v>2.0169999999999999</v>
      </c>
      <c r="R58">
        <v>59</v>
      </c>
      <c r="S58">
        <v>65</v>
      </c>
      <c r="T58">
        <v>58</v>
      </c>
      <c r="U58">
        <v>0.67800000000000005</v>
      </c>
      <c r="X58">
        <v>743.9</v>
      </c>
      <c r="Y58" s="65">
        <v>0.88888888888888895</v>
      </c>
    </row>
    <row r="59" spans="13:25">
      <c r="M59">
        <v>99101</v>
      </c>
      <c r="Q59" s="65"/>
      <c r="Y59" s="65">
        <v>0</v>
      </c>
    </row>
    <row r="60" spans="13:25">
      <c r="M60" t="s">
        <v>812</v>
      </c>
      <c r="Q60" s="65"/>
      <c r="Y60" s="65">
        <v>0</v>
      </c>
    </row>
    <row r="61" spans="13:25">
      <c r="M61">
        <v>99246</v>
      </c>
      <c r="Q61" s="65"/>
      <c r="Y61" s="65">
        <v>0</v>
      </c>
    </row>
    <row r="62" spans="13:25">
      <c r="M62">
        <v>99312</v>
      </c>
      <c r="Q62" s="65"/>
      <c r="Y62" s="65">
        <v>0</v>
      </c>
    </row>
    <row r="63" spans="13:25">
      <c r="M63">
        <v>99140</v>
      </c>
      <c r="Q63" s="65"/>
      <c r="Y63" s="65">
        <v>0</v>
      </c>
    </row>
    <row r="64" spans="13:25">
      <c r="M64">
        <v>98979</v>
      </c>
      <c r="N64">
        <v>562100</v>
      </c>
      <c r="O64" t="s">
        <v>833</v>
      </c>
      <c r="P64" t="s">
        <v>834</v>
      </c>
      <c r="Q64" s="65">
        <v>0</v>
      </c>
      <c r="R64">
        <v>14</v>
      </c>
      <c r="S64">
        <v>0</v>
      </c>
      <c r="T64">
        <v>73</v>
      </c>
      <c r="U64">
        <v>0.64</v>
      </c>
      <c r="X64">
        <v>142.80000000000001</v>
      </c>
      <c r="Y64" s="65">
        <v>0.95</v>
      </c>
    </row>
    <row r="65" spans="13:25">
      <c r="M65">
        <v>34001</v>
      </c>
      <c r="N65">
        <v>567110</v>
      </c>
      <c r="O65" t="s">
        <v>858</v>
      </c>
      <c r="P65" t="s">
        <v>900</v>
      </c>
      <c r="Q65" s="65">
        <v>1.48</v>
      </c>
      <c r="R65">
        <v>44</v>
      </c>
      <c r="S65">
        <v>48</v>
      </c>
      <c r="T65">
        <v>51</v>
      </c>
      <c r="U65">
        <v>0.65400000000000003</v>
      </c>
      <c r="X65">
        <v>744.4</v>
      </c>
      <c r="Y65" s="65">
        <v>0.84174725847204079</v>
      </c>
    </row>
    <row r="66" spans="13:25">
      <c r="M66" t="s">
        <v>816</v>
      </c>
      <c r="Q66" s="65"/>
      <c r="Y66" s="65">
        <v>0</v>
      </c>
    </row>
    <row r="67" spans="13:25">
      <c r="M67" t="s">
        <v>817</v>
      </c>
      <c r="Q67" s="65"/>
      <c r="Y67" s="65">
        <v>0</v>
      </c>
    </row>
    <row r="68" spans="13:25">
      <c r="M68">
        <v>98915</v>
      </c>
      <c r="N68">
        <v>561105</v>
      </c>
      <c r="O68" t="s">
        <v>831</v>
      </c>
      <c r="P68" t="s">
        <v>832</v>
      </c>
      <c r="Q68" s="65">
        <v>0</v>
      </c>
      <c r="R68">
        <v>216</v>
      </c>
      <c r="S68">
        <v>0</v>
      </c>
      <c r="T68">
        <v>700</v>
      </c>
      <c r="U68">
        <v>0.64</v>
      </c>
      <c r="X68">
        <v>27.4</v>
      </c>
      <c r="Y68" s="65">
        <v>1</v>
      </c>
    </row>
    <row r="69" spans="13:25">
      <c r="M69">
        <v>99270</v>
      </c>
      <c r="Q69" s="65"/>
      <c r="Y69" s="65">
        <v>0</v>
      </c>
    </row>
    <row r="70" spans="13:25">
      <c r="M70">
        <v>99161</v>
      </c>
      <c r="Q70" s="65"/>
      <c r="Y70" s="65">
        <v>0</v>
      </c>
    </row>
    <row r="71" spans="13:25">
      <c r="M71">
        <v>99305</v>
      </c>
      <c r="Q71" s="65"/>
      <c r="Y71" s="65">
        <v>0</v>
      </c>
    </row>
    <row r="72" spans="13:25">
      <c r="M72">
        <v>99302</v>
      </c>
      <c r="Q72" s="65"/>
      <c r="Y72" s="65">
        <v>0</v>
      </c>
    </row>
    <row r="73" spans="13:25">
      <c r="M73">
        <v>99296</v>
      </c>
      <c r="Q73" s="65"/>
      <c r="Y73" s="65">
        <v>0</v>
      </c>
    </row>
    <row r="74" spans="13:25">
      <c r="M74" t="s">
        <v>797</v>
      </c>
      <c r="Q74" s="65"/>
      <c r="Y74" s="65">
        <v>0</v>
      </c>
    </row>
    <row r="75" spans="13:25">
      <c r="M75" t="s">
        <v>797</v>
      </c>
      <c r="Q75" s="65"/>
      <c r="Y75" s="65">
        <v>0</v>
      </c>
    </row>
    <row r="76" spans="13:25">
      <c r="M76">
        <v>80001</v>
      </c>
      <c r="N76">
        <v>570115</v>
      </c>
      <c r="O76" t="s">
        <v>792</v>
      </c>
      <c r="P76" t="s">
        <v>873</v>
      </c>
      <c r="Q76" s="65">
        <v>1.3480000000000001</v>
      </c>
      <c r="R76">
        <v>50</v>
      </c>
      <c r="S76">
        <v>54</v>
      </c>
      <c r="T76">
        <v>98</v>
      </c>
      <c r="U76">
        <v>0.70199999999999996</v>
      </c>
      <c r="X76">
        <v>595.4</v>
      </c>
      <c r="Y76" s="65">
        <v>1</v>
      </c>
    </row>
    <row r="77" spans="13:25">
      <c r="M77">
        <v>64</v>
      </c>
      <c r="Q77" s="65"/>
      <c r="Y77" s="65">
        <v>0</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E156"/>
  <sheetViews>
    <sheetView workbookViewId="0">
      <selection activeCell="B4" sqref="B4"/>
    </sheetView>
  </sheetViews>
  <sheetFormatPr baseColWidth="10" defaultColWidth="8.83203125" defaultRowHeight="12" x14ac:dyDescent="0"/>
  <cols>
    <col min="2" max="2" width="37.1640625" bestFit="1" customWidth="1"/>
    <col min="3" max="3" width="17.5" customWidth="1"/>
    <col min="4" max="4" width="15.33203125" bestFit="1" customWidth="1"/>
    <col min="5" max="5" width="16" bestFit="1" customWidth="1"/>
    <col min="6" max="6" width="18.6640625" customWidth="1"/>
  </cols>
  <sheetData>
    <row r="2" spans="2:5" s="25" customFormat="1" ht="60" customHeight="1">
      <c r="B2"/>
      <c r="C2"/>
      <c r="D2"/>
      <c r="E2"/>
    </row>
    <row r="3" spans="2:5" ht="36">
      <c r="B3" s="91" t="s">
        <v>616</v>
      </c>
      <c r="C3" s="92" t="s">
        <v>901</v>
      </c>
      <c r="D3" s="94" t="s">
        <v>904</v>
      </c>
      <c r="E3" s="25" t="s">
        <v>905</v>
      </c>
    </row>
    <row r="4" spans="2:5">
      <c r="B4" s="22" t="s">
        <v>165</v>
      </c>
      <c r="C4" s="93"/>
      <c r="D4" s="95">
        <v>0</v>
      </c>
      <c r="E4" s="96">
        <v>0</v>
      </c>
    </row>
    <row r="5" spans="2:5">
      <c r="B5" s="22" t="s">
        <v>327</v>
      </c>
      <c r="C5" s="93"/>
      <c r="D5" s="95">
        <v>5619</v>
      </c>
      <c r="E5" s="96">
        <v>9658</v>
      </c>
    </row>
    <row r="6" spans="2:5">
      <c r="B6" s="22" t="s">
        <v>223</v>
      </c>
      <c r="C6" s="93">
        <v>14</v>
      </c>
      <c r="D6" s="95">
        <v>475</v>
      </c>
      <c r="E6" s="96">
        <v>422</v>
      </c>
    </row>
    <row r="7" spans="2:5">
      <c r="B7" s="22" t="s">
        <v>147</v>
      </c>
      <c r="C7" s="93"/>
      <c r="D7" s="95">
        <v>0</v>
      </c>
      <c r="E7" s="96">
        <v>0</v>
      </c>
    </row>
    <row r="8" spans="2:5">
      <c r="B8" s="22" t="s">
        <v>94</v>
      </c>
      <c r="C8" s="93">
        <v>0</v>
      </c>
      <c r="D8" s="95">
        <v>34</v>
      </c>
      <c r="E8" s="96">
        <v>23</v>
      </c>
    </row>
    <row r="9" spans="2:5">
      <c r="B9" s="22" t="s">
        <v>304</v>
      </c>
      <c r="C9" s="93"/>
      <c r="D9" s="95">
        <v>0</v>
      </c>
      <c r="E9" s="96">
        <v>0</v>
      </c>
    </row>
    <row r="10" spans="2:5">
      <c r="B10" s="22" t="s">
        <v>75</v>
      </c>
      <c r="C10" s="93"/>
      <c r="D10" s="95">
        <v>0</v>
      </c>
      <c r="E10" s="96">
        <v>0</v>
      </c>
    </row>
    <row r="11" spans="2:5">
      <c r="B11" s="22" t="s">
        <v>171</v>
      </c>
      <c r="C11" s="93">
        <v>0</v>
      </c>
      <c r="D11" s="95">
        <v>539</v>
      </c>
      <c r="E11" s="96">
        <v>636</v>
      </c>
    </row>
    <row r="12" spans="2:5">
      <c r="B12" s="22" t="s">
        <v>87</v>
      </c>
      <c r="C12" s="93"/>
      <c r="D12" s="95">
        <v>0</v>
      </c>
      <c r="E12" s="96">
        <v>0</v>
      </c>
    </row>
    <row r="13" spans="2:5">
      <c r="B13" s="22" t="s">
        <v>381</v>
      </c>
      <c r="C13" s="93"/>
      <c r="D13" s="95">
        <v>0</v>
      </c>
      <c r="E13" s="96">
        <v>0</v>
      </c>
    </row>
    <row r="14" spans="2:5">
      <c r="B14" s="22" t="s">
        <v>384</v>
      </c>
      <c r="C14" s="93"/>
      <c r="D14" s="95">
        <v>0</v>
      </c>
      <c r="E14" s="96">
        <v>0</v>
      </c>
    </row>
    <row r="15" spans="2:5">
      <c r="B15" s="22" t="s">
        <v>131</v>
      </c>
      <c r="C15" s="93"/>
      <c r="D15" s="95">
        <v>0</v>
      </c>
      <c r="E15" s="96">
        <v>0</v>
      </c>
    </row>
    <row r="16" spans="2:5">
      <c r="B16" s="22" t="s">
        <v>182</v>
      </c>
      <c r="C16" s="93">
        <v>277</v>
      </c>
      <c r="D16" s="95">
        <v>4680</v>
      </c>
      <c r="E16" s="96">
        <v>6553</v>
      </c>
    </row>
    <row r="17" spans="2:5">
      <c r="B17" s="22" t="s">
        <v>78</v>
      </c>
      <c r="C17" s="93">
        <v>0</v>
      </c>
      <c r="D17" s="95">
        <v>0</v>
      </c>
      <c r="E17" s="96">
        <v>108</v>
      </c>
    </row>
    <row r="18" spans="2:5">
      <c r="B18" s="22" t="s">
        <v>89</v>
      </c>
      <c r="C18" s="93">
        <v>13</v>
      </c>
      <c r="D18" s="95">
        <v>322</v>
      </c>
      <c r="E18" s="96">
        <v>393</v>
      </c>
    </row>
    <row r="19" spans="2:5">
      <c r="B19" s="22" t="s">
        <v>284</v>
      </c>
      <c r="C19" s="93"/>
      <c r="D19" s="95">
        <v>0</v>
      </c>
      <c r="E19" s="96">
        <v>0</v>
      </c>
    </row>
    <row r="20" spans="2:5">
      <c r="B20" s="22" t="s">
        <v>258</v>
      </c>
      <c r="C20" s="93"/>
      <c r="D20" s="95">
        <v>0</v>
      </c>
      <c r="E20" s="96">
        <v>0</v>
      </c>
    </row>
    <row r="21" spans="2:5">
      <c r="B21" s="22" t="s">
        <v>105</v>
      </c>
      <c r="C21" s="93">
        <v>0</v>
      </c>
      <c r="D21" s="95">
        <v>0</v>
      </c>
      <c r="E21" s="96">
        <v>0</v>
      </c>
    </row>
    <row r="22" spans="2:5">
      <c r="B22" s="22" t="s">
        <v>374</v>
      </c>
      <c r="C22" s="93"/>
      <c r="D22" s="95">
        <v>0</v>
      </c>
      <c r="E22" s="96">
        <v>0</v>
      </c>
    </row>
    <row r="23" spans="2:5">
      <c r="B23" s="22" t="s">
        <v>315</v>
      </c>
      <c r="C23" s="93"/>
      <c r="D23" s="95">
        <v>0</v>
      </c>
      <c r="E23" s="96">
        <v>0</v>
      </c>
    </row>
    <row r="24" spans="2:5">
      <c r="B24" s="22" t="s">
        <v>81</v>
      </c>
      <c r="C24" s="93">
        <v>210</v>
      </c>
      <c r="D24" s="95">
        <v>4939</v>
      </c>
      <c r="E24" s="96">
        <v>5182</v>
      </c>
    </row>
    <row r="25" spans="2:5">
      <c r="B25" s="22" t="s">
        <v>353</v>
      </c>
      <c r="C25" s="93">
        <v>0</v>
      </c>
      <c r="D25" s="95">
        <v>460</v>
      </c>
      <c r="E25" s="96">
        <v>469</v>
      </c>
    </row>
    <row r="26" spans="2:5">
      <c r="B26" s="22" t="s">
        <v>143</v>
      </c>
      <c r="C26" s="93">
        <v>0</v>
      </c>
      <c r="D26" s="95">
        <v>74</v>
      </c>
      <c r="E26" s="96">
        <v>0</v>
      </c>
    </row>
    <row r="27" spans="2:5">
      <c r="B27" s="22" t="s">
        <v>359</v>
      </c>
      <c r="C27" s="93">
        <v>90</v>
      </c>
      <c r="D27" s="95">
        <v>1792</v>
      </c>
      <c r="E27" s="96">
        <v>1937</v>
      </c>
    </row>
    <row r="28" spans="2:5">
      <c r="B28" s="22" t="s">
        <v>337</v>
      </c>
      <c r="C28" s="93"/>
      <c r="D28" s="95">
        <v>0</v>
      </c>
      <c r="E28" s="96">
        <v>0</v>
      </c>
    </row>
    <row r="29" spans="2:5">
      <c r="B29" s="22" t="s">
        <v>83</v>
      </c>
      <c r="C29" s="93"/>
      <c r="D29" s="95">
        <v>0</v>
      </c>
      <c r="E29" s="96">
        <v>0</v>
      </c>
    </row>
    <row r="30" spans="2:5">
      <c r="B30" s="22" t="s">
        <v>180</v>
      </c>
      <c r="C30" s="93"/>
      <c r="D30" s="95">
        <v>0</v>
      </c>
      <c r="E30" s="96">
        <v>0</v>
      </c>
    </row>
    <row r="31" spans="2:5">
      <c r="B31" s="22" t="s">
        <v>192</v>
      </c>
      <c r="C31" s="93">
        <v>25</v>
      </c>
      <c r="D31" s="95">
        <v>888</v>
      </c>
      <c r="E31" s="96">
        <v>350</v>
      </c>
    </row>
    <row r="32" spans="2:5">
      <c r="B32" s="22" t="s">
        <v>191</v>
      </c>
      <c r="C32" s="93"/>
      <c r="D32" s="95">
        <v>0</v>
      </c>
      <c r="E32" s="96">
        <v>0</v>
      </c>
    </row>
    <row r="33" spans="2:5">
      <c r="B33" s="22" t="s">
        <v>205</v>
      </c>
      <c r="C33" s="93"/>
      <c r="D33" s="95">
        <v>0</v>
      </c>
      <c r="E33" s="96">
        <v>0</v>
      </c>
    </row>
    <row r="34" spans="2:5">
      <c r="B34" s="22" t="s">
        <v>153</v>
      </c>
      <c r="C34" s="93"/>
      <c r="D34" s="95">
        <v>0</v>
      </c>
      <c r="E34" s="96">
        <v>0</v>
      </c>
    </row>
    <row r="35" spans="2:5">
      <c r="B35" s="22" t="s">
        <v>154</v>
      </c>
      <c r="C35" s="93"/>
      <c r="D35" s="95">
        <v>0</v>
      </c>
      <c r="E35" s="96">
        <v>0</v>
      </c>
    </row>
    <row r="36" spans="2:5">
      <c r="B36" s="22" t="s">
        <v>158</v>
      </c>
      <c r="C36" s="93"/>
      <c r="D36" s="95">
        <v>0</v>
      </c>
      <c r="E36" s="96">
        <v>0</v>
      </c>
    </row>
    <row r="37" spans="2:5">
      <c r="B37" s="22" t="s">
        <v>163</v>
      </c>
      <c r="C37" s="93"/>
      <c r="D37" s="95">
        <v>0</v>
      </c>
      <c r="E37" s="96">
        <v>0</v>
      </c>
    </row>
    <row r="38" spans="2:5">
      <c r="B38" s="22" t="s">
        <v>161</v>
      </c>
      <c r="C38" s="93"/>
      <c r="D38" s="95">
        <v>0</v>
      </c>
      <c r="E38" s="96">
        <v>0</v>
      </c>
    </row>
    <row r="39" spans="2:5">
      <c r="B39" s="22" t="s">
        <v>311</v>
      </c>
      <c r="C39" s="93"/>
      <c r="D39" s="95">
        <v>0</v>
      </c>
      <c r="E39" s="96">
        <v>0</v>
      </c>
    </row>
    <row r="40" spans="2:5">
      <c r="B40" s="22" t="s">
        <v>255</v>
      </c>
      <c r="C40" s="93">
        <v>0</v>
      </c>
      <c r="D40" s="95">
        <v>542</v>
      </c>
      <c r="E40" s="96">
        <v>564</v>
      </c>
    </row>
    <row r="41" spans="2:5">
      <c r="B41" s="22" t="s">
        <v>97</v>
      </c>
      <c r="C41" s="93">
        <v>0</v>
      </c>
      <c r="D41" s="95">
        <v>0</v>
      </c>
      <c r="E41" s="96">
        <v>0</v>
      </c>
    </row>
    <row r="42" spans="2:5">
      <c r="B42" s="22" t="s">
        <v>330</v>
      </c>
      <c r="C42" s="93"/>
      <c r="D42" s="95">
        <v>0</v>
      </c>
      <c r="E42" s="96">
        <v>0</v>
      </c>
    </row>
    <row r="43" spans="2:5">
      <c r="B43" s="22" t="s">
        <v>332</v>
      </c>
      <c r="C43" s="93"/>
      <c r="D43" s="95">
        <v>0</v>
      </c>
      <c r="E43" s="96">
        <v>0</v>
      </c>
    </row>
    <row r="44" spans="2:5">
      <c r="B44" s="22" t="s">
        <v>319</v>
      </c>
      <c r="C44" s="93"/>
      <c r="D44" s="95">
        <v>0</v>
      </c>
      <c r="E44" s="96">
        <v>0</v>
      </c>
    </row>
    <row r="45" spans="2:5">
      <c r="B45" s="22" t="s">
        <v>321</v>
      </c>
      <c r="C45" s="93"/>
      <c r="D45" s="95">
        <v>0</v>
      </c>
      <c r="E45" s="96">
        <v>0</v>
      </c>
    </row>
    <row r="46" spans="2:5">
      <c r="B46" s="22" t="s">
        <v>306</v>
      </c>
      <c r="C46" s="93"/>
      <c r="D46" s="95">
        <v>0</v>
      </c>
      <c r="E46" s="96">
        <v>0</v>
      </c>
    </row>
    <row r="47" spans="2:5">
      <c r="B47" s="22" t="s">
        <v>260</v>
      </c>
      <c r="C47" s="93"/>
      <c r="D47" s="95">
        <v>0</v>
      </c>
      <c r="E47" s="96">
        <v>0</v>
      </c>
    </row>
    <row r="48" spans="2:5">
      <c r="B48" s="22" t="s">
        <v>281</v>
      </c>
      <c r="C48" s="93">
        <v>46</v>
      </c>
      <c r="D48" s="95">
        <v>577</v>
      </c>
      <c r="E48" s="96">
        <v>146</v>
      </c>
    </row>
    <row r="49" spans="2:5">
      <c r="B49" s="22" t="s">
        <v>277</v>
      </c>
      <c r="C49" s="93">
        <v>16</v>
      </c>
      <c r="D49" s="95">
        <v>270</v>
      </c>
      <c r="E49" s="96">
        <v>128</v>
      </c>
    </row>
    <row r="50" spans="2:5">
      <c r="B50" s="22" t="s">
        <v>278</v>
      </c>
      <c r="C50" s="93">
        <v>54</v>
      </c>
      <c r="D50" s="95">
        <v>1457</v>
      </c>
      <c r="E50" s="96">
        <v>1092</v>
      </c>
    </row>
    <row r="51" spans="2:5">
      <c r="B51" s="22" t="s">
        <v>276</v>
      </c>
      <c r="C51" s="93"/>
      <c r="D51" s="95">
        <v>0</v>
      </c>
      <c r="E51" s="96">
        <v>0</v>
      </c>
    </row>
    <row r="52" spans="2:5">
      <c r="B52" s="22" t="s">
        <v>279</v>
      </c>
      <c r="C52" s="93">
        <v>72</v>
      </c>
      <c r="D52" s="95">
        <v>1122</v>
      </c>
      <c r="E52" s="96">
        <v>1075</v>
      </c>
    </row>
    <row r="53" spans="2:5">
      <c r="B53" s="22" t="s">
        <v>339</v>
      </c>
      <c r="C53" s="93">
        <v>252</v>
      </c>
      <c r="D53" s="95">
        <v>7591</v>
      </c>
      <c r="E53" s="96">
        <v>5235</v>
      </c>
    </row>
    <row r="54" spans="2:5">
      <c r="B54" s="22" t="s">
        <v>211</v>
      </c>
      <c r="C54" s="93"/>
      <c r="D54" s="95">
        <v>0</v>
      </c>
      <c r="E54" s="96">
        <v>0</v>
      </c>
    </row>
    <row r="55" spans="2:5">
      <c r="B55" s="22" t="s">
        <v>225</v>
      </c>
      <c r="C55" s="93"/>
      <c r="D55" s="95">
        <v>0</v>
      </c>
      <c r="E55" s="96">
        <v>0</v>
      </c>
    </row>
    <row r="56" spans="2:5">
      <c r="B56" s="22" t="s">
        <v>299</v>
      </c>
      <c r="C56" s="93"/>
      <c r="D56" s="95">
        <v>0</v>
      </c>
      <c r="E56" s="96">
        <v>0</v>
      </c>
    </row>
    <row r="57" spans="2:5">
      <c r="B57" s="22" t="s">
        <v>121</v>
      </c>
      <c r="C57" s="93"/>
      <c r="D57" s="95">
        <v>0</v>
      </c>
      <c r="E57" s="96">
        <v>0</v>
      </c>
    </row>
    <row r="58" spans="2:5">
      <c r="B58" s="22" t="s">
        <v>292</v>
      </c>
      <c r="C58" s="93">
        <v>0</v>
      </c>
      <c r="D58" s="95">
        <v>47</v>
      </c>
      <c r="E58" s="96">
        <v>140</v>
      </c>
    </row>
    <row r="59" spans="2:5">
      <c r="B59" s="22" t="s">
        <v>286</v>
      </c>
      <c r="C59" s="93">
        <v>0</v>
      </c>
      <c r="D59" s="95">
        <v>71</v>
      </c>
      <c r="E59" s="96">
        <v>10</v>
      </c>
    </row>
    <row r="60" spans="2:5">
      <c r="B60" s="22" t="s">
        <v>288</v>
      </c>
      <c r="C60" s="93">
        <v>90</v>
      </c>
      <c r="D60" s="95">
        <v>2645</v>
      </c>
      <c r="E60" s="96">
        <v>1287</v>
      </c>
    </row>
    <row r="61" spans="2:5">
      <c r="B61" s="22" t="s">
        <v>290</v>
      </c>
      <c r="C61" s="93"/>
      <c r="D61" s="95">
        <v>0</v>
      </c>
      <c r="E61" s="96">
        <v>0</v>
      </c>
    </row>
    <row r="62" spans="2:5">
      <c r="B62" s="22" t="s">
        <v>249</v>
      </c>
      <c r="C62" s="93"/>
      <c r="D62" s="95">
        <v>0</v>
      </c>
      <c r="E62" s="96">
        <v>0</v>
      </c>
    </row>
    <row r="63" spans="2:5">
      <c r="B63" s="22" t="s">
        <v>357</v>
      </c>
      <c r="C63" s="93"/>
      <c r="D63" s="95">
        <v>0</v>
      </c>
      <c r="E63" s="96">
        <v>0</v>
      </c>
    </row>
    <row r="64" spans="2:5">
      <c r="B64" s="22" t="s">
        <v>356</v>
      </c>
      <c r="C64" s="93">
        <v>0</v>
      </c>
      <c r="D64" s="95">
        <v>1015</v>
      </c>
      <c r="E64" s="96">
        <v>1602</v>
      </c>
    </row>
    <row r="65" spans="2:5">
      <c r="B65" s="22" t="s">
        <v>355</v>
      </c>
      <c r="C65" s="93">
        <v>0</v>
      </c>
      <c r="D65" s="95">
        <v>284</v>
      </c>
      <c r="E65" s="96">
        <v>312</v>
      </c>
    </row>
    <row r="66" spans="2:5">
      <c r="B66" s="22" t="s">
        <v>176</v>
      </c>
      <c r="C66" s="93">
        <v>377</v>
      </c>
      <c r="D66" s="95">
        <v>8183</v>
      </c>
      <c r="E66" s="96">
        <v>8593</v>
      </c>
    </row>
    <row r="67" spans="2:5">
      <c r="B67" s="22" t="s">
        <v>116</v>
      </c>
      <c r="C67" s="93"/>
      <c r="D67" s="95">
        <v>0</v>
      </c>
      <c r="E67" s="96">
        <v>0</v>
      </c>
    </row>
    <row r="68" spans="2:5">
      <c r="B68" s="22" t="s">
        <v>361</v>
      </c>
      <c r="C68" s="93"/>
      <c r="D68" s="95">
        <v>0</v>
      </c>
      <c r="E68" s="96">
        <v>0</v>
      </c>
    </row>
    <row r="69" spans="2:5">
      <c r="B69" s="22" t="s">
        <v>341</v>
      </c>
      <c r="C69" s="93"/>
      <c r="D69" s="95">
        <v>2854</v>
      </c>
      <c r="E69" s="96">
        <v>142</v>
      </c>
    </row>
    <row r="70" spans="2:5">
      <c r="B70" s="22" t="s">
        <v>98</v>
      </c>
      <c r="C70" s="93"/>
      <c r="D70" s="95">
        <v>0</v>
      </c>
      <c r="E70" s="96">
        <v>0</v>
      </c>
    </row>
    <row r="71" spans="2:5">
      <c r="B71" s="22" t="s">
        <v>212</v>
      </c>
      <c r="C71" s="93">
        <v>174</v>
      </c>
      <c r="D71" s="95">
        <v>393</v>
      </c>
      <c r="E71" s="96">
        <v>2537</v>
      </c>
    </row>
    <row r="72" spans="2:5">
      <c r="B72" s="22" t="s">
        <v>217</v>
      </c>
      <c r="C72" s="93"/>
      <c r="D72" s="95">
        <v>0</v>
      </c>
      <c r="E72" s="96">
        <v>0</v>
      </c>
    </row>
    <row r="73" spans="2:5">
      <c r="B73" s="22" t="s">
        <v>187</v>
      </c>
      <c r="C73" s="93"/>
      <c r="D73" s="95">
        <v>0</v>
      </c>
      <c r="E73" s="96">
        <v>0</v>
      </c>
    </row>
    <row r="74" spans="2:5">
      <c r="B74" s="22" t="s">
        <v>280</v>
      </c>
      <c r="C74" s="93">
        <v>27</v>
      </c>
      <c r="D74" s="95">
        <v>934</v>
      </c>
      <c r="E74" s="96">
        <v>655</v>
      </c>
    </row>
    <row r="75" spans="2:5">
      <c r="B75" s="22" t="s">
        <v>107</v>
      </c>
      <c r="C75" s="93"/>
      <c r="D75" s="95">
        <v>0</v>
      </c>
      <c r="E75" s="96">
        <v>0</v>
      </c>
    </row>
    <row r="76" spans="2:5">
      <c r="B76" s="22" t="s">
        <v>368</v>
      </c>
      <c r="C76" s="93"/>
      <c r="D76" s="95">
        <v>0</v>
      </c>
      <c r="E76" s="96">
        <v>0</v>
      </c>
    </row>
    <row r="77" spans="2:5">
      <c r="B77" s="22" t="s">
        <v>135</v>
      </c>
      <c r="C77" s="93"/>
      <c r="D77" s="95">
        <v>0</v>
      </c>
      <c r="E77" s="96">
        <v>0</v>
      </c>
    </row>
    <row r="78" spans="2:5">
      <c r="B78" s="22" t="s">
        <v>317</v>
      </c>
      <c r="C78" s="93"/>
      <c r="D78" s="95">
        <v>1385</v>
      </c>
      <c r="E78" s="96">
        <v>1016</v>
      </c>
    </row>
    <row r="79" spans="2:5">
      <c r="B79" s="22" t="s">
        <v>343</v>
      </c>
      <c r="C79" s="93"/>
      <c r="D79" s="95">
        <v>0</v>
      </c>
      <c r="E79" s="96">
        <v>0</v>
      </c>
    </row>
    <row r="80" spans="2:5">
      <c r="B80" s="22" t="s">
        <v>232</v>
      </c>
      <c r="C80" s="93">
        <v>0</v>
      </c>
      <c r="D80" s="95">
        <v>0</v>
      </c>
      <c r="E80" s="96">
        <v>0</v>
      </c>
    </row>
    <row r="81" spans="2:5">
      <c r="B81" s="22" t="s">
        <v>345</v>
      </c>
      <c r="C81" s="93">
        <v>0</v>
      </c>
      <c r="D81" s="95">
        <v>5442</v>
      </c>
      <c r="E81" s="96">
        <v>5459</v>
      </c>
    </row>
    <row r="82" spans="2:5">
      <c r="B82" s="22" t="s">
        <v>239</v>
      </c>
      <c r="C82" s="93"/>
      <c r="D82" s="95">
        <v>0</v>
      </c>
      <c r="E82" s="96">
        <v>0</v>
      </c>
    </row>
    <row r="83" spans="2:5">
      <c r="B83" s="22" t="s">
        <v>386</v>
      </c>
      <c r="C83" s="93">
        <v>150</v>
      </c>
      <c r="D83" s="95">
        <v>199</v>
      </c>
      <c r="E83" s="96">
        <v>4284</v>
      </c>
    </row>
    <row r="84" spans="2:5">
      <c r="B84" s="22" t="s">
        <v>363</v>
      </c>
      <c r="C84" s="93">
        <v>0</v>
      </c>
      <c r="D84" s="95">
        <v>8144</v>
      </c>
      <c r="E84" s="96">
        <v>2361</v>
      </c>
    </row>
    <row r="85" spans="2:5">
      <c r="B85" s="22" t="s">
        <v>213</v>
      </c>
      <c r="C85" s="93">
        <v>0</v>
      </c>
      <c r="D85" s="95">
        <v>0</v>
      </c>
      <c r="E85" s="96">
        <v>8</v>
      </c>
    </row>
    <row r="86" spans="2:5">
      <c r="B86" s="22" t="s">
        <v>219</v>
      </c>
      <c r="C86" s="93"/>
      <c r="D86" s="95">
        <v>0</v>
      </c>
      <c r="E86" s="96">
        <v>0</v>
      </c>
    </row>
    <row r="87" spans="2:5">
      <c r="B87" s="22" t="s">
        <v>334</v>
      </c>
      <c r="C87" s="93"/>
      <c r="D87" s="95">
        <v>0</v>
      </c>
      <c r="E87" s="96">
        <v>0</v>
      </c>
    </row>
    <row r="88" spans="2:5">
      <c r="B88" s="22" t="s">
        <v>124</v>
      </c>
      <c r="C88" s="93"/>
      <c r="D88" s="95">
        <v>0</v>
      </c>
      <c r="E88" s="96">
        <v>0</v>
      </c>
    </row>
    <row r="89" spans="2:5">
      <c r="B89" s="22" t="s">
        <v>156</v>
      </c>
      <c r="C89" s="93"/>
      <c r="D89" s="95">
        <v>0</v>
      </c>
      <c r="E89" s="96">
        <v>0</v>
      </c>
    </row>
    <row r="90" spans="2:5">
      <c r="B90" s="22" t="s">
        <v>795</v>
      </c>
      <c r="C90" s="93">
        <v>0</v>
      </c>
      <c r="D90" s="95">
        <v>664</v>
      </c>
      <c r="E90" s="96"/>
    </row>
    <row r="91" spans="2:5">
      <c r="B91" s="22" t="s">
        <v>229</v>
      </c>
      <c r="C91" s="93"/>
      <c r="D91" s="95">
        <v>0</v>
      </c>
      <c r="E91" s="96">
        <v>0</v>
      </c>
    </row>
    <row r="92" spans="2:5">
      <c r="B92" s="22" t="s">
        <v>328</v>
      </c>
      <c r="C92" s="93"/>
      <c r="D92" s="95">
        <v>3273</v>
      </c>
      <c r="E92" s="96">
        <v>3302</v>
      </c>
    </row>
    <row r="93" spans="2:5">
      <c r="B93" s="22" t="s">
        <v>103</v>
      </c>
      <c r="C93" s="93">
        <v>0</v>
      </c>
      <c r="D93" s="95">
        <v>56716</v>
      </c>
      <c r="E93" s="96">
        <v>61197</v>
      </c>
    </row>
    <row r="94" spans="2:5">
      <c r="B94" s="22" t="s">
        <v>133</v>
      </c>
      <c r="C94" s="93"/>
      <c r="D94" s="95">
        <v>0</v>
      </c>
      <c r="E94" s="96">
        <v>0</v>
      </c>
    </row>
    <row r="95" spans="2:5">
      <c r="B95" s="22" t="s">
        <v>243</v>
      </c>
      <c r="C95" s="93"/>
      <c r="D95" s="95">
        <v>0</v>
      </c>
      <c r="E95" s="96">
        <v>0</v>
      </c>
    </row>
    <row r="96" spans="2:5">
      <c r="B96" s="22" t="s">
        <v>245</v>
      </c>
      <c r="C96" s="93">
        <v>91</v>
      </c>
      <c r="D96" s="95">
        <v>2046</v>
      </c>
      <c r="E96" s="96">
        <v>3118</v>
      </c>
    </row>
    <row r="97" spans="2:5">
      <c r="B97" s="22" t="s">
        <v>372</v>
      </c>
      <c r="C97" s="93">
        <v>0</v>
      </c>
      <c r="D97" s="95">
        <v>0</v>
      </c>
      <c r="E97" s="96">
        <v>0</v>
      </c>
    </row>
    <row r="98" spans="2:5">
      <c r="B98" s="22" t="s">
        <v>336</v>
      </c>
      <c r="C98" s="93"/>
      <c r="D98" s="95">
        <v>0</v>
      </c>
      <c r="E98" s="96">
        <v>0</v>
      </c>
    </row>
    <row r="99" spans="2:5">
      <c r="B99" s="22" t="s">
        <v>119</v>
      </c>
      <c r="C99" s="93"/>
      <c r="D99" s="95">
        <v>0</v>
      </c>
      <c r="E99" s="96">
        <v>0</v>
      </c>
    </row>
    <row r="100" spans="2:5">
      <c r="B100" s="22" t="s">
        <v>313</v>
      </c>
      <c r="C100" s="93"/>
      <c r="D100" s="95">
        <v>0</v>
      </c>
      <c r="E100" s="96">
        <v>0</v>
      </c>
    </row>
    <row r="101" spans="2:5">
      <c r="B101" s="22" t="s">
        <v>296</v>
      </c>
      <c r="C101" s="93">
        <v>0</v>
      </c>
      <c r="D101" s="95">
        <v>2003</v>
      </c>
      <c r="E101" s="96">
        <v>2213</v>
      </c>
    </row>
    <row r="102" spans="2:5">
      <c r="B102" s="22" t="s">
        <v>383</v>
      </c>
      <c r="C102" s="93">
        <v>72</v>
      </c>
      <c r="D102" s="95">
        <v>72</v>
      </c>
      <c r="E102" s="96">
        <v>72</v>
      </c>
    </row>
    <row r="103" spans="2:5">
      <c r="B103" s="22" t="s">
        <v>388</v>
      </c>
      <c r="C103" s="93"/>
      <c r="D103" s="95">
        <v>0</v>
      </c>
      <c r="E103" s="96">
        <v>0</v>
      </c>
    </row>
    <row r="104" spans="2:5">
      <c r="B104" s="22" t="s">
        <v>390</v>
      </c>
      <c r="C104" s="93"/>
      <c r="D104" s="95">
        <v>0</v>
      </c>
      <c r="E104" s="96">
        <v>0</v>
      </c>
    </row>
    <row r="105" spans="2:5">
      <c r="B105" s="22" t="s">
        <v>366</v>
      </c>
      <c r="C105" s="93"/>
      <c r="D105" s="95">
        <v>0</v>
      </c>
      <c r="E105" s="96">
        <v>0</v>
      </c>
    </row>
    <row r="106" spans="2:5">
      <c r="B106" s="22" t="s">
        <v>214</v>
      </c>
      <c r="C106" s="93"/>
      <c r="D106" s="95">
        <v>0</v>
      </c>
      <c r="E106" s="96">
        <v>0</v>
      </c>
    </row>
    <row r="107" spans="2:5">
      <c r="B107" s="22" t="s">
        <v>128</v>
      </c>
      <c r="C107" s="93"/>
      <c r="D107" s="95">
        <v>0</v>
      </c>
      <c r="E107" s="96">
        <v>0</v>
      </c>
    </row>
    <row r="108" spans="2:5">
      <c r="B108" s="22" t="s">
        <v>272</v>
      </c>
      <c r="C108" s="93"/>
      <c r="D108" s="95">
        <v>0</v>
      </c>
      <c r="E108" s="96">
        <v>0</v>
      </c>
    </row>
    <row r="109" spans="2:5">
      <c r="B109" s="22" t="s">
        <v>113</v>
      </c>
      <c r="C109" s="93"/>
      <c r="D109" s="95">
        <v>0</v>
      </c>
      <c r="E109" s="96">
        <v>0</v>
      </c>
    </row>
    <row r="110" spans="2:5">
      <c r="B110" s="22" t="s">
        <v>111</v>
      </c>
      <c r="C110" s="93">
        <v>0</v>
      </c>
      <c r="D110" s="95">
        <v>2269</v>
      </c>
      <c r="E110" s="96">
        <v>2020</v>
      </c>
    </row>
    <row r="111" spans="2:5">
      <c r="B111" s="22" t="s">
        <v>109</v>
      </c>
      <c r="C111" s="93"/>
      <c r="D111" s="95">
        <v>0</v>
      </c>
      <c r="E111" s="96">
        <v>0</v>
      </c>
    </row>
    <row r="112" spans="2:5">
      <c r="B112" s="22" t="s">
        <v>196</v>
      </c>
      <c r="C112" s="93"/>
      <c r="D112" s="95">
        <v>0</v>
      </c>
      <c r="E112" s="96">
        <v>0</v>
      </c>
    </row>
    <row r="113" spans="2:5">
      <c r="B113" s="22" t="s">
        <v>151</v>
      </c>
      <c r="C113" s="93"/>
      <c r="D113" s="95">
        <v>0</v>
      </c>
      <c r="E113" s="96">
        <v>0</v>
      </c>
    </row>
    <row r="114" spans="2:5">
      <c r="B114" s="22" t="s">
        <v>283</v>
      </c>
      <c r="C114" s="93">
        <v>120</v>
      </c>
      <c r="D114" s="95">
        <v>120</v>
      </c>
      <c r="E114" s="96">
        <v>124</v>
      </c>
    </row>
    <row r="115" spans="2:5">
      <c r="B115" s="22" t="s">
        <v>323</v>
      </c>
      <c r="C115" s="93"/>
      <c r="D115" s="95">
        <v>0</v>
      </c>
      <c r="E115" s="96">
        <v>0</v>
      </c>
    </row>
    <row r="116" spans="2:5">
      <c r="B116" s="22" t="s">
        <v>264</v>
      </c>
      <c r="C116" s="93"/>
      <c r="D116" s="95">
        <v>0</v>
      </c>
      <c r="E116" s="96">
        <v>0</v>
      </c>
    </row>
    <row r="117" spans="2:5">
      <c r="B117" s="22" t="s">
        <v>262</v>
      </c>
      <c r="C117" s="93">
        <v>42</v>
      </c>
      <c r="D117" s="95">
        <v>985</v>
      </c>
      <c r="E117" s="96">
        <v>201</v>
      </c>
    </row>
    <row r="118" spans="2:5">
      <c r="B118" s="22" t="s">
        <v>270</v>
      </c>
      <c r="C118" s="93"/>
      <c r="D118" s="95">
        <v>0</v>
      </c>
      <c r="E118" s="96">
        <v>0</v>
      </c>
    </row>
    <row r="119" spans="2:5">
      <c r="B119" s="22" t="s">
        <v>266</v>
      </c>
      <c r="C119" s="93">
        <v>23</v>
      </c>
      <c r="D119" s="95">
        <v>818</v>
      </c>
      <c r="E119" s="96">
        <v>1217</v>
      </c>
    </row>
    <row r="120" spans="2:5">
      <c r="B120" s="22" t="s">
        <v>241</v>
      </c>
      <c r="C120" s="93"/>
      <c r="D120" s="95">
        <v>0</v>
      </c>
      <c r="E120" s="96">
        <v>0</v>
      </c>
    </row>
    <row r="121" spans="2:5">
      <c r="B121" s="22" t="s">
        <v>208</v>
      </c>
      <c r="C121" s="93">
        <v>0</v>
      </c>
      <c r="D121" s="95">
        <v>22145</v>
      </c>
      <c r="E121" s="96">
        <v>23157</v>
      </c>
    </row>
    <row r="122" spans="2:5">
      <c r="B122" s="22" t="s">
        <v>294</v>
      </c>
      <c r="C122" s="93"/>
      <c r="D122" s="95">
        <v>0</v>
      </c>
      <c r="E122" s="96">
        <v>0</v>
      </c>
    </row>
    <row r="123" spans="2:5">
      <c r="B123" s="22" t="s">
        <v>377</v>
      </c>
      <c r="C123" s="93"/>
      <c r="D123" s="95">
        <v>0</v>
      </c>
      <c r="E123" s="96">
        <v>0</v>
      </c>
    </row>
    <row r="124" spans="2:5">
      <c r="B124" s="22" t="s">
        <v>379</v>
      </c>
      <c r="C124" s="93"/>
      <c r="D124" s="95">
        <v>0</v>
      </c>
      <c r="E124" s="96">
        <v>0</v>
      </c>
    </row>
    <row r="125" spans="2:5">
      <c r="B125" s="22" t="s">
        <v>274</v>
      </c>
      <c r="C125" s="93"/>
      <c r="D125" s="95">
        <v>0</v>
      </c>
      <c r="E125" s="96">
        <v>0</v>
      </c>
    </row>
    <row r="126" spans="2:5">
      <c r="B126" s="22" t="s">
        <v>198</v>
      </c>
      <c r="C126" s="93"/>
      <c r="D126" s="95">
        <v>0</v>
      </c>
      <c r="E126" s="96">
        <v>0</v>
      </c>
    </row>
    <row r="127" spans="2:5">
      <c r="B127" s="22" t="s">
        <v>101</v>
      </c>
      <c r="C127" s="93"/>
      <c r="D127" s="95">
        <v>0</v>
      </c>
      <c r="E127" s="96">
        <v>0</v>
      </c>
    </row>
    <row r="128" spans="2:5">
      <c r="B128" s="22" t="s">
        <v>194</v>
      </c>
      <c r="C128" s="93">
        <v>0</v>
      </c>
      <c r="D128" s="95">
        <v>0</v>
      </c>
      <c r="E128" s="96">
        <v>0</v>
      </c>
    </row>
    <row r="129" spans="2:5">
      <c r="B129" s="22" t="s">
        <v>252</v>
      </c>
      <c r="C129" s="93">
        <v>1380</v>
      </c>
      <c r="D129" s="95">
        <v>33760</v>
      </c>
      <c r="E129" s="96">
        <v>38262</v>
      </c>
    </row>
    <row r="130" spans="2:5">
      <c r="B130" s="22" t="s">
        <v>301</v>
      </c>
      <c r="C130" s="93"/>
      <c r="D130" s="95">
        <v>0</v>
      </c>
      <c r="E130" s="96">
        <v>0</v>
      </c>
    </row>
    <row r="131" spans="2:5">
      <c r="B131" s="22" t="s">
        <v>189</v>
      </c>
      <c r="C131" s="93">
        <v>0</v>
      </c>
      <c r="D131" s="95">
        <v>1926</v>
      </c>
      <c r="E131" s="96">
        <v>2259</v>
      </c>
    </row>
    <row r="132" spans="2:5">
      <c r="B132" s="22" t="s">
        <v>310</v>
      </c>
      <c r="C132" s="93">
        <v>0</v>
      </c>
      <c r="D132" s="95">
        <v>265</v>
      </c>
      <c r="E132" s="96">
        <v>271</v>
      </c>
    </row>
    <row r="133" spans="2:5">
      <c r="B133" s="22" t="s">
        <v>92</v>
      </c>
      <c r="C133" s="93">
        <v>0</v>
      </c>
      <c r="D133" s="95">
        <v>0</v>
      </c>
      <c r="E133" s="96">
        <v>0</v>
      </c>
    </row>
    <row r="134" spans="2:5">
      <c r="B134" s="22" t="s">
        <v>325</v>
      </c>
      <c r="C134" s="93"/>
      <c r="D134" s="95">
        <v>0</v>
      </c>
      <c r="E134" s="96">
        <v>0</v>
      </c>
    </row>
    <row r="135" spans="2:5">
      <c r="B135" s="22" t="s">
        <v>137</v>
      </c>
      <c r="C135" s="93"/>
      <c r="D135" s="95">
        <v>0</v>
      </c>
      <c r="E135" s="96">
        <v>0</v>
      </c>
    </row>
    <row r="136" spans="2:5">
      <c r="B136" s="22" t="s">
        <v>138</v>
      </c>
      <c r="C136" s="93"/>
      <c r="D136" s="95">
        <v>0</v>
      </c>
      <c r="E136" s="96">
        <v>0</v>
      </c>
    </row>
    <row r="137" spans="2:5">
      <c r="B137" s="22" t="s">
        <v>234</v>
      </c>
      <c r="C137" s="93">
        <v>450</v>
      </c>
      <c r="D137" s="95">
        <v>18738</v>
      </c>
      <c r="E137" s="96">
        <v>19307</v>
      </c>
    </row>
    <row r="138" spans="2:5">
      <c r="B138" s="22" t="s">
        <v>236</v>
      </c>
      <c r="C138" s="93">
        <v>0</v>
      </c>
      <c r="D138" s="95">
        <v>1681</v>
      </c>
      <c r="E138" s="96">
        <v>2323</v>
      </c>
    </row>
    <row r="139" spans="2:5">
      <c r="B139" s="22" t="s">
        <v>142</v>
      </c>
      <c r="C139" s="93"/>
      <c r="D139" s="95">
        <v>0</v>
      </c>
      <c r="E139" s="96">
        <v>0</v>
      </c>
    </row>
    <row r="140" spans="2:5">
      <c r="B140" s="22" t="s">
        <v>140</v>
      </c>
      <c r="C140" s="93"/>
      <c r="D140" s="95">
        <v>0</v>
      </c>
      <c r="E140" s="96">
        <v>0</v>
      </c>
    </row>
    <row r="141" spans="2:5">
      <c r="B141" s="22" t="s">
        <v>149</v>
      </c>
      <c r="C141" s="93">
        <v>630</v>
      </c>
      <c r="D141" s="95">
        <v>120029</v>
      </c>
      <c r="E141" s="96">
        <v>127072</v>
      </c>
    </row>
    <row r="142" spans="2:5">
      <c r="B142" s="22" t="s">
        <v>145</v>
      </c>
      <c r="C142" s="93"/>
      <c r="D142" s="95">
        <v>0</v>
      </c>
      <c r="E142" s="96">
        <v>0</v>
      </c>
    </row>
    <row r="143" spans="2:5">
      <c r="B143" s="22" t="s">
        <v>394</v>
      </c>
      <c r="C143" s="93"/>
      <c r="D143" s="95">
        <v>0</v>
      </c>
      <c r="E143" s="96">
        <v>0</v>
      </c>
    </row>
    <row r="144" spans="2:5">
      <c r="B144" s="22" t="s">
        <v>221</v>
      </c>
      <c r="C144" s="93">
        <v>0</v>
      </c>
      <c r="D144" s="95">
        <v>0</v>
      </c>
      <c r="E144" s="96">
        <v>52</v>
      </c>
    </row>
    <row r="145" spans="2:5">
      <c r="B145" s="22" t="s">
        <v>247</v>
      </c>
      <c r="C145" s="93">
        <v>5</v>
      </c>
      <c r="D145" s="95">
        <v>18</v>
      </c>
      <c r="E145" s="96">
        <v>36</v>
      </c>
    </row>
    <row r="146" spans="2:5">
      <c r="B146" s="22" t="s">
        <v>174</v>
      </c>
      <c r="C146" s="93"/>
      <c r="D146" s="95">
        <v>0</v>
      </c>
      <c r="E146" s="96">
        <v>0</v>
      </c>
    </row>
    <row r="147" spans="2:5">
      <c r="B147" s="22" t="s">
        <v>370</v>
      </c>
      <c r="C147" s="93"/>
      <c r="D147" s="95">
        <v>0</v>
      </c>
      <c r="E147" s="96">
        <v>0</v>
      </c>
    </row>
    <row r="148" spans="2:5">
      <c r="B148" s="22" t="s">
        <v>203</v>
      </c>
      <c r="C148" s="93">
        <v>0</v>
      </c>
      <c r="D148" s="95">
        <v>0</v>
      </c>
      <c r="E148" s="96">
        <v>0</v>
      </c>
    </row>
    <row r="149" spans="2:5">
      <c r="B149" s="22" t="s">
        <v>200</v>
      </c>
      <c r="C149" s="93">
        <v>0</v>
      </c>
      <c r="D149" s="95">
        <v>0</v>
      </c>
      <c r="E149" s="96">
        <v>211</v>
      </c>
    </row>
    <row r="150" spans="2:5">
      <c r="B150" s="22" t="s">
        <v>201</v>
      </c>
      <c r="C150" s="93">
        <v>0</v>
      </c>
      <c r="D150" s="95">
        <v>0</v>
      </c>
      <c r="E150" s="96">
        <v>0</v>
      </c>
    </row>
    <row r="151" spans="2:5">
      <c r="B151" s="22" t="s">
        <v>117</v>
      </c>
      <c r="C151" s="93"/>
      <c r="D151" s="95">
        <v>0</v>
      </c>
      <c r="E151" s="96">
        <v>0</v>
      </c>
    </row>
    <row r="152" spans="2:5">
      <c r="B152" s="22" t="s">
        <v>167</v>
      </c>
      <c r="C152" s="93"/>
      <c r="D152" s="95">
        <v>0</v>
      </c>
      <c r="E152" s="96">
        <v>0</v>
      </c>
    </row>
    <row r="153" spans="2:5">
      <c r="B153" s="22" t="s">
        <v>169</v>
      </c>
      <c r="C153" s="93">
        <v>0</v>
      </c>
      <c r="D153" s="95">
        <v>0</v>
      </c>
      <c r="E153" s="96">
        <v>0</v>
      </c>
    </row>
    <row r="154" spans="2:5">
      <c r="B154" s="22" t="s">
        <v>268</v>
      </c>
      <c r="C154" s="93">
        <v>20</v>
      </c>
      <c r="D154" s="95">
        <v>170</v>
      </c>
      <c r="E154" s="96">
        <v>513</v>
      </c>
    </row>
    <row r="155" spans="2:5">
      <c r="B155" s="22" t="s">
        <v>86</v>
      </c>
      <c r="C155" s="93"/>
      <c r="D155" s="95">
        <v>0</v>
      </c>
      <c r="E155" s="96">
        <v>0</v>
      </c>
    </row>
    <row r="156" spans="2:5">
      <c r="B156" s="22" t="s">
        <v>617</v>
      </c>
      <c r="C156" s="93">
        <v>4720</v>
      </c>
      <c r="D156" s="95">
        <v>330675</v>
      </c>
      <c r="E156" s="96">
        <v>349304</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C3:C5"/>
  <sheetViews>
    <sheetView workbookViewId="0">
      <selection activeCell="C6" sqref="C6"/>
    </sheetView>
  </sheetViews>
  <sheetFormatPr baseColWidth="10" defaultColWidth="8.83203125" defaultRowHeight="12" x14ac:dyDescent="0"/>
  <cols>
    <col min="3" max="3" width="13.83203125" bestFit="1" customWidth="1"/>
  </cols>
  <sheetData>
    <row r="3" spans="3:3">
      <c r="C3" t="s">
        <v>622</v>
      </c>
    </row>
    <row r="4" spans="3:3">
      <c r="C4">
        <v>14.65</v>
      </c>
    </row>
    <row r="5" spans="3:3">
      <c r="C5">
        <v>14.73</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C2:C68"/>
  <sheetViews>
    <sheetView workbookViewId="0">
      <selection activeCell="F4" sqref="F4"/>
    </sheetView>
  </sheetViews>
  <sheetFormatPr baseColWidth="10" defaultColWidth="8.83203125" defaultRowHeight="12" x14ac:dyDescent="0"/>
  <sheetData>
    <row r="2" spans="3:3">
      <c r="C2" t="s">
        <v>903</v>
      </c>
    </row>
    <row r="3" spans="3:3">
      <c r="C3" t="s">
        <v>902</v>
      </c>
    </row>
    <row r="4" spans="3:3" ht="14">
      <c r="C4" s="157">
        <v>98201</v>
      </c>
    </row>
    <row r="5" spans="3:3" ht="14">
      <c r="C5" s="158">
        <v>99269</v>
      </c>
    </row>
    <row r="6" spans="3:3" ht="14">
      <c r="C6" s="157">
        <v>99288</v>
      </c>
    </row>
    <row r="7" spans="3:3" ht="14">
      <c r="C7" s="158">
        <v>99132</v>
      </c>
    </row>
    <row r="8" spans="3:3" ht="14">
      <c r="C8" s="157">
        <v>99133</v>
      </c>
    </row>
    <row r="9" spans="3:3" ht="14">
      <c r="C9" s="158">
        <v>99247</v>
      </c>
    </row>
    <row r="10" spans="3:3">
      <c r="C10" s="148"/>
    </row>
    <row r="11" spans="3:3">
      <c r="C11" s="148"/>
    </row>
    <row r="12" spans="3:3">
      <c r="C12" s="148"/>
    </row>
    <row r="13" spans="3:3" ht="14">
      <c r="C13" s="139"/>
    </row>
    <row r="14" spans="3:3" ht="14">
      <c r="C14" s="138"/>
    </row>
    <row r="15" spans="3:3" ht="14">
      <c r="C15" s="139"/>
    </row>
    <row r="16" spans="3:3" ht="14">
      <c r="C16" s="138"/>
    </row>
    <row r="17" spans="3:3" ht="14">
      <c r="C17" s="139"/>
    </row>
    <row r="18" spans="3:3" ht="14">
      <c r="C18" s="138"/>
    </row>
    <row r="19" spans="3:3" ht="14">
      <c r="C19" s="139"/>
    </row>
    <row r="20" spans="3:3" ht="14">
      <c r="C20" s="138"/>
    </row>
    <row r="21" spans="3:3" ht="14">
      <c r="C21" s="139"/>
    </row>
    <row r="22" spans="3:3" ht="14">
      <c r="C22" s="138"/>
    </row>
    <row r="23" spans="3:3" ht="14">
      <c r="C23" s="139"/>
    </row>
    <row r="24" spans="3:3" ht="14">
      <c r="C24" s="138"/>
    </row>
    <row r="25" spans="3:3" ht="14">
      <c r="C25" s="88"/>
    </row>
    <row r="26" spans="3:3" ht="14">
      <c r="C26" s="89"/>
    </row>
    <row r="27" spans="3:3" ht="14">
      <c r="C27" s="88"/>
    </row>
    <row r="28" spans="3:3" ht="14">
      <c r="C28" s="89"/>
    </row>
    <row r="29" spans="3:3" ht="14">
      <c r="C29" s="88"/>
    </row>
    <row r="30" spans="3:3" ht="14">
      <c r="C30" s="89"/>
    </row>
    <row r="31" spans="3:3" ht="14">
      <c r="C31" s="88"/>
    </row>
    <row r="32" spans="3:3" ht="14">
      <c r="C32" s="89"/>
    </row>
    <row r="33" spans="3:3" ht="14">
      <c r="C33" s="88"/>
    </row>
    <row r="34" spans="3:3" ht="14">
      <c r="C34" s="89"/>
    </row>
    <row r="35" spans="3:3" ht="14">
      <c r="C35" s="88"/>
    </row>
    <row r="36" spans="3:3" ht="14">
      <c r="C36" s="89"/>
    </row>
    <row r="37" spans="3:3" ht="14">
      <c r="C37" s="88"/>
    </row>
    <row r="38" spans="3:3" ht="14">
      <c r="C38" s="89"/>
    </row>
    <row r="39" spans="3:3" ht="14">
      <c r="C39" s="88"/>
    </row>
    <row r="40" spans="3:3" ht="14">
      <c r="C40" s="89"/>
    </row>
    <row r="41" spans="3:3" ht="14">
      <c r="C41" s="88"/>
    </row>
    <row r="42" spans="3:3" ht="14">
      <c r="C42" s="89"/>
    </row>
    <row r="43" spans="3:3" ht="14">
      <c r="C43" s="88"/>
    </row>
    <row r="44" spans="3:3" ht="14">
      <c r="C44" s="89"/>
    </row>
    <row r="45" spans="3:3" ht="14">
      <c r="C45" s="90"/>
    </row>
    <row r="46" spans="3:3" ht="14">
      <c r="C46" s="89"/>
    </row>
    <row r="47" spans="3:3" ht="14">
      <c r="C47" s="88"/>
    </row>
    <row r="48" spans="3:3" ht="14">
      <c r="C48" s="89"/>
    </row>
    <row r="49" spans="3:3" ht="14">
      <c r="C49" s="88"/>
    </row>
    <row r="50" spans="3:3" ht="14">
      <c r="C50" s="89"/>
    </row>
    <row r="51" spans="3:3" ht="14">
      <c r="C51" s="88"/>
    </row>
    <row r="52" spans="3:3" ht="14">
      <c r="C52" s="89"/>
    </row>
    <row r="53" spans="3:3" ht="14">
      <c r="C53" s="88"/>
    </row>
    <row r="54" spans="3:3" ht="14">
      <c r="C54" s="89"/>
    </row>
    <row r="55" spans="3:3" ht="14">
      <c r="C55" s="88"/>
    </row>
    <row r="56" spans="3:3" ht="14">
      <c r="C56" s="89"/>
    </row>
    <row r="57" spans="3:3" ht="14">
      <c r="C57" s="88"/>
    </row>
    <row r="58" spans="3:3" ht="14">
      <c r="C58" s="89"/>
    </row>
    <row r="59" spans="3:3" ht="14">
      <c r="C59" s="88"/>
    </row>
    <row r="60" spans="3:3" ht="14">
      <c r="C60" s="89"/>
    </row>
    <row r="61" spans="3:3" ht="14">
      <c r="C61" s="88"/>
    </row>
    <row r="62" spans="3:3" ht="14">
      <c r="C62" s="89"/>
    </row>
    <row r="63" spans="3:3" ht="14">
      <c r="C63" s="88"/>
    </row>
    <row r="64" spans="3:3" ht="14">
      <c r="C64" s="89"/>
    </row>
    <row r="65" spans="3:3" ht="14">
      <c r="C65" s="88"/>
    </row>
    <row r="66" spans="3:3" ht="14">
      <c r="C66" s="89"/>
    </row>
    <row r="67" spans="3:3" ht="14">
      <c r="C67" s="88"/>
    </row>
    <row r="68" spans="3:3" ht="14">
      <c r="C68" s="89"/>
    </row>
  </sheetData>
  <conditionalFormatting sqref="C25:C67">
    <cfRule type="duplicateValues" dxfId="6" priority="25"/>
  </conditionalFormatting>
  <conditionalFormatting sqref="C17:C24">
    <cfRule type="duplicateValues" dxfId="5" priority="22"/>
  </conditionalFormatting>
  <conditionalFormatting sqref="C17:C23">
    <cfRule type="duplicateValues" dxfId="4" priority="21"/>
  </conditionalFormatting>
  <conditionalFormatting sqref="C13:C16">
    <cfRule type="duplicateValues" dxfId="3" priority="14"/>
  </conditionalFormatting>
  <conditionalFormatting sqref="C13:C16">
    <cfRule type="duplicateValues" dxfId="2" priority="13"/>
  </conditionalFormatting>
  <conditionalFormatting sqref="C10:C12">
    <cfRule type="duplicateValues" dxfId="1" priority="8"/>
  </conditionalFormatting>
  <conditionalFormatting sqref="C4:C9">
    <cfRule type="duplicateValues" dxfId="0" priority="1"/>
  </conditionalFormatting>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Mar 2020 EDI</vt:lpstr>
      <vt:lpstr>Working Spreadsheet Mar 20</vt:lpstr>
      <vt:lpstr>FuzzyLookup_AddIn_Undo_Sheet</vt:lpstr>
      <vt:lpstr>Pulled &amp; Formatted Allocations</vt:lpstr>
      <vt:lpstr>Raw Copy Allocations</vt:lpstr>
      <vt:lpstr>Feb 2020 RRC Export</vt:lpstr>
      <vt:lpstr>Removed RRC ID</vt:lpstr>
      <vt:lpstr>2019 Fuel May</vt:lpstr>
      <vt:lpstr>South Texas Meter Statement</vt:lpstr>
      <vt:lpstr>SummaryTable</vt:lpstr>
      <vt:lpstr>Dropdown Controller</vt:lpstr>
      <vt:lpstr>FilterList</vt:lpstr>
    </vt:vector>
  </TitlesOfParts>
  <Company>State of Texas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2020-05-18T21:16:54Z</dcterms:modified>
</cp:coreProperties>
</file>