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Data Extraction\January 20\"/>
    </mc:Choice>
  </mc:AlternateContent>
  <xr:revisionPtr revIDLastSave="0" documentId="13_ncr:1_{D7F0F360-659D-4F5A-8022-D0C41A620046}" xr6:coauthVersionLast="45" xr6:coauthVersionMax="45" xr10:uidLastSave="{00000000-0000-0000-0000-000000000000}"/>
  <bookViews>
    <workbookView xWindow="-120" yWindow="-120" windowWidth="29040" windowHeight="15840" tabRatio="824" activeTab="1" xr2:uid="{00000000-000D-0000-FFFF-FFFF00000000}"/>
  </bookViews>
  <sheets>
    <sheet name="Jan 2020 EDI" sheetId="4" r:id="rId1"/>
    <sheet name="Working Spreadsheet Jan 20" sheetId="8" r:id="rId2"/>
    <sheet name="FuzzyLookup_AddIn_Undo_Sheet" sheetId="14" state="hidden" r:id="rId3"/>
    <sheet name="Pulled &amp; Formatted Allocations" sheetId="13" r:id="rId4"/>
    <sheet name="Raw Copy Allocations" sheetId="17" r:id="rId5"/>
    <sheet name="Dec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'Jan 2020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pivotCaches>
    <pivotCache cacheId="17"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195" i="4" l="1"/>
  <c r="L13" i="8"/>
  <c r="M13" i="8"/>
  <c r="Q13" i="8"/>
  <c r="S13" i="8"/>
  <c r="AA195" i="4" s="1"/>
  <c r="X13" i="8"/>
  <c r="P195" i="4" s="1"/>
  <c r="AA13" i="8"/>
  <c r="O195" i="4" s="1"/>
  <c r="AE13" i="8"/>
  <c r="O13" i="8" l="1"/>
  <c r="AB13" i="8"/>
  <c r="N195" i="4" s="1"/>
  <c r="T13" i="8"/>
  <c r="U13" i="8" l="1"/>
  <c r="Y195" i="4"/>
  <c r="N236" i="6" l="1"/>
  <c r="C59" i="13" l="1"/>
  <c r="D59" i="13"/>
  <c r="E59" i="13"/>
  <c r="J59" i="13"/>
  <c r="B94" i="17"/>
  <c r="E94" i="17"/>
  <c r="C94" i="17"/>
  <c r="D94" i="17"/>
  <c r="C5" i="13"/>
  <c r="P198" i="8" l="1"/>
  <c r="C6" i="13" l="1"/>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S91" i="8" s="1"/>
  <c r="C48" i="13"/>
  <c r="C49" i="13"/>
  <c r="C50" i="13"/>
  <c r="C51" i="13"/>
  <c r="C52" i="13"/>
  <c r="C53" i="13"/>
  <c r="C54" i="13"/>
  <c r="C55" i="13"/>
  <c r="C56" i="13"/>
  <c r="C57" i="13"/>
  <c r="C58" i="13"/>
  <c r="C60" i="13"/>
  <c r="C61" i="13"/>
  <c r="C63" i="13"/>
  <c r="C62"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E5" i="13"/>
  <c r="E6" i="13"/>
  <c r="E7" i="13"/>
  <c r="E28" i="13"/>
  <c r="E50" i="13"/>
  <c r="E53" i="13"/>
  <c r="E60" i="13"/>
  <c r="E63" i="13"/>
  <c r="E83" i="13"/>
  <c r="E91"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60" i="13"/>
  <c r="D61" i="13"/>
  <c r="D63" i="13"/>
  <c r="D62"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E80" i="13" l="1"/>
  <c r="E79" i="13"/>
  <c r="E75" i="13"/>
  <c r="E32" i="13"/>
  <c r="E86" i="13"/>
  <c r="E87" i="13"/>
  <c r="E58" i="13"/>
  <c r="E88" i="13"/>
  <c r="E18" i="13"/>
  <c r="E16" i="13"/>
  <c r="E17" i="13"/>
  <c r="E57" i="13"/>
  <c r="E15" i="13"/>
  <c r="E47" i="13"/>
  <c r="E82" i="13"/>
  <c r="E62" i="13"/>
  <c r="E68" i="13"/>
  <c r="E21" i="13"/>
  <c r="E74" i="13"/>
  <c r="E14" i="13"/>
  <c r="E8" i="13"/>
  <c r="E19" i="13"/>
  <c r="E20" i="13"/>
  <c r="E89" i="13"/>
  <c r="E56" i="13"/>
  <c r="E92" i="13"/>
  <c r="E90" i="13"/>
  <c r="E10" i="13"/>
  <c r="E25" i="13"/>
  <c r="E85" i="13"/>
  <c r="E51" i="13"/>
  <c r="E76" i="13"/>
  <c r="E67" i="13"/>
  <c r="E65" i="13"/>
  <c r="E64" i="13"/>
  <c r="E66" i="13"/>
  <c r="E44" i="13"/>
  <c r="E61" i="13"/>
  <c r="E72" i="13"/>
  <c r="E41" i="13"/>
  <c r="E40" i="13"/>
  <c r="E39" i="13"/>
  <c r="E26" i="13"/>
  <c r="E24" i="13"/>
  <c r="E45" i="13"/>
  <c r="E46" i="13"/>
  <c r="E55" i="13"/>
  <c r="E73" i="13"/>
  <c r="E23" i="13"/>
  <c r="E35" i="13"/>
  <c r="E48" i="13"/>
  <c r="E34" i="13"/>
  <c r="E33" i="13"/>
  <c r="E84" i="13"/>
  <c r="E77" i="13"/>
  <c r="E27" i="13"/>
  <c r="E31" i="13"/>
  <c r="E38" i="13"/>
  <c r="E37" i="13"/>
  <c r="E36" i="13"/>
  <c r="E52" i="13"/>
  <c r="E22" i="13"/>
  <c r="E81" i="13"/>
  <c r="E69" i="13"/>
  <c r="E42" i="13"/>
  <c r="E70" i="13"/>
  <c r="E71" i="13"/>
  <c r="E11" i="13"/>
  <c r="E13" i="13"/>
  <c r="E43" i="13"/>
  <c r="E30" i="13"/>
  <c r="E9" i="13"/>
  <c r="E54" i="13"/>
  <c r="E12" i="13"/>
  <c r="E93" i="13"/>
  <c r="E29" i="13"/>
  <c r="E78" i="13"/>
  <c r="E49" i="13" l="1"/>
  <c r="F236" i="6"/>
  <c r="J236" i="6"/>
  <c r="P236" i="6"/>
  <c r="L236" i="6"/>
  <c r="M123"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L123" i="8"/>
  <c r="N123" i="8"/>
  <c r="O236" i="6" l="1"/>
  <c r="K236" i="6"/>
  <c r="E236" i="6"/>
  <c r="L76" i="11"/>
  <c r="I76" i="11"/>
  <c r="H76" i="11"/>
  <c r="I75" i="11"/>
  <c r="L75" i="11" s="1"/>
  <c r="H75" i="11"/>
  <c r="L74" i="11"/>
  <c r="I74" i="11"/>
  <c r="H74" i="11"/>
  <c r="I73" i="11"/>
  <c r="L73" i="11" s="1"/>
  <c r="H73" i="11"/>
  <c r="L70" i="11"/>
  <c r="I70" i="11"/>
  <c r="H70" i="11"/>
  <c r="I69" i="11"/>
  <c r="L69" i="11" s="1"/>
  <c r="H69" i="11"/>
  <c r="L67" i="11"/>
  <c r="I67" i="11"/>
  <c r="H67" i="11"/>
  <c r="I66" i="11"/>
  <c r="L66" i="11" s="1"/>
  <c r="H66" i="11"/>
  <c r="L64" i="11"/>
  <c r="I64" i="1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4" i="13"/>
  <c r="D94" i="13"/>
  <c r="C94" i="13"/>
  <c r="A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2" i="13"/>
  <c r="J63" i="13"/>
  <c r="J61" i="13"/>
  <c r="J60"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8" i="8"/>
  <c r="F198" i="8"/>
  <c r="C198" i="8"/>
  <c r="AE197" i="8"/>
  <c r="AA197" i="8"/>
  <c r="V197" i="8"/>
  <c r="X197" i="8" s="1"/>
  <c r="S197" i="8"/>
  <c r="N197" i="8"/>
  <c r="Q197" i="8" s="1"/>
  <c r="R197" i="8" s="1"/>
  <c r="AQ8" i="4" s="1"/>
  <c r="M197" i="8"/>
  <c r="L197" i="8"/>
  <c r="AE196" i="8"/>
  <c r="AA196" i="8"/>
  <c r="V196" i="8"/>
  <c r="X196" i="8" s="1"/>
  <c r="S196" i="8"/>
  <c r="N196" i="8"/>
  <c r="Q196" i="8" s="1"/>
  <c r="M196" i="8"/>
  <c r="L196" i="8"/>
  <c r="AE195" i="8"/>
  <c r="AA195" i="8"/>
  <c r="V195" i="8"/>
  <c r="X195" i="8" s="1"/>
  <c r="S195" i="8"/>
  <c r="N195" i="8"/>
  <c r="Q195" i="8" s="1"/>
  <c r="M195" i="8"/>
  <c r="L195" i="8"/>
  <c r="AE194" i="8"/>
  <c r="AA194" i="8"/>
  <c r="V194" i="8"/>
  <c r="X194" i="8" s="1"/>
  <c r="S194" i="8"/>
  <c r="N194" i="8"/>
  <c r="Q194" i="8" s="1"/>
  <c r="R194" i="8" s="1"/>
  <c r="AQ58" i="4" s="1"/>
  <c r="M194" i="8"/>
  <c r="L194" i="8"/>
  <c r="AE193" i="8"/>
  <c r="AA193" i="8"/>
  <c r="V193" i="8"/>
  <c r="X193" i="8" s="1"/>
  <c r="S193" i="8"/>
  <c r="N193" i="8"/>
  <c r="Q193" i="8" s="1"/>
  <c r="M193" i="8"/>
  <c r="L193" i="8"/>
  <c r="AE192" i="8"/>
  <c r="AA192" i="8"/>
  <c r="V192" i="8"/>
  <c r="X192" i="8" s="1"/>
  <c r="S192" i="8"/>
  <c r="N192" i="8"/>
  <c r="Q192" i="8" s="1"/>
  <c r="M192" i="8"/>
  <c r="L192" i="8"/>
  <c r="AE191" i="8"/>
  <c r="AA191" i="8"/>
  <c r="V191" i="8"/>
  <c r="X191" i="8" s="1"/>
  <c r="S191" i="8"/>
  <c r="N191" i="8"/>
  <c r="Q191" i="8" s="1"/>
  <c r="M191" i="8"/>
  <c r="L191" i="8"/>
  <c r="AE190" i="8"/>
  <c r="AA190" i="8"/>
  <c r="V190" i="8"/>
  <c r="X190" i="8" s="1"/>
  <c r="S190" i="8"/>
  <c r="N190" i="8"/>
  <c r="Q190" i="8" s="1"/>
  <c r="M190" i="8"/>
  <c r="L190" i="8"/>
  <c r="AE189" i="8"/>
  <c r="AA189" i="8"/>
  <c r="V189" i="8"/>
  <c r="X189" i="8" s="1"/>
  <c r="S189" i="8"/>
  <c r="N189" i="8"/>
  <c r="Q189" i="8" s="1"/>
  <c r="M189" i="8"/>
  <c r="L189" i="8"/>
  <c r="AE188" i="8"/>
  <c r="AA188" i="8"/>
  <c r="V188" i="8"/>
  <c r="X188" i="8" s="1"/>
  <c r="S188" i="8"/>
  <c r="N188" i="8"/>
  <c r="Q188" i="8" s="1"/>
  <c r="M188" i="8"/>
  <c r="L188" i="8"/>
  <c r="AE187" i="8"/>
  <c r="AA187" i="8"/>
  <c r="V187" i="8"/>
  <c r="X187" i="8" s="1"/>
  <c r="S187" i="8"/>
  <c r="N187" i="8"/>
  <c r="Q187" i="8" s="1"/>
  <c r="AQ102" i="4" s="1"/>
  <c r="M187" i="8"/>
  <c r="L187" i="8"/>
  <c r="AE186" i="8"/>
  <c r="AA186" i="8"/>
  <c r="V186" i="8"/>
  <c r="X186" i="8" s="1"/>
  <c r="S186" i="8"/>
  <c r="N186" i="8"/>
  <c r="M186" i="8"/>
  <c r="L186" i="8"/>
  <c r="AE185" i="8"/>
  <c r="AA185" i="8"/>
  <c r="V185" i="8"/>
  <c r="X185" i="8" s="1"/>
  <c r="S185" i="8"/>
  <c r="N185" i="8"/>
  <c r="Q185" i="8" s="1"/>
  <c r="M185" i="8"/>
  <c r="L185" i="8"/>
  <c r="AE184" i="8"/>
  <c r="AA184" i="8"/>
  <c r="V184" i="8"/>
  <c r="X184" i="8" s="1"/>
  <c r="S184" i="8"/>
  <c r="N184" i="8"/>
  <c r="M184" i="8"/>
  <c r="L184" i="8"/>
  <c r="AE183" i="8"/>
  <c r="AA183" i="8"/>
  <c r="V183" i="8"/>
  <c r="X183" i="8" s="1"/>
  <c r="S183" i="8"/>
  <c r="N183" i="8"/>
  <c r="Q183" i="8" s="1"/>
  <c r="M183" i="8"/>
  <c r="L183" i="8"/>
  <c r="AE182" i="8"/>
  <c r="AA182" i="8"/>
  <c r="V182" i="8"/>
  <c r="X182" i="8" s="1"/>
  <c r="S182" i="8"/>
  <c r="N182" i="8"/>
  <c r="Q182" i="8" s="1"/>
  <c r="M182" i="8"/>
  <c r="L182" i="8"/>
  <c r="AE181" i="8"/>
  <c r="AA181" i="8"/>
  <c r="V181" i="8"/>
  <c r="X181" i="8" s="1"/>
  <c r="S181" i="8"/>
  <c r="N181" i="8"/>
  <c r="M181" i="8"/>
  <c r="L181" i="8"/>
  <c r="AE180" i="8"/>
  <c r="AA180" i="8"/>
  <c r="V180" i="8"/>
  <c r="X180" i="8" s="1"/>
  <c r="S180" i="8"/>
  <c r="N180" i="8"/>
  <c r="M180" i="8"/>
  <c r="L180" i="8"/>
  <c r="AE179" i="8"/>
  <c r="AA179" i="8"/>
  <c r="V179" i="8"/>
  <c r="X179" i="8" s="1"/>
  <c r="S179" i="8"/>
  <c r="N179" i="8"/>
  <c r="Q179" i="8" s="1"/>
  <c r="M179" i="8"/>
  <c r="L179" i="8"/>
  <c r="AE178" i="8"/>
  <c r="AA178" i="8"/>
  <c r="V178" i="8"/>
  <c r="X178" i="8" s="1"/>
  <c r="S178" i="8"/>
  <c r="N178" i="8"/>
  <c r="M178" i="8"/>
  <c r="L178" i="8"/>
  <c r="AE177" i="8"/>
  <c r="AA177" i="8"/>
  <c r="V177" i="8"/>
  <c r="X177" i="8" s="1"/>
  <c r="S177" i="8"/>
  <c r="N177" i="8"/>
  <c r="Q177" i="8" s="1"/>
  <c r="M177" i="8"/>
  <c r="L177" i="8"/>
  <c r="AE176" i="8"/>
  <c r="AA176" i="8"/>
  <c r="V176" i="8"/>
  <c r="X176" i="8" s="1"/>
  <c r="S176" i="8"/>
  <c r="N176" i="8"/>
  <c r="Q176" i="8" s="1"/>
  <c r="M176" i="8"/>
  <c r="L176" i="8"/>
  <c r="AE175" i="8"/>
  <c r="AA175" i="8"/>
  <c r="V175" i="8"/>
  <c r="X175" i="8" s="1"/>
  <c r="S175" i="8"/>
  <c r="N175" i="8"/>
  <c r="M175" i="8"/>
  <c r="L175" i="8"/>
  <c r="AE174" i="8"/>
  <c r="AA174" i="8"/>
  <c r="V174" i="8"/>
  <c r="X174" i="8" s="1"/>
  <c r="S174" i="8"/>
  <c r="N174" i="8"/>
  <c r="M174" i="8"/>
  <c r="L174" i="8"/>
  <c r="AE173" i="8"/>
  <c r="AA173" i="8"/>
  <c r="V173" i="8"/>
  <c r="X173" i="8" s="1"/>
  <c r="S173" i="8"/>
  <c r="N173" i="8"/>
  <c r="Q173" i="8" s="1"/>
  <c r="M173" i="8"/>
  <c r="L173" i="8"/>
  <c r="AE172" i="8"/>
  <c r="AA172" i="8"/>
  <c r="V172" i="8"/>
  <c r="X172" i="8" s="1"/>
  <c r="S172" i="8"/>
  <c r="N172" i="8"/>
  <c r="M172" i="8"/>
  <c r="L172" i="8"/>
  <c r="AE171" i="8"/>
  <c r="AA171" i="8"/>
  <c r="V171" i="8"/>
  <c r="X171" i="8" s="1"/>
  <c r="S171" i="8"/>
  <c r="N171" i="8"/>
  <c r="Q171" i="8" s="1"/>
  <c r="M171" i="8"/>
  <c r="L171" i="8"/>
  <c r="AE170" i="8"/>
  <c r="AA170" i="8"/>
  <c r="V170" i="8"/>
  <c r="X170" i="8" s="1"/>
  <c r="S170" i="8"/>
  <c r="N170" i="8"/>
  <c r="Q170" i="8" s="1"/>
  <c r="AQ71" i="4" s="1"/>
  <c r="M170" i="8"/>
  <c r="L170" i="8"/>
  <c r="AE169" i="8"/>
  <c r="AA169" i="8"/>
  <c r="V169" i="8"/>
  <c r="X169" i="8" s="1"/>
  <c r="S169" i="8"/>
  <c r="N169" i="8"/>
  <c r="M169" i="8"/>
  <c r="L169" i="8"/>
  <c r="AE168" i="8"/>
  <c r="AA168" i="8"/>
  <c r="V168" i="8"/>
  <c r="X168" i="8" s="1"/>
  <c r="S168" i="8"/>
  <c r="N168" i="8"/>
  <c r="M168" i="8"/>
  <c r="L168" i="8"/>
  <c r="AE167" i="8"/>
  <c r="AA167" i="8"/>
  <c r="V167" i="8"/>
  <c r="X167" i="8" s="1"/>
  <c r="S167" i="8"/>
  <c r="N167" i="8"/>
  <c r="Q167" i="8" s="1"/>
  <c r="M167" i="8"/>
  <c r="L167" i="8"/>
  <c r="AE166" i="8"/>
  <c r="AA166" i="8"/>
  <c r="V166" i="8"/>
  <c r="X166" i="8" s="1"/>
  <c r="S166" i="8"/>
  <c r="N166" i="8"/>
  <c r="M166" i="8"/>
  <c r="L166" i="8"/>
  <c r="AE165" i="8"/>
  <c r="AA165" i="8"/>
  <c r="V165" i="8"/>
  <c r="X165" i="8" s="1"/>
  <c r="S165" i="8"/>
  <c r="N165" i="8"/>
  <c r="Q165" i="8" s="1"/>
  <c r="R165" i="8" s="1"/>
  <c r="M165" i="8"/>
  <c r="L165" i="8"/>
  <c r="AE164" i="8"/>
  <c r="AA164" i="8"/>
  <c r="V164" i="8"/>
  <c r="X164" i="8" s="1"/>
  <c r="S164" i="8"/>
  <c r="N164" i="8"/>
  <c r="Q164" i="8" s="1"/>
  <c r="R164" i="8" s="1"/>
  <c r="M164" i="8"/>
  <c r="L164" i="8"/>
  <c r="AE163" i="8"/>
  <c r="AA163" i="8"/>
  <c r="V163" i="8"/>
  <c r="X163" i="8" s="1"/>
  <c r="S163" i="8"/>
  <c r="N163" i="8"/>
  <c r="M163" i="8"/>
  <c r="L163" i="8"/>
  <c r="AE162" i="8"/>
  <c r="AA162" i="8"/>
  <c r="V162" i="8"/>
  <c r="X162" i="8" s="1"/>
  <c r="S162" i="8"/>
  <c r="N162" i="8"/>
  <c r="M162" i="8"/>
  <c r="L162" i="8"/>
  <c r="AE161" i="8"/>
  <c r="AA161" i="8"/>
  <c r="V161" i="8"/>
  <c r="X161" i="8" s="1"/>
  <c r="S161" i="8"/>
  <c r="N161" i="8"/>
  <c r="Q161" i="8" s="1"/>
  <c r="R161" i="8" s="1"/>
  <c r="M161" i="8"/>
  <c r="L161" i="8"/>
  <c r="AE160" i="8"/>
  <c r="AA160" i="8"/>
  <c r="V160" i="8"/>
  <c r="X160" i="8" s="1"/>
  <c r="S160" i="8"/>
  <c r="N160" i="8"/>
  <c r="M160" i="8"/>
  <c r="L160" i="8"/>
  <c r="AE159" i="8"/>
  <c r="AA159" i="8"/>
  <c r="V159" i="8"/>
  <c r="X159" i="8" s="1"/>
  <c r="S159" i="8"/>
  <c r="N159" i="8"/>
  <c r="Q159" i="8" s="1"/>
  <c r="M159" i="8"/>
  <c r="L159" i="8"/>
  <c r="AE158" i="8"/>
  <c r="AA158" i="8"/>
  <c r="V158" i="8"/>
  <c r="X158" i="8" s="1"/>
  <c r="S158" i="8"/>
  <c r="N158" i="8"/>
  <c r="Q158" i="8" s="1"/>
  <c r="M158" i="8"/>
  <c r="L158" i="8"/>
  <c r="AE157" i="8"/>
  <c r="AA157" i="8"/>
  <c r="V157" i="8"/>
  <c r="X157" i="8" s="1"/>
  <c r="S157" i="8"/>
  <c r="N157" i="8"/>
  <c r="M157" i="8"/>
  <c r="L157" i="8"/>
  <c r="AE156" i="8"/>
  <c r="AA156" i="8"/>
  <c r="V156" i="8"/>
  <c r="X156" i="8" s="1"/>
  <c r="S156" i="8"/>
  <c r="N156" i="8"/>
  <c r="M156" i="8"/>
  <c r="L156" i="8"/>
  <c r="AE155" i="8"/>
  <c r="AA155" i="8"/>
  <c r="V155" i="8"/>
  <c r="X155" i="8" s="1"/>
  <c r="S155" i="8"/>
  <c r="N155" i="8"/>
  <c r="Q155" i="8" s="1"/>
  <c r="M155" i="8"/>
  <c r="L155" i="8"/>
  <c r="AE154" i="8"/>
  <c r="AA154" i="8"/>
  <c r="V154" i="8"/>
  <c r="X154" i="8" s="1"/>
  <c r="S154" i="8"/>
  <c r="N154" i="8"/>
  <c r="M154" i="8"/>
  <c r="L154" i="8"/>
  <c r="AE153" i="8"/>
  <c r="AA153" i="8"/>
  <c r="V153" i="8"/>
  <c r="X153" i="8" s="1"/>
  <c r="S153" i="8"/>
  <c r="N153" i="8"/>
  <c r="Q153" i="8" s="1"/>
  <c r="M153" i="8"/>
  <c r="L153" i="8"/>
  <c r="AE152" i="8"/>
  <c r="AA152" i="8"/>
  <c r="V152" i="8"/>
  <c r="X152" i="8" s="1"/>
  <c r="S152" i="8"/>
  <c r="N152" i="8"/>
  <c r="Q152" i="8" s="1"/>
  <c r="M152" i="8"/>
  <c r="L152" i="8"/>
  <c r="AE151" i="8"/>
  <c r="AA151" i="8"/>
  <c r="V151" i="8"/>
  <c r="X151" i="8" s="1"/>
  <c r="S151" i="8"/>
  <c r="N151" i="8"/>
  <c r="M151" i="8"/>
  <c r="L151" i="8"/>
  <c r="AE150" i="8"/>
  <c r="AA150" i="8"/>
  <c r="V150" i="8"/>
  <c r="X150" i="8" s="1"/>
  <c r="S150" i="8"/>
  <c r="N150" i="8"/>
  <c r="M150" i="8"/>
  <c r="L150" i="8"/>
  <c r="AE149" i="8"/>
  <c r="AA149" i="8"/>
  <c r="V149" i="8"/>
  <c r="X149" i="8" s="1"/>
  <c r="S149" i="8"/>
  <c r="N149" i="8"/>
  <c r="Q149" i="8" s="1"/>
  <c r="R149" i="8" s="1"/>
  <c r="M149" i="8"/>
  <c r="L149" i="8"/>
  <c r="AE148" i="8"/>
  <c r="AA148" i="8"/>
  <c r="V148" i="8"/>
  <c r="X148" i="8" s="1"/>
  <c r="S148" i="8"/>
  <c r="N148" i="8"/>
  <c r="M148" i="8"/>
  <c r="L148" i="8"/>
  <c r="AE147" i="8"/>
  <c r="AA147" i="8"/>
  <c r="V147" i="8"/>
  <c r="X147" i="8" s="1"/>
  <c r="S147" i="8"/>
  <c r="N147" i="8"/>
  <c r="Q147" i="8" s="1"/>
  <c r="M147" i="8"/>
  <c r="L147" i="8"/>
  <c r="AE146" i="8"/>
  <c r="AA146" i="8"/>
  <c r="V146" i="8"/>
  <c r="X146" i="8" s="1"/>
  <c r="S146" i="8"/>
  <c r="N146" i="8"/>
  <c r="Q146" i="8" s="1"/>
  <c r="R146" i="8" s="1"/>
  <c r="AQ35" i="4" s="1"/>
  <c r="M146" i="8"/>
  <c r="L146" i="8"/>
  <c r="AE145" i="8"/>
  <c r="AA145" i="8"/>
  <c r="V145" i="8"/>
  <c r="X145" i="8" s="1"/>
  <c r="S145" i="8"/>
  <c r="N145" i="8"/>
  <c r="M145" i="8"/>
  <c r="L145" i="8"/>
  <c r="AE144" i="8"/>
  <c r="AA144" i="8"/>
  <c r="V144" i="8"/>
  <c r="X144" i="8" s="1"/>
  <c r="S144" i="8"/>
  <c r="N144" i="8"/>
  <c r="M144" i="8"/>
  <c r="L144" i="8"/>
  <c r="AE143" i="8"/>
  <c r="AA143" i="8"/>
  <c r="V143" i="8"/>
  <c r="X143" i="8" s="1"/>
  <c r="S143" i="8"/>
  <c r="N143" i="8"/>
  <c r="Q143" i="8" s="1"/>
  <c r="R143" i="8" s="1"/>
  <c r="M143" i="8"/>
  <c r="L143" i="8"/>
  <c r="AE142" i="8"/>
  <c r="AA142" i="8"/>
  <c r="V142" i="8"/>
  <c r="X142" i="8" s="1"/>
  <c r="S142" i="8"/>
  <c r="N142" i="8"/>
  <c r="M142" i="8"/>
  <c r="L142" i="8"/>
  <c r="AE141" i="8"/>
  <c r="AA141" i="8"/>
  <c r="V141" i="8"/>
  <c r="X141" i="8" s="1"/>
  <c r="S141" i="8"/>
  <c r="N141" i="8"/>
  <c r="Q141" i="8" s="1"/>
  <c r="M141" i="8"/>
  <c r="L141" i="8"/>
  <c r="AE140" i="8"/>
  <c r="AA140" i="8"/>
  <c r="V140" i="8"/>
  <c r="X140" i="8" s="1"/>
  <c r="S140" i="8"/>
  <c r="N140" i="8"/>
  <c r="Q140" i="8" s="1"/>
  <c r="M140" i="8"/>
  <c r="L140" i="8"/>
  <c r="AE139" i="8"/>
  <c r="AA139" i="8"/>
  <c r="V139" i="8"/>
  <c r="X139" i="8" s="1"/>
  <c r="S139" i="8"/>
  <c r="N139" i="8"/>
  <c r="M139" i="8"/>
  <c r="L139" i="8"/>
  <c r="AE138" i="8"/>
  <c r="AA138" i="8"/>
  <c r="V138" i="8"/>
  <c r="X138" i="8" s="1"/>
  <c r="S138" i="8"/>
  <c r="N138" i="8"/>
  <c r="M138" i="8"/>
  <c r="L138" i="8"/>
  <c r="AE137" i="8"/>
  <c r="AA137" i="8"/>
  <c r="V137" i="8"/>
  <c r="X137" i="8" s="1"/>
  <c r="S137" i="8"/>
  <c r="N137" i="8"/>
  <c r="Q137" i="8" s="1"/>
  <c r="R137" i="8" s="1"/>
  <c r="AQ137" i="4" s="1"/>
  <c r="M137" i="8"/>
  <c r="L137" i="8"/>
  <c r="AE136" i="8"/>
  <c r="AA136" i="8"/>
  <c r="V136" i="8"/>
  <c r="X136" i="8" s="1"/>
  <c r="S136" i="8"/>
  <c r="N136" i="8"/>
  <c r="M136" i="8"/>
  <c r="L136" i="8"/>
  <c r="AE135" i="8"/>
  <c r="AA135" i="8"/>
  <c r="V135" i="8"/>
  <c r="X135" i="8" s="1"/>
  <c r="S135" i="8"/>
  <c r="N135" i="8"/>
  <c r="Q135" i="8" s="1"/>
  <c r="M135" i="8"/>
  <c r="L135" i="8"/>
  <c r="AE134" i="8"/>
  <c r="AA134" i="8"/>
  <c r="V134" i="8"/>
  <c r="X134" i="8" s="1"/>
  <c r="S134" i="8"/>
  <c r="N134" i="8"/>
  <c r="Q134" i="8" s="1"/>
  <c r="M134" i="8"/>
  <c r="L134" i="8"/>
  <c r="AE133" i="8"/>
  <c r="AA133" i="8"/>
  <c r="V133" i="8"/>
  <c r="X133" i="8" s="1"/>
  <c r="S133" i="8"/>
  <c r="N133" i="8"/>
  <c r="M133" i="8"/>
  <c r="L133" i="8"/>
  <c r="AE132" i="8"/>
  <c r="AA132" i="8"/>
  <c r="V132" i="8"/>
  <c r="X132" i="8" s="1"/>
  <c r="S132" i="8"/>
  <c r="N132" i="8"/>
  <c r="M132" i="8"/>
  <c r="L132" i="8"/>
  <c r="AE131" i="8"/>
  <c r="AA131" i="8"/>
  <c r="V131" i="8"/>
  <c r="X131" i="8" s="1"/>
  <c r="S131" i="8"/>
  <c r="N131" i="8"/>
  <c r="Q131" i="8" s="1"/>
  <c r="M131" i="8"/>
  <c r="L131" i="8"/>
  <c r="AE130" i="8"/>
  <c r="AA130" i="8"/>
  <c r="V130" i="8"/>
  <c r="X130" i="8" s="1"/>
  <c r="S130" i="8"/>
  <c r="N130" i="8"/>
  <c r="M130" i="8"/>
  <c r="L130" i="8"/>
  <c r="AE129" i="8"/>
  <c r="AA129" i="8"/>
  <c r="V129" i="8"/>
  <c r="X129" i="8" s="1"/>
  <c r="S129" i="8"/>
  <c r="N129" i="8"/>
  <c r="Q129" i="8" s="1"/>
  <c r="M129" i="8"/>
  <c r="L129" i="8"/>
  <c r="AE128" i="8"/>
  <c r="AA128" i="8"/>
  <c r="V128" i="8"/>
  <c r="X128" i="8" s="1"/>
  <c r="S128" i="8"/>
  <c r="N128" i="8"/>
  <c r="Q128" i="8" s="1"/>
  <c r="R128" i="8" s="1"/>
  <c r="AQ100" i="4" s="1"/>
  <c r="M128" i="8"/>
  <c r="L128" i="8"/>
  <c r="AE127" i="8"/>
  <c r="AA127" i="8"/>
  <c r="V127" i="8"/>
  <c r="X127" i="8" s="1"/>
  <c r="S127" i="8"/>
  <c r="N127" i="8"/>
  <c r="M127" i="8"/>
  <c r="L127" i="8"/>
  <c r="AE126" i="8"/>
  <c r="AA126" i="8"/>
  <c r="V126" i="8"/>
  <c r="X126" i="8" s="1"/>
  <c r="S126" i="8"/>
  <c r="N126" i="8"/>
  <c r="M126" i="8"/>
  <c r="L126" i="8"/>
  <c r="AE125" i="8"/>
  <c r="AA125" i="8"/>
  <c r="V125" i="8"/>
  <c r="X125" i="8" s="1"/>
  <c r="S125" i="8"/>
  <c r="N125" i="8"/>
  <c r="Q125" i="8" s="1"/>
  <c r="M125" i="8"/>
  <c r="L125" i="8"/>
  <c r="AE124" i="8"/>
  <c r="AA124" i="8"/>
  <c r="V124" i="8"/>
  <c r="X124" i="8" s="1"/>
  <c r="S124" i="8"/>
  <c r="N124" i="8"/>
  <c r="M124" i="8"/>
  <c r="L124" i="8"/>
  <c r="AE123" i="8"/>
  <c r="AA123" i="8"/>
  <c r="V123" i="8"/>
  <c r="X123" i="8" s="1"/>
  <c r="S123" i="8"/>
  <c r="Q123" i="8"/>
  <c r="O123" i="8"/>
  <c r="AE122" i="8"/>
  <c r="AA122" i="8"/>
  <c r="V122" i="8"/>
  <c r="X122" i="8" s="1"/>
  <c r="S122" i="8"/>
  <c r="N122" i="8"/>
  <c r="Q122" i="8" s="1"/>
  <c r="AQ52" i="4" s="1"/>
  <c r="L122" i="8"/>
  <c r="AE121" i="8"/>
  <c r="AA121" i="8"/>
  <c r="V121" i="8"/>
  <c r="X121" i="8" s="1"/>
  <c r="S121" i="8"/>
  <c r="N121" i="8"/>
  <c r="L121" i="8"/>
  <c r="AE120" i="8"/>
  <c r="AA120" i="8"/>
  <c r="V120" i="8"/>
  <c r="X120" i="8" s="1"/>
  <c r="S120" i="8"/>
  <c r="N120" i="8"/>
  <c r="L120" i="8"/>
  <c r="AE119" i="8"/>
  <c r="AA119" i="8"/>
  <c r="V119" i="8"/>
  <c r="X119" i="8" s="1"/>
  <c r="S119" i="8"/>
  <c r="N119" i="8"/>
  <c r="Q119" i="8" s="1"/>
  <c r="L119" i="8"/>
  <c r="AE118" i="8"/>
  <c r="AA118" i="8"/>
  <c r="V118" i="8"/>
  <c r="X118" i="8" s="1"/>
  <c r="S118" i="8"/>
  <c r="N118" i="8"/>
  <c r="L118" i="8"/>
  <c r="AE117" i="8"/>
  <c r="AA117" i="8"/>
  <c r="V117" i="8"/>
  <c r="X117" i="8" s="1"/>
  <c r="S117" i="8"/>
  <c r="N117" i="8"/>
  <c r="Q117" i="8" s="1"/>
  <c r="L117" i="8"/>
  <c r="AE116" i="8"/>
  <c r="AA116" i="8"/>
  <c r="V116" i="8"/>
  <c r="X116" i="8" s="1"/>
  <c r="S116" i="8"/>
  <c r="N116" i="8"/>
  <c r="Q116" i="8" s="1"/>
  <c r="AQ194" i="4" s="1"/>
  <c r="L116" i="8"/>
  <c r="AE115" i="8"/>
  <c r="AA115" i="8"/>
  <c r="V115" i="8"/>
  <c r="X115" i="8" s="1"/>
  <c r="S115" i="8"/>
  <c r="N115" i="8"/>
  <c r="L115" i="8"/>
  <c r="AE114" i="8"/>
  <c r="AA114" i="8"/>
  <c r="V114" i="8"/>
  <c r="X114" i="8" s="1"/>
  <c r="S114" i="8"/>
  <c r="N114" i="8"/>
  <c r="L114" i="8"/>
  <c r="AE113" i="8"/>
  <c r="AA113" i="8"/>
  <c r="V113" i="8"/>
  <c r="X113" i="8" s="1"/>
  <c r="S113" i="8"/>
  <c r="N113" i="8"/>
  <c r="Q113" i="8" s="1"/>
  <c r="L113" i="8"/>
  <c r="AE112" i="8"/>
  <c r="AA112" i="8"/>
  <c r="V112" i="8"/>
  <c r="X112" i="8" s="1"/>
  <c r="S112" i="8"/>
  <c r="N112" i="8"/>
  <c r="Q112" i="8" s="1"/>
  <c r="L112" i="8"/>
  <c r="AE111" i="8"/>
  <c r="AA111" i="8"/>
  <c r="V111" i="8"/>
  <c r="X111" i="8" s="1"/>
  <c r="S111" i="8"/>
  <c r="N111" i="8"/>
  <c r="Q111" i="8" s="1"/>
  <c r="L111" i="8"/>
  <c r="AE110" i="8"/>
  <c r="AA110" i="8"/>
  <c r="V110" i="8"/>
  <c r="X110" i="8" s="1"/>
  <c r="S110" i="8"/>
  <c r="N110" i="8"/>
  <c r="Q110" i="8" s="1"/>
  <c r="L110" i="8"/>
  <c r="AE109" i="8"/>
  <c r="AA109" i="8"/>
  <c r="V109" i="8"/>
  <c r="X109" i="8" s="1"/>
  <c r="S109" i="8"/>
  <c r="N109" i="8"/>
  <c r="Q109" i="8" s="1"/>
  <c r="L109" i="8"/>
  <c r="AE108" i="8"/>
  <c r="AA108" i="8"/>
  <c r="V108" i="8"/>
  <c r="X108" i="8" s="1"/>
  <c r="S108" i="8"/>
  <c r="N108" i="8"/>
  <c r="Q108" i="8" s="1"/>
  <c r="L108" i="8"/>
  <c r="AE107" i="8"/>
  <c r="AA107" i="8"/>
  <c r="V107" i="8"/>
  <c r="X107" i="8" s="1"/>
  <c r="S107" i="8"/>
  <c r="N107" i="8"/>
  <c r="Q107" i="8" s="1"/>
  <c r="AQ165" i="4" s="1"/>
  <c r="L107" i="8"/>
  <c r="AE106" i="8"/>
  <c r="AA106" i="8"/>
  <c r="V106" i="8"/>
  <c r="X106" i="8" s="1"/>
  <c r="S106" i="8"/>
  <c r="N106" i="8"/>
  <c r="Q106" i="8" s="1"/>
  <c r="L106" i="8"/>
  <c r="AE105" i="8"/>
  <c r="AA105" i="8"/>
  <c r="V105" i="8"/>
  <c r="X105" i="8" s="1"/>
  <c r="S105" i="8"/>
  <c r="N105" i="8"/>
  <c r="Q105" i="8" s="1"/>
  <c r="R105" i="8" s="1"/>
  <c r="L105" i="8"/>
  <c r="AE104" i="8"/>
  <c r="AA104" i="8"/>
  <c r="V104" i="8"/>
  <c r="X104" i="8" s="1"/>
  <c r="S104" i="8"/>
  <c r="N104" i="8"/>
  <c r="Q104" i="8" s="1"/>
  <c r="R104" i="8" s="1"/>
  <c r="AQ147" i="4" s="1"/>
  <c r="L104" i="8"/>
  <c r="AE103" i="8"/>
  <c r="AA103" i="8"/>
  <c r="V103" i="8"/>
  <c r="X103" i="8" s="1"/>
  <c r="S103" i="8"/>
  <c r="N103" i="8"/>
  <c r="Q103" i="8" s="1"/>
  <c r="L103" i="8"/>
  <c r="AE102" i="8"/>
  <c r="AA102" i="8"/>
  <c r="V102" i="8"/>
  <c r="X102" i="8" s="1"/>
  <c r="S102" i="8"/>
  <c r="N102" i="8"/>
  <c r="Q102" i="8" s="1"/>
  <c r="R102" i="8" s="1"/>
  <c r="L102" i="8"/>
  <c r="AE101" i="8"/>
  <c r="AA101" i="8"/>
  <c r="V101" i="8"/>
  <c r="X101" i="8" s="1"/>
  <c r="S101" i="8"/>
  <c r="N101" i="8"/>
  <c r="Q101" i="8" s="1"/>
  <c r="R101" i="8" s="1"/>
  <c r="L101" i="8"/>
  <c r="AE100" i="8"/>
  <c r="AA100" i="8"/>
  <c r="V100" i="8"/>
  <c r="X100" i="8" s="1"/>
  <c r="S100" i="8"/>
  <c r="N100" i="8"/>
  <c r="Q100" i="8" s="1"/>
  <c r="AQ121" i="4" s="1"/>
  <c r="L100" i="8"/>
  <c r="AE99" i="8"/>
  <c r="AA99" i="8"/>
  <c r="V99" i="8"/>
  <c r="X99" i="8" s="1"/>
  <c r="S99" i="8"/>
  <c r="N99" i="8"/>
  <c r="Q99" i="8" s="1"/>
  <c r="L99" i="8"/>
  <c r="AE98" i="8"/>
  <c r="AA98" i="8"/>
  <c r="V98" i="8"/>
  <c r="X98" i="8" s="1"/>
  <c r="S98" i="8"/>
  <c r="N98" i="8"/>
  <c r="Q98" i="8" s="1"/>
  <c r="L98" i="8"/>
  <c r="AE97" i="8"/>
  <c r="AA97" i="8"/>
  <c r="V97" i="8"/>
  <c r="X97" i="8" s="1"/>
  <c r="S97" i="8"/>
  <c r="N97" i="8"/>
  <c r="Q97" i="8" s="1"/>
  <c r="L97" i="8"/>
  <c r="AE96" i="8"/>
  <c r="AA96" i="8"/>
  <c r="V96" i="8"/>
  <c r="X96" i="8" s="1"/>
  <c r="S96" i="8"/>
  <c r="N96" i="8"/>
  <c r="Q96" i="8" s="1"/>
  <c r="L96" i="8"/>
  <c r="AE95" i="8"/>
  <c r="AA95" i="8"/>
  <c r="V95" i="8"/>
  <c r="X95" i="8" s="1"/>
  <c r="S95" i="8"/>
  <c r="N95" i="8"/>
  <c r="Q95" i="8" s="1"/>
  <c r="L95" i="8"/>
  <c r="AE94" i="8"/>
  <c r="AA94" i="8"/>
  <c r="X94" i="8"/>
  <c r="P163" i="4" s="1"/>
  <c r="S94" i="8"/>
  <c r="N94" i="8"/>
  <c r="Q94" i="8" s="1"/>
  <c r="AQ163" i="4" s="1"/>
  <c r="L94" i="8"/>
  <c r="AE93" i="8"/>
  <c r="AA93" i="8"/>
  <c r="V93" i="8"/>
  <c r="X93" i="8" s="1"/>
  <c r="S93" i="8"/>
  <c r="N93" i="8"/>
  <c r="Q93" i="8" s="1"/>
  <c r="R93" i="8" s="1"/>
  <c r="L93" i="8"/>
  <c r="AE92" i="8"/>
  <c r="AA92" i="8"/>
  <c r="V92" i="8"/>
  <c r="X92" i="8" s="1"/>
  <c r="S92" i="8"/>
  <c r="N92" i="8"/>
  <c r="Q92" i="8" s="1"/>
  <c r="R92" i="8" s="1"/>
  <c r="L92" i="8"/>
  <c r="AE91" i="8"/>
  <c r="AA91" i="8"/>
  <c r="V91" i="8"/>
  <c r="X91" i="8" s="1"/>
  <c r="AA63" i="4"/>
  <c r="N91" i="8"/>
  <c r="Q91" i="8" s="1"/>
  <c r="L91" i="8"/>
  <c r="AE90" i="8"/>
  <c r="AA90" i="8"/>
  <c r="V90" i="8"/>
  <c r="X90" i="8" s="1"/>
  <c r="S90" i="8"/>
  <c r="N90" i="8"/>
  <c r="Q90" i="8" s="1"/>
  <c r="R90" i="8" s="1"/>
  <c r="AQ170" i="4" s="1"/>
  <c r="L90" i="8"/>
  <c r="AE89" i="8"/>
  <c r="AA89" i="8"/>
  <c r="V89" i="8"/>
  <c r="X89" i="8" s="1"/>
  <c r="S89" i="8"/>
  <c r="N89" i="8"/>
  <c r="Q89" i="8" s="1"/>
  <c r="R89" i="8" s="1"/>
  <c r="AQ171" i="4" s="1"/>
  <c r="L89" i="8"/>
  <c r="AE88" i="8"/>
  <c r="AA88" i="8"/>
  <c r="V88" i="8"/>
  <c r="X88" i="8" s="1"/>
  <c r="S88" i="8"/>
  <c r="N88" i="8"/>
  <c r="Q88" i="8" s="1"/>
  <c r="L88" i="8"/>
  <c r="AE87" i="8"/>
  <c r="AA87" i="8"/>
  <c r="V87" i="8"/>
  <c r="X87" i="8" s="1"/>
  <c r="S87" i="8"/>
  <c r="N87" i="8"/>
  <c r="Q87" i="8" s="1"/>
  <c r="L87" i="8"/>
  <c r="AE86" i="8"/>
  <c r="AA86" i="8"/>
  <c r="V86" i="8"/>
  <c r="X86" i="8" s="1"/>
  <c r="S86" i="8"/>
  <c r="N86" i="8"/>
  <c r="Q86" i="8" s="1"/>
  <c r="L86" i="8"/>
  <c r="AE85" i="8"/>
  <c r="AA85" i="8"/>
  <c r="V85" i="8"/>
  <c r="X85" i="8" s="1"/>
  <c r="S85" i="8"/>
  <c r="N85" i="8"/>
  <c r="Q85" i="8" s="1"/>
  <c r="R85" i="8" s="1"/>
  <c r="L85" i="8"/>
  <c r="AE84" i="8"/>
  <c r="AA84" i="8"/>
  <c r="V84" i="8"/>
  <c r="X84" i="8" s="1"/>
  <c r="S84" i="8"/>
  <c r="N84" i="8"/>
  <c r="Q84" i="8" s="1"/>
  <c r="AQ129" i="4" s="1"/>
  <c r="L84" i="8"/>
  <c r="AE83" i="8"/>
  <c r="AA83" i="8"/>
  <c r="V83" i="8"/>
  <c r="X83" i="8" s="1"/>
  <c r="S83" i="8"/>
  <c r="N83" i="8"/>
  <c r="Q83" i="8" s="1"/>
  <c r="L83" i="8"/>
  <c r="AE82" i="8"/>
  <c r="AA82" i="8"/>
  <c r="V82" i="8"/>
  <c r="X82" i="8" s="1"/>
  <c r="S82" i="8"/>
  <c r="N82" i="8"/>
  <c r="Q82" i="8" s="1"/>
  <c r="AQ128" i="4" s="1"/>
  <c r="L82" i="8"/>
  <c r="AE81" i="8"/>
  <c r="AA81" i="8"/>
  <c r="V81" i="8"/>
  <c r="X81" i="8" s="1"/>
  <c r="S81" i="8"/>
  <c r="N81" i="8"/>
  <c r="Q81" i="8" s="1"/>
  <c r="AQ131" i="4" s="1"/>
  <c r="L81" i="8"/>
  <c r="AE80" i="8"/>
  <c r="AA80" i="8"/>
  <c r="V80" i="8"/>
  <c r="X80" i="8" s="1"/>
  <c r="S80" i="8"/>
  <c r="N80" i="8"/>
  <c r="Q80" i="8" s="1"/>
  <c r="L80" i="8"/>
  <c r="AE79" i="8"/>
  <c r="AA79" i="8"/>
  <c r="V79" i="8"/>
  <c r="X79" i="8" s="1"/>
  <c r="S79" i="8"/>
  <c r="N79" i="8"/>
  <c r="Q79" i="8" s="1"/>
  <c r="L79" i="8"/>
  <c r="AE78" i="8"/>
  <c r="AA78" i="8"/>
  <c r="V78" i="8"/>
  <c r="X78" i="8" s="1"/>
  <c r="S78" i="8"/>
  <c r="N78" i="8"/>
  <c r="Q78" i="8" s="1"/>
  <c r="L78" i="8"/>
  <c r="AE77" i="8"/>
  <c r="AA77" i="8"/>
  <c r="V77" i="8"/>
  <c r="X77" i="8" s="1"/>
  <c r="S77" i="8"/>
  <c r="N77" i="8"/>
  <c r="Q77" i="8" s="1"/>
  <c r="R77" i="8" s="1"/>
  <c r="L77" i="8"/>
  <c r="AE76" i="8"/>
  <c r="AA76" i="8"/>
  <c r="V76" i="8"/>
  <c r="X76" i="8" s="1"/>
  <c r="S76" i="8"/>
  <c r="N76" i="8"/>
  <c r="Q76" i="8" s="1"/>
  <c r="R76" i="8" s="1"/>
  <c r="L76" i="8"/>
  <c r="AE75" i="8"/>
  <c r="AA75" i="8"/>
  <c r="V75" i="8"/>
  <c r="X75" i="8" s="1"/>
  <c r="S75" i="8"/>
  <c r="N75" i="8"/>
  <c r="Q75" i="8" s="1"/>
  <c r="R75" i="8" s="1"/>
  <c r="L75" i="8"/>
  <c r="AE74" i="8"/>
  <c r="AA74" i="8"/>
  <c r="V74" i="8"/>
  <c r="X74" i="8" s="1"/>
  <c r="S74" i="8"/>
  <c r="N74" i="8"/>
  <c r="Q74" i="8" s="1"/>
  <c r="R74" i="8" s="1"/>
  <c r="AQ182" i="4" s="1"/>
  <c r="L74" i="8"/>
  <c r="AE73" i="8"/>
  <c r="AA73" i="8"/>
  <c r="V73" i="8"/>
  <c r="X73" i="8" s="1"/>
  <c r="S73" i="8"/>
  <c r="N73" i="8"/>
  <c r="Q73" i="8" s="1"/>
  <c r="R73" i="8" s="1"/>
  <c r="AQ181" i="4" s="1"/>
  <c r="L73" i="8"/>
  <c r="AE72" i="8"/>
  <c r="AA72" i="8"/>
  <c r="V72" i="8"/>
  <c r="X72" i="8" s="1"/>
  <c r="S72" i="8"/>
  <c r="N72" i="8"/>
  <c r="Q72" i="8" s="1"/>
  <c r="R72" i="8" s="1"/>
  <c r="AQ161" i="4" s="1"/>
  <c r="L72" i="8"/>
  <c r="AE71" i="8"/>
  <c r="AA71" i="8"/>
  <c r="V71" i="8"/>
  <c r="X71" i="8" s="1"/>
  <c r="S71" i="8"/>
  <c r="N71" i="8"/>
  <c r="Q71" i="8" s="1"/>
  <c r="L71" i="8"/>
  <c r="AE70" i="8"/>
  <c r="AA70" i="8"/>
  <c r="V70" i="8"/>
  <c r="X70" i="8" s="1"/>
  <c r="S70" i="8"/>
  <c r="N70" i="8"/>
  <c r="Q70" i="8" s="1"/>
  <c r="R70" i="8" s="1"/>
  <c r="AQ125" i="4" s="1"/>
  <c r="L70" i="8"/>
  <c r="AE69" i="8"/>
  <c r="AA69" i="8"/>
  <c r="V69" i="8"/>
  <c r="X69" i="8" s="1"/>
  <c r="S69" i="8"/>
  <c r="N69" i="8"/>
  <c r="Q69" i="8" s="1"/>
  <c r="R69" i="8" s="1"/>
  <c r="AQ120" i="4" s="1"/>
  <c r="L69" i="8"/>
  <c r="AE68" i="8"/>
  <c r="AA68" i="8"/>
  <c r="V68" i="8"/>
  <c r="X68" i="8" s="1"/>
  <c r="S68" i="8"/>
  <c r="N68" i="8"/>
  <c r="Q68" i="8" s="1"/>
  <c r="L68" i="8"/>
  <c r="AE67" i="8"/>
  <c r="AA67" i="8"/>
  <c r="V67" i="8"/>
  <c r="X67" i="8" s="1"/>
  <c r="S67" i="8"/>
  <c r="N67" i="8"/>
  <c r="Q67" i="8" s="1"/>
  <c r="L67" i="8"/>
  <c r="AE66" i="8"/>
  <c r="AA66" i="8"/>
  <c r="V66" i="8"/>
  <c r="X66" i="8" s="1"/>
  <c r="S66" i="8"/>
  <c r="N66" i="8"/>
  <c r="Q66" i="8" s="1"/>
  <c r="R66" i="8" s="1"/>
  <c r="AQ118" i="4" s="1"/>
  <c r="L66" i="8"/>
  <c r="AE65" i="8"/>
  <c r="AA65" i="8"/>
  <c r="V65" i="8"/>
  <c r="X65" i="8" s="1"/>
  <c r="S65" i="8"/>
  <c r="N65" i="8"/>
  <c r="Q65" i="8" s="1"/>
  <c r="L65" i="8"/>
  <c r="AE64" i="8"/>
  <c r="AA64" i="8"/>
  <c r="V64" i="8"/>
  <c r="X64" i="8" s="1"/>
  <c r="S64" i="8"/>
  <c r="N64" i="8"/>
  <c r="Q64" i="8" s="1"/>
  <c r="L64" i="8"/>
  <c r="AE63" i="8"/>
  <c r="AA63" i="8"/>
  <c r="V63" i="8"/>
  <c r="X63" i="8" s="1"/>
  <c r="S63" i="8"/>
  <c r="N63" i="8"/>
  <c r="Q63" i="8" s="1"/>
  <c r="L63" i="8"/>
  <c r="AE62" i="8"/>
  <c r="AA62" i="8"/>
  <c r="V62" i="8"/>
  <c r="X62" i="8" s="1"/>
  <c r="S62" i="8"/>
  <c r="N62" i="8"/>
  <c r="Q62" i="8" s="1"/>
  <c r="R62" i="8" s="1"/>
  <c r="L62" i="8"/>
  <c r="AE61" i="8"/>
  <c r="AA61" i="8"/>
  <c r="V61" i="8"/>
  <c r="X61" i="8" s="1"/>
  <c r="S61" i="8"/>
  <c r="N61" i="8"/>
  <c r="Q61" i="8" s="1"/>
  <c r="R61" i="8" s="1"/>
  <c r="L61" i="8"/>
  <c r="AE60" i="8"/>
  <c r="AA60" i="8"/>
  <c r="V60" i="8"/>
  <c r="X60" i="8" s="1"/>
  <c r="S60" i="8"/>
  <c r="N60" i="8"/>
  <c r="Q60" i="8" s="1"/>
  <c r="L60" i="8"/>
  <c r="AE59" i="8"/>
  <c r="AA59" i="8"/>
  <c r="V59" i="8"/>
  <c r="X59" i="8" s="1"/>
  <c r="S59" i="8"/>
  <c r="N59" i="8"/>
  <c r="Q59" i="8" s="1"/>
  <c r="R59" i="8" s="1"/>
  <c r="L59" i="8"/>
  <c r="AE58" i="8"/>
  <c r="AA58" i="8"/>
  <c r="V58" i="8"/>
  <c r="X58" i="8" s="1"/>
  <c r="S58" i="8"/>
  <c r="N58" i="8"/>
  <c r="Q58" i="8" s="1"/>
  <c r="R58" i="8" s="1"/>
  <c r="L58" i="8"/>
  <c r="AE57" i="8"/>
  <c r="AA57" i="8"/>
  <c r="V57" i="8"/>
  <c r="X57" i="8" s="1"/>
  <c r="S57" i="8"/>
  <c r="N57" i="8"/>
  <c r="Q57" i="8" s="1"/>
  <c r="L57" i="8"/>
  <c r="AE56" i="8"/>
  <c r="AA56" i="8"/>
  <c r="V56" i="8"/>
  <c r="X56" i="8" s="1"/>
  <c r="S56" i="8"/>
  <c r="N56" i="8"/>
  <c r="Q56" i="8" s="1"/>
  <c r="L56" i="8"/>
  <c r="AE55" i="8"/>
  <c r="AA55" i="8"/>
  <c r="V55" i="8"/>
  <c r="X55" i="8" s="1"/>
  <c r="S55" i="8"/>
  <c r="N55" i="8"/>
  <c r="Q55" i="8" s="1"/>
  <c r="L55" i="8"/>
  <c r="AE54" i="8"/>
  <c r="AA54" i="8"/>
  <c r="V54" i="8"/>
  <c r="X54" i="8" s="1"/>
  <c r="S54" i="8"/>
  <c r="N54" i="8"/>
  <c r="Q54" i="8" s="1"/>
  <c r="L54" i="8"/>
  <c r="AE53" i="8"/>
  <c r="AA53" i="8"/>
  <c r="V53" i="8"/>
  <c r="X53" i="8" s="1"/>
  <c r="S53" i="8"/>
  <c r="N53" i="8"/>
  <c r="Q53" i="8" s="1"/>
  <c r="L53" i="8"/>
  <c r="AE52" i="8"/>
  <c r="AA52" i="8"/>
  <c r="V52" i="8"/>
  <c r="X52" i="8" s="1"/>
  <c r="S52" i="8"/>
  <c r="N52" i="8"/>
  <c r="Q52" i="8" s="1"/>
  <c r="L52" i="8"/>
  <c r="AE51" i="8"/>
  <c r="AA51" i="8"/>
  <c r="V51" i="8"/>
  <c r="X51" i="8" s="1"/>
  <c r="S51" i="8"/>
  <c r="N51" i="8"/>
  <c r="Q51" i="8" s="1"/>
  <c r="L51" i="8"/>
  <c r="AE50" i="8"/>
  <c r="AA50" i="8"/>
  <c r="V50" i="8"/>
  <c r="X50" i="8" s="1"/>
  <c r="S50" i="8"/>
  <c r="N50" i="8"/>
  <c r="Q50" i="8" s="1"/>
  <c r="L50" i="8"/>
  <c r="AE49" i="8"/>
  <c r="AA49" i="8"/>
  <c r="V49" i="8"/>
  <c r="X49" i="8" s="1"/>
  <c r="S49" i="8"/>
  <c r="N49" i="8"/>
  <c r="Q49" i="8" s="1"/>
  <c r="L49" i="8"/>
  <c r="AE48" i="8"/>
  <c r="AA48" i="8"/>
  <c r="V48" i="8"/>
  <c r="X48" i="8" s="1"/>
  <c r="S48" i="8"/>
  <c r="N48" i="8"/>
  <c r="Q48" i="8" s="1"/>
  <c r="R48" i="8" s="1"/>
  <c r="L48" i="8"/>
  <c r="AE47" i="8"/>
  <c r="AA47" i="8"/>
  <c r="V47" i="8"/>
  <c r="X47" i="8" s="1"/>
  <c r="S47" i="8"/>
  <c r="N47" i="8"/>
  <c r="Q47" i="8" s="1"/>
  <c r="AQ51" i="4" s="1"/>
  <c r="L47" i="8"/>
  <c r="AE46" i="8"/>
  <c r="AA46" i="8"/>
  <c r="V46" i="8"/>
  <c r="X46" i="8" s="1"/>
  <c r="S46" i="8"/>
  <c r="N46" i="8"/>
  <c r="Q46" i="8" s="1"/>
  <c r="R46" i="8" s="1"/>
  <c r="L46" i="8"/>
  <c r="AE45" i="8"/>
  <c r="AA45" i="8"/>
  <c r="V45" i="8"/>
  <c r="X45" i="8" s="1"/>
  <c r="S45" i="8"/>
  <c r="N45" i="8"/>
  <c r="Q45" i="8" s="1"/>
  <c r="L45" i="8"/>
  <c r="AE44" i="8"/>
  <c r="AA44" i="8"/>
  <c r="V44" i="8"/>
  <c r="X44" i="8" s="1"/>
  <c r="S44" i="8"/>
  <c r="N44" i="8"/>
  <c r="Q44" i="8" s="1"/>
  <c r="L44" i="8"/>
  <c r="AE43" i="8"/>
  <c r="AA43" i="8"/>
  <c r="V43" i="8"/>
  <c r="X43" i="8" s="1"/>
  <c r="S43" i="8"/>
  <c r="N43" i="8"/>
  <c r="Q43" i="8" s="1"/>
  <c r="L43" i="8"/>
  <c r="AE42" i="8"/>
  <c r="AA42" i="8"/>
  <c r="V42" i="8"/>
  <c r="X42" i="8" s="1"/>
  <c r="S42" i="8"/>
  <c r="N42" i="8"/>
  <c r="Q42" i="8" s="1"/>
  <c r="R42" i="8" s="1"/>
  <c r="L42" i="8"/>
  <c r="AE41" i="8"/>
  <c r="AA41" i="8"/>
  <c r="V41" i="8"/>
  <c r="X41" i="8" s="1"/>
  <c r="S41" i="8"/>
  <c r="N41" i="8"/>
  <c r="Q41" i="8" s="1"/>
  <c r="R41" i="8" s="1"/>
  <c r="L41" i="8"/>
  <c r="AE40" i="8"/>
  <c r="AA40" i="8"/>
  <c r="V40" i="8"/>
  <c r="X40" i="8" s="1"/>
  <c r="S40" i="8"/>
  <c r="N40" i="8"/>
  <c r="Q40" i="8" s="1"/>
  <c r="R40" i="8" s="1"/>
  <c r="L40" i="8"/>
  <c r="AE39" i="8"/>
  <c r="AA39" i="8"/>
  <c r="V39" i="8"/>
  <c r="X39" i="8" s="1"/>
  <c r="S39" i="8"/>
  <c r="N39" i="8"/>
  <c r="Q39" i="8" s="1"/>
  <c r="L39" i="8"/>
  <c r="AE38" i="8"/>
  <c r="AA38" i="8"/>
  <c r="V38" i="8"/>
  <c r="X38" i="8" s="1"/>
  <c r="S38" i="8"/>
  <c r="N38" i="8"/>
  <c r="Q38" i="8" s="1"/>
  <c r="R38" i="8" s="1"/>
  <c r="AQ44" i="4" s="1"/>
  <c r="L38" i="8"/>
  <c r="AE37" i="8"/>
  <c r="AA37" i="8"/>
  <c r="V37" i="8"/>
  <c r="X37" i="8" s="1"/>
  <c r="S37" i="8"/>
  <c r="N37" i="8"/>
  <c r="Q37" i="8" s="1"/>
  <c r="L37" i="8"/>
  <c r="AE36" i="8"/>
  <c r="AA36" i="8"/>
  <c r="V36" i="8"/>
  <c r="X36" i="8" s="1"/>
  <c r="S36" i="8"/>
  <c r="N36" i="8"/>
  <c r="Q36" i="8" s="1"/>
  <c r="R36" i="8" s="1"/>
  <c r="AQ6" i="4" s="1"/>
  <c r="L36" i="8"/>
  <c r="AE35" i="8"/>
  <c r="AA35" i="8"/>
  <c r="V35" i="8"/>
  <c r="X35" i="8" s="1"/>
  <c r="S35" i="8"/>
  <c r="N35" i="8"/>
  <c r="Q35" i="8" s="1"/>
  <c r="R35" i="8" s="1"/>
  <c r="L35" i="8"/>
  <c r="AE34" i="8"/>
  <c r="AA34" i="8"/>
  <c r="V34" i="8"/>
  <c r="X34" i="8" s="1"/>
  <c r="S34" i="8"/>
  <c r="N34" i="8"/>
  <c r="Q34" i="8" s="1"/>
  <c r="L34" i="8"/>
  <c r="AE33" i="8"/>
  <c r="AA33" i="8"/>
  <c r="V33" i="8"/>
  <c r="X33" i="8" s="1"/>
  <c r="S33" i="8"/>
  <c r="N33" i="8"/>
  <c r="Q33" i="8" s="1"/>
  <c r="L33" i="8"/>
  <c r="AE32" i="8"/>
  <c r="AA32" i="8"/>
  <c r="V32" i="8"/>
  <c r="X32" i="8" s="1"/>
  <c r="S32" i="8"/>
  <c r="N32" i="8"/>
  <c r="Q32" i="8" s="1"/>
  <c r="L32" i="8"/>
  <c r="AE31" i="8"/>
  <c r="AA31" i="8"/>
  <c r="V31" i="8"/>
  <c r="X31" i="8" s="1"/>
  <c r="S31" i="8"/>
  <c r="N31" i="8"/>
  <c r="Q31" i="8" s="1"/>
  <c r="L31" i="8"/>
  <c r="AE30" i="8"/>
  <c r="AA30" i="8"/>
  <c r="V30" i="8"/>
  <c r="X30" i="8" s="1"/>
  <c r="S30" i="8"/>
  <c r="N30" i="8"/>
  <c r="Q30" i="8" s="1"/>
  <c r="L30" i="8"/>
  <c r="AE29" i="8"/>
  <c r="AA29" i="8"/>
  <c r="V29" i="8"/>
  <c r="X29" i="8" s="1"/>
  <c r="S29" i="8"/>
  <c r="N29" i="8"/>
  <c r="Q29" i="8" s="1"/>
  <c r="R29" i="8" s="1"/>
  <c r="L29" i="8"/>
  <c r="AE28" i="8"/>
  <c r="AA28" i="8"/>
  <c r="V28" i="8"/>
  <c r="X28" i="8" s="1"/>
  <c r="S28" i="8"/>
  <c r="N28" i="8"/>
  <c r="Q28" i="8" s="1"/>
  <c r="L28" i="8"/>
  <c r="AE27" i="8"/>
  <c r="AA27" i="8"/>
  <c r="V27" i="8"/>
  <c r="X27" i="8" s="1"/>
  <c r="S27" i="8"/>
  <c r="N27" i="8"/>
  <c r="Q27" i="8" s="1"/>
  <c r="L27" i="8"/>
  <c r="AE26" i="8"/>
  <c r="AA26" i="8"/>
  <c r="V26" i="8"/>
  <c r="X26" i="8" s="1"/>
  <c r="S26" i="8"/>
  <c r="N26" i="8"/>
  <c r="Q26" i="8" s="1"/>
  <c r="L26" i="8"/>
  <c r="AE25" i="8"/>
  <c r="AA25" i="8"/>
  <c r="V25" i="8"/>
  <c r="X25" i="8" s="1"/>
  <c r="S25" i="8"/>
  <c r="N25" i="8"/>
  <c r="Q25" i="8" s="1"/>
  <c r="L25" i="8"/>
  <c r="AE24" i="8"/>
  <c r="AA24" i="8"/>
  <c r="V24" i="8"/>
  <c r="X24" i="8" s="1"/>
  <c r="S24" i="8"/>
  <c r="N24" i="8"/>
  <c r="Q24" i="8" s="1"/>
  <c r="R24" i="8" s="1"/>
  <c r="L24" i="8"/>
  <c r="AE23" i="8"/>
  <c r="AA23" i="8"/>
  <c r="V23" i="8"/>
  <c r="X23" i="8" s="1"/>
  <c r="S23" i="8"/>
  <c r="N23" i="8"/>
  <c r="Q23" i="8" s="1"/>
  <c r="L23" i="8"/>
  <c r="AE22" i="8"/>
  <c r="AA22" i="8"/>
  <c r="V22" i="8"/>
  <c r="X22" i="8" s="1"/>
  <c r="S22" i="8"/>
  <c r="N22" i="8"/>
  <c r="Q22" i="8" s="1"/>
  <c r="L22" i="8"/>
  <c r="AE21" i="8"/>
  <c r="AA21" i="8"/>
  <c r="V21" i="8"/>
  <c r="X21" i="8" s="1"/>
  <c r="S21" i="8"/>
  <c r="N21" i="8"/>
  <c r="Q21" i="8" s="1"/>
  <c r="L21" i="8"/>
  <c r="AE20" i="8"/>
  <c r="AA20" i="8"/>
  <c r="V20" i="8"/>
  <c r="X20" i="8" s="1"/>
  <c r="S20" i="8"/>
  <c r="N20" i="8"/>
  <c r="Q20" i="8" s="1"/>
  <c r="L20" i="8"/>
  <c r="AE19" i="8"/>
  <c r="AA19" i="8"/>
  <c r="V19" i="8"/>
  <c r="X19" i="8" s="1"/>
  <c r="S19" i="8"/>
  <c r="N19" i="8"/>
  <c r="Q19" i="8" s="1"/>
  <c r="L19" i="8"/>
  <c r="AE18" i="8"/>
  <c r="AA18" i="8"/>
  <c r="V18" i="8"/>
  <c r="X18" i="8" s="1"/>
  <c r="S18" i="8"/>
  <c r="N18" i="8"/>
  <c r="Q18" i="8" s="1"/>
  <c r="L18" i="8"/>
  <c r="AE17" i="8"/>
  <c r="AA17" i="8"/>
  <c r="V17" i="8"/>
  <c r="X17" i="8" s="1"/>
  <c r="S17" i="8"/>
  <c r="N17" i="8"/>
  <c r="Q17" i="8" s="1"/>
  <c r="L17" i="8"/>
  <c r="AE16" i="8"/>
  <c r="AA16" i="8"/>
  <c r="V16" i="8"/>
  <c r="X16" i="8" s="1"/>
  <c r="S16" i="8"/>
  <c r="N16" i="8"/>
  <c r="Q16" i="8" s="1"/>
  <c r="L16" i="8"/>
  <c r="AE15" i="8"/>
  <c r="AA15" i="8"/>
  <c r="V15" i="8"/>
  <c r="X15" i="8" s="1"/>
  <c r="S15" i="8"/>
  <c r="N15" i="8"/>
  <c r="Q15" i="8" s="1"/>
  <c r="L15" i="8"/>
  <c r="AE14" i="8"/>
  <c r="AA14" i="8"/>
  <c r="V14" i="8"/>
  <c r="X14" i="8" s="1"/>
  <c r="S14" i="8"/>
  <c r="N14" i="8"/>
  <c r="Q14" i="8" s="1"/>
  <c r="R14" i="8" s="1"/>
  <c r="AQ12" i="4" s="1"/>
  <c r="L14" i="8"/>
  <c r="AE12" i="8"/>
  <c r="AA12" i="8"/>
  <c r="V12" i="8"/>
  <c r="X12" i="8" s="1"/>
  <c r="S12" i="8"/>
  <c r="N12" i="8"/>
  <c r="Q12" i="8" s="1"/>
  <c r="L12" i="8"/>
  <c r="AE11" i="8"/>
  <c r="AA11" i="8"/>
  <c r="V11" i="8"/>
  <c r="X11" i="8" s="1"/>
  <c r="S11" i="8"/>
  <c r="N11" i="8"/>
  <c r="Q11" i="8" s="1"/>
  <c r="L11" i="8"/>
  <c r="AE10" i="8"/>
  <c r="AA10" i="8"/>
  <c r="V10" i="8"/>
  <c r="S10" i="8"/>
  <c r="N10" i="8"/>
  <c r="L10" i="8"/>
  <c r="AE9" i="8"/>
  <c r="AA9" i="8"/>
  <c r="V9" i="8"/>
  <c r="X9" i="8" s="1"/>
  <c r="S9" i="8"/>
  <c r="N9" i="8"/>
  <c r="Q9" i="8" s="1"/>
  <c r="R9" i="8" s="1"/>
  <c r="AQ155" i="4" s="1"/>
  <c r="L9" i="8"/>
  <c r="AE8" i="8"/>
  <c r="AA8" i="8"/>
  <c r="V8" i="8"/>
  <c r="X8" i="8" s="1"/>
  <c r="S8" i="8"/>
  <c r="N8" i="8"/>
  <c r="Q8" i="8" s="1"/>
  <c r="R8" i="8" s="1"/>
  <c r="AQ153" i="4" s="1"/>
  <c r="L8" i="8"/>
  <c r="AE7" i="8"/>
  <c r="AA7" i="8"/>
  <c r="V7" i="8"/>
  <c r="X7" i="8" s="1"/>
  <c r="S7" i="8"/>
  <c r="N7" i="8"/>
  <c r="Q7" i="8" s="1"/>
  <c r="L7" i="8"/>
  <c r="AE6" i="8"/>
  <c r="AA6" i="8"/>
  <c r="V6" i="8"/>
  <c r="X6" i="8" s="1"/>
  <c r="S6" i="8"/>
  <c r="N6" i="8"/>
  <c r="Q6" i="8" s="1"/>
  <c r="R6" i="8" s="1"/>
  <c r="M6" i="8"/>
  <c r="L6" i="8"/>
  <c r="AQ193" i="4"/>
  <c r="AQ192" i="4"/>
  <c r="AQ191" i="4"/>
  <c r="AQ186" i="4"/>
  <c r="AQ179" i="4"/>
  <c r="AQ173" i="4"/>
  <c r="AQ159" i="4"/>
  <c r="AQ154" i="4"/>
  <c r="AQ144" i="4"/>
  <c r="AQ135" i="4"/>
  <c r="AQ126" i="4"/>
  <c r="AQ113" i="4"/>
  <c r="AQ112" i="4"/>
  <c r="AQ110" i="4"/>
  <c r="AQ107" i="4"/>
  <c r="AQ106" i="4"/>
  <c r="AQ105" i="4"/>
  <c r="AQ101" i="4"/>
  <c r="AQ96" i="4"/>
  <c r="AQ95" i="4"/>
  <c r="AQ94" i="4"/>
  <c r="AQ90" i="4"/>
  <c r="AQ89" i="4"/>
  <c r="AQ84" i="4"/>
  <c r="AQ81" i="4"/>
  <c r="AQ79" i="4"/>
  <c r="AQ78" i="4"/>
  <c r="AQ77" i="4"/>
  <c r="AQ74" i="4"/>
  <c r="AQ72" i="4"/>
  <c r="AQ69" i="4"/>
  <c r="AQ68" i="4"/>
  <c r="AQ67" i="4"/>
  <c r="AQ66" i="4"/>
  <c r="AQ63" i="4"/>
  <c r="AQ61" i="4"/>
  <c r="AQ59" i="4"/>
  <c r="AQ47" i="4"/>
  <c r="AQ45" i="4"/>
  <c r="AQ23" i="4"/>
  <c r="AQ21" i="4"/>
  <c r="AQ19" i="4"/>
  <c r="AQ18" i="4"/>
  <c r="AQ15" i="4"/>
  <c r="AQ14" i="4"/>
  <c r="AQ11" i="4"/>
  <c r="AQ5" i="4"/>
  <c r="R193" i="8" l="1"/>
  <c r="AQ27" i="4" s="1"/>
  <c r="R140" i="8"/>
  <c r="AQ190" i="4" s="1"/>
  <c r="R158" i="8"/>
  <c r="T158" i="8" s="1"/>
  <c r="R176" i="8"/>
  <c r="T176" i="8" s="1"/>
  <c r="R182" i="8"/>
  <c r="T182" i="8" s="1"/>
  <c r="R188" i="8"/>
  <c r="T188" i="8" s="1"/>
  <c r="R11" i="8"/>
  <c r="AQ92" i="4" s="1"/>
  <c r="R12" i="8"/>
  <c r="AQ46" i="4" s="1"/>
  <c r="R15" i="8"/>
  <c r="AQ140" i="4" s="1"/>
  <c r="R16" i="8"/>
  <c r="AQ4" i="4" s="1"/>
  <c r="R18" i="8"/>
  <c r="AQ60" i="4" s="1"/>
  <c r="R19" i="8"/>
  <c r="T19" i="8" s="1"/>
  <c r="R20" i="8"/>
  <c r="AQ185" i="4" s="1"/>
  <c r="R21" i="8"/>
  <c r="T21" i="8" s="1"/>
  <c r="R31" i="8"/>
  <c r="AQ127" i="4" s="1"/>
  <c r="R32" i="8"/>
  <c r="AQ108" i="4" s="1"/>
  <c r="R34" i="8"/>
  <c r="AQ180" i="4" s="1"/>
  <c r="R44" i="8"/>
  <c r="AQ73" i="4" s="1"/>
  <c r="R45" i="8"/>
  <c r="AQ80" i="4" s="1"/>
  <c r="R49" i="8"/>
  <c r="T49" i="8" s="1"/>
  <c r="R50" i="8"/>
  <c r="T50" i="8" s="1"/>
  <c r="R51" i="8"/>
  <c r="AQ64" i="4" s="1"/>
  <c r="R52" i="8"/>
  <c r="AQ56" i="4" s="1"/>
  <c r="R53" i="8"/>
  <c r="AQ55" i="4" s="1"/>
  <c r="R54" i="8"/>
  <c r="T54" i="8" s="1"/>
  <c r="R56" i="8"/>
  <c r="AQ16" i="4" s="1"/>
  <c r="R60" i="8"/>
  <c r="T60" i="8" s="1"/>
  <c r="R63" i="8"/>
  <c r="AQ109" i="4" s="1"/>
  <c r="R68" i="8"/>
  <c r="AQ117" i="4" s="1"/>
  <c r="R71" i="8"/>
  <c r="T71" i="8" s="1"/>
  <c r="R78" i="8"/>
  <c r="AQ138" i="4" s="1"/>
  <c r="R79" i="8"/>
  <c r="AQ29" i="4" s="1"/>
  <c r="R80" i="8"/>
  <c r="AQ30" i="4" s="1"/>
  <c r="R83" i="8"/>
  <c r="AQ132" i="4" s="1"/>
  <c r="R86" i="8"/>
  <c r="AQ103" i="4" s="1"/>
  <c r="R87" i="8"/>
  <c r="T87" i="8" s="1"/>
  <c r="R88" i="8"/>
  <c r="AQ172" i="4" s="1"/>
  <c r="R96" i="8"/>
  <c r="AQ86" i="4" s="1"/>
  <c r="R98" i="8"/>
  <c r="AQ87" i="4" s="1"/>
  <c r="R99" i="8"/>
  <c r="T99" i="8" s="1"/>
  <c r="R103" i="8"/>
  <c r="AQ38" i="4" s="1"/>
  <c r="R108" i="8"/>
  <c r="AQ166" i="4" s="1"/>
  <c r="R109" i="8"/>
  <c r="T109" i="8" s="1"/>
  <c r="R110" i="8"/>
  <c r="AQ168" i="4" s="1"/>
  <c r="R111" i="8"/>
  <c r="AQ98" i="4" s="1"/>
  <c r="R112" i="8"/>
  <c r="T112" i="8" s="1"/>
  <c r="R117" i="8"/>
  <c r="T117" i="8" s="1"/>
  <c r="R119" i="8"/>
  <c r="T119" i="8" s="1"/>
  <c r="R135" i="8"/>
  <c r="AQ134" i="4" s="1"/>
  <c r="R141" i="8"/>
  <c r="T141" i="8" s="1"/>
  <c r="R147" i="8"/>
  <c r="T147" i="8" s="1"/>
  <c r="R153" i="8"/>
  <c r="AQ150" i="4" s="1"/>
  <c r="R177" i="8"/>
  <c r="T177" i="8" s="1"/>
  <c r="R189" i="8"/>
  <c r="AQ178" i="4" s="1"/>
  <c r="AA155" i="4"/>
  <c r="P57" i="4"/>
  <c r="P60" i="4"/>
  <c r="P25" i="4"/>
  <c r="P180" i="4"/>
  <c r="P44" i="4"/>
  <c r="P50" i="4"/>
  <c r="P55" i="4"/>
  <c r="P118" i="4"/>
  <c r="P125" i="4"/>
  <c r="O155" i="4"/>
  <c r="O61" i="4"/>
  <c r="O69" i="4"/>
  <c r="O68" i="4"/>
  <c r="O19" i="4"/>
  <c r="O6" i="4"/>
  <c r="O160" i="4"/>
  <c r="O51" i="4"/>
  <c r="O53" i="4"/>
  <c r="O14" i="4"/>
  <c r="O141" i="4"/>
  <c r="O118" i="4"/>
  <c r="O181" i="4"/>
  <c r="O93" i="4"/>
  <c r="P154" i="4"/>
  <c r="AA18" i="4"/>
  <c r="O179" i="4"/>
  <c r="AA28" i="4"/>
  <c r="O136" i="4"/>
  <c r="AA186" i="4"/>
  <c r="O82" i="4"/>
  <c r="P34" i="4"/>
  <c r="AA115" i="4"/>
  <c r="O23" i="4"/>
  <c r="P21" i="4"/>
  <c r="AA75" i="4"/>
  <c r="O111" i="4"/>
  <c r="P110" i="4"/>
  <c r="O133" i="4"/>
  <c r="P183" i="4"/>
  <c r="AA184" i="4"/>
  <c r="O74" i="4"/>
  <c r="P107" i="4"/>
  <c r="AA105" i="4"/>
  <c r="O13" i="4"/>
  <c r="AA151" i="4"/>
  <c r="O95" i="4"/>
  <c r="P96" i="4"/>
  <c r="AA42" i="4"/>
  <c r="O45" i="4"/>
  <c r="P192" i="4"/>
  <c r="AA89" i="4"/>
  <c r="O79" i="4"/>
  <c r="P77" i="4"/>
  <c r="AA78" i="4"/>
  <c r="O113" i="4"/>
  <c r="AA57" i="4"/>
  <c r="P46" i="4"/>
  <c r="P66" i="4"/>
  <c r="P72" i="4"/>
  <c r="P51" i="4"/>
  <c r="P106" i="4"/>
  <c r="P14" i="4"/>
  <c r="P148" i="4"/>
  <c r="P109" i="4"/>
  <c r="P120" i="4"/>
  <c r="P29" i="4"/>
  <c r="O57" i="4"/>
  <c r="O90" i="4"/>
  <c r="O46" i="4"/>
  <c r="O140" i="4"/>
  <c r="O9" i="4"/>
  <c r="O187" i="4"/>
  <c r="O142" i="4"/>
  <c r="O5" i="4"/>
  <c r="O44" i="4"/>
  <c r="O72" i="4"/>
  <c r="O80" i="4"/>
  <c r="O50" i="4"/>
  <c r="O106" i="4"/>
  <c r="O157" i="4"/>
  <c r="O123" i="4"/>
  <c r="O161" i="4"/>
  <c r="P18" i="4"/>
  <c r="AA37" i="4"/>
  <c r="O159" i="4"/>
  <c r="P28" i="4"/>
  <c r="AA145" i="4"/>
  <c r="O137" i="4"/>
  <c r="P186" i="4"/>
  <c r="AA189" i="4"/>
  <c r="O34" i="4"/>
  <c r="P115" i="4"/>
  <c r="O21" i="4"/>
  <c r="AA48" i="4"/>
  <c r="O110" i="4"/>
  <c r="P114" i="4"/>
  <c r="AA112" i="4"/>
  <c r="O183" i="4"/>
  <c r="AA116" i="4"/>
  <c r="O107" i="4"/>
  <c r="P105" i="4"/>
  <c r="AA139" i="4"/>
  <c r="O11" i="4"/>
  <c r="P151" i="4"/>
  <c r="AA40" i="4"/>
  <c r="O96" i="4"/>
  <c r="P42" i="4"/>
  <c r="AA43" i="4"/>
  <c r="O192" i="4"/>
  <c r="P89" i="4"/>
  <c r="AA102" i="4"/>
  <c r="O77" i="4"/>
  <c r="P78" i="4"/>
  <c r="AA27" i="4"/>
  <c r="O8" i="4"/>
  <c r="P61" i="4"/>
  <c r="P9" i="4"/>
  <c r="P69" i="4"/>
  <c r="P5" i="4"/>
  <c r="P108" i="4"/>
  <c r="P6" i="4"/>
  <c r="P56" i="4"/>
  <c r="P122" i="4"/>
  <c r="O152" i="4"/>
  <c r="O12" i="4"/>
  <c r="O60" i="4"/>
  <c r="O185" i="4"/>
  <c r="O66" i="4"/>
  <c r="O25" i="4"/>
  <c r="O108" i="4"/>
  <c r="O169" i="4"/>
  <c r="O7" i="4"/>
  <c r="O55" i="4"/>
  <c r="O16" i="4"/>
  <c r="O148" i="4"/>
  <c r="O122" i="4"/>
  <c r="O120" i="4"/>
  <c r="O83" i="4"/>
  <c r="O154" i="4"/>
  <c r="O18" i="4"/>
  <c r="P37" i="4"/>
  <c r="AA100" i="4"/>
  <c r="O28" i="4"/>
  <c r="P145" i="4"/>
  <c r="AA135" i="4"/>
  <c r="O186" i="4"/>
  <c r="P189" i="4"/>
  <c r="AA190" i="4"/>
  <c r="O115" i="4"/>
  <c r="AA35" i="4"/>
  <c r="O75" i="4"/>
  <c r="P48" i="4"/>
  <c r="AA126" i="4"/>
  <c r="O114" i="4"/>
  <c r="P112" i="4"/>
  <c r="AA99" i="4"/>
  <c r="O184" i="4"/>
  <c r="P116" i="4"/>
  <c r="AA76" i="4"/>
  <c r="O105" i="4"/>
  <c r="P139" i="4"/>
  <c r="AA71" i="4"/>
  <c r="O151" i="4"/>
  <c r="P40" i="4"/>
  <c r="AA39" i="4"/>
  <c r="O42" i="4"/>
  <c r="AA41" i="4"/>
  <c r="AA62" i="4"/>
  <c r="O78" i="4"/>
  <c r="P27" i="4"/>
  <c r="AA58" i="4"/>
  <c r="AA153" i="4"/>
  <c r="AA46" i="4"/>
  <c r="AA140" i="4"/>
  <c r="AA61" i="4"/>
  <c r="AA60" i="4"/>
  <c r="AA9" i="4"/>
  <c r="AA185" i="4"/>
  <c r="AA187" i="4"/>
  <c r="AA36" i="4"/>
  <c r="AA69" i="4"/>
  <c r="AA66" i="4"/>
  <c r="AA67" i="4"/>
  <c r="AA68" i="4"/>
  <c r="AA5" i="4"/>
  <c r="AA10" i="4"/>
  <c r="AA25" i="4"/>
  <c r="AA127" i="4"/>
  <c r="AA108" i="4"/>
  <c r="AA146" i="4"/>
  <c r="AA6" i="4"/>
  <c r="AA169" i="4"/>
  <c r="AA44" i="4"/>
  <c r="AA173" i="4"/>
  <c r="AA160" i="4"/>
  <c r="AA7" i="4"/>
  <c r="AA65" i="4"/>
  <c r="AA72" i="4"/>
  <c r="AA73" i="4"/>
  <c r="AA80" i="4"/>
  <c r="AA49" i="4"/>
  <c r="AA51" i="4"/>
  <c r="AA54" i="4"/>
  <c r="AA50" i="4"/>
  <c r="AA53" i="4"/>
  <c r="AA64" i="4"/>
  <c r="AA56" i="4"/>
  <c r="AA55" i="4"/>
  <c r="AA143" i="4"/>
  <c r="AA106" i="4"/>
  <c r="AA16" i="4"/>
  <c r="AA14" i="4"/>
  <c r="AA156" i="4"/>
  <c r="AA157" i="4"/>
  <c r="AA148" i="4"/>
  <c r="AA149" i="4"/>
  <c r="AA141" i="4"/>
  <c r="AA109" i="4"/>
  <c r="AA122" i="4"/>
  <c r="AA123" i="4"/>
  <c r="AA118" i="4"/>
  <c r="AA119" i="4"/>
  <c r="AA117" i="4"/>
  <c r="AA120" i="4"/>
  <c r="AA125" i="4"/>
  <c r="AA124" i="4"/>
  <c r="AA181" i="4"/>
  <c r="AA182" i="4"/>
  <c r="AA162" i="4"/>
  <c r="AA83" i="4"/>
  <c r="AA91" i="4"/>
  <c r="AA29" i="4"/>
  <c r="AA30" i="4"/>
  <c r="AA131" i="4"/>
  <c r="AA128" i="4"/>
  <c r="AA132" i="4"/>
  <c r="AA129" i="4"/>
  <c r="AA130" i="4"/>
  <c r="AA103" i="4"/>
  <c r="AA104" i="4"/>
  <c r="AA172" i="4"/>
  <c r="AA171" i="4"/>
  <c r="AA170" i="4"/>
  <c r="AA26" i="4"/>
  <c r="AA174" i="4"/>
  <c r="AA163" i="4"/>
  <c r="AA15" i="4"/>
  <c r="AA86" i="4"/>
  <c r="AA84" i="4"/>
  <c r="AA87" i="4"/>
  <c r="AA70" i="4"/>
  <c r="AA121" i="4"/>
  <c r="AA20" i="4"/>
  <c r="AA177" i="4"/>
  <c r="AA38" i="4"/>
  <c r="AA147" i="4"/>
  <c r="AA164" i="4"/>
  <c r="AA94" i="4"/>
  <c r="AA165" i="4"/>
  <c r="AA167" i="4"/>
  <c r="AA168" i="4"/>
  <c r="AA98" i="4"/>
  <c r="AA188" i="4"/>
  <c r="AA191" i="4"/>
  <c r="AA175" i="4"/>
  <c r="AA85" i="4"/>
  <c r="AA194" i="4"/>
  <c r="AA88" i="4"/>
  <c r="AA158" i="4"/>
  <c r="AA31" i="4"/>
  <c r="AA32" i="4"/>
  <c r="AA33" i="4"/>
  <c r="AA52" i="4"/>
  <c r="O37" i="4"/>
  <c r="P100" i="4"/>
  <c r="AA101" i="4"/>
  <c r="O145" i="4"/>
  <c r="P135" i="4"/>
  <c r="AA134" i="4"/>
  <c r="O189" i="4"/>
  <c r="AA176" i="4"/>
  <c r="O24" i="4"/>
  <c r="P35" i="4"/>
  <c r="AA22" i="4"/>
  <c r="O48" i="4"/>
  <c r="P126" i="4"/>
  <c r="AA150" i="4"/>
  <c r="O112" i="4"/>
  <c r="P99" i="4"/>
  <c r="AA81" i="4"/>
  <c r="O116" i="4"/>
  <c r="P76" i="4"/>
  <c r="AA17" i="4"/>
  <c r="O139" i="4"/>
  <c r="P71" i="4"/>
  <c r="AA144" i="4"/>
  <c r="O40" i="4"/>
  <c r="P39" i="4"/>
  <c r="AA97" i="4"/>
  <c r="O43" i="4"/>
  <c r="AA47" i="4"/>
  <c r="O102" i="4"/>
  <c r="P62" i="4"/>
  <c r="AA178" i="4"/>
  <c r="O27" i="4"/>
  <c r="P58" i="4"/>
  <c r="AA59" i="4"/>
  <c r="P92" i="4"/>
  <c r="P4" i="4"/>
  <c r="P142" i="4"/>
  <c r="P7" i="4"/>
  <c r="P73" i="4"/>
  <c r="P123" i="4"/>
  <c r="P117" i="4"/>
  <c r="P161" i="4"/>
  <c r="P128" i="4"/>
  <c r="P132" i="4"/>
  <c r="P103" i="4"/>
  <c r="P104" i="4"/>
  <c r="P172" i="4"/>
  <c r="P63" i="4"/>
  <c r="P15" i="4"/>
  <c r="P84" i="4"/>
  <c r="P87" i="4"/>
  <c r="P70" i="4"/>
  <c r="P20" i="4"/>
  <c r="P147" i="4"/>
  <c r="P164" i="4"/>
  <c r="P166" i="4"/>
  <c r="P168" i="4"/>
  <c r="P98" i="4"/>
  <c r="P191" i="4"/>
  <c r="P175" i="4"/>
  <c r="P85" i="4"/>
  <c r="P88" i="4"/>
  <c r="P158" i="4"/>
  <c r="P31" i="4"/>
  <c r="P32" i="4"/>
  <c r="P33" i="4"/>
  <c r="AA93" i="4"/>
  <c r="O100" i="4"/>
  <c r="P101" i="4"/>
  <c r="AA179" i="4"/>
  <c r="O135" i="4"/>
  <c r="P134" i="4"/>
  <c r="AA136" i="4"/>
  <c r="O190" i="4"/>
  <c r="P176" i="4"/>
  <c r="AA82" i="4"/>
  <c r="O35" i="4"/>
  <c r="P22" i="4"/>
  <c r="O126" i="4"/>
  <c r="AA111" i="4"/>
  <c r="O99" i="4"/>
  <c r="P81" i="4"/>
  <c r="AA133" i="4"/>
  <c r="O76" i="4"/>
  <c r="P17" i="4"/>
  <c r="AA74" i="4"/>
  <c r="O71" i="4"/>
  <c r="P144" i="4"/>
  <c r="AA13" i="4"/>
  <c r="O39" i="4"/>
  <c r="P97" i="4"/>
  <c r="AA95" i="4"/>
  <c r="O41" i="4"/>
  <c r="P47" i="4"/>
  <c r="AA45" i="4"/>
  <c r="O62" i="4"/>
  <c r="P178" i="4"/>
  <c r="AA79" i="4"/>
  <c r="O58" i="4"/>
  <c r="P59" i="4"/>
  <c r="AA113" i="4"/>
  <c r="AA152" i="4"/>
  <c r="P12" i="4"/>
  <c r="P68" i="4"/>
  <c r="P10" i="4"/>
  <c r="P53" i="4"/>
  <c r="P64" i="4"/>
  <c r="P16" i="4"/>
  <c r="P119" i="4"/>
  <c r="P162" i="4"/>
  <c r="P91" i="4"/>
  <c r="O153" i="4"/>
  <c r="O92" i="4"/>
  <c r="O4" i="4"/>
  <c r="O36" i="4"/>
  <c r="O67" i="4"/>
  <c r="O10" i="4"/>
  <c r="O127" i="4"/>
  <c r="O180" i="4"/>
  <c r="O146" i="4"/>
  <c r="O173" i="4"/>
  <c r="O65" i="4"/>
  <c r="O73" i="4"/>
  <c r="O49" i="4"/>
  <c r="O54" i="4"/>
  <c r="O56" i="4"/>
  <c r="O143" i="4"/>
  <c r="O156" i="4"/>
  <c r="O149" i="4"/>
  <c r="O109" i="4"/>
  <c r="O119" i="4"/>
  <c r="O117" i="4"/>
  <c r="O125" i="4"/>
  <c r="O124" i="4"/>
  <c r="O182" i="4"/>
  <c r="O162" i="4"/>
  <c r="O91" i="4"/>
  <c r="O138" i="4"/>
  <c r="O29" i="4"/>
  <c r="O30" i="4"/>
  <c r="O131" i="4"/>
  <c r="O128" i="4"/>
  <c r="O132" i="4"/>
  <c r="O129" i="4"/>
  <c r="O130" i="4"/>
  <c r="O103" i="4"/>
  <c r="O104" i="4"/>
  <c r="O172" i="4"/>
  <c r="O171" i="4"/>
  <c r="O170" i="4"/>
  <c r="O63" i="4"/>
  <c r="O26" i="4"/>
  <c r="O174" i="4"/>
  <c r="O163" i="4"/>
  <c r="O15" i="4"/>
  <c r="O86" i="4"/>
  <c r="O84" i="4"/>
  <c r="O87" i="4"/>
  <c r="O70" i="4"/>
  <c r="O121" i="4"/>
  <c r="O20" i="4"/>
  <c r="O177" i="4"/>
  <c r="O38" i="4"/>
  <c r="O147" i="4"/>
  <c r="O164" i="4"/>
  <c r="O94" i="4"/>
  <c r="O165" i="4"/>
  <c r="O166" i="4"/>
  <c r="O167" i="4"/>
  <c r="O168" i="4"/>
  <c r="O98" i="4"/>
  <c r="O188" i="4"/>
  <c r="O191" i="4"/>
  <c r="O175" i="4"/>
  <c r="O85" i="4"/>
  <c r="O194" i="4"/>
  <c r="O88" i="4"/>
  <c r="O158" i="4"/>
  <c r="O31" i="4"/>
  <c r="O32" i="4"/>
  <c r="O33" i="4"/>
  <c r="O52" i="4"/>
  <c r="O193" i="4"/>
  <c r="P93" i="4"/>
  <c r="AA154" i="4"/>
  <c r="O101" i="4"/>
  <c r="P179" i="4"/>
  <c r="AA159" i="4"/>
  <c r="O134" i="4"/>
  <c r="P136" i="4"/>
  <c r="AA137" i="4"/>
  <c r="O176" i="4"/>
  <c r="AA34" i="4"/>
  <c r="O22" i="4"/>
  <c r="P23" i="4"/>
  <c r="AA21" i="4"/>
  <c r="O150" i="4"/>
  <c r="P111" i="4"/>
  <c r="AA110" i="4"/>
  <c r="O81" i="4"/>
  <c r="P133" i="4"/>
  <c r="AA183" i="4"/>
  <c r="O17" i="4"/>
  <c r="P74" i="4"/>
  <c r="AA107" i="4"/>
  <c r="O144" i="4"/>
  <c r="P13" i="4"/>
  <c r="AA11" i="4"/>
  <c r="O97" i="4"/>
  <c r="AA96" i="4"/>
  <c r="O47" i="4"/>
  <c r="O178" i="4"/>
  <c r="AA77" i="4"/>
  <c r="O59" i="4"/>
  <c r="P113" i="4"/>
  <c r="AA8" i="4"/>
  <c r="AQ142" i="4"/>
  <c r="T92" i="8"/>
  <c r="AQ25" i="4"/>
  <c r="AQ169" i="4"/>
  <c r="Q115" i="8"/>
  <c r="Q121" i="8"/>
  <c r="R121" i="8" s="1"/>
  <c r="Q127" i="8"/>
  <c r="R127" i="8" s="1"/>
  <c r="Q133" i="8"/>
  <c r="R133" i="8" s="1"/>
  <c r="Q139" i="8"/>
  <c r="Q145" i="8"/>
  <c r="R145" i="8" s="1"/>
  <c r="Q151" i="8"/>
  <c r="R151" i="8" s="1"/>
  <c r="Q157" i="8"/>
  <c r="T157" i="8" s="1"/>
  <c r="Q163" i="8"/>
  <c r="R163" i="8" s="1"/>
  <c r="Q169" i="8"/>
  <c r="R169" i="8" s="1"/>
  <c r="Q175" i="8"/>
  <c r="R175" i="8" s="1"/>
  <c r="Q181" i="8"/>
  <c r="R181" i="8" s="1"/>
  <c r="Q172" i="8"/>
  <c r="R172" i="8" s="1"/>
  <c r="Q178" i="8"/>
  <c r="T178" i="8" s="1"/>
  <c r="Q184" i="8"/>
  <c r="T184" i="8" s="1"/>
  <c r="Q114" i="8"/>
  <c r="AQ175" i="4" s="1"/>
  <c r="Q118" i="8"/>
  <c r="R118" i="8" s="1"/>
  <c r="Q120" i="8"/>
  <c r="R120" i="8" s="1"/>
  <c r="Q154" i="8"/>
  <c r="R154" i="8" s="1"/>
  <c r="Q160" i="8"/>
  <c r="R160" i="8" s="1"/>
  <c r="Q136" i="8"/>
  <c r="R136" i="8" s="1"/>
  <c r="Q166" i="8"/>
  <c r="T166" i="8" s="1"/>
  <c r="Q126" i="8"/>
  <c r="T126" i="8" s="1"/>
  <c r="Q132" i="8"/>
  <c r="R132" i="8" s="1"/>
  <c r="Q138" i="8"/>
  <c r="T138" i="8" s="1"/>
  <c r="Q144" i="8"/>
  <c r="R144" i="8" s="1"/>
  <c r="Q150" i="8"/>
  <c r="R150" i="8" s="1"/>
  <c r="Q156" i="8"/>
  <c r="R156" i="8" s="1"/>
  <c r="Q162" i="8"/>
  <c r="R162" i="8" s="1"/>
  <c r="Q168" i="8"/>
  <c r="T168" i="8" s="1"/>
  <c r="Q174" i="8"/>
  <c r="R174" i="8" s="1"/>
  <c r="Q180" i="8"/>
  <c r="R180" i="8" s="1"/>
  <c r="Q186" i="8"/>
  <c r="T186" i="8" s="1"/>
  <c r="Q124" i="8"/>
  <c r="R124" i="8" s="1"/>
  <c r="Q130" i="8"/>
  <c r="T130" i="8" s="1"/>
  <c r="Q142" i="8"/>
  <c r="R142" i="8" s="1"/>
  <c r="Q148" i="8"/>
  <c r="T148" i="8" s="1"/>
  <c r="AQ7" i="4"/>
  <c r="T93" i="8"/>
  <c r="T165" i="8"/>
  <c r="AQ57" i="4"/>
  <c r="AQ34" i="4"/>
  <c r="T42" i="8"/>
  <c r="AQ149" i="4"/>
  <c r="AQ177" i="4"/>
  <c r="J94" i="13"/>
  <c r="AB62" i="8"/>
  <c r="AB71" i="8"/>
  <c r="AB73" i="8"/>
  <c r="AB78" i="8"/>
  <c r="AB85" i="8"/>
  <c r="AB90" i="8"/>
  <c r="AB92" i="8"/>
  <c r="AB93" i="8"/>
  <c r="AB100" i="8"/>
  <c r="AB103" i="8"/>
  <c r="AB106" i="8"/>
  <c r="AB173" i="8"/>
  <c r="P26" i="4"/>
  <c r="AB186" i="8"/>
  <c r="T97" i="8"/>
  <c r="T146" i="8"/>
  <c r="AB150" i="8"/>
  <c r="T152" i="8"/>
  <c r="AB197" i="8"/>
  <c r="AB96" i="8"/>
  <c r="P86" i="4"/>
  <c r="AB178" i="8"/>
  <c r="P95" i="4"/>
  <c r="O89" i="4"/>
  <c r="T23" i="8"/>
  <c r="AB184" i="8"/>
  <c r="T76" i="8"/>
  <c r="T137" i="8"/>
  <c r="P138" i="4"/>
  <c r="AB12" i="8"/>
  <c r="AB15" i="8"/>
  <c r="AB24" i="8"/>
  <c r="AB28" i="8"/>
  <c r="AB54" i="8"/>
  <c r="AB56" i="8"/>
  <c r="AB180" i="8"/>
  <c r="T123" i="8"/>
  <c r="O159" i="8"/>
  <c r="O162" i="8"/>
  <c r="O187" i="8"/>
  <c r="O129" i="8"/>
  <c r="O78" i="8"/>
  <c r="T81" i="8"/>
  <c r="O40" i="8"/>
  <c r="T36" i="8"/>
  <c r="O10" i="8"/>
  <c r="O29" i="8"/>
  <c r="O35" i="8"/>
  <c r="O112" i="8"/>
  <c r="AQ83" i="4"/>
  <c r="O36" i="8"/>
  <c r="O88" i="8"/>
  <c r="O15" i="8"/>
  <c r="O21" i="8"/>
  <c r="O27" i="8"/>
  <c r="O55" i="8"/>
  <c r="O66" i="8"/>
  <c r="O75" i="8"/>
  <c r="O82" i="8"/>
  <c r="O135" i="8"/>
  <c r="O140" i="8"/>
  <c r="O93" i="8"/>
  <c r="O161" i="8"/>
  <c r="O167" i="8"/>
  <c r="O99" i="8"/>
  <c r="O127" i="8"/>
  <c r="O169" i="8"/>
  <c r="O12" i="8"/>
  <c r="T45" i="8"/>
  <c r="O63" i="8"/>
  <c r="T72" i="8"/>
  <c r="O154" i="8"/>
  <c r="O185" i="8"/>
  <c r="T29" i="8"/>
  <c r="AQ10" i="4"/>
  <c r="T12" i="8"/>
  <c r="O16" i="8"/>
  <c r="O32" i="8"/>
  <c r="O43" i="8"/>
  <c r="O49" i="8"/>
  <c r="O58" i="8"/>
  <c r="O68" i="8"/>
  <c r="O72" i="8"/>
  <c r="O83" i="8"/>
  <c r="O87" i="8"/>
  <c r="O128" i="8"/>
  <c r="O160" i="8"/>
  <c r="O168" i="8"/>
  <c r="T185" i="8"/>
  <c r="O45" i="8"/>
  <c r="O74" i="8"/>
  <c r="O134" i="8"/>
  <c r="O139" i="8"/>
  <c r="O153" i="8"/>
  <c r="O170" i="8"/>
  <c r="O179" i="8"/>
  <c r="O52" i="8"/>
  <c r="O53" i="8"/>
  <c r="O61" i="8"/>
  <c r="O105" i="8"/>
  <c r="O118" i="8"/>
  <c r="O126" i="8"/>
  <c r="T129" i="8"/>
  <c r="O131" i="8"/>
  <c r="O132" i="8"/>
  <c r="O144" i="8"/>
  <c r="O165" i="8"/>
  <c r="O172" i="8"/>
  <c r="T167" i="8"/>
  <c r="O9" i="8"/>
  <c r="T14" i="8"/>
  <c r="T33" i="8"/>
  <c r="O103" i="8"/>
  <c r="O125" i="8"/>
  <c r="T179" i="8"/>
  <c r="O188" i="8"/>
  <c r="O193" i="8"/>
  <c r="O22" i="8"/>
  <c r="O23" i="8"/>
  <c r="O31" i="8"/>
  <c r="O44" i="8"/>
  <c r="O54" i="8"/>
  <c r="O65" i="8"/>
  <c r="O69" i="8"/>
  <c r="O90" i="8"/>
  <c r="O96" i="8"/>
  <c r="O111" i="8"/>
  <c r="O182" i="8"/>
  <c r="O194" i="8"/>
  <c r="T89" i="8"/>
  <c r="O101" i="8"/>
  <c r="O122" i="8"/>
  <c r="O136" i="8"/>
  <c r="O150" i="8"/>
  <c r="O25" i="8"/>
  <c r="O42" i="8"/>
  <c r="O46" i="8"/>
  <c r="T57" i="8"/>
  <c r="O191" i="8"/>
  <c r="O8" i="8"/>
  <c r="T11" i="8"/>
  <c r="O34" i="8"/>
  <c r="O38" i="8"/>
  <c r="O47" i="8"/>
  <c r="O79" i="8"/>
  <c r="O113" i="8"/>
  <c r="O155" i="8"/>
  <c r="O176" i="8"/>
  <c r="O197" i="8"/>
  <c r="AB46" i="8"/>
  <c r="P49" i="4"/>
  <c r="AB131" i="8"/>
  <c r="P159" i="4"/>
  <c r="P130" i="4"/>
  <c r="AB115" i="8"/>
  <c r="T122" i="8"/>
  <c r="T173" i="8"/>
  <c r="T187" i="8"/>
  <c r="AB190" i="8"/>
  <c r="T192" i="8"/>
  <c r="AB195" i="8"/>
  <c r="P181" i="4"/>
  <c r="AB50" i="8"/>
  <c r="AB152" i="8"/>
  <c r="AB191" i="8"/>
  <c r="AB196" i="8"/>
  <c r="P75" i="4"/>
  <c r="AB19" i="8"/>
  <c r="T26" i="8"/>
  <c r="AB44" i="8"/>
  <c r="T46" i="8"/>
  <c r="T95" i="8"/>
  <c r="T128" i="8"/>
  <c r="AB130" i="8"/>
  <c r="AA4" i="4"/>
  <c r="AB81" i="8"/>
  <c r="AB84" i="8"/>
  <c r="AB109" i="8"/>
  <c r="T143" i="8"/>
  <c r="T164" i="8"/>
  <c r="AB170" i="8"/>
  <c r="AB74" i="8"/>
  <c r="P182" i="4"/>
  <c r="AB137" i="8"/>
  <c r="P137" i="4"/>
  <c r="AB116" i="8"/>
  <c r="P194" i="4"/>
  <c r="AB187" i="8"/>
  <c r="P102" i="4"/>
  <c r="AB42" i="8"/>
  <c r="P65" i="4"/>
  <c r="AB48" i="8"/>
  <c r="P54" i="4"/>
  <c r="AB80" i="8"/>
  <c r="P30" i="4"/>
  <c r="AB112" i="8"/>
  <c r="P188" i="4"/>
  <c r="AB145" i="8"/>
  <c r="P24" i="4"/>
  <c r="AB181" i="8"/>
  <c r="P43" i="4"/>
  <c r="AB142" i="8"/>
  <c r="P82" i="4"/>
  <c r="AB37" i="8"/>
  <c r="P169" i="4"/>
  <c r="AB182" i="8"/>
  <c r="P41" i="4"/>
  <c r="AA114" i="4"/>
  <c r="P129" i="4"/>
  <c r="AB34" i="8"/>
  <c r="AB41" i="8"/>
  <c r="AB124" i="8"/>
  <c r="AB179" i="8"/>
  <c r="AB72" i="8"/>
  <c r="AB97" i="8"/>
  <c r="AB129" i="8"/>
  <c r="P131" i="4"/>
  <c r="T8" i="8"/>
  <c r="AB16" i="8"/>
  <c r="T22" i="8"/>
  <c r="AB49" i="8"/>
  <c r="AB66" i="8"/>
  <c r="AB70" i="8"/>
  <c r="AB76" i="8"/>
  <c r="T77" i="8"/>
  <c r="AB101" i="8"/>
  <c r="T104" i="8"/>
  <c r="AB123" i="8"/>
  <c r="AB159" i="8"/>
  <c r="AA24" i="4"/>
  <c r="P11" i="4"/>
  <c r="AB132" i="8"/>
  <c r="AB193" i="8"/>
  <c r="AA23" i="4"/>
  <c r="P170" i="4"/>
  <c r="P174" i="4"/>
  <c r="AB22" i="8"/>
  <c r="AB47" i="8"/>
  <c r="AB63" i="8"/>
  <c r="AB67" i="8"/>
  <c r="T105" i="8"/>
  <c r="AB126" i="8"/>
  <c r="T134" i="8"/>
  <c r="AB135" i="8"/>
  <c r="AB147" i="8"/>
  <c r="AB151" i="8"/>
  <c r="AB168" i="8"/>
  <c r="AB176" i="8"/>
  <c r="T195" i="8"/>
  <c r="T101" i="8"/>
  <c r="AQ20" i="4"/>
  <c r="AB33" i="8"/>
  <c r="P19" i="4"/>
  <c r="T59" i="8"/>
  <c r="AQ157" i="4"/>
  <c r="AB45" i="8"/>
  <c r="P80" i="4"/>
  <c r="AB89" i="8"/>
  <c r="P171" i="4"/>
  <c r="AB122" i="8"/>
  <c r="P52" i="4"/>
  <c r="S198" i="8"/>
  <c r="AA12" i="4"/>
  <c r="T66" i="8"/>
  <c r="AA161" i="4"/>
  <c r="P8" i="4"/>
  <c r="AA19" i="4"/>
  <c r="AQ36" i="4"/>
  <c r="AQ76" i="4"/>
  <c r="AA90" i="4"/>
  <c r="AA92" i="4"/>
  <c r="P167" i="4"/>
  <c r="P193" i="4"/>
  <c r="AB6" i="8"/>
  <c r="AB18" i="8"/>
  <c r="O30" i="8"/>
  <c r="AB30" i="8"/>
  <c r="O33" i="8"/>
  <c r="T41" i="8"/>
  <c r="AB55" i="8"/>
  <c r="T85" i="8"/>
  <c r="AQ130" i="4"/>
  <c r="AB91" i="8"/>
  <c r="O102" i="8"/>
  <c r="O142" i="8"/>
  <c r="O145" i="8"/>
  <c r="AB153" i="8"/>
  <c r="P150" i="4"/>
  <c r="AQ91" i="4"/>
  <c r="P141" i="4"/>
  <c r="P143" i="4"/>
  <c r="AQ164" i="4"/>
  <c r="AA193" i="4"/>
  <c r="AA138" i="4"/>
  <c r="AB140" i="8"/>
  <c r="P190" i="4"/>
  <c r="T58" i="8"/>
  <c r="AQ156" i="4"/>
  <c r="P38" i="4"/>
  <c r="P83" i="4"/>
  <c r="P121" i="4"/>
  <c r="P124" i="4"/>
  <c r="P140" i="4"/>
  <c r="AB11" i="8"/>
  <c r="AB43" i="8"/>
  <c r="T48" i="8"/>
  <c r="AB58" i="8"/>
  <c r="P156" i="4"/>
  <c r="O106" i="8"/>
  <c r="P45" i="4"/>
  <c r="AQ49" i="4"/>
  <c r="P79" i="4"/>
  <c r="P94" i="4"/>
  <c r="AA192" i="4"/>
  <c r="O7" i="8"/>
  <c r="N198" i="8"/>
  <c r="O19" i="8"/>
  <c r="AB23" i="8"/>
  <c r="O26" i="8"/>
  <c r="AB26" i="8"/>
  <c r="AB29" i="8"/>
  <c r="AB32" i="8"/>
  <c r="T74" i="8"/>
  <c r="O81" i="8"/>
  <c r="AB102" i="8"/>
  <c r="P177" i="4"/>
  <c r="T161" i="8"/>
  <c r="AQ183" i="4"/>
  <c r="AB162" i="8"/>
  <c r="P184" i="4"/>
  <c r="AA166" i="4"/>
  <c r="V198" i="8"/>
  <c r="O17" i="8"/>
  <c r="O18" i="8"/>
  <c r="O20" i="8"/>
  <c r="O24" i="8"/>
  <c r="AB27" i="8"/>
  <c r="T28" i="8"/>
  <c r="O37" i="8"/>
  <c r="AB38" i="8"/>
  <c r="O50" i="8"/>
  <c r="T55" i="8"/>
  <c r="AB65" i="8"/>
  <c r="O67" i="8"/>
  <c r="AB77" i="8"/>
  <c r="AB87" i="8"/>
  <c r="O89" i="8"/>
  <c r="O100" i="8"/>
  <c r="T102" i="8"/>
  <c r="AB117" i="8"/>
  <c r="O119" i="8"/>
  <c r="AB120" i="8"/>
  <c r="O86" i="8"/>
  <c r="T91" i="8"/>
  <c r="T94" i="8"/>
  <c r="AB98" i="8"/>
  <c r="AB105" i="8"/>
  <c r="O117" i="8"/>
  <c r="O149" i="8"/>
  <c r="AB166" i="8"/>
  <c r="AB172" i="8"/>
  <c r="M198" i="8"/>
  <c r="O11" i="8"/>
  <c r="O14" i="8"/>
  <c r="AB17" i="8"/>
  <c r="AB31" i="8"/>
  <c r="AB36" i="8"/>
  <c r="O39" i="8"/>
  <c r="O48" i="8"/>
  <c r="O59" i="8"/>
  <c r="AB60" i="8"/>
  <c r="O62" i="8"/>
  <c r="AB69" i="8"/>
  <c r="O76" i="8"/>
  <c r="AB82" i="8"/>
  <c r="O84" i="8"/>
  <c r="O91" i="8"/>
  <c r="AB94" i="8"/>
  <c r="O98" i="8"/>
  <c r="AB111" i="8"/>
  <c r="AB113" i="8"/>
  <c r="O115" i="8"/>
  <c r="O133" i="8"/>
  <c r="O157" i="8"/>
  <c r="AB157" i="8"/>
  <c r="O189" i="8"/>
  <c r="AB189" i="8"/>
  <c r="O70" i="8"/>
  <c r="T100" i="8"/>
  <c r="T106" i="8"/>
  <c r="O107" i="8"/>
  <c r="O116" i="8"/>
  <c r="T125" i="8"/>
  <c r="AB127" i="8"/>
  <c r="AB133" i="8"/>
  <c r="O164" i="8"/>
  <c r="O177" i="8"/>
  <c r="O183" i="8"/>
  <c r="O195" i="8"/>
  <c r="O51" i="8"/>
  <c r="AB51" i="8"/>
  <c r="O57" i="8"/>
  <c r="O71" i="8"/>
  <c r="O73" i="8"/>
  <c r="AB75" i="8"/>
  <c r="O77" i="8"/>
  <c r="AB79" i="8"/>
  <c r="O85" i="8"/>
  <c r="AB86" i="8"/>
  <c r="O92" i="8"/>
  <c r="O94" i="8"/>
  <c r="O97" i="8"/>
  <c r="AB99" i="8"/>
  <c r="AB108" i="8"/>
  <c r="AB110" i="8"/>
  <c r="AB114" i="8"/>
  <c r="AB118" i="8"/>
  <c r="T140" i="8"/>
  <c r="O147" i="8"/>
  <c r="O148" i="8"/>
  <c r="AB148" i="8"/>
  <c r="T155" i="8"/>
  <c r="AB156" i="8"/>
  <c r="T171" i="8"/>
  <c r="AB174" i="8"/>
  <c r="O180" i="8"/>
  <c r="O184" i="8"/>
  <c r="AB188" i="8"/>
  <c r="T190" i="8"/>
  <c r="T194" i="8"/>
  <c r="O110" i="8"/>
  <c r="AB119" i="8"/>
  <c r="AB125" i="8"/>
  <c r="O137" i="8"/>
  <c r="O138" i="8"/>
  <c r="AB138" i="8"/>
  <c r="O143" i="8"/>
  <c r="O146" i="8"/>
  <c r="T149" i="8"/>
  <c r="O152" i="8"/>
  <c r="AB155" i="8"/>
  <c r="AB158" i="8"/>
  <c r="O163" i="8"/>
  <c r="AB163" i="8"/>
  <c r="O175" i="8"/>
  <c r="O192" i="8"/>
  <c r="T197" i="8"/>
  <c r="T135" i="8"/>
  <c r="AB143" i="8"/>
  <c r="O158" i="8"/>
  <c r="T170" i="8"/>
  <c r="O173" i="8"/>
  <c r="AB177" i="8"/>
  <c r="O181" i="8"/>
  <c r="AB185" i="8"/>
  <c r="O190" i="8"/>
  <c r="T191" i="8"/>
  <c r="AB192" i="8"/>
  <c r="O196" i="8"/>
  <c r="AQ152" i="4"/>
  <c r="T7" i="8"/>
  <c r="AQ122" i="4"/>
  <c r="T64" i="8"/>
  <c r="AB59" i="8"/>
  <c r="P157" i="4"/>
  <c r="T67" i="8"/>
  <c r="AQ119" i="4"/>
  <c r="AB107" i="8"/>
  <c r="P165" i="4"/>
  <c r="P127" i="4"/>
  <c r="O6" i="8"/>
  <c r="AB8" i="8"/>
  <c r="P153" i="4"/>
  <c r="AB14" i="8"/>
  <c r="T17" i="8"/>
  <c r="T25" i="8"/>
  <c r="T27" i="8"/>
  <c r="T39" i="8"/>
  <c r="T65" i="8"/>
  <c r="AQ123" i="4"/>
  <c r="AA180" i="4"/>
  <c r="AQ54" i="4"/>
  <c r="T9" i="8"/>
  <c r="AB25" i="8"/>
  <c r="AQ146" i="4"/>
  <c r="T35" i="8"/>
  <c r="AB39" i="8"/>
  <c r="P173" i="4"/>
  <c r="O41" i="8"/>
  <c r="AB52" i="8"/>
  <c r="AB7" i="8"/>
  <c r="P152" i="4"/>
  <c r="AB9" i="8"/>
  <c r="P155" i="4"/>
  <c r="AB21" i="8"/>
  <c r="P187" i="4"/>
  <c r="T40" i="8"/>
  <c r="AQ160" i="4"/>
  <c r="O64" i="4"/>
  <c r="T20" i="8"/>
  <c r="AA142" i="4"/>
  <c r="T24" i="8"/>
  <c r="T38" i="8"/>
  <c r="T47" i="8"/>
  <c r="AB61" i="8"/>
  <c r="P149" i="4"/>
  <c r="AQ141" i="4"/>
  <c r="T62" i="8"/>
  <c r="P36" i="4"/>
  <c r="P67" i="4"/>
  <c r="AB20" i="8"/>
  <c r="P185" i="4"/>
  <c r="O28" i="8"/>
  <c r="AB35" i="8"/>
  <c r="P146" i="4"/>
  <c r="AB40" i="8"/>
  <c r="P160" i="4"/>
  <c r="T43" i="8"/>
  <c r="AB53" i="8"/>
  <c r="T75" i="8"/>
  <c r="AQ162" i="4"/>
  <c r="T70" i="8"/>
  <c r="T73" i="8"/>
  <c r="X10" i="8"/>
  <c r="O56" i="8"/>
  <c r="O64" i="8"/>
  <c r="AB68" i="8"/>
  <c r="O80" i="8"/>
  <c r="T82" i="8"/>
  <c r="AB83" i="8"/>
  <c r="T90" i="8"/>
  <c r="Q10" i="8"/>
  <c r="AA198" i="8"/>
  <c r="AB57" i="8"/>
  <c r="T69" i="8"/>
  <c r="T84" i="8"/>
  <c r="L198" i="8"/>
  <c r="O60" i="8"/>
  <c r="AB64" i="8"/>
  <c r="AB88" i="8"/>
  <c r="O109" i="8"/>
  <c r="O108" i="8"/>
  <c r="T113" i="8"/>
  <c r="O114" i="8"/>
  <c r="T116" i="8"/>
  <c r="T131" i="8"/>
  <c r="O95" i="8"/>
  <c r="O104" i="8"/>
  <c r="O120" i="8"/>
  <c r="AB121" i="8"/>
  <c r="AB128" i="8"/>
  <c r="O166" i="8"/>
  <c r="AB167" i="8"/>
  <c r="O178" i="8"/>
  <c r="AB95" i="8"/>
  <c r="AB104" i="8"/>
  <c r="T107" i="8"/>
  <c r="AB139" i="8"/>
  <c r="AB149" i="8"/>
  <c r="O156" i="8"/>
  <c r="AB169" i="8"/>
  <c r="AB136" i="8"/>
  <c r="AB146" i="8"/>
  <c r="T159" i="8"/>
  <c r="AB165" i="8"/>
  <c r="O171" i="8"/>
  <c r="AB171" i="8"/>
  <c r="O174" i="8"/>
  <c r="AB175" i="8"/>
  <c r="T183" i="8"/>
  <c r="T193" i="8"/>
  <c r="AB194" i="8"/>
  <c r="T196" i="8"/>
  <c r="O124" i="8"/>
  <c r="O130" i="8"/>
  <c r="AB164" i="8"/>
  <c r="O141" i="8"/>
  <c r="O151" i="8"/>
  <c r="AB154" i="8"/>
  <c r="AB161" i="8"/>
  <c r="AB183" i="8"/>
  <c r="O186" i="8"/>
  <c r="O121" i="8"/>
  <c r="AB134" i="8"/>
  <c r="AB141" i="8"/>
  <c r="AB144" i="8"/>
  <c r="AB160" i="8"/>
  <c r="T111" i="8" l="1"/>
  <c r="T53" i="8"/>
  <c r="T86" i="8"/>
  <c r="Y103" i="4" s="1"/>
  <c r="T34" i="8"/>
  <c r="T98" i="8"/>
  <c r="U98" i="8" s="1"/>
  <c r="T96" i="8"/>
  <c r="U96" i="8" s="1"/>
  <c r="R139" i="8"/>
  <c r="AQ189" i="4" s="1"/>
  <c r="R115" i="8"/>
  <c r="AQ85" i="4" s="1"/>
  <c r="T63" i="8"/>
  <c r="Y109" i="4" s="1"/>
  <c r="T80" i="8"/>
  <c r="U80" i="8" s="1"/>
  <c r="T110" i="8"/>
  <c r="U110" i="8" s="1"/>
  <c r="AQ97" i="4"/>
  <c r="AQ88" i="4"/>
  <c r="AQ70" i="4"/>
  <c r="AQ39" i="4"/>
  <c r="T31" i="8"/>
  <c r="U31" i="8" s="1"/>
  <c r="T153" i="8"/>
  <c r="Y150" i="4" s="1"/>
  <c r="T56" i="8"/>
  <c r="U56" i="8" s="1"/>
  <c r="T16" i="8"/>
  <c r="U16" i="8" s="1"/>
  <c r="T88" i="8"/>
  <c r="U88" i="8" s="1"/>
  <c r="T78" i="8"/>
  <c r="U78" i="8" s="1"/>
  <c r="T51" i="8"/>
  <c r="U51" i="8" s="1"/>
  <c r="T68" i="8"/>
  <c r="Y117" i="4" s="1"/>
  <c r="T18" i="8"/>
  <c r="U18" i="8" s="1"/>
  <c r="AQ188" i="4"/>
  <c r="AQ50" i="4"/>
  <c r="T108" i="8"/>
  <c r="U108" i="8" s="1"/>
  <c r="T103" i="8"/>
  <c r="U103" i="8" s="1"/>
  <c r="T79" i="8"/>
  <c r="U79" i="8" s="1"/>
  <c r="T44" i="8"/>
  <c r="Y73" i="4" s="1"/>
  <c r="T83" i="8"/>
  <c r="Y132" i="4" s="1"/>
  <c r="AQ176" i="4"/>
  <c r="AQ167" i="4"/>
  <c r="AQ143" i="4"/>
  <c r="AQ187" i="4"/>
  <c r="T32" i="8"/>
  <c r="U32" i="8" s="1"/>
  <c r="T52" i="8"/>
  <c r="U52" i="8" s="1"/>
  <c r="T15" i="8"/>
  <c r="U15" i="8" s="1"/>
  <c r="AQ41" i="4"/>
  <c r="T189" i="8"/>
  <c r="U189" i="8" s="1"/>
  <c r="AQ22" i="4"/>
  <c r="AQ31" i="4"/>
  <c r="AQ104" i="4"/>
  <c r="AQ124" i="4"/>
  <c r="AQ148" i="4"/>
  <c r="AQ53" i="4"/>
  <c r="AQ9" i="4"/>
  <c r="AQ62" i="4"/>
  <c r="AQ99" i="4"/>
  <c r="N117" i="4"/>
  <c r="N185" i="4"/>
  <c r="N186" i="4"/>
  <c r="N183" i="4"/>
  <c r="N55" i="4"/>
  <c r="N56" i="4"/>
  <c r="N66" i="4"/>
  <c r="N62" i="4"/>
  <c r="N164" i="4"/>
  <c r="N91" i="4"/>
  <c r="N176" i="4"/>
  <c r="N111" i="4"/>
  <c r="N136" i="4"/>
  <c r="N147" i="4"/>
  <c r="N100" i="4"/>
  <c r="N172" i="4"/>
  <c r="N187" i="4"/>
  <c r="N12" i="4"/>
  <c r="N165" i="4"/>
  <c r="N154" i="4"/>
  <c r="N23" i="4"/>
  <c r="N168" i="4"/>
  <c r="N103" i="4"/>
  <c r="N163" i="4"/>
  <c r="N120" i="4"/>
  <c r="N6" i="4"/>
  <c r="N87" i="4"/>
  <c r="N88" i="4"/>
  <c r="N44" i="4"/>
  <c r="N156" i="4"/>
  <c r="N106" i="4"/>
  <c r="N57" i="4"/>
  <c r="N80" i="4"/>
  <c r="N134" i="4"/>
  <c r="N51" i="4"/>
  <c r="N27" i="4"/>
  <c r="N125" i="4"/>
  <c r="N7" i="4"/>
  <c r="N71" i="4"/>
  <c r="N129" i="4"/>
  <c r="N9" i="4"/>
  <c r="U112" i="8"/>
  <c r="N159" i="4"/>
  <c r="U11" i="8"/>
  <c r="U89" i="8"/>
  <c r="U179" i="8"/>
  <c r="U81" i="8"/>
  <c r="U123" i="8"/>
  <c r="N140" i="4"/>
  <c r="N45" i="4"/>
  <c r="N86" i="4"/>
  <c r="N89" i="4"/>
  <c r="N174" i="4"/>
  <c r="N124" i="4"/>
  <c r="N192" i="4"/>
  <c r="N31" i="4"/>
  <c r="N190" i="4"/>
  <c r="U134" i="8"/>
  <c r="N36" i="4"/>
  <c r="N28" i="4"/>
  <c r="U104" i="8"/>
  <c r="N118" i="4"/>
  <c r="N101" i="4"/>
  <c r="N180" i="4"/>
  <c r="N169" i="4"/>
  <c r="N24" i="4"/>
  <c r="N54" i="4"/>
  <c r="N194" i="4"/>
  <c r="U164" i="8"/>
  <c r="N131" i="4"/>
  <c r="U95" i="8"/>
  <c r="N53" i="4"/>
  <c r="U45" i="8"/>
  <c r="N42" i="4"/>
  <c r="N46" i="4"/>
  <c r="U23" i="8"/>
  <c r="N8" i="4"/>
  <c r="N26" i="4"/>
  <c r="N141" i="4"/>
  <c r="N13" i="4"/>
  <c r="Y177" i="4"/>
  <c r="N72" i="4"/>
  <c r="N52" i="4"/>
  <c r="U59" i="8"/>
  <c r="N39" i="4"/>
  <c r="N18" i="4"/>
  <c r="N20" i="4"/>
  <c r="N50" i="4"/>
  <c r="N84" i="4"/>
  <c r="U54" i="8"/>
  <c r="N113" i="4"/>
  <c r="N49" i="4"/>
  <c r="N16" i="4"/>
  <c r="N11" i="4"/>
  <c r="N170" i="4"/>
  <c r="N135" i="4"/>
  <c r="N144" i="4"/>
  <c r="N139" i="4"/>
  <c r="N33" i="4"/>
  <c r="N14" i="4"/>
  <c r="N166" i="4"/>
  <c r="N127" i="4"/>
  <c r="N21" i="4"/>
  <c r="N97" i="4"/>
  <c r="N99" i="4"/>
  <c r="N112" i="4"/>
  <c r="N98" i="4"/>
  <c r="N128" i="4"/>
  <c r="N61" i="4"/>
  <c r="N68" i="4"/>
  <c r="N177" i="4"/>
  <c r="N108" i="4"/>
  <c r="N63" i="4"/>
  <c r="N25" i="4"/>
  <c r="N105" i="4"/>
  <c r="N161" i="4"/>
  <c r="N82" i="4"/>
  <c r="N188" i="4"/>
  <c r="N65" i="4"/>
  <c r="N137" i="4"/>
  <c r="N167" i="4"/>
  <c r="U46" i="8"/>
  <c r="N77" i="4"/>
  <c r="N59" i="4"/>
  <c r="N85" i="4"/>
  <c r="N143" i="4"/>
  <c r="U137" i="8"/>
  <c r="N75" i="4"/>
  <c r="N94" i="4"/>
  <c r="N130" i="4"/>
  <c r="U93" i="8"/>
  <c r="N178" i="4"/>
  <c r="N160" i="4"/>
  <c r="N149" i="4"/>
  <c r="N155" i="4"/>
  <c r="N173" i="4"/>
  <c r="N153" i="4"/>
  <c r="N151" i="4"/>
  <c r="N29" i="4"/>
  <c r="N74" i="4"/>
  <c r="N189" i="4"/>
  <c r="N146" i="4"/>
  <c r="N152" i="4"/>
  <c r="N157" i="4"/>
  <c r="N78" i="4"/>
  <c r="N110" i="4"/>
  <c r="N114" i="4"/>
  <c r="N158" i="4"/>
  <c r="N162" i="4"/>
  <c r="N145" i="4"/>
  <c r="N32" i="4"/>
  <c r="N104" i="4"/>
  <c r="N10" i="4"/>
  <c r="N92" i="4"/>
  <c r="N150" i="4"/>
  <c r="N171" i="4"/>
  <c r="N19" i="4"/>
  <c r="N48" i="4"/>
  <c r="N119" i="4"/>
  <c r="N81" i="4"/>
  <c r="U77" i="8"/>
  <c r="N4" i="4"/>
  <c r="N96" i="4"/>
  <c r="N73" i="4"/>
  <c r="N126" i="4"/>
  <c r="U192" i="8"/>
  <c r="U185" i="8"/>
  <c r="N5" i="4"/>
  <c r="U76" i="8"/>
  <c r="N95" i="4"/>
  <c r="Y35" i="4"/>
  <c r="N38" i="4"/>
  <c r="N138" i="4"/>
  <c r="U157" i="8"/>
  <c r="N15" i="4"/>
  <c r="N122" i="4"/>
  <c r="N34" i="4"/>
  <c r="N116" i="4"/>
  <c r="N69" i="4"/>
  <c r="N58" i="4"/>
  <c r="N70" i="4"/>
  <c r="N64" i="4"/>
  <c r="N191" i="4"/>
  <c r="N148" i="4"/>
  <c r="N123" i="4"/>
  <c r="N17" i="4"/>
  <c r="N107" i="4"/>
  <c r="N133" i="4"/>
  <c r="N47" i="4"/>
  <c r="N76" i="4"/>
  <c r="N115" i="4"/>
  <c r="N40" i="4"/>
  <c r="N35" i="4"/>
  <c r="N132" i="4"/>
  <c r="N175" i="4"/>
  <c r="N37" i="4"/>
  <c r="N184" i="4"/>
  <c r="N67" i="4"/>
  <c r="N60" i="4"/>
  <c r="N22" i="4"/>
  <c r="N109" i="4"/>
  <c r="N193" i="4"/>
  <c r="N83" i="4"/>
  <c r="Y153" i="4"/>
  <c r="N93" i="4"/>
  <c r="N41" i="4"/>
  <c r="N43" i="4"/>
  <c r="N30" i="4"/>
  <c r="N102" i="4"/>
  <c r="N182" i="4"/>
  <c r="N179" i="4"/>
  <c r="Y67" i="4"/>
  <c r="N79" i="4"/>
  <c r="U33" i="8"/>
  <c r="Y161" i="4"/>
  <c r="N142" i="4"/>
  <c r="Y84" i="4"/>
  <c r="N121" i="4"/>
  <c r="N181" i="4"/>
  <c r="U148" i="8"/>
  <c r="U138" i="8"/>
  <c r="T30" i="8"/>
  <c r="U30" i="8" s="1"/>
  <c r="T37" i="8"/>
  <c r="Y169" i="4" s="1"/>
  <c r="AQ82" i="4"/>
  <c r="AQ28" i="4"/>
  <c r="AQ32" i="4"/>
  <c r="AQ43" i="4"/>
  <c r="AQ24" i="4"/>
  <c r="AQ184" i="4"/>
  <c r="AQ158" i="4"/>
  <c r="AQ40" i="4"/>
  <c r="AQ139" i="4"/>
  <c r="T150" i="8"/>
  <c r="AQ136" i="4"/>
  <c r="AQ116" i="4"/>
  <c r="AQ37" i="4"/>
  <c r="AQ26" i="4"/>
  <c r="AQ93" i="4"/>
  <c r="AQ114" i="4"/>
  <c r="AQ145" i="4"/>
  <c r="AQ42" i="4"/>
  <c r="AQ115" i="4"/>
  <c r="AQ133" i="4"/>
  <c r="AQ33" i="4"/>
  <c r="AQ151" i="4"/>
  <c r="AQ111" i="4"/>
  <c r="AQ13" i="4"/>
  <c r="T151" i="8"/>
  <c r="T114" i="8"/>
  <c r="U152" i="8"/>
  <c r="Q198" i="8"/>
  <c r="U21" i="8"/>
  <c r="T6" i="8"/>
  <c r="T61" i="8"/>
  <c r="AQ174" i="4"/>
  <c r="AQ65" i="4"/>
  <c r="AQ17" i="4"/>
  <c r="Y171" i="4"/>
  <c r="Y193" i="4"/>
  <c r="Y112" i="4"/>
  <c r="U146" i="8"/>
  <c r="U97" i="8"/>
  <c r="Y131" i="4"/>
  <c r="Y30" i="4"/>
  <c r="U72" i="8"/>
  <c r="Y83" i="4"/>
  <c r="Y137" i="4"/>
  <c r="Y126" i="4"/>
  <c r="U102" i="8"/>
  <c r="Y69" i="4"/>
  <c r="Y19" i="4"/>
  <c r="Y15" i="4"/>
  <c r="Y96" i="4"/>
  <c r="Y174" i="4"/>
  <c r="Y80" i="4"/>
  <c r="Y192" i="4"/>
  <c r="U87" i="8"/>
  <c r="Y104" i="4"/>
  <c r="Y157" i="4"/>
  <c r="U49" i="8"/>
  <c r="Y50" i="4"/>
  <c r="U36" i="8"/>
  <c r="Y6" i="4"/>
  <c r="U8" i="8"/>
  <c r="U26" i="8"/>
  <c r="Y23" i="4"/>
  <c r="Y168" i="4"/>
  <c r="Y92" i="4"/>
  <c r="Y76" i="4"/>
  <c r="U129" i="8"/>
  <c r="Y101" i="4"/>
  <c r="U12" i="8"/>
  <c r="Y46" i="4"/>
  <c r="Y91" i="4"/>
  <c r="U29" i="8"/>
  <c r="Y10" i="4"/>
  <c r="Y186" i="4"/>
  <c r="U168" i="8"/>
  <c r="Y105" i="4"/>
  <c r="Y49" i="4"/>
  <c r="Y78" i="4"/>
  <c r="U178" i="8"/>
  <c r="Y95" i="4"/>
  <c r="U166" i="8"/>
  <c r="Y74" i="4"/>
  <c r="U184" i="8"/>
  <c r="Y45" i="4"/>
  <c r="Y64" i="4"/>
  <c r="U57" i="8"/>
  <c r="Y14" i="4"/>
  <c r="U109" i="8"/>
  <c r="Y167" i="4"/>
  <c r="U14" i="8"/>
  <c r="Y12" i="4"/>
  <c r="U147" i="8"/>
  <c r="Y22" i="4"/>
  <c r="U167" i="8"/>
  <c r="Y107" i="4"/>
  <c r="Y188" i="4"/>
  <c r="U158" i="8"/>
  <c r="Y99" i="4"/>
  <c r="U173" i="8"/>
  <c r="Y11" i="4"/>
  <c r="Y135" i="4"/>
  <c r="U143" i="8"/>
  <c r="Y34" i="4"/>
  <c r="U187" i="8"/>
  <c r="Y102" i="4"/>
  <c r="Y143" i="4"/>
  <c r="U122" i="8"/>
  <c r="Y52" i="4"/>
  <c r="Y187" i="4"/>
  <c r="Y147" i="4"/>
  <c r="U128" i="8"/>
  <c r="Y100" i="4"/>
  <c r="U141" i="8"/>
  <c r="Y176" i="4"/>
  <c r="U99" i="8"/>
  <c r="Y70" i="4"/>
  <c r="U22" i="8"/>
  <c r="Y36" i="4"/>
  <c r="U105" i="8"/>
  <c r="Y164" i="4"/>
  <c r="U195" i="8"/>
  <c r="Y59" i="4"/>
  <c r="U135" i="8"/>
  <c r="Y134" i="4"/>
  <c r="U149" i="8"/>
  <c r="Y21" i="4"/>
  <c r="U50" i="8"/>
  <c r="Y53" i="4"/>
  <c r="U55" i="8"/>
  <c r="Y106" i="4"/>
  <c r="Y156" i="4"/>
  <c r="U58" i="8"/>
  <c r="U85" i="8"/>
  <c r="Y130" i="4"/>
  <c r="U197" i="8"/>
  <c r="Y8" i="4"/>
  <c r="U126" i="8"/>
  <c r="Y18" i="4"/>
  <c r="U155" i="8"/>
  <c r="Y110" i="4"/>
  <c r="U48" i="8"/>
  <c r="Y54" i="4"/>
  <c r="U66" i="8"/>
  <c r="Y118" i="4"/>
  <c r="U191" i="8"/>
  <c r="Y77" i="4"/>
  <c r="U106" i="8"/>
  <c r="Y94" i="4"/>
  <c r="U94" i="8"/>
  <c r="Y163" i="4"/>
  <c r="U41" i="8"/>
  <c r="Y7" i="4"/>
  <c r="U170" i="8"/>
  <c r="Y71" i="4"/>
  <c r="U177" i="8"/>
  <c r="Y97" i="4"/>
  <c r="U100" i="8"/>
  <c r="Y121" i="4"/>
  <c r="U165" i="8"/>
  <c r="Y17" i="4"/>
  <c r="U91" i="8"/>
  <c r="Y63" i="4"/>
  <c r="U71" i="8"/>
  <c r="Y124" i="4"/>
  <c r="U101" i="8"/>
  <c r="Y20" i="4"/>
  <c r="U194" i="8"/>
  <c r="Y58" i="4"/>
  <c r="U171" i="8"/>
  <c r="Y144" i="4"/>
  <c r="U125" i="8"/>
  <c r="Y154" i="4"/>
  <c r="U117" i="8"/>
  <c r="Y88" i="4"/>
  <c r="U161" i="8"/>
  <c r="Y183" i="4"/>
  <c r="U74" i="8"/>
  <c r="Y182" i="4"/>
  <c r="U190" i="8"/>
  <c r="Y79" i="4"/>
  <c r="U140" i="8"/>
  <c r="Y190" i="4"/>
  <c r="U182" i="8"/>
  <c r="Y41" i="4"/>
  <c r="Y31" i="4"/>
  <c r="U119" i="8"/>
  <c r="U92" i="8"/>
  <c r="Y26" i="4"/>
  <c r="Y5" i="4"/>
  <c r="U28" i="8"/>
  <c r="U64" i="8"/>
  <c r="Y122" i="4"/>
  <c r="U42" i="8"/>
  <c r="Y65" i="4"/>
  <c r="U183" i="8"/>
  <c r="Y47" i="4"/>
  <c r="U159" i="8"/>
  <c r="Y81" i="4"/>
  <c r="U131" i="8"/>
  <c r="Y159" i="4"/>
  <c r="U84" i="8"/>
  <c r="Y129" i="4"/>
  <c r="U90" i="8"/>
  <c r="Y170" i="4"/>
  <c r="U75" i="8"/>
  <c r="Y162" i="4"/>
  <c r="U35" i="8"/>
  <c r="Y146" i="4"/>
  <c r="U34" i="8"/>
  <c r="Y180" i="4"/>
  <c r="U39" i="8"/>
  <c r="Y173" i="4"/>
  <c r="U186" i="8"/>
  <c r="Y89" i="4"/>
  <c r="U111" i="8"/>
  <c r="Y98" i="4"/>
  <c r="U20" i="8"/>
  <c r="Y185" i="4"/>
  <c r="U69" i="8"/>
  <c r="Y120" i="4"/>
  <c r="U53" i="8"/>
  <c r="Y55" i="4"/>
  <c r="Y127" i="4"/>
  <c r="U62" i="8"/>
  <c r="Y141" i="4"/>
  <c r="U47" i="8"/>
  <c r="Y51" i="4"/>
  <c r="U27" i="8"/>
  <c r="Y68" i="4"/>
  <c r="U196" i="8"/>
  <c r="Y113" i="4"/>
  <c r="U116" i="8"/>
  <c r="Y194" i="4"/>
  <c r="U60" i="8"/>
  <c r="Y148" i="4"/>
  <c r="U82" i="8"/>
  <c r="Y128" i="4"/>
  <c r="X198" i="8"/>
  <c r="AB10" i="8"/>
  <c r="P90" i="4"/>
  <c r="U43" i="8"/>
  <c r="Y72" i="4"/>
  <c r="U38" i="8"/>
  <c r="Y44" i="4"/>
  <c r="U40" i="8"/>
  <c r="Y160" i="4"/>
  <c r="U25" i="8"/>
  <c r="Y66" i="4"/>
  <c r="U67" i="8"/>
  <c r="Y119" i="4"/>
  <c r="U107" i="8"/>
  <c r="Y165" i="4"/>
  <c r="U73" i="8"/>
  <c r="Y181" i="4"/>
  <c r="U24" i="8"/>
  <c r="Y142" i="4"/>
  <c r="U9" i="8"/>
  <c r="Y155" i="4"/>
  <c r="U65" i="8"/>
  <c r="Y123" i="4"/>
  <c r="U19" i="8"/>
  <c r="Y9" i="4"/>
  <c r="U7" i="8"/>
  <c r="Y152" i="4"/>
  <c r="U188" i="8"/>
  <c r="Y62" i="4"/>
  <c r="U176" i="8"/>
  <c r="Y39" i="4"/>
  <c r="U193" i="8"/>
  <c r="Y27" i="4"/>
  <c r="U130" i="8"/>
  <c r="Y179" i="4"/>
  <c r="U113" i="8"/>
  <c r="Y191" i="4"/>
  <c r="T10" i="8"/>
  <c r="U70" i="8"/>
  <c r="Y125" i="4"/>
  <c r="U17" i="8"/>
  <c r="Y61" i="4"/>
  <c r="Y172" i="4" l="1"/>
  <c r="Y87" i="4"/>
  <c r="Y86" i="4"/>
  <c r="U44" i="8"/>
  <c r="U86" i="8"/>
  <c r="U63" i="8"/>
  <c r="Y138" i="4"/>
  <c r="Y166" i="4"/>
  <c r="U83" i="8"/>
  <c r="Y4" i="4"/>
  <c r="Y25" i="4"/>
  <c r="Y60" i="4"/>
  <c r="Y16" i="4"/>
  <c r="Y108" i="4"/>
  <c r="T115" i="8"/>
  <c r="Y38" i="4"/>
  <c r="Y178" i="4"/>
  <c r="T139" i="8"/>
  <c r="Y56" i="4"/>
  <c r="U153" i="8"/>
  <c r="Y29" i="4"/>
  <c r="Y140" i="4"/>
  <c r="U68" i="8"/>
  <c r="U37" i="8"/>
  <c r="U150" i="8"/>
  <c r="Y175" i="4"/>
  <c r="U61" i="8"/>
  <c r="U151" i="8"/>
  <c r="U6" i="8"/>
  <c r="T142" i="8"/>
  <c r="R198" i="8"/>
  <c r="T156" i="8"/>
  <c r="AQ48" i="4"/>
  <c r="T144" i="8"/>
  <c r="AQ75" i="4"/>
  <c r="T180" i="8"/>
  <c r="T121" i="8"/>
  <c r="T181" i="8"/>
  <c r="T172" i="8"/>
  <c r="T127" i="8"/>
  <c r="T174" i="8"/>
  <c r="T124" i="8"/>
  <c r="T163" i="8"/>
  <c r="T169" i="8"/>
  <c r="T162" i="8"/>
  <c r="T120" i="8"/>
  <c r="T136" i="8"/>
  <c r="T175" i="8"/>
  <c r="T145" i="8"/>
  <c r="T132" i="8"/>
  <c r="T154" i="8"/>
  <c r="T160" i="8"/>
  <c r="T133" i="8"/>
  <c r="T118" i="8"/>
  <c r="Y75" i="4"/>
  <c r="Y48" i="4"/>
  <c r="U114" i="8"/>
  <c r="Y149" i="4"/>
  <c r="Y57" i="4"/>
  <c r="AB198" i="8"/>
  <c r="N90" i="4"/>
  <c r="U10" i="8"/>
  <c r="Y90" i="4"/>
  <c r="Y85" i="4" l="1"/>
  <c r="U115" i="8"/>
  <c r="U139" i="8"/>
  <c r="Y189" i="4"/>
  <c r="U180" i="8"/>
  <c r="U144" i="8"/>
  <c r="U156" i="8"/>
  <c r="Y114" i="4"/>
  <c r="T198" i="8"/>
  <c r="Y42" i="4"/>
  <c r="Y82" i="4"/>
  <c r="U142" i="8"/>
  <c r="Y115" i="4"/>
  <c r="U174" i="8"/>
  <c r="Y151" i="4"/>
  <c r="Y37" i="4"/>
  <c r="U127" i="8"/>
  <c r="U124" i="8"/>
  <c r="Y93" i="4"/>
  <c r="U172" i="8"/>
  <c r="Y13" i="4"/>
  <c r="U181" i="8"/>
  <c r="Y43" i="4"/>
  <c r="U121" i="8"/>
  <c r="Y33" i="4"/>
  <c r="U160" i="8"/>
  <c r="Y133" i="4"/>
  <c r="Y111" i="4"/>
  <c r="U154" i="8"/>
  <c r="U120" i="8"/>
  <c r="Y32" i="4"/>
  <c r="U132" i="8"/>
  <c r="Y28" i="4"/>
  <c r="U162" i="8"/>
  <c r="Y184" i="4"/>
  <c r="U145" i="8"/>
  <c r="Y24" i="4"/>
  <c r="U169" i="8"/>
  <c r="Y139" i="4"/>
  <c r="Y40" i="4"/>
  <c r="U175" i="8"/>
  <c r="Y116" i="4"/>
  <c r="U163" i="8"/>
  <c r="U118" i="8"/>
  <c r="Y158" i="4"/>
  <c r="U133" i="8"/>
  <c r="Y145" i="4"/>
  <c r="Y136" i="4"/>
  <c r="U136" i="8"/>
</calcChain>
</file>

<file path=xl/sharedStrings.xml><?xml version="1.0" encoding="utf-8"?>
<sst xmlns="http://schemas.openxmlformats.org/spreadsheetml/2006/main" count="5064" uniqueCount="1292">
  <si>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</si>
  <si>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</si>
  <si>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</si>
  <si>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</si>
  <si>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</si>
  <si>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</si>
  <si>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</si>
  <si>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</si>
  <si>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</si>
  <si>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</si>
  <si>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</si>
  <si>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</si>
  <si>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</si>
  <si>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</si>
  <si>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</si>
  <si>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</si>
  <si>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</si>
  <si>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</si>
  <si>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</si>
  <si>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</si>
  <si>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</si>
  <si>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</si>
  <si>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</si>
  <si>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</si>
  <si>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</si>
  <si>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</si>
  <si>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</si>
  <si>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</si>
  <si>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</si>
  <si>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</si>
  <si>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</si>
  <si>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</si>
  <si>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</si>
  <si>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</si>
  <si>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</si>
  <si>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</si>
  <si>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</si>
  <si>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</si>
  <si>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</si>
  <si>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</si>
  <si>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</si>
  <si>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</si>
  <si>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</si>
  <si>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</si>
  <si>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</si>
  <si>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</si>
  <si>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</si>
  <si>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</si>
  <si>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</si>
  <si>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</si>
  <si>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</si>
  <si>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</si>
  <si>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</si>
  <si>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</si>
  <si>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</si>
  <si>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</si>
  <si>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</si>
  <si>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</si>
  <si>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</si>
  <si>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</si>
  <si>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</si>
  <si>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</si>
  <si>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</si>
  <si>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</si>
  <si>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</si>
  <si>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</si>
  <si>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</si>
  <si>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</si>
  <si>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</si>
  <si>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</si>
  <si>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</si>
  <si>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</si>
  <si>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</si>
  <si>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</si>
  <si>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</si>
  <si>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</si>
  <si>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</si>
  <si>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</si>
  <si>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</si>
  <si>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</si>
  <si>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</si>
  <si>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</si>
  <si>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</si>
  <si>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</si>
  <si>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</si>
  <si>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</si>
  <si>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</si>
  <si>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</si>
  <si>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</si>
  <si>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</si>
  <si>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</si>
  <si>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</si>
  <si>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</si>
  <si>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</si>
  <si>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</si>
  <si>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</si>
  <si>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</si>
  <si>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</si>
  <si>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</si>
  <si>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</si>
  <si>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</si>
  <si>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</si>
  <si>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</si>
  <si>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</si>
  <si>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</si>
  <si>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</si>
  <si>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</si>
  <si>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</si>
  <si>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</si>
  <si>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</si>
  <si>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</si>
  <si>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</si>
  <si>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</si>
  <si>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</si>
  <si>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</si>
  <si>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</si>
  <si>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</si>
  <si>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</si>
  <si>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</si>
  <si>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</si>
  <si>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</si>
  <si>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</si>
  <si>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</si>
  <si>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</si>
  <si>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</si>
  <si>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</si>
  <si>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</si>
  <si>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</si>
  <si>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</si>
  <si>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</si>
  <si>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</si>
  <si>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</si>
  <si>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</si>
  <si>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</si>
  <si>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</si>
  <si>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</si>
  <si>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</si>
  <si>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</si>
  <si>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</si>
  <si>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</si>
  <si>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</si>
  <si>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</si>
  <si>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</si>
  <si>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</si>
  <si>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</si>
  <si>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</si>
  <si>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</si>
  <si>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</si>
  <si>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</si>
  <si>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</si>
  <si>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</si>
  <si>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</si>
  <si>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</si>
  <si>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</si>
  <si>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</si>
  <si>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</si>
  <si>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</si>
  <si>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</si>
  <si>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</si>
  <si>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</si>
  <si>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</si>
  <si>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</si>
  <si>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</si>
  <si>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</si>
  <si>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</si>
  <si>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</si>
  <si>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</si>
  <si>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</si>
  <si>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</si>
  <si>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</si>
  <si>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</si>
  <si>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</si>
  <si>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</si>
  <si>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</si>
  <si>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</si>
  <si>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</si>
  <si>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</si>
  <si>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</si>
  <si>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</si>
  <si>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</si>
  <si>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</si>
  <si>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</si>
  <si>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</si>
  <si>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</si>
  <si>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</si>
  <si>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</si>
  <si>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</si>
  <si>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</si>
  <si>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</si>
  <si>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</si>
  <si>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</si>
  <si>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</si>
  <si>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</si>
  <si>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</si>
  <si>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</si>
  <si>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</si>
  <si>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</si>
  <si>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</si>
  <si>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</si>
  <si>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</si>
  <si>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</si>
  <si>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</si>
  <si>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</si>
  <si>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</si>
  <si>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</si>
  <si>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</si>
  <si>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</si>
  <si>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</si>
  <si>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</si>
  <si>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</si>
  <si>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</si>
  <si>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</si>
  <si>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</si>
  <si>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</si>
  <si>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</si>
  <si>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</si>
  <si>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</si>
  <si>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</si>
  <si>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</si>
  <si>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</si>
  <si>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</si>
  <si>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</si>
  <si>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</si>
  <si>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</si>
  <si>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</si>
  <si>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</si>
  <si>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</si>
  <si>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</si>
  <si>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</si>
  <si>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</si>
  <si>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</si>
  <si>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</si>
  <si>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</si>
  <si>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</si>
  <si>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</si>
  <si>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</si>
  <si>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</si>
  <si>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</si>
  <si>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</si>
  <si>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</si>
  <si>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</si>
  <si>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</si>
  <si>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</si>
  <si>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</si>
  <si>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</si>
  <si>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</si>
  <si>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</si>
  <si>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</si>
  <si>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</si>
  <si>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</si>
  <si>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</si>
  <si>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</si>
  <si>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</si>
  <si>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</si>
  <si>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</si>
  <si>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</si>
  <si>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</si>
  <si>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</si>
  <si>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</si>
  <si>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</si>
  <si>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</si>
  <si>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</si>
  <si>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</si>
  <si>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</si>
  <si>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</si>
  <si>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</si>
  <si>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</si>
  <si>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</si>
  <si>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</si>
  <si>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</si>
  <si>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</si>
  <si>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</si>
  <si>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</si>
  <si>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</si>
  <si>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</si>
  <si>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</si>
  <si>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</si>
  <si>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</si>
  <si>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</si>
  <si>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</si>
  <si>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</si>
  <si>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</si>
  <si>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</si>
  <si>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</si>
  <si>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</si>
  <si>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</si>
  <si>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</si>
  <si>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</si>
  <si>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</si>
  <si>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</si>
  <si>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</si>
  <si>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</si>
  <si>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</si>
  <si>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</si>
  <si>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</si>
  <si>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</si>
  <si>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</si>
  <si>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</si>
  <si>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</si>
  <si>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</si>
  <si>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</si>
  <si>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</si>
  <si>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</si>
  <si>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</si>
  <si>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</si>
  <si>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</si>
  <si>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</si>
  <si>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</si>
  <si>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</si>
  <si>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</si>
  <si>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</si>
  <si>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</si>
  <si>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</si>
  <si>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</si>
  <si>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</si>
  <si>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</si>
  <si>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</si>
  <si>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</si>
  <si>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</si>
  <si>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</si>
  <si>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</si>
  <si>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</si>
  <si>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</si>
  <si>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</si>
  <si>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</si>
  <si>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</si>
  <si>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</si>
  <si>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</si>
  <si>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</si>
  <si>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</si>
  <si>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</si>
  <si>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</si>
  <si>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</si>
  <si>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</si>
  <si>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</si>
  <si>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</si>
  <si>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</si>
  <si>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</si>
  <si>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</si>
  <si>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</si>
  <si>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</si>
  <si>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</si>
  <si>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</si>
  <si>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</si>
  <si>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</si>
  <si>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</si>
  <si>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</si>
  <si>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</si>
  <si>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</si>
  <si>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</si>
  <si>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</si>
  <si>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</si>
  <si>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</si>
  <si>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</si>
  <si>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</si>
  <si>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</si>
  <si>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</si>
  <si>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</si>
  <si>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</si>
  <si>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</si>
  <si>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</si>
  <si>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</si>
  <si>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</si>
  <si>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</si>
  <si>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</si>
  <si>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</si>
  <si>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</si>
  <si>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</si>
  <si>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</si>
  <si>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</si>
  <si>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</si>
  <si>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</si>
  <si>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</si>
  <si>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</si>
  <si>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</si>
  <si>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</si>
  <si>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</si>
  <si>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</si>
  <si>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</si>
  <si>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</si>
  <si>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</si>
  <si>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</si>
  <si>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</si>
  <si>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</si>
  <si>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</si>
  <si>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</si>
  <si>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</si>
  <si>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</si>
  <si>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</si>
  <si>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</si>
  <si>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</si>
  <si>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</si>
  <si>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</si>
  <si>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</si>
  <si>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</si>
  <si>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</si>
  <si>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</si>
  <si>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</si>
  <si>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</si>
  <si>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</si>
  <si>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</si>
  <si>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</si>
  <si>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</si>
  <si>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</si>
  <si>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</si>
  <si>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</si>
  <si>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</si>
  <si>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</si>
  <si>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</si>
  <si>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</si>
  <si>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</si>
  <si>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</si>
  <si>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</si>
  <si>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</si>
  <si>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</si>
  <si>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</si>
  <si>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</si>
  <si>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</si>
  <si>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</si>
  <si>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</si>
  <si>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</si>
  <si>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</si>
  <si>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</si>
  <si>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</si>
  <si>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</si>
  <si>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</si>
  <si>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</si>
  <si>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</si>
  <si>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</si>
  <si>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</si>
  <si>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</si>
  <si>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</si>
  <si>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</si>
  <si>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</si>
  <si>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</si>
  <si>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</si>
  <si>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</si>
  <si>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</si>
  <si>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</si>
  <si>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</si>
  <si>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</si>
  <si>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</si>
  <si>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</si>
  <si>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</si>
  <si>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</si>
  <si>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</si>
  <si>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</si>
  <si>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</si>
  <si>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</si>
  <si>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</si>
  <si>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</si>
  <si>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</si>
  <si>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</si>
  <si>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</si>
  <si>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</si>
  <si>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</si>
  <si>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</si>
  <si>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</si>
  <si>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</si>
  <si>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</si>
  <si>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</si>
  <si>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</si>
  <si>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</si>
  <si>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</si>
  <si>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</si>
  <si>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</si>
  <si>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</si>
  <si>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</si>
  <si>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</si>
  <si>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</si>
  <si>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</si>
  <si>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</si>
  <si>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</si>
  <si>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</si>
  <si>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</si>
  <si>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</si>
  <si>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</si>
  <si>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</si>
  <si>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</si>
  <si>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</si>
  <si>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</si>
  <si>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</si>
  <si>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</si>
  <si>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</si>
  <si>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</si>
  <si>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</si>
  <si>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</si>
  <si>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</si>
  <si>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</si>
  <si>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</si>
  <si>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</si>
  <si>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</si>
  <si>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</si>
  <si>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</si>
  <si>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</si>
  <si>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</si>
  <si>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</si>
  <si>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</si>
  <si>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</si>
  <si>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</si>
  <si>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</si>
  <si>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</si>
  <si>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</si>
  <si>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</si>
  <si>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</si>
  <si>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</si>
  <si>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</si>
  <si>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</si>
  <si>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</si>
  <si>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</si>
  <si>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</si>
  <si>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</si>
  <si>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</si>
  <si>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</si>
  <si>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</si>
  <si>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</si>
  <si>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</si>
  <si>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</si>
  <si>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</si>
  <si>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</si>
  <si>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</si>
  <si>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</si>
  <si>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</si>
  <si>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</si>
  <si>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</si>
  <si>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</si>
  <si>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</si>
  <si>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</si>
  <si>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</si>
  <si>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</si>
  <si>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</si>
  <si>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</si>
  <si>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</si>
  <si>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</si>
  <si>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</si>
  <si>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</si>
  <si>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</si>
  <si>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</si>
  <si>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</si>
  <si>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</si>
  <si>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</si>
  <si>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</si>
  <si>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</si>
  <si>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</si>
  <si>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</si>
  <si>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</si>
  <si>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</si>
  <si>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</si>
  <si>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</si>
  <si>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</si>
  <si>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</si>
  <si>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</si>
  <si>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</si>
  <si>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</si>
  <si>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</si>
  <si>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</si>
  <si>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</si>
  <si>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</si>
  <si>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</si>
  <si>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</si>
  <si>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</si>
  <si>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</si>
  <si>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</si>
  <si>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</si>
  <si>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</si>
  <si>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</si>
  <si>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</si>
  <si>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</si>
  <si>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</si>
  <si>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</si>
  <si>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</si>
  <si>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</si>
  <si>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</si>
  <si>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</si>
  <si>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</si>
  <si>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</si>
  <si>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</si>
  <si>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</si>
  <si>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</si>
  <si>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</si>
  <si>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</si>
  <si>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</si>
  <si>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</si>
  <si>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</si>
  <si>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</si>
  <si>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</si>
  <si>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</si>
  <si>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</si>
  <si>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</si>
  <si>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</si>
  <si>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</si>
  <si>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</si>
  <si>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</si>
  <si>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</si>
  <si>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</si>
  <si>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</si>
  <si>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</si>
  <si>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</si>
  <si>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</si>
  <si>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</si>
  <si>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</si>
  <si>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</si>
  <si>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</si>
  <si>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</si>
  <si>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</si>
  <si>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</si>
  <si>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</si>
  <si>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</si>
  <si>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</si>
  <si>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</si>
  <si>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</si>
  <si>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</si>
  <si>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</si>
  <si>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</si>
  <si>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</si>
  <si>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</si>
  <si>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</si>
  <si>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</si>
  <si>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</si>
  <si>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</si>
  <si>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</si>
  <si>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</si>
  <si>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</si>
  <si>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</si>
  <si>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</si>
  <si>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</si>
  <si>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</si>
  <si>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</si>
  <si>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</si>
  <si>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</si>
  <si>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</si>
  <si>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</si>
  <si>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</si>
  <si>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</si>
  <si>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</si>
  <si>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</si>
  <si>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</si>
  <si>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</si>
  <si>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</si>
  <si>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</si>
  <si>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</si>
  <si>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</si>
  <si>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</si>
  <si>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</si>
  <si>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</si>
  <si>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</si>
  <si>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</si>
  <si>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</si>
  <si>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</si>
  <si>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</si>
  <si>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</si>
  <si>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</si>
  <si>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</si>
  <si>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</si>
  <si>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</si>
  <si>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</si>
  <si>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</si>
  <si>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</si>
  <si>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</si>
  <si>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</si>
  <si>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</si>
  <si>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</si>
  <si>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</si>
  <si>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</si>
  <si>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</si>
  <si>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</si>
  <si>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</si>
  <si>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</si>
  <si>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</si>
  <si>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</si>
  <si>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</si>
  <si>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</si>
  <si>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</si>
  <si>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</si>
  <si>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</si>
  <si>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</si>
  <si>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</si>
  <si>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</si>
  <si>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</si>
  <si>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</si>
  <si>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</si>
  <si>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</si>
  <si>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</si>
  <si>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</si>
  <si>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</si>
  <si>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</si>
  <si>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</si>
  <si>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</si>
  <si>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</si>
  <si>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</si>
  <si>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</si>
  <si>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</si>
  <si>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</si>
  <si>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</si>
  <si>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</si>
  <si>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</si>
  <si>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</si>
  <si>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</si>
  <si>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</si>
  <si>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</si>
  <si>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</si>
  <si>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</si>
  <si>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</si>
  <si>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</si>
  <si>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</si>
  <si>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</si>
  <si>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</si>
  <si>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</si>
  <si>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</si>
  <si>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</si>
  <si>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</si>
  <si>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</si>
  <si>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</si>
  <si>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</si>
  <si>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</si>
  <si>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</si>
  <si>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</si>
  <si>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</si>
  <si>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</si>
  <si>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</si>
  <si>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</si>
  <si>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</si>
  <si>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</si>
  <si>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</si>
  <si>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</si>
  <si>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</si>
  <si>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</si>
  <si>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</si>
  <si>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</si>
  <si>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</si>
  <si>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</si>
  <si>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</si>
  <si>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</si>
  <si>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</si>
  <si>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</si>
  <si>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</si>
  <si>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</si>
  <si>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</si>
  <si>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</si>
  <si>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</si>
  <si>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</si>
  <si>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</si>
  <si>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</si>
  <si>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</si>
  <si>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</si>
  <si>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</si>
  <si>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</si>
  <si>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</si>
  <si>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</si>
  <si>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</si>
  <si>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</si>
  <si>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</si>
  <si>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</si>
  <si>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</si>
  <si>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</si>
  <si>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</si>
  <si>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</si>
  <si>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</si>
  <si>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</si>
  <si>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</si>
  <si>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</si>
  <si>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</si>
  <si>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</si>
  <si>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</si>
  <si>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</si>
  <si>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</si>
  <si>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</si>
  <si>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</si>
  <si>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</si>
  <si>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</si>
  <si>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</si>
  <si>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</si>
  <si>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</si>
  <si>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</si>
  <si>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</si>
  <si>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</si>
  <si>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</si>
  <si>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</si>
  <si>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</si>
  <si>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</si>
  <si>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</si>
  <si>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</si>
  <si>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</si>
  <si>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</si>
  <si>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</si>
  <si>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</si>
  <si>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</si>
  <si>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</si>
  <si>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</si>
  <si>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</si>
  <si>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</si>
  <si>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</si>
  <si>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</si>
  <si>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</si>
  <si>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</si>
  <si>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</si>
  <si>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</si>
  <si>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</si>
  <si>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</si>
  <si>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</si>
  <si>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</si>
  <si>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</si>
  <si>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</si>
  <si>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</si>
  <si>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</si>
  <si>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</si>
  <si>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</si>
  <si>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</si>
  <si>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</si>
  <si>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</si>
  <si>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</si>
  <si>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</si>
  <si>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</si>
  <si>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</si>
  <si>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</si>
  <si>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</si>
  <si>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</si>
  <si>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</si>
  <si>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</si>
  <si>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</si>
  <si>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</si>
  <si>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</si>
  <si>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</si>
  <si>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</si>
  <si>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</si>
  <si>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</si>
  <si>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</si>
  <si>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</si>
  <si>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</si>
  <si>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</si>
  <si>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</si>
  <si>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</si>
  <si>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</si>
  <si>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</si>
  <si>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</si>
  <si>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</si>
  <si>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</si>
  <si>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</si>
  <si>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</si>
  <si>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</si>
  <si>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</si>
  <si>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</si>
  <si>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</si>
  <si>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</si>
  <si>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</si>
  <si>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</si>
  <si>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</si>
  <si>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</si>
  <si>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</si>
  <si>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</si>
  <si>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</si>
  <si>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</si>
  <si>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</si>
  <si>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</si>
  <si>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</si>
  <si>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</si>
  <si>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</si>
  <si>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</si>
  <si>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</si>
  <si>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</si>
  <si>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</si>
  <si>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</si>
  <si>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</si>
  <si>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</si>
  <si>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</si>
  <si>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</si>
  <si>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</si>
  <si>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</si>
  <si>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</si>
  <si>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</si>
  <si>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</si>
  <si>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</si>
  <si>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</si>
  <si>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</si>
  <si>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</si>
  <si>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</si>
  <si>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</si>
  <si>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</si>
  <si>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</si>
  <si>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</si>
  <si>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</si>
  <si>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</si>
  <si>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</si>
  <si>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</si>
  <si>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</si>
  <si>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</si>
  <si>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</si>
  <si>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</si>
  <si>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</si>
  <si>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</si>
  <si>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</si>
  <si>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</si>
  <si>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</si>
  <si>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</si>
  <si>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</si>
  <si>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</si>
  <si>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</si>
  <si>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</si>
  <si>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</si>
  <si>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</si>
  <si>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</si>
  <si>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</si>
  <si>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</si>
  <si>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</si>
  <si>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</si>
  <si>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</si>
  <si>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</si>
  <si>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</si>
  <si>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</si>
  <si>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</si>
  <si>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</si>
  <si>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</si>
  <si>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</si>
  <si>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</si>
  <si>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</si>
  <si>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</si>
  <si>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</si>
  <si>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</si>
  <si>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</si>
  <si>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</si>
  <si>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</si>
  <si>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</si>
  <si>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</si>
  <si>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</si>
  <si>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</si>
  <si>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</si>
  <si>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</si>
  <si>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</si>
  <si>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</si>
  <si>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</si>
  <si>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</si>
  <si>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</si>
  <si>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</si>
  <si>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</si>
  <si>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</si>
  <si>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</si>
  <si>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</si>
  <si>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</si>
  <si>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</si>
  <si>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</si>
  <si>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</si>
  <si>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</si>
  <si>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</si>
  <si>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</si>
  <si>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</si>
  <si>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</si>
  <si>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</si>
  <si>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</si>
  <si>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</si>
  <si>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</si>
  <si>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</si>
  <si>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</si>
  <si>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</si>
  <si>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</si>
  <si>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</si>
  <si>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</si>
  <si>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</si>
  <si>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</si>
  <si>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</si>
  <si>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</si>
  <si>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</si>
  <si>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</si>
  <si>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</si>
  <si>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</si>
  <si>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</si>
  <si>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</si>
  <si>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</si>
  <si>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</si>
  <si>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</si>
  <si>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</si>
  <si>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</si>
  <si>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</si>
  <si>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</si>
  <si>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</si>
  <si>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</si>
  <si>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</si>
  <si>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</si>
  <si>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</si>
  <si>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</si>
  <si>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</si>
  <si>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</si>
  <si>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</si>
  <si>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</si>
  <si>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</si>
  <si>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</si>
  <si>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</si>
  <si>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</si>
  <si>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</si>
  <si>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</si>
  <si>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</si>
  <si>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</si>
  <si>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</si>
  <si>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</si>
  <si>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</si>
  <si>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</si>
  <si>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</si>
  <si>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</si>
  <si>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</si>
  <si>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</si>
  <si>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</si>
  <si>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</si>
  <si>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</si>
  <si>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</si>
  <si>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</si>
  <si>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</si>
  <si>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</si>
  <si>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</si>
  <si>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</si>
  <si>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</si>
  <si>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</si>
  <si>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</si>
  <si>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</si>
  <si>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</si>
  <si>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</si>
  <si>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</si>
  <si>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</si>
  <si>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</si>
  <si>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</si>
  <si>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</si>
  <si>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</si>
  <si>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</si>
  <si>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</si>
  <si>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</si>
  <si>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</si>
  <si>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</si>
  <si>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</si>
  <si>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</si>
  <si>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</si>
  <si>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</si>
  <si>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</si>
  <si>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</si>
  <si>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</si>
  <si>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</si>
  <si>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</si>
  <si>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</si>
  <si>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</si>
  <si>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</si>
  <si>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</si>
  <si>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</si>
  <si>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</si>
  <si>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</si>
  <si>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</si>
  <si>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</si>
  <si>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</si>
  <si>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</si>
  <si>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</si>
  <si>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</si>
  <si>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</si>
  <si>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</si>
  <si>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</si>
  <si>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</si>
  <si>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</si>
  <si>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</si>
  <si>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</si>
  <si>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</si>
  <si>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</si>
  <si>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</si>
  <si>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</si>
  <si>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</si>
  <si>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</si>
  <si>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</si>
  <si>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</si>
  <si>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</si>
  <si>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</si>
  <si>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</si>
  <si>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</si>
  <si>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</si>
  <si>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</si>
  <si>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</si>
  <si>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</si>
  <si>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</si>
  <si>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</si>
  <si>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</si>
  <si>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</si>
  <si>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</si>
  <si>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</si>
  <si>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</si>
  <si>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</si>
  <si>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</si>
  <si>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</si>
  <si>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</si>
  <si>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</si>
  <si>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</si>
  <si>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</si>
  <si>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</si>
  <si>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</si>
  <si>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</si>
  <si>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</si>
  <si>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</si>
  <si>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</si>
  <si>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</si>
  <si>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</si>
  <si>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</si>
  <si>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</si>
  <si>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</si>
  <si>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</si>
  <si>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</si>
  <si>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</si>
  <si>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</si>
  <si>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</si>
  <si>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</si>
  <si>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</si>
  <si>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</si>
  <si>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</si>
  <si>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</si>
  <si>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</si>
  <si>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</si>
  <si>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</si>
  <si>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</si>
  <si>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</si>
  <si>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</si>
  <si>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</si>
  <si>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</si>
  <si>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</si>
  <si>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</si>
  <si>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</si>
  <si>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</si>
  <si>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</si>
  <si>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</si>
  <si>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</si>
  <si>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</si>
  <si>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</si>
  <si>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</si>
  <si>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</si>
  <si>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</si>
  <si>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</si>
  <si>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</si>
  <si>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</si>
  <si>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</si>
  <si>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</si>
  <si>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</si>
  <si>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</si>
  <si>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</si>
  <si>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</si>
  <si>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</si>
  <si>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</si>
  <si>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</si>
  <si>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</si>
  <si>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</si>
  <si>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</si>
  <si>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</si>
  <si>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</si>
  <si>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</si>
  <si>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</si>
  <si>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</si>
  <si>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</si>
  <si>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</si>
  <si>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</si>
  <si>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</si>
  <si>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</si>
  <si>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</si>
  <si>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</si>
  <si>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</si>
  <si>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</si>
  <si>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</si>
  <si>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</si>
  <si>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</si>
  <si>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</si>
  <si>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</si>
  <si>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</si>
  <si>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</si>
  <si>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</si>
  <si>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</si>
  <si>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</si>
  <si>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</si>
  <si>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</si>
  <si>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</si>
  <si>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</si>
  <si>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</si>
  <si>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</si>
  <si>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</si>
  <si>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</si>
  <si>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</si>
  <si>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</si>
  <si>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</si>
  <si>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</si>
  <si>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</si>
  <si>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</si>
  <si>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</si>
  <si>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</si>
  <si>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</si>
  <si>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</si>
  <si>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</si>
  <si>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</si>
  <si>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</si>
  <si>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</si>
  <si>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</si>
  <si>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</si>
  <si>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</si>
  <si>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</si>
  <si>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</si>
  <si>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</si>
  <si>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</si>
  <si>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</si>
  <si>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</si>
  <si>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</si>
  <si>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</si>
  <si>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</si>
  <si>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</si>
  <si>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</si>
  <si>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</si>
  <si>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</si>
  <si>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</si>
  <si>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</si>
  <si>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</si>
  <si>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</si>
  <si>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</si>
  <si>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</si>
  <si>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</si>
  <si>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</si>
  <si>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</si>
  <si>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</si>
  <si>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</si>
  <si>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</si>
  <si>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</si>
  <si>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</si>
  <si>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</si>
  <si>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</si>
  <si>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</si>
  <si>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</si>
  <si>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</si>
  <si>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</si>
  <si>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</si>
  <si>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</si>
  <si>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</si>
  <si>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</si>
  <si>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</si>
  <si>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</si>
  <si>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</si>
  <si>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</si>
  <si>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</si>
  <si>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</si>
  <si>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</si>
  <si>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</si>
  <si>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</si>
  <si>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</si>
  <si>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</si>
  <si>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</si>
  <si>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</si>
  <si>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</si>
  <si>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</si>
  <si>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</si>
  <si>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</si>
  <si>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</si>
  <si>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</si>
  <si>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</si>
  <si>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</si>
  <si>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</si>
  <si>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</si>
  <si>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December 2019: gauge sheet unavaialbe - had issues with gauger and had to fire him</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</si>
  <si>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</si>
  <si>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</si>
  <si>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</si>
  <si>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</si>
  <si>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</si>
  <si>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</si>
  <si>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Raw Allocation Wolfpack #'s for Cross Check</t>
  </si>
  <si>
    <t>November 2019 comment: appears load from october was put on november sales ticket and is why we are off 185 bbls  - no error.  December 2019:  -189 is from November's ticket - no error.</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</si>
  <si>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</si>
  <si>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</si>
  <si>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</si>
  <si>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</si>
  <si>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</si>
  <si>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t>
  </si>
  <si>
    <t>January 2020: updating rrc id to 02817 - not keeping old gas rrc id of 150672</t>
  </si>
  <si>
    <t>02817</t>
  </si>
  <si>
    <t>BIG HILL ( HACKBERRY SAND)</t>
  </si>
  <si>
    <t>MCLEAN</t>
  </si>
  <si>
    <t>27617</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</si>
  <si>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t>
  </si>
  <si>
    <t xml:space="preserve">lease is filed under pending - rrc will have to issue a lease id.  January 2020: RRC ID issued </t>
  </si>
  <si>
    <t>Mi West.xlsx</t>
  </si>
  <si>
    <t>December 2019: Gauge sheet unavailable - gauger was fired.  Assuming same produciton as last month to keep active.  January 2020:  do not have gauge sheet - I have feb 2020 and I see it did not produce but has a closing stock of 45 bbls, so going to put 15 prod for jan 2020</t>
  </si>
  <si>
    <t>D39,G39,J39,M39</t>
  </si>
  <si>
    <t>January 2020: gauger uses 4th tank which was not previously accounted for.  Will add starting 2020 as part of closing stock and count production all in one month. Will use this stock going forward</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</si>
  <si>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</si>
  <si>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</si>
  <si>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</si>
  <si>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</si>
  <si>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</si>
  <si>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</si>
  <si>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</si>
  <si>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</si>
  <si>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</si>
  <si>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</si>
  <si>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</si>
  <si>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</si>
  <si>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</si>
  <si>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t>
  </si>
  <si>
    <t>November 2019: Opening stock listed on gauger's sheet is off - will have to let it fix its self - explains 30 bbl diff between gauge and calculated for pr. December 2019: same 30 bbl diff as before; Jan 2020: same ~30 bbl as before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</si>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</sst>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74">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s>
  <fills count="4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s>
  <borders count="38">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s>
  <cellStyleXfs count="100">
    <xf numFmtId="0" fontId="0" fillId="0" borderId="0"/>
    <xf numFmtId="0" fontId="24" fillId="2" borderId="0" applyNumberFormat="0" applyBorder="0" applyAlignment="0" applyProtection="0"/>
    <xf numFmtId="0" fontId="24" fillId="3" borderId="0" applyNumberFormat="0" applyBorder="0" applyAlignment="0" applyProtection="0"/>
    <xf numFmtId="0" fontId="24" fillId="4" borderId="0" applyNumberFormat="0" applyBorder="0" applyAlignment="0" applyProtection="0"/>
    <xf numFmtId="0" fontId="24" fillId="5" borderId="0" applyNumberFormat="0" applyBorder="0" applyAlignment="0" applyProtection="0"/>
    <xf numFmtId="0" fontId="24" fillId="6" borderId="0" applyNumberFormat="0" applyBorder="0" applyAlignment="0" applyProtection="0"/>
    <xf numFmtId="0" fontId="24" fillId="7" borderId="0" applyNumberFormat="0" applyBorder="0" applyAlignment="0" applyProtection="0"/>
    <xf numFmtId="0" fontId="24" fillId="8"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24" fillId="12" borderId="0" applyNumberFormat="0" applyBorder="0" applyAlignment="0" applyProtection="0"/>
    <xf numFmtId="0" fontId="24"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25" fillId="19" borderId="0" applyNumberFormat="0" applyBorder="0" applyAlignment="0" applyProtection="0"/>
    <xf numFmtId="0" fontId="25"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25" fillId="23" borderId="0" applyNumberFormat="0" applyBorder="0" applyAlignment="0" applyProtection="0"/>
    <xf numFmtId="0" fontId="25" fillId="24" borderId="0" applyNumberFormat="0" applyBorder="0" applyAlignment="0" applyProtection="0"/>
    <xf numFmtId="0" fontId="25" fillId="25" borderId="0" applyNumberFormat="0" applyBorder="0" applyAlignment="0" applyProtection="0"/>
    <xf numFmtId="0" fontId="26" fillId="26" borderId="0" applyNumberFormat="0" applyBorder="0" applyAlignment="0" applyProtection="0"/>
    <xf numFmtId="0" fontId="27" fillId="27" borderId="2" applyNumberFormat="0" applyAlignment="0" applyProtection="0"/>
    <xf numFmtId="0" fontId="28" fillId="28" borderId="3" applyNumberFormat="0" applyAlignment="0" applyProtection="0"/>
    <xf numFmtId="0" fontId="29" fillId="0" borderId="0" applyNumberFormat="0" applyFill="0" applyBorder="0" applyAlignment="0" applyProtection="0"/>
    <xf numFmtId="0" fontId="30" fillId="29" borderId="0" applyNumberFormat="0" applyBorder="0" applyAlignment="0" applyProtection="0"/>
    <xf numFmtId="0" fontId="31" fillId="0" borderId="4" applyNumberFormat="0" applyFill="0" applyAlignment="0" applyProtection="0"/>
    <xf numFmtId="0" fontId="32" fillId="0" borderId="5" applyNumberFormat="0" applyFill="0" applyAlignment="0" applyProtection="0"/>
    <xf numFmtId="0" fontId="33" fillId="0" borderId="6" applyNumberFormat="0" applyFill="0" applyAlignment="0" applyProtection="0"/>
    <xf numFmtId="0" fontId="33" fillId="0" borderId="0" applyNumberFormat="0" applyFill="0" applyBorder="0" applyAlignment="0" applyProtection="0"/>
    <xf numFmtId="0" fontId="21" fillId="0" borderId="0" applyNumberFormat="0" applyFill="0" applyBorder="0" applyAlignment="0" applyProtection="0">
      <alignment vertical="top"/>
      <protection locked="0"/>
    </xf>
    <xf numFmtId="0" fontId="34" fillId="30" borderId="2" applyNumberFormat="0" applyAlignment="0" applyProtection="0"/>
    <xf numFmtId="0" fontId="35" fillId="0" borderId="7" applyNumberFormat="0" applyFill="0" applyAlignment="0" applyProtection="0"/>
    <xf numFmtId="0" fontId="36" fillId="31" borderId="0" applyNumberFormat="0" applyBorder="0" applyAlignment="0" applyProtection="0"/>
    <xf numFmtId="0" fontId="24" fillId="0" borderId="0"/>
    <xf numFmtId="0" fontId="24" fillId="32" borderId="8" applyNumberFormat="0" applyFont="0" applyAlignment="0" applyProtection="0"/>
    <xf numFmtId="0" fontId="37" fillId="27" borderId="9" applyNumberFormat="0" applyAlignment="0" applyProtection="0"/>
    <xf numFmtId="0" fontId="38" fillId="0" borderId="0" applyNumberFormat="0" applyFill="0" applyBorder="0" applyAlignment="0" applyProtection="0"/>
    <xf numFmtId="0" fontId="39" fillId="0" borderId="10" applyNumberFormat="0" applyFill="0" applyAlignment="0" applyProtection="0"/>
    <xf numFmtId="0" fontId="40" fillId="0" borderId="0" applyNumberFormat="0" applyFill="0" applyBorder="0" applyAlignment="0" applyProtection="0"/>
    <xf numFmtId="0" fontId="44" fillId="0" borderId="0"/>
    <xf numFmtId="0" fontId="49" fillId="0" borderId="0"/>
    <xf numFmtId="0" fontId="20" fillId="0" borderId="0"/>
    <xf numFmtId="0" fontId="19" fillId="0" borderId="0"/>
    <xf numFmtId="0" fontId="17" fillId="0" borderId="0"/>
    <xf numFmtId="0" fontId="17" fillId="32" borderId="8" applyNumberFormat="0" applyFont="0" applyAlignment="0" applyProtection="0"/>
    <xf numFmtId="0" fontId="17" fillId="2" borderId="0" applyNumberFormat="0" applyBorder="0" applyAlignment="0" applyProtection="0"/>
    <xf numFmtId="0" fontId="17" fillId="8" borderId="0" applyNumberFormat="0" applyBorder="0" applyAlignment="0" applyProtection="0"/>
    <xf numFmtId="0" fontId="17" fillId="3" borderId="0" applyNumberFormat="0" applyBorder="0" applyAlignment="0" applyProtection="0"/>
    <xf numFmtId="0" fontId="17" fillId="9" borderId="0" applyNumberFormat="0" applyBorder="0" applyAlignment="0" applyProtection="0"/>
    <xf numFmtId="0" fontId="17" fillId="4"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11" borderId="0" applyNumberFormat="0" applyBorder="0" applyAlignment="0" applyProtection="0"/>
    <xf numFmtId="0" fontId="17" fillId="6" borderId="0" applyNumberFormat="0" applyBorder="0" applyAlignment="0" applyProtection="0"/>
    <xf numFmtId="0" fontId="17" fillId="12" borderId="0" applyNumberFormat="0" applyBorder="0" applyAlignment="0" applyProtection="0"/>
    <xf numFmtId="0" fontId="17" fillId="7" borderId="0" applyNumberFormat="0" applyBorder="0" applyAlignment="0" applyProtection="0"/>
    <xf numFmtId="0" fontId="17" fillId="13" borderId="0" applyNumberFormat="0" applyBorder="0" applyAlignment="0" applyProtection="0"/>
    <xf numFmtId="0" fontId="16" fillId="0" borderId="0"/>
    <xf numFmtId="0" fontId="14" fillId="0" borderId="0"/>
    <xf numFmtId="0" fontId="2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0" borderId="0"/>
    <xf numFmtId="0" fontId="13" fillId="32" borderId="8" applyNumberFormat="0" applyFont="0" applyAlignment="0" applyProtection="0"/>
    <xf numFmtId="0" fontId="13" fillId="0" borderId="0"/>
    <xf numFmtId="0" fontId="13" fillId="0" borderId="0"/>
    <xf numFmtId="0" fontId="12" fillId="0" borderId="0"/>
    <xf numFmtId="0" fontId="12" fillId="32" borderId="8" applyNumberFormat="0" applyFont="0" applyAlignment="0" applyProtection="0"/>
    <xf numFmtId="0" fontId="12" fillId="2"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12" fillId="4"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11" borderId="0" applyNumberFormat="0" applyBorder="0" applyAlignment="0" applyProtection="0"/>
    <xf numFmtId="0" fontId="12" fillId="6" borderId="0" applyNumberFormat="0" applyBorder="0" applyAlignment="0" applyProtection="0"/>
    <xf numFmtId="0" fontId="12" fillId="12" borderId="0" applyNumberFormat="0" applyBorder="0" applyAlignment="0" applyProtection="0"/>
    <xf numFmtId="0" fontId="12" fillId="7" borderId="0" applyNumberFormat="0" applyBorder="0" applyAlignment="0" applyProtection="0"/>
    <xf numFmtId="0" fontId="12" fillId="13" borderId="0" applyNumberFormat="0" applyBorder="0" applyAlignment="0" applyProtection="0"/>
    <xf numFmtId="0" fontId="10" fillId="0" borderId="0"/>
    <xf numFmtId="0" fontId="9" fillId="0" borderId="0"/>
    <xf numFmtId="0" fontId="7" fillId="0" borderId="0"/>
    <xf numFmtId="0" fontId="6" fillId="0" borderId="0"/>
    <xf numFmtId="0" fontId="5" fillId="0" borderId="0"/>
  </cellStyleXfs>
  <cellXfs count="254">
    <xf numFmtId="0" fontId="0" fillId="0" borderId="0" xfId="0"/>
    <xf numFmtId="49" fontId="0" fillId="0" borderId="0" xfId="0" applyNumberFormat="1"/>
    <xf numFmtId="49" fontId="21" fillId="0" borderId="0" xfId="34" applyNumberFormat="1" applyAlignment="1" applyProtection="1"/>
    <xf numFmtId="0" fontId="22" fillId="0" borderId="0" xfId="0" applyFont="1"/>
    <xf numFmtId="49" fontId="22" fillId="0" borderId="0" xfId="0" applyNumberFormat="1" applyFont="1" applyBorder="1"/>
    <xf numFmtId="1" fontId="0" fillId="0" borderId="0" xfId="0" applyNumberFormat="1"/>
    <xf numFmtId="49" fontId="22" fillId="0" borderId="0" xfId="0" applyNumberFormat="1" applyFont="1" applyBorder="1" applyAlignment="1">
      <alignment horizontal="center" wrapText="1"/>
    </xf>
    <xf numFmtId="1" fontId="22" fillId="0" borderId="0" xfId="0" applyNumberFormat="1" applyFont="1" applyBorder="1" applyAlignment="1">
      <alignment horizontal="center" wrapText="1"/>
    </xf>
    <xf numFmtId="0" fontId="22" fillId="0" borderId="0" xfId="0" applyFont="1" applyAlignment="1">
      <alignment horizontal="center" wrapText="1"/>
    </xf>
    <xf numFmtId="49" fontId="22" fillId="0" borderId="0" xfId="0" applyNumberFormat="1" applyFont="1" applyAlignment="1">
      <alignment horizontal="center" wrapText="1"/>
    </xf>
    <xf numFmtId="49" fontId="22" fillId="0" borderId="0" xfId="0" applyNumberFormat="1" applyFont="1"/>
    <xf numFmtId="1" fontId="22" fillId="0" borderId="0" xfId="0" applyNumberFormat="1" applyFont="1"/>
    <xf numFmtId="49" fontId="0" fillId="0" borderId="0" xfId="0" applyNumberFormat="1" applyAlignment="1">
      <alignment horizontal="right"/>
    </xf>
    <xf numFmtId="0" fontId="24" fillId="0" borderId="0" xfId="38"/>
    <xf numFmtId="0" fontId="24" fillId="0" borderId="1" xfId="38" applyBorder="1"/>
    <xf numFmtId="3" fontId="24" fillId="0" borderId="1" xfId="38" applyNumberFormat="1" applyBorder="1"/>
    <xf numFmtId="0" fontId="23" fillId="0" borderId="0" xfId="0" applyFont="1" applyAlignment="1">
      <alignment horizontal="center" wrapText="1"/>
    </xf>
    <xf numFmtId="0" fontId="0" fillId="0" borderId="0" xfId="0" applyAlignment="1">
      <alignment horizontal="center" wrapText="1"/>
    </xf>
    <xf numFmtId="49" fontId="20" fillId="0" borderId="0" xfId="38" applyNumberFormat="1" applyFont="1" applyAlignment="1">
      <alignment horizontal="center"/>
    </xf>
    <xf numFmtId="49" fontId="20" fillId="0" borderId="0" xfId="38" applyNumberFormat="1" applyFont="1"/>
    <xf numFmtId="0" fontId="42" fillId="0" borderId="0" xfId="0" applyFont="1"/>
    <xf numFmtId="49" fontId="42" fillId="0" borderId="0" xfId="0" applyNumberFormat="1" applyFont="1" applyAlignment="1">
      <alignment horizontal="center"/>
    </xf>
    <xf numFmtId="0" fontId="0" fillId="0" borderId="0" xfId="0" applyAlignment="1">
      <alignment horizontal="left"/>
    </xf>
    <xf numFmtId="0" fontId="22" fillId="0" borderId="11" xfId="0" applyFont="1" applyBorder="1" applyAlignment="1">
      <alignment horizontal="center" wrapText="1"/>
    </xf>
    <xf numFmtId="0" fontId="43"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2" fillId="33" borderId="16" xfId="0" applyFont="1" applyFill="1" applyBorder="1" applyAlignment="1">
      <alignment horizontal="center"/>
    </xf>
    <xf numFmtId="0" fontId="42" fillId="0" borderId="16" xfId="0" applyFont="1" applyBorder="1" applyAlignment="1">
      <alignment horizontal="center"/>
    </xf>
    <xf numFmtId="0" fontId="42" fillId="33" borderId="0" xfId="0" applyFont="1" applyFill="1" applyBorder="1" applyAlignment="1">
      <alignment horizontal="center"/>
    </xf>
    <xf numFmtId="0" fontId="42" fillId="0" borderId="0" xfId="0" applyFont="1" applyBorder="1" applyAlignment="1">
      <alignment horizontal="center"/>
    </xf>
    <xf numFmtId="0" fontId="42" fillId="33" borderId="17" xfId="0" applyFont="1" applyFill="1" applyBorder="1" applyAlignment="1">
      <alignment horizontal="center"/>
    </xf>
    <xf numFmtId="0" fontId="42" fillId="0" borderId="17" xfId="0" applyFont="1" applyBorder="1" applyAlignment="1">
      <alignment horizontal="center"/>
    </xf>
    <xf numFmtId="0" fontId="42" fillId="0" borderId="22" xfId="0" applyFont="1" applyBorder="1"/>
    <xf numFmtId="0" fontId="42" fillId="0" borderId="23" xfId="0" applyFont="1" applyBorder="1"/>
    <xf numFmtId="0" fontId="42" fillId="0" borderId="24" xfId="0" applyFont="1" applyBorder="1"/>
    <xf numFmtId="0" fontId="42" fillId="0" borderId="0" xfId="0" applyFont="1" applyAlignment="1">
      <alignment wrapText="1"/>
    </xf>
    <xf numFmtId="0" fontId="45" fillId="0" borderId="0" xfId="44" applyFont="1" applyAlignment="1">
      <alignment horizontal="left"/>
    </xf>
    <xf numFmtId="0" fontId="45" fillId="0" borderId="0" xfId="44" applyFont="1" applyAlignment="1">
      <alignment horizontal="center"/>
    </xf>
    <xf numFmtId="10" fontId="45" fillId="0" borderId="0" xfId="44" applyNumberFormat="1" applyFont="1" applyAlignment="1">
      <alignment horizontal="center"/>
    </xf>
    <xf numFmtId="0" fontId="45" fillId="0" borderId="0" xfId="44" applyFont="1"/>
    <xf numFmtId="0" fontId="46" fillId="0" borderId="0" xfId="44" applyFont="1"/>
    <xf numFmtId="0" fontId="47" fillId="0" borderId="0" xfId="44" applyFont="1" applyAlignment="1">
      <alignment horizontal="center"/>
    </xf>
    <xf numFmtId="0" fontId="48" fillId="0" borderId="0" xfId="44" applyFont="1" applyAlignment="1">
      <alignment horizontal="center"/>
    </xf>
    <xf numFmtId="0" fontId="45" fillId="0" borderId="18" xfId="44" applyFont="1" applyBorder="1" applyAlignment="1">
      <alignment horizontal="center"/>
    </xf>
    <xf numFmtId="16" fontId="45" fillId="0" borderId="18" xfId="44" quotePrefix="1" applyNumberFormat="1" applyFont="1" applyBorder="1" applyAlignment="1">
      <alignment horizontal="center"/>
    </xf>
    <xf numFmtId="10" fontId="45" fillId="0" borderId="18" xfId="44" applyNumberFormat="1" applyFont="1" applyBorder="1" applyAlignment="1">
      <alignment horizontal="center"/>
    </xf>
    <xf numFmtId="0" fontId="45" fillId="0" borderId="0" xfId="44" applyFont="1" applyBorder="1"/>
    <xf numFmtId="0" fontId="50" fillId="0" borderId="0" xfId="45" applyFont="1" applyAlignment="1">
      <alignment horizontal="left"/>
    </xf>
    <xf numFmtId="7" fontId="45" fillId="0" borderId="18" xfId="44" applyNumberFormat="1" applyFont="1" applyBorder="1" applyAlignment="1" applyProtection="1">
      <alignment horizontal="center"/>
    </xf>
    <xf numFmtId="1" fontId="45" fillId="0" borderId="18" xfId="44" applyNumberFormat="1" applyFont="1" applyBorder="1" applyAlignment="1">
      <alignment horizontal="center"/>
    </xf>
    <xf numFmtId="10" fontId="45" fillId="0" borderId="18" xfId="44" applyNumberFormat="1" applyFont="1" applyBorder="1" applyAlignment="1" applyProtection="1">
      <alignment horizontal="center"/>
    </xf>
    <xf numFmtId="1" fontId="45" fillId="0" borderId="18" xfId="44" applyNumberFormat="1" applyFont="1" applyBorder="1" applyAlignment="1" applyProtection="1">
      <alignment horizontal="center"/>
    </xf>
    <xf numFmtId="0" fontId="44" fillId="0" borderId="18" xfId="44" applyFont="1" applyBorder="1"/>
    <xf numFmtId="0" fontId="51" fillId="0" borderId="0" xfId="44" applyFont="1" applyAlignment="1">
      <alignment horizontal="left"/>
    </xf>
    <xf numFmtId="1" fontId="43" fillId="0" borderId="19" xfId="0" applyNumberFormat="1" applyFont="1" applyBorder="1"/>
    <xf numFmtId="1" fontId="43" fillId="0" borderId="20" xfId="0" applyNumberFormat="1" applyFont="1" applyBorder="1"/>
    <xf numFmtId="1" fontId="43" fillId="0" borderId="21" xfId="0" applyNumberFormat="1" applyFont="1" applyBorder="1"/>
    <xf numFmtId="1" fontId="43" fillId="0" borderId="16" xfId="0" applyNumberFormat="1" applyFont="1" applyBorder="1"/>
    <xf numFmtId="1" fontId="43" fillId="0" borderId="0" xfId="0" applyNumberFormat="1" applyFont="1" applyBorder="1"/>
    <xf numFmtId="1" fontId="43" fillId="0" borderId="17" xfId="0" applyNumberFormat="1" applyFont="1" applyBorder="1"/>
    <xf numFmtId="0" fontId="43" fillId="0" borderId="0" xfId="0" applyNumberFormat="1" applyFont="1"/>
    <xf numFmtId="0" fontId="42" fillId="0" borderId="25" xfId="0" applyFont="1" applyBorder="1" applyAlignment="1">
      <alignment wrapText="1"/>
    </xf>
    <xf numFmtId="0" fontId="33" fillId="0" borderId="0" xfId="33"/>
    <xf numFmtId="164" fontId="0" fillId="0" borderId="0" xfId="0" applyNumberFormat="1"/>
    <xf numFmtId="0" fontId="54" fillId="0" borderId="0" xfId="0" applyFont="1" applyAlignment="1">
      <alignment vertical="top" wrapText="1"/>
    </xf>
    <xf numFmtId="0" fontId="56" fillId="0" borderId="0" xfId="0" applyFont="1" applyAlignment="1">
      <alignment horizontal="left" vertical="top"/>
    </xf>
    <xf numFmtId="165" fontId="55" fillId="0" borderId="0" xfId="0" applyNumberFormat="1" applyFont="1" applyAlignment="1">
      <alignment horizontal="left" vertical="top" wrapText="1"/>
    </xf>
    <xf numFmtId="0" fontId="56" fillId="0" borderId="0" xfId="0" applyFont="1" applyAlignment="1">
      <alignment horizontal="left" vertical="top" wrapText="1"/>
    </xf>
    <xf numFmtId="166" fontId="55" fillId="0" borderId="0" xfId="0" applyNumberFormat="1" applyFont="1" applyAlignment="1">
      <alignment horizontal="left" vertical="top" wrapText="1"/>
    </xf>
    <xf numFmtId="165" fontId="55" fillId="0" borderId="0" xfId="0" applyNumberFormat="1" applyFont="1" applyAlignment="1">
      <alignment horizontal="right" vertical="top" wrapText="1"/>
    </xf>
    <xf numFmtId="168" fontId="55" fillId="0" borderId="0" xfId="0" applyNumberFormat="1" applyFont="1" applyAlignment="1">
      <alignment horizontal="left" vertical="top" wrapText="1"/>
    </xf>
    <xf numFmtId="0" fontId="57" fillId="0" borderId="0" xfId="0" applyFont="1" applyAlignment="1">
      <alignment horizontal="left" vertical="top" wrapText="1"/>
    </xf>
    <xf numFmtId="0" fontId="54" fillId="0" borderId="0" xfId="0" applyFont="1" applyAlignment="1">
      <alignment horizontal="left" vertical="top" wrapText="1"/>
    </xf>
    <xf numFmtId="0" fontId="59" fillId="0" borderId="0" xfId="0" applyFont="1" applyAlignment="1">
      <alignment horizontal="left" vertical="top" wrapText="1"/>
    </xf>
    <xf numFmtId="0" fontId="60" fillId="0" borderId="0" xfId="0" applyFont="1" applyAlignment="1">
      <alignment horizontal="left" vertical="top" wrapText="1"/>
    </xf>
    <xf numFmtId="0" fontId="61" fillId="0" borderId="0" xfId="0" applyFont="1"/>
    <xf numFmtId="167" fontId="55" fillId="36" borderId="0" xfId="0" applyNumberFormat="1" applyFont="1" applyFill="1" applyAlignment="1">
      <alignment horizontal="left" vertical="top" wrapText="1"/>
    </xf>
    <xf numFmtId="0" fontId="56" fillId="36" borderId="0" xfId="0" applyFont="1" applyFill="1" applyAlignment="1">
      <alignment horizontal="left" vertical="top" wrapText="1"/>
    </xf>
    <xf numFmtId="0" fontId="62" fillId="0" borderId="0" xfId="0" applyNumberFormat="1" applyFont="1"/>
    <xf numFmtId="0" fontId="62" fillId="0" borderId="0" xfId="0" applyNumberFormat="1" applyFont="1" applyAlignment="1">
      <alignment horizontal="right"/>
    </xf>
    <xf numFmtId="0" fontId="62" fillId="0" borderId="0" xfId="0" applyNumberFormat="1" applyFont="1" applyFill="1"/>
    <xf numFmtId="49" fontId="20" fillId="0" borderId="0" xfId="38" applyNumberFormat="1" applyFont="1" applyFill="1"/>
    <xf numFmtId="0" fontId="43" fillId="0" borderId="0" xfId="0" applyFont="1" applyFill="1"/>
    <xf numFmtId="1" fontId="43" fillId="0" borderId="0" xfId="0" applyNumberFormat="1" applyFont="1" applyFill="1" applyBorder="1"/>
    <xf numFmtId="1" fontId="43" fillId="0" borderId="20" xfId="0" applyNumberFormat="1" applyFont="1" applyFill="1" applyBorder="1"/>
    <xf numFmtId="0" fontId="42" fillId="0" borderId="0" xfId="0" applyFont="1" applyFill="1" applyAlignment="1">
      <alignment wrapText="1"/>
    </xf>
    <xf numFmtId="0" fontId="18" fillId="0" borderId="26" xfId="47" applyNumberFormat="1" applyFont="1" applyBorder="1" applyAlignment="1"/>
    <xf numFmtId="0" fontId="18" fillId="37" borderId="26" xfId="47" applyNumberFormat="1" applyFont="1" applyFill="1" applyBorder="1" applyAlignment="1"/>
    <xf numFmtId="0" fontId="18"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2" fillId="0" borderId="0" xfId="0" applyFont="1" applyBorder="1" applyAlignment="1">
      <alignment wrapText="1"/>
    </xf>
    <xf numFmtId="0" fontId="43" fillId="0" borderId="0" xfId="0" applyNumberFormat="1" applyFont="1" applyFill="1"/>
    <xf numFmtId="0" fontId="42" fillId="0" borderId="0" xfId="0" applyFont="1" applyFill="1" applyBorder="1" applyAlignment="1">
      <alignment horizontal="center"/>
    </xf>
    <xf numFmtId="0" fontId="42" fillId="0" borderId="23" xfId="0" applyFont="1" applyFill="1" applyBorder="1"/>
    <xf numFmtId="0" fontId="42" fillId="34" borderId="0" xfId="0" applyFont="1" applyFill="1" applyBorder="1" applyAlignment="1">
      <alignment horizontal="center"/>
    </xf>
    <xf numFmtId="0" fontId="42" fillId="34" borderId="17" xfId="0" applyFont="1" applyFill="1" applyBorder="1" applyAlignment="1">
      <alignment horizontal="center"/>
    </xf>
    <xf numFmtId="0" fontId="20" fillId="0" borderId="28" xfId="38" applyNumberFormat="1" applyFont="1" applyBorder="1"/>
    <xf numFmtId="0" fontId="20" fillId="0" borderId="28" xfId="38" applyNumberFormat="1" applyFont="1" applyFill="1" applyBorder="1"/>
    <xf numFmtId="0" fontId="42" fillId="0" borderId="29" xfId="0" applyFont="1" applyBorder="1" applyAlignment="1">
      <alignment horizontal="center"/>
    </xf>
    <xf numFmtId="0" fontId="42" fillId="0" borderId="28" xfId="0" applyFont="1" applyBorder="1" applyAlignment="1">
      <alignment horizontal="center"/>
    </xf>
    <xf numFmtId="0" fontId="42" fillId="0" borderId="28" xfId="0" applyFont="1" applyFill="1" applyBorder="1" applyAlignment="1">
      <alignment horizontal="center"/>
    </xf>
    <xf numFmtId="0" fontId="42" fillId="0" borderId="30" xfId="0" applyFont="1" applyBorder="1" applyAlignment="1">
      <alignment horizontal="center"/>
    </xf>
    <xf numFmtId="0" fontId="22" fillId="0" borderId="31" xfId="0" applyFont="1" applyBorder="1" applyAlignment="1">
      <alignment horizontal="center" wrapText="1"/>
    </xf>
    <xf numFmtId="0" fontId="22" fillId="0" borderId="17" xfId="0" applyFont="1" applyBorder="1" applyAlignment="1">
      <alignment horizontal="center" wrapText="1"/>
    </xf>
    <xf numFmtId="0" fontId="22" fillId="0" borderId="30" xfId="0" applyFont="1" applyBorder="1" applyAlignment="1">
      <alignment horizontal="center" wrapText="1"/>
    </xf>
    <xf numFmtId="0" fontId="42" fillId="0" borderId="28" xfId="0" applyFont="1" applyBorder="1"/>
    <xf numFmtId="0" fontId="42" fillId="0" borderId="28" xfId="0" applyFont="1" applyFill="1" applyBorder="1"/>
    <xf numFmtId="0" fontId="42" fillId="36" borderId="28" xfId="0" applyFont="1" applyFill="1" applyBorder="1"/>
    <xf numFmtId="0" fontId="22" fillId="0" borderId="27" xfId="0" applyFont="1" applyBorder="1" applyAlignment="1">
      <alignment horizontal="center" wrapText="1"/>
    </xf>
    <xf numFmtId="0" fontId="22" fillId="0" borderId="0" xfId="0" applyFont="1" applyBorder="1" applyAlignment="1">
      <alignment horizontal="center" wrapText="1"/>
    </xf>
    <xf numFmtId="0" fontId="22" fillId="0" borderId="28" xfId="0" applyFont="1" applyBorder="1" applyAlignment="1">
      <alignment horizontal="center" wrapText="1"/>
    </xf>
    <xf numFmtId="0" fontId="41" fillId="0" borderId="0" xfId="0" applyFont="1" applyAlignment="1">
      <alignment wrapText="1"/>
    </xf>
    <xf numFmtId="17" fontId="41" fillId="0" borderId="0" xfId="0" applyNumberFormat="1" applyFont="1" applyAlignment="1">
      <alignment wrapText="1"/>
    </xf>
    <xf numFmtId="0" fontId="64" fillId="0" borderId="0" xfId="0" applyFont="1" applyAlignment="1">
      <alignment wrapText="1"/>
    </xf>
    <xf numFmtId="0" fontId="42" fillId="0" borderId="0" xfId="0" applyNumberFormat="1" applyFont="1" applyAlignment="1">
      <alignment horizontal="center"/>
    </xf>
    <xf numFmtId="0" fontId="42" fillId="0" borderId="0" xfId="0" applyNumberFormat="1" applyFont="1" applyFill="1" applyAlignment="1">
      <alignment horizontal="center"/>
    </xf>
    <xf numFmtId="49" fontId="22" fillId="0" borderId="0" xfId="0" applyNumberFormat="1" applyFont="1" applyFill="1"/>
    <xf numFmtId="49" fontId="0" fillId="0" borderId="0" xfId="0" applyNumberFormat="1" applyFill="1"/>
    <xf numFmtId="49" fontId="22" fillId="0" borderId="0" xfId="0" applyNumberFormat="1" applyFont="1" applyFill="1" applyBorder="1" applyAlignment="1">
      <alignment horizontal="center" wrapText="1"/>
    </xf>
    <xf numFmtId="49" fontId="20" fillId="0" borderId="0" xfId="38" applyNumberFormat="1" applyFont="1" applyFill="1" applyAlignment="1">
      <alignment horizontal="center"/>
    </xf>
    <xf numFmtId="0" fontId="45" fillId="0" borderId="32" xfId="44" applyFont="1" applyBorder="1" applyAlignment="1">
      <alignment horizontal="center"/>
    </xf>
    <xf numFmtId="0" fontId="42"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4" fillId="0" borderId="0" xfId="38" applyNumberFormat="1"/>
    <xf numFmtId="0" fontId="0" fillId="0" borderId="0" xfId="0" applyFont="1"/>
    <xf numFmtId="0" fontId="0" fillId="0" borderId="0" xfId="0" applyFont="1" applyFill="1"/>
    <xf numFmtId="1" fontId="42" fillId="0" borderId="0" xfId="0" applyNumberFormat="1" applyFont="1" applyFill="1" applyBorder="1"/>
    <xf numFmtId="1" fontId="43" fillId="0" borderId="33" xfId="0" applyNumberFormat="1" applyFont="1" applyBorder="1"/>
    <xf numFmtId="1" fontId="43" fillId="0" borderId="34" xfId="0" applyNumberFormat="1" applyFont="1" applyBorder="1"/>
    <xf numFmtId="1" fontId="43" fillId="0" borderId="34" xfId="0" applyNumberFormat="1" applyFont="1" applyFill="1" applyBorder="1"/>
    <xf numFmtId="1" fontId="43" fillId="0" borderId="35" xfId="0" applyNumberFormat="1" applyFont="1" applyBorder="1"/>
    <xf numFmtId="0" fontId="15" fillId="37" borderId="26" xfId="62" applyNumberFormat="1" applyFont="1" applyFill="1" applyBorder="1" applyAlignment="1"/>
    <xf numFmtId="0" fontId="15" fillId="0" borderId="26" xfId="62" applyNumberFormat="1" applyFont="1" applyBorder="1" applyAlignment="1"/>
    <xf numFmtId="49" fontId="22" fillId="0" borderId="0" xfId="0" applyNumberFormat="1" applyFont="1" applyAlignment="1">
      <alignment horizontal="center"/>
    </xf>
    <xf numFmtId="0" fontId="42" fillId="34" borderId="16" xfId="0" applyFont="1" applyFill="1" applyBorder="1" applyAlignment="1">
      <alignment horizontal="center"/>
    </xf>
    <xf numFmtId="0" fontId="42" fillId="34" borderId="0" xfId="0" applyFont="1" applyFill="1" applyBorder="1" applyAlignment="1">
      <alignment horizontal="center" wrapText="1"/>
    </xf>
    <xf numFmtId="0" fontId="42" fillId="0" borderId="0" xfId="0" applyFont="1" applyAlignment="1">
      <alignment horizontal="center"/>
    </xf>
    <xf numFmtId="0" fontId="42" fillId="0" borderId="1" xfId="0" applyFont="1" applyBorder="1"/>
    <xf numFmtId="0" fontId="42" fillId="0" borderId="12" xfId="0" applyFont="1" applyBorder="1"/>
    <xf numFmtId="1" fontId="42" fillId="0" borderId="0" xfId="0" applyNumberFormat="1" applyFont="1"/>
    <xf numFmtId="1" fontId="42" fillId="0" borderId="0" xfId="0" applyNumberFormat="1" applyFont="1" applyFill="1"/>
    <xf numFmtId="49" fontId="22" fillId="0" borderId="0" xfId="64" applyNumberFormat="1" applyFont="1"/>
    <xf numFmtId="0" fontId="12" fillId="0" borderId="0" xfId="81"/>
    <xf numFmtId="1" fontId="43" fillId="0" borderId="17" xfId="0" applyNumberFormat="1" applyFont="1" applyFill="1" applyBorder="1"/>
    <xf numFmtId="0" fontId="65" fillId="0" borderId="26" xfId="0" applyFont="1" applyBorder="1"/>
    <xf numFmtId="0" fontId="53" fillId="0" borderId="0" xfId="0" applyFont="1" applyAlignment="1">
      <alignment wrapText="1"/>
    </xf>
    <xf numFmtId="0" fontId="53" fillId="0" borderId="0" xfId="0" applyFont="1" applyAlignment="1">
      <alignment horizontal="center" wrapText="1"/>
    </xf>
    <xf numFmtId="1" fontId="53" fillId="0" borderId="0" xfId="0" applyNumberFormat="1" applyFont="1" applyAlignment="1">
      <alignment horizontal="center" wrapText="1"/>
    </xf>
    <xf numFmtId="0" fontId="22" fillId="0" borderId="0" xfId="0" applyFont="1" applyAlignment="1">
      <alignment wrapText="1"/>
    </xf>
    <xf numFmtId="0" fontId="39" fillId="0" borderId="0" xfId="0" applyFont="1" applyAlignment="1">
      <alignment wrapText="1"/>
    </xf>
    <xf numFmtId="0" fontId="39" fillId="0" borderId="0" xfId="0" applyFont="1" applyAlignment="1">
      <alignment horizontal="center" wrapText="1"/>
    </xf>
    <xf numFmtId="1" fontId="39" fillId="0" borderId="0" xfId="0" applyNumberFormat="1" applyFont="1" applyAlignment="1">
      <alignment horizontal="center" wrapText="1"/>
    </xf>
    <xf numFmtId="1" fontId="0" fillId="0" borderId="0" xfId="0" applyNumberFormat="1" applyAlignment="1">
      <alignment horizontal="center" wrapText="1"/>
    </xf>
    <xf numFmtId="0" fontId="11" fillId="37" borderId="36" xfId="0" applyNumberFormat="1" applyFont="1" applyFill="1" applyBorder="1"/>
    <xf numFmtId="0" fontId="11"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9" fillId="0" borderId="0" xfId="96" applyFill="1" applyAlignment="1">
      <alignment wrapText="1"/>
    </xf>
    <xf numFmtId="1" fontId="42" fillId="0" borderId="1" xfId="0" applyNumberFormat="1" applyFont="1" applyBorder="1"/>
    <xf numFmtId="0" fontId="8" fillId="0" borderId="0" xfId="96" applyFont="1" applyFill="1" applyAlignment="1">
      <alignment wrapText="1"/>
    </xf>
    <xf numFmtId="49" fontId="7" fillId="0" borderId="0" xfId="38" applyNumberFormat="1" applyFont="1"/>
    <xf numFmtId="49" fontId="7" fillId="0" borderId="0" xfId="38" applyNumberFormat="1" applyFont="1" applyAlignment="1">
      <alignment horizontal="center"/>
    </xf>
    <xf numFmtId="0" fontId="7" fillId="0" borderId="0" xfId="97" applyAlignment="1">
      <alignment horizontal="center"/>
    </xf>
    <xf numFmtId="1" fontId="7" fillId="0" borderId="0" xfId="97" applyNumberFormat="1" applyAlignment="1">
      <alignment horizontal="center"/>
    </xf>
    <xf numFmtId="1" fontId="7" fillId="33" borderId="0" xfId="97" applyNumberFormat="1" applyFill="1" applyAlignment="1">
      <alignment horizontal="center"/>
    </xf>
    <xf numFmtId="0" fontId="42" fillId="0" borderId="0" xfId="0" applyNumberFormat="1" applyFont="1"/>
    <xf numFmtId="49" fontId="6" fillId="0" borderId="0" xfId="38" applyNumberFormat="1" applyFont="1" applyAlignment="1">
      <alignment horizontal="center"/>
    </xf>
    <xf numFmtId="0" fontId="53" fillId="0" borderId="0" xfId="98" applyFont="1"/>
    <xf numFmtId="1" fontId="53" fillId="0" borderId="0" xfId="98" applyNumberFormat="1" applyFont="1" applyAlignment="1">
      <alignment horizontal="center"/>
    </xf>
    <xf numFmtId="0" fontId="6" fillId="0" borderId="0" xfId="98"/>
    <xf numFmtId="0" fontId="39" fillId="0" borderId="0" xfId="98" applyFont="1"/>
    <xf numFmtId="0" fontId="39" fillId="0" borderId="0" xfId="98" applyFont="1" applyAlignment="1">
      <alignment horizontal="center"/>
    </xf>
    <xf numFmtId="1" fontId="39" fillId="0" borderId="0" xfId="98" applyNumberFormat="1" applyFont="1" applyAlignment="1">
      <alignment horizontal="center"/>
    </xf>
    <xf numFmtId="0" fontId="6" fillId="0" borderId="0" xfId="98" applyAlignment="1">
      <alignment horizontal="center"/>
    </xf>
    <xf numFmtId="1" fontId="6" fillId="0" borderId="0" xfId="98" applyNumberFormat="1" applyAlignment="1">
      <alignment horizontal="center"/>
    </xf>
    <xf numFmtId="0" fontId="5" fillId="0" borderId="0" xfId="98" applyFont="1"/>
    <xf numFmtId="0" fontId="42" fillId="0" borderId="0" xfId="64" applyFont="1" applyAlignment="1">
      <alignment wrapText="1"/>
    </xf>
    <xf numFmtId="0" fontId="42" fillId="0" borderId="12" xfId="64" applyFont="1" applyBorder="1" applyAlignment="1">
      <alignment wrapText="1"/>
    </xf>
    <xf numFmtId="0" fontId="69" fillId="0" borderId="0" xfId="0" applyFont="1" applyAlignment="1">
      <alignment horizontal="center" wrapText="1"/>
    </xf>
    <xf numFmtId="0" fontId="42" fillId="0" borderId="0" xfId="0" applyFont="1" applyAlignment="1">
      <alignment horizontal="center" wrapText="1"/>
    </xf>
    <xf numFmtId="0" fontId="42" fillId="0" borderId="12" xfId="0" applyFont="1" applyBorder="1" applyAlignment="1">
      <alignment wrapText="1"/>
    </xf>
    <xf numFmtId="0" fontId="42" fillId="42" borderId="0" xfId="0" applyFont="1" applyFill="1" applyAlignment="1">
      <alignment wrapText="1"/>
    </xf>
    <xf numFmtId="0" fontId="62" fillId="0" borderId="37" xfId="0" applyFont="1" applyBorder="1"/>
    <xf numFmtId="0" fontId="62" fillId="0" borderId="37" xfId="0" applyFont="1" applyFill="1" applyBorder="1"/>
    <xf numFmtId="0" fontId="0" fillId="0" borderId="37" xfId="0" applyBorder="1" applyAlignment="1">
      <alignment horizontal="center" wrapText="1"/>
    </xf>
    <xf numFmtId="0" fontId="41" fillId="0" borderId="18" xfId="0" applyFont="1" applyBorder="1" applyAlignment="1">
      <alignment wrapText="1"/>
    </xf>
    <xf numFmtId="0" fontId="69" fillId="0" borderId="13" xfId="0" applyFont="1" applyBorder="1" applyAlignment="1">
      <alignment horizontal="center" wrapText="1"/>
    </xf>
    <xf numFmtId="0" fontId="69" fillId="0" borderId="14" xfId="0" applyFont="1" applyBorder="1" applyAlignment="1">
      <alignment horizontal="center" wrapText="1"/>
    </xf>
    <xf numFmtId="0" fontId="69" fillId="0" borderId="15" xfId="0" applyFont="1" applyBorder="1" applyAlignment="1">
      <alignment horizontal="center" wrapText="1"/>
    </xf>
    <xf numFmtId="0" fontId="53" fillId="0" borderId="0" xfId="98" applyFont="1" applyAlignment="1">
      <alignment horizontal="center"/>
    </xf>
    <xf numFmtId="0" fontId="71" fillId="0" borderId="0" xfId="0" applyFont="1"/>
    <xf numFmtId="0" fontId="71" fillId="43" borderId="0" xfId="0" applyFont="1" applyFill="1" applyAlignment="1">
      <alignment horizontal="center"/>
    </xf>
    <xf numFmtId="1" fontId="71" fillId="0" borderId="0" xfId="0" applyNumberFormat="1" applyFont="1" applyAlignment="1">
      <alignment horizontal="center"/>
    </xf>
    <xf numFmtId="0" fontId="71" fillId="0" borderId="0" xfId="0" applyFont="1" applyAlignment="1">
      <alignment horizontal="center"/>
    </xf>
    <xf numFmtId="0" fontId="71" fillId="44" borderId="0" xfId="0" applyFont="1" applyFill="1" applyAlignment="1">
      <alignment horizontal="center"/>
    </xf>
    <xf numFmtId="1" fontId="71" fillId="44" borderId="0" xfId="0" applyNumberFormat="1" applyFont="1" applyFill="1" applyAlignment="1">
      <alignment horizontal="center"/>
    </xf>
    <xf numFmtId="0" fontId="72" fillId="36" borderId="0" xfId="0" applyFont="1" applyFill="1" applyAlignment="1"/>
    <xf numFmtId="0" fontId="53" fillId="36" borderId="0" xfId="0" applyFont="1" applyFill="1" applyAlignment="1">
      <alignment wrapText="1"/>
    </xf>
    <xf numFmtId="0" fontId="71" fillId="37" borderId="26" xfId="0" applyFont="1" applyFill="1" applyBorder="1"/>
    <xf numFmtId="0" fontId="71" fillId="0" borderId="26" xfId="0" applyFont="1" applyBorder="1"/>
    <xf numFmtId="0" fontId="4" fillId="0" borderId="0" xfId="96" applyFont="1" applyFill="1" applyAlignment="1">
      <alignment wrapText="1"/>
    </xf>
    <xf numFmtId="49" fontId="3" fillId="0" borderId="0" xfId="38" applyNumberFormat="1" applyFont="1"/>
    <xf numFmtId="0" fontId="2" fillId="0" borderId="0" xfId="0" applyNumberFormat="1" applyFont="1" applyFill="1" applyBorder="1" applyAlignment="1" applyProtection="1"/>
    <xf numFmtId="0" fontId="2" fillId="0" borderId="1" xfId="0" applyNumberFormat="1" applyFont="1" applyFill="1" applyBorder="1" applyAlignment="1" applyProtection="1"/>
    <xf numFmtId="49" fontId="2" fillId="0" borderId="0" xfId="38" applyNumberFormat="1" applyFont="1"/>
    <xf numFmtId="0" fontId="68" fillId="0" borderId="0" xfId="38" applyFont="1" applyFill="1" applyAlignment="1">
      <alignment wrapText="1"/>
    </xf>
    <xf numFmtId="0" fontId="2" fillId="41" borderId="0" xfId="0"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0" fontId="2" fillId="0" borderId="0" xfId="0" applyNumberFormat="1" applyFont="1" applyFill="1" applyBorder="1" applyAlignment="1" applyProtection="1">
      <alignment horizontal="center"/>
    </xf>
    <xf numFmtId="0" fontId="71" fillId="0" borderId="0" xfId="98" applyFont="1" applyFill="1"/>
    <xf numFmtId="0" fontId="73" fillId="43" borderId="0" xfId="98" applyFont="1" applyFill="1" applyAlignment="1">
      <alignment horizontal="center"/>
    </xf>
    <xf numFmtId="1" fontId="73" fillId="0" borderId="0" xfId="98" applyNumberFormat="1" applyFont="1" applyFill="1" applyAlignment="1">
      <alignment horizontal="center"/>
    </xf>
    <xf numFmtId="0" fontId="73" fillId="0" borderId="0" xfId="98" applyFont="1" applyFill="1" applyAlignment="1">
      <alignment horizontal="center"/>
    </xf>
    <xf numFmtId="0" fontId="1" fillId="0" borderId="0" xfId="0" applyNumberFormat="1" applyFont="1" applyFill="1" applyBorder="1" applyAlignment="1" applyProtection="1"/>
    <xf numFmtId="0" fontId="1" fillId="0" borderId="12" xfId="0" applyNumberFormat="1" applyFont="1" applyFill="1" applyBorder="1" applyAlignment="1" applyProtection="1"/>
    <xf numFmtId="0" fontId="62" fillId="36" borderId="0" xfId="0" applyNumberFormat="1" applyFont="1" applyFill="1"/>
    <xf numFmtId="0" fontId="42"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2" fillId="36" borderId="0" xfId="0" applyNumberFormat="1" applyFont="1" applyFill="1" applyAlignment="1">
      <alignment horizontal="center"/>
    </xf>
    <xf numFmtId="49" fontId="20" fillId="36" borderId="0" xfId="38" applyNumberFormat="1" applyFont="1" applyFill="1" applyAlignment="1">
      <alignment horizontal="center"/>
    </xf>
    <xf numFmtId="49" fontId="1" fillId="36" borderId="0" xfId="38" applyNumberFormat="1" applyFont="1" applyFill="1" applyAlignment="1">
      <alignment horizontal="center"/>
    </xf>
    <xf numFmtId="0" fontId="0" fillId="36" borderId="0" xfId="0" applyFill="1"/>
    <xf numFmtId="49" fontId="1" fillId="36" borderId="0" xfId="38" applyNumberFormat="1" applyFont="1" applyFill="1"/>
    <xf numFmtId="0" fontId="42" fillId="36" borderId="0" xfId="0" applyFont="1" applyFill="1" applyBorder="1" applyAlignment="1">
      <alignment horizontal="center"/>
    </xf>
    <xf numFmtId="1" fontId="0" fillId="36" borderId="0" xfId="0" applyNumberFormat="1" applyFill="1"/>
    <xf numFmtId="49" fontId="22" fillId="36" borderId="0" xfId="0" applyNumberFormat="1" applyFont="1" applyFill="1" applyBorder="1"/>
    <xf numFmtId="49" fontId="22" fillId="36" borderId="0" xfId="0" applyNumberFormat="1" applyFont="1" applyFill="1"/>
    <xf numFmtId="49" fontId="0" fillId="36" borderId="0" xfId="0" applyNumberFormat="1" applyFill="1"/>
    <xf numFmtId="49" fontId="22" fillId="36" borderId="0" xfId="64" applyNumberFormat="1" applyFont="1" applyFill="1"/>
    <xf numFmtId="0" fontId="0" fillId="36" borderId="0" xfId="0" applyFill="1" applyAlignment="1">
      <alignment wrapText="1"/>
    </xf>
    <xf numFmtId="0" fontId="41" fillId="0" borderId="13" xfId="0" applyFont="1" applyBorder="1" applyAlignment="1">
      <alignment horizontal="center" wrapText="1"/>
    </xf>
    <xf numFmtId="0" fontId="41" fillId="0" borderId="15" xfId="0" applyFont="1" applyBorder="1" applyAlignment="1">
      <alignment horizontal="center" wrapText="1"/>
    </xf>
    <xf numFmtId="0" fontId="70" fillId="0" borderId="13" xfId="0" applyFont="1" applyBorder="1" applyAlignment="1">
      <alignment horizontal="center"/>
    </xf>
    <xf numFmtId="0" fontId="70" fillId="0" borderId="14" xfId="0" applyFont="1" applyBorder="1" applyAlignment="1">
      <alignment horizontal="center"/>
    </xf>
    <xf numFmtId="0" fontId="70" fillId="0" borderId="15" xfId="0" applyFont="1" applyBorder="1" applyAlignment="1">
      <alignment horizontal="center"/>
    </xf>
    <xf numFmtId="0" fontId="52" fillId="0" borderId="0" xfId="0" applyFont="1" applyFill="1" applyAlignment="1">
      <alignment horizontal="center" wrapText="1"/>
    </xf>
    <xf numFmtId="0" fontId="63" fillId="0" borderId="0" xfId="0" applyFont="1" applyFill="1" applyAlignment="1">
      <alignment horizontal="center" wrapText="1"/>
    </xf>
    <xf numFmtId="0" fontId="41" fillId="0" borderId="14" xfId="0" applyFont="1" applyBorder="1" applyAlignment="1">
      <alignment horizontal="center" wrapText="1"/>
    </xf>
    <xf numFmtId="0" fontId="66" fillId="0" borderId="17" xfId="0" applyFont="1" applyBorder="1" applyAlignment="1">
      <alignment horizontal="left" wrapText="1"/>
    </xf>
    <xf numFmtId="0" fontId="53" fillId="0" borderId="0" xfId="0" applyFont="1" applyAlignment="1">
      <alignment horizontal="center" wrapText="1"/>
    </xf>
    <xf numFmtId="17" fontId="53" fillId="0" borderId="0" xfId="0" applyNumberFormat="1" applyFont="1" applyAlignment="1">
      <alignment horizontal="center" wrapText="1"/>
    </xf>
    <xf numFmtId="0" fontId="53" fillId="0" borderId="0" xfId="98" applyFont="1" applyAlignment="1">
      <alignment horizontal="center"/>
    </xf>
    <xf numFmtId="17" fontId="53" fillId="0" borderId="0" xfId="98" applyNumberFormat="1" applyFont="1" applyAlignment="1">
      <alignment horizontal="center"/>
    </xf>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b val="0"/>
        <i val="0"/>
        <strike val="0"/>
        <condense val="0"/>
        <extend val="0"/>
        <outline val="0"/>
        <shadow val="0"/>
        <u val="none"/>
        <vertAlign val="baseline"/>
        <sz val="11"/>
        <color auto="1"/>
        <name val="Calibri"/>
        <family val="2"/>
        <scheme val="minor"/>
      </font>
      <numFmt numFmtId="1" formatCode="0"/>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z val="1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17"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5">
      <pivotArea field="2" type="button" dataOnly="0" labelOnly="1" outline="0" axis="axisRow" fieldPosition="0"/>
    </format>
    <format dxfId="14">
      <pivotArea dataOnly="0" labelOnly="1" outline="0" fieldPosition="0">
        <references count="1">
          <reference field="4294967294" count="2">
            <x v="0"/>
            <x v="1"/>
          </reference>
        </references>
      </pivotArea>
    </format>
    <format dxfId="13">
      <pivotArea dataOnly="0" outline="0" fieldPosition="0">
        <references count="1">
          <reference field="4294967294" count="2">
            <x v="0"/>
            <x v="1"/>
          </reference>
        </references>
      </pivotArea>
    </format>
    <format dxfId="12">
      <pivotArea dataOnly="0" outline="0" fieldPosition="0">
        <references count="1">
          <reference field="4294967294" count="1">
            <x v="0"/>
          </reference>
        </references>
      </pivotArea>
    </format>
    <format dxfId="11">
      <pivotArea dataOnly="0" outline="0" fieldPosition="0">
        <references count="1">
          <reference field="4294967294" count="1">
            <x v="1"/>
          </reference>
        </references>
      </pivotArea>
    </format>
    <format dxfId="10">
      <pivotArea dataOnly="0" outline="0" fieldPosition="0">
        <references count="1">
          <reference field="4294967294" count="1">
            <x v="0"/>
          </reference>
        </references>
      </pivotArea>
    </format>
    <format dxfId="9">
      <pivotArea dataOnly="0" outline="0" fieldPosition="0">
        <references count="1">
          <reference field="4294967294" count="1">
            <x v="1"/>
          </reference>
        </references>
      </pivotArea>
    </format>
    <format dxfId="8">
      <pivotArea outline="0" fieldPosition="0">
        <references count="1">
          <reference field="4294967294" count="1">
            <x v="2"/>
          </reference>
        </references>
      </pivotArea>
    </format>
    <format dxfId="7">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8" totalsRowCount="1" headerRowDxfId="146" dataDxfId="145">
  <autoFilter ref="C5:AQ197" xr:uid="{47C00F2A-159D-45CF-83CB-99EECCFF6643}"/>
  <sortState xmlns:xlrd2="http://schemas.microsoft.com/office/spreadsheetml/2017/richdata2" ref="C6:AE197">
    <sortCondition ref="E5:E197"/>
  </sortState>
  <tableColumns count="41">
    <tableColumn id="14" xr3:uid="{00000000-0010-0000-0000-00000E000000}" name="Magnum Wolfpak #" totalsRowFunction="count" dataDxfId="144" totalsRowDxfId="143"/>
    <tableColumn id="28" xr3:uid="{00000000-0010-0000-0000-00001C000000}" name="Field Name" dataDxfId="142" totalsRowDxfId="141"/>
    <tableColumn id="1" xr3:uid="{00000000-0010-0000-0000-000001000000}" name="Lease Name" totalsRowLabel="Total" dataDxfId="140" totalsRowDxfId="139"/>
    <tableColumn id="4" xr3:uid="{00000000-0010-0000-0000-000004000000}" name="Well Number" totalsRowFunction="count" dataDxfId="138" totalsRowDxfId="137"/>
    <tableColumn id="29" xr3:uid="{00000000-0010-0000-0000-00001D000000}" name="Commingle Permit Number" dataDxfId="136" totalsRowDxfId="135"/>
    <tableColumn id="16" xr3:uid="{00000000-0010-0000-0000-000010000000}" name="District" dataDxfId="134" totalsRowDxfId="133"/>
    <tableColumn id="30" xr3:uid="{00000000-0010-0000-0000-00001E000000}" name="Lease Type" dataDxfId="132" totalsRowDxfId="131"/>
    <tableColumn id="2" xr3:uid="{00000000-0010-0000-0000-000002000000}" name="RRC ID" dataDxfId="130" totalsRowDxfId="129" dataCellStyle="Normal 2"/>
    <tableColumn id="3" xr3:uid="{00000000-0010-0000-0000-000003000000}" name="RRC ID Number" dataDxfId="128" totalsRowDxfId="127" dataCellStyle="Normal 2"/>
    <tableColumn id="5" xr3:uid="{00000000-0010-0000-0000-000005000000}" name=" Last Month Oil Production" totalsRowFunction="sum" dataDxfId="126" totalsRowDxfId="125">
      <calculatedColumnFormula>INDEX(Table1[Production],MATCH(rrcworking[[#This Row],[RRC ID Number]],Table1[RRC Identifier],0))</calculatedColumnFormula>
    </tableColumn>
    <tableColumn id="6" xr3:uid="{00000000-0010-0000-0000-000006000000}" name="Last Month Gas Prod" totalsRowFunction="sum" dataDxfId="124" totalsRowDxfId="123">
      <calculatedColumnFormula>INDEX(Table1[Formation Production],MATCH(rrcworking[[#This Row],[RRC ID Number]],Table1[RRC Identifier],0))</calculatedColumnFormula>
    </tableColumn>
    <tableColumn id="7" xr3:uid="{00000000-0010-0000-0000-000007000000}" name="Last Month Closing Stock" totalsRowFunction="sum" dataDxfId="122" totalsRowDxfId="121">
      <calculatedColumnFormula>INDEX(Table1[On Hand End of Month],MATCH(rrcworking[[#This Row],[RRC ID Number]],Table1[RRC Identifier],0))</calculatedColumnFormula>
    </tableColumn>
    <tableColumn id="8" xr3:uid="{00000000-0010-0000-0000-000008000000}" name="No activity?" dataDxfId="120" totalsRowDxfId="119">
      <calculatedColumnFormula>IF(AND(L6=0,M6=0), TRUE, FALSE)</calculatedColumnFormula>
    </tableColumn>
    <tableColumn id="23" xr3:uid="{00000000-0010-0000-0000-000017000000}" name="Gauge Sheet Prod Volume" totalsRowFunction="sum" dataDxfId="118" totalsRowDxfId="117" dataCellStyle="Normal 9"/>
    <tableColumn id="9" xr3:uid="{00000000-0010-0000-0000-000009000000}" name="Opening Oil Stock" totalsRowFunction="sum" dataDxfId="116" totalsRowDxfId="115">
      <calculatedColumnFormula>rrcworking[[#This Row],[Last Month Closing Stock]]</calculatedColumnFormula>
    </tableColumn>
    <tableColumn id="10" xr3:uid="{00000000-0010-0000-0000-00000A000000}" name="Closing Stock (Oil)" totalsRowFunction="sum" dataDxfId="114" totalsRowDxfId="113" dataCellStyle="Normal 9"/>
    <tableColumn id="11" xr3:uid="{00000000-0010-0000-0000-00000B000000}" name="Sales/Dispostion" totalsRowFunction="sum" dataDxfId="112" totalsRowDxfId="111">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110" totalsRowDxfId="109">
      <calculatedColumnFormula>rrcworking[[#This Row],[Closing Stock (Oil)]]+rrcworking[[#This Row],[Sales/Dispostion]]-rrcworking[[#This Row],[Opening Oil Stock]]</calculatedColumnFormula>
    </tableColumn>
    <tableColumn id="26" xr3:uid="{00000000-0010-0000-0000-00001A000000}" name="Prod Calc vs Gauge Sheet" dataDxfId="108" totalsRowDxfId="107">
      <calculatedColumnFormula>rrcworking[[#This Row],[Gauge Sheet Prod Volume]]-rrcworking[[#This Row],[Oil Production]]</calculatedColumnFormula>
    </tableColumn>
    <tableColumn id="17" xr3:uid="{00000000-0010-0000-0000-000011000000}" name="Gas Sales Statement Volume (MCF)" totalsRowFunction="sum" dataDxfId="106" totalsRowDxfId="105">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104" totalsRowDxfId="103"/>
    <tableColumn id="21" xr3:uid="{00000000-0010-0000-0000-000015000000}" name="Disposition Volume (MCF) @ 14.65 MCF" totalsRowFunction="sum" dataDxfId="102" totalsRowDxfId="101">
      <calculatedColumnFormula>IF(rrcworking[[#This Row],[Pressure Base]]=14.73,rrcworking[[#This Row],[Gas Sales Statement Volume (MCF)]]*$R$2,rrcworking[[#This Row],[Gas Sales Statement Volume (MCF)]])</calculatedColumnFormula>
    </tableColumn>
    <tableColumn id="25" xr3:uid="{00000000-0010-0000-0000-000019000000}" name="Hours Operated" dataDxfId="100" totalsRowDxfId="99"/>
    <tableColumn id="27" xr3:uid="{00000000-0010-0000-0000-00001B000000}" name="Compressor Fuel Rate MCFD" dataDxfId="98" totalsRowDxfId="97"/>
    <tableColumn id="19" xr3:uid="{00000000-0010-0000-0000-000013000000}" name="Lease Use (MCF)" totalsRowFunction="sum" dataDxfId="96" totalsRowDxfId="95">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94" totalsRowDxfId="93">
      <calculatedColumnFormula>rrcworking[[#This Row],[Disposition Volume (MCF) @ 14.65 MCF]]+rrcworking[[#This Row],[Lease Use (MCF)]]</calculatedColumnFormula>
    </tableColumn>
    <tableColumn id="24" xr3:uid="{00000000-0010-0000-0000-000018000000}" name="Gas Comments" totalsRowFunction="count" dataDxfId="92"/>
    <tableColumn id="22" xr3:uid="{00000000-0010-0000-0000-000016000000}" name="Oil Comments" dataDxfId="91"/>
    <tableColumn id="15" xr3:uid="{00000000-0010-0000-0000-00000F000000}" name="FilterList" dataDxfId="90" totalsRowDxfId="89">
      <calculatedColumnFormula>COUNTIF(FilterList,rrcworking[[#This Row],[Magnum Wolfpak '#]])</calculatedColumnFormula>
    </tableColumn>
    <tableColumn id="13" xr3:uid="{40F148C3-D9A3-43B3-99DB-4E3F6DDC7194}" name="Gauge Sheet Prod Vol" dataDxfId="88"/>
    <tableColumn id="31" xr3:uid="{8A308D1F-6334-457A-AF3F-C5EA08DDACED}" name="Closing Oil Stock" dataDxfId="87"/>
    <tableColumn id="32" xr3:uid="{DB7AD211-0C21-4A64-A709-FBFBDDC99D3F}" name="Manual Extraction Gauge Sheet Prod" dataDxfId="86"/>
    <tableColumn id="33" xr3:uid="{08F40650-E1EA-4E4A-A8E8-B065DABECCE6}" name="Manual Extraction Closing Stock" dataDxfId="85"/>
    <tableColumn id="34" xr3:uid="{C594DE24-72F9-4385-AB2C-25A60B1A3C46}" name="Number of Oil Tanks" dataDxfId="84"/>
    <tableColumn id="35" xr3:uid="{BBDFF355-F6F8-417D-BE05-4D6572E0FD16}" name="Monthly Tabs" dataDxfId="83"/>
    <tableColumn id="36" xr3:uid="{0158F3AA-6468-4719-8E28-FA52E80928D7}" name="Multiple Years" dataDxfId="82"/>
    <tableColumn id="39" xr3:uid="{D38757A9-7557-4304-83BF-9DAF6CFE56D1}" name="Oil Stock Cell" dataDxfId="81"/>
    <tableColumn id="40" xr3:uid="{273F3D6E-B74B-4326-85F0-64DBF84331C2}" name="Shift Up Required" dataDxfId="80"/>
    <tableColumn id="41" xr3:uid="{D2EE3779-A9D5-451F-A18B-5AAAFCBA6F53}" name="Gauge Sheet Oil Production" dataDxfId="79"/>
    <tableColumn id="42" xr3:uid="{164F5455-AA34-47F4-9897-1F36C37F358E}" name="Filename" dataDxfId="78"/>
    <tableColumn id="43" xr3:uid="{55CCC7AC-DBC1-4DE2-8594-FBAEA3C76D32}" name="Comments" dataDxfId="7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76" tableBorderDxfId="75" dataCellStyle="Normal 3">
  <autoFilter ref="A1:A12" xr:uid="{00000000-0009-0000-0100-00000C000000}"/>
  <tableColumns count="1">
    <tableColumn id="1" xr3:uid="{00000000-0010-0000-0100-000001000000}" name="well" dataDxfId="74"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4" totalsRowCount="1" headerRowDxfId="72" dataDxfId="71" totalsRowDxfId="70">
  <autoFilter ref="A4:K93" xr:uid="{7FBD0C7F-A40A-4D9C-A360-90191A87D668}">
    <filterColumn colId="10">
      <filters blank="1"/>
    </filterColumn>
  </autoFilter>
  <sortState xmlns:xlrd2="http://schemas.microsoft.com/office/spreadsheetml/2017/richdata2" ref="A5:K93">
    <sortCondition ref="B4:B93"/>
  </sortState>
  <tableColumns count="11">
    <tableColumn id="11" xr3:uid="{A05A8D9B-9784-4E5E-BB12-70B01C115074}" name="Rox Wolf#" totalsRowFunction="count" dataDxfId="69" dataCellStyle="Normal 12"/>
    <tableColumn id="2" xr3:uid="{7466BA82-6852-4C23-AB52-543AB136E5EA}" name="Well Name" dataDxfId="68" dataCellStyle="Normal 12"/>
    <tableColumn id="3" xr3:uid="{BD038B05-A306-4277-B38E-C4E079E77B8C}" name="OIL" totalsRowFunction="sum" dataDxfId="67" dataCellStyle="Normal 12">
      <calculatedColumnFormula>ROUND(INDEX(Table4[OIL],MATCH(Table2[[#This Row],[Rox Wolf'#]],Table4[Wolf],0)),0)</calculatedColumnFormula>
    </tableColumn>
    <tableColumn id="4" xr3:uid="{4D216936-226E-4E9D-918A-1F3C71C7139F}" name="GAS" totalsRowFunction="sum" dataDxfId="66" totalsRowDxfId="65" dataCellStyle="Normal 13">
      <calculatedColumnFormula>INDEX(Table4[GAS],MATCH(Table2[[#This Row],[Rox Wolf'#]],Table4[Wolf],0))</calculatedColumnFormula>
    </tableColumn>
    <tableColumn id="5" xr3:uid="{AF7DC55C-6A83-46A8-ACE6-4B2C5B651C6D}" name="LEASE USE" totalsRowFunction="sum" dataDxfId="64" dataCellStyle="Normal 12">
      <calculatedColumnFormula>INDEX(Table4[LEASE USE],MATCH(Table2[[#This Row],[Rox Wolf'#]],Table4[Wolf],0))</calculatedColumnFormula>
    </tableColumn>
    <tableColumn id="6" xr3:uid="{A918A24A-A4FB-4C5B-BB92-9741AACC97F6}" name="LU PER DAY" dataDxfId="63" dataCellStyle="Normal 12"/>
    <tableColumn id="7" xr3:uid="{660A5187-B1A0-4571-A113-600CEB968E56}" name="DAYS ON" dataDxfId="62" dataCellStyle="Normal 12"/>
    <tableColumn id="8" xr3:uid="{538CC34A-44A6-4216-953D-351C08BD4D6A}" name="PU PER DAY" dataDxfId="61" dataCellStyle="Normal 12"/>
    <tableColumn id="9" xr3:uid="{90CC46FC-1C85-417B-85CA-7C6AF033D6DC}" name="PU ON" dataDxfId="60" dataCellStyle="Normal 12"/>
    <tableColumn id="10" xr3:uid="{95706978-2DDD-46A9-BC9E-E3C32A01937E}" name="Filter" totalsRowFunction="sum" dataDxfId="59">
      <calculatedColumnFormula>COUNTIF(FilterList,#REF!)</calculatedColumnFormula>
    </tableColumn>
    <tableColumn id="12" xr3:uid="{711AF17C-F634-45F9-B1C1-A641D4E59AE3}" name="state" dataDxfId="58" totalsRowDxfId="57"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E94" totalsRowCount="1">
  <autoFilter ref="A4:E93" xr:uid="{C963C5D0-2581-49AE-B04B-1F8D02C6B902}"/>
  <sortState xmlns:xlrd2="http://schemas.microsoft.com/office/spreadsheetml/2017/richdata2" ref="A5:E92">
    <sortCondition ref="B4"/>
  </sortState>
  <tableColumns count="5">
    <tableColumn id="1" xr3:uid="{D0F1C6CA-0D25-4E76-8F52-826E854CA857}" name="Wolf" totalsRowLabel="Total" dataDxfId="56" totalsRowDxfId="55" dataCellStyle="Normal 14"/>
    <tableColumn id="2" xr3:uid="{E8FA1C0B-2C7E-4113-9202-7CDD221AB5B3}" name="Lease" totalsRowFunction="count" dataDxfId="54" totalsRowDxfId="53" dataCellStyle="Normal 14"/>
    <tableColumn id="3" xr3:uid="{6E6D0FEB-6C2C-49B8-A455-256335A02B08}" name="OIL" totalsRowFunction="sum" dataDxfId="52" totalsRowDxfId="51" dataCellStyle="Normal 14"/>
    <tableColumn id="4" xr3:uid="{1A1018A4-40B7-43E3-877B-8C462C7A8C67}" name="GAS" totalsRowFunction="sum" dataDxfId="50" totalsRowDxfId="49" dataCellStyle="Normal 14"/>
    <tableColumn id="5" xr3:uid="{E5804BE5-C238-4EDB-8C6D-9FF37953F827}" name="LEASE USE" totalsRowFunction="sum" dataDxfId="48" totalsRowDxfId="47"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6" totalsRowCount="1" dataCellStyle="Normal 2">
  <autoFilter ref="A8:Q235" xr:uid="{00000000-0009-0000-0100-000001000000}"/>
  <tableColumns count="17">
    <tableColumn id="1" xr3:uid="{00000000-0010-0000-0500-000001000000}" name="Multiple Reports" totalsRowLabel="Total" totalsRowDxfId="46" dataCellStyle="Normal 2"/>
    <tableColumn id="2" xr3:uid="{00000000-0010-0000-0500-000002000000}" name="Lease Type" totalsRowDxfId="45" dataCellStyle="Normal 2"/>
    <tableColumn id="3" xr3:uid="{00000000-0010-0000-0500-000003000000}" name="District" totalsRowDxfId="44" dataCellStyle="Normal 2"/>
    <tableColumn id="4" xr3:uid="{00000000-0010-0000-0500-000004000000}" name="RRC Identifier" totalsRowDxfId="43" dataCellStyle="Normal 2"/>
    <tableColumn id="5" xr3:uid="{00000000-0010-0000-0500-000005000000}" name="Field Name" totalsRowFunction="count" totalsRowDxfId="42" dataCellStyle="Normal 2"/>
    <tableColumn id="6" xr3:uid="{00000000-0010-0000-0500-000006000000}" name="Lease Name" totalsRowFunction="count" totalsRowDxfId="41" dataCellStyle="Normal 2"/>
    <tableColumn id="7" xr3:uid="{00000000-0010-0000-0500-000007000000}" name="Gas Well ID" totalsRowDxfId="40" dataCellStyle="Normal 2"/>
    <tableColumn id="8" xr3:uid="{00000000-0010-0000-0500-000008000000}" name="Lease Total" totalsRowDxfId="39" dataCellStyle="Normal 2"/>
    <tableColumn id="9" xr3:uid="{00000000-0010-0000-0500-000009000000}" name="Commingle Permit No." totalsRowDxfId="38" dataCellStyle="Normal 2"/>
    <tableColumn id="10" xr3:uid="{00000000-0010-0000-0500-00000A000000}" name="On Hand Beginning of Month" totalsRowFunction="sum" dataDxfId="37" totalsRowDxfId="36" dataCellStyle="Normal 2"/>
    <tableColumn id="11" xr3:uid="{00000000-0010-0000-0500-00000B000000}" name="Production" totalsRowFunction="sum" totalsRowDxfId="35" dataCellStyle="Normal 2"/>
    <tableColumn id="12" xr3:uid="{00000000-0010-0000-0500-00000C000000}" name="Volume" totalsRowFunction="sum" totalsRowDxfId="34" dataCellStyle="Normal 2"/>
    <tableColumn id="13" xr3:uid="{00000000-0010-0000-0500-00000D000000}" name="Code" totalsRowDxfId="33" dataCellStyle="Normal 2"/>
    <tableColumn id="14" xr3:uid="{00000000-0010-0000-0500-00000E000000}" name="On Hand End of Month" totalsRowFunction="sum" totalsRowDxfId="32" dataCellStyle="Normal 2"/>
    <tableColumn id="17" xr3:uid="{00000000-0010-0000-0500-000011000000}" name="Formation Production" totalsRowFunction="sum" dataDxfId="31" totalsRowDxfId="30" dataCellStyle="Normal 2"/>
    <tableColumn id="18" xr3:uid="{00000000-0010-0000-0500-000012000000}" name="Volume2" totalsRowFunction="sum" totalsRowDxfId="29" dataCellStyle="Normal 2"/>
    <tableColumn id="19" xr3:uid="{00000000-0010-0000-0500-000013000000}" name="Code3" totalsRowDxfId="28"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27" dataDxfId="26">
  <autoFilter ref="A3:K34" xr:uid="{00000000-0009-0000-0100-000009000000}"/>
  <tableColumns count="11">
    <tableColumn id="1" xr3:uid="{00000000-0010-0000-0400-000001000000}" name="STATION" dataDxfId="25"/>
    <tableColumn id="2" xr3:uid="{00000000-0010-0000-0400-000002000000}" name="STATION NAME" dataDxfId="24"/>
    <tableColumn id="3" xr3:uid="{00000000-0010-0000-0400-000003000000}" name="Column1" dataDxfId="23"/>
    <tableColumn id="4" xr3:uid="{00000000-0010-0000-0400-000004000000}" name="MCF" dataDxfId="22"/>
    <tableColumn id="5" xr3:uid="{00000000-0010-0000-0400-000005000000}" name="BTU" dataDxfId="21"/>
    <tableColumn id="6" xr3:uid="{00000000-0010-0000-0400-000006000000}" name="MMBTU" dataDxfId="20"/>
    <tableColumn id="7" xr3:uid="{00000000-0010-0000-0400-000007000000}" name="MCF/D" dataDxfId="19"/>
    <tableColumn id="8" xr3:uid="{00000000-0010-0000-0400-000008000000}" name="MMBTU/D" dataDxfId="18"/>
    <tableColumn id="9" xr3:uid="{00000000-0010-0000-0400-000009000000}" name="PSIG"/>
    <tableColumn id="10" xr3:uid="{00000000-0010-0000-0400-00000A000000}" name="GRAVITY" dataDxfId="17"/>
    <tableColumn id="11" xr3:uid="{00000000-0010-0000-0400-00000B000000}" name="HOURS"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5"/>
  <sheetViews>
    <sheetView zoomScale="115" zoomScaleNormal="115" workbookViewId="0">
      <pane ySplit="3" topLeftCell="A170" activePane="bottomLeft" state="frozen"/>
      <selection pane="bottomLeft" activeCell="G196" sqref="G196"/>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4"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3"/>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192</v>
      </c>
      <c r="G2" s="12" t="s">
        <v>3</v>
      </c>
    </row>
    <row r="3" spans="1:250" s="3" customFormat="1" ht="54.75" customHeight="1">
      <c r="A3" s="6" t="s">
        <v>4</v>
      </c>
      <c r="B3" s="6" t="s">
        <v>5</v>
      </c>
      <c r="C3" s="6" t="s">
        <v>6</v>
      </c>
      <c r="D3" s="6" t="s">
        <v>7</v>
      </c>
      <c r="E3" s="6" t="s">
        <v>8</v>
      </c>
      <c r="F3" s="6" t="s">
        <v>9</v>
      </c>
      <c r="G3" s="6" t="s">
        <v>10</v>
      </c>
      <c r="H3" s="6" t="s">
        <v>11</v>
      </c>
      <c r="I3" s="6" t="s">
        <v>12</v>
      </c>
      <c r="J3" s="125"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911</v>
      </c>
      <c r="D4" s="10" t="s">
        <v>618</v>
      </c>
      <c r="E4" s="1" t="s">
        <v>59</v>
      </c>
      <c r="F4" s="1" t="s">
        <v>416</v>
      </c>
      <c r="I4" s="1" t="s">
        <v>3</v>
      </c>
      <c r="J4" s="124" t="s">
        <v>3</v>
      </c>
      <c r="K4" s="1" t="s">
        <v>1094</v>
      </c>
      <c r="M4" s="5">
        <v>201912</v>
      </c>
      <c r="N4" s="5">
        <f>INDEX(rrcworking[Formation Production (MCF) @ 14.65 psi],MATCH('Jan 2020 EDI'!F4,rrcworking[RRC ID],0))</f>
        <v>0</v>
      </c>
      <c r="O4" s="5">
        <f>INDEX(rrcworking[Lease Use (MCF)],MATCH('Jan 2020 EDI'!F4,rrcworking[RRC ID],0))</f>
        <v>0</v>
      </c>
      <c r="P4" s="5">
        <f>INDEX(rrcworking[Disposition Volume (MCF) @ 14.65 MCF],MATCH('Jan 2020 EDI'!F4,rrcworking[RRC ID],0))</f>
        <v>0</v>
      </c>
      <c r="Y4" s="5">
        <f>INDEX(rrcworking[Oil Production],MATCH('Jan 2020 EDI'!F4,rrcworking[RRC ID],0))</f>
        <v>0</v>
      </c>
      <c r="AA4" s="5">
        <f>INDEX(rrcworking[Sales/Dispostion],MATCH('Jan 2020 EDI'!F4,rrcworking[RRC ID],0))</f>
        <v>0</v>
      </c>
      <c r="AQ4" s="5">
        <f>INDEX(rrcworking[Closing Stock (Oil)],MATCH('Jan 2020 EDI'!F4,rrcworking[RRC ID],0))</f>
        <v>0</v>
      </c>
    </row>
    <row r="5" spans="1:250">
      <c r="A5" s="4" t="s">
        <v>1</v>
      </c>
      <c r="B5" s="1">
        <v>2</v>
      </c>
      <c r="C5" s="10" t="s">
        <v>911</v>
      </c>
      <c r="D5" s="1" t="s">
        <v>618</v>
      </c>
      <c r="E5" s="1" t="s">
        <v>59</v>
      </c>
      <c r="F5" s="1" t="s">
        <v>417</v>
      </c>
      <c r="I5" s="1" t="s">
        <v>3</v>
      </c>
      <c r="J5" s="124" t="s">
        <v>3</v>
      </c>
      <c r="K5" s="1" t="s">
        <v>1094</v>
      </c>
      <c r="M5" s="5">
        <v>201912</v>
      </c>
      <c r="N5" s="5">
        <f>INDEX(rrcworking[Formation Production (MCF) @ 14.65 psi],MATCH('Jan 2020 EDI'!F5,rrcworking[RRC ID],0))</f>
        <v>0</v>
      </c>
      <c r="O5" s="5">
        <f>INDEX(rrcworking[Lease Use (MCF)],MATCH('Jan 2020 EDI'!F5,rrcworking[RRC ID],0))</f>
        <v>0</v>
      </c>
      <c r="P5" s="5">
        <f>INDEX(rrcworking[Disposition Volume (MCF) @ 14.65 MCF],MATCH('Jan 2020 EDI'!F5,rrcworking[RRC ID],0))</f>
        <v>0</v>
      </c>
      <c r="Y5" s="5">
        <f>INDEX(rrcworking[Oil Production],MATCH('Jan 2020 EDI'!F5,rrcworking[RRC ID],0))</f>
        <v>0</v>
      </c>
      <c r="AA5" s="5">
        <f>INDEX(rrcworking[Sales/Dispostion],MATCH('Jan 2020 EDI'!F5,rrcworking[RRC ID],0))</f>
        <v>0</v>
      </c>
      <c r="AQ5" s="5">
        <f>INDEX(rrcworking[Closing Stock (Oil)],MATCH('Jan 2020 EDI'!F5,rrcworking[RRC ID],0))</f>
        <v>149</v>
      </c>
    </row>
    <row r="6" spans="1:250">
      <c r="A6" s="4" t="s">
        <v>1</v>
      </c>
      <c r="B6" s="1" t="s">
        <v>58</v>
      </c>
      <c r="C6" s="10" t="s">
        <v>911</v>
      </c>
      <c r="D6" s="1" t="s">
        <v>618</v>
      </c>
      <c r="E6" s="1" t="s">
        <v>59</v>
      </c>
      <c r="F6" s="1" t="s">
        <v>418</v>
      </c>
      <c r="I6" s="1" t="s">
        <v>3</v>
      </c>
      <c r="J6" s="124" t="s">
        <v>3</v>
      </c>
      <c r="K6" s="1" t="s">
        <v>1094</v>
      </c>
      <c r="M6" s="5">
        <v>201912</v>
      </c>
      <c r="N6" s="5">
        <f>INDEX(rrcworking[Formation Production (MCF) @ 14.65 psi],MATCH('Jan 2020 EDI'!F6,rrcworking[RRC ID],0))</f>
        <v>4976</v>
      </c>
      <c r="O6" s="5">
        <f>INDEX(rrcworking[Lease Use (MCF)],MATCH('Jan 2020 EDI'!F6,rrcworking[RRC ID],0))</f>
        <v>217</v>
      </c>
      <c r="P6" s="5">
        <f>INDEX(rrcworking[Disposition Volume (MCF) @ 14.65 MCF],MATCH('Jan 2020 EDI'!F6,rrcworking[RRC ID],0))</f>
        <v>4759</v>
      </c>
      <c r="Y6" s="5">
        <f>INDEX(rrcworking[Oil Production],MATCH('Jan 2020 EDI'!F6,rrcworking[RRC ID],0))</f>
        <v>0</v>
      </c>
      <c r="AA6" s="5">
        <f>INDEX(rrcworking[Sales/Dispostion],MATCH('Jan 2020 EDI'!F6,rrcworking[RRC ID],0))</f>
        <v>0</v>
      </c>
      <c r="AQ6" s="5">
        <f>INDEX(rrcworking[Closing Stock (Oil)],MATCH('Jan 2020 EDI'!F6,rrcworking[RRC ID],0))</f>
        <v>0</v>
      </c>
    </row>
    <row r="7" spans="1:250">
      <c r="A7" s="4" t="s">
        <v>1</v>
      </c>
      <c r="B7" s="1" t="s">
        <v>61</v>
      </c>
      <c r="C7" s="10" t="s">
        <v>911</v>
      </c>
      <c r="D7" s="1" t="s">
        <v>618</v>
      </c>
      <c r="E7" s="1" t="s">
        <v>59</v>
      </c>
      <c r="F7" s="1" t="s">
        <v>419</v>
      </c>
      <c r="I7" s="1" t="s">
        <v>3</v>
      </c>
      <c r="J7" s="124" t="s">
        <v>3</v>
      </c>
      <c r="K7" s="1" t="s">
        <v>1094</v>
      </c>
      <c r="M7" s="5">
        <v>201912</v>
      </c>
      <c r="N7" s="5">
        <f>INDEX(rrcworking[Formation Production (MCF) @ 14.65 psi],MATCH('Jan 2020 EDI'!F7,rrcworking[RRC ID],0))</f>
        <v>0</v>
      </c>
      <c r="O7" s="5">
        <f>INDEX(rrcworking[Lease Use (MCF)],MATCH('Jan 2020 EDI'!F7,rrcworking[RRC ID],0))</f>
        <v>0</v>
      </c>
      <c r="P7" s="5">
        <f>INDEX(rrcworking[Disposition Volume (MCF) @ 14.65 MCF],MATCH('Jan 2020 EDI'!F7,rrcworking[RRC ID],0))</f>
        <v>0</v>
      </c>
      <c r="Y7" s="5">
        <f>INDEX(rrcworking[Oil Production],MATCH('Jan 2020 EDI'!F7,rrcworking[RRC ID],0))</f>
        <v>0</v>
      </c>
      <c r="AA7" s="5">
        <f>INDEX(rrcworking[Sales/Dispostion],MATCH('Jan 2020 EDI'!F7,rrcworking[RRC ID],0))</f>
        <v>0</v>
      </c>
      <c r="AQ7" s="5">
        <f>INDEX(rrcworking[Closing Stock (Oil)],MATCH('Jan 2020 EDI'!F7,rrcworking[RRC ID],0))</f>
        <v>26</v>
      </c>
    </row>
    <row r="8" spans="1:250">
      <c r="A8" s="4" t="s">
        <v>1</v>
      </c>
      <c r="B8" s="1" t="s">
        <v>62</v>
      </c>
      <c r="C8" s="10" t="s">
        <v>911</v>
      </c>
      <c r="D8" s="1" t="s">
        <v>618</v>
      </c>
      <c r="E8" s="1" t="s">
        <v>59</v>
      </c>
      <c r="F8" s="1" t="s">
        <v>420</v>
      </c>
      <c r="I8" s="1" t="s">
        <v>3</v>
      </c>
      <c r="J8" s="123" t="s">
        <v>3</v>
      </c>
      <c r="K8" s="1" t="s">
        <v>1094</v>
      </c>
      <c r="M8" s="5">
        <v>201912</v>
      </c>
      <c r="N8" s="5">
        <f>INDEX(rrcworking[Formation Production (MCF) @ 14.65 psi],MATCH('Jan 2020 EDI'!F8,rrcworking[RRC ID],0))</f>
        <v>0</v>
      </c>
      <c r="O8" s="5">
        <f>INDEX(rrcworking[Lease Use (MCF)],MATCH('Jan 2020 EDI'!F8,rrcworking[RRC ID],0))</f>
        <v>0</v>
      </c>
      <c r="P8" s="5">
        <f>INDEX(rrcworking[Disposition Volume (MCF) @ 14.65 MCF],MATCH('Jan 2020 EDI'!F8,rrcworking[RRC ID],0))</f>
        <v>0</v>
      </c>
      <c r="Y8" s="5">
        <f>INDEX(rrcworking[Oil Production],MATCH('Jan 2020 EDI'!F8,rrcworking[RRC ID],0))</f>
        <v>0</v>
      </c>
      <c r="AA8" s="5">
        <f>INDEX(rrcworking[Sales/Dispostion],MATCH('Jan 2020 EDI'!F8,rrcworking[RRC ID],0))</f>
        <v>0</v>
      </c>
      <c r="AQ8" s="5">
        <f>INDEX(rrcworking[Closing Stock (Oil)],MATCH('Jan 2020 EDI'!F8,rrcworking[RRC ID],0))</f>
        <v>0</v>
      </c>
    </row>
    <row r="9" spans="1:250">
      <c r="A9" s="4" t="s">
        <v>1</v>
      </c>
      <c r="B9" s="1" t="s">
        <v>63</v>
      </c>
      <c r="C9" s="10" t="s">
        <v>911</v>
      </c>
      <c r="D9" s="1" t="s">
        <v>618</v>
      </c>
      <c r="E9" s="1" t="s">
        <v>59</v>
      </c>
      <c r="F9" s="1" t="s">
        <v>421</v>
      </c>
      <c r="I9" s="1" t="s">
        <v>3</v>
      </c>
      <c r="J9" s="124" t="s">
        <v>3</v>
      </c>
      <c r="K9" s="1" t="s">
        <v>1094</v>
      </c>
      <c r="M9" s="5">
        <v>201912</v>
      </c>
      <c r="N9" s="5">
        <f>INDEX(rrcworking[Formation Production (MCF) @ 14.65 psi],MATCH('Jan 2020 EDI'!F9,rrcworking[RRC ID],0))</f>
        <v>0</v>
      </c>
      <c r="O9" s="5">
        <f>INDEX(rrcworking[Lease Use (MCF)],MATCH('Jan 2020 EDI'!F9,rrcworking[RRC ID],0))</f>
        <v>0</v>
      </c>
      <c r="P9" s="5">
        <f>INDEX(rrcworking[Disposition Volume (MCF) @ 14.65 MCF],MATCH('Jan 2020 EDI'!F9,rrcworking[RRC ID],0))</f>
        <v>0</v>
      </c>
      <c r="Y9" s="5">
        <f>INDEX(rrcworking[Oil Production],MATCH('Jan 2020 EDI'!F9,rrcworking[RRC ID],0))</f>
        <v>0</v>
      </c>
      <c r="AA9" s="5">
        <f>INDEX(rrcworking[Sales/Dispostion],MATCH('Jan 2020 EDI'!F9,rrcworking[RRC ID],0))</f>
        <v>0</v>
      </c>
      <c r="AQ9" s="5">
        <f>INDEX(rrcworking[Closing Stock (Oil)],MATCH('Jan 2020 EDI'!F9,rrcworking[RRC ID],0))</f>
        <v>0</v>
      </c>
    </row>
    <row r="10" spans="1:250">
      <c r="A10" s="4" t="s">
        <v>1</v>
      </c>
      <c r="B10" s="1" t="s">
        <v>64</v>
      </c>
      <c r="C10" s="10" t="s">
        <v>911</v>
      </c>
      <c r="D10" s="1" t="s">
        <v>618</v>
      </c>
      <c r="E10" s="1" t="s">
        <v>59</v>
      </c>
      <c r="F10" s="1" t="s">
        <v>422</v>
      </c>
      <c r="I10" s="10" t="s">
        <v>3</v>
      </c>
      <c r="J10" s="124" t="s">
        <v>3</v>
      </c>
      <c r="K10" s="1" t="s">
        <v>1094</v>
      </c>
      <c r="M10" s="5">
        <v>201912</v>
      </c>
      <c r="N10" s="5">
        <f>INDEX(rrcworking[Formation Production (MCF) @ 14.65 psi],MATCH('Jan 2020 EDI'!F10,rrcworking[RRC ID],0))</f>
        <v>0</v>
      </c>
      <c r="O10" s="5">
        <f>INDEX(rrcworking[Lease Use (MCF)],MATCH('Jan 2020 EDI'!F10,rrcworking[RRC ID],0))</f>
        <v>0</v>
      </c>
      <c r="P10" s="5">
        <f>INDEX(rrcworking[Disposition Volume (MCF) @ 14.65 MCF],MATCH('Jan 2020 EDI'!F10,rrcworking[RRC ID],0))</f>
        <v>0</v>
      </c>
      <c r="Y10" s="5">
        <f>INDEX(rrcworking[Oil Production],MATCH('Jan 2020 EDI'!F10,rrcworking[RRC ID],0))</f>
        <v>0</v>
      </c>
      <c r="AA10" s="5">
        <f>INDEX(rrcworking[Sales/Dispostion],MATCH('Jan 2020 EDI'!F10,rrcworking[RRC ID],0))</f>
        <v>0</v>
      </c>
      <c r="AQ10" s="5">
        <f>INDEX(rrcworking[Closing Stock (Oil)],MATCH('Jan 2020 EDI'!F10,rrcworking[RRC ID],0))</f>
        <v>132</v>
      </c>
    </row>
    <row r="11" spans="1:250">
      <c r="A11" s="4" t="s">
        <v>1</v>
      </c>
      <c r="B11" s="1" t="s">
        <v>912</v>
      </c>
      <c r="C11" s="10" t="s">
        <v>911</v>
      </c>
      <c r="D11" s="1" t="s">
        <v>618</v>
      </c>
      <c r="E11" s="1" t="s">
        <v>2</v>
      </c>
      <c r="F11" s="1" t="s">
        <v>423</v>
      </c>
      <c r="I11" s="10" t="s">
        <v>3</v>
      </c>
      <c r="J11" s="124" t="s">
        <v>3</v>
      </c>
      <c r="K11" s="1" t="s">
        <v>1094</v>
      </c>
      <c r="M11" s="5">
        <v>201912</v>
      </c>
      <c r="N11" s="5">
        <f>INDEX(rrcworking[Formation Production (MCF) @ 14.65 psi],MATCH('Jan 2020 EDI'!F11,rrcworking[RRC ID],0))</f>
        <v>0</v>
      </c>
      <c r="O11" s="5">
        <f>INDEX(rrcworking[Lease Use (MCF)],MATCH('Jan 2020 EDI'!F11,rrcworking[RRC ID],0))</f>
        <v>0</v>
      </c>
      <c r="P11" s="5">
        <f>INDEX(rrcworking[Disposition Volume (MCF) @ 14.65 MCF],MATCH('Jan 2020 EDI'!F11,rrcworking[RRC ID],0))</f>
        <v>0</v>
      </c>
      <c r="Y11" s="5">
        <f>INDEX(rrcworking[Oil Production],MATCH('Jan 2020 EDI'!F11,rrcworking[RRC ID],0))</f>
        <v>614</v>
      </c>
      <c r="AA11" s="5">
        <f>INDEX(rrcworking[Sales/Dispostion],MATCH('Jan 2020 EDI'!F11,rrcworking[RRC ID],0))</f>
        <v>501</v>
      </c>
      <c r="AQ11" s="5">
        <f>INDEX(rrcworking[Closing Stock (Oil)],MATCH('Jan 2020 EDI'!F11,rrcworking[RRC ID],0))</f>
        <v>413</v>
      </c>
    </row>
    <row r="12" spans="1:250">
      <c r="A12" s="4" t="s">
        <v>1</v>
      </c>
      <c r="B12" s="1" t="s">
        <v>913</v>
      </c>
      <c r="C12" s="10" t="s">
        <v>911</v>
      </c>
      <c r="D12" s="1" t="s">
        <v>618</v>
      </c>
      <c r="E12" s="1" t="s">
        <v>59</v>
      </c>
      <c r="F12" s="1" t="s">
        <v>424</v>
      </c>
      <c r="I12" s="10" t="s">
        <v>3</v>
      </c>
      <c r="J12" s="124" t="s">
        <v>3</v>
      </c>
      <c r="K12" s="1" t="s">
        <v>1094</v>
      </c>
      <c r="M12" s="5">
        <v>201912</v>
      </c>
      <c r="N12" s="5">
        <f>INDEX(rrcworking[Formation Production (MCF) @ 14.65 psi],MATCH('Jan 2020 EDI'!F12,rrcworking[RRC ID],0))</f>
        <v>9</v>
      </c>
      <c r="O12" s="5">
        <f>INDEX(rrcworking[Lease Use (MCF)],MATCH('Jan 2020 EDI'!F12,rrcworking[RRC ID],0))</f>
        <v>0</v>
      </c>
      <c r="P12" s="5">
        <f>INDEX(rrcworking[Disposition Volume (MCF) @ 14.65 MCF],MATCH('Jan 2020 EDI'!F12,rrcworking[RRC ID],0))</f>
        <v>9</v>
      </c>
      <c r="Y12" s="5">
        <f>INDEX(rrcworking[Oil Production],MATCH('Jan 2020 EDI'!F12,rrcworking[RRC ID],0))</f>
        <v>0</v>
      </c>
      <c r="AA12" s="5">
        <f>INDEX(rrcworking[Sales/Dispostion],MATCH('Jan 2020 EDI'!F12,rrcworking[RRC ID],0))</f>
        <v>0</v>
      </c>
      <c r="AQ12" s="5">
        <f>INDEX(rrcworking[Closing Stock (Oil)],MATCH('Jan 2020 EDI'!F12,rrcworking[RRC ID],0))</f>
        <v>0</v>
      </c>
    </row>
    <row r="13" spans="1:250">
      <c r="A13" s="4" t="s">
        <v>1</v>
      </c>
      <c r="B13" s="1" t="s">
        <v>60</v>
      </c>
      <c r="C13" s="10" t="s">
        <v>911</v>
      </c>
      <c r="D13" s="1" t="s">
        <v>618</v>
      </c>
      <c r="E13" s="1" t="s">
        <v>59</v>
      </c>
      <c r="F13" s="1" t="s">
        <v>425</v>
      </c>
      <c r="I13" s="10" t="s">
        <v>3</v>
      </c>
      <c r="J13" s="124" t="s">
        <v>3</v>
      </c>
      <c r="K13" s="1" t="s">
        <v>1094</v>
      </c>
      <c r="M13" s="5">
        <v>201912</v>
      </c>
      <c r="N13" s="5">
        <f>INDEX(rrcworking[Formation Production (MCF) @ 14.65 psi],MATCH('Jan 2020 EDI'!F13,rrcworking[RRC ID],0))</f>
        <v>0</v>
      </c>
      <c r="O13" s="5">
        <f>INDEX(rrcworking[Lease Use (MCF)],MATCH('Jan 2020 EDI'!F13,rrcworking[RRC ID],0))</f>
        <v>0</v>
      </c>
      <c r="P13" s="5">
        <f>INDEX(rrcworking[Disposition Volume (MCF) @ 14.65 MCF],MATCH('Jan 2020 EDI'!F13,rrcworking[RRC ID],0))</f>
        <v>0</v>
      </c>
      <c r="Y13" s="5">
        <f>INDEX(rrcworking[Oil Production],MATCH('Jan 2020 EDI'!F13,rrcworking[RRC ID],0))</f>
        <v>0</v>
      </c>
      <c r="AA13" s="5">
        <f>INDEX(rrcworking[Sales/Dispostion],MATCH('Jan 2020 EDI'!F13,rrcworking[RRC ID],0))</f>
        <v>0</v>
      </c>
      <c r="AQ13" s="5">
        <f>INDEX(rrcworking[Closing Stock (Oil)],MATCH('Jan 2020 EDI'!F13,rrcworking[RRC ID],0))</f>
        <v>0</v>
      </c>
    </row>
    <row r="14" spans="1:250">
      <c r="A14" s="4" t="s">
        <v>1</v>
      </c>
      <c r="B14" s="1" t="s">
        <v>914</v>
      </c>
      <c r="C14" s="10" t="s">
        <v>911</v>
      </c>
      <c r="D14" s="1" t="s">
        <v>618</v>
      </c>
      <c r="E14" s="1" t="s">
        <v>2</v>
      </c>
      <c r="F14" s="1" t="s">
        <v>426</v>
      </c>
      <c r="I14" s="10" t="s">
        <v>3</v>
      </c>
      <c r="J14" s="124" t="s">
        <v>3</v>
      </c>
      <c r="K14" s="1" t="s">
        <v>1094</v>
      </c>
      <c r="M14" s="5">
        <v>201912</v>
      </c>
      <c r="N14" s="5">
        <f>INDEX(rrcworking[Formation Production (MCF) @ 14.65 psi],MATCH('Jan 2020 EDI'!F14,rrcworking[RRC ID],0))</f>
        <v>0</v>
      </c>
      <c r="O14" s="5">
        <f>INDEX(rrcworking[Lease Use (MCF)],MATCH('Jan 2020 EDI'!F14,rrcworking[RRC ID],0))</f>
        <v>0</v>
      </c>
      <c r="P14" s="5">
        <f>INDEX(rrcworking[Disposition Volume (MCF) @ 14.65 MCF],MATCH('Jan 2020 EDI'!F14,rrcworking[RRC ID],0))</f>
        <v>0</v>
      </c>
      <c r="Y14" s="5">
        <f>INDEX(rrcworking[Oil Production],MATCH('Jan 2020 EDI'!F14,rrcworking[RRC ID],0))</f>
        <v>18</v>
      </c>
      <c r="AA14" s="5">
        <f>INDEX(rrcworking[Sales/Dispostion],MATCH('Jan 2020 EDI'!F14,rrcworking[RRC ID],0))</f>
        <v>2</v>
      </c>
      <c r="AQ14" s="5">
        <f>INDEX(rrcworking[Closing Stock (Oil)],MATCH('Jan 2020 EDI'!F14,rrcworking[RRC ID],0))</f>
        <v>218</v>
      </c>
    </row>
    <row r="15" spans="1:250">
      <c r="A15" s="4" t="s">
        <v>1</v>
      </c>
      <c r="B15" s="1" t="s">
        <v>915</v>
      </c>
      <c r="C15" s="10" t="s">
        <v>911</v>
      </c>
      <c r="D15" s="1" t="s">
        <v>618</v>
      </c>
      <c r="E15" s="1" t="s">
        <v>2</v>
      </c>
      <c r="F15" s="1" t="s">
        <v>427</v>
      </c>
      <c r="I15" s="10" t="s">
        <v>3</v>
      </c>
      <c r="J15" s="124" t="s">
        <v>3</v>
      </c>
      <c r="K15" s="1" t="s">
        <v>1094</v>
      </c>
      <c r="M15" s="5">
        <v>201912</v>
      </c>
      <c r="N15" s="5">
        <f>INDEX(rrcworking[Formation Production (MCF) @ 14.65 psi],MATCH('Jan 2020 EDI'!F15,rrcworking[RRC ID],0))</f>
        <v>0</v>
      </c>
      <c r="O15" s="5">
        <f>INDEX(rrcworking[Lease Use (MCF)],MATCH('Jan 2020 EDI'!F15,rrcworking[RRC ID],0))</f>
        <v>0</v>
      </c>
      <c r="P15" s="5">
        <f>INDEX(rrcworking[Disposition Volume (MCF) @ 14.65 MCF],MATCH('Jan 2020 EDI'!F15,rrcworking[RRC ID],0))</f>
        <v>0</v>
      </c>
      <c r="Y15" s="5">
        <f>INDEX(rrcworking[Oil Production],MATCH('Jan 2020 EDI'!F15,rrcworking[RRC ID],0))</f>
        <v>19</v>
      </c>
      <c r="AA15" s="5">
        <f>INDEX(rrcworking[Sales/Dispostion],MATCH('Jan 2020 EDI'!F15,rrcworking[RRC ID],0))</f>
        <v>0</v>
      </c>
      <c r="AQ15" s="5">
        <f>INDEX(rrcworking[Closing Stock (Oil)],MATCH('Jan 2020 EDI'!F15,rrcworking[RRC ID],0))</f>
        <v>104</v>
      </c>
    </row>
    <row r="16" spans="1:250">
      <c r="A16" s="4" t="s">
        <v>1</v>
      </c>
      <c r="B16" s="1" t="s">
        <v>916</v>
      </c>
      <c r="C16" s="10" t="s">
        <v>911</v>
      </c>
      <c r="D16" s="1" t="s">
        <v>618</v>
      </c>
      <c r="E16" s="1" t="s">
        <v>2</v>
      </c>
      <c r="F16" s="1" t="s">
        <v>428</v>
      </c>
      <c r="I16" s="10" t="s">
        <v>3</v>
      </c>
      <c r="J16" s="124" t="s">
        <v>3</v>
      </c>
      <c r="K16" s="1" t="s">
        <v>1094</v>
      </c>
      <c r="M16" s="5">
        <v>201912</v>
      </c>
      <c r="N16" s="5">
        <f>INDEX(rrcworking[Formation Production (MCF) @ 14.65 psi],MATCH('Jan 2020 EDI'!F16,rrcworking[RRC ID],0))</f>
        <v>0</v>
      </c>
      <c r="O16" s="5">
        <f>INDEX(rrcworking[Lease Use (MCF)],MATCH('Jan 2020 EDI'!F16,rrcworking[RRC ID],0))</f>
        <v>0</v>
      </c>
      <c r="P16" s="5">
        <f>INDEX(rrcworking[Disposition Volume (MCF) @ 14.65 MCF],MATCH('Jan 2020 EDI'!F16,rrcworking[RRC ID],0))</f>
        <v>0</v>
      </c>
      <c r="Y16" s="5">
        <f>INDEX(rrcworking[Oil Production],MATCH('Jan 2020 EDI'!F16,rrcworking[RRC ID],0))</f>
        <v>0</v>
      </c>
      <c r="AA16" s="5">
        <f>INDEX(rrcworking[Sales/Dispostion],MATCH('Jan 2020 EDI'!F16,rrcworking[RRC ID],0))</f>
        <v>0</v>
      </c>
      <c r="AQ16" s="5">
        <f>INDEX(rrcworking[Closing Stock (Oil)],MATCH('Jan 2020 EDI'!F16,rrcworking[RRC ID],0))</f>
        <v>0</v>
      </c>
    </row>
    <row r="17" spans="1:43">
      <c r="A17" s="4" t="s">
        <v>1</v>
      </c>
      <c r="B17" s="1" t="s">
        <v>917</v>
      </c>
      <c r="C17" s="10" t="s">
        <v>911</v>
      </c>
      <c r="D17" s="1" t="s">
        <v>618</v>
      </c>
      <c r="E17" s="1" t="s">
        <v>59</v>
      </c>
      <c r="F17" s="1" t="s">
        <v>429</v>
      </c>
      <c r="I17" s="10" t="s">
        <v>3</v>
      </c>
      <c r="J17" s="124" t="s">
        <v>3</v>
      </c>
      <c r="K17" s="1" t="s">
        <v>1094</v>
      </c>
      <c r="M17" s="5">
        <v>201912</v>
      </c>
      <c r="N17" s="5">
        <f>INDEX(rrcworking[Formation Production (MCF) @ 14.65 psi],MATCH('Jan 2020 EDI'!F17,rrcworking[RRC ID],0))</f>
        <v>0</v>
      </c>
      <c r="O17" s="5">
        <f>INDEX(rrcworking[Lease Use (MCF)],MATCH('Jan 2020 EDI'!F17,rrcworking[RRC ID],0))</f>
        <v>0</v>
      </c>
      <c r="P17" s="5">
        <f>INDEX(rrcworking[Disposition Volume (MCF) @ 14.65 MCF],MATCH('Jan 2020 EDI'!F17,rrcworking[RRC ID],0))</f>
        <v>0</v>
      </c>
      <c r="Y17" s="5">
        <f>INDEX(rrcworking[Oil Production],MATCH('Jan 2020 EDI'!F17,rrcworking[RRC ID],0))</f>
        <v>0</v>
      </c>
      <c r="AA17" s="5">
        <f>INDEX(rrcworking[Sales/Dispostion],MATCH('Jan 2020 EDI'!F17,rrcworking[RRC ID],0))</f>
        <v>0</v>
      </c>
      <c r="AQ17" s="5">
        <f>INDEX(rrcworking[Closing Stock (Oil)],MATCH('Jan 2020 EDI'!F17,rrcworking[RRC ID],0))</f>
        <v>116</v>
      </c>
    </row>
    <row r="18" spans="1:43">
      <c r="A18" s="4" t="s">
        <v>1</v>
      </c>
      <c r="B18" s="1" t="s">
        <v>918</v>
      </c>
      <c r="C18" s="10" t="s">
        <v>911</v>
      </c>
      <c r="D18" s="1" t="s">
        <v>618</v>
      </c>
      <c r="E18" s="1" t="s">
        <v>59</v>
      </c>
      <c r="F18" s="1" t="s">
        <v>430</v>
      </c>
      <c r="I18" s="10" t="s">
        <v>3</v>
      </c>
      <c r="J18" s="124" t="s">
        <v>3</v>
      </c>
      <c r="K18" s="1" t="s">
        <v>1094</v>
      </c>
      <c r="M18" s="5">
        <v>201912</v>
      </c>
      <c r="N18" s="5">
        <f>INDEX(rrcworking[Formation Production (MCF) @ 14.65 psi],MATCH('Jan 2020 EDI'!F18,rrcworking[RRC ID],0))</f>
        <v>53566</v>
      </c>
      <c r="O18" s="5">
        <f>INDEX(rrcworking[Lease Use (MCF)],MATCH('Jan 2020 EDI'!F18,rrcworking[RRC ID],0))</f>
        <v>0</v>
      </c>
      <c r="P18" s="5">
        <f>INDEX(rrcworking[Disposition Volume (MCF) @ 14.65 MCF],MATCH('Jan 2020 EDI'!F18,rrcworking[RRC ID],0))</f>
        <v>53566</v>
      </c>
      <c r="Y18" s="5">
        <f>INDEX(rrcworking[Oil Production],MATCH('Jan 2020 EDI'!F18,rrcworking[RRC ID],0))</f>
        <v>790</v>
      </c>
      <c r="AA18" s="5">
        <f>INDEX(rrcworking[Sales/Dispostion],MATCH('Jan 2020 EDI'!F18,rrcworking[RRC ID],0))</f>
        <v>760</v>
      </c>
      <c r="AQ18" s="5">
        <f>INDEX(rrcworking[Closing Stock (Oil)],MATCH('Jan 2020 EDI'!F18,rrcworking[RRC ID],0))</f>
        <v>404</v>
      </c>
    </row>
    <row r="19" spans="1:43">
      <c r="A19" s="4" t="s">
        <v>1</v>
      </c>
      <c r="B19" s="1" t="s">
        <v>919</v>
      </c>
      <c r="C19" s="10" t="s">
        <v>911</v>
      </c>
      <c r="D19" s="1" t="s">
        <v>618</v>
      </c>
      <c r="E19" s="1" t="s">
        <v>2</v>
      </c>
      <c r="F19" s="1" t="s">
        <v>431</v>
      </c>
      <c r="I19" s="10" t="s">
        <v>3</v>
      </c>
      <c r="J19" s="124" t="s">
        <v>3</v>
      </c>
      <c r="K19" s="1" t="s">
        <v>1094</v>
      </c>
      <c r="M19" s="5">
        <v>201912</v>
      </c>
      <c r="N19" s="5">
        <f>INDEX(rrcworking[Formation Production (MCF) @ 14.65 psi],MATCH('Jan 2020 EDI'!F19,rrcworking[RRC ID],0))</f>
        <v>0</v>
      </c>
      <c r="O19" s="5">
        <f>INDEX(rrcworking[Lease Use (MCF)],MATCH('Jan 2020 EDI'!F19,rrcworking[RRC ID],0))</f>
        <v>0</v>
      </c>
      <c r="P19" s="5">
        <f>INDEX(rrcworking[Disposition Volume (MCF) @ 14.65 MCF],MATCH('Jan 2020 EDI'!F19,rrcworking[RRC ID],0))</f>
        <v>0</v>
      </c>
      <c r="Y19" s="5">
        <f>INDEX(rrcworking[Oil Production],MATCH('Jan 2020 EDI'!F19,rrcworking[RRC ID],0))</f>
        <v>227</v>
      </c>
      <c r="AA19" s="5">
        <f>INDEX(rrcworking[Sales/Dispostion],MATCH('Jan 2020 EDI'!F19,rrcworking[RRC ID],0))</f>
        <v>331</v>
      </c>
      <c r="AQ19" s="5">
        <f>INDEX(rrcworking[Closing Stock (Oil)],MATCH('Jan 2020 EDI'!F19,rrcworking[RRC ID],0))</f>
        <v>88</v>
      </c>
    </row>
    <row r="20" spans="1:43">
      <c r="A20" s="4" t="s">
        <v>1</v>
      </c>
      <c r="B20" s="1" t="s">
        <v>920</v>
      </c>
      <c r="C20" s="10" t="s">
        <v>911</v>
      </c>
      <c r="D20" s="1" t="s">
        <v>618</v>
      </c>
      <c r="E20" s="1" t="s">
        <v>59</v>
      </c>
      <c r="F20" s="1" t="s">
        <v>432</v>
      </c>
      <c r="I20" s="10" t="s">
        <v>3</v>
      </c>
      <c r="J20" s="124" t="s">
        <v>3</v>
      </c>
      <c r="K20" s="1" t="s">
        <v>1094</v>
      </c>
      <c r="M20" s="5">
        <v>201912</v>
      </c>
      <c r="N20" s="5">
        <f>INDEX(rrcworking[Formation Production (MCF) @ 14.65 psi],MATCH('Jan 2020 EDI'!F20,rrcworking[RRC ID],0))</f>
        <v>0</v>
      </c>
      <c r="O20" s="5">
        <f>INDEX(rrcworking[Lease Use (MCF)],MATCH('Jan 2020 EDI'!F20,rrcworking[RRC ID],0))</f>
        <v>0</v>
      </c>
      <c r="P20" s="5">
        <f>INDEX(rrcworking[Disposition Volume (MCF) @ 14.65 MCF],MATCH('Jan 2020 EDI'!F20,rrcworking[RRC ID],0))</f>
        <v>0</v>
      </c>
      <c r="Y20" s="5">
        <f>INDEX(rrcworking[Oil Production],MATCH('Jan 2020 EDI'!F20,rrcworking[RRC ID],0))</f>
        <v>0</v>
      </c>
      <c r="AA20" s="5">
        <f>INDEX(rrcworking[Sales/Dispostion],MATCH('Jan 2020 EDI'!F20,rrcworking[RRC ID],0))</f>
        <v>0</v>
      </c>
      <c r="AQ20" s="5">
        <f>INDEX(rrcworking[Closing Stock (Oil)],MATCH('Jan 2020 EDI'!F20,rrcworking[RRC ID],0))</f>
        <v>240</v>
      </c>
    </row>
    <row r="21" spans="1:43">
      <c r="A21" s="4" t="s">
        <v>1</v>
      </c>
      <c r="B21" s="1" t="s">
        <v>921</v>
      </c>
      <c r="C21" s="10" t="s">
        <v>911</v>
      </c>
      <c r="D21" s="1" t="s">
        <v>618</v>
      </c>
      <c r="E21" s="1" t="s">
        <v>59</v>
      </c>
      <c r="F21" s="1" t="s">
        <v>433</v>
      </c>
      <c r="I21" s="10" t="s">
        <v>3</v>
      </c>
      <c r="J21" s="124" t="s">
        <v>3</v>
      </c>
      <c r="K21" s="1" t="s">
        <v>1094</v>
      </c>
      <c r="M21" s="5">
        <v>201912</v>
      </c>
      <c r="N21" s="5">
        <f>INDEX(rrcworking[Formation Production (MCF) @ 14.65 psi],MATCH('Jan 2020 EDI'!F21,rrcworking[RRC ID],0))</f>
        <v>0</v>
      </c>
      <c r="O21" s="5">
        <f>INDEX(rrcworking[Lease Use (MCF)],MATCH('Jan 2020 EDI'!F21,rrcworking[RRC ID],0))</f>
        <v>0</v>
      </c>
      <c r="P21" s="5">
        <f>INDEX(rrcworking[Disposition Volume (MCF) @ 14.65 MCF],MATCH('Jan 2020 EDI'!F21,rrcworking[RRC ID],0))</f>
        <v>0</v>
      </c>
      <c r="Y21" s="5">
        <f>INDEX(rrcworking[Oil Production],MATCH('Jan 2020 EDI'!F21,rrcworking[RRC ID],0))</f>
        <v>0</v>
      </c>
      <c r="AA21" s="5">
        <f>INDEX(rrcworking[Sales/Dispostion],MATCH('Jan 2020 EDI'!F21,rrcworking[RRC ID],0))</f>
        <v>0</v>
      </c>
      <c r="AQ21" s="5">
        <f>INDEX(rrcworking[Closing Stock (Oil)],MATCH('Jan 2020 EDI'!F21,rrcworking[RRC ID],0))</f>
        <v>0</v>
      </c>
    </row>
    <row r="22" spans="1:43">
      <c r="A22" s="4" t="s">
        <v>1</v>
      </c>
      <c r="B22" s="1" t="s">
        <v>922</v>
      </c>
      <c r="C22" s="10" t="s">
        <v>911</v>
      </c>
      <c r="D22" s="1" t="s">
        <v>618</v>
      </c>
      <c r="E22" s="1" t="s">
        <v>59</v>
      </c>
      <c r="F22" s="1" t="s">
        <v>434</v>
      </c>
      <c r="I22" s="10" t="s">
        <v>3</v>
      </c>
      <c r="J22" s="124" t="s">
        <v>3</v>
      </c>
      <c r="K22" s="1" t="s">
        <v>1094</v>
      </c>
      <c r="M22" s="5">
        <v>201912</v>
      </c>
      <c r="N22" s="5">
        <f>INDEX(rrcworking[Formation Production (MCF) @ 14.65 psi],MATCH('Jan 2020 EDI'!F22,rrcworking[RRC ID],0))</f>
        <v>0</v>
      </c>
      <c r="O22" s="5">
        <f>INDEX(rrcworking[Lease Use (MCF)],MATCH('Jan 2020 EDI'!F22,rrcworking[RRC ID],0))</f>
        <v>0</v>
      </c>
      <c r="P22" s="5">
        <f>INDEX(rrcworking[Disposition Volume (MCF) @ 14.65 MCF],MATCH('Jan 2020 EDI'!F22,rrcworking[RRC ID],0))</f>
        <v>0</v>
      </c>
      <c r="Y22" s="5">
        <f>INDEX(rrcworking[Oil Production],MATCH('Jan 2020 EDI'!F22,rrcworking[RRC ID],0))</f>
        <v>0</v>
      </c>
      <c r="AA22" s="5">
        <f>INDEX(rrcworking[Sales/Dispostion],MATCH('Jan 2020 EDI'!F22,rrcworking[RRC ID],0))</f>
        <v>0</v>
      </c>
      <c r="AQ22" s="5">
        <f>INDEX(rrcworking[Closing Stock (Oil)],MATCH('Jan 2020 EDI'!F22,rrcworking[RRC ID],0))</f>
        <v>0</v>
      </c>
    </row>
    <row r="23" spans="1:43">
      <c r="A23" s="4" t="s">
        <v>1</v>
      </c>
      <c r="B23" s="1" t="s">
        <v>923</v>
      </c>
      <c r="C23" s="10" t="s">
        <v>911</v>
      </c>
      <c r="D23" s="1" t="s">
        <v>618</v>
      </c>
      <c r="E23" s="1" t="s">
        <v>59</v>
      </c>
      <c r="F23" s="1" t="s">
        <v>435</v>
      </c>
      <c r="I23" s="10" t="s">
        <v>3</v>
      </c>
      <c r="J23" s="124" t="s">
        <v>3</v>
      </c>
      <c r="K23" s="1">
        <v>5048</v>
      </c>
      <c r="M23" s="5">
        <v>201912</v>
      </c>
      <c r="N23" s="5">
        <f>INDEX(rrcworking[Formation Production (MCF) @ 14.65 psi],MATCH('Jan 2020 EDI'!F23,rrcworking[RRC ID],0))</f>
        <v>1790</v>
      </c>
      <c r="O23" s="5">
        <f>INDEX(rrcworking[Lease Use (MCF)],MATCH('Jan 2020 EDI'!F23,rrcworking[RRC ID],0))</f>
        <v>0</v>
      </c>
      <c r="P23" s="5">
        <f>INDEX(rrcworking[Disposition Volume (MCF) @ 14.65 MCF],MATCH('Jan 2020 EDI'!F23,rrcworking[RRC ID],0))</f>
        <v>1790</v>
      </c>
      <c r="Y23" s="5">
        <f>INDEX(rrcworking[Oil Production],MATCH('Jan 2020 EDI'!F23,rrcworking[RRC ID],0))</f>
        <v>53</v>
      </c>
      <c r="AA23" s="5">
        <f>INDEX(rrcworking[Sales/Dispostion],MATCH('Jan 2020 EDI'!F23,rrcworking[RRC ID],0))</f>
        <v>181</v>
      </c>
      <c r="AQ23" s="5">
        <f>INDEX(rrcworking[Closing Stock (Oil)],MATCH('Jan 2020 EDI'!F23,rrcworking[RRC ID],0))</f>
        <v>94</v>
      </c>
    </row>
    <row r="24" spans="1:43">
      <c r="A24" s="4" t="s">
        <v>1</v>
      </c>
      <c r="B24" s="1" t="s">
        <v>924</v>
      </c>
      <c r="C24" s="10" t="s">
        <v>911</v>
      </c>
      <c r="D24" s="1" t="s">
        <v>618</v>
      </c>
      <c r="E24" s="1" t="s">
        <v>59</v>
      </c>
      <c r="F24" s="1" t="s">
        <v>436</v>
      </c>
      <c r="I24" s="10" t="s">
        <v>3</v>
      </c>
      <c r="J24" s="124" t="s">
        <v>3</v>
      </c>
      <c r="K24" s="1">
        <v>5048</v>
      </c>
      <c r="M24" s="5">
        <v>201912</v>
      </c>
      <c r="N24" s="5">
        <f>INDEX(rrcworking[Formation Production (MCF) @ 14.65 psi],MATCH('Jan 2020 EDI'!F24,rrcworking[RRC ID],0))</f>
        <v>0</v>
      </c>
      <c r="O24" s="5">
        <f>INDEX(rrcworking[Lease Use (MCF)],MATCH('Jan 2020 EDI'!F24,rrcworking[RRC ID],0))</f>
        <v>0</v>
      </c>
      <c r="P24" s="5">
        <f>INDEX(rrcworking[Disposition Volume (MCF) @ 14.65 MCF],MATCH('Jan 2020 EDI'!F24,rrcworking[RRC ID],0))</f>
        <v>0</v>
      </c>
      <c r="Y24" s="5">
        <f>INDEX(rrcworking[Oil Production],MATCH('Jan 2020 EDI'!F24,rrcworking[RRC ID],0))</f>
        <v>0</v>
      </c>
      <c r="AA24" s="5">
        <f>INDEX(rrcworking[Sales/Dispostion],MATCH('Jan 2020 EDI'!F24,rrcworking[RRC ID],0))</f>
        <v>0</v>
      </c>
      <c r="AQ24" s="5">
        <f>INDEX(rrcworking[Closing Stock (Oil)],MATCH('Jan 2020 EDI'!F24,rrcworking[RRC ID],0))</f>
        <v>0</v>
      </c>
    </row>
    <row r="25" spans="1:43">
      <c r="A25" s="4" t="s">
        <v>1</v>
      </c>
      <c r="B25" s="1" t="s">
        <v>925</v>
      </c>
      <c r="C25" s="10" t="s">
        <v>911</v>
      </c>
      <c r="D25" s="1" t="s">
        <v>618</v>
      </c>
      <c r="E25" s="1" t="s">
        <v>59</v>
      </c>
      <c r="F25" s="1" t="s">
        <v>437</v>
      </c>
      <c r="I25" s="10" t="s">
        <v>3</v>
      </c>
      <c r="J25" s="124" t="s">
        <v>3</v>
      </c>
      <c r="K25" s="1" t="s">
        <v>1094</v>
      </c>
      <c r="M25" s="5">
        <v>201912</v>
      </c>
      <c r="N25" s="5">
        <f>INDEX(rrcworking[Formation Production (MCF) @ 14.65 psi],MATCH('Jan 2020 EDI'!F25,rrcworking[RRC ID],0))</f>
        <v>0</v>
      </c>
      <c r="O25" s="5">
        <f>INDEX(rrcworking[Lease Use (MCF)],MATCH('Jan 2020 EDI'!F25,rrcworking[RRC ID],0))</f>
        <v>0</v>
      </c>
      <c r="P25" s="5">
        <f>INDEX(rrcworking[Disposition Volume (MCF) @ 14.65 MCF],MATCH('Jan 2020 EDI'!F25,rrcworking[RRC ID],0))</f>
        <v>0</v>
      </c>
      <c r="Y25" s="5">
        <f>INDEX(rrcworking[Oil Production],MATCH('Jan 2020 EDI'!F25,rrcworking[RRC ID],0))</f>
        <v>0</v>
      </c>
      <c r="AA25" s="5">
        <f>INDEX(rrcworking[Sales/Dispostion],MATCH('Jan 2020 EDI'!F25,rrcworking[RRC ID],0))</f>
        <v>0</v>
      </c>
      <c r="AQ25" s="5">
        <f>INDEX(rrcworking[Closing Stock (Oil)],MATCH('Jan 2020 EDI'!F25,rrcworking[RRC ID],0))</f>
        <v>80</v>
      </c>
    </row>
    <row r="26" spans="1:43">
      <c r="A26" s="4" t="s">
        <v>1</v>
      </c>
      <c r="B26" s="1" t="s">
        <v>926</v>
      </c>
      <c r="C26" s="10" t="s">
        <v>911</v>
      </c>
      <c r="D26" s="1" t="s">
        <v>618</v>
      </c>
      <c r="E26" s="1" t="s">
        <v>59</v>
      </c>
      <c r="F26" s="1" t="s">
        <v>438</v>
      </c>
      <c r="I26" s="10" t="s">
        <v>3</v>
      </c>
      <c r="J26" s="124" t="s">
        <v>3</v>
      </c>
      <c r="K26" s="1">
        <v>5113</v>
      </c>
      <c r="M26" s="5">
        <v>201912</v>
      </c>
      <c r="N26" s="5">
        <f>INDEX(rrcworking[Formation Production (MCF) @ 14.65 psi],MATCH('Jan 2020 EDI'!F26,rrcworking[RRC ID],0))</f>
        <v>0</v>
      </c>
      <c r="O26" s="5">
        <f>INDEX(rrcworking[Lease Use (MCF)],MATCH('Jan 2020 EDI'!F26,rrcworking[RRC ID],0))</f>
        <v>0</v>
      </c>
      <c r="P26" s="5">
        <f>INDEX(rrcworking[Disposition Volume (MCF) @ 14.65 MCF],MATCH('Jan 2020 EDI'!F26,rrcworking[RRC ID],0))</f>
        <v>0</v>
      </c>
      <c r="Y26" s="5">
        <f>INDEX(rrcworking[Oil Production],MATCH('Jan 2020 EDI'!F26,rrcworking[RRC ID],0))</f>
        <v>0</v>
      </c>
      <c r="AA26" s="5">
        <f>INDEX(rrcworking[Sales/Dispostion],MATCH('Jan 2020 EDI'!F26,rrcworking[RRC ID],0))</f>
        <v>0</v>
      </c>
      <c r="AQ26" s="5">
        <f>INDEX(rrcworking[Closing Stock (Oil)],MATCH('Jan 2020 EDI'!F26,rrcworking[RRC ID],0))</f>
        <v>84</v>
      </c>
    </row>
    <row r="27" spans="1:43">
      <c r="A27" s="4" t="s">
        <v>1</v>
      </c>
      <c r="B27" s="1" t="s">
        <v>927</v>
      </c>
      <c r="C27" s="10" t="s">
        <v>911</v>
      </c>
      <c r="D27" s="1" t="s">
        <v>618</v>
      </c>
      <c r="E27" s="1" t="s">
        <v>59</v>
      </c>
      <c r="F27" s="1" t="s">
        <v>439</v>
      </c>
      <c r="I27" s="10" t="s">
        <v>3</v>
      </c>
      <c r="J27" s="124" t="s">
        <v>3</v>
      </c>
      <c r="K27" s="1">
        <v>5113</v>
      </c>
      <c r="M27" s="5">
        <v>201912</v>
      </c>
      <c r="N27" s="5">
        <f>INDEX(rrcworking[Formation Production (MCF) @ 14.65 psi],MATCH('Jan 2020 EDI'!F27,rrcworking[RRC ID],0))</f>
        <v>0</v>
      </c>
      <c r="O27" s="5">
        <f>INDEX(rrcworking[Lease Use (MCF)],MATCH('Jan 2020 EDI'!F27,rrcworking[RRC ID],0))</f>
        <v>0</v>
      </c>
      <c r="P27" s="5">
        <f>INDEX(rrcworking[Disposition Volume (MCF) @ 14.65 MCF],MATCH('Jan 2020 EDI'!F27,rrcworking[RRC ID],0))</f>
        <v>0</v>
      </c>
      <c r="Y27" s="5">
        <f>INDEX(rrcworking[Oil Production],MATCH('Jan 2020 EDI'!F27,rrcworking[RRC ID],0))</f>
        <v>0</v>
      </c>
      <c r="AA27" s="5">
        <f>INDEX(rrcworking[Sales/Dispostion],MATCH('Jan 2020 EDI'!F27,rrcworking[RRC ID],0))</f>
        <v>0</v>
      </c>
      <c r="AQ27" s="5">
        <f>INDEX(rrcworking[Closing Stock (Oil)],MATCH('Jan 2020 EDI'!F27,rrcworking[RRC ID],0))</f>
        <v>0</v>
      </c>
    </row>
    <row r="28" spans="1:43">
      <c r="A28" s="4" t="s">
        <v>1</v>
      </c>
      <c r="B28" s="1" t="s">
        <v>928</v>
      </c>
      <c r="C28" s="10" t="s">
        <v>911</v>
      </c>
      <c r="D28" s="1" t="s">
        <v>618</v>
      </c>
      <c r="E28" s="1" t="s">
        <v>2</v>
      </c>
      <c r="F28" s="1" t="s">
        <v>440</v>
      </c>
      <c r="I28" s="10" t="s">
        <v>3</v>
      </c>
      <c r="J28" s="124" t="s">
        <v>3</v>
      </c>
      <c r="K28" s="1" t="s">
        <v>1094</v>
      </c>
      <c r="M28" s="5">
        <v>201912</v>
      </c>
      <c r="N28" s="5">
        <f>INDEX(rrcworking[Formation Production (MCF) @ 14.65 psi],MATCH('Jan 2020 EDI'!F28,rrcworking[RRC ID],0))</f>
        <v>0</v>
      </c>
      <c r="O28" s="5">
        <f>INDEX(rrcworking[Lease Use (MCF)],MATCH('Jan 2020 EDI'!F28,rrcworking[RRC ID],0))</f>
        <v>0</v>
      </c>
      <c r="P28" s="5">
        <f>INDEX(rrcworking[Disposition Volume (MCF) @ 14.65 MCF],MATCH('Jan 2020 EDI'!F28,rrcworking[RRC ID],0))</f>
        <v>0</v>
      </c>
      <c r="Y28" s="5">
        <f>INDEX(rrcworking[Oil Production],MATCH('Jan 2020 EDI'!F28,rrcworking[RRC ID],0))</f>
        <v>0</v>
      </c>
      <c r="AA28" s="5">
        <f>INDEX(rrcworking[Sales/Dispostion],MATCH('Jan 2020 EDI'!F28,rrcworking[RRC ID],0))</f>
        <v>0</v>
      </c>
      <c r="AQ28" s="5">
        <f>INDEX(rrcworking[Closing Stock (Oil)],MATCH('Jan 2020 EDI'!F28,rrcworking[RRC ID],0))</f>
        <v>0</v>
      </c>
    </row>
    <row r="29" spans="1:43">
      <c r="A29" s="4" t="s">
        <v>1</v>
      </c>
      <c r="B29" s="1" t="s">
        <v>929</v>
      </c>
      <c r="C29" s="10" t="s">
        <v>911</v>
      </c>
      <c r="D29" s="1" t="s">
        <v>618</v>
      </c>
      <c r="E29" s="1" t="s">
        <v>2</v>
      </c>
      <c r="F29" s="1" t="s">
        <v>441</v>
      </c>
      <c r="I29" s="10" t="s">
        <v>3</v>
      </c>
      <c r="J29" s="124" t="s">
        <v>3</v>
      </c>
      <c r="K29" s="1" t="s">
        <v>1094</v>
      </c>
      <c r="M29" s="5">
        <v>201912</v>
      </c>
      <c r="N29" s="5">
        <f>INDEX(rrcworking[Formation Production (MCF) @ 14.65 psi],MATCH('Jan 2020 EDI'!F29,rrcworking[RRC ID],0))</f>
        <v>0</v>
      </c>
      <c r="O29" s="5">
        <f>INDEX(rrcworking[Lease Use (MCF)],MATCH('Jan 2020 EDI'!F29,rrcworking[RRC ID],0))</f>
        <v>0</v>
      </c>
      <c r="P29" s="5">
        <f>INDEX(rrcworking[Disposition Volume (MCF) @ 14.65 MCF],MATCH('Jan 2020 EDI'!F29,rrcworking[RRC ID],0))</f>
        <v>0</v>
      </c>
      <c r="Y29" s="5">
        <f>INDEX(rrcworking[Oil Production],MATCH('Jan 2020 EDI'!F29,rrcworking[RRC ID],0))</f>
        <v>0</v>
      </c>
      <c r="AA29" s="5">
        <f>INDEX(rrcworking[Sales/Dispostion],MATCH('Jan 2020 EDI'!F29,rrcworking[RRC ID],0))</f>
        <v>0</v>
      </c>
      <c r="AQ29" s="5">
        <f>INDEX(rrcworking[Closing Stock (Oil)],MATCH('Jan 2020 EDI'!F29,rrcworking[RRC ID],0))</f>
        <v>0</v>
      </c>
    </row>
    <row r="30" spans="1:43">
      <c r="A30" s="4" t="s">
        <v>1</v>
      </c>
      <c r="B30" s="1" t="s">
        <v>930</v>
      </c>
      <c r="C30" s="10" t="s">
        <v>911</v>
      </c>
      <c r="D30" s="1" t="s">
        <v>618</v>
      </c>
      <c r="E30" s="1" t="s">
        <v>2</v>
      </c>
      <c r="F30" s="1" t="s">
        <v>442</v>
      </c>
      <c r="I30" s="10" t="s">
        <v>3</v>
      </c>
      <c r="J30" s="124" t="s">
        <v>3</v>
      </c>
      <c r="K30" s="1" t="s">
        <v>1094</v>
      </c>
      <c r="M30" s="5">
        <v>201912</v>
      </c>
      <c r="N30" s="5">
        <f>INDEX(rrcworking[Formation Production (MCF) @ 14.65 psi],MATCH('Jan 2020 EDI'!F30,rrcworking[RRC ID],0))</f>
        <v>0</v>
      </c>
      <c r="O30" s="5">
        <f>INDEX(rrcworking[Lease Use (MCF)],MATCH('Jan 2020 EDI'!F30,rrcworking[RRC ID],0))</f>
        <v>0</v>
      </c>
      <c r="P30" s="5">
        <f>INDEX(rrcworking[Disposition Volume (MCF) @ 14.65 MCF],MATCH('Jan 2020 EDI'!F30,rrcworking[RRC ID],0))</f>
        <v>0</v>
      </c>
      <c r="Y30" s="5">
        <f>INDEX(rrcworking[Oil Production],MATCH('Jan 2020 EDI'!F30,rrcworking[RRC ID],0))</f>
        <v>0</v>
      </c>
      <c r="AA30" s="5">
        <f>INDEX(rrcworking[Sales/Dispostion],MATCH('Jan 2020 EDI'!F30,rrcworking[RRC ID],0))</f>
        <v>0</v>
      </c>
      <c r="AQ30" s="5">
        <f>INDEX(rrcworking[Closing Stock (Oil)],MATCH('Jan 2020 EDI'!F30,rrcworking[RRC ID],0))</f>
        <v>0</v>
      </c>
    </row>
    <row r="31" spans="1:43">
      <c r="A31" s="4" t="s">
        <v>1</v>
      </c>
      <c r="B31" s="1" t="s">
        <v>931</v>
      </c>
      <c r="C31" s="10" t="s">
        <v>911</v>
      </c>
      <c r="D31" s="1" t="s">
        <v>618</v>
      </c>
      <c r="E31" s="1" t="s">
        <v>2</v>
      </c>
      <c r="F31" s="1" t="s">
        <v>443</v>
      </c>
      <c r="I31" s="10" t="s">
        <v>3</v>
      </c>
      <c r="J31" s="124" t="s">
        <v>3</v>
      </c>
      <c r="K31" s="1" t="s">
        <v>1094</v>
      </c>
      <c r="M31" s="5">
        <v>201912</v>
      </c>
      <c r="N31" s="5">
        <f>INDEX(rrcworking[Formation Production (MCF) @ 14.65 psi],MATCH('Jan 2020 EDI'!F31,rrcworking[RRC ID],0))</f>
        <v>0</v>
      </c>
      <c r="O31" s="5">
        <f>INDEX(rrcworking[Lease Use (MCF)],MATCH('Jan 2020 EDI'!F31,rrcworking[RRC ID],0))</f>
        <v>0</v>
      </c>
      <c r="P31" s="5">
        <f>INDEX(rrcworking[Disposition Volume (MCF) @ 14.65 MCF],MATCH('Jan 2020 EDI'!F31,rrcworking[RRC ID],0))</f>
        <v>0</v>
      </c>
      <c r="Y31" s="5">
        <f>INDEX(rrcworking[Oil Production],MATCH('Jan 2020 EDI'!F31,rrcworking[RRC ID],0))</f>
        <v>0</v>
      </c>
      <c r="AA31" s="5">
        <f>INDEX(rrcworking[Sales/Dispostion],MATCH('Jan 2020 EDI'!F31,rrcworking[RRC ID],0))</f>
        <v>0</v>
      </c>
      <c r="AQ31" s="5">
        <f>INDEX(rrcworking[Closing Stock (Oil)],MATCH('Jan 2020 EDI'!F31,rrcworking[RRC ID],0))</f>
        <v>0</v>
      </c>
    </row>
    <row r="32" spans="1:43">
      <c r="A32" s="4" t="s">
        <v>1</v>
      </c>
      <c r="B32" s="1" t="s">
        <v>932</v>
      </c>
      <c r="C32" s="10" t="s">
        <v>911</v>
      </c>
      <c r="D32" s="1" t="s">
        <v>618</v>
      </c>
      <c r="E32" s="1" t="s">
        <v>2</v>
      </c>
      <c r="F32" s="1" t="s">
        <v>444</v>
      </c>
      <c r="I32" s="10" t="s">
        <v>3</v>
      </c>
      <c r="J32" s="124" t="s">
        <v>3</v>
      </c>
      <c r="K32" s="1" t="s">
        <v>1094</v>
      </c>
      <c r="M32" s="5">
        <v>201912</v>
      </c>
      <c r="N32" s="5">
        <f>INDEX(rrcworking[Formation Production (MCF) @ 14.65 psi],MATCH('Jan 2020 EDI'!F32,rrcworking[RRC ID],0))</f>
        <v>0</v>
      </c>
      <c r="O32" s="5">
        <f>INDEX(rrcworking[Lease Use (MCF)],MATCH('Jan 2020 EDI'!F32,rrcworking[RRC ID],0))</f>
        <v>0</v>
      </c>
      <c r="P32" s="5">
        <f>INDEX(rrcworking[Disposition Volume (MCF) @ 14.65 MCF],MATCH('Jan 2020 EDI'!F32,rrcworking[RRC ID],0))</f>
        <v>0</v>
      </c>
      <c r="Y32" s="5">
        <f>INDEX(rrcworking[Oil Production],MATCH('Jan 2020 EDI'!F32,rrcworking[RRC ID],0))</f>
        <v>0</v>
      </c>
      <c r="AA32" s="5">
        <f>INDEX(rrcworking[Sales/Dispostion],MATCH('Jan 2020 EDI'!F32,rrcworking[RRC ID],0))</f>
        <v>0</v>
      </c>
      <c r="AQ32" s="5">
        <f>INDEX(rrcworking[Closing Stock (Oil)],MATCH('Jan 2020 EDI'!F32,rrcworking[RRC ID],0))</f>
        <v>0</v>
      </c>
    </row>
    <row r="33" spans="1:43">
      <c r="A33" s="4" t="s">
        <v>1</v>
      </c>
      <c r="B33" s="1" t="s">
        <v>933</v>
      </c>
      <c r="C33" s="10" t="s">
        <v>911</v>
      </c>
      <c r="D33" s="1" t="s">
        <v>618</v>
      </c>
      <c r="E33" s="1" t="s">
        <v>59</v>
      </c>
      <c r="F33" s="1" t="s">
        <v>445</v>
      </c>
      <c r="I33" s="10" t="s">
        <v>3</v>
      </c>
      <c r="J33" s="124" t="s">
        <v>3</v>
      </c>
      <c r="K33" s="1" t="s">
        <v>1094</v>
      </c>
      <c r="M33" s="5">
        <v>201912</v>
      </c>
      <c r="N33" s="5">
        <f>INDEX(rrcworking[Formation Production (MCF) @ 14.65 psi],MATCH('Jan 2020 EDI'!F33,rrcworking[RRC ID],0))</f>
        <v>0</v>
      </c>
      <c r="O33" s="5">
        <f>INDEX(rrcworking[Lease Use (MCF)],MATCH('Jan 2020 EDI'!F33,rrcworking[RRC ID],0))</f>
        <v>0</v>
      </c>
      <c r="P33" s="5">
        <f>INDEX(rrcworking[Disposition Volume (MCF) @ 14.65 MCF],MATCH('Jan 2020 EDI'!F33,rrcworking[RRC ID],0))</f>
        <v>0</v>
      </c>
      <c r="Y33" s="5">
        <f>INDEX(rrcworking[Oil Production],MATCH('Jan 2020 EDI'!F33,rrcworking[RRC ID],0))</f>
        <v>0</v>
      </c>
      <c r="AA33" s="5">
        <f>INDEX(rrcworking[Sales/Dispostion],MATCH('Jan 2020 EDI'!F33,rrcworking[RRC ID],0))</f>
        <v>0</v>
      </c>
      <c r="AQ33" s="5">
        <f>INDEX(rrcworking[Closing Stock (Oil)],MATCH('Jan 2020 EDI'!F33,rrcworking[RRC ID],0))</f>
        <v>0</v>
      </c>
    </row>
    <row r="34" spans="1:43">
      <c r="A34" s="4" t="s">
        <v>1</v>
      </c>
      <c r="B34" s="1" t="s">
        <v>934</v>
      </c>
      <c r="C34" s="10" t="s">
        <v>911</v>
      </c>
      <c r="D34" s="1" t="s">
        <v>618</v>
      </c>
      <c r="E34" s="1" t="s">
        <v>2</v>
      </c>
      <c r="F34" s="1" t="s">
        <v>446</v>
      </c>
      <c r="I34" s="10" t="s">
        <v>3</v>
      </c>
      <c r="J34" s="124" t="s">
        <v>3</v>
      </c>
      <c r="K34" s="1" t="s">
        <v>1094</v>
      </c>
      <c r="M34" s="5">
        <v>201912</v>
      </c>
      <c r="N34" s="5">
        <f>INDEX(rrcworking[Formation Production (MCF) @ 14.65 psi],MATCH('Jan 2020 EDI'!F34,rrcworking[RRC ID],0))</f>
        <v>0</v>
      </c>
      <c r="O34" s="5">
        <f>INDEX(rrcworking[Lease Use (MCF)],MATCH('Jan 2020 EDI'!F34,rrcworking[RRC ID],0))</f>
        <v>0</v>
      </c>
      <c r="P34" s="5">
        <f>INDEX(rrcworking[Disposition Volume (MCF) @ 14.65 MCF],MATCH('Jan 2020 EDI'!F34,rrcworking[RRC ID],0))</f>
        <v>0</v>
      </c>
      <c r="Y34" s="5">
        <f>INDEX(rrcworking[Oil Production],MATCH('Jan 2020 EDI'!F34,rrcworking[RRC ID],0))</f>
        <v>0</v>
      </c>
      <c r="AA34" s="5">
        <f>INDEX(rrcworking[Sales/Dispostion],MATCH('Jan 2020 EDI'!F34,rrcworking[RRC ID],0))</f>
        <v>0</v>
      </c>
      <c r="AQ34" s="5">
        <f>INDEX(rrcworking[Closing Stock (Oil)],MATCH('Jan 2020 EDI'!F34,rrcworking[RRC ID],0))</f>
        <v>213</v>
      </c>
    </row>
    <row r="35" spans="1:43">
      <c r="A35" s="4" t="s">
        <v>1</v>
      </c>
      <c r="B35" s="1" t="s">
        <v>935</v>
      </c>
      <c r="C35" s="10" t="s">
        <v>911</v>
      </c>
      <c r="D35" s="1" t="s">
        <v>618</v>
      </c>
      <c r="E35" s="1" t="s">
        <v>59</v>
      </c>
      <c r="F35" s="1" t="s">
        <v>447</v>
      </c>
      <c r="I35" s="10" t="s">
        <v>3</v>
      </c>
      <c r="J35" s="124" t="s">
        <v>3</v>
      </c>
      <c r="K35" s="1">
        <v>5048</v>
      </c>
      <c r="M35" s="5">
        <v>201912</v>
      </c>
      <c r="N35" s="5">
        <f>INDEX(rrcworking[Formation Production (MCF) @ 14.65 psi],MATCH('Jan 2020 EDI'!F35,rrcworking[RRC ID],0))</f>
        <v>0</v>
      </c>
      <c r="O35" s="5">
        <f>INDEX(rrcworking[Lease Use (MCF)],MATCH('Jan 2020 EDI'!F35,rrcworking[RRC ID],0))</f>
        <v>0</v>
      </c>
      <c r="P35" s="5">
        <f>INDEX(rrcworking[Disposition Volume (MCF) @ 14.65 MCF],MATCH('Jan 2020 EDI'!F35,rrcworking[RRC ID],0))</f>
        <v>0</v>
      </c>
      <c r="Y35" s="5">
        <f>INDEX(rrcworking[Oil Production],MATCH('Jan 2020 EDI'!F35,rrcworking[RRC ID],0))</f>
        <v>0</v>
      </c>
      <c r="AA35" s="5">
        <f>INDEX(rrcworking[Sales/Dispostion],MATCH('Jan 2020 EDI'!F35,rrcworking[RRC ID],0))</f>
        <v>0</v>
      </c>
      <c r="AQ35" s="5">
        <f>INDEX(rrcworking[Closing Stock (Oil)],MATCH('Jan 2020 EDI'!F35,rrcworking[RRC ID],0))</f>
        <v>0</v>
      </c>
    </row>
    <row r="36" spans="1:43">
      <c r="A36" s="4" t="s">
        <v>1</v>
      </c>
      <c r="B36" s="1" t="s">
        <v>936</v>
      </c>
      <c r="C36" s="10" t="s">
        <v>911</v>
      </c>
      <c r="D36" s="1" t="s">
        <v>618</v>
      </c>
      <c r="E36" s="1" t="s">
        <v>59</v>
      </c>
      <c r="F36" s="1" t="s">
        <v>448</v>
      </c>
      <c r="I36" s="10" t="s">
        <v>3</v>
      </c>
      <c r="J36" s="124" t="s">
        <v>3</v>
      </c>
      <c r="K36" s="1" t="s">
        <v>1094</v>
      </c>
      <c r="M36" s="5">
        <v>201912</v>
      </c>
      <c r="N36" s="5">
        <f>INDEX(rrcworking[Formation Production (MCF) @ 14.65 psi],MATCH('Jan 2020 EDI'!F36,rrcworking[RRC ID],0))</f>
        <v>0</v>
      </c>
      <c r="O36" s="5">
        <f>INDEX(rrcworking[Lease Use (MCF)],MATCH('Jan 2020 EDI'!F36,rrcworking[RRC ID],0))</f>
        <v>0</v>
      </c>
      <c r="P36" s="5">
        <f>INDEX(rrcworking[Disposition Volume (MCF) @ 14.65 MCF],MATCH('Jan 2020 EDI'!F36,rrcworking[RRC ID],0))</f>
        <v>0</v>
      </c>
      <c r="Y36" s="5">
        <f>INDEX(rrcworking[Oil Production],MATCH('Jan 2020 EDI'!F36,rrcworking[RRC ID],0))</f>
        <v>0</v>
      </c>
      <c r="AA36" s="5">
        <f>INDEX(rrcworking[Sales/Dispostion],MATCH('Jan 2020 EDI'!F36,rrcworking[RRC ID],0))</f>
        <v>0</v>
      </c>
      <c r="AQ36" s="5">
        <f>INDEX(rrcworking[Closing Stock (Oil)],MATCH('Jan 2020 EDI'!F36,rrcworking[RRC ID],0))</f>
        <v>166</v>
      </c>
    </row>
    <row r="37" spans="1:43">
      <c r="A37" s="4" t="s">
        <v>1</v>
      </c>
      <c r="B37" s="1" t="s">
        <v>937</v>
      </c>
      <c r="C37" s="10" t="s">
        <v>911</v>
      </c>
      <c r="D37" s="1" t="s">
        <v>618</v>
      </c>
      <c r="E37" s="1" t="s">
        <v>59</v>
      </c>
      <c r="F37" s="1" t="s">
        <v>449</v>
      </c>
      <c r="I37" s="10" t="s">
        <v>3</v>
      </c>
      <c r="J37" s="124" t="s">
        <v>3</v>
      </c>
      <c r="K37" s="1" t="s">
        <v>1094</v>
      </c>
      <c r="M37" s="5">
        <v>201912</v>
      </c>
      <c r="N37" s="5">
        <f>INDEX(rrcworking[Formation Production (MCF) @ 14.65 psi],MATCH('Jan 2020 EDI'!F37,rrcworking[RRC ID],0))</f>
        <v>0</v>
      </c>
      <c r="O37" s="5">
        <f>INDEX(rrcworking[Lease Use (MCF)],MATCH('Jan 2020 EDI'!F37,rrcworking[RRC ID],0))</f>
        <v>0</v>
      </c>
      <c r="P37" s="5">
        <f>INDEX(rrcworking[Disposition Volume (MCF) @ 14.65 MCF],MATCH('Jan 2020 EDI'!F37,rrcworking[RRC ID],0))</f>
        <v>0</v>
      </c>
      <c r="Y37" s="5">
        <f>INDEX(rrcworking[Oil Production],MATCH('Jan 2020 EDI'!F37,rrcworking[RRC ID],0))</f>
        <v>0</v>
      </c>
      <c r="AA37" s="5">
        <f>INDEX(rrcworking[Sales/Dispostion],MATCH('Jan 2020 EDI'!F37,rrcworking[RRC ID],0))</f>
        <v>0</v>
      </c>
      <c r="AQ37" s="5">
        <f>INDEX(rrcworking[Closing Stock (Oil)],MATCH('Jan 2020 EDI'!F37,rrcworking[RRC ID],0))</f>
        <v>0</v>
      </c>
    </row>
    <row r="38" spans="1:43">
      <c r="A38" s="4" t="s">
        <v>1</v>
      </c>
      <c r="B38" s="1" t="s">
        <v>938</v>
      </c>
      <c r="C38" s="10" t="s">
        <v>911</v>
      </c>
      <c r="D38" s="1" t="s">
        <v>618</v>
      </c>
      <c r="E38" s="1" t="s">
        <v>59</v>
      </c>
      <c r="F38" s="1" t="s">
        <v>450</v>
      </c>
      <c r="I38" s="10" t="s">
        <v>3</v>
      </c>
      <c r="J38" s="124" t="s">
        <v>3</v>
      </c>
      <c r="K38" s="1" t="s">
        <v>1094</v>
      </c>
      <c r="M38" s="5">
        <v>201912</v>
      </c>
      <c r="N38" s="5">
        <f>INDEX(rrcworking[Formation Production (MCF) @ 14.65 psi],MATCH('Jan 2020 EDI'!F38,rrcworking[RRC ID],0))</f>
        <v>0</v>
      </c>
      <c r="O38" s="5">
        <f>INDEX(rrcworking[Lease Use (MCF)],MATCH('Jan 2020 EDI'!F38,rrcworking[RRC ID],0))</f>
        <v>0</v>
      </c>
      <c r="P38" s="5">
        <f>INDEX(rrcworking[Disposition Volume (MCF) @ 14.65 MCF],MATCH('Jan 2020 EDI'!F38,rrcworking[RRC ID],0))</f>
        <v>0</v>
      </c>
      <c r="Y38" s="5">
        <f>INDEX(rrcworking[Oil Production],MATCH('Jan 2020 EDI'!F38,rrcworking[RRC ID],0))</f>
        <v>0</v>
      </c>
      <c r="AA38" s="5">
        <f>INDEX(rrcworking[Sales/Dispostion],MATCH('Jan 2020 EDI'!F38,rrcworking[RRC ID],0))</f>
        <v>0</v>
      </c>
      <c r="AQ38" s="5">
        <f>INDEX(rrcworking[Closing Stock (Oil)],MATCH('Jan 2020 EDI'!F38,rrcworking[RRC ID],0))</f>
        <v>0</v>
      </c>
    </row>
    <row r="39" spans="1:43">
      <c r="A39" s="4" t="s">
        <v>1</v>
      </c>
      <c r="B39" s="1" t="s">
        <v>939</v>
      </c>
      <c r="C39" s="10" t="s">
        <v>911</v>
      </c>
      <c r="D39" s="1" t="s">
        <v>618</v>
      </c>
      <c r="E39" s="1" t="s">
        <v>59</v>
      </c>
      <c r="F39" s="1" t="s">
        <v>451</v>
      </c>
      <c r="I39" s="10" t="s">
        <v>3</v>
      </c>
      <c r="J39" s="124" t="s">
        <v>3</v>
      </c>
      <c r="K39" s="1" t="s">
        <v>1094</v>
      </c>
      <c r="M39" s="5">
        <v>201912</v>
      </c>
      <c r="N39" s="5">
        <f>INDEX(rrcworking[Formation Production (MCF) @ 14.65 psi],MATCH('Jan 2020 EDI'!F39,rrcworking[RRC ID],0))</f>
        <v>0</v>
      </c>
      <c r="O39" s="5">
        <f>INDEX(rrcworking[Lease Use (MCF)],MATCH('Jan 2020 EDI'!F39,rrcworking[RRC ID],0))</f>
        <v>0</v>
      </c>
      <c r="P39" s="5">
        <f>INDEX(rrcworking[Disposition Volume (MCF) @ 14.65 MCF],MATCH('Jan 2020 EDI'!F39,rrcworking[RRC ID],0))</f>
        <v>0</v>
      </c>
      <c r="Y39" s="5">
        <f>INDEX(rrcworking[Oil Production],MATCH('Jan 2020 EDI'!F39,rrcworking[RRC ID],0))</f>
        <v>0</v>
      </c>
      <c r="AA39" s="5">
        <f>INDEX(rrcworking[Sales/Dispostion],MATCH('Jan 2020 EDI'!F39,rrcworking[RRC ID],0))</f>
        <v>0</v>
      </c>
      <c r="AQ39" s="5">
        <f>INDEX(rrcworking[Closing Stock (Oil)],MATCH('Jan 2020 EDI'!F39,rrcworking[RRC ID],0))</f>
        <v>0</v>
      </c>
    </row>
    <row r="40" spans="1:43">
      <c r="A40" s="4" t="s">
        <v>1</v>
      </c>
      <c r="B40" s="1" t="s">
        <v>940</v>
      </c>
      <c r="C40" s="10" t="s">
        <v>911</v>
      </c>
      <c r="D40" s="1" t="s">
        <v>618</v>
      </c>
      <c r="E40" s="1" t="s">
        <v>2</v>
      </c>
      <c r="F40" s="1" t="s">
        <v>452</v>
      </c>
      <c r="I40" s="10" t="s">
        <v>3</v>
      </c>
      <c r="J40" s="124" t="s">
        <v>3</v>
      </c>
      <c r="K40" s="1" t="s">
        <v>1094</v>
      </c>
      <c r="M40" s="5">
        <v>201912</v>
      </c>
      <c r="N40" s="5">
        <f>INDEX(rrcworking[Formation Production (MCF) @ 14.65 psi],MATCH('Jan 2020 EDI'!F40,rrcworking[RRC ID],0))</f>
        <v>0</v>
      </c>
      <c r="O40" s="5">
        <f>INDEX(rrcworking[Lease Use (MCF)],MATCH('Jan 2020 EDI'!F40,rrcworking[RRC ID],0))</f>
        <v>0</v>
      </c>
      <c r="P40" s="5">
        <f>INDEX(rrcworking[Disposition Volume (MCF) @ 14.65 MCF],MATCH('Jan 2020 EDI'!F40,rrcworking[RRC ID],0))</f>
        <v>0</v>
      </c>
      <c r="Y40" s="5">
        <f>INDEX(rrcworking[Oil Production],MATCH('Jan 2020 EDI'!F40,rrcworking[RRC ID],0))</f>
        <v>0</v>
      </c>
      <c r="AA40" s="5">
        <f>INDEX(rrcworking[Sales/Dispostion],MATCH('Jan 2020 EDI'!F40,rrcworking[RRC ID],0))</f>
        <v>0</v>
      </c>
      <c r="AQ40" s="5">
        <f>INDEX(rrcworking[Closing Stock (Oil)],MATCH('Jan 2020 EDI'!F40,rrcworking[RRC ID],0))</f>
        <v>0</v>
      </c>
    </row>
    <row r="41" spans="1:43">
      <c r="A41" s="4" t="s">
        <v>1</v>
      </c>
      <c r="B41" s="1" t="s">
        <v>941</v>
      </c>
      <c r="C41" s="10" t="s">
        <v>911</v>
      </c>
      <c r="D41" s="1" t="s">
        <v>618</v>
      </c>
      <c r="E41" s="1" t="s">
        <v>59</v>
      </c>
      <c r="F41" s="1" t="s">
        <v>453</v>
      </c>
      <c r="I41" s="10" t="s">
        <v>3</v>
      </c>
      <c r="J41" s="124" t="s">
        <v>3</v>
      </c>
      <c r="K41" s="1" t="s">
        <v>1094</v>
      </c>
      <c r="M41" s="5">
        <v>201912</v>
      </c>
      <c r="N41" s="5">
        <f>INDEX(rrcworking[Formation Production (MCF) @ 14.65 psi],MATCH('Jan 2020 EDI'!F41,rrcworking[RRC ID],0))</f>
        <v>0</v>
      </c>
      <c r="O41" s="5">
        <f>INDEX(rrcworking[Lease Use (MCF)],MATCH('Jan 2020 EDI'!F41,rrcworking[RRC ID],0))</f>
        <v>0</v>
      </c>
      <c r="P41" s="5">
        <f>INDEX(rrcworking[Disposition Volume (MCF) @ 14.65 MCF],MATCH('Jan 2020 EDI'!F41,rrcworking[RRC ID],0))</f>
        <v>0</v>
      </c>
      <c r="Y41" s="5">
        <f>INDEX(rrcworking[Oil Production],MATCH('Jan 2020 EDI'!F41,rrcworking[RRC ID],0))</f>
        <v>0</v>
      </c>
      <c r="AA41" s="5">
        <f>INDEX(rrcworking[Sales/Dispostion],MATCH('Jan 2020 EDI'!F41,rrcworking[RRC ID],0))</f>
        <v>0</v>
      </c>
      <c r="AQ41" s="5">
        <f>INDEX(rrcworking[Closing Stock (Oil)],MATCH('Jan 2020 EDI'!F41,rrcworking[RRC ID],0))</f>
        <v>0</v>
      </c>
    </row>
    <row r="42" spans="1:43">
      <c r="A42" s="4" t="s">
        <v>1</v>
      </c>
      <c r="B42" s="1" t="s">
        <v>942</v>
      </c>
      <c r="C42" s="10" t="s">
        <v>911</v>
      </c>
      <c r="D42" s="1" t="s">
        <v>618</v>
      </c>
      <c r="E42" s="1" t="s">
        <v>59</v>
      </c>
      <c r="F42" s="1" t="s">
        <v>454</v>
      </c>
      <c r="I42" s="10" t="s">
        <v>3</v>
      </c>
      <c r="J42" s="124" t="s">
        <v>3</v>
      </c>
      <c r="K42" s="1" t="s">
        <v>1094</v>
      </c>
      <c r="M42" s="5">
        <v>201912</v>
      </c>
      <c r="N42" s="5">
        <f>INDEX(rrcworking[Formation Production (MCF) @ 14.65 psi],MATCH('Jan 2020 EDI'!F42,rrcworking[RRC ID],0))</f>
        <v>0</v>
      </c>
      <c r="O42" s="5">
        <f>INDEX(rrcworking[Lease Use (MCF)],MATCH('Jan 2020 EDI'!F42,rrcworking[RRC ID],0))</f>
        <v>0</v>
      </c>
      <c r="P42" s="5">
        <f>INDEX(rrcworking[Disposition Volume (MCF) @ 14.65 MCF],MATCH('Jan 2020 EDI'!F42,rrcworking[RRC ID],0))</f>
        <v>0</v>
      </c>
      <c r="Y42" s="5">
        <f>INDEX(rrcworking[Oil Production],MATCH('Jan 2020 EDI'!F42,rrcworking[RRC ID],0))</f>
        <v>0</v>
      </c>
      <c r="AA42" s="5">
        <f>INDEX(rrcworking[Sales/Dispostion],MATCH('Jan 2020 EDI'!F42,rrcworking[RRC ID],0))</f>
        <v>0</v>
      </c>
      <c r="AQ42" s="5">
        <f>INDEX(rrcworking[Closing Stock (Oil)],MATCH('Jan 2020 EDI'!F42,rrcworking[RRC ID],0))</f>
        <v>0</v>
      </c>
    </row>
    <row r="43" spans="1:43">
      <c r="A43" s="4" t="s">
        <v>1</v>
      </c>
      <c r="B43" s="1" t="s">
        <v>943</v>
      </c>
      <c r="C43" s="10" t="s">
        <v>911</v>
      </c>
      <c r="D43" s="1" t="s">
        <v>618</v>
      </c>
      <c r="E43" s="1" t="s">
        <v>59</v>
      </c>
      <c r="F43" s="1" t="s">
        <v>455</v>
      </c>
      <c r="I43" s="10" t="s">
        <v>3</v>
      </c>
      <c r="J43" s="124" t="s">
        <v>3</v>
      </c>
      <c r="K43" s="1" t="s">
        <v>1094</v>
      </c>
      <c r="M43" s="5">
        <v>201912</v>
      </c>
      <c r="N43" s="5">
        <f>INDEX(rrcworking[Formation Production (MCF) @ 14.65 psi],MATCH('Jan 2020 EDI'!F43,rrcworking[RRC ID],0))</f>
        <v>0</v>
      </c>
      <c r="O43" s="5">
        <f>INDEX(rrcworking[Lease Use (MCF)],MATCH('Jan 2020 EDI'!F43,rrcworking[RRC ID],0))</f>
        <v>0</v>
      </c>
      <c r="P43" s="5">
        <f>INDEX(rrcworking[Disposition Volume (MCF) @ 14.65 MCF],MATCH('Jan 2020 EDI'!F43,rrcworking[RRC ID],0))</f>
        <v>0</v>
      </c>
      <c r="Y43" s="5">
        <f>INDEX(rrcworking[Oil Production],MATCH('Jan 2020 EDI'!F43,rrcworking[RRC ID],0))</f>
        <v>0</v>
      </c>
      <c r="AA43" s="5">
        <f>INDEX(rrcworking[Sales/Dispostion],MATCH('Jan 2020 EDI'!F43,rrcworking[RRC ID],0))</f>
        <v>0</v>
      </c>
      <c r="AQ43" s="5">
        <f>INDEX(rrcworking[Closing Stock (Oil)],MATCH('Jan 2020 EDI'!F43,rrcworking[RRC ID],0))</f>
        <v>0</v>
      </c>
    </row>
    <row r="44" spans="1:43">
      <c r="A44" s="4" t="s">
        <v>1</v>
      </c>
      <c r="B44" s="1" t="s">
        <v>944</v>
      </c>
      <c r="C44" s="10" t="s">
        <v>911</v>
      </c>
      <c r="D44" s="1" t="s">
        <v>618</v>
      </c>
      <c r="E44" s="1" t="s">
        <v>59</v>
      </c>
      <c r="F44" s="1" t="s">
        <v>456</v>
      </c>
      <c r="I44" s="10" t="s">
        <v>3</v>
      </c>
      <c r="J44" s="124" t="s">
        <v>3</v>
      </c>
      <c r="K44" s="1" t="s">
        <v>1094</v>
      </c>
      <c r="M44" s="5">
        <v>201912</v>
      </c>
      <c r="N44" s="5">
        <f>INDEX(rrcworking[Formation Production (MCF) @ 14.65 psi],MATCH('Jan 2020 EDI'!F44,rrcworking[RRC ID],0))</f>
        <v>0</v>
      </c>
      <c r="O44" s="5">
        <f>INDEX(rrcworking[Lease Use (MCF)],MATCH('Jan 2020 EDI'!F44,rrcworking[RRC ID],0))</f>
        <v>0</v>
      </c>
      <c r="P44" s="5">
        <f>INDEX(rrcworking[Disposition Volume (MCF) @ 14.65 MCF],MATCH('Jan 2020 EDI'!F44,rrcworking[RRC ID],0))</f>
        <v>0</v>
      </c>
      <c r="Y44" s="5">
        <f>INDEX(rrcworking[Oil Production],MATCH('Jan 2020 EDI'!F44,rrcworking[RRC ID],0))</f>
        <v>0</v>
      </c>
      <c r="AA44" s="5">
        <f>INDEX(rrcworking[Sales/Dispostion],MATCH('Jan 2020 EDI'!F44,rrcworking[RRC ID],0))</f>
        <v>0</v>
      </c>
      <c r="AQ44" s="5">
        <f>INDEX(rrcworking[Closing Stock (Oil)],MATCH('Jan 2020 EDI'!F44,rrcworking[RRC ID],0))</f>
        <v>0</v>
      </c>
    </row>
    <row r="45" spans="1:43">
      <c r="A45" s="4" t="s">
        <v>1</v>
      </c>
      <c r="B45" s="1" t="s">
        <v>945</v>
      </c>
      <c r="C45" s="10" t="s">
        <v>911</v>
      </c>
      <c r="D45" s="1" t="s">
        <v>618</v>
      </c>
      <c r="E45" s="1" t="s">
        <v>2</v>
      </c>
      <c r="F45" s="1" t="s">
        <v>457</v>
      </c>
      <c r="I45" s="10" t="s">
        <v>3</v>
      </c>
      <c r="J45" s="124" t="s">
        <v>3</v>
      </c>
      <c r="K45" s="1" t="s">
        <v>1094</v>
      </c>
      <c r="M45" s="5">
        <v>201912</v>
      </c>
      <c r="N45" s="5">
        <f>INDEX(rrcworking[Formation Production (MCF) @ 14.65 psi],MATCH('Jan 2020 EDI'!F45,rrcworking[RRC ID],0))</f>
        <v>0</v>
      </c>
      <c r="O45" s="5">
        <f>INDEX(rrcworking[Lease Use (MCF)],MATCH('Jan 2020 EDI'!F45,rrcworking[RRC ID],0))</f>
        <v>0</v>
      </c>
      <c r="P45" s="5">
        <f>INDEX(rrcworking[Disposition Volume (MCF) @ 14.65 MCF],MATCH('Jan 2020 EDI'!F45,rrcworking[RRC ID],0))</f>
        <v>0</v>
      </c>
      <c r="Y45" s="5">
        <f>INDEX(rrcworking[Oil Production],MATCH('Jan 2020 EDI'!F45,rrcworking[RRC ID],0))</f>
        <v>11</v>
      </c>
      <c r="AA45" s="5">
        <f>INDEX(rrcworking[Sales/Dispostion],MATCH('Jan 2020 EDI'!F45,rrcworking[RRC ID],0))</f>
        <v>0</v>
      </c>
      <c r="AQ45" s="5">
        <f>INDEX(rrcworking[Closing Stock (Oil)],MATCH('Jan 2020 EDI'!F45,rrcworking[RRC ID],0))</f>
        <v>215</v>
      </c>
    </row>
    <row r="46" spans="1:43">
      <c r="A46" s="4" t="s">
        <v>1</v>
      </c>
      <c r="B46" s="1" t="s">
        <v>946</v>
      </c>
      <c r="C46" s="10" t="s">
        <v>911</v>
      </c>
      <c r="D46" s="1" t="s">
        <v>619</v>
      </c>
      <c r="E46" s="1" t="s">
        <v>2</v>
      </c>
      <c r="F46" s="1" t="s">
        <v>458</v>
      </c>
      <c r="I46" s="10" t="s">
        <v>3</v>
      </c>
      <c r="J46" s="124" t="s">
        <v>3</v>
      </c>
      <c r="K46" s="1" t="s">
        <v>1094</v>
      </c>
      <c r="M46" s="5">
        <v>201912</v>
      </c>
      <c r="N46" s="5">
        <f>INDEX(rrcworking[Formation Production (MCF) @ 14.65 psi],MATCH('Jan 2020 EDI'!F46,rrcworking[RRC ID],0))</f>
        <v>0</v>
      </c>
      <c r="O46" s="5">
        <f>INDEX(rrcworking[Lease Use (MCF)],MATCH('Jan 2020 EDI'!F46,rrcworking[RRC ID],0))</f>
        <v>0</v>
      </c>
      <c r="P46" s="5">
        <f>INDEX(rrcworking[Disposition Volume (MCF) @ 14.65 MCF],MATCH('Jan 2020 EDI'!F46,rrcworking[RRC ID],0))</f>
        <v>0</v>
      </c>
      <c r="Y46" s="5">
        <f>INDEX(rrcworking[Oil Production],MATCH('Jan 2020 EDI'!F46,rrcworking[RRC ID],0))</f>
        <v>0</v>
      </c>
      <c r="AA46" s="5">
        <f>INDEX(rrcworking[Sales/Dispostion],MATCH('Jan 2020 EDI'!F46,rrcworking[RRC ID],0))</f>
        <v>0</v>
      </c>
      <c r="AQ46" s="5">
        <f>INDEX(rrcworking[Closing Stock (Oil)],MATCH('Jan 2020 EDI'!F46,rrcworking[RRC ID],0))</f>
        <v>0</v>
      </c>
    </row>
    <row r="47" spans="1:43">
      <c r="A47" s="4" t="s">
        <v>1</v>
      </c>
      <c r="B47" s="1" t="s">
        <v>947</v>
      </c>
      <c r="C47" s="10" t="s">
        <v>911</v>
      </c>
      <c r="D47" s="1" t="s">
        <v>619</v>
      </c>
      <c r="E47" s="1" t="s">
        <v>59</v>
      </c>
      <c r="F47" s="1" t="s">
        <v>459</v>
      </c>
      <c r="I47" s="10" t="s">
        <v>3</v>
      </c>
      <c r="J47" s="124" t="s">
        <v>3</v>
      </c>
      <c r="K47" s="1" t="s">
        <v>1094</v>
      </c>
      <c r="M47" s="5">
        <v>201912</v>
      </c>
      <c r="N47" s="5">
        <f>INDEX(rrcworking[Formation Production (MCF) @ 14.65 psi],MATCH('Jan 2020 EDI'!F47,rrcworking[RRC ID],0))</f>
        <v>91855</v>
      </c>
      <c r="O47" s="5">
        <f>INDEX(rrcworking[Lease Use (MCF)],MATCH('Jan 2020 EDI'!F47,rrcworking[RRC ID],0))</f>
        <v>651</v>
      </c>
      <c r="P47" s="5">
        <f>INDEX(rrcworking[Disposition Volume (MCF) @ 14.65 MCF],MATCH('Jan 2020 EDI'!F47,rrcworking[RRC ID],0))</f>
        <v>91204</v>
      </c>
      <c r="Y47" s="5">
        <f>INDEX(rrcworking[Oil Production],MATCH('Jan 2020 EDI'!F47,rrcworking[RRC ID],0))</f>
        <v>1796</v>
      </c>
      <c r="AA47" s="5">
        <f>INDEX(rrcworking[Sales/Dispostion],MATCH('Jan 2020 EDI'!F47,rrcworking[RRC ID],0))</f>
        <v>1942</v>
      </c>
      <c r="AQ47" s="5">
        <f>INDEX(rrcworking[Closing Stock (Oil)],MATCH('Jan 2020 EDI'!F47,rrcworking[RRC ID],0))</f>
        <v>563</v>
      </c>
    </row>
    <row r="48" spans="1:43">
      <c r="A48" s="4" t="s">
        <v>1</v>
      </c>
      <c r="B48" s="1" t="s">
        <v>948</v>
      </c>
      <c r="C48" s="10" t="s">
        <v>911</v>
      </c>
      <c r="D48" s="1" t="s">
        <v>619</v>
      </c>
      <c r="E48" s="1" t="s">
        <v>59</v>
      </c>
      <c r="F48" s="1" t="s">
        <v>460</v>
      </c>
      <c r="I48" s="10" t="s">
        <v>3</v>
      </c>
      <c r="J48" s="124" t="s">
        <v>3</v>
      </c>
      <c r="K48" s="1" t="s">
        <v>1094</v>
      </c>
      <c r="M48" s="5">
        <v>201912</v>
      </c>
      <c r="N48" s="5">
        <f>INDEX(rrcworking[Formation Production (MCF) @ 14.65 psi],MATCH('Jan 2020 EDI'!F48,rrcworking[RRC ID],0))</f>
        <v>0</v>
      </c>
      <c r="O48" s="5">
        <f>INDEX(rrcworking[Lease Use (MCF)],MATCH('Jan 2020 EDI'!F48,rrcworking[RRC ID],0))</f>
        <v>0</v>
      </c>
      <c r="P48" s="5">
        <f>INDEX(rrcworking[Disposition Volume (MCF) @ 14.65 MCF],MATCH('Jan 2020 EDI'!F48,rrcworking[RRC ID],0))</f>
        <v>0</v>
      </c>
      <c r="Y48" s="5">
        <f>INDEX(rrcworking[Oil Production],MATCH('Jan 2020 EDI'!F48,rrcworking[RRC ID],0))</f>
        <v>0</v>
      </c>
      <c r="AA48" s="5">
        <f>INDEX(rrcworking[Sales/Dispostion],MATCH('Jan 2020 EDI'!F48,rrcworking[RRC ID],0))</f>
        <v>0</v>
      </c>
      <c r="AQ48" s="5">
        <f>INDEX(rrcworking[Closing Stock (Oil)],MATCH('Jan 2020 EDI'!F48,rrcworking[RRC ID],0))</f>
        <v>53</v>
      </c>
    </row>
    <row r="49" spans="1:43">
      <c r="A49" s="4" t="s">
        <v>1</v>
      </c>
      <c r="B49" s="1" t="s">
        <v>949</v>
      </c>
      <c r="C49" s="10" t="s">
        <v>911</v>
      </c>
      <c r="D49" s="1" t="s">
        <v>619</v>
      </c>
      <c r="E49" s="1" t="s">
        <v>2</v>
      </c>
      <c r="F49" s="1" t="s">
        <v>461</v>
      </c>
      <c r="I49" s="10" t="s">
        <v>3</v>
      </c>
      <c r="J49" s="124" t="s">
        <v>3</v>
      </c>
      <c r="K49" s="1" t="s">
        <v>1094</v>
      </c>
      <c r="M49" s="5">
        <v>201912</v>
      </c>
      <c r="N49" s="5">
        <f>INDEX(rrcworking[Formation Production (MCF) @ 14.65 psi],MATCH('Jan 2020 EDI'!F49,rrcworking[RRC ID],0))</f>
        <v>0</v>
      </c>
      <c r="O49" s="5">
        <f>INDEX(rrcworking[Lease Use (MCF)],MATCH('Jan 2020 EDI'!F49,rrcworking[RRC ID],0))</f>
        <v>0</v>
      </c>
      <c r="P49" s="5">
        <f>INDEX(rrcworking[Disposition Volume (MCF) @ 14.65 MCF],MATCH('Jan 2020 EDI'!F49,rrcworking[RRC ID],0))</f>
        <v>0</v>
      </c>
      <c r="Y49" s="5">
        <f>INDEX(rrcworking[Oil Production],MATCH('Jan 2020 EDI'!F49,rrcworking[RRC ID],0))</f>
        <v>0</v>
      </c>
      <c r="AA49" s="5">
        <f>INDEX(rrcworking[Sales/Dispostion],MATCH('Jan 2020 EDI'!F49,rrcworking[RRC ID],0))</f>
        <v>0</v>
      </c>
      <c r="AQ49" s="5">
        <f>INDEX(rrcworking[Closing Stock (Oil)],MATCH('Jan 2020 EDI'!F49,rrcworking[RRC ID],0))</f>
        <v>139</v>
      </c>
    </row>
    <row r="50" spans="1:43">
      <c r="A50" s="4" t="s">
        <v>1</v>
      </c>
      <c r="B50" s="1" t="s">
        <v>950</v>
      </c>
      <c r="C50" s="10" t="s">
        <v>911</v>
      </c>
      <c r="D50" s="1" t="s">
        <v>619</v>
      </c>
      <c r="E50" s="1" t="s">
        <v>2</v>
      </c>
      <c r="F50" s="1" t="s">
        <v>462</v>
      </c>
      <c r="I50" s="10" t="s">
        <v>3</v>
      </c>
      <c r="J50" s="124" t="s">
        <v>3</v>
      </c>
      <c r="K50" s="1" t="s">
        <v>1094</v>
      </c>
      <c r="M50" s="5">
        <v>201912</v>
      </c>
      <c r="N50" s="5">
        <f>INDEX(rrcworking[Formation Production (MCF) @ 14.65 psi],MATCH('Jan 2020 EDI'!F50,rrcworking[RRC ID],0))</f>
        <v>0</v>
      </c>
      <c r="O50" s="5">
        <f>INDEX(rrcworking[Lease Use (MCF)],MATCH('Jan 2020 EDI'!F50,rrcworking[RRC ID],0))</f>
        <v>0</v>
      </c>
      <c r="P50" s="5">
        <f>INDEX(rrcworking[Disposition Volume (MCF) @ 14.65 MCF],MATCH('Jan 2020 EDI'!F50,rrcworking[RRC ID],0))</f>
        <v>0</v>
      </c>
      <c r="Y50" s="5">
        <f>INDEX(rrcworking[Oil Production],MATCH('Jan 2020 EDI'!F50,rrcworking[RRC ID],0))</f>
        <v>0</v>
      </c>
      <c r="AA50" s="5">
        <f>INDEX(rrcworking[Sales/Dispostion],MATCH('Jan 2020 EDI'!F50,rrcworking[RRC ID],0))</f>
        <v>0</v>
      </c>
      <c r="AQ50" s="5">
        <f>INDEX(rrcworking[Closing Stock (Oil)],MATCH('Jan 2020 EDI'!F50,rrcworking[RRC ID],0))</f>
        <v>0</v>
      </c>
    </row>
    <row r="51" spans="1:43">
      <c r="A51" s="4" t="s">
        <v>1</v>
      </c>
      <c r="B51" s="1" t="s">
        <v>951</v>
      </c>
      <c r="C51" s="10" t="s">
        <v>911</v>
      </c>
      <c r="D51" s="1" t="s">
        <v>619</v>
      </c>
      <c r="E51" s="1" t="s">
        <v>2</v>
      </c>
      <c r="F51" s="1" t="s">
        <v>463</v>
      </c>
      <c r="I51" s="10" t="s">
        <v>3</v>
      </c>
      <c r="J51" s="124" t="s">
        <v>3</v>
      </c>
      <c r="K51" s="1" t="s">
        <v>1094</v>
      </c>
      <c r="M51" s="5">
        <v>201912</v>
      </c>
      <c r="N51" s="5">
        <f>INDEX(rrcworking[Formation Production (MCF) @ 14.65 psi],MATCH('Jan 2020 EDI'!F51,rrcworking[RRC ID],0))</f>
        <v>0</v>
      </c>
      <c r="O51" s="5">
        <f>INDEX(rrcworking[Lease Use (MCF)],MATCH('Jan 2020 EDI'!F51,rrcworking[RRC ID],0))</f>
        <v>0</v>
      </c>
      <c r="P51" s="5">
        <f>INDEX(rrcworking[Disposition Volume (MCF) @ 14.65 MCF],MATCH('Jan 2020 EDI'!F51,rrcworking[RRC ID],0))</f>
        <v>0</v>
      </c>
      <c r="Y51" s="5">
        <f>INDEX(rrcworking[Oil Production],MATCH('Jan 2020 EDI'!F51,rrcworking[RRC ID],0))</f>
        <v>0</v>
      </c>
      <c r="AA51" s="5">
        <f>INDEX(rrcworking[Sales/Dispostion],MATCH('Jan 2020 EDI'!F51,rrcworking[RRC ID],0))</f>
        <v>0</v>
      </c>
      <c r="AQ51" s="5">
        <f>INDEX(rrcworking[Closing Stock (Oil)],MATCH('Jan 2020 EDI'!F51,rrcworking[RRC ID],0))</f>
        <v>28</v>
      </c>
    </row>
    <row r="52" spans="1:43">
      <c r="A52" s="4" t="s">
        <v>1</v>
      </c>
      <c r="B52" s="1" t="s">
        <v>952</v>
      </c>
      <c r="C52" s="10" t="s">
        <v>911</v>
      </c>
      <c r="D52" s="1" t="s">
        <v>619</v>
      </c>
      <c r="E52" s="1" t="s">
        <v>2</v>
      </c>
      <c r="F52" s="1" t="s">
        <v>464</v>
      </c>
      <c r="I52" s="10" t="s">
        <v>3</v>
      </c>
      <c r="J52" s="124" t="s">
        <v>3</v>
      </c>
      <c r="K52" s="1" t="s">
        <v>1094</v>
      </c>
      <c r="M52" s="5">
        <v>201912</v>
      </c>
      <c r="N52" s="5">
        <f>INDEX(rrcworking[Formation Production (MCF) @ 14.65 psi],MATCH('Jan 2020 EDI'!F52,rrcworking[RRC ID],0))</f>
        <v>2</v>
      </c>
      <c r="O52" s="5">
        <f>INDEX(rrcworking[Lease Use (MCF)],MATCH('Jan 2020 EDI'!F52,rrcworking[RRC ID],0))</f>
        <v>0</v>
      </c>
      <c r="P52" s="5">
        <f>INDEX(rrcworking[Disposition Volume (MCF) @ 14.65 MCF],MATCH('Jan 2020 EDI'!F52,rrcworking[RRC ID],0))</f>
        <v>2</v>
      </c>
      <c r="Y52" s="5">
        <f>INDEX(rrcworking[Oil Production],MATCH('Jan 2020 EDI'!F52,rrcworking[RRC ID],0))</f>
        <v>0</v>
      </c>
      <c r="AA52" s="5">
        <f>INDEX(rrcworking[Sales/Dispostion],MATCH('Jan 2020 EDI'!F52,rrcworking[RRC ID],0))</f>
        <v>0</v>
      </c>
      <c r="AQ52" s="5">
        <f>INDEX(rrcworking[Closing Stock (Oil)],MATCH('Jan 2020 EDI'!F52,rrcworking[RRC ID],0))</f>
        <v>187</v>
      </c>
    </row>
    <row r="53" spans="1:43">
      <c r="A53" s="4" t="s">
        <v>1</v>
      </c>
      <c r="B53" s="1" t="s">
        <v>953</v>
      </c>
      <c r="C53" s="10" t="s">
        <v>911</v>
      </c>
      <c r="D53" s="1" t="s">
        <v>619</v>
      </c>
      <c r="E53" s="1" t="s">
        <v>59</v>
      </c>
      <c r="F53" s="1" t="s">
        <v>465</v>
      </c>
      <c r="I53" s="10" t="s">
        <v>3</v>
      </c>
      <c r="J53" s="124" t="s">
        <v>3</v>
      </c>
      <c r="K53" s="1" t="s">
        <v>1094</v>
      </c>
      <c r="M53" s="5">
        <v>201912</v>
      </c>
      <c r="N53" s="5">
        <f>INDEX(rrcworking[Formation Production (MCF) @ 14.65 psi],MATCH('Jan 2020 EDI'!F53,rrcworking[RRC ID],0))</f>
        <v>0</v>
      </c>
      <c r="O53" s="5">
        <f>INDEX(rrcworking[Lease Use (MCF)],MATCH('Jan 2020 EDI'!F53,rrcworking[RRC ID],0))</f>
        <v>0</v>
      </c>
      <c r="P53" s="5">
        <f>INDEX(rrcworking[Disposition Volume (MCF) @ 14.65 MCF],MATCH('Jan 2020 EDI'!F53,rrcworking[RRC ID],0))</f>
        <v>0</v>
      </c>
      <c r="Y53" s="5">
        <f>INDEX(rrcworking[Oil Production],MATCH('Jan 2020 EDI'!F53,rrcworking[RRC ID],0))</f>
        <v>0</v>
      </c>
      <c r="AA53" s="5">
        <f>INDEX(rrcworking[Sales/Dispostion],MATCH('Jan 2020 EDI'!F53,rrcworking[RRC ID],0))</f>
        <v>0</v>
      </c>
      <c r="AQ53" s="5">
        <f>INDEX(rrcworking[Closing Stock (Oil)],MATCH('Jan 2020 EDI'!F53,rrcworking[RRC ID],0))</f>
        <v>0</v>
      </c>
    </row>
    <row r="54" spans="1:43">
      <c r="A54" s="4" t="s">
        <v>1</v>
      </c>
      <c r="B54" s="1" t="s">
        <v>954</v>
      </c>
      <c r="C54" s="10" t="s">
        <v>911</v>
      </c>
      <c r="D54" s="1" t="s">
        <v>619</v>
      </c>
      <c r="E54" s="1" t="s">
        <v>2</v>
      </c>
      <c r="F54" s="1" t="s">
        <v>466</v>
      </c>
      <c r="I54" s="10" t="s">
        <v>3</v>
      </c>
      <c r="J54" s="124" t="s">
        <v>3</v>
      </c>
      <c r="K54" s="1" t="s">
        <v>1094</v>
      </c>
      <c r="M54" s="5">
        <v>201912</v>
      </c>
      <c r="N54" s="5">
        <f>INDEX(rrcworking[Formation Production (MCF) @ 14.65 psi],MATCH('Jan 2020 EDI'!F54,rrcworking[RRC ID],0))</f>
        <v>0</v>
      </c>
      <c r="O54" s="5">
        <f>INDEX(rrcworking[Lease Use (MCF)],MATCH('Jan 2020 EDI'!F54,rrcworking[RRC ID],0))</f>
        <v>0</v>
      </c>
      <c r="P54" s="5">
        <f>INDEX(rrcworking[Disposition Volume (MCF) @ 14.65 MCF],MATCH('Jan 2020 EDI'!F54,rrcworking[RRC ID],0))</f>
        <v>0</v>
      </c>
      <c r="Y54" s="5">
        <f>INDEX(rrcworking[Oil Production],MATCH('Jan 2020 EDI'!F54,rrcworking[RRC ID],0))</f>
        <v>0</v>
      </c>
      <c r="AA54" s="5">
        <f>INDEX(rrcworking[Sales/Dispostion],MATCH('Jan 2020 EDI'!F54,rrcworking[RRC ID],0))</f>
        <v>0</v>
      </c>
      <c r="AQ54" s="5">
        <f>INDEX(rrcworking[Closing Stock (Oil)],MATCH('Jan 2020 EDI'!F54,rrcworking[RRC ID],0))</f>
        <v>32</v>
      </c>
    </row>
    <row r="55" spans="1:43">
      <c r="A55" s="4" t="s">
        <v>1</v>
      </c>
      <c r="B55" s="1" t="s">
        <v>955</v>
      </c>
      <c r="C55" s="10" t="s">
        <v>911</v>
      </c>
      <c r="D55" s="1" t="s">
        <v>619</v>
      </c>
      <c r="E55" s="1" t="s">
        <v>59</v>
      </c>
      <c r="F55" s="1" t="s">
        <v>467</v>
      </c>
      <c r="I55" s="10" t="s">
        <v>3</v>
      </c>
      <c r="J55" s="124" t="s">
        <v>3</v>
      </c>
      <c r="K55" s="1" t="s">
        <v>1094</v>
      </c>
      <c r="M55" s="5">
        <v>201912</v>
      </c>
      <c r="N55" s="5">
        <f>INDEX(rrcworking[Formation Production (MCF) @ 14.65 psi],MATCH('Jan 2020 EDI'!F55,rrcworking[RRC ID],0))</f>
        <v>0</v>
      </c>
      <c r="O55" s="5">
        <f>INDEX(rrcworking[Lease Use (MCF)],MATCH('Jan 2020 EDI'!F55,rrcworking[RRC ID],0))</f>
        <v>0</v>
      </c>
      <c r="P55" s="5">
        <f>INDEX(rrcworking[Disposition Volume (MCF) @ 14.65 MCF],MATCH('Jan 2020 EDI'!F55,rrcworking[RRC ID],0))</f>
        <v>0</v>
      </c>
      <c r="Y55" s="5">
        <f>INDEX(rrcworking[Oil Production],MATCH('Jan 2020 EDI'!F55,rrcworking[RRC ID],0))</f>
        <v>0</v>
      </c>
      <c r="AA55" s="5">
        <f>INDEX(rrcworking[Sales/Dispostion],MATCH('Jan 2020 EDI'!F55,rrcworking[RRC ID],0))</f>
        <v>0</v>
      </c>
      <c r="AQ55" s="5">
        <f>INDEX(rrcworking[Closing Stock (Oil)],MATCH('Jan 2020 EDI'!F55,rrcworking[RRC ID],0))</f>
        <v>0</v>
      </c>
    </row>
    <row r="56" spans="1:43">
      <c r="A56" s="4" t="s">
        <v>1</v>
      </c>
      <c r="B56" s="1" t="s">
        <v>956</v>
      </c>
      <c r="C56" s="10" t="s">
        <v>911</v>
      </c>
      <c r="D56" s="1" t="s">
        <v>619</v>
      </c>
      <c r="E56" s="1" t="s">
        <v>59</v>
      </c>
      <c r="F56" s="1" t="s">
        <v>468</v>
      </c>
      <c r="I56" s="10" t="s">
        <v>3</v>
      </c>
      <c r="J56" s="124" t="s">
        <v>3</v>
      </c>
      <c r="K56" s="1" t="s">
        <v>1094</v>
      </c>
      <c r="M56" s="5">
        <v>201912</v>
      </c>
      <c r="N56" s="5">
        <f>INDEX(rrcworking[Formation Production (MCF) @ 14.65 psi],MATCH('Jan 2020 EDI'!F56,rrcworking[RRC ID],0))</f>
        <v>0</v>
      </c>
      <c r="O56" s="5">
        <f>INDEX(rrcworking[Lease Use (MCF)],MATCH('Jan 2020 EDI'!F56,rrcworking[RRC ID],0))</f>
        <v>0</v>
      </c>
      <c r="P56" s="5">
        <f>INDEX(rrcworking[Disposition Volume (MCF) @ 14.65 MCF],MATCH('Jan 2020 EDI'!F56,rrcworking[RRC ID],0))</f>
        <v>0</v>
      </c>
      <c r="Y56" s="5">
        <f>INDEX(rrcworking[Oil Production],MATCH('Jan 2020 EDI'!F56,rrcworking[RRC ID],0))</f>
        <v>0</v>
      </c>
      <c r="AA56" s="5">
        <f>INDEX(rrcworking[Sales/Dispostion],MATCH('Jan 2020 EDI'!F56,rrcworking[RRC ID],0))</f>
        <v>0</v>
      </c>
      <c r="AQ56" s="5">
        <f>INDEX(rrcworking[Closing Stock (Oil)],MATCH('Jan 2020 EDI'!F56,rrcworking[RRC ID],0))</f>
        <v>0</v>
      </c>
    </row>
    <row r="57" spans="1:43">
      <c r="A57" s="4" t="s">
        <v>1</v>
      </c>
      <c r="B57" s="1" t="s">
        <v>957</v>
      </c>
      <c r="C57" s="10" t="s">
        <v>911</v>
      </c>
      <c r="D57" s="1" t="s">
        <v>619</v>
      </c>
      <c r="E57" s="1" t="s">
        <v>2</v>
      </c>
      <c r="F57" s="1" t="s">
        <v>469</v>
      </c>
      <c r="I57" s="10" t="s">
        <v>3</v>
      </c>
      <c r="J57" s="124" t="s">
        <v>3</v>
      </c>
      <c r="K57" s="1" t="s">
        <v>1094</v>
      </c>
      <c r="M57" s="5">
        <v>201912</v>
      </c>
      <c r="N57" s="5">
        <f>INDEX(rrcworking[Formation Production (MCF) @ 14.65 psi],MATCH('Jan 2020 EDI'!F57,rrcworking[RRC ID],0))</f>
        <v>0</v>
      </c>
      <c r="O57" s="5">
        <f>INDEX(rrcworking[Lease Use (MCF)],MATCH('Jan 2020 EDI'!F57,rrcworking[RRC ID],0))</f>
        <v>0</v>
      </c>
      <c r="P57" s="5">
        <f>INDEX(rrcworking[Disposition Volume (MCF) @ 14.65 MCF],MATCH('Jan 2020 EDI'!F57,rrcworking[RRC ID],0))</f>
        <v>0</v>
      </c>
      <c r="Y57" s="5">
        <f>INDEX(rrcworking[Oil Production],MATCH('Jan 2020 EDI'!F57,rrcworking[RRC ID],0))</f>
        <v>0</v>
      </c>
      <c r="AA57" s="5">
        <f>INDEX(rrcworking[Sales/Dispostion],MATCH('Jan 2020 EDI'!F57,rrcworking[RRC ID],0))</f>
        <v>0</v>
      </c>
      <c r="AQ57" s="5">
        <f>INDEX(rrcworking[Closing Stock (Oil)],MATCH('Jan 2020 EDI'!F57,rrcworking[RRC ID],0))</f>
        <v>108</v>
      </c>
    </row>
    <row r="58" spans="1:43">
      <c r="A58" s="4" t="s">
        <v>1</v>
      </c>
      <c r="B58" s="1" t="s">
        <v>958</v>
      </c>
      <c r="C58" s="10" t="s">
        <v>911</v>
      </c>
      <c r="D58" s="1" t="s">
        <v>619</v>
      </c>
      <c r="E58" s="1" t="s">
        <v>59</v>
      </c>
      <c r="F58" s="1" t="s">
        <v>470</v>
      </c>
      <c r="I58" s="10" t="s">
        <v>3</v>
      </c>
      <c r="J58" s="124" t="s">
        <v>3</v>
      </c>
      <c r="K58" s="1" t="s">
        <v>1094</v>
      </c>
      <c r="M58" s="5">
        <v>201912</v>
      </c>
      <c r="N58" s="5">
        <f>INDEX(rrcworking[Formation Production (MCF) @ 14.65 psi],MATCH('Jan 2020 EDI'!F58,rrcworking[RRC ID],0))</f>
        <v>0</v>
      </c>
      <c r="O58" s="5">
        <f>INDEX(rrcworking[Lease Use (MCF)],MATCH('Jan 2020 EDI'!F58,rrcworking[RRC ID],0))</f>
        <v>0</v>
      </c>
      <c r="P58" s="5">
        <f>INDEX(rrcworking[Disposition Volume (MCF) @ 14.65 MCF],MATCH('Jan 2020 EDI'!F58,rrcworking[RRC ID],0))</f>
        <v>0</v>
      </c>
      <c r="Y58" s="5">
        <f>INDEX(rrcworking[Oil Production],MATCH('Jan 2020 EDI'!F58,rrcworking[RRC ID],0))</f>
        <v>0</v>
      </c>
      <c r="AA58" s="5">
        <f>INDEX(rrcworking[Sales/Dispostion],MATCH('Jan 2020 EDI'!F58,rrcworking[RRC ID],0))</f>
        <v>0</v>
      </c>
      <c r="AQ58" s="5">
        <f>INDEX(rrcworking[Closing Stock (Oil)],MATCH('Jan 2020 EDI'!F58,rrcworking[RRC ID],0))</f>
        <v>0</v>
      </c>
    </row>
    <row r="59" spans="1:43">
      <c r="A59" s="4" t="s">
        <v>1</v>
      </c>
      <c r="B59" s="1" t="s">
        <v>959</v>
      </c>
      <c r="C59" s="10" t="s">
        <v>911</v>
      </c>
      <c r="D59" s="1" t="s">
        <v>619</v>
      </c>
      <c r="E59" s="1" t="s">
        <v>2</v>
      </c>
      <c r="F59" s="1" t="s">
        <v>471</v>
      </c>
      <c r="I59" s="10" t="s">
        <v>3</v>
      </c>
      <c r="J59" s="124" t="s">
        <v>3</v>
      </c>
      <c r="K59" s="1" t="s">
        <v>1094</v>
      </c>
      <c r="M59" s="5">
        <v>201912</v>
      </c>
      <c r="N59" s="5">
        <f>INDEX(rrcworking[Formation Production (MCF) @ 14.65 psi],MATCH('Jan 2020 EDI'!F59,rrcworking[RRC ID],0))</f>
        <v>0</v>
      </c>
      <c r="O59" s="5">
        <f>INDEX(rrcworking[Lease Use (MCF)],MATCH('Jan 2020 EDI'!F59,rrcworking[RRC ID],0))</f>
        <v>0</v>
      </c>
      <c r="P59" s="5">
        <f>INDEX(rrcworking[Disposition Volume (MCF) @ 14.65 MCF],MATCH('Jan 2020 EDI'!F59,rrcworking[RRC ID],0))</f>
        <v>0</v>
      </c>
      <c r="Y59" s="5">
        <f>INDEX(rrcworking[Oil Production],MATCH('Jan 2020 EDI'!F59,rrcworking[RRC ID],0))</f>
        <v>594</v>
      </c>
      <c r="AA59" s="5">
        <f>INDEX(rrcworking[Sales/Dispostion],MATCH('Jan 2020 EDI'!F59,rrcworking[RRC ID],0))</f>
        <v>679</v>
      </c>
      <c r="AQ59" s="5">
        <f>INDEX(rrcworking[Closing Stock (Oil)],MATCH('Jan 2020 EDI'!F59,rrcworking[RRC ID],0))</f>
        <v>192</v>
      </c>
    </row>
    <row r="60" spans="1:43">
      <c r="A60" s="4" t="s">
        <v>1</v>
      </c>
      <c r="B60" s="1" t="s">
        <v>960</v>
      </c>
      <c r="C60" s="10" t="s">
        <v>911</v>
      </c>
      <c r="D60" s="1" t="s">
        <v>619</v>
      </c>
      <c r="E60" s="1" t="s">
        <v>59</v>
      </c>
      <c r="F60" s="1" t="s">
        <v>472</v>
      </c>
      <c r="I60" s="10" t="s">
        <v>3</v>
      </c>
      <c r="J60" s="124" t="s">
        <v>3</v>
      </c>
      <c r="K60" s="1" t="s">
        <v>1094</v>
      </c>
      <c r="M60" s="5">
        <v>201912</v>
      </c>
      <c r="N60" s="5">
        <f>INDEX(rrcworking[Formation Production (MCF) @ 14.65 psi],MATCH('Jan 2020 EDI'!F60,rrcworking[RRC ID],0))</f>
        <v>0</v>
      </c>
      <c r="O60" s="5">
        <f>INDEX(rrcworking[Lease Use (MCF)],MATCH('Jan 2020 EDI'!F60,rrcworking[RRC ID],0))</f>
        <v>0</v>
      </c>
      <c r="P60" s="5">
        <f>INDEX(rrcworking[Disposition Volume (MCF) @ 14.65 MCF],MATCH('Jan 2020 EDI'!F60,rrcworking[RRC ID],0))</f>
        <v>0</v>
      </c>
      <c r="Y60" s="5">
        <f>INDEX(rrcworking[Oil Production],MATCH('Jan 2020 EDI'!F60,rrcworking[RRC ID],0))</f>
        <v>0</v>
      </c>
      <c r="AA60" s="5">
        <f>INDEX(rrcworking[Sales/Dispostion],MATCH('Jan 2020 EDI'!F60,rrcworking[RRC ID],0))</f>
        <v>0</v>
      </c>
      <c r="AQ60" s="5">
        <f>INDEX(rrcworking[Closing Stock (Oil)],MATCH('Jan 2020 EDI'!F60,rrcworking[RRC ID],0))</f>
        <v>0</v>
      </c>
    </row>
    <row r="61" spans="1:43">
      <c r="A61" s="4" t="s">
        <v>1</v>
      </c>
      <c r="B61" s="1" t="s">
        <v>961</v>
      </c>
      <c r="C61" s="10" t="s">
        <v>911</v>
      </c>
      <c r="D61" s="1" t="s">
        <v>619</v>
      </c>
      <c r="E61" s="1" t="s">
        <v>59</v>
      </c>
      <c r="F61" s="1" t="s">
        <v>473</v>
      </c>
      <c r="I61" s="10" t="s">
        <v>3</v>
      </c>
      <c r="J61" s="124" t="s">
        <v>3</v>
      </c>
      <c r="K61" s="1" t="s">
        <v>1094</v>
      </c>
      <c r="M61" s="5">
        <v>201912</v>
      </c>
      <c r="N61" s="5">
        <f>INDEX(rrcworking[Formation Production (MCF) @ 14.65 psi],MATCH('Jan 2020 EDI'!F61,rrcworking[RRC ID],0))</f>
        <v>3137</v>
      </c>
      <c r="O61" s="5">
        <f>INDEX(rrcworking[Lease Use (MCF)],MATCH('Jan 2020 EDI'!F61,rrcworking[RRC ID],0))</f>
        <v>0</v>
      </c>
      <c r="P61" s="5">
        <f>INDEX(rrcworking[Disposition Volume (MCF) @ 14.65 MCF],MATCH('Jan 2020 EDI'!F61,rrcworking[RRC ID],0))</f>
        <v>3137</v>
      </c>
      <c r="Y61" s="5">
        <f>INDEX(rrcworking[Oil Production],MATCH('Jan 2020 EDI'!F61,rrcworking[RRC ID],0))</f>
        <v>451</v>
      </c>
      <c r="AA61" s="5">
        <f>INDEX(rrcworking[Sales/Dispostion],MATCH('Jan 2020 EDI'!F61,rrcworking[RRC ID],0))</f>
        <v>367</v>
      </c>
      <c r="AQ61" s="5">
        <f>INDEX(rrcworking[Closing Stock (Oil)],MATCH('Jan 2020 EDI'!F61,rrcworking[RRC ID],0))</f>
        <v>137</v>
      </c>
    </row>
    <row r="62" spans="1:43">
      <c r="A62" s="4" t="s">
        <v>1</v>
      </c>
      <c r="B62" s="1" t="s">
        <v>962</v>
      </c>
      <c r="C62" s="10" t="s">
        <v>911</v>
      </c>
      <c r="D62" s="1" t="s">
        <v>619</v>
      </c>
      <c r="E62" s="1" t="s">
        <v>2</v>
      </c>
      <c r="F62" s="1" t="s">
        <v>474</v>
      </c>
      <c r="I62" s="10" t="s">
        <v>3</v>
      </c>
      <c r="J62" s="124" t="s">
        <v>3</v>
      </c>
      <c r="K62" s="1" t="s">
        <v>1094</v>
      </c>
      <c r="M62" s="5">
        <v>201912</v>
      </c>
      <c r="N62" s="5">
        <f>INDEX(rrcworking[Formation Production (MCF) @ 14.65 psi],MATCH('Jan 2020 EDI'!F62,rrcworking[RRC ID],0))</f>
        <v>0</v>
      </c>
      <c r="O62" s="5">
        <f>INDEX(rrcworking[Lease Use (MCF)],MATCH('Jan 2020 EDI'!F62,rrcworking[RRC ID],0))</f>
        <v>0</v>
      </c>
      <c r="P62" s="5">
        <f>INDEX(rrcworking[Disposition Volume (MCF) @ 14.65 MCF],MATCH('Jan 2020 EDI'!F62,rrcworking[RRC ID],0))</f>
        <v>0</v>
      </c>
      <c r="Y62" s="5">
        <f>INDEX(rrcworking[Oil Production],MATCH('Jan 2020 EDI'!F62,rrcworking[RRC ID],0))</f>
        <v>0</v>
      </c>
      <c r="AA62" s="5">
        <f>INDEX(rrcworking[Sales/Dispostion],MATCH('Jan 2020 EDI'!F62,rrcworking[RRC ID],0))</f>
        <v>0</v>
      </c>
      <c r="AQ62" s="5">
        <f>INDEX(rrcworking[Closing Stock (Oil)],MATCH('Jan 2020 EDI'!F62,rrcworking[RRC ID],0))</f>
        <v>0</v>
      </c>
    </row>
    <row r="63" spans="1:43">
      <c r="A63" s="4" t="s">
        <v>1</v>
      </c>
      <c r="B63" s="1" t="s">
        <v>963</v>
      </c>
      <c r="C63" s="10" t="s">
        <v>911</v>
      </c>
      <c r="D63" s="1" t="s">
        <v>619</v>
      </c>
      <c r="E63" s="1" t="s">
        <v>59</v>
      </c>
      <c r="F63" s="1" t="s">
        <v>475</v>
      </c>
      <c r="I63" s="10" t="s">
        <v>3</v>
      </c>
      <c r="J63" s="124" t="s">
        <v>3</v>
      </c>
      <c r="K63" s="1" t="s">
        <v>1094</v>
      </c>
      <c r="M63" s="5">
        <v>201912</v>
      </c>
      <c r="N63" s="5">
        <f>INDEX(rrcworking[Formation Production (MCF) @ 14.65 psi],MATCH('Jan 2020 EDI'!F63,rrcworking[RRC ID],0))</f>
        <v>8456</v>
      </c>
      <c r="O63" s="5">
        <f>INDEX(rrcworking[Lease Use (MCF)],MATCH('Jan 2020 EDI'!F63,rrcworking[RRC ID],0))</f>
        <v>403</v>
      </c>
      <c r="P63" s="5">
        <f>INDEX(rrcworking[Disposition Volume (MCF) @ 14.65 MCF],MATCH('Jan 2020 EDI'!F63,rrcworking[RRC ID],0))</f>
        <v>8053</v>
      </c>
      <c r="Y63" s="5">
        <f>INDEX(rrcworking[Oil Production],MATCH('Jan 2020 EDI'!F63,rrcworking[RRC ID],0))</f>
        <v>30</v>
      </c>
      <c r="AA63" s="5">
        <f>INDEX(rrcworking[Sales/Dispostion],MATCH('Jan 2020 EDI'!F63,rrcworking[RRC ID],0))</f>
        <v>0</v>
      </c>
      <c r="AQ63" s="5">
        <f>INDEX(rrcworking[Closing Stock (Oil)],MATCH('Jan 2020 EDI'!F63,rrcworking[RRC ID],0))</f>
        <v>65</v>
      </c>
    </row>
    <row r="64" spans="1:43">
      <c r="A64" s="4" t="s">
        <v>1</v>
      </c>
      <c r="B64" s="1" t="s">
        <v>964</v>
      </c>
      <c r="C64" s="10" t="s">
        <v>911</v>
      </c>
      <c r="D64" s="1" t="s">
        <v>619</v>
      </c>
      <c r="E64" s="1" t="s">
        <v>59</v>
      </c>
      <c r="F64" s="1" t="s">
        <v>476</v>
      </c>
      <c r="I64" s="10" t="s">
        <v>3</v>
      </c>
      <c r="J64" s="124" t="s">
        <v>3</v>
      </c>
      <c r="K64" s="1" t="s">
        <v>1094</v>
      </c>
      <c r="M64" s="5">
        <v>201912</v>
      </c>
      <c r="N64" s="5">
        <f>INDEX(rrcworking[Formation Production (MCF) @ 14.65 psi],MATCH('Jan 2020 EDI'!F64,rrcworking[RRC ID],0))</f>
        <v>0</v>
      </c>
      <c r="O64" s="5">
        <f>INDEX(rrcworking[Lease Use (MCF)],MATCH('Jan 2020 EDI'!F64,rrcworking[RRC ID],0))</f>
        <v>0</v>
      </c>
      <c r="P64" s="5">
        <f>INDEX(rrcworking[Disposition Volume (MCF) @ 14.65 MCF],MATCH('Jan 2020 EDI'!F64,rrcworking[RRC ID],0))</f>
        <v>0</v>
      </c>
      <c r="Y64" s="5">
        <f>INDEX(rrcworking[Oil Production],MATCH('Jan 2020 EDI'!F64,rrcworking[RRC ID],0))</f>
        <v>0</v>
      </c>
      <c r="AA64" s="5">
        <f>INDEX(rrcworking[Sales/Dispostion],MATCH('Jan 2020 EDI'!F64,rrcworking[RRC ID],0))</f>
        <v>0</v>
      </c>
      <c r="AQ64" s="5">
        <f>INDEX(rrcworking[Closing Stock (Oil)],MATCH('Jan 2020 EDI'!F64,rrcworking[RRC ID],0))</f>
        <v>0</v>
      </c>
    </row>
    <row r="65" spans="1:46">
      <c r="A65" s="4" t="s">
        <v>1</v>
      </c>
      <c r="B65" s="1" t="s">
        <v>965</v>
      </c>
      <c r="C65" s="10" t="s">
        <v>911</v>
      </c>
      <c r="D65" s="1" t="s">
        <v>619</v>
      </c>
      <c r="E65" s="1" t="s">
        <v>59</v>
      </c>
      <c r="F65" s="1" t="s">
        <v>477</v>
      </c>
      <c r="I65" s="10" t="s">
        <v>3</v>
      </c>
      <c r="J65" s="124" t="s">
        <v>3</v>
      </c>
      <c r="K65" s="1" t="s">
        <v>1094</v>
      </c>
      <c r="M65" s="5">
        <v>201912</v>
      </c>
      <c r="N65" s="5">
        <f>INDEX(rrcworking[Formation Production (MCF) @ 14.65 psi],MATCH('Jan 2020 EDI'!F65,rrcworking[RRC ID],0))</f>
        <v>0</v>
      </c>
      <c r="O65" s="5">
        <f>INDEX(rrcworking[Lease Use (MCF)],MATCH('Jan 2020 EDI'!F65,rrcworking[RRC ID],0))</f>
        <v>0</v>
      </c>
      <c r="P65" s="5">
        <f>INDEX(rrcworking[Disposition Volume (MCF) @ 14.65 MCF],MATCH('Jan 2020 EDI'!F65,rrcworking[RRC ID],0))</f>
        <v>0</v>
      </c>
      <c r="Y65" s="5">
        <f>INDEX(rrcworking[Oil Production],MATCH('Jan 2020 EDI'!F65,rrcworking[RRC ID],0))</f>
        <v>0</v>
      </c>
      <c r="AA65" s="5">
        <f>INDEX(rrcworking[Sales/Dispostion],MATCH('Jan 2020 EDI'!F65,rrcworking[RRC ID],0))</f>
        <v>0</v>
      </c>
      <c r="AQ65" s="5">
        <f>INDEX(rrcworking[Closing Stock (Oil)],MATCH('Jan 2020 EDI'!F65,rrcworking[RRC ID],0))</f>
        <v>173</v>
      </c>
    </row>
    <row r="66" spans="1:46">
      <c r="A66" s="4" t="s">
        <v>1</v>
      </c>
      <c r="B66" s="1" t="s">
        <v>966</v>
      </c>
      <c r="C66" s="10" t="s">
        <v>911</v>
      </c>
      <c r="D66" s="1" t="s">
        <v>619</v>
      </c>
      <c r="E66" s="1" t="s">
        <v>2</v>
      </c>
      <c r="F66" s="1" t="s">
        <v>478</v>
      </c>
      <c r="I66" s="10" t="s">
        <v>3</v>
      </c>
      <c r="J66" s="124" t="s">
        <v>3</v>
      </c>
      <c r="K66" s="1" t="s">
        <v>1094</v>
      </c>
      <c r="M66" s="5">
        <v>201912</v>
      </c>
      <c r="N66" s="5">
        <f>INDEX(rrcworking[Formation Production (MCF) @ 14.65 psi],MATCH('Jan 2020 EDI'!F66,rrcworking[RRC ID],0))</f>
        <v>429</v>
      </c>
      <c r="O66" s="5">
        <f>INDEX(rrcworking[Lease Use (MCF)],MATCH('Jan 2020 EDI'!F66,rrcworking[RRC ID],0))</f>
        <v>31</v>
      </c>
      <c r="P66" s="5">
        <f>INDEX(rrcworking[Disposition Volume (MCF) @ 14.65 MCF],MATCH('Jan 2020 EDI'!F66,rrcworking[RRC ID],0))</f>
        <v>398</v>
      </c>
      <c r="Y66" s="5">
        <f>INDEX(rrcworking[Oil Production],MATCH('Jan 2020 EDI'!F66,rrcworking[RRC ID],0))</f>
        <v>185</v>
      </c>
      <c r="AA66" s="5">
        <f>INDEX(rrcworking[Sales/Dispostion],MATCH('Jan 2020 EDI'!F66,rrcworking[RRC ID],0))</f>
        <v>340</v>
      </c>
      <c r="AQ66" s="5">
        <f>INDEX(rrcworking[Closing Stock (Oil)],MATCH('Jan 2020 EDI'!F66,rrcworking[RRC ID],0))</f>
        <v>319</v>
      </c>
      <c r="AT66" s="10"/>
    </row>
    <row r="67" spans="1:46">
      <c r="A67" s="4" t="s">
        <v>1</v>
      </c>
      <c r="B67" s="1" t="s">
        <v>967</v>
      </c>
      <c r="C67" s="10" t="s">
        <v>911</v>
      </c>
      <c r="D67" s="1" t="s">
        <v>619</v>
      </c>
      <c r="E67" s="1" t="s">
        <v>59</v>
      </c>
      <c r="F67" s="1" t="s">
        <v>479</v>
      </c>
      <c r="I67" s="10" t="s">
        <v>3</v>
      </c>
      <c r="J67" s="124" t="s">
        <v>3</v>
      </c>
      <c r="K67" s="1" t="s">
        <v>1094</v>
      </c>
      <c r="M67" s="5">
        <v>201912</v>
      </c>
      <c r="N67" s="5">
        <f>INDEX(rrcworking[Formation Production (MCF) @ 14.65 psi],MATCH('Jan 2020 EDI'!F67,rrcworking[RRC ID],0))</f>
        <v>765</v>
      </c>
      <c r="O67" s="5">
        <f>INDEX(rrcworking[Lease Use (MCF)],MATCH('Jan 2020 EDI'!F67,rrcworking[RRC ID],0))</f>
        <v>62</v>
      </c>
      <c r="P67" s="5">
        <f>INDEX(rrcworking[Disposition Volume (MCF) @ 14.65 MCF],MATCH('Jan 2020 EDI'!F67,rrcworking[RRC ID],0))</f>
        <v>703</v>
      </c>
      <c r="Y67" s="5">
        <f>INDEX(rrcworking[Oil Production],MATCH('Jan 2020 EDI'!F67,rrcworking[RRC ID],0))</f>
        <v>366</v>
      </c>
      <c r="AA67" s="5">
        <f>INDEX(rrcworking[Sales/Dispostion],MATCH('Jan 2020 EDI'!F67,rrcworking[RRC ID],0))</f>
        <v>513</v>
      </c>
      <c r="AQ67" s="5">
        <f>INDEX(rrcworking[Closing Stock (Oil)],MATCH('Jan 2020 EDI'!F67,rrcworking[RRC ID],0))</f>
        <v>451</v>
      </c>
    </row>
    <row r="68" spans="1:46">
      <c r="A68" s="4" t="s">
        <v>1</v>
      </c>
      <c r="B68" s="1" t="s">
        <v>968</v>
      </c>
      <c r="C68" s="10" t="s">
        <v>911</v>
      </c>
      <c r="D68" s="1" t="s">
        <v>619</v>
      </c>
      <c r="E68" s="1" t="s">
        <v>2</v>
      </c>
      <c r="F68" s="1" t="s">
        <v>480</v>
      </c>
      <c r="I68" s="10" t="s">
        <v>3</v>
      </c>
      <c r="J68" s="124" t="s">
        <v>3</v>
      </c>
      <c r="K68" s="1" t="s">
        <v>1094</v>
      </c>
      <c r="M68" s="5">
        <v>201912</v>
      </c>
      <c r="N68" s="5">
        <f>INDEX(rrcworking[Formation Production (MCF) @ 14.65 psi],MATCH('Jan 2020 EDI'!F68,rrcworking[RRC ID],0))</f>
        <v>3095</v>
      </c>
      <c r="O68" s="5">
        <f>INDEX(rrcworking[Lease Use (MCF)],MATCH('Jan 2020 EDI'!F68,rrcworking[RRC ID],0))</f>
        <v>217</v>
      </c>
      <c r="P68" s="5">
        <f>INDEX(rrcworking[Disposition Volume (MCF) @ 14.65 MCF],MATCH('Jan 2020 EDI'!F68,rrcworking[RRC ID],0))</f>
        <v>2878</v>
      </c>
      <c r="Y68" s="5">
        <f>INDEX(rrcworking[Oil Production],MATCH('Jan 2020 EDI'!F68,rrcworking[RRC ID],0))</f>
        <v>2557</v>
      </c>
      <c r="AA68" s="5">
        <f>INDEX(rrcworking[Sales/Dispostion],MATCH('Jan 2020 EDI'!F68,rrcworking[RRC ID],0))</f>
        <v>2520</v>
      </c>
      <c r="AQ68" s="5">
        <f>INDEX(rrcworking[Closing Stock (Oil)],MATCH('Jan 2020 EDI'!F68,rrcworking[RRC ID],0))</f>
        <v>212</v>
      </c>
      <c r="AT68" s="10"/>
    </row>
    <row r="69" spans="1:46">
      <c r="A69" s="4" t="s">
        <v>1</v>
      </c>
      <c r="B69" s="1" t="s">
        <v>969</v>
      </c>
      <c r="C69" s="10" t="s">
        <v>911</v>
      </c>
      <c r="D69" s="1" t="s">
        <v>619</v>
      </c>
      <c r="E69" s="1" t="s">
        <v>2</v>
      </c>
      <c r="F69" s="1" t="s">
        <v>481</v>
      </c>
      <c r="I69" s="10" t="s">
        <v>3</v>
      </c>
      <c r="J69" s="124" t="s">
        <v>3</v>
      </c>
      <c r="K69" s="1" t="s">
        <v>1094</v>
      </c>
      <c r="M69" s="5">
        <v>201912</v>
      </c>
      <c r="N69" s="5">
        <f>INDEX(rrcworking[Formation Production (MCF) @ 14.65 psi],MATCH('Jan 2020 EDI'!F69,rrcworking[RRC ID],0))</f>
        <v>870</v>
      </c>
      <c r="O69" s="5">
        <f>INDEX(rrcworking[Lease Use (MCF)],MATCH('Jan 2020 EDI'!F69,rrcworking[RRC ID],0))</f>
        <v>31</v>
      </c>
      <c r="P69" s="5">
        <f>INDEX(rrcworking[Disposition Volume (MCF) @ 14.65 MCF],MATCH('Jan 2020 EDI'!F69,rrcworking[RRC ID],0))</f>
        <v>839</v>
      </c>
      <c r="Y69" s="5">
        <f>INDEX(rrcworking[Oil Production],MATCH('Jan 2020 EDI'!F69,rrcworking[RRC ID],0))</f>
        <v>808</v>
      </c>
      <c r="AA69" s="5">
        <f>INDEX(rrcworking[Sales/Dispostion],MATCH('Jan 2020 EDI'!F69,rrcworking[RRC ID],0))</f>
        <v>1010</v>
      </c>
      <c r="AQ69" s="5">
        <f>INDEX(rrcworking[Closing Stock (Oil)],MATCH('Jan 2020 EDI'!F69,rrcworking[RRC ID],0))</f>
        <v>172</v>
      </c>
      <c r="AT69" s="10"/>
    </row>
    <row r="70" spans="1:46">
      <c r="A70" s="4" t="s">
        <v>1</v>
      </c>
      <c r="B70" s="1" t="s">
        <v>970</v>
      </c>
      <c r="C70" s="10" t="s">
        <v>911</v>
      </c>
      <c r="D70" s="1" t="s">
        <v>619</v>
      </c>
      <c r="E70" s="1" t="s">
        <v>59</v>
      </c>
      <c r="F70" s="1" t="s">
        <v>482</v>
      </c>
      <c r="I70" s="10" t="s">
        <v>3</v>
      </c>
      <c r="J70" s="124" t="s">
        <v>3</v>
      </c>
      <c r="K70" s="1" t="s">
        <v>1094</v>
      </c>
      <c r="M70" s="5">
        <v>201912</v>
      </c>
      <c r="N70" s="5">
        <f>INDEX(rrcworking[Formation Production (MCF) @ 14.65 psi],MATCH('Jan 2020 EDI'!F70,rrcworking[RRC ID],0))</f>
        <v>0</v>
      </c>
      <c r="O70" s="5">
        <f>INDEX(rrcworking[Lease Use (MCF)],MATCH('Jan 2020 EDI'!F70,rrcworking[RRC ID],0))</f>
        <v>0</v>
      </c>
      <c r="P70" s="5">
        <f>INDEX(rrcworking[Disposition Volume (MCF) @ 14.65 MCF],MATCH('Jan 2020 EDI'!F70,rrcworking[RRC ID],0))</f>
        <v>0</v>
      </c>
      <c r="Y70" s="5">
        <f>INDEX(rrcworking[Oil Production],MATCH('Jan 2020 EDI'!F70,rrcworking[RRC ID],0))</f>
        <v>0</v>
      </c>
      <c r="AA70" s="5">
        <f>INDEX(rrcworking[Sales/Dispostion],MATCH('Jan 2020 EDI'!F70,rrcworking[RRC ID],0))</f>
        <v>0</v>
      </c>
      <c r="AQ70" s="5">
        <f>INDEX(rrcworking[Closing Stock (Oil)],MATCH('Jan 2020 EDI'!F70,rrcworking[RRC ID],0))</f>
        <v>0</v>
      </c>
    </row>
    <row r="71" spans="1:46">
      <c r="A71" s="4" t="s">
        <v>1</v>
      </c>
      <c r="B71" s="1" t="s">
        <v>971</v>
      </c>
      <c r="C71" s="10" t="s">
        <v>911</v>
      </c>
      <c r="D71" s="1" t="s">
        <v>619</v>
      </c>
      <c r="E71" s="1" t="s">
        <v>2</v>
      </c>
      <c r="F71" s="1" t="s">
        <v>483</v>
      </c>
      <c r="I71" s="10" t="s">
        <v>3</v>
      </c>
      <c r="J71" s="124" t="s">
        <v>3</v>
      </c>
      <c r="K71" s="1" t="s">
        <v>1094</v>
      </c>
      <c r="M71" s="5">
        <v>201912</v>
      </c>
      <c r="N71" s="5">
        <f>INDEX(rrcworking[Formation Production (MCF) @ 14.65 psi],MATCH('Jan 2020 EDI'!F71,rrcworking[RRC ID],0))</f>
        <v>0</v>
      </c>
      <c r="O71" s="5">
        <f>INDEX(rrcworking[Lease Use (MCF)],MATCH('Jan 2020 EDI'!F71,rrcworking[RRC ID],0))</f>
        <v>0</v>
      </c>
      <c r="P71" s="5">
        <f>INDEX(rrcworking[Disposition Volume (MCF) @ 14.65 MCF],MATCH('Jan 2020 EDI'!F71,rrcworking[RRC ID],0))</f>
        <v>0</v>
      </c>
      <c r="Y71" s="5">
        <f>INDEX(rrcworking[Oil Production],MATCH('Jan 2020 EDI'!F71,rrcworking[RRC ID],0))</f>
        <v>0</v>
      </c>
      <c r="AA71" s="5">
        <f>INDEX(rrcworking[Sales/Dispostion],MATCH('Jan 2020 EDI'!F71,rrcworking[RRC ID],0))</f>
        <v>0</v>
      </c>
      <c r="AQ71" s="5">
        <f>INDEX(rrcworking[Closing Stock (Oil)],MATCH('Jan 2020 EDI'!F71,rrcworking[RRC ID],0))</f>
        <v>114</v>
      </c>
    </row>
    <row r="72" spans="1:46">
      <c r="A72" s="4" t="s">
        <v>1</v>
      </c>
      <c r="B72" s="1" t="s">
        <v>972</v>
      </c>
      <c r="C72" s="10" t="s">
        <v>911</v>
      </c>
      <c r="D72" s="1" t="s">
        <v>619</v>
      </c>
      <c r="E72" s="1" t="s">
        <v>59</v>
      </c>
      <c r="F72" s="1" t="s">
        <v>484</v>
      </c>
      <c r="I72" s="10" t="s">
        <v>3</v>
      </c>
      <c r="J72" s="124" t="s">
        <v>3</v>
      </c>
      <c r="K72" s="1" t="s">
        <v>1094</v>
      </c>
      <c r="M72" s="5">
        <v>201912</v>
      </c>
      <c r="N72" s="5">
        <f>INDEX(rrcworking[Formation Production (MCF) @ 14.65 psi],MATCH('Jan 2020 EDI'!F72,rrcworking[RRC ID],0))</f>
        <v>827</v>
      </c>
      <c r="O72" s="5">
        <f>INDEX(rrcworking[Lease Use (MCF)],MATCH('Jan 2020 EDI'!F72,rrcworking[RRC ID],0))</f>
        <v>30</v>
      </c>
      <c r="P72" s="5">
        <f>INDEX(rrcworking[Disposition Volume (MCF) @ 14.65 MCF],MATCH('Jan 2020 EDI'!F72,rrcworking[RRC ID],0))</f>
        <v>797</v>
      </c>
      <c r="Y72" s="5">
        <f>INDEX(rrcworking[Oil Production],MATCH('Jan 2020 EDI'!F72,rrcworking[RRC ID],0))</f>
        <v>38</v>
      </c>
      <c r="AA72" s="5">
        <f>INDEX(rrcworking[Sales/Dispostion],MATCH('Jan 2020 EDI'!F72,rrcworking[RRC ID],0))</f>
        <v>193</v>
      </c>
      <c r="AQ72" s="5">
        <f>INDEX(rrcworking[Closing Stock (Oil)],MATCH('Jan 2020 EDI'!F72,rrcworking[RRC ID],0))</f>
        <v>57</v>
      </c>
    </row>
    <row r="73" spans="1:46">
      <c r="A73" s="4" t="s">
        <v>1</v>
      </c>
      <c r="B73" s="1" t="s">
        <v>973</v>
      </c>
      <c r="C73" s="10" t="s">
        <v>911</v>
      </c>
      <c r="D73" s="1" t="s">
        <v>619</v>
      </c>
      <c r="E73" s="1" t="s">
        <v>2</v>
      </c>
      <c r="F73" s="1" t="s">
        <v>485</v>
      </c>
      <c r="I73" s="10" t="s">
        <v>3</v>
      </c>
      <c r="J73" s="124" t="s">
        <v>3</v>
      </c>
      <c r="K73" s="1" t="s">
        <v>1094</v>
      </c>
      <c r="M73" s="5">
        <v>201912</v>
      </c>
      <c r="N73" s="5">
        <f>INDEX(rrcworking[Formation Production (MCF) @ 14.65 psi],MATCH('Jan 2020 EDI'!F73,rrcworking[RRC ID],0))</f>
        <v>0</v>
      </c>
      <c r="O73" s="5">
        <f>INDEX(rrcworking[Lease Use (MCF)],MATCH('Jan 2020 EDI'!F73,rrcworking[RRC ID],0))</f>
        <v>0</v>
      </c>
      <c r="P73" s="5">
        <f>INDEX(rrcworking[Disposition Volume (MCF) @ 14.65 MCF],MATCH('Jan 2020 EDI'!F73,rrcworking[RRC ID],0))</f>
        <v>0</v>
      </c>
      <c r="Y73" s="5">
        <f>INDEX(rrcworking[Oil Production],MATCH('Jan 2020 EDI'!F73,rrcworking[RRC ID],0))</f>
        <v>0</v>
      </c>
      <c r="AA73" s="5">
        <f>INDEX(rrcworking[Sales/Dispostion],MATCH('Jan 2020 EDI'!F73,rrcworking[RRC ID],0))</f>
        <v>0</v>
      </c>
      <c r="AQ73" s="5">
        <f>INDEX(rrcworking[Closing Stock (Oil)],MATCH('Jan 2020 EDI'!F73,rrcworking[RRC ID],0))</f>
        <v>0</v>
      </c>
    </row>
    <row r="74" spans="1:46">
      <c r="A74" s="4" t="s">
        <v>1</v>
      </c>
      <c r="B74" s="1" t="s">
        <v>974</v>
      </c>
      <c r="C74" s="10" t="s">
        <v>911</v>
      </c>
      <c r="D74" s="1" t="s">
        <v>619</v>
      </c>
      <c r="E74" s="1" t="s">
        <v>2</v>
      </c>
      <c r="F74" s="1" t="s">
        <v>486</v>
      </c>
      <c r="I74" s="10" t="s">
        <v>3</v>
      </c>
      <c r="J74" s="124" t="s">
        <v>3</v>
      </c>
      <c r="K74" s="1" t="s">
        <v>1094</v>
      </c>
      <c r="M74" s="5">
        <v>201912</v>
      </c>
      <c r="N74" s="5">
        <f>INDEX(rrcworking[Formation Production (MCF) @ 14.65 psi],MATCH('Jan 2020 EDI'!F74,rrcworking[RRC ID],0))</f>
        <v>0</v>
      </c>
      <c r="O74" s="5">
        <f>INDEX(rrcworking[Lease Use (MCF)],MATCH('Jan 2020 EDI'!F74,rrcworking[RRC ID],0))</f>
        <v>0</v>
      </c>
      <c r="P74" s="5">
        <f>INDEX(rrcworking[Disposition Volume (MCF) @ 14.65 MCF],MATCH('Jan 2020 EDI'!F74,rrcworking[RRC ID],0))</f>
        <v>0</v>
      </c>
      <c r="Y74" s="5">
        <f>INDEX(rrcworking[Oil Production],MATCH('Jan 2020 EDI'!F74,rrcworking[RRC ID],0))</f>
        <v>538</v>
      </c>
      <c r="AA74" s="5">
        <f>INDEX(rrcworking[Sales/Dispostion],MATCH('Jan 2020 EDI'!F74,rrcworking[RRC ID],0))</f>
        <v>517</v>
      </c>
      <c r="AQ74" s="5">
        <f>INDEX(rrcworking[Closing Stock (Oil)],MATCH('Jan 2020 EDI'!F74,rrcworking[RRC ID],0))</f>
        <v>244</v>
      </c>
    </row>
    <row r="75" spans="1:46">
      <c r="A75" s="4" t="s">
        <v>1</v>
      </c>
      <c r="B75" s="1" t="s">
        <v>975</v>
      </c>
      <c r="C75" s="10" t="s">
        <v>911</v>
      </c>
      <c r="D75" s="1" t="s">
        <v>619</v>
      </c>
      <c r="E75" s="1" t="s">
        <v>2</v>
      </c>
      <c r="F75" s="1" t="s">
        <v>487</v>
      </c>
      <c r="I75" s="10" t="s">
        <v>3</v>
      </c>
      <c r="J75" s="124" t="s">
        <v>3</v>
      </c>
      <c r="K75" s="1" t="s">
        <v>1094</v>
      </c>
      <c r="M75" s="5">
        <v>201912</v>
      </c>
      <c r="N75" s="5">
        <f>INDEX(rrcworking[Formation Production (MCF) @ 14.65 psi],MATCH('Jan 2020 EDI'!F75,rrcworking[RRC ID],0))</f>
        <v>0</v>
      </c>
      <c r="O75" s="5">
        <f>INDEX(rrcworking[Lease Use (MCF)],MATCH('Jan 2020 EDI'!F75,rrcworking[RRC ID],0))</f>
        <v>0</v>
      </c>
      <c r="P75" s="5">
        <f>INDEX(rrcworking[Disposition Volume (MCF) @ 14.65 MCF],MATCH('Jan 2020 EDI'!F75,rrcworking[RRC ID],0))</f>
        <v>0</v>
      </c>
      <c r="Y75" s="5">
        <f>INDEX(rrcworking[Oil Production],MATCH('Jan 2020 EDI'!F75,rrcworking[RRC ID],0))</f>
        <v>0</v>
      </c>
      <c r="AA75" s="5">
        <f>INDEX(rrcworking[Sales/Dispostion],MATCH('Jan 2020 EDI'!F75,rrcworking[RRC ID],0))</f>
        <v>0</v>
      </c>
      <c r="AQ75" s="5">
        <f>INDEX(rrcworking[Closing Stock (Oil)],MATCH('Jan 2020 EDI'!F75,rrcworking[RRC ID],0))</f>
        <v>52</v>
      </c>
    </row>
    <row r="76" spans="1:46">
      <c r="A76" s="4" t="s">
        <v>1</v>
      </c>
      <c r="B76" s="1" t="s">
        <v>976</v>
      </c>
      <c r="C76" s="10" t="s">
        <v>911</v>
      </c>
      <c r="D76" s="1" t="s">
        <v>619</v>
      </c>
      <c r="E76" s="1" t="s">
        <v>2</v>
      </c>
      <c r="F76" s="1" t="s">
        <v>488</v>
      </c>
      <c r="I76" s="10" t="s">
        <v>3</v>
      </c>
      <c r="J76" s="124" t="s">
        <v>3</v>
      </c>
      <c r="K76" s="1" t="s">
        <v>1094</v>
      </c>
      <c r="M76" s="5">
        <v>201912</v>
      </c>
      <c r="N76" s="5">
        <f>INDEX(rrcworking[Formation Production (MCF) @ 14.65 psi],MATCH('Jan 2020 EDI'!F76,rrcworking[RRC ID],0))</f>
        <v>0</v>
      </c>
      <c r="O76" s="5">
        <f>INDEX(rrcworking[Lease Use (MCF)],MATCH('Jan 2020 EDI'!F76,rrcworking[RRC ID],0))</f>
        <v>0</v>
      </c>
      <c r="P76" s="5">
        <f>INDEX(rrcworking[Disposition Volume (MCF) @ 14.65 MCF],MATCH('Jan 2020 EDI'!F76,rrcworking[RRC ID],0))</f>
        <v>0</v>
      </c>
      <c r="Y76" s="5">
        <f>INDEX(rrcworking[Oil Production],MATCH('Jan 2020 EDI'!F76,rrcworking[RRC ID],0))</f>
        <v>0</v>
      </c>
      <c r="AA76" s="5">
        <f>INDEX(rrcworking[Sales/Dispostion],MATCH('Jan 2020 EDI'!F76,rrcworking[RRC ID],0))</f>
        <v>0</v>
      </c>
      <c r="AQ76" s="5">
        <f>INDEX(rrcworking[Closing Stock (Oil)],MATCH('Jan 2020 EDI'!F76,rrcworking[RRC ID],0))</f>
        <v>229</v>
      </c>
    </row>
    <row r="77" spans="1:46">
      <c r="A77" s="4" t="s">
        <v>1</v>
      </c>
      <c r="B77" s="1" t="s">
        <v>977</v>
      </c>
      <c r="C77" s="10" t="s">
        <v>911</v>
      </c>
      <c r="D77" s="1" t="s">
        <v>619</v>
      </c>
      <c r="E77" s="1" t="s">
        <v>2</v>
      </c>
      <c r="F77" s="1" t="s">
        <v>489</v>
      </c>
      <c r="I77" s="10" t="s">
        <v>3</v>
      </c>
      <c r="J77" s="124" t="s">
        <v>3</v>
      </c>
      <c r="K77" s="1" t="s">
        <v>1094</v>
      </c>
      <c r="M77" s="5">
        <v>201912</v>
      </c>
      <c r="N77" s="5">
        <f>INDEX(rrcworking[Formation Production (MCF) @ 14.65 psi],MATCH('Jan 2020 EDI'!F77,rrcworking[RRC ID],0))</f>
        <v>677</v>
      </c>
      <c r="O77" s="5">
        <f>INDEX(rrcworking[Lease Use (MCF)],MATCH('Jan 2020 EDI'!F77,rrcworking[RRC ID],0))</f>
        <v>0</v>
      </c>
      <c r="P77" s="5">
        <f>INDEX(rrcworking[Disposition Volume (MCF) @ 14.65 MCF],MATCH('Jan 2020 EDI'!F77,rrcworking[RRC ID],0))</f>
        <v>677</v>
      </c>
      <c r="Y77" s="5">
        <f>INDEX(rrcworking[Oil Production],MATCH('Jan 2020 EDI'!F77,rrcworking[RRC ID],0))</f>
        <v>56</v>
      </c>
      <c r="AA77" s="5">
        <f>INDEX(rrcworking[Sales/Dispostion],MATCH('Jan 2020 EDI'!F77,rrcworking[RRC ID],0))</f>
        <v>0</v>
      </c>
      <c r="AQ77" s="5">
        <f>INDEX(rrcworking[Closing Stock (Oil)],MATCH('Jan 2020 EDI'!F77,rrcworking[RRC ID],0))</f>
        <v>220</v>
      </c>
    </row>
    <row r="78" spans="1:46">
      <c r="A78" s="4" t="s">
        <v>1</v>
      </c>
      <c r="B78" s="1" t="s">
        <v>978</v>
      </c>
      <c r="C78" s="10" t="s">
        <v>911</v>
      </c>
      <c r="D78" s="1" t="s">
        <v>619</v>
      </c>
      <c r="E78" s="1" t="s">
        <v>2</v>
      </c>
      <c r="F78" s="1" t="s">
        <v>490</v>
      </c>
      <c r="I78" s="10" t="s">
        <v>3</v>
      </c>
      <c r="J78" s="124" t="s">
        <v>3</v>
      </c>
      <c r="K78" s="1" t="s">
        <v>1094</v>
      </c>
      <c r="M78" s="5">
        <v>201912</v>
      </c>
      <c r="N78" s="5">
        <f>INDEX(rrcworking[Formation Production (MCF) @ 14.65 psi],MATCH('Jan 2020 EDI'!F78,rrcworking[RRC ID],0))</f>
        <v>0</v>
      </c>
      <c r="O78" s="5">
        <f>INDEX(rrcworking[Lease Use (MCF)],MATCH('Jan 2020 EDI'!F78,rrcworking[RRC ID],0))</f>
        <v>0</v>
      </c>
      <c r="P78" s="5">
        <f>INDEX(rrcworking[Disposition Volume (MCF) @ 14.65 MCF],MATCH('Jan 2020 EDI'!F78,rrcworking[RRC ID],0))</f>
        <v>0</v>
      </c>
      <c r="Y78" s="5">
        <f>INDEX(rrcworking[Oil Production],MATCH('Jan 2020 EDI'!F78,rrcworking[RRC ID],0))</f>
        <v>24</v>
      </c>
      <c r="AA78" s="5">
        <f>INDEX(rrcworking[Sales/Dispostion],MATCH('Jan 2020 EDI'!F78,rrcworking[RRC ID],0))</f>
        <v>0</v>
      </c>
      <c r="AQ78" s="5">
        <f>INDEX(rrcworking[Closing Stock (Oil)],MATCH('Jan 2020 EDI'!F78,rrcworking[RRC ID],0))</f>
        <v>269</v>
      </c>
    </row>
    <row r="79" spans="1:46">
      <c r="A79" s="4" t="s">
        <v>1</v>
      </c>
      <c r="B79" s="1" t="s">
        <v>979</v>
      </c>
      <c r="C79" s="10" t="s">
        <v>911</v>
      </c>
      <c r="D79" s="1" t="s">
        <v>619</v>
      </c>
      <c r="E79" s="1" t="s">
        <v>2</v>
      </c>
      <c r="F79" s="1" t="s">
        <v>491</v>
      </c>
      <c r="I79" s="10" t="s">
        <v>3</v>
      </c>
      <c r="J79" s="124" t="s">
        <v>3</v>
      </c>
      <c r="K79" s="1" t="s">
        <v>1094</v>
      </c>
      <c r="M79" s="5">
        <v>201912</v>
      </c>
      <c r="N79" s="5">
        <f>INDEX(rrcworking[Formation Production (MCF) @ 14.65 psi],MATCH('Jan 2020 EDI'!F79,rrcworking[RRC ID],0))</f>
        <v>0</v>
      </c>
      <c r="O79" s="5">
        <f>INDEX(rrcworking[Lease Use (MCF)],MATCH('Jan 2020 EDI'!F79,rrcworking[RRC ID],0))</f>
        <v>0</v>
      </c>
      <c r="P79" s="5">
        <f>INDEX(rrcworking[Disposition Volume (MCF) @ 14.65 MCF],MATCH('Jan 2020 EDI'!F79,rrcworking[RRC ID],0))</f>
        <v>0</v>
      </c>
      <c r="Y79" s="5">
        <f>INDEX(rrcworking[Oil Production],MATCH('Jan 2020 EDI'!F79,rrcworking[RRC ID],0))</f>
        <v>169</v>
      </c>
      <c r="AA79" s="5">
        <f>INDEX(rrcworking[Sales/Dispostion],MATCH('Jan 2020 EDI'!F79,rrcworking[RRC ID],0))</f>
        <v>0</v>
      </c>
      <c r="AQ79" s="5">
        <f>INDEX(rrcworking[Closing Stock (Oil)],MATCH('Jan 2020 EDI'!F79,rrcworking[RRC ID],0))</f>
        <v>354</v>
      </c>
    </row>
    <row r="80" spans="1:46">
      <c r="A80" s="4" t="s">
        <v>1</v>
      </c>
      <c r="B80" s="1" t="s">
        <v>980</v>
      </c>
      <c r="C80" s="10" t="s">
        <v>911</v>
      </c>
      <c r="D80" s="1" t="s">
        <v>619</v>
      </c>
      <c r="E80" s="1" t="s">
        <v>59</v>
      </c>
      <c r="F80" s="1" t="s">
        <v>492</v>
      </c>
      <c r="I80" s="10" t="s">
        <v>3</v>
      </c>
      <c r="J80" s="124" t="s">
        <v>3</v>
      </c>
      <c r="K80" s="1" t="s">
        <v>1094</v>
      </c>
      <c r="M80" s="5">
        <v>201912</v>
      </c>
      <c r="N80" s="5">
        <f>INDEX(rrcworking[Formation Production (MCF) @ 14.65 psi],MATCH('Jan 2020 EDI'!F80,rrcworking[RRC ID],0))</f>
        <v>0</v>
      </c>
      <c r="O80" s="5">
        <f>INDEX(rrcworking[Lease Use (MCF)],MATCH('Jan 2020 EDI'!F80,rrcworking[RRC ID],0))</f>
        <v>0</v>
      </c>
      <c r="P80" s="5">
        <f>INDEX(rrcworking[Disposition Volume (MCF) @ 14.65 MCF],MATCH('Jan 2020 EDI'!F80,rrcworking[RRC ID],0))</f>
        <v>0</v>
      </c>
      <c r="Y80" s="5">
        <f>INDEX(rrcworking[Oil Production],MATCH('Jan 2020 EDI'!F80,rrcworking[RRC ID],0))</f>
        <v>0</v>
      </c>
      <c r="AA80" s="5">
        <f>INDEX(rrcworking[Sales/Dispostion],MATCH('Jan 2020 EDI'!F80,rrcworking[RRC ID],0))</f>
        <v>0</v>
      </c>
      <c r="AQ80" s="5">
        <f>INDEX(rrcworking[Closing Stock (Oil)],MATCH('Jan 2020 EDI'!F80,rrcworking[RRC ID],0))</f>
        <v>0</v>
      </c>
    </row>
    <row r="81" spans="1:43">
      <c r="A81" s="4" t="s">
        <v>1</v>
      </c>
      <c r="B81" s="1" t="s">
        <v>981</v>
      </c>
      <c r="C81" s="10" t="s">
        <v>911</v>
      </c>
      <c r="D81" s="1" t="s">
        <v>619</v>
      </c>
      <c r="E81" s="1" t="s">
        <v>59</v>
      </c>
      <c r="F81" s="1" t="s">
        <v>493</v>
      </c>
      <c r="I81" s="10" t="s">
        <v>3</v>
      </c>
      <c r="J81" s="124" t="s">
        <v>3</v>
      </c>
      <c r="K81" s="1" t="s">
        <v>1094</v>
      </c>
      <c r="M81" s="5">
        <v>201912</v>
      </c>
      <c r="N81" s="5">
        <f>INDEX(rrcworking[Formation Production (MCF) @ 14.65 psi],MATCH('Jan 2020 EDI'!F81,rrcworking[RRC ID],0))</f>
        <v>14964</v>
      </c>
      <c r="O81" s="5">
        <f>INDEX(rrcworking[Lease Use (MCF)],MATCH('Jan 2020 EDI'!F81,rrcworking[RRC ID],0))</f>
        <v>0</v>
      </c>
      <c r="P81" s="5">
        <f>INDEX(rrcworking[Disposition Volume (MCF) @ 14.65 MCF],MATCH('Jan 2020 EDI'!F81,rrcworking[RRC ID],0))</f>
        <v>14964</v>
      </c>
      <c r="Y81" s="5">
        <f>INDEX(rrcworking[Oil Production],MATCH('Jan 2020 EDI'!F81,rrcworking[RRC ID],0))</f>
        <v>150</v>
      </c>
      <c r="AA81" s="5">
        <f>INDEX(rrcworking[Sales/Dispostion],MATCH('Jan 2020 EDI'!F81,rrcworking[RRC ID],0))</f>
        <v>190</v>
      </c>
      <c r="AQ81" s="5">
        <f>INDEX(rrcworking[Closing Stock (Oil)],MATCH('Jan 2020 EDI'!F81,rrcworking[RRC ID],0))</f>
        <v>194</v>
      </c>
    </row>
    <row r="82" spans="1:43">
      <c r="A82" s="4" t="s">
        <v>1</v>
      </c>
      <c r="B82" s="1" t="s">
        <v>982</v>
      </c>
      <c r="C82" s="10" t="s">
        <v>911</v>
      </c>
      <c r="D82" s="1" t="s">
        <v>619</v>
      </c>
      <c r="E82" s="1" t="s">
        <v>59</v>
      </c>
      <c r="F82" s="1" t="s">
        <v>494</v>
      </c>
      <c r="I82" s="10" t="s">
        <v>3</v>
      </c>
      <c r="J82" s="124" t="s">
        <v>3</v>
      </c>
      <c r="K82" s="1" t="s">
        <v>1094</v>
      </c>
      <c r="M82" s="5">
        <v>201912</v>
      </c>
      <c r="N82" s="5">
        <f>INDEX(rrcworking[Formation Production (MCF) @ 14.65 psi],MATCH('Jan 2020 EDI'!F82,rrcworking[RRC ID],0))</f>
        <v>0</v>
      </c>
      <c r="O82" s="5">
        <f>INDEX(rrcworking[Lease Use (MCF)],MATCH('Jan 2020 EDI'!F82,rrcworking[RRC ID],0))</f>
        <v>0</v>
      </c>
      <c r="P82" s="5">
        <f>INDEX(rrcworking[Disposition Volume (MCF) @ 14.65 MCF],MATCH('Jan 2020 EDI'!F82,rrcworking[RRC ID],0))</f>
        <v>0</v>
      </c>
      <c r="Y82" s="5">
        <f>INDEX(rrcworking[Oil Production],MATCH('Jan 2020 EDI'!F82,rrcworking[RRC ID],0))</f>
        <v>0</v>
      </c>
      <c r="AA82" s="5">
        <f>INDEX(rrcworking[Sales/Dispostion],MATCH('Jan 2020 EDI'!F82,rrcworking[RRC ID],0))</f>
        <v>0</v>
      </c>
      <c r="AQ82" s="5">
        <f>INDEX(rrcworking[Closing Stock (Oil)],MATCH('Jan 2020 EDI'!F82,rrcworking[RRC ID],0))</f>
        <v>0</v>
      </c>
    </row>
    <row r="83" spans="1:43">
      <c r="A83" s="4" t="s">
        <v>1</v>
      </c>
      <c r="B83" s="1" t="s">
        <v>983</v>
      </c>
      <c r="C83" s="10" t="s">
        <v>911</v>
      </c>
      <c r="D83" s="1" t="s">
        <v>619</v>
      </c>
      <c r="E83" s="1" t="s">
        <v>2</v>
      </c>
      <c r="F83" s="1" t="s">
        <v>495</v>
      </c>
      <c r="I83" s="10" t="s">
        <v>3</v>
      </c>
      <c r="J83" s="124" t="s">
        <v>3</v>
      </c>
      <c r="K83" s="1" t="s">
        <v>1094</v>
      </c>
      <c r="M83" s="5">
        <v>201912</v>
      </c>
      <c r="N83" s="5">
        <f>INDEX(rrcworking[Formation Production (MCF) @ 14.65 psi],MATCH('Jan 2020 EDI'!F83,rrcworking[RRC ID],0))</f>
        <v>0</v>
      </c>
      <c r="O83" s="5">
        <f>INDEX(rrcworking[Lease Use (MCF)],MATCH('Jan 2020 EDI'!F83,rrcworking[RRC ID],0))</f>
        <v>0</v>
      </c>
      <c r="P83" s="5">
        <f>INDEX(rrcworking[Disposition Volume (MCF) @ 14.65 MCF],MATCH('Jan 2020 EDI'!F83,rrcworking[RRC ID],0))</f>
        <v>0</v>
      </c>
      <c r="Y83" s="5">
        <f>INDEX(rrcworking[Oil Production],MATCH('Jan 2020 EDI'!F83,rrcworking[RRC ID],0))</f>
        <v>0</v>
      </c>
      <c r="AA83" s="5">
        <f>INDEX(rrcworking[Sales/Dispostion],MATCH('Jan 2020 EDI'!F83,rrcworking[RRC ID],0))</f>
        <v>0</v>
      </c>
      <c r="AQ83" s="5">
        <f>INDEX(rrcworking[Closing Stock (Oil)],MATCH('Jan 2020 EDI'!F83,rrcworking[RRC ID],0))</f>
        <v>81</v>
      </c>
    </row>
    <row r="84" spans="1:43">
      <c r="A84" s="4" t="s">
        <v>1</v>
      </c>
      <c r="B84" s="1" t="s">
        <v>984</v>
      </c>
      <c r="C84" s="10" t="s">
        <v>911</v>
      </c>
      <c r="D84" s="1" t="s">
        <v>619</v>
      </c>
      <c r="E84" s="1" t="s">
        <v>59</v>
      </c>
      <c r="F84" s="1" t="s">
        <v>1138</v>
      </c>
      <c r="I84" s="10" t="s">
        <v>3</v>
      </c>
      <c r="J84" s="124" t="s">
        <v>3</v>
      </c>
      <c r="M84" s="5">
        <v>201912</v>
      </c>
      <c r="N84" s="5">
        <f>INDEX(rrcworking[Formation Production (MCF) @ 14.65 psi],MATCH('Jan 2020 EDI'!F84,rrcworking[RRC ID],0))</f>
        <v>3295</v>
      </c>
      <c r="O84" s="5">
        <f>INDEX(rrcworking[Lease Use (MCF)],MATCH('Jan 2020 EDI'!F84,rrcworking[RRC ID],0))</f>
        <v>12</v>
      </c>
      <c r="P84" s="5">
        <f>INDEX(rrcworking[Disposition Volume (MCF) @ 14.65 MCF],MATCH('Jan 2020 EDI'!F84,rrcworking[RRC ID],0))</f>
        <v>3283</v>
      </c>
      <c r="Y84" s="5">
        <f>INDEX(rrcworking[Oil Production],MATCH('Jan 2020 EDI'!F84,rrcworking[RRC ID],0))</f>
        <v>12</v>
      </c>
      <c r="AA84" s="5">
        <f>INDEX(rrcworking[Sales/Dispostion],MATCH('Jan 2020 EDI'!F84,rrcworking[RRC ID],0))</f>
        <v>0</v>
      </c>
      <c r="AQ84" s="5">
        <f>INDEX(rrcworking[Closing Stock (Oil)],MATCH('Jan 2020 EDI'!F84,rrcworking[RRC ID],0))</f>
        <v>192</v>
      </c>
    </row>
    <row r="85" spans="1:43">
      <c r="A85" s="4" t="s">
        <v>1</v>
      </c>
      <c r="B85" s="1" t="s">
        <v>985</v>
      </c>
      <c r="C85" s="10" t="s">
        <v>911</v>
      </c>
      <c r="D85" s="1" t="s">
        <v>619</v>
      </c>
      <c r="E85" s="1" t="s">
        <v>2</v>
      </c>
      <c r="F85" s="1" t="s">
        <v>496</v>
      </c>
      <c r="I85" s="10" t="s">
        <v>3</v>
      </c>
      <c r="J85" s="124" t="s">
        <v>3</v>
      </c>
      <c r="K85" s="1" t="s">
        <v>1094</v>
      </c>
      <c r="M85" s="5">
        <v>201912</v>
      </c>
      <c r="N85" s="5">
        <f>INDEX(rrcworking[Formation Production (MCF) @ 14.65 psi],MATCH('Jan 2020 EDI'!F85,rrcworking[RRC ID],0))</f>
        <v>0</v>
      </c>
      <c r="O85" s="5">
        <f>INDEX(rrcworking[Lease Use (MCF)],MATCH('Jan 2020 EDI'!F85,rrcworking[RRC ID],0))</f>
        <v>0</v>
      </c>
      <c r="P85" s="5">
        <f>INDEX(rrcworking[Disposition Volume (MCF) @ 14.65 MCF],MATCH('Jan 2020 EDI'!F85,rrcworking[RRC ID],0))</f>
        <v>0</v>
      </c>
      <c r="Y85" s="5">
        <f>INDEX(rrcworking[Oil Production],MATCH('Jan 2020 EDI'!F85,rrcworking[RRC ID],0))</f>
        <v>0</v>
      </c>
      <c r="AA85" s="5">
        <f>INDEX(rrcworking[Sales/Dispostion],MATCH('Jan 2020 EDI'!F85,rrcworking[RRC ID],0))</f>
        <v>0</v>
      </c>
      <c r="AQ85" s="5">
        <f>INDEX(rrcworking[Closing Stock (Oil)],MATCH('Jan 2020 EDI'!F85,rrcworking[RRC ID],0))</f>
        <v>0</v>
      </c>
    </row>
    <row r="86" spans="1:43">
      <c r="A86" s="4" t="s">
        <v>1</v>
      </c>
      <c r="B86" s="1" t="s">
        <v>986</v>
      </c>
      <c r="C86" s="10" t="s">
        <v>911</v>
      </c>
      <c r="D86" s="1" t="s">
        <v>619</v>
      </c>
      <c r="E86" s="1" t="s">
        <v>59</v>
      </c>
      <c r="F86" s="1" t="s">
        <v>497</v>
      </c>
      <c r="I86" s="10" t="s">
        <v>3</v>
      </c>
      <c r="J86" s="124" t="s">
        <v>3</v>
      </c>
      <c r="K86" s="1">
        <v>1471</v>
      </c>
      <c r="M86" s="5">
        <v>201912</v>
      </c>
      <c r="N86" s="5">
        <f>INDEX(rrcworking[Formation Production (MCF) @ 14.65 psi],MATCH('Jan 2020 EDI'!F86,rrcworking[RRC ID],0))</f>
        <v>0</v>
      </c>
      <c r="O86" s="5">
        <f>INDEX(rrcworking[Lease Use (MCF)],MATCH('Jan 2020 EDI'!F86,rrcworking[RRC ID],0))</f>
        <v>0</v>
      </c>
      <c r="P86" s="5">
        <f>INDEX(rrcworking[Disposition Volume (MCF) @ 14.65 MCF],MATCH('Jan 2020 EDI'!F86,rrcworking[RRC ID],0))</f>
        <v>0</v>
      </c>
      <c r="Y86" s="5">
        <f>INDEX(rrcworking[Oil Production],MATCH('Jan 2020 EDI'!F86,rrcworking[RRC ID],0))</f>
        <v>0</v>
      </c>
      <c r="AA86" s="5">
        <f>INDEX(rrcworking[Sales/Dispostion],MATCH('Jan 2020 EDI'!F86,rrcworking[RRC ID],0))</f>
        <v>0</v>
      </c>
      <c r="AQ86" s="5">
        <f>INDEX(rrcworking[Closing Stock (Oil)],MATCH('Jan 2020 EDI'!F86,rrcworking[RRC ID],0))</f>
        <v>0</v>
      </c>
    </row>
    <row r="87" spans="1:43">
      <c r="A87" s="4" t="s">
        <v>1</v>
      </c>
      <c r="B87" s="1" t="s">
        <v>987</v>
      </c>
      <c r="C87" s="10" t="s">
        <v>911</v>
      </c>
      <c r="D87" s="1" t="s">
        <v>619</v>
      </c>
      <c r="E87" s="1" t="s">
        <v>2</v>
      </c>
      <c r="F87" s="1" t="s">
        <v>498</v>
      </c>
      <c r="I87" s="10" t="s">
        <v>3</v>
      </c>
      <c r="J87" s="124" t="s">
        <v>3</v>
      </c>
      <c r="K87" s="1">
        <v>1471</v>
      </c>
      <c r="M87" s="5">
        <v>201912</v>
      </c>
      <c r="N87" s="5">
        <f>INDEX(rrcworking[Formation Production (MCF) @ 14.65 psi],MATCH('Jan 2020 EDI'!F87,rrcworking[RRC ID],0))</f>
        <v>0</v>
      </c>
      <c r="O87" s="5">
        <f>INDEX(rrcworking[Lease Use (MCF)],MATCH('Jan 2020 EDI'!F87,rrcworking[RRC ID],0))</f>
        <v>0</v>
      </c>
      <c r="P87" s="5">
        <f>INDEX(rrcworking[Disposition Volume (MCF) @ 14.65 MCF],MATCH('Jan 2020 EDI'!F87,rrcworking[RRC ID],0))</f>
        <v>0</v>
      </c>
      <c r="Y87" s="5">
        <f>INDEX(rrcworking[Oil Production],MATCH('Jan 2020 EDI'!F87,rrcworking[RRC ID],0))</f>
        <v>0</v>
      </c>
      <c r="AA87" s="5">
        <f>INDEX(rrcworking[Sales/Dispostion],MATCH('Jan 2020 EDI'!F87,rrcworking[RRC ID],0))</f>
        <v>0</v>
      </c>
      <c r="AQ87" s="5">
        <f>INDEX(rrcworking[Closing Stock (Oil)],MATCH('Jan 2020 EDI'!F87,rrcworking[RRC ID],0))</f>
        <v>0</v>
      </c>
    </row>
    <row r="88" spans="1:43">
      <c r="A88" s="4" t="s">
        <v>1</v>
      </c>
      <c r="B88" s="1" t="s">
        <v>988</v>
      </c>
      <c r="C88" s="10" t="s">
        <v>911</v>
      </c>
      <c r="D88" s="1" t="s">
        <v>619</v>
      </c>
      <c r="E88" s="1" t="s">
        <v>59</v>
      </c>
      <c r="F88" s="1" t="s">
        <v>499</v>
      </c>
      <c r="I88" s="10" t="s">
        <v>3</v>
      </c>
      <c r="J88" s="124" t="s">
        <v>3</v>
      </c>
      <c r="K88" s="1" t="s">
        <v>1094</v>
      </c>
      <c r="M88" s="5">
        <v>201912</v>
      </c>
      <c r="N88" s="5">
        <f>INDEX(rrcworking[Formation Production (MCF) @ 14.65 psi],MATCH('Jan 2020 EDI'!F88,rrcworking[RRC ID],0))</f>
        <v>0</v>
      </c>
      <c r="O88" s="5">
        <f>INDEX(rrcworking[Lease Use (MCF)],MATCH('Jan 2020 EDI'!F88,rrcworking[RRC ID],0))</f>
        <v>0</v>
      </c>
      <c r="P88" s="5">
        <f>INDEX(rrcworking[Disposition Volume (MCF) @ 14.65 MCF],MATCH('Jan 2020 EDI'!F88,rrcworking[RRC ID],0))</f>
        <v>0</v>
      </c>
      <c r="Y88" s="5">
        <f>INDEX(rrcworking[Oil Production],MATCH('Jan 2020 EDI'!F88,rrcworking[RRC ID],0))</f>
        <v>0</v>
      </c>
      <c r="AA88" s="5">
        <f>INDEX(rrcworking[Sales/Dispostion],MATCH('Jan 2020 EDI'!F88,rrcworking[RRC ID],0))</f>
        <v>0</v>
      </c>
      <c r="AQ88" s="5">
        <f>INDEX(rrcworking[Closing Stock (Oil)],MATCH('Jan 2020 EDI'!F88,rrcworking[RRC ID],0))</f>
        <v>0</v>
      </c>
    </row>
    <row r="89" spans="1:43">
      <c r="A89" s="4" t="s">
        <v>1</v>
      </c>
      <c r="B89" s="1" t="s">
        <v>989</v>
      </c>
      <c r="C89" s="10" t="s">
        <v>911</v>
      </c>
      <c r="D89" s="1" t="s">
        <v>619</v>
      </c>
      <c r="E89" s="1" t="s">
        <v>59</v>
      </c>
      <c r="F89" s="10" t="s">
        <v>1265</v>
      </c>
      <c r="I89" s="10" t="s">
        <v>3</v>
      </c>
      <c r="J89" s="124" t="s">
        <v>3</v>
      </c>
      <c r="K89" s="1" t="s">
        <v>1094</v>
      </c>
      <c r="M89" s="5">
        <v>201912</v>
      </c>
      <c r="N89" s="5">
        <f>INDEX(rrcworking[Formation Production (MCF) @ 14.65 psi],MATCH('Jan 2020 EDI'!F89,rrcworking[RRC ID],0))</f>
        <v>124</v>
      </c>
      <c r="O89" s="5">
        <f>INDEX(rrcworking[Lease Use (MCF)],MATCH('Jan 2020 EDI'!F89,rrcworking[RRC ID],0))</f>
        <v>124</v>
      </c>
      <c r="P89" s="5">
        <f>INDEX(rrcworking[Disposition Volume (MCF) @ 14.65 MCF],MATCH('Jan 2020 EDI'!F89,rrcworking[RRC ID],0))</f>
        <v>0</v>
      </c>
      <c r="Y89" s="5">
        <f>INDEX(rrcworking[Oil Production],MATCH('Jan 2020 EDI'!F89,rrcworking[RRC ID],0))</f>
        <v>339</v>
      </c>
      <c r="AA89" s="5">
        <f>INDEX(rrcworking[Sales/Dispostion],MATCH('Jan 2020 EDI'!F89,rrcworking[RRC ID],0))</f>
        <v>338</v>
      </c>
      <c r="AQ89" s="5">
        <f>INDEX(rrcworking[Closing Stock (Oil)],MATCH('Jan 2020 EDI'!F89,rrcworking[RRC ID],0))</f>
        <v>126</v>
      </c>
    </row>
    <row r="90" spans="1:43">
      <c r="A90" s="4" t="s">
        <v>1</v>
      </c>
      <c r="B90" s="1" t="s">
        <v>990</v>
      </c>
      <c r="C90" s="10" t="s">
        <v>911</v>
      </c>
      <c r="D90" s="1" t="s">
        <v>619</v>
      </c>
      <c r="E90" s="1" t="s">
        <v>2</v>
      </c>
      <c r="F90" s="1" t="s">
        <v>500</v>
      </c>
      <c r="I90" s="10" t="s">
        <v>3</v>
      </c>
      <c r="J90" s="124" t="s">
        <v>3</v>
      </c>
      <c r="K90" s="1" t="s">
        <v>1094</v>
      </c>
      <c r="M90" s="5">
        <v>201912</v>
      </c>
      <c r="N90" s="5">
        <f>INDEX(rrcworking[Formation Production (MCF) @ 14.65 psi],MATCH('Jan 2020 EDI'!F90,rrcworking[RRC ID],0))</f>
        <v>63</v>
      </c>
      <c r="O90" s="5">
        <f>INDEX(rrcworking[Lease Use (MCF)],MATCH('Jan 2020 EDI'!F90,rrcworking[RRC ID],0))</f>
        <v>31</v>
      </c>
      <c r="P90" s="5">
        <f>INDEX(rrcworking[Disposition Volume (MCF) @ 14.65 MCF],MATCH('Jan 2020 EDI'!F90,rrcworking[RRC ID],0))</f>
        <v>32</v>
      </c>
      <c r="Y90" s="5">
        <f>INDEX(rrcworking[Oil Production],MATCH('Jan 2020 EDI'!F90,rrcworking[RRC ID],0))</f>
        <v>482</v>
      </c>
      <c r="AA90" s="5">
        <f>INDEX(rrcworking[Sales/Dispostion],MATCH('Jan 2020 EDI'!F90,rrcworking[RRC ID],0))</f>
        <v>542</v>
      </c>
      <c r="AQ90" s="5">
        <f>INDEX(rrcworking[Closing Stock (Oil)],MATCH('Jan 2020 EDI'!F90,rrcworking[RRC ID],0))</f>
        <v>214</v>
      </c>
    </row>
    <row r="91" spans="1:43">
      <c r="A91" s="4" t="s">
        <v>1</v>
      </c>
      <c r="B91" s="1" t="s">
        <v>991</v>
      </c>
      <c r="C91" s="10" t="s">
        <v>911</v>
      </c>
      <c r="D91" s="1" t="s">
        <v>619</v>
      </c>
      <c r="E91" s="1" t="s">
        <v>2</v>
      </c>
      <c r="F91" s="1" t="s">
        <v>501</v>
      </c>
      <c r="I91" s="10" t="s">
        <v>3</v>
      </c>
      <c r="J91" s="124" t="s">
        <v>3</v>
      </c>
      <c r="K91" s="1" t="s">
        <v>1094</v>
      </c>
      <c r="M91" s="5">
        <v>201912</v>
      </c>
      <c r="N91" s="5">
        <f>INDEX(rrcworking[Formation Production (MCF) @ 14.65 psi],MATCH('Jan 2020 EDI'!F91,rrcworking[RRC ID],0))</f>
        <v>0</v>
      </c>
      <c r="O91" s="5">
        <f>INDEX(rrcworking[Lease Use (MCF)],MATCH('Jan 2020 EDI'!F91,rrcworking[RRC ID],0))</f>
        <v>0</v>
      </c>
      <c r="P91" s="5">
        <f>INDEX(rrcworking[Disposition Volume (MCF) @ 14.65 MCF],MATCH('Jan 2020 EDI'!F91,rrcworking[RRC ID],0))</f>
        <v>0</v>
      </c>
      <c r="Y91" s="5">
        <f>INDEX(rrcworking[Oil Production],MATCH('Jan 2020 EDI'!F91,rrcworking[RRC ID],0))</f>
        <v>0</v>
      </c>
      <c r="AA91" s="5">
        <f>INDEX(rrcworking[Sales/Dispostion],MATCH('Jan 2020 EDI'!F91,rrcworking[RRC ID],0))</f>
        <v>0</v>
      </c>
      <c r="AQ91" s="5">
        <f>INDEX(rrcworking[Closing Stock (Oil)],MATCH('Jan 2020 EDI'!F91,rrcworking[RRC ID],0))</f>
        <v>68</v>
      </c>
    </row>
    <row r="92" spans="1:43">
      <c r="A92" s="4" t="s">
        <v>1</v>
      </c>
      <c r="B92" s="1" t="s">
        <v>992</v>
      </c>
      <c r="C92" s="10" t="s">
        <v>911</v>
      </c>
      <c r="D92" s="1" t="s">
        <v>619</v>
      </c>
      <c r="E92" s="1" t="s">
        <v>59</v>
      </c>
      <c r="F92" s="1" t="s">
        <v>502</v>
      </c>
      <c r="I92" s="10" t="s">
        <v>3</v>
      </c>
      <c r="J92" s="124" t="s">
        <v>3</v>
      </c>
      <c r="K92" s="1" t="s">
        <v>1094</v>
      </c>
      <c r="M92" s="5">
        <v>201912</v>
      </c>
      <c r="N92" s="5">
        <f>INDEX(rrcworking[Formation Production (MCF) @ 14.65 psi],MATCH('Jan 2020 EDI'!F92,rrcworking[RRC ID],0))</f>
        <v>0</v>
      </c>
      <c r="O92" s="5">
        <f>INDEX(rrcworking[Lease Use (MCF)],MATCH('Jan 2020 EDI'!F92,rrcworking[RRC ID],0))</f>
        <v>0</v>
      </c>
      <c r="P92" s="5">
        <f>INDEX(rrcworking[Disposition Volume (MCF) @ 14.65 MCF],MATCH('Jan 2020 EDI'!F92,rrcworking[RRC ID],0))</f>
        <v>0</v>
      </c>
      <c r="Y92" s="5">
        <f>INDEX(rrcworking[Oil Production],MATCH('Jan 2020 EDI'!F92,rrcworking[RRC ID],0))</f>
        <v>0</v>
      </c>
      <c r="AA92" s="5">
        <f>INDEX(rrcworking[Sales/Dispostion],MATCH('Jan 2020 EDI'!F92,rrcworking[RRC ID],0))</f>
        <v>0</v>
      </c>
      <c r="AQ92" s="5">
        <f>INDEX(rrcworking[Closing Stock (Oil)],MATCH('Jan 2020 EDI'!F92,rrcworking[RRC ID],0))</f>
        <v>0</v>
      </c>
    </row>
    <row r="93" spans="1:43">
      <c r="A93" s="4" t="s">
        <v>1</v>
      </c>
      <c r="B93" s="1" t="s">
        <v>993</v>
      </c>
      <c r="C93" s="10" t="s">
        <v>911</v>
      </c>
      <c r="D93" s="1" t="s">
        <v>619</v>
      </c>
      <c r="E93" s="1" t="s">
        <v>59</v>
      </c>
      <c r="F93" s="1" t="s">
        <v>503</v>
      </c>
      <c r="I93" s="10" t="s">
        <v>3</v>
      </c>
      <c r="J93" s="124" t="s">
        <v>3</v>
      </c>
      <c r="K93" s="1" t="s">
        <v>1094</v>
      </c>
      <c r="M93" s="5">
        <v>201912</v>
      </c>
      <c r="N93" s="5">
        <f>INDEX(rrcworking[Formation Production (MCF) @ 14.65 psi],MATCH('Jan 2020 EDI'!F93,rrcworking[RRC ID],0))</f>
        <v>0</v>
      </c>
      <c r="O93" s="5">
        <f>INDEX(rrcworking[Lease Use (MCF)],MATCH('Jan 2020 EDI'!F93,rrcworking[RRC ID],0))</f>
        <v>0</v>
      </c>
      <c r="P93" s="5">
        <f>INDEX(rrcworking[Disposition Volume (MCF) @ 14.65 MCF],MATCH('Jan 2020 EDI'!F93,rrcworking[RRC ID],0))</f>
        <v>0</v>
      </c>
      <c r="Y93" s="5">
        <f>INDEX(rrcworking[Oil Production],MATCH('Jan 2020 EDI'!F93,rrcworking[RRC ID],0))</f>
        <v>0</v>
      </c>
      <c r="AA93" s="5">
        <f>INDEX(rrcworking[Sales/Dispostion],MATCH('Jan 2020 EDI'!F93,rrcworking[RRC ID],0))</f>
        <v>0</v>
      </c>
      <c r="AQ93" s="5">
        <f>INDEX(rrcworking[Closing Stock (Oil)],MATCH('Jan 2020 EDI'!F93,rrcworking[RRC ID],0))</f>
        <v>0</v>
      </c>
    </row>
    <row r="94" spans="1:43">
      <c r="A94" s="4" t="s">
        <v>1</v>
      </c>
      <c r="B94" s="1" t="s">
        <v>994</v>
      </c>
      <c r="C94" s="10" t="s">
        <v>911</v>
      </c>
      <c r="D94" s="1" t="s">
        <v>619</v>
      </c>
      <c r="E94" s="1" t="s">
        <v>2</v>
      </c>
      <c r="F94" s="1" t="s">
        <v>504</v>
      </c>
      <c r="I94" s="10" t="s">
        <v>3</v>
      </c>
      <c r="J94" s="124" t="s">
        <v>3</v>
      </c>
      <c r="K94" s="1" t="s">
        <v>1094</v>
      </c>
      <c r="M94" s="5">
        <v>201912</v>
      </c>
      <c r="N94" s="5">
        <f>INDEX(rrcworking[Formation Production (MCF) @ 14.65 psi],MATCH('Jan 2020 EDI'!F94,rrcworking[RRC ID],0))</f>
        <v>0</v>
      </c>
      <c r="O94" s="5">
        <f>INDEX(rrcworking[Lease Use (MCF)],MATCH('Jan 2020 EDI'!F94,rrcworking[RRC ID],0))</f>
        <v>0</v>
      </c>
      <c r="P94" s="5">
        <f>INDEX(rrcworking[Disposition Volume (MCF) @ 14.65 MCF],MATCH('Jan 2020 EDI'!F94,rrcworking[RRC ID],0))</f>
        <v>0</v>
      </c>
      <c r="Y94" s="5">
        <f>INDEX(rrcworking[Oil Production],MATCH('Jan 2020 EDI'!F94,rrcworking[RRC ID],0))</f>
        <v>47</v>
      </c>
      <c r="AA94" s="5">
        <f>INDEX(rrcworking[Sales/Dispostion],MATCH('Jan 2020 EDI'!F94,rrcworking[RRC ID],0))</f>
        <v>0</v>
      </c>
      <c r="AQ94" s="5">
        <f>INDEX(rrcworking[Closing Stock (Oil)],MATCH('Jan 2020 EDI'!F94,rrcworking[RRC ID],0))</f>
        <v>107</v>
      </c>
    </row>
    <row r="95" spans="1:43">
      <c r="A95" s="4" t="s">
        <v>1</v>
      </c>
      <c r="B95" s="1" t="s">
        <v>995</v>
      </c>
      <c r="C95" s="10" t="s">
        <v>911</v>
      </c>
      <c r="D95" s="1" t="s">
        <v>619</v>
      </c>
      <c r="E95" s="1" t="s">
        <v>59</v>
      </c>
      <c r="F95" s="1" t="s">
        <v>505</v>
      </c>
      <c r="I95" s="10" t="s">
        <v>3</v>
      </c>
      <c r="J95" s="124" t="s">
        <v>3</v>
      </c>
      <c r="K95" s="1" t="s">
        <v>1094</v>
      </c>
      <c r="M95" s="5">
        <v>201912</v>
      </c>
      <c r="N95" s="5">
        <f>INDEX(rrcworking[Formation Production (MCF) @ 14.65 psi],MATCH('Jan 2020 EDI'!F95,rrcworking[RRC ID],0))</f>
        <v>12905</v>
      </c>
      <c r="O95" s="5">
        <f>INDEX(rrcworking[Lease Use (MCF)],MATCH('Jan 2020 EDI'!F95,rrcworking[RRC ID],0))</f>
        <v>465</v>
      </c>
      <c r="P95" s="5">
        <f>INDEX(rrcworking[Disposition Volume (MCF) @ 14.65 MCF],MATCH('Jan 2020 EDI'!F95,rrcworking[RRC ID],0))</f>
        <v>12440</v>
      </c>
      <c r="Y95" s="5">
        <f>INDEX(rrcworking[Oil Production],MATCH('Jan 2020 EDI'!F95,rrcworking[RRC ID],0))</f>
        <v>155</v>
      </c>
      <c r="AA95" s="5">
        <f>INDEX(rrcworking[Sales/Dispostion],MATCH('Jan 2020 EDI'!F95,rrcworking[RRC ID],0))</f>
        <v>180</v>
      </c>
      <c r="AQ95" s="5">
        <f>INDEX(rrcworking[Closing Stock (Oil)],MATCH('Jan 2020 EDI'!F95,rrcworking[RRC ID],0))</f>
        <v>131</v>
      </c>
    </row>
    <row r="96" spans="1:43">
      <c r="A96" s="4" t="s">
        <v>1</v>
      </c>
      <c r="B96" s="1" t="s">
        <v>996</v>
      </c>
      <c r="C96" s="10" t="s">
        <v>911</v>
      </c>
      <c r="D96" s="1" t="s">
        <v>619</v>
      </c>
      <c r="E96" s="1" t="s">
        <v>59</v>
      </c>
      <c r="F96" s="1" t="s">
        <v>506</v>
      </c>
      <c r="I96" s="10" t="s">
        <v>3</v>
      </c>
      <c r="J96" s="124" t="s">
        <v>3</v>
      </c>
      <c r="K96" s="1" t="s">
        <v>1094</v>
      </c>
      <c r="M96" s="5">
        <v>201912</v>
      </c>
      <c r="N96" s="5">
        <f>INDEX(rrcworking[Formation Production (MCF) @ 14.65 psi],MATCH('Jan 2020 EDI'!F96,rrcworking[RRC ID],0))</f>
        <v>1748</v>
      </c>
      <c r="O96" s="5">
        <f>INDEX(rrcworking[Lease Use (MCF)],MATCH('Jan 2020 EDI'!F96,rrcworking[RRC ID],0))</f>
        <v>0</v>
      </c>
      <c r="P96" s="5">
        <f>INDEX(rrcworking[Disposition Volume (MCF) @ 14.65 MCF],MATCH('Jan 2020 EDI'!F96,rrcworking[RRC ID],0))</f>
        <v>1748</v>
      </c>
      <c r="Y96" s="5">
        <f>INDEX(rrcworking[Oil Production],MATCH('Jan 2020 EDI'!F96,rrcworking[RRC ID],0))</f>
        <v>7</v>
      </c>
      <c r="AA96" s="5">
        <f>INDEX(rrcworking[Sales/Dispostion],MATCH('Jan 2020 EDI'!F96,rrcworking[RRC ID],0))</f>
        <v>0</v>
      </c>
      <c r="AQ96" s="5">
        <f>INDEX(rrcworking[Closing Stock (Oil)],MATCH('Jan 2020 EDI'!F96,rrcworking[RRC ID],0))</f>
        <v>99</v>
      </c>
    </row>
    <row r="97" spans="1:43">
      <c r="A97" s="4" t="s">
        <v>1</v>
      </c>
      <c r="B97" s="1" t="s">
        <v>997</v>
      </c>
      <c r="C97" s="10" t="s">
        <v>911</v>
      </c>
      <c r="D97" s="1" t="s">
        <v>619</v>
      </c>
      <c r="E97" s="1" t="s">
        <v>59</v>
      </c>
      <c r="F97" s="1" t="s">
        <v>507</v>
      </c>
      <c r="I97" s="10" t="s">
        <v>3</v>
      </c>
      <c r="J97" s="124" t="s">
        <v>3</v>
      </c>
      <c r="K97" s="1" t="s">
        <v>1094</v>
      </c>
      <c r="M97" s="5">
        <v>201912</v>
      </c>
      <c r="N97" s="5">
        <f>INDEX(rrcworking[Formation Production (MCF) @ 14.65 psi],MATCH('Jan 2020 EDI'!F97,rrcworking[RRC ID],0))</f>
        <v>0</v>
      </c>
      <c r="O97" s="5">
        <f>INDEX(rrcworking[Lease Use (MCF)],MATCH('Jan 2020 EDI'!F97,rrcworking[RRC ID],0))</f>
        <v>0</v>
      </c>
      <c r="P97" s="5">
        <f>INDEX(rrcworking[Disposition Volume (MCF) @ 14.65 MCF],MATCH('Jan 2020 EDI'!F97,rrcworking[RRC ID],0))</f>
        <v>0</v>
      </c>
      <c r="Y97" s="5">
        <f>INDEX(rrcworking[Oil Production],MATCH('Jan 2020 EDI'!F97,rrcworking[RRC ID],0))</f>
        <v>0</v>
      </c>
      <c r="AA97" s="5">
        <f>INDEX(rrcworking[Sales/Dispostion],MATCH('Jan 2020 EDI'!F97,rrcworking[RRC ID],0))</f>
        <v>0</v>
      </c>
      <c r="AQ97" s="5">
        <f>INDEX(rrcworking[Closing Stock (Oil)],MATCH('Jan 2020 EDI'!F97,rrcworking[RRC ID],0))</f>
        <v>0</v>
      </c>
    </row>
    <row r="98" spans="1:43">
      <c r="A98" s="4" t="s">
        <v>1</v>
      </c>
      <c r="B98" s="1" t="s">
        <v>998</v>
      </c>
      <c r="C98" s="10" t="s">
        <v>911</v>
      </c>
      <c r="D98" s="1" t="s">
        <v>619</v>
      </c>
      <c r="E98" s="1" t="s">
        <v>2</v>
      </c>
      <c r="F98" s="1" t="s">
        <v>508</v>
      </c>
      <c r="I98" s="10" t="s">
        <v>3</v>
      </c>
      <c r="J98" s="124" t="s">
        <v>3</v>
      </c>
      <c r="K98" s="1" t="s">
        <v>1094</v>
      </c>
      <c r="M98" s="5">
        <v>201912</v>
      </c>
      <c r="N98" s="5">
        <f>INDEX(rrcworking[Formation Production (MCF) @ 14.65 psi],MATCH('Jan 2020 EDI'!F98,rrcworking[RRC ID],0))</f>
        <v>0</v>
      </c>
      <c r="O98" s="5">
        <f>INDEX(rrcworking[Lease Use (MCF)],MATCH('Jan 2020 EDI'!F98,rrcworking[RRC ID],0))</f>
        <v>0</v>
      </c>
      <c r="P98" s="5">
        <f>INDEX(rrcworking[Disposition Volume (MCF) @ 14.65 MCF],MATCH('Jan 2020 EDI'!F98,rrcworking[RRC ID],0))</f>
        <v>0</v>
      </c>
      <c r="Y98" s="5">
        <f>INDEX(rrcworking[Oil Production],MATCH('Jan 2020 EDI'!F98,rrcworking[RRC ID],0))</f>
        <v>0</v>
      </c>
      <c r="AA98" s="5">
        <f>INDEX(rrcworking[Sales/Dispostion],MATCH('Jan 2020 EDI'!F98,rrcworking[RRC ID],0))</f>
        <v>0</v>
      </c>
      <c r="AQ98" s="5">
        <f>INDEX(rrcworking[Closing Stock (Oil)],MATCH('Jan 2020 EDI'!F98,rrcworking[RRC ID],0))</f>
        <v>0</v>
      </c>
    </row>
    <row r="99" spans="1:43">
      <c r="A99" s="4" t="s">
        <v>1</v>
      </c>
      <c r="B99" s="1" t="s">
        <v>999</v>
      </c>
      <c r="C99" s="10" t="s">
        <v>911</v>
      </c>
      <c r="D99" s="1" t="s">
        <v>619</v>
      </c>
      <c r="E99" s="1" t="s">
        <v>59</v>
      </c>
      <c r="F99" s="1" t="s">
        <v>509</v>
      </c>
      <c r="I99" s="10" t="s">
        <v>3</v>
      </c>
      <c r="J99" s="124" t="s">
        <v>3</v>
      </c>
      <c r="K99" s="1" t="s">
        <v>1094</v>
      </c>
      <c r="M99" s="5">
        <v>201912</v>
      </c>
      <c r="N99" s="5">
        <f>INDEX(rrcworking[Formation Production (MCF) @ 14.65 psi],MATCH('Jan 2020 EDI'!F99,rrcworking[RRC ID],0))</f>
        <v>0</v>
      </c>
      <c r="O99" s="5">
        <f>INDEX(rrcworking[Lease Use (MCF)],MATCH('Jan 2020 EDI'!F99,rrcworking[RRC ID],0))</f>
        <v>0</v>
      </c>
      <c r="P99" s="5">
        <f>INDEX(rrcworking[Disposition Volume (MCF) @ 14.65 MCF],MATCH('Jan 2020 EDI'!F99,rrcworking[RRC ID],0))</f>
        <v>0</v>
      </c>
      <c r="Y99" s="5">
        <f>INDEX(rrcworking[Oil Production],MATCH('Jan 2020 EDI'!F99,rrcworking[RRC ID],0))</f>
        <v>0</v>
      </c>
      <c r="AA99" s="5">
        <f>INDEX(rrcworking[Sales/Dispostion],MATCH('Jan 2020 EDI'!F99,rrcworking[RRC ID],0))</f>
        <v>0</v>
      </c>
      <c r="AQ99" s="5">
        <f>INDEX(rrcworking[Closing Stock (Oil)],MATCH('Jan 2020 EDI'!F99,rrcworking[RRC ID],0))</f>
        <v>0</v>
      </c>
    </row>
    <row r="100" spans="1:43">
      <c r="A100" s="4" t="s">
        <v>1</v>
      </c>
      <c r="B100" s="1" t="s">
        <v>1000</v>
      </c>
      <c r="C100" s="10" t="s">
        <v>911</v>
      </c>
      <c r="D100" s="1" t="s">
        <v>619</v>
      </c>
      <c r="E100" s="1" t="s">
        <v>59</v>
      </c>
      <c r="F100" s="1" t="s">
        <v>510</v>
      </c>
      <c r="I100" s="10" t="s">
        <v>3</v>
      </c>
      <c r="J100" s="124" t="s">
        <v>3</v>
      </c>
      <c r="K100" s="1" t="s">
        <v>1094</v>
      </c>
      <c r="M100" s="5">
        <v>201912</v>
      </c>
      <c r="N100" s="5">
        <f>INDEX(rrcworking[Formation Production (MCF) @ 14.65 psi],MATCH('Jan 2020 EDI'!F100,rrcworking[RRC ID],0))</f>
        <v>0</v>
      </c>
      <c r="O100" s="5">
        <f>INDEX(rrcworking[Lease Use (MCF)],MATCH('Jan 2020 EDI'!F100,rrcworking[RRC ID],0))</f>
        <v>0</v>
      </c>
      <c r="P100" s="5">
        <f>INDEX(rrcworking[Disposition Volume (MCF) @ 14.65 MCF],MATCH('Jan 2020 EDI'!F100,rrcworking[RRC ID],0))</f>
        <v>0</v>
      </c>
      <c r="Y100" s="5">
        <f>INDEX(rrcworking[Oil Production],MATCH('Jan 2020 EDI'!F100,rrcworking[RRC ID],0))</f>
        <v>0</v>
      </c>
      <c r="AA100" s="5">
        <f>INDEX(rrcworking[Sales/Dispostion],MATCH('Jan 2020 EDI'!F100,rrcworking[RRC ID],0))</f>
        <v>0</v>
      </c>
      <c r="AQ100" s="5">
        <f>INDEX(rrcworking[Closing Stock (Oil)],MATCH('Jan 2020 EDI'!F100,rrcworking[RRC ID],0))</f>
        <v>0</v>
      </c>
    </row>
    <row r="101" spans="1:43">
      <c r="A101" s="4" t="s">
        <v>1</v>
      </c>
      <c r="B101" s="1" t="s">
        <v>1001</v>
      </c>
      <c r="C101" s="10" t="s">
        <v>911</v>
      </c>
      <c r="D101" s="1" t="s">
        <v>619</v>
      </c>
      <c r="E101" s="1" t="s">
        <v>59</v>
      </c>
      <c r="F101" s="1" t="s">
        <v>511</v>
      </c>
      <c r="I101" s="10" t="s">
        <v>3</v>
      </c>
      <c r="J101" s="124" t="s">
        <v>3</v>
      </c>
      <c r="K101" s="1" t="s">
        <v>1094</v>
      </c>
      <c r="M101" s="5">
        <v>201912</v>
      </c>
      <c r="N101" s="5">
        <f>INDEX(rrcworking[Formation Production (MCF) @ 14.65 psi],MATCH('Jan 2020 EDI'!F101,rrcworking[RRC ID],0))</f>
        <v>1038</v>
      </c>
      <c r="O101" s="5">
        <f>INDEX(rrcworking[Lease Use (MCF)],MATCH('Jan 2020 EDI'!F101,rrcworking[RRC ID],0))</f>
        <v>84</v>
      </c>
      <c r="P101" s="5">
        <f>INDEX(rrcworking[Disposition Volume (MCF) @ 14.65 MCF],MATCH('Jan 2020 EDI'!F101,rrcworking[RRC ID],0))</f>
        <v>954</v>
      </c>
      <c r="Y101" s="5">
        <f>INDEX(rrcworking[Oil Production],MATCH('Jan 2020 EDI'!F101,rrcworking[RRC ID],0))</f>
        <v>180</v>
      </c>
      <c r="AA101" s="5">
        <f>INDEX(rrcworking[Sales/Dispostion],MATCH('Jan 2020 EDI'!F101,rrcworking[RRC ID],0))</f>
        <v>180</v>
      </c>
      <c r="AQ101" s="5">
        <f>INDEX(rrcworking[Closing Stock (Oil)],MATCH('Jan 2020 EDI'!F101,rrcworking[RRC ID],0))</f>
        <v>104</v>
      </c>
    </row>
    <row r="102" spans="1:43">
      <c r="A102" s="4" t="s">
        <v>1</v>
      </c>
      <c r="B102" s="1" t="s">
        <v>1002</v>
      </c>
      <c r="C102" s="10" t="s">
        <v>911</v>
      </c>
      <c r="D102" s="1" t="s">
        <v>619</v>
      </c>
      <c r="E102" s="1" t="s">
        <v>2</v>
      </c>
      <c r="F102" s="1" t="s">
        <v>512</v>
      </c>
      <c r="I102" s="10" t="s">
        <v>3</v>
      </c>
      <c r="J102" s="124" t="s">
        <v>3</v>
      </c>
      <c r="K102" s="1" t="s">
        <v>1094</v>
      </c>
      <c r="M102" s="5">
        <v>201912</v>
      </c>
      <c r="N102" s="5">
        <f>INDEX(rrcworking[Formation Production (MCF) @ 14.65 psi],MATCH('Jan 2020 EDI'!F102,rrcworking[RRC ID],0))</f>
        <v>0</v>
      </c>
      <c r="O102" s="5">
        <f>INDEX(rrcworking[Lease Use (MCF)],MATCH('Jan 2020 EDI'!F102,rrcworking[RRC ID],0))</f>
        <v>0</v>
      </c>
      <c r="P102" s="5">
        <f>INDEX(rrcworking[Disposition Volume (MCF) @ 14.65 MCF],MATCH('Jan 2020 EDI'!F102,rrcworking[RRC ID],0))</f>
        <v>0</v>
      </c>
      <c r="Y102" s="5">
        <f>INDEX(rrcworking[Oil Production],MATCH('Jan 2020 EDI'!F102,rrcworking[RRC ID],0))</f>
        <v>15</v>
      </c>
      <c r="AA102" s="5">
        <f>INDEX(rrcworking[Sales/Dispostion],MATCH('Jan 2020 EDI'!F102,rrcworking[RRC ID],0))</f>
        <v>0</v>
      </c>
      <c r="AQ102" s="5">
        <f>INDEX(rrcworking[Closing Stock (Oil)],MATCH('Jan 2020 EDI'!F102,rrcworking[RRC ID],0))</f>
        <v>45</v>
      </c>
    </row>
    <row r="103" spans="1:43">
      <c r="A103" s="4" t="s">
        <v>1</v>
      </c>
      <c r="B103" s="1" t="s">
        <v>1003</v>
      </c>
      <c r="C103" s="10" t="s">
        <v>911</v>
      </c>
      <c r="D103" s="1" t="s">
        <v>619</v>
      </c>
      <c r="E103" s="1" t="s">
        <v>59</v>
      </c>
      <c r="F103" s="1" t="s">
        <v>513</v>
      </c>
      <c r="I103" s="10" t="s">
        <v>3</v>
      </c>
      <c r="J103" s="124" t="s">
        <v>3</v>
      </c>
      <c r="K103" s="1" t="s">
        <v>1094</v>
      </c>
      <c r="M103" s="5">
        <v>201912</v>
      </c>
      <c r="N103" s="5">
        <f>INDEX(rrcworking[Formation Production (MCF) @ 14.65 psi],MATCH('Jan 2020 EDI'!F103,rrcworking[RRC ID],0))</f>
        <v>0</v>
      </c>
      <c r="O103" s="5">
        <f>INDEX(rrcworking[Lease Use (MCF)],MATCH('Jan 2020 EDI'!F103,rrcworking[RRC ID],0))</f>
        <v>0</v>
      </c>
      <c r="P103" s="5">
        <f>INDEX(rrcworking[Disposition Volume (MCF) @ 14.65 MCF],MATCH('Jan 2020 EDI'!F103,rrcworking[RRC ID],0))</f>
        <v>0</v>
      </c>
      <c r="Y103" s="5">
        <f>INDEX(rrcworking[Oil Production],MATCH('Jan 2020 EDI'!F103,rrcworking[RRC ID],0))</f>
        <v>0</v>
      </c>
      <c r="AA103" s="5">
        <f>INDEX(rrcworking[Sales/Dispostion],MATCH('Jan 2020 EDI'!F103,rrcworking[RRC ID],0))</f>
        <v>0</v>
      </c>
      <c r="AQ103" s="5">
        <f>INDEX(rrcworking[Closing Stock (Oil)],MATCH('Jan 2020 EDI'!F103,rrcworking[RRC ID],0))</f>
        <v>0</v>
      </c>
    </row>
    <row r="104" spans="1:43">
      <c r="A104" s="4" t="s">
        <v>1</v>
      </c>
      <c r="B104" s="1" t="s">
        <v>1004</v>
      </c>
      <c r="C104" s="10" t="s">
        <v>911</v>
      </c>
      <c r="D104" s="1" t="s">
        <v>619</v>
      </c>
      <c r="E104" s="1" t="s">
        <v>59</v>
      </c>
      <c r="F104" s="1" t="s">
        <v>514</v>
      </c>
      <c r="I104" s="10" t="s">
        <v>3</v>
      </c>
      <c r="J104" s="124" t="s">
        <v>3</v>
      </c>
      <c r="K104" s="1" t="s">
        <v>1094</v>
      </c>
      <c r="M104" s="5">
        <v>201912</v>
      </c>
      <c r="N104" s="5">
        <f>INDEX(rrcworking[Formation Production (MCF) @ 14.65 psi],MATCH('Jan 2020 EDI'!F104,rrcworking[RRC ID],0))</f>
        <v>0</v>
      </c>
      <c r="O104" s="5">
        <f>INDEX(rrcworking[Lease Use (MCF)],MATCH('Jan 2020 EDI'!F104,rrcworking[RRC ID],0))</f>
        <v>0</v>
      </c>
      <c r="P104" s="5">
        <f>INDEX(rrcworking[Disposition Volume (MCF) @ 14.65 MCF],MATCH('Jan 2020 EDI'!F104,rrcworking[RRC ID],0))</f>
        <v>0</v>
      </c>
      <c r="Y104" s="5">
        <f>INDEX(rrcworking[Oil Production],MATCH('Jan 2020 EDI'!F104,rrcworking[RRC ID],0))</f>
        <v>0</v>
      </c>
      <c r="AA104" s="5">
        <f>INDEX(rrcworking[Sales/Dispostion],MATCH('Jan 2020 EDI'!F104,rrcworking[RRC ID],0))</f>
        <v>0</v>
      </c>
      <c r="AQ104" s="5">
        <f>INDEX(rrcworking[Closing Stock (Oil)],MATCH('Jan 2020 EDI'!F104,rrcworking[RRC ID],0))</f>
        <v>0</v>
      </c>
    </row>
    <row r="105" spans="1:43">
      <c r="A105" s="4" t="s">
        <v>1</v>
      </c>
      <c r="B105" s="1" t="s">
        <v>1005</v>
      </c>
      <c r="C105" s="10" t="s">
        <v>911</v>
      </c>
      <c r="D105" s="1" t="s">
        <v>619</v>
      </c>
      <c r="E105" s="1" t="s">
        <v>59</v>
      </c>
      <c r="F105" s="1" t="s">
        <v>515</v>
      </c>
      <c r="I105" s="10" t="s">
        <v>3</v>
      </c>
      <c r="J105" s="124" t="s">
        <v>3</v>
      </c>
      <c r="K105" s="1" t="s">
        <v>1094</v>
      </c>
      <c r="M105" s="5">
        <v>201912</v>
      </c>
      <c r="N105" s="5">
        <f>INDEX(rrcworking[Formation Production (MCF) @ 14.65 psi],MATCH('Jan 2020 EDI'!F105,rrcworking[RRC ID],0))</f>
        <v>15258</v>
      </c>
      <c r="O105" s="5">
        <f>INDEX(rrcworking[Lease Use (MCF)],MATCH('Jan 2020 EDI'!F105,rrcworking[RRC ID],0))</f>
        <v>775</v>
      </c>
      <c r="P105" s="5">
        <f>INDEX(rrcworking[Disposition Volume (MCF) @ 14.65 MCF],MATCH('Jan 2020 EDI'!F105,rrcworking[RRC ID],0))</f>
        <v>14483</v>
      </c>
      <c r="Y105" s="5">
        <f>INDEX(rrcworking[Oil Production],MATCH('Jan 2020 EDI'!F105,rrcworking[RRC ID],0))</f>
        <v>26</v>
      </c>
      <c r="AA105" s="5">
        <f>INDEX(rrcworking[Sales/Dispostion],MATCH('Jan 2020 EDI'!F105,rrcworking[RRC ID],0))</f>
        <v>181</v>
      </c>
      <c r="AQ105" s="5">
        <f>INDEX(rrcworking[Closing Stock (Oil)],MATCH('Jan 2020 EDI'!F105,rrcworking[RRC ID],0))</f>
        <v>75</v>
      </c>
    </row>
    <row r="106" spans="1:43">
      <c r="A106" s="4" t="s">
        <v>1</v>
      </c>
      <c r="B106" s="1" t="s">
        <v>1006</v>
      </c>
      <c r="C106" s="10" t="s">
        <v>911</v>
      </c>
      <c r="D106" s="1" t="s">
        <v>619</v>
      </c>
      <c r="E106" s="1" t="s">
        <v>59</v>
      </c>
      <c r="F106" s="1" t="s">
        <v>516</v>
      </c>
      <c r="I106" s="10" t="s">
        <v>3</v>
      </c>
      <c r="J106" s="124" t="s">
        <v>3</v>
      </c>
      <c r="K106" s="1" t="s">
        <v>1094</v>
      </c>
      <c r="M106" s="5">
        <v>201912</v>
      </c>
      <c r="N106" s="5">
        <f>INDEX(rrcworking[Formation Production (MCF) @ 14.65 psi],MATCH('Jan 2020 EDI'!F106,rrcworking[RRC ID],0))</f>
        <v>585</v>
      </c>
      <c r="O106" s="5">
        <f>INDEX(rrcworking[Lease Use (MCF)],MATCH('Jan 2020 EDI'!F106,rrcworking[RRC ID],0))</f>
        <v>0</v>
      </c>
      <c r="P106" s="5">
        <f>INDEX(rrcworking[Disposition Volume (MCF) @ 14.65 MCF],MATCH('Jan 2020 EDI'!F106,rrcworking[RRC ID],0))</f>
        <v>585</v>
      </c>
      <c r="Y106" s="5">
        <f>INDEX(rrcworking[Oil Production],MATCH('Jan 2020 EDI'!F106,rrcworking[RRC ID],0))</f>
        <v>19</v>
      </c>
      <c r="AA106" s="5">
        <f>INDEX(rrcworking[Sales/Dispostion],MATCH('Jan 2020 EDI'!F106,rrcworking[RRC ID],0))</f>
        <v>0</v>
      </c>
      <c r="AQ106" s="5">
        <f>INDEX(rrcworking[Closing Stock (Oil)],MATCH('Jan 2020 EDI'!F106,rrcworking[RRC ID],0))</f>
        <v>92</v>
      </c>
    </row>
    <row r="107" spans="1:43">
      <c r="A107" s="4" t="s">
        <v>1</v>
      </c>
      <c r="B107" s="1" t="s">
        <v>1007</v>
      </c>
      <c r="C107" s="10" t="s">
        <v>911</v>
      </c>
      <c r="D107" s="1" t="s">
        <v>619</v>
      </c>
      <c r="E107" s="1" t="s">
        <v>59</v>
      </c>
      <c r="F107" s="1" t="s">
        <v>517</v>
      </c>
      <c r="I107" s="10" t="s">
        <v>3</v>
      </c>
      <c r="J107" s="124" t="s">
        <v>3</v>
      </c>
      <c r="K107" s="1" t="s">
        <v>1094</v>
      </c>
      <c r="M107" s="5">
        <v>201912</v>
      </c>
      <c r="N107" s="5">
        <f>INDEX(rrcworking[Formation Production (MCF) @ 14.65 psi],MATCH('Jan 2020 EDI'!F107,rrcworking[RRC ID],0))</f>
        <v>8550</v>
      </c>
      <c r="O107" s="5">
        <f>INDEX(rrcworking[Lease Use (MCF)],MATCH('Jan 2020 EDI'!F107,rrcworking[RRC ID],0))</f>
        <v>651</v>
      </c>
      <c r="P107" s="5">
        <f>INDEX(rrcworking[Disposition Volume (MCF) @ 14.65 MCF],MATCH('Jan 2020 EDI'!F107,rrcworking[RRC ID],0))</f>
        <v>7899</v>
      </c>
      <c r="Y107" s="5">
        <f>INDEX(rrcworking[Oil Production],MATCH('Jan 2020 EDI'!F107,rrcworking[RRC ID],0))</f>
        <v>0</v>
      </c>
      <c r="AA107" s="5">
        <f>INDEX(rrcworking[Sales/Dispostion],MATCH('Jan 2020 EDI'!F107,rrcworking[RRC ID],0))</f>
        <v>0</v>
      </c>
      <c r="AQ107" s="5">
        <f>INDEX(rrcworking[Closing Stock (Oil)],MATCH('Jan 2020 EDI'!F107,rrcworking[RRC ID],0))</f>
        <v>100</v>
      </c>
    </row>
    <row r="108" spans="1:43">
      <c r="A108" s="4" t="s">
        <v>1</v>
      </c>
      <c r="B108" s="1" t="s">
        <v>1008</v>
      </c>
      <c r="C108" s="10" t="s">
        <v>911</v>
      </c>
      <c r="D108" s="1" t="s">
        <v>619</v>
      </c>
      <c r="E108" s="1" t="s">
        <v>2</v>
      </c>
      <c r="F108" s="1" t="s">
        <v>518</v>
      </c>
      <c r="I108" s="10" t="s">
        <v>3</v>
      </c>
      <c r="J108" s="124" t="s">
        <v>3</v>
      </c>
      <c r="K108" s="1" t="s">
        <v>1094</v>
      </c>
      <c r="M108" s="5">
        <v>201912</v>
      </c>
      <c r="N108" s="5">
        <f>INDEX(rrcworking[Formation Production (MCF) @ 14.65 psi],MATCH('Jan 2020 EDI'!F108,rrcworking[RRC ID],0))</f>
        <v>0</v>
      </c>
      <c r="O108" s="5">
        <f>INDEX(rrcworking[Lease Use (MCF)],MATCH('Jan 2020 EDI'!F108,rrcworking[RRC ID],0))</f>
        <v>0</v>
      </c>
      <c r="P108" s="5">
        <f>INDEX(rrcworking[Disposition Volume (MCF) @ 14.65 MCF],MATCH('Jan 2020 EDI'!F108,rrcworking[RRC ID],0))</f>
        <v>0</v>
      </c>
      <c r="Y108" s="5">
        <f>INDEX(rrcworking[Oil Production],MATCH('Jan 2020 EDI'!F108,rrcworking[RRC ID],0))</f>
        <v>0</v>
      </c>
      <c r="AA108" s="5">
        <f>INDEX(rrcworking[Sales/Dispostion],MATCH('Jan 2020 EDI'!F108,rrcworking[RRC ID],0))</f>
        <v>0</v>
      </c>
      <c r="AQ108" s="5">
        <f>INDEX(rrcworking[Closing Stock (Oil)],MATCH('Jan 2020 EDI'!F108,rrcworking[RRC ID],0))</f>
        <v>0</v>
      </c>
    </row>
    <row r="109" spans="1:43">
      <c r="A109" s="4" t="s">
        <v>1</v>
      </c>
      <c r="B109" s="1" t="s">
        <v>1009</v>
      </c>
      <c r="C109" s="10" t="s">
        <v>911</v>
      </c>
      <c r="D109" s="1" t="s">
        <v>619</v>
      </c>
      <c r="E109" s="1" t="s">
        <v>59</v>
      </c>
      <c r="F109" s="1" t="s">
        <v>519</v>
      </c>
      <c r="I109" s="10" t="s">
        <v>3</v>
      </c>
      <c r="J109" s="124" t="s">
        <v>3</v>
      </c>
      <c r="K109" s="1" t="s">
        <v>1094</v>
      </c>
      <c r="M109" s="5">
        <v>201912</v>
      </c>
      <c r="N109" s="5">
        <f>INDEX(rrcworking[Formation Production (MCF) @ 14.65 psi],MATCH('Jan 2020 EDI'!F109,rrcworking[RRC ID],0))</f>
        <v>0</v>
      </c>
      <c r="O109" s="5">
        <f>INDEX(rrcworking[Lease Use (MCF)],MATCH('Jan 2020 EDI'!F109,rrcworking[RRC ID],0))</f>
        <v>0</v>
      </c>
      <c r="P109" s="5">
        <f>INDEX(rrcworking[Disposition Volume (MCF) @ 14.65 MCF],MATCH('Jan 2020 EDI'!F109,rrcworking[RRC ID],0))</f>
        <v>0</v>
      </c>
      <c r="Y109" s="5">
        <f>INDEX(rrcworking[Oil Production],MATCH('Jan 2020 EDI'!F109,rrcworking[RRC ID],0))</f>
        <v>0</v>
      </c>
      <c r="AA109" s="5">
        <f>INDEX(rrcworking[Sales/Dispostion],MATCH('Jan 2020 EDI'!F109,rrcworking[RRC ID],0))</f>
        <v>0</v>
      </c>
      <c r="AQ109" s="5">
        <f>INDEX(rrcworking[Closing Stock (Oil)],MATCH('Jan 2020 EDI'!F109,rrcworking[RRC ID],0))</f>
        <v>0</v>
      </c>
    </row>
    <row r="110" spans="1:43">
      <c r="A110" s="4" t="s">
        <v>1</v>
      </c>
      <c r="B110" s="1" t="s">
        <v>1010</v>
      </c>
      <c r="C110" s="10" t="s">
        <v>911</v>
      </c>
      <c r="D110" s="1" t="s">
        <v>619</v>
      </c>
      <c r="E110" s="1" t="s">
        <v>59</v>
      </c>
      <c r="F110" s="1" t="s">
        <v>520</v>
      </c>
      <c r="I110" s="10" t="s">
        <v>3</v>
      </c>
      <c r="J110" s="124" t="s">
        <v>3</v>
      </c>
      <c r="K110" s="1" t="s">
        <v>1094</v>
      </c>
      <c r="M110" s="5">
        <v>201912</v>
      </c>
      <c r="N110" s="5">
        <f>INDEX(rrcworking[Formation Production (MCF) @ 14.65 psi],MATCH('Jan 2020 EDI'!F110,rrcworking[RRC ID],0))</f>
        <v>2754</v>
      </c>
      <c r="O110" s="5">
        <f>INDEX(rrcworking[Lease Use (MCF)],MATCH('Jan 2020 EDI'!F110,rrcworking[RRC ID],0))</f>
        <v>93</v>
      </c>
      <c r="P110" s="5">
        <f>INDEX(rrcworking[Disposition Volume (MCF) @ 14.65 MCF],MATCH('Jan 2020 EDI'!F110,rrcworking[RRC ID],0))</f>
        <v>2661</v>
      </c>
      <c r="Y110" s="5">
        <f>INDEX(rrcworking[Oil Production],MATCH('Jan 2020 EDI'!F110,rrcworking[RRC ID],0))</f>
        <v>64</v>
      </c>
      <c r="AA110" s="5">
        <f>INDEX(rrcworking[Sales/Dispostion],MATCH('Jan 2020 EDI'!F110,rrcworking[RRC ID],0))</f>
        <v>0</v>
      </c>
      <c r="AQ110" s="5">
        <f>INDEX(rrcworking[Closing Stock (Oil)],MATCH('Jan 2020 EDI'!F110,rrcworking[RRC ID],0))</f>
        <v>139</v>
      </c>
    </row>
    <row r="111" spans="1:43">
      <c r="A111" s="4" t="s">
        <v>1</v>
      </c>
      <c r="B111" s="1" t="s">
        <v>1011</v>
      </c>
      <c r="C111" s="10" t="s">
        <v>911</v>
      </c>
      <c r="D111" s="1" t="s">
        <v>619</v>
      </c>
      <c r="E111" s="1" t="s">
        <v>59</v>
      </c>
      <c r="F111" s="1" t="s">
        <v>521</v>
      </c>
      <c r="I111" s="10" t="s">
        <v>3</v>
      </c>
      <c r="J111" s="124" t="s">
        <v>3</v>
      </c>
      <c r="K111" s="1" t="s">
        <v>1094</v>
      </c>
      <c r="M111" s="5">
        <v>201912</v>
      </c>
      <c r="N111" s="5">
        <f>INDEX(rrcworking[Formation Production (MCF) @ 14.65 psi],MATCH('Jan 2020 EDI'!F111,rrcworking[RRC ID],0))</f>
        <v>0</v>
      </c>
      <c r="O111" s="5">
        <f>INDEX(rrcworking[Lease Use (MCF)],MATCH('Jan 2020 EDI'!F111,rrcworking[RRC ID],0))</f>
        <v>0</v>
      </c>
      <c r="P111" s="5">
        <f>INDEX(rrcworking[Disposition Volume (MCF) @ 14.65 MCF],MATCH('Jan 2020 EDI'!F111,rrcworking[RRC ID],0))</f>
        <v>0</v>
      </c>
      <c r="Y111" s="5">
        <f>INDEX(rrcworking[Oil Production],MATCH('Jan 2020 EDI'!F111,rrcworking[RRC ID],0))</f>
        <v>0</v>
      </c>
      <c r="AA111" s="5">
        <f>INDEX(rrcworking[Sales/Dispostion],MATCH('Jan 2020 EDI'!F111,rrcworking[RRC ID],0))</f>
        <v>0</v>
      </c>
      <c r="AQ111" s="5">
        <f>INDEX(rrcworking[Closing Stock (Oil)],MATCH('Jan 2020 EDI'!F111,rrcworking[RRC ID],0))</f>
        <v>0</v>
      </c>
    </row>
    <row r="112" spans="1:43">
      <c r="A112" s="4" t="s">
        <v>1</v>
      </c>
      <c r="B112" s="1" t="s">
        <v>1012</v>
      </c>
      <c r="C112" s="10" t="s">
        <v>911</v>
      </c>
      <c r="D112" s="1" t="s">
        <v>619</v>
      </c>
      <c r="E112" s="1" t="s">
        <v>59</v>
      </c>
      <c r="F112" s="1" t="s">
        <v>522</v>
      </c>
      <c r="I112" s="10" t="s">
        <v>3</v>
      </c>
      <c r="J112" s="124" t="s">
        <v>3</v>
      </c>
      <c r="K112" s="1" t="s">
        <v>1094</v>
      </c>
      <c r="M112" s="5">
        <v>201912</v>
      </c>
      <c r="N112" s="5">
        <f>INDEX(rrcworking[Formation Production (MCF) @ 14.65 psi],MATCH('Jan 2020 EDI'!F112,rrcworking[RRC ID],0))</f>
        <v>1440</v>
      </c>
      <c r="O112" s="5">
        <f>INDEX(rrcworking[Lease Use (MCF)],MATCH('Jan 2020 EDI'!F112,rrcworking[RRC ID],0))</f>
        <v>31</v>
      </c>
      <c r="P112" s="5">
        <f>INDEX(rrcworking[Disposition Volume (MCF) @ 14.65 MCF],MATCH('Jan 2020 EDI'!F112,rrcworking[RRC ID],0))</f>
        <v>1409</v>
      </c>
      <c r="Y112" s="5">
        <f>INDEX(rrcworking[Oil Production],MATCH('Jan 2020 EDI'!F112,rrcworking[RRC ID],0))</f>
        <v>12</v>
      </c>
      <c r="AA112" s="5">
        <f>INDEX(rrcworking[Sales/Dispostion],MATCH('Jan 2020 EDI'!F112,rrcworking[RRC ID],0))</f>
        <v>0</v>
      </c>
      <c r="AQ112" s="5">
        <f>INDEX(rrcworking[Closing Stock (Oil)],MATCH('Jan 2020 EDI'!F112,rrcworking[RRC ID],0))</f>
        <v>186</v>
      </c>
    </row>
    <row r="113" spans="1:43">
      <c r="A113" s="4" t="s">
        <v>1</v>
      </c>
      <c r="B113" s="1" t="s">
        <v>1013</v>
      </c>
      <c r="C113" s="10" t="s">
        <v>911</v>
      </c>
      <c r="D113" s="1" t="s">
        <v>619</v>
      </c>
      <c r="E113" s="1" t="s">
        <v>59</v>
      </c>
      <c r="F113" s="1" t="s">
        <v>523</v>
      </c>
      <c r="I113" s="10" t="s">
        <v>3</v>
      </c>
      <c r="J113" s="124" t="s">
        <v>3</v>
      </c>
      <c r="K113" s="1" t="s">
        <v>1094</v>
      </c>
      <c r="M113" s="5">
        <v>201912</v>
      </c>
      <c r="N113" s="5">
        <f>INDEX(rrcworking[Formation Production (MCF) @ 14.65 psi],MATCH('Jan 2020 EDI'!F113,rrcworking[RRC ID],0))</f>
        <v>1500</v>
      </c>
      <c r="O113" s="5">
        <f>INDEX(rrcworking[Lease Use (MCF)],MATCH('Jan 2020 EDI'!F113,rrcworking[RRC ID],0))</f>
        <v>124</v>
      </c>
      <c r="P113" s="5">
        <f>INDEX(rrcworking[Disposition Volume (MCF) @ 14.65 MCF],MATCH('Jan 2020 EDI'!F113,rrcworking[RRC ID],0))</f>
        <v>1376</v>
      </c>
      <c r="Y113" s="5">
        <f>INDEX(rrcworking[Oil Production],MATCH('Jan 2020 EDI'!F113,rrcworking[RRC ID],0))</f>
        <v>20</v>
      </c>
      <c r="AA113" s="5">
        <f>INDEX(rrcworking[Sales/Dispostion],MATCH('Jan 2020 EDI'!F113,rrcworking[RRC ID],0))</f>
        <v>141</v>
      </c>
      <c r="AQ113" s="5">
        <f>INDEX(rrcworking[Closing Stock (Oil)],MATCH('Jan 2020 EDI'!F113,rrcworking[RRC ID],0))</f>
        <v>21</v>
      </c>
    </row>
    <row r="114" spans="1:43">
      <c r="A114" s="4" t="s">
        <v>1</v>
      </c>
      <c r="B114" s="1" t="s">
        <v>1014</v>
      </c>
      <c r="C114" s="10" t="s">
        <v>911</v>
      </c>
      <c r="D114" s="1" t="s">
        <v>619</v>
      </c>
      <c r="E114" s="1" t="s">
        <v>59</v>
      </c>
      <c r="F114" s="1" t="s">
        <v>524</v>
      </c>
      <c r="I114" s="10" t="s">
        <v>3</v>
      </c>
      <c r="J114" s="124" t="s">
        <v>3</v>
      </c>
      <c r="K114" s="1" t="s">
        <v>1094</v>
      </c>
      <c r="M114" s="5">
        <v>201912</v>
      </c>
      <c r="N114" s="5">
        <f>INDEX(rrcworking[Formation Production (MCF) @ 14.65 psi],MATCH('Jan 2020 EDI'!F114,rrcworking[RRC ID],0))</f>
        <v>0</v>
      </c>
      <c r="O114" s="5">
        <f>INDEX(rrcworking[Lease Use (MCF)],MATCH('Jan 2020 EDI'!F114,rrcworking[RRC ID],0))</f>
        <v>0</v>
      </c>
      <c r="P114" s="5">
        <f>INDEX(rrcworking[Disposition Volume (MCF) @ 14.65 MCF],MATCH('Jan 2020 EDI'!F114,rrcworking[RRC ID],0))</f>
        <v>0</v>
      </c>
      <c r="Y114" s="5">
        <f>INDEX(rrcworking[Oil Production],MATCH('Jan 2020 EDI'!F114,rrcworking[RRC ID],0))</f>
        <v>0</v>
      </c>
      <c r="AA114" s="5">
        <f>INDEX(rrcworking[Sales/Dispostion],MATCH('Jan 2020 EDI'!F114,rrcworking[RRC ID],0))</f>
        <v>0</v>
      </c>
      <c r="AQ114" s="5">
        <f>INDEX(rrcworking[Closing Stock (Oil)],MATCH('Jan 2020 EDI'!F114,rrcworking[RRC ID],0))</f>
        <v>0</v>
      </c>
    </row>
    <row r="115" spans="1:43">
      <c r="A115" s="4" t="s">
        <v>1</v>
      </c>
      <c r="B115" s="1" t="s">
        <v>1015</v>
      </c>
      <c r="C115" s="10" t="s">
        <v>911</v>
      </c>
      <c r="D115" s="1" t="s">
        <v>619</v>
      </c>
      <c r="E115" s="1" t="s">
        <v>59</v>
      </c>
      <c r="F115" s="1" t="s">
        <v>525</v>
      </c>
      <c r="I115" s="10" t="s">
        <v>3</v>
      </c>
      <c r="J115" s="124" t="s">
        <v>3</v>
      </c>
      <c r="K115" s="1" t="s">
        <v>1094</v>
      </c>
      <c r="M115" s="5">
        <v>201912</v>
      </c>
      <c r="N115" s="5">
        <f>INDEX(rrcworking[Formation Production (MCF) @ 14.65 psi],MATCH('Jan 2020 EDI'!F115,rrcworking[RRC ID],0))</f>
        <v>0</v>
      </c>
      <c r="O115" s="5">
        <f>INDEX(rrcworking[Lease Use (MCF)],MATCH('Jan 2020 EDI'!F115,rrcworking[RRC ID],0))</f>
        <v>0</v>
      </c>
      <c r="P115" s="5">
        <f>INDEX(rrcworking[Disposition Volume (MCF) @ 14.65 MCF],MATCH('Jan 2020 EDI'!F115,rrcworking[RRC ID],0))</f>
        <v>0</v>
      </c>
      <c r="Y115" s="5">
        <f>INDEX(rrcworking[Oil Production],MATCH('Jan 2020 EDI'!F115,rrcworking[RRC ID],0))</f>
        <v>0</v>
      </c>
      <c r="AA115" s="5">
        <f>INDEX(rrcworking[Sales/Dispostion],MATCH('Jan 2020 EDI'!F115,rrcworking[RRC ID],0))</f>
        <v>0</v>
      </c>
      <c r="AQ115" s="5">
        <f>INDEX(rrcworking[Closing Stock (Oil)],MATCH('Jan 2020 EDI'!F115,rrcworking[RRC ID],0))</f>
        <v>0</v>
      </c>
    </row>
    <row r="116" spans="1:43">
      <c r="A116" s="4" t="s">
        <v>1</v>
      </c>
      <c r="B116" s="1" t="s">
        <v>1016</v>
      </c>
      <c r="C116" s="10" t="s">
        <v>911</v>
      </c>
      <c r="D116" s="1" t="s">
        <v>619</v>
      </c>
      <c r="E116" s="1" t="s">
        <v>59</v>
      </c>
      <c r="F116" s="1" t="s">
        <v>526</v>
      </c>
      <c r="I116" s="10" t="s">
        <v>3</v>
      </c>
      <c r="J116" s="124" t="s">
        <v>3</v>
      </c>
      <c r="K116" s="1" t="s">
        <v>1094</v>
      </c>
      <c r="M116" s="5">
        <v>201912</v>
      </c>
      <c r="N116" s="5">
        <f>INDEX(rrcworking[Formation Production (MCF) @ 14.65 psi],MATCH('Jan 2020 EDI'!F116,rrcworking[RRC ID],0))</f>
        <v>0</v>
      </c>
      <c r="O116" s="5">
        <f>INDEX(rrcworking[Lease Use (MCF)],MATCH('Jan 2020 EDI'!F116,rrcworking[RRC ID],0))</f>
        <v>0</v>
      </c>
      <c r="P116" s="5">
        <f>INDEX(rrcworking[Disposition Volume (MCF) @ 14.65 MCF],MATCH('Jan 2020 EDI'!F116,rrcworking[RRC ID],0))</f>
        <v>0</v>
      </c>
      <c r="Y116" s="5">
        <f>INDEX(rrcworking[Oil Production],MATCH('Jan 2020 EDI'!F116,rrcworking[RRC ID],0))</f>
        <v>0</v>
      </c>
      <c r="AA116" s="5">
        <f>INDEX(rrcworking[Sales/Dispostion],MATCH('Jan 2020 EDI'!F116,rrcworking[RRC ID],0))</f>
        <v>0</v>
      </c>
      <c r="AQ116" s="5">
        <f>INDEX(rrcworking[Closing Stock (Oil)],MATCH('Jan 2020 EDI'!F116,rrcworking[RRC ID],0))</f>
        <v>0</v>
      </c>
    </row>
    <row r="117" spans="1:43">
      <c r="A117" s="4" t="s">
        <v>1</v>
      </c>
      <c r="B117" s="1" t="s">
        <v>1017</v>
      </c>
      <c r="C117" s="10" t="s">
        <v>911</v>
      </c>
      <c r="D117" s="1" t="s">
        <v>619</v>
      </c>
      <c r="E117" s="1" t="s">
        <v>59</v>
      </c>
      <c r="F117" s="1" t="s">
        <v>527</v>
      </c>
      <c r="I117" s="10" t="s">
        <v>3</v>
      </c>
      <c r="J117" s="124" t="s">
        <v>3</v>
      </c>
      <c r="K117" s="1">
        <v>1988</v>
      </c>
      <c r="M117" s="5">
        <v>201912</v>
      </c>
      <c r="N117" s="5">
        <f>INDEX(rrcworking[Formation Production (MCF) @ 14.65 psi],MATCH('Jan 2020 EDI'!F117,rrcworking[RRC ID],0))</f>
        <v>0</v>
      </c>
      <c r="O117" s="5">
        <f>INDEX(rrcworking[Lease Use (MCF)],MATCH('Jan 2020 EDI'!F117,rrcworking[RRC ID],0))</f>
        <v>0</v>
      </c>
      <c r="P117" s="5">
        <f>INDEX(rrcworking[Disposition Volume (MCF) @ 14.65 MCF],MATCH('Jan 2020 EDI'!F117,rrcworking[RRC ID],0))</f>
        <v>0</v>
      </c>
      <c r="Y117" s="5">
        <f>INDEX(rrcworking[Oil Production],MATCH('Jan 2020 EDI'!F117,rrcworking[RRC ID],0))</f>
        <v>0</v>
      </c>
      <c r="AA117" s="5">
        <f>INDEX(rrcworking[Sales/Dispostion],MATCH('Jan 2020 EDI'!F117,rrcworking[RRC ID],0))</f>
        <v>0</v>
      </c>
      <c r="AQ117" s="5">
        <f>INDEX(rrcworking[Closing Stock (Oil)],MATCH('Jan 2020 EDI'!F117,rrcworking[RRC ID],0))</f>
        <v>0</v>
      </c>
    </row>
    <row r="118" spans="1:43">
      <c r="A118" s="4" t="s">
        <v>1</v>
      </c>
      <c r="B118" s="1" t="s">
        <v>1018</v>
      </c>
      <c r="C118" s="10" t="s">
        <v>911</v>
      </c>
      <c r="D118" s="1" t="s">
        <v>619</v>
      </c>
      <c r="E118" s="1" t="s">
        <v>59</v>
      </c>
      <c r="F118" s="1" t="s">
        <v>528</v>
      </c>
      <c r="I118" s="10" t="s">
        <v>3</v>
      </c>
      <c r="J118" s="124" t="s">
        <v>3</v>
      </c>
      <c r="K118" s="1" t="s">
        <v>1094</v>
      </c>
      <c r="M118" s="5">
        <v>201912</v>
      </c>
      <c r="N118" s="5">
        <f>INDEX(rrcworking[Formation Production (MCF) @ 14.65 psi],MATCH('Jan 2020 EDI'!F118,rrcworking[RRC ID],0))</f>
        <v>69</v>
      </c>
      <c r="O118" s="5">
        <f>INDEX(rrcworking[Lease Use (MCF)],MATCH('Jan 2020 EDI'!F118,rrcworking[RRC ID],0))</f>
        <v>7</v>
      </c>
      <c r="P118" s="5">
        <f>INDEX(rrcworking[Disposition Volume (MCF) @ 14.65 MCF],MATCH('Jan 2020 EDI'!F118,rrcworking[RRC ID],0))</f>
        <v>62</v>
      </c>
      <c r="Y118" s="5">
        <f>INDEX(rrcworking[Oil Production],MATCH('Jan 2020 EDI'!F118,rrcworking[RRC ID],0))</f>
        <v>0</v>
      </c>
      <c r="AA118" s="5">
        <f>INDEX(rrcworking[Sales/Dispostion],MATCH('Jan 2020 EDI'!F118,rrcworking[RRC ID],0))</f>
        <v>0</v>
      </c>
      <c r="AQ118" s="5">
        <f>INDEX(rrcworking[Closing Stock (Oil)],MATCH('Jan 2020 EDI'!F118,rrcworking[RRC ID],0))</f>
        <v>0</v>
      </c>
    </row>
    <row r="119" spans="1:43">
      <c r="A119" s="4" t="s">
        <v>1</v>
      </c>
      <c r="B119" s="1" t="s">
        <v>1019</v>
      </c>
      <c r="C119" s="10" t="s">
        <v>911</v>
      </c>
      <c r="D119" s="1" t="s">
        <v>619</v>
      </c>
      <c r="E119" s="1" t="s">
        <v>59</v>
      </c>
      <c r="F119" s="1" t="s">
        <v>529</v>
      </c>
      <c r="I119" s="10" t="s">
        <v>3</v>
      </c>
      <c r="J119" s="124" t="s">
        <v>3</v>
      </c>
      <c r="K119" s="1">
        <v>1988</v>
      </c>
      <c r="M119" s="5">
        <v>201912</v>
      </c>
      <c r="N119" s="5">
        <f>INDEX(rrcworking[Formation Production (MCF) @ 14.65 psi],MATCH('Jan 2020 EDI'!F119,rrcworking[RRC ID],0))</f>
        <v>943</v>
      </c>
      <c r="O119" s="5">
        <f>INDEX(rrcworking[Lease Use (MCF)],MATCH('Jan 2020 EDI'!F119,rrcworking[RRC ID],0))</f>
        <v>62</v>
      </c>
      <c r="P119" s="5">
        <f>INDEX(rrcworking[Disposition Volume (MCF) @ 14.65 MCF],MATCH('Jan 2020 EDI'!F119,rrcworking[RRC ID],0))</f>
        <v>881</v>
      </c>
      <c r="Y119" s="5">
        <f>INDEX(rrcworking[Oil Production],MATCH('Jan 2020 EDI'!F119,rrcworking[RRC ID],0))</f>
        <v>34</v>
      </c>
      <c r="AA119" s="5">
        <f>INDEX(rrcworking[Sales/Dispostion],MATCH('Jan 2020 EDI'!F119,rrcworking[RRC ID],0))</f>
        <v>0</v>
      </c>
      <c r="AQ119" s="5">
        <f>INDEX(rrcworking[Closing Stock (Oil)],MATCH('Jan 2020 EDI'!F119,rrcworking[RRC ID],0))</f>
        <v>259</v>
      </c>
    </row>
    <row r="120" spans="1:43">
      <c r="A120" s="4" t="s">
        <v>1</v>
      </c>
      <c r="B120" s="1" t="s">
        <v>1020</v>
      </c>
      <c r="C120" s="10" t="s">
        <v>911</v>
      </c>
      <c r="D120" s="1" t="s">
        <v>619</v>
      </c>
      <c r="E120" s="1" t="s">
        <v>59</v>
      </c>
      <c r="F120" s="1" t="s">
        <v>530</v>
      </c>
      <c r="I120" s="10" t="s">
        <v>3</v>
      </c>
      <c r="J120" s="124" t="s">
        <v>3</v>
      </c>
      <c r="K120" s="1">
        <v>1988</v>
      </c>
      <c r="M120" s="5">
        <v>201912</v>
      </c>
      <c r="N120" s="5">
        <f>INDEX(rrcworking[Formation Production (MCF) @ 14.65 psi],MATCH('Jan 2020 EDI'!F120,rrcworking[RRC ID],0))</f>
        <v>33</v>
      </c>
      <c r="O120" s="5">
        <f>INDEX(rrcworking[Lease Use (MCF)],MATCH('Jan 2020 EDI'!F120,rrcworking[RRC ID],0))</f>
        <v>0</v>
      </c>
      <c r="P120" s="5">
        <f>INDEX(rrcworking[Disposition Volume (MCF) @ 14.65 MCF],MATCH('Jan 2020 EDI'!F120,rrcworking[RRC ID],0))</f>
        <v>33</v>
      </c>
      <c r="Y120" s="5">
        <f>INDEX(rrcworking[Oil Production],MATCH('Jan 2020 EDI'!F120,rrcworking[RRC ID],0))</f>
        <v>0</v>
      </c>
      <c r="AA120" s="5">
        <f>INDEX(rrcworking[Sales/Dispostion],MATCH('Jan 2020 EDI'!F120,rrcworking[RRC ID],0))</f>
        <v>0</v>
      </c>
      <c r="AQ120" s="5">
        <f>INDEX(rrcworking[Closing Stock (Oil)],MATCH('Jan 2020 EDI'!F120,rrcworking[RRC ID],0))</f>
        <v>0</v>
      </c>
    </row>
    <row r="121" spans="1:43">
      <c r="A121" s="4" t="s">
        <v>1</v>
      </c>
      <c r="B121" s="1" t="s">
        <v>1021</v>
      </c>
      <c r="C121" s="10" t="s">
        <v>911</v>
      </c>
      <c r="D121" s="1" t="s">
        <v>619</v>
      </c>
      <c r="E121" s="1" t="s">
        <v>59</v>
      </c>
      <c r="F121" s="1" t="s">
        <v>531</v>
      </c>
      <c r="I121" s="10" t="s">
        <v>3</v>
      </c>
      <c r="J121" s="124" t="s">
        <v>3</v>
      </c>
      <c r="K121" s="1" t="s">
        <v>1094</v>
      </c>
      <c r="M121" s="5">
        <v>201912</v>
      </c>
      <c r="N121" s="5">
        <f>INDEX(rrcworking[Formation Production (MCF) @ 14.65 psi],MATCH('Jan 2020 EDI'!F121,rrcworking[RRC ID],0))</f>
        <v>802</v>
      </c>
      <c r="O121" s="5">
        <f>INDEX(rrcworking[Lease Use (MCF)],MATCH('Jan 2020 EDI'!F121,rrcworking[RRC ID],0))</f>
        <v>31</v>
      </c>
      <c r="P121" s="5">
        <f>INDEX(rrcworking[Disposition Volume (MCF) @ 14.65 MCF],MATCH('Jan 2020 EDI'!F121,rrcworking[RRC ID],0))</f>
        <v>771</v>
      </c>
      <c r="Y121" s="5">
        <f>INDEX(rrcworking[Oil Production],MATCH('Jan 2020 EDI'!F121,rrcworking[RRC ID],0))</f>
        <v>0</v>
      </c>
      <c r="AA121" s="5">
        <f>INDEX(rrcworking[Sales/Dispostion],MATCH('Jan 2020 EDI'!F121,rrcworking[RRC ID],0))</f>
        <v>0</v>
      </c>
      <c r="AQ121" s="5">
        <f>INDEX(rrcworking[Closing Stock (Oil)],MATCH('Jan 2020 EDI'!F121,rrcworking[RRC ID],0))</f>
        <v>63</v>
      </c>
    </row>
    <row r="122" spans="1:43">
      <c r="A122" s="4" t="s">
        <v>1</v>
      </c>
      <c r="B122" s="1" t="s">
        <v>1022</v>
      </c>
      <c r="C122" s="10" t="s">
        <v>911</v>
      </c>
      <c r="D122" s="1" t="s">
        <v>619</v>
      </c>
      <c r="E122" s="1" t="s">
        <v>59</v>
      </c>
      <c r="F122" s="1" t="s">
        <v>532</v>
      </c>
      <c r="I122" s="10" t="s">
        <v>3</v>
      </c>
      <c r="J122" s="124" t="s">
        <v>3</v>
      </c>
      <c r="K122" s="1" t="s">
        <v>1094</v>
      </c>
      <c r="M122" s="5">
        <v>201912</v>
      </c>
      <c r="N122" s="5">
        <f>INDEX(rrcworking[Formation Production (MCF) @ 14.65 psi],MATCH('Jan 2020 EDI'!F122,rrcworking[RRC ID],0))</f>
        <v>421</v>
      </c>
      <c r="O122" s="5">
        <f>INDEX(rrcworking[Lease Use (MCF)],MATCH('Jan 2020 EDI'!F122,rrcworking[RRC ID],0))</f>
        <v>17</v>
      </c>
      <c r="P122" s="5">
        <f>INDEX(rrcworking[Disposition Volume (MCF) @ 14.65 MCF],MATCH('Jan 2020 EDI'!F122,rrcworking[RRC ID],0))</f>
        <v>404</v>
      </c>
      <c r="Y122" s="5">
        <f>INDEX(rrcworking[Oil Production],MATCH('Jan 2020 EDI'!F122,rrcworking[RRC ID],0))</f>
        <v>0</v>
      </c>
      <c r="AA122" s="5">
        <f>INDEX(rrcworking[Sales/Dispostion],MATCH('Jan 2020 EDI'!F122,rrcworking[RRC ID],0))</f>
        <v>0</v>
      </c>
      <c r="AQ122" s="5">
        <f>INDEX(rrcworking[Closing Stock (Oil)],MATCH('Jan 2020 EDI'!F122,rrcworking[RRC ID],0))</f>
        <v>33</v>
      </c>
    </row>
    <row r="123" spans="1:43">
      <c r="A123" s="4" t="s">
        <v>1</v>
      </c>
      <c r="B123" s="1" t="s">
        <v>1023</v>
      </c>
      <c r="C123" s="10" t="s">
        <v>911</v>
      </c>
      <c r="D123" s="1" t="s">
        <v>619</v>
      </c>
      <c r="E123" s="1" t="s">
        <v>59</v>
      </c>
      <c r="F123" s="1" t="s">
        <v>533</v>
      </c>
      <c r="I123" s="10" t="s">
        <v>3</v>
      </c>
      <c r="J123" s="124" t="s">
        <v>3</v>
      </c>
      <c r="K123" s="1" t="s">
        <v>1094</v>
      </c>
      <c r="M123" s="5">
        <v>201912</v>
      </c>
      <c r="N123" s="5">
        <f>INDEX(rrcworking[Formation Production (MCF) @ 14.65 psi],MATCH('Jan 2020 EDI'!F123,rrcworking[RRC ID],0))</f>
        <v>0</v>
      </c>
      <c r="O123" s="5">
        <f>INDEX(rrcworking[Lease Use (MCF)],MATCH('Jan 2020 EDI'!F123,rrcworking[RRC ID],0))</f>
        <v>0</v>
      </c>
      <c r="P123" s="5">
        <f>INDEX(rrcworking[Disposition Volume (MCF) @ 14.65 MCF],MATCH('Jan 2020 EDI'!F123,rrcworking[RRC ID],0))</f>
        <v>0</v>
      </c>
      <c r="Y123" s="5">
        <f>INDEX(rrcworking[Oil Production],MATCH('Jan 2020 EDI'!F123,rrcworking[RRC ID],0))</f>
        <v>0</v>
      </c>
      <c r="AA123" s="5">
        <f>INDEX(rrcworking[Sales/Dispostion],MATCH('Jan 2020 EDI'!F123,rrcworking[RRC ID],0))</f>
        <v>0</v>
      </c>
      <c r="AQ123" s="5">
        <f>INDEX(rrcworking[Closing Stock (Oil)],MATCH('Jan 2020 EDI'!F123,rrcworking[RRC ID],0))</f>
        <v>98</v>
      </c>
    </row>
    <row r="124" spans="1:43">
      <c r="A124" s="4" t="s">
        <v>1</v>
      </c>
      <c r="B124" s="1" t="s">
        <v>1024</v>
      </c>
      <c r="C124" s="10" t="s">
        <v>911</v>
      </c>
      <c r="D124" s="1" t="s">
        <v>619</v>
      </c>
      <c r="E124" s="1" t="s">
        <v>59</v>
      </c>
      <c r="F124" s="1" t="s">
        <v>534</v>
      </c>
      <c r="I124" s="10" t="s">
        <v>3</v>
      </c>
      <c r="J124" s="124" t="s">
        <v>3</v>
      </c>
      <c r="K124" s="1" t="s">
        <v>1094</v>
      </c>
      <c r="M124" s="5">
        <v>201912</v>
      </c>
      <c r="N124" s="5">
        <f>INDEX(rrcworking[Formation Production (MCF) @ 14.65 psi],MATCH('Jan 2020 EDI'!F124,rrcworking[RRC ID],0))</f>
        <v>0</v>
      </c>
      <c r="O124" s="5">
        <f>INDEX(rrcworking[Lease Use (MCF)],MATCH('Jan 2020 EDI'!F124,rrcworking[RRC ID],0))</f>
        <v>0</v>
      </c>
      <c r="P124" s="5">
        <f>INDEX(rrcworking[Disposition Volume (MCF) @ 14.65 MCF],MATCH('Jan 2020 EDI'!F124,rrcworking[RRC ID],0))</f>
        <v>0</v>
      </c>
      <c r="Y124" s="5">
        <f>INDEX(rrcworking[Oil Production],MATCH('Jan 2020 EDI'!F124,rrcworking[RRC ID],0))</f>
        <v>0</v>
      </c>
      <c r="AA124" s="5">
        <f>INDEX(rrcworking[Sales/Dispostion],MATCH('Jan 2020 EDI'!F124,rrcworking[RRC ID],0))</f>
        <v>0</v>
      </c>
      <c r="AQ124" s="5">
        <f>INDEX(rrcworking[Closing Stock (Oil)],MATCH('Jan 2020 EDI'!F124,rrcworking[RRC ID],0))</f>
        <v>0</v>
      </c>
    </row>
    <row r="125" spans="1:43">
      <c r="A125" s="4" t="s">
        <v>1</v>
      </c>
      <c r="B125" s="1" t="s">
        <v>1025</v>
      </c>
      <c r="C125" s="10" t="s">
        <v>911</v>
      </c>
      <c r="D125" s="1" t="s">
        <v>619</v>
      </c>
      <c r="E125" s="1" t="s">
        <v>59</v>
      </c>
      <c r="F125" s="1" t="s">
        <v>535</v>
      </c>
      <c r="I125" s="10" t="s">
        <v>3</v>
      </c>
      <c r="J125" s="124" t="s">
        <v>3</v>
      </c>
      <c r="K125" s="1" t="s">
        <v>1094</v>
      </c>
      <c r="M125" s="5">
        <v>201912</v>
      </c>
      <c r="N125" s="5">
        <f>INDEX(rrcworking[Formation Production (MCF) @ 14.65 psi],MATCH('Jan 2020 EDI'!F125,rrcworking[RRC ID],0))</f>
        <v>4049</v>
      </c>
      <c r="O125" s="5">
        <f>INDEX(rrcworking[Lease Use (MCF)],MATCH('Jan 2020 EDI'!F125,rrcworking[RRC ID],0))</f>
        <v>186</v>
      </c>
      <c r="P125" s="5">
        <f>INDEX(rrcworking[Disposition Volume (MCF) @ 14.65 MCF],MATCH('Jan 2020 EDI'!F125,rrcworking[RRC ID],0))</f>
        <v>3863</v>
      </c>
      <c r="Y125" s="5">
        <f>INDEX(rrcworking[Oil Production],MATCH('Jan 2020 EDI'!F125,rrcworking[RRC ID],0))</f>
        <v>0</v>
      </c>
      <c r="AA125" s="5">
        <f>INDEX(rrcworking[Sales/Dispostion],MATCH('Jan 2020 EDI'!F125,rrcworking[RRC ID],0))</f>
        <v>0</v>
      </c>
      <c r="AQ125" s="5">
        <f>INDEX(rrcworking[Closing Stock (Oil)],MATCH('Jan 2020 EDI'!F125,rrcworking[RRC ID],0))</f>
        <v>0</v>
      </c>
    </row>
    <row r="126" spans="1:43">
      <c r="A126" s="4" t="s">
        <v>1</v>
      </c>
      <c r="B126" s="1" t="s">
        <v>1026</v>
      </c>
      <c r="C126" s="10" t="s">
        <v>911</v>
      </c>
      <c r="D126" s="1" t="s">
        <v>619</v>
      </c>
      <c r="E126" s="1" t="s">
        <v>2</v>
      </c>
      <c r="F126" s="1" t="s">
        <v>536</v>
      </c>
      <c r="I126" s="10" t="s">
        <v>3</v>
      </c>
      <c r="J126" s="124" t="s">
        <v>3</v>
      </c>
      <c r="K126" s="1" t="s">
        <v>1094</v>
      </c>
      <c r="M126" s="5">
        <v>201912</v>
      </c>
      <c r="N126" s="5">
        <f>INDEX(rrcworking[Formation Production (MCF) @ 14.65 psi],MATCH('Jan 2020 EDI'!F126,rrcworking[RRC ID],0))</f>
        <v>124</v>
      </c>
      <c r="O126" s="5">
        <f>INDEX(rrcworking[Lease Use (MCF)],MATCH('Jan 2020 EDI'!F126,rrcworking[RRC ID],0))</f>
        <v>124</v>
      </c>
      <c r="P126" s="5">
        <f>INDEX(rrcworking[Disposition Volume (MCF) @ 14.65 MCF],MATCH('Jan 2020 EDI'!F126,rrcworking[RRC ID],0))</f>
        <v>0</v>
      </c>
      <c r="Y126" s="5">
        <f>INDEX(rrcworking[Oil Production],MATCH('Jan 2020 EDI'!F126,rrcworking[RRC ID],0))</f>
        <v>1190</v>
      </c>
      <c r="AA126" s="5">
        <f>INDEX(rrcworking[Sales/Dispostion],MATCH('Jan 2020 EDI'!F126,rrcworking[RRC ID],0))</f>
        <v>1183</v>
      </c>
      <c r="AQ126" s="5">
        <f>INDEX(rrcworking[Closing Stock (Oil)],MATCH('Jan 2020 EDI'!F126,rrcworking[RRC ID],0))</f>
        <v>204</v>
      </c>
    </row>
    <row r="127" spans="1:43">
      <c r="A127" s="4" t="s">
        <v>1</v>
      </c>
      <c r="B127" s="1" t="s">
        <v>1027</v>
      </c>
      <c r="C127" s="10" t="s">
        <v>911</v>
      </c>
      <c r="D127" s="1" t="s">
        <v>619</v>
      </c>
      <c r="E127" s="1" t="s">
        <v>2</v>
      </c>
      <c r="F127" s="1" t="s">
        <v>537</v>
      </c>
      <c r="I127" s="10" t="s">
        <v>3</v>
      </c>
      <c r="J127" s="124" t="s">
        <v>3</v>
      </c>
      <c r="K127" s="1" t="s">
        <v>1094</v>
      </c>
      <c r="M127" s="5">
        <v>201912</v>
      </c>
      <c r="N127" s="5">
        <f>INDEX(rrcworking[Formation Production (MCF) @ 14.65 psi],MATCH('Jan 2020 EDI'!F127,rrcworking[RRC ID],0))</f>
        <v>0</v>
      </c>
      <c r="O127" s="5">
        <f>INDEX(rrcworking[Lease Use (MCF)],MATCH('Jan 2020 EDI'!F127,rrcworking[RRC ID],0))</f>
        <v>0</v>
      </c>
      <c r="P127" s="5">
        <f>INDEX(rrcworking[Disposition Volume (MCF) @ 14.65 MCF],MATCH('Jan 2020 EDI'!F127,rrcworking[RRC ID],0))</f>
        <v>0</v>
      </c>
      <c r="Y127" s="5">
        <f>INDEX(rrcworking[Oil Production],MATCH('Jan 2020 EDI'!F127,rrcworking[RRC ID],0))</f>
        <v>0</v>
      </c>
      <c r="AA127" s="5">
        <f>INDEX(rrcworking[Sales/Dispostion],MATCH('Jan 2020 EDI'!F127,rrcworking[RRC ID],0))</f>
        <v>0</v>
      </c>
      <c r="AQ127" s="5">
        <f>INDEX(rrcworking[Closing Stock (Oil)],MATCH('Jan 2020 EDI'!F127,rrcworking[RRC ID],0))</f>
        <v>0</v>
      </c>
    </row>
    <row r="128" spans="1:43">
      <c r="A128" s="4" t="s">
        <v>1</v>
      </c>
      <c r="B128" s="1" t="s">
        <v>1028</v>
      </c>
      <c r="C128" s="10" t="s">
        <v>911</v>
      </c>
      <c r="D128" s="1" t="s">
        <v>619</v>
      </c>
      <c r="E128" s="1" t="s">
        <v>59</v>
      </c>
      <c r="F128" s="1" t="s">
        <v>538</v>
      </c>
      <c r="I128" s="10" t="s">
        <v>3</v>
      </c>
      <c r="J128" s="124" t="s">
        <v>3</v>
      </c>
      <c r="K128" s="1" t="s">
        <v>1094</v>
      </c>
      <c r="M128" s="5">
        <v>201912</v>
      </c>
      <c r="N128" s="5">
        <f>INDEX(rrcworking[Formation Production (MCF) @ 14.65 psi],MATCH('Jan 2020 EDI'!F128,rrcworking[RRC ID],0))</f>
        <v>31</v>
      </c>
      <c r="O128" s="5">
        <f>INDEX(rrcworking[Lease Use (MCF)],MATCH('Jan 2020 EDI'!F128,rrcworking[RRC ID],0))</f>
        <v>0</v>
      </c>
      <c r="P128" s="5">
        <f>INDEX(rrcworking[Disposition Volume (MCF) @ 14.65 MCF],MATCH('Jan 2020 EDI'!F128,rrcworking[RRC ID],0))</f>
        <v>31</v>
      </c>
      <c r="Y128" s="5">
        <f>INDEX(rrcworking[Oil Production],MATCH('Jan 2020 EDI'!F128,rrcworking[RRC ID],0))</f>
        <v>5</v>
      </c>
      <c r="AA128" s="5">
        <f>INDEX(rrcworking[Sales/Dispostion],MATCH('Jan 2020 EDI'!F128,rrcworking[RRC ID],0))</f>
        <v>0</v>
      </c>
      <c r="AQ128" s="5">
        <f>INDEX(rrcworking[Closing Stock (Oil)],MATCH('Jan 2020 EDI'!F128,rrcworking[RRC ID],0))</f>
        <v>48</v>
      </c>
    </row>
    <row r="129" spans="1:43">
      <c r="A129" s="4" t="s">
        <v>1</v>
      </c>
      <c r="B129" s="1" t="s">
        <v>1029</v>
      </c>
      <c r="C129" s="10" t="s">
        <v>911</v>
      </c>
      <c r="D129" s="1" t="s">
        <v>619</v>
      </c>
      <c r="E129" s="1" t="s">
        <v>59</v>
      </c>
      <c r="F129" s="1" t="s">
        <v>539</v>
      </c>
      <c r="I129" s="10" t="s">
        <v>3</v>
      </c>
      <c r="J129" s="124" t="s">
        <v>3</v>
      </c>
      <c r="K129" s="1" t="s">
        <v>1094</v>
      </c>
      <c r="M129" s="5">
        <v>201912</v>
      </c>
      <c r="N129" s="5">
        <f>INDEX(rrcworking[Formation Production (MCF) @ 14.65 psi],MATCH('Jan 2020 EDI'!F129,rrcworking[RRC ID],0))</f>
        <v>989</v>
      </c>
      <c r="O129" s="5">
        <f>INDEX(rrcworking[Lease Use (MCF)],MATCH('Jan 2020 EDI'!F129,rrcworking[RRC ID],0))</f>
        <v>51</v>
      </c>
      <c r="P129" s="5">
        <f>INDEX(rrcworking[Disposition Volume (MCF) @ 14.65 MCF],MATCH('Jan 2020 EDI'!F129,rrcworking[RRC ID],0))</f>
        <v>938</v>
      </c>
      <c r="Y129" s="5">
        <f>INDEX(rrcworking[Oil Production],MATCH('Jan 2020 EDI'!F129,rrcworking[RRC ID],0))</f>
        <v>1</v>
      </c>
      <c r="AA129" s="5">
        <f>INDEX(rrcworking[Sales/Dispostion],MATCH('Jan 2020 EDI'!F129,rrcworking[RRC ID],0))</f>
        <v>0</v>
      </c>
      <c r="AQ129" s="5">
        <f>INDEX(rrcworking[Closing Stock (Oil)],MATCH('Jan 2020 EDI'!F129,rrcworking[RRC ID],0))</f>
        <v>234</v>
      </c>
    </row>
    <row r="130" spans="1:43">
      <c r="A130" s="4" t="s">
        <v>1</v>
      </c>
      <c r="B130" s="1" t="s">
        <v>1030</v>
      </c>
      <c r="C130" s="10" t="s">
        <v>911</v>
      </c>
      <c r="D130" s="1" t="s">
        <v>619</v>
      </c>
      <c r="E130" s="1" t="s">
        <v>2</v>
      </c>
      <c r="F130" s="1" t="s">
        <v>540</v>
      </c>
      <c r="I130" s="10" t="s">
        <v>3</v>
      </c>
      <c r="J130" s="124" t="s">
        <v>3</v>
      </c>
      <c r="K130" s="1" t="s">
        <v>1094</v>
      </c>
      <c r="M130" s="5">
        <v>201912</v>
      </c>
      <c r="N130" s="5">
        <f>INDEX(rrcworking[Formation Production (MCF) @ 14.65 psi],MATCH('Jan 2020 EDI'!F130,rrcworking[RRC ID],0))</f>
        <v>0</v>
      </c>
      <c r="O130" s="5">
        <f>INDEX(rrcworking[Lease Use (MCF)],MATCH('Jan 2020 EDI'!F130,rrcworking[RRC ID],0))</f>
        <v>0</v>
      </c>
      <c r="P130" s="5">
        <f>INDEX(rrcworking[Disposition Volume (MCF) @ 14.65 MCF],MATCH('Jan 2020 EDI'!F130,rrcworking[RRC ID],0))</f>
        <v>0</v>
      </c>
      <c r="Y130" s="5">
        <f>INDEX(rrcworking[Oil Production],MATCH('Jan 2020 EDI'!F130,rrcworking[RRC ID],0))</f>
        <v>0</v>
      </c>
      <c r="AA130" s="5">
        <f>INDEX(rrcworking[Sales/Dispostion],MATCH('Jan 2020 EDI'!F130,rrcworking[RRC ID],0))</f>
        <v>0</v>
      </c>
      <c r="AQ130" s="5">
        <f>INDEX(rrcworking[Closing Stock (Oil)],MATCH('Jan 2020 EDI'!F130,rrcworking[RRC ID],0))</f>
        <v>70</v>
      </c>
    </row>
    <row r="131" spans="1:43">
      <c r="A131" s="4" t="s">
        <v>1</v>
      </c>
      <c r="B131" s="1" t="s">
        <v>1031</v>
      </c>
      <c r="C131" s="10" t="s">
        <v>911</v>
      </c>
      <c r="D131" s="1" t="s">
        <v>619</v>
      </c>
      <c r="E131" s="1" t="s">
        <v>2</v>
      </c>
      <c r="F131" s="1" t="s">
        <v>541</v>
      </c>
      <c r="I131" s="10" t="s">
        <v>3</v>
      </c>
      <c r="J131" s="124" t="s">
        <v>3</v>
      </c>
      <c r="K131" s="1" t="s">
        <v>1094</v>
      </c>
      <c r="M131" s="5">
        <v>201912</v>
      </c>
      <c r="N131" s="5">
        <f>INDEX(rrcworking[Formation Production (MCF) @ 14.65 psi],MATCH('Jan 2020 EDI'!F131,rrcworking[RRC ID],0))</f>
        <v>31</v>
      </c>
      <c r="O131" s="5">
        <f>INDEX(rrcworking[Lease Use (MCF)],MATCH('Jan 2020 EDI'!F131,rrcworking[RRC ID],0))</f>
        <v>0</v>
      </c>
      <c r="P131" s="5">
        <f>INDEX(rrcworking[Disposition Volume (MCF) @ 14.65 MCF],MATCH('Jan 2020 EDI'!F131,rrcworking[RRC ID],0))</f>
        <v>31</v>
      </c>
      <c r="Y131" s="5">
        <f>INDEX(rrcworking[Oil Production],MATCH('Jan 2020 EDI'!F131,rrcworking[RRC ID],0))</f>
        <v>25</v>
      </c>
      <c r="AA131" s="5">
        <f>INDEX(rrcworking[Sales/Dispostion],MATCH('Jan 2020 EDI'!F131,rrcworking[RRC ID],0))</f>
        <v>0</v>
      </c>
      <c r="AQ131" s="5">
        <f>INDEX(rrcworking[Closing Stock (Oil)],MATCH('Jan 2020 EDI'!F131,rrcworking[RRC ID],0))</f>
        <v>199</v>
      </c>
    </row>
    <row r="132" spans="1:43">
      <c r="A132" s="4" t="s">
        <v>1</v>
      </c>
      <c r="B132" s="1" t="s">
        <v>1032</v>
      </c>
      <c r="C132" s="10" t="s">
        <v>911</v>
      </c>
      <c r="D132" s="1" t="s">
        <v>619</v>
      </c>
      <c r="E132" s="1" t="s">
        <v>2</v>
      </c>
      <c r="F132" s="1" t="s">
        <v>542</v>
      </c>
      <c r="I132" s="10" t="s">
        <v>3</v>
      </c>
      <c r="J132" s="124" t="s">
        <v>3</v>
      </c>
      <c r="K132" s="1" t="s">
        <v>1094</v>
      </c>
      <c r="M132" s="5">
        <v>201912</v>
      </c>
      <c r="N132" s="5">
        <f>INDEX(rrcworking[Formation Production (MCF) @ 14.65 psi],MATCH('Jan 2020 EDI'!F132,rrcworking[RRC ID],0))</f>
        <v>0</v>
      </c>
      <c r="O132" s="5">
        <f>INDEX(rrcworking[Lease Use (MCF)],MATCH('Jan 2020 EDI'!F132,rrcworking[RRC ID],0))</f>
        <v>0</v>
      </c>
      <c r="P132" s="5">
        <f>INDEX(rrcworking[Disposition Volume (MCF) @ 14.65 MCF],MATCH('Jan 2020 EDI'!F132,rrcworking[RRC ID],0))</f>
        <v>0</v>
      </c>
      <c r="Y132" s="5">
        <f>INDEX(rrcworking[Oil Production],MATCH('Jan 2020 EDI'!F132,rrcworking[RRC ID],0))</f>
        <v>0</v>
      </c>
      <c r="AA132" s="5">
        <f>INDEX(rrcworking[Sales/Dispostion],MATCH('Jan 2020 EDI'!F132,rrcworking[RRC ID],0))</f>
        <v>0</v>
      </c>
      <c r="AQ132" s="5">
        <f>INDEX(rrcworking[Closing Stock (Oil)],MATCH('Jan 2020 EDI'!F132,rrcworking[RRC ID],0))</f>
        <v>0</v>
      </c>
    </row>
    <row r="133" spans="1:43">
      <c r="A133" s="4" t="s">
        <v>1</v>
      </c>
      <c r="B133" s="1" t="s">
        <v>1033</v>
      </c>
      <c r="C133" s="10" t="s">
        <v>911</v>
      </c>
      <c r="D133" s="1" t="s">
        <v>619</v>
      </c>
      <c r="E133" s="1" t="s">
        <v>59</v>
      </c>
      <c r="F133" s="1" t="s">
        <v>543</v>
      </c>
      <c r="I133" s="10" t="s">
        <v>3</v>
      </c>
      <c r="J133" s="124" t="s">
        <v>3</v>
      </c>
      <c r="K133" s="1" t="s">
        <v>1094</v>
      </c>
      <c r="M133" s="5">
        <v>201912</v>
      </c>
      <c r="N133" s="5">
        <f>INDEX(rrcworking[Formation Production (MCF) @ 14.65 psi],MATCH('Jan 2020 EDI'!F133,rrcworking[RRC ID],0))</f>
        <v>0</v>
      </c>
      <c r="O133" s="5">
        <f>INDEX(rrcworking[Lease Use (MCF)],MATCH('Jan 2020 EDI'!F133,rrcworking[RRC ID],0))</f>
        <v>0</v>
      </c>
      <c r="P133" s="5">
        <f>INDEX(rrcworking[Disposition Volume (MCF) @ 14.65 MCF],MATCH('Jan 2020 EDI'!F133,rrcworking[RRC ID],0))</f>
        <v>0</v>
      </c>
      <c r="Y133" s="5">
        <f>INDEX(rrcworking[Oil Production],MATCH('Jan 2020 EDI'!F133,rrcworking[RRC ID],0))</f>
        <v>0</v>
      </c>
      <c r="AA133" s="5">
        <f>INDEX(rrcworking[Sales/Dispostion],MATCH('Jan 2020 EDI'!F133,rrcworking[RRC ID],0))</f>
        <v>0</v>
      </c>
      <c r="AQ133" s="5">
        <f>INDEX(rrcworking[Closing Stock (Oil)],MATCH('Jan 2020 EDI'!F133,rrcworking[RRC ID],0))</f>
        <v>0</v>
      </c>
    </row>
    <row r="134" spans="1:43">
      <c r="A134" s="4" t="s">
        <v>1</v>
      </c>
      <c r="B134" s="1" t="s">
        <v>1034</v>
      </c>
      <c r="C134" s="10" t="s">
        <v>911</v>
      </c>
      <c r="D134" s="1" t="s">
        <v>619</v>
      </c>
      <c r="E134" s="1" t="s">
        <v>59</v>
      </c>
      <c r="F134" s="1" t="s">
        <v>544</v>
      </c>
      <c r="I134" s="10" t="s">
        <v>3</v>
      </c>
      <c r="J134" s="124" t="s">
        <v>3</v>
      </c>
      <c r="K134" s="1" t="s">
        <v>1094</v>
      </c>
      <c r="M134" s="5">
        <v>201912</v>
      </c>
      <c r="N134" s="5">
        <f>INDEX(rrcworking[Formation Production (MCF) @ 14.65 psi],MATCH('Jan 2020 EDI'!F134,rrcworking[RRC ID],0))</f>
        <v>0</v>
      </c>
      <c r="O134" s="5">
        <f>INDEX(rrcworking[Lease Use (MCF)],MATCH('Jan 2020 EDI'!F134,rrcworking[RRC ID],0))</f>
        <v>0</v>
      </c>
      <c r="P134" s="5">
        <f>INDEX(rrcworking[Disposition Volume (MCF) @ 14.65 MCF],MATCH('Jan 2020 EDI'!F134,rrcworking[RRC ID],0))</f>
        <v>0</v>
      </c>
      <c r="Y134" s="5">
        <f>INDEX(rrcworking[Oil Production],MATCH('Jan 2020 EDI'!F134,rrcworking[RRC ID],0))</f>
        <v>0</v>
      </c>
      <c r="AA134" s="5">
        <f>INDEX(rrcworking[Sales/Dispostion],MATCH('Jan 2020 EDI'!F134,rrcworking[RRC ID],0))</f>
        <v>0</v>
      </c>
      <c r="AQ134" s="5">
        <f>INDEX(rrcworking[Closing Stock (Oil)],MATCH('Jan 2020 EDI'!F134,rrcworking[RRC ID],0))</f>
        <v>0</v>
      </c>
    </row>
    <row r="135" spans="1:43">
      <c r="A135" s="4" t="s">
        <v>1</v>
      </c>
      <c r="B135" s="1" t="s">
        <v>1035</v>
      </c>
      <c r="C135" s="10" t="s">
        <v>911</v>
      </c>
      <c r="D135" s="1" t="s">
        <v>619</v>
      </c>
      <c r="E135" s="1" t="s">
        <v>2</v>
      </c>
      <c r="F135" s="1" t="s">
        <v>545</v>
      </c>
      <c r="I135" s="10" t="s">
        <v>3</v>
      </c>
      <c r="J135" s="124" t="s">
        <v>3</v>
      </c>
      <c r="K135" s="1" t="s">
        <v>1094</v>
      </c>
      <c r="M135" s="5">
        <v>201912</v>
      </c>
      <c r="N135" s="5">
        <f>INDEX(rrcworking[Formation Production (MCF) @ 14.65 psi],MATCH('Jan 2020 EDI'!F135,rrcworking[RRC ID],0))</f>
        <v>2578</v>
      </c>
      <c r="O135" s="5">
        <f>INDEX(rrcworking[Lease Use (MCF)],MATCH('Jan 2020 EDI'!F135,rrcworking[RRC ID],0))</f>
        <v>0</v>
      </c>
      <c r="P135" s="5">
        <f>INDEX(rrcworking[Disposition Volume (MCF) @ 14.65 MCF],MATCH('Jan 2020 EDI'!F135,rrcworking[RRC ID],0))</f>
        <v>2578</v>
      </c>
      <c r="Y135" s="5">
        <f>INDEX(rrcworking[Oil Production],MATCH('Jan 2020 EDI'!F135,rrcworking[RRC ID],0))</f>
        <v>264</v>
      </c>
      <c r="AA135" s="5">
        <f>INDEX(rrcworking[Sales/Dispostion],MATCH('Jan 2020 EDI'!F135,rrcworking[RRC ID],0))</f>
        <v>340</v>
      </c>
      <c r="AQ135" s="5">
        <f>INDEX(rrcworking[Closing Stock (Oil)],MATCH('Jan 2020 EDI'!F135,rrcworking[RRC ID],0))</f>
        <v>215</v>
      </c>
    </row>
    <row r="136" spans="1:43">
      <c r="A136" s="4" t="s">
        <v>1</v>
      </c>
      <c r="B136" s="1" t="s">
        <v>1036</v>
      </c>
      <c r="C136" s="10" t="s">
        <v>911</v>
      </c>
      <c r="D136" s="1" t="s">
        <v>619</v>
      </c>
      <c r="E136" s="1" t="s">
        <v>59</v>
      </c>
      <c r="F136" s="1" t="s">
        <v>546</v>
      </c>
      <c r="I136" s="10" t="s">
        <v>3</v>
      </c>
      <c r="J136" s="124" t="s">
        <v>3</v>
      </c>
      <c r="K136" s="1" t="s">
        <v>1094</v>
      </c>
      <c r="M136" s="5">
        <v>201912</v>
      </c>
      <c r="N136" s="5">
        <f>INDEX(rrcworking[Formation Production (MCF) @ 14.65 psi],MATCH('Jan 2020 EDI'!F136,rrcworking[RRC ID],0))</f>
        <v>0</v>
      </c>
      <c r="O136" s="5">
        <f>INDEX(rrcworking[Lease Use (MCF)],MATCH('Jan 2020 EDI'!F136,rrcworking[RRC ID],0))</f>
        <v>0</v>
      </c>
      <c r="P136" s="5">
        <f>INDEX(rrcworking[Disposition Volume (MCF) @ 14.65 MCF],MATCH('Jan 2020 EDI'!F136,rrcworking[RRC ID],0))</f>
        <v>0</v>
      </c>
      <c r="Y136" s="5">
        <f>INDEX(rrcworking[Oil Production],MATCH('Jan 2020 EDI'!F136,rrcworking[RRC ID],0))</f>
        <v>0</v>
      </c>
      <c r="AA136" s="5">
        <f>INDEX(rrcworking[Sales/Dispostion],MATCH('Jan 2020 EDI'!F136,rrcworking[RRC ID],0))</f>
        <v>0</v>
      </c>
      <c r="AQ136" s="5">
        <f>INDEX(rrcworking[Closing Stock (Oil)],MATCH('Jan 2020 EDI'!F136,rrcworking[RRC ID],0))</f>
        <v>0</v>
      </c>
    </row>
    <row r="137" spans="1:43">
      <c r="A137" s="4" t="s">
        <v>1</v>
      </c>
      <c r="B137" s="1" t="s">
        <v>1037</v>
      </c>
      <c r="C137" s="10" t="s">
        <v>911</v>
      </c>
      <c r="D137" s="1" t="s">
        <v>619</v>
      </c>
      <c r="E137" s="1" t="s">
        <v>59</v>
      </c>
      <c r="F137" s="1" t="s">
        <v>547</v>
      </c>
      <c r="I137" s="10" t="s">
        <v>3</v>
      </c>
      <c r="J137" s="124" t="s">
        <v>3</v>
      </c>
      <c r="K137" s="1" t="s">
        <v>1094</v>
      </c>
      <c r="M137" s="5">
        <v>201912</v>
      </c>
      <c r="N137" s="5">
        <f>INDEX(rrcworking[Formation Production (MCF) @ 14.65 psi],MATCH('Jan 2020 EDI'!F137,rrcworking[RRC ID],0))</f>
        <v>0</v>
      </c>
      <c r="O137" s="5">
        <f>INDEX(rrcworking[Lease Use (MCF)],MATCH('Jan 2020 EDI'!F137,rrcworking[RRC ID],0))</f>
        <v>0</v>
      </c>
      <c r="P137" s="5">
        <f>INDEX(rrcworking[Disposition Volume (MCF) @ 14.65 MCF],MATCH('Jan 2020 EDI'!F137,rrcworking[RRC ID],0))</f>
        <v>0</v>
      </c>
      <c r="Y137" s="5">
        <f>INDEX(rrcworking[Oil Production],MATCH('Jan 2020 EDI'!F137,rrcworking[RRC ID],0))</f>
        <v>0</v>
      </c>
      <c r="AA137" s="5">
        <f>INDEX(rrcworking[Sales/Dispostion],MATCH('Jan 2020 EDI'!F137,rrcworking[RRC ID],0))</f>
        <v>0</v>
      </c>
      <c r="AQ137" s="5">
        <f>INDEX(rrcworking[Closing Stock (Oil)],MATCH('Jan 2020 EDI'!F137,rrcworking[RRC ID],0))</f>
        <v>0</v>
      </c>
    </row>
    <row r="138" spans="1:43">
      <c r="A138" s="4" t="s">
        <v>1</v>
      </c>
      <c r="B138" s="1" t="s">
        <v>1038</v>
      </c>
      <c r="C138" s="10" t="s">
        <v>911</v>
      </c>
      <c r="D138" s="1" t="s">
        <v>619</v>
      </c>
      <c r="E138" s="1" t="s">
        <v>2</v>
      </c>
      <c r="F138" s="1" t="s">
        <v>548</v>
      </c>
      <c r="I138" s="10" t="s">
        <v>3</v>
      </c>
      <c r="J138" s="124" t="s">
        <v>3</v>
      </c>
      <c r="K138" s="1" t="s">
        <v>1094</v>
      </c>
      <c r="M138" s="5">
        <v>201912</v>
      </c>
      <c r="N138" s="5">
        <f>INDEX(rrcworking[Formation Production (MCF) @ 14.65 psi],MATCH('Jan 2020 EDI'!F138,rrcworking[RRC ID],0))</f>
        <v>0</v>
      </c>
      <c r="O138" s="5">
        <f>INDEX(rrcworking[Lease Use (MCF)],MATCH('Jan 2020 EDI'!F138,rrcworking[RRC ID],0))</f>
        <v>0</v>
      </c>
      <c r="P138" s="5">
        <f>INDEX(rrcworking[Disposition Volume (MCF) @ 14.65 MCF],MATCH('Jan 2020 EDI'!F138,rrcworking[RRC ID],0))</f>
        <v>0</v>
      </c>
      <c r="Y138" s="5">
        <f>INDEX(rrcworking[Oil Production],MATCH('Jan 2020 EDI'!F138,rrcworking[RRC ID],0))</f>
        <v>0</v>
      </c>
      <c r="AA138" s="5">
        <f>INDEX(rrcworking[Sales/Dispostion],MATCH('Jan 2020 EDI'!F138,rrcworking[RRC ID],0))</f>
        <v>0</v>
      </c>
      <c r="AQ138" s="5">
        <f>INDEX(rrcworking[Closing Stock (Oil)],MATCH('Jan 2020 EDI'!F138,rrcworking[RRC ID],0))</f>
        <v>0</v>
      </c>
    </row>
    <row r="139" spans="1:43">
      <c r="A139" s="4" t="s">
        <v>1</v>
      </c>
      <c r="B139" s="1" t="s">
        <v>1039</v>
      </c>
      <c r="C139" s="10" t="s">
        <v>911</v>
      </c>
      <c r="D139" s="1" t="s">
        <v>619</v>
      </c>
      <c r="E139" s="1" t="s">
        <v>59</v>
      </c>
      <c r="F139" s="1" t="s">
        <v>549</v>
      </c>
      <c r="I139" s="10" t="s">
        <v>3</v>
      </c>
      <c r="J139" s="124" t="s">
        <v>3</v>
      </c>
      <c r="K139" s="1" t="s">
        <v>1094</v>
      </c>
      <c r="M139" s="5">
        <v>201912</v>
      </c>
      <c r="N139" s="5">
        <f>INDEX(rrcworking[Formation Production (MCF) @ 14.65 psi],MATCH('Jan 2020 EDI'!F139,rrcworking[RRC ID],0))</f>
        <v>0</v>
      </c>
      <c r="O139" s="5">
        <f>INDEX(rrcworking[Lease Use (MCF)],MATCH('Jan 2020 EDI'!F139,rrcworking[RRC ID],0))</f>
        <v>0</v>
      </c>
      <c r="P139" s="5">
        <f>INDEX(rrcworking[Disposition Volume (MCF) @ 14.65 MCF],MATCH('Jan 2020 EDI'!F139,rrcworking[RRC ID],0))</f>
        <v>0</v>
      </c>
      <c r="Y139" s="5">
        <f>INDEX(rrcworking[Oil Production],MATCH('Jan 2020 EDI'!F139,rrcworking[RRC ID],0))</f>
        <v>0</v>
      </c>
      <c r="AA139" s="5">
        <f>INDEX(rrcworking[Sales/Dispostion],MATCH('Jan 2020 EDI'!F139,rrcworking[RRC ID],0))</f>
        <v>0</v>
      </c>
      <c r="AQ139" s="5">
        <f>INDEX(rrcworking[Closing Stock (Oil)],MATCH('Jan 2020 EDI'!F139,rrcworking[RRC ID],0))</f>
        <v>0</v>
      </c>
    </row>
    <row r="140" spans="1:43">
      <c r="A140" s="4" t="s">
        <v>1</v>
      </c>
      <c r="B140" s="1" t="s">
        <v>1040</v>
      </c>
      <c r="C140" s="10" t="s">
        <v>911</v>
      </c>
      <c r="D140" s="1" t="s">
        <v>619</v>
      </c>
      <c r="E140" s="1" t="s">
        <v>2</v>
      </c>
      <c r="F140" s="1" t="s">
        <v>550</v>
      </c>
      <c r="I140" s="10" t="s">
        <v>3</v>
      </c>
      <c r="J140" s="124" t="s">
        <v>3</v>
      </c>
      <c r="K140" s="1" t="s">
        <v>1094</v>
      </c>
      <c r="M140" s="5">
        <v>201912</v>
      </c>
      <c r="N140" s="5">
        <f>INDEX(rrcworking[Formation Production (MCF) @ 14.65 psi],MATCH('Jan 2020 EDI'!F140,rrcworking[RRC ID],0))</f>
        <v>0</v>
      </c>
      <c r="O140" s="5">
        <f>INDEX(rrcworking[Lease Use (MCF)],MATCH('Jan 2020 EDI'!F140,rrcworking[RRC ID],0))</f>
        <v>0</v>
      </c>
      <c r="P140" s="5">
        <f>INDEX(rrcworking[Disposition Volume (MCF) @ 14.65 MCF],MATCH('Jan 2020 EDI'!F140,rrcworking[RRC ID],0))</f>
        <v>0</v>
      </c>
      <c r="Y140" s="5">
        <f>INDEX(rrcworking[Oil Production],MATCH('Jan 2020 EDI'!F140,rrcworking[RRC ID],0))</f>
        <v>0</v>
      </c>
      <c r="AA140" s="5">
        <f>INDEX(rrcworking[Sales/Dispostion],MATCH('Jan 2020 EDI'!F140,rrcworking[RRC ID],0))</f>
        <v>0</v>
      </c>
      <c r="AQ140" s="5">
        <f>INDEX(rrcworking[Closing Stock (Oil)],MATCH('Jan 2020 EDI'!F140,rrcworking[RRC ID],0))</f>
        <v>0</v>
      </c>
    </row>
    <row r="141" spans="1:43">
      <c r="A141" s="4" t="s">
        <v>1</v>
      </c>
      <c r="B141" s="1" t="s">
        <v>1041</v>
      </c>
      <c r="C141" s="10" t="s">
        <v>911</v>
      </c>
      <c r="D141" s="1" t="s">
        <v>619</v>
      </c>
      <c r="E141" s="1" t="s">
        <v>59</v>
      </c>
      <c r="F141" s="1" t="s">
        <v>551</v>
      </c>
      <c r="I141" s="10" t="s">
        <v>3</v>
      </c>
      <c r="J141" s="124" t="s">
        <v>3</v>
      </c>
      <c r="K141" s="1" t="s">
        <v>1094</v>
      </c>
      <c r="M141" s="5">
        <v>201912</v>
      </c>
      <c r="N141" s="5">
        <f>INDEX(rrcworking[Formation Production (MCF) @ 14.65 psi],MATCH('Jan 2020 EDI'!F141,rrcworking[RRC ID],0))</f>
        <v>0</v>
      </c>
      <c r="O141" s="5">
        <f>INDEX(rrcworking[Lease Use (MCF)],MATCH('Jan 2020 EDI'!F141,rrcworking[RRC ID],0))</f>
        <v>0</v>
      </c>
      <c r="P141" s="5">
        <f>INDEX(rrcworking[Disposition Volume (MCF) @ 14.65 MCF],MATCH('Jan 2020 EDI'!F141,rrcworking[RRC ID],0))</f>
        <v>0</v>
      </c>
      <c r="Y141" s="5">
        <f>INDEX(rrcworking[Oil Production],MATCH('Jan 2020 EDI'!F141,rrcworking[RRC ID],0))</f>
        <v>0</v>
      </c>
      <c r="AA141" s="5">
        <f>INDEX(rrcworking[Sales/Dispostion],MATCH('Jan 2020 EDI'!F141,rrcworking[RRC ID],0))</f>
        <v>0</v>
      </c>
      <c r="AQ141" s="5">
        <f>INDEX(rrcworking[Closing Stock (Oil)],MATCH('Jan 2020 EDI'!F141,rrcworking[RRC ID],0))</f>
        <v>135</v>
      </c>
    </row>
    <row r="142" spans="1:43">
      <c r="A142" s="4" t="s">
        <v>1</v>
      </c>
      <c r="B142" s="1" t="s">
        <v>1042</v>
      </c>
      <c r="C142" s="10" t="s">
        <v>911</v>
      </c>
      <c r="D142" s="1" t="s">
        <v>619</v>
      </c>
      <c r="E142" s="1" t="s">
        <v>59</v>
      </c>
      <c r="F142" s="1" t="s">
        <v>552</v>
      </c>
      <c r="I142" s="10" t="s">
        <v>3</v>
      </c>
      <c r="J142" s="124" t="s">
        <v>3</v>
      </c>
      <c r="K142" s="1" t="s">
        <v>1094</v>
      </c>
      <c r="M142" s="5">
        <v>201912</v>
      </c>
      <c r="N142" s="5">
        <f>INDEX(rrcworking[Formation Production (MCF) @ 14.65 psi],MATCH('Jan 2020 EDI'!F142,rrcworking[RRC ID],0))</f>
        <v>0</v>
      </c>
      <c r="O142" s="5">
        <f>INDEX(rrcworking[Lease Use (MCF)],MATCH('Jan 2020 EDI'!F142,rrcworking[RRC ID],0))</f>
        <v>0</v>
      </c>
      <c r="P142" s="5">
        <f>INDEX(rrcworking[Disposition Volume (MCF) @ 14.65 MCF],MATCH('Jan 2020 EDI'!F142,rrcworking[RRC ID],0))</f>
        <v>0</v>
      </c>
      <c r="Y142" s="5">
        <f>INDEX(rrcworking[Oil Production],MATCH('Jan 2020 EDI'!F142,rrcworking[RRC ID],0))</f>
        <v>0</v>
      </c>
      <c r="AA142" s="5">
        <f>INDEX(rrcworking[Sales/Dispostion],MATCH('Jan 2020 EDI'!F142,rrcworking[RRC ID],0))</f>
        <v>0</v>
      </c>
      <c r="AQ142" s="5">
        <f>INDEX(rrcworking[Closing Stock (Oil)],MATCH('Jan 2020 EDI'!F142,rrcworking[RRC ID],0))</f>
        <v>134</v>
      </c>
    </row>
    <row r="143" spans="1:43">
      <c r="A143" s="4" t="s">
        <v>1</v>
      </c>
      <c r="B143" s="1" t="s">
        <v>1043</v>
      </c>
      <c r="C143" s="10" t="s">
        <v>911</v>
      </c>
      <c r="D143" s="1" t="s">
        <v>620</v>
      </c>
      <c r="E143" s="1" t="s">
        <v>59</v>
      </c>
      <c r="F143" s="1" t="s">
        <v>553</v>
      </c>
      <c r="I143" s="10" t="s">
        <v>3</v>
      </c>
      <c r="J143" s="124" t="s">
        <v>3</v>
      </c>
      <c r="K143" s="1" t="s">
        <v>1094</v>
      </c>
      <c r="M143" s="5">
        <v>201912</v>
      </c>
      <c r="N143" s="5">
        <f>INDEX(rrcworking[Formation Production (MCF) @ 14.65 psi],MATCH('Jan 2020 EDI'!F143,rrcworking[RRC ID],0))</f>
        <v>0</v>
      </c>
      <c r="O143" s="5">
        <f>INDEX(rrcworking[Lease Use (MCF)],MATCH('Jan 2020 EDI'!F143,rrcworking[RRC ID],0))</f>
        <v>0</v>
      </c>
      <c r="P143" s="5">
        <f>INDEX(rrcworking[Disposition Volume (MCF) @ 14.65 MCF],MATCH('Jan 2020 EDI'!F143,rrcworking[RRC ID],0))</f>
        <v>0</v>
      </c>
      <c r="Y143" s="5">
        <f>INDEX(rrcworking[Oil Production],MATCH('Jan 2020 EDI'!F143,rrcworking[RRC ID],0))</f>
        <v>0</v>
      </c>
      <c r="AA143" s="5">
        <f>INDEX(rrcworking[Sales/Dispostion],MATCH('Jan 2020 EDI'!F143,rrcworking[RRC ID],0))</f>
        <v>0</v>
      </c>
      <c r="AQ143" s="5">
        <f>INDEX(rrcworking[Closing Stock (Oil)],MATCH('Jan 2020 EDI'!F143,rrcworking[RRC ID],0))</f>
        <v>0</v>
      </c>
    </row>
    <row r="144" spans="1:43">
      <c r="A144" s="4" t="s">
        <v>1</v>
      </c>
      <c r="B144" s="1" t="s">
        <v>1044</v>
      </c>
      <c r="C144" s="10" t="s">
        <v>911</v>
      </c>
      <c r="D144" s="1" t="s">
        <v>620</v>
      </c>
      <c r="E144" s="1" t="s">
        <v>2</v>
      </c>
      <c r="F144" s="1" t="s">
        <v>554</v>
      </c>
      <c r="I144" s="10" t="s">
        <v>3</v>
      </c>
      <c r="J144" s="124" t="s">
        <v>3</v>
      </c>
      <c r="K144" s="1" t="s">
        <v>1094</v>
      </c>
      <c r="M144" s="5">
        <v>201912</v>
      </c>
      <c r="N144" s="5">
        <f>INDEX(rrcworking[Formation Production (MCF) @ 14.65 psi],MATCH('Jan 2020 EDI'!F144,rrcworking[RRC ID],0))</f>
        <v>248</v>
      </c>
      <c r="O144" s="5">
        <f>INDEX(rrcworking[Lease Use (MCF)],MATCH('Jan 2020 EDI'!F144,rrcworking[RRC ID],0))</f>
        <v>0</v>
      </c>
      <c r="P144" s="5">
        <f>INDEX(rrcworking[Disposition Volume (MCF) @ 14.65 MCF],MATCH('Jan 2020 EDI'!F144,rrcworking[RRC ID],0))</f>
        <v>248</v>
      </c>
      <c r="Y144" s="5">
        <f>INDEX(rrcworking[Oil Production],MATCH('Jan 2020 EDI'!F144,rrcworking[RRC ID],0))</f>
        <v>62</v>
      </c>
      <c r="AA144" s="5">
        <f>INDEX(rrcworking[Sales/Dispostion],MATCH('Jan 2020 EDI'!F144,rrcworking[RRC ID],0))</f>
        <v>0</v>
      </c>
      <c r="AQ144" s="5">
        <f>INDEX(rrcworking[Closing Stock (Oil)],MATCH('Jan 2020 EDI'!F144,rrcworking[RRC ID],0))</f>
        <v>111</v>
      </c>
    </row>
    <row r="145" spans="1:43">
      <c r="A145" s="4" t="s">
        <v>1</v>
      </c>
      <c r="B145" s="1" t="s">
        <v>1045</v>
      </c>
      <c r="C145" s="10" t="s">
        <v>911</v>
      </c>
      <c r="D145" s="1" t="s">
        <v>620</v>
      </c>
      <c r="E145" s="1" t="s">
        <v>59</v>
      </c>
      <c r="F145" s="1" t="s">
        <v>555</v>
      </c>
      <c r="I145" s="10" t="s">
        <v>3</v>
      </c>
      <c r="J145" s="124" t="s">
        <v>3</v>
      </c>
      <c r="K145" s="1" t="s">
        <v>1094</v>
      </c>
      <c r="M145" s="5">
        <v>201912</v>
      </c>
      <c r="N145" s="5">
        <f>INDEX(rrcworking[Formation Production (MCF) @ 14.65 psi],MATCH('Jan 2020 EDI'!F145,rrcworking[RRC ID],0))</f>
        <v>0</v>
      </c>
      <c r="O145" s="5">
        <f>INDEX(rrcworking[Lease Use (MCF)],MATCH('Jan 2020 EDI'!F145,rrcworking[RRC ID],0))</f>
        <v>0</v>
      </c>
      <c r="P145" s="5">
        <f>INDEX(rrcworking[Disposition Volume (MCF) @ 14.65 MCF],MATCH('Jan 2020 EDI'!F145,rrcworking[RRC ID],0))</f>
        <v>0</v>
      </c>
      <c r="Y145" s="5">
        <f>INDEX(rrcworking[Oil Production],MATCH('Jan 2020 EDI'!F145,rrcworking[RRC ID],0))</f>
        <v>0</v>
      </c>
      <c r="AA145" s="5">
        <f>INDEX(rrcworking[Sales/Dispostion],MATCH('Jan 2020 EDI'!F145,rrcworking[RRC ID],0))</f>
        <v>0</v>
      </c>
      <c r="AQ145" s="5">
        <f>INDEX(rrcworking[Closing Stock (Oil)],MATCH('Jan 2020 EDI'!F145,rrcworking[RRC ID],0))</f>
        <v>0</v>
      </c>
    </row>
    <row r="146" spans="1:43">
      <c r="A146" s="4" t="s">
        <v>1</v>
      </c>
      <c r="B146" s="1" t="s">
        <v>1046</v>
      </c>
      <c r="C146" s="10" t="s">
        <v>911</v>
      </c>
      <c r="D146" s="1" t="s">
        <v>620</v>
      </c>
      <c r="E146" s="1" t="s">
        <v>2</v>
      </c>
      <c r="F146" s="1" t="s">
        <v>556</v>
      </c>
      <c r="I146" s="10" t="s">
        <v>3</v>
      </c>
      <c r="J146" s="124" t="s">
        <v>3</v>
      </c>
      <c r="K146" s="1" t="s">
        <v>1094</v>
      </c>
      <c r="M146" s="5">
        <v>201912</v>
      </c>
      <c r="N146" s="5">
        <f>INDEX(rrcworking[Formation Production (MCF) @ 14.65 psi],MATCH('Jan 2020 EDI'!F146,rrcworking[RRC ID],0))</f>
        <v>0</v>
      </c>
      <c r="O146" s="5">
        <f>INDEX(rrcworking[Lease Use (MCF)],MATCH('Jan 2020 EDI'!F146,rrcworking[RRC ID],0))</f>
        <v>0</v>
      </c>
      <c r="P146" s="5">
        <f>INDEX(rrcworking[Disposition Volume (MCF) @ 14.65 MCF],MATCH('Jan 2020 EDI'!F146,rrcworking[RRC ID],0))</f>
        <v>0</v>
      </c>
      <c r="Y146" s="5">
        <f>INDEX(rrcworking[Oil Production],MATCH('Jan 2020 EDI'!F146,rrcworking[RRC ID],0))</f>
        <v>0</v>
      </c>
      <c r="AA146" s="5">
        <f>INDEX(rrcworking[Sales/Dispostion],MATCH('Jan 2020 EDI'!F146,rrcworking[RRC ID],0))</f>
        <v>0</v>
      </c>
      <c r="AQ146" s="5">
        <f>INDEX(rrcworking[Closing Stock (Oil)],MATCH('Jan 2020 EDI'!F146,rrcworking[RRC ID],0))</f>
        <v>235</v>
      </c>
    </row>
    <row r="147" spans="1:43">
      <c r="A147" s="4" t="s">
        <v>1</v>
      </c>
      <c r="B147" s="1" t="s">
        <v>1047</v>
      </c>
      <c r="C147" s="10" t="s">
        <v>911</v>
      </c>
      <c r="D147" s="1" t="s">
        <v>620</v>
      </c>
      <c r="E147" s="1" t="s">
        <v>59</v>
      </c>
      <c r="F147" s="1" t="s">
        <v>557</v>
      </c>
      <c r="I147" s="10" t="s">
        <v>3</v>
      </c>
      <c r="J147" s="124" t="s">
        <v>3</v>
      </c>
      <c r="K147" s="1" t="s">
        <v>1094</v>
      </c>
      <c r="M147" s="5">
        <v>201912</v>
      </c>
      <c r="N147" s="5">
        <f>INDEX(rrcworking[Formation Production (MCF) @ 14.65 psi],MATCH('Jan 2020 EDI'!F147,rrcworking[RRC ID],0))</f>
        <v>2133</v>
      </c>
      <c r="O147" s="5">
        <f>INDEX(rrcworking[Lease Use (MCF)],MATCH('Jan 2020 EDI'!F147,rrcworking[RRC ID],0))</f>
        <v>310</v>
      </c>
      <c r="P147" s="5">
        <f>INDEX(rrcworking[Disposition Volume (MCF) @ 14.65 MCF],MATCH('Jan 2020 EDI'!F147,rrcworking[RRC ID],0))</f>
        <v>1823</v>
      </c>
      <c r="Y147" s="5">
        <f>INDEX(rrcworking[Oil Production],MATCH('Jan 2020 EDI'!F147,rrcworking[RRC ID],0))</f>
        <v>0</v>
      </c>
      <c r="AA147" s="5">
        <f>INDEX(rrcworking[Sales/Dispostion],MATCH('Jan 2020 EDI'!F147,rrcworking[RRC ID],0))</f>
        <v>0</v>
      </c>
      <c r="AQ147" s="5">
        <f>INDEX(rrcworking[Closing Stock (Oil)],MATCH('Jan 2020 EDI'!F147,rrcworking[RRC ID],0))</f>
        <v>0</v>
      </c>
    </row>
    <row r="148" spans="1:43">
      <c r="A148" s="4" t="s">
        <v>1</v>
      </c>
      <c r="B148" s="1" t="s">
        <v>1048</v>
      </c>
      <c r="C148" s="10" t="s">
        <v>911</v>
      </c>
      <c r="D148" s="1" t="s">
        <v>620</v>
      </c>
      <c r="E148" s="1" t="s">
        <v>59</v>
      </c>
      <c r="F148" s="1" t="s">
        <v>558</v>
      </c>
      <c r="I148" s="10" t="s">
        <v>3</v>
      </c>
      <c r="J148" s="124" t="s">
        <v>3</v>
      </c>
      <c r="K148" s="1" t="s">
        <v>1094</v>
      </c>
      <c r="M148" s="5">
        <v>201912</v>
      </c>
      <c r="N148" s="5">
        <f>INDEX(rrcworking[Formation Production (MCF) @ 14.65 psi],MATCH('Jan 2020 EDI'!F148,rrcworking[RRC ID],0))</f>
        <v>0</v>
      </c>
      <c r="O148" s="5">
        <f>INDEX(rrcworking[Lease Use (MCF)],MATCH('Jan 2020 EDI'!F148,rrcworking[RRC ID],0))</f>
        <v>0</v>
      </c>
      <c r="P148" s="5">
        <f>INDEX(rrcworking[Disposition Volume (MCF) @ 14.65 MCF],MATCH('Jan 2020 EDI'!F148,rrcworking[RRC ID],0))</f>
        <v>0</v>
      </c>
      <c r="Y148" s="5">
        <f>INDEX(rrcworking[Oil Production],MATCH('Jan 2020 EDI'!F148,rrcworking[RRC ID],0))</f>
        <v>0</v>
      </c>
      <c r="AA148" s="5">
        <f>INDEX(rrcworking[Sales/Dispostion],MATCH('Jan 2020 EDI'!F148,rrcworking[RRC ID],0))</f>
        <v>0</v>
      </c>
      <c r="AQ148" s="5">
        <f>INDEX(rrcworking[Closing Stock (Oil)],MATCH('Jan 2020 EDI'!F148,rrcworking[RRC ID],0))</f>
        <v>0</v>
      </c>
    </row>
    <row r="149" spans="1:43">
      <c r="A149" s="4" t="s">
        <v>1</v>
      </c>
      <c r="B149" s="1" t="s">
        <v>1049</v>
      </c>
      <c r="C149" s="10" t="s">
        <v>911</v>
      </c>
      <c r="D149" s="1" t="s">
        <v>620</v>
      </c>
      <c r="E149" s="1" t="s">
        <v>2</v>
      </c>
      <c r="F149" s="1" t="s">
        <v>559</v>
      </c>
      <c r="I149" s="10" t="s">
        <v>3</v>
      </c>
      <c r="J149" s="124" t="s">
        <v>3</v>
      </c>
      <c r="K149" s="1" t="s">
        <v>1094</v>
      </c>
      <c r="M149" s="5">
        <v>201912</v>
      </c>
      <c r="N149" s="5">
        <f>INDEX(rrcworking[Formation Production (MCF) @ 14.65 psi],MATCH('Jan 2020 EDI'!F149,rrcworking[RRC ID],0))</f>
        <v>0</v>
      </c>
      <c r="O149" s="5">
        <f>INDEX(rrcworking[Lease Use (MCF)],MATCH('Jan 2020 EDI'!F149,rrcworking[RRC ID],0))</f>
        <v>0</v>
      </c>
      <c r="P149" s="5">
        <f>INDEX(rrcworking[Disposition Volume (MCF) @ 14.65 MCF],MATCH('Jan 2020 EDI'!F149,rrcworking[RRC ID],0))</f>
        <v>0</v>
      </c>
      <c r="Y149" s="5">
        <f>INDEX(rrcworking[Oil Production],MATCH('Jan 2020 EDI'!F149,rrcworking[RRC ID],0))</f>
        <v>0</v>
      </c>
      <c r="AA149" s="5">
        <f>INDEX(rrcworking[Sales/Dispostion],MATCH('Jan 2020 EDI'!F149,rrcworking[RRC ID],0))</f>
        <v>0</v>
      </c>
      <c r="AQ149" s="5">
        <f>INDEX(rrcworking[Closing Stock (Oil)],MATCH('Jan 2020 EDI'!F149,rrcworking[RRC ID],0))</f>
        <v>90</v>
      </c>
    </row>
    <row r="150" spans="1:43">
      <c r="A150" s="4" t="s">
        <v>1</v>
      </c>
      <c r="B150" s="1" t="s">
        <v>1050</v>
      </c>
      <c r="C150" s="10" t="s">
        <v>911</v>
      </c>
      <c r="D150" s="1" t="s">
        <v>620</v>
      </c>
      <c r="E150" s="1" t="s">
        <v>59</v>
      </c>
      <c r="F150" s="1" t="s">
        <v>560</v>
      </c>
      <c r="I150" s="10" t="s">
        <v>3</v>
      </c>
      <c r="J150" s="124" t="s">
        <v>3</v>
      </c>
      <c r="K150" s="1" t="s">
        <v>1094</v>
      </c>
      <c r="M150" s="5">
        <v>201912</v>
      </c>
      <c r="N150" s="5">
        <f>INDEX(rrcworking[Formation Production (MCF) @ 14.65 psi],MATCH('Jan 2020 EDI'!F150,rrcworking[RRC ID],0))</f>
        <v>0</v>
      </c>
      <c r="O150" s="5">
        <f>INDEX(rrcworking[Lease Use (MCF)],MATCH('Jan 2020 EDI'!F150,rrcworking[RRC ID],0))</f>
        <v>0</v>
      </c>
      <c r="P150" s="5">
        <f>INDEX(rrcworking[Disposition Volume (MCF) @ 14.65 MCF],MATCH('Jan 2020 EDI'!F150,rrcworking[RRC ID],0))</f>
        <v>0</v>
      </c>
      <c r="Y150" s="5">
        <f>INDEX(rrcworking[Oil Production],MATCH('Jan 2020 EDI'!F150,rrcworking[RRC ID],0))</f>
        <v>0</v>
      </c>
      <c r="AA150" s="5">
        <f>INDEX(rrcworking[Sales/Dispostion],MATCH('Jan 2020 EDI'!F150,rrcworking[RRC ID],0))</f>
        <v>0</v>
      </c>
      <c r="AQ150" s="5">
        <f>INDEX(rrcworking[Closing Stock (Oil)],MATCH('Jan 2020 EDI'!F150,rrcworking[RRC ID],0))</f>
        <v>0</v>
      </c>
    </row>
    <row r="151" spans="1:43">
      <c r="A151" s="4" t="s">
        <v>1</v>
      </c>
      <c r="B151" s="1" t="s">
        <v>1051</v>
      </c>
      <c r="C151" s="10" t="s">
        <v>911</v>
      </c>
      <c r="D151" s="1" t="s">
        <v>620</v>
      </c>
      <c r="E151" s="1" t="s">
        <v>2</v>
      </c>
      <c r="F151" s="1" t="s">
        <v>561</v>
      </c>
      <c r="I151" s="10" t="s">
        <v>3</v>
      </c>
      <c r="J151" s="124" t="s">
        <v>3</v>
      </c>
      <c r="K151" s="1" t="s">
        <v>1094</v>
      </c>
      <c r="M151" s="5">
        <v>201912</v>
      </c>
      <c r="N151" s="5">
        <f>INDEX(rrcworking[Formation Production (MCF) @ 14.65 psi],MATCH('Jan 2020 EDI'!F151,rrcworking[RRC ID],0))</f>
        <v>0</v>
      </c>
      <c r="O151" s="5">
        <f>INDEX(rrcworking[Lease Use (MCF)],MATCH('Jan 2020 EDI'!F151,rrcworking[RRC ID],0))</f>
        <v>0</v>
      </c>
      <c r="P151" s="5">
        <f>INDEX(rrcworking[Disposition Volume (MCF) @ 14.65 MCF],MATCH('Jan 2020 EDI'!F151,rrcworking[RRC ID],0))</f>
        <v>0</v>
      </c>
      <c r="Y151" s="5">
        <f>INDEX(rrcworking[Oil Production],MATCH('Jan 2020 EDI'!F151,rrcworking[RRC ID],0))</f>
        <v>0</v>
      </c>
      <c r="AA151" s="5">
        <f>INDEX(rrcworking[Sales/Dispostion],MATCH('Jan 2020 EDI'!F151,rrcworking[RRC ID],0))</f>
        <v>0</v>
      </c>
      <c r="AQ151" s="5">
        <f>INDEX(rrcworking[Closing Stock (Oil)],MATCH('Jan 2020 EDI'!F151,rrcworking[RRC ID],0))</f>
        <v>0</v>
      </c>
    </row>
    <row r="152" spans="1:43">
      <c r="A152" s="4" t="s">
        <v>1</v>
      </c>
      <c r="B152" s="1" t="s">
        <v>1052</v>
      </c>
      <c r="C152" s="10" t="s">
        <v>911</v>
      </c>
      <c r="D152" s="1" t="s">
        <v>620</v>
      </c>
      <c r="E152" s="1" t="s">
        <v>59</v>
      </c>
      <c r="F152" s="1" t="s">
        <v>562</v>
      </c>
      <c r="I152" s="10" t="s">
        <v>3</v>
      </c>
      <c r="J152" s="124" t="s">
        <v>3</v>
      </c>
      <c r="K152" s="1" t="s">
        <v>1094</v>
      </c>
      <c r="M152" s="5">
        <v>201912</v>
      </c>
      <c r="N152" s="5">
        <f>INDEX(rrcworking[Formation Production (MCF) @ 14.65 psi],MATCH('Jan 2020 EDI'!F152,rrcworking[RRC ID],0))</f>
        <v>8265</v>
      </c>
      <c r="O152" s="5">
        <f>INDEX(rrcworking[Lease Use (MCF)],MATCH('Jan 2020 EDI'!F152,rrcworking[RRC ID],0))</f>
        <v>243</v>
      </c>
      <c r="P152" s="5">
        <f>INDEX(rrcworking[Disposition Volume (MCF) @ 14.65 MCF],MATCH('Jan 2020 EDI'!F152,rrcworking[RRC ID],0))</f>
        <v>8022</v>
      </c>
      <c r="Y152" s="5">
        <f>INDEX(rrcworking[Oil Production],MATCH('Jan 2020 EDI'!F152,rrcworking[RRC ID],0))</f>
        <v>0</v>
      </c>
      <c r="AA152" s="5">
        <f>INDEX(rrcworking[Sales/Dispostion],MATCH('Jan 2020 EDI'!F152,rrcworking[RRC ID],0))</f>
        <v>0</v>
      </c>
      <c r="AQ152" s="5">
        <f>INDEX(rrcworking[Closing Stock (Oil)],MATCH('Jan 2020 EDI'!F152,rrcworking[RRC ID],0))</f>
        <v>162</v>
      </c>
    </row>
    <row r="153" spans="1:43">
      <c r="A153" s="4" t="s">
        <v>1</v>
      </c>
      <c r="B153" s="1" t="s">
        <v>1053</v>
      </c>
      <c r="C153" s="10" t="s">
        <v>911</v>
      </c>
      <c r="D153" s="1" t="s">
        <v>620</v>
      </c>
      <c r="E153" s="1" t="s">
        <v>59</v>
      </c>
      <c r="F153" s="1" t="s">
        <v>563</v>
      </c>
      <c r="I153" s="10" t="s">
        <v>3</v>
      </c>
      <c r="J153" s="124" t="s">
        <v>3</v>
      </c>
      <c r="K153" s="1" t="s">
        <v>1094</v>
      </c>
      <c r="M153" s="5">
        <v>201912</v>
      </c>
      <c r="N153" s="5">
        <f>INDEX(rrcworking[Formation Production (MCF) @ 14.65 psi],MATCH('Jan 2020 EDI'!F153,rrcworking[RRC ID],0))</f>
        <v>2966</v>
      </c>
      <c r="O153" s="5">
        <f>INDEX(rrcworking[Lease Use (MCF)],MATCH('Jan 2020 EDI'!F153,rrcworking[RRC ID],0))</f>
        <v>87</v>
      </c>
      <c r="P153" s="5">
        <f>INDEX(rrcworking[Disposition Volume (MCF) @ 14.65 MCF],MATCH('Jan 2020 EDI'!F153,rrcworking[RRC ID],0))</f>
        <v>2879</v>
      </c>
      <c r="Y153" s="5">
        <f>INDEX(rrcworking[Oil Production],MATCH('Jan 2020 EDI'!F153,rrcworking[RRC ID],0))</f>
        <v>0</v>
      </c>
      <c r="AA153" s="5">
        <f>INDEX(rrcworking[Sales/Dispostion],MATCH('Jan 2020 EDI'!F153,rrcworking[RRC ID],0))</f>
        <v>0</v>
      </c>
      <c r="AQ153" s="5">
        <f>INDEX(rrcworking[Closing Stock (Oil)],MATCH('Jan 2020 EDI'!F153,rrcworking[RRC ID],0))</f>
        <v>0</v>
      </c>
    </row>
    <row r="154" spans="1:43">
      <c r="A154" s="4" t="s">
        <v>1</v>
      </c>
      <c r="B154" s="1" t="s">
        <v>1054</v>
      </c>
      <c r="C154" s="10" t="s">
        <v>911</v>
      </c>
      <c r="D154" s="1" t="s">
        <v>620</v>
      </c>
      <c r="E154" s="1" t="s">
        <v>59</v>
      </c>
      <c r="F154" s="1" t="s">
        <v>564</v>
      </c>
      <c r="I154" s="10" t="s">
        <v>3</v>
      </c>
      <c r="J154" s="124" t="s">
        <v>3</v>
      </c>
      <c r="K154" s="1" t="s">
        <v>1094</v>
      </c>
      <c r="M154" s="5">
        <v>201912</v>
      </c>
      <c r="N154" s="5">
        <f>INDEX(rrcworking[Formation Production (MCF) @ 14.65 psi],MATCH('Jan 2020 EDI'!F154,rrcworking[RRC ID],0))</f>
        <v>6395</v>
      </c>
      <c r="O154" s="5">
        <f>INDEX(rrcworking[Lease Use (MCF)],MATCH('Jan 2020 EDI'!F154,rrcworking[RRC ID],0))</f>
        <v>319</v>
      </c>
      <c r="P154" s="5">
        <f>INDEX(rrcworking[Disposition Volume (MCF) @ 14.65 MCF],MATCH('Jan 2020 EDI'!F154,rrcworking[RRC ID],0))</f>
        <v>6076</v>
      </c>
      <c r="Y154" s="5">
        <f>INDEX(rrcworking[Oil Production],MATCH('Jan 2020 EDI'!F154,rrcworking[RRC ID],0))</f>
        <v>0</v>
      </c>
      <c r="AA154" s="5">
        <f>INDEX(rrcworking[Sales/Dispostion],MATCH('Jan 2020 EDI'!F154,rrcworking[RRC ID],0))</f>
        <v>0</v>
      </c>
      <c r="AQ154" s="5">
        <f>INDEX(rrcworking[Closing Stock (Oil)],MATCH('Jan 2020 EDI'!F154,rrcworking[RRC ID],0))</f>
        <v>24</v>
      </c>
    </row>
    <row r="155" spans="1:43">
      <c r="A155" s="4" t="s">
        <v>1</v>
      </c>
      <c r="B155" s="1" t="s">
        <v>1055</v>
      </c>
      <c r="C155" s="10" t="s">
        <v>911</v>
      </c>
      <c r="D155" s="1" t="s">
        <v>620</v>
      </c>
      <c r="E155" s="1" t="s">
        <v>59</v>
      </c>
      <c r="F155" s="1" t="s">
        <v>565</v>
      </c>
      <c r="I155" s="10" t="s">
        <v>3</v>
      </c>
      <c r="J155" s="124" t="s">
        <v>3</v>
      </c>
      <c r="K155" s="1" t="s">
        <v>1094</v>
      </c>
      <c r="M155" s="5">
        <v>201912</v>
      </c>
      <c r="N155" s="5">
        <f>INDEX(rrcworking[Formation Production (MCF) @ 14.65 psi],MATCH('Jan 2020 EDI'!F155,rrcworking[RRC ID],0))</f>
        <v>0</v>
      </c>
      <c r="O155" s="5">
        <f>INDEX(rrcworking[Lease Use (MCF)],MATCH('Jan 2020 EDI'!F155,rrcworking[RRC ID],0))</f>
        <v>0</v>
      </c>
      <c r="P155" s="5">
        <f>INDEX(rrcworking[Disposition Volume (MCF) @ 14.65 MCF],MATCH('Jan 2020 EDI'!F155,rrcworking[RRC ID],0))</f>
        <v>0</v>
      </c>
      <c r="Y155" s="5">
        <f>INDEX(rrcworking[Oil Production],MATCH('Jan 2020 EDI'!F155,rrcworking[RRC ID],0))</f>
        <v>0</v>
      </c>
      <c r="AA155" s="5">
        <f>INDEX(rrcworking[Sales/Dispostion],MATCH('Jan 2020 EDI'!F155,rrcworking[RRC ID],0))</f>
        <v>0</v>
      </c>
      <c r="AQ155" s="5">
        <f>INDEX(rrcworking[Closing Stock (Oil)],MATCH('Jan 2020 EDI'!F155,rrcworking[RRC ID],0))</f>
        <v>0</v>
      </c>
    </row>
    <row r="156" spans="1:43">
      <c r="A156" s="4" t="s">
        <v>1</v>
      </c>
      <c r="B156" s="1" t="s">
        <v>1056</v>
      </c>
      <c r="C156" s="10" t="s">
        <v>911</v>
      </c>
      <c r="D156" s="1" t="s">
        <v>620</v>
      </c>
      <c r="E156" s="1" t="s">
        <v>2</v>
      </c>
      <c r="F156" s="1" t="s">
        <v>566</v>
      </c>
      <c r="I156" s="10" t="s">
        <v>3</v>
      </c>
      <c r="J156" s="124" t="s">
        <v>3</v>
      </c>
      <c r="K156" s="1" t="s">
        <v>1094</v>
      </c>
      <c r="M156" s="5">
        <v>201912</v>
      </c>
      <c r="N156" s="5">
        <f>INDEX(rrcworking[Formation Production (MCF) @ 14.65 psi],MATCH('Jan 2020 EDI'!F156,rrcworking[RRC ID],0))</f>
        <v>0</v>
      </c>
      <c r="O156" s="5">
        <f>INDEX(rrcworking[Lease Use (MCF)],MATCH('Jan 2020 EDI'!F156,rrcworking[RRC ID],0))</f>
        <v>0</v>
      </c>
      <c r="P156" s="5">
        <f>INDEX(rrcworking[Disposition Volume (MCF) @ 14.65 MCF],MATCH('Jan 2020 EDI'!F156,rrcworking[RRC ID],0))</f>
        <v>0</v>
      </c>
      <c r="Y156" s="5">
        <f>INDEX(rrcworking[Oil Production],MATCH('Jan 2020 EDI'!F156,rrcworking[RRC ID],0))</f>
        <v>0</v>
      </c>
      <c r="AA156" s="5">
        <f>INDEX(rrcworking[Sales/Dispostion],MATCH('Jan 2020 EDI'!F156,rrcworking[RRC ID],0))</f>
        <v>0</v>
      </c>
      <c r="AQ156" s="5">
        <f>INDEX(rrcworking[Closing Stock (Oil)],MATCH('Jan 2020 EDI'!F156,rrcworking[RRC ID],0))</f>
        <v>47</v>
      </c>
    </row>
    <row r="157" spans="1:43">
      <c r="A157" s="4" t="s">
        <v>1</v>
      </c>
      <c r="B157" s="1" t="s">
        <v>1057</v>
      </c>
      <c r="C157" s="10" t="s">
        <v>911</v>
      </c>
      <c r="D157" s="1" t="s">
        <v>620</v>
      </c>
      <c r="E157" s="1" t="s">
        <v>2</v>
      </c>
      <c r="F157" s="1" t="s">
        <v>567</v>
      </c>
      <c r="I157" s="10" t="s">
        <v>3</v>
      </c>
      <c r="J157" s="124" t="s">
        <v>3</v>
      </c>
      <c r="K157" s="1" t="s">
        <v>1094</v>
      </c>
      <c r="M157" s="5">
        <v>201912</v>
      </c>
      <c r="N157" s="5">
        <f>INDEX(rrcworking[Formation Production (MCF) @ 14.65 psi],MATCH('Jan 2020 EDI'!F157,rrcworking[RRC ID],0))</f>
        <v>0</v>
      </c>
      <c r="O157" s="5">
        <f>INDEX(rrcworking[Lease Use (MCF)],MATCH('Jan 2020 EDI'!F157,rrcworking[RRC ID],0))</f>
        <v>0</v>
      </c>
      <c r="P157" s="5">
        <f>INDEX(rrcworking[Disposition Volume (MCF) @ 14.65 MCF],MATCH('Jan 2020 EDI'!F157,rrcworking[RRC ID],0))</f>
        <v>0</v>
      </c>
      <c r="Y157" s="5">
        <f>INDEX(rrcworking[Oil Production],MATCH('Jan 2020 EDI'!F157,rrcworking[RRC ID],0))</f>
        <v>0</v>
      </c>
      <c r="AA157" s="5">
        <f>INDEX(rrcworking[Sales/Dispostion],MATCH('Jan 2020 EDI'!F157,rrcworking[RRC ID],0))</f>
        <v>0</v>
      </c>
      <c r="AQ157" s="5">
        <f>INDEX(rrcworking[Closing Stock (Oil)],MATCH('Jan 2020 EDI'!F157,rrcworking[RRC ID],0))</f>
        <v>52</v>
      </c>
    </row>
    <row r="158" spans="1:43">
      <c r="A158" s="4" t="s">
        <v>1</v>
      </c>
      <c r="B158" s="1" t="s">
        <v>1058</v>
      </c>
      <c r="C158" s="10" t="s">
        <v>911</v>
      </c>
      <c r="D158" s="1" t="s">
        <v>620</v>
      </c>
      <c r="E158" s="1" t="s">
        <v>59</v>
      </c>
      <c r="F158" s="1" t="s">
        <v>568</v>
      </c>
      <c r="I158" s="10" t="s">
        <v>3</v>
      </c>
      <c r="J158" s="124" t="s">
        <v>3</v>
      </c>
      <c r="K158" s="1" t="s">
        <v>1094</v>
      </c>
      <c r="M158" s="5">
        <v>201912</v>
      </c>
      <c r="N158" s="5">
        <f>INDEX(rrcworking[Formation Production (MCF) @ 14.65 psi],MATCH('Jan 2020 EDI'!F158,rrcworking[RRC ID],0))</f>
        <v>0</v>
      </c>
      <c r="O158" s="5">
        <f>INDEX(rrcworking[Lease Use (MCF)],MATCH('Jan 2020 EDI'!F158,rrcworking[RRC ID],0))</f>
        <v>0</v>
      </c>
      <c r="P158" s="5">
        <f>INDEX(rrcworking[Disposition Volume (MCF) @ 14.65 MCF],MATCH('Jan 2020 EDI'!F158,rrcworking[RRC ID],0))</f>
        <v>0</v>
      </c>
      <c r="Y158" s="5">
        <f>INDEX(rrcworking[Oil Production],MATCH('Jan 2020 EDI'!F158,rrcworking[RRC ID],0))</f>
        <v>0</v>
      </c>
      <c r="AA158" s="5">
        <f>INDEX(rrcworking[Sales/Dispostion],MATCH('Jan 2020 EDI'!F158,rrcworking[RRC ID],0))</f>
        <v>0</v>
      </c>
      <c r="AQ158" s="5">
        <f>INDEX(rrcworking[Closing Stock (Oil)],MATCH('Jan 2020 EDI'!F158,rrcworking[RRC ID],0))</f>
        <v>0</v>
      </c>
    </row>
    <row r="159" spans="1:43">
      <c r="A159" s="4" t="s">
        <v>1</v>
      </c>
      <c r="B159" s="1" t="s">
        <v>1059</v>
      </c>
      <c r="C159" s="10" t="s">
        <v>911</v>
      </c>
      <c r="D159" s="1" t="s">
        <v>620</v>
      </c>
      <c r="E159" s="1" t="s">
        <v>2</v>
      </c>
      <c r="F159" s="1" t="s">
        <v>569</v>
      </c>
      <c r="I159" s="10" t="s">
        <v>3</v>
      </c>
      <c r="J159" s="124" t="s">
        <v>3</v>
      </c>
      <c r="K159" s="1" t="s">
        <v>1094</v>
      </c>
      <c r="M159" s="5">
        <v>201912</v>
      </c>
      <c r="N159" s="5">
        <f>INDEX(rrcworking[Formation Production (MCF) @ 14.65 psi],MATCH('Jan 2020 EDI'!F159,rrcworking[RRC ID],0))</f>
        <v>0</v>
      </c>
      <c r="O159" s="5">
        <f>INDEX(rrcworking[Lease Use (MCF)],MATCH('Jan 2020 EDI'!F159,rrcworking[RRC ID],0))</f>
        <v>0</v>
      </c>
      <c r="P159" s="5">
        <f>INDEX(rrcworking[Disposition Volume (MCF) @ 14.65 MCF],MATCH('Jan 2020 EDI'!F159,rrcworking[RRC ID],0))</f>
        <v>0</v>
      </c>
      <c r="Y159" s="5">
        <f>INDEX(rrcworking[Oil Production],MATCH('Jan 2020 EDI'!F159,rrcworking[RRC ID],0))</f>
        <v>2</v>
      </c>
      <c r="AA159" s="5">
        <f>INDEX(rrcworking[Sales/Dispostion],MATCH('Jan 2020 EDI'!F159,rrcworking[RRC ID],0))</f>
        <v>0</v>
      </c>
      <c r="AQ159" s="5">
        <f>INDEX(rrcworking[Closing Stock (Oil)],MATCH('Jan 2020 EDI'!F159,rrcworking[RRC ID],0))</f>
        <v>62</v>
      </c>
    </row>
    <row r="160" spans="1:43">
      <c r="A160" s="4" t="s">
        <v>1</v>
      </c>
      <c r="B160" s="1" t="s">
        <v>1060</v>
      </c>
      <c r="C160" s="10" t="s">
        <v>911</v>
      </c>
      <c r="D160" s="1" t="s">
        <v>620</v>
      </c>
      <c r="E160" s="1" t="s">
        <v>2</v>
      </c>
      <c r="F160" s="1" t="s">
        <v>570</v>
      </c>
      <c r="I160" s="10" t="s">
        <v>3</v>
      </c>
      <c r="J160" s="124" t="s">
        <v>3</v>
      </c>
      <c r="K160" s="1" t="s">
        <v>1094</v>
      </c>
      <c r="M160" s="5">
        <v>201912</v>
      </c>
      <c r="N160" s="5">
        <f>INDEX(rrcworking[Formation Production (MCF) @ 14.65 psi],MATCH('Jan 2020 EDI'!F160,rrcworking[RRC ID],0))</f>
        <v>0</v>
      </c>
      <c r="O160" s="5">
        <f>INDEX(rrcworking[Lease Use (MCF)],MATCH('Jan 2020 EDI'!F160,rrcworking[RRC ID],0))</f>
        <v>0</v>
      </c>
      <c r="P160" s="5">
        <f>INDEX(rrcworking[Disposition Volume (MCF) @ 14.65 MCF],MATCH('Jan 2020 EDI'!F160,rrcworking[RRC ID],0))</f>
        <v>0</v>
      </c>
      <c r="Y160" s="5">
        <f>INDEX(rrcworking[Oil Production],MATCH('Jan 2020 EDI'!F160,rrcworking[RRC ID],0))</f>
        <v>0</v>
      </c>
      <c r="AA160" s="5">
        <f>INDEX(rrcworking[Sales/Dispostion],MATCH('Jan 2020 EDI'!F160,rrcworking[RRC ID],0))</f>
        <v>0</v>
      </c>
      <c r="AQ160" s="5">
        <f>INDEX(rrcworking[Closing Stock (Oil)],MATCH('Jan 2020 EDI'!F160,rrcworking[RRC ID],0))</f>
        <v>69</v>
      </c>
    </row>
    <row r="161" spans="1:43">
      <c r="A161" s="4" t="s">
        <v>1</v>
      </c>
      <c r="B161" s="1" t="s">
        <v>1061</v>
      </c>
      <c r="C161" s="10" t="s">
        <v>911</v>
      </c>
      <c r="D161" s="1" t="s">
        <v>620</v>
      </c>
      <c r="E161" s="1" t="s">
        <v>59</v>
      </c>
      <c r="F161" s="1" t="s">
        <v>571</v>
      </c>
      <c r="I161" s="10" t="s">
        <v>3</v>
      </c>
      <c r="J161" s="124" t="s">
        <v>3</v>
      </c>
      <c r="K161" s="1" t="s">
        <v>1094</v>
      </c>
      <c r="M161" s="5">
        <v>201912</v>
      </c>
      <c r="N161" s="5">
        <f>INDEX(rrcworking[Formation Production (MCF) @ 14.65 psi],MATCH('Jan 2020 EDI'!F161,rrcworking[RRC ID],0))</f>
        <v>3079</v>
      </c>
      <c r="O161" s="5">
        <f>INDEX(rrcworking[Lease Use (MCF)],MATCH('Jan 2020 EDI'!F161,rrcworking[RRC ID],0))</f>
        <v>124</v>
      </c>
      <c r="P161" s="5">
        <f>INDEX(rrcworking[Disposition Volume (MCF) @ 14.65 MCF],MATCH('Jan 2020 EDI'!F161,rrcworking[RRC ID],0))</f>
        <v>2955</v>
      </c>
      <c r="Y161" s="5">
        <f>INDEX(rrcworking[Oil Production],MATCH('Jan 2020 EDI'!F161,rrcworking[RRC ID],0))</f>
        <v>0</v>
      </c>
      <c r="AA161" s="5">
        <f>INDEX(rrcworking[Sales/Dispostion],MATCH('Jan 2020 EDI'!F161,rrcworking[RRC ID],0))</f>
        <v>0</v>
      </c>
      <c r="AQ161" s="5">
        <f>INDEX(rrcworking[Closing Stock (Oil)],MATCH('Jan 2020 EDI'!F161,rrcworking[RRC ID],0))</f>
        <v>0</v>
      </c>
    </row>
    <row r="162" spans="1:43">
      <c r="A162" s="4" t="s">
        <v>1</v>
      </c>
      <c r="B162" s="1" t="s">
        <v>1062</v>
      </c>
      <c r="C162" s="10" t="s">
        <v>911</v>
      </c>
      <c r="D162" s="1" t="s">
        <v>620</v>
      </c>
      <c r="E162" s="1" t="s">
        <v>59</v>
      </c>
      <c r="F162" s="1" t="s">
        <v>572</v>
      </c>
      <c r="I162" s="10" t="s">
        <v>3</v>
      </c>
      <c r="J162" s="124" t="s">
        <v>3</v>
      </c>
      <c r="K162" s="1" t="s">
        <v>1094</v>
      </c>
      <c r="M162" s="5">
        <v>201912</v>
      </c>
      <c r="N162" s="5">
        <f>INDEX(rrcworking[Formation Production (MCF) @ 14.65 psi],MATCH('Jan 2020 EDI'!F162,rrcworking[RRC ID],0))</f>
        <v>0</v>
      </c>
      <c r="O162" s="5">
        <f>INDEX(rrcworking[Lease Use (MCF)],MATCH('Jan 2020 EDI'!F162,rrcworking[RRC ID],0))</f>
        <v>0</v>
      </c>
      <c r="P162" s="5">
        <f>INDEX(rrcworking[Disposition Volume (MCF) @ 14.65 MCF],MATCH('Jan 2020 EDI'!F162,rrcworking[RRC ID],0))</f>
        <v>0</v>
      </c>
      <c r="Y162" s="5">
        <f>INDEX(rrcworking[Oil Production],MATCH('Jan 2020 EDI'!F162,rrcworking[RRC ID],0))</f>
        <v>0</v>
      </c>
      <c r="AA162" s="5">
        <f>INDEX(rrcworking[Sales/Dispostion],MATCH('Jan 2020 EDI'!F162,rrcworking[RRC ID],0))</f>
        <v>0</v>
      </c>
      <c r="AQ162" s="5">
        <f>INDEX(rrcworking[Closing Stock (Oil)],MATCH('Jan 2020 EDI'!F162,rrcworking[RRC ID],0))</f>
        <v>43</v>
      </c>
    </row>
    <row r="163" spans="1:43">
      <c r="A163" s="4" t="s">
        <v>1</v>
      </c>
      <c r="B163" s="1" t="s">
        <v>1063</v>
      </c>
      <c r="C163" s="10" t="s">
        <v>911</v>
      </c>
      <c r="D163" s="1" t="s">
        <v>620</v>
      </c>
      <c r="E163" s="1" t="s">
        <v>59</v>
      </c>
      <c r="F163" s="1" t="s">
        <v>573</v>
      </c>
      <c r="I163" s="10" t="s">
        <v>3</v>
      </c>
      <c r="J163" s="124" t="s">
        <v>3</v>
      </c>
      <c r="K163" s="1" t="s">
        <v>1094</v>
      </c>
      <c r="M163" s="5">
        <v>201912</v>
      </c>
      <c r="N163" s="5">
        <f>INDEX(rrcworking[Formation Production (MCF) @ 14.65 psi],MATCH('Jan 2020 EDI'!F163,rrcworking[RRC ID],0))</f>
        <v>170</v>
      </c>
      <c r="O163" s="5">
        <f>INDEX(rrcworking[Lease Use (MCF)],MATCH('Jan 2020 EDI'!F163,rrcworking[RRC ID],0))</f>
        <v>0</v>
      </c>
      <c r="P163" s="5">
        <f>INDEX(rrcworking[Disposition Volume (MCF) @ 14.65 MCF],MATCH('Jan 2020 EDI'!F163,rrcworking[RRC ID],0))</f>
        <v>170</v>
      </c>
      <c r="Y163" s="5">
        <f>INDEX(rrcworking[Oil Production],MATCH('Jan 2020 EDI'!F163,rrcworking[RRC ID],0))</f>
        <v>0</v>
      </c>
      <c r="AA163" s="5">
        <f>INDEX(rrcworking[Sales/Dispostion],MATCH('Jan 2020 EDI'!F163,rrcworking[RRC ID],0))</f>
        <v>0</v>
      </c>
      <c r="AQ163" s="5">
        <f>INDEX(rrcworking[Closing Stock (Oil)],MATCH('Jan 2020 EDI'!F163,rrcworking[RRC ID],0))</f>
        <v>169</v>
      </c>
    </row>
    <row r="164" spans="1:43">
      <c r="A164" s="4" t="s">
        <v>1</v>
      </c>
      <c r="B164" s="1" t="s">
        <v>1064</v>
      </c>
      <c r="C164" s="10" t="s">
        <v>911</v>
      </c>
      <c r="D164" s="1" t="s">
        <v>620</v>
      </c>
      <c r="E164" s="1" t="s">
        <v>59</v>
      </c>
      <c r="F164" s="1" t="s">
        <v>574</v>
      </c>
      <c r="I164" s="10" t="s">
        <v>3</v>
      </c>
      <c r="J164" s="124" t="s">
        <v>3</v>
      </c>
      <c r="K164" s="1" t="s">
        <v>1094</v>
      </c>
      <c r="M164" s="5">
        <v>201912</v>
      </c>
      <c r="N164" s="5">
        <f>INDEX(rrcworking[Formation Production (MCF) @ 14.65 psi],MATCH('Jan 2020 EDI'!F164,rrcworking[RRC ID],0))</f>
        <v>0</v>
      </c>
      <c r="O164" s="5">
        <f>INDEX(rrcworking[Lease Use (MCF)],MATCH('Jan 2020 EDI'!F164,rrcworking[RRC ID],0))</f>
        <v>0</v>
      </c>
      <c r="P164" s="5">
        <f>INDEX(rrcworking[Disposition Volume (MCF) @ 14.65 MCF],MATCH('Jan 2020 EDI'!F164,rrcworking[RRC ID],0))</f>
        <v>0</v>
      </c>
      <c r="Y164" s="5">
        <f>INDEX(rrcworking[Oil Production],MATCH('Jan 2020 EDI'!F164,rrcworking[RRC ID],0))</f>
        <v>0</v>
      </c>
      <c r="AA164" s="5">
        <f>INDEX(rrcworking[Sales/Dispostion],MATCH('Jan 2020 EDI'!F164,rrcworking[RRC ID],0))</f>
        <v>0</v>
      </c>
      <c r="AQ164" s="5">
        <f>INDEX(rrcworking[Closing Stock (Oil)],MATCH('Jan 2020 EDI'!F164,rrcworking[RRC ID],0))</f>
        <v>93</v>
      </c>
    </row>
    <row r="165" spans="1:43">
      <c r="A165" s="4" t="s">
        <v>1</v>
      </c>
      <c r="B165" s="1" t="s">
        <v>1065</v>
      </c>
      <c r="C165" s="10" t="s">
        <v>911</v>
      </c>
      <c r="D165" s="1" t="s">
        <v>620</v>
      </c>
      <c r="E165" s="1" t="s">
        <v>59</v>
      </c>
      <c r="F165" s="1" t="s">
        <v>575</v>
      </c>
      <c r="I165" s="10" t="s">
        <v>3</v>
      </c>
      <c r="J165" s="124" t="s">
        <v>3</v>
      </c>
      <c r="K165" s="1" t="s">
        <v>1094</v>
      </c>
      <c r="M165" s="5">
        <v>201912</v>
      </c>
      <c r="N165" s="5">
        <f>INDEX(rrcworking[Formation Production (MCF) @ 14.65 psi],MATCH('Jan 2020 EDI'!F165,rrcworking[RRC ID],0))</f>
        <v>3162</v>
      </c>
      <c r="O165" s="5">
        <f>INDEX(rrcworking[Lease Use (MCF)],MATCH('Jan 2020 EDI'!F165,rrcworking[RRC ID],0))</f>
        <v>0</v>
      </c>
      <c r="P165" s="5">
        <f>INDEX(rrcworking[Disposition Volume (MCF) @ 14.65 MCF],MATCH('Jan 2020 EDI'!F165,rrcworking[RRC ID],0))</f>
        <v>3162</v>
      </c>
      <c r="Y165" s="5">
        <f>INDEX(rrcworking[Oil Production],MATCH('Jan 2020 EDI'!F165,rrcworking[RRC ID],0))</f>
        <v>7</v>
      </c>
      <c r="AA165" s="5">
        <f>INDEX(rrcworking[Sales/Dispostion],MATCH('Jan 2020 EDI'!F165,rrcworking[RRC ID],0))</f>
        <v>0</v>
      </c>
      <c r="AQ165" s="5">
        <f>INDEX(rrcworking[Closing Stock (Oil)],MATCH('Jan 2020 EDI'!F165,rrcworking[RRC ID],0))</f>
        <v>84</v>
      </c>
    </row>
    <row r="166" spans="1:43">
      <c r="A166" s="4" t="s">
        <v>1</v>
      </c>
      <c r="B166" s="1" t="s">
        <v>1066</v>
      </c>
      <c r="C166" s="10" t="s">
        <v>911</v>
      </c>
      <c r="D166" s="1" t="s">
        <v>620</v>
      </c>
      <c r="E166" s="1" t="s">
        <v>59</v>
      </c>
      <c r="F166" s="1" t="s">
        <v>576</v>
      </c>
      <c r="I166" s="10" t="s">
        <v>3</v>
      </c>
      <c r="J166" s="124" t="s">
        <v>3</v>
      </c>
      <c r="K166" s="1" t="s">
        <v>1094</v>
      </c>
      <c r="M166" s="5">
        <v>201912</v>
      </c>
      <c r="N166" s="5">
        <f>INDEX(rrcworking[Formation Production (MCF) @ 14.65 psi],MATCH('Jan 2020 EDI'!F166,rrcworking[RRC ID],0))</f>
        <v>0</v>
      </c>
      <c r="O166" s="5">
        <f>INDEX(rrcworking[Lease Use (MCF)],MATCH('Jan 2020 EDI'!F166,rrcworking[RRC ID],0))</f>
        <v>0</v>
      </c>
      <c r="P166" s="5">
        <f>INDEX(rrcworking[Disposition Volume (MCF) @ 14.65 MCF],MATCH('Jan 2020 EDI'!F166,rrcworking[RRC ID],0))</f>
        <v>0</v>
      </c>
      <c r="Y166" s="5">
        <f>INDEX(rrcworking[Oil Production],MATCH('Jan 2020 EDI'!F166,rrcworking[RRC ID],0))</f>
        <v>0</v>
      </c>
      <c r="AA166" s="5">
        <f>INDEX(rrcworking[Sales/Dispostion],MATCH('Jan 2020 EDI'!F166,rrcworking[RRC ID],0))</f>
        <v>0</v>
      </c>
      <c r="AQ166" s="5">
        <f>INDEX(rrcworking[Closing Stock (Oil)],MATCH('Jan 2020 EDI'!F166,rrcworking[RRC ID],0))</f>
        <v>0</v>
      </c>
    </row>
    <row r="167" spans="1:43">
      <c r="A167" s="4" t="s">
        <v>1</v>
      </c>
      <c r="B167" s="1" t="s">
        <v>1067</v>
      </c>
      <c r="C167" s="10" t="s">
        <v>911</v>
      </c>
      <c r="D167" s="1" t="s">
        <v>620</v>
      </c>
      <c r="E167" s="1" t="s">
        <v>59</v>
      </c>
      <c r="F167" s="1" t="s">
        <v>577</v>
      </c>
      <c r="I167" s="10" t="s">
        <v>3</v>
      </c>
      <c r="J167" s="124" t="s">
        <v>3</v>
      </c>
      <c r="K167" s="1" t="s">
        <v>1094</v>
      </c>
      <c r="M167" s="5">
        <v>201912</v>
      </c>
      <c r="N167" s="5">
        <f>INDEX(rrcworking[Formation Production (MCF) @ 14.65 psi],MATCH('Jan 2020 EDI'!F167,rrcworking[RRC ID],0))</f>
        <v>0</v>
      </c>
      <c r="O167" s="5">
        <f>INDEX(rrcworking[Lease Use (MCF)],MATCH('Jan 2020 EDI'!F167,rrcworking[RRC ID],0))</f>
        <v>0</v>
      </c>
      <c r="P167" s="5">
        <f>INDEX(rrcworking[Disposition Volume (MCF) @ 14.65 MCF],MATCH('Jan 2020 EDI'!F167,rrcworking[RRC ID],0))</f>
        <v>0</v>
      </c>
      <c r="Y167" s="5">
        <f>INDEX(rrcworking[Oil Production],MATCH('Jan 2020 EDI'!F167,rrcworking[RRC ID],0))</f>
        <v>0</v>
      </c>
      <c r="AA167" s="5">
        <f>INDEX(rrcworking[Sales/Dispostion],MATCH('Jan 2020 EDI'!F167,rrcworking[RRC ID],0))</f>
        <v>0</v>
      </c>
      <c r="AQ167" s="5">
        <f>INDEX(rrcworking[Closing Stock (Oil)],MATCH('Jan 2020 EDI'!F167,rrcworking[RRC ID],0))</f>
        <v>0</v>
      </c>
    </row>
    <row r="168" spans="1:43">
      <c r="A168" s="4" t="s">
        <v>1</v>
      </c>
      <c r="B168" s="1" t="s">
        <v>1068</v>
      </c>
      <c r="C168" s="10" t="s">
        <v>911</v>
      </c>
      <c r="D168" s="1" t="s">
        <v>620</v>
      </c>
      <c r="E168" s="1" t="s">
        <v>59</v>
      </c>
      <c r="F168" s="1" t="s">
        <v>578</v>
      </c>
      <c r="I168" s="10" t="s">
        <v>3</v>
      </c>
      <c r="J168" s="124" t="s">
        <v>3</v>
      </c>
      <c r="K168" s="1" t="s">
        <v>1094</v>
      </c>
      <c r="M168" s="5">
        <v>201912</v>
      </c>
      <c r="N168" s="5">
        <f>INDEX(rrcworking[Formation Production (MCF) @ 14.65 psi],MATCH('Jan 2020 EDI'!F168,rrcworking[RRC ID],0))</f>
        <v>0</v>
      </c>
      <c r="O168" s="5">
        <f>INDEX(rrcworking[Lease Use (MCF)],MATCH('Jan 2020 EDI'!F168,rrcworking[RRC ID],0))</f>
        <v>0</v>
      </c>
      <c r="P168" s="5">
        <f>INDEX(rrcworking[Disposition Volume (MCF) @ 14.65 MCF],MATCH('Jan 2020 EDI'!F168,rrcworking[RRC ID],0))</f>
        <v>0</v>
      </c>
      <c r="Y168" s="5">
        <f>INDEX(rrcworking[Oil Production],MATCH('Jan 2020 EDI'!F168,rrcworking[RRC ID],0))</f>
        <v>0</v>
      </c>
      <c r="AA168" s="5">
        <f>INDEX(rrcworking[Sales/Dispostion],MATCH('Jan 2020 EDI'!F168,rrcworking[RRC ID],0))</f>
        <v>0</v>
      </c>
      <c r="AQ168" s="5">
        <f>INDEX(rrcworking[Closing Stock (Oil)],MATCH('Jan 2020 EDI'!F168,rrcworking[RRC ID],0))</f>
        <v>0</v>
      </c>
    </row>
    <row r="169" spans="1:43">
      <c r="A169" s="4" t="s">
        <v>1</v>
      </c>
      <c r="B169" s="1" t="s">
        <v>1069</v>
      </c>
      <c r="C169" s="10" t="s">
        <v>911</v>
      </c>
      <c r="D169" s="1" t="s">
        <v>620</v>
      </c>
      <c r="E169" s="1" t="s">
        <v>59</v>
      </c>
      <c r="F169" s="1" t="s">
        <v>579</v>
      </c>
      <c r="I169" s="10" t="s">
        <v>3</v>
      </c>
      <c r="J169" s="124" t="s">
        <v>3</v>
      </c>
      <c r="K169" s="1" t="s">
        <v>1094</v>
      </c>
      <c r="M169" s="5">
        <v>201912</v>
      </c>
      <c r="N169" s="5">
        <f>INDEX(rrcworking[Formation Production (MCF) @ 14.65 psi],MATCH('Jan 2020 EDI'!F169,rrcworking[RRC ID],0))</f>
        <v>313</v>
      </c>
      <c r="O169" s="5">
        <f>INDEX(rrcworking[Lease Use (MCF)],MATCH('Jan 2020 EDI'!F169,rrcworking[RRC ID],0))</f>
        <v>0</v>
      </c>
      <c r="P169" s="5">
        <f>INDEX(rrcworking[Disposition Volume (MCF) @ 14.65 MCF],MATCH('Jan 2020 EDI'!F169,rrcworking[RRC ID],0))</f>
        <v>313</v>
      </c>
      <c r="Y169" s="5">
        <f>INDEX(rrcworking[Oil Production],MATCH('Jan 2020 EDI'!F169,rrcworking[RRC ID],0))</f>
        <v>0</v>
      </c>
      <c r="AA169" s="5">
        <f>INDEX(rrcworking[Sales/Dispostion],MATCH('Jan 2020 EDI'!F169,rrcworking[RRC ID],0))</f>
        <v>0</v>
      </c>
      <c r="AQ169" s="5">
        <f>INDEX(rrcworking[Closing Stock (Oil)],MATCH('Jan 2020 EDI'!F169,rrcworking[RRC ID],0))</f>
        <v>3</v>
      </c>
    </row>
    <row r="170" spans="1:43">
      <c r="A170" s="4" t="s">
        <v>1</v>
      </c>
      <c r="B170" s="1" t="s">
        <v>1070</v>
      </c>
      <c r="C170" s="10" t="s">
        <v>911</v>
      </c>
      <c r="D170" s="1" t="s">
        <v>620</v>
      </c>
      <c r="E170" s="1" t="s">
        <v>59</v>
      </c>
      <c r="F170" s="1" t="s">
        <v>580</v>
      </c>
      <c r="I170" s="10" t="s">
        <v>3</v>
      </c>
      <c r="J170" s="124" t="s">
        <v>3</v>
      </c>
      <c r="K170" s="1" t="s">
        <v>1094</v>
      </c>
      <c r="M170" s="5">
        <v>201912</v>
      </c>
      <c r="N170" s="5">
        <f>INDEX(rrcworking[Formation Production (MCF) @ 14.65 psi],MATCH('Jan 2020 EDI'!F170,rrcworking[RRC ID],0))</f>
        <v>217</v>
      </c>
      <c r="O170" s="5">
        <f>INDEX(rrcworking[Lease Use (MCF)],MATCH('Jan 2020 EDI'!F170,rrcworking[RRC ID],0))</f>
        <v>0</v>
      </c>
      <c r="P170" s="5">
        <f>INDEX(rrcworking[Disposition Volume (MCF) @ 14.65 MCF],MATCH('Jan 2020 EDI'!F170,rrcworking[RRC ID],0))</f>
        <v>217</v>
      </c>
      <c r="Y170" s="5">
        <f>INDEX(rrcworking[Oil Production],MATCH('Jan 2020 EDI'!F170,rrcworking[RRC ID],0))</f>
        <v>0</v>
      </c>
      <c r="AA170" s="5">
        <f>INDEX(rrcworking[Sales/Dispostion],MATCH('Jan 2020 EDI'!F170,rrcworking[RRC ID],0))</f>
        <v>0</v>
      </c>
      <c r="AQ170" s="5">
        <f>INDEX(rrcworking[Closing Stock (Oil)],MATCH('Jan 2020 EDI'!F170,rrcworking[RRC ID],0))</f>
        <v>0</v>
      </c>
    </row>
    <row r="171" spans="1:43">
      <c r="A171" s="4" t="s">
        <v>1</v>
      </c>
      <c r="B171" s="1" t="s">
        <v>1071</v>
      </c>
      <c r="C171" s="10" t="s">
        <v>911</v>
      </c>
      <c r="D171" s="1" t="s">
        <v>620</v>
      </c>
      <c r="E171" s="1" t="s">
        <v>59</v>
      </c>
      <c r="F171" s="1" t="s">
        <v>581</v>
      </c>
      <c r="I171" s="10" t="s">
        <v>3</v>
      </c>
      <c r="J171" s="124" t="s">
        <v>3</v>
      </c>
      <c r="K171" s="1" t="s">
        <v>1094</v>
      </c>
      <c r="M171" s="5">
        <v>201912</v>
      </c>
      <c r="N171" s="5">
        <f>INDEX(rrcworking[Formation Production (MCF) @ 14.65 psi],MATCH('Jan 2020 EDI'!F171,rrcworking[RRC ID],0))</f>
        <v>997</v>
      </c>
      <c r="O171" s="5">
        <f>INDEX(rrcworking[Lease Use (MCF)],MATCH('Jan 2020 EDI'!F171,rrcworking[RRC ID],0))</f>
        <v>0</v>
      </c>
      <c r="P171" s="5">
        <f>INDEX(rrcworking[Disposition Volume (MCF) @ 14.65 MCF],MATCH('Jan 2020 EDI'!F171,rrcworking[RRC ID],0))</f>
        <v>997</v>
      </c>
      <c r="Y171" s="5">
        <f>INDEX(rrcworking[Oil Production],MATCH('Jan 2020 EDI'!F171,rrcworking[RRC ID],0))</f>
        <v>0</v>
      </c>
      <c r="AA171" s="5">
        <f>INDEX(rrcworking[Sales/Dispostion],MATCH('Jan 2020 EDI'!F171,rrcworking[RRC ID],0))</f>
        <v>0</v>
      </c>
      <c r="AQ171" s="5">
        <f>INDEX(rrcworking[Closing Stock (Oil)],MATCH('Jan 2020 EDI'!F171,rrcworking[RRC ID],0))</f>
        <v>0</v>
      </c>
    </row>
    <row r="172" spans="1:43">
      <c r="A172" s="4" t="s">
        <v>1</v>
      </c>
      <c r="B172" s="1" t="s">
        <v>1072</v>
      </c>
      <c r="C172" s="10" t="s">
        <v>911</v>
      </c>
      <c r="D172" s="1" t="s">
        <v>620</v>
      </c>
      <c r="E172" s="1" t="s">
        <v>59</v>
      </c>
      <c r="F172" s="1" t="s">
        <v>582</v>
      </c>
      <c r="I172" s="10" t="s">
        <v>3</v>
      </c>
      <c r="J172" s="124" t="s">
        <v>3</v>
      </c>
      <c r="K172" s="1" t="s">
        <v>1094</v>
      </c>
      <c r="M172" s="5">
        <v>201912</v>
      </c>
      <c r="N172" s="5">
        <f>INDEX(rrcworking[Formation Production (MCF) @ 14.65 psi],MATCH('Jan 2020 EDI'!F172,rrcworking[RRC ID],0))</f>
        <v>0</v>
      </c>
      <c r="O172" s="5">
        <f>INDEX(rrcworking[Lease Use (MCF)],MATCH('Jan 2020 EDI'!F172,rrcworking[RRC ID],0))</f>
        <v>0</v>
      </c>
      <c r="P172" s="5">
        <f>INDEX(rrcworking[Disposition Volume (MCF) @ 14.65 MCF],MATCH('Jan 2020 EDI'!F172,rrcworking[RRC ID],0))</f>
        <v>0</v>
      </c>
      <c r="Y172" s="5">
        <f>INDEX(rrcworking[Oil Production],MATCH('Jan 2020 EDI'!F172,rrcworking[RRC ID],0))</f>
        <v>0</v>
      </c>
      <c r="AA172" s="5">
        <f>INDEX(rrcworking[Sales/Dispostion],MATCH('Jan 2020 EDI'!F172,rrcworking[RRC ID],0))</f>
        <v>0</v>
      </c>
      <c r="AQ172" s="5">
        <f>INDEX(rrcworking[Closing Stock (Oil)],MATCH('Jan 2020 EDI'!F172,rrcworking[RRC ID],0))</f>
        <v>0</v>
      </c>
    </row>
    <row r="173" spans="1:43">
      <c r="A173" s="4" t="s">
        <v>1</v>
      </c>
      <c r="B173" s="1" t="s">
        <v>1073</v>
      </c>
      <c r="C173" s="10" t="s">
        <v>911</v>
      </c>
      <c r="D173" s="1" t="s">
        <v>620</v>
      </c>
      <c r="E173" s="1" t="s">
        <v>59</v>
      </c>
      <c r="F173" s="1" t="s">
        <v>583</v>
      </c>
      <c r="I173" s="10" t="s">
        <v>3</v>
      </c>
      <c r="J173" s="124" t="s">
        <v>3</v>
      </c>
      <c r="K173" s="1" t="s">
        <v>1094</v>
      </c>
      <c r="M173" s="5">
        <v>201912</v>
      </c>
      <c r="N173" s="5">
        <f>INDEX(rrcworking[Formation Production (MCF) @ 14.65 psi],MATCH('Jan 2020 EDI'!F173,rrcworking[RRC ID],0))</f>
        <v>2105</v>
      </c>
      <c r="O173" s="5">
        <f>INDEX(rrcworking[Lease Use (MCF)],MATCH('Jan 2020 EDI'!F173,rrcworking[RRC ID],0))</f>
        <v>93</v>
      </c>
      <c r="P173" s="5">
        <f>INDEX(rrcworking[Disposition Volume (MCF) @ 14.65 MCF],MATCH('Jan 2020 EDI'!F173,rrcworking[RRC ID],0))</f>
        <v>2012</v>
      </c>
      <c r="Y173" s="5">
        <f>INDEX(rrcworking[Oil Production],MATCH('Jan 2020 EDI'!F173,rrcworking[RRC ID],0))</f>
        <v>11</v>
      </c>
      <c r="AA173" s="5">
        <f>INDEX(rrcworking[Sales/Dispostion],MATCH('Jan 2020 EDI'!F173,rrcworking[RRC ID],0))</f>
        <v>0</v>
      </c>
      <c r="AQ173" s="5">
        <f>INDEX(rrcworking[Closing Stock (Oil)],MATCH('Jan 2020 EDI'!F173,rrcworking[RRC ID],0))</f>
        <v>279</v>
      </c>
    </row>
    <row r="174" spans="1:43">
      <c r="A174" s="4" t="s">
        <v>1</v>
      </c>
      <c r="B174" s="1" t="s">
        <v>1074</v>
      </c>
      <c r="C174" s="10" t="s">
        <v>911</v>
      </c>
      <c r="D174" s="1" t="s">
        <v>620</v>
      </c>
      <c r="E174" s="1" t="s">
        <v>59</v>
      </c>
      <c r="F174" s="1" t="s">
        <v>584</v>
      </c>
      <c r="I174" s="10" t="s">
        <v>3</v>
      </c>
      <c r="J174" s="124" t="s">
        <v>3</v>
      </c>
      <c r="K174" s="1" t="s">
        <v>1094</v>
      </c>
      <c r="M174" s="5">
        <v>201912</v>
      </c>
      <c r="N174" s="5">
        <f>INDEX(rrcworking[Formation Production (MCF) @ 14.65 psi],MATCH('Jan 2020 EDI'!F174,rrcworking[RRC ID],0))</f>
        <v>0</v>
      </c>
      <c r="O174" s="5">
        <f>INDEX(rrcworking[Lease Use (MCF)],MATCH('Jan 2020 EDI'!F174,rrcworking[RRC ID],0))</f>
        <v>0</v>
      </c>
      <c r="P174" s="5">
        <f>INDEX(rrcworking[Disposition Volume (MCF) @ 14.65 MCF],MATCH('Jan 2020 EDI'!F174,rrcworking[RRC ID],0))</f>
        <v>0</v>
      </c>
      <c r="Y174" s="5">
        <f>INDEX(rrcworking[Oil Production],MATCH('Jan 2020 EDI'!F174,rrcworking[RRC ID],0))</f>
        <v>0</v>
      </c>
      <c r="AA174" s="5">
        <f>INDEX(rrcworking[Sales/Dispostion],MATCH('Jan 2020 EDI'!F174,rrcworking[RRC ID],0))</f>
        <v>0</v>
      </c>
      <c r="AQ174" s="5">
        <f>INDEX(rrcworking[Closing Stock (Oil)],MATCH('Jan 2020 EDI'!F174,rrcworking[RRC ID],0))</f>
        <v>166</v>
      </c>
    </row>
    <row r="175" spans="1:43">
      <c r="A175" s="4" t="s">
        <v>1</v>
      </c>
      <c r="B175" s="1" t="s">
        <v>1075</v>
      </c>
      <c r="C175" s="10" t="s">
        <v>911</v>
      </c>
      <c r="D175" s="1" t="s">
        <v>620</v>
      </c>
      <c r="E175" s="1" t="s">
        <v>59</v>
      </c>
      <c r="F175" s="1" t="s">
        <v>585</v>
      </c>
      <c r="I175" s="10" t="s">
        <v>3</v>
      </c>
      <c r="J175" s="124" t="s">
        <v>3</v>
      </c>
      <c r="K175" s="1">
        <v>5050</v>
      </c>
      <c r="M175" s="5">
        <v>201912</v>
      </c>
      <c r="N175" s="5">
        <f>INDEX(rrcworking[Formation Production (MCF) @ 14.65 psi],MATCH('Jan 2020 EDI'!F175,rrcworking[RRC ID],0))</f>
        <v>3506</v>
      </c>
      <c r="O175" s="5">
        <f>INDEX(rrcworking[Lease Use (MCF)],MATCH('Jan 2020 EDI'!F175,rrcworking[RRC ID],0))</f>
        <v>0</v>
      </c>
      <c r="P175" s="5">
        <f>INDEX(rrcworking[Disposition Volume (MCF) @ 14.65 MCF],MATCH('Jan 2020 EDI'!F175,rrcworking[RRC ID],0))</f>
        <v>3506</v>
      </c>
      <c r="Y175" s="5">
        <f>INDEX(rrcworking[Oil Production],MATCH('Jan 2020 EDI'!F175,rrcworking[RRC ID],0))</f>
        <v>35</v>
      </c>
      <c r="AA175" s="5">
        <f>INDEX(rrcworking[Sales/Dispostion],MATCH('Jan 2020 EDI'!F175,rrcworking[RRC ID],0))</f>
        <v>0</v>
      </c>
      <c r="AQ175" s="5">
        <f>INDEX(rrcworking[Closing Stock (Oil)],MATCH('Jan 2020 EDI'!F175,rrcworking[RRC ID],0))</f>
        <v>36</v>
      </c>
    </row>
    <row r="176" spans="1:43">
      <c r="A176" s="4" t="s">
        <v>1</v>
      </c>
      <c r="B176" s="1" t="s">
        <v>1076</v>
      </c>
      <c r="C176" s="10" t="s">
        <v>911</v>
      </c>
      <c r="D176" s="1" t="s">
        <v>620</v>
      </c>
      <c r="E176" s="1" t="s">
        <v>59</v>
      </c>
      <c r="F176" s="1" t="s">
        <v>586</v>
      </c>
      <c r="I176" s="10" t="s">
        <v>3</v>
      </c>
      <c r="J176" s="124" t="s">
        <v>3</v>
      </c>
      <c r="K176" s="1" t="s">
        <v>1094</v>
      </c>
      <c r="M176" s="5">
        <v>201912</v>
      </c>
      <c r="N176" s="5">
        <f>INDEX(rrcworking[Formation Production (MCF) @ 14.65 psi],MATCH('Jan 2020 EDI'!F176,rrcworking[RRC ID],0))</f>
        <v>0</v>
      </c>
      <c r="O176" s="5">
        <f>INDEX(rrcworking[Lease Use (MCF)],MATCH('Jan 2020 EDI'!F176,rrcworking[RRC ID],0))</f>
        <v>0</v>
      </c>
      <c r="P176" s="5">
        <f>INDEX(rrcworking[Disposition Volume (MCF) @ 14.65 MCF],MATCH('Jan 2020 EDI'!F176,rrcworking[RRC ID],0))</f>
        <v>0</v>
      </c>
      <c r="Y176" s="5">
        <f>INDEX(rrcworking[Oil Production],MATCH('Jan 2020 EDI'!F176,rrcworking[RRC ID],0))</f>
        <v>0</v>
      </c>
      <c r="AA176" s="5">
        <f>INDEX(rrcworking[Sales/Dispostion],MATCH('Jan 2020 EDI'!F176,rrcworking[RRC ID],0))</f>
        <v>0</v>
      </c>
      <c r="AQ176" s="5">
        <f>INDEX(rrcworking[Closing Stock (Oil)],MATCH('Jan 2020 EDI'!F176,rrcworking[RRC ID],0))</f>
        <v>0</v>
      </c>
    </row>
    <row r="177" spans="1:43">
      <c r="A177" s="4" t="s">
        <v>1</v>
      </c>
      <c r="B177" s="1" t="s">
        <v>1077</v>
      </c>
      <c r="C177" s="10" t="s">
        <v>911</v>
      </c>
      <c r="D177" s="1" t="s">
        <v>620</v>
      </c>
      <c r="E177" s="1" t="s">
        <v>59</v>
      </c>
      <c r="F177" s="1" t="s">
        <v>587</v>
      </c>
      <c r="I177" s="10" t="s">
        <v>3</v>
      </c>
      <c r="J177" s="124" t="s">
        <v>3</v>
      </c>
      <c r="K177" s="1" t="s">
        <v>1094</v>
      </c>
      <c r="M177" s="5">
        <v>201912</v>
      </c>
      <c r="N177" s="5">
        <f>INDEX(rrcworking[Formation Production (MCF) @ 14.65 psi],MATCH('Jan 2020 EDI'!F177,rrcworking[RRC ID],0))</f>
        <v>0</v>
      </c>
      <c r="O177" s="5">
        <f>INDEX(rrcworking[Lease Use (MCF)],MATCH('Jan 2020 EDI'!F177,rrcworking[RRC ID],0))</f>
        <v>0</v>
      </c>
      <c r="P177" s="5">
        <f>INDEX(rrcworking[Disposition Volume (MCF) @ 14.65 MCF],MATCH('Jan 2020 EDI'!F177,rrcworking[RRC ID],0))</f>
        <v>0</v>
      </c>
      <c r="Y177" s="5">
        <f>INDEX(rrcworking[Oil Production],MATCH('Jan 2020 EDI'!F177,rrcworking[RRC ID],0))</f>
        <v>0</v>
      </c>
      <c r="AA177" s="5">
        <f>INDEX(rrcworking[Sales/Dispostion],MATCH('Jan 2020 EDI'!F177,rrcworking[RRC ID],0))</f>
        <v>0</v>
      </c>
      <c r="AQ177" s="5">
        <f>INDEX(rrcworking[Closing Stock (Oil)],MATCH('Jan 2020 EDI'!F177,rrcworking[RRC ID],0))</f>
        <v>92</v>
      </c>
    </row>
    <row r="178" spans="1:43">
      <c r="A178" s="4" t="s">
        <v>1</v>
      </c>
      <c r="B178" s="1" t="s">
        <v>1078</v>
      </c>
      <c r="C178" s="10" t="s">
        <v>911</v>
      </c>
      <c r="D178" s="1" t="s">
        <v>620</v>
      </c>
      <c r="E178" s="1" t="s">
        <v>59</v>
      </c>
      <c r="F178" s="1" t="s">
        <v>588</v>
      </c>
      <c r="I178" s="10" t="s">
        <v>3</v>
      </c>
      <c r="J178" s="124" t="s">
        <v>3</v>
      </c>
      <c r="K178" s="1" t="s">
        <v>1094</v>
      </c>
      <c r="M178" s="5">
        <v>201912</v>
      </c>
      <c r="N178" s="5">
        <f>INDEX(rrcworking[Formation Production (MCF) @ 14.65 psi],MATCH('Jan 2020 EDI'!F178,rrcworking[RRC ID],0))</f>
        <v>0</v>
      </c>
      <c r="O178" s="5">
        <f>INDEX(rrcworking[Lease Use (MCF)],MATCH('Jan 2020 EDI'!F178,rrcworking[RRC ID],0))</f>
        <v>0</v>
      </c>
      <c r="P178" s="5">
        <f>INDEX(rrcworking[Disposition Volume (MCF) @ 14.65 MCF],MATCH('Jan 2020 EDI'!F178,rrcworking[RRC ID],0))</f>
        <v>0</v>
      </c>
      <c r="Y178" s="5">
        <f>INDEX(rrcworking[Oil Production],MATCH('Jan 2020 EDI'!F178,rrcworking[RRC ID],0))</f>
        <v>0</v>
      </c>
      <c r="AA178" s="5">
        <f>INDEX(rrcworking[Sales/Dispostion],MATCH('Jan 2020 EDI'!F178,rrcworking[RRC ID],0))</f>
        <v>0</v>
      </c>
      <c r="AQ178" s="5">
        <f>INDEX(rrcworking[Closing Stock (Oil)],MATCH('Jan 2020 EDI'!F178,rrcworking[RRC ID],0))</f>
        <v>0</v>
      </c>
    </row>
    <row r="179" spans="1:43">
      <c r="A179" s="4" t="s">
        <v>1</v>
      </c>
      <c r="B179" s="1" t="s">
        <v>1079</v>
      </c>
      <c r="C179" s="10" t="s">
        <v>911</v>
      </c>
      <c r="D179" s="1" t="s">
        <v>620</v>
      </c>
      <c r="E179" s="1" t="s">
        <v>2</v>
      </c>
      <c r="F179" s="1" t="s">
        <v>589</v>
      </c>
      <c r="I179" s="10" t="s">
        <v>3</v>
      </c>
      <c r="J179" s="124" t="s">
        <v>3</v>
      </c>
      <c r="K179" s="1" t="s">
        <v>1094</v>
      </c>
      <c r="M179" s="5">
        <v>201912</v>
      </c>
      <c r="N179" s="5">
        <f>INDEX(rrcworking[Formation Production (MCF) @ 14.65 psi],MATCH('Jan 2020 EDI'!F179,rrcworking[RRC ID],0))</f>
        <v>0</v>
      </c>
      <c r="O179" s="5">
        <f>INDEX(rrcworking[Lease Use (MCF)],MATCH('Jan 2020 EDI'!F179,rrcworking[RRC ID],0))</f>
        <v>0</v>
      </c>
      <c r="P179" s="5">
        <f>INDEX(rrcworking[Disposition Volume (MCF) @ 14.65 MCF],MATCH('Jan 2020 EDI'!F179,rrcworking[RRC ID],0))</f>
        <v>0</v>
      </c>
      <c r="Y179" s="5">
        <f>INDEX(rrcworking[Oil Production],MATCH('Jan 2020 EDI'!F179,rrcworking[RRC ID],0))</f>
        <v>68</v>
      </c>
      <c r="AA179" s="5">
        <f>INDEX(rrcworking[Sales/Dispostion],MATCH('Jan 2020 EDI'!F179,rrcworking[RRC ID],0))</f>
        <v>183</v>
      </c>
      <c r="AQ179" s="5">
        <f>INDEX(rrcworking[Closing Stock (Oil)],MATCH('Jan 2020 EDI'!F179,rrcworking[RRC ID],0))</f>
        <v>124</v>
      </c>
    </row>
    <row r="180" spans="1:43">
      <c r="A180" s="4" t="s">
        <v>1</v>
      </c>
      <c r="B180" s="1" t="s">
        <v>1080</v>
      </c>
      <c r="C180" s="10" t="s">
        <v>911</v>
      </c>
      <c r="D180" s="1" t="s">
        <v>620</v>
      </c>
      <c r="E180" s="1" t="s">
        <v>59</v>
      </c>
      <c r="F180" s="1" t="s">
        <v>590</v>
      </c>
      <c r="I180" s="10" t="s">
        <v>3</v>
      </c>
      <c r="J180" s="124" t="s">
        <v>3</v>
      </c>
      <c r="K180" s="1" t="s">
        <v>1094</v>
      </c>
      <c r="M180" s="5">
        <v>201912</v>
      </c>
      <c r="N180" s="5">
        <f>INDEX(rrcworking[Formation Production (MCF) @ 14.65 psi],MATCH('Jan 2020 EDI'!F180,rrcworking[RRC ID],0))</f>
        <v>0</v>
      </c>
      <c r="O180" s="5">
        <f>INDEX(rrcworking[Lease Use (MCF)],MATCH('Jan 2020 EDI'!F180,rrcworking[RRC ID],0))</f>
        <v>0</v>
      </c>
      <c r="P180" s="5">
        <f>INDEX(rrcworking[Disposition Volume (MCF) @ 14.65 MCF],MATCH('Jan 2020 EDI'!F180,rrcworking[RRC ID],0))</f>
        <v>0</v>
      </c>
      <c r="Y180" s="5">
        <f>INDEX(rrcworking[Oil Production],MATCH('Jan 2020 EDI'!F180,rrcworking[RRC ID],0))</f>
        <v>0</v>
      </c>
      <c r="AA180" s="5">
        <f>INDEX(rrcworking[Sales/Dispostion],MATCH('Jan 2020 EDI'!F180,rrcworking[RRC ID],0))</f>
        <v>0</v>
      </c>
      <c r="AQ180" s="5">
        <f>INDEX(rrcworking[Closing Stock (Oil)],MATCH('Jan 2020 EDI'!F180,rrcworking[RRC ID],0))</f>
        <v>0</v>
      </c>
    </row>
    <row r="181" spans="1:43">
      <c r="A181" s="4" t="s">
        <v>1</v>
      </c>
      <c r="B181" s="1" t="s">
        <v>1081</v>
      </c>
      <c r="C181" s="10" t="s">
        <v>911</v>
      </c>
      <c r="D181" s="1" t="s">
        <v>620</v>
      </c>
      <c r="E181" s="1" t="s">
        <v>59</v>
      </c>
      <c r="F181" s="1" t="s">
        <v>591</v>
      </c>
      <c r="I181" s="10" t="s">
        <v>3</v>
      </c>
      <c r="J181" s="124" t="s">
        <v>3</v>
      </c>
      <c r="K181" s="1" t="s">
        <v>1094</v>
      </c>
      <c r="M181" s="5">
        <v>201912</v>
      </c>
      <c r="N181" s="5">
        <f>INDEX(rrcworking[Formation Production (MCF) @ 14.65 psi],MATCH('Jan 2020 EDI'!F181,rrcworking[RRC ID],0))</f>
        <v>1132</v>
      </c>
      <c r="O181" s="5">
        <f>INDEX(rrcworking[Lease Use (MCF)],MATCH('Jan 2020 EDI'!F181,rrcworking[RRC ID],0))</f>
        <v>31</v>
      </c>
      <c r="P181" s="5">
        <f>INDEX(rrcworking[Disposition Volume (MCF) @ 14.65 MCF],MATCH('Jan 2020 EDI'!F181,rrcworking[RRC ID],0))</f>
        <v>1101</v>
      </c>
      <c r="Y181" s="5">
        <f>INDEX(rrcworking[Oil Production],MATCH('Jan 2020 EDI'!F181,rrcworking[RRC ID],0))</f>
        <v>0</v>
      </c>
      <c r="AA181" s="5">
        <f>INDEX(rrcworking[Sales/Dispostion],MATCH('Jan 2020 EDI'!F181,rrcworking[RRC ID],0))</f>
        <v>0</v>
      </c>
      <c r="AQ181" s="5">
        <f>INDEX(rrcworking[Closing Stock (Oil)],MATCH('Jan 2020 EDI'!F181,rrcworking[RRC ID],0))</f>
        <v>0</v>
      </c>
    </row>
    <row r="182" spans="1:43">
      <c r="A182" s="4" t="s">
        <v>1</v>
      </c>
      <c r="B182" s="1" t="s">
        <v>1082</v>
      </c>
      <c r="C182" s="10" t="s">
        <v>911</v>
      </c>
      <c r="D182" s="1" t="s">
        <v>620</v>
      </c>
      <c r="E182" s="1" t="s">
        <v>59</v>
      </c>
      <c r="F182" s="1" t="s">
        <v>592</v>
      </c>
      <c r="I182" s="10" t="s">
        <v>3</v>
      </c>
      <c r="J182" s="124" t="s">
        <v>3</v>
      </c>
      <c r="K182" s="1" t="s">
        <v>1094</v>
      </c>
      <c r="M182" s="5">
        <v>201912</v>
      </c>
      <c r="N182" s="5">
        <f>INDEX(rrcworking[Formation Production (MCF) @ 14.65 psi],MATCH('Jan 2020 EDI'!F182,rrcworking[RRC ID],0))</f>
        <v>3079</v>
      </c>
      <c r="O182" s="5">
        <f>INDEX(rrcworking[Lease Use (MCF)],MATCH('Jan 2020 EDI'!F182,rrcworking[RRC ID],0))</f>
        <v>124</v>
      </c>
      <c r="P182" s="5">
        <f>INDEX(rrcworking[Disposition Volume (MCF) @ 14.65 MCF],MATCH('Jan 2020 EDI'!F182,rrcworking[RRC ID],0))</f>
        <v>2955</v>
      </c>
      <c r="Y182" s="5">
        <f>INDEX(rrcworking[Oil Production],MATCH('Jan 2020 EDI'!F182,rrcworking[RRC ID],0))</f>
        <v>0</v>
      </c>
      <c r="AA182" s="5">
        <f>INDEX(rrcworking[Sales/Dispostion],MATCH('Jan 2020 EDI'!F182,rrcworking[RRC ID],0))</f>
        <v>0</v>
      </c>
      <c r="AQ182" s="5">
        <f>INDEX(rrcworking[Closing Stock (Oil)],MATCH('Jan 2020 EDI'!F182,rrcworking[RRC ID],0))</f>
        <v>0</v>
      </c>
    </row>
    <row r="183" spans="1:43">
      <c r="A183" s="4" t="s">
        <v>1</v>
      </c>
      <c r="B183" s="1" t="s">
        <v>1083</v>
      </c>
      <c r="C183" s="10" t="s">
        <v>911</v>
      </c>
      <c r="D183" s="1" t="s">
        <v>620</v>
      </c>
      <c r="E183" s="1" t="s">
        <v>59</v>
      </c>
      <c r="F183" s="1" t="s">
        <v>593</v>
      </c>
      <c r="I183" s="10" t="s">
        <v>3</v>
      </c>
      <c r="J183" s="124" t="s">
        <v>3</v>
      </c>
      <c r="K183" s="1" t="s">
        <v>1094</v>
      </c>
      <c r="M183" s="5">
        <v>201912</v>
      </c>
      <c r="N183" s="5">
        <f>INDEX(rrcworking[Formation Production (MCF) @ 14.65 psi],MATCH('Jan 2020 EDI'!F183,rrcworking[RRC ID],0))</f>
        <v>0</v>
      </c>
      <c r="O183" s="5">
        <f>INDEX(rrcworking[Lease Use (MCF)],MATCH('Jan 2020 EDI'!F183,rrcworking[RRC ID],0))</f>
        <v>0</v>
      </c>
      <c r="P183" s="5">
        <f>INDEX(rrcworking[Disposition Volume (MCF) @ 14.65 MCF],MATCH('Jan 2020 EDI'!F183,rrcworking[RRC ID],0))</f>
        <v>0</v>
      </c>
      <c r="Y183" s="5">
        <f>INDEX(rrcworking[Oil Production],MATCH('Jan 2020 EDI'!F183,rrcworking[RRC ID],0))</f>
        <v>0</v>
      </c>
      <c r="AA183" s="5">
        <f>INDEX(rrcworking[Sales/Dispostion],MATCH('Jan 2020 EDI'!F183,rrcworking[RRC ID],0))</f>
        <v>0</v>
      </c>
      <c r="AQ183" s="5">
        <f>INDEX(rrcworking[Closing Stock (Oil)],MATCH('Jan 2020 EDI'!F183,rrcworking[RRC ID],0))</f>
        <v>49</v>
      </c>
    </row>
    <row r="184" spans="1:43">
      <c r="A184" s="4" t="s">
        <v>1</v>
      </c>
      <c r="B184" s="1" t="s">
        <v>1084</v>
      </c>
      <c r="C184" s="10" t="s">
        <v>911</v>
      </c>
      <c r="D184" s="1" t="s">
        <v>620</v>
      </c>
      <c r="E184" s="1" t="s">
        <v>59</v>
      </c>
      <c r="F184" s="1" t="s">
        <v>594</v>
      </c>
      <c r="I184" s="10" t="s">
        <v>3</v>
      </c>
      <c r="J184" s="124" t="s">
        <v>3</v>
      </c>
      <c r="K184" s="1" t="s">
        <v>1094</v>
      </c>
      <c r="M184" s="5">
        <v>201912</v>
      </c>
      <c r="N184" s="5">
        <f>INDEX(rrcworking[Formation Production (MCF) @ 14.65 psi],MATCH('Jan 2020 EDI'!F184,rrcworking[RRC ID],0))</f>
        <v>0</v>
      </c>
      <c r="O184" s="5">
        <f>INDEX(rrcworking[Lease Use (MCF)],MATCH('Jan 2020 EDI'!F184,rrcworking[RRC ID],0))</f>
        <v>0</v>
      </c>
      <c r="P184" s="5">
        <f>INDEX(rrcworking[Disposition Volume (MCF) @ 14.65 MCF],MATCH('Jan 2020 EDI'!F184,rrcworking[RRC ID],0))</f>
        <v>0</v>
      </c>
      <c r="Y184" s="5">
        <f>INDEX(rrcworking[Oil Production],MATCH('Jan 2020 EDI'!F184,rrcworking[RRC ID],0))</f>
        <v>0</v>
      </c>
      <c r="AA184" s="5">
        <f>INDEX(rrcworking[Sales/Dispostion],MATCH('Jan 2020 EDI'!F184,rrcworking[RRC ID],0))</f>
        <v>0</v>
      </c>
      <c r="AQ184" s="5">
        <f>INDEX(rrcworking[Closing Stock (Oil)],MATCH('Jan 2020 EDI'!F184,rrcworking[RRC ID],0))</f>
        <v>0</v>
      </c>
    </row>
    <row r="185" spans="1:43">
      <c r="A185" s="4" t="s">
        <v>1</v>
      </c>
      <c r="B185" s="1" t="s">
        <v>1085</v>
      </c>
      <c r="C185" s="10" t="s">
        <v>911</v>
      </c>
      <c r="D185" s="1" t="s">
        <v>620</v>
      </c>
      <c r="E185" s="1" t="s">
        <v>2</v>
      </c>
      <c r="F185" s="1" t="s">
        <v>595</v>
      </c>
      <c r="I185" s="10" t="s">
        <v>3</v>
      </c>
      <c r="J185" s="124" t="s">
        <v>3</v>
      </c>
      <c r="K185" s="1" t="s">
        <v>1094</v>
      </c>
      <c r="M185" s="5">
        <v>201912</v>
      </c>
      <c r="N185" s="5">
        <f>INDEX(rrcworking[Formation Production (MCF) @ 14.65 psi],MATCH('Jan 2020 EDI'!F185,rrcworking[RRC ID],0))</f>
        <v>0</v>
      </c>
      <c r="O185" s="5">
        <f>INDEX(rrcworking[Lease Use (MCF)],MATCH('Jan 2020 EDI'!F185,rrcworking[RRC ID],0))</f>
        <v>0</v>
      </c>
      <c r="P185" s="5">
        <f>INDEX(rrcworking[Disposition Volume (MCF) @ 14.65 MCF],MATCH('Jan 2020 EDI'!F185,rrcworking[RRC ID],0))</f>
        <v>0</v>
      </c>
      <c r="Y185" s="5">
        <f>INDEX(rrcworking[Oil Production],MATCH('Jan 2020 EDI'!F185,rrcworking[RRC ID],0))</f>
        <v>0</v>
      </c>
      <c r="AA185" s="5">
        <f>INDEX(rrcworking[Sales/Dispostion],MATCH('Jan 2020 EDI'!F185,rrcworking[RRC ID],0))</f>
        <v>0</v>
      </c>
      <c r="AQ185" s="5">
        <f>INDEX(rrcworking[Closing Stock (Oil)],MATCH('Jan 2020 EDI'!F185,rrcworking[RRC ID],0))</f>
        <v>0</v>
      </c>
    </row>
    <row r="186" spans="1:43">
      <c r="A186" s="4" t="s">
        <v>1</v>
      </c>
      <c r="B186" s="1" t="s">
        <v>1086</v>
      </c>
      <c r="C186" s="10" t="s">
        <v>911</v>
      </c>
      <c r="D186" s="1" t="s">
        <v>620</v>
      </c>
      <c r="E186" s="1" t="s">
        <v>2</v>
      </c>
      <c r="F186" s="1" t="s">
        <v>596</v>
      </c>
      <c r="I186" s="10" t="s">
        <v>3</v>
      </c>
      <c r="J186" s="124" t="s">
        <v>3</v>
      </c>
      <c r="K186" s="1">
        <v>6114</v>
      </c>
      <c r="M186" s="5">
        <v>201912</v>
      </c>
      <c r="N186" s="5">
        <f>INDEX(rrcworking[Formation Production (MCF) @ 14.65 psi],MATCH('Jan 2020 EDI'!F186,rrcworking[RRC ID],0))</f>
        <v>8</v>
      </c>
      <c r="O186" s="5">
        <f>INDEX(rrcworking[Lease Use (MCF)],MATCH('Jan 2020 EDI'!F186,rrcworking[RRC ID],0))</f>
        <v>8</v>
      </c>
      <c r="P186" s="5">
        <f>INDEX(rrcworking[Disposition Volume (MCF) @ 14.65 MCF],MATCH('Jan 2020 EDI'!F186,rrcworking[RRC ID],0))</f>
        <v>0</v>
      </c>
      <c r="Y186" s="5">
        <f>INDEX(rrcworking[Oil Production],MATCH('Jan 2020 EDI'!F186,rrcworking[RRC ID],0))</f>
        <v>14</v>
      </c>
      <c r="AA186" s="5">
        <f>INDEX(rrcworking[Sales/Dispostion],MATCH('Jan 2020 EDI'!F186,rrcworking[RRC ID],0))</f>
        <v>0</v>
      </c>
      <c r="AQ186" s="5">
        <f>INDEX(rrcworking[Closing Stock (Oil)],MATCH('Jan 2020 EDI'!F186,rrcworking[RRC ID],0))</f>
        <v>25</v>
      </c>
    </row>
    <row r="187" spans="1:43">
      <c r="A187" s="4" t="s">
        <v>1</v>
      </c>
      <c r="B187" s="1" t="s">
        <v>1087</v>
      </c>
      <c r="C187" s="10" t="s">
        <v>911</v>
      </c>
      <c r="D187" s="1" t="s">
        <v>620</v>
      </c>
      <c r="E187" s="1" t="s">
        <v>2</v>
      </c>
      <c r="F187" s="1" t="s">
        <v>597</v>
      </c>
      <c r="I187" s="10" t="s">
        <v>3</v>
      </c>
      <c r="J187" s="124" t="s">
        <v>3</v>
      </c>
      <c r="K187" s="1" t="s">
        <v>1094</v>
      </c>
      <c r="M187" s="5">
        <v>201912</v>
      </c>
      <c r="N187" s="5">
        <f>INDEX(rrcworking[Formation Production (MCF) @ 14.65 psi],MATCH('Jan 2020 EDI'!F187,rrcworking[RRC ID],0))</f>
        <v>0</v>
      </c>
      <c r="O187" s="5">
        <f>INDEX(rrcworking[Lease Use (MCF)],MATCH('Jan 2020 EDI'!F187,rrcworking[RRC ID],0))</f>
        <v>0</v>
      </c>
      <c r="P187" s="5">
        <f>INDEX(rrcworking[Disposition Volume (MCF) @ 14.65 MCF],MATCH('Jan 2020 EDI'!F187,rrcworking[RRC ID],0))</f>
        <v>0</v>
      </c>
      <c r="Y187" s="5">
        <f>INDEX(rrcworking[Oil Production],MATCH('Jan 2020 EDI'!F187,rrcworking[RRC ID],0))</f>
        <v>0</v>
      </c>
      <c r="AA187" s="5">
        <f>INDEX(rrcworking[Sales/Dispostion],MATCH('Jan 2020 EDI'!F187,rrcworking[RRC ID],0))</f>
        <v>0</v>
      </c>
      <c r="AQ187" s="5">
        <f>INDEX(rrcworking[Closing Stock (Oil)],MATCH('Jan 2020 EDI'!F187,rrcworking[RRC ID],0))</f>
        <v>0</v>
      </c>
    </row>
    <row r="188" spans="1:43">
      <c r="A188" s="4" t="s">
        <v>1</v>
      </c>
      <c r="B188" s="1" t="s">
        <v>1088</v>
      </c>
      <c r="C188" s="10" t="s">
        <v>911</v>
      </c>
      <c r="D188" s="1" t="s">
        <v>620</v>
      </c>
      <c r="E188" s="1" t="s">
        <v>59</v>
      </c>
      <c r="F188" s="1" t="s">
        <v>598</v>
      </c>
      <c r="I188" s="10" t="s">
        <v>3</v>
      </c>
      <c r="J188" s="124" t="s">
        <v>3</v>
      </c>
      <c r="K188" s="1" t="s">
        <v>1094</v>
      </c>
      <c r="M188" s="5">
        <v>201912</v>
      </c>
      <c r="N188" s="5">
        <f>INDEX(rrcworking[Formation Production (MCF) @ 14.65 psi],MATCH('Jan 2020 EDI'!F188,rrcworking[RRC ID],0))</f>
        <v>0</v>
      </c>
      <c r="O188" s="5">
        <f>INDEX(rrcworking[Lease Use (MCF)],MATCH('Jan 2020 EDI'!F188,rrcworking[RRC ID],0))</f>
        <v>0</v>
      </c>
      <c r="P188" s="5">
        <f>INDEX(rrcworking[Disposition Volume (MCF) @ 14.65 MCF],MATCH('Jan 2020 EDI'!F188,rrcworking[RRC ID],0))</f>
        <v>0</v>
      </c>
      <c r="Y188" s="5">
        <f>INDEX(rrcworking[Oil Production],MATCH('Jan 2020 EDI'!F188,rrcworking[RRC ID],0))</f>
        <v>0</v>
      </c>
      <c r="AA188" s="5">
        <f>INDEX(rrcworking[Sales/Dispostion],MATCH('Jan 2020 EDI'!F188,rrcworking[RRC ID],0))</f>
        <v>0</v>
      </c>
      <c r="AQ188" s="5">
        <f>INDEX(rrcworking[Closing Stock (Oil)],MATCH('Jan 2020 EDI'!F188,rrcworking[RRC ID],0))</f>
        <v>0</v>
      </c>
    </row>
    <row r="189" spans="1:43">
      <c r="A189" s="4" t="s">
        <v>1</v>
      </c>
      <c r="B189" s="1" t="s">
        <v>1089</v>
      </c>
      <c r="C189" s="10" t="s">
        <v>911</v>
      </c>
      <c r="D189" s="1" t="s">
        <v>620</v>
      </c>
      <c r="E189" s="1" t="s">
        <v>2</v>
      </c>
      <c r="F189" s="1" t="s">
        <v>599</v>
      </c>
      <c r="I189" s="10" t="s">
        <v>3</v>
      </c>
      <c r="J189" s="124" t="s">
        <v>3</v>
      </c>
      <c r="K189" s="1">
        <v>6114</v>
      </c>
      <c r="M189" s="5">
        <v>201912</v>
      </c>
      <c r="N189" s="5">
        <f>INDEX(rrcworking[Formation Production (MCF) @ 14.65 psi],MATCH('Jan 2020 EDI'!F189,rrcworking[RRC ID],0))</f>
        <v>0</v>
      </c>
      <c r="O189" s="5">
        <f>INDEX(rrcworking[Lease Use (MCF)],MATCH('Jan 2020 EDI'!F189,rrcworking[RRC ID],0))</f>
        <v>0</v>
      </c>
      <c r="P189" s="5">
        <f>INDEX(rrcworking[Disposition Volume (MCF) @ 14.65 MCF],MATCH('Jan 2020 EDI'!F189,rrcworking[RRC ID],0))</f>
        <v>0</v>
      </c>
      <c r="Y189" s="5">
        <f>INDEX(rrcworking[Oil Production],MATCH('Jan 2020 EDI'!F189,rrcworking[RRC ID],0))</f>
        <v>0</v>
      </c>
      <c r="AA189" s="5">
        <f>INDEX(rrcworking[Sales/Dispostion],MATCH('Jan 2020 EDI'!F189,rrcworking[RRC ID],0))</f>
        <v>0</v>
      </c>
      <c r="AQ189" s="5">
        <f>INDEX(rrcworking[Closing Stock (Oil)],MATCH('Jan 2020 EDI'!F189,rrcworking[RRC ID],0))</f>
        <v>0</v>
      </c>
    </row>
    <row r="190" spans="1:43">
      <c r="A190" s="4" t="s">
        <v>1</v>
      </c>
      <c r="B190" s="1" t="s">
        <v>1090</v>
      </c>
      <c r="C190" s="10" t="s">
        <v>911</v>
      </c>
      <c r="D190" s="1" t="s">
        <v>620</v>
      </c>
      <c r="E190" s="1" t="s">
        <v>2</v>
      </c>
      <c r="F190" s="1" t="s">
        <v>600</v>
      </c>
      <c r="I190" s="10" t="s">
        <v>3</v>
      </c>
      <c r="J190" s="124" t="s">
        <v>3</v>
      </c>
      <c r="K190" s="1" t="s">
        <v>1094</v>
      </c>
      <c r="M190" s="5">
        <v>201912</v>
      </c>
      <c r="N190" s="5">
        <f>INDEX(rrcworking[Formation Production (MCF) @ 14.65 psi],MATCH('Jan 2020 EDI'!F190,rrcworking[RRC ID],0))</f>
        <v>0</v>
      </c>
      <c r="O190" s="5">
        <f>INDEX(rrcworking[Lease Use (MCF)],MATCH('Jan 2020 EDI'!F190,rrcworking[RRC ID],0))</f>
        <v>0</v>
      </c>
      <c r="P190" s="5">
        <f>INDEX(rrcworking[Disposition Volume (MCF) @ 14.65 MCF],MATCH('Jan 2020 EDI'!F190,rrcworking[RRC ID],0))</f>
        <v>0</v>
      </c>
      <c r="Y190" s="5">
        <f>INDEX(rrcworking[Oil Production],MATCH('Jan 2020 EDI'!F190,rrcworking[RRC ID],0))</f>
        <v>0</v>
      </c>
      <c r="AA190" s="5">
        <f>INDEX(rrcworking[Sales/Dispostion],MATCH('Jan 2020 EDI'!F190,rrcworking[RRC ID],0))</f>
        <v>0</v>
      </c>
      <c r="AQ190" s="5">
        <f>INDEX(rrcworking[Closing Stock (Oil)],MATCH('Jan 2020 EDI'!F190,rrcworking[RRC ID],0))</f>
        <v>64</v>
      </c>
    </row>
    <row r="191" spans="1:43">
      <c r="A191" s="4" t="s">
        <v>1</v>
      </c>
      <c r="B191" s="1" t="s">
        <v>1091</v>
      </c>
      <c r="C191" s="10" t="s">
        <v>911</v>
      </c>
      <c r="D191" s="1" t="s">
        <v>620</v>
      </c>
      <c r="E191" s="1" t="s">
        <v>59</v>
      </c>
      <c r="F191" s="1" t="s">
        <v>601</v>
      </c>
      <c r="I191" s="10" t="s">
        <v>3</v>
      </c>
      <c r="J191" s="124" t="s">
        <v>3</v>
      </c>
      <c r="K191" s="1">
        <v>5050</v>
      </c>
      <c r="M191" s="5">
        <v>201912</v>
      </c>
      <c r="N191" s="5">
        <f>INDEX(rrcworking[Formation Production (MCF) @ 14.65 psi],MATCH('Jan 2020 EDI'!F191,rrcworking[RRC ID],0))</f>
        <v>7161</v>
      </c>
      <c r="O191" s="5">
        <f>INDEX(rrcworking[Lease Use (MCF)],MATCH('Jan 2020 EDI'!F191,rrcworking[RRC ID],0))</f>
        <v>260</v>
      </c>
      <c r="P191" s="5">
        <f>INDEX(rrcworking[Disposition Volume (MCF) @ 14.65 MCF],MATCH('Jan 2020 EDI'!F191,rrcworking[RRC ID],0))</f>
        <v>6901</v>
      </c>
      <c r="Y191" s="5">
        <f>INDEX(rrcworking[Oil Production],MATCH('Jan 2020 EDI'!F191,rrcworking[RRC ID],0))</f>
        <v>20</v>
      </c>
      <c r="AA191" s="5">
        <f>INDEX(rrcworking[Sales/Dispostion],MATCH('Jan 2020 EDI'!F191,rrcworking[RRC ID],0))</f>
        <v>0</v>
      </c>
      <c r="AQ191" s="5">
        <f>INDEX(rrcworking[Closing Stock (Oil)],MATCH('Jan 2020 EDI'!F191,rrcworking[RRC ID],0))</f>
        <v>51</v>
      </c>
    </row>
    <row r="192" spans="1:43">
      <c r="A192" s="4" t="s">
        <v>1</v>
      </c>
      <c r="B192" s="1" t="s">
        <v>1092</v>
      </c>
      <c r="C192" s="10" t="s">
        <v>911</v>
      </c>
      <c r="D192" s="1" t="s">
        <v>620</v>
      </c>
      <c r="E192" s="1" t="s">
        <v>2</v>
      </c>
      <c r="F192" s="1" t="s">
        <v>602</v>
      </c>
      <c r="I192" s="10" t="s">
        <v>3</v>
      </c>
      <c r="J192" s="124" t="s">
        <v>3</v>
      </c>
      <c r="K192" s="1" t="s">
        <v>1094</v>
      </c>
      <c r="M192" s="5">
        <v>201912</v>
      </c>
      <c r="N192" s="5">
        <f>INDEX(rrcworking[Formation Production (MCF) @ 14.65 psi],MATCH('Jan 2020 EDI'!F192,rrcworking[RRC ID],0))</f>
        <v>0</v>
      </c>
      <c r="O192" s="5">
        <f>INDEX(rrcworking[Lease Use (MCF)],MATCH('Jan 2020 EDI'!F192,rrcworking[RRC ID],0))</f>
        <v>0</v>
      </c>
      <c r="P192" s="5">
        <f>INDEX(rrcworking[Disposition Volume (MCF) @ 14.65 MCF],MATCH('Jan 2020 EDI'!F192,rrcworking[RRC ID],0))</f>
        <v>0</v>
      </c>
      <c r="Y192" s="5">
        <f>INDEX(rrcworking[Oil Production],MATCH('Jan 2020 EDI'!F192,rrcworking[RRC ID],0))</f>
        <v>0</v>
      </c>
      <c r="AA192" s="5">
        <f>INDEX(rrcworking[Sales/Dispostion],MATCH('Jan 2020 EDI'!F192,rrcworking[RRC ID],0))</f>
        <v>0</v>
      </c>
      <c r="AQ192" s="5">
        <f>INDEX(rrcworking[Closing Stock (Oil)],MATCH('Jan 2020 EDI'!F192,rrcworking[RRC ID],0))</f>
        <v>63</v>
      </c>
    </row>
    <row r="193" spans="1:46">
      <c r="A193" s="4" t="s">
        <v>1</v>
      </c>
      <c r="B193" s="1" t="s">
        <v>1093</v>
      </c>
      <c r="C193" s="10" t="s">
        <v>911</v>
      </c>
      <c r="D193" s="10" t="s">
        <v>619</v>
      </c>
      <c r="E193" s="10" t="s">
        <v>65</v>
      </c>
      <c r="F193" s="10" t="s">
        <v>1268</v>
      </c>
      <c r="I193" s="10" t="s">
        <v>3</v>
      </c>
      <c r="J193" s="124" t="s">
        <v>3</v>
      </c>
      <c r="M193" s="5">
        <v>201912</v>
      </c>
      <c r="N193" s="5">
        <f>INDEX(rrcworking[Formation Production (MCF) @ 14.65 psi],MATCH('Jan 2020 EDI'!F193,rrcworking[RRC ID],0))</f>
        <v>783</v>
      </c>
      <c r="O193" s="5">
        <f>INDEX(rrcworking[Lease Use (MCF)],MATCH('Jan 2020 EDI'!F193,rrcworking[RRC ID],0))</f>
        <v>0</v>
      </c>
      <c r="P193" s="5">
        <f>INDEX(rrcworking[Disposition Volume (MCF) @ 14.65 MCF],MATCH('Jan 2020 EDI'!F193,rrcworking[RRC ID],0))</f>
        <v>783</v>
      </c>
      <c r="Y193" s="5">
        <f>INDEX(rrcworking[Oil Production],MATCH('Jan 2020 EDI'!F193,rrcworking[RRC ID],0))</f>
        <v>2265</v>
      </c>
      <c r="AA193" s="5">
        <f>INDEX(rrcworking[Sales/Dispostion],MATCH('Jan 2020 EDI'!F193,rrcworking[RRC ID],0))</f>
        <v>2385</v>
      </c>
      <c r="AQ193" s="5">
        <f>INDEX(rrcworking[Closing Stock (Oil)],MATCH('Jan 2020 EDI'!F193,rrcworking[RRC ID],0))</f>
        <v>189</v>
      </c>
      <c r="AR193" s="149" t="s">
        <v>1110</v>
      </c>
      <c r="AS193" s="149" t="s">
        <v>1111</v>
      </c>
      <c r="AT193" s="149" t="s">
        <v>61</v>
      </c>
    </row>
    <row r="194" spans="1:46">
      <c r="A194" s="4" t="s">
        <v>1</v>
      </c>
      <c r="B194" s="10" t="s">
        <v>1144</v>
      </c>
      <c r="C194" s="10" t="s">
        <v>911</v>
      </c>
      <c r="D194" s="10" t="s">
        <v>619</v>
      </c>
      <c r="E194" s="10" t="s">
        <v>2</v>
      </c>
      <c r="F194" s="10" t="s">
        <v>1142</v>
      </c>
      <c r="I194" s="10" t="s">
        <v>3</v>
      </c>
      <c r="J194" s="124" t="s">
        <v>3</v>
      </c>
      <c r="M194" s="5">
        <v>201912</v>
      </c>
      <c r="N194" s="5">
        <f>INDEX(rrcworking[Formation Production (MCF) @ 14.65 psi],MATCH('Jan 2020 EDI'!F194,rrcworking[RRC ID],0))</f>
        <v>126</v>
      </c>
      <c r="O194" s="5">
        <f>INDEX(rrcworking[Lease Use (MCF)],MATCH('Jan 2020 EDI'!F194,rrcworking[RRC ID],0))</f>
        <v>126</v>
      </c>
      <c r="P194" s="5">
        <f>INDEX(rrcworking[Disposition Volume (MCF) @ 14.65 MCF],MATCH('Jan 2020 EDI'!F194,rrcworking[RRC ID],0))</f>
        <v>0</v>
      </c>
      <c r="Y194" s="5">
        <f>INDEX(rrcworking[Oil Production],MATCH('Jan 2020 EDI'!F194,rrcworking[RRC ID],0))</f>
        <v>0</v>
      </c>
      <c r="AA194" s="5">
        <f>INDEX(rrcworking[Sales/Dispostion],MATCH('Jan 2020 EDI'!F194,rrcworking[RRC ID],0))</f>
        <v>0</v>
      </c>
      <c r="AQ194" s="5">
        <f>INDEX(rrcworking[Closing Stock (Oil)],MATCH('Jan 2020 EDI'!F194,rrcworking[RRC ID],0))</f>
        <v>79</v>
      </c>
      <c r="AR194" s="149"/>
      <c r="AS194" s="149"/>
      <c r="AT194" s="149"/>
    </row>
    <row r="195" spans="1:46" s="232" customFormat="1">
      <c r="A195" s="236" t="s">
        <v>1</v>
      </c>
      <c r="B195" s="237" t="s">
        <v>1144</v>
      </c>
      <c r="C195" s="237" t="s">
        <v>911</v>
      </c>
      <c r="D195" s="237" t="s">
        <v>619</v>
      </c>
      <c r="E195" s="237" t="s">
        <v>2</v>
      </c>
      <c r="F195" s="237" t="s">
        <v>1278</v>
      </c>
      <c r="G195" s="238" t="s">
        <v>1278</v>
      </c>
      <c r="H195" s="238"/>
      <c r="I195" s="237" t="s">
        <v>3</v>
      </c>
      <c r="J195" s="238" t="s">
        <v>3</v>
      </c>
      <c r="K195" s="238"/>
      <c r="L195" s="238"/>
      <c r="M195" s="235">
        <v>201913</v>
      </c>
      <c r="N195" s="235">
        <f>INDEX(rrcworking[Formation Production (MCF) @ 14.65 psi],MATCH('Jan 2020 EDI'!F195,rrcworking[RRC ID],0))</f>
        <v>3206</v>
      </c>
      <c r="O195" s="235">
        <f>INDEX(rrcworking[Lease Use (MCF)],MATCH('Jan 2020 EDI'!F195,rrcworking[RRC ID],0))</f>
        <v>0</v>
      </c>
      <c r="P195" s="235">
        <f>INDEX(rrcworking[Disposition Volume (MCF) @ 14.65 MCF],MATCH('Jan 2020 EDI'!F195,rrcworking[RRC ID],0))</f>
        <v>3206</v>
      </c>
      <c r="Q195" s="235"/>
      <c r="R195" s="235">
        <v>3206</v>
      </c>
      <c r="S195" s="238" t="s">
        <v>1282</v>
      </c>
      <c r="T195" s="235"/>
      <c r="U195" s="235"/>
      <c r="V195" s="235"/>
      <c r="W195" s="238"/>
      <c r="X195" s="235"/>
      <c r="Y195" s="235">
        <f>INDEX(rrcworking[Oil Production],MATCH('Jan 2020 EDI'!F195,rrcworking[RRC ID],0))</f>
        <v>197</v>
      </c>
      <c r="Z195" s="235"/>
      <c r="AA195" s="235">
        <f>INDEX(rrcworking[Sales/Dispostion],MATCH('Jan 2020 EDI'!F195,rrcworking[RRC ID],0))</f>
        <v>0</v>
      </c>
      <c r="AB195" s="235"/>
      <c r="AC195" s="235"/>
      <c r="AD195" s="238"/>
      <c r="AE195" s="235"/>
      <c r="AF195" s="238"/>
      <c r="AG195" s="235"/>
      <c r="AH195" s="235"/>
      <c r="AI195" s="238"/>
      <c r="AJ195" s="235"/>
      <c r="AK195" s="235"/>
      <c r="AL195" s="235"/>
      <c r="AM195" s="235"/>
      <c r="AN195" s="235"/>
      <c r="AO195" s="238"/>
      <c r="AP195" s="235"/>
      <c r="AQ195" s="235">
        <f>INDEX(rrcworking[Closing Stock (Oil)],MATCH('Jan 2020 EDI'!F195,rrcworking[RRC ID],0))</f>
        <v>197</v>
      </c>
      <c r="AR195" s="239" t="s">
        <v>1284</v>
      </c>
      <c r="AS195" s="239" t="s">
        <v>1283</v>
      </c>
      <c r="AT195" s="239" t="s">
        <v>58</v>
      </c>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tabSelected="1" topLeftCell="A10" zoomScale="85" zoomScaleNormal="85" workbookViewId="0">
      <pane xSplit="5" topLeftCell="R1" activePane="topRight" state="frozen"/>
      <selection pane="topRight" activeCell="AC13" sqref="AC13"/>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0" hidden="1" customWidth="1"/>
    <col min="39" max="39" width="15.5" customWidth="1"/>
    <col min="40" max="40" width="15.33203125" customWidth="1"/>
    <col min="41" max="41" width="27.33203125" customWidth="1"/>
    <col min="42" max="42" width="48.6640625" customWidth="1"/>
    <col min="43" max="43" width="92.83203125" customWidth="1"/>
  </cols>
  <sheetData>
    <row r="1" spans="3:43" ht="46.5">
      <c r="C1" s="118" t="s">
        <v>615</v>
      </c>
      <c r="D1" s="119">
        <v>43818</v>
      </c>
    </row>
    <row r="2" spans="3:43" ht="66.75">
      <c r="C2" s="246"/>
      <c r="D2" s="247"/>
      <c r="E2" s="247"/>
      <c r="F2" s="247"/>
      <c r="G2" s="247"/>
      <c r="Q2" s="26" t="s">
        <v>627</v>
      </c>
      <c r="R2" s="27">
        <v>1.0054609999999999</v>
      </c>
      <c r="AD2" s="120" t="s">
        <v>910</v>
      </c>
    </row>
    <row r="3" spans="3:43" ht="45.75">
      <c r="Z3" s="249"/>
      <c r="AA3" s="249"/>
      <c r="AB3" s="249"/>
      <c r="AH3" s="243" t="s">
        <v>1242</v>
      </c>
      <c r="AI3" s="244"/>
      <c r="AJ3" s="244"/>
      <c r="AK3" s="244"/>
      <c r="AL3" s="244"/>
      <c r="AM3" s="244"/>
      <c r="AN3" s="244"/>
      <c r="AO3" s="244"/>
      <c r="AP3" s="244"/>
      <c r="AQ3" s="245"/>
    </row>
    <row r="4" spans="3:43" s="118" customFormat="1" ht="146.25">
      <c r="C4" s="241" t="s">
        <v>1103</v>
      </c>
      <c r="D4" s="248"/>
      <c r="E4" s="248"/>
      <c r="F4" s="248"/>
      <c r="G4" s="248"/>
      <c r="H4" s="248"/>
      <c r="I4" s="248"/>
      <c r="J4" s="248"/>
      <c r="K4" s="242"/>
      <c r="L4" s="241" t="s">
        <v>1104</v>
      </c>
      <c r="M4" s="248"/>
      <c r="N4" s="248"/>
      <c r="O4" s="242"/>
      <c r="P4" s="241" t="s">
        <v>610</v>
      </c>
      <c r="Q4" s="248"/>
      <c r="R4" s="248"/>
      <c r="S4" s="248"/>
      <c r="T4" s="248"/>
      <c r="U4" s="242"/>
      <c r="V4" s="241" t="s">
        <v>621</v>
      </c>
      <c r="W4" s="248"/>
      <c r="X4" s="248"/>
      <c r="Y4" s="248"/>
      <c r="Z4" s="248"/>
      <c r="AA4" s="248"/>
      <c r="AB4" s="242"/>
      <c r="AC4" s="241" t="s">
        <v>1241</v>
      </c>
      <c r="AD4" s="242"/>
      <c r="AE4" s="195" t="s">
        <v>1117</v>
      </c>
      <c r="AF4" s="188"/>
      <c r="AG4" s="188"/>
      <c r="AH4" s="196"/>
      <c r="AI4" s="197"/>
      <c r="AJ4" s="197"/>
      <c r="AK4" s="197" t="s">
        <v>1157</v>
      </c>
      <c r="AL4" s="197" t="s">
        <v>1158</v>
      </c>
      <c r="AM4" s="197" t="s">
        <v>1159</v>
      </c>
      <c r="AN4" s="197" t="s">
        <v>1160</v>
      </c>
      <c r="AO4" s="197" t="s">
        <v>1161</v>
      </c>
      <c r="AP4" s="197" t="s">
        <v>1162</v>
      </c>
      <c r="AQ4" s="198" t="s">
        <v>1259</v>
      </c>
    </row>
    <row r="5" spans="3:43" s="17" customFormat="1" ht="64.5" thickBot="1">
      <c r="C5" s="8" t="s">
        <v>1120</v>
      </c>
      <c r="D5" s="8" t="s">
        <v>47</v>
      </c>
      <c r="E5" s="8" t="s">
        <v>48</v>
      </c>
      <c r="F5" s="8" t="s">
        <v>605</v>
      </c>
      <c r="G5" s="8" t="s">
        <v>14</v>
      </c>
      <c r="H5" s="8" t="s">
        <v>7</v>
      </c>
      <c r="I5" s="8" t="s">
        <v>8</v>
      </c>
      <c r="J5" s="16" t="s">
        <v>603</v>
      </c>
      <c r="K5" s="16" t="s">
        <v>604</v>
      </c>
      <c r="L5" s="109" t="s">
        <v>607</v>
      </c>
      <c r="M5" s="110" t="s">
        <v>606</v>
      </c>
      <c r="N5" s="110" t="s">
        <v>608</v>
      </c>
      <c r="O5" s="111" t="s">
        <v>609</v>
      </c>
      <c r="P5" s="115" t="s">
        <v>1243</v>
      </c>
      <c r="Q5" s="23" t="s">
        <v>611</v>
      </c>
      <c r="R5" s="116" t="s">
        <v>1244</v>
      </c>
      <c r="S5" s="116" t="s">
        <v>613</v>
      </c>
      <c r="T5" s="116" t="s">
        <v>614</v>
      </c>
      <c r="U5" s="117" t="s">
        <v>909</v>
      </c>
      <c r="V5" s="17" t="s">
        <v>624</v>
      </c>
      <c r="W5" s="17" t="s">
        <v>622</v>
      </c>
      <c r="X5" s="8" t="s">
        <v>1119</v>
      </c>
      <c r="Y5" s="8" t="s">
        <v>793</v>
      </c>
      <c r="Z5" s="8" t="s">
        <v>794</v>
      </c>
      <c r="AA5" s="17" t="s">
        <v>623</v>
      </c>
      <c r="AB5" s="17" t="s">
        <v>625</v>
      </c>
      <c r="AC5" s="8" t="s">
        <v>906</v>
      </c>
      <c r="AD5" s="8" t="s">
        <v>907</v>
      </c>
      <c r="AE5" s="194" t="s">
        <v>902</v>
      </c>
      <c r="AF5" s="116" t="s">
        <v>908</v>
      </c>
      <c r="AG5" s="8" t="s">
        <v>612</v>
      </c>
      <c r="AH5" s="8" t="s">
        <v>1163</v>
      </c>
      <c r="AI5" s="8" t="s">
        <v>1164</v>
      </c>
      <c r="AJ5" s="17" t="s">
        <v>1165</v>
      </c>
      <c r="AK5" s="17" t="s">
        <v>1166</v>
      </c>
      <c r="AL5" s="17" t="s">
        <v>1167</v>
      </c>
      <c r="AM5" s="17" t="s">
        <v>1168</v>
      </c>
      <c r="AN5" s="17" t="s">
        <v>1169</v>
      </c>
      <c r="AO5" s="17" t="s">
        <v>1170</v>
      </c>
      <c r="AP5" s="17" t="s">
        <v>1171</v>
      </c>
      <c r="AQ5" s="17" t="s">
        <v>1172</v>
      </c>
    </row>
    <row r="6" spans="3:43" ht="15.75" thickTop="1">
      <c r="C6" s="80" t="e">
        <v>#N/A</v>
      </c>
      <c r="D6" s="62" t="s">
        <v>164</v>
      </c>
      <c r="E6" s="132" t="s">
        <v>165</v>
      </c>
      <c r="F6" s="130">
        <v>0</v>
      </c>
      <c r="G6" s="121" t="s">
        <v>1094</v>
      </c>
      <c r="H6" s="18" t="s">
        <v>619</v>
      </c>
      <c r="I6" s="18" t="s">
        <v>2</v>
      </c>
      <c r="J6" s="19" t="s">
        <v>469</v>
      </c>
      <c r="K6" s="103">
        <v>27151</v>
      </c>
      <c r="L6" s="142">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8" si="0">IF(AND(L6=0,M6=0), TRUE, FALSE)</f>
        <v>1</v>
      </c>
      <c r="P6" s="186"/>
      <c r="Q6" s="128">
        <f>rrcworking[[#This Row],[Last Month Closing Stock]]</f>
        <v>108</v>
      </c>
      <c r="R6" s="186">
        <f>rrcworking[[#This Row],[Opening Oil Stock]]</f>
        <v>108</v>
      </c>
      <c r="S6" s="147">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7">
        <f>IF(ISERROR(INDEX(Table2[GAS],MATCH(rrcworking[[#This Row],[Magnum Wolfpak '#]],Table2[Rox Wolf'#],0))),0,INDEX(Table2[GAS],MATCH(rrcworking[[#This Row],[Magnum Wolfpak '#]],Table2[Rox Wolf'#],0)))</f>
        <v>0</v>
      </c>
      <c r="W6" s="24"/>
      <c r="X6" s="135">
        <f>IF(rrcworking[[#This Row],[Pressure Base]]=14.73,rrcworking[[#This Row],[Gas Sales Statement Volume (MCF)]]*$R$2,rrcworking[[#This Row],[Gas Sales Statement Volume (MCF)]])</f>
        <v>0</v>
      </c>
      <c r="Y6" s="59"/>
      <c r="Z6" s="59"/>
      <c r="AA6" s="147">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92">
        <f>COUNTIF(FilterList,rrcworking[[#This Row],[Magnum Wolfpak '#]])</f>
        <v>0</v>
      </c>
      <c r="AF6" s="189"/>
      <c r="AG6" s="190"/>
      <c r="AH6" s="37"/>
      <c r="AI6" s="37"/>
      <c r="AJ6" s="37"/>
      <c r="AK6" s="37"/>
      <c r="AL6" s="37"/>
      <c r="AM6" s="37"/>
      <c r="AN6" s="37"/>
      <c r="AO6" s="37"/>
      <c r="AP6" s="37"/>
      <c r="AQ6" s="37"/>
    </row>
    <row r="7" spans="3:43" ht="15">
      <c r="C7" s="80">
        <v>99265</v>
      </c>
      <c r="D7" s="62" t="s">
        <v>326</v>
      </c>
      <c r="E7" s="132" t="s">
        <v>327</v>
      </c>
      <c r="F7" s="130">
        <v>1</v>
      </c>
      <c r="G7" s="121" t="s">
        <v>1094</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2296</v>
      </c>
      <c r="N7" s="31">
        <f>INDEX(Table1[On Hand End of Month],MATCH(rrcworking[[#This Row],[RRC ID Number]],Table1[RRC Identifier],0))</f>
        <v>162</v>
      </c>
      <c r="O7" s="106" t="b">
        <f t="shared" si="0"/>
        <v>0</v>
      </c>
      <c r="P7" s="186"/>
      <c r="Q7" s="128">
        <f>rrcworking[[#This Row],[Last Month Closing Stock]]</f>
        <v>162</v>
      </c>
      <c r="R7" s="186">
        <v>162</v>
      </c>
      <c r="S7" s="147">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7">
        <f>IF(ISERROR(INDEX(Table2[GAS],MATCH(rrcworking[[#This Row],[Magnum Wolfpak '#]],Table2[Rox Wolf'#],0))),0,INDEX(Table2[GAS],MATCH(rrcworking[[#This Row],[Magnum Wolfpak '#]],Table2[Rox Wolf'#],0)))</f>
        <v>8022</v>
      </c>
      <c r="W7" s="24"/>
      <c r="X7" s="136">
        <f>IF(rrcworking[[#This Row],[Pressure Base]]=14.73,rrcworking[[#This Row],[Gas Sales Statement Volume (MCF)]]*$R$2,rrcworking[[#This Row],[Gas Sales Statement Volume (MCF)]])</f>
        <v>8022</v>
      </c>
      <c r="Y7" s="60"/>
      <c r="Z7" s="60"/>
      <c r="AA7" s="147">
        <f>IF(ISERROR(INDEX(Table2[LEASE USE],MATCH(rrcworking[[#This Row],[Magnum Wolfpak '#]],Table2[Rox Wolf'#],0))),0,INDEX(Table2[LEASE USE],MATCH(rrcworking[[#This Row],[Magnum Wolfpak '#]],Table2[Rox Wolf'#],0)))</f>
        <v>243</v>
      </c>
      <c r="AB7" s="57">
        <f>rrcworking[[#This Row],[Disposition Volume (MCF) @ 14.65 MCF]]+rrcworking[[#This Row],[Lease Use (MCF)]]</f>
        <v>8265</v>
      </c>
      <c r="AC7" s="37"/>
      <c r="AD7" s="37"/>
      <c r="AE7" s="192">
        <f>COUNTIF(FilterList,rrcworking[[#This Row],[Magnum Wolfpak '#]])</f>
        <v>0</v>
      </c>
      <c r="AF7" s="189"/>
      <c r="AG7" s="190"/>
      <c r="AH7" s="37"/>
      <c r="AI7" s="37"/>
      <c r="AJ7" s="191"/>
      <c r="AK7" s="191"/>
      <c r="AL7" s="191"/>
      <c r="AM7" s="191"/>
      <c r="AN7" s="191"/>
      <c r="AO7" s="191"/>
      <c r="AP7" s="37" t="s">
        <v>1173</v>
      </c>
      <c r="AQ7" s="37" t="s">
        <v>1174</v>
      </c>
    </row>
    <row r="8" spans="3:43" ht="15">
      <c r="C8" s="80">
        <v>99266</v>
      </c>
      <c r="D8" s="62" t="s">
        <v>326</v>
      </c>
      <c r="E8" s="132" t="s">
        <v>327</v>
      </c>
      <c r="F8" s="130">
        <v>2</v>
      </c>
      <c r="G8" s="121" t="s">
        <v>1094</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2155</v>
      </c>
      <c r="N8" s="31">
        <f>INDEX(Table1[On Hand End of Month],MATCH(rrcworking[[#This Row],[RRC ID Number]],Table1[RRC Identifier],0))</f>
        <v>0</v>
      </c>
      <c r="O8" s="106" t="b">
        <f t="shared" si="0"/>
        <v>0</v>
      </c>
      <c r="P8" s="186"/>
      <c r="Q8" s="128">
        <f>rrcworking[[#This Row],[Last Month Closing Stock]]</f>
        <v>0</v>
      </c>
      <c r="R8" s="186">
        <f>rrcworking[[#This Row],[Opening Oil Stock]]</f>
        <v>0</v>
      </c>
      <c r="S8" s="147">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7">
        <f>IF(ISERROR(INDEX(Table2[GAS],MATCH(rrcworking[[#This Row],[Magnum Wolfpak '#]],Table2[Rox Wolf'#],0))),0,INDEX(Table2[GAS],MATCH(rrcworking[[#This Row],[Magnum Wolfpak '#]],Table2[Rox Wolf'#],0)))</f>
        <v>2879</v>
      </c>
      <c r="W8" s="24"/>
      <c r="X8" s="136">
        <f>IF(rrcworking[[#This Row],[Pressure Base]]=14.73,rrcworking[[#This Row],[Gas Sales Statement Volume (MCF)]]*$R$2,rrcworking[[#This Row],[Gas Sales Statement Volume (MCF)]])</f>
        <v>2879</v>
      </c>
      <c r="Y8" s="60"/>
      <c r="Z8" s="60"/>
      <c r="AA8" s="147">
        <f>IF(ISERROR(INDEX(Table2[LEASE USE],MATCH(rrcworking[[#This Row],[Magnum Wolfpak '#]],Table2[Rox Wolf'#],0))),0,INDEX(Table2[LEASE USE],MATCH(rrcworking[[#This Row],[Magnum Wolfpak '#]],Table2[Rox Wolf'#],0)))</f>
        <v>87</v>
      </c>
      <c r="AB8" s="57">
        <f>rrcworking[[#This Row],[Disposition Volume (MCF) @ 14.65 MCF]]+rrcworking[[#This Row],[Lease Use (MCF)]]</f>
        <v>2966</v>
      </c>
      <c r="AC8" s="37"/>
      <c r="AD8" s="37"/>
      <c r="AE8" s="192">
        <f>COUNTIF(FilterList,rrcworking[[#This Row],[Magnum Wolfpak '#]])</f>
        <v>0</v>
      </c>
      <c r="AF8" s="189"/>
      <c r="AG8" s="190"/>
      <c r="AH8" s="37"/>
      <c r="AI8" s="37"/>
      <c r="AJ8" s="191"/>
      <c r="AK8" s="191"/>
      <c r="AL8" s="191"/>
      <c r="AM8" s="191"/>
      <c r="AN8" s="191"/>
      <c r="AO8" s="191"/>
      <c r="AP8" s="37" t="s">
        <v>1173</v>
      </c>
      <c r="AQ8" s="37" t="s">
        <v>1174</v>
      </c>
    </row>
    <row r="9" spans="3:43" ht="15">
      <c r="C9" s="80">
        <v>99267</v>
      </c>
      <c r="D9" s="62" t="s">
        <v>326</v>
      </c>
      <c r="E9" s="132" t="s">
        <v>327</v>
      </c>
      <c r="F9" s="130">
        <v>3</v>
      </c>
      <c r="G9" s="121" t="s">
        <v>1094</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203</v>
      </c>
      <c r="N9" s="31">
        <f>INDEX(Table1[On Hand End of Month],MATCH(rrcworking[[#This Row],[RRC ID Number]],Table1[RRC Identifier],0))</f>
        <v>0</v>
      </c>
      <c r="O9" s="106" t="b">
        <f t="shared" si="0"/>
        <v>0</v>
      </c>
      <c r="P9" s="186"/>
      <c r="Q9" s="128">
        <f>rrcworking[[#This Row],[Last Month Closing Stock]]</f>
        <v>0</v>
      </c>
      <c r="R9" s="186">
        <f>rrcworking[[#This Row],[Opening Oil Stock]]</f>
        <v>0</v>
      </c>
      <c r="S9" s="147">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7">
        <f>IF(ISERROR(INDEX(Table2[GAS],MATCH(rrcworking[[#This Row],[Magnum Wolfpak '#]],Table2[Rox Wolf'#],0))),0,INDEX(Table2[GAS],MATCH(rrcworking[[#This Row],[Magnum Wolfpak '#]],Table2[Rox Wolf'#],0)))</f>
        <v>0</v>
      </c>
      <c r="W9" s="24"/>
      <c r="X9" s="136">
        <f>IF(rrcworking[[#This Row],[Pressure Base]]=14.73,rrcworking[[#This Row],[Gas Sales Statement Volume (MCF)]]*$R$2,rrcworking[[#This Row],[Gas Sales Statement Volume (MCF)]])</f>
        <v>0</v>
      </c>
      <c r="Y9" s="60"/>
      <c r="Z9" s="60"/>
      <c r="AA9" s="147">
        <f>IF(ISERROR(INDEX(Table2[LEASE USE],MATCH(rrcworking[[#This Row],[Magnum Wolfpak '#]],Table2[Rox Wolf'#],0))),0,INDEX(Table2[LEASE USE],MATCH(rrcworking[[#This Row],[Magnum Wolfpak '#]],Table2[Rox Wolf'#],0)))</f>
        <v>0</v>
      </c>
      <c r="AB9" s="57">
        <f>rrcworking[[#This Row],[Disposition Volume (MCF) @ 14.65 MCF]]+rrcworking[[#This Row],[Lease Use (MCF)]]</f>
        <v>0</v>
      </c>
      <c r="AC9" s="37"/>
      <c r="AD9" s="37"/>
      <c r="AE9" s="192">
        <f>COUNTIF(FilterList,rrcworking[[#This Row],[Magnum Wolfpak '#]])</f>
        <v>0</v>
      </c>
      <c r="AF9" s="189"/>
      <c r="AG9" s="190"/>
      <c r="AH9" s="37"/>
      <c r="AI9" s="37"/>
      <c r="AJ9" s="191"/>
      <c r="AK9" s="191"/>
      <c r="AL9" s="191"/>
      <c r="AM9" s="191"/>
      <c r="AN9" s="191"/>
      <c r="AO9" s="191"/>
      <c r="AP9" s="37" t="s">
        <v>1173</v>
      </c>
      <c r="AQ9" s="37" t="s">
        <v>1174</v>
      </c>
    </row>
    <row r="10" spans="3:43" ht="15">
      <c r="C10" s="80">
        <v>99229</v>
      </c>
      <c r="D10" s="62" t="s">
        <v>222</v>
      </c>
      <c r="E10" s="132" t="s">
        <v>223</v>
      </c>
      <c r="F10" s="130">
        <v>0</v>
      </c>
      <c r="G10" s="121" t="s">
        <v>1094</v>
      </c>
      <c r="H10" s="18" t="s">
        <v>619</v>
      </c>
      <c r="I10" s="18" t="s">
        <v>2</v>
      </c>
      <c r="J10" s="19" t="s">
        <v>500</v>
      </c>
      <c r="K10" s="103">
        <v>26834</v>
      </c>
      <c r="L10" s="101">
        <f>INDEX(Table1[Production],MATCH(rrcworking[[#This Row],[RRC ID Number]],Table1[RRC Identifier],0))</f>
        <v>502</v>
      </c>
      <c r="M10" s="30">
        <f>INDEX(Table1[Formation Production],MATCH(rrcworking[[#This Row],[RRC ID Number]],Table1[RRC Identifier],0))</f>
        <v>279</v>
      </c>
      <c r="N10" s="31">
        <f>INDEX(Table1[On Hand End of Month],MATCH(rrcworking[[#This Row],[RRC ID Number]],Table1[RRC Identifier],0))</f>
        <v>274</v>
      </c>
      <c r="O10" s="106" t="b">
        <f t="shared" si="0"/>
        <v>0</v>
      </c>
      <c r="P10" s="186">
        <v>469</v>
      </c>
      <c r="Q10" s="128">
        <f>rrcworking[[#This Row],[Last Month Closing Stock]]</f>
        <v>274</v>
      </c>
      <c r="R10" s="187">
        <v>214</v>
      </c>
      <c r="S10" s="147">
        <f>IF(ISERROR(INDEX(Table2[OIL],MATCH(rrcworking[[#This Row],[Magnum Wolfpak '#]],Table2[Rox Wolf'#],0))),0,INDEX(Table2[OIL],MATCH(rrcworking[[#This Row],[Magnum Wolfpak '#]],Table2[Rox Wolf'#],0)))</f>
        <v>542</v>
      </c>
      <c r="T10" s="35">
        <f>rrcworking[[#This Row],[Closing Stock (Oil)]]+rrcworking[[#This Row],[Sales/Dispostion]]-rrcworking[[#This Row],[Opening Oil Stock]]</f>
        <v>482</v>
      </c>
      <c r="U10" s="112">
        <f>rrcworking[[#This Row],[Gauge Sheet Prod Volume]]-rrcworking[[#This Row],[Oil Production]]</f>
        <v>-13</v>
      </c>
      <c r="V10" s="147">
        <f>IF(ISERROR(INDEX(Table2[GAS],MATCH(rrcworking[[#This Row],[Magnum Wolfpak '#]],Table2[Rox Wolf'#],0))),0,INDEX(Table2[GAS],MATCH(rrcworking[[#This Row],[Magnum Wolfpak '#]],Table2[Rox Wolf'#],0)))</f>
        <v>32</v>
      </c>
      <c r="W10" s="24"/>
      <c r="X10" s="136">
        <f>IF(rrcworking[[#This Row],[Pressure Base]]=14.73,rrcworking[[#This Row],[Gas Sales Statement Volume (MCF)]]*$R$2,rrcworking[[#This Row],[Gas Sales Statement Volume (MCF)]])</f>
        <v>32</v>
      </c>
      <c r="Y10" s="85"/>
      <c r="Z10" s="60">
        <v>1</v>
      </c>
      <c r="AA10" s="147">
        <f>IF(ISERROR(INDEX(Table2[LEASE USE],MATCH(rrcworking[[#This Row],[Magnum Wolfpak '#]],Table2[Rox Wolf'#],0))),0,INDEX(Table2[LEASE USE],MATCH(rrcworking[[#This Row],[Magnum Wolfpak '#]],Table2[Rox Wolf'#],0)))</f>
        <v>31</v>
      </c>
      <c r="AB10" s="57">
        <f>rrcworking[[#This Row],[Disposition Volume (MCF) @ 14.65 MCF]]+rrcworking[[#This Row],[Lease Use (MCF)]]</f>
        <v>63</v>
      </c>
      <c r="AC10" s="37"/>
      <c r="AD10" s="37"/>
      <c r="AE10" s="192">
        <f>COUNTIF(FilterList,rrcworking[[#This Row],[Magnum Wolfpak '#]])</f>
        <v>0</v>
      </c>
      <c r="AF10" s="189"/>
      <c r="AG10" s="190"/>
      <c r="AH10" s="37"/>
      <c r="AI10" s="190"/>
      <c r="AJ10" s="191">
        <v>3</v>
      </c>
      <c r="AK10" s="191" t="s">
        <v>1146</v>
      </c>
      <c r="AL10" s="191" t="s">
        <v>1146</v>
      </c>
      <c r="AM10" s="191" t="s">
        <v>1176</v>
      </c>
      <c r="AN10" s="191" t="s">
        <v>1175</v>
      </c>
      <c r="AO10" s="191" t="s">
        <v>1177</v>
      </c>
      <c r="AP10" s="37" t="s">
        <v>1173</v>
      </c>
      <c r="AQ10" s="37" t="s">
        <v>1178</v>
      </c>
    </row>
    <row r="11" spans="3:43" ht="15">
      <c r="C11" s="80" t="e">
        <v>#N/A</v>
      </c>
      <c r="D11" s="62" t="s">
        <v>226</v>
      </c>
      <c r="E11" s="132" t="s">
        <v>223</v>
      </c>
      <c r="F11" s="130" t="s">
        <v>227</v>
      </c>
      <c r="G11" s="121" t="s">
        <v>1094</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6"/>
      <c r="Q11" s="128">
        <f>rrcworking[[#This Row],[Last Month Closing Stock]]</f>
        <v>0</v>
      </c>
      <c r="R11" s="186">
        <f>rrcworking[[#This Row],[Opening Oil Stock]]</f>
        <v>0</v>
      </c>
      <c r="S11" s="147">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7">
        <f>IF(ISERROR(INDEX(Table2[GAS],MATCH(rrcworking[[#This Row],[Magnum Wolfpak '#]],Table2[Rox Wolf'#],0))),0,INDEX(Table2[GAS],MATCH(rrcworking[[#This Row],[Magnum Wolfpak '#]],Table2[Rox Wolf'#],0)))</f>
        <v>0</v>
      </c>
      <c r="W11" s="24"/>
      <c r="X11" s="136">
        <f>IF(rrcworking[[#This Row],[Pressure Base]]=14.73,rrcworking[[#This Row],[Gas Sales Statement Volume (MCF)]]*$R$2,rrcworking[[#This Row],[Gas Sales Statement Volume (MCF)]])</f>
        <v>0</v>
      </c>
      <c r="Y11" s="60"/>
      <c r="Z11" s="60"/>
      <c r="AA11" s="147">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92">
        <f>COUNTIF(FilterList,rrcworking[[#This Row],[Magnum Wolfpak '#]])</f>
        <v>0</v>
      </c>
      <c r="AF11" s="189"/>
      <c r="AG11" s="190"/>
      <c r="AH11" s="37"/>
      <c r="AI11" s="37"/>
      <c r="AJ11" s="37"/>
      <c r="AK11" s="37"/>
      <c r="AL11" s="37"/>
      <c r="AM11" s="37"/>
      <c r="AN11" s="37"/>
      <c r="AO11" s="37"/>
      <c r="AP11" s="37"/>
      <c r="AQ11" s="37"/>
    </row>
    <row r="12" spans="3:43" ht="15">
      <c r="C12" s="80" t="e">
        <v>#N/A</v>
      </c>
      <c r="D12" s="62" t="s">
        <v>146</v>
      </c>
      <c r="E12" s="132" t="s">
        <v>147</v>
      </c>
      <c r="F12" s="130">
        <v>0</v>
      </c>
      <c r="G12" s="121" t="s">
        <v>1094</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6"/>
      <c r="Q12" s="128">
        <f>rrcworking[[#This Row],[Last Month Closing Stock]]</f>
        <v>0</v>
      </c>
      <c r="R12" s="186">
        <f>rrcworking[[#This Row],[Opening Oil Stock]]</f>
        <v>0</v>
      </c>
      <c r="S12" s="147">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7">
        <f>IF(ISERROR(INDEX(Table2[GAS],MATCH(rrcworking[[#This Row],[Magnum Wolfpak '#]],Table2[Rox Wolf'#],0))),0,INDEX(Table2[GAS],MATCH(rrcworking[[#This Row],[Magnum Wolfpak '#]],Table2[Rox Wolf'#],0)))</f>
        <v>0</v>
      </c>
      <c r="W12" s="24"/>
      <c r="X12" s="136">
        <f>IF(rrcworking[[#This Row],[Pressure Base]]=14.73,rrcworking[[#This Row],[Gas Sales Statement Volume (MCF)]]*$R$2,rrcworking[[#This Row],[Gas Sales Statement Volume (MCF)]])</f>
        <v>0</v>
      </c>
      <c r="Y12" s="60"/>
      <c r="Z12" s="60"/>
      <c r="AA12" s="147">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92">
        <f>COUNTIF(FilterList,rrcworking[[#This Row],[Magnum Wolfpak '#]])</f>
        <v>0</v>
      </c>
      <c r="AF12" s="189"/>
      <c r="AG12" s="190"/>
      <c r="AH12" s="37"/>
      <c r="AI12" s="37"/>
      <c r="AJ12" s="37"/>
      <c r="AK12" s="37"/>
      <c r="AL12" s="37"/>
      <c r="AM12" s="37"/>
      <c r="AN12" s="37"/>
      <c r="AO12" s="37"/>
      <c r="AP12" s="37"/>
      <c r="AQ12" s="37"/>
    </row>
    <row r="13" spans="3:43" ht="45">
      <c r="C13" s="225">
        <v>99282</v>
      </c>
      <c r="D13" s="226" t="s">
        <v>1277</v>
      </c>
      <c r="E13" s="227" t="s">
        <v>1286</v>
      </c>
      <c r="F13" s="228" t="s">
        <v>58</v>
      </c>
      <c r="G13" s="229"/>
      <c r="H13" s="230" t="s">
        <v>619</v>
      </c>
      <c r="I13" s="231" t="s">
        <v>65</v>
      </c>
      <c r="J13" s="233" t="s">
        <v>1278</v>
      </c>
      <c r="K13" s="103">
        <v>819991</v>
      </c>
      <c r="L13" s="101" t="e">
        <f>INDEX(Table1[Production],MATCH(rrcworking[[#This Row],[RRC ID Number]],Table1[RRC Identifier],0))</f>
        <v>#N/A</v>
      </c>
      <c r="M13" s="30" t="e">
        <f>INDEX(Table1[Formation Production],MATCH(rrcworking[[#This Row],[RRC ID Number]],Table1[RRC Identifier],0))</f>
        <v>#N/A</v>
      </c>
      <c r="N13" s="234">
        <v>0</v>
      </c>
      <c r="O13" s="106" t="e">
        <f>IF(AND(L13=0,M13=0), TRUE, FALSE)</f>
        <v>#N/A</v>
      </c>
      <c r="P13" s="186">
        <v>197</v>
      </c>
      <c r="Q13" s="128">
        <f>rrcworking[[#This Row],[Last Month Closing Stock]]</f>
        <v>0</v>
      </c>
      <c r="R13" s="186">
        <v>197</v>
      </c>
      <c r="S13" s="147">
        <f>IF(ISERROR(INDEX(Table2[OIL],MATCH(rrcworking[[#This Row],[Magnum Wolfpak '#]],Table2[Rox Wolf'#],0))),0,INDEX(Table2[OIL],MATCH(rrcworking[[#This Row],[Magnum Wolfpak '#]],Table2[Rox Wolf'#],0)))</f>
        <v>0</v>
      </c>
      <c r="T13" s="35">
        <f>rrcworking[[#This Row],[Closing Stock (Oil)]]+rrcworking[[#This Row],[Sales/Dispostion]]-rrcworking[[#This Row],[Opening Oil Stock]]</f>
        <v>197</v>
      </c>
      <c r="U13" s="112">
        <f>rrcworking[[#This Row],[Gauge Sheet Prod Volume]]-rrcworking[[#This Row],[Oil Production]]</f>
        <v>0</v>
      </c>
      <c r="V13" s="147">
        <v>3206</v>
      </c>
      <c r="W13" s="24"/>
      <c r="X13" s="136">
        <f>IF(rrcworking[[#This Row],[Pressure Base]]=14.73,rrcworking[[#This Row],[Gas Sales Statement Volume (MCF)]]*$R$2,rrcworking[[#This Row],[Gas Sales Statement Volume (MCF)]])</f>
        <v>3206</v>
      </c>
      <c r="Y13" s="60"/>
      <c r="Z13" s="60"/>
      <c r="AA13" s="147">
        <f>IF(ISERROR(INDEX(Table2[LEASE USE],MATCH(rrcworking[[#This Row],[Magnum Wolfpak '#]],Table2[Rox Wolf'#],0))),0,INDEX(Table2[LEASE USE],MATCH(rrcworking[[#This Row],[Magnum Wolfpak '#]],Table2[Rox Wolf'#],0)))</f>
        <v>0</v>
      </c>
      <c r="AB13" s="57">
        <f>rrcworking[[#This Row],[Disposition Volume (MCF) @ 14.65 MCF]]+rrcworking[[#This Row],[Lease Use (MCF)]]</f>
        <v>3206</v>
      </c>
      <c r="AC13" s="37" t="s">
        <v>1281</v>
      </c>
      <c r="AD13" s="37"/>
      <c r="AE13" s="192">
        <f>COUNTIF(FilterList,rrcworking[[#This Row],[Magnum Wolfpak '#]])</f>
        <v>0</v>
      </c>
      <c r="AF13" s="189"/>
      <c r="AG13" s="190"/>
      <c r="AH13" s="37"/>
      <c r="AI13" s="37"/>
      <c r="AJ13" s="37">
        <v>2</v>
      </c>
      <c r="AK13" s="37" t="s">
        <v>1146</v>
      </c>
      <c r="AL13" s="37" t="s">
        <v>1146</v>
      </c>
      <c r="AM13" s="37" t="s">
        <v>1211</v>
      </c>
      <c r="AN13" s="37" t="s">
        <v>1146</v>
      </c>
      <c r="AO13" s="37" t="s">
        <v>1213</v>
      </c>
      <c r="AP13" s="37" t="s">
        <v>1279</v>
      </c>
      <c r="AQ13" s="37" t="s">
        <v>1280</v>
      </c>
    </row>
    <row r="14" spans="3:43" ht="30">
      <c r="C14" s="80">
        <v>93701</v>
      </c>
      <c r="D14" s="62" t="s">
        <v>93</v>
      </c>
      <c r="E14" s="132" t="s">
        <v>94</v>
      </c>
      <c r="F14" s="130">
        <v>1</v>
      </c>
      <c r="G14" s="121" t="s">
        <v>1094</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186"/>
      <c r="Q14" s="128">
        <f>rrcworking[[#This Row],[Last Month Closing Stock]]</f>
        <v>0</v>
      </c>
      <c r="R14" s="186">
        <f>rrcworking[[#This Row],[Opening Oil Stock]]</f>
        <v>0</v>
      </c>
      <c r="S14" s="147">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7">
        <f>IF(ISERROR(INDEX(Table2[GAS],MATCH(rrcworking[[#This Row],[Magnum Wolfpak '#]],Table2[Rox Wolf'#],0))),0,INDEX(Table2[GAS],MATCH(rrcworking[[#This Row],[Magnum Wolfpak '#]],Table2[Rox Wolf'#],0)))</f>
        <v>9</v>
      </c>
      <c r="W14" s="24"/>
      <c r="X14" s="136">
        <f>IF(rrcworking[[#This Row],[Pressure Base]]=14.73,rrcworking[[#This Row],[Gas Sales Statement Volume (MCF)]]*$R$2,rrcworking[[#This Row],[Gas Sales Statement Volume (MCF)]])</f>
        <v>9</v>
      </c>
      <c r="Y14" s="60"/>
      <c r="Z14" s="60"/>
      <c r="AA14" s="147">
        <f>IF(ISERROR(INDEX(Table2[LEASE USE],MATCH(rrcworking[[#This Row],[Magnum Wolfpak '#]],Table2[Rox Wolf'#],0))),0,INDEX(Table2[LEASE USE],MATCH(rrcworking[[#This Row],[Magnum Wolfpak '#]],Table2[Rox Wolf'#],0)))</f>
        <v>0</v>
      </c>
      <c r="AB14" s="57">
        <f>rrcworking[[#This Row],[Disposition Volume (MCF) @ 14.65 MCF]]+rrcworking[[#This Row],[Lease Use (MCF)]]</f>
        <v>9</v>
      </c>
      <c r="AC14" s="37"/>
      <c r="AD14" s="37"/>
      <c r="AE14" s="192">
        <f>COUNTIF(FilterList,rrcworking[[#This Row],[Magnum Wolfpak '#]])</f>
        <v>0</v>
      </c>
      <c r="AF14" s="189"/>
      <c r="AG14" s="190"/>
      <c r="AH14" s="37"/>
      <c r="AI14" s="37"/>
      <c r="AJ14" s="37"/>
      <c r="AK14" s="37"/>
      <c r="AL14" s="37"/>
      <c r="AM14" s="37"/>
      <c r="AN14" s="37"/>
      <c r="AO14" s="37"/>
      <c r="AP14" s="37" t="s">
        <v>1173</v>
      </c>
      <c r="AQ14" s="37" t="s">
        <v>1179</v>
      </c>
    </row>
    <row r="15" spans="3:43" ht="15">
      <c r="C15" s="80" t="e">
        <v>#N/A</v>
      </c>
      <c r="D15" s="62" t="s">
        <v>303</v>
      </c>
      <c r="E15" s="132" t="s">
        <v>304</v>
      </c>
      <c r="F15" s="130">
        <v>0</v>
      </c>
      <c r="G15" s="121" t="s">
        <v>1094</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6"/>
      <c r="Q15" s="128">
        <f>rrcworking[[#This Row],[Last Month Closing Stock]]</f>
        <v>0</v>
      </c>
      <c r="R15" s="186">
        <f>rrcworking[[#This Row],[Opening Oil Stock]]</f>
        <v>0</v>
      </c>
      <c r="S15" s="147">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7">
        <f>IF(ISERROR(INDEX(Table2[GAS],MATCH(rrcworking[[#This Row],[Magnum Wolfpak '#]],Table2[Rox Wolf'#],0))),0,INDEX(Table2[GAS],MATCH(rrcworking[[#This Row],[Magnum Wolfpak '#]],Table2[Rox Wolf'#],0)))</f>
        <v>0</v>
      </c>
      <c r="W15" s="24"/>
      <c r="X15" s="136">
        <f>IF(rrcworking[[#This Row],[Pressure Base]]=14.73,rrcworking[[#This Row],[Gas Sales Statement Volume (MCF)]]*$R$2,rrcworking[[#This Row],[Gas Sales Statement Volume (MCF)]])</f>
        <v>0</v>
      </c>
      <c r="Y15" s="60"/>
      <c r="Z15" s="60"/>
      <c r="AA15" s="147">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92">
        <f>COUNTIF(FilterList,rrcworking[[#This Row],[Magnum Wolfpak '#]])</f>
        <v>0</v>
      </c>
      <c r="AF15" s="189"/>
      <c r="AG15" s="190"/>
      <c r="AH15" s="37"/>
      <c r="AI15" s="37"/>
      <c r="AJ15" s="37"/>
      <c r="AK15" s="37"/>
      <c r="AL15" s="37"/>
      <c r="AM15" s="37"/>
      <c r="AN15" s="37"/>
      <c r="AO15" s="37"/>
      <c r="AP15" s="37"/>
      <c r="AQ15" s="37"/>
    </row>
    <row r="16" spans="3:43" ht="15">
      <c r="C16" s="80" t="e">
        <v>#N/A</v>
      </c>
      <c r="D16" s="62" t="s">
        <v>74</v>
      </c>
      <c r="E16" s="132" t="s">
        <v>75</v>
      </c>
      <c r="F16" s="130" t="s">
        <v>76</v>
      </c>
      <c r="G16" s="121" t="s">
        <v>1094</v>
      </c>
      <c r="H16" s="18" t="s">
        <v>618</v>
      </c>
      <c r="I16" s="18" t="s">
        <v>59</v>
      </c>
      <c r="J16" s="19" t="s">
        <v>416</v>
      </c>
      <c r="K16" s="103">
        <v>127436</v>
      </c>
      <c r="L16" s="143">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6"/>
      <c r="Q16" s="128">
        <f>rrcworking[[#This Row],[Last Month Closing Stock]]</f>
        <v>0</v>
      </c>
      <c r="R16" s="186">
        <f>rrcworking[[#This Row],[Opening Oil Stock]]</f>
        <v>0</v>
      </c>
      <c r="S16" s="147">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7">
        <f>IF(ISERROR(INDEX(Table2[GAS],MATCH(rrcworking[[#This Row],[Magnum Wolfpak '#]],Table2[Rox Wolf'#],0))),0,INDEX(Table2[GAS],MATCH(rrcworking[[#This Row],[Magnum Wolfpak '#]],Table2[Rox Wolf'#],0)))</f>
        <v>0</v>
      </c>
      <c r="W16" s="24"/>
      <c r="X16" s="136">
        <f>IF(rrcworking[[#This Row],[Pressure Base]]=14.73,rrcworking[[#This Row],[Gas Sales Statement Volume (MCF)]]*$R$2,rrcworking[[#This Row],[Gas Sales Statement Volume (MCF)]])</f>
        <v>0</v>
      </c>
      <c r="Y16" s="60"/>
      <c r="Z16" s="60"/>
      <c r="AA16" s="147">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92">
        <f>COUNTIF(FilterList,rrcworking[[#This Row],[Magnum Wolfpak '#]])</f>
        <v>0</v>
      </c>
      <c r="AF16" s="189"/>
      <c r="AG16" s="190"/>
      <c r="AH16" s="37"/>
      <c r="AI16" s="37"/>
      <c r="AJ16" s="37"/>
      <c r="AK16" s="37"/>
      <c r="AL16" s="37"/>
      <c r="AM16" s="37"/>
      <c r="AN16" s="37"/>
      <c r="AO16" s="37"/>
      <c r="AP16" s="37"/>
      <c r="AQ16" s="37"/>
    </row>
    <row r="17" spans="3:43" ht="30">
      <c r="C17" s="80">
        <v>99230</v>
      </c>
      <c r="D17" s="62" t="s">
        <v>172</v>
      </c>
      <c r="E17" s="133" t="s">
        <v>171</v>
      </c>
      <c r="F17" s="130">
        <v>2</v>
      </c>
      <c r="G17" s="121" t="s">
        <v>1094</v>
      </c>
      <c r="H17" s="18" t="s">
        <v>619</v>
      </c>
      <c r="I17" s="18" t="s">
        <v>59</v>
      </c>
      <c r="J17" s="19" t="s">
        <v>473</v>
      </c>
      <c r="K17" s="103">
        <v>279199</v>
      </c>
      <c r="L17" s="101">
        <f>INDEX(Table1[Production],MATCH(rrcworking[[#This Row],[RRC ID Number]],Table1[RRC Identifier],0))</f>
        <v>210</v>
      </c>
      <c r="M17" s="30">
        <f>INDEX(Table1[Formation Production],MATCH(rrcworking[[#This Row],[RRC ID Number]],Table1[RRC Identifier],0))</f>
        <v>1893</v>
      </c>
      <c r="N17" s="31">
        <f>INDEX(Table1[On Hand End of Month],MATCH(rrcworking[[#This Row],[RRC ID Number]],Table1[RRC Identifier],0))</f>
        <v>53</v>
      </c>
      <c r="O17" s="106" t="b">
        <f t="shared" si="0"/>
        <v>0</v>
      </c>
      <c r="P17" s="186">
        <v>449</v>
      </c>
      <c r="Q17" s="128">
        <f>rrcworking[[#This Row],[Last Month Closing Stock]]</f>
        <v>53</v>
      </c>
      <c r="R17" s="187">
        <v>137</v>
      </c>
      <c r="S17" s="147">
        <f>IF(ISERROR(INDEX(Table2[OIL],MATCH(rrcworking[[#This Row],[Magnum Wolfpak '#]],Table2[Rox Wolf'#],0))),0,INDEX(Table2[OIL],MATCH(rrcworking[[#This Row],[Magnum Wolfpak '#]],Table2[Rox Wolf'#],0)))</f>
        <v>367</v>
      </c>
      <c r="T17" s="35">
        <f>rrcworking[[#This Row],[Closing Stock (Oil)]]+rrcworking[[#This Row],[Sales/Dispostion]]-rrcworking[[#This Row],[Opening Oil Stock]]</f>
        <v>451</v>
      </c>
      <c r="U17" s="112">
        <f>rrcworking[[#This Row],[Gauge Sheet Prod Volume]]-rrcworking[[#This Row],[Oil Production]]</f>
        <v>-2</v>
      </c>
      <c r="V17" s="147">
        <f>IF(ISERROR(INDEX(Table2[GAS],MATCH(rrcworking[[#This Row],[Magnum Wolfpak '#]],Table2[Rox Wolf'#],0))),0,INDEX(Table2[GAS],MATCH(rrcworking[[#This Row],[Magnum Wolfpak '#]],Table2[Rox Wolf'#],0)))</f>
        <v>3137</v>
      </c>
      <c r="W17" s="24"/>
      <c r="X17" s="136">
        <f>IF(rrcworking[[#This Row],[Pressure Base]]=14.73,rrcworking[[#This Row],[Gas Sales Statement Volume (MCF)]]*$R$2,rrcworking[[#This Row],[Gas Sales Statement Volume (MCF)]])</f>
        <v>3137</v>
      </c>
      <c r="Y17" s="60"/>
      <c r="Z17" s="60"/>
      <c r="AA17" s="147">
        <f>IF(ISERROR(INDEX(Table2[LEASE USE],MATCH(rrcworking[[#This Row],[Magnum Wolfpak '#]],Table2[Rox Wolf'#],0))),0,INDEX(Table2[LEASE USE],MATCH(rrcworking[[#This Row],[Magnum Wolfpak '#]],Table2[Rox Wolf'#],0)))</f>
        <v>0</v>
      </c>
      <c r="AB17" s="57">
        <f>rrcworking[[#This Row],[Disposition Volume (MCF) @ 14.65 MCF]]+rrcworking[[#This Row],[Lease Use (MCF)]]</f>
        <v>3137</v>
      </c>
      <c r="AC17" s="37"/>
      <c r="AD17" s="37"/>
      <c r="AE17" s="192">
        <f>COUNTIF(FilterList,rrcworking[[#This Row],[Magnum Wolfpak '#]])</f>
        <v>0</v>
      </c>
      <c r="AF17" s="189"/>
      <c r="AG17" s="190"/>
      <c r="AH17" s="37"/>
      <c r="AI17" s="190"/>
      <c r="AJ17" s="37">
        <v>1</v>
      </c>
      <c r="AK17" s="37" t="s">
        <v>1146</v>
      </c>
      <c r="AL17" s="37" t="s">
        <v>1146</v>
      </c>
      <c r="AM17" s="37" t="s">
        <v>1180</v>
      </c>
      <c r="AN17" s="37" t="s">
        <v>1146</v>
      </c>
      <c r="AO17" s="37" t="s">
        <v>1181</v>
      </c>
      <c r="AP17" s="37" t="s">
        <v>1182</v>
      </c>
      <c r="AQ17" s="37" t="s">
        <v>1183</v>
      </c>
    </row>
    <row r="18" spans="3:43" ht="15">
      <c r="C18" s="80" t="e">
        <v>#N/A</v>
      </c>
      <c r="D18" s="62" t="s">
        <v>170</v>
      </c>
      <c r="E18" s="132" t="s">
        <v>171</v>
      </c>
      <c r="F18" s="130">
        <v>1</v>
      </c>
      <c r="G18" s="121" t="s">
        <v>1094</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6"/>
      <c r="Q18" s="128">
        <f>rrcworking[[#This Row],[Last Month Closing Stock]]</f>
        <v>0</v>
      </c>
      <c r="R18" s="186">
        <f>rrcworking[[#This Row],[Opening Oil Stock]]</f>
        <v>0</v>
      </c>
      <c r="S18" s="147">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7">
        <f>IF(ISERROR(INDEX(Table2[GAS],MATCH(rrcworking[[#This Row],[Magnum Wolfpak '#]],Table2[Rox Wolf'#],0))),0,INDEX(Table2[GAS],MATCH(rrcworking[[#This Row],[Magnum Wolfpak '#]],Table2[Rox Wolf'#],0)))</f>
        <v>0</v>
      </c>
      <c r="W18" s="24"/>
      <c r="X18" s="136">
        <f>IF(rrcworking[[#This Row],[Pressure Base]]=14.73,rrcworking[[#This Row],[Gas Sales Statement Volume (MCF)]]*$R$2,rrcworking[[#This Row],[Gas Sales Statement Volume (MCF)]])</f>
        <v>0</v>
      </c>
      <c r="Y18" s="60"/>
      <c r="Z18" s="60"/>
      <c r="AA18" s="147">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92">
        <f>COUNTIF(FilterList,rrcworking[[#This Row],[Magnum Wolfpak '#]])</f>
        <v>0</v>
      </c>
      <c r="AF18" s="189"/>
      <c r="AG18" s="190"/>
      <c r="AH18" s="37"/>
      <c r="AI18" s="37"/>
      <c r="AJ18" s="37"/>
      <c r="AK18" s="37"/>
      <c r="AL18" s="37"/>
      <c r="AM18" s="37"/>
      <c r="AN18" s="37"/>
      <c r="AO18" s="37"/>
      <c r="AP18" s="37"/>
      <c r="AQ18" s="37"/>
    </row>
    <row r="19" spans="3:43" ht="15">
      <c r="C19" s="80" t="e">
        <v>#N/A</v>
      </c>
      <c r="D19" s="62" t="s">
        <v>85</v>
      </c>
      <c r="E19" s="132" t="s">
        <v>87</v>
      </c>
      <c r="F19" s="130">
        <v>1</v>
      </c>
      <c r="G19" s="121" t="s">
        <v>1094</v>
      </c>
      <c r="H19" s="18" t="s">
        <v>618</v>
      </c>
      <c r="I19" s="18" t="s">
        <v>59</v>
      </c>
      <c r="J19" s="19" t="s">
        <v>421</v>
      </c>
      <c r="K19" s="103">
        <v>200525</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6"/>
      <c r="Q19" s="128">
        <f>rrcworking[[#This Row],[Last Month Closing Stock]]</f>
        <v>0</v>
      </c>
      <c r="R19" s="186">
        <f>rrcworking[[#This Row],[Opening Oil Stock]]</f>
        <v>0</v>
      </c>
      <c r="S19" s="147">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7">
        <f>IF(ISERROR(INDEX(Table2[GAS],MATCH(rrcworking[[#This Row],[Magnum Wolfpak '#]],Table2[Rox Wolf'#],0))),0,INDEX(Table2[GAS],MATCH(rrcworking[[#This Row],[Magnum Wolfpak '#]],Table2[Rox Wolf'#],0)))</f>
        <v>0</v>
      </c>
      <c r="W19" s="24"/>
      <c r="X19" s="136">
        <f>IF(rrcworking[[#This Row],[Pressure Base]]=14.73,rrcworking[[#This Row],[Gas Sales Statement Volume (MCF)]]*$R$2,rrcworking[[#This Row],[Gas Sales Statement Volume (MCF)]])</f>
        <v>0</v>
      </c>
      <c r="Y19" s="60"/>
      <c r="Z19" s="60"/>
      <c r="AA19" s="147">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92">
        <f>COUNTIF(FilterList,rrcworking[[#This Row],[Magnum Wolfpak '#]])</f>
        <v>0</v>
      </c>
      <c r="AF19" s="189"/>
      <c r="AG19" s="190"/>
      <c r="AH19" s="37"/>
      <c r="AI19" s="37"/>
      <c r="AJ19" s="37"/>
      <c r="AK19" s="37"/>
      <c r="AL19" s="37"/>
      <c r="AM19" s="37"/>
      <c r="AN19" s="37"/>
      <c r="AO19" s="37"/>
      <c r="AP19" s="37"/>
      <c r="AQ19" s="37"/>
    </row>
    <row r="20" spans="3:43" ht="15">
      <c r="C20" s="80" t="e">
        <v>#N/A</v>
      </c>
      <c r="D20" s="62" t="s">
        <v>380</v>
      </c>
      <c r="E20" s="132" t="s">
        <v>381</v>
      </c>
      <c r="F20" s="130">
        <v>0</v>
      </c>
      <c r="G20" s="121" t="s">
        <v>1094</v>
      </c>
      <c r="H20" s="18" t="s">
        <v>620</v>
      </c>
      <c r="I20" s="18" t="s">
        <v>2</v>
      </c>
      <c r="J20" s="19" t="s">
        <v>595</v>
      </c>
      <c r="K20" s="103">
        <v>12803</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6"/>
      <c r="Q20" s="128">
        <f>rrcworking[[#This Row],[Last Month Closing Stock]]</f>
        <v>0</v>
      </c>
      <c r="R20" s="186">
        <f>rrcworking[[#This Row],[Opening Oil Stock]]</f>
        <v>0</v>
      </c>
      <c r="S20" s="147">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7">
        <f>IF(ISERROR(INDEX(Table2[GAS],MATCH(rrcworking[[#This Row],[Magnum Wolfpak '#]],Table2[Rox Wolf'#],0))),0,INDEX(Table2[GAS],MATCH(rrcworking[[#This Row],[Magnum Wolfpak '#]],Table2[Rox Wolf'#],0)))</f>
        <v>0</v>
      </c>
      <c r="W20" s="24"/>
      <c r="X20" s="136">
        <f>IF(rrcworking[[#This Row],[Pressure Base]]=14.73,rrcworking[[#This Row],[Gas Sales Statement Volume (MCF)]]*$R$2,rrcworking[[#This Row],[Gas Sales Statement Volume (MCF)]])</f>
        <v>0</v>
      </c>
      <c r="Y20" s="60"/>
      <c r="Z20" s="60"/>
      <c r="AA20" s="147">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92">
        <f>COUNTIF(FilterList,rrcworking[[#This Row],[Magnum Wolfpak '#]])</f>
        <v>0</v>
      </c>
      <c r="AF20" s="189"/>
      <c r="AG20" s="190"/>
      <c r="AH20" s="37"/>
      <c r="AI20" s="37"/>
      <c r="AJ20" s="37"/>
      <c r="AK20" s="37"/>
      <c r="AL20" s="37"/>
      <c r="AM20" s="37"/>
      <c r="AN20" s="37"/>
      <c r="AO20" s="37"/>
      <c r="AP20" s="37"/>
      <c r="AQ20" s="37"/>
    </row>
    <row r="21" spans="3:43" ht="15">
      <c r="C21" s="80" t="e">
        <v>#N/A</v>
      </c>
      <c r="D21" s="62" t="s">
        <v>382</v>
      </c>
      <c r="E21" s="132" t="s">
        <v>384</v>
      </c>
      <c r="F21" s="130">
        <v>0</v>
      </c>
      <c r="G21" s="121" t="s">
        <v>1094</v>
      </c>
      <c r="H21" s="18" t="s">
        <v>620</v>
      </c>
      <c r="I21" s="18" t="s">
        <v>2</v>
      </c>
      <c r="J21" s="19" t="s">
        <v>597</v>
      </c>
      <c r="K21" s="103">
        <v>8717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0</v>
      </c>
      <c r="O21" s="106" t="b">
        <f t="shared" si="0"/>
        <v>1</v>
      </c>
      <c r="P21" s="186"/>
      <c r="Q21" s="128">
        <f>rrcworking[[#This Row],[Last Month Closing Stock]]</f>
        <v>0</v>
      </c>
      <c r="R21" s="186">
        <f>rrcworking[[#This Row],[Opening Oil Stock]]</f>
        <v>0</v>
      </c>
      <c r="S21" s="147">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7">
        <f>IF(ISERROR(INDEX(Table2[GAS],MATCH(rrcworking[[#This Row],[Magnum Wolfpak '#]],Table2[Rox Wolf'#],0))),0,INDEX(Table2[GAS],MATCH(rrcworking[[#This Row],[Magnum Wolfpak '#]],Table2[Rox Wolf'#],0)))</f>
        <v>0</v>
      </c>
      <c r="W21" s="24"/>
      <c r="X21" s="136">
        <f>IF(rrcworking[[#This Row],[Pressure Base]]=14.73,rrcworking[[#This Row],[Gas Sales Statement Volume (MCF)]]*$R$2,rrcworking[[#This Row],[Gas Sales Statement Volume (MCF)]])</f>
        <v>0</v>
      </c>
      <c r="Y21" s="60"/>
      <c r="Z21" s="60"/>
      <c r="AA21" s="147">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92">
        <f>COUNTIF(FilterList,rrcworking[[#This Row],[Magnum Wolfpak '#]])</f>
        <v>0</v>
      </c>
      <c r="AF21" s="189"/>
      <c r="AG21" s="190"/>
      <c r="AH21" s="37"/>
      <c r="AI21" s="37"/>
      <c r="AJ21" s="37"/>
      <c r="AK21" s="37"/>
      <c r="AL21" s="37"/>
      <c r="AM21" s="37"/>
      <c r="AN21" s="37"/>
      <c r="AO21" s="37"/>
      <c r="AP21" s="37"/>
      <c r="AQ21" s="37"/>
    </row>
    <row r="22" spans="3:43" ht="15">
      <c r="C22" s="80">
        <v>98201</v>
      </c>
      <c r="D22" s="62" t="s">
        <v>130</v>
      </c>
      <c r="E22" s="132" t="s">
        <v>131</v>
      </c>
      <c r="F22" s="130">
        <v>1</v>
      </c>
      <c r="G22" s="121" t="s">
        <v>1094</v>
      </c>
      <c r="H22" s="18" t="s">
        <v>618</v>
      </c>
      <c r="I22" s="18" t="s">
        <v>59</v>
      </c>
      <c r="J22" s="19" t="s">
        <v>448</v>
      </c>
      <c r="K22" s="103">
        <v>133437</v>
      </c>
      <c r="L22" s="101">
        <f>INDEX(Table1[Production],MATCH(rrcworking[[#This Row],[RRC ID Number]],Table1[RRC Identifier],0))</f>
        <v>0</v>
      </c>
      <c r="M22" s="30">
        <f>INDEX(Table1[Formation Production],MATCH(rrcworking[[#This Row],[RRC ID Number]],Table1[RRC Identifier],0))</f>
        <v>0</v>
      </c>
      <c r="N22" s="31">
        <f>INDEX(Table1[On Hand End of Month],MATCH(rrcworking[[#This Row],[RRC ID Number]],Table1[RRC Identifier],0))</f>
        <v>166</v>
      </c>
      <c r="O22" s="106" t="b">
        <f t="shared" si="0"/>
        <v>1</v>
      </c>
      <c r="P22" s="186"/>
      <c r="Q22" s="128">
        <f>rrcworking[[#This Row],[Last Month Closing Stock]]</f>
        <v>166</v>
      </c>
      <c r="R22" s="186">
        <v>166</v>
      </c>
      <c r="S22" s="147">
        <f>IF(ISERROR(INDEX(Table2[OIL],MATCH(rrcworking[[#This Row],[Magnum Wolfpak '#]],Table2[Rox Wolf'#],0))),0,INDEX(Table2[OIL],MATCH(rrcworking[[#This Row],[Magnum Wolfpak '#]],Table2[Rox Wolf'#],0)))</f>
        <v>0</v>
      </c>
      <c r="T22" s="35">
        <f>rrcworking[[#This Row],[Closing Stock (Oil)]]+rrcworking[[#This Row],[Sales/Dispostion]]-rrcworking[[#This Row],[Opening Oil Stock]]</f>
        <v>0</v>
      </c>
      <c r="U22" s="112">
        <f>rrcworking[[#This Row],[Gauge Sheet Prod Volume]]-rrcworking[[#This Row],[Oil Production]]</f>
        <v>0</v>
      </c>
      <c r="V22" s="147">
        <f>IF(ISERROR(INDEX(Table2[GAS],MATCH(rrcworking[[#This Row],[Magnum Wolfpak '#]],Table2[Rox Wolf'#],0))),0,INDEX(Table2[GAS],MATCH(rrcworking[[#This Row],[Magnum Wolfpak '#]],Table2[Rox Wolf'#],0)))</f>
        <v>0</v>
      </c>
      <c r="W22" s="24"/>
      <c r="X22" s="136">
        <f>IF(rrcworking[[#This Row],[Pressure Base]]=14.73,rrcworking[[#This Row],[Gas Sales Statement Volume (MCF)]]*$R$2,rrcworking[[#This Row],[Gas Sales Statement Volume (MCF)]])</f>
        <v>0</v>
      </c>
      <c r="Y22" s="60"/>
      <c r="Z22" s="60"/>
      <c r="AA22" s="147">
        <f>IF(ISERROR(INDEX(Table2[LEASE USE],MATCH(rrcworking[[#This Row],[Magnum Wolfpak '#]],Table2[Rox Wolf'#],0))),0,INDEX(Table2[LEASE USE],MATCH(rrcworking[[#This Row],[Magnum Wolfpak '#]],Table2[Rox Wolf'#],0)))</f>
        <v>0</v>
      </c>
      <c r="AB22" s="57">
        <f>rrcworking[[#This Row],[Disposition Volume (MCF) @ 14.65 MCF]]+rrcworking[[#This Row],[Lease Use (MCF)]]</f>
        <v>0</v>
      </c>
      <c r="AC22" s="37"/>
      <c r="AD22" s="37"/>
      <c r="AE22" s="192">
        <f>COUNTIF(FilterList,rrcworking[[#This Row],[Magnum Wolfpak '#]])</f>
        <v>1</v>
      </c>
      <c r="AF22" s="189"/>
      <c r="AG22" s="190"/>
      <c r="AH22" s="37"/>
      <c r="AI22" s="190"/>
      <c r="AJ22" s="191"/>
      <c r="AK22" s="191"/>
      <c r="AL22" s="191"/>
      <c r="AM22" s="191"/>
      <c r="AN22" s="191"/>
      <c r="AO22" s="191"/>
      <c r="AP22" s="37" t="s">
        <v>1173</v>
      </c>
      <c r="AQ22" s="37" t="s">
        <v>1184</v>
      </c>
    </row>
    <row r="23" spans="3:43" ht="15">
      <c r="C23" s="80">
        <v>99294</v>
      </c>
      <c r="D23" s="62" t="s">
        <v>185</v>
      </c>
      <c r="E23" s="132" t="s">
        <v>182</v>
      </c>
      <c r="F23" s="141" t="s">
        <v>1097</v>
      </c>
      <c r="G23" s="121" t="s">
        <v>1094</v>
      </c>
      <c r="H23" s="18" t="s">
        <v>619</v>
      </c>
      <c r="I23" s="18" t="s">
        <v>2</v>
      </c>
      <c r="J23" s="19" t="s">
        <v>481</v>
      </c>
      <c r="K23" s="103">
        <v>27236</v>
      </c>
      <c r="L23" s="101">
        <f>INDEX(Table1[Production],MATCH(rrcworking[[#This Row],[RRC ID Number]],Table1[RRC Identifier],0))</f>
        <v>579</v>
      </c>
      <c r="M23" s="30">
        <f>INDEX(Table1[Formation Production],MATCH(rrcworking[[#This Row],[RRC ID Number]],Table1[RRC Identifier],0))</f>
        <v>525</v>
      </c>
      <c r="N23" s="31">
        <f>INDEX(Table1[On Hand End of Month],MATCH(rrcworking[[#This Row],[RRC ID Number]],Table1[RRC Identifier],0))</f>
        <v>374</v>
      </c>
      <c r="O23" s="106" t="b">
        <f t="shared" si="0"/>
        <v>0</v>
      </c>
      <c r="P23" s="186">
        <v>888</v>
      </c>
      <c r="Q23" s="128">
        <f>rrcworking[[#This Row],[Last Month Closing Stock]]</f>
        <v>374</v>
      </c>
      <c r="R23" s="187">
        <v>172</v>
      </c>
      <c r="S23" s="147">
        <f>IF(ISERROR(INDEX(Table2[OIL],MATCH(rrcworking[[#This Row],[Magnum Wolfpak '#]],Table2[Rox Wolf'#],0))),0,INDEX(Table2[OIL],MATCH(rrcworking[[#This Row],[Magnum Wolfpak '#]],Table2[Rox Wolf'#],0)))</f>
        <v>1010</v>
      </c>
      <c r="T23" s="35">
        <f>rrcworking[[#This Row],[Closing Stock (Oil)]]+rrcworking[[#This Row],[Sales/Dispostion]]-rrcworking[[#This Row],[Opening Oil Stock]]</f>
        <v>808</v>
      </c>
      <c r="U23" s="112">
        <f>rrcworking[[#This Row],[Gauge Sheet Prod Volume]]-rrcworking[[#This Row],[Oil Production]]</f>
        <v>80</v>
      </c>
      <c r="V23" s="147">
        <f>IF(ISERROR(INDEX(Table2[GAS],MATCH(rrcworking[[#This Row],[Magnum Wolfpak '#]],Table2[Rox Wolf'#],0))),0,INDEX(Table2[GAS],MATCH(rrcworking[[#This Row],[Magnum Wolfpak '#]],Table2[Rox Wolf'#],0)))</f>
        <v>839</v>
      </c>
      <c r="W23" s="24"/>
      <c r="X23" s="136">
        <f>IF(rrcworking[[#This Row],[Pressure Base]]=14.73,rrcworking[[#This Row],[Gas Sales Statement Volume (MCF)]]*$R$2,rrcworking[[#This Row],[Gas Sales Statement Volume (MCF)]])</f>
        <v>839</v>
      </c>
      <c r="Y23" s="85"/>
      <c r="Z23" s="60">
        <v>1</v>
      </c>
      <c r="AA23" s="147">
        <f>IF(ISERROR(INDEX(Table2[LEASE USE],MATCH(rrcworking[[#This Row],[Magnum Wolfpak '#]],Table2[Rox Wolf'#],0))),0,INDEX(Table2[LEASE USE],MATCH(rrcworking[[#This Row],[Magnum Wolfpak '#]],Table2[Rox Wolf'#],0)))</f>
        <v>31</v>
      </c>
      <c r="AB23" s="57">
        <f>rrcworking[[#This Row],[Disposition Volume (MCF) @ 14.65 MCF]]+rrcworking[[#This Row],[Lease Use (MCF)]]</f>
        <v>870</v>
      </c>
      <c r="AC23" s="37"/>
      <c r="AD23" s="37"/>
      <c r="AE23" s="192">
        <f>COUNTIF(FilterList,rrcworking[[#This Row],[Magnum Wolfpak '#]])</f>
        <v>0</v>
      </c>
      <c r="AF23" s="189"/>
      <c r="AG23" s="190"/>
      <c r="AH23" s="37"/>
      <c r="AI23" s="190"/>
      <c r="AJ23" s="37">
        <v>1</v>
      </c>
      <c r="AK23" s="37" t="s">
        <v>1146</v>
      </c>
      <c r="AL23" s="37" t="s">
        <v>1175</v>
      </c>
      <c r="AM23" s="37" t="s">
        <v>1185</v>
      </c>
      <c r="AN23" s="37" t="s">
        <v>1175</v>
      </c>
      <c r="AO23" s="37" t="s">
        <v>1186</v>
      </c>
      <c r="AP23" s="37" t="s">
        <v>1187</v>
      </c>
      <c r="AQ23" s="37" t="s">
        <v>1188</v>
      </c>
    </row>
    <row r="24" spans="3:43" ht="15">
      <c r="C24" s="80" t="e">
        <v>#N/A</v>
      </c>
      <c r="D24" s="62" t="s">
        <v>307</v>
      </c>
      <c r="E24" s="132" t="s">
        <v>182</v>
      </c>
      <c r="F24" s="130" t="s">
        <v>1245</v>
      </c>
      <c r="G24" s="121" t="s">
        <v>1094</v>
      </c>
      <c r="H24" s="18" t="s">
        <v>619</v>
      </c>
      <c r="I24" s="18" t="s">
        <v>59</v>
      </c>
      <c r="J24" s="19" t="s">
        <v>552</v>
      </c>
      <c r="K24" s="103">
        <v>283360</v>
      </c>
      <c r="L24" s="101">
        <f>INDEX(Table1[Production],MATCH(rrcworking[[#This Row],[RRC ID Number]],Table1[RRC Identifier],0))</f>
        <v>0</v>
      </c>
      <c r="M24" s="30">
        <f>INDEX(Table1[Formation Production],MATCH(rrcworking[[#This Row],[RRC ID Number]],Table1[RRC Identifier],0))</f>
        <v>0</v>
      </c>
      <c r="N24" s="31">
        <f>INDEX(Table1[On Hand End of Month],MATCH(rrcworking[[#This Row],[RRC ID Number]],Table1[RRC Identifier],0))</f>
        <v>134</v>
      </c>
      <c r="O24" s="106" t="b">
        <f t="shared" si="0"/>
        <v>1</v>
      </c>
      <c r="P24" s="186"/>
      <c r="Q24" s="128">
        <f>rrcworking[[#This Row],[Last Month Closing Stock]]</f>
        <v>134</v>
      </c>
      <c r="R24" s="186">
        <f>rrcworking[[#This Row],[Opening Oil Stock]]</f>
        <v>134</v>
      </c>
      <c r="S24" s="147">
        <f>IF(ISERROR(INDEX(Table2[OIL],MATCH(rrcworking[[#This Row],[Magnum Wolfpak '#]],Table2[Rox Wolf'#],0))),0,INDEX(Table2[OIL],MATCH(rrcworking[[#This Row],[Magnum Wolfpak '#]],Table2[Rox Wolf'#],0)))</f>
        <v>0</v>
      </c>
      <c r="T24" s="35">
        <f>rrcworking[[#This Row],[Closing Stock (Oil)]]+rrcworking[[#This Row],[Sales/Dispostion]]-rrcworking[[#This Row],[Opening Oil Stock]]</f>
        <v>0</v>
      </c>
      <c r="U24" s="112">
        <f>rrcworking[[#This Row],[Gauge Sheet Prod Volume]]-rrcworking[[#This Row],[Oil Production]]</f>
        <v>0</v>
      </c>
      <c r="V24" s="147">
        <f>IF(ISERROR(INDEX(Table2[GAS],MATCH(rrcworking[[#This Row],[Magnum Wolfpak '#]],Table2[Rox Wolf'#],0))),0,INDEX(Table2[GAS],MATCH(rrcworking[[#This Row],[Magnum Wolfpak '#]],Table2[Rox Wolf'#],0)))</f>
        <v>0</v>
      </c>
      <c r="W24" s="24"/>
      <c r="X24" s="136">
        <f>IF(rrcworking[[#This Row],[Pressure Base]]=14.73,rrcworking[[#This Row],[Gas Sales Statement Volume (MCF)]]*$R$2,rrcworking[[#This Row],[Gas Sales Statement Volume (MCF)]])</f>
        <v>0</v>
      </c>
      <c r="Y24" s="60"/>
      <c r="Z24" s="60"/>
      <c r="AA24" s="147">
        <f>IF(ISERROR(INDEX(Table2[LEASE USE],MATCH(rrcworking[[#This Row],[Magnum Wolfpak '#]],Table2[Rox Wolf'#],0))),0,INDEX(Table2[LEASE USE],MATCH(rrcworking[[#This Row],[Magnum Wolfpak '#]],Table2[Rox Wolf'#],0)))</f>
        <v>0</v>
      </c>
      <c r="AB24" s="57">
        <f>rrcworking[[#This Row],[Disposition Volume (MCF) @ 14.65 MCF]]+rrcworking[[#This Row],[Lease Use (MCF)]]</f>
        <v>0</v>
      </c>
      <c r="AC24" s="37"/>
      <c r="AD24" s="37"/>
      <c r="AE24" s="192">
        <f>COUNTIF(FilterList,rrcworking[[#This Row],[Magnum Wolfpak '#]])</f>
        <v>0</v>
      </c>
      <c r="AF24" s="189"/>
      <c r="AG24" s="190"/>
      <c r="AH24" s="37"/>
      <c r="AI24" s="37"/>
      <c r="AJ24" s="37"/>
      <c r="AK24" s="37"/>
      <c r="AL24" s="37"/>
      <c r="AM24" s="37"/>
      <c r="AN24" s="37"/>
      <c r="AO24" s="37"/>
      <c r="AP24" s="37"/>
      <c r="AQ24" s="37"/>
    </row>
    <row r="25" spans="3:43" ht="15">
      <c r="C25" s="80">
        <v>99293</v>
      </c>
      <c r="D25" s="62" t="s">
        <v>181</v>
      </c>
      <c r="E25" s="132" t="s">
        <v>182</v>
      </c>
      <c r="F25" s="141" t="s">
        <v>1095</v>
      </c>
      <c r="G25" s="121" t="s">
        <v>1094</v>
      </c>
      <c r="H25" s="18" t="s">
        <v>619</v>
      </c>
      <c r="I25" s="18" t="s">
        <v>2</v>
      </c>
      <c r="J25" s="19" t="s">
        <v>478</v>
      </c>
      <c r="K25" s="103">
        <v>27285</v>
      </c>
      <c r="L25" s="101">
        <f>INDEX(Table1[Production],MATCH(rrcworking[[#This Row],[RRC ID Number]],Table1[RRC Identifier],0))</f>
        <v>302</v>
      </c>
      <c r="M25" s="30">
        <f>INDEX(Table1[Formation Production],MATCH(rrcworking[[#This Row],[RRC ID Number]],Table1[RRC Identifier],0))</f>
        <v>288</v>
      </c>
      <c r="N25" s="31">
        <f>INDEX(Table1[On Hand End of Month],MATCH(rrcworking[[#This Row],[RRC ID Number]],Table1[RRC Identifier],0))</f>
        <v>474</v>
      </c>
      <c r="O25" s="106" t="b">
        <f t="shared" si="0"/>
        <v>0</v>
      </c>
      <c r="P25" s="186">
        <v>212</v>
      </c>
      <c r="Q25" s="128">
        <f>rrcworking[[#This Row],[Last Month Closing Stock]]</f>
        <v>474</v>
      </c>
      <c r="R25" s="187">
        <v>319</v>
      </c>
      <c r="S25" s="147">
        <f>IF(ISERROR(INDEX(Table2[OIL],MATCH(rrcworking[[#This Row],[Magnum Wolfpak '#]],Table2[Rox Wolf'#],0))),0,INDEX(Table2[OIL],MATCH(rrcworking[[#This Row],[Magnum Wolfpak '#]],Table2[Rox Wolf'#],0)))</f>
        <v>340</v>
      </c>
      <c r="T25" s="35">
        <f>rrcworking[[#This Row],[Closing Stock (Oil)]]+rrcworking[[#This Row],[Sales/Dispostion]]-rrcworking[[#This Row],[Opening Oil Stock]]</f>
        <v>185</v>
      </c>
      <c r="U25" s="112">
        <f>rrcworking[[#This Row],[Gauge Sheet Prod Volume]]-rrcworking[[#This Row],[Oil Production]]</f>
        <v>27</v>
      </c>
      <c r="V25" s="147">
        <f>IF(ISERROR(INDEX(Table2[GAS],MATCH(rrcworking[[#This Row],[Magnum Wolfpak '#]],Table2[Rox Wolf'#],0))),0,INDEX(Table2[GAS],MATCH(rrcworking[[#This Row],[Magnum Wolfpak '#]],Table2[Rox Wolf'#],0)))</f>
        <v>398</v>
      </c>
      <c r="W25" s="24"/>
      <c r="X25" s="136">
        <f>IF(rrcworking[[#This Row],[Pressure Base]]=14.73,rrcworking[[#This Row],[Gas Sales Statement Volume (MCF)]]*$R$2,rrcworking[[#This Row],[Gas Sales Statement Volume (MCF)]])</f>
        <v>398</v>
      </c>
      <c r="Y25" s="85"/>
      <c r="Z25" s="60">
        <v>1</v>
      </c>
      <c r="AA25" s="147">
        <f>IF(ISERROR(INDEX(Table2[LEASE USE],MATCH(rrcworking[[#This Row],[Magnum Wolfpak '#]],Table2[Rox Wolf'#],0))),0,INDEX(Table2[LEASE USE],MATCH(rrcworking[[#This Row],[Magnum Wolfpak '#]],Table2[Rox Wolf'#],0)))</f>
        <v>31</v>
      </c>
      <c r="AB25" s="57">
        <f>rrcworking[[#This Row],[Disposition Volume (MCF) @ 14.65 MCF]]+rrcworking[[#This Row],[Lease Use (MCF)]]</f>
        <v>429</v>
      </c>
      <c r="AC25" s="37"/>
      <c r="AD25" s="37"/>
      <c r="AE25" s="192">
        <f>COUNTIF(FilterList,rrcworking[[#This Row],[Magnum Wolfpak '#]])</f>
        <v>0</v>
      </c>
      <c r="AF25" s="189"/>
      <c r="AG25" s="190"/>
      <c r="AH25" s="37"/>
      <c r="AI25" s="190"/>
      <c r="AJ25" s="37">
        <v>3</v>
      </c>
      <c r="AK25" s="37" t="s">
        <v>1146</v>
      </c>
      <c r="AL25" s="37" t="s">
        <v>1175</v>
      </c>
      <c r="AM25" s="37" t="s">
        <v>1189</v>
      </c>
      <c r="AN25" s="37" t="s">
        <v>1175</v>
      </c>
      <c r="AO25" s="37" t="s">
        <v>1186</v>
      </c>
      <c r="AP25" s="37" t="s">
        <v>1190</v>
      </c>
      <c r="AQ25" s="37"/>
    </row>
    <row r="26" spans="3:43" ht="15">
      <c r="C26" s="80">
        <v>99286</v>
      </c>
      <c r="D26" s="62" t="s">
        <v>183</v>
      </c>
      <c r="E26" s="132" t="s">
        <v>182</v>
      </c>
      <c r="F26" s="130" t="s">
        <v>1246</v>
      </c>
      <c r="G26" s="121" t="s">
        <v>1094</v>
      </c>
      <c r="H26" s="18" t="s">
        <v>619</v>
      </c>
      <c r="I26" s="18" t="s">
        <v>59</v>
      </c>
      <c r="J26" s="19" t="s">
        <v>479</v>
      </c>
      <c r="K26" s="103">
        <v>282350</v>
      </c>
      <c r="L26" s="101">
        <f>INDEX(Table1[Production],MATCH(rrcworking[[#This Row],[RRC ID Number]],Table1[RRC Identifier],0))</f>
        <v>756</v>
      </c>
      <c r="M26" s="30">
        <f>INDEX(Table1[Formation Production],MATCH(rrcworking[[#This Row],[RRC ID Number]],Table1[RRC Identifier],0))</f>
        <v>716</v>
      </c>
      <c r="N26" s="31">
        <f>INDEX(Table1[On Hand End of Month],MATCH(rrcworking[[#This Row],[RRC ID Number]],Table1[RRC Identifier],0))</f>
        <v>598</v>
      </c>
      <c r="O26" s="106" t="b">
        <f t="shared" si="0"/>
        <v>0</v>
      </c>
      <c r="P26" s="186">
        <v>433</v>
      </c>
      <c r="Q26" s="128">
        <f>rrcworking[[#This Row],[Last Month Closing Stock]]</f>
        <v>598</v>
      </c>
      <c r="R26" s="187">
        <v>451</v>
      </c>
      <c r="S26" s="147">
        <f>IF(ISERROR(INDEX(Table2[OIL],MATCH(rrcworking[[#This Row],[Magnum Wolfpak '#]],Table2[Rox Wolf'#],0))),0,INDEX(Table2[OIL],MATCH(rrcworking[[#This Row],[Magnum Wolfpak '#]],Table2[Rox Wolf'#],0)))</f>
        <v>513</v>
      </c>
      <c r="T26" s="35">
        <f>rrcworking[[#This Row],[Closing Stock (Oil)]]+rrcworking[[#This Row],[Sales/Dispostion]]-rrcworking[[#This Row],[Opening Oil Stock]]</f>
        <v>366</v>
      </c>
      <c r="U26" s="112">
        <f>rrcworking[[#This Row],[Gauge Sheet Prod Volume]]-rrcworking[[#This Row],[Oil Production]]</f>
        <v>67</v>
      </c>
      <c r="V26" s="147">
        <f>IF(ISERROR(INDEX(Table2[GAS],MATCH(rrcworking[[#This Row],[Magnum Wolfpak '#]],Table2[Rox Wolf'#],0))),0,INDEX(Table2[GAS],MATCH(rrcworking[[#This Row],[Magnum Wolfpak '#]],Table2[Rox Wolf'#],0)))</f>
        <v>703</v>
      </c>
      <c r="W26" s="24"/>
      <c r="X26" s="136">
        <f>IF(rrcworking[[#This Row],[Pressure Base]]=14.73,rrcworking[[#This Row],[Gas Sales Statement Volume (MCF)]]*$R$2,rrcworking[[#This Row],[Gas Sales Statement Volume (MCF)]])</f>
        <v>703</v>
      </c>
      <c r="Y26" s="85"/>
      <c r="Z26" s="60">
        <v>2</v>
      </c>
      <c r="AA26" s="147">
        <f>IF(ISERROR(INDEX(Table2[LEASE USE],MATCH(rrcworking[[#This Row],[Magnum Wolfpak '#]],Table2[Rox Wolf'#],0))),0,INDEX(Table2[LEASE USE],MATCH(rrcworking[[#This Row],[Magnum Wolfpak '#]],Table2[Rox Wolf'#],0)))</f>
        <v>62</v>
      </c>
      <c r="AB26" s="57">
        <f>rrcworking[[#This Row],[Disposition Volume (MCF) @ 14.65 MCF]]+rrcworking[[#This Row],[Lease Use (MCF)]]</f>
        <v>765</v>
      </c>
      <c r="AC26" s="37"/>
      <c r="AD26" s="37"/>
      <c r="AE26" s="192">
        <f>COUNTIF(FilterList,rrcworking[[#This Row],[Magnum Wolfpak '#]])</f>
        <v>0</v>
      </c>
      <c r="AF26" s="189"/>
      <c r="AG26" s="190"/>
      <c r="AH26" s="37"/>
      <c r="AI26" s="190"/>
      <c r="AJ26" s="37">
        <v>3</v>
      </c>
      <c r="AK26" s="37" t="s">
        <v>1146</v>
      </c>
      <c r="AL26" s="37" t="s">
        <v>1175</v>
      </c>
      <c r="AM26" s="37" t="s">
        <v>1189</v>
      </c>
      <c r="AN26" s="37" t="s">
        <v>1175</v>
      </c>
      <c r="AO26" s="37" t="s">
        <v>1186</v>
      </c>
      <c r="AP26" s="37" t="s">
        <v>1247</v>
      </c>
      <c r="AQ26" s="37"/>
    </row>
    <row r="27" spans="3:43" ht="15">
      <c r="C27" s="80">
        <v>99295</v>
      </c>
      <c r="D27" s="62" t="s">
        <v>183</v>
      </c>
      <c r="E27" s="132" t="s">
        <v>182</v>
      </c>
      <c r="F27" s="141" t="s">
        <v>1096</v>
      </c>
      <c r="G27" s="121" t="s">
        <v>1094</v>
      </c>
      <c r="H27" s="18" t="s">
        <v>619</v>
      </c>
      <c r="I27" s="18" t="s">
        <v>2</v>
      </c>
      <c r="J27" s="19" t="s">
        <v>480</v>
      </c>
      <c r="K27" s="103">
        <v>27418</v>
      </c>
      <c r="L27" s="101">
        <f>INDEX(Table1[Production],MATCH(rrcworking[[#This Row],[RRC ID Number]],Table1[RRC Identifier],0))</f>
        <v>3671</v>
      </c>
      <c r="M27" s="30">
        <f>INDEX(Table1[Formation Production],MATCH(rrcworking[[#This Row],[RRC ID Number]],Table1[RRC Identifier],0))</f>
        <v>2007</v>
      </c>
      <c r="N27" s="31">
        <f>INDEX(Table1[On Hand End of Month],MATCH(rrcworking[[#This Row],[RRC ID Number]],Table1[RRC Identifier],0))</f>
        <v>175</v>
      </c>
      <c r="O27" s="106" t="b">
        <f t="shared" si="0"/>
        <v>0</v>
      </c>
      <c r="P27" s="186">
        <v>2642</v>
      </c>
      <c r="Q27" s="128">
        <f>rrcworking[[#This Row],[Last Month Closing Stock]]</f>
        <v>175</v>
      </c>
      <c r="R27" s="187">
        <v>212</v>
      </c>
      <c r="S27" s="147">
        <f>IF(ISERROR(INDEX(Table2[OIL],MATCH(rrcworking[[#This Row],[Magnum Wolfpak '#]],Table2[Rox Wolf'#],0))),0,INDEX(Table2[OIL],MATCH(rrcworking[[#This Row],[Magnum Wolfpak '#]],Table2[Rox Wolf'#],0)))</f>
        <v>2520</v>
      </c>
      <c r="T27" s="35">
        <f>rrcworking[[#This Row],[Closing Stock (Oil)]]+rrcworking[[#This Row],[Sales/Dispostion]]-rrcworking[[#This Row],[Opening Oil Stock]]</f>
        <v>2557</v>
      </c>
      <c r="U27" s="112">
        <f>rrcworking[[#This Row],[Gauge Sheet Prod Volume]]-rrcworking[[#This Row],[Oil Production]]</f>
        <v>85</v>
      </c>
      <c r="V27" s="147">
        <f>IF(ISERROR(INDEX(Table2[GAS],MATCH(rrcworking[[#This Row],[Magnum Wolfpak '#]],Table2[Rox Wolf'#],0))),0,INDEX(Table2[GAS],MATCH(rrcworking[[#This Row],[Magnum Wolfpak '#]],Table2[Rox Wolf'#],0)))</f>
        <v>2878</v>
      </c>
      <c r="W27" s="24"/>
      <c r="X27" s="136">
        <f>IF(rrcworking[[#This Row],[Pressure Base]]=14.73,rrcworking[[#This Row],[Gas Sales Statement Volume (MCF)]]*$R$2,rrcworking[[#This Row],[Gas Sales Statement Volume (MCF)]])</f>
        <v>2878</v>
      </c>
      <c r="Y27" s="85"/>
      <c r="Z27" s="60">
        <v>7</v>
      </c>
      <c r="AA27" s="147">
        <f>IF(ISERROR(INDEX(Table2[LEASE USE],MATCH(rrcworking[[#This Row],[Magnum Wolfpak '#]],Table2[Rox Wolf'#],0))),0,INDEX(Table2[LEASE USE],MATCH(rrcworking[[#This Row],[Magnum Wolfpak '#]],Table2[Rox Wolf'#],0)))</f>
        <v>217</v>
      </c>
      <c r="AB27" s="57">
        <f>rrcworking[[#This Row],[Disposition Volume (MCF) @ 14.65 MCF]]+rrcworking[[#This Row],[Lease Use (MCF)]]</f>
        <v>3095</v>
      </c>
      <c r="AC27" s="37"/>
      <c r="AD27" s="37"/>
      <c r="AE27" s="192">
        <f>COUNTIF(FilterList,rrcworking[[#This Row],[Magnum Wolfpak '#]])</f>
        <v>0</v>
      </c>
      <c r="AF27" s="189"/>
      <c r="AG27" s="190"/>
      <c r="AH27" s="37"/>
      <c r="AI27" s="190"/>
      <c r="AJ27" s="37">
        <v>2</v>
      </c>
      <c r="AK27" s="37" t="s">
        <v>1146</v>
      </c>
      <c r="AL27" s="37" t="s">
        <v>1175</v>
      </c>
      <c r="AM27" s="37" t="s">
        <v>1191</v>
      </c>
      <c r="AN27" s="37" t="s">
        <v>1175</v>
      </c>
      <c r="AO27" s="37" t="s">
        <v>1186</v>
      </c>
      <c r="AP27" s="37" t="s">
        <v>1192</v>
      </c>
      <c r="AQ27" s="37"/>
    </row>
    <row r="28" spans="3:43" ht="15">
      <c r="C28" s="80">
        <v>99228</v>
      </c>
      <c r="D28" s="62" t="s">
        <v>77</v>
      </c>
      <c r="E28" s="132" t="s">
        <v>78</v>
      </c>
      <c r="F28" s="130" t="s">
        <v>79</v>
      </c>
      <c r="G28" s="121" t="s">
        <v>1094</v>
      </c>
      <c r="H28" s="18" t="s">
        <v>618</v>
      </c>
      <c r="I28" s="18" t="s">
        <v>59</v>
      </c>
      <c r="J28" s="19" t="s">
        <v>417</v>
      </c>
      <c r="K28" s="103">
        <v>272206</v>
      </c>
      <c r="L28" s="101">
        <f>INDEX(Table1[Production],MATCH(rrcworking[[#This Row],[RRC ID Number]],Table1[RRC Identifier],0))</f>
        <v>0</v>
      </c>
      <c r="M28" s="30">
        <f>INDEX(Table1[Formation Production],MATCH(rrcworking[[#This Row],[RRC ID Number]],Table1[RRC Identifier],0))</f>
        <v>2</v>
      </c>
      <c r="N28" s="31">
        <f>INDEX(Table1[On Hand End of Month],MATCH(rrcworking[[#This Row],[RRC ID Number]],Table1[RRC Identifier],0))</f>
        <v>149</v>
      </c>
      <c r="O28" s="106" t="b">
        <f t="shared" si="0"/>
        <v>0</v>
      </c>
      <c r="P28" s="186">
        <v>0</v>
      </c>
      <c r="Q28" s="128">
        <f>rrcworking[[#This Row],[Last Month Closing Stock]]</f>
        <v>149</v>
      </c>
      <c r="R28" s="186">
        <v>149</v>
      </c>
      <c r="S28" s="147">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7">
        <f>IF(ISERROR(INDEX(Table2[GAS],MATCH(rrcworking[[#This Row],[Magnum Wolfpak '#]],Table2[Rox Wolf'#],0))),0,INDEX(Table2[GAS],MATCH(rrcworking[[#This Row],[Magnum Wolfpak '#]],Table2[Rox Wolf'#],0)))</f>
        <v>0</v>
      </c>
      <c r="W28" s="24"/>
      <c r="X28" s="136">
        <f>IF(rrcworking[[#This Row],[Pressure Base]]=14.73,rrcworking[[#This Row],[Gas Sales Statement Volume (MCF)]]*$R$2,rrcworking[[#This Row],[Gas Sales Statement Volume (MCF)]])</f>
        <v>0</v>
      </c>
      <c r="Y28" s="85"/>
      <c r="Z28" s="60">
        <v>1</v>
      </c>
      <c r="AA28" s="147">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92">
        <f>COUNTIF(FilterList,rrcworking[[#This Row],[Magnum Wolfpak '#]])</f>
        <v>0</v>
      </c>
      <c r="AF28" s="189"/>
      <c r="AG28" s="190"/>
      <c r="AH28" s="37"/>
      <c r="AI28" s="37"/>
      <c r="AJ28" s="37">
        <v>3</v>
      </c>
      <c r="AK28" s="37" t="s">
        <v>1146</v>
      </c>
      <c r="AL28" s="37" t="s">
        <v>1175</v>
      </c>
      <c r="AM28" s="37" t="s">
        <v>1189</v>
      </c>
      <c r="AN28" s="37" t="s">
        <v>1175</v>
      </c>
      <c r="AO28" s="37" t="s">
        <v>1186</v>
      </c>
      <c r="AP28" s="37" t="s">
        <v>1193</v>
      </c>
      <c r="AQ28" s="37"/>
    </row>
    <row r="29" spans="3:43" ht="15">
      <c r="C29" s="80" t="e">
        <v>#N/A</v>
      </c>
      <c r="D29" s="62" t="s">
        <v>88</v>
      </c>
      <c r="E29" s="132" t="s">
        <v>89</v>
      </c>
      <c r="F29" s="130">
        <v>1</v>
      </c>
      <c r="G29" s="121" t="s">
        <v>1094</v>
      </c>
      <c r="H29" s="18" t="s">
        <v>618</v>
      </c>
      <c r="I29" s="18" t="s">
        <v>59</v>
      </c>
      <c r="J29" s="19" t="s">
        <v>422</v>
      </c>
      <c r="K29" s="103">
        <v>258014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132</v>
      </c>
      <c r="O29" s="106" t="b">
        <f t="shared" si="0"/>
        <v>1</v>
      </c>
      <c r="P29" s="186"/>
      <c r="Q29" s="128">
        <f>rrcworking[[#This Row],[Last Month Closing Stock]]</f>
        <v>132</v>
      </c>
      <c r="R29" s="186">
        <f>rrcworking[[#This Row],[Opening Oil Stock]]</f>
        <v>132</v>
      </c>
      <c r="S29" s="147">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7">
        <f>IF(ISERROR(INDEX(Table2[GAS],MATCH(rrcworking[[#This Row],[Magnum Wolfpak '#]],Table2[Rox Wolf'#],0))),0,INDEX(Table2[GAS],MATCH(rrcworking[[#This Row],[Magnum Wolfpak '#]],Table2[Rox Wolf'#],0)))</f>
        <v>0</v>
      </c>
      <c r="W29" s="24"/>
      <c r="X29" s="136">
        <f>IF(rrcworking[[#This Row],[Pressure Base]]=14.73,rrcworking[[#This Row],[Gas Sales Statement Volume (MCF)]]*$R$2,rrcworking[[#This Row],[Gas Sales Statement Volume (MCF)]])</f>
        <v>0</v>
      </c>
      <c r="Y29" s="60"/>
      <c r="Z29" s="60"/>
      <c r="AA29" s="147">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c r="AE29" s="192">
        <f>COUNTIF(FilterList,rrcworking[[#This Row],[Magnum Wolfpak '#]])</f>
        <v>0</v>
      </c>
      <c r="AF29" s="189"/>
      <c r="AG29" s="190"/>
      <c r="AH29" s="37"/>
      <c r="AI29" s="37"/>
      <c r="AJ29" s="37"/>
      <c r="AK29" s="37"/>
      <c r="AL29" s="37"/>
      <c r="AM29" s="37"/>
      <c r="AN29" s="37"/>
      <c r="AO29" s="37"/>
      <c r="AP29" s="37"/>
      <c r="AQ29" s="37"/>
    </row>
    <row r="30" spans="3:43" ht="15">
      <c r="C30" s="80">
        <v>99255</v>
      </c>
      <c r="D30" s="62" t="s">
        <v>114</v>
      </c>
      <c r="E30" s="132" t="s">
        <v>89</v>
      </c>
      <c r="F30" s="130">
        <v>1</v>
      </c>
      <c r="G30" s="121" t="s">
        <v>1094</v>
      </c>
      <c r="H30" s="18" t="s">
        <v>618</v>
      </c>
      <c r="I30" s="18" t="s">
        <v>59</v>
      </c>
      <c r="J30" s="19" t="s">
        <v>437</v>
      </c>
      <c r="K30" s="103">
        <v>286124</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80</v>
      </c>
      <c r="O30" s="106" t="b">
        <f t="shared" si="0"/>
        <v>1</v>
      </c>
      <c r="P30" s="186"/>
      <c r="Q30" s="128">
        <f>rrcworking[[#This Row],[Last Month Closing Stock]]</f>
        <v>80</v>
      </c>
      <c r="R30" s="186">
        <v>80</v>
      </c>
      <c r="S30" s="147">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7">
        <f>IF(ISERROR(INDEX(Table2[GAS],MATCH(rrcworking[[#This Row],[Magnum Wolfpak '#]],Table2[Rox Wolf'#],0))),0,INDEX(Table2[GAS],MATCH(rrcworking[[#This Row],[Magnum Wolfpak '#]],Table2[Rox Wolf'#],0)))</f>
        <v>0</v>
      </c>
      <c r="W30" s="24"/>
      <c r="X30" s="136">
        <f>IF(rrcworking[[#This Row],[Pressure Base]]=14.73,rrcworking[[#This Row],[Gas Sales Statement Volume (MCF)]]*$R$2,rrcworking[[#This Row],[Gas Sales Statement Volume (MCF)]])</f>
        <v>0</v>
      </c>
      <c r="Y30" s="85"/>
      <c r="Z30" s="60">
        <v>1</v>
      </c>
      <c r="AA30" s="147">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t="s">
        <v>1140</v>
      </c>
      <c r="AE30" s="192">
        <f>COUNTIF(FilterList,rrcworking[[#This Row],[Magnum Wolfpak '#]])</f>
        <v>0</v>
      </c>
      <c r="AF30" s="189"/>
      <c r="AG30" s="190"/>
      <c r="AH30" s="87"/>
      <c r="AI30" s="87"/>
      <c r="AJ30" s="191"/>
      <c r="AK30" s="191"/>
      <c r="AL30" s="191"/>
      <c r="AM30" s="191"/>
      <c r="AN30" s="191"/>
      <c r="AO30" s="191"/>
      <c r="AP30" s="37" t="s">
        <v>1173</v>
      </c>
      <c r="AQ30" s="37" t="s">
        <v>1194</v>
      </c>
    </row>
    <row r="31" spans="3:43" ht="15">
      <c r="C31" s="80" t="e">
        <v>#N/A</v>
      </c>
      <c r="D31" s="62" t="s">
        <v>282</v>
      </c>
      <c r="E31" s="132" t="s">
        <v>284</v>
      </c>
      <c r="F31" s="130">
        <v>0</v>
      </c>
      <c r="G31" s="121" t="s">
        <v>1094</v>
      </c>
      <c r="H31" s="18" t="s">
        <v>619</v>
      </c>
      <c r="I31" s="18" t="s">
        <v>2</v>
      </c>
      <c r="J31" s="19" t="s">
        <v>537</v>
      </c>
      <c r="K31" s="103">
        <v>27162</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6"/>
      <c r="Q31" s="128">
        <f>rrcworking[[#This Row],[Last Month Closing Stock]]</f>
        <v>0</v>
      </c>
      <c r="R31" s="186">
        <f>rrcworking[[#This Row],[Opening Oil Stock]]</f>
        <v>0</v>
      </c>
      <c r="S31" s="147">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7">
        <f>IF(ISERROR(INDEX(Table2[GAS],MATCH(rrcworking[[#This Row],[Magnum Wolfpak '#]],Table2[Rox Wolf'#],0))),0,INDEX(Table2[GAS],MATCH(rrcworking[[#This Row],[Magnum Wolfpak '#]],Table2[Rox Wolf'#],0)))</f>
        <v>0</v>
      </c>
      <c r="W31" s="24"/>
      <c r="X31" s="136">
        <f>IF(rrcworking[[#This Row],[Pressure Base]]=14.73,rrcworking[[#This Row],[Gas Sales Statement Volume (MCF)]]*$R$2,rrcworking[[#This Row],[Gas Sales Statement Volume (MCF)]])</f>
        <v>0</v>
      </c>
      <c r="Y31" s="60"/>
      <c r="Z31" s="60"/>
      <c r="AA31" s="147">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92">
        <f>COUNTIF(FilterList,rrcworking[[#This Row],[Magnum Wolfpak '#]])</f>
        <v>0</v>
      </c>
      <c r="AF31" s="189"/>
      <c r="AG31" s="190"/>
      <c r="AH31" s="37"/>
      <c r="AI31" s="37"/>
      <c r="AJ31" s="37"/>
      <c r="AK31" s="37"/>
      <c r="AL31" s="37"/>
      <c r="AM31" s="37"/>
      <c r="AN31" s="37"/>
      <c r="AO31" s="37"/>
      <c r="AP31" s="37"/>
      <c r="AQ31" s="37"/>
    </row>
    <row r="32" spans="3:43" ht="15">
      <c r="C32" s="80" t="e">
        <v>#N/A</v>
      </c>
      <c r="D32" s="62" t="s">
        <v>257</v>
      </c>
      <c r="E32" s="132" t="s">
        <v>258</v>
      </c>
      <c r="F32" s="130">
        <v>0</v>
      </c>
      <c r="G32" s="121" t="s">
        <v>1094</v>
      </c>
      <c r="H32" s="18" t="s">
        <v>619</v>
      </c>
      <c r="I32" s="18" t="s">
        <v>2</v>
      </c>
      <c r="J32" s="19" t="s">
        <v>518</v>
      </c>
      <c r="K32" s="103">
        <v>21879</v>
      </c>
      <c r="L32" s="101">
        <f>INDEX(Table1[Production],MATCH(rrcworking[[#This Row],[RRC ID Number]],Table1[RRC Identifier],0))</f>
        <v>0</v>
      </c>
      <c r="M32" s="30">
        <f>INDEX(Table1[Formation Production],MATCH(rrcworking[[#This Row],[RRC ID Number]],Table1[RRC Identifier],0))</f>
        <v>0</v>
      </c>
      <c r="N32" s="31">
        <f>INDEX(Table1[On Hand End of Month],MATCH(rrcworking[[#This Row],[RRC ID Number]],Table1[RRC Identifier],0))</f>
        <v>0</v>
      </c>
      <c r="O32" s="106" t="b">
        <f t="shared" si="0"/>
        <v>1</v>
      </c>
      <c r="P32" s="186"/>
      <c r="Q32" s="128">
        <f>rrcworking[[#This Row],[Last Month Closing Stock]]</f>
        <v>0</v>
      </c>
      <c r="R32" s="186">
        <f>rrcworking[[#This Row],[Opening Oil Stock]]</f>
        <v>0</v>
      </c>
      <c r="S32" s="147">
        <f>IF(ISERROR(INDEX(Table2[OIL],MATCH(rrcworking[[#This Row],[Magnum Wolfpak '#]],Table2[Rox Wolf'#],0))),0,INDEX(Table2[OIL],MATCH(rrcworking[[#This Row],[Magnum Wolfpak '#]],Table2[Rox Wolf'#],0)))</f>
        <v>0</v>
      </c>
      <c r="T32" s="35">
        <f>rrcworking[[#This Row],[Closing Stock (Oil)]]+rrcworking[[#This Row],[Sales/Dispostion]]-rrcworking[[#This Row],[Opening Oil Stock]]</f>
        <v>0</v>
      </c>
      <c r="U32" s="112">
        <f>rrcworking[[#This Row],[Gauge Sheet Prod Volume]]-rrcworking[[#This Row],[Oil Production]]</f>
        <v>0</v>
      </c>
      <c r="V32" s="147">
        <f>IF(ISERROR(INDEX(Table2[GAS],MATCH(rrcworking[[#This Row],[Magnum Wolfpak '#]],Table2[Rox Wolf'#],0))),0,INDEX(Table2[GAS],MATCH(rrcworking[[#This Row],[Magnum Wolfpak '#]],Table2[Rox Wolf'#],0)))</f>
        <v>0</v>
      </c>
      <c r="W32" s="24"/>
      <c r="X32" s="136">
        <f>IF(rrcworking[[#This Row],[Pressure Base]]=14.73,rrcworking[[#This Row],[Gas Sales Statement Volume (MCF)]]*$R$2,rrcworking[[#This Row],[Gas Sales Statement Volume (MCF)]])</f>
        <v>0</v>
      </c>
      <c r="Y32" s="60"/>
      <c r="Z32" s="60"/>
      <c r="AA32" s="147">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92">
        <f>COUNTIF(FilterList,rrcworking[[#This Row],[Magnum Wolfpak '#]])</f>
        <v>0</v>
      </c>
      <c r="AF32" s="189"/>
      <c r="AG32" s="190"/>
      <c r="AH32" s="37"/>
      <c r="AI32" s="37"/>
      <c r="AJ32" s="37"/>
      <c r="AK32" s="37"/>
      <c r="AL32" s="37"/>
      <c r="AM32" s="37"/>
      <c r="AN32" s="37"/>
      <c r="AO32" s="37"/>
      <c r="AP32" s="37"/>
      <c r="AQ32" s="37"/>
    </row>
    <row r="33" spans="3:43" ht="15">
      <c r="C33" s="80">
        <v>98921</v>
      </c>
      <c r="D33" s="62" t="s">
        <v>104</v>
      </c>
      <c r="E33" s="132" t="s">
        <v>105</v>
      </c>
      <c r="F33" s="130">
        <v>0</v>
      </c>
      <c r="G33" s="121" t="s">
        <v>1094</v>
      </c>
      <c r="H33" s="18" t="s">
        <v>618</v>
      </c>
      <c r="I33" s="18" t="s">
        <v>2</v>
      </c>
      <c r="J33" s="19" t="s">
        <v>431</v>
      </c>
      <c r="K33" s="103">
        <v>8646</v>
      </c>
      <c r="L33" s="101">
        <f>INDEX(Table1[Production],MATCH(rrcworking[[#This Row],[RRC ID Number]],Table1[RRC Identifier],0))</f>
        <v>71</v>
      </c>
      <c r="M33" s="30">
        <f>INDEX(Table1[Formation Production],MATCH(rrcworking[[#This Row],[RRC ID Number]],Table1[RRC Identifier],0))</f>
        <v>0</v>
      </c>
      <c r="N33" s="31">
        <f>INDEX(Table1[On Hand End of Month],MATCH(rrcworking[[#This Row],[RRC ID Number]],Table1[RRC Identifier],0))</f>
        <v>192</v>
      </c>
      <c r="O33" s="106" t="b">
        <f t="shared" si="0"/>
        <v>0</v>
      </c>
      <c r="P33" s="186">
        <v>229</v>
      </c>
      <c r="Q33" s="128">
        <f>rrcworking[[#This Row],[Last Month Closing Stock]]</f>
        <v>192</v>
      </c>
      <c r="R33" s="187">
        <v>88</v>
      </c>
      <c r="S33" s="147">
        <f>IF(ISERROR(INDEX(Table2[OIL],MATCH(rrcworking[[#This Row],[Magnum Wolfpak '#]],Table2[Rox Wolf'#],0))),0,INDEX(Table2[OIL],MATCH(rrcworking[[#This Row],[Magnum Wolfpak '#]],Table2[Rox Wolf'#],0)))</f>
        <v>331</v>
      </c>
      <c r="T33" s="35">
        <f>rrcworking[[#This Row],[Closing Stock (Oil)]]+rrcworking[[#This Row],[Sales/Dispostion]]-rrcworking[[#This Row],[Opening Oil Stock]]</f>
        <v>227</v>
      </c>
      <c r="U33" s="112">
        <f>rrcworking[[#This Row],[Gauge Sheet Prod Volume]]-rrcworking[[#This Row],[Oil Production]]</f>
        <v>2</v>
      </c>
      <c r="V33" s="147">
        <f>IF(ISERROR(INDEX(Table2[GAS],MATCH(rrcworking[[#This Row],[Magnum Wolfpak '#]],Table2[Rox Wolf'#],0))),0,INDEX(Table2[GAS],MATCH(rrcworking[[#This Row],[Magnum Wolfpak '#]],Table2[Rox Wolf'#],0)))</f>
        <v>0</v>
      </c>
      <c r="W33" s="24"/>
      <c r="X33" s="136">
        <f>IF(rrcworking[[#This Row],[Pressure Base]]=14.73,rrcworking[[#This Row],[Gas Sales Statement Volume (MCF)]]*$R$2,rrcworking[[#This Row],[Gas Sales Statement Volume (MCF)]])</f>
        <v>0</v>
      </c>
      <c r="Y33" s="60"/>
      <c r="Z33" s="60"/>
      <c r="AA33" s="147">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92">
        <f>COUNTIF(FilterList,rrcworking[[#This Row],[Magnum Wolfpak '#]])</f>
        <v>0</v>
      </c>
      <c r="AF33" s="189"/>
      <c r="AG33" s="190"/>
      <c r="AH33" s="37"/>
      <c r="AI33" s="190"/>
      <c r="AJ33" s="37">
        <v>2</v>
      </c>
      <c r="AK33" s="37" t="s">
        <v>1146</v>
      </c>
      <c r="AL33" s="37" t="s">
        <v>1146</v>
      </c>
      <c r="AM33" s="37" t="s">
        <v>1195</v>
      </c>
      <c r="AN33" s="37" t="s">
        <v>1175</v>
      </c>
      <c r="AO33" s="37" t="s">
        <v>1196</v>
      </c>
      <c r="AP33" s="37" t="s">
        <v>1197</v>
      </c>
      <c r="AQ33" s="37"/>
    </row>
    <row r="34" spans="3:43" ht="15">
      <c r="C34" s="80" t="e">
        <v>#N/A</v>
      </c>
      <c r="D34" s="62" t="s">
        <v>373</v>
      </c>
      <c r="E34" s="132" t="s">
        <v>374</v>
      </c>
      <c r="F34" s="130">
        <v>2</v>
      </c>
      <c r="G34" s="121" t="s">
        <v>1094</v>
      </c>
      <c r="H34" s="18" t="s">
        <v>620</v>
      </c>
      <c r="I34" s="18" t="s">
        <v>59</v>
      </c>
      <c r="J34" s="19" t="s">
        <v>590</v>
      </c>
      <c r="K34" s="103">
        <v>195786</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0</v>
      </c>
      <c r="O34" s="106" t="b">
        <f t="shared" si="0"/>
        <v>1</v>
      </c>
      <c r="P34" s="186"/>
      <c r="Q34" s="128">
        <f>rrcworking[[#This Row],[Last Month Closing Stock]]</f>
        <v>0</v>
      </c>
      <c r="R34" s="186">
        <f>rrcworking[[#This Row],[Opening Oil Stock]]</f>
        <v>0</v>
      </c>
      <c r="S34" s="147">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7">
        <f>IF(ISERROR(INDEX(Table2[GAS],MATCH(rrcworking[[#This Row],[Magnum Wolfpak '#]],Table2[Rox Wolf'#],0))),0,INDEX(Table2[GAS],MATCH(rrcworking[[#This Row],[Magnum Wolfpak '#]],Table2[Rox Wolf'#],0)))</f>
        <v>0</v>
      </c>
      <c r="W34" s="24"/>
      <c r="X34" s="136">
        <f>IF(rrcworking[[#This Row],[Pressure Base]]=14.73,rrcworking[[#This Row],[Gas Sales Statement Volume (MCF)]]*$R$2,rrcworking[[#This Row],[Gas Sales Statement Volume (MCF)]])</f>
        <v>0</v>
      </c>
      <c r="Y34" s="60"/>
      <c r="Z34" s="60"/>
      <c r="AA34" s="147">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92">
        <f>COUNTIF(FilterList,rrcworking[[#This Row],[Magnum Wolfpak '#]])</f>
        <v>0</v>
      </c>
      <c r="AF34" s="189"/>
      <c r="AG34" s="190"/>
      <c r="AH34" s="37"/>
      <c r="AI34" s="37"/>
      <c r="AJ34" s="37"/>
      <c r="AK34" s="37"/>
      <c r="AL34" s="37"/>
      <c r="AM34" s="37"/>
      <c r="AN34" s="37"/>
      <c r="AO34" s="37"/>
      <c r="AP34" s="37"/>
      <c r="AQ34" s="37"/>
    </row>
    <row r="35" spans="3:43" ht="15">
      <c r="C35" s="80" t="e">
        <v>#N/A</v>
      </c>
      <c r="D35" s="62" t="s">
        <v>314</v>
      </c>
      <c r="E35" s="132" t="s">
        <v>315</v>
      </c>
      <c r="F35" s="130">
        <v>0</v>
      </c>
      <c r="G35" s="121" t="s">
        <v>1094</v>
      </c>
      <c r="H35" s="18" t="s">
        <v>620</v>
      </c>
      <c r="I35" s="18" t="s">
        <v>2</v>
      </c>
      <c r="J35" s="19" t="s">
        <v>556</v>
      </c>
      <c r="K35" s="103">
        <v>13410</v>
      </c>
      <c r="L35" s="101">
        <f>INDEX(Table1[Production],MATCH(rrcworking[[#This Row],[RRC ID Number]],Table1[RRC Identifier],0))</f>
        <v>0</v>
      </c>
      <c r="M35" s="30">
        <f>INDEX(Table1[Formation Production],MATCH(rrcworking[[#This Row],[RRC ID Number]],Table1[RRC Identifier],0))</f>
        <v>0</v>
      </c>
      <c r="N35" s="31">
        <f>INDEX(Table1[On Hand End of Month],MATCH(rrcworking[[#This Row],[RRC ID Number]],Table1[RRC Identifier],0))</f>
        <v>235</v>
      </c>
      <c r="O35" s="106" t="b">
        <f t="shared" si="0"/>
        <v>1</v>
      </c>
      <c r="P35" s="186"/>
      <c r="Q35" s="128">
        <f>rrcworking[[#This Row],[Last Month Closing Stock]]</f>
        <v>235</v>
      </c>
      <c r="R35" s="186">
        <f>rrcworking[[#This Row],[Opening Oil Stock]]</f>
        <v>235</v>
      </c>
      <c r="S35" s="147">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7">
        <f>IF(ISERROR(INDEX(Table2[GAS],MATCH(rrcworking[[#This Row],[Magnum Wolfpak '#]],Table2[Rox Wolf'#],0))),0,INDEX(Table2[GAS],MATCH(rrcworking[[#This Row],[Magnum Wolfpak '#]],Table2[Rox Wolf'#],0)))</f>
        <v>0</v>
      </c>
      <c r="W35" s="24"/>
      <c r="X35" s="136">
        <f>IF(rrcworking[[#This Row],[Pressure Base]]=14.73,rrcworking[[#This Row],[Gas Sales Statement Volume (MCF)]]*$R$2,rrcworking[[#This Row],[Gas Sales Statement Volume (MCF)]])</f>
        <v>0</v>
      </c>
      <c r="Y35" s="60"/>
      <c r="Z35" s="60"/>
      <c r="AA35" s="147">
        <f>IF(ISERROR(INDEX(Table2[LEASE USE],MATCH(rrcworking[[#This Row],[Magnum Wolfpak '#]],Table2[Rox Wolf'#],0))),0,INDEX(Table2[LEASE USE],MATCH(rrcworking[[#This Row],[Magnum Wolfpak '#]],Table2[Rox Wolf'#],0)))</f>
        <v>0</v>
      </c>
      <c r="AB35" s="57">
        <f>rrcworking[[#This Row],[Disposition Volume (MCF) @ 14.65 MCF]]+rrcworking[[#This Row],[Lease Use (MCF)]]</f>
        <v>0</v>
      </c>
      <c r="AC35" s="37"/>
      <c r="AD35" s="37"/>
      <c r="AE35" s="192">
        <f>COUNTIF(FilterList,rrcworking[[#This Row],[Magnum Wolfpak '#]])</f>
        <v>0</v>
      </c>
      <c r="AF35" s="189"/>
      <c r="AG35" s="190"/>
      <c r="AH35" s="37"/>
      <c r="AI35" s="37"/>
      <c r="AJ35" s="37"/>
      <c r="AK35" s="37"/>
      <c r="AL35" s="37"/>
      <c r="AM35" s="37"/>
      <c r="AN35" s="37"/>
      <c r="AO35" s="37"/>
      <c r="AP35" s="37"/>
      <c r="AQ35" s="37"/>
    </row>
    <row r="36" spans="3:43" ht="15">
      <c r="C36" s="80">
        <v>99017</v>
      </c>
      <c r="D36" s="62" t="s">
        <v>80</v>
      </c>
      <c r="E36" s="132" t="s">
        <v>81</v>
      </c>
      <c r="F36" s="130">
        <v>1</v>
      </c>
      <c r="G36" s="121" t="s">
        <v>1094</v>
      </c>
      <c r="H36" s="18" t="s">
        <v>618</v>
      </c>
      <c r="I36" s="18" t="s">
        <v>59</v>
      </c>
      <c r="J36" s="19" t="s">
        <v>418</v>
      </c>
      <c r="K36" s="103">
        <v>250887</v>
      </c>
      <c r="L36" s="101">
        <f>INDEX(Table1[Production],MATCH(rrcworking[[#This Row],[RRC ID Number]],Table1[RRC Identifier],0))</f>
        <v>0</v>
      </c>
      <c r="M36" s="30">
        <f>INDEX(Table1[Formation Production],MATCH(rrcworking[[#This Row],[RRC ID Number]],Table1[RRC Identifier],0))</f>
        <v>5165</v>
      </c>
      <c r="N36" s="31">
        <f>INDEX(Table1[On Hand End of Month],MATCH(rrcworking[[#This Row],[RRC ID Number]],Table1[RRC Identifier],0))</f>
        <v>0</v>
      </c>
      <c r="O36" s="106" t="b">
        <f t="shared" si="0"/>
        <v>0</v>
      </c>
      <c r="P36" s="186">
        <v>0</v>
      </c>
      <c r="Q36" s="128">
        <f>rrcworking[[#This Row],[Last Month Closing Stock]]</f>
        <v>0</v>
      </c>
      <c r="R36" s="186">
        <f>rrcworking[[#This Row],[Opening Oil Stock]]</f>
        <v>0</v>
      </c>
      <c r="S36" s="147">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7">
        <f>IF(ISERROR(INDEX(Table2[GAS],MATCH(rrcworking[[#This Row],[Magnum Wolfpak '#]],Table2[Rox Wolf'#],0))),0,INDEX(Table2[GAS],MATCH(rrcworking[[#This Row],[Magnum Wolfpak '#]],Table2[Rox Wolf'#],0)))</f>
        <v>4759</v>
      </c>
      <c r="W36" s="24"/>
      <c r="X36" s="136">
        <f>IF(rrcworking[[#This Row],[Pressure Base]]=14.73,rrcworking[[#This Row],[Gas Sales Statement Volume (MCF)]]*$R$2,rrcworking[[#This Row],[Gas Sales Statement Volume (MCF)]])</f>
        <v>4759</v>
      </c>
      <c r="Y36" s="85"/>
      <c r="Z36" s="60">
        <v>7</v>
      </c>
      <c r="AA36" s="147">
        <f>IF(ISERROR(INDEX(Table2[LEASE USE],MATCH(rrcworking[[#This Row],[Magnum Wolfpak '#]],Table2[Rox Wolf'#],0))),0,INDEX(Table2[LEASE USE],MATCH(rrcworking[[#This Row],[Magnum Wolfpak '#]],Table2[Rox Wolf'#],0)))</f>
        <v>217</v>
      </c>
      <c r="AB36" s="57">
        <f>rrcworking[[#This Row],[Disposition Volume (MCF) @ 14.65 MCF]]+rrcworking[[#This Row],[Lease Use (MCF)]]</f>
        <v>4976</v>
      </c>
      <c r="AC36" s="37"/>
      <c r="AD36" s="37"/>
      <c r="AE36" s="192">
        <f>COUNTIF(FilterList,rrcworking[[#This Row],[Magnum Wolfpak '#]])</f>
        <v>0</v>
      </c>
      <c r="AF36" s="189"/>
      <c r="AG36" s="190"/>
      <c r="AH36" s="37"/>
      <c r="AI36" s="37"/>
      <c r="AJ36" s="37">
        <v>3</v>
      </c>
      <c r="AK36" s="37" t="s">
        <v>1146</v>
      </c>
      <c r="AL36" s="37" t="s">
        <v>1175</v>
      </c>
      <c r="AM36" s="37" t="s">
        <v>1189</v>
      </c>
      <c r="AN36" s="37" t="s">
        <v>1175</v>
      </c>
      <c r="AO36" s="37" t="s">
        <v>1186</v>
      </c>
      <c r="AP36" s="37" t="s">
        <v>1198</v>
      </c>
      <c r="AQ36" s="37"/>
    </row>
    <row r="37" spans="3:43" ht="15">
      <c r="C37" s="80">
        <v>99067</v>
      </c>
      <c r="D37" s="62" t="s">
        <v>352</v>
      </c>
      <c r="E37" s="132" t="s">
        <v>353</v>
      </c>
      <c r="F37" s="130">
        <v>14</v>
      </c>
      <c r="G37" s="121" t="s">
        <v>1094</v>
      </c>
      <c r="H37" s="18" t="s">
        <v>620</v>
      </c>
      <c r="I37" s="18" t="s">
        <v>59</v>
      </c>
      <c r="J37" s="19" t="s">
        <v>579</v>
      </c>
      <c r="K37" s="103">
        <v>162080</v>
      </c>
      <c r="L37" s="101">
        <f>INDEX(Table1[Production],MATCH(rrcworking[[#This Row],[RRC ID Number]],Table1[RRC Identifier],0))</f>
        <v>0</v>
      </c>
      <c r="M37" s="30">
        <f>INDEX(Table1[Formation Production],MATCH(rrcworking[[#This Row],[RRC ID Number]],Table1[RRC Identifier],0))</f>
        <v>725</v>
      </c>
      <c r="N37" s="31">
        <f>INDEX(Table1[On Hand End of Month],MATCH(rrcworking[[#This Row],[RRC ID Number]],Table1[RRC Identifier],0))</f>
        <v>3</v>
      </c>
      <c r="O37" s="106" t="b">
        <f t="shared" si="0"/>
        <v>0</v>
      </c>
      <c r="P37" s="186"/>
      <c r="Q37" s="128">
        <f>rrcworking[[#This Row],[Last Month Closing Stock]]</f>
        <v>3</v>
      </c>
      <c r="R37" s="186">
        <v>3</v>
      </c>
      <c r="S37" s="147">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7">
        <f>IF(ISERROR(INDEX(Table2[GAS],MATCH(rrcworking[[#This Row],[Magnum Wolfpak '#]],Table2[Rox Wolf'#],0))),0,INDEX(Table2[GAS],MATCH(rrcworking[[#This Row],[Magnum Wolfpak '#]],Table2[Rox Wolf'#],0)))</f>
        <v>313</v>
      </c>
      <c r="W37" s="24"/>
      <c r="X37" s="136">
        <f>IF(rrcworking[[#This Row],[Pressure Base]]=14.73,rrcworking[[#This Row],[Gas Sales Statement Volume (MCF)]]*$R$2,rrcworking[[#This Row],[Gas Sales Statement Volume (MCF)]])</f>
        <v>313</v>
      </c>
      <c r="Y37" s="60"/>
      <c r="Z37" s="60"/>
      <c r="AA37" s="147">
        <f>IF(ISERROR(INDEX(Table2[LEASE USE],MATCH(rrcworking[[#This Row],[Magnum Wolfpak '#]],Table2[Rox Wolf'#],0))),0,INDEX(Table2[LEASE USE],MATCH(rrcworking[[#This Row],[Magnum Wolfpak '#]],Table2[Rox Wolf'#],0)))</f>
        <v>0</v>
      </c>
      <c r="AB37" s="57">
        <f>rrcworking[[#This Row],[Disposition Volume (MCF) @ 14.65 MCF]]+rrcworking[[#This Row],[Lease Use (MCF)]]</f>
        <v>313</v>
      </c>
      <c r="AC37" s="97"/>
      <c r="AD37" s="37"/>
      <c r="AE37" s="192">
        <f>COUNTIF(FilterList,rrcworking[[#This Row],[Magnum Wolfpak '#]])</f>
        <v>0</v>
      </c>
      <c r="AF37" s="189"/>
      <c r="AG37" s="190"/>
      <c r="AH37" s="87"/>
      <c r="AI37" s="87"/>
      <c r="AJ37" s="191"/>
      <c r="AK37" s="191"/>
      <c r="AL37" s="191"/>
      <c r="AM37" s="191"/>
      <c r="AN37" s="191"/>
      <c r="AO37" s="191"/>
      <c r="AP37" s="37" t="s">
        <v>1173</v>
      </c>
      <c r="AQ37" s="37" t="s">
        <v>1199</v>
      </c>
    </row>
    <row r="38" spans="3:43" ht="30">
      <c r="C38" s="80">
        <v>98915</v>
      </c>
      <c r="D38" s="62" t="s">
        <v>141</v>
      </c>
      <c r="E38" s="132" t="s">
        <v>143</v>
      </c>
      <c r="F38" s="130">
        <v>4</v>
      </c>
      <c r="G38" s="121" t="s">
        <v>1094</v>
      </c>
      <c r="H38" s="18" t="s">
        <v>618</v>
      </c>
      <c r="I38" s="18" t="s">
        <v>59</v>
      </c>
      <c r="J38" s="19" t="s">
        <v>456</v>
      </c>
      <c r="K38" s="103">
        <v>174916</v>
      </c>
      <c r="L38" s="101">
        <f>INDEX(Table1[Production],MATCH(rrcworking[[#This Row],[RRC ID Number]],Table1[RRC Identifier],0))</f>
        <v>0</v>
      </c>
      <c r="M38" s="30">
        <f>INDEX(Table1[Formation Production],MATCH(rrcworking[[#This Row],[RRC ID Number]],Table1[RRC Identifier],0))</f>
        <v>81</v>
      </c>
      <c r="N38" s="31">
        <f>INDEX(Table1[On Hand End of Month],MATCH(rrcworking[[#This Row],[RRC ID Number]],Table1[RRC Identifier],0))</f>
        <v>0</v>
      </c>
      <c r="O38" s="106" t="b">
        <f t="shared" si="0"/>
        <v>0</v>
      </c>
      <c r="P38" s="186"/>
      <c r="Q38" s="128">
        <f>rrcworking[[#This Row],[Last Month Closing Stock]]</f>
        <v>0</v>
      </c>
      <c r="R38" s="186">
        <f>rrcworking[[#This Row],[Opening Oil Stock]]</f>
        <v>0</v>
      </c>
      <c r="S38" s="147">
        <f>IF(ISERROR(INDEX(Table2[OIL],MATCH(rrcworking[[#This Row],[Magnum Wolfpak '#]],Table2[Rox Wolf'#],0))),0,INDEX(Table2[OIL],MATCH(rrcworking[[#This Row],[Magnum Wolfpak '#]],Table2[Rox Wolf'#],0)))</f>
        <v>0</v>
      </c>
      <c r="T38" s="35">
        <f>rrcworking[[#This Row],[Closing Stock (Oil)]]+rrcworking[[#This Row],[Sales/Dispostion]]-rrcworking[[#This Row],[Opening Oil Stock]]</f>
        <v>0</v>
      </c>
      <c r="U38" s="112">
        <f>rrcworking[[#This Row],[Gauge Sheet Prod Volume]]-rrcworking[[#This Row],[Oil Production]]</f>
        <v>0</v>
      </c>
      <c r="V38" s="147">
        <f>IF(ISERROR(INDEX(Table2[GAS],MATCH(rrcworking[[#This Row],[Magnum Wolfpak '#]],Table2[Rox Wolf'#],0))),0,INDEX(Table2[GAS],MATCH(rrcworking[[#This Row],[Magnum Wolfpak '#]],Table2[Rox Wolf'#],0)))</f>
        <v>0</v>
      </c>
      <c r="W38" s="24"/>
      <c r="X38" s="136">
        <f>IF(rrcworking[[#This Row],[Pressure Base]]=14.73,rrcworking[[#This Row],[Gas Sales Statement Volume (MCF)]]*$R$2,rrcworking[[#This Row],[Gas Sales Statement Volume (MCF)]])</f>
        <v>0</v>
      </c>
      <c r="Y38" s="60"/>
      <c r="Z38" s="60"/>
      <c r="AA38" s="147">
        <f>IF(ISERROR(INDEX(Table2[LEASE USE],MATCH(rrcworking[[#This Row],[Magnum Wolfpak '#]],Table2[Rox Wolf'#],0))),0,INDEX(Table2[LEASE USE],MATCH(rrcworking[[#This Row],[Magnum Wolfpak '#]],Table2[Rox Wolf'#],0)))</f>
        <v>0</v>
      </c>
      <c r="AB38" s="57">
        <f>rrcworking[[#This Row],[Disposition Volume (MCF) @ 14.65 MCF]]+rrcworking[[#This Row],[Lease Use (MCF)]]</f>
        <v>0</v>
      </c>
      <c r="AC38" s="37"/>
      <c r="AD38" s="37"/>
      <c r="AE38" s="192">
        <f>COUNTIF(FilterList,rrcworking[[#This Row],[Magnum Wolfpak '#]])</f>
        <v>0</v>
      </c>
      <c r="AF38" s="189"/>
      <c r="AG38" s="190"/>
      <c r="AH38" s="37"/>
      <c r="AI38" s="37"/>
      <c r="AJ38" s="37"/>
      <c r="AK38" s="37"/>
      <c r="AL38" s="37"/>
      <c r="AM38" s="37"/>
      <c r="AN38" s="37"/>
      <c r="AO38" s="37"/>
      <c r="AP38" s="37" t="s">
        <v>1173</v>
      </c>
      <c r="AQ38" s="37" t="s">
        <v>1179</v>
      </c>
    </row>
    <row r="39" spans="3:43" ht="135">
      <c r="C39" s="82">
        <v>99069</v>
      </c>
      <c r="D39" s="98" t="s">
        <v>358</v>
      </c>
      <c r="E39" s="133" t="s">
        <v>359</v>
      </c>
      <c r="F39" s="129">
        <v>2</v>
      </c>
      <c r="G39" s="122" t="s">
        <v>1094</v>
      </c>
      <c r="H39" s="126" t="s">
        <v>620</v>
      </c>
      <c r="I39" s="126" t="s">
        <v>59</v>
      </c>
      <c r="J39" s="83" t="s">
        <v>583</v>
      </c>
      <c r="K39" s="104">
        <v>194224</v>
      </c>
      <c r="L39" s="101">
        <f>INDEX(Table1[Production],MATCH(rrcworking[[#This Row],[RRC ID Number]],Table1[RRC Identifier],0))</f>
        <v>0</v>
      </c>
      <c r="M39" s="30">
        <f>INDEX(Table1[Formation Production],MATCH(rrcworking[[#This Row],[RRC ID Number]],Table1[RRC Identifier],0))</f>
        <v>1852</v>
      </c>
      <c r="N39" s="99">
        <f>INDEX(Table1[On Hand End of Month],MATCH(rrcworking[[#This Row],[RRC ID Number]],Table1[RRC Identifier],0))</f>
        <v>268</v>
      </c>
      <c r="O39" s="107" t="b">
        <f t="shared" ref="O39:O70" si="1">IF(AND(L39=0,M39=0), TRUE, FALSE)</f>
        <v>0</v>
      </c>
      <c r="P39" s="186">
        <v>11</v>
      </c>
      <c r="Q39" s="128">
        <f>rrcworking[[#This Row],[Last Month Closing Stock]]</f>
        <v>268</v>
      </c>
      <c r="R39" s="187">
        <v>279</v>
      </c>
      <c r="S39" s="147">
        <f>IF(ISERROR(INDEX(Table2[OIL],MATCH(rrcworking[[#This Row],[Magnum Wolfpak '#]],Table2[Rox Wolf'#],0))),0,INDEX(Table2[OIL],MATCH(rrcworking[[#This Row],[Magnum Wolfpak '#]],Table2[Rox Wolf'#],0)))</f>
        <v>0</v>
      </c>
      <c r="T39" s="100">
        <f>rrcworking[[#This Row],[Closing Stock (Oil)]]+rrcworking[[#This Row],[Sales/Dispostion]]-rrcworking[[#This Row],[Opening Oil Stock]]</f>
        <v>11</v>
      </c>
      <c r="U39" s="113">
        <f>rrcworking[[#This Row],[Gauge Sheet Prod Volume]]-rrcworking[[#This Row],[Oil Production]]</f>
        <v>0</v>
      </c>
      <c r="V39" s="147">
        <f>IF(ISERROR(INDEX(Table2[GAS],MATCH(rrcworking[[#This Row],[Magnum Wolfpak '#]],Table2[Rox Wolf'#],0))),0,INDEX(Table2[GAS],MATCH(rrcworking[[#This Row],[Magnum Wolfpak '#]],Table2[Rox Wolf'#],0)))</f>
        <v>2012</v>
      </c>
      <c r="W39" s="84"/>
      <c r="X39" s="137">
        <f>IF(rrcworking[[#This Row],[Pressure Base]]=14.73,rrcworking[[#This Row],[Gas Sales Statement Volume (MCF)]]*$R$2,rrcworking[[#This Row],[Gas Sales Statement Volume (MCF)]])</f>
        <v>2012</v>
      </c>
      <c r="Y39" s="134"/>
      <c r="Z39" s="85">
        <v>3</v>
      </c>
      <c r="AA39" s="147">
        <f>IF(ISERROR(INDEX(Table2[LEASE USE],MATCH(rrcworking[[#This Row],[Magnum Wolfpak '#]],Table2[Rox Wolf'#],0))),0,INDEX(Table2[LEASE USE],MATCH(rrcworking[[#This Row],[Magnum Wolfpak '#]],Table2[Rox Wolf'#],0)))</f>
        <v>93</v>
      </c>
      <c r="AB39" s="86">
        <f>rrcworking[[#This Row],[Disposition Volume (MCF) @ 14.65 MCF]]+rrcworking[[#This Row],[Lease Use (MCF)]]</f>
        <v>2105</v>
      </c>
      <c r="AC39" s="87"/>
      <c r="AD39" s="87" t="s">
        <v>1287</v>
      </c>
      <c r="AE39" s="192">
        <f>COUNTIF(FilterList,rrcworking[[#This Row],[Magnum Wolfpak '#]])</f>
        <v>0</v>
      </c>
      <c r="AF39" s="189"/>
      <c r="AG39" s="190"/>
      <c r="AH39" s="37"/>
      <c r="AI39" s="190"/>
      <c r="AJ39" s="37">
        <v>1</v>
      </c>
      <c r="AK39" s="37" t="s">
        <v>1175</v>
      </c>
      <c r="AL39" s="37" t="s">
        <v>1175</v>
      </c>
      <c r="AM39" s="37" t="s">
        <v>1200</v>
      </c>
      <c r="AN39" s="37" t="s">
        <v>1175</v>
      </c>
      <c r="AO39" s="37" t="s">
        <v>1201</v>
      </c>
      <c r="AP39" s="37" t="s">
        <v>1202</v>
      </c>
      <c r="AQ39" s="37"/>
    </row>
    <row r="40" spans="3:43" ht="15">
      <c r="C40" s="80" t="e">
        <v>#N/A</v>
      </c>
      <c r="D40" s="62" t="s">
        <v>335</v>
      </c>
      <c r="E40" s="132" t="s">
        <v>337</v>
      </c>
      <c r="F40" s="130">
        <v>0</v>
      </c>
      <c r="G40" s="121" t="s">
        <v>1094</v>
      </c>
      <c r="H40" s="18" t="s">
        <v>620</v>
      </c>
      <c r="I40" s="18" t="s">
        <v>2</v>
      </c>
      <c r="J40" s="19" t="s">
        <v>570</v>
      </c>
      <c r="K40" s="103">
        <v>10563</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69</v>
      </c>
      <c r="O40" s="106" t="b">
        <f t="shared" si="1"/>
        <v>1</v>
      </c>
      <c r="P40" s="186"/>
      <c r="Q40" s="128">
        <f>rrcworking[[#This Row],[Last Month Closing Stock]]</f>
        <v>69</v>
      </c>
      <c r="R40" s="186">
        <f>rrcworking[[#This Row],[Opening Oil Stock]]</f>
        <v>69</v>
      </c>
      <c r="S40" s="147">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7">
        <f>IF(ISERROR(INDEX(Table2[GAS],MATCH(rrcworking[[#This Row],[Magnum Wolfpak '#]],Table2[Rox Wolf'#],0))),0,INDEX(Table2[GAS],MATCH(rrcworking[[#This Row],[Magnum Wolfpak '#]],Table2[Rox Wolf'#],0)))</f>
        <v>0</v>
      </c>
      <c r="W40" s="24"/>
      <c r="X40" s="136">
        <f>IF(rrcworking[[#This Row],[Pressure Base]]=14.73,rrcworking[[#This Row],[Gas Sales Statement Volume (MCF)]]*$R$2,rrcworking[[#This Row],[Gas Sales Statement Volume (MCF)]])</f>
        <v>0</v>
      </c>
      <c r="Y40" s="60"/>
      <c r="Z40" s="60"/>
      <c r="AA40" s="147">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92">
        <f>COUNTIF(FilterList,rrcworking[[#This Row],[Magnum Wolfpak '#]])</f>
        <v>0</v>
      </c>
      <c r="AF40" s="189"/>
      <c r="AG40" s="190"/>
      <c r="AH40" s="37"/>
      <c r="AI40" s="37"/>
      <c r="AJ40" s="37"/>
      <c r="AK40" s="37"/>
      <c r="AL40" s="37"/>
      <c r="AM40" s="37"/>
      <c r="AN40" s="37"/>
      <c r="AO40" s="37"/>
      <c r="AP40" s="37"/>
      <c r="AQ40" s="37"/>
    </row>
    <row r="41" spans="3:43" ht="15">
      <c r="C41" s="80" t="e">
        <v>#N/A</v>
      </c>
      <c r="D41" s="62" t="s">
        <v>82</v>
      </c>
      <c r="E41" s="132" t="s">
        <v>83</v>
      </c>
      <c r="F41" s="130" t="s">
        <v>84</v>
      </c>
      <c r="G41" s="121" t="s">
        <v>1094</v>
      </c>
      <c r="H41" s="18" t="s">
        <v>618</v>
      </c>
      <c r="I41" s="18" t="s">
        <v>59</v>
      </c>
      <c r="J41" s="19" t="s">
        <v>419</v>
      </c>
      <c r="K41" s="103">
        <v>270531</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26</v>
      </c>
      <c r="O41" s="106" t="b">
        <f t="shared" si="1"/>
        <v>1</v>
      </c>
      <c r="P41" s="186"/>
      <c r="Q41" s="128">
        <f>rrcworking[[#This Row],[Last Month Closing Stock]]</f>
        <v>26</v>
      </c>
      <c r="R41" s="186">
        <f>rrcworking[[#This Row],[Opening Oil Stock]]</f>
        <v>26</v>
      </c>
      <c r="S41" s="147">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7">
        <f>IF(ISERROR(INDEX(Table2[GAS],MATCH(rrcworking[[#This Row],[Magnum Wolfpak '#]],Table2[Rox Wolf'#],0))),0,INDEX(Table2[GAS],MATCH(rrcworking[[#This Row],[Magnum Wolfpak '#]],Table2[Rox Wolf'#],0)))</f>
        <v>0</v>
      </c>
      <c r="W41" s="24"/>
      <c r="X41" s="136">
        <f>IF(rrcworking[[#This Row],[Pressure Base]]=14.73,rrcworking[[#This Row],[Gas Sales Statement Volume (MCF)]]*$R$2,rrcworking[[#This Row],[Gas Sales Statement Volume (MCF)]])</f>
        <v>0</v>
      </c>
      <c r="Y41" s="60"/>
      <c r="Z41" s="60"/>
      <c r="AA41" s="147">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92">
        <f>COUNTIF(FilterList,rrcworking[[#This Row],[Magnum Wolfpak '#]])</f>
        <v>0</v>
      </c>
      <c r="AF41" s="189"/>
      <c r="AG41" s="190"/>
      <c r="AH41" s="37"/>
      <c r="AI41" s="37"/>
      <c r="AJ41" s="37"/>
      <c r="AK41" s="37"/>
      <c r="AL41" s="37"/>
      <c r="AM41" s="37"/>
      <c r="AN41" s="37"/>
      <c r="AO41" s="37"/>
      <c r="AP41" s="37"/>
      <c r="AQ41" s="37"/>
    </row>
    <row r="42" spans="3:43" ht="15">
      <c r="C42" s="80" t="e">
        <v>#N/A</v>
      </c>
      <c r="D42" s="62" t="s">
        <v>179</v>
      </c>
      <c r="E42" s="132" t="s">
        <v>180</v>
      </c>
      <c r="F42" s="130">
        <v>1</v>
      </c>
      <c r="G42" s="121" t="s">
        <v>1094</v>
      </c>
      <c r="H42" s="18" t="s">
        <v>619</v>
      </c>
      <c r="I42" s="18" t="s">
        <v>59</v>
      </c>
      <c r="J42" s="19" t="s">
        <v>477</v>
      </c>
      <c r="K42" s="103">
        <v>160307</v>
      </c>
      <c r="L42" s="101">
        <f>INDEX(Table1[Production],MATCH(rrcworking[[#This Row],[RRC ID Number]],Table1[RRC Identifier],0))</f>
        <v>0</v>
      </c>
      <c r="M42" s="30">
        <f>INDEX(Table1[Formation Production],MATCH(rrcworking[[#This Row],[RRC ID Number]],Table1[RRC Identifier],0))</f>
        <v>0</v>
      </c>
      <c r="N42" s="31">
        <f>INDEX(Table1[On Hand End of Month],MATCH(rrcworking[[#This Row],[RRC ID Number]],Table1[RRC Identifier],0))</f>
        <v>173</v>
      </c>
      <c r="O42" s="106" t="b">
        <f t="shared" si="1"/>
        <v>1</v>
      </c>
      <c r="P42" s="186"/>
      <c r="Q42" s="128">
        <f>rrcworking[[#This Row],[Last Month Closing Stock]]</f>
        <v>173</v>
      </c>
      <c r="R42" s="186">
        <f>rrcworking[[#This Row],[Opening Oil Stock]]</f>
        <v>173</v>
      </c>
      <c r="S42" s="147">
        <f>IF(ISERROR(INDEX(Table2[OIL],MATCH(rrcworking[[#This Row],[Magnum Wolfpak '#]],Table2[Rox Wolf'#],0))),0,INDEX(Table2[OIL],MATCH(rrcworking[[#This Row],[Magnum Wolfpak '#]],Table2[Rox Wolf'#],0)))</f>
        <v>0</v>
      </c>
      <c r="T42" s="35">
        <f>rrcworking[[#This Row],[Closing Stock (Oil)]]+rrcworking[[#This Row],[Sales/Dispostion]]-rrcworking[[#This Row],[Opening Oil Stock]]</f>
        <v>0</v>
      </c>
      <c r="U42" s="112">
        <f>rrcworking[[#This Row],[Gauge Sheet Prod Volume]]-rrcworking[[#This Row],[Oil Production]]</f>
        <v>0</v>
      </c>
      <c r="V42" s="147">
        <f>IF(ISERROR(INDEX(Table2[GAS],MATCH(rrcworking[[#This Row],[Magnum Wolfpak '#]],Table2[Rox Wolf'#],0))),0,INDEX(Table2[GAS],MATCH(rrcworking[[#This Row],[Magnum Wolfpak '#]],Table2[Rox Wolf'#],0)))</f>
        <v>0</v>
      </c>
      <c r="W42" s="24"/>
      <c r="X42" s="136">
        <f>IF(rrcworking[[#This Row],[Pressure Base]]=14.73,rrcworking[[#This Row],[Gas Sales Statement Volume (MCF)]]*$R$2,rrcworking[[#This Row],[Gas Sales Statement Volume (MCF)]])</f>
        <v>0</v>
      </c>
      <c r="Y42" s="60"/>
      <c r="Z42" s="60"/>
      <c r="AA42" s="147">
        <f>IF(ISERROR(INDEX(Table2[LEASE USE],MATCH(rrcworking[[#This Row],[Magnum Wolfpak '#]],Table2[Rox Wolf'#],0))),0,INDEX(Table2[LEASE USE],MATCH(rrcworking[[#This Row],[Magnum Wolfpak '#]],Table2[Rox Wolf'#],0)))</f>
        <v>0</v>
      </c>
      <c r="AB42" s="57">
        <f>rrcworking[[#This Row],[Disposition Volume (MCF) @ 14.65 MCF]]+rrcworking[[#This Row],[Lease Use (MCF)]]</f>
        <v>0</v>
      </c>
      <c r="AC42" s="37"/>
      <c r="AD42" s="37"/>
      <c r="AE42" s="192">
        <f>COUNTIF(FilterList,rrcworking[[#This Row],[Magnum Wolfpak '#]])</f>
        <v>0</v>
      </c>
      <c r="AF42" s="189"/>
      <c r="AG42" s="190"/>
      <c r="AH42" s="37"/>
      <c r="AI42" s="37"/>
      <c r="AJ42" s="37"/>
      <c r="AK42" s="37"/>
      <c r="AL42" s="37"/>
      <c r="AM42" s="37"/>
      <c r="AN42" s="37"/>
      <c r="AO42" s="37"/>
      <c r="AP42" s="37"/>
      <c r="AQ42" s="37"/>
    </row>
    <row r="43" spans="3:43" ht="30">
      <c r="C43" s="80">
        <v>98965</v>
      </c>
      <c r="D43" s="62" t="s">
        <v>190</v>
      </c>
      <c r="E43" s="132" t="s">
        <v>192</v>
      </c>
      <c r="F43" s="130">
        <v>3</v>
      </c>
      <c r="G43" s="121" t="s">
        <v>1094</v>
      </c>
      <c r="H43" s="176" t="s">
        <v>1147</v>
      </c>
      <c r="I43" s="18" t="s">
        <v>59</v>
      </c>
      <c r="J43" s="19" t="s">
        <v>484</v>
      </c>
      <c r="K43" s="103">
        <v>278004</v>
      </c>
      <c r="L43" s="101">
        <f>INDEX(Table1[Production],MATCH(rrcworking[[#This Row],[RRC ID Number]],Table1[RRC Identifier],0))</f>
        <v>40</v>
      </c>
      <c r="M43" s="30">
        <f>INDEX(Table1[Formation Production],MATCH(rrcworking[[#This Row],[RRC ID Number]],Table1[RRC Identifier],0))</f>
        <v>1012</v>
      </c>
      <c r="N43" s="31">
        <f>INDEX(Table1[On Hand End of Month],MATCH(rrcworking[[#This Row],[RRC ID Number]],Table1[RRC Identifier],0))</f>
        <v>212</v>
      </c>
      <c r="O43" s="106" t="b">
        <f t="shared" si="1"/>
        <v>0</v>
      </c>
      <c r="P43" s="186">
        <v>37</v>
      </c>
      <c r="Q43" s="128">
        <f>rrcworking[[#This Row],[Last Month Closing Stock]]</f>
        <v>212</v>
      </c>
      <c r="R43" s="187">
        <v>57</v>
      </c>
      <c r="S43" s="147">
        <f>IF(ISERROR(INDEX(Table2[OIL],MATCH(rrcworking[[#This Row],[Magnum Wolfpak '#]],Table2[Rox Wolf'#],0))),0,INDEX(Table2[OIL],MATCH(rrcworking[[#This Row],[Magnum Wolfpak '#]],Table2[Rox Wolf'#],0)))</f>
        <v>193</v>
      </c>
      <c r="T43" s="35">
        <f>rrcworking[[#This Row],[Closing Stock (Oil)]]+rrcworking[[#This Row],[Sales/Dispostion]]-rrcworking[[#This Row],[Opening Oil Stock]]</f>
        <v>38</v>
      </c>
      <c r="U43" s="112">
        <f>rrcworking[[#This Row],[Gauge Sheet Prod Volume]]-rrcworking[[#This Row],[Oil Production]]</f>
        <v>-1</v>
      </c>
      <c r="V43" s="147">
        <f>IF(ISERROR(INDEX(Table2[GAS],MATCH(rrcworking[[#This Row],[Magnum Wolfpak '#]],Table2[Rox Wolf'#],0))),0,INDEX(Table2[GAS],MATCH(rrcworking[[#This Row],[Magnum Wolfpak '#]],Table2[Rox Wolf'#],0)))</f>
        <v>797</v>
      </c>
      <c r="W43" s="24"/>
      <c r="X43" s="136">
        <f>IF(rrcworking[[#This Row],[Pressure Base]]=14.73,rrcworking[[#This Row],[Gas Sales Statement Volume (MCF)]]*$R$2,rrcworking[[#This Row],[Gas Sales Statement Volume (MCF)]])</f>
        <v>797</v>
      </c>
      <c r="Y43" s="85"/>
      <c r="Z43" s="60">
        <v>1</v>
      </c>
      <c r="AA43" s="147">
        <f>IF(ISERROR(INDEX(Table2[LEASE USE],MATCH(rrcworking[[#This Row],[Magnum Wolfpak '#]],Table2[Rox Wolf'#],0))),0,INDEX(Table2[LEASE USE],MATCH(rrcworking[[#This Row],[Magnum Wolfpak '#]],Table2[Rox Wolf'#],0)))</f>
        <v>30</v>
      </c>
      <c r="AB43" s="57">
        <f>rrcworking[[#This Row],[Disposition Volume (MCF) @ 14.65 MCF]]+rrcworking[[#This Row],[Lease Use (MCF)]]</f>
        <v>827</v>
      </c>
      <c r="AC43" s="37"/>
      <c r="AD43" s="37" t="s">
        <v>1155</v>
      </c>
      <c r="AE43" s="192">
        <f>COUNTIF(FilterList,rrcworking[[#This Row],[Magnum Wolfpak '#]])</f>
        <v>0</v>
      </c>
      <c r="AF43" s="189"/>
      <c r="AG43" s="190"/>
      <c r="AH43" s="37"/>
      <c r="AI43" s="190"/>
      <c r="AJ43" s="37">
        <v>1</v>
      </c>
      <c r="AK43" s="37" t="s">
        <v>1175</v>
      </c>
      <c r="AL43" s="37" t="s">
        <v>1175</v>
      </c>
      <c r="AM43" s="37" t="s">
        <v>1203</v>
      </c>
      <c r="AN43" s="37" t="s">
        <v>1175</v>
      </c>
      <c r="AO43" s="37" t="s">
        <v>1186</v>
      </c>
      <c r="AP43" s="37" t="s">
        <v>1204</v>
      </c>
      <c r="AQ43" s="37" t="s">
        <v>1205</v>
      </c>
    </row>
    <row r="44" spans="3:43" ht="15">
      <c r="C44" s="80" t="e">
        <v>#N/A</v>
      </c>
      <c r="D44" s="62" t="s">
        <v>190</v>
      </c>
      <c r="E44" s="132" t="s">
        <v>191</v>
      </c>
      <c r="F44" s="130">
        <v>0</v>
      </c>
      <c r="G44" s="121" t="s">
        <v>1094</v>
      </c>
      <c r="H44" s="18" t="s">
        <v>619</v>
      </c>
      <c r="I44" s="18" t="s">
        <v>2</v>
      </c>
      <c r="J44" s="19" t="s">
        <v>485</v>
      </c>
      <c r="K44" s="103">
        <v>24455</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6"/>
      <c r="Q44" s="128">
        <f>rrcworking[[#This Row],[Last Month Closing Stock]]</f>
        <v>0</v>
      </c>
      <c r="R44" s="186">
        <f>rrcworking[[#This Row],[Opening Oil Stock]]</f>
        <v>0</v>
      </c>
      <c r="S44" s="147">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7">
        <f>IF(ISERROR(INDEX(Table2[GAS],MATCH(rrcworking[[#This Row],[Magnum Wolfpak '#]],Table2[Rox Wolf'#],0))),0,INDEX(Table2[GAS],MATCH(rrcworking[[#This Row],[Magnum Wolfpak '#]],Table2[Rox Wolf'#],0)))</f>
        <v>0</v>
      </c>
      <c r="W44" s="24"/>
      <c r="X44" s="136">
        <f>IF(rrcworking[[#This Row],[Pressure Base]]=14.73,rrcworking[[#This Row],[Gas Sales Statement Volume (MCF)]]*$R$2,rrcworking[[#This Row],[Gas Sales Statement Volume (MCF)]])</f>
        <v>0</v>
      </c>
      <c r="Y44" s="60"/>
      <c r="Z44" s="60"/>
      <c r="AA44" s="147">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92">
        <f>COUNTIF(FilterList,rrcworking[[#This Row],[Magnum Wolfpak '#]])</f>
        <v>0</v>
      </c>
      <c r="AF44" s="189"/>
      <c r="AG44" s="190"/>
      <c r="AH44" s="37"/>
      <c r="AI44" s="37"/>
      <c r="AJ44" s="37"/>
      <c r="AK44" s="37"/>
      <c r="AL44" s="37"/>
      <c r="AM44" s="37"/>
      <c r="AN44" s="37"/>
      <c r="AO44" s="37"/>
      <c r="AP44" s="37"/>
      <c r="AQ44" s="37"/>
    </row>
    <row r="45" spans="3:43" ht="15">
      <c r="C45" s="80" t="e">
        <v>#N/A</v>
      </c>
      <c r="D45" s="62" t="s">
        <v>204</v>
      </c>
      <c r="E45" s="132" t="s">
        <v>205</v>
      </c>
      <c r="F45" s="130" t="s">
        <v>206</v>
      </c>
      <c r="G45" s="121" t="s">
        <v>1094</v>
      </c>
      <c r="H45" s="18" t="s">
        <v>619</v>
      </c>
      <c r="I45" s="18" t="s">
        <v>59</v>
      </c>
      <c r="J45" s="19" t="s">
        <v>492</v>
      </c>
      <c r="K45" s="103">
        <v>177442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0</v>
      </c>
      <c r="O45" s="106" t="b">
        <f t="shared" si="1"/>
        <v>1</v>
      </c>
      <c r="P45" s="186"/>
      <c r="Q45" s="128">
        <f>rrcworking[[#This Row],[Last Month Closing Stock]]</f>
        <v>0</v>
      </c>
      <c r="R45" s="186">
        <f>rrcworking[[#This Row],[Opening Oil Stock]]</f>
        <v>0</v>
      </c>
      <c r="S45" s="147">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7">
        <f>IF(ISERROR(INDEX(Table2[GAS],MATCH(rrcworking[[#This Row],[Magnum Wolfpak '#]],Table2[Rox Wolf'#],0))),0,INDEX(Table2[GAS],MATCH(rrcworking[[#This Row],[Magnum Wolfpak '#]],Table2[Rox Wolf'#],0)))</f>
        <v>0</v>
      </c>
      <c r="W45" s="24"/>
      <c r="X45" s="136">
        <f>IF(rrcworking[[#This Row],[Pressure Base]]=14.73,rrcworking[[#This Row],[Gas Sales Statement Volume (MCF)]]*$R$2,rrcworking[[#This Row],[Gas Sales Statement Volume (MCF)]])</f>
        <v>0</v>
      </c>
      <c r="Y45" s="60"/>
      <c r="Z45" s="60"/>
      <c r="AA45" s="147">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92">
        <f>COUNTIF(FilterList,rrcworking[[#This Row],[Magnum Wolfpak '#]])</f>
        <v>0</v>
      </c>
      <c r="AF45" s="189"/>
      <c r="AG45" s="190"/>
      <c r="AH45" s="37"/>
      <c r="AI45" s="37"/>
      <c r="AJ45" s="37"/>
      <c r="AK45" s="37"/>
      <c r="AL45" s="37"/>
      <c r="AM45" s="37"/>
      <c r="AN45" s="37"/>
      <c r="AO45" s="37"/>
      <c r="AP45" s="37"/>
      <c r="AQ45" s="37"/>
    </row>
    <row r="46" spans="3:43" ht="15">
      <c r="C46" s="80" t="e">
        <v>#N/A</v>
      </c>
      <c r="D46" s="62" t="s">
        <v>152</v>
      </c>
      <c r="E46" s="132" t="s">
        <v>153</v>
      </c>
      <c r="F46" s="141" t="s">
        <v>57</v>
      </c>
      <c r="G46" s="121" t="s">
        <v>1094</v>
      </c>
      <c r="H46" s="18" t="s">
        <v>619</v>
      </c>
      <c r="I46" s="18" t="s">
        <v>2</v>
      </c>
      <c r="J46" s="19" t="s">
        <v>461</v>
      </c>
      <c r="K46" s="103">
        <v>26482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139</v>
      </c>
      <c r="O46" s="106" t="b">
        <f t="shared" si="1"/>
        <v>1</v>
      </c>
      <c r="P46" s="186"/>
      <c r="Q46" s="128">
        <f>rrcworking[[#This Row],[Last Month Closing Stock]]</f>
        <v>139</v>
      </c>
      <c r="R46" s="186">
        <f>rrcworking[[#This Row],[Opening Oil Stock]]</f>
        <v>139</v>
      </c>
      <c r="S46" s="147">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7">
        <f>IF(ISERROR(INDEX(Table2[GAS],MATCH(rrcworking[[#This Row],[Magnum Wolfpak '#]],Table2[Rox Wolf'#],0))),0,INDEX(Table2[GAS],MATCH(rrcworking[[#This Row],[Magnum Wolfpak '#]],Table2[Rox Wolf'#],0)))</f>
        <v>0</v>
      </c>
      <c r="W46" s="24"/>
      <c r="X46" s="136">
        <f>IF(rrcworking[[#This Row],[Pressure Base]]=14.73,rrcworking[[#This Row],[Gas Sales Statement Volume (MCF)]]*$R$2,rrcworking[[#This Row],[Gas Sales Statement Volume (MCF)]])</f>
        <v>0</v>
      </c>
      <c r="Y46" s="60"/>
      <c r="Z46" s="60"/>
      <c r="AA46" s="147">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c r="AE46" s="192">
        <f>COUNTIF(FilterList,rrcworking[[#This Row],[Magnum Wolfpak '#]])</f>
        <v>0</v>
      </c>
      <c r="AF46" s="189"/>
      <c r="AG46" s="190"/>
      <c r="AH46" s="37"/>
      <c r="AI46" s="37"/>
      <c r="AJ46" s="37"/>
      <c r="AK46" s="37"/>
      <c r="AL46" s="37"/>
      <c r="AM46" s="37"/>
      <c r="AN46" s="37"/>
      <c r="AO46" s="37"/>
      <c r="AP46" s="37"/>
      <c r="AQ46" s="37"/>
    </row>
    <row r="47" spans="3:43" ht="180">
      <c r="C47" s="80">
        <v>99225</v>
      </c>
      <c r="D47" s="62" t="s">
        <v>155</v>
      </c>
      <c r="E47" s="132" t="s">
        <v>153</v>
      </c>
      <c r="F47" s="141" t="s">
        <v>1136</v>
      </c>
      <c r="G47" s="121" t="s">
        <v>1094</v>
      </c>
      <c r="H47" s="18" t="s">
        <v>619</v>
      </c>
      <c r="I47" s="18" t="s">
        <v>2</v>
      </c>
      <c r="J47" s="19" t="s">
        <v>463</v>
      </c>
      <c r="K47" s="103">
        <v>26262</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28</v>
      </c>
      <c r="O47" s="106" t="b">
        <f t="shared" si="1"/>
        <v>1</v>
      </c>
      <c r="P47" s="186"/>
      <c r="Q47" s="128">
        <f>rrcworking[[#This Row],[Last Month Closing Stock]]</f>
        <v>28</v>
      </c>
      <c r="R47" s="186">
        <v>28</v>
      </c>
      <c r="S47" s="147">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7">
        <f>IF(ISERROR(INDEX(Table2[GAS],MATCH(rrcworking[[#This Row],[Magnum Wolfpak '#]],Table2[Rox Wolf'#],0))),0,INDEX(Table2[GAS],MATCH(rrcworking[[#This Row],[Magnum Wolfpak '#]],Table2[Rox Wolf'#],0)))</f>
        <v>0</v>
      </c>
      <c r="W47" s="24"/>
      <c r="X47" s="136">
        <f>IF(rrcworking[[#This Row],[Pressure Base]]=14.73,rrcworking[[#This Row],[Gas Sales Statement Volume (MCF)]]*$R$2,rrcworking[[#This Row],[Gas Sales Statement Volume (MCF)]])</f>
        <v>0</v>
      </c>
      <c r="Y47" s="60"/>
      <c r="Z47" s="60"/>
      <c r="AA47" s="147">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t="s">
        <v>1145</v>
      </c>
      <c r="AE47" s="192">
        <f>COUNTIF(FilterList,rrcworking[[#This Row],[Magnum Wolfpak '#]])</f>
        <v>0</v>
      </c>
      <c r="AF47" s="189"/>
      <c r="AG47" s="190"/>
      <c r="AH47" s="37"/>
      <c r="AI47" s="37"/>
      <c r="AJ47" s="191"/>
      <c r="AK47" s="191"/>
      <c r="AL47" s="191"/>
      <c r="AM47" s="191"/>
      <c r="AN47" s="191"/>
      <c r="AO47" s="191"/>
      <c r="AP47" s="37" t="s">
        <v>1173</v>
      </c>
      <c r="AQ47" s="37" t="s">
        <v>1199</v>
      </c>
    </row>
    <row r="48" spans="3:43" ht="15">
      <c r="C48" s="80" t="e">
        <v>#N/A</v>
      </c>
      <c r="D48" s="62" t="s">
        <v>159</v>
      </c>
      <c r="E48" s="132" t="s">
        <v>153</v>
      </c>
      <c r="F48" s="141" t="s">
        <v>58</v>
      </c>
      <c r="G48" s="121" t="s">
        <v>1094</v>
      </c>
      <c r="H48" s="18" t="s">
        <v>619</v>
      </c>
      <c r="I48" s="18" t="s">
        <v>2</v>
      </c>
      <c r="J48" s="19" t="s">
        <v>466</v>
      </c>
      <c r="K48" s="103">
        <v>26909</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32</v>
      </c>
      <c r="O48" s="106" t="b">
        <f t="shared" si="1"/>
        <v>1</v>
      </c>
      <c r="P48" s="186"/>
      <c r="Q48" s="128">
        <f>rrcworking[[#This Row],[Last Month Closing Stock]]</f>
        <v>32</v>
      </c>
      <c r="R48" s="186">
        <f>rrcworking[[#This Row],[Opening Oil Stock]]</f>
        <v>32</v>
      </c>
      <c r="S48" s="147">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7">
        <f>IF(ISERROR(INDEX(Table2[GAS],MATCH(rrcworking[[#This Row],[Magnum Wolfpak '#]],Table2[Rox Wolf'#],0))),0,INDEX(Table2[GAS],MATCH(rrcworking[[#This Row],[Magnum Wolfpak '#]],Table2[Rox Wolf'#],0)))</f>
        <v>0</v>
      </c>
      <c r="W48" s="24"/>
      <c r="X48" s="136">
        <f>IF(rrcworking[[#This Row],[Pressure Base]]=14.73,rrcworking[[#This Row],[Gas Sales Statement Volume (MCF)]]*$R$2,rrcworking[[#This Row],[Gas Sales Statement Volume (MCF)]])</f>
        <v>0</v>
      </c>
      <c r="Y48" s="60"/>
      <c r="Z48" s="60"/>
      <c r="AA48" s="147">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92">
        <f>COUNTIF(FilterList,rrcworking[[#This Row],[Magnum Wolfpak '#]])</f>
        <v>0</v>
      </c>
      <c r="AF48" s="189"/>
      <c r="AG48" s="190"/>
      <c r="AH48" s="37"/>
      <c r="AI48" s="37"/>
      <c r="AJ48" s="37"/>
      <c r="AK48" s="37"/>
      <c r="AL48" s="37"/>
      <c r="AM48" s="37"/>
      <c r="AN48" s="37"/>
      <c r="AO48" s="37"/>
      <c r="AP48" s="37"/>
      <c r="AQ48" s="37"/>
    </row>
    <row r="49" spans="3:43" ht="15">
      <c r="C49" s="80" t="e">
        <v>#N/A</v>
      </c>
      <c r="D49" s="62" t="s">
        <v>152</v>
      </c>
      <c r="E49" s="132" t="s">
        <v>154</v>
      </c>
      <c r="F49" s="130">
        <v>0</v>
      </c>
      <c r="G49" s="121" t="s">
        <v>1094</v>
      </c>
      <c r="H49" s="18" t="s">
        <v>619</v>
      </c>
      <c r="I49" s="18" t="s">
        <v>2</v>
      </c>
      <c r="J49" s="19" t="s">
        <v>462</v>
      </c>
      <c r="K49" s="103">
        <v>27150</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6"/>
      <c r="Q49" s="128">
        <f>rrcworking[[#This Row],[Last Month Closing Stock]]</f>
        <v>0</v>
      </c>
      <c r="R49" s="186">
        <f>rrcworking[[#This Row],[Opening Oil Stock]]</f>
        <v>0</v>
      </c>
      <c r="S49" s="147">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7">
        <f>IF(ISERROR(INDEX(Table2[GAS],MATCH(rrcworking[[#This Row],[Magnum Wolfpak '#]],Table2[Rox Wolf'#],0))),0,INDEX(Table2[GAS],MATCH(rrcworking[[#This Row],[Magnum Wolfpak '#]],Table2[Rox Wolf'#],0)))</f>
        <v>0</v>
      </c>
      <c r="W49" s="24"/>
      <c r="X49" s="136">
        <f>IF(rrcworking[[#This Row],[Pressure Base]]=14.73,rrcworking[[#This Row],[Gas Sales Statement Volume (MCF)]]*$R$2,rrcworking[[#This Row],[Gas Sales Statement Volume (MCF)]])</f>
        <v>0</v>
      </c>
      <c r="Y49" s="60"/>
      <c r="Z49" s="60"/>
      <c r="AA49" s="147">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92">
        <f>COUNTIF(FilterList,rrcworking[[#This Row],[Magnum Wolfpak '#]])</f>
        <v>0</v>
      </c>
      <c r="AF49" s="189"/>
      <c r="AG49" s="190"/>
      <c r="AH49" s="37"/>
      <c r="AI49" s="37"/>
      <c r="AJ49" s="37"/>
      <c r="AK49" s="37"/>
      <c r="AL49" s="37"/>
      <c r="AM49" s="37"/>
      <c r="AN49" s="37"/>
      <c r="AO49" s="37"/>
      <c r="AP49" s="37"/>
      <c r="AQ49" s="37"/>
    </row>
    <row r="50" spans="3:43" ht="15">
      <c r="C50" s="80" t="e">
        <v>#N/A</v>
      </c>
      <c r="D50" s="62" t="s">
        <v>157</v>
      </c>
      <c r="E50" s="132" t="s">
        <v>158</v>
      </c>
      <c r="F50" s="130">
        <v>5</v>
      </c>
      <c r="G50" s="121" t="s">
        <v>1094</v>
      </c>
      <c r="H50" s="18" t="s">
        <v>619</v>
      </c>
      <c r="I50" s="18" t="s">
        <v>59</v>
      </c>
      <c r="J50" s="19" t="s">
        <v>465</v>
      </c>
      <c r="K50" s="103">
        <v>223401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6"/>
      <c r="Q50" s="128">
        <f>rrcworking[[#This Row],[Last Month Closing Stock]]</f>
        <v>0</v>
      </c>
      <c r="R50" s="186">
        <f>rrcworking[[#This Row],[Opening Oil Stock]]</f>
        <v>0</v>
      </c>
      <c r="S50" s="147">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7">
        <f>IF(ISERROR(INDEX(Table2[GAS],MATCH(rrcworking[[#This Row],[Magnum Wolfpak '#]],Table2[Rox Wolf'#],0))),0,INDEX(Table2[GAS],MATCH(rrcworking[[#This Row],[Magnum Wolfpak '#]],Table2[Rox Wolf'#],0)))</f>
        <v>0</v>
      </c>
      <c r="W50" s="24"/>
      <c r="X50" s="136">
        <f>IF(rrcworking[[#This Row],[Pressure Base]]=14.73,rrcworking[[#This Row],[Gas Sales Statement Volume (MCF)]]*$R$2,rrcworking[[#This Row],[Gas Sales Statement Volume (MCF)]])</f>
        <v>0</v>
      </c>
      <c r="Y50" s="60"/>
      <c r="Z50" s="60"/>
      <c r="AA50" s="147">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92">
        <f>COUNTIF(FilterList,rrcworking[[#This Row],[Magnum Wolfpak '#]])</f>
        <v>0</v>
      </c>
      <c r="AF50" s="189"/>
      <c r="AG50" s="190"/>
      <c r="AH50" s="37"/>
      <c r="AI50" s="37"/>
      <c r="AJ50" s="37"/>
      <c r="AK50" s="37"/>
      <c r="AL50" s="37"/>
      <c r="AM50" s="37"/>
      <c r="AN50" s="37"/>
      <c r="AO50" s="37"/>
      <c r="AP50" s="37"/>
      <c r="AQ50" s="37"/>
    </row>
    <row r="51" spans="3:43" ht="15">
      <c r="C51" s="80" t="e">
        <v>#N/A</v>
      </c>
      <c r="D51" s="62" t="s">
        <v>178</v>
      </c>
      <c r="E51" s="132" t="s">
        <v>158</v>
      </c>
      <c r="F51" s="130">
        <v>1</v>
      </c>
      <c r="G51" s="121" t="s">
        <v>1094</v>
      </c>
      <c r="H51" s="18" t="s">
        <v>619</v>
      </c>
      <c r="I51" s="18" t="s">
        <v>59</v>
      </c>
      <c r="J51" s="19" t="s">
        <v>476</v>
      </c>
      <c r="K51" s="103">
        <v>188081</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6"/>
      <c r="Q51" s="128">
        <f>rrcworking[[#This Row],[Last Month Closing Stock]]</f>
        <v>0</v>
      </c>
      <c r="R51" s="186">
        <f>rrcworking[[#This Row],[Opening Oil Stock]]</f>
        <v>0</v>
      </c>
      <c r="S51" s="147">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7">
        <f>IF(ISERROR(INDEX(Table2[GAS],MATCH(rrcworking[[#This Row],[Magnum Wolfpak '#]],Table2[Rox Wolf'#],0))),0,INDEX(Table2[GAS],MATCH(rrcworking[[#This Row],[Magnum Wolfpak '#]],Table2[Rox Wolf'#],0)))</f>
        <v>0</v>
      </c>
      <c r="W51" s="24"/>
      <c r="X51" s="136">
        <f>IF(rrcworking[[#This Row],[Pressure Base]]=14.73,rrcworking[[#This Row],[Gas Sales Statement Volume (MCF)]]*$R$2,rrcworking[[#This Row],[Gas Sales Statement Volume (MCF)]])</f>
        <v>0</v>
      </c>
      <c r="Y51" s="60"/>
      <c r="Z51" s="60"/>
      <c r="AA51" s="147">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92">
        <f>COUNTIF(FilterList,rrcworking[[#This Row],[Magnum Wolfpak '#]])</f>
        <v>0</v>
      </c>
      <c r="AF51" s="189"/>
      <c r="AG51" s="190"/>
      <c r="AH51" s="37"/>
      <c r="AI51" s="37"/>
      <c r="AJ51" s="37"/>
      <c r="AK51" s="37"/>
      <c r="AL51" s="37"/>
      <c r="AM51" s="37"/>
      <c r="AN51" s="37"/>
      <c r="AO51" s="37"/>
      <c r="AP51" s="37"/>
      <c r="AQ51" s="37"/>
    </row>
    <row r="52" spans="3:43" ht="15">
      <c r="C52" s="80" t="e">
        <v>#N/A</v>
      </c>
      <c r="D52" s="62" t="s">
        <v>162</v>
      </c>
      <c r="E52" s="132" t="s">
        <v>163</v>
      </c>
      <c r="F52" s="130">
        <v>7</v>
      </c>
      <c r="G52" s="121" t="s">
        <v>1094</v>
      </c>
      <c r="H52" s="18" t="s">
        <v>619</v>
      </c>
      <c r="I52" s="18" t="s">
        <v>59</v>
      </c>
      <c r="J52" s="19" t="s">
        <v>468</v>
      </c>
      <c r="K52" s="103">
        <v>250605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6"/>
      <c r="Q52" s="128">
        <f>rrcworking[[#This Row],[Last Month Closing Stock]]</f>
        <v>0</v>
      </c>
      <c r="R52" s="186">
        <f>rrcworking[[#This Row],[Opening Oil Stock]]</f>
        <v>0</v>
      </c>
      <c r="S52" s="147">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7">
        <f>IF(ISERROR(INDEX(Table2[GAS],MATCH(rrcworking[[#This Row],[Magnum Wolfpak '#]],Table2[Rox Wolf'#],0))),0,INDEX(Table2[GAS],MATCH(rrcworking[[#This Row],[Magnum Wolfpak '#]],Table2[Rox Wolf'#],0)))</f>
        <v>0</v>
      </c>
      <c r="W52" s="24"/>
      <c r="X52" s="136">
        <f>IF(rrcworking[[#This Row],[Pressure Base]]=14.73,rrcworking[[#This Row],[Gas Sales Statement Volume (MCF)]]*$R$2,rrcworking[[#This Row],[Gas Sales Statement Volume (MCF)]])</f>
        <v>0</v>
      </c>
      <c r="Y52" s="60"/>
      <c r="Z52" s="60"/>
      <c r="AA52" s="147">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92">
        <f>COUNTIF(FilterList,rrcworking[[#This Row],[Magnum Wolfpak '#]])</f>
        <v>0</v>
      </c>
      <c r="AF52" s="189"/>
      <c r="AG52" s="190"/>
      <c r="AH52" s="37"/>
      <c r="AI52" s="37"/>
      <c r="AJ52" s="37"/>
      <c r="AK52" s="37"/>
      <c r="AL52" s="37"/>
      <c r="AM52" s="37"/>
      <c r="AN52" s="37"/>
      <c r="AO52" s="37"/>
      <c r="AP52" s="37"/>
      <c r="AQ52" s="37"/>
    </row>
    <row r="53" spans="3:43" ht="15">
      <c r="C53" s="80" t="e">
        <v>#N/A</v>
      </c>
      <c r="D53" s="62" t="s">
        <v>160</v>
      </c>
      <c r="E53" s="132" t="s">
        <v>161</v>
      </c>
      <c r="F53" s="130">
        <v>1</v>
      </c>
      <c r="G53" s="121" t="s">
        <v>1094</v>
      </c>
      <c r="H53" s="18" t="s">
        <v>619</v>
      </c>
      <c r="I53" s="18" t="s">
        <v>59</v>
      </c>
      <c r="J53" s="19" t="s">
        <v>467</v>
      </c>
      <c r="K53" s="103">
        <v>233975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6"/>
      <c r="Q53" s="128">
        <f>rrcworking[[#This Row],[Last Month Closing Stock]]</f>
        <v>0</v>
      </c>
      <c r="R53" s="186">
        <f>rrcworking[[#This Row],[Opening Oil Stock]]</f>
        <v>0</v>
      </c>
      <c r="S53" s="147">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7">
        <f>IF(ISERROR(INDEX(Table2[GAS],MATCH(rrcworking[[#This Row],[Magnum Wolfpak '#]],Table2[Rox Wolf'#],0))),0,INDEX(Table2[GAS],MATCH(rrcworking[[#This Row],[Magnum Wolfpak '#]],Table2[Rox Wolf'#],0)))</f>
        <v>0</v>
      </c>
      <c r="W53" s="24"/>
      <c r="X53" s="136">
        <f>IF(rrcworking[[#This Row],[Pressure Base]]=14.73,rrcworking[[#This Row],[Gas Sales Statement Volume (MCF)]]*$R$2,rrcworking[[#This Row],[Gas Sales Statement Volume (MCF)]])</f>
        <v>0</v>
      </c>
      <c r="Y53" s="60"/>
      <c r="Z53" s="60"/>
      <c r="AA53" s="147">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92">
        <f>COUNTIF(FilterList,rrcworking[[#This Row],[Magnum Wolfpak '#]])</f>
        <v>0</v>
      </c>
      <c r="AF53" s="189"/>
      <c r="AG53" s="190"/>
      <c r="AH53" s="37"/>
      <c r="AI53" s="37"/>
      <c r="AJ53" s="37"/>
      <c r="AK53" s="37"/>
      <c r="AL53" s="37"/>
      <c r="AM53" s="37"/>
      <c r="AN53" s="37"/>
      <c r="AO53" s="37"/>
      <c r="AP53" s="37"/>
      <c r="AQ53" s="37"/>
    </row>
    <row r="54" spans="3:43" ht="15">
      <c r="C54" s="80" t="e">
        <v>#N/A</v>
      </c>
      <c r="D54" s="62" t="s">
        <v>309</v>
      </c>
      <c r="E54" s="132" t="s">
        <v>311</v>
      </c>
      <c r="F54" s="130">
        <v>1</v>
      </c>
      <c r="G54" s="121" t="s">
        <v>1094</v>
      </c>
      <c r="H54" s="18" t="s">
        <v>620</v>
      </c>
      <c r="I54" s="18" t="s">
        <v>59</v>
      </c>
      <c r="J54" s="19" t="s">
        <v>553</v>
      </c>
      <c r="K54" s="103">
        <v>225615</v>
      </c>
      <c r="L54" s="101">
        <f>INDEX(Table1[Production],MATCH(rrcworking[[#This Row],[RRC ID Number]],Table1[RRC Identifier],0))</f>
        <v>0</v>
      </c>
      <c r="M54" s="30">
        <f>INDEX(Table1[Formation Production],MATCH(rrcworking[[#This Row],[RRC ID Number]],Table1[RRC Identifier],0))</f>
        <v>0</v>
      </c>
      <c r="N54" s="31">
        <f>INDEX(Table1[On Hand End of Month],MATCH(rrcworking[[#This Row],[RRC ID Number]],Table1[RRC Identifier],0))</f>
        <v>0</v>
      </c>
      <c r="O54" s="106" t="b">
        <f t="shared" si="1"/>
        <v>1</v>
      </c>
      <c r="P54" s="186"/>
      <c r="Q54" s="128">
        <f>rrcworking[[#This Row],[Last Month Closing Stock]]</f>
        <v>0</v>
      </c>
      <c r="R54" s="186">
        <f>rrcworking[[#This Row],[Opening Oil Stock]]</f>
        <v>0</v>
      </c>
      <c r="S54" s="147">
        <f>IF(ISERROR(INDEX(Table2[OIL],MATCH(rrcworking[[#This Row],[Magnum Wolfpak '#]],Table2[Rox Wolf'#],0))),0,INDEX(Table2[OIL],MATCH(rrcworking[[#This Row],[Magnum Wolfpak '#]],Table2[Rox Wolf'#],0)))</f>
        <v>0</v>
      </c>
      <c r="T54" s="35">
        <f>rrcworking[[#This Row],[Closing Stock (Oil)]]+rrcworking[[#This Row],[Sales/Dispostion]]-rrcworking[[#This Row],[Opening Oil Stock]]</f>
        <v>0</v>
      </c>
      <c r="U54" s="112">
        <f>rrcworking[[#This Row],[Gauge Sheet Prod Volume]]-rrcworking[[#This Row],[Oil Production]]</f>
        <v>0</v>
      </c>
      <c r="V54" s="147">
        <f>IF(ISERROR(INDEX(Table2[GAS],MATCH(rrcworking[[#This Row],[Magnum Wolfpak '#]],Table2[Rox Wolf'#],0))),0,INDEX(Table2[GAS],MATCH(rrcworking[[#This Row],[Magnum Wolfpak '#]],Table2[Rox Wolf'#],0)))</f>
        <v>0</v>
      </c>
      <c r="W54" s="24"/>
      <c r="X54" s="136">
        <f>IF(rrcworking[[#This Row],[Pressure Base]]=14.73,rrcworking[[#This Row],[Gas Sales Statement Volume (MCF)]]*$R$2,rrcworking[[#This Row],[Gas Sales Statement Volume (MCF)]])</f>
        <v>0</v>
      </c>
      <c r="Y54" s="60"/>
      <c r="Z54" s="60"/>
      <c r="AA54" s="147">
        <f>IF(ISERROR(INDEX(Table2[LEASE USE],MATCH(rrcworking[[#This Row],[Magnum Wolfpak '#]],Table2[Rox Wolf'#],0))),0,INDEX(Table2[LEASE USE],MATCH(rrcworking[[#This Row],[Magnum Wolfpak '#]],Table2[Rox Wolf'#],0)))</f>
        <v>0</v>
      </c>
      <c r="AB54" s="57">
        <f>rrcworking[[#This Row],[Disposition Volume (MCF) @ 14.65 MCF]]+rrcworking[[#This Row],[Lease Use (MCF)]]</f>
        <v>0</v>
      </c>
      <c r="AC54" s="37"/>
      <c r="AD54" s="37"/>
      <c r="AE54" s="192">
        <f>COUNTIF(FilterList,rrcworking[[#This Row],[Magnum Wolfpak '#]])</f>
        <v>0</v>
      </c>
      <c r="AF54" s="189"/>
      <c r="AG54" s="190"/>
      <c r="AH54" s="37"/>
      <c r="AI54" s="37"/>
      <c r="AJ54" s="37"/>
      <c r="AK54" s="37"/>
      <c r="AL54" s="37"/>
      <c r="AM54" s="37"/>
      <c r="AN54" s="37"/>
      <c r="AO54" s="37"/>
      <c r="AP54" s="37"/>
      <c r="AQ54" s="37"/>
    </row>
    <row r="55" spans="3:43" ht="15">
      <c r="C55" s="80">
        <v>99307</v>
      </c>
      <c r="D55" s="62" t="s">
        <v>254</v>
      </c>
      <c r="E55" s="132" t="s">
        <v>255</v>
      </c>
      <c r="F55" s="130">
        <v>2</v>
      </c>
      <c r="G55" s="121" t="s">
        <v>1094</v>
      </c>
      <c r="H55" s="18" t="s">
        <v>619</v>
      </c>
      <c r="I55" s="18" t="s">
        <v>59</v>
      </c>
      <c r="J55" s="19" t="s">
        <v>516</v>
      </c>
      <c r="K55" s="103">
        <v>247945</v>
      </c>
      <c r="L55" s="101">
        <f>INDEX(Table1[Production],MATCH(rrcworking[[#This Row],[RRC ID Number]],Table1[RRC Identifier],0))</f>
        <v>5</v>
      </c>
      <c r="M55" s="30">
        <f>INDEX(Table1[Formation Production],MATCH(rrcworking[[#This Row],[RRC ID Number]],Table1[RRC Identifier],0))</f>
        <v>572</v>
      </c>
      <c r="N55" s="31">
        <f>INDEX(Table1[On Hand End of Month],MATCH(rrcworking[[#This Row],[RRC ID Number]],Table1[RRC Identifier],0))</f>
        <v>73</v>
      </c>
      <c r="O55" s="106" t="b">
        <f t="shared" si="1"/>
        <v>0</v>
      </c>
      <c r="P55" s="186">
        <v>18</v>
      </c>
      <c r="Q55" s="128">
        <f>rrcworking[[#This Row],[Last Month Closing Stock]]</f>
        <v>73</v>
      </c>
      <c r="R55" s="187">
        <v>92</v>
      </c>
      <c r="S55" s="147">
        <f>IF(ISERROR(INDEX(Table2[OIL],MATCH(rrcworking[[#This Row],[Magnum Wolfpak '#]],Table2[Rox Wolf'#],0))),0,INDEX(Table2[OIL],MATCH(rrcworking[[#This Row],[Magnum Wolfpak '#]],Table2[Rox Wolf'#],0)))</f>
        <v>0</v>
      </c>
      <c r="T55" s="35">
        <f>rrcworking[[#This Row],[Closing Stock (Oil)]]+rrcworking[[#This Row],[Sales/Dispostion]]-rrcworking[[#This Row],[Opening Oil Stock]]</f>
        <v>19</v>
      </c>
      <c r="U55" s="112">
        <f>rrcworking[[#This Row],[Gauge Sheet Prod Volume]]-rrcworking[[#This Row],[Oil Production]]</f>
        <v>-1</v>
      </c>
      <c r="V55" s="147">
        <f>IF(ISERROR(INDEX(Table2[GAS],MATCH(rrcworking[[#This Row],[Magnum Wolfpak '#]],Table2[Rox Wolf'#],0))),0,INDEX(Table2[GAS],MATCH(rrcworking[[#This Row],[Magnum Wolfpak '#]],Table2[Rox Wolf'#],0)))</f>
        <v>585</v>
      </c>
      <c r="W55" s="24"/>
      <c r="X55" s="136">
        <f>IF(rrcworking[[#This Row],[Pressure Base]]=14.73,rrcworking[[#This Row],[Gas Sales Statement Volume (MCF)]]*$R$2,rrcworking[[#This Row],[Gas Sales Statement Volume (MCF)]])</f>
        <v>585</v>
      </c>
      <c r="Y55" s="60"/>
      <c r="Z55" s="60"/>
      <c r="AA55" s="147">
        <f>IF(ISERROR(INDEX(Table2[LEASE USE],MATCH(rrcworking[[#This Row],[Magnum Wolfpak '#]],Table2[Rox Wolf'#],0))),0,INDEX(Table2[LEASE USE],MATCH(rrcworking[[#This Row],[Magnum Wolfpak '#]],Table2[Rox Wolf'#],0)))</f>
        <v>0</v>
      </c>
      <c r="AB55" s="57">
        <f>rrcworking[[#This Row],[Disposition Volume (MCF) @ 14.65 MCF]]+rrcworking[[#This Row],[Lease Use (MCF)]]</f>
        <v>585</v>
      </c>
      <c r="AC55" s="37"/>
      <c r="AD55" s="37"/>
      <c r="AE55" s="192">
        <f>COUNTIF(FilterList,rrcworking[[#This Row],[Magnum Wolfpak '#]])</f>
        <v>0</v>
      </c>
      <c r="AF55" s="189"/>
      <c r="AG55" s="190"/>
      <c r="AH55" s="37"/>
      <c r="AI55" s="190"/>
      <c r="AJ55" s="37">
        <v>2</v>
      </c>
      <c r="AK55" s="37" t="s">
        <v>1146</v>
      </c>
      <c r="AL55" s="37" t="s">
        <v>1146</v>
      </c>
      <c r="AM55" s="37" t="s">
        <v>1206</v>
      </c>
      <c r="AN55" s="37" t="s">
        <v>1146</v>
      </c>
      <c r="AO55" s="37" t="s">
        <v>1181</v>
      </c>
      <c r="AP55" s="37" t="s">
        <v>1207</v>
      </c>
      <c r="AQ55" s="37"/>
    </row>
    <row r="56" spans="3:43" ht="15">
      <c r="C56" s="80" t="e">
        <v>#N/A</v>
      </c>
      <c r="D56" s="62" t="s">
        <v>99</v>
      </c>
      <c r="E56" s="132" t="s">
        <v>97</v>
      </c>
      <c r="F56" s="130">
        <v>0</v>
      </c>
      <c r="G56" s="121" t="s">
        <v>1094</v>
      </c>
      <c r="H56" s="18" t="s">
        <v>618</v>
      </c>
      <c r="I56" s="18" t="s">
        <v>2</v>
      </c>
      <c r="J56" s="19" t="s">
        <v>428</v>
      </c>
      <c r="K56" s="103">
        <v>8462</v>
      </c>
      <c r="L56" s="101">
        <f>INDEX(Table1[Production],MATCH(rrcworking[[#This Row],[RRC ID Number]],Table1[RRC Identifier],0))</f>
        <v>0</v>
      </c>
      <c r="M56" s="30">
        <f>INDEX(Table1[Formation Production],MATCH(rrcworking[[#This Row],[RRC ID Number]],Table1[RRC Identifier],0))</f>
        <v>0</v>
      </c>
      <c r="N56" s="31">
        <f>INDEX(Table1[On Hand End of Month],MATCH(rrcworking[[#This Row],[RRC ID Number]],Table1[RRC Identifier],0))</f>
        <v>0</v>
      </c>
      <c r="O56" s="106" t="b">
        <f t="shared" si="1"/>
        <v>1</v>
      </c>
      <c r="P56" s="186"/>
      <c r="Q56" s="128">
        <f>rrcworking[[#This Row],[Last Month Closing Stock]]</f>
        <v>0</v>
      </c>
      <c r="R56" s="186">
        <f>rrcworking[[#This Row],[Opening Oil Stock]]</f>
        <v>0</v>
      </c>
      <c r="S56" s="147">
        <f>IF(ISERROR(INDEX(Table2[OIL],MATCH(rrcworking[[#This Row],[Magnum Wolfpak '#]],Table2[Rox Wolf'#],0))),0,INDEX(Table2[OIL],MATCH(rrcworking[[#This Row],[Magnum Wolfpak '#]],Table2[Rox Wolf'#],0)))</f>
        <v>0</v>
      </c>
      <c r="T56" s="35">
        <f>rrcworking[[#This Row],[Closing Stock (Oil)]]+rrcworking[[#This Row],[Sales/Dispostion]]-rrcworking[[#This Row],[Opening Oil Stock]]</f>
        <v>0</v>
      </c>
      <c r="U56" s="112">
        <f>rrcworking[[#This Row],[Gauge Sheet Prod Volume]]-rrcworking[[#This Row],[Oil Production]]</f>
        <v>0</v>
      </c>
      <c r="V56" s="147">
        <f>IF(ISERROR(INDEX(Table2[GAS],MATCH(rrcworking[[#This Row],[Magnum Wolfpak '#]],Table2[Rox Wolf'#],0))),0,INDEX(Table2[GAS],MATCH(rrcworking[[#This Row],[Magnum Wolfpak '#]],Table2[Rox Wolf'#],0)))</f>
        <v>0</v>
      </c>
      <c r="W56" s="24"/>
      <c r="X56" s="136">
        <f>IF(rrcworking[[#This Row],[Pressure Base]]=14.73,rrcworking[[#This Row],[Gas Sales Statement Volume (MCF)]]*$R$2,rrcworking[[#This Row],[Gas Sales Statement Volume (MCF)]])</f>
        <v>0</v>
      </c>
      <c r="Y56" s="60"/>
      <c r="Z56" s="60"/>
      <c r="AA56" s="147">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92">
        <f>COUNTIF(FilterList,rrcworking[[#This Row],[Magnum Wolfpak '#]])</f>
        <v>0</v>
      </c>
      <c r="AF56" s="189"/>
      <c r="AG56" s="190"/>
      <c r="AH56" s="37"/>
      <c r="AI56" s="37"/>
      <c r="AJ56" s="37"/>
      <c r="AK56" s="37"/>
      <c r="AL56" s="37"/>
      <c r="AM56" s="37"/>
      <c r="AN56" s="37"/>
      <c r="AO56" s="37"/>
      <c r="AP56" s="37"/>
      <c r="AQ56" s="37"/>
    </row>
    <row r="57" spans="3:43" ht="30">
      <c r="C57" s="80">
        <v>93806</v>
      </c>
      <c r="D57" s="62" t="s">
        <v>96</v>
      </c>
      <c r="E57" s="132" t="s">
        <v>97</v>
      </c>
      <c r="F57" s="130">
        <v>0</v>
      </c>
      <c r="G57" s="121" t="s">
        <v>1094</v>
      </c>
      <c r="H57" s="18" t="s">
        <v>618</v>
      </c>
      <c r="I57" s="18" t="s">
        <v>2</v>
      </c>
      <c r="J57" s="19" t="s">
        <v>426</v>
      </c>
      <c r="K57" s="103">
        <v>5446</v>
      </c>
      <c r="L57" s="101">
        <f>INDEX(Table1[Production],MATCH(rrcworking[[#This Row],[RRC ID Number]],Table1[RRC Identifier],0))</f>
        <v>26</v>
      </c>
      <c r="M57" s="30">
        <f>INDEX(Table1[Formation Production],MATCH(rrcworking[[#This Row],[RRC ID Number]],Table1[RRC Identifier],0))</f>
        <v>0</v>
      </c>
      <c r="N57" s="31">
        <f>INDEX(Table1[On Hand End of Month],MATCH(rrcworking[[#This Row],[RRC ID Number]],Table1[RRC Identifier],0))</f>
        <v>202</v>
      </c>
      <c r="O57" s="106" t="b">
        <f t="shared" si="1"/>
        <v>0</v>
      </c>
      <c r="P57" s="186">
        <v>18</v>
      </c>
      <c r="Q57" s="128">
        <f>rrcworking[[#This Row],[Last Month Closing Stock]]</f>
        <v>202</v>
      </c>
      <c r="R57" s="187">
        <v>218</v>
      </c>
      <c r="S57" s="147">
        <f>IF(ISERROR(INDEX(Table2[OIL],MATCH(rrcworking[[#This Row],[Magnum Wolfpak '#]],Table2[Rox Wolf'#],0))),0,INDEX(Table2[OIL],MATCH(rrcworking[[#This Row],[Magnum Wolfpak '#]],Table2[Rox Wolf'#],0)))</f>
        <v>2</v>
      </c>
      <c r="T57" s="35">
        <f>rrcworking[[#This Row],[Closing Stock (Oil)]]+rrcworking[[#This Row],[Sales/Dispostion]]-rrcworking[[#This Row],[Opening Oil Stock]]</f>
        <v>18</v>
      </c>
      <c r="U57" s="112">
        <f>rrcworking[[#This Row],[Gauge Sheet Prod Volume]]-rrcworking[[#This Row],[Oil Production]]</f>
        <v>0</v>
      </c>
      <c r="V57" s="147">
        <f>IF(ISERROR(INDEX(Table2[GAS],MATCH(rrcworking[[#This Row],[Magnum Wolfpak '#]],Table2[Rox Wolf'#],0))),0,INDEX(Table2[GAS],MATCH(rrcworking[[#This Row],[Magnum Wolfpak '#]],Table2[Rox Wolf'#],0)))</f>
        <v>0</v>
      </c>
      <c r="W57" s="24"/>
      <c r="X57" s="136">
        <f>IF(rrcworking[[#This Row],[Pressure Base]]=14.73,rrcworking[[#This Row],[Gas Sales Statement Volume (MCF)]]*$R$2,rrcworking[[#This Row],[Gas Sales Statement Volume (MCF)]])</f>
        <v>0</v>
      </c>
      <c r="Y57" s="60"/>
      <c r="Z57" s="60"/>
      <c r="AA57" s="147">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92">
        <f>COUNTIF(FilterList,rrcworking[[#This Row],[Magnum Wolfpak '#]])</f>
        <v>0</v>
      </c>
      <c r="AF57" s="189"/>
      <c r="AG57" s="190"/>
      <c r="AH57" s="37"/>
      <c r="AI57" s="190"/>
      <c r="AJ57" s="191"/>
      <c r="AK57" s="191"/>
      <c r="AL57" s="191"/>
      <c r="AM57" s="191"/>
      <c r="AN57" s="191"/>
      <c r="AO57" s="191"/>
      <c r="AP57" s="37" t="s">
        <v>1173</v>
      </c>
      <c r="AQ57" s="37" t="s">
        <v>1179</v>
      </c>
    </row>
    <row r="58" spans="3:43" ht="15">
      <c r="C58" s="80" t="e">
        <v>#N/A</v>
      </c>
      <c r="D58" s="62" t="s">
        <v>329</v>
      </c>
      <c r="E58" s="132" t="s">
        <v>330</v>
      </c>
      <c r="F58" s="130">
        <v>0</v>
      </c>
      <c r="G58" s="121" t="s">
        <v>1094</v>
      </c>
      <c r="H58" s="18" t="s">
        <v>620</v>
      </c>
      <c r="I58" s="18" t="s">
        <v>2</v>
      </c>
      <c r="J58" s="19" t="s">
        <v>566</v>
      </c>
      <c r="K58" s="103">
        <v>12696</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47</v>
      </c>
      <c r="O58" s="106" t="b">
        <f t="shared" si="1"/>
        <v>1</v>
      </c>
      <c r="P58" s="186"/>
      <c r="Q58" s="128">
        <f>rrcworking[[#This Row],[Last Month Closing Stock]]</f>
        <v>47</v>
      </c>
      <c r="R58" s="186">
        <f>rrcworking[[#This Row],[Opening Oil Stock]]</f>
        <v>47</v>
      </c>
      <c r="S58" s="147">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7">
        <f>IF(ISERROR(INDEX(Table2[GAS],MATCH(rrcworking[[#This Row],[Magnum Wolfpak '#]],Table2[Rox Wolf'#],0))),0,INDEX(Table2[GAS],MATCH(rrcworking[[#This Row],[Magnum Wolfpak '#]],Table2[Rox Wolf'#],0)))</f>
        <v>0</v>
      </c>
      <c r="W58" s="24"/>
      <c r="X58" s="136">
        <f>IF(rrcworking[[#This Row],[Pressure Base]]=14.73,rrcworking[[#This Row],[Gas Sales Statement Volume (MCF)]]*$R$2,rrcworking[[#This Row],[Gas Sales Statement Volume (MCF)]])</f>
        <v>0</v>
      </c>
      <c r="Y58" s="60"/>
      <c r="Z58" s="60"/>
      <c r="AA58" s="147">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92">
        <f>COUNTIF(FilterList,rrcworking[[#This Row],[Magnum Wolfpak '#]])</f>
        <v>0</v>
      </c>
      <c r="AF58" s="189"/>
      <c r="AG58" s="190"/>
      <c r="AH58" s="37"/>
      <c r="AI58" s="37"/>
      <c r="AJ58" s="37"/>
      <c r="AK58" s="37"/>
      <c r="AL58" s="37"/>
      <c r="AM58" s="37"/>
      <c r="AN58" s="37"/>
      <c r="AO58" s="37"/>
      <c r="AP58" s="37"/>
      <c r="AQ58" s="37"/>
    </row>
    <row r="59" spans="3:43" ht="15">
      <c r="C59" s="80" t="e">
        <v>#N/A</v>
      </c>
      <c r="D59" s="62" t="s">
        <v>331</v>
      </c>
      <c r="E59" s="132" t="s">
        <v>332</v>
      </c>
      <c r="F59" s="130">
        <v>0</v>
      </c>
      <c r="G59" s="121" t="s">
        <v>1094</v>
      </c>
      <c r="H59" s="18" t="s">
        <v>620</v>
      </c>
      <c r="I59" s="18" t="s">
        <v>2</v>
      </c>
      <c r="J59" s="19" t="s">
        <v>567</v>
      </c>
      <c r="K59" s="103">
        <v>13742</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52</v>
      </c>
      <c r="O59" s="106" t="b">
        <f t="shared" si="1"/>
        <v>1</v>
      </c>
      <c r="P59" s="186"/>
      <c r="Q59" s="128">
        <f>rrcworking[[#This Row],[Last Month Closing Stock]]</f>
        <v>52</v>
      </c>
      <c r="R59" s="186">
        <f>rrcworking[[#This Row],[Opening Oil Stock]]</f>
        <v>52</v>
      </c>
      <c r="S59" s="147">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7">
        <f>IF(ISERROR(INDEX(Table2[GAS],MATCH(rrcworking[[#This Row],[Magnum Wolfpak '#]],Table2[Rox Wolf'#],0))),0,INDEX(Table2[GAS],MATCH(rrcworking[[#This Row],[Magnum Wolfpak '#]],Table2[Rox Wolf'#],0)))</f>
        <v>0</v>
      </c>
      <c r="W59" s="24"/>
      <c r="X59" s="136">
        <f>IF(rrcworking[[#This Row],[Pressure Base]]=14.73,rrcworking[[#This Row],[Gas Sales Statement Volume (MCF)]]*$R$2,rrcworking[[#This Row],[Gas Sales Statement Volume (MCF)]])</f>
        <v>0</v>
      </c>
      <c r="Y59" s="60"/>
      <c r="Z59" s="60"/>
      <c r="AA59" s="147">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92">
        <f>COUNTIF(FilterList,rrcworking[[#This Row],[Magnum Wolfpak '#]])</f>
        <v>0</v>
      </c>
      <c r="AF59" s="189"/>
      <c r="AG59" s="190"/>
      <c r="AH59" s="37"/>
      <c r="AI59" s="37"/>
      <c r="AJ59" s="37"/>
      <c r="AK59" s="37"/>
      <c r="AL59" s="37"/>
      <c r="AM59" s="37"/>
      <c r="AN59" s="37"/>
      <c r="AO59" s="37"/>
      <c r="AP59" s="37"/>
      <c r="AQ59" s="37"/>
    </row>
    <row r="60" spans="3:43" ht="15">
      <c r="C60" s="80" t="e">
        <v>#N/A</v>
      </c>
      <c r="D60" s="62" t="s">
        <v>318</v>
      </c>
      <c r="E60" s="132" t="s">
        <v>319</v>
      </c>
      <c r="F60" s="130">
        <v>1</v>
      </c>
      <c r="G60" s="121" t="s">
        <v>1094</v>
      </c>
      <c r="H60" s="18" t="s">
        <v>620</v>
      </c>
      <c r="I60" s="18" t="s">
        <v>59</v>
      </c>
      <c r="J60" s="19" t="s">
        <v>558</v>
      </c>
      <c r="K60" s="103">
        <v>39333</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0</v>
      </c>
      <c r="O60" s="106" t="b">
        <f t="shared" si="1"/>
        <v>1</v>
      </c>
      <c r="P60" s="186"/>
      <c r="Q60" s="128">
        <f>rrcworking[[#This Row],[Last Month Closing Stock]]</f>
        <v>0</v>
      </c>
      <c r="R60" s="186">
        <f>rrcworking[[#This Row],[Opening Oil Stock]]</f>
        <v>0</v>
      </c>
      <c r="S60" s="147">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7">
        <f>IF(ISERROR(INDEX(Table2[GAS],MATCH(rrcworking[[#This Row],[Magnum Wolfpak '#]],Table2[Rox Wolf'#],0))),0,INDEX(Table2[GAS],MATCH(rrcworking[[#This Row],[Magnum Wolfpak '#]],Table2[Rox Wolf'#],0)))</f>
        <v>0</v>
      </c>
      <c r="W60" s="24"/>
      <c r="X60" s="136">
        <f>IF(rrcworking[[#This Row],[Pressure Base]]=14.73,rrcworking[[#This Row],[Gas Sales Statement Volume (MCF)]]*$R$2,rrcworking[[#This Row],[Gas Sales Statement Volume (MCF)]])</f>
        <v>0</v>
      </c>
      <c r="Y60" s="60"/>
      <c r="Z60" s="60"/>
      <c r="AA60" s="147">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92">
        <f>COUNTIF(FilterList,rrcworking[[#This Row],[Magnum Wolfpak '#]])</f>
        <v>0</v>
      </c>
      <c r="AF60" s="189"/>
      <c r="AG60" s="190"/>
      <c r="AH60" s="37"/>
      <c r="AI60" s="37"/>
      <c r="AJ60" s="37"/>
      <c r="AK60" s="37"/>
      <c r="AL60" s="37"/>
      <c r="AM60" s="37"/>
      <c r="AN60" s="37"/>
      <c r="AO60" s="37"/>
      <c r="AP60" s="37"/>
      <c r="AQ60" s="37"/>
    </row>
    <row r="61" spans="3:43" ht="15">
      <c r="C61" s="80" t="e">
        <v>#N/A</v>
      </c>
      <c r="D61" s="62" t="s">
        <v>320</v>
      </c>
      <c r="E61" s="132" t="s">
        <v>321</v>
      </c>
      <c r="F61" s="130">
        <v>0</v>
      </c>
      <c r="G61" s="121" t="s">
        <v>1094</v>
      </c>
      <c r="H61" s="18" t="s">
        <v>620</v>
      </c>
      <c r="I61" s="18" t="s">
        <v>2</v>
      </c>
      <c r="J61" s="19" t="s">
        <v>559</v>
      </c>
      <c r="K61" s="103">
        <v>13726</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90</v>
      </c>
      <c r="O61" s="106" t="b">
        <f t="shared" si="1"/>
        <v>1</v>
      </c>
      <c r="P61" s="186"/>
      <c r="Q61" s="128">
        <f>rrcworking[[#This Row],[Last Month Closing Stock]]</f>
        <v>90</v>
      </c>
      <c r="R61" s="186">
        <f>rrcworking[[#This Row],[Opening Oil Stock]]</f>
        <v>90</v>
      </c>
      <c r="S61" s="147">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7">
        <f>IF(ISERROR(INDEX(Table2[GAS],MATCH(rrcworking[[#This Row],[Magnum Wolfpak '#]],Table2[Rox Wolf'#],0))),0,INDEX(Table2[GAS],MATCH(rrcworking[[#This Row],[Magnum Wolfpak '#]],Table2[Rox Wolf'#],0)))</f>
        <v>0</v>
      </c>
      <c r="W61" s="24"/>
      <c r="X61" s="136">
        <f>IF(rrcworking[[#This Row],[Pressure Base]]=14.73,rrcworking[[#This Row],[Gas Sales Statement Volume (MCF)]]*$R$2,rrcworking[[#This Row],[Gas Sales Statement Volume (MCF)]])</f>
        <v>0</v>
      </c>
      <c r="Y61" s="60"/>
      <c r="Z61" s="60"/>
      <c r="AA61" s="147">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92">
        <f>COUNTIF(FilterList,rrcworking[[#This Row],[Magnum Wolfpak '#]])</f>
        <v>0</v>
      </c>
      <c r="AF61" s="189"/>
      <c r="AG61" s="190"/>
      <c r="AH61" s="37"/>
      <c r="AI61" s="37"/>
      <c r="AJ61" s="37"/>
      <c r="AK61" s="37"/>
      <c r="AL61" s="37"/>
      <c r="AM61" s="37"/>
      <c r="AN61" s="37"/>
      <c r="AO61" s="37"/>
      <c r="AP61" s="37"/>
      <c r="AQ61" s="37"/>
    </row>
    <row r="62" spans="3:43" ht="15">
      <c r="C62" s="80" t="e">
        <v>#N/A</v>
      </c>
      <c r="D62" s="62" t="s">
        <v>305</v>
      </c>
      <c r="E62" s="132" t="s">
        <v>306</v>
      </c>
      <c r="F62" s="130">
        <v>1</v>
      </c>
      <c r="G62" s="121" t="s">
        <v>1094</v>
      </c>
      <c r="H62" s="18" t="s">
        <v>619</v>
      </c>
      <c r="I62" s="18" t="s">
        <v>59</v>
      </c>
      <c r="J62" s="19" t="s">
        <v>551</v>
      </c>
      <c r="K62" s="103">
        <v>200844</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135</v>
      </c>
      <c r="O62" s="106" t="b">
        <f t="shared" si="1"/>
        <v>1</v>
      </c>
      <c r="P62" s="186"/>
      <c r="Q62" s="128">
        <f>rrcworking[[#This Row],[Last Month Closing Stock]]</f>
        <v>135</v>
      </c>
      <c r="R62" s="186">
        <f>rrcworking[[#This Row],[Opening Oil Stock]]</f>
        <v>135</v>
      </c>
      <c r="S62" s="147">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7">
        <f>IF(ISERROR(INDEX(Table2[GAS],MATCH(rrcworking[[#This Row],[Magnum Wolfpak '#]],Table2[Rox Wolf'#],0))),0,INDEX(Table2[GAS],MATCH(rrcworking[[#This Row],[Magnum Wolfpak '#]],Table2[Rox Wolf'#],0)))</f>
        <v>0</v>
      </c>
      <c r="W62" s="24"/>
      <c r="X62" s="136">
        <f>IF(rrcworking[[#This Row],[Pressure Base]]=14.73,rrcworking[[#This Row],[Gas Sales Statement Volume (MCF)]]*$R$2,rrcworking[[#This Row],[Gas Sales Statement Volume (MCF)]])</f>
        <v>0</v>
      </c>
      <c r="Y62" s="60"/>
      <c r="Z62" s="60"/>
      <c r="AA62" s="147">
        <f>IF(ISERROR(INDEX(Table2[LEASE USE],MATCH(rrcworking[[#This Row],[Magnum Wolfpak '#]],Table2[Rox Wolf'#],0))),0,INDEX(Table2[LEASE USE],MATCH(rrcworking[[#This Row],[Magnum Wolfpak '#]],Table2[Rox Wolf'#],0)))</f>
        <v>0</v>
      </c>
      <c r="AB62" s="57">
        <f>rrcworking[[#This Row],[Disposition Volume (MCF) @ 14.65 MCF]]+rrcworking[[#This Row],[Lease Use (MCF)]]</f>
        <v>0</v>
      </c>
      <c r="AC62" s="37"/>
      <c r="AD62" s="37"/>
      <c r="AE62" s="192">
        <f>COUNTIF(FilterList,rrcworking[[#This Row],[Magnum Wolfpak '#]])</f>
        <v>0</v>
      </c>
      <c r="AF62" s="189"/>
      <c r="AG62" s="190"/>
      <c r="AH62" s="37"/>
      <c r="AI62" s="37"/>
      <c r="AJ62" s="37"/>
      <c r="AK62" s="37"/>
      <c r="AL62" s="37"/>
      <c r="AM62" s="37"/>
      <c r="AN62" s="37"/>
      <c r="AO62" s="37"/>
      <c r="AP62" s="37"/>
      <c r="AQ62" s="37"/>
    </row>
    <row r="63" spans="3:43" ht="15">
      <c r="C63" s="80" t="e">
        <v>#N/A</v>
      </c>
      <c r="D63" s="62" t="s">
        <v>259</v>
      </c>
      <c r="E63" s="132" t="s">
        <v>260</v>
      </c>
      <c r="F63" s="130">
        <v>1</v>
      </c>
      <c r="G63" s="121" t="s">
        <v>1094</v>
      </c>
      <c r="H63" s="18" t="s">
        <v>619</v>
      </c>
      <c r="I63" s="18" t="s">
        <v>59</v>
      </c>
      <c r="J63" s="19" t="s">
        <v>519</v>
      </c>
      <c r="K63" s="103">
        <v>158027</v>
      </c>
      <c r="L63" s="101">
        <f>INDEX(Table1[Production],MATCH(rrcworking[[#This Row],[RRC ID Number]],Table1[RRC Identifier],0))</f>
        <v>0</v>
      </c>
      <c r="M63" s="30">
        <f>INDEX(Table1[Formation Production],MATCH(rrcworking[[#This Row],[RRC ID Number]],Table1[RRC Identifier],0))</f>
        <v>0</v>
      </c>
      <c r="N63" s="31">
        <f>INDEX(Table1[On Hand End of Month],MATCH(rrcworking[[#This Row],[RRC ID Number]],Table1[RRC Identifier],0))</f>
        <v>0</v>
      </c>
      <c r="O63" s="106" t="b">
        <f t="shared" si="1"/>
        <v>1</v>
      </c>
      <c r="P63" s="186"/>
      <c r="Q63" s="128">
        <f>rrcworking[[#This Row],[Last Month Closing Stock]]</f>
        <v>0</v>
      </c>
      <c r="R63" s="186">
        <f>rrcworking[[#This Row],[Opening Oil Stock]]</f>
        <v>0</v>
      </c>
      <c r="S63" s="147">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7">
        <f>IF(ISERROR(INDEX(Table2[GAS],MATCH(rrcworking[[#This Row],[Magnum Wolfpak '#]],Table2[Rox Wolf'#],0))),0,INDEX(Table2[GAS],MATCH(rrcworking[[#This Row],[Magnum Wolfpak '#]],Table2[Rox Wolf'#],0)))</f>
        <v>0</v>
      </c>
      <c r="W63" s="24"/>
      <c r="X63" s="136">
        <f>IF(rrcworking[[#This Row],[Pressure Base]]=14.73,rrcworking[[#This Row],[Gas Sales Statement Volume (MCF)]]*$R$2,rrcworking[[#This Row],[Gas Sales Statement Volume (MCF)]])</f>
        <v>0</v>
      </c>
      <c r="Y63" s="60"/>
      <c r="Z63" s="60"/>
      <c r="AA63" s="147">
        <f>IF(ISERROR(INDEX(Table2[LEASE USE],MATCH(rrcworking[[#This Row],[Magnum Wolfpak '#]],Table2[Rox Wolf'#],0))),0,INDEX(Table2[LEASE USE],MATCH(rrcworking[[#This Row],[Magnum Wolfpak '#]],Table2[Rox Wolf'#],0)))</f>
        <v>0</v>
      </c>
      <c r="AB63" s="57">
        <f>rrcworking[[#This Row],[Disposition Volume (MCF) @ 14.65 MCF]]+rrcworking[[#This Row],[Lease Use (MCF)]]</f>
        <v>0</v>
      </c>
      <c r="AC63" s="97"/>
      <c r="AD63" s="37"/>
      <c r="AE63" s="192">
        <f>COUNTIF(FilterList,rrcworking[[#This Row],[Magnum Wolfpak '#]])</f>
        <v>0</v>
      </c>
      <c r="AF63" s="189"/>
      <c r="AG63" s="190"/>
      <c r="AH63" s="37"/>
      <c r="AI63" s="37"/>
      <c r="AJ63" s="37"/>
      <c r="AK63" s="37"/>
      <c r="AL63" s="37"/>
      <c r="AM63" s="37"/>
      <c r="AN63" s="37"/>
      <c r="AO63" s="37"/>
      <c r="AP63" s="37"/>
      <c r="AQ63" s="37"/>
    </row>
    <row r="64" spans="3:43" ht="15">
      <c r="C64" s="80">
        <v>99007</v>
      </c>
      <c r="D64" s="62" t="s">
        <v>275</v>
      </c>
      <c r="E64" s="132" t="s">
        <v>281</v>
      </c>
      <c r="F64" s="130">
        <v>6</v>
      </c>
      <c r="G64" s="121" t="s">
        <v>1094</v>
      </c>
      <c r="H64" s="18" t="s">
        <v>619</v>
      </c>
      <c r="I64" s="18" t="s">
        <v>59</v>
      </c>
      <c r="J64" s="19" t="s">
        <v>532</v>
      </c>
      <c r="K64" s="103">
        <v>210200</v>
      </c>
      <c r="L64" s="101">
        <f>INDEX(Table1[Production],MATCH(rrcworking[[#This Row],[RRC ID Number]],Table1[RRC Identifier],0))</f>
        <v>0</v>
      </c>
      <c r="M64" s="30">
        <f>INDEX(Table1[Formation Production],MATCH(rrcworking[[#This Row],[RRC ID Number]],Table1[RRC Identifier],0))</f>
        <v>62</v>
      </c>
      <c r="N64" s="31">
        <f>INDEX(Table1[On Hand End of Month],MATCH(rrcworking[[#This Row],[RRC ID Number]],Table1[RRC Identifier],0))</f>
        <v>33</v>
      </c>
      <c r="O64" s="106" t="b">
        <f t="shared" si="1"/>
        <v>0</v>
      </c>
      <c r="P64" s="186"/>
      <c r="Q64" s="128">
        <f>rrcworking[[#This Row],[Last Month Closing Stock]]</f>
        <v>33</v>
      </c>
      <c r="R64" s="186">
        <v>33</v>
      </c>
      <c r="S64" s="147">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7">
        <f>IF(ISERROR(INDEX(Table2[GAS],MATCH(rrcworking[[#This Row],[Magnum Wolfpak '#]],Table2[Rox Wolf'#],0))),0,INDEX(Table2[GAS],MATCH(rrcworking[[#This Row],[Magnum Wolfpak '#]],Table2[Rox Wolf'#],0)))</f>
        <v>404</v>
      </c>
      <c r="W64" s="24"/>
      <c r="X64" s="136">
        <f>IF(rrcworking[[#This Row],[Pressure Base]]=14.73,rrcworking[[#This Row],[Gas Sales Statement Volume (MCF)]]*$R$2,rrcworking[[#This Row],[Gas Sales Statement Volume (MCF)]])</f>
        <v>404</v>
      </c>
      <c r="Y64" s="85"/>
      <c r="Z64" s="60">
        <v>1</v>
      </c>
      <c r="AA64" s="147">
        <f>IF(ISERROR(INDEX(Table2[LEASE USE],MATCH(rrcworking[[#This Row],[Magnum Wolfpak '#]],Table2[Rox Wolf'#],0))),0,INDEX(Table2[LEASE USE],MATCH(rrcworking[[#This Row],[Magnum Wolfpak '#]],Table2[Rox Wolf'#],0)))</f>
        <v>17</v>
      </c>
      <c r="AB64" s="57">
        <f>rrcworking[[#This Row],[Disposition Volume (MCF) @ 14.65 MCF]]+rrcworking[[#This Row],[Lease Use (MCF)]]</f>
        <v>421</v>
      </c>
      <c r="AC64" s="37"/>
      <c r="AD64" s="37"/>
      <c r="AE64" s="192">
        <f>COUNTIF(FilterList,rrcworking[[#This Row],[Magnum Wolfpak '#]])</f>
        <v>0</v>
      </c>
      <c r="AF64" s="189"/>
      <c r="AG64" s="190"/>
      <c r="AH64" s="37"/>
      <c r="AI64" s="37"/>
      <c r="AJ64" s="191"/>
      <c r="AK64" s="191"/>
      <c r="AL64" s="191"/>
      <c r="AM64" s="191"/>
      <c r="AN64" s="191"/>
      <c r="AO64" s="191"/>
      <c r="AP64" s="37" t="s">
        <v>1173</v>
      </c>
      <c r="AQ64" s="37" t="s">
        <v>1208</v>
      </c>
    </row>
    <row r="65" spans="3:43" ht="15">
      <c r="C65" s="80">
        <v>98988</v>
      </c>
      <c r="D65" s="62" t="s">
        <v>275</v>
      </c>
      <c r="E65" s="132" t="s">
        <v>281</v>
      </c>
      <c r="F65" s="130">
        <v>2</v>
      </c>
      <c r="G65" s="121" t="s">
        <v>1094</v>
      </c>
      <c r="H65" s="18" t="s">
        <v>619</v>
      </c>
      <c r="I65" s="18" t="s">
        <v>59</v>
      </c>
      <c r="J65" s="19" t="s">
        <v>533</v>
      </c>
      <c r="K65" s="103">
        <v>215622</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98</v>
      </c>
      <c r="O65" s="106" t="b">
        <f t="shared" si="1"/>
        <v>1</v>
      </c>
      <c r="P65" s="186"/>
      <c r="Q65" s="128">
        <f>rrcworking[[#This Row],[Last Month Closing Stock]]</f>
        <v>98</v>
      </c>
      <c r="R65" s="186">
        <v>98</v>
      </c>
      <c r="S65" s="147">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7">
        <f>IF(ISERROR(INDEX(Table2[GAS],MATCH(rrcworking[[#This Row],[Magnum Wolfpak '#]],Table2[Rox Wolf'#],0))),0,INDEX(Table2[GAS],MATCH(rrcworking[[#This Row],[Magnum Wolfpak '#]],Table2[Rox Wolf'#],0)))</f>
        <v>0</v>
      </c>
      <c r="W65" s="24"/>
      <c r="X65" s="136">
        <f>IF(rrcworking[[#This Row],[Pressure Base]]=14.73,rrcworking[[#This Row],[Gas Sales Statement Volume (MCF)]]*$R$2,rrcworking[[#This Row],[Gas Sales Statement Volume (MCF)]])</f>
        <v>0</v>
      </c>
      <c r="Y65" s="85"/>
      <c r="Z65" s="60">
        <v>5</v>
      </c>
      <c r="AA65" s="147">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92">
        <f>COUNTIF(FilterList,rrcworking[[#This Row],[Magnum Wolfpak '#]])</f>
        <v>0</v>
      </c>
      <c r="AF65" s="189"/>
      <c r="AG65" s="190"/>
      <c r="AH65" s="37"/>
      <c r="AI65" s="37"/>
      <c r="AJ65" s="191"/>
      <c r="AK65" s="191"/>
      <c r="AL65" s="191"/>
      <c r="AM65" s="191"/>
      <c r="AN65" s="191"/>
      <c r="AO65" s="191"/>
      <c r="AP65" s="37" t="s">
        <v>1173</v>
      </c>
      <c r="AQ65" s="37" t="s">
        <v>1208</v>
      </c>
    </row>
    <row r="66" spans="3:43" ht="15">
      <c r="C66" s="80">
        <v>98987</v>
      </c>
      <c r="D66" s="62" t="s">
        <v>275</v>
      </c>
      <c r="E66" s="132" t="s">
        <v>277</v>
      </c>
      <c r="F66" s="130">
        <v>1</v>
      </c>
      <c r="G66" s="121" t="s">
        <v>1094</v>
      </c>
      <c r="H66" s="18" t="s">
        <v>619</v>
      </c>
      <c r="I66" s="18" t="s">
        <v>59</v>
      </c>
      <c r="J66" s="19" t="s">
        <v>528</v>
      </c>
      <c r="K66" s="103">
        <v>183638</v>
      </c>
      <c r="L66" s="101">
        <f>INDEX(Table1[Production],MATCH(rrcworking[[#This Row],[RRC ID Number]],Table1[RRC Identifier],0))</f>
        <v>0</v>
      </c>
      <c r="M66" s="30">
        <f>INDEX(Table1[Formation Production],MATCH(rrcworking[[#This Row],[RRC ID Number]],Table1[RRC Identifier],0))</f>
        <v>77</v>
      </c>
      <c r="N66" s="31">
        <f>INDEX(Table1[On Hand End of Month],MATCH(rrcworking[[#This Row],[RRC ID Number]],Table1[RRC Identifier],0))</f>
        <v>0</v>
      </c>
      <c r="O66" s="106" t="b">
        <f t="shared" si="1"/>
        <v>0</v>
      </c>
      <c r="P66" s="186"/>
      <c r="Q66" s="128">
        <f>rrcworking[[#This Row],[Last Month Closing Stock]]</f>
        <v>0</v>
      </c>
      <c r="R66" s="186">
        <f>rrcworking[[#This Row],[Opening Oil Stock]]</f>
        <v>0</v>
      </c>
      <c r="S66" s="147">
        <f>IF(ISERROR(INDEX(Table2[OIL],MATCH(rrcworking[[#This Row],[Magnum Wolfpak '#]],Table2[Rox Wolf'#],0))),0,INDEX(Table2[OIL],MATCH(rrcworking[[#This Row],[Magnum Wolfpak '#]],Table2[Rox Wolf'#],0)))</f>
        <v>0</v>
      </c>
      <c r="T66" s="35">
        <f>rrcworking[[#This Row],[Closing Stock (Oil)]]+rrcworking[[#This Row],[Sales/Dispostion]]-rrcworking[[#This Row],[Opening Oil Stock]]</f>
        <v>0</v>
      </c>
      <c r="U66" s="112">
        <f>rrcworking[[#This Row],[Gauge Sheet Prod Volume]]-rrcworking[[#This Row],[Oil Production]]</f>
        <v>0</v>
      </c>
      <c r="V66" s="147">
        <f>IF(ISERROR(INDEX(Table2[GAS],MATCH(rrcworking[[#This Row],[Magnum Wolfpak '#]],Table2[Rox Wolf'#],0))),0,INDEX(Table2[GAS],MATCH(rrcworking[[#This Row],[Magnum Wolfpak '#]],Table2[Rox Wolf'#],0)))</f>
        <v>62</v>
      </c>
      <c r="W66" s="24"/>
      <c r="X66" s="136">
        <f>IF(rrcworking[[#This Row],[Pressure Base]]=14.73,rrcworking[[#This Row],[Gas Sales Statement Volume (MCF)]]*$R$2,rrcworking[[#This Row],[Gas Sales Statement Volume (MCF)]])</f>
        <v>62</v>
      </c>
      <c r="Y66" s="85"/>
      <c r="Z66" s="60">
        <v>1</v>
      </c>
      <c r="AA66" s="147">
        <f>IF(ISERROR(INDEX(Table2[LEASE USE],MATCH(rrcworking[[#This Row],[Magnum Wolfpak '#]],Table2[Rox Wolf'#],0))),0,INDEX(Table2[LEASE USE],MATCH(rrcworking[[#This Row],[Magnum Wolfpak '#]],Table2[Rox Wolf'#],0)))</f>
        <v>7</v>
      </c>
      <c r="AB66" s="57">
        <f>rrcworking[[#This Row],[Disposition Volume (MCF) @ 14.65 MCF]]+rrcworking[[#This Row],[Lease Use (MCF)]]</f>
        <v>69</v>
      </c>
      <c r="AC66" s="37"/>
      <c r="AD66" s="37"/>
      <c r="AE66" s="192">
        <f>COUNTIF(FilterList,rrcworking[[#This Row],[Magnum Wolfpak '#]])</f>
        <v>0</v>
      </c>
      <c r="AF66" s="189"/>
      <c r="AG66" s="190"/>
      <c r="AH66" s="37"/>
      <c r="AI66" s="37"/>
      <c r="AJ66" s="191"/>
      <c r="AK66" s="191"/>
      <c r="AL66" s="191"/>
      <c r="AM66" s="191"/>
      <c r="AN66" s="191"/>
      <c r="AO66" s="191"/>
      <c r="AP66" s="37" t="s">
        <v>1173</v>
      </c>
      <c r="AQ66" s="37" t="s">
        <v>1208</v>
      </c>
    </row>
    <row r="67" spans="3:43" ht="75">
      <c r="C67" s="80">
        <v>98956</v>
      </c>
      <c r="D67" s="62" t="s">
        <v>275</v>
      </c>
      <c r="E67" s="132" t="s">
        <v>278</v>
      </c>
      <c r="F67" s="130">
        <v>1</v>
      </c>
      <c r="G67" s="121">
        <v>1988</v>
      </c>
      <c r="H67" s="18" t="s">
        <v>619</v>
      </c>
      <c r="I67" s="18" t="s">
        <v>59</v>
      </c>
      <c r="J67" s="19" t="s">
        <v>529</v>
      </c>
      <c r="K67" s="103">
        <v>199834</v>
      </c>
      <c r="L67" s="101">
        <f>INDEX(Table1[Production],MATCH(rrcworking[[#This Row],[RRC ID Number]],Table1[RRC Identifier],0))</f>
        <v>53</v>
      </c>
      <c r="M67" s="30">
        <f>INDEX(Table1[Formation Production],MATCH(rrcworking[[#This Row],[RRC ID Number]],Table1[RRC Identifier],0))</f>
        <v>1041</v>
      </c>
      <c r="N67" s="31">
        <f>INDEX(Table1[On Hand End of Month],MATCH(rrcworking[[#This Row],[RRC ID Number]],Table1[RRC Identifier],0))</f>
        <v>225</v>
      </c>
      <c r="O67" s="106" t="b">
        <f t="shared" si="1"/>
        <v>0</v>
      </c>
      <c r="P67" s="186">
        <v>34</v>
      </c>
      <c r="Q67" s="128">
        <f>rrcworking[[#This Row],[Last Month Closing Stock]]</f>
        <v>225</v>
      </c>
      <c r="R67" s="186">
        <v>259</v>
      </c>
      <c r="S67" s="147">
        <f>IF(ISERROR(INDEX(Table2[OIL],MATCH(rrcworking[[#This Row],[Magnum Wolfpak '#]],Table2[Rox Wolf'#],0))),0,INDEX(Table2[OIL],MATCH(rrcworking[[#This Row],[Magnum Wolfpak '#]],Table2[Rox Wolf'#],0)))</f>
        <v>0</v>
      </c>
      <c r="T67" s="35">
        <f>rrcworking[[#This Row],[Closing Stock (Oil)]]+rrcworking[[#This Row],[Sales/Dispostion]]-rrcworking[[#This Row],[Opening Oil Stock]]</f>
        <v>34</v>
      </c>
      <c r="U67" s="112">
        <f>rrcworking[[#This Row],[Gauge Sheet Prod Volume]]-rrcworking[[#This Row],[Oil Production]]</f>
        <v>0</v>
      </c>
      <c r="V67" s="147">
        <f>IF(ISERROR(INDEX(Table2[GAS],MATCH(rrcworking[[#This Row],[Magnum Wolfpak '#]],Table2[Rox Wolf'#],0))),0,INDEX(Table2[GAS],MATCH(rrcworking[[#This Row],[Magnum Wolfpak '#]],Table2[Rox Wolf'#],0)))</f>
        <v>881</v>
      </c>
      <c r="W67" s="24"/>
      <c r="X67" s="136">
        <f>IF(rrcworking[[#This Row],[Pressure Base]]=14.73,rrcworking[[#This Row],[Gas Sales Statement Volume (MCF)]]*$R$2,rrcworking[[#This Row],[Gas Sales Statement Volume (MCF)]])</f>
        <v>881</v>
      </c>
      <c r="Y67" s="85"/>
      <c r="Z67" s="60">
        <v>2</v>
      </c>
      <c r="AA67" s="147">
        <f>IF(ISERROR(INDEX(Table2[LEASE USE],MATCH(rrcworking[[#This Row],[Magnum Wolfpak '#]],Table2[Rox Wolf'#],0))),0,INDEX(Table2[LEASE USE],MATCH(rrcworking[[#This Row],[Magnum Wolfpak '#]],Table2[Rox Wolf'#],0)))</f>
        <v>62</v>
      </c>
      <c r="AB67" s="57">
        <f>rrcworking[[#This Row],[Disposition Volume (MCF) @ 14.65 MCF]]+rrcworking[[#This Row],[Lease Use (MCF)]]</f>
        <v>943</v>
      </c>
      <c r="AC67" s="37"/>
      <c r="AD67" s="37" t="s">
        <v>1151</v>
      </c>
      <c r="AE67" s="192">
        <f>COUNTIF(FilterList,rrcworking[[#This Row],[Magnum Wolfpak '#]])</f>
        <v>0</v>
      </c>
      <c r="AF67" s="189"/>
      <c r="AG67" s="190"/>
      <c r="AH67" s="37"/>
      <c r="AI67" s="37"/>
      <c r="AJ67" s="191"/>
      <c r="AK67" s="191"/>
      <c r="AL67" s="191"/>
      <c r="AM67" s="191"/>
      <c r="AN67" s="191"/>
      <c r="AO67" s="191"/>
      <c r="AP67" s="37" t="s">
        <v>1173</v>
      </c>
      <c r="AQ67" s="37" t="s">
        <v>1208</v>
      </c>
    </row>
    <row r="68" spans="3:43" ht="15">
      <c r="C68" s="80" t="e">
        <v>#N/A</v>
      </c>
      <c r="D68" s="62" t="s">
        <v>275</v>
      </c>
      <c r="E68" s="132" t="s">
        <v>276</v>
      </c>
      <c r="F68" s="130">
        <v>4</v>
      </c>
      <c r="G68" s="121">
        <v>1988</v>
      </c>
      <c r="H68" s="18" t="s">
        <v>619</v>
      </c>
      <c r="I68" s="18" t="s">
        <v>59</v>
      </c>
      <c r="J68" s="19" t="s">
        <v>527</v>
      </c>
      <c r="K68" s="103">
        <v>163161</v>
      </c>
      <c r="L68" s="101">
        <f>INDEX(Table1[Production],MATCH(rrcworking[[#This Row],[RRC ID Number]],Table1[RRC Identifier],0))</f>
        <v>0</v>
      </c>
      <c r="M68" s="30">
        <f>INDEX(Table1[Formation Production],MATCH(rrcworking[[#This Row],[RRC ID Number]],Table1[RRC Identifier],0))</f>
        <v>0</v>
      </c>
      <c r="N68" s="31">
        <f>INDEX(Table1[On Hand End of Month],MATCH(rrcworking[[#This Row],[RRC ID Number]],Table1[RRC Identifier],0))</f>
        <v>0</v>
      </c>
      <c r="O68" s="106" t="b">
        <f t="shared" si="1"/>
        <v>1</v>
      </c>
      <c r="P68" s="186"/>
      <c r="Q68" s="128">
        <f>rrcworking[[#This Row],[Last Month Closing Stock]]</f>
        <v>0</v>
      </c>
      <c r="R68" s="186">
        <f>rrcworking[[#This Row],[Opening Oil Stock]]</f>
        <v>0</v>
      </c>
      <c r="S68" s="147">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7">
        <f>IF(ISERROR(INDEX(Table2[GAS],MATCH(rrcworking[[#This Row],[Magnum Wolfpak '#]],Table2[Rox Wolf'#],0))),0,INDEX(Table2[GAS],MATCH(rrcworking[[#This Row],[Magnum Wolfpak '#]],Table2[Rox Wolf'#],0)))</f>
        <v>0</v>
      </c>
      <c r="W68" s="24"/>
      <c r="X68" s="136">
        <f>IF(rrcworking[[#This Row],[Pressure Base]]=14.73,rrcworking[[#This Row],[Gas Sales Statement Volume (MCF)]]*$R$2,rrcworking[[#This Row],[Gas Sales Statement Volume (MCF)]])</f>
        <v>0</v>
      </c>
      <c r="Y68" s="60"/>
      <c r="Z68" s="60"/>
      <c r="AA68" s="147">
        <f>IF(ISERROR(INDEX(Table2[LEASE USE],MATCH(rrcworking[[#This Row],[Magnum Wolfpak '#]],Table2[Rox Wolf'#],0))),0,INDEX(Table2[LEASE USE],MATCH(rrcworking[[#This Row],[Magnum Wolfpak '#]],Table2[Rox Wolf'#],0)))</f>
        <v>0</v>
      </c>
      <c r="AB68" s="57">
        <f>rrcworking[[#This Row],[Disposition Volume (MCF) @ 14.65 MCF]]+rrcworking[[#This Row],[Lease Use (MCF)]]</f>
        <v>0</v>
      </c>
      <c r="AC68" s="37"/>
      <c r="AD68" s="37"/>
      <c r="AE68" s="192">
        <f>COUNTIF(FilterList,rrcworking[[#This Row],[Magnum Wolfpak '#]])</f>
        <v>0</v>
      </c>
      <c r="AF68" s="189"/>
      <c r="AG68" s="190"/>
      <c r="AH68" s="37"/>
      <c r="AI68" s="37"/>
      <c r="AJ68" s="37"/>
      <c r="AK68" s="37"/>
      <c r="AL68" s="37"/>
      <c r="AM68" s="37"/>
      <c r="AN68" s="37"/>
      <c r="AO68" s="37"/>
      <c r="AP68" s="37"/>
      <c r="AQ68" s="37"/>
    </row>
    <row r="69" spans="3:43" ht="15">
      <c r="C69" s="80">
        <v>98959</v>
      </c>
      <c r="D69" s="62" t="s">
        <v>275</v>
      </c>
      <c r="E69" s="132" t="s">
        <v>279</v>
      </c>
      <c r="F69" s="130">
        <v>3</v>
      </c>
      <c r="G69" s="121">
        <v>1988</v>
      </c>
      <c r="H69" s="18" t="s">
        <v>619</v>
      </c>
      <c r="I69" s="18" t="s">
        <v>59</v>
      </c>
      <c r="J69" s="19" t="s">
        <v>530</v>
      </c>
      <c r="K69" s="103">
        <v>201550</v>
      </c>
      <c r="L69" s="101">
        <f>INDEX(Table1[Production],MATCH(rrcworking[[#This Row],[RRC ID Number]],Table1[RRC Identifier],0))</f>
        <v>0</v>
      </c>
      <c r="M69" s="30">
        <f>INDEX(Table1[Formation Production],MATCH(rrcworking[[#This Row],[RRC ID Number]],Table1[RRC Identifier],0))</f>
        <v>120</v>
      </c>
      <c r="N69" s="31">
        <f>INDEX(Table1[On Hand End of Month],MATCH(rrcworking[[#This Row],[RRC ID Number]],Table1[RRC Identifier],0))</f>
        <v>0</v>
      </c>
      <c r="O69" s="106" t="b">
        <f t="shared" si="1"/>
        <v>0</v>
      </c>
      <c r="P69" s="186"/>
      <c r="Q69" s="128">
        <f>rrcworking[[#This Row],[Last Month Closing Stock]]</f>
        <v>0</v>
      </c>
      <c r="R69" s="186">
        <f>rrcworking[[#This Row],[Opening Oil Stock]]</f>
        <v>0</v>
      </c>
      <c r="S69" s="147">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7">
        <f>IF(ISERROR(INDEX(Table2[GAS],MATCH(rrcworking[[#This Row],[Magnum Wolfpak '#]],Table2[Rox Wolf'#],0))),0,INDEX(Table2[GAS],MATCH(rrcworking[[#This Row],[Magnum Wolfpak '#]],Table2[Rox Wolf'#],0)))</f>
        <v>33</v>
      </c>
      <c r="W69" s="24"/>
      <c r="X69" s="136">
        <f>IF(rrcworking[[#This Row],[Pressure Base]]=14.73,rrcworking[[#This Row],[Gas Sales Statement Volume (MCF)]]*$R$2,rrcworking[[#This Row],[Gas Sales Statement Volume (MCF)]])</f>
        <v>33</v>
      </c>
      <c r="Y69" s="60"/>
      <c r="Z69" s="60">
        <v>0</v>
      </c>
      <c r="AA69" s="147">
        <f>IF(ISERROR(INDEX(Table2[LEASE USE],MATCH(rrcworking[[#This Row],[Magnum Wolfpak '#]],Table2[Rox Wolf'#],0))),0,INDEX(Table2[LEASE USE],MATCH(rrcworking[[#This Row],[Magnum Wolfpak '#]],Table2[Rox Wolf'#],0)))</f>
        <v>0</v>
      </c>
      <c r="AB69" s="57">
        <f>rrcworking[[#This Row],[Disposition Volume (MCF) @ 14.65 MCF]]+rrcworking[[#This Row],[Lease Use (MCF)]]</f>
        <v>33</v>
      </c>
      <c r="AC69" s="37"/>
      <c r="AD69" s="37"/>
      <c r="AE69" s="192">
        <f>COUNTIF(FilterList,rrcworking[[#This Row],[Magnum Wolfpak '#]])</f>
        <v>0</v>
      </c>
      <c r="AF69" s="189"/>
      <c r="AG69" s="190"/>
      <c r="AH69" s="37"/>
      <c r="AI69" s="37"/>
      <c r="AJ69" s="191"/>
      <c r="AK69" s="191"/>
      <c r="AL69" s="191"/>
      <c r="AM69" s="191"/>
      <c r="AN69" s="191"/>
      <c r="AO69" s="191"/>
      <c r="AP69" s="37" t="s">
        <v>1173</v>
      </c>
      <c r="AQ69" s="37" t="s">
        <v>1208</v>
      </c>
    </row>
    <row r="70" spans="3:43" ht="15">
      <c r="C70" s="80">
        <v>98958</v>
      </c>
      <c r="D70" s="62" t="s">
        <v>275</v>
      </c>
      <c r="E70" s="132" t="s">
        <v>279</v>
      </c>
      <c r="F70" s="130">
        <v>1</v>
      </c>
      <c r="G70" s="121" t="s">
        <v>1094</v>
      </c>
      <c r="H70" s="18" t="s">
        <v>619</v>
      </c>
      <c r="I70" s="18" t="s">
        <v>59</v>
      </c>
      <c r="J70" s="19" t="s">
        <v>535</v>
      </c>
      <c r="K70" s="103">
        <v>217825</v>
      </c>
      <c r="L70" s="101">
        <f>INDEX(Table1[Production],MATCH(rrcworking[[#This Row],[RRC ID Number]],Table1[RRC Identifier],0))</f>
        <v>0</v>
      </c>
      <c r="M70" s="30">
        <f>INDEX(Table1[Formation Production],MATCH(rrcworking[[#This Row],[RRC ID Number]],Table1[RRC Identifier],0))</f>
        <v>3474</v>
      </c>
      <c r="N70" s="31">
        <f>INDEX(Table1[On Hand End of Month],MATCH(rrcworking[[#This Row],[RRC ID Number]],Table1[RRC Identifier],0))</f>
        <v>0</v>
      </c>
      <c r="O70" s="106" t="b">
        <f t="shared" si="1"/>
        <v>0</v>
      </c>
      <c r="P70" s="186"/>
      <c r="Q70" s="128">
        <f>rrcworking[[#This Row],[Last Month Closing Stock]]</f>
        <v>0</v>
      </c>
      <c r="R70" s="186">
        <f>rrcworking[[#This Row],[Opening Oil Stock]]</f>
        <v>0</v>
      </c>
      <c r="S70" s="147">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7">
        <f>IF(ISERROR(INDEX(Table2[GAS],MATCH(rrcworking[[#This Row],[Magnum Wolfpak '#]],Table2[Rox Wolf'#],0))),0,INDEX(Table2[GAS],MATCH(rrcworking[[#This Row],[Magnum Wolfpak '#]],Table2[Rox Wolf'#],0)))</f>
        <v>3863</v>
      </c>
      <c r="W70" s="24"/>
      <c r="X70" s="136">
        <f>IF(rrcworking[[#This Row],[Pressure Base]]=14.73,rrcworking[[#This Row],[Gas Sales Statement Volume (MCF)]]*$R$2,rrcworking[[#This Row],[Gas Sales Statement Volume (MCF)]])</f>
        <v>3863</v>
      </c>
      <c r="Y70" s="85"/>
      <c r="Z70" s="60">
        <v>6</v>
      </c>
      <c r="AA70" s="147">
        <f>IF(ISERROR(INDEX(Table2[LEASE USE],MATCH(rrcworking[[#This Row],[Magnum Wolfpak '#]],Table2[Rox Wolf'#],0))),0,INDEX(Table2[LEASE USE],MATCH(rrcworking[[#This Row],[Magnum Wolfpak '#]],Table2[Rox Wolf'#],0)))</f>
        <v>186</v>
      </c>
      <c r="AB70" s="57">
        <f>rrcworking[[#This Row],[Disposition Volume (MCF) @ 14.65 MCF]]+rrcworking[[#This Row],[Lease Use (MCF)]]</f>
        <v>4049</v>
      </c>
      <c r="AC70" s="37"/>
      <c r="AD70" s="37"/>
      <c r="AE70" s="192">
        <f>COUNTIF(FilterList,rrcworking[[#This Row],[Magnum Wolfpak '#]])</f>
        <v>0</v>
      </c>
      <c r="AF70" s="189"/>
      <c r="AG70" s="190"/>
      <c r="AH70" s="37"/>
      <c r="AI70" s="37"/>
      <c r="AJ70" s="191"/>
      <c r="AK70" s="191"/>
      <c r="AL70" s="191"/>
      <c r="AM70" s="191"/>
      <c r="AN70" s="191"/>
      <c r="AO70" s="191"/>
      <c r="AP70" s="37" t="s">
        <v>1173</v>
      </c>
      <c r="AQ70" s="37" t="s">
        <v>1208</v>
      </c>
    </row>
    <row r="71" spans="3:43" ht="15">
      <c r="C71" s="80" t="e">
        <v>#N/A</v>
      </c>
      <c r="D71" s="62" t="s">
        <v>275</v>
      </c>
      <c r="E71" s="132" t="s">
        <v>279</v>
      </c>
      <c r="F71" s="130">
        <v>5</v>
      </c>
      <c r="G71" s="121" t="s">
        <v>1094</v>
      </c>
      <c r="H71" s="18" t="s">
        <v>619</v>
      </c>
      <c r="I71" s="18" t="s">
        <v>59</v>
      </c>
      <c r="J71" s="19" t="s">
        <v>534</v>
      </c>
      <c r="K71" s="103">
        <v>216963</v>
      </c>
      <c r="L71" s="101">
        <f>INDEX(Table1[Production],MATCH(rrcworking[[#This Row],[RRC ID Number]],Table1[RRC Identifier],0))</f>
        <v>0</v>
      </c>
      <c r="M71" s="30">
        <f>INDEX(Table1[Formation Production],MATCH(rrcworking[[#This Row],[RRC ID Number]],Table1[RRC Identifier],0))</f>
        <v>0</v>
      </c>
      <c r="N71" s="31">
        <f>INDEX(Table1[On Hand End of Month],MATCH(rrcworking[[#This Row],[RRC ID Number]],Table1[RRC Identifier],0))</f>
        <v>0</v>
      </c>
      <c r="O71" s="106" t="b">
        <f t="shared" ref="O71:O102" si="2">IF(AND(L71=0,M71=0), TRUE, FALSE)</f>
        <v>1</v>
      </c>
      <c r="P71" s="186"/>
      <c r="Q71" s="128">
        <f>rrcworking[[#This Row],[Last Month Closing Stock]]</f>
        <v>0</v>
      </c>
      <c r="R71" s="186">
        <f>rrcworking[[#This Row],[Opening Oil Stock]]</f>
        <v>0</v>
      </c>
      <c r="S71" s="147">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7">
        <f>IF(ISERROR(INDEX(Table2[GAS],MATCH(rrcworking[[#This Row],[Magnum Wolfpak '#]],Table2[Rox Wolf'#],0))),0,INDEX(Table2[GAS],MATCH(rrcworking[[#This Row],[Magnum Wolfpak '#]],Table2[Rox Wolf'#],0)))</f>
        <v>0</v>
      </c>
      <c r="W71" s="24"/>
      <c r="X71" s="136">
        <f>IF(rrcworking[[#This Row],[Pressure Base]]=14.73,rrcworking[[#This Row],[Gas Sales Statement Volume (MCF)]]*$R$2,rrcworking[[#This Row],[Gas Sales Statement Volume (MCF)]])</f>
        <v>0</v>
      </c>
      <c r="Y71" s="60"/>
      <c r="Z71" s="60"/>
      <c r="AA71" s="147">
        <f>IF(ISERROR(INDEX(Table2[LEASE USE],MATCH(rrcworking[[#This Row],[Magnum Wolfpak '#]],Table2[Rox Wolf'#],0))),0,INDEX(Table2[LEASE USE],MATCH(rrcworking[[#This Row],[Magnum Wolfpak '#]],Table2[Rox Wolf'#],0)))</f>
        <v>0</v>
      </c>
      <c r="AB71" s="57">
        <f>rrcworking[[#This Row],[Disposition Volume (MCF) @ 14.65 MCF]]+rrcworking[[#This Row],[Lease Use (MCF)]]</f>
        <v>0</v>
      </c>
      <c r="AC71" s="37"/>
      <c r="AD71" s="37"/>
      <c r="AE71" s="192">
        <f>COUNTIF(FilterList,rrcworking[[#This Row],[Magnum Wolfpak '#]])</f>
        <v>0</v>
      </c>
      <c r="AF71" s="189"/>
      <c r="AG71" s="190"/>
      <c r="AH71" s="37"/>
      <c r="AI71" s="37"/>
      <c r="AJ71" s="37"/>
      <c r="AK71" s="37"/>
      <c r="AL71" s="37"/>
      <c r="AM71" s="37"/>
      <c r="AN71" s="37"/>
      <c r="AO71" s="37"/>
      <c r="AP71" s="37"/>
      <c r="AQ71" s="37"/>
    </row>
    <row r="72" spans="3:43" ht="15">
      <c r="C72" s="80">
        <v>99093</v>
      </c>
      <c r="D72" s="62" t="s">
        <v>338</v>
      </c>
      <c r="E72" s="132" t="s">
        <v>339</v>
      </c>
      <c r="F72" s="130">
        <v>2</v>
      </c>
      <c r="G72" s="121" t="s">
        <v>1094</v>
      </c>
      <c r="H72" s="18" t="s">
        <v>620</v>
      </c>
      <c r="I72" s="18" t="s">
        <v>59</v>
      </c>
      <c r="J72" s="19" t="s">
        <v>571</v>
      </c>
      <c r="K72" s="103">
        <v>212342</v>
      </c>
      <c r="L72" s="101">
        <f>INDEX(Table1[Production],MATCH(rrcworking[[#This Row],[RRC ID Number]],Table1[RRC Identifier],0))</f>
        <v>0</v>
      </c>
      <c r="M72" s="30">
        <f>INDEX(Table1[Formation Production],MATCH(rrcworking[[#This Row],[RRC ID Number]],Table1[RRC Identifier],0))</f>
        <v>3189</v>
      </c>
      <c r="N72" s="31">
        <f>INDEX(Table1[On Hand End of Month],MATCH(rrcworking[[#This Row],[RRC ID Number]],Table1[RRC Identifier],0))</f>
        <v>0</v>
      </c>
      <c r="O72" s="106" t="b">
        <f t="shared" si="2"/>
        <v>0</v>
      </c>
      <c r="P72" s="186"/>
      <c r="Q72" s="128">
        <f>rrcworking[[#This Row],[Last Month Closing Stock]]</f>
        <v>0</v>
      </c>
      <c r="R72" s="186">
        <f>rrcworking[[#This Row],[Opening Oil Stock]]</f>
        <v>0</v>
      </c>
      <c r="S72" s="147">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7">
        <f>IF(ISERROR(INDEX(Table2[GAS],MATCH(rrcworking[[#This Row],[Magnum Wolfpak '#]],Table2[Rox Wolf'#],0))),0,INDEX(Table2[GAS],MATCH(rrcworking[[#This Row],[Magnum Wolfpak '#]],Table2[Rox Wolf'#],0)))</f>
        <v>2955</v>
      </c>
      <c r="W72" s="24"/>
      <c r="X72" s="136">
        <f>IF(rrcworking[[#This Row],[Pressure Base]]=14.73,rrcworking[[#This Row],[Gas Sales Statement Volume (MCF)]]*$R$2,rrcworking[[#This Row],[Gas Sales Statement Volume (MCF)]])</f>
        <v>2955</v>
      </c>
      <c r="Y72" s="85"/>
      <c r="Z72" s="60">
        <v>4</v>
      </c>
      <c r="AA72" s="147">
        <f>IF(ISERROR(INDEX(Table2[LEASE USE],MATCH(rrcworking[[#This Row],[Magnum Wolfpak '#]],Table2[Rox Wolf'#],0))),0,INDEX(Table2[LEASE USE],MATCH(rrcworking[[#This Row],[Magnum Wolfpak '#]],Table2[Rox Wolf'#],0)))</f>
        <v>124</v>
      </c>
      <c r="AB72" s="57">
        <f>rrcworking[[#This Row],[Disposition Volume (MCF) @ 14.65 MCF]]+rrcworking[[#This Row],[Lease Use (MCF)]]</f>
        <v>3079</v>
      </c>
      <c r="AC72" s="97"/>
      <c r="AD72" s="37"/>
      <c r="AE72" s="192">
        <f>COUNTIF(FilterList,rrcworking[[#This Row],[Magnum Wolfpak '#]])</f>
        <v>0</v>
      </c>
      <c r="AF72" s="189"/>
      <c r="AG72" s="190"/>
      <c r="AH72" s="37"/>
      <c r="AI72" s="37"/>
      <c r="AJ72" s="191"/>
      <c r="AK72" s="191"/>
      <c r="AL72" s="191"/>
      <c r="AM72" s="191"/>
      <c r="AN72" s="191"/>
      <c r="AO72" s="191"/>
      <c r="AP72" s="37" t="s">
        <v>1173</v>
      </c>
      <c r="AQ72" s="37" t="s">
        <v>1209</v>
      </c>
    </row>
    <row r="73" spans="3:43" ht="15">
      <c r="C73" s="80">
        <v>99095</v>
      </c>
      <c r="D73" s="62" t="s">
        <v>375</v>
      </c>
      <c r="E73" s="132" t="s">
        <v>339</v>
      </c>
      <c r="F73" s="130">
        <v>5</v>
      </c>
      <c r="G73" s="121" t="s">
        <v>1094</v>
      </c>
      <c r="H73" s="18" t="s">
        <v>620</v>
      </c>
      <c r="I73" s="18" t="s">
        <v>59</v>
      </c>
      <c r="J73" s="19" t="s">
        <v>591</v>
      </c>
      <c r="K73" s="103">
        <v>226100</v>
      </c>
      <c r="L73" s="101">
        <f>INDEX(Table1[Production],MATCH(rrcworking[[#This Row],[RRC ID Number]],Table1[RRC Identifier],0))</f>
        <v>0</v>
      </c>
      <c r="M73" s="30">
        <f>INDEX(Table1[Formation Production],MATCH(rrcworking[[#This Row],[RRC ID Number]],Table1[RRC Identifier],0))</f>
        <v>1147</v>
      </c>
      <c r="N73" s="31">
        <f>INDEX(Table1[On Hand End of Month],MATCH(rrcworking[[#This Row],[RRC ID Number]],Table1[RRC Identifier],0))</f>
        <v>0</v>
      </c>
      <c r="O73" s="106" t="b">
        <f t="shared" si="2"/>
        <v>0</v>
      </c>
      <c r="P73" s="186"/>
      <c r="Q73" s="128">
        <f>rrcworking[[#This Row],[Last Month Closing Stock]]</f>
        <v>0</v>
      </c>
      <c r="R73" s="186">
        <f>rrcworking[[#This Row],[Opening Oil Stock]]</f>
        <v>0</v>
      </c>
      <c r="S73" s="147">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7">
        <f>IF(ISERROR(INDEX(Table2[GAS],MATCH(rrcworking[[#This Row],[Magnum Wolfpak '#]],Table2[Rox Wolf'#],0))),0,INDEX(Table2[GAS],MATCH(rrcworking[[#This Row],[Magnum Wolfpak '#]],Table2[Rox Wolf'#],0)))</f>
        <v>1101</v>
      </c>
      <c r="W73" s="24"/>
      <c r="X73" s="136">
        <f>IF(rrcworking[[#This Row],[Pressure Base]]=14.73,rrcworking[[#This Row],[Gas Sales Statement Volume (MCF)]]*$R$2,rrcworking[[#This Row],[Gas Sales Statement Volume (MCF)]])</f>
        <v>1101</v>
      </c>
      <c r="Y73" s="85"/>
      <c r="Z73" s="60">
        <v>1</v>
      </c>
      <c r="AA73" s="147">
        <f>IF(ISERROR(INDEX(Table2[LEASE USE],MATCH(rrcworking[[#This Row],[Magnum Wolfpak '#]],Table2[Rox Wolf'#],0))),0,INDEX(Table2[LEASE USE],MATCH(rrcworking[[#This Row],[Magnum Wolfpak '#]],Table2[Rox Wolf'#],0)))</f>
        <v>31</v>
      </c>
      <c r="AB73" s="57">
        <f>rrcworking[[#This Row],[Disposition Volume (MCF) @ 14.65 MCF]]+rrcworking[[#This Row],[Lease Use (MCF)]]</f>
        <v>1132</v>
      </c>
      <c r="AC73" s="37"/>
      <c r="AD73" s="37"/>
      <c r="AE73" s="192">
        <f>COUNTIF(FilterList,rrcworking[[#This Row],[Magnum Wolfpak '#]])</f>
        <v>0</v>
      </c>
      <c r="AF73" s="189"/>
      <c r="AG73" s="190"/>
      <c r="AH73" s="37"/>
      <c r="AI73" s="37"/>
      <c r="AJ73" s="191"/>
      <c r="AK73" s="191"/>
      <c r="AL73" s="191"/>
      <c r="AM73" s="191"/>
      <c r="AN73" s="191"/>
      <c r="AO73" s="191"/>
      <c r="AP73" s="37" t="s">
        <v>1173</v>
      </c>
      <c r="AQ73" s="37" t="s">
        <v>1209</v>
      </c>
    </row>
    <row r="74" spans="3:43" ht="15">
      <c r="C74" s="80">
        <v>99094</v>
      </c>
      <c r="D74" s="62" t="s">
        <v>375</v>
      </c>
      <c r="E74" s="132" t="s">
        <v>339</v>
      </c>
      <c r="F74" s="130">
        <v>3</v>
      </c>
      <c r="G74" s="121" t="s">
        <v>1094</v>
      </c>
      <c r="H74" s="18" t="s">
        <v>620</v>
      </c>
      <c r="I74" s="18" t="s">
        <v>59</v>
      </c>
      <c r="J74" s="19" t="s">
        <v>592</v>
      </c>
      <c r="K74" s="103">
        <v>233961</v>
      </c>
      <c r="L74" s="101">
        <f>INDEX(Table1[Production],MATCH(rrcworking[[#This Row],[RRC ID Number]],Table1[RRC Identifier],0))</f>
        <v>0</v>
      </c>
      <c r="M74" s="30">
        <f>INDEX(Table1[Formation Production],MATCH(rrcworking[[#This Row],[RRC ID Number]],Table1[RRC Identifier],0))</f>
        <v>3189</v>
      </c>
      <c r="N74" s="31">
        <f>INDEX(Table1[On Hand End of Month],MATCH(rrcworking[[#This Row],[RRC ID Number]],Table1[RRC Identifier],0))</f>
        <v>0</v>
      </c>
      <c r="O74" s="106" t="b">
        <f t="shared" si="2"/>
        <v>0</v>
      </c>
      <c r="P74" s="186"/>
      <c r="Q74" s="128">
        <f>rrcworking[[#This Row],[Last Month Closing Stock]]</f>
        <v>0</v>
      </c>
      <c r="R74" s="186">
        <f>rrcworking[[#This Row],[Opening Oil Stock]]</f>
        <v>0</v>
      </c>
      <c r="S74" s="147">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7">
        <f>IF(ISERROR(INDEX(Table2[GAS],MATCH(rrcworking[[#This Row],[Magnum Wolfpak '#]],Table2[Rox Wolf'#],0))),0,INDEX(Table2[GAS],MATCH(rrcworking[[#This Row],[Magnum Wolfpak '#]],Table2[Rox Wolf'#],0)))</f>
        <v>2955</v>
      </c>
      <c r="W74" s="24"/>
      <c r="X74" s="136">
        <f>IF(rrcworking[[#This Row],[Pressure Base]]=14.73,rrcworking[[#This Row],[Gas Sales Statement Volume (MCF)]]*$R$2,rrcworking[[#This Row],[Gas Sales Statement Volume (MCF)]])</f>
        <v>2955</v>
      </c>
      <c r="Y74" s="85"/>
      <c r="Z74" s="60">
        <v>4</v>
      </c>
      <c r="AA74" s="147">
        <f>IF(ISERROR(INDEX(Table2[LEASE USE],MATCH(rrcworking[[#This Row],[Magnum Wolfpak '#]],Table2[Rox Wolf'#],0))),0,INDEX(Table2[LEASE USE],MATCH(rrcworking[[#This Row],[Magnum Wolfpak '#]],Table2[Rox Wolf'#],0)))</f>
        <v>124</v>
      </c>
      <c r="AB74" s="57">
        <f>rrcworking[[#This Row],[Disposition Volume (MCF) @ 14.65 MCF]]+rrcworking[[#This Row],[Lease Use (MCF)]]</f>
        <v>3079</v>
      </c>
      <c r="AC74" s="37"/>
      <c r="AD74" s="37"/>
      <c r="AE74" s="192">
        <f>COUNTIF(FilterList,rrcworking[[#This Row],[Magnum Wolfpak '#]])</f>
        <v>0</v>
      </c>
      <c r="AF74" s="189"/>
      <c r="AG74" s="190"/>
      <c r="AH74" s="37"/>
      <c r="AI74" s="37"/>
      <c r="AJ74" s="191"/>
      <c r="AK74" s="191"/>
      <c r="AL74" s="191"/>
      <c r="AM74" s="191"/>
      <c r="AN74" s="191"/>
      <c r="AO74" s="191"/>
      <c r="AP74" s="37" t="s">
        <v>1173</v>
      </c>
      <c r="AQ74" s="37" t="s">
        <v>1209</v>
      </c>
    </row>
    <row r="75" spans="3:43" ht="15">
      <c r="C75" s="80" t="e">
        <v>#N/A</v>
      </c>
      <c r="D75" s="62" t="s">
        <v>338</v>
      </c>
      <c r="E75" s="132" t="s">
        <v>339</v>
      </c>
      <c r="F75" s="130">
        <v>1</v>
      </c>
      <c r="G75" s="121" t="s">
        <v>1094</v>
      </c>
      <c r="H75" s="18" t="s">
        <v>620</v>
      </c>
      <c r="I75" s="18" t="s">
        <v>59</v>
      </c>
      <c r="J75" s="19" t="s">
        <v>572</v>
      </c>
      <c r="K75" s="103">
        <v>213792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43</v>
      </c>
      <c r="O75" s="106" t="b">
        <f t="shared" si="2"/>
        <v>1</v>
      </c>
      <c r="P75" s="186"/>
      <c r="Q75" s="128">
        <f>rrcworking[[#This Row],[Last Month Closing Stock]]</f>
        <v>43</v>
      </c>
      <c r="R75" s="186">
        <f>rrcworking[[#This Row],[Opening Oil Stock]]</f>
        <v>43</v>
      </c>
      <c r="S75" s="147">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Volume]]-rrcworking[[#This Row],[Oil Production]]</f>
        <v>0</v>
      </c>
      <c r="V75" s="147">
        <f>IF(ISERROR(INDEX(Table2[GAS],MATCH(rrcworking[[#This Row],[Magnum Wolfpak '#]],Table2[Rox Wolf'#],0))),0,INDEX(Table2[GAS],MATCH(rrcworking[[#This Row],[Magnum Wolfpak '#]],Table2[Rox Wolf'#],0)))</f>
        <v>0</v>
      </c>
      <c r="W75" s="24"/>
      <c r="X75" s="136">
        <f>IF(rrcworking[[#This Row],[Pressure Base]]=14.73,rrcworking[[#This Row],[Gas Sales Statement Volume (MCF)]]*$R$2,rrcworking[[#This Row],[Gas Sales Statement Volume (MCF)]])</f>
        <v>0</v>
      </c>
      <c r="Y75" s="60"/>
      <c r="Z75" s="60"/>
      <c r="AA75" s="147">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192">
        <f>COUNTIF(FilterList,rrcworking[[#This Row],[Magnum Wolfpak '#]])</f>
        <v>0</v>
      </c>
      <c r="AF75" s="189"/>
      <c r="AG75" s="190"/>
      <c r="AH75" s="37"/>
      <c r="AI75" s="37"/>
      <c r="AJ75" s="37"/>
      <c r="AK75" s="37"/>
      <c r="AL75" s="37"/>
      <c r="AM75" s="37"/>
      <c r="AN75" s="37"/>
      <c r="AO75" s="37"/>
      <c r="AP75" s="37"/>
      <c r="AQ75" s="37"/>
    </row>
    <row r="76" spans="3:43" ht="15">
      <c r="C76" s="80" t="e">
        <v>#N/A</v>
      </c>
      <c r="D76" s="62" t="s">
        <v>210</v>
      </c>
      <c r="E76" s="132" t="s">
        <v>211</v>
      </c>
      <c r="F76" s="130">
        <v>0</v>
      </c>
      <c r="G76" s="121" t="s">
        <v>1094</v>
      </c>
      <c r="H76" s="18" t="s">
        <v>619</v>
      </c>
      <c r="I76" s="18" t="s">
        <v>2</v>
      </c>
      <c r="J76" s="19" t="s">
        <v>495</v>
      </c>
      <c r="K76" s="103">
        <v>2812</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81</v>
      </c>
      <c r="O76" s="106" t="b">
        <f t="shared" si="2"/>
        <v>1</v>
      </c>
      <c r="P76" s="186"/>
      <c r="Q76" s="128">
        <f>rrcworking[[#This Row],[Last Month Closing Stock]]</f>
        <v>81</v>
      </c>
      <c r="R76" s="186">
        <f>rrcworking[[#This Row],[Opening Oil Stock]]</f>
        <v>81</v>
      </c>
      <c r="S76" s="147">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7">
        <f>IF(ISERROR(INDEX(Table2[GAS],MATCH(rrcworking[[#This Row],[Magnum Wolfpak '#]],Table2[Rox Wolf'#],0))),0,INDEX(Table2[GAS],MATCH(rrcworking[[#This Row],[Magnum Wolfpak '#]],Table2[Rox Wolf'#],0)))</f>
        <v>0</v>
      </c>
      <c r="W76" s="24"/>
      <c r="X76" s="136">
        <f>IF(rrcworking[[#This Row],[Pressure Base]]=14.73,rrcworking[[#This Row],[Gas Sales Statement Volume (MCF)]]*$R$2,rrcworking[[#This Row],[Gas Sales Statement Volume (MCF)]])</f>
        <v>0</v>
      </c>
      <c r="Y76" s="60"/>
      <c r="Z76" s="60"/>
      <c r="AA76" s="147">
        <f>IF(ISERROR(INDEX(Table2[LEASE USE],MATCH(rrcworking[[#This Row],[Magnum Wolfpak '#]],Table2[Rox Wolf'#],0))),0,INDEX(Table2[LEASE USE],MATCH(rrcworking[[#This Row],[Magnum Wolfpak '#]],Table2[Rox Wolf'#],0)))</f>
        <v>0</v>
      </c>
      <c r="AB76" s="57">
        <f>rrcworking[[#This Row],[Disposition Volume (MCF) @ 14.65 MCF]]+rrcworking[[#This Row],[Lease Use (MCF)]]</f>
        <v>0</v>
      </c>
      <c r="AC76" s="37"/>
      <c r="AD76" s="37"/>
      <c r="AE76" s="192">
        <f>COUNTIF(FilterList,rrcworking[[#This Row],[Magnum Wolfpak '#]])</f>
        <v>0</v>
      </c>
      <c r="AF76" s="189"/>
      <c r="AG76" s="190"/>
      <c r="AH76" s="37"/>
      <c r="AI76" s="37"/>
      <c r="AJ76" s="37"/>
      <c r="AK76" s="37"/>
      <c r="AL76" s="37"/>
      <c r="AM76" s="37"/>
      <c r="AN76" s="37"/>
      <c r="AO76" s="37"/>
      <c r="AP76" s="37"/>
      <c r="AQ76" s="37"/>
    </row>
    <row r="77" spans="3:43" ht="15">
      <c r="C77" s="80" t="e">
        <v>#N/A</v>
      </c>
      <c r="D77" s="62" t="s">
        <v>224</v>
      </c>
      <c r="E77" s="132" t="s">
        <v>225</v>
      </c>
      <c r="F77" s="130">
        <v>0</v>
      </c>
      <c r="G77" s="121" t="s">
        <v>1094</v>
      </c>
      <c r="H77" s="18" t="s">
        <v>619</v>
      </c>
      <c r="I77" s="18" t="s">
        <v>2</v>
      </c>
      <c r="J77" s="19" t="s">
        <v>501</v>
      </c>
      <c r="K77" s="103">
        <v>26193</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68</v>
      </c>
      <c r="O77" s="106" t="b">
        <f t="shared" si="2"/>
        <v>1</v>
      </c>
      <c r="P77" s="186"/>
      <c r="Q77" s="128">
        <f>rrcworking[[#This Row],[Last Month Closing Stock]]</f>
        <v>68</v>
      </c>
      <c r="R77" s="186">
        <f>rrcworking[[#This Row],[Opening Oil Stock]]</f>
        <v>68</v>
      </c>
      <c r="S77" s="147">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7">
        <f>IF(ISERROR(INDEX(Table2[GAS],MATCH(rrcworking[[#This Row],[Magnum Wolfpak '#]],Table2[Rox Wolf'#],0))),0,INDEX(Table2[GAS],MATCH(rrcworking[[#This Row],[Magnum Wolfpak '#]],Table2[Rox Wolf'#],0)))</f>
        <v>0</v>
      </c>
      <c r="W77" s="24"/>
      <c r="X77" s="136">
        <f>IF(rrcworking[[#This Row],[Pressure Base]]=14.73,rrcworking[[#This Row],[Gas Sales Statement Volume (MCF)]]*$R$2,rrcworking[[#This Row],[Gas Sales Statement Volume (MCF)]])</f>
        <v>0</v>
      </c>
      <c r="Y77" s="60"/>
      <c r="Z77" s="60"/>
      <c r="AA77" s="147">
        <f>IF(ISERROR(INDEX(Table2[LEASE USE],MATCH(rrcworking[[#This Row],[Magnum Wolfpak '#]],Table2[Rox Wolf'#],0))),0,INDEX(Table2[LEASE USE],MATCH(rrcworking[[#This Row],[Magnum Wolfpak '#]],Table2[Rox Wolf'#],0)))</f>
        <v>0</v>
      </c>
      <c r="AB77" s="57">
        <f>rrcworking[[#This Row],[Disposition Volume (MCF) @ 14.65 MCF]]+rrcworking[[#This Row],[Lease Use (MCF)]]</f>
        <v>0</v>
      </c>
      <c r="AC77" s="97"/>
      <c r="AD77" s="37"/>
      <c r="AE77" s="192">
        <f>COUNTIF(FilterList,rrcworking[[#This Row],[Magnum Wolfpak '#]])</f>
        <v>0</v>
      </c>
      <c r="AF77" s="189"/>
      <c r="AG77" s="190"/>
      <c r="AH77" s="37"/>
      <c r="AI77" s="37"/>
      <c r="AJ77" s="37"/>
      <c r="AK77" s="37"/>
      <c r="AL77" s="37"/>
      <c r="AM77" s="37"/>
      <c r="AN77" s="37"/>
      <c r="AO77" s="37"/>
      <c r="AP77" s="37"/>
      <c r="AQ77" s="37"/>
    </row>
    <row r="78" spans="3:43" ht="15">
      <c r="C78" s="80" t="e">
        <v>#N/A</v>
      </c>
      <c r="D78" s="62" t="s">
        <v>298</v>
      </c>
      <c r="E78" s="132" t="s">
        <v>299</v>
      </c>
      <c r="F78" s="130">
        <v>0</v>
      </c>
      <c r="G78" s="121" t="s">
        <v>1094</v>
      </c>
      <c r="H78" s="18" t="s">
        <v>619</v>
      </c>
      <c r="I78" s="18" t="s">
        <v>2</v>
      </c>
      <c r="J78" s="19" t="s">
        <v>548</v>
      </c>
      <c r="K78" s="103">
        <v>24414</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6"/>
      <c r="Q78" s="128">
        <f>rrcworking[[#This Row],[Last Month Closing Stock]]</f>
        <v>0</v>
      </c>
      <c r="R78" s="186">
        <f>rrcworking[[#This Row],[Opening Oil Stock]]</f>
        <v>0</v>
      </c>
      <c r="S78" s="147">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7">
        <f>IF(ISERROR(INDEX(Table2[GAS],MATCH(rrcworking[[#This Row],[Magnum Wolfpak '#]],Table2[Rox Wolf'#],0))),0,INDEX(Table2[GAS],MATCH(rrcworking[[#This Row],[Magnum Wolfpak '#]],Table2[Rox Wolf'#],0)))</f>
        <v>0</v>
      </c>
      <c r="W78" s="24"/>
      <c r="X78" s="136">
        <f>IF(rrcworking[[#This Row],[Pressure Base]]=14.73,rrcworking[[#This Row],[Gas Sales Statement Volume (MCF)]]*$R$2,rrcworking[[#This Row],[Gas Sales Statement Volume (MCF)]])</f>
        <v>0</v>
      </c>
      <c r="Y78" s="60"/>
      <c r="Z78" s="60"/>
      <c r="AA78" s="147">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92">
        <f>COUNTIF(FilterList,rrcworking[[#This Row],[Magnum Wolfpak '#]])</f>
        <v>0</v>
      </c>
      <c r="AF78" s="189"/>
      <c r="AG78" s="190"/>
      <c r="AH78" s="37"/>
      <c r="AI78" s="37"/>
      <c r="AJ78" s="37"/>
      <c r="AK78" s="37"/>
      <c r="AL78" s="37"/>
      <c r="AM78" s="37"/>
      <c r="AN78" s="37"/>
      <c r="AO78" s="37"/>
      <c r="AP78" s="37"/>
      <c r="AQ78" s="37"/>
    </row>
    <row r="79" spans="3:43" ht="15">
      <c r="C79" s="80" t="e">
        <v>#N/A</v>
      </c>
      <c r="D79" s="62" t="s">
        <v>120</v>
      </c>
      <c r="E79" s="132" t="s">
        <v>121</v>
      </c>
      <c r="F79" s="130">
        <v>0</v>
      </c>
      <c r="G79" s="121" t="s">
        <v>1094</v>
      </c>
      <c r="H79" s="18" t="s">
        <v>618</v>
      </c>
      <c r="I79" s="18" t="s">
        <v>2</v>
      </c>
      <c r="J79" s="19" t="s">
        <v>441</v>
      </c>
      <c r="K79" s="103">
        <v>6739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6"/>
      <c r="Q79" s="128">
        <f>rrcworking[[#This Row],[Last Month Closing Stock]]</f>
        <v>0</v>
      </c>
      <c r="R79" s="186">
        <f>rrcworking[[#This Row],[Opening Oil Stock]]</f>
        <v>0</v>
      </c>
      <c r="S79" s="147">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7">
        <f>IF(ISERROR(INDEX(Table2[GAS],MATCH(rrcworking[[#This Row],[Magnum Wolfpak '#]],Table2[Rox Wolf'#],0))),0,INDEX(Table2[GAS],MATCH(rrcworking[[#This Row],[Magnum Wolfpak '#]],Table2[Rox Wolf'#],0)))</f>
        <v>0</v>
      </c>
      <c r="W79" s="24"/>
      <c r="X79" s="136">
        <f>IF(rrcworking[[#This Row],[Pressure Base]]=14.73,rrcworking[[#This Row],[Gas Sales Statement Volume (MCF)]]*$R$2,rrcworking[[#This Row],[Gas Sales Statement Volume (MCF)]])</f>
        <v>0</v>
      </c>
      <c r="Y79" s="60"/>
      <c r="Z79" s="60"/>
      <c r="AA79" s="147">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92">
        <f>COUNTIF(FilterList,rrcworking[[#This Row],[Magnum Wolfpak '#]])</f>
        <v>0</v>
      </c>
      <c r="AF79" s="189"/>
      <c r="AG79" s="190"/>
      <c r="AH79" s="37"/>
      <c r="AI79" s="37"/>
      <c r="AJ79" s="37"/>
      <c r="AK79" s="37"/>
      <c r="AL79" s="37"/>
      <c r="AM79" s="37"/>
      <c r="AN79" s="37"/>
      <c r="AO79" s="37"/>
      <c r="AP79" s="37"/>
      <c r="AQ79" s="37"/>
    </row>
    <row r="80" spans="3:43" ht="15">
      <c r="C80" s="80" t="e">
        <v>#N/A</v>
      </c>
      <c r="D80" s="62" t="s">
        <v>122</v>
      </c>
      <c r="E80" s="132" t="s">
        <v>121</v>
      </c>
      <c r="F80" s="130">
        <v>0</v>
      </c>
      <c r="G80" s="121" t="s">
        <v>1094</v>
      </c>
      <c r="H80" s="18" t="s">
        <v>618</v>
      </c>
      <c r="I80" s="18" t="s">
        <v>2</v>
      </c>
      <c r="J80" s="19" t="s">
        <v>442</v>
      </c>
      <c r="K80" s="103">
        <v>8169</v>
      </c>
      <c r="L80" s="101">
        <f>INDEX(Table1[Production],MATCH(rrcworking[[#This Row],[RRC ID Number]],Table1[RRC Identifier],0))</f>
        <v>0</v>
      </c>
      <c r="M80" s="30">
        <f>INDEX(Table1[Formation Production],MATCH(rrcworking[[#This Row],[RRC ID Number]],Table1[RRC Identifier],0))</f>
        <v>0</v>
      </c>
      <c r="N80" s="31">
        <f>INDEX(Table1[On Hand End of Month],MATCH(rrcworking[[#This Row],[RRC ID Number]],Table1[RRC Identifier],0))</f>
        <v>0</v>
      </c>
      <c r="O80" s="106" t="b">
        <f t="shared" si="2"/>
        <v>1</v>
      </c>
      <c r="P80" s="186"/>
      <c r="Q80" s="128">
        <f>rrcworking[[#This Row],[Last Month Closing Stock]]</f>
        <v>0</v>
      </c>
      <c r="R80" s="186">
        <f>rrcworking[[#This Row],[Opening Oil Stock]]</f>
        <v>0</v>
      </c>
      <c r="S80" s="147">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 Volume]]-rrcworking[[#This Row],[Oil Production]]</f>
        <v>0</v>
      </c>
      <c r="V80" s="147">
        <f>IF(ISERROR(INDEX(Table2[GAS],MATCH(rrcworking[[#This Row],[Magnum Wolfpak '#]],Table2[Rox Wolf'#],0))),0,INDEX(Table2[GAS],MATCH(rrcworking[[#This Row],[Magnum Wolfpak '#]],Table2[Rox Wolf'#],0)))</f>
        <v>0</v>
      </c>
      <c r="W80" s="24"/>
      <c r="X80" s="136">
        <f>IF(rrcworking[[#This Row],[Pressure Base]]=14.73,rrcworking[[#This Row],[Gas Sales Statement Volume (MCF)]]*$R$2,rrcworking[[#This Row],[Gas Sales Statement Volume (MCF)]])</f>
        <v>0</v>
      </c>
      <c r="Y80" s="60"/>
      <c r="Z80" s="60"/>
      <c r="AA80" s="147">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192">
        <f>COUNTIF(FilterList,rrcworking[[#This Row],[Magnum Wolfpak '#]])</f>
        <v>0</v>
      </c>
      <c r="AF80" s="189"/>
      <c r="AG80" s="190"/>
      <c r="AH80" s="37"/>
      <c r="AI80" s="37"/>
      <c r="AJ80" s="37"/>
      <c r="AK80" s="37"/>
      <c r="AL80" s="37"/>
      <c r="AM80" s="37"/>
      <c r="AN80" s="37"/>
      <c r="AO80" s="37"/>
      <c r="AP80" s="37"/>
      <c r="AQ80" s="37"/>
    </row>
    <row r="81" spans="3:43" ht="15">
      <c r="C81" s="80">
        <v>82001</v>
      </c>
      <c r="D81" s="62" t="s">
        <v>291</v>
      </c>
      <c r="E81" s="132" t="s">
        <v>292</v>
      </c>
      <c r="F81" s="130">
        <v>0</v>
      </c>
      <c r="G81" s="121" t="s">
        <v>1094</v>
      </c>
      <c r="H81" s="18" t="s">
        <v>619</v>
      </c>
      <c r="I81" s="18" t="s">
        <v>2</v>
      </c>
      <c r="J81" s="19" t="s">
        <v>541</v>
      </c>
      <c r="K81" s="103">
        <v>25782</v>
      </c>
      <c r="L81" s="101">
        <f>INDEX(Table1[Production],MATCH(rrcworking[[#This Row],[RRC ID Number]],Table1[RRC Identifier],0))</f>
        <v>0</v>
      </c>
      <c r="M81" s="30">
        <f>INDEX(Table1[Formation Production],MATCH(rrcworking[[#This Row],[RRC ID Number]],Table1[RRC Identifier],0))</f>
        <v>156</v>
      </c>
      <c r="N81" s="31">
        <f>INDEX(Table1[On Hand End of Month],MATCH(rrcworking[[#This Row],[RRC ID Number]],Table1[RRC Identifier],0))</f>
        <v>174</v>
      </c>
      <c r="O81" s="106" t="b">
        <f t="shared" si="2"/>
        <v>0</v>
      </c>
      <c r="P81" s="186">
        <v>25</v>
      </c>
      <c r="Q81" s="128">
        <f>rrcworking[[#This Row],[Last Month Closing Stock]]</f>
        <v>174</v>
      </c>
      <c r="R81" s="186">
        <v>199</v>
      </c>
      <c r="S81" s="147">
        <f>IF(ISERROR(INDEX(Table2[OIL],MATCH(rrcworking[[#This Row],[Magnum Wolfpak '#]],Table2[Rox Wolf'#],0))),0,INDEX(Table2[OIL],MATCH(rrcworking[[#This Row],[Magnum Wolfpak '#]],Table2[Rox Wolf'#],0)))</f>
        <v>0</v>
      </c>
      <c r="T81" s="35">
        <f>rrcworking[[#This Row],[Closing Stock (Oil)]]+rrcworking[[#This Row],[Sales/Dispostion]]-rrcworking[[#This Row],[Opening Oil Stock]]</f>
        <v>25</v>
      </c>
      <c r="U81" s="112">
        <f>rrcworking[[#This Row],[Gauge Sheet Prod Volume]]-rrcworking[[#This Row],[Oil Production]]</f>
        <v>0</v>
      </c>
      <c r="V81" s="147">
        <f>IF(ISERROR(INDEX(Table2[GAS],MATCH(rrcworking[[#This Row],[Magnum Wolfpak '#]],Table2[Rox Wolf'#],0))),0,INDEX(Table2[GAS],MATCH(rrcworking[[#This Row],[Magnum Wolfpak '#]],Table2[Rox Wolf'#],0)))</f>
        <v>31</v>
      </c>
      <c r="W81" s="24"/>
      <c r="X81" s="136">
        <f>IF(rrcworking[[#This Row],[Pressure Base]]=14.73,rrcworking[[#This Row],[Gas Sales Statement Volume (MCF)]]*$R$2,rrcworking[[#This Row],[Gas Sales Statement Volume (MCF)]])</f>
        <v>31</v>
      </c>
      <c r="Y81" s="60"/>
      <c r="Z81" s="60">
        <v>0</v>
      </c>
      <c r="AA81" s="147">
        <f>IF(ISERROR(INDEX(Table2[LEASE USE],MATCH(rrcworking[[#This Row],[Magnum Wolfpak '#]],Table2[Rox Wolf'#],0))),0,INDEX(Table2[LEASE USE],MATCH(rrcworking[[#This Row],[Magnum Wolfpak '#]],Table2[Rox Wolf'#],0)))</f>
        <v>0</v>
      </c>
      <c r="AB81" s="57">
        <f>rrcworking[[#This Row],[Disposition Volume (MCF) @ 14.65 MCF]]+rrcworking[[#This Row],[Lease Use (MCF)]]</f>
        <v>31</v>
      </c>
      <c r="AC81" s="37"/>
      <c r="AD81" s="37"/>
      <c r="AE81" s="192">
        <f>COUNTIF(FilterList,rrcworking[[#This Row],[Magnum Wolfpak '#]])</f>
        <v>0</v>
      </c>
      <c r="AF81" s="189"/>
      <c r="AG81" s="190"/>
      <c r="AH81" s="37"/>
      <c r="AI81" s="190"/>
      <c r="AJ81" s="191"/>
      <c r="AK81" s="191"/>
      <c r="AL81" s="191"/>
      <c r="AM81" s="191"/>
      <c r="AN81" s="191"/>
      <c r="AO81" s="191"/>
      <c r="AP81" s="37" t="s">
        <v>1173</v>
      </c>
      <c r="AQ81" s="37" t="s">
        <v>1208</v>
      </c>
    </row>
    <row r="82" spans="3:43" ht="15">
      <c r="C82" s="80">
        <v>96701</v>
      </c>
      <c r="D82" s="62" t="s">
        <v>285</v>
      </c>
      <c r="E82" s="132" t="s">
        <v>286</v>
      </c>
      <c r="F82" s="130">
        <v>1</v>
      </c>
      <c r="G82" s="121" t="s">
        <v>1094</v>
      </c>
      <c r="H82" s="18" t="s">
        <v>619</v>
      </c>
      <c r="I82" s="18" t="s">
        <v>59</v>
      </c>
      <c r="J82" s="19" t="s">
        <v>538</v>
      </c>
      <c r="K82" s="103">
        <v>280832</v>
      </c>
      <c r="L82" s="101">
        <f>INDEX(Table1[Production],MATCH(rrcworking[[#This Row],[RRC ID Number]],Table1[RRC Identifier],0))</f>
        <v>0</v>
      </c>
      <c r="M82" s="30">
        <f>INDEX(Table1[Formation Production],MATCH(rrcworking[[#This Row],[RRC ID Number]],Table1[RRC Identifier],0))</f>
        <v>6</v>
      </c>
      <c r="N82" s="31">
        <f>INDEX(Table1[On Hand End of Month],MATCH(rrcworking[[#This Row],[RRC ID Number]],Table1[RRC Identifier],0))</f>
        <v>43</v>
      </c>
      <c r="O82" s="106" t="b">
        <f t="shared" si="2"/>
        <v>0</v>
      </c>
      <c r="P82" s="186">
        <v>5</v>
      </c>
      <c r="Q82" s="128">
        <f>rrcworking[[#This Row],[Last Month Closing Stock]]</f>
        <v>43</v>
      </c>
      <c r="R82" s="186">
        <v>48</v>
      </c>
      <c r="S82" s="147">
        <f>IF(ISERROR(INDEX(Table2[OIL],MATCH(rrcworking[[#This Row],[Magnum Wolfpak '#]],Table2[Rox Wolf'#],0))),0,INDEX(Table2[OIL],MATCH(rrcworking[[#This Row],[Magnum Wolfpak '#]],Table2[Rox Wolf'#],0)))</f>
        <v>0</v>
      </c>
      <c r="T82" s="35">
        <f>rrcworking[[#This Row],[Closing Stock (Oil)]]+rrcworking[[#This Row],[Sales/Dispostion]]-rrcworking[[#This Row],[Opening Oil Stock]]</f>
        <v>5</v>
      </c>
      <c r="U82" s="112">
        <f>rrcworking[[#This Row],[Gauge Sheet Prod Volume]]-rrcworking[[#This Row],[Oil Production]]</f>
        <v>0</v>
      </c>
      <c r="V82" s="147">
        <f>IF(ISERROR(INDEX(Table2[GAS],MATCH(rrcworking[[#This Row],[Magnum Wolfpak '#]],Table2[Rox Wolf'#],0))),0,INDEX(Table2[GAS],MATCH(rrcworking[[#This Row],[Magnum Wolfpak '#]],Table2[Rox Wolf'#],0)))</f>
        <v>31</v>
      </c>
      <c r="W82" s="24"/>
      <c r="X82" s="136">
        <f>IF(rrcworking[[#This Row],[Pressure Base]]=14.73,rrcworking[[#This Row],[Gas Sales Statement Volume (MCF)]]*$R$2,rrcworking[[#This Row],[Gas Sales Statement Volume (MCF)]])</f>
        <v>31</v>
      </c>
      <c r="Y82" s="60"/>
      <c r="Z82" s="60">
        <v>0</v>
      </c>
      <c r="AA82" s="147">
        <f>IF(ISERROR(INDEX(Table2[LEASE USE],MATCH(rrcworking[[#This Row],[Magnum Wolfpak '#]],Table2[Rox Wolf'#],0))),0,INDEX(Table2[LEASE USE],MATCH(rrcworking[[#This Row],[Magnum Wolfpak '#]],Table2[Rox Wolf'#],0)))</f>
        <v>0</v>
      </c>
      <c r="AB82" s="57">
        <f>rrcworking[[#This Row],[Disposition Volume (MCF) @ 14.65 MCF]]+rrcworking[[#This Row],[Lease Use (MCF)]]</f>
        <v>31</v>
      </c>
      <c r="AC82" s="37"/>
      <c r="AD82" s="37"/>
      <c r="AE82" s="192">
        <f>COUNTIF(FilterList,rrcworking[[#This Row],[Magnum Wolfpak '#]])</f>
        <v>0</v>
      </c>
      <c r="AF82" s="189"/>
      <c r="AG82" s="190"/>
      <c r="AH82" s="87"/>
      <c r="AI82" s="87"/>
      <c r="AJ82" s="191"/>
      <c r="AK82" s="191"/>
      <c r="AL82" s="191"/>
      <c r="AM82" s="191"/>
      <c r="AN82" s="191"/>
      <c r="AO82" s="191"/>
      <c r="AP82" s="37" t="s">
        <v>1173</v>
      </c>
      <c r="AQ82" s="37" t="s">
        <v>1208</v>
      </c>
    </row>
    <row r="83" spans="3:43" ht="15">
      <c r="C83" s="80" t="e">
        <v>#N/A</v>
      </c>
      <c r="D83" s="62" t="s">
        <v>291</v>
      </c>
      <c r="E83" s="132" t="s">
        <v>286</v>
      </c>
      <c r="F83" s="130">
        <v>0</v>
      </c>
      <c r="G83" s="121" t="s">
        <v>1094</v>
      </c>
      <c r="H83" s="18" t="s">
        <v>619</v>
      </c>
      <c r="I83" s="18" t="s">
        <v>2</v>
      </c>
      <c r="J83" s="19" t="s">
        <v>542</v>
      </c>
      <c r="K83" s="103">
        <v>25785</v>
      </c>
      <c r="L83" s="101">
        <f>INDEX(Table1[Production],MATCH(rrcworking[[#This Row],[RRC ID Number]],Table1[RRC Identifier],0))</f>
        <v>0</v>
      </c>
      <c r="M83" s="30">
        <f>INDEX(Table1[Formation Production],MATCH(rrcworking[[#This Row],[RRC ID Number]],Table1[RRC Identifier],0))</f>
        <v>0</v>
      </c>
      <c r="N83" s="31">
        <f>INDEX(Table1[On Hand End of Month],MATCH(rrcworking[[#This Row],[RRC ID Number]],Table1[RRC Identifier],0))</f>
        <v>0</v>
      </c>
      <c r="O83" s="106" t="b">
        <f t="shared" si="2"/>
        <v>1</v>
      </c>
      <c r="P83" s="186"/>
      <c r="Q83" s="128">
        <f>rrcworking[[#This Row],[Last Month Closing Stock]]</f>
        <v>0</v>
      </c>
      <c r="R83" s="186">
        <f>rrcworking[[#This Row],[Opening Oil Stock]]</f>
        <v>0</v>
      </c>
      <c r="S83" s="147">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 Volume]]-rrcworking[[#This Row],[Oil Production]]</f>
        <v>0</v>
      </c>
      <c r="V83" s="147">
        <f>IF(ISERROR(INDEX(Table2[GAS],MATCH(rrcworking[[#This Row],[Magnum Wolfpak '#]],Table2[Rox Wolf'#],0))),0,INDEX(Table2[GAS],MATCH(rrcworking[[#This Row],[Magnum Wolfpak '#]],Table2[Rox Wolf'#],0)))</f>
        <v>0</v>
      </c>
      <c r="W83" s="24"/>
      <c r="X83" s="136">
        <f>IF(rrcworking[[#This Row],[Pressure Base]]=14.73,rrcworking[[#This Row],[Gas Sales Statement Volume (MCF)]]*$R$2,rrcworking[[#This Row],[Gas Sales Statement Volume (MCF)]])</f>
        <v>0</v>
      </c>
      <c r="Y83" s="60"/>
      <c r="Z83" s="60"/>
      <c r="AA83" s="147">
        <f>IF(ISERROR(INDEX(Table2[LEASE USE],MATCH(rrcworking[[#This Row],[Magnum Wolfpak '#]],Table2[Rox Wolf'#],0))),0,INDEX(Table2[LEASE USE],MATCH(rrcworking[[#This Row],[Magnum Wolfpak '#]],Table2[Rox Wolf'#],0)))</f>
        <v>0</v>
      </c>
      <c r="AB83" s="57">
        <f>rrcworking[[#This Row],[Disposition Volume (MCF) @ 14.65 MCF]]+rrcworking[[#This Row],[Lease Use (MCF)]]</f>
        <v>0</v>
      </c>
      <c r="AC83" s="37"/>
      <c r="AD83" s="37"/>
      <c r="AE83" s="192">
        <f>COUNTIF(FilterList,rrcworking[[#This Row],[Magnum Wolfpak '#]])</f>
        <v>0</v>
      </c>
      <c r="AF83" s="189"/>
      <c r="AG83" s="190"/>
      <c r="AH83" s="37"/>
      <c r="AI83" s="37"/>
      <c r="AJ83" s="37"/>
      <c r="AK83" s="37"/>
      <c r="AL83" s="37"/>
      <c r="AM83" s="37"/>
      <c r="AN83" s="37"/>
      <c r="AO83" s="37"/>
      <c r="AP83" s="37"/>
      <c r="AQ83" s="37"/>
    </row>
    <row r="84" spans="3:43" ht="135">
      <c r="C84" s="80">
        <v>96501</v>
      </c>
      <c r="D84" s="62" t="s">
        <v>287</v>
      </c>
      <c r="E84" s="132" t="s">
        <v>288</v>
      </c>
      <c r="F84" s="130">
        <v>1</v>
      </c>
      <c r="G84" s="121" t="s">
        <v>1094</v>
      </c>
      <c r="H84" s="18" t="s">
        <v>619</v>
      </c>
      <c r="I84" s="18" t="s">
        <v>59</v>
      </c>
      <c r="J84" s="19" t="s">
        <v>539</v>
      </c>
      <c r="K84" s="103">
        <v>161374</v>
      </c>
      <c r="L84" s="101">
        <f>INDEX(Table1[Production],MATCH(rrcworking[[#This Row],[RRC ID Number]],Table1[RRC Identifier],0))</f>
        <v>0</v>
      </c>
      <c r="M84" s="30">
        <f>INDEX(Table1[Formation Production],MATCH(rrcworking[[#This Row],[RRC ID Number]],Table1[RRC Identifier],0))</f>
        <v>1431</v>
      </c>
      <c r="N84" s="31">
        <f>INDEX(Table1[On Hand End of Month],MATCH(rrcworking[[#This Row],[RRC ID Number]],Table1[RRC Identifier],0))</f>
        <v>233</v>
      </c>
      <c r="O84" s="106" t="b">
        <f t="shared" si="2"/>
        <v>0</v>
      </c>
      <c r="P84" s="186">
        <v>1</v>
      </c>
      <c r="Q84" s="128">
        <f>rrcworking[[#This Row],[Last Month Closing Stock]]</f>
        <v>233</v>
      </c>
      <c r="R84" s="186">
        <v>234</v>
      </c>
      <c r="S84" s="147">
        <f>IF(ISERROR(INDEX(Table2[OIL],MATCH(rrcworking[[#This Row],[Magnum Wolfpak '#]],Table2[Rox Wolf'#],0))),0,INDEX(Table2[OIL],MATCH(rrcworking[[#This Row],[Magnum Wolfpak '#]],Table2[Rox Wolf'#],0)))</f>
        <v>0</v>
      </c>
      <c r="T84" s="35">
        <f>rrcworking[[#This Row],[Closing Stock (Oil)]]+rrcworking[[#This Row],[Sales/Dispostion]]-rrcworking[[#This Row],[Opening Oil Stock]]</f>
        <v>1</v>
      </c>
      <c r="U84" s="112">
        <f>rrcworking[[#This Row],[Gauge Sheet Prod Volume]]-rrcworking[[#This Row],[Oil Production]]</f>
        <v>0</v>
      </c>
      <c r="V84" s="147">
        <f>IF(ISERROR(INDEX(Table2[GAS],MATCH(rrcworking[[#This Row],[Magnum Wolfpak '#]],Table2[Rox Wolf'#],0))),0,INDEX(Table2[GAS],MATCH(rrcworking[[#This Row],[Magnum Wolfpak '#]],Table2[Rox Wolf'#],0)))</f>
        <v>938</v>
      </c>
      <c r="W84" s="24"/>
      <c r="X84" s="136">
        <f>IF(rrcworking[[#This Row],[Pressure Base]]=14.73,rrcworking[[#This Row],[Gas Sales Statement Volume (MCF)]]*$R$2,rrcworking[[#This Row],[Gas Sales Statement Volume (MCF)]])</f>
        <v>938</v>
      </c>
      <c r="Y84" s="85"/>
      <c r="Z84" s="60">
        <v>3</v>
      </c>
      <c r="AA84" s="147">
        <f>IF(ISERROR(INDEX(Table2[LEASE USE],MATCH(rrcworking[[#This Row],[Magnum Wolfpak '#]],Table2[Rox Wolf'#],0))),0,INDEX(Table2[LEASE USE],MATCH(rrcworking[[#This Row],[Magnum Wolfpak '#]],Table2[Rox Wolf'#],0)))</f>
        <v>51</v>
      </c>
      <c r="AB84" s="57">
        <f>rrcworking[[#This Row],[Disposition Volume (MCF) @ 14.65 MCF]]+rrcworking[[#This Row],[Lease Use (MCF)]]</f>
        <v>989</v>
      </c>
      <c r="AC84" s="37"/>
      <c r="AD84" s="37" t="s">
        <v>1291</v>
      </c>
      <c r="AE84" s="192">
        <f>COUNTIF(FilterList,rrcworking[[#This Row],[Magnum Wolfpak '#]])</f>
        <v>0</v>
      </c>
      <c r="AF84" s="189"/>
      <c r="AG84" s="190"/>
      <c r="AH84" s="37"/>
      <c r="AI84" s="190"/>
      <c r="AJ84" s="191"/>
      <c r="AK84" s="191"/>
      <c r="AL84" s="191"/>
      <c r="AM84" s="191"/>
      <c r="AN84" s="191"/>
      <c r="AO84" s="191"/>
      <c r="AP84" s="37" t="s">
        <v>1173</v>
      </c>
      <c r="AQ84" s="37" t="s">
        <v>1208</v>
      </c>
    </row>
    <row r="85" spans="3:43" ht="15">
      <c r="C85" s="82" t="e">
        <v>#N/A</v>
      </c>
      <c r="D85" s="98" t="s">
        <v>289</v>
      </c>
      <c r="E85" s="133" t="s">
        <v>290</v>
      </c>
      <c r="F85" s="129">
        <v>0</v>
      </c>
      <c r="G85" s="122" t="s">
        <v>1094</v>
      </c>
      <c r="H85" s="18" t="s">
        <v>619</v>
      </c>
      <c r="I85" s="18" t="s">
        <v>2</v>
      </c>
      <c r="J85" s="19" t="s">
        <v>540</v>
      </c>
      <c r="K85" s="103">
        <v>19798</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70</v>
      </c>
      <c r="O85" s="106" t="b">
        <f t="shared" si="2"/>
        <v>1</v>
      </c>
      <c r="P85" s="186"/>
      <c r="Q85" s="128">
        <f>rrcworking[[#This Row],[Last Month Closing Stock]]</f>
        <v>70</v>
      </c>
      <c r="R85" s="186">
        <f>rrcworking[[#This Row],[Opening Oil Stock]]</f>
        <v>70</v>
      </c>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7">
        <f>IF(ISERROR(INDEX(Table2[GAS],MATCH(rrcworking[[#This Row],[Magnum Wolfpak '#]],Table2[Rox Wolf'#],0))),0,INDEX(Table2[GAS],MATCH(rrcworking[[#This Row],[Magnum Wolfpak '#]],Table2[Rox Wolf'#],0)))</f>
        <v>0</v>
      </c>
      <c r="W85" s="24"/>
      <c r="X85" s="136">
        <f>IF(rrcworking[[#This Row],[Pressure Base]]=14.73,rrcworking[[#This Row],[Gas Sales Statement Volume (MCF)]]*$R$2,rrcworking[[#This Row],[Gas Sales Statement Volume (MCF)]])</f>
        <v>0</v>
      </c>
      <c r="Y85" s="60"/>
      <c r="Z85" s="60"/>
      <c r="AA85" s="147">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92">
        <f>COUNTIF(FilterList,rrcworking[[#This Row],[Magnum Wolfpak '#]])</f>
        <v>0</v>
      </c>
      <c r="AF85" s="189"/>
      <c r="AG85" s="190"/>
      <c r="AH85" s="37"/>
      <c r="AI85" s="37"/>
      <c r="AJ85" s="37"/>
      <c r="AK85" s="37"/>
      <c r="AL85" s="37"/>
      <c r="AM85" s="37"/>
      <c r="AN85" s="37"/>
      <c r="AO85" s="37"/>
      <c r="AP85" s="37"/>
      <c r="AQ85" s="37"/>
    </row>
    <row r="86" spans="3:43" ht="15">
      <c r="C86" s="80" t="e">
        <v>#N/A</v>
      </c>
      <c r="D86" s="62" t="s">
        <v>248</v>
      </c>
      <c r="E86" s="132" t="s">
        <v>249</v>
      </c>
      <c r="F86" s="130">
        <v>2</v>
      </c>
      <c r="G86" s="121" t="s">
        <v>1094</v>
      </c>
      <c r="H86" s="18" t="s">
        <v>619</v>
      </c>
      <c r="I86" s="18" t="s">
        <v>59</v>
      </c>
      <c r="J86" s="19" t="s">
        <v>513</v>
      </c>
      <c r="K86" s="103">
        <v>194105</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6"/>
      <c r="Q86" s="128">
        <f>rrcworking[[#This Row],[Last Month Closing Stock]]</f>
        <v>0</v>
      </c>
      <c r="R86" s="186">
        <f>rrcworking[[#This Row],[Opening Oil Stock]]</f>
        <v>0</v>
      </c>
      <c r="S86" s="147">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7">
        <f>IF(ISERROR(INDEX(Table2[GAS],MATCH(rrcworking[[#This Row],[Magnum Wolfpak '#]],Table2[Rox Wolf'#],0))),0,INDEX(Table2[GAS],MATCH(rrcworking[[#This Row],[Magnum Wolfpak '#]],Table2[Rox Wolf'#],0)))</f>
        <v>0</v>
      </c>
      <c r="W86" s="24"/>
      <c r="X86" s="136">
        <f>IF(rrcworking[[#This Row],[Pressure Base]]=14.73,rrcworking[[#This Row],[Gas Sales Statement Volume (MCF)]]*$R$2,rrcworking[[#This Row],[Gas Sales Statement Volume (MCF)]])</f>
        <v>0</v>
      </c>
      <c r="Y86" s="60"/>
      <c r="Z86" s="60"/>
      <c r="AA86" s="147">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92">
        <f>COUNTIF(FilterList,rrcworking[[#This Row],[Magnum Wolfpak '#]])</f>
        <v>0</v>
      </c>
      <c r="AF86" s="189"/>
      <c r="AG86" s="190"/>
      <c r="AH86" s="37"/>
      <c r="AI86" s="37"/>
      <c r="AJ86" s="37"/>
      <c r="AK86" s="37"/>
      <c r="AL86" s="37"/>
      <c r="AM86" s="37"/>
      <c r="AN86" s="37"/>
      <c r="AO86" s="37"/>
      <c r="AP86" s="37"/>
      <c r="AQ86" s="37"/>
    </row>
    <row r="87" spans="3:43" ht="15">
      <c r="C87" s="80" t="e">
        <v>#N/A</v>
      </c>
      <c r="D87" s="62" t="s">
        <v>250</v>
      </c>
      <c r="E87" s="132" t="s">
        <v>249</v>
      </c>
      <c r="F87" s="130">
        <v>1</v>
      </c>
      <c r="G87" s="121" t="s">
        <v>1094</v>
      </c>
      <c r="H87" s="18" t="s">
        <v>619</v>
      </c>
      <c r="I87" s="18" t="s">
        <v>59</v>
      </c>
      <c r="J87" s="19" t="s">
        <v>514</v>
      </c>
      <c r="K87" s="103">
        <v>130820</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6"/>
      <c r="Q87" s="128">
        <f>rrcworking[[#This Row],[Last Month Closing Stock]]</f>
        <v>0</v>
      </c>
      <c r="R87" s="186">
        <f>rrcworking[[#This Row],[Opening Oil Stock]]</f>
        <v>0</v>
      </c>
      <c r="S87" s="147">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7">
        <f>IF(ISERROR(INDEX(Table2[GAS],MATCH(rrcworking[[#This Row],[Magnum Wolfpak '#]],Table2[Rox Wolf'#],0))),0,INDEX(Table2[GAS],MATCH(rrcworking[[#This Row],[Magnum Wolfpak '#]],Table2[Rox Wolf'#],0)))</f>
        <v>0</v>
      </c>
      <c r="W87" s="24"/>
      <c r="X87" s="136">
        <f>IF(rrcworking[[#This Row],[Pressure Base]]=14.73,rrcworking[[#This Row],[Gas Sales Statement Volume (MCF)]]*$R$2,rrcworking[[#This Row],[Gas Sales Statement Volume (MCF)]])</f>
        <v>0</v>
      </c>
      <c r="Y87" s="60"/>
      <c r="Z87" s="60"/>
      <c r="AA87" s="147">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92">
        <f>COUNTIF(FilterList,rrcworking[[#This Row],[Magnum Wolfpak '#]])</f>
        <v>0</v>
      </c>
      <c r="AF87" s="189"/>
      <c r="AG87" s="190"/>
      <c r="AH87" s="37"/>
      <c r="AI87" s="37"/>
      <c r="AJ87" s="37"/>
      <c r="AK87" s="37"/>
      <c r="AL87" s="37"/>
      <c r="AM87" s="37"/>
      <c r="AN87" s="37"/>
      <c r="AO87" s="37"/>
      <c r="AP87" s="37"/>
      <c r="AQ87" s="37"/>
    </row>
    <row r="88" spans="3:43" ht="15">
      <c r="C88" s="80" t="e">
        <v>#N/A</v>
      </c>
      <c r="D88" s="62" t="s">
        <v>354</v>
      </c>
      <c r="E88" s="132" t="s">
        <v>357</v>
      </c>
      <c r="F88" s="130">
        <v>3</v>
      </c>
      <c r="G88" s="121" t="s">
        <v>1094</v>
      </c>
      <c r="H88" s="18" t="s">
        <v>620</v>
      </c>
      <c r="I88" s="18" t="s">
        <v>59</v>
      </c>
      <c r="J88" s="19" t="s">
        <v>582</v>
      </c>
      <c r="K88" s="103">
        <v>191863</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186"/>
      <c r="Q88" s="128">
        <f>rrcworking[[#This Row],[Last Month Closing Stock]]</f>
        <v>0</v>
      </c>
      <c r="R88" s="186">
        <f>rrcworking[[#This Row],[Opening Oil Stock]]</f>
        <v>0</v>
      </c>
      <c r="S88" s="147">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7">
        <f>IF(ISERROR(INDEX(Table2[GAS],MATCH(rrcworking[[#This Row],[Magnum Wolfpak '#]],Table2[Rox Wolf'#],0))),0,INDEX(Table2[GAS],MATCH(rrcworking[[#This Row],[Magnum Wolfpak '#]],Table2[Rox Wolf'#],0)))</f>
        <v>0</v>
      </c>
      <c r="W88" s="24"/>
      <c r="X88" s="136">
        <f>IF(rrcworking[[#This Row],[Pressure Base]]=14.73,rrcworking[[#This Row],[Gas Sales Statement Volume (MCF)]]*$R$2,rrcworking[[#This Row],[Gas Sales Statement Volume (MCF)]])</f>
        <v>0</v>
      </c>
      <c r="Y88" s="60"/>
      <c r="Z88" s="60"/>
      <c r="AA88" s="147">
        <f>IF(ISERROR(INDEX(Table2[LEASE USE],MATCH(rrcworking[[#This Row],[Magnum Wolfpak '#]],Table2[Rox Wolf'#],0))),0,INDEX(Table2[LEASE USE],MATCH(rrcworking[[#This Row],[Magnum Wolfpak '#]],Table2[Rox Wolf'#],0)))</f>
        <v>0</v>
      </c>
      <c r="AB88" s="57">
        <f>rrcworking[[#This Row],[Disposition Volume (MCF) @ 14.65 MCF]]+rrcworking[[#This Row],[Lease Use (MCF)]]</f>
        <v>0</v>
      </c>
      <c r="AC88" s="37"/>
      <c r="AD88" s="37"/>
      <c r="AE88" s="192">
        <f>COUNTIF(FilterList,rrcworking[[#This Row],[Magnum Wolfpak '#]])</f>
        <v>0</v>
      </c>
      <c r="AF88" s="189"/>
      <c r="AG88" s="190"/>
      <c r="AH88" s="37"/>
      <c r="AI88" s="37"/>
      <c r="AJ88" s="37"/>
      <c r="AK88" s="37"/>
      <c r="AL88" s="37"/>
      <c r="AM88" s="37"/>
      <c r="AN88" s="37"/>
      <c r="AO88" s="37"/>
      <c r="AP88" s="37"/>
      <c r="AQ88" s="37"/>
    </row>
    <row r="89" spans="3:43" ht="15">
      <c r="C89" s="80">
        <v>99066</v>
      </c>
      <c r="D89" s="62" t="s">
        <v>354</v>
      </c>
      <c r="E89" s="132" t="s">
        <v>356</v>
      </c>
      <c r="F89" s="130">
        <v>2</v>
      </c>
      <c r="G89" s="121" t="s">
        <v>1094</v>
      </c>
      <c r="H89" s="18" t="s">
        <v>620</v>
      </c>
      <c r="I89" s="18" t="s">
        <v>59</v>
      </c>
      <c r="J89" s="19" t="s">
        <v>581</v>
      </c>
      <c r="K89" s="103">
        <v>11885</v>
      </c>
      <c r="L89" s="101">
        <f>INDEX(Table1[Production],MATCH(rrcworking[[#This Row],[RRC ID Number]],Table1[RRC Identifier],0))</f>
        <v>0</v>
      </c>
      <c r="M89" s="30">
        <f>INDEX(Table1[Formation Production],MATCH(rrcworking[[#This Row],[RRC ID Number]],Table1[RRC Identifier],0))</f>
        <v>1619</v>
      </c>
      <c r="N89" s="31">
        <f>INDEX(Table1[On Hand End of Month],MATCH(rrcworking[[#This Row],[RRC ID Number]],Table1[RRC Identifier],0))</f>
        <v>0</v>
      </c>
      <c r="O89" s="106" t="b">
        <f t="shared" si="2"/>
        <v>0</v>
      </c>
      <c r="P89" s="186"/>
      <c r="Q89" s="128">
        <f>rrcworking[[#This Row],[Last Month Closing Stock]]</f>
        <v>0</v>
      </c>
      <c r="R89" s="186">
        <f>rrcworking[[#This Row],[Opening Oil Stock]]</f>
        <v>0</v>
      </c>
      <c r="S89" s="147">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7">
        <f>IF(ISERROR(INDEX(Table2[GAS],MATCH(rrcworking[[#This Row],[Magnum Wolfpak '#]],Table2[Rox Wolf'#],0))),0,INDEX(Table2[GAS],MATCH(rrcworking[[#This Row],[Magnum Wolfpak '#]],Table2[Rox Wolf'#],0)))</f>
        <v>997</v>
      </c>
      <c r="W89" s="24"/>
      <c r="X89" s="136">
        <f>IF(rrcworking[[#This Row],[Pressure Base]]=14.73,rrcworking[[#This Row],[Gas Sales Statement Volume (MCF)]]*$R$2,rrcworking[[#This Row],[Gas Sales Statement Volume (MCF)]])</f>
        <v>997</v>
      </c>
      <c r="Y89" s="60"/>
      <c r="Z89" s="60"/>
      <c r="AA89" s="147">
        <f>IF(ISERROR(INDEX(Table2[LEASE USE],MATCH(rrcworking[[#This Row],[Magnum Wolfpak '#]],Table2[Rox Wolf'#],0))),0,INDEX(Table2[LEASE USE],MATCH(rrcworking[[#This Row],[Magnum Wolfpak '#]],Table2[Rox Wolf'#],0)))</f>
        <v>0</v>
      </c>
      <c r="AB89" s="57">
        <f>rrcworking[[#This Row],[Disposition Volume (MCF) @ 14.65 MCF]]+rrcworking[[#This Row],[Lease Use (MCF)]]</f>
        <v>997</v>
      </c>
      <c r="AC89" s="37"/>
      <c r="AD89" s="37"/>
      <c r="AE89" s="192">
        <f>COUNTIF(FilterList,rrcworking[[#This Row],[Magnum Wolfpak '#]])</f>
        <v>0</v>
      </c>
      <c r="AF89" s="189"/>
      <c r="AG89" s="190"/>
      <c r="AH89" s="87"/>
      <c r="AI89" s="87"/>
      <c r="AJ89" s="191"/>
      <c r="AK89" s="191"/>
      <c r="AL89" s="191"/>
      <c r="AM89" s="191"/>
      <c r="AN89" s="191"/>
      <c r="AO89" s="191"/>
      <c r="AP89" s="37" t="s">
        <v>1173</v>
      </c>
      <c r="AQ89" s="37" t="s">
        <v>1210</v>
      </c>
    </row>
    <row r="90" spans="3:43" ht="15">
      <c r="C90" s="80">
        <v>99113</v>
      </c>
      <c r="D90" s="62" t="s">
        <v>354</v>
      </c>
      <c r="E90" s="132" t="s">
        <v>355</v>
      </c>
      <c r="F90" s="130">
        <v>1</v>
      </c>
      <c r="G90" s="121" t="s">
        <v>1094</v>
      </c>
      <c r="H90" s="18" t="s">
        <v>620</v>
      </c>
      <c r="I90" s="18" t="s">
        <v>59</v>
      </c>
      <c r="J90" s="19" t="s">
        <v>580</v>
      </c>
      <c r="K90" s="103">
        <v>11877</v>
      </c>
      <c r="L90" s="101">
        <f>INDEX(Table1[Production],MATCH(rrcworking[[#This Row],[RRC ID Number]],Table1[RRC Identifier],0))</f>
        <v>0</v>
      </c>
      <c r="M90" s="30">
        <f>INDEX(Table1[Formation Production],MATCH(rrcworking[[#This Row],[RRC ID Number]],Table1[RRC Identifier],0))</f>
        <v>383</v>
      </c>
      <c r="N90" s="31">
        <f>INDEX(Table1[On Hand End of Month],MATCH(rrcworking[[#This Row],[RRC ID Number]],Table1[RRC Identifier],0))</f>
        <v>0</v>
      </c>
      <c r="O90" s="106" t="b">
        <f t="shared" si="2"/>
        <v>0</v>
      </c>
      <c r="P90" s="186"/>
      <c r="Q90" s="128">
        <f>rrcworking[[#This Row],[Last Month Closing Stock]]</f>
        <v>0</v>
      </c>
      <c r="R90" s="186">
        <f>rrcworking[[#This Row],[Opening Oil Stock]]</f>
        <v>0</v>
      </c>
      <c r="S90" s="147">
        <f>IF(ISERROR(INDEX(Table2[OIL],MATCH(rrcworking[[#This Row],[Magnum Wolfpak '#]],Table2[Rox Wolf'#],0))),0,INDEX(Table2[OIL],MATCH(rrcworking[[#This Row],[Magnum Wolfpak '#]],Table2[Rox Wolf'#],0)))</f>
        <v>0</v>
      </c>
      <c r="T90" s="35">
        <f>rrcworking[[#This Row],[Closing Stock (Oil)]]+rrcworking[[#This Row],[Sales/Dispostion]]-rrcworking[[#This Row],[Opening Oil Stock]]</f>
        <v>0</v>
      </c>
      <c r="U90" s="112">
        <f>rrcworking[[#This Row],[Gauge Sheet Prod Volume]]-rrcworking[[#This Row],[Oil Production]]</f>
        <v>0</v>
      </c>
      <c r="V90" s="147">
        <f>IF(ISERROR(INDEX(Table2[GAS],MATCH(rrcworking[[#This Row],[Magnum Wolfpak '#]],Table2[Rox Wolf'#],0))),0,INDEX(Table2[GAS],MATCH(rrcworking[[#This Row],[Magnum Wolfpak '#]],Table2[Rox Wolf'#],0)))</f>
        <v>217</v>
      </c>
      <c r="W90" s="24"/>
      <c r="X90" s="136">
        <f>IF(rrcworking[[#This Row],[Pressure Base]]=14.73,rrcworking[[#This Row],[Gas Sales Statement Volume (MCF)]]*$R$2,rrcworking[[#This Row],[Gas Sales Statement Volume (MCF)]])</f>
        <v>217</v>
      </c>
      <c r="Y90" s="60"/>
      <c r="Z90" s="60"/>
      <c r="AA90" s="147">
        <f>IF(ISERROR(INDEX(Table2[LEASE USE],MATCH(rrcworking[[#This Row],[Magnum Wolfpak '#]],Table2[Rox Wolf'#],0))),0,INDEX(Table2[LEASE USE],MATCH(rrcworking[[#This Row],[Magnum Wolfpak '#]],Table2[Rox Wolf'#],0)))</f>
        <v>0</v>
      </c>
      <c r="AB90" s="57">
        <f>rrcworking[[#This Row],[Disposition Volume (MCF) @ 14.65 MCF]]+rrcworking[[#This Row],[Lease Use (MCF)]]</f>
        <v>217</v>
      </c>
      <c r="AC90" s="37"/>
      <c r="AD90" s="37"/>
      <c r="AE90" s="192">
        <f>COUNTIF(FilterList,rrcworking[[#This Row],[Magnum Wolfpak '#]])</f>
        <v>0</v>
      </c>
      <c r="AF90" s="189"/>
      <c r="AG90" s="190"/>
      <c r="AH90" s="87"/>
      <c r="AI90" s="87"/>
      <c r="AJ90" s="191"/>
      <c r="AK90" s="191"/>
      <c r="AL90" s="191"/>
      <c r="AM90" s="191"/>
      <c r="AN90" s="191"/>
      <c r="AO90" s="191"/>
      <c r="AP90" s="37" t="s">
        <v>1173</v>
      </c>
      <c r="AQ90" s="37" t="s">
        <v>1199</v>
      </c>
    </row>
    <row r="91" spans="3:43" ht="150">
      <c r="C91" s="80">
        <v>99278</v>
      </c>
      <c r="D91" s="62" t="s">
        <v>175</v>
      </c>
      <c r="E91" s="132" t="s">
        <v>176</v>
      </c>
      <c r="F91" s="130" t="s">
        <v>177</v>
      </c>
      <c r="G91" s="121" t="s">
        <v>1094</v>
      </c>
      <c r="H91" s="18" t="s">
        <v>619</v>
      </c>
      <c r="I91" s="18" t="s">
        <v>59</v>
      </c>
      <c r="J91" s="19" t="s">
        <v>475</v>
      </c>
      <c r="K91" s="103">
        <v>206045</v>
      </c>
      <c r="L91" s="101">
        <f>INDEX(Table1[Production],MATCH(rrcworking[[#This Row],[RRC ID Number]],Table1[RRC Identifier],0))</f>
        <v>40</v>
      </c>
      <c r="M91" s="30">
        <f>INDEX(Table1[Formation Production],MATCH(rrcworking[[#This Row],[RRC ID Number]],Table1[RRC Identifier],0))</f>
        <v>8627</v>
      </c>
      <c r="N91" s="31">
        <f>INDEX(Table1[On Hand End of Month],MATCH(rrcworking[[#This Row],[RRC ID Number]],Table1[RRC Identifier],0))</f>
        <v>35</v>
      </c>
      <c r="O91" s="106" t="b">
        <f t="shared" si="2"/>
        <v>0</v>
      </c>
      <c r="P91" s="186">
        <v>30</v>
      </c>
      <c r="Q91" s="128">
        <f>rrcworking[[#This Row],[Last Month Closing Stock]]</f>
        <v>35</v>
      </c>
      <c r="R91" s="186">
        <v>65</v>
      </c>
      <c r="S91" s="147">
        <f>IF(ISERROR(INDEX(Table2[OIL],MATCH(rrcworking[[#This Row],[Magnum Wolfpak '#]],Table2[Rox Wolf'#],0))),0,INDEX(Table2[OIL],MATCH(rrcworking[[#This Row],[Magnum Wolfpak '#]],Table2[Rox Wolf'#],0)))</f>
        <v>0</v>
      </c>
      <c r="T91" s="35">
        <f>rrcworking[[#This Row],[Closing Stock (Oil)]]+rrcworking[[#This Row],[Sales/Dispostion]]-rrcworking[[#This Row],[Opening Oil Stock]]</f>
        <v>30</v>
      </c>
      <c r="U91" s="112">
        <f>rrcworking[[#This Row],[Gauge Sheet Prod Volume]]-rrcworking[[#This Row],[Oil Production]]</f>
        <v>0</v>
      </c>
      <c r="V91" s="147">
        <f>IF(ISERROR(INDEX(Table2[GAS],MATCH(rrcworking[[#This Row],[Magnum Wolfpak '#]],Table2[Rox Wolf'#],0))),0,INDEX(Table2[GAS],MATCH(rrcworking[[#This Row],[Magnum Wolfpak '#]],Table2[Rox Wolf'#],0)))</f>
        <v>8053</v>
      </c>
      <c r="W91" s="24"/>
      <c r="X91" s="136">
        <f>IF(rrcworking[[#This Row],[Pressure Base]]=14.73,rrcworking[[#This Row],[Gas Sales Statement Volume (MCF)]]*$R$2,rrcworking[[#This Row],[Gas Sales Statement Volume (MCF)]])</f>
        <v>8053</v>
      </c>
      <c r="Y91" s="85"/>
      <c r="Z91" s="60">
        <v>13</v>
      </c>
      <c r="AA91" s="147">
        <f>IF(ISERROR(INDEX(Table2[LEASE USE],MATCH(rrcworking[[#This Row],[Magnum Wolfpak '#]],Table2[Rox Wolf'#],0))),0,INDEX(Table2[LEASE USE],MATCH(rrcworking[[#This Row],[Magnum Wolfpak '#]],Table2[Rox Wolf'#],0)))</f>
        <v>403</v>
      </c>
      <c r="AB91" s="57">
        <f>rrcworking[[#This Row],[Disposition Volume (MCF) @ 14.65 MCF]]+rrcworking[[#This Row],[Lease Use (MCF)]]</f>
        <v>8456</v>
      </c>
      <c r="AC91" s="37"/>
      <c r="AD91" s="37" t="s">
        <v>1152</v>
      </c>
      <c r="AE91" s="192">
        <f>COUNTIF(FilterList,rrcworking[[#This Row],[Magnum Wolfpak '#]])</f>
        <v>0</v>
      </c>
      <c r="AF91" s="189"/>
      <c r="AG91" s="190"/>
      <c r="AH91" s="37"/>
      <c r="AI91" s="37"/>
      <c r="AJ91" s="37">
        <v>2</v>
      </c>
      <c r="AK91" s="37" t="s">
        <v>1146</v>
      </c>
      <c r="AL91" s="37" t="s">
        <v>1175</v>
      </c>
      <c r="AM91" s="37" t="s">
        <v>1211</v>
      </c>
      <c r="AN91" s="37" t="s">
        <v>1146</v>
      </c>
      <c r="AO91" s="37" t="s">
        <v>1181</v>
      </c>
      <c r="AP91" s="37" t="s">
        <v>1212</v>
      </c>
      <c r="AQ91" s="37"/>
    </row>
    <row r="92" spans="3:43" ht="15">
      <c r="C92" s="80" t="e">
        <v>#N/A</v>
      </c>
      <c r="D92" s="62" t="s">
        <v>115</v>
      </c>
      <c r="E92" s="132" t="s">
        <v>116</v>
      </c>
      <c r="F92" s="130">
        <v>1</v>
      </c>
      <c r="G92" s="121">
        <v>5113</v>
      </c>
      <c r="H92" s="18" t="s">
        <v>618</v>
      </c>
      <c r="I92" s="18" t="s">
        <v>59</v>
      </c>
      <c r="J92" s="19" t="s">
        <v>438</v>
      </c>
      <c r="K92" s="103">
        <v>132690</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84</v>
      </c>
      <c r="O92" s="106" t="b">
        <f t="shared" si="2"/>
        <v>1</v>
      </c>
      <c r="P92" s="186"/>
      <c r="Q92" s="128">
        <f>rrcworking[[#This Row],[Last Month Closing Stock]]</f>
        <v>84</v>
      </c>
      <c r="R92" s="186">
        <f>rrcworking[[#This Row],[Opening Oil Stock]]</f>
        <v>84</v>
      </c>
      <c r="S92" s="147">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7">
        <f>IF(ISERROR(INDEX(Table2[GAS],MATCH(rrcworking[[#This Row],[Magnum Wolfpak '#]],Table2[Rox Wolf'#],0))),0,INDEX(Table2[GAS],MATCH(rrcworking[[#This Row],[Magnum Wolfpak '#]],Table2[Rox Wolf'#],0)))</f>
        <v>0</v>
      </c>
      <c r="W92" s="24"/>
      <c r="X92" s="136">
        <f>IF(rrcworking[[#This Row],[Pressure Base]]=14.73,rrcworking[[#This Row],[Gas Sales Statement Volume (MCF)]]*$R$2,rrcworking[[#This Row],[Gas Sales Statement Volume (MCF)]])</f>
        <v>0</v>
      </c>
      <c r="Y92" s="60"/>
      <c r="Z92" s="60"/>
      <c r="AA92" s="147">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92">
        <f>COUNTIF(FilterList,rrcworking[[#This Row],[Magnum Wolfpak '#]])</f>
        <v>0</v>
      </c>
      <c r="AF92" s="189"/>
      <c r="AG92" s="190"/>
      <c r="AH92" s="37"/>
      <c r="AI92" s="37"/>
      <c r="AJ92" s="37"/>
      <c r="AK92" s="37"/>
      <c r="AL92" s="37"/>
      <c r="AM92" s="37"/>
      <c r="AN92" s="37"/>
      <c r="AO92" s="37"/>
      <c r="AP92" s="37"/>
      <c r="AQ92" s="37"/>
    </row>
    <row r="93" spans="3:43" ht="15">
      <c r="C93" s="80" t="e">
        <v>#N/A</v>
      </c>
      <c r="D93" s="62" t="s">
        <v>360</v>
      </c>
      <c r="E93" s="132" t="s">
        <v>361</v>
      </c>
      <c r="F93" s="130">
        <v>1</v>
      </c>
      <c r="G93" s="121" t="s">
        <v>1094</v>
      </c>
      <c r="H93" s="18" t="s">
        <v>620</v>
      </c>
      <c r="I93" s="18" t="s">
        <v>59</v>
      </c>
      <c r="J93" s="19" t="s">
        <v>584</v>
      </c>
      <c r="K93" s="103">
        <v>127818</v>
      </c>
      <c r="L93" s="101">
        <f>INDEX(Table1[Production],MATCH(rrcworking[[#This Row],[RRC ID Number]],Table1[RRC Identifier],0))</f>
        <v>0</v>
      </c>
      <c r="M93" s="30">
        <f>INDEX(Table1[Formation Production],MATCH(rrcworking[[#This Row],[RRC ID Number]],Table1[RRC Identifier],0))</f>
        <v>0</v>
      </c>
      <c r="N93" s="31">
        <f>INDEX(Table1[On Hand End of Month],MATCH(rrcworking[[#This Row],[RRC ID Number]],Table1[RRC Identifier],0))</f>
        <v>166</v>
      </c>
      <c r="O93" s="106" t="b">
        <f t="shared" si="2"/>
        <v>1</v>
      </c>
      <c r="P93" s="186"/>
      <c r="Q93" s="128">
        <f>rrcworking[[#This Row],[Last Month Closing Stock]]</f>
        <v>166</v>
      </c>
      <c r="R93" s="186">
        <f>rrcworking[[#This Row],[Opening Oil Stock]]</f>
        <v>166</v>
      </c>
      <c r="S93" s="147">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7">
        <f>IF(ISERROR(INDEX(Table2[GAS],MATCH(rrcworking[[#This Row],[Magnum Wolfpak '#]],Table2[Rox Wolf'#],0))),0,INDEX(Table2[GAS],MATCH(rrcworking[[#This Row],[Magnum Wolfpak '#]],Table2[Rox Wolf'#],0)))</f>
        <v>0</v>
      </c>
      <c r="W93" s="24"/>
      <c r="X93" s="136">
        <f>IF(rrcworking[[#This Row],[Pressure Base]]=14.73,rrcworking[[#This Row],[Gas Sales Statement Volume (MCF)]]*$R$2,rrcworking[[#This Row],[Gas Sales Statement Volume (MCF)]])</f>
        <v>0</v>
      </c>
      <c r="Y93" s="60"/>
      <c r="Z93" s="60"/>
      <c r="AA93" s="147">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92">
        <f>COUNTIF(FilterList,rrcworking[[#This Row],[Magnum Wolfpak '#]])</f>
        <v>0</v>
      </c>
      <c r="AF93" s="189"/>
      <c r="AG93" s="190"/>
      <c r="AH93" s="37"/>
      <c r="AI93" s="37"/>
      <c r="AJ93" s="37"/>
      <c r="AK93" s="37"/>
      <c r="AL93" s="37"/>
      <c r="AM93" s="37"/>
      <c r="AN93" s="37"/>
      <c r="AO93" s="37"/>
      <c r="AP93" s="37"/>
      <c r="AQ93" s="37"/>
    </row>
    <row r="94" spans="3:43" ht="15">
      <c r="C94" s="80">
        <v>98990</v>
      </c>
      <c r="D94" s="62" t="s">
        <v>340</v>
      </c>
      <c r="E94" s="132" t="s">
        <v>341</v>
      </c>
      <c r="F94" s="130">
        <v>2</v>
      </c>
      <c r="G94" s="121" t="s">
        <v>1094</v>
      </c>
      <c r="H94" s="18" t="s">
        <v>620</v>
      </c>
      <c r="I94" s="18" t="s">
        <v>59</v>
      </c>
      <c r="J94" s="19" t="s">
        <v>573</v>
      </c>
      <c r="K94" s="103">
        <v>173434</v>
      </c>
      <c r="L94" s="101">
        <f>INDEX(Table1[Production],MATCH(rrcworking[[#This Row],[RRC ID Number]],Table1[RRC Identifier],0))</f>
        <v>0</v>
      </c>
      <c r="M94" s="30">
        <f>INDEX(Table1[Formation Production],MATCH(rrcworking[[#This Row],[RRC ID Number]],Table1[RRC Identifier],0))</f>
        <v>253</v>
      </c>
      <c r="N94" s="31">
        <f>INDEX(Table1[On Hand End of Month],MATCH(rrcworking[[#This Row],[RRC ID Number]],Table1[RRC Identifier],0))</f>
        <v>169</v>
      </c>
      <c r="O94" s="106" t="b">
        <f t="shared" si="2"/>
        <v>0</v>
      </c>
      <c r="P94" s="186">
        <v>0</v>
      </c>
      <c r="Q94" s="128">
        <f>rrcworking[[#This Row],[Last Month Closing Stock]]</f>
        <v>169</v>
      </c>
      <c r="R94" s="186">
        <v>169</v>
      </c>
      <c r="S94" s="147">
        <f>IF(ISERROR(INDEX(Table2[OIL],MATCH(rrcworking[[#This Row],[Magnum Wolfpak '#]],Table2[Rox Wolf'#],0))),0,INDEX(Table2[OIL],MATCH(rrcworking[[#This Row],[Magnum Wolfpak '#]],Table2[Rox Wolf'#],0)))</f>
        <v>0</v>
      </c>
      <c r="T94" s="35">
        <f>rrcworking[[#This Row],[Closing Stock (Oil)]]+rrcworking[[#This Row],[Sales/Dispostion]]-rrcworking[[#This Row],[Opening Oil Stock]]</f>
        <v>0</v>
      </c>
      <c r="U94" s="112">
        <f>rrcworking[[#This Row],[Gauge Sheet Prod Volume]]-rrcworking[[#This Row],[Oil Production]]</f>
        <v>0</v>
      </c>
      <c r="V94" s="147">
        <v>170</v>
      </c>
      <c r="W94" s="24"/>
      <c r="X94" s="136">
        <f>IF(rrcworking[[#This Row],[Pressure Base]]=14.73,rrcworking[[#This Row],[Gas Sales Statement Volume (MCF)]]*$R$2,rrcworking[[#This Row],[Gas Sales Statement Volume (MCF)]])</f>
        <v>170</v>
      </c>
      <c r="Y94" s="60"/>
      <c r="Z94" s="60">
        <v>0</v>
      </c>
      <c r="AA94" s="147">
        <f>IF(ISERROR(INDEX(Table2[LEASE USE],MATCH(rrcworking[[#This Row],[Magnum Wolfpak '#]],Table2[Rox Wolf'#],0))),0,INDEX(Table2[LEASE USE],MATCH(rrcworking[[#This Row],[Magnum Wolfpak '#]],Table2[Rox Wolf'#],0)))</f>
        <v>0</v>
      </c>
      <c r="AB94" s="57">
        <f>rrcworking[[#This Row],[Disposition Volume (MCF) @ 14.65 MCF]]+rrcworking[[#This Row],[Lease Use (MCF)]]</f>
        <v>170</v>
      </c>
      <c r="AC94" s="37"/>
      <c r="AD94" s="37"/>
      <c r="AE94" s="192">
        <f>COUNTIF(FilterList,rrcworking[[#This Row],[Magnum Wolfpak '#]])</f>
        <v>0</v>
      </c>
      <c r="AF94" s="189"/>
      <c r="AG94" s="190"/>
      <c r="AH94" s="37"/>
      <c r="AI94" s="37"/>
      <c r="AJ94" s="37">
        <v>1</v>
      </c>
      <c r="AK94" s="37" t="s">
        <v>1175</v>
      </c>
      <c r="AL94" s="37" t="s">
        <v>1175</v>
      </c>
      <c r="AM94" s="37" t="s">
        <v>1180</v>
      </c>
      <c r="AN94" s="37" t="s">
        <v>1146</v>
      </c>
      <c r="AO94" s="37" t="s">
        <v>1213</v>
      </c>
      <c r="AP94" s="37" t="s">
        <v>1214</v>
      </c>
      <c r="AQ94" s="37"/>
    </row>
    <row r="95" spans="3:43" ht="30">
      <c r="C95" s="80">
        <v>93901</v>
      </c>
      <c r="D95" s="62" t="s">
        <v>96</v>
      </c>
      <c r="E95" s="132" t="s">
        <v>98</v>
      </c>
      <c r="F95" s="130">
        <v>0</v>
      </c>
      <c r="G95" s="121" t="s">
        <v>1094</v>
      </c>
      <c r="H95" s="18" t="s">
        <v>618</v>
      </c>
      <c r="I95" s="18" t="s">
        <v>2</v>
      </c>
      <c r="J95" s="19" t="s">
        <v>427</v>
      </c>
      <c r="K95" s="103">
        <v>6169</v>
      </c>
      <c r="L95" s="101">
        <f>INDEX(Table1[Production],MATCH(rrcworking[[#This Row],[RRC ID Number]],Table1[RRC Identifier],0))</f>
        <v>19</v>
      </c>
      <c r="M95" s="30">
        <f>INDEX(Table1[Formation Production],MATCH(rrcworking[[#This Row],[RRC ID Number]],Table1[RRC Identifier],0))</f>
        <v>0</v>
      </c>
      <c r="N95" s="31">
        <f>INDEX(Table1[On Hand End of Month],MATCH(rrcworking[[#This Row],[RRC ID Number]],Table1[RRC Identifier],0))</f>
        <v>85</v>
      </c>
      <c r="O95" s="106" t="b">
        <f t="shared" si="2"/>
        <v>0</v>
      </c>
      <c r="P95" s="186">
        <v>19</v>
      </c>
      <c r="Q95" s="128">
        <f>rrcworking[[#This Row],[Last Month Closing Stock]]</f>
        <v>85</v>
      </c>
      <c r="R95" s="187">
        <v>104</v>
      </c>
      <c r="S95" s="147">
        <f>IF(ISERROR(INDEX(Table2[OIL],MATCH(rrcworking[[#This Row],[Magnum Wolfpak '#]],Table2[Rox Wolf'#],0))),0,INDEX(Table2[OIL],MATCH(rrcworking[[#This Row],[Magnum Wolfpak '#]],Table2[Rox Wolf'#],0)))</f>
        <v>0</v>
      </c>
      <c r="T95" s="35">
        <f>rrcworking[[#This Row],[Closing Stock (Oil)]]+rrcworking[[#This Row],[Sales/Dispostion]]-rrcworking[[#This Row],[Opening Oil Stock]]</f>
        <v>19</v>
      </c>
      <c r="U95" s="112">
        <f>rrcworking[[#This Row],[Gauge Sheet Prod Volume]]-rrcworking[[#This Row],[Oil Production]]</f>
        <v>0</v>
      </c>
      <c r="V95" s="147">
        <f>IF(ISERROR(INDEX(Table2[GAS],MATCH(rrcworking[[#This Row],[Magnum Wolfpak '#]],Table2[Rox Wolf'#],0))),0,INDEX(Table2[GAS],MATCH(rrcworking[[#This Row],[Magnum Wolfpak '#]],Table2[Rox Wolf'#],0)))</f>
        <v>0</v>
      </c>
      <c r="W95" s="24"/>
      <c r="X95" s="136">
        <f>IF(rrcworking[[#This Row],[Pressure Base]]=14.73,rrcworking[[#This Row],[Gas Sales Statement Volume (MCF)]]*$R$2,rrcworking[[#This Row],[Gas Sales Statement Volume (MCF)]])</f>
        <v>0</v>
      </c>
      <c r="Y95" s="60"/>
      <c r="Z95" s="60"/>
      <c r="AA95" s="147">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92">
        <f>COUNTIF(FilterList,rrcworking[[#This Row],[Magnum Wolfpak '#]])</f>
        <v>0</v>
      </c>
      <c r="AF95" s="189"/>
      <c r="AG95" s="190"/>
      <c r="AH95" s="37"/>
      <c r="AI95" s="190"/>
      <c r="AJ95" s="191"/>
      <c r="AK95" s="191"/>
      <c r="AL95" s="191"/>
      <c r="AM95" s="191"/>
      <c r="AN95" s="191"/>
      <c r="AO95" s="191"/>
      <c r="AP95" s="37" t="s">
        <v>1173</v>
      </c>
      <c r="AQ95" s="37" t="s">
        <v>1179</v>
      </c>
    </row>
    <row r="96" spans="3:43" ht="15">
      <c r="C96" s="80" t="e">
        <v>#N/A</v>
      </c>
      <c r="D96" s="62" t="s">
        <v>215</v>
      </c>
      <c r="E96" s="132" t="s">
        <v>212</v>
      </c>
      <c r="F96" s="130">
        <v>7</v>
      </c>
      <c r="G96" s="121">
        <v>1471</v>
      </c>
      <c r="H96" s="18" t="s">
        <v>619</v>
      </c>
      <c r="I96" s="18" t="s">
        <v>59</v>
      </c>
      <c r="J96" s="19" t="s">
        <v>497</v>
      </c>
      <c r="K96" s="103">
        <v>133198</v>
      </c>
      <c r="L96" s="101">
        <f>INDEX(Table1[Production],MATCH(rrcworking[[#This Row],[RRC ID Number]],Table1[RRC Identifier],0))</f>
        <v>0</v>
      </c>
      <c r="M96" s="30">
        <f>INDEX(Table1[Formation Production],MATCH(rrcworking[[#This Row],[RRC ID Number]],Table1[RRC Identifier],0))</f>
        <v>0</v>
      </c>
      <c r="N96" s="31">
        <f>INDEX(Table1[On Hand End of Month],MATCH(rrcworking[[#This Row],[RRC ID Number]],Table1[RRC Identifier],0))</f>
        <v>0</v>
      </c>
      <c r="O96" s="106" t="b">
        <f t="shared" si="2"/>
        <v>1</v>
      </c>
      <c r="P96" s="186"/>
      <c r="Q96" s="128">
        <f>rrcworking[[#This Row],[Last Month Closing Stock]]</f>
        <v>0</v>
      </c>
      <c r="R96" s="186">
        <f>rrcworking[[#This Row],[Opening Oil Stock]]</f>
        <v>0</v>
      </c>
      <c r="S96" s="147">
        <f>IF(ISERROR(INDEX(Table2[OIL],MATCH(rrcworking[[#This Row],[Magnum Wolfpak '#]],Table2[Rox Wolf'#],0))),0,INDEX(Table2[OIL],MATCH(rrcworking[[#This Row],[Magnum Wolfpak '#]],Table2[Rox Wolf'#],0)))</f>
        <v>0</v>
      </c>
      <c r="T96" s="35">
        <f>rrcworking[[#This Row],[Closing Stock (Oil)]]+rrcworking[[#This Row],[Sales/Dispostion]]-rrcworking[[#This Row],[Opening Oil Stock]]</f>
        <v>0</v>
      </c>
      <c r="U96" s="112">
        <f>rrcworking[[#This Row],[Gauge Sheet Prod Volume]]-rrcworking[[#This Row],[Oil Production]]</f>
        <v>0</v>
      </c>
      <c r="V96" s="147">
        <f>IF(ISERROR(INDEX(Table2[GAS],MATCH(rrcworking[[#This Row],[Magnum Wolfpak '#]],Table2[Rox Wolf'#],0))),0,INDEX(Table2[GAS],MATCH(rrcworking[[#This Row],[Magnum Wolfpak '#]],Table2[Rox Wolf'#],0)))</f>
        <v>0</v>
      </c>
      <c r="W96" s="24"/>
      <c r="X96" s="136">
        <f>IF(rrcworking[[#This Row],[Pressure Base]]=14.73,rrcworking[[#This Row],[Gas Sales Statement Volume (MCF)]]*$R$2,rrcworking[[#This Row],[Gas Sales Statement Volume (MCF)]])</f>
        <v>0</v>
      </c>
      <c r="Y96" s="60"/>
      <c r="Z96" s="60"/>
      <c r="AA96" s="147">
        <f>IF(ISERROR(INDEX(Table2[LEASE USE],MATCH(rrcworking[[#This Row],[Magnum Wolfpak '#]],Table2[Rox Wolf'#],0))),0,INDEX(Table2[LEASE USE],MATCH(rrcworking[[#This Row],[Magnum Wolfpak '#]],Table2[Rox Wolf'#],0)))</f>
        <v>0</v>
      </c>
      <c r="AB96" s="57">
        <f>rrcworking[[#This Row],[Disposition Volume (MCF) @ 14.65 MCF]]+rrcworking[[#This Row],[Lease Use (MCF)]]</f>
        <v>0</v>
      </c>
      <c r="AC96" s="37"/>
      <c r="AD96" s="37"/>
      <c r="AE96" s="192">
        <f>COUNTIF(FilterList,rrcworking[[#This Row],[Magnum Wolfpak '#]])</f>
        <v>0</v>
      </c>
      <c r="AF96" s="189"/>
      <c r="AG96" s="190"/>
      <c r="AH96" s="37"/>
      <c r="AI96" s="37"/>
      <c r="AJ96" s="37"/>
      <c r="AK96" s="37"/>
      <c r="AL96" s="37"/>
      <c r="AM96" s="37"/>
      <c r="AN96" s="37"/>
      <c r="AO96" s="37"/>
      <c r="AP96" s="37"/>
      <c r="AQ96" s="37"/>
    </row>
    <row r="97" spans="3:43" ht="30">
      <c r="C97" s="80">
        <v>99159</v>
      </c>
      <c r="D97" s="62" t="s">
        <v>210</v>
      </c>
      <c r="E97" s="132" t="s">
        <v>212</v>
      </c>
      <c r="F97" s="141" t="s">
        <v>62</v>
      </c>
      <c r="G97" s="121"/>
      <c r="H97" s="18" t="s">
        <v>619</v>
      </c>
      <c r="I97" s="171" t="s">
        <v>59</v>
      </c>
      <c r="J97" s="170" t="s">
        <v>1138</v>
      </c>
      <c r="K97" s="103">
        <v>287522</v>
      </c>
      <c r="L97" s="101">
        <f>INDEX(Table1[Production],MATCH(rrcworking[[#This Row],[RRC ID Number]],Table1[RRC Identifier],0))</f>
        <v>12</v>
      </c>
      <c r="M97" s="30">
        <f>INDEX(Table1[Formation Production],MATCH(rrcworking[[#This Row],[RRC ID Number]],Table1[RRC Identifier],0))</f>
        <v>3740</v>
      </c>
      <c r="N97" s="31">
        <f>INDEX(Table1[On Hand End of Month],MATCH(rrcworking[[#This Row],[RRC ID Number]],Table1[RRC Identifier],0))</f>
        <v>180</v>
      </c>
      <c r="O97" s="106" t="b">
        <f t="shared" si="2"/>
        <v>0</v>
      </c>
      <c r="P97" s="186">
        <v>13</v>
      </c>
      <c r="Q97" s="128">
        <f>rrcworking[[#This Row],[Last Month Closing Stock]]</f>
        <v>180</v>
      </c>
      <c r="R97" s="187">
        <v>192</v>
      </c>
      <c r="S97" s="147">
        <f>IF(ISERROR(INDEX(Table2[OIL],MATCH(rrcworking[[#This Row],[Magnum Wolfpak '#]],Table2[Rox Wolf'#],0))),0,INDEX(Table2[OIL],MATCH(rrcworking[[#This Row],[Magnum Wolfpak '#]],Table2[Rox Wolf'#],0)))</f>
        <v>0</v>
      </c>
      <c r="T97" s="35">
        <f>rrcworking[[#This Row],[Closing Stock (Oil)]]+rrcworking[[#This Row],[Sales/Dispostion]]-rrcworking[[#This Row],[Opening Oil Stock]]</f>
        <v>12</v>
      </c>
      <c r="U97" s="112">
        <f>rrcworking[[#This Row],[Gauge Sheet Prod Volume]]-rrcworking[[#This Row],[Oil Production]]</f>
        <v>1</v>
      </c>
      <c r="V97" s="147">
        <f>IF(ISERROR(INDEX(Table2[GAS],MATCH(rrcworking[[#This Row],[Magnum Wolfpak '#]],Table2[Rox Wolf'#],0))),0,INDEX(Table2[GAS],MATCH(rrcworking[[#This Row],[Magnum Wolfpak '#]],Table2[Rox Wolf'#],0)))</f>
        <v>3283</v>
      </c>
      <c r="W97" s="24"/>
      <c r="X97" s="136">
        <f>IF(rrcworking[[#This Row],[Pressure Base]]=14.73,rrcworking[[#This Row],[Gas Sales Statement Volume (MCF)]]*$R$2,rrcworking[[#This Row],[Gas Sales Statement Volume (MCF)]])</f>
        <v>3283</v>
      </c>
      <c r="Y97" s="85"/>
      <c r="Z97" s="60">
        <v>6</v>
      </c>
      <c r="AA97" s="147">
        <f>IF(ISERROR(INDEX(Table2[LEASE USE],MATCH(rrcworking[[#This Row],[Magnum Wolfpak '#]],Table2[Rox Wolf'#],0))),0,INDEX(Table2[LEASE USE],MATCH(rrcworking[[#This Row],[Magnum Wolfpak '#]],Table2[Rox Wolf'#],0)))</f>
        <v>12</v>
      </c>
      <c r="AB97" s="57">
        <f>rrcworking[[#This Row],[Disposition Volume (MCF) @ 14.65 MCF]]+rrcworking[[#This Row],[Lease Use (MCF)]]</f>
        <v>3295</v>
      </c>
      <c r="AC97" s="37"/>
      <c r="AD97" s="37" t="s">
        <v>1139</v>
      </c>
      <c r="AE97" s="192">
        <f>COUNTIF(FilterList,rrcworking[[#This Row],[Magnum Wolfpak '#]])</f>
        <v>0</v>
      </c>
      <c r="AF97" s="189"/>
      <c r="AG97" s="190"/>
      <c r="AH97" s="37"/>
      <c r="AI97" s="190"/>
      <c r="AJ97" s="37">
        <v>2</v>
      </c>
      <c r="AK97" s="37" t="s">
        <v>1175</v>
      </c>
      <c r="AL97" s="37" t="s">
        <v>1175</v>
      </c>
      <c r="AM97" s="37" t="s">
        <v>1195</v>
      </c>
      <c r="AN97" s="37" t="s">
        <v>1175</v>
      </c>
      <c r="AO97" s="37" t="s">
        <v>1196</v>
      </c>
      <c r="AP97" s="37" t="s">
        <v>1248</v>
      </c>
      <c r="AQ97" s="37"/>
    </row>
    <row r="98" spans="3:43" ht="15">
      <c r="C98" s="80" t="e">
        <v>#N/A</v>
      </c>
      <c r="D98" s="62" t="s">
        <v>216</v>
      </c>
      <c r="E98" s="132" t="s">
        <v>217</v>
      </c>
      <c r="F98" s="130">
        <v>0</v>
      </c>
      <c r="G98" s="121">
        <v>1471</v>
      </c>
      <c r="H98" s="18" t="s">
        <v>619</v>
      </c>
      <c r="I98" s="18" t="s">
        <v>2</v>
      </c>
      <c r="J98" s="19" t="s">
        <v>498</v>
      </c>
      <c r="K98" s="103">
        <v>22393</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186"/>
      <c r="Q98" s="128">
        <f>rrcworking[[#This Row],[Last Month Closing Stock]]</f>
        <v>0</v>
      </c>
      <c r="R98" s="186">
        <f>rrcworking[[#This Row],[Opening Oil Stock]]</f>
        <v>0</v>
      </c>
      <c r="S98" s="147">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7">
        <f>IF(ISERROR(INDEX(Table2[GAS],MATCH(rrcworking[[#This Row],[Magnum Wolfpak '#]],Table2[Rox Wolf'#],0))),0,INDEX(Table2[GAS],MATCH(rrcworking[[#This Row],[Magnum Wolfpak '#]],Table2[Rox Wolf'#],0)))</f>
        <v>0</v>
      </c>
      <c r="W98" s="24"/>
      <c r="X98" s="136">
        <f>IF(rrcworking[[#This Row],[Pressure Base]]=14.73,rrcworking[[#This Row],[Gas Sales Statement Volume (MCF)]]*$R$2,rrcworking[[#This Row],[Gas Sales Statement Volume (MCF)]])</f>
        <v>0</v>
      </c>
      <c r="Y98" s="60"/>
      <c r="Z98" s="60"/>
      <c r="AA98" s="147">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192">
        <f>COUNTIF(FilterList,rrcworking[[#This Row],[Magnum Wolfpak '#]])</f>
        <v>0</v>
      </c>
      <c r="AF98" s="189"/>
      <c r="AG98" s="190"/>
      <c r="AH98" s="37"/>
      <c r="AI98" s="37"/>
      <c r="AJ98" s="37"/>
      <c r="AK98" s="37"/>
      <c r="AL98" s="37"/>
      <c r="AM98" s="37"/>
      <c r="AN98" s="37"/>
      <c r="AO98" s="37"/>
      <c r="AP98" s="37"/>
      <c r="AQ98" s="37"/>
    </row>
    <row r="99" spans="3:43" ht="15">
      <c r="C99" s="80" t="e">
        <v>#N/A</v>
      </c>
      <c r="D99" s="62" t="s">
        <v>186</v>
      </c>
      <c r="E99" s="132" t="s">
        <v>187</v>
      </c>
      <c r="F99" s="130">
        <v>1</v>
      </c>
      <c r="G99" s="121" t="s">
        <v>1094</v>
      </c>
      <c r="H99" s="18" t="s">
        <v>619</v>
      </c>
      <c r="I99" s="18" t="s">
        <v>59</v>
      </c>
      <c r="J99" s="19" t="s">
        <v>482</v>
      </c>
      <c r="K99" s="103">
        <v>264922</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0</v>
      </c>
      <c r="O99" s="106" t="b">
        <f t="shared" si="2"/>
        <v>1</v>
      </c>
      <c r="P99" s="186"/>
      <c r="Q99" s="128">
        <f>rrcworking[[#This Row],[Last Month Closing Stock]]</f>
        <v>0</v>
      </c>
      <c r="R99" s="186">
        <f>rrcworking[[#This Row],[Opening Oil Stock]]</f>
        <v>0</v>
      </c>
      <c r="S99" s="147">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Volume]]-rrcworking[[#This Row],[Oil Production]]</f>
        <v>0</v>
      </c>
      <c r="V99" s="147">
        <f>IF(ISERROR(INDEX(Table2[GAS],MATCH(rrcworking[[#This Row],[Magnum Wolfpak '#]],Table2[Rox Wolf'#],0))),0,INDEX(Table2[GAS],MATCH(rrcworking[[#This Row],[Magnum Wolfpak '#]],Table2[Rox Wolf'#],0)))</f>
        <v>0</v>
      </c>
      <c r="W99" s="24"/>
      <c r="X99" s="136">
        <f>IF(rrcworking[[#This Row],[Pressure Base]]=14.73,rrcworking[[#This Row],[Gas Sales Statement Volume (MCF)]]*$R$2,rrcworking[[#This Row],[Gas Sales Statement Volume (MCF)]])</f>
        <v>0</v>
      </c>
      <c r="Y99" s="60"/>
      <c r="Z99" s="60"/>
      <c r="AA99" s="147">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92">
        <f>COUNTIF(FilterList,rrcworking[[#This Row],[Magnum Wolfpak '#]])</f>
        <v>0</v>
      </c>
      <c r="AF99" s="189"/>
      <c r="AG99" s="190"/>
      <c r="AH99" s="37"/>
      <c r="AI99" s="37"/>
      <c r="AJ99" s="37"/>
      <c r="AK99" s="37"/>
      <c r="AL99" s="37"/>
      <c r="AM99" s="37"/>
      <c r="AN99" s="37"/>
      <c r="AO99" s="37"/>
      <c r="AP99" s="37"/>
      <c r="AQ99" s="37"/>
    </row>
    <row r="100" spans="3:43" ht="15">
      <c r="C100" s="80">
        <v>98955</v>
      </c>
      <c r="D100" s="62" t="s">
        <v>275</v>
      </c>
      <c r="E100" s="132" t="s">
        <v>280</v>
      </c>
      <c r="F100" s="130">
        <v>1</v>
      </c>
      <c r="G100" s="121" t="s">
        <v>1094</v>
      </c>
      <c r="H100" s="18" t="s">
        <v>619</v>
      </c>
      <c r="I100" s="18" t="s">
        <v>59</v>
      </c>
      <c r="J100" s="19" t="s">
        <v>531</v>
      </c>
      <c r="K100" s="103">
        <v>210199</v>
      </c>
      <c r="L100" s="101">
        <f>INDEX(Table1[Production],MATCH(rrcworking[[#This Row],[RRC ID Number]],Table1[RRC Identifier],0))</f>
        <v>0</v>
      </c>
      <c r="M100" s="30">
        <f>INDEX(Table1[Formation Production],MATCH(rrcworking[[#This Row],[RRC ID Number]],Table1[RRC Identifier],0))</f>
        <v>644</v>
      </c>
      <c r="N100" s="31">
        <f>INDEX(Table1[On Hand End of Month],MATCH(rrcworking[[#This Row],[RRC ID Number]],Table1[RRC Identifier],0))</f>
        <v>63</v>
      </c>
      <c r="O100" s="106" t="b">
        <f t="shared" si="2"/>
        <v>0</v>
      </c>
      <c r="P100" s="186"/>
      <c r="Q100" s="128">
        <f>rrcworking[[#This Row],[Last Month Closing Stock]]</f>
        <v>63</v>
      </c>
      <c r="R100" s="186">
        <v>63</v>
      </c>
      <c r="S100" s="147">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7">
        <f>IF(ISERROR(INDEX(Table2[GAS],MATCH(rrcworking[[#This Row],[Magnum Wolfpak '#]],Table2[Rox Wolf'#],0))),0,INDEX(Table2[GAS],MATCH(rrcworking[[#This Row],[Magnum Wolfpak '#]],Table2[Rox Wolf'#],0)))</f>
        <v>771</v>
      </c>
      <c r="W100" s="24"/>
      <c r="X100" s="136">
        <f>IF(rrcworking[[#This Row],[Pressure Base]]=14.73,rrcworking[[#This Row],[Gas Sales Statement Volume (MCF)]]*$R$2,rrcworking[[#This Row],[Gas Sales Statement Volume (MCF)]])</f>
        <v>771</v>
      </c>
      <c r="Y100" s="85"/>
      <c r="Z100" s="60">
        <v>1</v>
      </c>
      <c r="AA100" s="147">
        <f>IF(ISERROR(INDEX(Table2[LEASE USE],MATCH(rrcworking[[#This Row],[Magnum Wolfpak '#]],Table2[Rox Wolf'#],0))),0,INDEX(Table2[LEASE USE],MATCH(rrcworking[[#This Row],[Magnum Wolfpak '#]],Table2[Rox Wolf'#],0)))</f>
        <v>31</v>
      </c>
      <c r="AB100" s="57">
        <f>rrcworking[[#This Row],[Disposition Volume (MCF) @ 14.65 MCF]]+rrcworking[[#This Row],[Lease Use (MCF)]]</f>
        <v>802</v>
      </c>
      <c r="AC100" s="37"/>
      <c r="AD100" s="37"/>
      <c r="AE100" s="192">
        <f>COUNTIF(FilterList,rrcworking[[#This Row],[Magnum Wolfpak '#]])</f>
        <v>0</v>
      </c>
      <c r="AF100" s="189"/>
      <c r="AG100" s="190"/>
      <c r="AH100" s="37"/>
      <c r="AI100" s="37"/>
      <c r="AJ100" s="191"/>
      <c r="AK100" s="191"/>
      <c r="AL100" s="191"/>
      <c r="AM100" s="191"/>
      <c r="AN100" s="191"/>
      <c r="AO100" s="191"/>
      <c r="AP100" s="37" t="s">
        <v>1173</v>
      </c>
      <c r="AQ100" s="37" t="s">
        <v>1208</v>
      </c>
    </row>
    <row r="101" spans="3:43" ht="15">
      <c r="C101" s="80" t="e">
        <v>#N/A</v>
      </c>
      <c r="D101" s="62" t="s">
        <v>106</v>
      </c>
      <c r="E101" s="132" t="s">
        <v>107</v>
      </c>
      <c r="F101" s="130">
        <v>1</v>
      </c>
      <c r="G101" s="121" t="s">
        <v>1094</v>
      </c>
      <c r="H101" s="18" t="s">
        <v>618</v>
      </c>
      <c r="I101" s="18" t="s">
        <v>59</v>
      </c>
      <c r="J101" s="19" t="s">
        <v>432</v>
      </c>
      <c r="K101" s="103">
        <v>52283</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240</v>
      </c>
      <c r="O101" s="106" t="b">
        <f t="shared" si="2"/>
        <v>1</v>
      </c>
      <c r="P101" s="186"/>
      <c r="Q101" s="128">
        <f>rrcworking[[#This Row],[Last Month Closing Stock]]</f>
        <v>240</v>
      </c>
      <c r="R101" s="186">
        <f>rrcworking[[#This Row],[Opening Oil Stock]]</f>
        <v>240</v>
      </c>
      <c r="S101" s="147">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7">
        <f>IF(ISERROR(INDEX(Table2[GAS],MATCH(rrcworking[[#This Row],[Magnum Wolfpak '#]],Table2[Rox Wolf'#],0))),0,INDEX(Table2[GAS],MATCH(rrcworking[[#This Row],[Magnum Wolfpak '#]],Table2[Rox Wolf'#],0)))</f>
        <v>0</v>
      </c>
      <c r="W101" s="24"/>
      <c r="X101" s="136">
        <f>IF(rrcworking[[#This Row],[Pressure Base]]=14.73,rrcworking[[#This Row],[Gas Sales Statement Volume (MCF)]]*$R$2,rrcworking[[#This Row],[Gas Sales Statement Volume (MCF)]])</f>
        <v>0</v>
      </c>
      <c r="Y101" s="60"/>
      <c r="Z101" s="60"/>
      <c r="AA101" s="147">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92">
        <f>COUNTIF(FilterList,rrcworking[[#This Row],[Magnum Wolfpak '#]])</f>
        <v>0</v>
      </c>
      <c r="AF101" s="189"/>
      <c r="AG101" s="190"/>
      <c r="AH101" s="37"/>
      <c r="AI101" s="37"/>
      <c r="AJ101" s="37"/>
      <c r="AK101" s="37"/>
      <c r="AL101" s="37"/>
      <c r="AM101" s="37"/>
      <c r="AN101" s="37"/>
      <c r="AO101" s="37"/>
      <c r="AP101" s="37"/>
      <c r="AQ101" s="37"/>
    </row>
    <row r="102" spans="3:43" ht="15">
      <c r="C102" s="80" t="e">
        <v>#N/A</v>
      </c>
      <c r="D102" s="62" t="s">
        <v>367</v>
      </c>
      <c r="E102" s="132" t="s">
        <v>368</v>
      </c>
      <c r="F102" s="130">
        <v>1</v>
      </c>
      <c r="G102" s="121" t="s">
        <v>1094</v>
      </c>
      <c r="H102" s="18" t="s">
        <v>620</v>
      </c>
      <c r="I102" s="18" t="s">
        <v>59</v>
      </c>
      <c r="J102" s="19" t="s">
        <v>587</v>
      </c>
      <c r="K102" s="103">
        <v>140637</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92</v>
      </c>
      <c r="O102" s="106" t="b">
        <f t="shared" si="2"/>
        <v>1</v>
      </c>
      <c r="P102" s="186"/>
      <c r="Q102" s="128">
        <f>rrcworking[[#This Row],[Last Month Closing Stock]]</f>
        <v>92</v>
      </c>
      <c r="R102" s="186">
        <f>rrcworking[[#This Row],[Opening Oil Stock]]</f>
        <v>92</v>
      </c>
      <c r="S102" s="147">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7">
        <f>IF(ISERROR(INDEX(Table2[GAS],MATCH(rrcworking[[#This Row],[Magnum Wolfpak '#]],Table2[Rox Wolf'#],0))),0,INDEX(Table2[GAS],MATCH(rrcworking[[#This Row],[Magnum Wolfpak '#]],Table2[Rox Wolf'#],0)))</f>
        <v>0</v>
      </c>
      <c r="W102" s="24"/>
      <c r="X102" s="136">
        <f>IF(rrcworking[[#This Row],[Pressure Base]]=14.73,rrcworking[[#This Row],[Gas Sales Statement Volume (MCF)]]*$R$2,rrcworking[[#This Row],[Gas Sales Statement Volume (MCF)]])</f>
        <v>0</v>
      </c>
      <c r="Y102" s="60"/>
      <c r="Z102" s="60"/>
      <c r="AA102" s="147">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192">
        <f>COUNTIF(FilterList,rrcworking[[#This Row],[Magnum Wolfpak '#]])</f>
        <v>0</v>
      </c>
      <c r="AF102" s="189"/>
      <c r="AG102" s="190"/>
      <c r="AH102" s="37"/>
      <c r="AI102" s="37"/>
      <c r="AJ102" s="37"/>
      <c r="AK102" s="37"/>
      <c r="AL102" s="37"/>
      <c r="AM102" s="37"/>
      <c r="AN102" s="37"/>
      <c r="AO102" s="37"/>
      <c r="AP102" s="37"/>
      <c r="AQ102" s="37"/>
    </row>
    <row r="103" spans="3:43" ht="15">
      <c r="C103" s="80" t="e">
        <v>#N/A</v>
      </c>
      <c r="D103" s="62" t="s">
        <v>134</v>
      </c>
      <c r="E103" s="132" t="s">
        <v>135</v>
      </c>
      <c r="F103" s="130">
        <v>2</v>
      </c>
      <c r="G103" s="121" t="s">
        <v>1094</v>
      </c>
      <c r="H103" s="18" t="s">
        <v>618</v>
      </c>
      <c r="I103" s="18" t="s">
        <v>59</v>
      </c>
      <c r="J103" s="19" t="s">
        <v>450</v>
      </c>
      <c r="K103" s="103">
        <v>220079</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0</v>
      </c>
      <c r="O103" s="106" t="b">
        <f t="shared" ref="O103:O135" si="3">IF(AND(L103=0,M103=0), TRUE, FALSE)</f>
        <v>1</v>
      </c>
      <c r="P103" s="186"/>
      <c r="Q103" s="128">
        <f>rrcworking[[#This Row],[Last Month Closing Stock]]</f>
        <v>0</v>
      </c>
      <c r="R103" s="186">
        <f>rrcworking[[#This Row],[Opening Oil Stock]]</f>
        <v>0</v>
      </c>
      <c r="S103" s="147">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7">
        <f>IF(ISERROR(INDEX(Table2[GAS],MATCH(rrcworking[[#This Row],[Magnum Wolfpak '#]],Table2[Rox Wolf'#],0))),0,INDEX(Table2[GAS],MATCH(rrcworking[[#This Row],[Magnum Wolfpak '#]],Table2[Rox Wolf'#],0)))</f>
        <v>0</v>
      </c>
      <c r="W103" s="24"/>
      <c r="X103" s="136">
        <f>IF(rrcworking[[#This Row],[Pressure Base]]=14.73,rrcworking[[#This Row],[Gas Sales Statement Volume (MCF)]]*$R$2,rrcworking[[#This Row],[Gas Sales Statement Volume (MCF)]])</f>
        <v>0</v>
      </c>
      <c r="Y103" s="60"/>
      <c r="Z103" s="60"/>
      <c r="AA103" s="147">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92">
        <f>COUNTIF(FilterList,rrcworking[[#This Row],[Magnum Wolfpak '#]])</f>
        <v>0</v>
      </c>
      <c r="AF103" s="189"/>
      <c r="AG103" s="190"/>
      <c r="AH103" s="37"/>
      <c r="AI103" s="37"/>
      <c r="AJ103" s="37"/>
      <c r="AK103" s="37"/>
      <c r="AL103" s="37"/>
      <c r="AM103" s="37"/>
      <c r="AN103" s="37"/>
      <c r="AO103" s="37"/>
      <c r="AP103" s="37"/>
      <c r="AQ103" s="37"/>
    </row>
    <row r="104" spans="3:43" ht="15">
      <c r="C104" s="80">
        <v>99269</v>
      </c>
      <c r="D104" s="62" t="s">
        <v>316</v>
      </c>
      <c r="E104" s="132" t="s">
        <v>317</v>
      </c>
      <c r="F104" s="130">
        <v>1</v>
      </c>
      <c r="G104" s="121" t="s">
        <v>1094</v>
      </c>
      <c r="H104" s="18" t="s">
        <v>620</v>
      </c>
      <c r="I104" s="18" t="s">
        <v>59</v>
      </c>
      <c r="J104" s="19" t="s">
        <v>557</v>
      </c>
      <c r="K104" s="103">
        <v>255120</v>
      </c>
      <c r="L104" s="101">
        <f>INDEX(Table1[Production],MATCH(rrcworking[[#This Row],[RRC ID Number]],Table1[RRC Identifier],0))</f>
        <v>0</v>
      </c>
      <c r="M104" s="30">
        <f>INDEX(Table1[Formation Production],MATCH(rrcworking[[#This Row],[RRC ID Number]],Table1[RRC Identifier],0))</f>
        <v>1530</v>
      </c>
      <c r="N104" s="31">
        <f>INDEX(Table1[On Hand End of Month],MATCH(rrcworking[[#This Row],[RRC ID Number]],Table1[RRC Identifier],0))</f>
        <v>0</v>
      </c>
      <c r="O104" s="106" t="b">
        <f t="shared" si="3"/>
        <v>0</v>
      </c>
      <c r="P104" s="186"/>
      <c r="Q104" s="128">
        <f>rrcworking[[#This Row],[Last Month Closing Stock]]</f>
        <v>0</v>
      </c>
      <c r="R104" s="186">
        <f>rrcworking[[#This Row],[Opening Oil Stock]]</f>
        <v>0</v>
      </c>
      <c r="S104" s="147">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 Volume]]-rrcworking[[#This Row],[Oil Production]]</f>
        <v>0</v>
      </c>
      <c r="V104" s="147">
        <f>IF(ISERROR(INDEX(Table2[GAS],MATCH(rrcworking[[#This Row],[Magnum Wolfpak '#]],Table2[Rox Wolf'#],0))),0,INDEX(Table2[GAS],MATCH(rrcworking[[#This Row],[Magnum Wolfpak '#]],Table2[Rox Wolf'#],0)))</f>
        <v>1823</v>
      </c>
      <c r="W104" s="24"/>
      <c r="X104" s="136">
        <f>IF(rrcworking[[#This Row],[Pressure Base]]=14.73,rrcworking[[#This Row],[Gas Sales Statement Volume (MCF)]]*$R$2,rrcworking[[#This Row],[Gas Sales Statement Volume (MCF)]])</f>
        <v>1823</v>
      </c>
      <c r="Y104" s="60"/>
      <c r="Z104" s="60"/>
      <c r="AA104" s="147">
        <f>IF(ISERROR(INDEX(Table2[LEASE USE],MATCH(rrcworking[[#This Row],[Magnum Wolfpak '#]],Table2[Rox Wolf'#],0))),0,INDEX(Table2[LEASE USE],MATCH(rrcworking[[#This Row],[Magnum Wolfpak '#]],Table2[Rox Wolf'#],0)))</f>
        <v>310</v>
      </c>
      <c r="AB104" s="57">
        <f>rrcworking[[#This Row],[Disposition Volume (MCF) @ 14.65 MCF]]+rrcworking[[#This Row],[Lease Use (MCF)]]</f>
        <v>2133</v>
      </c>
      <c r="AC104" s="37" t="s">
        <v>1121</v>
      </c>
      <c r="AD104" s="37"/>
      <c r="AE104" s="192">
        <f>COUNTIF(FilterList,rrcworking[[#This Row],[Magnum Wolfpak '#]])</f>
        <v>1</v>
      </c>
      <c r="AF104" s="189"/>
      <c r="AG104" s="190"/>
      <c r="AH104" s="37"/>
      <c r="AI104" s="37"/>
      <c r="AJ104" s="191"/>
      <c r="AK104" s="191"/>
      <c r="AL104" s="191"/>
      <c r="AM104" s="191"/>
      <c r="AN104" s="191"/>
      <c r="AO104" s="191"/>
      <c r="AP104" s="37" t="s">
        <v>1173</v>
      </c>
      <c r="AQ104" s="37" t="s">
        <v>1199</v>
      </c>
    </row>
    <row r="105" spans="3:43" ht="15">
      <c r="C105" s="80" t="e">
        <v>#N/A</v>
      </c>
      <c r="D105" s="62" t="s">
        <v>342</v>
      </c>
      <c r="E105" s="132" t="s">
        <v>343</v>
      </c>
      <c r="F105" s="130">
        <v>1</v>
      </c>
      <c r="G105" s="121" t="s">
        <v>1094</v>
      </c>
      <c r="H105" s="18" t="s">
        <v>620</v>
      </c>
      <c r="I105" s="18" t="s">
        <v>59</v>
      </c>
      <c r="J105" s="19" t="s">
        <v>574</v>
      </c>
      <c r="K105" s="103">
        <v>252973</v>
      </c>
      <c r="L105" s="101">
        <f>INDEX(Table1[Production],MATCH(rrcworking[[#This Row],[RRC ID Number]],Table1[RRC Identifier],0))</f>
        <v>0</v>
      </c>
      <c r="M105" s="30">
        <f>INDEX(Table1[Formation Production],MATCH(rrcworking[[#This Row],[RRC ID Number]],Table1[RRC Identifier],0))</f>
        <v>0</v>
      </c>
      <c r="N105" s="31">
        <f>INDEX(Table1[On Hand End of Month],MATCH(rrcworking[[#This Row],[RRC ID Number]],Table1[RRC Identifier],0))</f>
        <v>93</v>
      </c>
      <c r="O105" s="106" t="b">
        <f t="shared" si="3"/>
        <v>1</v>
      </c>
      <c r="P105" s="186"/>
      <c r="Q105" s="128">
        <f>rrcworking[[#This Row],[Last Month Closing Stock]]</f>
        <v>93</v>
      </c>
      <c r="R105" s="186">
        <f>rrcworking[[#This Row],[Opening Oil Stock]]</f>
        <v>93</v>
      </c>
      <c r="S105" s="147">
        <f>IF(ISERROR(INDEX(Table2[OIL],MATCH(rrcworking[[#This Row],[Magnum Wolfpak '#]],Table2[Rox Wolf'#],0))),0,INDEX(Table2[OIL],MATCH(rrcworking[[#This Row],[Magnum Wolfpak '#]],Table2[Rox Wolf'#],0)))</f>
        <v>0</v>
      </c>
      <c r="T105" s="35">
        <f>rrcworking[[#This Row],[Closing Stock (Oil)]]+rrcworking[[#This Row],[Sales/Dispostion]]-rrcworking[[#This Row],[Opening Oil Stock]]</f>
        <v>0</v>
      </c>
      <c r="U105" s="112">
        <f>rrcworking[[#This Row],[Gauge Sheet Prod Volume]]-rrcworking[[#This Row],[Oil Production]]</f>
        <v>0</v>
      </c>
      <c r="V105" s="147">
        <f>IF(ISERROR(INDEX(Table2[GAS],MATCH(rrcworking[[#This Row],[Magnum Wolfpak '#]],Table2[Rox Wolf'#],0))),0,INDEX(Table2[GAS],MATCH(rrcworking[[#This Row],[Magnum Wolfpak '#]],Table2[Rox Wolf'#],0)))</f>
        <v>0</v>
      </c>
      <c r="W105" s="24"/>
      <c r="X105" s="136">
        <f>IF(rrcworking[[#This Row],[Pressure Base]]=14.73,rrcworking[[#This Row],[Gas Sales Statement Volume (MCF)]]*$R$2,rrcworking[[#This Row],[Gas Sales Statement Volume (MCF)]])</f>
        <v>0</v>
      </c>
      <c r="Y105" s="60"/>
      <c r="Z105" s="60"/>
      <c r="AA105" s="147">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192">
        <f>COUNTIF(FilterList,rrcworking[[#This Row],[Magnum Wolfpak '#]])</f>
        <v>0</v>
      </c>
      <c r="AF105" s="189"/>
      <c r="AG105" s="190"/>
      <c r="AH105" s="37"/>
      <c r="AI105" s="37"/>
      <c r="AJ105" s="37"/>
      <c r="AK105" s="37"/>
      <c r="AL105" s="37"/>
      <c r="AM105" s="37"/>
      <c r="AN105" s="37"/>
      <c r="AO105" s="37"/>
      <c r="AP105" s="37"/>
      <c r="AQ105" s="37"/>
    </row>
    <row r="106" spans="3:43" ht="15">
      <c r="C106" s="80">
        <v>92001</v>
      </c>
      <c r="D106" s="62" t="s">
        <v>231</v>
      </c>
      <c r="E106" s="132" t="s">
        <v>232</v>
      </c>
      <c r="F106" s="130">
        <v>0</v>
      </c>
      <c r="G106" s="121" t="s">
        <v>1094</v>
      </c>
      <c r="H106" s="18" t="s">
        <v>619</v>
      </c>
      <c r="I106" s="18" t="s">
        <v>2</v>
      </c>
      <c r="J106" s="19" t="s">
        <v>504</v>
      </c>
      <c r="K106" s="103">
        <v>18769</v>
      </c>
      <c r="L106" s="101">
        <f>INDEX(Table1[Production],MATCH(rrcworking[[#This Row],[RRC ID Number]],Table1[RRC Identifier],0))</f>
        <v>32</v>
      </c>
      <c r="M106" s="30">
        <f>INDEX(Table1[Formation Production],MATCH(rrcworking[[#This Row],[RRC ID Number]],Table1[RRC Identifier],0))</f>
        <v>0</v>
      </c>
      <c r="N106" s="31">
        <f>INDEX(Table1[On Hand End of Month],MATCH(rrcworking[[#This Row],[RRC ID Number]],Table1[RRC Identifier],0))</f>
        <v>60</v>
      </c>
      <c r="O106" s="106" t="b">
        <f t="shared" si="3"/>
        <v>0</v>
      </c>
      <c r="P106" s="186">
        <v>47</v>
      </c>
      <c r="Q106" s="128">
        <f>rrcworking[[#This Row],[Last Month Closing Stock]]</f>
        <v>60</v>
      </c>
      <c r="R106" s="187">
        <v>107</v>
      </c>
      <c r="S106" s="147">
        <f>IF(ISERROR(INDEX(Table2[OIL],MATCH(rrcworking[[#This Row],[Magnum Wolfpak '#]],Table2[Rox Wolf'#],0))),0,INDEX(Table2[OIL],MATCH(rrcworking[[#This Row],[Magnum Wolfpak '#]],Table2[Rox Wolf'#],0)))</f>
        <v>0</v>
      </c>
      <c r="T106" s="35">
        <f>rrcworking[[#This Row],[Closing Stock (Oil)]]+rrcworking[[#This Row],[Sales/Dispostion]]-rrcworking[[#This Row],[Opening Oil Stock]]</f>
        <v>47</v>
      </c>
      <c r="U106" s="112">
        <f>rrcworking[[#This Row],[Gauge Sheet Prod Volume]]-rrcworking[[#This Row],[Oil Production]]</f>
        <v>0</v>
      </c>
      <c r="V106" s="147">
        <f>IF(ISERROR(INDEX(Table2[GAS],MATCH(rrcworking[[#This Row],[Magnum Wolfpak '#]],Table2[Rox Wolf'#],0))),0,INDEX(Table2[GAS],MATCH(rrcworking[[#This Row],[Magnum Wolfpak '#]],Table2[Rox Wolf'#],0)))</f>
        <v>0</v>
      </c>
      <c r="W106" s="24"/>
      <c r="X106" s="136">
        <f>IF(rrcworking[[#This Row],[Pressure Base]]=14.73,rrcworking[[#This Row],[Gas Sales Statement Volume (MCF)]]*$R$2,rrcworking[[#This Row],[Gas Sales Statement Volume (MCF)]])</f>
        <v>0</v>
      </c>
      <c r="Y106" s="60"/>
      <c r="Z106" s="60"/>
      <c r="AA106" s="147">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92">
        <f>COUNTIF(FilterList,rrcworking[[#This Row],[Magnum Wolfpak '#]])</f>
        <v>0</v>
      </c>
      <c r="AF106" s="189"/>
      <c r="AG106" s="190"/>
      <c r="AH106" s="37"/>
      <c r="AI106" s="190"/>
      <c r="AJ106" s="191"/>
      <c r="AK106" s="191"/>
      <c r="AL106" s="191"/>
      <c r="AM106" s="191"/>
      <c r="AN106" s="191"/>
      <c r="AO106" s="191"/>
      <c r="AP106" s="37" t="s">
        <v>1173</v>
      </c>
      <c r="AQ106" s="37" t="s">
        <v>1208</v>
      </c>
    </row>
    <row r="107" spans="3:43" ht="45">
      <c r="C107" s="80">
        <v>99058</v>
      </c>
      <c r="D107" s="62" t="s">
        <v>344</v>
      </c>
      <c r="E107" s="132" t="s">
        <v>345</v>
      </c>
      <c r="F107" s="130" t="s">
        <v>346</v>
      </c>
      <c r="G107" s="121" t="s">
        <v>1094</v>
      </c>
      <c r="H107" s="18" t="s">
        <v>620</v>
      </c>
      <c r="I107" s="18" t="s">
        <v>59</v>
      </c>
      <c r="J107" s="19" t="s">
        <v>575</v>
      </c>
      <c r="K107" s="103">
        <v>201238</v>
      </c>
      <c r="L107" s="101">
        <f>INDEX(Table1[Production],MATCH(rrcworking[[#This Row],[RRC ID Number]],Table1[RRC Identifier],0))</f>
        <v>10</v>
      </c>
      <c r="M107" s="30">
        <f>INDEX(Table1[Formation Production],MATCH(rrcworking[[#This Row],[RRC ID Number]],Table1[RRC Identifier],0))</f>
        <v>634</v>
      </c>
      <c r="N107" s="31">
        <f>INDEX(Table1[On Hand End of Month],MATCH(rrcworking[[#This Row],[RRC ID Number]],Table1[RRC Identifier],0))</f>
        <v>77</v>
      </c>
      <c r="O107" s="106" t="b">
        <f t="shared" si="3"/>
        <v>0</v>
      </c>
      <c r="P107" s="186">
        <v>7</v>
      </c>
      <c r="Q107" s="128">
        <f>rrcworking[[#This Row],[Last Month Closing Stock]]</f>
        <v>77</v>
      </c>
      <c r="R107" s="186">
        <v>84</v>
      </c>
      <c r="S107" s="147">
        <f>IF(ISERROR(INDEX(Table2[OIL],MATCH(rrcworking[[#This Row],[Magnum Wolfpak '#]],Table2[Rox Wolf'#],0))),0,INDEX(Table2[OIL],MATCH(rrcworking[[#This Row],[Magnum Wolfpak '#]],Table2[Rox Wolf'#],0)))</f>
        <v>0</v>
      </c>
      <c r="T107" s="35">
        <f>rrcworking[[#This Row],[Closing Stock (Oil)]]+rrcworking[[#This Row],[Sales/Dispostion]]-rrcworking[[#This Row],[Opening Oil Stock]]</f>
        <v>7</v>
      </c>
      <c r="U107" s="112">
        <f>rrcworking[[#This Row],[Gauge Sheet Prod Volume]]-rrcworking[[#This Row],[Oil Production]]</f>
        <v>0</v>
      </c>
      <c r="V107" s="147">
        <f>IF(ISERROR(INDEX(Table2[GAS],MATCH(rrcworking[[#This Row],[Magnum Wolfpak '#]],Table2[Rox Wolf'#],0))),0,INDEX(Table2[GAS],MATCH(rrcworking[[#This Row],[Magnum Wolfpak '#]],Table2[Rox Wolf'#],0)))</f>
        <v>3162</v>
      </c>
      <c r="W107" s="24"/>
      <c r="X107" s="136">
        <f>IF(rrcworking[[#This Row],[Pressure Base]]=14.73,rrcworking[[#This Row],[Gas Sales Statement Volume (MCF)]]*$R$2,rrcworking[[#This Row],[Gas Sales Statement Volume (MCF)]])</f>
        <v>3162</v>
      </c>
      <c r="Y107" s="60"/>
      <c r="Z107" s="60"/>
      <c r="AA107" s="147">
        <f>IF(ISERROR(INDEX(Table2[LEASE USE],MATCH(rrcworking[[#This Row],[Magnum Wolfpak '#]],Table2[Rox Wolf'#],0))),0,INDEX(Table2[LEASE USE],MATCH(rrcworking[[#This Row],[Magnum Wolfpak '#]],Table2[Rox Wolf'#],0)))</f>
        <v>0</v>
      </c>
      <c r="AB107" s="57">
        <f>rrcworking[[#This Row],[Disposition Volume (MCF) @ 14.65 MCF]]+rrcworking[[#This Row],[Lease Use (MCF)]]</f>
        <v>3162</v>
      </c>
      <c r="AC107" s="37"/>
      <c r="AD107" s="37" t="s">
        <v>1154</v>
      </c>
      <c r="AE107" s="192">
        <f>COUNTIF(FilterList,rrcworking[[#This Row],[Magnum Wolfpak '#]])</f>
        <v>0</v>
      </c>
      <c r="AF107" s="189"/>
      <c r="AG107" s="190"/>
      <c r="AH107" s="87"/>
      <c r="AI107" s="87"/>
      <c r="AJ107" s="191"/>
      <c r="AK107" s="191"/>
      <c r="AL107" s="191"/>
      <c r="AM107" s="191"/>
      <c r="AN107" s="191"/>
      <c r="AO107" s="191"/>
      <c r="AP107" s="37" t="s">
        <v>1173</v>
      </c>
      <c r="AQ107" s="37" t="s">
        <v>1215</v>
      </c>
    </row>
    <row r="108" spans="3:43" ht="15">
      <c r="C108" s="80" t="e">
        <v>#N/A</v>
      </c>
      <c r="D108" s="62" t="s">
        <v>347</v>
      </c>
      <c r="E108" s="132" t="s">
        <v>345</v>
      </c>
      <c r="F108" s="130">
        <v>20</v>
      </c>
      <c r="G108" s="121" t="s">
        <v>1094</v>
      </c>
      <c r="H108" s="18" t="s">
        <v>620</v>
      </c>
      <c r="I108" s="18" t="s">
        <v>59</v>
      </c>
      <c r="J108" s="19" t="s">
        <v>576</v>
      </c>
      <c r="K108" s="103">
        <v>242290</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6"/>
      <c r="Q108" s="128">
        <f>rrcworking[[#This Row],[Last Month Closing Stock]]</f>
        <v>0</v>
      </c>
      <c r="R108" s="186">
        <f>rrcworking[[#This Row],[Opening Oil Stock]]</f>
        <v>0</v>
      </c>
      <c r="S108" s="147">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7">
        <f>IF(ISERROR(INDEX(Table2[GAS],MATCH(rrcworking[[#This Row],[Magnum Wolfpak '#]],Table2[Rox Wolf'#],0))),0,INDEX(Table2[GAS],MATCH(rrcworking[[#This Row],[Magnum Wolfpak '#]],Table2[Rox Wolf'#],0)))</f>
        <v>0</v>
      </c>
      <c r="W108" s="24"/>
      <c r="X108" s="136">
        <f>IF(rrcworking[[#This Row],[Pressure Base]]=14.73,rrcworking[[#This Row],[Gas Sales Statement Volume (MCF)]]*$R$2,rrcworking[[#This Row],[Gas Sales Statement Volume (MCF)]])</f>
        <v>0</v>
      </c>
      <c r="Y108" s="60"/>
      <c r="Z108" s="60"/>
      <c r="AA108" s="147">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92">
        <f>COUNTIF(FilterList,rrcworking[[#This Row],[Magnum Wolfpak '#]])</f>
        <v>0</v>
      </c>
      <c r="AF108" s="189"/>
      <c r="AG108" s="190"/>
      <c r="AH108" s="37"/>
      <c r="AI108" s="37"/>
      <c r="AJ108" s="37"/>
      <c r="AK108" s="37"/>
      <c r="AL108" s="37"/>
      <c r="AM108" s="37"/>
      <c r="AN108" s="37"/>
      <c r="AO108" s="37"/>
      <c r="AP108" s="37"/>
      <c r="AQ108" s="37"/>
    </row>
    <row r="109" spans="3:43" ht="15">
      <c r="C109" s="80" t="e">
        <v>#N/A</v>
      </c>
      <c r="D109" s="62" t="s">
        <v>348</v>
      </c>
      <c r="E109" s="132" t="s">
        <v>345</v>
      </c>
      <c r="F109" s="130" t="s">
        <v>349</v>
      </c>
      <c r="G109" s="121" t="s">
        <v>1094</v>
      </c>
      <c r="H109" s="18" t="s">
        <v>620</v>
      </c>
      <c r="I109" s="18" t="s">
        <v>59</v>
      </c>
      <c r="J109" s="19" t="s">
        <v>577</v>
      </c>
      <c r="K109" s="103">
        <v>198253</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6"/>
      <c r="Q109" s="128">
        <f>rrcworking[[#This Row],[Last Month Closing Stock]]</f>
        <v>0</v>
      </c>
      <c r="R109" s="186">
        <f>rrcworking[[#This Row],[Opening Oil Stock]]</f>
        <v>0</v>
      </c>
      <c r="S109" s="147">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7">
        <f>IF(ISERROR(INDEX(Table2[GAS],MATCH(rrcworking[[#This Row],[Magnum Wolfpak '#]],Table2[Rox Wolf'#],0))),0,INDEX(Table2[GAS],MATCH(rrcworking[[#This Row],[Magnum Wolfpak '#]],Table2[Rox Wolf'#],0)))</f>
        <v>0</v>
      </c>
      <c r="W109" s="24"/>
      <c r="X109" s="136">
        <f>IF(rrcworking[[#This Row],[Pressure Base]]=14.73,rrcworking[[#This Row],[Gas Sales Statement Volume (MCF)]]*$R$2,rrcworking[[#This Row],[Gas Sales Statement Volume (MCF)]])</f>
        <v>0</v>
      </c>
      <c r="Y109" s="60"/>
      <c r="Z109" s="60"/>
      <c r="AA109" s="147">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92">
        <f>COUNTIF(FilterList,rrcworking[[#This Row],[Magnum Wolfpak '#]])</f>
        <v>0</v>
      </c>
      <c r="AF109" s="189"/>
      <c r="AG109" s="190"/>
      <c r="AH109" s="37"/>
      <c r="AI109" s="37"/>
      <c r="AJ109" s="37"/>
      <c r="AK109" s="37"/>
      <c r="AL109" s="37"/>
      <c r="AM109" s="37"/>
      <c r="AN109" s="37"/>
      <c r="AO109" s="37"/>
      <c r="AP109" s="37"/>
      <c r="AQ109" s="37"/>
    </row>
    <row r="110" spans="3:43" ht="15">
      <c r="C110" s="80" t="e">
        <v>#N/A</v>
      </c>
      <c r="D110" s="62" t="s">
        <v>350</v>
      </c>
      <c r="E110" s="132" t="s">
        <v>345</v>
      </c>
      <c r="F110" s="130" t="s">
        <v>351</v>
      </c>
      <c r="G110" s="121" t="s">
        <v>1094</v>
      </c>
      <c r="H110" s="18" t="s">
        <v>620</v>
      </c>
      <c r="I110" s="18" t="s">
        <v>59</v>
      </c>
      <c r="J110" s="19" t="s">
        <v>578</v>
      </c>
      <c r="K110" s="103">
        <v>159856</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6"/>
      <c r="Q110" s="128">
        <f>rrcworking[[#This Row],[Last Month Closing Stock]]</f>
        <v>0</v>
      </c>
      <c r="R110" s="186">
        <f>rrcworking[[#This Row],[Opening Oil Stock]]</f>
        <v>0</v>
      </c>
      <c r="S110" s="147">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7">
        <f>IF(ISERROR(INDEX(Table2[GAS],MATCH(rrcworking[[#This Row],[Magnum Wolfpak '#]],Table2[Rox Wolf'#],0))),0,INDEX(Table2[GAS],MATCH(rrcworking[[#This Row],[Magnum Wolfpak '#]],Table2[Rox Wolf'#],0)))</f>
        <v>0</v>
      </c>
      <c r="W110" s="24"/>
      <c r="X110" s="136">
        <f>IF(rrcworking[[#This Row],[Pressure Base]]=14.73,rrcworking[[#This Row],[Gas Sales Statement Volume (MCF)]]*$R$2,rrcworking[[#This Row],[Gas Sales Statement Volume (MCF)]])</f>
        <v>0</v>
      </c>
      <c r="Y110" s="60"/>
      <c r="Z110" s="60"/>
      <c r="AA110" s="147">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92">
        <f>COUNTIF(FilterList,rrcworking[[#This Row],[Magnum Wolfpak '#]])</f>
        <v>0</v>
      </c>
      <c r="AF110" s="189"/>
      <c r="AG110" s="190"/>
      <c r="AH110" s="37"/>
      <c r="AI110" s="37"/>
      <c r="AJ110" s="37"/>
      <c r="AK110" s="37"/>
      <c r="AL110" s="37"/>
      <c r="AM110" s="37"/>
      <c r="AN110" s="37"/>
      <c r="AO110" s="37"/>
      <c r="AP110" s="37"/>
      <c r="AQ110" s="37"/>
    </row>
    <row r="111" spans="3:43" ht="15">
      <c r="C111" s="80" t="e">
        <v>#N/A</v>
      </c>
      <c r="D111" s="62" t="s">
        <v>238</v>
      </c>
      <c r="E111" s="132" t="s">
        <v>239</v>
      </c>
      <c r="F111" s="130">
        <v>0</v>
      </c>
      <c r="G111" s="121" t="s">
        <v>1094</v>
      </c>
      <c r="H111" s="18" t="s">
        <v>619</v>
      </c>
      <c r="I111" s="18" t="s">
        <v>2</v>
      </c>
      <c r="J111" s="19" t="s">
        <v>508</v>
      </c>
      <c r="K111" s="103">
        <v>12721</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186"/>
      <c r="Q111" s="128">
        <f>rrcworking[[#This Row],[Last Month Closing Stock]]</f>
        <v>0</v>
      </c>
      <c r="R111" s="186">
        <f>rrcworking[[#This Row],[Opening Oil Stock]]</f>
        <v>0</v>
      </c>
      <c r="S111" s="147">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 Volume]]-rrcworking[[#This Row],[Oil Production]]</f>
        <v>0</v>
      </c>
      <c r="V111" s="147">
        <f>IF(ISERROR(INDEX(Table2[GAS],MATCH(rrcworking[[#This Row],[Magnum Wolfpak '#]],Table2[Rox Wolf'#],0))),0,INDEX(Table2[GAS],MATCH(rrcworking[[#This Row],[Magnum Wolfpak '#]],Table2[Rox Wolf'#],0)))</f>
        <v>0</v>
      </c>
      <c r="W111" s="24"/>
      <c r="X111" s="136">
        <f>IF(rrcworking[[#This Row],[Pressure Base]]=14.73,rrcworking[[#This Row],[Gas Sales Statement Volume (MCF)]]*$R$2,rrcworking[[#This Row],[Gas Sales Statement Volume (MCF)]])</f>
        <v>0</v>
      </c>
      <c r="Y111" s="60"/>
      <c r="Z111" s="60"/>
      <c r="AA111" s="147">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192">
        <f>COUNTIF(FilterList,rrcworking[[#This Row],[Magnum Wolfpak '#]])</f>
        <v>0</v>
      </c>
      <c r="AF111" s="189"/>
      <c r="AG111" s="190"/>
      <c r="AH111" s="37"/>
      <c r="AI111" s="37"/>
      <c r="AJ111" s="37"/>
      <c r="AK111" s="37"/>
      <c r="AL111" s="37"/>
      <c r="AM111" s="37"/>
      <c r="AN111" s="37"/>
      <c r="AO111" s="37"/>
      <c r="AP111" s="37"/>
      <c r="AQ111" s="37"/>
    </row>
    <row r="112" spans="3:43" ht="15">
      <c r="C112" s="80" t="e">
        <v>#N/A</v>
      </c>
      <c r="D112" s="62" t="s">
        <v>385</v>
      </c>
      <c r="E112" s="132" t="s">
        <v>386</v>
      </c>
      <c r="F112" s="130">
        <v>4</v>
      </c>
      <c r="G112" s="121" t="s">
        <v>1094</v>
      </c>
      <c r="H112" s="18" t="s">
        <v>620</v>
      </c>
      <c r="I112" s="18" t="s">
        <v>59</v>
      </c>
      <c r="J112" s="19" t="s">
        <v>598</v>
      </c>
      <c r="K112" s="103">
        <v>190124</v>
      </c>
      <c r="L112" s="101">
        <f>INDEX(Table1[Production],MATCH(rrcworking[[#This Row],[RRC ID Number]],Table1[RRC Identifier],0))</f>
        <v>0</v>
      </c>
      <c r="M112" s="30">
        <f>INDEX(Table1[Formation Production],MATCH(rrcworking[[#This Row],[RRC ID Number]],Table1[RRC Identifier],0))</f>
        <v>0</v>
      </c>
      <c r="N112" s="31">
        <f>INDEX(Table1[On Hand End of Month],MATCH(rrcworking[[#This Row],[RRC ID Number]],Table1[RRC Identifier],0))</f>
        <v>0</v>
      </c>
      <c r="O112" s="106" t="b">
        <f t="shared" si="3"/>
        <v>1</v>
      </c>
      <c r="P112" s="186"/>
      <c r="Q112" s="128">
        <f>rrcworking[[#This Row],[Last Month Closing Stock]]</f>
        <v>0</v>
      </c>
      <c r="R112" s="186">
        <f>rrcworking[[#This Row],[Opening Oil Stock]]</f>
        <v>0</v>
      </c>
      <c r="S112" s="147">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7">
        <f>IF(ISERROR(INDEX(Table2[GAS],MATCH(rrcworking[[#This Row],[Magnum Wolfpak '#]],Table2[Rox Wolf'#],0))),0,INDEX(Table2[GAS],MATCH(rrcworking[[#This Row],[Magnum Wolfpak '#]],Table2[Rox Wolf'#],0)))</f>
        <v>0</v>
      </c>
      <c r="W112" s="24"/>
      <c r="X112" s="136">
        <f>IF(rrcworking[[#This Row],[Pressure Base]]=14.73,rrcworking[[#This Row],[Gas Sales Statement Volume (MCF)]]*$R$2,rrcworking[[#This Row],[Gas Sales Statement Volume (MCF)]])</f>
        <v>0</v>
      </c>
      <c r="Y112" s="60"/>
      <c r="Z112" s="60"/>
      <c r="AA112" s="147">
        <f>IF(ISERROR(INDEX(Table2[LEASE USE],MATCH(rrcworking[[#This Row],[Magnum Wolfpak '#]],Table2[Rox Wolf'#],0))),0,INDEX(Table2[LEASE USE],MATCH(rrcworking[[#This Row],[Magnum Wolfpak '#]],Table2[Rox Wolf'#],0)))</f>
        <v>0</v>
      </c>
      <c r="AB112" s="57">
        <f>rrcworking[[#This Row],[Disposition Volume (MCF) @ 14.65 MCF]]+rrcworking[[#This Row],[Lease Use (MCF)]]</f>
        <v>0</v>
      </c>
      <c r="AC112" s="37"/>
      <c r="AD112" s="37"/>
      <c r="AE112" s="192">
        <f>COUNTIF(FilterList,rrcworking[[#This Row],[Magnum Wolfpak '#]])</f>
        <v>0</v>
      </c>
      <c r="AF112" s="189"/>
      <c r="AG112" s="190"/>
      <c r="AH112" s="37"/>
      <c r="AI112" s="37"/>
      <c r="AJ112" s="37"/>
      <c r="AK112" s="37"/>
      <c r="AL112" s="37"/>
      <c r="AM112" s="37"/>
      <c r="AN112" s="37"/>
      <c r="AO112" s="37"/>
      <c r="AP112" s="37"/>
      <c r="AQ112" s="37"/>
    </row>
    <row r="113" spans="3:43" ht="75">
      <c r="C113" s="80">
        <v>99128</v>
      </c>
      <c r="D113" s="62" t="s">
        <v>391</v>
      </c>
      <c r="E113" s="132" t="s">
        <v>386</v>
      </c>
      <c r="F113" s="130" t="s">
        <v>392</v>
      </c>
      <c r="G113" s="121">
        <v>5050</v>
      </c>
      <c r="H113" s="21" t="s">
        <v>620</v>
      </c>
      <c r="I113" s="21" t="s">
        <v>59</v>
      </c>
      <c r="J113" s="19" t="s">
        <v>601</v>
      </c>
      <c r="K113" s="103">
        <v>66093</v>
      </c>
      <c r="L113" s="101">
        <f>INDEX(Table1[Production],MATCH(rrcworking[[#This Row],[RRC ID Number]],Table1[RRC Identifier],0))</f>
        <v>0</v>
      </c>
      <c r="M113" s="30">
        <f>INDEX(Table1[Formation Production],MATCH(rrcworking[[#This Row],[RRC ID Number]],Table1[RRC Identifier],0))</f>
        <v>975</v>
      </c>
      <c r="N113" s="31">
        <f>INDEX(Table1[On Hand End of Month],MATCH(rrcworking[[#This Row],[RRC ID Number]],Table1[RRC Identifier],0))</f>
        <v>31</v>
      </c>
      <c r="O113" s="106" t="b">
        <f t="shared" si="3"/>
        <v>0</v>
      </c>
      <c r="P113" s="186">
        <v>20</v>
      </c>
      <c r="Q113" s="128">
        <f>rrcworking[[#This Row],[Last Month Closing Stock]]</f>
        <v>31</v>
      </c>
      <c r="R113" s="187">
        <v>51</v>
      </c>
      <c r="S113" s="147">
        <f>IF(ISERROR(INDEX(Table2[OIL],MATCH(rrcworking[[#This Row],[Magnum Wolfpak '#]],Table2[Rox Wolf'#],0))),0,INDEX(Table2[OIL],MATCH(rrcworking[[#This Row],[Magnum Wolfpak '#]],Table2[Rox Wolf'#],0)))</f>
        <v>0</v>
      </c>
      <c r="T113" s="35">
        <f>rrcworking[[#This Row],[Closing Stock (Oil)]]+rrcworking[[#This Row],[Sales/Dispostion]]-rrcworking[[#This Row],[Opening Oil Stock]]</f>
        <v>20</v>
      </c>
      <c r="U113" s="112">
        <f>rrcworking[[#This Row],[Gauge Sheet Prod Volume]]-rrcworking[[#This Row],[Oil Production]]</f>
        <v>0</v>
      </c>
      <c r="V113" s="147">
        <f>IF(ISERROR(INDEX(Table2[GAS],MATCH(rrcworking[[#This Row],[Magnum Wolfpak '#]],Table2[Rox Wolf'#],0))),0,INDEX(Table2[GAS],MATCH(rrcworking[[#This Row],[Magnum Wolfpak '#]],Table2[Rox Wolf'#],0)))</f>
        <v>6901</v>
      </c>
      <c r="W113" s="24"/>
      <c r="X113" s="136">
        <f>IF(rrcworking[[#This Row],[Pressure Base]]=14.73,rrcworking[[#This Row],[Gas Sales Statement Volume (MCF)]]*$R$2,rrcworking[[#This Row],[Gas Sales Statement Volume (MCF)]])</f>
        <v>6901</v>
      </c>
      <c r="Y113" s="85"/>
      <c r="Z113" s="60">
        <v>10</v>
      </c>
      <c r="AA113" s="147">
        <f>IF(ISERROR(INDEX(Table2[LEASE USE],MATCH(rrcworking[[#This Row],[Magnum Wolfpak '#]],Table2[Rox Wolf'#],0))),0,INDEX(Table2[LEASE USE],MATCH(rrcworking[[#This Row],[Magnum Wolfpak '#]],Table2[Rox Wolf'#],0)))</f>
        <v>260</v>
      </c>
      <c r="AB113" s="57">
        <f>rrcworking[[#This Row],[Disposition Volume (MCF) @ 14.65 MCF]]+rrcworking[[#This Row],[Lease Use (MCF)]]</f>
        <v>7161</v>
      </c>
      <c r="AC113" s="37"/>
      <c r="AD113" s="37" t="s">
        <v>1137</v>
      </c>
      <c r="AE113" s="192">
        <f>COUNTIF(FilterList,rrcworking[[#This Row],[Magnum Wolfpak '#]])</f>
        <v>0</v>
      </c>
      <c r="AF113" s="189"/>
      <c r="AG113" s="190"/>
      <c r="AH113" s="37"/>
      <c r="AI113" s="190"/>
      <c r="AJ113" s="191"/>
      <c r="AK113" s="191"/>
      <c r="AL113" s="191"/>
      <c r="AM113" s="191"/>
      <c r="AN113" s="191"/>
      <c r="AO113" s="191"/>
      <c r="AP113" s="37" t="s">
        <v>1173</v>
      </c>
      <c r="AQ113" s="37" t="s">
        <v>1216</v>
      </c>
    </row>
    <row r="114" spans="3:43" ht="165">
      <c r="C114" s="80">
        <v>99134</v>
      </c>
      <c r="D114" s="62" t="s">
        <v>362</v>
      </c>
      <c r="E114" s="132" t="s">
        <v>363</v>
      </c>
      <c r="F114" s="130" t="s">
        <v>364</v>
      </c>
      <c r="G114" s="121">
        <v>5050</v>
      </c>
      <c r="H114" s="18" t="s">
        <v>620</v>
      </c>
      <c r="I114" s="18" t="s">
        <v>59</v>
      </c>
      <c r="J114" s="19" t="s">
        <v>585</v>
      </c>
      <c r="K114" s="103">
        <v>276012</v>
      </c>
      <c r="L114" s="101">
        <f>INDEX(Table1[Production],MATCH(rrcworking[[#This Row],[RRC ID Number]],Table1[RRC Identifier],0))</f>
        <v>81</v>
      </c>
      <c r="M114" s="30">
        <f>INDEX(Table1[Formation Production],MATCH(rrcworking[[#This Row],[RRC ID Number]],Table1[RRC Identifier],0))</f>
        <v>3378</v>
      </c>
      <c r="N114" s="31">
        <f>INDEX(Table1[On Hand End of Month],MATCH(rrcworking[[#This Row],[RRC ID Number]],Table1[RRC Identifier],0))</f>
        <v>1</v>
      </c>
      <c r="O114" s="106" t="b">
        <f t="shared" si="3"/>
        <v>0</v>
      </c>
      <c r="P114" s="186">
        <v>35</v>
      </c>
      <c r="Q114" s="128">
        <f>rrcworking[[#This Row],[Last Month Closing Stock]]</f>
        <v>1</v>
      </c>
      <c r="R114" s="186">
        <v>36</v>
      </c>
      <c r="S114" s="147">
        <f>IF(ISERROR(INDEX(Table2[OIL],MATCH(rrcworking[[#This Row],[Magnum Wolfpak '#]],Table2[Rox Wolf'#],0))),0,INDEX(Table2[OIL],MATCH(rrcworking[[#This Row],[Magnum Wolfpak '#]],Table2[Rox Wolf'#],0)))</f>
        <v>0</v>
      </c>
      <c r="T114" s="35">
        <f>rrcworking[[#This Row],[Closing Stock (Oil)]]+rrcworking[[#This Row],[Sales/Dispostion]]-rrcworking[[#This Row],[Opening Oil Stock]]</f>
        <v>35</v>
      </c>
      <c r="U114" s="112">
        <f>rrcworking[[#This Row],[Gauge Sheet Prod Volume]]-rrcworking[[#This Row],[Oil Production]]</f>
        <v>0</v>
      </c>
      <c r="V114" s="147">
        <f>IF(ISERROR(INDEX(Table2[GAS],MATCH(rrcworking[[#This Row],[Magnum Wolfpak '#]],Table2[Rox Wolf'#],0))),0,INDEX(Table2[GAS],MATCH(rrcworking[[#This Row],[Magnum Wolfpak '#]],Table2[Rox Wolf'#],0)))</f>
        <v>3506</v>
      </c>
      <c r="W114" s="24"/>
      <c r="X114" s="136">
        <f>IF(rrcworking[[#This Row],[Pressure Base]]=14.73,rrcworking[[#This Row],[Gas Sales Statement Volume (MCF)]]*$R$2,rrcworking[[#This Row],[Gas Sales Statement Volume (MCF)]])</f>
        <v>3506</v>
      </c>
      <c r="Y114" s="60"/>
      <c r="Z114" s="60">
        <v>0</v>
      </c>
      <c r="AA114" s="147">
        <f>IF(ISERROR(INDEX(Table2[LEASE USE],MATCH(rrcworking[[#This Row],[Magnum Wolfpak '#]],Table2[Rox Wolf'#],0))),0,INDEX(Table2[LEASE USE],MATCH(rrcworking[[#This Row],[Magnum Wolfpak '#]],Table2[Rox Wolf'#],0)))</f>
        <v>0</v>
      </c>
      <c r="AB114" s="57">
        <f>rrcworking[[#This Row],[Disposition Volume (MCF) @ 14.65 MCF]]+rrcworking[[#This Row],[Lease Use (MCF)]]</f>
        <v>3506</v>
      </c>
      <c r="AC114" s="37"/>
      <c r="AD114" s="37" t="s">
        <v>1290</v>
      </c>
      <c r="AE114" s="192">
        <f>COUNTIF(FilterList,rrcworking[[#This Row],[Magnum Wolfpak '#]])</f>
        <v>0</v>
      </c>
      <c r="AF114" s="189"/>
      <c r="AG114" s="190"/>
      <c r="AH114" s="37"/>
      <c r="AI114" s="37"/>
      <c r="AJ114" s="191"/>
      <c r="AK114" s="191"/>
      <c r="AL114" s="191"/>
      <c r="AM114" s="191"/>
      <c r="AN114" s="191"/>
      <c r="AO114" s="191"/>
      <c r="AP114" s="37" t="s">
        <v>1173</v>
      </c>
      <c r="AQ114" s="37" t="s">
        <v>1199</v>
      </c>
    </row>
    <row r="115" spans="3:43" ht="60">
      <c r="C115" s="80">
        <v>99216</v>
      </c>
      <c r="D115" s="62" t="s">
        <v>210</v>
      </c>
      <c r="E115" s="132" t="s">
        <v>213</v>
      </c>
      <c r="F115" s="141" t="s">
        <v>912</v>
      </c>
      <c r="G115" s="121" t="s">
        <v>1094</v>
      </c>
      <c r="H115" s="18" t="s">
        <v>619</v>
      </c>
      <c r="I115" s="18" t="s">
        <v>2</v>
      </c>
      <c r="J115" s="19" t="s">
        <v>496</v>
      </c>
      <c r="K115" s="103">
        <v>26743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6"/>
      <c r="Q115" s="128">
        <f>rrcworking[[#This Row],[Last Month Closing Stock]]</f>
        <v>0</v>
      </c>
      <c r="R115" s="186">
        <f>rrcworking[[#This Row],[Opening Oil Stock]]</f>
        <v>0</v>
      </c>
      <c r="S115" s="147">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7">
        <f>IF(ISERROR(INDEX(Table2[GAS],MATCH(rrcworking[[#This Row],[Magnum Wolfpak '#]],Table2[Rox Wolf'#],0))),0,INDEX(Table2[GAS],MATCH(rrcworking[[#This Row],[Magnum Wolfpak '#]],Table2[Rox Wolf'#],0)))</f>
        <v>0</v>
      </c>
      <c r="W115" s="24"/>
      <c r="X115" s="136">
        <f>IF(rrcworking[[#This Row],[Pressure Base]]=14.73,rrcworking[[#This Row],[Gas Sales Statement Volume (MCF)]]*$R$2,rrcworking[[#This Row],[Gas Sales Statement Volume (MCF)]])</f>
        <v>0</v>
      </c>
      <c r="Y115" s="60"/>
      <c r="Z115" s="60">
        <v>2</v>
      </c>
      <c r="AA115" s="147">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1141</v>
      </c>
      <c r="AE115" s="192">
        <f>COUNTIF(FilterList,rrcworking[[#This Row],[Magnum Wolfpak '#]])</f>
        <v>0</v>
      </c>
      <c r="AF115" s="189"/>
      <c r="AG115" s="190"/>
      <c r="AH115" s="87"/>
      <c r="AI115" s="87"/>
      <c r="AJ115" s="191"/>
      <c r="AK115" s="191"/>
      <c r="AL115" s="191"/>
      <c r="AM115" s="191"/>
      <c r="AN115" s="191"/>
      <c r="AO115" s="191"/>
      <c r="AP115" s="37" t="s">
        <v>1173</v>
      </c>
      <c r="AQ115" s="37" t="s">
        <v>1199</v>
      </c>
    </row>
    <row r="116" spans="3:43" ht="45">
      <c r="C116" s="80">
        <v>99186</v>
      </c>
      <c r="D116" s="175" t="s">
        <v>210</v>
      </c>
      <c r="E116" s="3" t="s">
        <v>219</v>
      </c>
      <c r="F116" s="141" t="s">
        <v>57</v>
      </c>
      <c r="G116" s="121"/>
      <c r="H116" s="171" t="s">
        <v>619</v>
      </c>
      <c r="I116" s="171" t="s">
        <v>2</v>
      </c>
      <c r="J116" s="170" t="s">
        <v>1142</v>
      </c>
      <c r="K116" s="103">
        <v>27533</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79</v>
      </c>
      <c r="O116" s="106" t="b">
        <f>IF(AND(L116=0,M116=0), TRUE, FALSE)</f>
        <v>1</v>
      </c>
      <c r="P116" s="186">
        <v>0</v>
      </c>
      <c r="Q116" s="128">
        <f>rrcworking[[#This Row],[Last Month Closing Stock]]</f>
        <v>79</v>
      </c>
      <c r="R116" s="186">
        <v>79</v>
      </c>
      <c r="S116" s="147">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7">
        <f>IF(ISERROR(INDEX(Table2[GAS],MATCH(rrcworking[[#This Row],[Magnum Wolfpak '#]],Table2[Rox Wolf'#],0))),0,INDEX(Table2[GAS],MATCH(rrcworking[[#This Row],[Magnum Wolfpak '#]],Table2[Rox Wolf'#],0)))</f>
        <v>0</v>
      </c>
      <c r="W116" s="24"/>
      <c r="X116" s="136">
        <f>IF(rrcworking[[#This Row],[Pressure Base]]=14.73,rrcworking[[#This Row],[Gas Sales Statement Volume (MCF)]]*$R$2,rrcworking[[#This Row],[Gas Sales Statement Volume (MCF)]])</f>
        <v>0</v>
      </c>
      <c r="Y116" s="60"/>
      <c r="Z116" s="60"/>
      <c r="AA116" s="147">
        <f>IF(ISERROR(INDEX(Table2[LEASE USE],MATCH(rrcworking[[#This Row],[Magnum Wolfpak '#]],Table2[Rox Wolf'#],0))),0,INDEX(Table2[LEASE USE],MATCH(rrcworking[[#This Row],[Magnum Wolfpak '#]],Table2[Rox Wolf'#],0)))</f>
        <v>126</v>
      </c>
      <c r="AB116" s="57">
        <f>rrcworking[[#This Row],[Disposition Volume (MCF) @ 14.65 MCF]]+rrcworking[[#This Row],[Lease Use (MCF)]]</f>
        <v>126</v>
      </c>
      <c r="AC116" s="37"/>
      <c r="AD116" s="37" t="s">
        <v>1143</v>
      </c>
      <c r="AE116" s="192">
        <f>COUNTIF(FilterList,rrcworking[[#This Row],[Magnum Wolfpak '#]])</f>
        <v>0</v>
      </c>
      <c r="AF116" s="189"/>
      <c r="AG116" s="190"/>
      <c r="AH116" s="87"/>
      <c r="AI116" s="87"/>
      <c r="AJ116" s="191"/>
      <c r="AK116" s="191"/>
      <c r="AL116" s="191"/>
      <c r="AM116" s="191"/>
      <c r="AN116" s="191"/>
      <c r="AO116" s="191"/>
      <c r="AP116" s="37" t="s">
        <v>1173</v>
      </c>
      <c r="AQ116" s="37" t="s">
        <v>1217</v>
      </c>
    </row>
    <row r="117" spans="3:43" ht="15">
      <c r="C117" s="80" t="e">
        <v>#N/A</v>
      </c>
      <c r="D117" s="62" t="s">
        <v>218</v>
      </c>
      <c r="E117" s="132" t="s">
        <v>219</v>
      </c>
      <c r="F117" s="130">
        <v>7</v>
      </c>
      <c r="G117" s="121" t="s">
        <v>1094</v>
      </c>
      <c r="H117" s="18" t="s">
        <v>619</v>
      </c>
      <c r="I117" s="18" t="s">
        <v>59</v>
      </c>
      <c r="J117" s="19" t="s">
        <v>499</v>
      </c>
      <c r="K117" s="103">
        <v>229081</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6"/>
      <c r="Q117" s="128">
        <f>rrcworking[[#This Row],[Last Month Closing Stock]]</f>
        <v>0</v>
      </c>
      <c r="R117" s="186">
        <f>rrcworking[[#This Row],[Opening Oil Stock]]</f>
        <v>0</v>
      </c>
      <c r="S117" s="147">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7">
        <f>IF(ISERROR(INDEX(Table2[GAS],MATCH(rrcworking[[#This Row],[Magnum Wolfpak '#]],Table2[Rox Wolf'#],0))),0,INDEX(Table2[GAS],MATCH(rrcworking[[#This Row],[Magnum Wolfpak '#]],Table2[Rox Wolf'#],0)))</f>
        <v>0</v>
      </c>
      <c r="W117" s="24"/>
      <c r="X117" s="136">
        <f>IF(rrcworking[[#This Row],[Pressure Base]]=14.73,rrcworking[[#This Row],[Gas Sales Statement Volume (MCF)]]*$R$2,rrcworking[[#This Row],[Gas Sales Statement Volume (MCF)]])</f>
        <v>0</v>
      </c>
      <c r="Y117" s="60"/>
      <c r="Z117" s="60"/>
      <c r="AA117" s="147">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92">
        <f>COUNTIF(FilterList,rrcworking[[#This Row],[Magnum Wolfpak '#]])</f>
        <v>0</v>
      </c>
      <c r="AF117" s="189"/>
      <c r="AG117" s="190"/>
      <c r="AH117" s="37"/>
      <c r="AI117" s="37"/>
      <c r="AJ117" s="37"/>
      <c r="AK117" s="37"/>
      <c r="AL117" s="37"/>
      <c r="AM117" s="37"/>
      <c r="AN117" s="37"/>
      <c r="AO117" s="37"/>
      <c r="AP117" s="37"/>
      <c r="AQ117" s="37"/>
    </row>
    <row r="118" spans="3:43" ht="15">
      <c r="C118" s="80" t="e">
        <v>#N/A</v>
      </c>
      <c r="D118" s="62" t="s">
        <v>333</v>
      </c>
      <c r="E118" s="132" t="s">
        <v>334</v>
      </c>
      <c r="F118" s="130">
        <v>2</v>
      </c>
      <c r="G118" s="121" t="s">
        <v>1094</v>
      </c>
      <c r="H118" s="18" t="s">
        <v>620</v>
      </c>
      <c r="I118" s="18" t="s">
        <v>59</v>
      </c>
      <c r="J118" s="19" t="s">
        <v>568</v>
      </c>
      <c r="K118" s="103">
        <v>54242</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6"/>
      <c r="Q118" s="128">
        <f>rrcworking[[#This Row],[Last Month Closing Stock]]</f>
        <v>0</v>
      </c>
      <c r="R118" s="186">
        <f>rrcworking[[#This Row],[Opening Oil Stock]]</f>
        <v>0</v>
      </c>
      <c r="S118" s="147">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7">
        <f>IF(ISERROR(INDEX(Table2[GAS],MATCH(rrcworking[[#This Row],[Magnum Wolfpak '#]],Table2[Rox Wolf'#],0))),0,INDEX(Table2[GAS],MATCH(rrcworking[[#This Row],[Magnum Wolfpak '#]],Table2[Rox Wolf'#],0)))</f>
        <v>0</v>
      </c>
      <c r="W118" s="24"/>
      <c r="X118" s="136">
        <f>IF(rrcworking[[#This Row],[Pressure Base]]=14.73,rrcworking[[#This Row],[Gas Sales Statement Volume (MCF)]]*$R$2,rrcworking[[#This Row],[Gas Sales Statement Volume (MCF)]])</f>
        <v>0</v>
      </c>
      <c r="Y118" s="60"/>
      <c r="Z118" s="60"/>
      <c r="AA118" s="147">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92">
        <f>COUNTIF(FilterList,rrcworking[[#This Row],[Magnum Wolfpak '#]])</f>
        <v>0</v>
      </c>
      <c r="AF118" s="189"/>
      <c r="AG118" s="190"/>
      <c r="AH118" s="37"/>
      <c r="AI118" s="37"/>
      <c r="AJ118" s="37"/>
      <c r="AK118" s="37"/>
      <c r="AL118" s="37"/>
      <c r="AM118" s="37"/>
      <c r="AN118" s="37"/>
      <c r="AO118" s="37"/>
      <c r="AP118" s="37"/>
      <c r="AQ118" s="37"/>
    </row>
    <row r="119" spans="3:43" ht="15">
      <c r="C119" s="80" t="e">
        <v>#N/A</v>
      </c>
      <c r="D119" s="62" t="s">
        <v>123</v>
      </c>
      <c r="E119" s="132" t="s">
        <v>124</v>
      </c>
      <c r="F119" s="130">
        <v>0</v>
      </c>
      <c r="G119" s="121" t="s">
        <v>1094</v>
      </c>
      <c r="H119" s="18" t="s">
        <v>618</v>
      </c>
      <c r="I119" s="18" t="s">
        <v>2</v>
      </c>
      <c r="J119" s="19" t="s">
        <v>443</v>
      </c>
      <c r="K119" s="103">
        <v>8635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6"/>
      <c r="Q119" s="128">
        <f>rrcworking[[#This Row],[Last Month Closing Stock]]</f>
        <v>0</v>
      </c>
      <c r="R119" s="186">
        <f>rrcworking[[#This Row],[Opening Oil Stock]]</f>
        <v>0</v>
      </c>
      <c r="S119" s="147">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7">
        <f>IF(ISERROR(INDEX(Table2[GAS],MATCH(rrcworking[[#This Row],[Magnum Wolfpak '#]],Table2[Rox Wolf'#],0))),0,INDEX(Table2[GAS],MATCH(rrcworking[[#This Row],[Magnum Wolfpak '#]],Table2[Rox Wolf'#],0)))</f>
        <v>0</v>
      </c>
      <c r="W119" s="24"/>
      <c r="X119" s="136">
        <f>IF(rrcworking[[#This Row],[Pressure Base]]=14.73,rrcworking[[#This Row],[Gas Sales Statement Volume (MCF)]]*$R$2,rrcworking[[#This Row],[Gas Sales Statement Volume (MCF)]])</f>
        <v>0</v>
      </c>
      <c r="Y119" s="60"/>
      <c r="Z119" s="60"/>
      <c r="AA119" s="147">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92">
        <f>COUNTIF(FilterList,rrcworking[[#This Row],[Magnum Wolfpak '#]])</f>
        <v>0</v>
      </c>
      <c r="AF119" s="189"/>
      <c r="AG119" s="190"/>
      <c r="AH119" s="37"/>
      <c r="AI119" s="37"/>
      <c r="AJ119" s="37"/>
      <c r="AK119" s="37"/>
      <c r="AL119" s="37"/>
      <c r="AM119" s="37"/>
      <c r="AN119" s="37"/>
      <c r="AO119" s="37"/>
      <c r="AP119" s="37"/>
      <c r="AQ119" s="37"/>
    </row>
    <row r="120" spans="3:43" ht="15">
      <c r="C120" s="80" t="e">
        <v>#N/A</v>
      </c>
      <c r="D120" s="62" t="s">
        <v>125</v>
      </c>
      <c r="E120" s="132" t="s">
        <v>124</v>
      </c>
      <c r="F120" s="130">
        <v>0</v>
      </c>
      <c r="G120" s="121" t="s">
        <v>1094</v>
      </c>
      <c r="H120" s="18" t="s">
        <v>618</v>
      </c>
      <c r="I120" s="18" t="s">
        <v>2</v>
      </c>
      <c r="J120" s="19" t="s">
        <v>444</v>
      </c>
      <c r="K120" s="103">
        <v>8247</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186"/>
      <c r="Q120" s="128">
        <f>rrcworking[[#This Row],[Last Month Closing Stock]]</f>
        <v>0</v>
      </c>
      <c r="R120" s="186">
        <f>rrcworking[[#This Row],[Opening Oil Stock]]</f>
        <v>0</v>
      </c>
      <c r="S120" s="147">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7">
        <f>IF(ISERROR(INDEX(Table2[GAS],MATCH(rrcworking[[#This Row],[Magnum Wolfpak '#]],Table2[Rox Wolf'#],0))),0,INDEX(Table2[GAS],MATCH(rrcworking[[#This Row],[Magnum Wolfpak '#]],Table2[Rox Wolf'#],0)))</f>
        <v>0</v>
      </c>
      <c r="W120" s="24"/>
      <c r="X120" s="136">
        <f>IF(rrcworking[[#This Row],[Pressure Base]]=14.73,rrcworking[[#This Row],[Gas Sales Statement Volume (MCF)]]*$R$2,rrcworking[[#This Row],[Gas Sales Statement Volume (MCF)]])</f>
        <v>0</v>
      </c>
      <c r="Y120" s="60"/>
      <c r="Z120" s="60"/>
      <c r="AA120" s="147">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192">
        <f>COUNTIF(FilterList,rrcworking[[#This Row],[Magnum Wolfpak '#]])</f>
        <v>0</v>
      </c>
      <c r="AF120" s="189"/>
      <c r="AG120" s="190"/>
      <c r="AH120" s="37"/>
      <c r="AI120" s="37"/>
      <c r="AJ120" s="37"/>
      <c r="AK120" s="37"/>
      <c r="AL120" s="37"/>
      <c r="AM120" s="37"/>
      <c r="AN120" s="37"/>
      <c r="AO120" s="37"/>
      <c r="AP120" s="37"/>
      <c r="AQ120" s="37"/>
    </row>
    <row r="121" spans="3:43" ht="15">
      <c r="C121" s="80" t="e">
        <v>#N/A</v>
      </c>
      <c r="D121" s="62" t="s">
        <v>126</v>
      </c>
      <c r="E121" s="132" t="s">
        <v>124</v>
      </c>
      <c r="F121" s="130">
        <v>5</v>
      </c>
      <c r="G121" s="121" t="s">
        <v>1094</v>
      </c>
      <c r="H121" s="18" t="s">
        <v>618</v>
      </c>
      <c r="I121" s="18" t="s">
        <v>59</v>
      </c>
      <c r="J121" s="19" t="s">
        <v>445</v>
      </c>
      <c r="K121" s="103">
        <v>182045</v>
      </c>
      <c r="L121" s="101">
        <f>INDEX(Table1[Production],MATCH(rrcworking[[#This Row],[RRC ID Number]],Table1[RRC Identifier],0))</f>
        <v>0</v>
      </c>
      <c r="M121" s="30">
        <f>INDEX(Table1[Formation Production],MATCH(rrcworking[[#This Row],[RRC ID Number]],Table1[RRC Identifier],0))</f>
        <v>0</v>
      </c>
      <c r="N121" s="31">
        <f>INDEX(Table1[On Hand End of Month],MATCH(rrcworking[[#This Row],[RRC ID Number]],Table1[RRC Identifier],0))</f>
        <v>0</v>
      </c>
      <c r="O121" s="106" t="b">
        <f t="shared" si="3"/>
        <v>1</v>
      </c>
      <c r="P121" s="186"/>
      <c r="Q121" s="128">
        <f>rrcworking[[#This Row],[Last Month Closing Stock]]</f>
        <v>0</v>
      </c>
      <c r="R121" s="186">
        <f>rrcworking[[#This Row],[Opening Oil Stock]]</f>
        <v>0</v>
      </c>
      <c r="S121" s="147">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 Volume]]-rrcworking[[#This Row],[Oil Production]]</f>
        <v>0</v>
      </c>
      <c r="V121" s="147">
        <f>IF(ISERROR(INDEX(Table2[GAS],MATCH(rrcworking[[#This Row],[Magnum Wolfpak '#]],Table2[Rox Wolf'#],0))),0,INDEX(Table2[GAS],MATCH(rrcworking[[#This Row],[Magnum Wolfpak '#]],Table2[Rox Wolf'#],0)))</f>
        <v>0</v>
      </c>
      <c r="W121" s="24"/>
      <c r="X121" s="136">
        <f>IF(rrcworking[[#This Row],[Pressure Base]]=14.73,rrcworking[[#This Row],[Gas Sales Statement Volume (MCF)]]*$R$2,rrcworking[[#This Row],[Gas Sales Statement Volume (MCF)]])</f>
        <v>0</v>
      </c>
      <c r="Y121" s="60"/>
      <c r="Z121" s="60"/>
      <c r="AA121" s="147">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192">
        <f>COUNTIF(FilterList,rrcworking[[#This Row],[Magnum Wolfpak '#]])</f>
        <v>0</v>
      </c>
      <c r="AF121" s="189"/>
      <c r="AG121" s="190"/>
      <c r="AH121" s="37"/>
      <c r="AI121" s="37"/>
      <c r="AJ121" s="37"/>
      <c r="AK121" s="37"/>
      <c r="AL121" s="37"/>
      <c r="AM121" s="37"/>
      <c r="AN121" s="37"/>
      <c r="AO121" s="37"/>
      <c r="AP121" s="37"/>
      <c r="AQ121" s="37"/>
    </row>
    <row r="122" spans="3:43" ht="30">
      <c r="C122" s="80">
        <v>99288</v>
      </c>
      <c r="D122" s="62" t="s">
        <v>155</v>
      </c>
      <c r="E122" s="132" t="s">
        <v>156</v>
      </c>
      <c r="F122" s="130">
        <v>0</v>
      </c>
      <c r="G122" s="121" t="s">
        <v>1094</v>
      </c>
      <c r="H122" s="18" t="s">
        <v>619</v>
      </c>
      <c r="I122" s="18" t="s">
        <v>2</v>
      </c>
      <c r="J122" s="19" t="s">
        <v>464</v>
      </c>
      <c r="K122" s="103">
        <v>27348</v>
      </c>
      <c r="L122" s="101">
        <f>INDEX(Table1[Production],MATCH(rrcworking[[#This Row],[RRC ID Number]],Table1[RRC Identifier],0))</f>
        <v>0</v>
      </c>
      <c r="M122" s="30">
        <f>INDEX(Table1[Formation Production],MATCH(rrcworking[[#This Row],[RRC ID Number]],Table1[RRC Identifier],0))</f>
        <v>1442</v>
      </c>
      <c r="N122" s="31">
        <f>INDEX(Table1[On Hand End of Month],MATCH(rrcworking[[#This Row],[RRC ID Number]],Table1[RRC Identifier],0))</f>
        <v>187</v>
      </c>
      <c r="O122" s="106" t="b">
        <f t="shared" si="3"/>
        <v>0</v>
      </c>
      <c r="P122" s="186">
        <v>0</v>
      </c>
      <c r="Q122" s="128">
        <f>rrcworking[[#This Row],[Last Month Closing Stock]]</f>
        <v>187</v>
      </c>
      <c r="R122" s="186">
        <v>187</v>
      </c>
      <c r="S122" s="147">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7">
        <f>IF(ISERROR(INDEX(Table2[GAS],MATCH(rrcworking[[#This Row],[Magnum Wolfpak '#]],Table2[Rox Wolf'#],0))),0,INDEX(Table2[GAS],MATCH(rrcworking[[#This Row],[Magnum Wolfpak '#]],Table2[Rox Wolf'#],0)))</f>
        <v>2</v>
      </c>
      <c r="W122" s="24"/>
      <c r="X122" s="136">
        <f>IF(rrcworking[[#This Row],[Pressure Base]]=14.73,rrcworking[[#This Row],[Gas Sales Statement Volume (MCF)]]*$R$2,rrcworking[[#This Row],[Gas Sales Statement Volume (MCF)]])</f>
        <v>2</v>
      </c>
      <c r="Y122" s="60"/>
      <c r="Z122" s="60"/>
      <c r="AA122" s="147">
        <f>IF(ISERROR(INDEX(Table2[LEASE USE],MATCH(rrcworking[[#This Row],[Magnum Wolfpak '#]],Table2[Rox Wolf'#],0))),0,INDEX(Table2[LEASE USE],MATCH(rrcworking[[#This Row],[Magnum Wolfpak '#]],Table2[Rox Wolf'#],0)))</f>
        <v>0</v>
      </c>
      <c r="AB122" s="57">
        <f>rrcworking[[#This Row],[Disposition Volume (MCF) @ 14.65 MCF]]+rrcworking[[#This Row],[Lease Use (MCF)]]</f>
        <v>2</v>
      </c>
      <c r="AC122" s="37"/>
      <c r="AD122" s="37"/>
      <c r="AE122" s="192">
        <f>COUNTIF(FilterList,rrcworking[[#This Row],[Magnum Wolfpak '#]])</f>
        <v>1</v>
      </c>
      <c r="AF122" s="189"/>
      <c r="AG122" s="190"/>
      <c r="AH122" s="37"/>
      <c r="AI122" s="37"/>
      <c r="AJ122" s="37">
        <v>2</v>
      </c>
      <c r="AK122" s="37" t="s">
        <v>1175</v>
      </c>
      <c r="AL122" s="37" t="s">
        <v>1175</v>
      </c>
      <c r="AM122" s="37" t="s">
        <v>1206</v>
      </c>
      <c r="AN122" s="37" t="s">
        <v>1146</v>
      </c>
      <c r="AO122" s="37" t="s">
        <v>1181</v>
      </c>
      <c r="AP122" s="37" t="s">
        <v>1173</v>
      </c>
      <c r="AQ122" s="37" t="s">
        <v>1254</v>
      </c>
    </row>
    <row r="123" spans="3:43" ht="30">
      <c r="C123" s="80">
        <v>99297</v>
      </c>
      <c r="D123" s="175" t="s">
        <v>152</v>
      </c>
      <c r="E123" s="20" t="s">
        <v>795</v>
      </c>
      <c r="F123" s="21" t="s">
        <v>61</v>
      </c>
      <c r="G123" s="121"/>
      <c r="H123" s="21" t="s">
        <v>619</v>
      </c>
      <c r="I123" s="21" t="s">
        <v>2</v>
      </c>
      <c r="J123" s="214" t="s">
        <v>1268</v>
      </c>
      <c r="K123" s="103">
        <v>27617</v>
      </c>
      <c r="L123" s="101">
        <f>INDEX(Table1[Production],MATCH(rrcworking[[#This Row],[RRC ID Number]],Table1[RRC Identifier],0))</f>
        <v>2082</v>
      </c>
      <c r="M123" s="30">
        <f>INDEX(Table1[Formation Production],MATCH(rrcworking[[#This Row],[RRC ID Number]],Table1[RRC Identifier],0))</f>
        <v>974</v>
      </c>
      <c r="N123" s="31">
        <f>INDEX(Table1[On Hand End of Month],MATCH(rrcworking[[#This Row],[RRC ID Number]],Table1[RRC Identifier],0))</f>
        <v>309</v>
      </c>
      <c r="O123" s="106" t="b">
        <f t="shared" si="3"/>
        <v>0</v>
      </c>
      <c r="P123" s="186">
        <v>2268</v>
      </c>
      <c r="Q123" s="128">
        <f>rrcworking[[#This Row],[Last Month Closing Stock]]</f>
        <v>309</v>
      </c>
      <c r="R123" s="187">
        <v>189</v>
      </c>
      <c r="S123" s="147">
        <f>IF(ISERROR(INDEX(Table2[OIL],MATCH(rrcworking[[#This Row],[Magnum Wolfpak '#]],Table2[Rox Wolf'#],0))),0,INDEX(Table2[OIL],MATCH(rrcworking[[#This Row],[Magnum Wolfpak '#]],Table2[Rox Wolf'#],0)))</f>
        <v>2385</v>
      </c>
      <c r="T123" s="100">
        <f>rrcworking[[#This Row],[Closing Stock (Oil)]]+rrcworking[[#This Row],[Sales/Dispostion]]-rrcworking[[#This Row],[Opening Oil Stock]]</f>
        <v>2265</v>
      </c>
      <c r="U123" s="114">
        <f>rrcworking[[#This Row],[Gauge Sheet Prod Volume]]-rrcworking[[#This Row],[Oil Production]]</f>
        <v>3</v>
      </c>
      <c r="V123" s="147">
        <f>IF(ISERROR(INDEX(Table2[GAS],MATCH(rrcworking[[#This Row],[Magnum Wolfpak '#]],Table2[Rox Wolf'#],0))),0,INDEX(Table2[GAS],MATCH(rrcworking[[#This Row],[Magnum Wolfpak '#]],Table2[Rox Wolf'#],0)))</f>
        <v>783</v>
      </c>
      <c r="W123" s="24"/>
      <c r="X123" s="136">
        <f>IF(rrcworking[[#This Row],[Pressure Base]]=14.73,rrcworking[[#This Row],[Gas Sales Statement Volume (MCF)]]*$R$2,rrcworking[[#This Row],[Gas Sales Statement Volume (MCF)]])</f>
        <v>783</v>
      </c>
      <c r="Y123" s="60"/>
      <c r="Z123" s="60"/>
      <c r="AA123" s="147">
        <f>IF(ISERROR(INDEX(Table2[LEASE USE],MATCH(rrcworking[[#This Row],[Magnum Wolfpak '#]],Table2[Rox Wolf'#],0))),0,INDEX(Table2[LEASE USE],MATCH(rrcworking[[#This Row],[Magnum Wolfpak '#]],Table2[Rox Wolf'#],0)))</f>
        <v>0</v>
      </c>
      <c r="AB123" s="57">
        <f>rrcworking[[#This Row],[Disposition Volume (MCF) @ 14.65 MCF]]+rrcworking[[#This Row],[Lease Use (MCF)]]</f>
        <v>783</v>
      </c>
      <c r="AC123" s="37"/>
      <c r="AD123" s="37" t="s">
        <v>1270</v>
      </c>
      <c r="AE123" s="192">
        <f>COUNTIF(FilterList,rrcworking[[#This Row],[Magnum Wolfpak '#]])</f>
        <v>0</v>
      </c>
      <c r="AF123" s="189"/>
      <c r="AG123" s="190"/>
      <c r="AH123" s="37"/>
      <c r="AI123" s="190"/>
      <c r="AJ123" s="37">
        <v>2</v>
      </c>
      <c r="AK123" s="37" t="s">
        <v>1175</v>
      </c>
      <c r="AL123" s="37" t="s">
        <v>1175</v>
      </c>
      <c r="AM123" s="37" t="s">
        <v>1206</v>
      </c>
      <c r="AN123" s="37" t="s">
        <v>1146</v>
      </c>
      <c r="AO123" s="37" t="s">
        <v>1181</v>
      </c>
      <c r="AP123" s="37" t="s">
        <v>1218</v>
      </c>
      <c r="AQ123" s="37"/>
    </row>
    <row r="124" spans="3:43" ht="15">
      <c r="C124" s="80" t="e">
        <v>#N/A</v>
      </c>
      <c r="D124" s="62" t="s">
        <v>228</v>
      </c>
      <c r="E124" s="132" t="s">
        <v>229</v>
      </c>
      <c r="F124" s="130">
        <v>1</v>
      </c>
      <c r="G124" s="121" t="s">
        <v>1094</v>
      </c>
      <c r="H124" s="18" t="s">
        <v>619</v>
      </c>
      <c r="I124" s="18" t="s">
        <v>59</v>
      </c>
      <c r="J124" s="19" t="s">
        <v>503</v>
      </c>
      <c r="K124" s="103">
        <v>139199</v>
      </c>
      <c r="L124" s="101">
        <f>INDEX(Table1[Production],MATCH(rrcworking[[#This Row],[RRC ID Number]],Table1[RRC Identifier],0))</f>
        <v>0</v>
      </c>
      <c r="M124" s="30">
        <f>INDEX(Table1[Formation Production],MATCH(rrcworking[[#This Row],[RRC ID Number]],Table1[RRC Identifier],0))</f>
        <v>0</v>
      </c>
      <c r="N124" s="31">
        <f>INDEX(Table1[On Hand End of Month],MATCH(rrcworking[[#This Row],[RRC ID Number]],Table1[RRC Identifier],0))</f>
        <v>0</v>
      </c>
      <c r="O124" s="106" t="b">
        <f t="shared" si="3"/>
        <v>1</v>
      </c>
      <c r="P124" s="186"/>
      <c r="Q124" s="128">
        <f>rrcworking[[#This Row],[Last Month Closing Stock]]</f>
        <v>0</v>
      </c>
      <c r="R124" s="186">
        <f>rrcworking[[#This Row],[Opening Oil Stock]]</f>
        <v>0</v>
      </c>
      <c r="S124" s="147">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 Volume]]-rrcworking[[#This Row],[Oil Production]]</f>
        <v>0</v>
      </c>
      <c r="V124" s="147">
        <f>IF(ISERROR(INDEX(Table2[GAS],MATCH(rrcworking[[#This Row],[Magnum Wolfpak '#]],Table2[Rox Wolf'#],0))),0,INDEX(Table2[GAS],MATCH(rrcworking[[#This Row],[Magnum Wolfpak '#]],Table2[Rox Wolf'#],0)))</f>
        <v>0</v>
      </c>
      <c r="W124" s="24"/>
      <c r="X124" s="136">
        <f>IF(rrcworking[[#This Row],[Pressure Base]]=14.73,rrcworking[[#This Row],[Gas Sales Statement Volume (MCF)]]*$R$2,rrcworking[[#This Row],[Gas Sales Statement Volume (MCF)]])</f>
        <v>0</v>
      </c>
      <c r="Y124" s="60"/>
      <c r="Z124" s="60"/>
      <c r="AA124" s="147">
        <f>IF(ISERROR(INDEX(Table2[LEASE USE],MATCH(rrcworking[[#This Row],[Magnum Wolfpak '#]],Table2[Rox Wolf'#],0))),0,INDEX(Table2[LEASE USE],MATCH(rrcworking[[#This Row],[Magnum Wolfpak '#]],Table2[Rox Wolf'#],0)))</f>
        <v>0</v>
      </c>
      <c r="AB124" s="57">
        <f>rrcworking[[#This Row],[Disposition Volume (MCF) @ 14.65 MCF]]+rrcworking[[#This Row],[Lease Use (MCF)]]</f>
        <v>0</v>
      </c>
      <c r="AC124" s="37"/>
      <c r="AD124" s="37"/>
      <c r="AE124" s="192">
        <f>COUNTIF(FilterList,rrcworking[[#This Row],[Magnum Wolfpak '#]])</f>
        <v>0</v>
      </c>
      <c r="AF124" s="189"/>
      <c r="AG124" s="190"/>
      <c r="AH124" s="37"/>
      <c r="AI124" s="37"/>
      <c r="AJ124" s="37"/>
      <c r="AK124" s="37"/>
      <c r="AL124" s="37"/>
      <c r="AM124" s="37"/>
      <c r="AN124" s="37"/>
      <c r="AO124" s="37"/>
      <c r="AP124" s="37"/>
      <c r="AQ124" s="37"/>
    </row>
    <row r="125" spans="3:43" ht="15">
      <c r="C125" s="80">
        <v>99268</v>
      </c>
      <c r="D125" s="62" t="s">
        <v>326</v>
      </c>
      <c r="E125" s="132" t="s">
        <v>328</v>
      </c>
      <c r="F125" s="130">
        <v>1</v>
      </c>
      <c r="G125" s="121" t="s">
        <v>1094</v>
      </c>
      <c r="H125" s="18" t="s">
        <v>620</v>
      </c>
      <c r="I125" s="18" t="s">
        <v>59</v>
      </c>
      <c r="J125" s="19" t="s">
        <v>564</v>
      </c>
      <c r="K125" s="103">
        <v>250087</v>
      </c>
      <c r="L125" s="101">
        <f>INDEX(Table1[Production],MATCH(rrcworking[[#This Row],[RRC ID Number]],Table1[RRC Identifier],0))</f>
        <v>0</v>
      </c>
      <c r="M125" s="30">
        <f>INDEX(Table1[Formation Production],MATCH(rrcworking[[#This Row],[RRC ID Number]],Table1[RRC Identifier],0))</f>
        <v>8177</v>
      </c>
      <c r="N125" s="31">
        <f>INDEX(Table1[On Hand End of Month],MATCH(rrcworking[[#This Row],[RRC ID Number]],Table1[RRC Identifier],0))</f>
        <v>24</v>
      </c>
      <c r="O125" s="106" t="b">
        <f t="shared" si="3"/>
        <v>0</v>
      </c>
      <c r="P125" s="186">
        <v>0</v>
      </c>
      <c r="Q125" s="128">
        <f>rrcworking[[#This Row],[Last Month Closing Stock]]</f>
        <v>24</v>
      </c>
      <c r="R125" s="186">
        <v>24</v>
      </c>
      <c r="S125" s="147">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7">
        <f>IF(ISERROR(INDEX(Table2[GAS],MATCH(rrcworking[[#This Row],[Magnum Wolfpak '#]],Table2[Rox Wolf'#],0))),0,INDEX(Table2[GAS],MATCH(rrcworking[[#This Row],[Magnum Wolfpak '#]],Table2[Rox Wolf'#],0)))</f>
        <v>6076</v>
      </c>
      <c r="W125" s="24"/>
      <c r="X125" s="136">
        <f>IF(rrcworking[[#This Row],[Pressure Base]]=14.73,rrcworking[[#This Row],[Gas Sales Statement Volume (MCF)]]*$R$2,rrcworking[[#This Row],[Gas Sales Statement Volume (MCF)]])</f>
        <v>6076</v>
      </c>
      <c r="Y125" s="60"/>
      <c r="Z125" s="60"/>
      <c r="AA125" s="147">
        <f>IF(ISERROR(INDEX(Table2[LEASE USE],MATCH(rrcworking[[#This Row],[Magnum Wolfpak '#]],Table2[Rox Wolf'#],0))),0,INDEX(Table2[LEASE USE],MATCH(rrcworking[[#This Row],[Magnum Wolfpak '#]],Table2[Rox Wolf'#],0)))</f>
        <v>319</v>
      </c>
      <c r="AB125" s="57">
        <f>rrcworking[[#This Row],[Disposition Volume (MCF) @ 14.65 MCF]]+rrcworking[[#This Row],[Lease Use (MCF)]]</f>
        <v>6395</v>
      </c>
      <c r="AC125" s="37" t="s">
        <v>1121</v>
      </c>
      <c r="AD125" s="37"/>
      <c r="AE125" s="192">
        <f>COUNTIF(FilterList,rrcworking[[#This Row],[Magnum Wolfpak '#]])</f>
        <v>0</v>
      </c>
      <c r="AF125" s="189"/>
      <c r="AG125" s="190"/>
      <c r="AH125" s="37"/>
      <c r="AI125" s="37"/>
      <c r="AJ125" s="37">
        <v>1</v>
      </c>
      <c r="AK125" s="37" t="s">
        <v>1175</v>
      </c>
      <c r="AL125" s="37" t="s">
        <v>1175</v>
      </c>
      <c r="AM125" s="37" t="s">
        <v>1219</v>
      </c>
      <c r="AN125" s="37" t="s">
        <v>1146</v>
      </c>
      <c r="AO125" s="37" t="s">
        <v>1220</v>
      </c>
      <c r="AP125" s="37" t="s">
        <v>1173</v>
      </c>
      <c r="AQ125" s="37" t="s">
        <v>1221</v>
      </c>
    </row>
    <row r="126" spans="3:43" ht="60">
      <c r="C126" s="80">
        <v>99102</v>
      </c>
      <c r="D126" s="62" t="s">
        <v>102</v>
      </c>
      <c r="E126" s="132" t="s">
        <v>103</v>
      </c>
      <c r="F126" s="130">
        <v>1</v>
      </c>
      <c r="G126" s="121" t="s">
        <v>1094</v>
      </c>
      <c r="H126" s="18" t="s">
        <v>618</v>
      </c>
      <c r="I126" s="18" t="s">
        <v>59</v>
      </c>
      <c r="J126" s="19" t="s">
        <v>430</v>
      </c>
      <c r="K126" s="103">
        <v>245422</v>
      </c>
      <c r="L126" s="101">
        <f>INDEX(Table1[Production],MATCH(rrcworking[[#This Row],[RRC ID Number]],Table1[RRC Identifier],0))</f>
        <v>800</v>
      </c>
      <c r="M126" s="30">
        <f>INDEX(Table1[Formation Production],MATCH(rrcworking[[#This Row],[RRC ID Number]],Table1[RRC Identifier],0))</f>
        <v>55666</v>
      </c>
      <c r="N126" s="31">
        <f>INDEX(Table1[On Hand End of Month],MATCH(rrcworking[[#This Row],[RRC ID Number]],Table1[RRC Identifier],0))</f>
        <v>374</v>
      </c>
      <c r="O126" s="106" t="b">
        <f t="shared" si="3"/>
        <v>0</v>
      </c>
      <c r="P126" s="186">
        <v>783</v>
      </c>
      <c r="Q126" s="128">
        <f>rrcworking[[#This Row],[Last Month Closing Stock]]</f>
        <v>374</v>
      </c>
      <c r="R126" s="187">
        <v>404</v>
      </c>
      <c r="S126" s="147">
        <f>IF(ISERROR(INDEX(Table2[OIL],MATCH(rrcworking[[#This Row],[Magnum Wolfpak '#]],Table2[Rox Wolf'#],0))),0,INDEX(Table2[OIL],MATCH(rrcworking[[#This Row],[Magnum Wolfpak '#]],Table2[Rox Wolf'#],0)))</f>
        <v>760</v>
      </c>
      <c r="T126" s="35">
        <f>rrcworking[[#This Row],[Closing Stock (Oil)]]+rrcworking[[#This Row],[Sales/Dispostion]]-rrcworking[[#This Row],[Opening Oil Stock]]</f>
        <v>790</v>
      </c>
      <c r="U126" s="112">
        <f>rrcworking[[#This Row],[Gauge Sheet Prod Volume]]-rrcworking[[#This Row],[Oil Production]]</f>
        <v>-7</v>
      </c>
      <c r="V126" s="147">
        <f>IF(ISERROR(INDEX(Table2[GAS],MATCH(rrcworking[[#This Row],[Magnum Wolfpak '#]],Table2[Rox Wolf'#],0))),0,INDEX(Table2[GAS],MATCH(rrcworking[[#This Row],[Magnum Wolfpak '#]],Table2[Rox Wolf'#],0)))</f>
        <v>53566</v>
      </c>
      <c r="W126" s="24"/>
      <c r="X126" s="136">
        <f>IF(rrcworking[[#This Row],[Pressure Base]]=14.73,rrcworking[[#This Row],[Gas Sales Statement Volume (MCF)]]*$R$2,rrcworking[[#This Row],[Gas Sales Statement Volume (MCF)]])</f>
        <v>53566</v>
      </c>
      <c r="Y126" s="60"/>
      <c r="Z126" s="60"/>
      <c r="AA126" s="147">
        <f>IF(ISERROR(INDEX(Table2[LEASE USE],MATCH(rrcworking[[#This Row],[Magnum Wolfpak '#]],Table2[Rox Wolf'#],0))),0,INDEX(Table2[LEASE USE],MATCH(rrcworking[[#This Row],[Magnum Wolfpak '#]],Table2[Rox Wolf'#],0)))</f>
        <v>0</v>
      </c>
      <c r="AB126" s="57">
        <f>rrcworking[[#This Row],[Disposition Volume (MCF) @ 14.65 MCF]]+rrcworking[[#This Row],[Lease Use (MCF)]]</f>
        <v>53566</v>
      </c>
      <c r="AC126" s="87"/>
      <c r="AD126" s="87" t="s">
        <v>1257</v>
      </c>
      <c r="AE126" s="192">
        <f>COUNTIF(FilterList,rrcworking[[#This Row],[Magnum Wolfpak '#]])</f>
        <v>0</v>
      </c>
      <c r="AF126" s="189"/>
      <c r="AG126" s="190"/>
      <c r="AH126" s="37"/>
      <c r="AI126" s="190"/>
      <c r="AJ126" s="37">
        <v>2</v>
      </c>
      <c r="AK126" s="37" t="s">
        <v>1146</v>
      </c>
      <c r="AL126" s="37" t="s">
        <v>1175</v>
      </c>
      <c r="AM126" s="37" t="s">
        <v>1222</v>
      </c>
      <c r="AN126" s="37" t="s">
        <v>1175</v>
      </c>
      <c r="AO126" s="37" t="s">
        <v>1186</v>
      </c>
      <c r="AP126" s="37" t="s">
        <v>1223</v>
      </c>
      <c r="AQ126" s="37"/>
    </row>
    <row r="127" spans="3:43" ht="15">
      <c r="C127" s="80" t="e">
        <v>#N/A</v>
      </c>
      <c r="D127" s="62" t="s">
        <v>132</v>
      </c>
      <c r="E127" s="132" t="s">
        <v>133</v>
      </c>
      <c r="F127" s="130">
        <v>1</v>
      </c>
      <c r="G127" s="121" t="s">
        <v>1094</v>
      </c>
      <c r="H127" s="18" t="s">
        <v>618</v>
      </c>
      <c r="I127" s="18" t="s">
        <v>59</v>
      </c>
      <c r="J127" s="19" t="s">
        <v>449</v>
      </c>
      <c r="K127" s="103">
        <v>264004</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186"/>
      <c r="Q127" s="128">
        <f>rrcworking[[#This Row],[Last Month Closing Stock]]</f>
        <v>0</v>
      </c>
      <c r="R127" s="186">
        <f>rrcworking[[#This Row],[Opening Oil Stock]]</f>
        <v>0</v>
      </c>
      <c r="S127" s="147">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 Volume]]-rrcworking[[#This Row],[Oil Production]]</f>
        <v>0</v>
      </c>
      <c r="V127" s="147">
        <f>IF(ISERROR(INDEX(Table2[GAS],MATCH(rrcworking[[#This Row],[Magnum Wolfpak '#]],Table2[Rox Wolf'#],0))),0,INDEX(Table2[GAS],MATCH(rrcworking[[#This Row],[Magnum Wolfpak '#]],Table2[Rox Wolf'#],0)))</f>
        <v>0</v>
      </c>
      <c r="W127" s="24"/>
      <c r="X127" s="136">
        <f>IF(rrcworking[[#This Row],[Pressure Base]]=14.73,rrcworking[[#This Row],[Gas Sales Statement Volume (MCF)]]*$R$2,rrcworking[[#This Row],[Gas Sales Statement Volume (MCF)]])</f>
        <v>0</v>
      </c>
      <c r="Y127" s="60"/>
      <c r="Z127" s="60"/>
      <c r="AA127" s="147">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192">
        <f>COUNTIF(FilterList,rrcworking[[#This Row],[Magnum Wolfpak '#]])</f>
        <v>0</v>
      </c>
      <c r="AF127" s="189"/>
      <c r="AG127" s="190"/>
      <c r="AH127" s="37"/>
      <c r="AI127" s="37"/>
      <c r="AJ127" s="37"/>
      <c r="AK127" s="37"/>
      <c r="AL127" s="37"/>
      <c r="AM127" s="37"/>
      <c r="AN127" s="37"/>
      <c r="AO127" s="37"/>
      <c r="AP127" s="37"/>
      <c r="AQ127" s="37"/>
    </row>
    <row r="128" spans="3:43" ht="15">
      <c r="C128" s="80" t="e">
        <v>#N/A</v>
      </c>
      <c r="D128" s="62" t="s">
        <v>242</v>
      </c>
      <c r="E128" s="132" t="s">
        <v>243</v>
      </c>
      <c r="F128" s="130">
        <v>2</v>
      </c>
      <c r="G128" s="121" t="s">
        <v>1094</v>
      </c>
      <c r="H128" s="18" t="s">
        <v>619</v>
      </c>
      <c r="I128" s="18" t="s">
        <v>59</v>
      </c>
      <c r="J128" s="19" t="s">
        <v>510</v>
      </c>
      <c r="K128" s="103">
        <v>235116</v>
      </c>
      <c r="L128" s="101">
        <f>INDEX(Table1[Production],MATCH(rrcworking[[#This Row],[RRC ID Number]],Table1[RRC Identifier],0))</f>
        <v>0</v>
      </c>
      <c r="M128" s="30">
        <f>INDEX(Table1[Formation Production],MATCH(rrcworking[[#This Row],[RRC ID Number]],Table1[RRC Identifier],0))</f>
        <v>0</v>
      </c>
      <c r="N128" s="31">
        <f>INDEX(Table1[On Hand End of Month],MATCH(rrcworking[[#This Row],[RRC ID Number]],Table1[RRC Identifier],0))</f>
        <v>0</v>
      </c>
      <c r="O128" s="106" t="b">
        <f t="shared" si="3"/>
        <v>1</v>
      </c>
      <c r="P128" s="186"/>
      <c r="Q128" s="128">
        <f>rrcworking[[#This Row],[Last Month Closing Stock]]</f>
        <v>0</v>
      </c>
      <c r="R128" s="186">
        <f>rrcworking[[#This Row],[Opening Oil Stock]]</f>
        <v>0</v>
      </c>
      <c r="S128" s="147">
        <f>IF(ISERROR(INDEX(Table2[OIL],MATCH(rrcworking[[#This Row],[Magnum Wolfpak '#]],Table2[Rox Wolf'#],0))),0,INDEX(Table2[OIL],MATCH(rrcworking[[#This Row],[Magnum Wolfpak '#]],Table2[Rox Wolf'#],0)))</f>
        <v>0</v>
      </c>
      <c r="T128" s="35">
        <f>rrcworking[[#This Row],[Closing Stock (Oil)]]+rrcworking[[#This Row],[Sales/Dispostion]]-rrcworking[[#This Row],[Opening Oil Stock]]</f>
        <v>0</v>
      </c>
      <c r="U128" s="112">
        <f>rrcworking[[#This Row],[Gauge Sheet Prod Volume]]-rrcworking[[#This Row],[Oil Production]]</f>
        <v>0</v>
      </c>
      <c r="V128" s="147">
        <f>IF(ISERROR(INDEX(Table2[GAS],MATCH(rrcworking[[#This Row],[Magnum Wolfpak '#]],Table2[Rox Wolf'#],0))),0,INDEX(Table2[GAS],MATCH(rrcworking[[#This Row],[Magnum Wolfpak '#]],Table2[Rox Wolf'#],0)))</f>
        <v>0</v>
      </c>
      <c r="W128" s="24"/>
      <c r="X128" s="136">
        <f>IF(rrcworking[[#This Row],[Pressure Base]]=14.73,rrcworking[[#This Row],[Gas Sales Statement Volume (MCF)]]*$R$2,rrcworking[[#This Row],[Gas Sales Statement Volume (MCF)]])</f>
        <v>0</v>
      </c>
      <c r="Y128" s="60"/>
      <c r="Z128" s="60"/>
      <c r="AA128" s="147">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c r="AE128" s="192">
        <f>COUNTIF(FilterList,rrcworking[[#This Row],[Magnum Wolfpak '#]])</f>
        <v>0</v>
      </c>
      <c r="AF128" s="189"/>
      <c r="AG128" s="190"/>
      <c r="AH128" s="37"/>
      <c r="AI128" s="37"/>
      <c r="AJ128" s="37"/>
      <c r="AK128" s="37"/>
      <c r="AL128" s="37"/>
      <c r="AM128" s="37"/>
      <c r="AN128" s="37"/>
      <c r="AO128" s="37"/>
      <c r="AP128" s="37"/>
      <c r="AQ128" s="37"/>
    </row>
    <row r="129" spans="3:43" ht="105">
      <c r="C129" s="80">
        <v>98801</v>
      </c>
      <c r="D129" s="62" t="s">
        <v>244</v>
      </c>
      <c r="E129" s="132" t="s">
        <v>245</v>
      </c>
      <c r="F129" s="130">
        <v>1</v>
      </c>
      <c r="G129" s="121" t="s">
        <v>1094</v>
      </c>
      <c r="H129" s="18" t="s">
        <v>619</v>
      </c>
      <c r="I129" s="18" t="s">
        <v>59</v>
      </c>
      <c r="J129" s="19" t="s">
        <v>511</v>
      </c>
      <c r="K129" s="103">
        <v>164970</v>
      </c>
      <c r="L129" s="101">
        <f>INDEX(Table1[Production],MATCH(rrcworking[[#This Row],[RRC ID Number]],Table1[RRC Identifier],0))</f>
        <v>17</v>
      </c>
      <c r="M129" s="30">
        <f>INDEX(Table1[Formation Production],MATCH(rrcworking[[#This Row],[RRC ID Number]],Table1[RRC Identifier],0))</f>
        <v>577</v>
      </c>
      <c r="N129" s="31">
        <f>INDEX(Table1[On Hand End of Month],MATCH(rrcworking[[#This Row],[RRC ID Number]],Table1[RRC Identifier],0))</f>
        <v>104</v>
      </c>
      <c r="O129" s="106" t="b">
        <f t="shared" si="3"/>
        <v>0</v>
      </c>
      <c r="P129" s="186">
        <v>180</v>
      </c>
      <c r="Q129" s="128">
        <f>rrcworking[[#This Row],[Last Month Closing Stock]]</f>
        <v>104</v>
      </c>
      <c r="R129" s="187">
        <v>104</v>
      </c>
      <c r="S129" s="147">
        <f>IF(ISERROR(INDEX(Table2[OIL],MATCH(rrcworking[[#This Row],[Magnum Wolfpak '#]],Table2[Rox Wolf'#],0))),0,INDEX(Table2[OIL],MATCH(rrcworking[[#This Row],[Magnum Wolfpak '#]],Table2[Rox Wolf'#],0)))</f>
        <v>180</v>
      </c>
      <c r="T129" s="35">
        <f>rrcworking[[#This Row],[Closing Stock (Oil)]]+rrcworking[[#This Row],[Sales/Dispostion]]-rrcworking[[#This Row],[Opening Oil Stock]]</f>
        <v>180</v>
      </c>
      <c r="U129" s="112">
        <f>rrcworking[[#This Row],[Gauge Sheet Prod Volume]]-rrcworking[[#This Row],[Oil Production]]</f>
        <v>0</v>
      </c>
      <c r="V129" s="147">
        <f>IF(ISERROR(INDEX(Table2[GAS],MATCH(rrcworking[[#This Row],[Magnum Wolfpak '#]],Table2[Rox Wolf'#],0))),0,INDEX(Table2[GAS],MATCH(rrcworking[[#This Row],[Magnum Wolfpak '#]],Table2[Rox Wolf'#],0)))</f>
        <v>954</v>
      </c>
      <c r="W129" s="24"/>
      <c r="X129" s="136">
        <f>IF(rrcworking[[#This Row],[Pressure Base]]=14.73,rrcworking[[#This Row],[Gas Sales Statement Volume (MCF)]]*$R$2,rrcworking[[#This Row],[Gas Sales Statement Volume (MCF)]])</f>
        <v>954</v>
      </c>
      <c r="Y129" s="85"/>
      <c r="Z129" s="60">
        <v>7</v>
      </c>
      <c r="AA129" s="147">
        <f>IF(ISERROR(INDEX(Table2[LEASE USE],MATCH(rrcworking[[#This Row],[Magnum Wolfpak '#]],Table2[Rox Wolf'#],0))),0,INDEX(Table2[LEASE USE],MATCH(rrcworking[[#This Row],[Magnum Wolfpak '#]],Table2[Rox Wolf'#],0)))</f>
        <v>84</v>
      </c>
      <c r="AB129" s="57">
        <f>rrcworking[[#This Row],[Disposition Volume (MCF) @ 14.65 MCF]]+rrcworking[[#This Row],[Lease Use (MCF)]]</f>
        <v>1038</v>
      </c>
      <c r="AC129" s="37"/>
      <c r="AD129" s="37" t="s">
        <v>1269</v>
      </c>
      <c r="AE129" s="192">
        <f>COUNTIF(FilterList,rrcworking[[#This Row],[Magnum Wolfpak '#]])</f>
        <v>0</v>
      </c>
      <c r="AF129" s="189"/>
      <c r="AG129" s="190"/>
      <c r="AH129" s="37"/>
      <c r="AI129" s="190"/>
      <c r="AJ129" s="37">
        <v>1</v>
      </c>
      <c r="AK129" s="37" t="s">
        <v>1175</v>
      </c>
      <c r="AL129" s="37" t="s">
        <v>1175</v>
      </c>
      <c r="AM129" s="37" t="s">
        <v>1206</v>
      </c>
      <c r="AN129" s="37" t="s">
        <v>1146</v>
      </c>
      <c r="AO129" s="37" t="s">
        <v>1181</v>
      </c>
      <c r="AP129" s="37" t="s">
        <v>1224</v>
      </c>
      <c r="AQ129" s="37" t="s">
        <v>1249</v>
      </c>
    </row>
    <row r="130" spans="3:43" ht="60">
      <c r="C130" s="80">
        <v>99259</v>
      </c>
      <c r="D130" s="62" t="s">
        <v>371</v>
      </c>
      <c r="E130" s="132" t="s">
        <v>372</v>
      </c>
      <c r="F130" s="130">
        <v>0</v>
      </c>
      <c r="G130" s="121" t="s">
        <v>1094</v>
      </c>
      <c r="H130" s="18" t="s">
        <v>620</v>
      </c>
      <c r="I130" s="18" t="s">
        <v>2</v>
      </c>
      <c r="J130" s="19" t="s">
        <v>589</v>
      </c>
      <c r="K130" s="103">
        <v>14061</v>
      </c>
      <c r="L130" s="101">
        <f>INDEX(Table1[Production],MATCH(rrcworking[[#This Row],[RRC ID Number]],Table1[RRC Identifier],0))</f>
        <v>69</v>
      </c>
      <c r="M130" s="30">
        <f>INDEX(Table1[Formation Production],MATCH(rrcworking[[#This Row],[RRC ID Number]],Table1[RRC Identifier],0))</f>
        <v>0</v>
      </c>
      <c r="N130" s="31">
        <f>INDEX(Table1[On Hand End of Month],MATCH(rrcworking[[#This Row],[RRC ID Number]],Table1[RRC Identifier],0))</f>
        <v>239</v>
      </c>
      <c r="O130" s="106" t="b">
        <f t="shared" si="3"/>
        <v>0</v>
      </c>
      <c r="P130" s="186">
        <v>63</v>
      </c>
      <c r="Q130" s="128">
        <f>rrcworking[[#This Row],[Last Month Closing Stock]]</f>
        <v>239</v>
      </c>
      <c r="R130" s="187">
        <v>124</v>
      </c>
      <c r="S130" s="147">
        <f>IF(ISERROR(INDEX(Table2[OIL],MATCH(rrcworking[[#This Row],[Magnum Wolfpak '#]],Table2[Rox Wolf'#],0))),0,INDEX(Table2[OIL],MATCH(rrcworking[[#This Row],[Magnum Wolfpak '#]],Table2[Rox Wolf'#],0)))</f>
        <v>183</v>
      </c>
      <c r="T130" s="35">
        <f>rrcworking[[#This Row],[Closing Stock (Oil)]]+rrcworking[[#This Row],[Sales/Dispostion]]-rrcworking[[#This Row],[Opening Oil Stock]]</f>
        <v>68</v>
      </c>
      <c r="U130" s="112">
        <f>rrcworking[[#This Row],[Gauge Sheet Prod Volume]]-rrcworking[[#This Row],[Oil Production]]</f>
        <v>-5</v>
      </c>
      <c r="V130" s="147">
        <f>IF(ISERROR(INDEX(Table2[GAS],MATCH(rrcworking[[#This Row],[Magnum Wolfpak '#]],Table2[Rox Wolf'#],0))),0,INDEX(Table2[GAS],MATCH(rrcworking[[#This Row],[Magnum Wolfpak '#]],Table2[Rox Wolf'#],0)))</f>
        <v>0</v>
      </c>
      <c r="W130" s="24"/>
      <c r="X130" s="136">
        <f>IF(rrcworking[[#This Row],[Pressure Base]]=14.73,rrcworking[[#This Row],[Gas Sales Statement Volume (MCF)]]*$R$2,rrcworking[[#This Row],[Gas Sales Statement Volume (MCF)]])</f>
        <v>0</v>
      </c>
      <c r="Y130" s="60"/>
      <c r="Z130" s="60"/>
      <c r="AA130" s="147">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t="s">
        <v>1156</v>
      </c>
      <c r="AE130" s="192">
        <f>COUNTIF(FilterList,rrcworking[[#This Row],[Magnum Wolfpak '#]])</f>
        <v>0</v>
      </c>
      <c r="AF130" s="189"/>
      <c r="AG130" s="190"/>
      <c r="AH130" s="37"/>
      <c r="AI130" s="190"/>
      <c r="AJ130" s="37">
        <v>2</v>
      </c>
      <c r="AK130" s="37" t="s">
        <v>1146</v>
      </c>
      <c r="AL130" s="37" t="s">
        <v>1146</v>
      </c>
      <c r="AM130" s="37" t="s">
        <v>1211</v>
      </c>
      <c r="AN130" s="37" t="s">
        <v>1146</v>
      </c>
      <c r="AO130" s="37" t="s">
        <v>1181</v>
      </c>
      <c r="AP130" s="37" t="s">
        <v>1271</v>
      </c>
      <c r="AQ130" s="37"/>
    </row>
    <row r="131" spans="3:43" ht="30">
      <c r="C131" s="80">
        <v>95801</v>
      </c>
      <c r="D131" s="62" t="s">
        <v>335</v>
      </c>
      <c r="E131" s="132" t="s">
        <v>336</v>
      </c>
      <c r="F131" s="130">
        <v>0</v>
      </c>
      <c r="G131" s="121" t="s">
        <v>1094</v>
      </c>
      <c r="H131" s="18" t="s">
        <v>620</v>
      </c>
      <c r="I131" s="18" t="s">
        <v>2</v>
      </c>
      <c r="J131" s="19" t="s">
        <v>569</v>
      </c>
      <c r="K131" s="103">
        <v>10325</v>
      </c>
      <c r="L131" s="101">
        <f>INDEX(Table1[Production],MATCH(rrcworking[[#This Row],[RRC ID Number]],Table1[RRC Identifier],0))</f>
        <v>1</v>
      </c>
      <c r="M131" s="30">
        <f>INDEX(Table1[Formation Production],MATCH(rrcworking[[#This Row],[RRC ID Number]],Table1[RRC Identifier],0))</f>
        <v>0</v>
      </c>
      <c r="N131" s="31">
        <f>INDEX(Table1[On Hand End of Month],MATCH(rrcworking[[#This Row],[RRC ID Number]],Table1[RRC Identifier],0))</f>
        <v>60</v>
      </c>
      <c r="O131" s="106" t="b">
        <f t="shared" si="3"/>
        <v>0</v>
      </c>
      <c r="P131" s="186">
        <v>2</v>
      </c>
      <c r="Q131" s="128">
        <f>rrcworking[[#This Row],[Last Month Closing Stock]]</f>
        <v>60</v>
      </c>
      <c r="R131" s="187">
        <v>62</v>
      </c>
      <c r="S131" s="147">
        <f>IF(ISERROR(INDEX(Table2[OIL],MATCH(rrcworking[[#This Row],[Magnum Wolfpak '#]],Table2[Rox Wolf'#],0))),0,INDEX(Table2[OIL],MATCH(rrcworking[[#This Row],[Magnum Wolfpak '#]],Table2[Rox Wolf'#],0)))</f>
        <v>0</v>
      </c>
      <c r="T131" s="35">
        <f>rrcworking[[#This Row],[Closing Stock (Oil)]]+rrcworking[[#This Row],[Sales/Dispostion]]-rrcworking[[#This Row],[Opening Oil Stock]]</f>
        <v>2</v>
      </c>
      <c r="U131" s="112">
        <f>rrcworking[[#This Row],[Gauge Sheet Prod Volume]]-rrcworking[[#This Row],[Oil Production]]</f>
        <v>0</v>
      </c>
      <c r="V131" s="147">
        <f>IF(ISERROR(INDEX(Table2[GAS],MATCH(rrcworking[[#This Row],[Magnum Wolfpak '#]],Table2[Rox Wolf'#],0))),0,INDEX(Table2[GAS],MATCH(rrcworking[[#This Row],[Magnum Wolfpak '#]],Table2[Rox Wolf'#],0)))</f>
        <v>0</v>
      </c>
      <c r="W131" s="24"/>
      <c r="X131" s="136">
        <f>IF(rrcworking[[#This Row],[Pressure Base]]=14.73,rrcworking[[#This Row],[Gas Sales Statement Volume (MCF)]]*$R$2,rrcworking[[#This Row],[Gas Sales Statement Volume (MCF)]])</f>
        <v>0</v>
      </c>
      <c r="Y131" s="60"/>
      <c r="Z131" s="60"/>
      <c r="AA131" s="147">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192">
        <f>COUNTIF(FilterList,rrcworking[[#This Row],[Magnum Wolfpak '#]])</f>
        <v>0</v>
      </c>
      <c r="AF131" s="189"/>
      <c r="AG131" s="190"/>
      <c r="AH131" s="37"/>
      <c r="AI131" s="190"/>
      <c r="AJ131" s="37">
        <v>2</v>
      </c>
      <c r="AK131" s="37" t="s">
        <v>1175</v>
      </c>
      <c r="AL131" s="37" t="s">
        <v>1175</v>
      </c>
      <c r="AM131" s="37" t="s">
        <v>1206</v>
      </c>
      <c r="AN131" s="37" t="s">
        <v>1175</v>
      </c>
      <c r="AO131" s="37" t="s">
        <v>1181</v>
      </c>
      <c r="AP131" s="37" t="s">
        <v>1250</v>
      </c>
      <c r="AQ131" s="37"/>
    </row>
    <row r="132" spans="3:43" ht="15">
      <c r="C132" s="80" t="e">
        <v>#N/A</v>
      </c>
      <c r="D132" s="62" t="s">
        <v>118</v>
      </c>
      <c r="E132" s="132" t="s">
        <v>119</v>
      </c>
      <c r="F132" s="130">
        <v>0</v>
      </c>
      <c r="G132" s="121" t="s">
        <v>1094</v>
      </c>
      <c r="H132" s="18" t="s">
        <v>618</v>
      </c>
      <c r="I132" s="18" t="s">
        <v>2</v>
      </c>
      <c r="J132" s="19" t="s">
        <v>440</v>
      </c>
      <c r="K132" s="103">
        <v>5086</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186"/>
      <c r="Q132" s="128">
        <f>rrcworking[[#This Row],[Last Month Closing Stock]]</f>
        <v>0</v>
      </c>
      <c r="R132" s="186">
        <f>rrcworking[[#This Row],[Opening Oil Stock]]</f>
        <v>0</v>
      </c>
      <c r="S132" s="147">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 Volume]]-rrcworking[[#This Row],[Oil Production]]</f>
        <v>0</v>
      </c>
      <c r="V132" s="147">
        <f>IF(ISERROR(INDEX(Table2[GAS],MATCH(rrcworking[[#This Row],[Magnum Wolfpak '#]],Table2[Rox Wolf'#],0))),0,INDEX(Table2[GAS],MATCH(rrcworking[[#This Row],[Magnum Wolfpak '#]],Table2[Rox Wolf'#],0)))</f>
        <v>0</v>
      </c>
      <c r="W132" s="24"/>
      <c r="X132" s="136">
        <f>IF(rrcworking[[#This Row],[Pressure Base]]=14.73,rrcworking[[#This Row],[Gas Sales Statement Volume (MCF)]]*$R$2,rrcworking[[#This Row],[Gas Sales Statement Volume (MCF)]])</f>
        <v>0</v>
      </c>
      <c r="Y132" s="60"/>
      <c r="Z132" s="60"/>
      <c r="AA132" s="147">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c r="AE132" s="192">
        <f>COUNTIF(FilterList,rrcworking[[#This Row],[Magnum Wolfpak '#]])</f>
        <v>0</v>
      </c>
      <c r="AF132" s="189"/>
      <c r="AG132" s="190"/>
      <c r="AH132" s="37"/>
      <c r="AI132" s="37"/>
      <c r="AJ132" s="37"/>
      <c r="AK132" s="37"/>
      <c r="AL132" s="37"/>
      <c r="AM132" s="37"/>
      <c r="AN132" s="37"/>
      <c r="AO132" s="37"/>
      <c r="AP132" s="37"/>
      <c r="AQ132" s="37"/>
    </row>
    <row r="133" spans="3:43" ht="15">
      <c r="C133" s="80" t="e">
        <v>#N/A</v>
      </c>
      <c r="D133" s="62" t="s">
        <v>312</v>
      </c>
      <c r="E133" s="132" t="s">
        <v>313</v>
      </c>
      <c r="F133" s="130">
        <v>1</v>
      </c>
      <c r="G133" s="121" t="s">
        <v>1094</v>
      </c>
      <c r="H133" s="18" t="s">
        <v>620</v>
      </c>
      <c r="I133" s="18" t="s">
        <v>59</v>
      </c>
      <c r="J133" s="19" t="s">
        <v>555</v>
      </c>
      <c r="K133" s="103">
        <v>115364</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6"/>
      <c r="Q133" s="128">
        <f>rrcworking[[#This Row],[Last Month Closing Stock]]</f>
        <v>0</v>
      </c>
      <c r="R133" s="186">
        <f>rrcworking[[#This Row],[Opening Oil Stock]]</f>
        <v>0</v>
      </c>
      <c r="S133" s="147">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7">
        <f>IF(ISERROR(INDEX(Table2[GAS],MATCH(rrcworking[[#This Row],[Magnum Wolfpak '#]],Table2[Rox Wolf'#],0))),0,INDEX(Table2[GAS],MATCH(rrcworking[[#This Row],[Magnum Wolfpak '#]],Table2[Rox Wolf'#],0)))</f>
        <v>0</v>
      </c>
      <c r="W133" s="24"/>
      <c r="X133" s="136">
        <f>IF(rrcworking[[#This Row],[Pressure Base]]=14.73,rrcworking[[#This Row],[Gas Sales Statement Volume (MCF)]]*$R$2,rrcworking[[#This Row],[Gas Sales Statement Volume (MCF)]])</f>
        <v>0</v>
      </c>
      <c r="Y133" s="60"/>
      <c r="Z133" s="60"/>
      <c r="AA133" s="147">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92">
        <f>COUNTIF(FilterList,rrcworking[[#This Row],[Magnum Wolfpak '#]])</f>
        <v>0</v>
      </c>
      <c r="AF133" s="189"/>
      <c r="AG133" s="190"/>
      <c r="AH133" s="37"/>
      <c r="AI133" s="37"/>
      <c r="AJ133" s="37"/>
      <c r="AK133" s="37"/>
      <c r="AL133" s="37"/>
      <c r="AM133" s="37"/>
      <c r="AN133" s="37"/>
      <c r="AO133" s="37"/>
      <c r="AP133" s="37"/>
      <c r="AQ133" s="37"/>
    </row>
    <row r="134" spans="3:43" ht="75">
      <c r="C134" s="80">
        <v>98961</v>
      </c>
      <c r="D134" s="62" t="s">
        <v>295</v>
      </c>
      <c r="E134" s="132" t="s">
        <v>296</v>
      </c>
      <c r="F134" s="130">
        <v>0</v>
      </c>
      <c r="G134" s="121" t="s">
        <v>1094</v>
      </c>
      <c r="H134" s="18" t="s">
        <v>619</v>
      </c>
      <c r="I134" s="18" t="s">
        <v>2</v>
      </c>
      <c r="J134" s="19" t="s">
        <v>545</v>
      </c>
      <c r="K134" s="103">
        <v>24644</v>
      </c>
      <c r="L134" s="101">
        <f>INDEX(Table1[Production],MATCH(rrcworking[[#This Row],[RRC ID Number]],Table1[RRC Identifier],0))</f>
        <v>479</v>
      </c>
      <c r="M134" s="30">
        <f>INDEX(Table1[Formation Production],MATCH(rrcworking[[#This Row],[RRC ID Number]],Table1[RRC Identifier],0))</f>
        <v>2419</v>
      </c>
      <c r="N134" s="31">
        <f>INDEX(Table1[On Hand End of Month],MATCH(rrcworking[[#This Row],[RRC ID Number]],Table1[RRC Identifier],0))</f>
        <v>291</v>
      </c>
      <c r="O134" s="106" t="b">
        <f t="shared" si="3"/>
        <v>0</v>
      </c>
      <c r="P134" s="186">
        <v>264</v>
      </c>
      <c r="Q134" s="128">
        <f>rrcworking[[#This Row],[Last Month Closing Stock]]</f>
        <v>291</v>
      </c>
      <c r="R134" s="187">
        <v>215</v>
      </c>
      <c r="S134" s="147">
        <f>IF(ISERROR(INDEX(Table2[OIL],MATCH(rrcworking[[#This Row],[Magnum Wolfpak '#]],Table2[Rox Wolf'#],0))),0,INDEX(Table2[OIL],MATCH(rrcworking[[#This Row],[Magnum Wolfpak '#]],Table2[Rox Wolf'#],0)))</f>
        <v>340</v>
      </c>
      <c r="T134" s="35">
        <f>rrcworking[[#This Row],[Closing Stock (Oil)]]+rrcworking[[#This Row],[Sales/Dispostion]]-rrcworking[[#This Row],[Opening Oil Stock]]</f>
        <v>264</v>
      </c>
      <c r="U134" s="112">
        <f>rrcworking[[#This Row],[Gauge Sheet Prod Volume]]-rrcworking[[#This Row],[Oil Production]]</f>
        <v>0</v>
      </c>
      <c r="V134" s="147">
        <f>IF(ISERROR(INDEX(Table2[GAS],MATCH(rrcworking[[#This Row],[Magnum Wolfpak '#]],Table2[Rox Wolf'#],0))),0,INDEX(Table2[GAS],MATCH(rrcworking[[#This Row],[Magnum Wolfpak '#]],Table2[Rox Wolf'#],0)))</f>
        <v>2578</v>
      </c>
      <c r="W134" s="24"/>
      <c r="X134" s="136">
        <f>IF(rrcworking[[#This Row],[Pressure Base]]=14.73,rrcworking[[#This Row],[Gas Sales Statement Volume (MCF)]]*$R$2,rrcworking[[#This Row],[Gas Sales Statement Volume (MCF)]])</f>
        <v>2578</v>
      </c>
      <c r="Y134" s="60"/>
      <c r="Z134" s="60">
        <v>0</v>
      </c>
      <c r="AA134" s="147">
        <f>IF(ISERROR(INDEX(Table2[LEASE USE],MATCH(rrcworking[[#This Row],[Magnum Wolfpak '#]],Table2[Rox Wolf'#],0))),0,INDEX(Table2[LEASE USE],MATCH(rrcworking[[#This Row],[Magnum Wolfpak '#]],Table2[Rox Wolf'#],0)))</f>
        <v>0</v>
      </c>
      <c r="AB134" s="57">
        <f>rrcworking[[#This Row],[Disposition Volume (MCF) @ 14.65 MCF]]+rrcworking[[#This Row],[Lease Use (MCF)]]</f>
        <v>2578</v>
      </c>
      <c r="AC134" s="37"/>
      <c r="AD134" s="37" t="s">
        <v>1261</v>
      </c>
      <c r="AE134" s="192">
        <f>COUNTIF(FilterList,rrcworking[[#This Row],[Magnum Wolfpak '#]])</f>
        <v>0</v>
      </c>
      <c r="AF134" s="189"/>
      <c r="AG134" s="190"/>
      <c r="AH134" s="37"/>
      <c r="AI134" s="190"/>
      <c r="AJ134" s="191"/>
      <c r="AK134" s="191"/>
      <c r="AL134" s="191"/>
      <c r="AM134" s="191"/>
      <c r="AN134" s="191"/>
      <c r="AO134" s="191"/>
      <c r="AP134" s="37" t="s">
        <v>1173</v>
      </c>
      <c r="AQ134" s="37" t="s">
        <v>1208</v>
      </c>
    </row>
    <row r="135" spans="3:43" ht="15">
      <c r="C135" s="80" t="e">
        <v>#N/A</v>
      </c>
      <c r="D135" s="62" t="s">
        <v>295</v>
      </c>
      <c r="E135" s="132" t="s">
        <v>296</v>
      </c>
      <c r="F135" s="130">
        <v>3</v>
      </c>
      <c r="G135" s="121" t="s">
        <v>1094</v>
      </c>
      <c r="H135" s="18" t="s">
        <v>619</v>
      </c>
      <c r="I135" s="18" t="s">
        <v>59</v>
      </c>
      <c r="J135" s="19" t="s">
        <v>544</v>
      </c>
      <c r="K135" s="103">
        <v>129832</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3"/>
        <v>1</v>
      </c>
      <c r="P135" s="186"/>
      <c r="Q135" s="128">
        <f>rrcworking[[#This Row],[Last Month Closing Stock]]</f>
        <v>0</v>
      </c>
      <c r="R135" s="186">
        <f>rrcworking[[#This Row],[Opening Oil Stock]]</f>
        <v>0</v>
      </c>
      <c r="S135" s="147">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7">
        <f>IF(ISERROR(INDEX(Table2[GAS],MATCH(rrcworking[[#This Row],[Magnum Wolfpak '#]],Table2[Rox Wolf'#],0))),0,INDEX(Table2[GAS],MATCH(rrcworking[[#This Row],[Magnum Wolfpak '#]],Table2[Rox Wolf'#],0)))</f>
        <v>0</v>
      </c>
      <c r="W135" s="24"/>
      <c r="X135" s="136">
        <f>IF(rrcworking[[#This Row],[Pressure Base]]=14.73,rrcworking[[#This Row],[Gas Sales Statement Volume (MCF)]]*$R$2,rrcworking[[#This Row],[Gas Sales Statement Volume (MCF)]])</f>
        <v>0</v>
      </c>
      <c r="Y135" s="60"/>
      <c r="Z135" s="60"/>
      <c r="AA135" s="147">
        <f>IF(ISERROR(INDEX(Table2[LEASE USE],MATCH(rrcworking[[#This Row],[Magnum Wolfpak '#]],Table2[Rox Wolf'#],0))),0,INDEX(Table2[LEASE USE],MATCH(rrcworking[[#This Row],[Magnum Wolfpak '#]],Table2[Rox Wolf'#],0)))</f>
        <v>0</v>
      </c>
      <c r="AB135" s="57">
        <f>rrcworking[[#This Row],[Disposition Volume (MCF) @ 14.65 MCF]]+rrcworking[[#This Row],[Lease Use (MCF)]]</f>
        <v>0</v>
      </c>
      <c r="AC135" s="97"/>
      <c r="AD135" s="97"/>
      <c r="AE135" s="192">
        <f>COUNTIF(FilterList,rrcworking[[#This Row],[Magnum Wolfpak '#]])</f>
        <v>0</v>
      </c>
      <c r="AF135" s="189"/>
      <c r="AG135" s="190"/>
      <c r="AH135" s="37"/>
      <c r="AI135" s="37"/>
      <c r="AJ135" s="37"/>
      <c r="AK135" s="37"/>
      <c r="AL135" s="37"/>
      <c r="AM135" s="37"/>
      <c r="AN135" s="37"/>
      <c r="AO135" s="37"/>
      <c r="AP135" s="37"/>
      <c r="AQ135" s="37"/>
    </row>
    <row r="136" spans="3:43" ht="15">
      <c r="C136" s="80" t="e">
        <v>#N/A</v>
      </c>
      <c r="D136" s="62" t="s">
        <v>297</v>
      </c>
      <c r="E136" s="132" t="s">
        <v>296</v>
      </c>
      <c r="F136" s="130">
        <v>5</v>
      </c>
      <c r="G136" s="121" t="s">
        <v>1094</v>
      </c>
      <c r="H136" s="18" t="s">
        <v>619</v>
      </c>
      <c r="I136" s="18" t="s">
        <v>59</v>
      </c>
      <c r="J136" s="19" t="s">
        <v>546</v>
      </c>
      <c r="K136" s="103">
        <v>127418</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ref="O136:O167" si="4">IF(AND(L136=0,M136=0), TRUE, FALSE)</f>
        <v>1</v>
      </c>
      <c r="P136" s="186"/>
      <c r="Q136" s="128">
        <f>rrcworking[[#This Row],[Last Month Closing Stock]]</f>
        <v>0</v>
      </c>
      <c r="R136" s="186">
        <f>rrcworking[[#This Row],[Opening Oil Stock]]</f>
        <v>0</v>
      </c>
      <c r="S136" s="147">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 Volume]]-rrcworking[[#This Row],[Oil Production]]</f>
        <v>0</v>
      </c>
      <c r="V136" s="147">
        <f>IF(ISERROR(INDEX(Table2[GAS],MATCH(rrcworking[[#This Row],[Magnum Wolfpak '#]],Table2[Rox Wolf'#],0))),0,INDEX(Table2[GAS],MATCH(rrcworking[[#This Row],[Magnum Wolfpak '#]],Table2[Rox Wolf'#],0)))</f>
        <v>0</v>
      </c>
      <c r="W136" s="24"/>
      <c r="X136" s="136">
        <f>IF(rrcworking[[#This Row],[Pressure Base]]=14.73,rrcworking[[#This Row],[Gas Sales Statement Volume (MCF)]]*$R$2,rrcworking[[#This Row],[Gas Sales Statement Volume (MCF)]])</f>
        <v>0</v>
      </c>
      <c r="Y136" s="60"/>
      <c r="Z136" s="60"/>
      <c r="AA136" s="147">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192">
        <f>COUNTIF(FilterList,rrcworking[[#This Row],[Magnum Wolfpak '#]])</f>
        <v>0</v>
      </c>
      <c r="AF136" s="189"/>
      <c r="AG136" s="190"/>
      <c r="AH136" s="37"/>
      <c r="AI136" s="37"/>
      <c r="AJ136" s="37"/>
      <c r="AK136" s="37"/>
      <c r="AL136" s="37"/>
      <c r="AM136" s="37"/>
      <c r="AN136" s="37"/>
      <c r="AO136" s="37"/>
      <c r="AP136" s="37"/>
      <c r="AQ136" s="37"/>
    </row>
    <row r="137" spans="3:43" ht="15">
      <c r="C137" s="80" t="e">
        <v>#N/A</v>
      </c>
      <c r="D137" s="62" t="s">
        <v>297</v>
      </c>
      <c r="E137" s="132" t="s">
        <v>296</v>
      </c>
      <c r="F137" s="130">
        <v>4</v>
      </c>
      <c r="G137" s="121" t="s">
        <v>1094</v>
      </c>
      <c r="H137" s="18" t="s">
        <v>619</v>
      </c>
      <c r="I137" s="18" t="s">
        <v>59</v>
      </c>
      <c r="J137" s="19" t="s">
        <v>547</v>
      </c>
      <c r="K137" s="103">
        <v>128149</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6"/>
      <c r="Q137" s="128">
        <f>rrcworking[[#This Row],[Last Month Closing Stock]]</f>
        <v>0</v>
      </c>
      <c r="R137" s="186">
        <f>rrcworking[[#This Row],[Opening Oil Stock]]</f>
        <v>0</v>
      </c>
      <c r="S137" s="147">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7">
        <f>IF(ISERROR(INDEX(Table2[GAS],MATCH(rrcworking[[#This Row],[Magnum Wolfpak '#]],Table2[Rox Wolf'#],0))),0,INDEX(Table2[GAS],MATCH(rrcworking[[#This Row],[Magnum Wolfpak '#]],Table2[Rox Wolf'#],0)))</f>
        <v>0</v>
      </c>
      <c r="W137" s="24"/>
      <c r="X137" s="136">
        <f>IF(rrcworking[[#This Row],[Pressure Base]]=14.73,rrcworking[[#This Row],[Gas Sales Statement Volume (MCF)]]*$R$2,rrcworking[[#This Row],[Gas Sales Statement Volume (MCF)]])</f>
        <v>0</v>
      </c>
      <c r="Y137" s="60"/>
      <c r="Z137" s="60"/>
      <c r="AA137" s="147">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c r="AE137" s="192">
        <f>COUNTIF(FilterList,rrcworking[[#This Row],[Magnum Wolfpak '#]])</f>
        <v>0</v>
      </c>
      <c r="AF137" s="189"/>
      <c r="AG137" s="190"/>
      <c r="AH137" s="37"/>
      <c r="AI137" s="37"/>
      <c r="AJ137" s="37"/>
      <c r="AK137" s="37"/>
      <c r="AL137" s="37"/>
      <c r="AM137" s="37"/>
      <c r="AN137" s="37"/>
      <c r="AO137" s="37"/>
      <c r="AP137" s="37"/>
      <c r="AQ137" s="37"/>
    </row>
    <row r="138" spans="3:43" ht="135">
      <c r="C138" s="80">
        <v>99132</v>
      </c>
      <c r="D138" s="62" t="s">
        <v>382</v>
      </c>
      <c r="E138" s="132" t="s">
        <v>383</v>
      </c>
      <c r="F138" s="141" t="s">
        <v>61</v>
      </c>
      <c r="G138" s="121">
        <v>6114</v>
      </c>
      <c r="H138" s="18" t="s">
        <v>620</v>
      </c>
      <c r="I138" s="18" t="s">
        <v>2</v>
      </c>
      <c r="J138" s="19" t="s">
        <v>596</v>
      </c>
      <c r="K138" s="103">
        <v>3212</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11</v>
      </c>
      <c r="O138" s="106" t="b">
        <f t="shared" si="4"/>
        <v>1</v>
      </c>
      <c r="P138" s="186">
        <v>5</v>
      </c>
      <c r="Q138" s="128">
        <f>rrcworking[[#This Row],[Last Month Closing Stock]]</f>
        <v>11</v>
      </c>
      <c r="R138" s="187">
        <v>25</v>
      </c>
      <c r="S138" s="147">
        <f>IF(ISERROR(INDEX(Table2[OIL],MATCH(rrcworking[[#This Row],[Magnum Wolfpak '#]],Table2[Rox Wolf'#],0))),0,INDEX(Table2[OIL],MATCH(rrcworking[[#This Row],[Magnum Wolfpak '#]],Table2[Rox Wolf'#],0)))</f>
        <v>0</v>
      </c>
      <c r="T138" s="35">
        <f>rrcworking[[#This Row],[Closing Stock (Oil)]]+rrcworking[[#This Row],[Sales/Dispostion]]-rrcworking[[#This Row],[Opening Oil Stock]]</f>
        <v>14</v>
      </c>
      <c r="U138" s="112">
        <f>rrcworking[[#This Row],[Gauge Sheet Prod Volume]]-rrcworking[[#This Row],[Oil Production]]</f>
        <v>-9</v>
      </c>
      <c r="V138" s="147">
        <f>IF(ISERROR(INDEX(Table2[GAS],MATCH(rrcworking[[#This Row],[Magnum Wolfpak '#]],Table2[Rox Wolf'#],0))),0,INDEX(Table2[GAS],MATCH(rrcworking[[#This Row],[Magnum Wolfpak '#]],Table2[Rox Wolf'#],0)))</f>
        <v>0</v>
      </c>
      <c r="W138" s="24"/>
      <c r="X138" s="136">
        <f>IF(rrcworking[[#This Row],[Pressure Base]]=14.73,rrcworking[[#This Row],[Gas Sales Statement Volume (MCF)]]*$R$2,rrcworking[[#This Row],[Gas Sales Statement Volume (MCF)]])</f>
        <v>0</v>
      </c>
      <c r="Y138" s="60"/>
      <c r="Z138" s="60">
        <v>4</v>
      </c>
      <c r="AA138" s="147">
        <f>IF(ISERROR(INDEX(Table2[LEASE USE],MATCH(rrcworking[[#This Row],[Magnum Wolfpak '#]],Table2[Rox Wolf'#],0))),0,INDEX(Table2[LEASE USE],MATCH(rrcworking[[#This Row],[Magnum Wolfpak '#]],Table2[Rox Wolf'#],0)))</f>
        <v>8</v>
      </c>
      <c r="AB138" s="57">
        <f>rrcworking[[#This Row],[Disposition Volume (MCF) @ 14.65 MCF]]+rrcworking[[#This Row],[Lease Use (MCF)]]</f>
        <v>8</v>
      </c>
      <c r="AC138" s="37"/>
      <c r="AD138" s="37" t="s">
        <v>1263</v>
      </c>
      <c r="AE138" s="192">
        <f>COUNTIF(FilterList,rrcworking[[#This Row],[Magnum Wolfpak '#]])</f>
        <v>1</v>
      </c>
      <c r="AF138" s="189"/>
      <c r="AG138" s="190"/>
      <c r="AH138" s="37"/>
      <c r="AI138" s="190"/>
      <c r="AJ138" s="191"/>
      <c r="AK138" s="191"/>
      <c r="AL138" s="191"/>
      <c r="AM138" s="191"/>
      <c r="AN138" s="191"/>
      <c r="AO138" s="191"/>
      <c r="AP138" s="37" t="s">
        <v>1173</v>
      </c>
      <c r="AQ138" s="37" t="s">
        <v>1216</v>
      </c>
    </row>
    <row r="139" spans="3:43" ht="15">
      <c r="C139" s="80">
        <v>99133</v>
      </c>
      <c r="D139" s="62" t="s">
        <v>387</v>
      </c>
      <c r="E139" s="132" t="s">
        <v>388</v>
      </c>
      <c r="F139" s="141" t="s">
        <v>912</v>
      </c>
      <c r="G139" s="121">
        <v>6114</v>
      </c>
      <c r="H139" s="18" t="s">
        <v>620</v>
      </c>
      <c r="I139" s="18" t="s">
        <v>2</v>
      </c>
      <c r="J139" s="19" t="s">
        <v>599</v>
      </c>
      <c r="K139" s="103">
        <v>13668</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6"/>
      <c r="Q139" s="128">
        <f>rrcworking[[#This Row],[Last Month Closing Stock]]</f>
        <v>0</v>
      </c>
      <c r="R139" s="186">
        <f>rrcworking[[#This Row],[Opening Oil Stock]]</f>
        <v>0</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7">
        <f>IF(ISERROR(INDEX(Table2[GAS],MATCH(rrcworking[[#This Row],[Magnum Wolfpak '#]],Table2[Rox Wolf'#],0))),0,INDEX(Table2[GAS],MATCH(rrcworking[[#This Row],[Magnum Wolfpak '#]],Table2[Rox Wolf'#],0)))</f>
        <v>0</v>
      </c>
      <c r="W139" s="24"/>
      <c r="X139" s="136">
        <f>IF(rrcworking[[#This Row],[Pressure Base]]=14.73,rrcworking[[#This Row],[Gas Sales Statement Volume (MCF)]]*$R$2,rrcworking[[#This Row],[Gas Sales Statement Volume (MCF)]])</f>
        <v>0</v>
      </c>
      <c r="Y139" s="60"/>
      <c r="Z139" s="60"/>
      <c r="AA139" s="147">
        <f>IF(ISERROR(INDEX(Table2[LEASE USE],MATCH(rrcworking[[#This Row],[Magnum Wolfpak '#]],Table2[Rox Wolf'#],0))),0,INDEX(Table2[LEASE USE],MATCH(rrcworking[[#This Row],[Magnum Wolfpak '#]],Table2[Rox Wolf'#],0)))</f>
        <v>0</v>
      </c>
      <c r="AB139" s="57">
        <f>rrcworking[[#This Row],[Disposition Volume (MCF) @ 14.65 MCF]]+rrcworking[[#This Row],[Lease Use (MCF)]]</f>
        <v>0</v>
      </c>
      <c r="AC139" s="63"/>
      <c r="AD139" s="37"/>
      <c r="AE139" s="192">
        <f>COUNTIF(FilterList,rrcworking[[#This Row],[Magnum Wolfpak '#]])</f>
        <v>1</v>
      </c>
      <c r="AF139" s="189"/>
      <c r="AG139" s="190"/>
      <c r="AH139" s="37"/>
      <c r="AI139" s="37"/>
      <c r="AJ139" s="191"/>
      <c r="AK139" s="191"/>
      <c r="AL139" s="191"/>
      <c r="AM139" s="191"/>
      <c r="AN139" s="191"/>
      <c r="AO139" s="191"/>
      <c r="AP139" s="37" t="s">
        <v>1173</v>
      </c>
      <c r="AQ139" s="37"/>
    </row>
    <row r="140" spans="3:43" ht="15">
      <c r="C140" s="80" t="e">
        <v>#N/A</v>
      </c>
      <c r="D140" s="62" t="s">
        <v>389</v>
      </c>
      <c r="E140" s="132" t="s">
        <v>390</v>
      </c>
      <c r="F140" s="130">
        <v>0</v>
      </c>
      <c r="G140" s="121" t="s">
        <v>1094</v>
      </c>
      <c r="H140" s="18" t="s">
        <v>620</v>
      </c>
      <c r="I140" s="18" t="s">
        <v>2</v>
      </c>
      <c r="J140" s="19" t="s">
        <v>600</v>
      </c>
      <c r="K140" s="103">
        <v>13664</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64</v>
      </c>
      <c r="O140" s="106" t="b">
        <f t="shared" si="4"/>
        <v>1</v>
      </c>
      <c r="P140" s="186"/>
      <c r="Q140" s="128">
        <f>rrcworking[[#This Row],[Last Month Closing Stock]]</f>
        <v>64</v>
      </c>
      <c r="R140" s="186">
        <f>rrcworking[[#This Row],[Opening Oil Stock]]</f>
        <v>64</v>
      </c>
      <c r="S140" s="147">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7">
        <f>IF(ISERROR(INDEX(Table2[GAS],MATCH(rrcworking[[#This Row],[Magnum Wolfpak '#]],Table2[Rox Wolf'#],0))),0,INDEX(Table2[GAS],MATCH(rrcworking[[#This Row],[Magnum Wolfpak '#]],Table2[Rox Wolf'#],0)))</f>
        <v>0</v>
      </c>
      <c r="W140" s="24"/>
      <c r="X140" s="136">
        <f>IF(rrcworking[[#This Row],[Pressure Base]]=14.73,rrcworking[[#This Row],[Gas Sales Statement Volume (MCF)]]*$R$2,rrcworking[[#This Row],[Gas Sales Statement Volume (MCF)]])</f>
        <v>0</v>
      </c>
      <c r="Y140" s="60"/>
      <c r="Z140" s="60"/>
      <c r="AA140" s="147">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92">
        <f>COUNTIF(FilterList,rrcworking[[#This Row],[Magnum Wolfpak '#]])</f>
        <v>0</v>
      </c>
      <c r="AF140" s="189"/>
      <c r="AG140" s="190"/>
      <c r="AH140" s="37"/>
      <c r="AI140" s="37"/>
      <c r="AJ140" s="37"/>
      <c r="AK140" s="37"/>
      <c r="AL140" s="37"/>
      <c r="AM140" s="37"/>
      <c r="AN140" s="37"/>
      <c r="AO140" s="37"/>
      <c r="AP140" s="37"/>
      <c r="AQ140" s="37"/>
    </row>
    <row r="141" spans="3:43" ht="15">
      <c r="C141" s="80" t="e">
        <v>#N/A</v>
      </c>
      <c r="D141" s="62" t="s">
        <v>365</v>
      </c>
      <c r="E141" s="132" t="s">
        <v>366</v>
      </c>
      <c r="F141" s="130">
        <v>2</v>
      </c>
      <c r="G141" s="121" t="s">
        <v>1094</v>
      </c>
      <c r="H141" s="18" t="s">
        <v>620</v>
      </c>
      <c r="I141" s="18" t="s">
        <v>59</v>
      </c>
      <c r="J141" s="19" t="s">
        <v>586</v>
      </c>
      <c r="K141" s="103">
        <v>192315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6"/>
      <c r="Q141" s="128">
        <f>rrcworking[[#This Row],[Last Month Closing Stock]]</f>
        <v>0</v>
      </c>
      <c r="R141" s="186">
        <f>rrcworking[[#This Row],[Opening Oil Stock]]</f>
        <v>0</v>
      </c>
      <c r="S141" s="147">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7">
        <f>IF(ISERROR(INDEX(Table2[GAS],MATCH(rrcworking[[#This Row],[Magnum Wolfpak '#]],Table2[Rox Wolf'#],0))),0,INDEX(Table2[GAS],MATCH(rrcworking[[#This Row],[Magnum Wolfpak '#]],Table2[Rox Wolf'#],0)))</f>
        <v>0</v>
      </c>
      <c r="W141" s="24"/>
      <c r="X141" s="136">
        <f>IF(rrcworking[[#This Row],[Pressure Base]]=14.73,rrcworking[[#This Row],[Gas Sales Statement Volume (MCF)]]*$R$2,rrcworking[[#This Row],[Gas Sales Statement Volume (MCF)]])</f>
        <v>0</v>
      </c>
      <c r="Y141" s="60"/>
      <c r="Z141" s="60"/>
      <c r="AA141" s="147">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192">
        <f>COUNTIF(FilterList,rrcworking[[#This Row],[Magnum Wolfpak '#]])</f>
        <v>0</v>
      </c>
      <c r="AF141" s="189"/>
      <c r="AG141" s="190"/>
      <c r="AH141" s="37"/>
      <c r="AI141" s="37"/>
      <c r="AJ141" s="37"/>
      <c r="AK141" s="37"/>
      <c r="AL141" s="37"/>
      <c r="AM141" s="37"/>
      <c r="AN141" s="37"/>
      <c r="AO141" s="37"/>
      <c r="AP141" s="37"/>
      <c r="AQ141" s="37"/>
    </row>
    <row r="142" spans="3:43" ht="15">
      <c r="C142" s="80" t="e">
        <v>#N/A</v>
      </c>
      <c r="D142" s="62" t="s">
        <v>210</v>
      </c>
      <c r="E142" s="132" t="s">
        <v>214</v>
      </c>
      <c r="F142" s="130">
        <v>1</v>
      </c>
      <c r="G142" s="121" t="s">
        <v>1094</v>
      </c>
      <c r="H142" s="18" t="s">
        <v>619</v>
      </c>
      <c r="I142" s="18" t="s">
        <v>59</v>
      </c>
      <c r="J142" s="19" t="s">
        <v>494</v>
      </c>
      <c r="K142" s="103">
        <v>279165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6"/>
      <c r="Q142" s="128">
        <f>rrcworking[[#This Row],[Last Month Closing Stock]]</f>
        <v>0</v>
      </c>
      <c r="R142" s="186">
        <f>rrcworking[[#This Row],[Opening Oil Stock]]</f>
        <v>0</v>
      </c>
      <c r="S142" s="147">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7">
        <f>IF(ISERROR(INDEX(Table2[GAS],MATCH(rrcworking[[#This Row],[Magnum Wolfpak '#]],Table2[Rox Wolf'#],0))),0,INDEX(Table2[GAS],MATCH(rrcworking[[#This Row],[Magnum Wolfpak '#]],Table2[Rox Wolf'#],0)))</f>
        <v>0</v>
      </c>
      <c r="W142" s="24"/>
      <c r="X142" s="136">
        <f>IF(rrcworking[[#This Row],[Pressure Base]]=14.73,rrcworking[[#This Row],[Gas Sales Statement Volume (MCF)]]*$R$2,rrcworking[[#This Row],[Gas Sales Statement Volume (MCF)]])</f>
        <v>0</v>
      </c>
      <c r="Y142" s="60"/>
      <c r="Z142" s="60"/>
      <c r="AA142" s="147">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192">
        <f>COUNTIF(FilterList,rrcworking[[#This Row],[Magnum Wolfpak '#]])</f>
        <v>0</v>
      </c>
      <c r="AF142" s="189"/>
      <c r="AG142" s="190"/>
      <c r="AH142" s="37"/>
      <c r="AI142" s="37"/>
      <c r="AJ142" s="37"/>
      <c r="AK142" s="37"/>
      <c r="AL142" s="37"/>
      <c r="AM142" s="37"/>
      <c r="AN142" s="37"/>
      <c r="AO142" s="37"/>
      <c r="AP142" s="37"/>
      <c r="AQ142" s="37"/>
    </row>
    <row r="143" spans="3:43" ht="15">
      <c r="C143" s="80" t="e">
        <v>#N/A</v>
      </c>
      <c r="D143" s="62" t="s">
        <v>127</v>
      </c>
      <c r="E143" s="132" t="s">
        <v>128</v>
      </c>
      <c r="F143" s="130">
        <v>0</v>
      </c>
      <c r="G143" s="121" t="s">
        <v>1094</v>
      </c>
      <c r="H143" s="18" t="s">
        <v>618</v>
      </c>
      <c r="I143" s="18" t="s">
        <v>2</v>
      </c>
      <c r="J143" s="19" t="s">
        <v>446</v>
      </c>
      <c r="K143" s="103">
        <v>4248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213</v>
      </c>
      <c r="O143" s="106" t="b">
        <f t="shared" si="4"/>
        <v>1</v>
      </c>
      <c r="P143" s="186"/>
      <c r="Q143" s="128">
        <f>rrcworking[[#This Row],[Last Month Closing Stock]]</f>
        <v>213</v>
      </c>
      <c r="R143" s="186">
        <f>rrcworking[[#This Row],[Opening Oil Stock]]</f>
        <v>213</v>
      </c>
      <c r="S143" s="147">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7">
        <f>IF(ISERROR(INDEX(Table2[GAS],MATCH(rrcworking[[#This Row],[Magnum Wolfpak '#]],Table2[Rox Wolf'#],0))),0,INDEX(Table2[GAS],MATCH(rrcworking[[#This Row],[Magnum Wolfpak '#]],Table2[Rox Wolf'#],0)))</f>
        <v>0</v>
      </c>
      <c r="W143" s="24"/>
      <c r="X143" s="136">
        <f>IF(rrcworking[[#This Row],[Pressure Base]]=14.73,rrcworking[[#This Row],[Gas Sales Statement Volume (MCF)]]*$R$2,rrcworking[[#This Row],[Gas Sales Statement Volume (MCF)]])</f>
        <v>0</v>
      </c>
      <c r="Y143" s="60"/>
      <c r="Z143" s="60"/>
      <c r="AA143" s="147">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92">
        <f>COUNTIF(FilterList,rrcworking[[#This Row],[Magnum Wolfpak '#]])</f>
        <v>0</v>
      </c>
      <c r="AF143" s="189"/>
      <c r="AG143" s="190"/>
      <c r="AH143" s="37"/>
      <c r="AI143" s="37"/>
      <c r="AJ143" s="37"/>
      <c r="AK143" s="37"/>
      <c r="AL143" s="37"/>
      <c r="AM143" s="37"/>
      <c r="AN143" s="37"/>
      <c r="AO143" s="37"/>
      <c r="AP143" s="37"/>
      <c r="AQ143" s="37"/>
    </row>
    <row r="144" spans="3:43" ht="15">
      <c r="C144" s="80" t="e">
        <v>#N/A</v>
      </c>
      <c r="D144" s="62" t="s">
        <v>271</v>
      </c>
      <c r="E144" s="132" t="s">
        <v>272</v>
      </c>
      <c r="F144" s="130">
        <v>1</v>
      </c>
      <c r="G144" s="121" t="s">
        <v>1094</v>
      </c>
      <c r="H144" s="18" t="s">
        <v>619</v>
      </c>
      <c r="I144" s="18" t="s">
        <v>59</v>
      </c>
      <c r="J144" s="19" t="s">
        <v>525</v>
      </c>
      <c r="K144" s="103">
        <v>58664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6"/>
      <c r="Q144" s="128">
        <f>rrcworking[[#This Row],[Last Month Closing Stock]]</f>
        <v>0</v>
      </c>
      <c r="R144" s="186">
        <f>rrcworking[[#This Row],[Opening Oil Stock]]</f>
        <v>0</v>
      </c>
      <c r="S144" s="147">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7">
        <f>IF(ISERROR(INDEX(Table2[GAS],MATCH(rrcworking[[#This Row],[Magnum Wolfpak '#]],Table2[Rox Wolf'#],0))),0,INDEX(Table2[GAS],MATCH(rrcworking[[#This Row],[Magnum Wolfpak '#]],Table2[Rox Wolf'#],0)))</f>
        <v>0</v>
      </c>
      <c r="W144" s="24"/>
      <c r="X144" s="136">
        <f>IF(rrcworking[[#This Row],[Pressure Base]]=14.73,rrcworking[[#This Row],[Gas Sales Statement Volume (MCF)]]*$R$2,rrcworking[[#This Row],[Gas Sales Statement Volume (MCF)]])</f>
        <v>0</v>
      </c>
      <c r="Y144" s="60"/>
      <c r="Z144" s="60"/>
      <c r="AA144" s="147">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192">
        <f>COUNTIF(FilterList,rrcworking[[#This Row],[Magnum Wolfpak '#]])</f>
        <v>0</v>
      </c>
      <c r="AF144" s="189"/>
      <c r="AG144" s="190"/>
      <c r="AH144" s="37"/>
      <c r="AI144" s="37"/>
      <c r="AJ144" s="37"/>
      <c r="AK144" s="37"/>
      <c r="AL144" s="37"/>
      <c r="AM144" s="37"/>
      <c r="AN144" s="37"/>
      <c r="AO144" s="37"/>
      <c r="AP144" s="37"/>
      <c r="AQ144" s="37"/>
    </row>
    <row r="145" spans="3:43" ht="15">
      <c r="C145" s="80" t="e">
        <v>#N/A</v>
      </c>
      <c r="D145" s="62" t="s">
        <v>112</v>
      </c>
      <c r="E145" s="132" t="s">
        <v>113</v>
      </c>
      <c r="F145" s="130">
        <v>5</v>
      </c>
      <c r="G145" s="121">
        <v>5048</v>
      </c>
      <c r="H145" s="18" t="s">
        <v>618</v>
      </c>
      <c r="I145" s="18" t="s">
        <v>59</v>
      </c>
      <c r="J145" s="19" t="s">
        <v>436</v>
      </c>
      <c r="K145" s="103">
        <v>198005</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186"/>
      <c r="Q145" s="128">
        <f>rrcworking[[#This Row],[Last Month Closing Stock]]</f>
        <v>0</v>
      </c>
      <c r="R145" s="186">
        <f>rrcworking[[#This Row],[Opening Oil Stock]]</f>
        <v>0</v>
      </c>
      <c r="S145" s="147">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 Volume]]-rrcworking[[#This Row],[Oil Production]]</f>
        <v>0</v>
      </c>
      <c r="V145" s="147">
        <f>IF(ISERROR(INDEX(Table2[GAS],MATCH(rrcworking[[#This Row],[Magnum Wolfpak '#]],Table2[Rox Wolf'#],0))),0,INDEX(Table2[GAS],MATCH(rrcworking[[#This Row],[Magnum Wolfpak '#]],Table2[Rox Wolf'#],0)))</f>
        <v>0</v>
      </c>
      <c r="W145" s="24"/>
      <c r="X145" s="136">
        <f>IF(rrcworking[[#This Row],[Pressure Base]]=14.73,rrcworking[[#This Row],[Gas Sales Statement Volume (MCF)]]*$R$2,rrcworking[[#This Row],[Gas Sales Statement Volume (MCF)]])</f>
        <v>0</v>
      </c>
      <c r="Y145" s="60"/>
      <c r="Z145" s="60"/>
      <c r="AA145" s="147">
        <f>IF(ISERROR(INDEX(Table2[LEASE USE],MATCH(rrcworking[[#This Row],[Magnum Wolfpak '#]],Table2[Rox Wolf'#],0))),0,INDEX(Table2[LEASE USE],MATCH(rrcworking[[#This Row],[Magnum Wolfpak '#]],Table2[Rox Wolf'#],0)))</f>
        <v>0</v>
      </c>
      <c r="AB145" s="57">
        <f>rrcworking[[#This Row],[Disposition Volume (MCF) @ 14.65 MCF]]+rrcworking[[#This Row],[Lease Use (MCF)]]</f>
        <v>0</v>
      </c>
      <c r="AC145" s="97"/>
      <c r="AD145" s="37"/>
      <c r="AE145" s="192">
        <f>COUNTIF(FilterList,rrcworking[[#This Row],[Magnum Wolfpak '#]])</f>
        <v>0</v>
      </c>
      <c r="AF145" s="189"/>
      <c r="AG145" s="190"/>
      <c r="AH145" s="37"/>
      <c r="AI145" s="37"/>
      <c r="AJ145" s="37"/>
      <c r="AK145" s="37"/>
      <c r="AL145" s="37"/>
      <c r="AM145" s="37"/>
      <c r="AN145" s="37"/>
      <c r="AO145" s="37"/>
      <c r="AP145" s="37"/>
      <c r="AQ145" s="37"/>
    </row>
    <row r="146" spans="3:43" ht="15">
      <c r="C146" s="80" t="e">
        <v>#N/A</v>
      </c>
      <c r="D146" s="62" t="s">
        <v>129</v>
      </c>
      <c r="E146" s="132" t="s">
        <v>113</v>
      </c>
      <c r="F146" s="130">
        <v>3</v>
      </c>
      <c r="G146" s="121">
        <v>5048</v>
      </c>
      <c r="H146" s="18" t="s">
        <v>618</v>
      </c>
      <c r="I146" s="18" t="s">
        <v>59</v>
      </c>
      <c r="J146" s="19" t="s">
        <v>447</v>
      </c>
      <c r="K146" s="103">
        <v>184558</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6"/>
      <c r="Q146" s="128">
        <f>rrcworking[[#This Row],[Last Month Closing Stock]]</f>
        <v>0</v>
      </c>
      <c r="R146" s="186">
        <f>rrcworking[[#This Row],[Opening Oil Stock]]</f>
        <v>0</v>
      </c>
      <c r="S146" s="147">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7">
        <f>IF(ISERROR(INDEX(Table2[GAS],MATCH(rrcworking[[#This Row],[Magnum Wolfpak '#]],Table2[Rox Wolf'#],0))),0,INDEX(Table2[GAS],MATCH(rrcworking[[#This Row],[Magnum Wolfpak '#]],Table2[Rox Wolf'#],0)))</f>
        <v>0</v>
      </c>
      <c r="W146" s="24"/>
      <c r="X146" s="136">
        <f>IF(rrcworking[[#This Row],[Pressure Base]]=14.73,rrcworking[[#This Row],[Gas Sales Statement Volume (MCF)]]*$R$2,rrcworking[[#This Row],[Gas Sales Statement Volume (MCF)]])</f>
        <v>0</v>
      </c>
      <c r="Y146" s="60"/>
      <c r="Z146" s="60"/>
      <c r="AA146" s="147">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92">
        <f>COUNTIF(FilterList,rrcworking[[#This Row],[Magnum Wolfpak '#]])</f>
        <v>0</v>
      </c>
      <c r="AF146" s="189"/>
      <c r="AG146" s="190"/>
      <c r="AH146" s="37"/>
      <c r="AI146" s="37"/>
      <c r="AJ146" s="37"/>
      <c r="AK146" s="37"/>
      <c r="AL146" s="37"/>
      <c r="AM146" s="37"/>
      <c r="AN146" s="37"/>
      <c r="AO146" s="37"/>
      <c r="AP146" s="37"/>
      <c r="AQ146" s="37"/>
    </row>
    <row r="147" spans="3:43" ht="15">
      <c r="C147" s="80" t="e">
        <v>#N/A</v>
      </c>
      <c r="D147" s="62" t="s">
        <v>110</v>
      </c>
      <c r="E147" s="132" t="s">
        <v>111</v>
      </c>
      <c r="F147" s="130">
        <v>1</v>
      </c>
      <c r="G147" s="121" t="s">
        <v>1094</v>
      </c>
      <c r="H147" s="18" t="s">
        <v>618</v>
      </c>
      <c r="I147" s="18" t="s">
        <v>59</v>
      </c>
      <c r="J147" s="19" t="s">
        <v>434</v>
      </c>
      <c r="K147" s="103">
        <v>172874</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0</v>
      </c>
      <c r="O147" s="106" t="b">
        <f t="shared" si="4"/>
        <v>1</v>
      </c>
      <c r="P147" s="186"/>
      <c r="Q147" s="128">
        <f>rrcworking[[#This Row],[Last Month Closing Stock]]</f>
        <v>0</v>
      </c>
      <c r="R147" s="186">
        <f>rrcworking[[#This Row],[Opening Oil Stock]]</f>
        <v>0</v>
      </c>
      <c r="S147" s="147">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7">
        <f>IF(ISERROR(INDEX(Table2[GAS],MATCH(rrcworking[[#This Row],[Magnum Wolfpak '#]],Table2[Rox Wolf'#],0))),0,INDEX(Table2[GAS],MATCH(rrcworking[[#This Row],[Magnum Wolfpak '#]],Table2[Rox Wolf'#],0)))</f>
        <v>0</v>
      </c>
      <c r="W147" s="24"/>
      <c r="X147" s="136">
        <f>IF(rrcworking[[#This Row],[Pressure Base]]=14.73,rrcworking[[#This Row],[Gas Sales Statement Volume (MCF)]]*$R$2,rrcworking[[#This Row],[Gas Sales Statement Volume (MCF)]])</f>
        <v>0</v>
      </c>
      <c r="Y147" s="60"/>
      <c r="Z147" s="60"/>
      <c r="AA147" s="147">
        <f>IF(ISERROR(INDEX(Table2[LEASE USE],MATCH(rrcworking[[#This Row],[Magnum Wolfpak '#]],Table2[Rox Wolf'#],0))),0,INDEX(Table2[LEASE USE],MATCH(rrcworking[[#This Row],[Magnum Wolfpak '#]],Table2[Rox Wolf'#],0)))</f>
        <v>0</v>
      </c>
      <c r="AB147" s="57">
        <f>rrcworking[[#This Row],[Disposition Volume (MCF) @ 14.65 MCF]]+rrcworking[[#This Row],[Lease Use (MCF)]]</f>
        <v>0</v>
      </c>
      <c r="AC147" s="37"/>
      <c r="AD147" s="37"/>
      <c r="AE147" s="192">
        <f>COUNTIF(FilterList,rrcworking[[#This Row],[Magnum Wolfpak '#]])</f>
        <v>0</v>
      </c>
      <c r="AF147" s="189"/>
      <c r="AG147" s="190"/>
      <c r="AH147" s="37"/>
      <c r="AI147" s="37"/>
      <c r="AJ147" s="37"/>
      <c r="AK147" s="37"/>
      <c r="AL147" s="37"/>
      <c r="AM147" s="37"/>
      <c r="AN147" s="37"/>
      <c r="AO147" s="37"/>
      <c r="AP147" s="37"/>
      <c r="AQ147" s="37"/>
    </row>
    <row r="148" spans="3:43" ht="15">
      <c r="C148" s="80">
        <v>99256</v>
      </c>
      <c r="D148" s="62" t="s">
        <v>112</v>
      </c>
      <c r="E148" s="132" t="s">
        <v>111</v>
      </c>
      <c r="F148" s="130">
        <v>1</v>
      </c>
      <c r="G148" s="121">
        <v>5048</v>
      </c>
      <c r="H148" s="18" t="s">
        <v>618</v>
      </c>
      <c r="I148" s="18" t="s">
        <v>59</v>
      </c>
      <c r="J148" s="19" t="s">
        <v>435</v>
      </c>
      <c r="K148" s="103">
        <v>180461</v>
      </c>
      <c r="L148" s="101">
        <f>INDEX(Table1[Production],MATCH(rrcworking[[#This Row],[RRC ID Number]],Table1[RRC Identifier],0))</f>
        <v>68</v>
      </c>
      <c r="M148" s="30">
        <f>INDEX(Table1[Formation Production],MATCH(rrcworking[[#This Row],[RRC ID Number]],Table1[RRC Identifier],0))</f>
        <v>1871</v>
      </c>
      <c r="N148" s="31">
        <f>INDEX(Table1[On Hand End of Month],MATCH(rrcworking[[#This Row],[RRC ID Number]],Table1[RRC Identifier],0))</f>
        <v>222</v>
      </c>
      <c r="O148" s="106" t="b">
        <f t="shared" si="4"/>
        <v>0</v>
      </c>
      <c r="P148" s="186">
        <v>51</v>
      </c>
      <c r="Q148" s="128">
        <f>rrcworking[[#This Row],[Last Month Closing Stock]]</f>
        <v>222</v>
      </c>
      <c r="R148" s="187">
        <v>94</v>
      </c>
      <c r="S148" s="147">
        <f>IF(ISERROR(INDEX(Table2[OIL],MATCH(rrcworking[[#This Row],[Magnum Wolfpak '#]],Table2[Rox Wolf'#],0))),0,INDEX(Table2[OIL],MATCH(rrcworking[[#This Row],[Magnum Wolfpak '#]],Table2[Rox Wolf'#],0)))</f>
        <v>181</v>
      </c>
      <c r="T148" s="35">
        <f>rrcworking[[#This Row],[Closing Stock (Oil)]]+rrcworking[[#This Row],[Sales/Dispostion]]-rrcworking[[#This Row],[Opening Oil Stock]]</f>
        <v>53</v>
      </c>
      <c r="U148" s="112">
        <f>rrcworking[[#This Row],[Gauge Sheet Prod Volume]]-rrcworking[[#This Row],[Oil Production]]</f>
        <v>-2</v>
      </c>
      <c r="V148" s="147">
        <f>IF(ISERROR(INDEX(Table2[GAS],MATCH(rrcworking[[#This Row],[Magnum Wolfpak '#]],Table2[Rox Wolf'#],0))),0,INDEX(Table2[GAS],MATCH(rrcworking[[#This Row],[Magnum Wolfpak '#]],Table2[Rox Wolf'#],0)))</f>
        <v>1790</v>
      </c>
      <c r="W148" s="24"/>
      <c r="X148" s="136">
        <f>IF(rrcworking[[#This Row],[Pressure Base]]=14.73,rrcworking[[#This Row],[Gas Sales Statement Volume (MCF)]]*$R$2,rrcworking[[#This Row],[Gas Sales Statement Volume (MCF)]])</f>
        <v>1790</v>
      </c>
      <c r="Y148" s="60"/>
      <c r="Z148" s="60"/>
      <c r="AA148" s="147">
        <f>IF(ISERROR(INDEX(Table2[LEASE USE],MATCH(rrcworking[[#This Row],[Magnum Wolfpak '#]],Table2[Rox Wolf'#],0))),0,INDEX(Table2[LEASE USE],MATCH(rrcworking[[#This Row],[Magnum Wolfpak '#]],Table2[Rox Wolf'#],0)))</f>
        <v>0</v>
      </c>
      <c r="AB148" s="57">
        <f>rrcworking[[#This Row],[Disposition Volume (MCF) @ 14.65 MCF]]+rrcworking[[#This Row],[Lease Use (MCF)]]</f>
        <v>1790</v>
      </c>
      <c r="AC148" s="37"/>
      <c r="AD148" s="37"/>
      <c r="AE148" s="192">
        <f>COUNTIF(FilterList,rrcworking[[#This Row],[Magnum Wolfpak '#]])</f>
        <v>0</v>
      </c>
      <c r="AF148" s="189"/>
      <c r="AG148" s="190"/>
      <c r="AH148" s="37"/>
      <c r="AI148" s="190"/>
      <c r="AJ148" s="37">
        <v>2</v>
      </c>
      <c r="AK148" s="37" t="s">
        <v>1175</v>
      </c>
      <c r="AL148" s="37" t="s">
        <v>1175</v>
      </c>
      <c r="AM148" s="37" t="s">
        <v>1225</v>
      </c>
      <c r="AN148" s="37" t="s">
        <v>1175</v>
      </c>
      <c r="AO148" s="37" t="s">
        <v>1226</v>
      </c>
      <c r="AP148" s="37" t="s">
        <v>1227</v>
      </c>
      <c r="AQ148" s="37"/>
    </row>
    <row r="149" spans="3:43" ht="15">
      <c r="C149" s="80" t="e">
        <v>#N/A</v>
      </c>
      <c r="D149" s="62" t="s">
        <v>108</v>
      </c>
      <c r="E149" s="132" t="s">
        <v>109</v>
      </c>
      <c r="F149" s="130">
        <v>1</v>
      </c>
      <c r="G149" s="121" t="s">
        <v>1094</v>
      </c>
      <c r="H149" s="18" t="s">
        <v>618</v>
      </c>
      <c r="I149" s="18" t="s">
        <v>59</v>
      </c>
      <c r="J149" s="19" t="s">
        <v>433</v>
      </c>
      <c r="K149" s="103">
        <v>253815</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0</v>
      </c>
      <c r="O149" s="106" t="b">
        <f t="shared" si="4"/>
        <v>1</v>
      </c>
      <c r="P149" s="186"/>
      <c r="Q149" s="128">
        <f>rrcworking[[#This Row],[Last Month Closing Stock]]</f>
        <v>0</v>
      </c>
      <c r="R149" s="186">
        <f>rrcworking[[#This Row],[Opening Oil Stock]]</f>
        <v>0</v>
      </c>
      <c r="S149" s="147">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 Volume]]-rrcworking[[#This Row],[Oil Production]]</f>
        <v>0</v>
      </c>
      <c r="V149" s="147">
        <f>IF(ISERROR(INDEX(Table2[GAS],MATCH(rrcworking[[#This Row],[Magnum Wolfpak '#]],Table2[Rox Wolf'#],0))),0,INDEX(Table2[GAS],MATCH(rrcworking[[#This Row],[Magnum Wolfpak '#]],Table2[Rox Wolf'#],0)))</f>
        <v>0</v>
      </c>
      <c r="W149" s="24"/>
      <c r="X149" s="136">
        <f>IF(rrcworking[[#This Row],[Pressure Base]]=14.73,rrcworking[[#This Row],[Gas Sales Statement Volume (MCF)]]*$R$2,rrcworking[[#This Row],[Gas Sales Statement Volume (MCF)]])</f>
        <v>0</v>
      </c>
      <c r="Y149" s="60"/>
      <c r="Z149" s="60"/>
      <c r="AA149" s="147">
        <f>IF(ISERROR(INDEX(Table2[LEASE USE],MATCH(rrcworking[[#This Row],[Magnum Wolfpak '#]],Table2[Rox Wolf'#],0))),0,INDEX(Table2[LEASE USE],MATCH(rrcworking[[#This Row],[Magnum Wolfpak '#]],Table2[Rox Wolf'#],0)))</f>
        <v>0</v>
      </c>
      <c r="AB149" s="57">
        <f>rrcworking[[#This Row],[Disposition Volume (MCF) @ 14.65 MCF]]+rrcworking[[#This Row],[Lease Use (MCF)]]</f>
        <v>0</v>
      </c>
      <c r="AC149" s="37"/>
      <c r="AD149" s="37"/>
      <c r="AE149" s="192">
        <f>COUNTIF(FilterList,rrcworking[[#This Row],[Magnum Wolfpak '#]])</f>
        <v>0</v>
      </c>
      <c r="AF149" s="189"/>
      <c r="AG149" s="190"/>
      <c r="AH149" s="37"/>
      <c r="AI149" s="37"/>
      <c r="AJ149" s="37"/>
      <c r="AK149" s="37"/>
      <c r="AL149" s="37"/>
      <c r="AM149" s="37"/>
      <c r="AN149" s="37"/>
      <c r="AO149" s="37"/>
      <c r="AP149" s="37"/>
      <c r="AQ149" s="37"/>
    </row>
    <row r="150" spans="3:43" ht="15">
      <c r="C150" s="80" t="e">
        <v>#N/A</v>
      </c>
      <c r="D150" s="62" t="s">
        <v>195</v>
      </c>
      <c r="E150" s="132" t="s">
        <v>196</v>
      </c>
      <c r="F150" s="130">
        <v>0</v>
      </c>
      <c r="G150" s="121" t="s">
        <v>1094</v>
      </c>
      <c r="H150" s="18" t="s">
        <v>619</v>
      </c>
      <c r="I150" s="18" t="s">
        <v>2</v>
      </c>
      <c r="J150" s="19" t="s">
        <v>487</v>
      </c>
      <c r="K150" s="103">
        <v>24246</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52</v>
      </c>
      <c r="O150" s="106" t="b">
        <f t="shared" si="4"/>
        <v>1</v>
      </c>
      <c r="P150" s="186"/>
      <c r="Q150" s="128">
        <f>rrcworking[[#This Row],[Last Month Closing Stock]]</f>
        <v>52</v>
      </c>
      <c r="R150" s="186">
        <f>rrcworking[[#This Row],[Opening Oil Stock]]</f>
        <v>52</v>
      </c>
      <c r="S150" s="147">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7">
        <f>IF(ISERROR(INDEX(Table2[GAS],MATCH(rrcworking[[#This Row],[Magnum Wolfpak '#]],Table2[Rox Wolf'#],0))),0,INDEX(Table2[GAS],MATCH(rrcworking[[#This Row],[Magnum Wolfpak '#]],Table2[Rox Wolf'#],0)))</f>
        <v>0</v>
      </c>
      <c r="W150" s="24"/>
      <c r="X150" s="136">
        <f>IF(rrcworking[[#This Row],[Pressure Base]]=14.73,rrcworking[[#This Row],[Gas Sales Statement Volume (MCF)]]*$R$2,rrcworking[[#This Row],[Gas Sales Statement Volume (MCF)]])</f>
        <v>0</v>
      </c>
      <c r="Y150" s="60"/>
      <c r="Z150" s="60"/>
      <c r="AA150" s="147">
        <f>IF(ISERROR(INDEX(Table2[LEASE USE],MATCH(rrcworking[[#This Row],[Magnum Wolfpak '#]],Table2[Rox Wolf'#],0))),0,INDEX(Table2[LEASE USE],MATCH(rrcworking[[#This Row],[Magnum Wolfpak '#]],Table2[Rox Wolf'#],0)))</f>
        <v>0</v>
      </c>
      <c r="AB150" s="57">
        <f>rrcworking[[#This Row],[Disposition Volume (MCF) @ 14.65 MCF]]+rrcworking[[#This Row],[Lease Use (MCF)]]</f>
        <v>0</v>
      </c>
      <c r="AC150" s="63"/>
      <c r="AD150" s="37"/>
      <c r="AE150" s="192">
        <f>COUNTIF(FilterList,rrcworking[[#This Row],[Magnum Wolfpak '#]])</f>
        <v>0</v>
      </c>
      <c r="AF150" s="189"/>
      <c r="AG150" s="190"/>
      <c r="AH150" s="37"/>
      <c r="AI150" s="37"/>
      <c r="AJ150" s="37"/>
      <c r="AK150" s="37"/>
      <c r="AL150" s="37"/>
      <c r="AM150" s="37"/>
      <c r="AN150" s="37"/>
      <c r="AO150" s="37"/>
      <c r="AP150" s="37"/>
      <c r="AQ150" s="37"/>
    </row>
    <row r="151" spans="3:43" ht="15">
      <c r="C151" s="80" t="e">
        <v>#N/A</v>
      </c>
      <c r="D151" s="62" t="s">
        <v>150</v>
      </c>
      <c r="E151" s="132" t="s">
        <v>151</v>
      </c>
      <c r="F151" s="130">
        <v>1</v>
      </c>
      <c r="G151" s="121" t="s">
        <v>1094</v>
      </c>
      <c r="H151" s="18" t="s">
        <v>619</v>
      </c>
      <c r="I151" s="18" t="s">
        <v>59</v>
      </c>
      <c r="J151" s="19" t="s">
        <v>460</v>
      </c>
      <c r="K151" s="103">
        <v>253385</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53</v>
      </c>
      <c r="O151" s="106" t="b">
        <f t="shared" si="4"/>
        <v>1</v>
      </c>
      <c r="P151" s="186"/>
      <c r="Q151" s="128">
        <f>rrcworking[[#This Row],[Last Month Closing Stock]]</f>
        <v>53</v>
      </c>
      <c r="R151" s="186">
        <f>rrcworking[[#This Row],[Opening Oil Stock]]</f>
        <v>53</v>
      </c>
      <c r="S151" s="147">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7">
        <f>IF(ISERROR(INDEX(Table2[GAS],MATCH(rrcworking[[#This Row],[Magnum Wolfpak '#]],Table2[Rox Wolf'#],0))),0,INDEX(Table2[GAS],MATCH(rrcworking[[#This Row],[Magnum Wolfpak '#]],Table2[Rox Wolf'#],0)))</f>
        <v>0</v>
      </c>
      <c r="W151" s="24"/>
      <c r="X151" s="136">
        <f>IF(rrcworking[[#This Row],[Pressure Base]]=14.73,rrcworking[[#This Row],[Gas Sales Statement Volume (MCF)]]*$R$2,rrcworking[[#This Row],[Gas Sales Statement Volume (MCF)]])</f>
        <v>0</v>
      </c>
      <c r="Y151" s="60"/>
      <c r="Z151" s="60"/>
      <c r="AA151" s="147">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92">
        <f>COUNTIF(FilterList,rrcworking[[#This Row],[Magnum Wolfpak '#]])</f>
        <v>0</v>
      </c>
      <c r="AF151" s="189"/>
      <c r="AG151" s="190"/>
      <c r="AH151" s="37"/>
      <c r="AI151" s="37"/>
      <c r="AJ151" s="37"/>
      <c r="AK151" s="37"/>
      <c r="AL151" s="37"/>
      <c r="AM151" s="37"/>
      <c r="AN151" s="37"/>
      <c r="AO151" s="37"/>
      <c r="AP151" s="37"/>
      <c r="AQ151" s="37"/>
    </row>
    <row r="152" spans="3:43" ht="75">
      <c r="C152" s="80">
        <v>98910</v>
      </c>
      <c r="D152" s="62" t="s">
        <v>282</v>
      </c>
      <c r="E152" s="132" t="s">
        <v>283</v>
      </c>
      <c r="F152" s="130">
        <v>0</v>
      </c>
      <c r="G152" s="121" t="s">
        <v>1094</v>
      </c>
      <c r="H152" s="18" t="s">
        <v>619</v>
      </c>
      <c r="I152" s="18" t="s">
        <v>2</v>
      </c>
      <c r="J152" s="19" t="s">
        <v>536</v>
      </c>
      <c r="K152" s="103">
        <v>11349</v>
      </c>
      <c r="L152" s="101">
        <f>INDEX(Table1[Production],MATCH(rrcworking[[#This Row],[RRC ID Number]],Table1[RRC Identifier],0))</f>
        <v>1155</v>
      </c>
      <c r="M152" s="30">
        <f>INDEX(Table1[Formation Production],MATCH(rrcworking[[#This Row],[RRC ID Number]],Table1[RRC Identifier],0))</f>
        <v>120</v>
      </c>
      <c r="N152" s="31">
        <f>INDEX(Table1[On Hand End of Month],MATCH(rrcworking[[#This Row],[RRC ID Number]],Table1[RRC Identifier],0))</f>
        <v>197</v>
      </c>
      <c r="O152" s="106" t="b">
        <f t="shared" si="4"/>
        <v>0</v>
      </c>
      <c r="P152" s="186">
        <v>1162</v>
      </c>
      <c r="Q152" s="128">
        <f>rrcworking[[#This Row],[Last Month Closing Stock]]</f>
        <v>197</v>
      </c>
      <c r="R152" s="187">
        <v>204</v>
      </c>
      <c r="S152" s="147">
        <f>IF(ISERROR(INDEX(Table2[OIL],MATCH(rrcworking[[#This Row],[Magnum Wolfpak '#]],Table2[Rox Wolf'#],0))),0,INDEX(Table2[OIL],MATCH(rrcworking[[#This Row],[Magnum Wolfpak '#]],Table2[Rox Wolf'#],0)))</f>
        <v>1183</v>
      </c>
      <c r="T152" s="35">
        <f>rrcworking[[#This Row],[Closing Stock (Oil)]]+rrcworking[[#This Row],[Sales/Dispostion]]-rrcworking[[#This Row],[Opening Oil Stock]]</f>
        <v>1190</v>
      </c>
      <c r="U152" s="112">
        <f>rrcworking[[#This Row],[Gauge Sheet Prod Volume]]-rrcworking[[#This Row],[Oil Production]]</f>
        <v>-28</v>
      </c>
      <c r="V152" s="147">
        <f>IF(ISERROR(INDEX(Table2[GAS],MATCH(rrcworking[[#This Row],[Magnum Wolfpak '#]],Table2[Rox Wolf'#],0))),0,INDEX(Table2[GAS],MATCH(rrcworking[[#This Row],[Magnum Wolfpak '#]],Table2[Rox Wolf'#],0)))</f>
        <v>0</v>
      </c>
      <c r="W152" s="24"/>
      <c r="X152" s="136">
        <f>IF(rrcworking[[#This Row],[Pressure Base]]=14.73,rrcworking[[#This Row],[Gas Sales Statement Volume (MCF)]]*$R$2,rrcworking[[#This Row],[Gas Sales Statement Volume (MCF)]])</f>
        <v>0</v>
      </c>
      <c r="Y152" s="60"/>
      <c r="Z152" s="60">
        <v>4</v>
      </c>
      <c r="AA152" s="147">
        <f>IF(ISERROR(INDEX(Table2[LEASE USE],MATCH(rrcworking[[#This Row],[Magnum Wolfpak '#]],Table2[Rox Wolf'#],0))),0,INDEX(Table2[LEASE USE],MATCH(rrcworking[[#This Row],[Magnum Wolfpak '#]],Table2[Rox Wolf'#],0)))</f>
        <v>124</v>
      </c>
      <c r="AB152" s="57">
        <f>rrcworking[[#This Row],[Disposition Volume (MCF) @ 14.65 MCF]]+rrcworking[[#This Row],[Lease Use (MCF)]]</f>
        <v>124</v>
      </c>
      <c r="AC152" s="37"/>
      <c r="AD152" s="37" t="s">
        <v>1289</v>
      </c>
      <c r="AE152" s="192">
        <f>COUNTIF(FilterList,rrcworking[[#This Row],[Magnum Wolfpak '#]])</f>
        <v>0</v>
      </c>
      <c r="AF152" s="189"/>
      <c r="AG152" s="190"/>
      <c r="AH152" s="37"/>
      <c r="AI152" s="190"/>
      <c r="AJ152" s="191"/>
      <c r="AK152" s="191"/>
      <c r="AL152" s="191"/>
      <c r="AM152" s="191"/>
      <c r="AN152" s="191"/>
      <c r="AO152" s="191"/>
      <c r="AP152" s="37" t="s">
        <v>1173</v>
      </c>
      <c r="AQ152" s="37" t="s">
        <v>1208</v>
      </c>
    </row>
    <row r="153" spans="3:43" ht="15">
      <c r="C153" s="80" t="e">
        <v>#N/A</v>
      </c>
      <c r="D153" s="62" t="s">
        <v>322</v>
      </c>
      <c r="E153" s="132" t="s">
        <v>323</v>
      </c>
      <c r="F153" s="130">
        <v>1</v>
      </c>
      <c r="G153" s="121" t="s">
        <v>1094</v>
      </c>
      <c r="H153" s="18" t="s">
        <v>620</v>
      </c>
      <c r="I153" s="18" t="s">
        <v>59</v>
      </c>
      <c r="J153" s="19" t="s">
        <v>560</v>
      </c>
      <c r="K153" s="103">
        <v>167923</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6"/>
      <c r="Q153" s="128">
        <f>rrcworking[[#This Row],[Last Month Closing Stock]]</f>
        <v>0</v>
      </c>
      <c r="R153" s="186">
        <f>rrcworking[[#This Row],[Opening Oil Stock]]</f>
        <v>0</v>
      </c>
      <c r="S153" s="147">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7">
        <f>IF(ISERROR(INDEX(Table2[GAS],MATCH(rrcworking[[#This Row],[Magnum Wolfpak '#]],Table2[Rox Wolf'#],0))),0,INDEX(Table2[GAS],MATCH(rrcworking[[#This Row],[Magnum Wolfpak '#]],Table2[Rox Wolf'#],0)))</f>
        <v>0</v>
      </c>
      <c r="W153" s="24"/>
      <c r="X153" s="136">
        <f>IF(rrcworking[[#This Row],[Pressure Base]]=14.73,rrcworking[[#This Row],[Gas Sales Statement Volume (MCF)]]*$R$2,rrcworking[[#This Row],[Gas Sales Statement Volume (MCF)]])</f>
        <v>0</v>
      </c>
      <c r="Y153" s="60"/>
      <c r="Z153" s="60"/>
      <c r="AA153" s="147">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192">
        <f>COUNTIF(FilterList,rrcworking[[#This Row],[Magnum Wolfpak '#]])</f>
        <v>0</v>
      </c>
      <c r="AF153" s="189"/>
      <c r="AG153" s="190"/>
      <c r="AH153" s="37"/>
      <c r="AI153" s="37"/>
      <c r="AJ153" s="37"/>
      <c r="AK153" s="37"/>
      <c r="AL153" s="37"/>
      <c r="AM153" s="37"/>
      <c r="AN153" s="37"/>
      <c r="AO153" s="37"/>
      <c r="AP153" s="37"/>
      <c r="AQ153" s="37"/>
    </row>
    <row r="154" spans="3:43" ht="15">
      <c r="C154" s="80" t="e">
        <v>#N/A</v>
      </c>
      <c r="D154" s="62" t="s">
        <v>263</v>
      </c>
      <c r="E154" s="132" t="s">
        <v>264</v>
      </c>
      <c r="F154" s="130">
        <v>1</v>
      </c>
      <c r="G154" s="121" t="s">
        <v>1094</v>
      </c>
      <c r="H154" s="18" t="s">
        <v>619</v>
      </c>
      <c r="I154" s="18" t="s">
        <v>59</v>
      </c>
      <c r="J154" s="19" t="s">
        <v>521</v>
      </c>
      <c r="K154" s="103">
        <v>47134</v>
      </c>
      <c r="L154" s="101">
        <f>INDEX(Table1[Production],MATCH(rrcworking[[#This Row],[RRC ID Number]],Table1[RRC Identifier],0))</f>
        <v>0</v>
      </c>
      <c r="M154" s="30">
        <f>INDEX(Table1[Formation Production],MATCH(rrcworking[[#This Row],[RRC ID Number]],Table1[RRC Identifier],0))</f>
        <v>0</v>
      </c>
      <c r="N154" s="31">
        <f>INDEX(Table1[On Hand End of Month],MATCH(rrcworking[[#This Row],[RRC ID Number]],Table1[RRC Identifier],0))</f>
        <v>0</v>
      </c>
      <c r="O154" s="106" t="b">
        <f t="shared" si="4"/>
        <v>1</v>
      </c>
      <c r="P154" s="186"/>
      <c r="Q154" s="128">
        <f>rrcworking[[#This Row],[Last Month Closing Stock]]</f>
        <v>0</v>
      </c>
      <c r="R154" s="186">
        <f>rrcworking[[#This Row],[Opening Oil Stock]]</f>
        <v>0</v>
      </c>
      <c r="S154" s="147">
        <f>IF(ISERROR(INDEX(Table2[OIL],MATCH(rrcworking[[#This Row],[Magnum Wolfpak '#]],Table2[Rox Wolf'#],0))),0,INDEX(Table2[OIL],MATCH(rrcworking[[#This Row],[Magnum Wolfpak '#]],Table2[Rox Wolf'#],0)))</f>
        <v>0</v>
      </c>
      <c r="T154" s="35">
        <f>rrcworking[[#This Row],[Closing Stock (Oil)]]+rrcworking[[#This Row],[Sales/Dispostion]]-rrcworking[[#This Row],[Opening Oil Stock]]</f>
        <v>0</v>
      </c>
      <c r="U154" s="112">
        <f>rrcworking[[#This Row],[Gauge Sheet Prod Volume]]-rrcworking[[#This Row],[Oil Production]]</f>
        <v>0</v>
      </c>
      <c r="V154" s="147">
        <f>IF(ISERROR(INDEX(Table2[GAS],MATCH(rrcworking[[#This Row],[Magnum Wolfpak '#]],Table2[Rox Wolf'#],0))),0,INDEX(Table2[GAS],MATCH(rrcworking[[#This Row],[Magnum Wolfpak '#]],Table2[Rox Wolf'#],0)))</f>
        <v>0</v>
      </c>
      <c r="W154" s="24"/>
      <c r="X154" s="136">
        <f>IF(rrcworking[[#This Row],[Pressure Base]]=14.73,rrcworking[[#This Row],[Gas Sales Statement Volume (MCF)]]*$R$2,rrcworking[[#This Row],[Gas Sales Statement Volume (MCF)]])</f>
        <v>0</v>
      </c>
      <c r="Y154" s="60"/>
      <c r="Z154" s="60"/>
      <c r="AA154" s="147">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192">
        <f>COUNTIF(FilterList,rrcworking[[#This Row],[Magnum Wolfpak '#]])</f>
        <v>0</v>
      </c>
      <c r="AF154" s="189"/>
      <c r="AG154" s="190"/>
      <c r="AH154" s="37"/>
      <c r="AI154" s="37"/>
      <c r="AJ154" s="37"/>
      <c r="AK154" s="37"/>
      <c r="AL154" s="37"/>
      <c r="AM154" s="37"/>
      <c r="AN154" s="37"/>
      <c r="AO154" s="37"/>
      <c r="AP154" s="37"/>
      <c r="AQ154" s="37"/>
    </row>
    <row r="155" spans="3:43" ht="15">
      <c r="C155" s="80">
        <v>98401</v>
      </c>
      <c r="D155" s="62" t="s">
        <v>261</v>
      </c>
      <c r="E155" s="132" t="s">
        <v>262</v>
      </c>
      <c r="F155" s="130">
        <v>2</v>
      </c>
      <c r="G155" s="121" t="s">
        <v>1094</v>
      </c>
      <c r="H155" s="18" t="s">
        <v>619</v>
      </c>
      <c r="I155" s="18" t="s">
        <v>59</v>
      </c>
      <c r="J155" s="19" t="s">
        <v>520</v>
      </c>
      <c r="K155" s="103">
        <v>193384</v>
      </c>
      <c r="L155" s="101">
        <f>INDEX(Table1[Production],MATCH(rrcworking[[#This Row],[RRC ID Number]],Table1[RRC Identifier],0))</f>
        <v>24</v>
      </c>
      <c r="M155" s="30">
        <f>INDEX(Table1[Formation Production],MATCH(rrcworking[[#This Row],[RRC ID Number]],Table1[RRC Identifier],0))</f>
        <v>883</v>
      </c>
      <c r="N155" s="31">
        <f>INDEX(Table1[On Hand End of Month],MATCH(rrcworking[[#This Row],[RRC ID Number]],Table1[RRC Identifier],0))</f>
        <v>75</v>
      </c>
      <c r="O155" s="106" t="b">
        <f t="shared" si="4"/>
        <v>0</v>
      </c>
      <c r="P155" s="186">
        <v>64</v>
      </c>
      <c r="Q155" s="128">
        <f>rrcworking[[#This Row],[Last Month Closing Stock]]</f>
        <v>75</v>
      </c>
      <c r="R155" s="187">
        <v>139</v>
      </c>
      <c r="S155" s="147">
        <f>IF(ISERROR(INDEX(Table2[OIL],MATCH(rrcworking[[#This Row],[Magnum Wolfpak '#]],Table2[Rox Wolf'#],0))),0,INDEX(Table2[OIL],MATCH(rrcworking[[#This Row],[Magnum Wolfpak '#]],Table2[Rox Wolf'#],0)))</f>
        <v>0</v>
      </c>
      <c r="T155" s="35">
        <f>rrcworking[[#This Row],[Closing Stock (Oil)]]+rrcworking[[#This Row],[Sales/Dispostion]]-rrcworking[[#This Row],[Opening Oil Stock]]</f>
        <v>64</v>
      </c>
      <c r="U155" s="112">
        <f>rrcworking[[#This Row],[Gauge Sheet Prod Volume]]-rrcworking[[#This Row],[Oil Production]]</f>
        <v>0</v>
      </c>
      <c r="V155" s="147">
        <f>IF(ISERROR(INDEX(Table2[GAS],MATCH(rrcworking[[#This Row],[Magnum Wolfpak '#]],Table2[Rox Wolf'#],0))),0,INDEX(Table2[GAS],MATCH(rrcworking[[#This Row],[Magnum Wolfpak '#]],Table2[Rox Wolf'#],0)))</f>
        <v>2661</v>
      </c>
      <c r="W155" s="24"/>
      <c r="X155" s="136">
        <f>IF(rrcworking[[#This Row],[Pressure Base]]=14.73,rrcworking[[#This Row],[Gas Sales Statement Volume (MCF)]]*$R$2,rrcworking[[#This Row],[Gas Sales Statement Volume (MCF)]])</f>
        <v>2661</v>
      </c>
      <c r="Y155" s="85"/>
      <c r="Z155" s="60">
        <v>3</v>
      </c>
      <c r="AA155" s="147">
        <f>IF(ISERROR(INDEX(Table2[LEASE USE],MATCH(rrcworking[[#This Row],[Magnum Wolfpak '#]],Table2[Rox Wolf'#],0))),0,INDEX(Table2[LEASE USE],MATCH(rrcworking[[#This Row],[Magnum Wolfpak '#]],Table2[Rox Wolf'#],0)))</f>
        <v>93</v>
      </c>
      <c r="AB155" s="57">
        <f>rrcworking[[#This Row],[Disposition Volume (MCF) @ 14.65 MCF]]+rrcworking[[#This Row],[Lease Use (MCF)]]</f>
        <v>2754</v>
      </c>
      <c r="AC155" s="37"/>
      <c r="AD155" s="37"/>
      <c r="AE155" s="192">
        <f>COUNTIF(FilterList,rrcworking[[#This Row],[Magnum Wolfpak '#]])</f>
        <v>0</v>
      </c>
      <c r="AF155" s="189"/>
      <c r="AG155" s="190"/>
      <c r="AH155" s="37"/>
      <c r="AI155" s="190"/>
      <c r="AJ155" s="37">
        <v>2</v>
      </c>
      <c r="AK155" s="37" t="s">
        <v>1175</v>
      </c>
      <c r="AL155" s="37" t="s">
        <v>1175</v>
      </c>
      <c r="AM155" s="37" t="s">
        <v>1222</v>
      </c>
      <c r="AN155" s="37" t="s">
        <v>1175</v>
      </c>
      <c r="AO155" s="37" t="s">
        <v>1186</v>
      </c>
      <c r="AP155" s="37" t="s">
        <v>1228</v>
      </c>
      <c r="AQ155" s="37"/>
    </row>
    <row r="156" spans="3:43" ht="15">
      <c r="C156" s="80" t="e">
        <v>#N/A</v>
      </c>
      <c r="D156" s="62" t="s">
        <v>269</v>
      </c>
      <c r="E156" s="132" t="s">
        <v>270</v>
      </c>
      <c r="F156" s="130">
        <v>2</v>
      </c>
      <c r="G156" s="121" t="s">
        <v>1094</v>
      </c>
      <c r="H156" s="18" t="s">
        <v>619</v>
      </c>
      <c r="I156" s="18" t="s">
        <v>59</v>
      </c>
      <c r="J156" s="19" t="s">
        <v>524</v>
      </c>
      <c r="K156" s="103">
        <v>214235</v>
      </c>
      <c r="L156" s="101">
        <f>INDEX(Table1[Production],MATCH(rrcworking[[#This Row],[RRC ID Number]],Table1[RRC Identifier],0))</f>
        <v>0</v>
      </c>
      <c r="M156" s="30">
        <f>INDEX(Table1[Formation Production],MATCH(rrcworking[[#This Row],[RRC ID Number]],Table1[RRC Identifier],0))</f>
        <v>0</v>
      </c>
      <c r="N156" s="31">
        <f>INDEX(Table1[On Hand End of Month],MATCH(rrcworking[[#This Row],[RRC ID Number]],Table1[RRC Identifier],0))</f>
        <v>0</v>
      </c>
      <c r="O156" s="106" t="b">
        <f t="shared" si="4"/>
        <v>1</v>
      </c>
      <c r="P156" s="186"/>
      <c r="Q156" s="128">
        <f>rrcworking[[#This Row],[Last Month Closing Stock]]</f>
        <v>0</v>
      </c>
      <c r="R156" s="186">
        <f>rrcworking[[#This Row],[Opening Oil Stock]]</f>
        <v>0</v>
      </c>
      <c r="S156" s="147">
        <f>IF(ISERROR(INDEX(Table2[OIL],MATCH(rrcworking[[#This Row],[Magnum Wolfpak '#]],Table2[Rox Wolf'#],0))),0,INDEX(Table2[OIL],MATCH(rrcworking[[#This Row],[Magnum Wolfpak '#]],Table2[Rox Wolf'#],0)))</f>
        <v>0</v>
      </c>
      <c r="T156" s="35">
        <f>rrcworking[[#This Row],[Closing Stock (Oil)]]+rrcworking[[#This Row],[Sales/Dispostion]]-rrcworking[[#This Row],[Opening Oil Stock]]</f>
        <v>0</v>
      </c>
      <c r="U156" s="112">
        <f>rrcworking[[#This Row],[Gauge Sheet Prod Volume]]-rrcworking[[#This Row],[Oil Production]]</f>
        <v>0</v>
      </c>
      <c r="V156" s="147">
        <f>IF(ISERROR(INDEX(Table2[GAS],MATCH(rrcworking[[#This Row],[Magnum Wolfpak '#]],Table2[Rox Wolf'#],0))),0,INDEX(Table2[GAS],MATCH(rrcworking[[#This Row],[Magnum Wolfpak '#]],Table2[Rox Wolf'#],0)))</f>
        <v>0</v>
      </c>
      <c r="W156" s="24"/>
      <c r="X156" s="136">
        <f>IF(rrcworking[[#This Row],[Pressure Base]]=14.73,rrcworking[[#This Row],[Gas Sales Statement Volume (MCF)]]*$R$2,rrcworking[[#This Row],[Gas Sales Statement Volume (MCF)]])</f>
        <v>0</v>
      </c>
      <c r="Y156" s="60"/>
      <c r="Z156" s="60"/>
      <c r="AA156" s="147">
        <f>IF(ISERROR(INDEX(Table2[LEASE USE],MATCH(rrcworking[[#This Row],[Magnum Wolfpak '#]],Table2[Rox Wolf'#],0))),0,INDEX(Table2[LEASE USE],MATCH(rrcworking[[#This Row],[Magnum Wolfpak '#]],Table2[Rox Wolf'#],0)))</f>
        <v>0</v>
      </c>
      <c r="AB156" s="57">
        <f>rrcworking[[#This Row],[Disposition Volume (MCF) @ 14.65 MCF]]+rrcworking[[#This Row],[Lease Use (MCF)]]</f>
        <v>0</v>
      </c>
      <c r="AC156" s="97"/>
      <c r="AD156" s="37"/>
      <c r="AE156" s="192">
        <f>COUNTIF(FilterList,rrcworking[[#This Row],[Magnum Wolfpak '#]])</f>
        <v>0</v>
      </c>
      <c r="AF156" s="189"/>
      <c r="AG156" s="190"/>
      <c r="AH156" s="37"/>
      <c r="AI156" s="37"/>
      <c r="AJ156" s="37"/>
      <c r="AK156" s="37"/>
      <c r="AL156" s="37"/>
      <c r="AM156" s="37"/>
      <c r="AN156" s="37"/>
      <c r="AO156" s="37"/>
      <c r="AP156" s="37"/>
      <c r="AQ156" s="37"/>
    </row>
    <row r="157" spans="3:43" ht="120">
      <c r="C157" s="80">
        <v>96901</v>
      </c>
      <c r="D157" s="62" t="s">
        <v>265</v>
      </c>
      <c r="E157" s="132" t="s">
        <v>266</v>
      </c>
      <c r="F157" s="130">
        <v>1</v>
      </c>
      <c r="G157" s="121" t="s">
        <v>1094</v>
      </c>
      <c r="H157" s="18" t="s">
        <v>619</v>
      </c>
      <c r="I157" s="18" t="s">
        <v>59</v>
      </c>
      <c r="J157" s="19" t="s">
        <v>522</v>
      </c>
      <c r="K157" s="103">
        <v>158691</v>
      </c>
      <c r="L157" s="101">
        <f>INDEX(Table1[Production],MATCH(rrcworking[[#This Row],[RRC ID Number]],Table1[RRC Identifier],0))</f>
        <v>30</v>
      </c>
      <c r="M157" s="30">
        <f>INDEX(Table1[Formation Production],MATCH(rrcworking[[#This Row],[RRC ID Number]],Table1[RRC Identifier],0))</f>
        <v>1084</v>
      </c>
      <c r="N157" s="31">
        <f>INDEX(Table1[On Hand End of Month],MATCH(rrcworking[[#This Row],[RRC ID Number]],Table1[RRC Identifier],0))</f>
        <v>174</v>
      </c>
      <c r="O157" s="106" t="b">
        <f t="shared" si="4"/>
        <v>0</v>
      </c>
      <c r="P157" s="186">
        <v>12</v>
      </c>
      <c r="Q157" s="128">
        <f>rrcworking[[#This Row],[Last Month Closing Stock]]</f>
        <v>174</v>
      </c>
      <c r="R157" s="187">
        <v>186</v>
      </c>
      <c r="S157" s="147">
        <f>IF(ISERROR(INDEX(Table2[OIL],MATCH(rrcworking[[#This Row],[Magnum Wolfpak '#]],Table2[Rox Wolf'#],0))),0,INDEX(Table2[OIL],MATCH(rrcworking[[#This Row],[Magnum Wolfpak '#]],Table2[Rox Wolf'#],0)))</f>
        <v>0</v>
      </c>
      <c r="T157" s="35">
        <f>rrcworking[[#This Row],[Closing Stock (Oil)]]+rrcworking[[#This Row],[Sales/Dispostion]]-rrcworking[[#This Row],[Opening Oil Stock]]</f>
        <v>12</v>
      </c>
      <c r="U157" s="112">
        <f>rrcworking[[#This Row],[Gauge Sheet Prod Volume]]-rrcworking[[#This Row],[Oil Production]]</f>
        <v>0</v>
      </c>
      <c r="V157" s="147">
        <f>IF(ISERROR(INDEX(Table2[GAS],MATCH(rrcworking[[#This Row],[Magnum Wolfpak '#]],Table2[Rox Wolf'#],0))),0,INDEX(Table2[GAS],MATCH(rrcworking[[#This Row],[Magnum Wolfpak '#]],Table2[Rox Wolf'#],0)))</f>
        <v>1409</v>
      </c>
      <c r="W157" s="24"/>
      <c r="X157" s="136">
        <f>IF(rrcworking[[#This Row],[Pressure Base]]=14.73,rrcworking[[#This Row],[Gas Sales Statement Volume (MCF)]]*$R$2,rrcworking[[#This Row],[Gas Sales Statement Volume (MCF)]])</f>
        <v>1409</v>
      </c>
      <c r="Y157" s="85"/>
      <c r="Z157" s="60">
        <v>1</v>
      </c>
      <c r="AA157" s="147">
        <f>IF(ISERROR(INDEX(Table2[LEASE USE],MATCH(rrcworking[[#This Row],[Magnum Wolfpak '#]],Table2[Rox Wolf'#],0))),0,INDEX(Table2[LEASE USE],MATCH(rrcworking[[#This Row],[Magnum Wolfpak '#]],Table2[Rox Wolf'#],0)))</f>
        <v>31</v>
      </c>
      <c r="AB157" s="57">
        <f>rrcworking[[#This Row],[Disposition Volume (MCF) @ 14.65 MCF]]+rrcworking[[#This Row],[Lease Use (MCF)]]</f>
        <v>1440</v>
      </c>
      <c r="AC157" s="37"/>
      <c r="AD157" s="37" t="s">
        <v>1288</v>
      </c>
      <c r="AE157" s="192">
        <f>COUNTIF(FilterList,rrcworking[[#This Row],[Magnum Wolfpak '#]])</f>
        <v>0</v>
      </c>
      <c r="AF157" s="189"/>
      <c r="AG157" s="190"/>
      <c r="AH157" s="37"/>
      <c r="AI157" s="190"/>
      <c r="AJ157" s="37">
        <v>1</v>
      </c>
      <c r="AK157" s="37" t="s">
        <v>1175</v>
      </c>
      <c r="AL157" s="37" t="s">
        <v>1175</v>
      </c>
      <c r="AM157" s="37" t="s">
        <v>1203</v>
      </c>
      <c r="AN157" s="37" t="s">
        <v>1175</v>
      </c>
      <c r="AO157" s="37" t="s">
        <v>1186</v>
      </c>
      <c r="AP157" s="37" t="s">
        <v>1228</v>
      </c>
      <c r="AQ157" s="37"/>
    </row>
    <row r="158" spans="3:43" ht="15">
      <c r="C158" s="80" t="e">
        <v>#N/A</v>
      </c>
      <c r="D158" s="62" t="s">
        <v>240</v>
      </c>
      <c r="E158" s="132" t="s">
        <v>241</v>
      </c>
      <c r="F158" s="130">
        <v>1</v>
      </c>
      <c r="G158" s="121" t="s">
        <v>1094</v>
      </c>
      <c r="H158" s="18" t="s">
        <v>619</v>
      </c>
      <c r="I158" s="18" t="s">
        <v>59</v>
      </c>
      <c r="J158" s="19" t="s">
        <v>509</v>
      </c>
      <c r="K158" s="103">
        <v>214543</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0</v>
      </c>
      <c r="O158" s="106" t="b">
        <f t="shared" si="4"/>
        <v>1</v>
      </c>
      <c r="P158" s="186"/>
      <c r="Q158" s="128">
        <f>rrcworking[[#This Row],[Last Month Closing Stock]]</f>
        <v>0</v>
      </c>
      <c r="R158" s="186">
        <f>rrcworking[[#This Row],[Opening Oil Stock]]</f>
        <v>0</v>
      </c>
      <c r="S158" s="147">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7">
        <f>IF(ISERROR(INDEX(Table2[GAS],MATCH(rrcworking[[#This Row],[Magnum Wolfpak '#]],Table2[Rox Wolf'#],0))),0,INDEX(Table2[GAS],MATCH(rrcworking[[#This Row],[Magnum Wolfpak '#]],Table2[Rox Wolf'#],0)))</f>
        <v>0</v>
      </c>
      <c r="W158" s="24"/>
      <c r="X158" s="136">
        <f>IF(rrcworking[[#This Row],[Pressure Base]]=14.73,rrcworking[[#This Row],[Gas Sales Statement Volume (MCF)]]*$R$2,rrcworking[[#This Row],[Gas Sales Statement Volume (MCF)]])</f>
        <v>0</v>
      </c>
      <c r="Y158" s="60"/>
      <c r="Z158" s="60"/>
      <c r="AA158" s="147">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92">
        <f>COUNTIF(FilterList,rrcworking[[#This Row],[Magnum Wolfpak '#]])</f>
        <v>0</v>
      </c>
      <c r="AF158" s="189"/>
      <c r="AG158" s="190"/>
      <c r="AH158" s="37"/>
      <c r="AI158" s="37"/>
      <c r="AJ158" s="37"/>
      <c r="AK158" s="37"/>
      <c r="AL158" s="37"/>
      <c r="AM158" s="37"/>
      <c r="AN158" s="37"/>
      <c r="AO158" s="37"/>
      <c r="AP158" s="37"/>
      <c r="AQ158" s="37"/>
    </row>
    <row r="159" spans="3:43" ht="15">
      <c r="C159" s="80">
        <v>99101</v>
      </c>
      <c r="D159" s="62" t="s">
        <v>207</v>
      </c>
      <c r="E159" s="132" t="s">
        <v>208</v>
      </c>
      <c r="F159" s="130" t="s">
        <v>209</v>
      </c>
      <c r="G159" s="121" t="s">
        <v>1094</v>
      </c>
      <c r="H159" s="18" t="s">
        <v>619</v>
      </c>
      <c r="I159" s="18" t="s">
        <v>59</v>
      </c>
      <c r="J159" s="19" t="s">
        <v>493</v>
      </c>
      <c r="K159" s="103">
        <v>284976</v>
      </c>
      <c r="L159" s="101">
        <f>INDEX(Table1[Production],MATCH(rrcworking[[#This Row],[RRC ID Number]],Table1[RRC Identifier],0))</f>
        <v>156</v>
      </c>
      <c r="M159" s="30">
        <f>INDEX(Table1[Formation Production],MATCH(rrcworking[[#This Row],[RRC ID Number]],Table1[RRC Identifier],0))</f>
        <v>15890</v>
      </c>
      <c r="N159" s="31">
        <f>INDEX(Table1[On Hand End of Month],MATCH(rrcworking[[#This Row],[RRC ID Number]],Table1[RRC Identifier],0))</f>
        <v>234</v>
      </c>
      <c r="O159" s="106" t="b">
        <f t="shared" si="4"/>
        <v>0</v>
      </c>
      <c r="P159" s="186">
        <v>151</v>
      </c>
      <c r="Q159" s="128">
        <f>rrcworking[[#This Row],[Last Month Closing Stock]]</f>
        <v>234</v>
      </c>
      <c r="R159" s="187">
        <v>194</v>
      </c>
      <c r="S159" s="147">
        <f>IF(ISERROR(INDEX(Table2[OIL],MATCH(rrcworking[[#This Row],[Magnum Wolfpak '#]],Table2[Rox Wolf'#],0))),0,INDEX(Table2[OIL],MATCH(rrcworking[[#This Row],[Magnum Wolfpak '#]],Table2[Rox Wolf'#],0)))</f>
        <v>190</v>
      </c>
      <c r="T159" s="35">
        <f>rrcworking[[#This Row],[Closing Stock (Oil)]]+rrcworking[[#This Row],[Sales/Dispostion]]-rrcworking[[#This Row],[Opening Oil Stock]]</f>
        <v>150</v>
      </c>
      <c r="U159" s="112">
        <f>rrcworking[[#This Row],[Gauge Sheet Prod Volume]]-rrcworking[[#This Row],[Oil Production]]</f>
        <v>1</v>
      </c>
      <c r="V159" s="147">
        <f>IF(ISERROR(INDEX(Table2[GAS],MATCH(rrcworking[[#This Row],[Magnum Wolfpak '#]],Table2[Rox Wolf'#],0))),0,INDEX(Table2[GAS],MATCH(rrcworking[[#This Row],[Magnum Wolfpak '#]],Table2[Rox Wolf'#],0)))</f>
        <v>14964</v>
      </c>
      <c r="W159" s="24"/>
      <c r="X159" s="136">
        <f>IF(rrcworking[[#This Row],[Pressure Base]]=14.73,rrcworking[[#This Row],[Gas Sales Statement Volume (MCF)]]*$R$2,rrcworking[[#This Row],[Gas Sales Statement Volume (MCF)]])</f>
        <v>14964</v>
      </c>
      <c r="Y159" s="60"/>
      <c r="Z159" s="60"/>
      <c r="AA159" s="147">
        <f>IF(ISERROR(INDEX(Table2[LEASE USE],MATCH(rrcworking[[#This Row],[Magnum Wolfpak '#]],Table2[Rox Wolf'#],0))),0,INDEX(Table2[LEASE USE],MATCH(rrcworking[[#This Row],[Magnum Wolfpak '#]],Table2[Rox Wolf'#],0)))</f>
        <v>0</v>
      </c>
      <c r="AB159" s="57">
        <f>rrcworking[[#This Row],[Disposition Volume (MCF) @ 14.65 MCF]]+rrcworking[[#This Row],[Lease Use (MCF)]]</f>
        <v>14964</v>
      </c>
      <c r="AC159" s="37"/>
      <c r="AD159" s="37"/>
      <c r="AE159" s="192">
        <f>COUNTIF(FilterList,rrcworking[[#This Row],[Magnum Wolfpak '#]])</f>
        <v>0</v>
      </c>
      <c r="AF159" s="189"/>
      <c r="AG159" s="190"/>
      <c r="AH159" s="37"/>
      <c r="AI159" s="190"/>
      <c r="AJ159" s="37">
        <v>3</v>
      </c>
      <c r="AK159" s="37" t="s">
        <v>1146</v>
      </c>
      <c r="AL159" s="37" t="s">
        <v>1146</v>
      </c>
      <c r="AM159" s="37" t="s">
        <v>1189</v>
      </c>
      <c r="AN159" s="37" t="s">
        <v>1146</v>
      </c>
      <c r="AO159" s="37" t="s">
        <v>1186</v>
      </c>
      <c r="AP159" s="37" t="s">
        <v>1229</v>
      </c>
      <c r="AQ159" s="37"/>
    </row>
    <row r="160" spans="3:43" ht="15">
      <c r="C160" s="80" t="e">
        <v>#N/A</v>
      </c>
      <c r="D160" s="62" t="s">
        <v>293</v>
      </c>
      <c r="E160" s="132" t="s">
        <v>294</v>
      </c>
      <c r="F160" s="130">
        <v>5</v>
      </c>
      <c r="G160" s="121" t="s">
        <v>1094</v>
      </c>
      <c r="H160" s="18" t="s">
        <v>619</v>
      </c>
      <c r="I160" s="18" t="s">
        <v>59</v>
      </c>
      <c r="J160" s="19" t="s">
        <v>543</v>
      </c>
      <c r="K160" s="103">
        <v>179674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6"/>
      <c r="Q160" s="128">
        <f>rrcworking[[#This Row],[Last Month Closing Stock]]</f>
        <v>0</v>
      </c>
      <c r="R160" s="186">
        <f>rrcworking[[#This Row],[Opening Oil Stock]]</f>
        <v>0</v>
      </c>
      <c r="S160" s="147">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7">
        <f>IF(ISERROR(INDEX(Table2[GAS],MATCH(rrcworking[[#This Row],[Magnum Wolfpak '#]],Table2[Rox Wolf'#],0))),0,INDEX(Table2[GAS],MATCH(rrcworking[[#This Row],[Magnum Wolfpak '#]],Table2[Rox Wolf'#],0)))</f>
        <v>0</v>
      </c>
      <c r="W160" s="24"/>
      <c r="X160" s="136">
        <f>IF(rrcworking[[#This Row],[Pressure Base]]=14.73,rrcworking[[#This Row],[Gas Sales Statement Volume (MCF)]]*$R$2,rrcworking[[#This Row],[Gas Sales Statement Volume (MCF)]])</f>
        <v>0</v>
      </c>
      <c r="Y160" s="60"/>
      <c r="Z160" s="60"/>
      <c r="AA160" s="147">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92">
        <f>COUNTIF(FilterList,rrcworking[[#This Row],[Magnum Wolfpak '#]])</f>
        <v>0</v>
      </c>
      <c r="AF160" s="189"/>
      <c r="AG160" s="190"/>
      <c r="AH160" s="37"/>
      <c r="AI160" s="37"/>
      <c r="AJ160" s="37"/>
      <c r="AK160" s="37"/>
      <c r="AL160" s="37"/>
      <c r="AM160" s="37"/>
      <c r="AN160" s="37"/>
      <c r="AO160" s="37"/>
      <c r="AP160" s="37"/>
      <c r="AQ160" s="37"/>
    </row>
    <row r="161" spans="3:43" ht="15">
      <c r="C161" s="80" t="e">
        <v>#N/A</v>
      </c>
      <c r="D161" s="62" t="s">
        <v>376</v>
      </c>
      <c r="E161" s="132" t="s">
        <v>377</v>
      </c>
      <c r="F161" s="130">
        <v>2</v>
      </c>
      <c r="G161" s="121" t="s">
        <v>1094</v>
      </c>
      <c r="H161" s="18" t="s">
        <v>620</v>
      </c>
      <c r="I161" s="18" t="s">
        <v>59</v>
      </c>
      <c r="J161" s="19" t="s">
        <v>593</v>
      </c>
      <c r="K161" s="103">
        <v>142434</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49</v>
      </c>
      <c r="O161" s="106" t="b">
        <f t="shared" si="4"/>
        <v>1</v>
      </c>
      <c r="P161" s="186"/>
      <c r="Q161" s="128">
        <f>rrcworking[[#This Row],[Last Month Closing Stock]]</f>
        <v>49</v>
      </c>
      <c r="R161" s="186">
        <f>rrcworking[[#This Row],[Opening Oil Stock]]</f>
        <v>49</v>
      </c>
      <c r="S161" s="147">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7">
        <f>IF(ISERROR(INDEX(Table2[GAS],MATCH(rrcworking[[#This Row],[Magnum Wolfpak '#]],Table2[Rox Wolf'#],0))),0,INDEX(Table2[GAS],MATCH(rrcworking[[#This Row],[Magnum Wolfpak '#]],Table2[Rox Wolf'#],0)))</f>
        <v>0</v>
      </c>
      <c r="W161" s="24"/>
      <c r="X161" s="136">
        <f>IF(rrcworking[[#This Row],[Pressure Base]]=14.73,rrcworking[[#This Row],[Gas Sales Statement Volume (MCF)]]*$R$2,rrcworking[[#This Row],[Gas Sales Statement Volume (MCF)]])</f>
        <v>0</v>
      </c>
      <c r="Y161" s="60"/>
      <c r="Z161" s="60"/>
      <c r="AA161" s="147">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92">
        <f>COUNTIF(FilterList,rrcworking[[#This Row],[Magnum Wolfpak '#]])</f>
        <v>0</v>
      </c>
      <c r="AF161" s="189"/>
      <c r="AG161" s="190"/>
      <c r="AH161" s="37"/>
      <c r="AI161" s="37"/>
      <c r="AJ161" s="37"/>
      <c r="AK161" s="37"/>
      <c r="AL161" s="37"/>
      <c r="AM161" s="37"/>
      <c r="AN161" s="37"/>
      <c r="AO161" s="37"/>
      <c r="AP161" s="37"/>
      <c r="AQ161" s="37"/>
    </row>
    <row r="162" spans="3:43" ht="15">
      <c r="C162" s="80" t="e">
        <v>#N/A</v>
      </c>
      <c r="D162" s="62" t="s">
        <v>378</v>
      </c>
      <c r="E162" s="132" t="s">
        <v>379</v>
      </c>
      <c r="F162" s="130">
        <v>1</v>
      </c>
      <c r="G162" s="121" t="s">
        <v>1094</v>
      </c>
      <c r="H162" s="18" t="s">
        <v>620</v>
      </c>
      <c r="I162" s="18" t="s">
        <v>59</v>
      </c>
      <c r="J162" s="19" t="s">
        <v>594</v>
      </c>
      <c r="K162" s="103">
        <v>142269</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186"/>
      <c r="Q162" s="128">
        <f>rrcworking[[#This Row],[Last Month Closing Stock]]</f>
        <v>0</v>
      </c>
      <c r="R162" s="186">
        <f>rrcworking[[#This Row],[Opening Oil Stock]]</f>
        <v>0</v>
      </c>
      <c r="S162" s="147">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7">
        <f>IF(ISERROR(INDEX(Table2[GAS],MATCH(rrcworking[[#This Row],[Magnum Wolfpak '#]],Table2[Rox Wolf'#],0))),0,INDEX(Table2[GAS],MATCH(rrcworking[[#This Row],[Magnum Wolfpak '#]],Table2[Rox Wolf'#],0)))</f>
        <v>0</v>
      </c>
      <c r="W162" s="24"/>
      <c r="X162" s="136">
        <f>IF(rrcworking[[#This Row],[Pressure Base]]=14.73,rrcworking[[#This Row],[Gas Sales Statement Volume (MCF)]]*$R$2,rrcworking[[#This Row],[Gas Sales Statement Volume (MCF)]])</f>
        <v>0</v>
      </c>
      <c r="Y162" s="60"/>
      <c r="Z162" s="60"/>
      <c r="AA162" s="147">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92">
        <f>COUNTIF(FilterList,rrcworking[[#This Row],[Magnum Wolfpak '#]])</f>
        <v>0</v>
      </c>
      <c r="AF162" s="189"/>
      <c r="AG162" s="190"/>
      <c r="AH162" s="37"/>
      <c r="AI162" s="37"/>
      <c r="AJ162" s="37"/>
      <c r="AK162" s="37"/>
      <c r="AL162" s="37"/>
      <c r="AM162" s="37"/>
      <c r="AN162" s="37"/>
      <c r="AO162" s="37"/>
      <c r="AP162" s="37"/>
      <c r="AQ162" s="37"/>
    </row>
    <row r="163" spans="3:43" ht="15">
      <c r="C163" s="80" t="e">
        <v>#N/A</v>
      </c>
      <c r="D163" s="62" t="s">
        <v>273</v>
      </c>
      <c r="E163" s="132" t="s">
        <v>274</v>
      </c>
      <c r="F163" s="130">
        <v>1</v>
      </c>
      <c r="G163" s="121" t="s">
        <v>1094</v>
      </c>
      <c r="H163" s="18" t="s">
        <v>619</v>
      </c>
      <c r="I163" s="18" t="s">
        <v>59</v>
      </c>
      <c r="J163" s="19" t="s">
        <v>526</v>
      </c>
      <c r="K163" s="103">
        <v>238352</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0</v>
      </c>
      <c r="O163" s="106" t="b">
        <f t="shared" si="4"/>
        <v>1</v>
      </c>
      <c r="P163" s="186"/>
      <c r="Q163" s="128">
        <f>rrcworking[[#This Row],[Last Month Closing Stock]]</f>
        <v>0</v>
      </c>
      <c r="R163" s="186">
        <f>rrcworking[[#This Row],[Opening Oil Stock]]</f>
        <v>0</v>
      </c>
      <c r="S163" s="147">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 Volume]]-rrcworking[[#This Row],[Oil Production]]</f>
        <v>0</v>
      </c>
      <c r="V163" s="147">
        <f>IF(ISERROR(INDEX(Table2[GAS],MATCH(rrcworking[[#This Row],[Magnum Wolfpak '#]],Table2[Rox Wolf'#],0))),0,INDEX(Table2[GAS],MATCH(rrcworking[[#This Row],[Magnum Wolfpak '#]],Table2[Rox Wolf'#],0)))</f>
        <v>0</v>
      </c>
      <c r="W163" s="24"/>
      <c r="X163" s="136">
        <f>IF(rrcworking[[#This Row],[Pressure Base]]=14.73,rrcworking[[#This Row],[Gas Sales Statement Volume (MCF)]]*$R$2,rrcworking[[#This Row],[Gas Sales Statement Volume (MCF)]])</f>
        <v>0</v>
      </c>
      <c r="Y163" s="60"/>
      <c r="Z163" s="60"/>
      <c r="AA163" s="147">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92">
        <f>COUNTIF(FilterList,rrcworking[[#This Row],[Magnum Wolfpak '#]])</f>
        <v>0</v>
      </c>
      <c r="AF163" s="189"/>
      <c r="AG163" s="190"/>
      <c r="AH163" s="37"/>
      <c r="AI163" s="37"/>
      <c r="AJ163" s="37"/>
      <c r="AK163" s="37"/>
      <c r="AL163" s="37"/>
      <c r="AM163" s="37"/>
      <c r="AN163" s="37"/>
      <c r="AO163" s="37"/>
      <c r="AP163" s="37"/>
      <c r="AQ163" s="37"/>
    </row>
    <row r="164" spans="3:43" ht="15">
      <c r="C164" s="80" t="e">
        <v>#N/A</v>
      </c>
      <c r="D164" s="62" t="s">
        <v>197</v>
      </c>
      <c r="E164" s="132" t="s">
        <v>198</v>
      </c>
      <c r="F164" s="130">
        <v>0</v>
      </c>
      <c r="G164" s="121" t="s">
        <v>1094</v>
      </c>
      <c r="H164" s="18" t="s">
        <v>619</v>
      </c>
      <c r="I164" s="18" t="s">
        <v>2</v>
      </c>
      <c r="J164" s="19" t="s">
        <v>488</v>
      </c>
      <c r="K164" s="103">
        <v>27279</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229</v>
      </c>
      <c r="O164" s="106" t="b">
        <f t="shared" si="4"/>
        <v>1</v>
      </c>
      <c r="P164" s="186"/>
      <c r="Q164" s="128">
        <f>rrcworking[[#This Row],[Last Month Closing Stock]]</f>
        <v>229</v>
      </c>
      <c r="R164" s="186">
        <f>rrcworking[[#This Row],[Opening Oil Stock]]</f>
        <v>229</v>
      </c>
      <c r="S164" s="147">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Volume]]-rrcworking[[#This Row],[Oil Production]]</f>
        <v>0</v>
      </c>
      <c r="V164" s="147">
        <f>IF(ISERROR(INDEX(Table2[GAS],MATCH(rrcworking[[#This Row],[Magnum Wolfpak '#]],Table2[Rox Wolf'#],0))),0,INDEX(Table2[GAS],MATCH(rrcworking[[#This Row],[Magnum Wolfpak '#]],Table2[Rox Wolf'#],0)))</f>
        <v>0</v>
      </c>
      <c r="W164" s="24"/>
      <c r="X164" s="136">
        <f>IF(rrcworking[[#This Row],[Pressure Base]]=14.73,rrcworking[[#This Row],[Gas Sales Statement Volume (MCF)]]*$R$2,rrcworking[[#This Row],[Gas Sales Statement Volume (MCF)]])</f>
        <v>0</v>
      </c>
      <c r="Y164" s="60"/>
      <c r="Z164" s="60"/>
      <c r="AA164" s="147">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192">
        <f>COUNTIF(FilterList,rrcworking[[#This Row],[Magnum Wolfpak '#]])</f>
        <v>0</v>
      </c>
      <c r="AF164" s="189"/>
      <c r="AG164" s="190"/>
      <c r="AH164" s="37"/>
      <c r="AI164" s="37"/>
      <c r="AJ164" s="37"/>
      <c r="AK164" s="37"/>
      <c r="AL164" s="37"/>
      <c r="AM164" s="37"/>
      <c r="AN164" s="37"/>
      <c r="AO164" s="37"/>
      <c r="AP164" s="37"/>
      <c r="AQ164" s="37"/>
    </row>
    <row r="165" spans="3:43" ht="15">
      <c r="C165" s="80" t="e">
        <v>#N/A</v>
      </c>
      <c r="D165" s="62" t="s">
        <v>100</v>
      </c>
      <c r="E165" s="132" t="s">
        <v>101</v>
      </c>
      <c r="F165" s="130">
        <v>1</v>
      </c>
      <c r="G165" s="121" t="s">
        <v>1094</v>
      </c>
      <c r="H165" s="18" t="s">
        <v>618</v>
      </c>
      <c r="I165" s="18" t="s">
        <v>59</v>
      </c>
      <c r="J165" s="19" t="s">
        <v>429</v>
      </c>
      <c r="K165" s="103">
        <v>192476</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116</v>
      </c>
      <c r="O165" s="106" t="b">
        <f t="shared" si="4"/>
        <v>1</v>
      </c>
      <c r="P165" s="186"/>
      <c r="Q165" s="128">
        <f>rrcworking[[#This Row],[Last Month Closing Stock]]</f>
        <v>116</v>
      </c>
      <c r="R165" s="186">
        <f>rrcworking[[#This Row],[Opening Oil Stock]]</f>
        <v>116</v>
      </c>
      <c r="S165" s="147">
        <f>IF(ISERROR(INDEX(Table2[OIL],MATCH(rrcworking[[#This Row],[Magnum Wolfpak '#]],Table2[Rox Wolf'#],0))),0,INDEX(Table2[OIL],MATCH(rrcworking[[#This Row],[Magnum Wolfpak '#]],Table2[Rox Wolf'#],0)))</f>
        <v>0</v>
      </c>
      <c r="T165" s="35">
        <f>rrcworking[[#This Row],[Closing Stock (Oil)]]+rrcworking[[#This Row],[Sales/Dispostion]]-rrcworking[[#This Row],[Opening Oil Stock]]</f>
        <v>0</v>
      </c>
      <c r="U165" s="112">
        <f>rrcworking[[#This Row],[Gauge Sheet Prod Volume]]-rrcworking[[#This Row],[Oil Production]]</f>
        <v>0</v>
      </c>
      <c r="V165" s="147">
        <f>IF(ISERROR(INDEX(Table2[GAS],MATCH(rrcworking[[#This Row],[Magnum Wolfpak '#]],Table2[Rox Wolf'#],0))),0,INDEX(Table2[GAS],MATCH(rrcworking[[#This Row],[Magnum Wolfpak '#]],Table2[Rox Wolf'#],0)))</f>
        <v>0</v>
      </c>
      <c r="W165" s="24"/>
      <c r="X165" s="136">
        <f>IF(rrcworking[[#This Row],[Pressure Base]]=14.73,rrcworking[[#This Row],[Gas Sales Statement Volume (MCF)]]*$R$2,rrcworking[[#This Row],[Gas Sales Statement Volume (MCF)]])</f>
        <v>0</v>
      </c>
      <c r="Y165" s="60"/>
      <c r="Z165" s="60"/>
      <c r="AA165" s="147">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192">
        <f>COUNTIF(FilterList,rrcworking[[#This Row],[Magnum Wolfpak '#]])</f>
        <v>0</v>
      </c>
      <c r="AF165" s="189"/>
      <c r="AG165" s="190"/>
      <c r="AH165" s="37"/>
      <c r="AI165" s="37"/>
      <c r="AJ165" s="37"/>
      <c r="AK165" s="37"/>
      <c r="AL165" s="37"/>
      <c r="AM165" s="37"/>
      <c r="AN165" s="37"/>
      <c r="AO165" s="37"/>
      <c r="AP165" s="37"/>
      <c r="AQ165" s="37"/>
    </row>
    <row r="166" spans="3:43" ht="15">
      <c r="C166" s="80">
        <v>99026</v>
      </c>
      <c r="D166" s="62" t="s">
        <v>193</v>
      </c>
      <c r="E166" s="132" t="s">
        <v>194</v>
      </c>
      <c r="F166" s="130">
        <v>0</v>
      </c>
      <c r="G166" s="121" t="s">
        <v>1094</v>
      </c>
      <c r="H166" s="18" t="s">
        <v>619</v>
      </c>
      <c r="I166" s="18" t="s">
        <v>2</v>
      </c>
      <c r="J166" s="19" t="s">
        <v>486</v>
      </c>
      <c r="K166" s="103">
        <v>2099</v>
      </c>
      <c r="L166" s="101">
        <f>INDEX(Table1[Production],MATCH(rrcworking[[#This Row],[RRC ID Number]],Table1[RRC Identifier],0))</f>
        <v>558</v>
      </c>
      <c r="M166" s="30">
        <f>INDEX(Table1[Formation Production],MATCH(rrcworking[[#This Row],[RRC ID Number]],Table1[RRC Identifier],0))</f>
        <v>0</v>
      </c>
      <c r="N166" s="31">
        <f>INDEX(Table1[On Hand End of Month],MATCH(rrcworking[[#This Row],[RRC ID Number]],Table1[RRC Identifier],0))</f>
        <v>223</v>
      </c>
      <c r="O166" s="106" t="b">
        <f t="shared" si="4"/>
        <v>0</v>
      </c>
      <c r="P166" s="186">
        <v>539</v>
      </c>
      <c r="Q166" s="128">
        <f>rrcworking[[#This Row],[Last Month Closing Stock]]</f>
        <v>223</v>
      </c>
      <c r="R166" s="186">
        <v>244</v>
      </c>
      <c r="S166" s="147">
        <f>IF(ISERROR(INDEX(Table2[OIL],MATCH(rrcworking[[#This Row],[Magnum Wolfpak '#]],Table2[Rox Wolf'#],0))),0,INDEX(Table2[OIL],MATCH(rrcworking[[#This Row],[Magnum Wolfpak '#]],Table2[Rox Wolf'#],0)))</f>
        <v>517</v>
      </c>
      <c r="T166" s="35">
        <f>rrcworking[[#This Row],[Closing Stock (Oil)]]+rrcworking[[#This Row],[Sales/Dispostion]]-rrcworking[[#This Row],[Opening Oil Stock]]</f>
        <v>538</v>
      </c>
      <c r="U166" s="112">
        <f>rrcworking[[#This Row],[Gauge Sheet Prod Volume]]-rrcworking[[#This Row],[Oil Production]]</f>
        <v>1</v>
      </c>
      <c r="V166" s="147">
        <f>IF(ISERROR(INDEX(Table2[GAS],MATCH(rrcworking[[#This Row],[Magnum Wolfpak '#]],Table2[Rox Wolf'#],0))),0,INDEX(Table2[GAS],MATCH(rrcworking[[#This Row],[Magnum Wolfpak '#]],Table2[Rox Wolf'#],0)))</f>
        <v>0</v>
      </c>
      <c r="W166" s="24"/>
      <c r="X166" s="136">
        <f>IF(rrcworking[[#This Row],[Pressure Base]]=14.73,rrcworking[[#This Row],[Gas Sales Statement Volume (MCF)]]*$R$2,rrcworking[[#This Row],[Gas Sales Statement Volume (MCF)]])</f>
        <v>0</v>
      </c>
      <c r="Y166" s="60"/>
      <c r="Z166" s="60"/>
      <c r="AA166" s="147">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92">
        <f>COUNTIF(FilterList,rrcworking[[#This Row],[Magnum Wolfpak '#]])</f>
        <v>0</v>
      </c>
      <c r="AF166" s="189"/>
      <c r="AG166" s="190"/>
      <c r="AH166" s="37"/>
      <c r="AI166" s="37"/>
      <c r="AJ166" s="191"/>
      <c r="AK166" s="191"/>
      <c r="AL166" s="191"/>
      <c r="AM166" s="191"/>
      <c r="AN166" s="191"/>
      <c r="AO166" s="191"/>
      <c r="AP166" s="37" t="s">
        <v>1173</v>
      </c>
      <c r="AQ166" s="37" t="s">
        <v>1208</v>
      </c>
    </row>
    <row r="167" spans="3:43" ht="30">
      <c r="C167" s="80">
        <v>99312</v>
      </c>
      <c r="D167" s="62" t="s">
        <v>256</v>
      </c>
      <c r="E167" s="132" t="s">
        <v>252</v>
      </c>
      <c r="F167" s="130" t="s">
        <v>227</v>
      </c>
      <c r="G167" s="121" t="s">
        <v>1094</v>
      </c>
      <c r="H167" s="18" t="s">
        <v>619</v>
      </c>
      <c r="I167" s="18" t="s">
        <v>59</v>
      </c>
      <c r="J167" s="19" t="s">
        <v>517</v>
      </c>
      <c r="K167" s="103">
        <v>285001</v>
      </c>
      <c r="L167" s="101">
        <f>INDEX(Table1[Production],MATCH(rrcworking[[#This Row],[RRC ID Number]],Table1[RRC Identifier],0))</f>
        <v>62</v>
      </c>
      <c r="M167" s="30">
        <f>INDEX(Table1[Formation Production],MATCH(rrcworking[[#This Row],[RRC ID Number]],Table1[RRC Identifier],0))</f>
        <v>11954</v>
      </c>
      <c r="N167" s="31">
        <f>INDEX(Table1[On Hand End of Month],MATCH(rrcworking[[#This Row],[RRC ID Number]],Table1[RRC Identifier],0))</f>
        <v>100</v>
      </c>
      <c r="O167" s="106" t="b">
        <f t="shared" si="4"/>
        <v>0</v>
      </c>
      <c r="P167" s="186">
        <v>23</v>
      </c>
      <c r="Q167" s="128">
        <f>rrcworking[[#This Row],[Last Month Closing Stock]]</f>
        <v>100</v>
      </c>
      <c r="R167" s="187">
        <v>100</v>
      </c>
      <c r="S167" s="147">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Volume]]-rrcworking[[#This Row],[Oil Production]]</f>
        <v>23</v>
      </c>
      <c r="V167" s="147">
        <f>IF(ISERROR(INDEX(Table2[GAS],MATCH(rrcworking[[#This Row],[Magnum Wolfpak '#]],Table2[Rox Wolf'#],0))),0,INDEX(Table2[GAS],MATCH(rrcworking[[#This Row],[Magnum Wolfpak '#]],Table2[Rox Wolf'#],0)))</f>
        <v>7899</v>
      </c>
      <c r="W167" s="24"/>
      <c r="X167" s="136">
        <f>IF(rrcworking[[#This Row],[Pressure Base]]=14.73,rrcworking[[#This Row],[Gas Sales Statement Volume (MCF)]]*$R$2,rrcworking[[#This Row],[Gas Sales Statement Volume (MCF)]])</f>
        <v>7899</v>
      </c>
      <c r="Y167" s="85"/>
      <c r="Z167" s="60">
        <v>21</v>
      </c>
      <c r="AA167" s="147">
        <f>IF(ISERROR(INDEX(Table2[LEASE USE],MATCH(rrcworking[[#This Row],[Magnum Wolfpak '#]],Table2[Rox Wolf'#],0))),0,INDEX(Table2[LEASE USE],MATCH(rrcworking[[#This Row],[Magnum Wolfpak '#]],Table2[Rox Wolf'#],0)))</f>
        <v>651</v>
      </c>
      <c r="AB167" s="57">
        <f>rrcworking[[#This Row],[Disposition Volume (MCF) @ 14.65 MCF]]+rrcworking[[#This Row],[Lease Use (MCF)]]</f>
        <v>8550</v>
      </c>
      <c r="AC167" s="37"/>
      <c r="AD167" s="37" t="s">
        <v>1258</v>
      </c>
      <c r="AE167" s="192">
        <f>COUNTIF(FilterList,rrcworking[[#This Row],[Magnum Wolfpak '#]])</f>
        <v>0</v>
      </c>
      <c r="AF167" s="189"/>
      <c r="AG167" s="190"/>
      <c r="AH167" s="37"/>
      <c r="AI167" s="190"/>
      <c r="AJ167" s="37">
        <v>1</v>
      </c>
      <c r="AK167" s="37" t="s">
        <v>1146</v>
      </c>
      <c r="AL167" s="37" t="s">
        <v>1146</v>
      </c>
      <c r="AM167" s="37" t="s">
        <v>1185</v>
      </c>
      <c r="AN167" s="37" t="s">
        <v>1146</v>
      </c>
      <c r="AO167" s="37" t="s">
        <v>1186</v>
      </c>
      <c r="AP167" s="37" t="s">
        <v>1230</v>
      </c>
      <c r="AQ167" s="37"/>
    </row>
    <row r="168" spans="3:43" ht="30">
      <c r="C168" s="80">
        <v>99246</v>
      </c>
      <c r="D168" s="62" t="s">
        <v>251</v>
      </c>
      <c r="E168" s="132" t="s">
        <v>252</v>
      </c>
      <c r="F168" s="130" t="s">
        <v>253</v>
      </c>
      <c r="G168" s="121" t="s">
        <v>1094</v>
      </c>
      <c r="H168" s="18" t="s">
        <v>619</v>
      </c>
      <c r="I168" s="18" t="s">
        <v>59</v>
      </c>
      <c r="J168" s="19" t="s">
        <v>515</v>
      </c>
      <c r="K168" s="103">
        <v>284977</v>
      </c>
      <c r="L168" s="101">
        <f>INDEX(Table1[Production],MATCH(rrcworking[[#This Row],[RRC ID Number]],Table1[RRC Identifier],0))</f>
        <v>157</v>
      </c>
      <c r="M168" s="30">
        <f>INDEX(Table1[Formation Production],MATCH(rrcworking[[#This Row],[RRC ID Number]],Table1[RRC Identifier],0))</f>
        <v>16528</v>
      </c>
      <c r="N168" s="31">
        <f>INDEX(Table1[On Hand End of Month],MATCH(rrcworking[[#This Row],[RRC ID Number]],Table1[RRC Identifier],0))</f>
        <v>230</v>
      </c>
      <c r="O168" s="106" t="b">
        <f t="shared" ref="O168:O197" si="5">IF(AND(L168=0,M168=0), TRUE, FALSE)</f>
        <v>0</v>
      </c>
      <c r="P168" s="186">
        <v>27</v>
      </c>
      <c r="Q168" s="128">
        <f>rrcworking[[#This Row],[Last Month Closing Stock]]</f>
        <v>230</v>
      </c>
      <c r="R168" s="187">
        <v>75</v>
      </c>
      <c r="S168" s="147">
        <f>IF(ISERROR(INDEX(Table2[OIL],MATCH(rrcworking[[#This Row],[Magnum Wolfpak '#]],Table2[Rox Wolf'#],0))),0,INDEX(Table2[OIL],MATCH(rrcworking[[#This Row],[Magnum Wolfpak '#]],Table2[Rox Wolf'#],0)))</f>
        <v>181</v>
      </c>
      <c r="T168" s="35">
        <f>rrcworking[[#This Row],[Closing Stock (Oil)]]+rrcworking[[#This Row],[Sales/Dispostion]]-rrcworking[[#This Row],[Opening Oil Stock]]</f>
        <v>26</v>
      </c>
      <c r="U168" s="112">
        <f>rrcworking[[#This Row],[Gauge Sheet Prod Volume]]-rrcworking[[#This Row],[Oil Production]]</f>
        <v>1</v>
      </c>
      <c r="V168" s="147">
        <f>IF(ISERROR(INDEX(Table2[GAS],MATCH(rrcworking[[#This Row],[Magnum Wolfpak '#]],Table2[Rox Wolf'#],0))),0,INDEX(Table2[GAS],MATCH(rrcworking[[#This Row],[Magnum Wolfpak '#]],Table2[Rox Wolf'#],0)))</f>
        <v>14483</v>
      </c>
      <c r="W168" s="24"/>
      <c r="X168" s="136">
        <f>IF(rrcworking[[#This Row],[Pressure Base]]=14.73,rrcworking[[#This Row],[Gas Sales Statement Volume (MCF)]]*$R$2,rrcworking[[#This Row],[Gas Sales Statement Volume (MCF)]])</f>
        <v>14483</v>
      </c>
      <c r="Y168" s="85"/>
      <c r="Z168" s="60">
        <v>25</v>
      </c>
      <c r="AA168" s="147">
        <f>IF(ISERROR(INDEX(Table2[LEASE USE],MATCH(rrcworking[[#This Row],[Magnum Wolfpak '#]],Table2[Rox Wolf'#],0))),0,INDEX(Table2[LEASE USE],MATCH(rrcworking[[#This Row],[Magnum Wolfpak '#]],Table2[Rox Wolf'#],0)))</f>
        <v>775</v>
      </c>
      <c r="AB168" s="57">
        <f>rrcworking[[#This Row],[Disposition Volume (MCF) @ 14.65 MCF]]+rrcworking[[#This Row],[Lease Use (MCF)]]</f>
        <v>15258</v>
      </c>
      <c r="AC168" s="37"/>
      <c r="AD168" s="37" t="s">
        <v>1258</v>
      </c>
      <c r="AE168" s="192">
        <f>COUNTIF(FilterList,rrcworking[[#This Row],[Magnum Wolfpak '#]])</f>
        <v>0</v>
      </c>
      <c r="AF168" s="189"/>
      <c r="AG168" s="190"/>
      <c r="AH168" s="37"/>
      <c r="AI168" s="190"/>
      <c r="AJ168" s="37">
        <v>2</v>
      </c>
      <c r="AK168" s="37" t="s">
        <v>1146</v>
      </c>
      <c r="AL168" s="37" t="s">
        <v>1146</v>
      </c>
      <c r="AM168" s="37" t="s">
        <v>1191</v>
      </c>
      <c r="AN168" s="37" t="s">
        <v>1146</v>
      </c>
      <c r="AO168" s="37" t="s">
        <v>1186</v>
      </c>
      <c r="AP168" s="37" t="s">
        <v>1231</v>
      </c>
      <c r="AQ168" s="37"/>
    </row>
    <row r="169" spans="3:43" ht="15">
      <c r="C169" s="80" t="e">
        <v>#N/A</v>
      </c>
      <c r="D169" s="62" t="s">
        <v>300</v>
      </c>
      <c r="E169" s="132" t="s">
        <v>301</v>
      </c>
      <c r="F169" s="130" t="s">
        <v>302</v>
      </c>
      <c r="G169" s="121" t="s">
        <v>1094</v>
      </c>
      <c r="H169" s="18" t="s">
        <v>619</v>
      </c>
      <c r="I169" s="18" t="s">
        <v>59</v>
      </c>
      <c r="J169" s="19" t="s">
        <v>549</v>
      </c>
      <c r="K169" s="103">
        <v>201104</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6"/>
      <c r="Q169" s="128">
        <f>rrcworking[[#This Row],[Last Month Closing Stock]]</f>
        <v>0</v>
      </c>
      <c r="R169" s="186">
        <f>rrcworking[[#This Row],[Opening Oil Stock]]</f>
        <v>0</v>
      </c>
      <c r="S169" s="147">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7">
        <f>IF(ISERROR(INDEX(Table2[GAS],MATCH(rrcworking[[#This Row],[Magnum Wolfpak '#]],Table2[Rox Wolf'#],0))),0,INDEX(Table2[GAS],MATCH(rrcworking[[#This Row],[Magnum Wolfpak '#]],Table2[Rox Wolf'#],0)))</f>
        <v>0</v>
      </c>
      <c r="W169" s="24"/>
      <c r="X169" s="136">
        <f>IF(rrcworking[[#This Row],[Pressure Base]]=14.73,rrcworking[[#This Row],[Gas Sales Statement Volume (MCF)]]*$R$2,rrcworking[[#This Row],[Gas Sales Statement Volume (MCF)]])</f>
        <v>0</v>
      </c>
      <c r="Y169" s="60"/>
      <c r="Z169" s="60"/>
      <c r="AA169" s="147">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92">
        <f>COUNTIF(FilterList,rrcworking[[#This Row],[Magnum Wolfpak '#]])</f>
        <v>0</v>
      </c>
      <c r="AF169" s="189"/>
      <c r="AG169" s="190"/>
      <c r="AH169" s="37"/>
      <c r="AI169" s="37"/>
      <c r="AJ169" s="37"/>
      <c r="AK169" s="37"/>
      <c r="AL169" s="37"/>
      <c r="AM169" s="37"/>
      <c r="AN169" s="37"/>
      <c r="AO169" s="37"/>
      <c r="AP169" s="37"/>
      <c r="AQ169" s="37"/>
    </row>
    <row r="170" spans="3:43" ht="135">
      <c r="C170" s="80">
        <v>99140</v>
      </c>
      <c r="D170" s="62" t="s">
        <v>188</v>
      </c>
      <c r="E170" s="132" t="s">
        <v>189</v>
      </c>
      <c r="F170" s="130">
        <v>0</v>
      </c>
      <c r="G170" s="121" t="s">
        <v>1094</v>
      </c>
      <c r="H170" s="18" t="s">
        <v>619</v>
      </c>
      <c r="I170" s="18" t="s">
        <v>2</v>
      </c>
      <c r="J170" s="19" t="s">
        <v>483</v>
      </c>
      <c r="K170" s="103">
        <v>26501</v>
      </c>
      <c r="L170" s="101">
        <f>INDEX(Table1[Production],MATCH(rrcworking[[#This Row],[RRC ID Number]],Table1[RRC Identifier],0))</f>
        <v>0</v>
      </c>
      <c r="M170" s="30">
        <f>INDEX(Table1[Formation Production],MATCH(rrcworking[[#This Row],[RRC ID Number]],Table1[RRC Identifier],0))</f>
        <v>0</v>
      </c>
      <c r="N170" s="31">
        <f>INDEX(Table1[On Hand End of Month],MATCH(rrcworking[[#This Row],[RRC ID Number]],Table1[RRC Identifier],0))</f>
        <v>114</v>
      </c>
      <c r="O170" s="106" t="b">
        <f t="shared" si="5"/>
        <v>1</v>
      </c>
      <c r="P170" s="186">
        <v>0</v>
      </c>
      <c r="Q170" s="128">
        <f>rrcworking[[#This Row],[Last Month Closing Stock]]</f>
        <v>114</v>
      </c>
      <c r="R170" s="186">
        <v>114</v>
      </c>
      <c r="S170" s="147">
        <f>IF(ISERROR(INDEX(Table2[OIL],MATCH(rrcworking[[#This Row],[Magnum Wolfpak '#]],Table2[Rox Wolf'#],0))),0,INDEX(Table2[OIL],MATCH(rrcworking[[#This Row],[Magnum Wolfpak '#]],Table2[Rox Wolf'#],0)))</f>
        <v>0</v>
      </c>
      <c r="T170" s="35">
        <f>rrcworking[[#This Row],[Closing Stock (Oil)]]+rrcworking[[#This Row],[Sales/Dispostion]]-rrcworking[[#This Row],[Opening Oil Stock]]</f>
        <v>0</v>
      </c>
      <c r="U170" s="112">
        <f>rrcworking[[#This Row],[Gauge Sheet Prod Volume]]-rrcworking[[#This Row],[Oil Production]]</f>
        <v>0</v>
      </c>
      <c r="V170" s="147">
        <f>IF(ISERROR(INDEX(Table2[GAS],MATCH(rrcworking[[#This Row],[Magnum Wolfpak '#]],Table2[Rox Wolf'#],0))),0,INDEX(Table2[GAS],MATCH(rrcworking[[#This Row],[Magnum Wolfpak '#]],Table2[Rox Wolf'#],0)))</f>
        <v>0</v>
      </c>
      <c r="W170" s="24"/>
      <c r="X170" s="136">
        <f>IF(rrcworking[[#This Row],[Pressure Base]]=14.73,rrcworking[[#This Row],[Gas Sales Statement Volume (MCF)]]*$R$2,rrcworking[[#This Row],[Gas Sales Statement Volume (MCF)]])</f>
        <v>0</v>
      </c>
      <c r="Y170" s="60"/>
      <c r="Z170" s="60"/>
      <c r="AA170" s="147">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t="s">
        <v>1153</v>
      </c>
      <c r="AE170" s="192">
        <f>COUNTIF(FilterList,rrcworking[[#This Row],[Magnum Wolfpak '#]])</f>
        <v>0</v>
      </c>
      <c r="AF170" s="189"/>
      <c r="AG170" s="190"/>
      <c r="AH170" s="37"/>
      <c r="AI170" s="37"/>
      <c r="AJ170" s="37"/>
      <c r="AK170" s="37"/>
      <c r="AL170" s="37"/>
      <c r="AM170" s="37"/>
      <c r="AN170" s="37"/>
      <c r="AO170" s="37"/>
      <c r="AP170" s="37" t="s">
        <v>1173</v>
      </c>
      <c r="AQ170" s="37" t="s">
        <v>1232</v>
      </c>
    </row>
    <row r="171" spans="3:43" ht="30">
      <c r="C171" s="80">
        <v>98979</v>
      </c>
      <c r="D171" s="62" t="s">
        <v>309</v>
      </c>
      <c r="E171" s="132" t="s">
        <v>310</v>
      </c>
      <c r="F171" s="130">
        <v>0</v>
      </c>
      <c r="G171" s="121" t="s">
        <v>1094</v>
      </c>
      <c r="H171" s="18" t="s">
        <v>620</v>
      </c>
      <c r="I171" s="18" t="s">
        <v>2</v>
      </c>
      <c r="J171" s="19" t="s">
        <v>554</v>
      </c>
      <c r="K171" s="103">
        <v>13355</v>
      </c>
      <c r="L171" s="101">
        <f>INDEX(Table1[Production],MATCH(rrcworking[[#This Row],[RRC ID Number]],Table1[RRC Identifier],0))</f>
        <v>68</v>
      </c>
      <c r="M171" s="30">
        <f>INDEX(Table1[Formation Production],MATCH(rrcworking[[#This Row],[RRC ID Number]],Table1[RRC Identifier],0))</f>
        <v>0</v>
      </c>
      <c r="N171" s="31">
        <f>INDEX(Table1[On Hand End of Month],MATCH(rrcworking[[#This Row],[RRC ID Number]],Table1[RRC Identifier],0))</f>
        <v>49</v>
      </c>
      <c r="O171" s="106" t="b">
        <f t="shared" si="5"/>
        <v>0</v>
      </c>
      <c r="P171" s="186">
        <v>63</v>
      </c>
      <c r="Q171" s="128">
        <f>rrcworking[[#This Row],[Last Month Closing Stock]]</f>
        <v>49</v>
      </c>
      <c r="R171" s="187">
        <v>111</v>
      </c>
      <c r="S171" s="147">
        <f>IF(ISERROR(INDEX(Table2[OIL],MATCH(rrcworking[[#This Row],[Magnum Wolfpak '#]],Table2[Rox Wolf'#],0))),0,INDEX(Table2[OIL],MATCH(rrcworking[[#This Row],[Magnum Wolfpak '#]],Table2[Rox Wolf'#],0)))</f>
        <v>0</v>
      </c>
      <c r="T171" s="35">
        <f>rrcworking[[#This Row],[Closing Stock (Oil)]]+rrcworking[[#This Row],[Sales/Dispostion]]-rrcworking[[#This Row],[Opening Oil Stock]]</f>
        <v>62</v>
      </c>
      <c r="U171" s="112">
        <f>rrcworking[[#This Row],[Gauge Sheet Prod Volume]]-rrcworking[[#This Row],[Oil Production]]</f>
        <v>1</v>
      </c>
      <c r="V171" s="147">
        <f>IF(ISERROR(INDEX(Table2[GAS],MATCH(rrcworking[[#This Row],[Magnum Wolfpak '#]],Table2[Rox Wolf'#],0))),0,INDEX(Table2[GAS],MATCH(rrcworking[[#This Row],[Magnum Wolfpak '#]],Table2[Rox Wolf'#],0)))</f>
        <v>248</v>
      </c>
      <c r="W171" s="24"/>
      <c r="X171" s="136">
        <f>IF(rrcworking[[#This Row],[Pressure Base]]=14.73,rrcworking[[#This Row],[Gas Sales Statement Volume (MCF)]]*$R$2,rrcworking[[#This Row],[Gas Sales Statement Volume (MCF)]])</f>
        <v>248</v>
      </c>
      <c r="Y171" s="60"/>
      <c r="Z171" s="60">
        <v>0</v>
      </c>
      <c r="AA171" s="147">
        <f>IF(ISERROR(INDEX(Table2[LEASE USE],MATCH(rrcworking[[#This Row],[Magnum Wolfpak '#]],Table2[Rox Wolf'#],0))),0,INDEX(Table2[LEASE USE],MATCH(rrcworking[[#This Row],[Magnum Wolfpak '#]],Table2[Rox Wolf'#],0)))</f>
        <v>0</v>
      </c>
      <c r="AB171" s="57">
        <f>rrcworking[[#This Row],[Disposition Volume (MCF) @ 14.65 MCF]]+rrcworking[[#This Row],[Lease Use (MCF)]]</f>
        <v>248</v>
      </c>
      <c r="AC171" s="37"/>
      <c r="AD171" s="37"/>
      <c r="AE171" s="192">
        <f>COUNTIF(FilterList,rrcworking[[#This Row],[Magnum Wolfpak '#]])</f>
        <v>0</v>
      </c>
      <c r="AF171" s="189"/>
      <c r="AG171" s="190"/>
      <c r="AH171" s="37"/>
      <c r="AI171" s="190"/>
      <c r="AJ171" s="37">
        <v>2</v>
      </c>
      <c r="AK171" s="37" t="s">
        <v>1175</v>
      </c>
      <c r="AL171" s="37" t="s">
        <v>1175</v>
      </c>
      <c r="AM171" s="37" t="s">
        <v>1206</v>
      </c>
      <c r="AN171" s="37" t="s">
        <v>1175</v>
      </c>
      <c r="AO171" s="37" t="s">
        <v>1181</v>
      </c>
      <c r="AP171" s="37" t="s">
        <v>1250</v>
      </c>
      <c r="AQ171" s="37"/>
    </row>
    <row r="172" spans="3:43" ht="15">
      <c r="C172" s="80" t="e">
        <v>#N/A</v>
      </c>
      <c r="D172" s="62" t="s">
        <v>95</v>
      </c>
      <c r="E172" s="132" t="s">
        <v>92</v>
      </c>
      <c r="F172" s="130">
        <v>5</v>
      </c>
      <c r="G172" s="121" t="s">
        <v>1094</v>
      </c>
      <c r="H172" s="18" t="s">
        <v>618</v>
      </c>
      <c r="I172" s="18" t="s">
        <v>59</v>
      </c>
      <c r="J172" s="19" t="s">
        <v>425</v>
      </c>
      <c r="K172" s="103">
        <v>145447</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6"/>
      <c r="Q172" s="128">
        <f>rrcworking[[#This Row],[Last Month Closing Stock]]</f>
        <v>0</v>
      </c>
      <c r="R172" s="186">
        <f>rrcworking[[#This Row],[Opening Oil Stock]]</f>
        <v>0</v>
      </c>
      <c r="S172" s="147">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7">
        <f>IF(ISERROR(INDEX(Table2[GAS],MATCH(rrcworking[[#This Row],[Magnum Wolfpak '#]],Table2[Rox Wolf'#],0))),0,INDEX(Table2[GAS],MATCH(rrcworking[[#This Row],[Magnum Wolfpak '#]],Table2[Rox Wolf'#],0)))</f>
        <v>0</v>
      </c>
      <c r="W172" s="24"/>
      <c r="X172" s="136">
        <f>IF(rrcworking[[#This Row],[Pressure Base]]=14.73,rrcworking[[#This Row],[Gas Sales Statement Volume (MCF)]]*$R$2,rrcworking[[#This Row],[Gas Sales Statement Volume (MCF)]])</f>
        <v>0</v>
      </c>
      <c r="Y172" s="60"/>
      <c r="Z172" s="60"/>
      <c r="AA172" s="147">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92">
        <f>COUNTIF(FilterList,rrcworking[[#This Row],[Magnum Wolfpak '#]])</f>
        <v>0</v>
      </c>
      <c r="AF172" s="189"/>
      <c r="AG172" s="190"/>
      <c r="AH172" s="37"/>
      <c r="AI172" s="37"/>
      <c r="AJ172" s="37"/>
      <c r="AK172" s="37"/>
      <c r="AL172" s="37"/>
      <c r="AM172" s="37"/>
      <c r="AN172" s="37"/>
      <c r="AO172" s="37"/>
      <c r="AP172" s="37"/>
      <c r="AQ172" s="37"/>
    </row>
    <row r="173" spans="3:43" ht="30">
      <c r="C173" s="80">
        <v>34001</v>
      </c>
      <c r="D173" s="62" t="s">
        <v>91</v>
      </c>
      <c r="E173" s="132" t="s">
        <v>92</v>
      </c>
      <c r="F173" s="130">
        <v>0</v>
      </c>
      <c r="G173" s="121" t="s">
        <v>1094</v>
      </c>
      <c r="H173" s="18" t="s">
        <v>618</v>
      </c>
      <c r="I173" s="18" t="s">
        <v>2</v>
      </c>
      <c r="J173" s="19" t="s">
        <v>423</v>
      </c>
      <c r="K173" s="103">
        <v>394</v>
      </c>
      <c r="L173" s="101">
        <f>INDEX(Table1[Production],MATCH(rrcworking[[#This Row],[RRC ID Number]],Table1[RRC Identifier],0))</f>
        <v>666</v>
      </c>
      <c r="M173" s="30">
        <f>INDEX(Table1[Formation Production],MATCH(rrcworking[[#This Row],[RRC ID Number]],Table1[RRC Identifier],0))</f>
        <v>0</v>
      </c>
      <c r="N173" s="31">
        <f>INDEX(Table1[On Hand End of Month],MATCH(rrcworking[[#This Row],[RRC ID Number]],Table1[RRC Identifier],0))</f>
        <v>300</v>
      </c>
      <c r="O173" s="106" t="b">
        <f t="shared" si="5"/>
        <v>0</v>
      </c>
      <c r="P173" s="186">
        <v>614</v>
      </c>
      <c r="Q173" s="128">
        <f>rrcworking[[#This Row],[Last Month Closing Stock]]</f>
        <v>300</v>
      </c>
      <c r="R173" s="187">
        <v>413</v>
      </c>
      <c r="S173" s="147">
        <f>IF(ISERROR(INDEX(Table2[OIL],MATCH(rrcworking[[#This Row],[Magnum Wolfpak '#]],Table2[Rox Wolf'#],0))),0,INDEX(Table2[OIL],MATCH(rrcworking[[#This Row],[Magnum Wolfpak '#]],Table2[Rox Wolf'#],0)))</f>
        <v>501</v>
      </c>
      <c r="T173" s="35">
        <f>rrcworking[[#This Row],[Closing Stock (Oil)]]+rrcworking[[#This Row],[Sales/Dispostion]]-rrcworking[[#This Row],[Opening Oil Stock]]</f>
        <v>614</v>
      </c>
      <c r="U173" s="112">
        <f>rrcworking[[#This Row],[Gauge Sheet Prod Volume]]-rrcworking[[#This Row],[Oil Production]]</f>
        <v>0</v>
      </c>
      <c r="V173" s="147">
        <f>IF(ISERROR(INDEX(Table2[GAS],MATCH(rrcworking[[#This Row],[Magnum Wolfpak '#]],Table2[Rox Wolf'#],0))),0,INDEX(Table2[GAS],MATCH(rrcworking[[#This Row],[Magnum Wolfpak '#]],Table2[Rox Wolf'#],0)))</f>
        <v>0</v>
      </c>
      <c r="W173" s="24"/>
      <c r="X173" s="136">
        <f>IF(rrcworking[[#This Row],[Pressure Base]]=14.73,rrcworking[[#This Row],[Gas Sales Statement Volume (MCF)]]*$R$2,rrcworking[[#This Row],[Gas Sales Statement Volume (MCF)]])</f>
        <v>0</v>
      </c>
      <c r="Y173" s="60"/>
      <c r="Z173" s="60"/>
      <c r="AA173" s="147">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92">
        <f>COUNTIF(FilterList,rrcworking[[#This Row],[Magnum Wolfpak '#]])</f>
        <v>0</v>
      </c>
      <c r="AF173" s="189"/>
      <c r="AG173" s="190"/>
      <c r="AH173" s="37"/>
      <c r="AI173" s="190"/>
      <c r="AJ173" s="191"/>
      <c r="AK173" s="191"/>
      <c r="AL173" s="191"/>
      <c r="AM173" s="191"/>
      <c r="AN173" s="191"/>
      <c r="AO173" s="191"/>
      <c r="AP173" s="37" t="s">
        <v>1173</v>
      </c>
      <c r="AQ173" s="37" t="s">
        <v>1179</v>
      </c>
    </row>
    <row r="174" spans="3:43" ht="15">
      <c r="C174" s="80" t="e">
        <v>#N/A</v>
      </c>
      <c r="D174" s="62" t="s">
        <v>324</v>
      </c>
      <c r="E174" s="132" t="s">
        <v>325</v>
      </c>
      <c r="F174" s="130">
        <v>0</v>
      </c>
      <c r="G174" s="121" t="s">
        <v>1094</v>
      </c>
      <c r="H174" s="18" t="s">
        <v>620</v>
      </c>
      <c r="I174" s="18" t="s">
        <v>2</v>
      </c>
      <c r="J174" s="19" t="s">
        <v>561</v>
      </c>
      <c r="K174" s="103">
        <v>12863</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6"/>
      <c r="Q174" s="128">
        <f>rrcworking[[#This Row],[Last Month Closing Stock]]</f>
        <v>0</v>
      </c>
      <c r="R174" s="186">
        <f>rrcworking[[#This Row],[Opening Oil Stock]]</f>
        <v>0</v>
      </c>
      <c r="S174" s="147">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7">
        <f>IF(ISERROR(INDEX(Table2[GAS],MATCH(rrcworking[[#This Row],[Magnum Wolfpak '#]],Table2[Rox Wolf'#],0))),0,INDEX(Table2[GAS],MATCH(rrcworking[[#This Row],[Magnum Wolfpak '#]],Table2[Rox Wolf'#],0)))</f>
        <v>0</v>
      </c>
      <c r="W174" s="24"/>
      <c r="X174" s="136">
        <f>IF(rrcworking[[#This Row],[Pressure Base]]=14.73,rrcworking[[#This Row],[Gas Sales Statement Volume (MCF)]]*$R$2,rrcworking[[#This Row],[Gas Sales Statement Volume (MCF)]])</f>
        <v>0</v>
      </c>
      <c r="Y174" s="60"/>
      <c r="Z174" s="60"/>
      <c r="AA174" s="147">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192">
        <f>COUNTIF(FilterList,rrcworking[[#This Row],[Magnum Wolfpak '#]])</f>
        <v>0</v>
      </c>
      <c r="AF174" s="189"/>
      <c r="AG174" s="190"/>
      <c r="AH174" s="37"/>
      <c r="AI174" s="37"/>
      <c r="AJ174" s="37"/>
      <c r="AK174" s="37"/>
      <c r="AL174" s="37"/>
      <c r="AM174" s="37"/>
      <c r="AN174" s="37"/>
      <c r="AO174" s="37"/>
      <c r="AP174" s="37"/>
      <c r="AQ174" s="37"/>
    </row>
    <row r="175" spans="3:43" ht="15">
      <c r="C175" s="80" t="e">
        <v>#N/A</v>
      </c>
      <c r="D175" s="62" t="s">
        <v>136</v>
      </c>
      <c r="E175" s="132" t="s">
        <v>137</v>
      </c>
      <c r="F175" s="130">
        <v>0</v>
      </c>
      <c r="G175" s="121" t="s">
        <v>1094</v>
      </c>
      <c r="H175" s="18" t="s">
        <v>618</v>
      </c>
      <c r="I175" s="18" t="s">
        <v>2</v>
      </c>
      <c r="J175" s="19" t="s">
        <v>452</v>
      </c>
      <c r="K175" s="103">
        <v>10778</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186"/>
      <c r="Q175" s="128">
        <f>rrcworking[[#This Row],[Last Month Closing Stock]]</f>
        <v>0</v>
      </c>
      <c r="R175" s="186">
        <f>rrcworking[[#This Row],[Opening Oil Stock]]</f>
        <v>0</v>
      </c>
      <c r="S175" s="147">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 Volume]]-rrcworking[[#This Row],[Oil Production]]</f>
        <v>0</v>
      </c>
      <c r="V175" s="147">
        <f>IF(ISERROR(INDEX(Table2[GAS],MATCH(rrcworking[[#This Row],[Magnum Wolfpak '#]],Table2[Rox Wolf'#],0))),0,INDEX(Table2[GAS],MATCH(rrcworking[[#This Row],[Magnum Wolfpak '#]],Table2[Rox Wolf'#],0)))</f>
        <v>0</v>
      </c>
      <c r="W175" s="24"/>
      <c r="X175" s="136">
        <f>IF(rrcworking[[#This Row],[Pressure Base]]=14.73,rrcworking[[#This Row],[Gas Sales Statement Volume (MCF)]]*$R$2,rrcworking[[#This Row],[Gas Sales Statement Volume (MCF)]])</f>
        <v>0</v>
      </c>
      <c r="Y175" s="60"/>
      <c r="Z175" s="60"/>
      <c r="AA175" s="147">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192">
        <f>COUNTIF(FilterList,rrcworking[[#This Row],[Magnum Wolfpak '#]])</f>
        <v>0</v>
      </c>
      <c r="AF175" s="189"/>
      <c r="AG175" s="190"/>
      <c r="AH175" s="37"/>
      <c r="AI175" s="37"/>
      <c r="AJ175" s="37"/>
      <c r="AK175" s="37"/>
      <c r="AL175" s="37"/>
      <c r="AM175" s="37"/>
      <c r="AN175" s="37"/>
      <c r="AO175" s="37"/>
      <c r="AP175" s="37"/>
      <c r="AQ175" s="37"/>
    </row>
    <row r="176" spans="3:43" ht="15">
      <c r="C176" s="80" t="e">
        <v>#N/A</v>
      </c>
      <c r="D176" s="62" t="s">
        <v>136</v>
      </c>
      <c r="E176" s="132" t="s">
        <v>138</v>
      </c>
      <c r="F176" s="130">
        <v>1</v>
      </c>
      <c r="G176" s="121" t="s">
        <v>1094</v>
      </c>
      <c r="H176" s="18" t="s">
        <v>618</v>
      </c>
      <c r="I176" s="18" t="s">
        <v>59</v>
      </c>
      <c r="J176" s="19" t="s">
        <v>451</v>
      </c>
      <c r="K176" s="103">
        <v>280417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186"/>
      <c r="Q176" s="128">
        <f>rrcworking[[#This Row],[Last Month Closing Stock]]</f>
        <v>0</v>
      </c>
      <c r="R176" s="186">
        <f>rrcworking[[#This Row],[Opening Oil Stock]]</f>
        <v>0</v>
      </c>
      <c r="S176" s="147">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 Volume]]-rrcworking[[#This Row],[Oil Production]]</f>
        <v>0</v>
      </c>
      <c r="V176" s="147">
        <f>IF(ISERROR(INDEX(Table2[GAS],MATCH(rrcworking[[#This Row],[Magnum Wolfpak '#]],Table2[Rox Wolf'#],0))),0,INDEX(Table2[GAS],MATCH(rrcworking[[#This Row],[Magnum Wolfpak '#]],Table2[Rox Wolf'#],0)))</f>
        <v>0</v>
      </c>
      <c r="W176" s="24"/>
      <c r="X176" s="136">
        <f>IF(rrcworking[[#This Row],[Pressure Base]]=14.73,rrcworking[[#This Row],[Gas Sales Statement Volume (MCF)]]*$R$2,rrcworking[[#This Row],[Gas Sales Statement Volume (MCF)]])</f>
        <v>0</v>
      </c>
      <c r="Y176" s="60"/>
      <c r="Z176" s="60"/>
      <c r="AA176" s="147">
        <f>IF(ISERROR(INDEX(Table2[LEASE USE],MATCH(rrcworking[[#This Row],[Magnum Wolfpak '#]],Table2[Rox Wolf'#],0))),0,INDEX(Table2[LEASE USE],MATCH(rrcworking[[#This Row],[Magnum Wolfpak '#]],Table2[Rox Wolf'#],0)))</f>
        <v>0</v>
      </c>
      <c r="AB176" s="57">
        <f>rrcworking[[#This Row],[Disposition Volume (MCF) @ 14.65 MCF]]+rrcworking[[#This Row],[Lease Use (MCF)]]</f>
        <v>0</v>
      </c>
      <c r="AC176" s="37"/>
      <c r="AD176" s="37"/>
      <c r="AE176" s="192">
        <f>COUNTIF(FilterList,rrcworking[[#This Row],[Magnum Wolfpak '#]])</f>
        <v>0</v>
      </c>
      <c r="AF176" s="189"/>
      <c r="AG176" s="190"/>
      <c r="AH176" s="37"/>
      <c r="AI176" s="37"/>
      <c r="AJ176" s="37"/>
      <c r="AK176" s="37"/>
      <c r="AL176" s="37"/>
      <c r="AM176" s="37"/>
      <c r="AN176" s="37"/>
      <c r="AO176" s="37"/>
      <c r="AP176" s="37"/>
      <c r="AQ176" s="37"/>
    </row>
    <row r="177" spans="3:43" ht="15">
      <c r="C177" s="80" t="e">
        <v>#N/A</v>
      </c>
      <c r="D177" s="62" t="s">
        <v>237</v>
      </c>
      <c r="E177" s="132" t="s">
        <v>234</v>
      </c>
      <c r="F177" s="130">
        <v>3</v>
      </c>
      <c r="G177" s="121" t="s">
        <v>1094</v>
      </c>
      <c r="H177" s="18" t="s">
        <v>619</v>
      </c>
      <c r="I177" s="18" t="s">
        <v>59</v>
      </c>
      <c r="J177" s="19" t="s">
        <v>507</v>
      </c>
      <c r="K177" s="103">
        <v>38467</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6"/>
      <c r="Q177" s="128">
        <f>rrcworking[[#This Row],[Last Month Closing Stock]]</f>
        <v>0</v>
      </c>
      <c r="R177" s="186">
        <f>rrcworking[[#This Row],[Opening Oil Stock]]</f>
        <v>0</v>
      </c>
      <c r="S177" s="147">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7">
        <f>IF(ISERROR(INDEX(Table2[GAS],MATCH(rrcworking[[#This Row],[Magnum Wolfpak '#]],Table2[Rox Wolf'#],0))),0,INDEX(Table2[GAS],MATCH(rrcworking[[#This Row],[Magnum Wolfpak '#]],Table2[Rox Wolf'#],0)))</f>
        <v>0</v>
      </c>
      <c r="W177" s="24"/>
      <c r="X177" s="136">
        <f>IF(rrcworking[[#This Row],[Pressure Base]]=14.73,rrcworking[[#This Row],[Gas Sales Statement Volume (MCF)]]*$R$2,rrcworking[[#This Row],[Gas Sales Statement Volume (MCF)]])</f>
        <v>0</v>
      </c>
      <c r="Y177" s="60"/>
      <c r="Z177" s="60"/>
      <c r="AA177" s="147">
        <f>IF(ISERROR(INDEX(Table2[LEASE USE],MATCH(rrcworking[[#This Row],[Magnum Wolfpak '#]],Table2[Rox Wolf'#],0))),0,INDEX(Table2[LEASE USE],MATCH(rrcworking[[#This Row],[Magnum Wolfpak '#]],Table2[Rox Wolf'#],0)))</f>
        <v>0</v>
      </c>
      <c r="AB177" s="57">
        <f>rrcworking[[#This Row],[Disposition Volume (MCF) @ 14.65 MCF]]+rrcworking[[#This Row],[Lease Use (MCF)]]</f>
        <v>0</v>
      </c>
      <c r="AC177" s="97"/>
      <c r="AD177" s="37"/>
      <c r="AE177" s="192">
        <f>COUNTIF(FilterList,rrcworking[[#This Row],[Magnum Wolfpak '#]])</f>
        <v>0</v>
      </c>
      <c r="AF177" s="189"/>
      <c r="AG177" s="190"/>
      <c r="AH177" s="37"/>
      <c r="AI177" s="37"/>
      <c r="AJ177" s="37"/>
      <c r="AK177" s="37"/>
      <c r="AL177" s="37"/>
      <c r="AM177" s="37"/>
      <c r="AN177" s="37"/>
      <c r="AO177" s="37"/>
      <c r="AP177" s="37"/>
      <c r="AQ177" s="37"/>
    </row>
    <row r="178" spans="3:43" ht="15">
      <c r="C178" s="81">
        <v>599109</v>
      </c>
      <c r="D178" s="62" t="s">
        <v>233</v>
      </c>
      <c r="E178" s="132" t="s">
        <v>234</v>
      </c>
      <c r="F178" s="130">
        <v>5</v>
      </c>
      <c r="G178" s="121" t="s">
        <v>1094</v>
      </c>
      <c r="H178" s="18" t="s">
        <v>619</v>
      </c>
      <c r="I178" s="18" t="s">
        <v>59</v>
      </c>
      <c r="J178" s="19" t="s">
        <v>505</v>
      </c>
      <c r="K178" s="103">
        <v>184787</v>
      </c>
      <c r="L178" s="101">
        <f>INDEX(Table1[Production],MATCH(rrcworking[[#This Row],[RRC ID Number]],Table1[RRC Identifier],0))</f>
        <v>188</v>
      </c>
      <c r="M178" s="30">
        <f>INDEX(Table1[Formation Production],MATCH(rrcworking[[#This Row],[RRC ID Number]],Table1[RRC Identifier],0))</f>
        <v>15180</v>
      </c>
      <c r="N178" s="31">
        <f>INDEX(Table1[On Hand End of Month],MATCH(rrcworking[[#This Row],[RRC ID Number]],Table1[RRC Identifier],0))</f>
        <v>156</v>
      </c>
      <c r="O178" s="106" t="b">
        <f t="shared" si="5"/>
        <v>0</v>
      </c>
      <c r="P178" s="186">
        <v>155</v>
      </c>
      <c r="Q178" s="128">
        <f>rrcworking[[#This Row],[Last Month Closing Stock]]</f>
        <v>156</v>
      </c>
      <c r="R178" s="187">
        <v>131</v>
      </c>
      <c r="S178" s="147">
        <f>IF(ISERROR(INDEX(Table2[OIL],MATCH(rrcworking[[#This Row],[Magnum Wolfpak '#]],Table2[Rox Wolf'#],0))),0,INDEX(Table2[OIL],MATCH(rrcworking[[#This Row],[Magnum Wolfpak '#]],Table2[Rox Wolf'#],0)))</f>
        <v>180</v>
      </c>
      <c r="T178" s="35">
        <f>rrcworking[[#This Row],[Closing Stock (Oil)]]+rrcworking[[#This Row],[Sales/Dispostion]]-rrcworking[[#This Row],[Opening Oil Stock]]</f>
        <v>155</v>
      </c>
      <c r="U178" s="112">
        <f>rrcworking[[#This Row],[Gauge Sheet Prod Volume]]-rrcworking[[#This Row],[Oil Production]]</f>
        <v>0</v>
      </c>
      <c r="V178" s="147">
        <f>IF(ISERROR(INDEX(Table2[GAS],MATCH(rrcworking[[#This Row],[Magnum Wolfpak '#]],Table2[Rox Wolf'#],0))),0,INDEX(Table2[GAS],MATCH(rrcworking[[#This Row],[Magnum Wolfpak '#]],Table2[Rox Wolf'#],0)))</f>
        <v>12440</v>
      </c>
      <c r="W178" s="24"/>
      <c r="X178" s="136">
        <f>IF(rrcworking[[#This Row],[Pressure Base]]=14.73,rrcworking[[#This Row],[Gas Sales Statement Volume (MCF)]]*$R$2,rrcworking[[#This Row],[Gas Sales Statement Volume (MCF)]])</f>
        <v>12440</v>
      </c>
      <c r="Y178" s="134"/>
      <c r="Z178" s="60">
        <v>15</v>
      </c>
      <c r="AA178" s="147">
        <f>IF(ISERROR(INDEX(Table2[LEASE USE],MATCH(rrcworking[[#This Row],[Magnum Wolfpak '#]],Table2[Rox Wolf'#],0))),0,INDEX(Table2[LEASE USE],MATCH(rrcworking[[#This Row],[Magnum Wolfpak '#]],Table2[Rox Wolf'#],0)))</f>
        <v>465</v>
      </c>
      <c r="AB178" s="57">
        <f>rrcworking[[#This Row],[Disposition Volume (MCF) @ 14.65 MCF]]+rrcworking[[#This Row],[Lease Use (MCF)]]</f>
        <v>12905</v>
      </c>
      <c r="AC178" s="37"/>
      <c r="AD178" s="37"/>
      <c r="AE178" s="192">
        <f>COUNTIF(FilterList,rrcworking[[#This Row],[Magnum Wolfpak '#]])</f>
        <v>0</v>
      </c>
      <c r="AF178" s="189"/>
      <c r="AG178" s="190"/>
      <c r="AH178" s="37"/>
      <c r="AI178" s="190"/>
      <c r="AJ178" s="191"/>
      <c r="AK178" s="191"/>
      <c r="AL178" s="191"/>
      <c r="AM178" s="191"/>
      <c r="AN178" s="191"/>
      <c r="AO178" s="191"/>
      <c r="AP178" s="37" t="s">
        <v>1173</v>
      </c>
      <c r="AQ178" s="37" t="s">
        <v>1208</v>
      </c>
    </row>
    <row r="179" spans="3:43" ht="210">
      <c r="C179" s="81">
        <v>699109</v>
      </c>
      <c r="D179" s="62" t="s">
        <v>235</v>
      </c>
      <c r="E179" s="132" t="s">
        <v>236</v>
      </c>
      <c r="F179" s="130">
        <v>23</v>
      </c>
      <c r="G179" s="121" t="s">
        <v>1094</v>
      </c>
      <c r="H179" s="18" t="s">
        <v>619</v>
      </c>
      <c r="I179" s="18" t="s">
        <v>59</v>
      </c>
      <c r="J179" s="19" t="s">
        <v>506</v>
      </c>
      <c r="K179" s="103">
        <v>113719</v>
      </c>
      <c r="L179" s="101">
        <f>INDEX(Table1[Production],MATCH(rrcworking[[#This Row],[RRC ID Number]],Table1[RRC Identifier],0))</f>
        <v>15</v>
      </c>
      <c r="M179" s="30">
        <f>INDEX(Table1[Formation Production],MATCH(rrcworking[[#This Row],[RRC ID Number]],Table1[RRC Identifier],0))</f>
        <v>1335</v>
      </c>
      <c r="N179" s="31">
        <f>INDEX(Table1[On Hand End of Month],MATCH(rrcworking[[#This Row],[RRC ID Number]],Table1[RRC Identifier],0))</f>
        <v>92</v>
      </c>
      <c r="O179" s="106" t="b">
        <f t="shared" si="5"/>
        <v>0</v>
      </c>
      <c r="P179" s="186">
        <v>7</v>
      </c>
      <c r="Q179" s="128">
        <f>rrcworking[[#This Row],[Last Month Closing Stock]]</f>
        <v>92</v>
      </c>
      <c r="R179" s="187">
        <v>99</v>
      </c>
      <c r="S179" s="147">
        <f>IF(ISERROR(INDEX(Table2[OIL],MATCH(rrcworking[[#This Row],[Magnum Wolfpak '#]],Table2[Rox Wolf'#],0))),0,INDEX(Table2[OIL],MATCH(rrcworking[[#This Row],[Magnum Wolfpak '#]],Table2[Rox Wolf'#],0)))</f>
        <v>0</v>
      </c>
      <c r="T179" s="35">
        <f>rrcworking[[#This Row],[Closing Stock (Oil)]]+rrcworking[[#This Row],[Sales/Dispostion]]-rrcworking[[#This Row],[Opening Oil Stock]]</f>
        <v>7</v>
      </c>
      <c r="U179" s="112">
        <f>rrcworking[[#This Row],[Gauge Sheet Prod Volume]]-rrcworking[[#This Row],[Oil Production]]</f>
        <v>0</v>
      </c>
      <c r="V179" s="147">
        <f>IF(ISERROR(INDEX(Table2[GAS],MATCH(rrcworking[[#This Row],[Magnum Wolfpak '#]],Table2[Rox Wolf'#],0))),0,INDEX(Table2[GAS],MATCH(rrcworking[[#This Row],[Magnum Wolfpak '#]],Table2[Rox Wolf'#],0)))</f>
        <v>1748</v>
      </c>
      <c r="W179" s="24"/>
      <c r="X179" s="136">
        <f>IF(rrcworking[[#This Row],[Pressure Base]]=14.73,rrcworking[[#This Row],[Gas Sales Statement Volume (MCF)]]*$R$2,rrcworking[[#This Row],[Gas Sales Statement Volume (MCF)]])</f>
        <v>1748</v>
      </c>
      <c r="Y179" s="60"/>
      <c r="Z179" s="60"/>
      <c r="AA179" s="147">
        <f>IF(ISERROR(INDEX(Table2[LEASE USE],MATCH(rrcworking[[#This Row],[Magnum Wolfpak '#]],Table2[Rox Wolf'#],0))),0,INDEX(Table2[LEASE USE],MATCH(rrcworking[[#This Row],[Magnum Wolfpak '#]],Table2[Rox Wolf'#],0)))</f>
        <v>0</v>
      </c>
      <c r="AB179" s="57">
        <f>rrcworking[[#This Row],[Disposition Volume (MCF) @ 14.65 MCF]]+rrcworking[[#This Row],[Lease Use (MCF)]]</f>
        <v>1748</v>
      </c>
      <c r="AC179" s="37"/>
      <c r="AD179" s="37" t="s">
        <v>1275</v>
      </c>
      <c r="AE179" s="192">
        <f>COUNTIF(FilterList,rrcworking[[#This Row],[Magnum Wolfpak '#]])</f>
        <v>0</v>
      </c>
      <c r="AF179" s="189"/>
      <c r="AG179" s="190"/>
      <c r="AH179" s="37"/>
      <c r="AI179" s="190"/>
      <c r="AJ179" s="191"/>
      <c r="AK179" s="191"/>
      <c r="AL179" s="191"/>
      <c r="AM179" s="191"/>
      <c r="AN179" s="191"/>
      <c r="AO179" s="191"/>
      <c r="AP179" s="37" t="s">
        <v>1173</v>
      </c>
      <c r="AQ179" s="37" t="s">
        <v>1208</v>
      </c>
    </row>
    <row r="180" spans="3:43" ht="15">
      <c r="C180" s="80" t="e">
        <v>#N/A</v>
      </c>
      <c r="D180" s="62" t="s">
        <v>141</v>
      </c>
      <c r="E180" s="132" t="s">
        <v>142</v>
      </c>
      <c r="F180" s="130">
        <v>1</v>
      </c>
      <c r="G180" s="121" t="s">
        <v>1094</v>
      </c>
      <c r="H180" s="18" t="s">
        <v>618</v>
      </c>
      <c r="I180" s="18" t="s">
        <v>59</v>
      </c>
      <c r="J180" s="19" t="s">
        <v>454</v>
      </c>
      <c r="K180" s="103">
        <v>53255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186"/>
      <c r="Q180" s="128">
        <f>rrcworking[[#This Row],[Last Month Closing Stock]]</f>
        <v>0</v>
      </c>
      <c r="R180" s="186">
        <f>rrcworking[[#This Row],[Opening Oil Stock]]</f>
        <v>0</v>
      </c>
      <c r="S180" s="147">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Volume]]-rrcworking[[#This Row],[Oil Production]]</f>
        <v>0</v>
      </c>
      <c r="V180" s="147">
        <f>IF(ISERROR(INDEX(Table2[GAS],MATCH(rrcworking[[#This Row],[Magnum Wolfpak '#]],Table2[Rox Wolf'#],0))),0,INDEX(Table2[GAS],MATCH(rrcworking[[#This Row],[Magnum Wolfpak '#]],Table2[Rox Wolf'#],0)))</f>
        <v>0</v>
      </c>
      <c r="W180" s="24"/>
      <c r="X180" s="136">
        <f>IF(rrcworking[[#This Row],[Pressure Base]]=14.73,rrcworking[[#This Row],[Gas Sales Statement Volume (MCF)]]*$R$2,rrcworking[[#This Row],[Gas Sales Statement Volume (MCF)]])</f>
        <v>0</v>
      </c>
      <c r="Y180" s="60"/>
      <c r="Z180" s="60"/>
      <c r="AA180" s="147">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92">
        <f>COUNTIF(FilterList,rrcworking[[#This Row],[Magnum Wolfpak '#]])</f>
        <v>0</v>
      </c>
      <c r="AF180" s="189"/>
      <c r="AG180" s="190"/>
      <c r="AH180" s="37"/>
      <c r="AI180" s="37"/>
      <c r="AJ180" s="37"/>
      <c r="AK180" s="37"/>
      <c r="AL180" s="37"/>
      <c r="AM180" s="37"/>
      <c r="AN180" s="37"/>
      <c r="AO180" s="37"/>
      <c r="AP180" s="37"/>
      <c r="AQ180" s="37"/>
    </row>
    <row r="181" spans="3:43" ht="15">
      <c r="C181" s="80" t="e">
        <v>#N/A</v>
      </c>
      <c r="D181" s="62" t="s">
        <v>141</v>
      </c>
      <c r="E181" s="132" t="s">
        <v>142</v>
      </c>
      <c r="F181" s="130">
        <v>2</v>
      </c>
      <c r="G181" s="121" t="s">
        <v>1094</v>
      </c>
      <c r="H181" s="18" t="s">
        <v>618</v>
      </c>
      <c r="I181" s="18" t="s">
        <v>59</v>
      </c>
      <c r="J181" s="19" t="s">
        <v>455</v>
      </c>
      <c r="K181" s="103">
        <v>59225</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186"/>
      <c r="Q181" s="128">
        <f>rrcworking[[#This Row],[Last Month Closing Stock]]</f>
        <v>0</v>
      </c>
      <c r="R181" s="186">
        <f>rrcworking[[#This Row],[Opening Oil Stock]]</f>
        <v>0</v>
      </c>
      <c r="S181" s="147">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 Volume]]-rrcworking[[#This Row],[Oil Production]]</f>
        <v>0</v>
      </c>
      <c r="V181" s="147">
        <f>IF(ISERROR(INDEX(Table2[GAS],MATCH(rrcworking[[#This Row],[Magnum Wolfpak '#]],Table2[Rox Wolf'#],0))),0,INDEX(Table2[GAS],MATCH(rrcworking[[#This Row],[Magnum Wolfpak '#]],Table2[Rox Wolf'#],0)))</f>
        <v>0</v>
      </c>
      <c r="W181" s="24"/>
      <c r="X181" s="136">
        <f>IF(rrcworking[[#This Row],[Pressure Base]]=14.73,rrcworking[[#This Row],[Gas Sales Statement Volume (MCF)]]*$R$2,rrcworking[[#This Row],[Gas Sales Statement Volume (MCF)]])</f>
        <v>0</v>
      </c>
      <c r="Y181" s="60"/>
      <c r="Z181" s="60"/>
      <c r="AA181" s="147">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92">
        <f>COUNTIF(FilterList,rrcworking[[#This Row],[Magnum Wolfpak '#]])</f>
        <v>0</v>
      </c>
      <c r="AF181" s="189"/>
      <c r="AG181" s="190"/>
      <c r="AH181" s="37"/>
      <c r="AI181" s="37"/>
      <c r="AJ181" s="37"/>
      <c r="AK181" s="37"/>
      <c r="AL181" s="37"/>
      <c r="AM181" s="37"/>
      <c r="AN181" s="37"/>
      <c r="AO181" s="37"/>
      <c r="AP181" s="37"/>
      <c r="AQ181" s="37"/>
    </row>
    <row r="182" spans="3:43" ht="15">
      <c r="C182" s="80" t="e">
        <v>#N/A</v>
      </c>
      <c r="D182" s="62" t="s">
        <v>139</v>
      </c>
      <c r="E182" s="132" t="s">
        <v>140</v>
      </c>
      <c r="F182" s="130">
        <v>1</v>
      </c>
      <c r="G182" s="121" t="s">
        <v>1094</v>
      </c>
      <c r="H182" s="18" t="s">
        <v>618</v>
      </c>
      <c r="I182" s="18" t="s">
        <v>59</v>
      </c>
      <c r="J182" s="19" t="s">
        <v>453</v>
      </c>
      <c r="K182" s="103">
        <v>138470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0</v>
      </c>
      <c r="O182" s="106" t="b">
        <f t="shared" si="5"/>
        <v>1</v>
      </c>
      <c r="P182" s="186"/>
      <c r="Q182" s="128">
        <f>rrcworking[[#This Row],[Last Month Closing Stock]]</f>
        <v>0</v>
      </c>
      <c r="R182" s="186">
        <f>rrcworking[[#This Row],[Opening Oil Stock]]</f>
        <v>0</v>
      </c>
      <c r="S182" s="147">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7">
        <f>IF(ISERROR(INDEX(Table2[GAS],MATCH(rrcworking[[#This Row],[Magnum Wolfpak '#]],Table2[Rox Wolf'#],0))),0,INDEX(Table2[GAS],MATCH(rrcworking[[#This Row],[Magnum Wolfpak '#]],Table2[Rox Wolf'#],0)))</f>
        <v>0</v>
      </c>
      <c r="W182" s="24"/>
      <c r="X182" s="136">
        <f>IF(rrcworking[[#This Row],[Pressure Base]]=14.73,rrcworking[[#This Row],[Gas Sales Statement Volume (MCF)]]*$R$2,rrcworking[[#This Row],[Gas Sales Statement Volume (MCF)]])</f>
        <v>0</v>
      </c>
      <c r="Y182" s="60"/>
      <c r="Z182" s="60"/>
      <c r="AA182" s="147">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c r="AE182" s="192">
        <f>COUNTIF(FilterList,rrcworking[[#This Row],[Magnum Wolfpak '#]])</f>
        <v>0</v>
      </c>
      <c r="AF182" s="189"/>
      <c r="AG182" s="190"/>
      <c r="AH182" s="37"/>
      <c r="AI182" s="37"/>
      <c r="AJ182" s="37"/>
      <c r="AK182" s="37"/>
      <c r="AL182" s="37"/>
      <c r="AM182" s="37"/>
      <c r="AN182" s="37"/>
      <c r="AO182" s="37"/>
      <c r="AP182" s="37"/>
      <c r="AQ182" s="37"/>
    </row>
    <row r="183" spans="3:43" ht="15">
      <c r="C183" s="80">
        <v>99270</v>
      </c>
      <c r="D183" s="62" t="s">
        <v>148</v>
      </c>
      <c r="E183" s="132" t="s">
        <v>149</v>
      </c>
      <c r="F183" s="130">
        <v>1</v>
      </c>
      <c r="G183" s="121" t="s">
        <v>1094</v>
      </c>
      <c r="H183" s="18" t="s">
        <v>619</v>
      </c>
      <c r="I183" s="18" t="s">
        <v>59</v>
      </c>
      <c r="J183" s="19" t="s">
        <v>459</v>
      </c>
      <c r="K183" s="103">
        <v>280236</v>
      </c>
      <c r="L183" s="101">
        <f>INDEX(Table1[Production],MATCH(rrcworking[[#This Row],[RRC ID Number]],Table1[RRC Identifier],0))</f>
        <v>2218</v>
      </c>
      <c r="M183" s="30">
        <f>INDEX(Table1[Formation Production],MATCH(rrcworking[[#This Row],[RRC ID Number]],Table1[RRC Identifier],0))</f>
        <v>108156</v>
      </c>
      <c r="N183" s="31">
        <f>INDEX(Table1[On Hand End of Month],MATCH(rrcworking[[#This Row],[RRC ID Number]],Table1[RRC Identifier],0))</f>
        <v>709</v>
      </c>
      <c r="O183" s="106" t="b">
        <f t="shared" si="5"/>
        <v>0</v>
      </c>
      <c r="P183" s="186">
        <v>1811</v>
      </c>
      <c r="Q183" s="128">
        <f>rrcworking[[#This Row],[Last Month Closing Stock]]</f>
        <v>709</v>
      </c>
      <c r="R183" s="187">
        <v>563</v>
      </c>
      <c r="S183" s="147">
        <f>IF(ISERROR(INDEX(Table2[OIL],MATCH(rrcworking[[#This Row],[Magnum Wolfpak '#]],Table2[Rox Wolf'#],0))),0,INDEX(Table2[OIL],MATCH(rrcworking[[#This Row],[Magnum Wolfpak '#]],Table2[Rox Wolf'#],0)))</f>
        <v>1942</v>
      </c>
      <c r="T183" s="35">
        <f>rrcworking[[#This Row],[Closing Stock (Oil)]]+rrcworking[[#This Row],[Sales/Dispostion]]-rrcworking[[#This Row],[Opening Oil Stock]]</f>
        <v>1796</v>
      </c>
      <c r="U183" s="112">
        <f>rrcworking[[#This Row],[Gauge Sheet Prod Volume]]-rrcworking[[#This Row],[Oil Production]]</f>
        <v>15</v>
      </c>
      <c r="V183" s="147">
        <f>IF(ISERROR(INDEX(Table2[GAS],MATCH(rrcworking[[#This Row],[Magnum Wolfpak '#]],Table2[Rox Wolf'#],0))),0,INDEX(Table2[GAS],MATCH(rrcworking[[#This Row],[Magnum Wolfpak '#]],Table2[Rox Wolf'#],0)))</f>
        <v>91204</v>
      </c>
      <c r="W183" s="24"/>
      <c r="X183" s="136">
        <f>IF(rrcworking[[#This Row],[Pressure Base]]=14.73,rrcworking[[#This Row],[Gas Sales Statement Volume (MCF)]]*$R$2,rrcworking[[#This Row],[Gas Sales Statement Volume (MCF)]])</f>
        <v>91204</v>
      </c>
      <c r="Y183" s="85"/>
      <c r="Z183" s="60">
        <v>21</v>
      </c>
      <c r="AA183" s="147">
        <f>IF(ISERROR(INDEX(Table2[LEASE USE],MATCH(rrcworking[[#This Row],[Magnum Wolfpak '#]],Table2[Rox Wolf'#],0))),0,INDEX(Table2[LEASE USE],MATCH(rrcworking[[#This Row],[Magnum Wolfpak '#]],Table2[Rox Wolf'#],0)))</f>
        <v>651</v>
      </c>
      <c r="AB183" s="57">
        <f>rrcworking[[#This Row],[Disposition Volume (MCF) @ 14.65 MCF]]+rrcworking[[#This Row],[Lease Use (MCF)]]</f>
        <v>91855</v>
      </c>
      <c r="AC183" s="37"/>
      <c r="AD183" s="37"/>
      <c r="AE183" s="192">
        <f>COUNTIF(FilterList,rrcworking[[#This Row],[Magnum Wolfpak '#]])</f>
        <v>0</v>
      </c>
      <c r="AF183" s="189"/>
      <c r="AG183" s="190"/>
      <c r="AH183" s="37"/>
      <c r="AI183" s="190"/>
      <c r="AJ183" s="37">
        <v>2</v>
      </c>
      <c r="AK183" s="37" t="s">
        <v>1146</v>
      </c>
      <c r="AL183" s="37" t="s">
        <v>1146</v>
      </c>
      <c r="AM183" s="37" t="s">
        <v>1191</v>
      </c>
      <c r="AN183" s="37" t="s">
        <v>1146</v>
      </c>
      <c r="AO183" s="37" t="s">
        <v>1186</v>
      </c>
      <c r="AP183" s="37" t="s">
        <v>1233</v>
      </c>
      <c r="AQ183" s="37"/>
    </row>
    <row r="184" spans="3:43" ht="15">
      <c r="C184" s="80">
        <v>99247</v>
      </c>
      <c r="D184" s="62" t="s">
        <v>144</v>
      </c>
      <c r="E184" s="132" t="s">
        <v>145</v>
      </c>
      <c r="F184" s="130">
        <v>0</v>
      </c>
      <c r="G184" s="121" t="s">
        <v>1094</v>
      </c>
      <c r="H184" s="18" t="s">
        <v>618</v>
      </c>
      <c r="I184" s="18" t="s">
        <v>2</v>
      </c>
      <c r="J184" s="19" t="s">
        <v>457</v>
      </c>
      <c r="K184" s="103">
        <v>10230</v>
      </c>
      <c r="L184" s="101">
        <f>INDEX(Table1[Production],MATCH(rrcworking[[#This Row],[RRC ID Number]],Table1[RRC Identifier],0))</f>
        <v>24</v>
      </c>
      <c r="M184" s="30">
        <f>INDEX(Table1[Formation Production],MATCH(rrcworking[[#This Row],[RRC ID Number]],Table1[RRC Identifier],0))</f>
        <v>0</v>
      </c>
      <c r="N184" s="31">
        <f>INDEX(Table1[On Hand End of Month],MATCH(rrcworking[[#This Row],[RRC ID Number]],Table1[RRC Identifier],0))</f>
        <v>204</v>
      </c>
      <c r="O184" s="106" t="b">
        <f t="shared" si="5"/>
        <v>0</v>
      </c>
      <c r="P184" s="186">
        <v>12</v>
      </c>
      <c r="Q184" s="128">
        <f>rrcworking[[#This Row],[Last Month Closing Stock]]</f>
        <v>204</v>
      </c>
      <c r="R184" s="187">
        <v>215</v>
      </c>
      <c r="S184" s="147">
        <f>IF(ISERROR(INDEX(Table2[OIL],MATCH(rrcworking[[#This Row],[Magnum Wolfpak '#]],Table2[Rox Wolf'#],0))),0,INDEX(Table2[OIL],MATCH(rrcworking[[#This Row],[Magnum Wolfpak '#]],Table2[Rox Wolf'#],0)))</f>
        <v>0</v>
      </c>
      <c r="T184" s="35">
        <f>rrcworking[[#This Row],[Closing Stock (Oil)]]+rrcworking[[#This Row],[Sales/Dispostion]]-rrcworking[[#This Row],[Opening Oil Stock]]</f>
        <v>11</v>
      </c>
      <c r="U184" s="112">
        <f>rrcworking[[#This Row],[Gauge Sheet Prod Volume]]-rrcworking[[#This Row],[Oil Production]]</f>
        <v>1</v>
      </c>
      <c r="V184" s="147">
        <f>IF(ISERROR(INDEX(Table2[GAS],MATCH(rrcworking[[#This Row],[Magnum Wolfpak '#]],Table2[Rox Wolf'#],0))),0,INDEX(Table2[GAS],MATCH(rrcworking[[#This Row],[Magnum Wolfpak '#]],Table2[Rox Wolf'#],0)))</f>
        <v>0</v>
      </c>
      <c r="W184" s="24"/>
      <c r="X184" s="136">
        <f>IF(rrcworking[[#This Row],[Pressure Base]]=14.73,rrcworking[[#This Row],[Gas Sales Statement Volume (MCF)]]*$R$2,rrcworking[[#This Row],[Gas Sales Statement Volume (MCF)]])</f>
        <v>0</v>
      </c>
      <c r="Y184" s="60"/>
      <c r="Z184" s="60"/>
      <c r="AA184" s="147">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c r="AE184" s="192">
        <f>COUNTIF(FilterList,rrcworking[[#This Row],[Magnum Wolfpak '#]])</f>
        <v>1</v>
      </c>
      <c r="AF184" s="189"/>
      <c r="AG184" s="190"/>
      <c r="AH184" s="37"/>
      <c r="AI184" s="190"/>
      <c r="AJ184" s="37">
        <v>2</v>
      </c>
      <c r="AK184" s="37" t="s">
        <v>1146</v>
      </c>
      <c r="AL184" s="37" t="s">
        <v>1175</v>
      </c>
      <c r="AM184" s="37" t="s">
        <v>1206</v>
      </c>
      <c r="AN184" s="37" t="s">
        <v>1146</v>
      </c>
      <c r="AO184" s="37" t="s">
        <v>1181</v>
      </c>
      <c r="AP184" s="37" t="s">
        <v>1234</v>
      </c>
      <c r="AQ184" s="37" t="s">
        <v>1260</v>
      </c>
    </row>
    <row r="185" spans="3:43" ht="75">
      <c r="C185" s="80">
        <v>98983</v>
      </c>
      <c r="D185" s="62" t="s">
        <v>393</v>
      </c>
      <c r="E185" s="132" t="s">
        <v>394</v>
      </c>
      <c r="F185" s="130">
        <v>0</v>
      </c>
      <c r="G185" s="121" t="s">
        <v>1094</v>
      </c>
      <c r="H185" s="21" t="s">
        <v>620</v>
      </c>
      <c r="I185" s="21" t="s">
        <v>2</v>
      </c>
      <c r="J185" s="19" t="s">
        <v>602</v>
      </c>
      <c r="K185" s="103">
        <v>12360</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63</v>
      </c>
      <c r="O185" s="106" t="b">
        <f t="shared" si="5"/>
        <v>1</v>
      </c>
      <c r="P185" s="186">
        <v>0</v>
      </c>
      <c r="Q185" s="128">
        <f>rrcworking[[#This Row],[Last Month Closing Stock]]</f>
        <v>63</v>
      </c>
      <c r="R185" s="186">
        <v>63</v>
      </c>
      <c r="S185" s="147">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7">
        <f>IF(ISERROR(INDEX(Table2[GAS],MATCH(rrcworking[[#This Row],[Magnum Wolfpak '#]],Table2[Rox Wolf'#],0))),0,INDEX(Table2[GAS],MATCH(rrcworking[[#This Row],[Magnum Wolfpak '#]],Table2[Rox Wolf'#],0)))</f>
        <v>0</v>
      </c>
      <c r="W185" s="24"/>
      <c r="X185" s="136">
        <f>IF(rrcworking[[#This Row],[Pressure Base]]=14.73,rrcworking[[#This Row],[Gas Sales Statement Volume (MCF)]]*$R$2,rrcworking[[#This Row],[Gas Sales Statement Volume (MCF)]])</f>
        <v>0</v>
      </c>
      <c r="Y185" s="60"/>
      <c r="Z185" s="60"/>
      <c r="AA185" s="147">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t="s">
        <v>1112</v>
      </c>
      <c r="AE185" s="192">
        <f>COUNTIF(FilterList,rrcworking[[#This Row],[Magnum Wolfpak '#]])</f>
        <v>0</v>
      </c>
      <c r="AF185" s="189"/>
      <c r="AG185" s="190"/>
      <c r="AH185" s="37"/>
      <c r="AI185" s="37"/>
      <c r="AJ185" s="37">
        <v>2</v>
      </c>
      <c r="AK185" s="37" t="s">
        <v>1175</v>
      </c>
      <c r="AL185" s="37" t="s">
        <v>1175</v>
      </c>
      <c r="AM185" s="37" t="s">
        <v>1206</v>
      </c>
      <c r="AN185" s="37" t="s">
        <v>1175</v>
      </c>
      <c r="AO185" s="37" t="s">
        <v>1181</v>
      </c>
      <c r="AP185" s="37" t="s">
        <v>1250</v>
      </c>
      <c r="AQ185" s="37"/>
    </row>
    <row r="186" spans="3:43" ht="30">
      <c r="C186" s="80">
        <v>99161</v>
      </c>
      <c r="D186" s="62" t="s">
        <v>220</v>
      </c>
      <c r="E186" s="132" t="s">
        <v>221</v>
      </c>
      <c r="F186" s="130">
        <v>6</v>
      </c>
      <c r="G186" s="121" t="s">
        <v>1094</v>
      </c>
      <c r="H186" s="18" t="s">
        <v>619</v>
      </c>
      <c r="I186" s="18" t="s">
        <v>59</v>
      </c>
      <c r="J186" s="211" t="s">
        <v>1265</v>
      </c>
      <c r="K186" s="103">
        <v>2817</v>
      </c>
      <c r="L186" s="101">
        <f>INDEX(Table1[Production],MATCH(rrcworking[[#This Row],[RRC ID Number]],Table1[RRC Identifier],0))</f>
        <v>232</v>
      </c>
      <c r="M186" s="30">
        <f>INDEX(Table1[Formation Production],MATCH(rrcworking[[#This Row],[RRC ID Number]],Table1[RRC Identifier],0))</f>
        <v>0</v>
      </c>
      <c r="N186" s="31">
        <f>INDEX(Table1[On Hand End of Month],MATCH(rrcworking[[#This Row],[RRC ID Number]],Table1[RRC Identifier],0))</f>
        <v>125</v>
      </c>
      <c r="O186" s="106" t="b">
        <f t="shared" si="5"/>
        <v>0</v>
      </c>
      <c r="P186" s="186">
        <v>339</v>
      </c>
      <c r="Q186" s="128">
        <f>rrcworking[[#This Row],[Last Month Closing Stock]]</f>
        <v>125</v>
      </c>
      <c r="R186" s="187">
        <v>126</v>
      </c>
      <c r="S186" s="147">
        <f>IF(ISERROR(INDEX(Table2[OIL],MATCH(rrcworking[[#This Row],[Magnum Wolfpak '#]],Table2[Rox Wolf'#],0))),0,INDEX(Table2[OIL],MATCH(rrcworking[[#This Row],[Magnum Wolfpak '#]],Table2[Rox Wolf'#],0)))</f>
        <v>338</v>
      </c>
      <c r="T186" s="35">
        <f>rrcworking[[#This Row],[Closing Stock (Oil)]]+rrcworking[[#This Row],[Sales/Dispostion]]-rrcworking[[#This Row],[Opening Oil Stock]]</f>
        <v>339</v>
      </c>
      <c r="U186" s="112">
        <f>rrcworking[[#This Row],[Gauge Sheet Prod Volume]]-rrcworking[[#This Row],[Oil Production]]</f>
        <v>0</v>
      </c>
      <c r="V186" s="147">
        <f>IF(ISERROR(INDEX(Table2[GAS],MATCH(rrcworking[[#This Row],[Magnum Wolfpak '#]],Table2[Rox Wolf'#],0))),0,INDEX(Table2[GAS],MATCH(rrcworking[[#This Row],[Magnum Wolfpak '#]],Table2[Rox Wolf'#],0)))</f>
        <v>0</v>
      </c>
      <c r="W186" s="24"/>
      <c r="X186" s="136">
        <f>IF(rrcworking[[#This Row],[Pressure Base]]=14.73,rrcworking[[#This Row],[Gas Sales Statement Volume (MCF)]]*$R$2,rrcworking[[#This Row],[Gas Sales Statement Volume (MCF)]])</f>
        <v>0</v>
      </c>
      <c r="Y186" s="60"/>
      <c r="Z186" s="60">
        <v>4</v>
      </c>
      <c r="AA186" s="147">
        <f>IF(ISERROR(INDEX(Table2[LEASE USE],MATCH(rrcworking[[#This Row],[Magnum Wolfpak '#]],Table2[Rox Wolf'#],0))),0,INDEX(Table2[LEASE USE],MATCH(rrcworking[[#This Row],[Magnum Wolfpak '#]],Table2[Rox Wolf'#],0)))</f>
        <v>124</v>
      </c>
      <c r="AB186" s="57">
        <f>rrcworking[[#This Row],[Disposition Volume (MCF) @ 14.65 MCF]]+rrcworking[[#This Row],[Lease Use (MCF)]]</f>
        <v>124</v>
      </c>
      <c r="AC186" s="37"/>
      <c r="AD186" s="37" t="s">
        <v>1264</v>
      </c>
      <c r="AE186" s="192">
        <f>COUNTIF(FilterList,rrcworking[[#This Row],[Magnum Wolfpak '#]])</f>
        <v>0</v>
      </c>
      <c r="AF186" s="189"/>
      <c r="AG186" s="190"/>
      <c r="AH186" s="37"/>
      <c r="AI186" s="190"/>
      <c r="AJ186" s="37">
        <v>2</v>
      </c>
      <c r="AK186" s="37" t="s">
        <v>1175</v>
      </c>
      <c r="AL186" s="37" t="s">
        <v>1175</v>
      </c>
      <c r="AM186" s="37" t="s">
        <v>1235</v>
      </c>
      <c r="AN186" s="37" t="s">
        <v>1175</v>
      </c>
      <c r="AO186" s="37" t="s">
        <v>1236</v>
      </c>
      <c r="AP186" s="37" t="s">
        <v>1248</v>
      </c>
      <c r="AQ186" s="37" t="s">
        <v>1237</v>
      </c>
    </row>
    <row r="187" spans="3:43" ht="90">
      <c r="C187" s="82">
        <v>48001</v>
      </c>
      <c r="D187" s="98" t="s">
        <v>246</v>
      </c>
      <c r="E187" s="133" t="s">
        <v>247</v>
      </c>
      <c r="F187" s="129">
        <v>0</v>
      </c>
      <c r="G187" s="122" t="s">
        <v>1094</v>
      </c>
      <c r="H187" s="126" t="s">
        <v>619</v>
      </c>
      <c r="I187" s="126" t="s">
        <v>2</v>
      </c>
      <c r="J187" s="83" t="s">
        <v>512</v>
      </c>
      <c r="K187" s="104">
        <v>24861</v>
      </c>
      <c r="L187" s="99">
        <f>INDEX(Table1[Production],MATCH(rrcworking[[#This Row],[RRC ID Number]],Table1[RRC Identifier],0))</f>
        <v>0</v>
      </c>
      <c r="M187" s="99">
        <f>INDEX(Table1[Formation Production],MATCH(rrcworking[[#This Row],[RRC ID Number]],Table1[RRC Identifier],0))</f>
        <v>59</v>
      </c>
      <c r="N187" s="99">
        <f>INDEX(Table1[On Hand End of Month],MATCH(rrcworking[[#This Row],[RRC ID Number]],Table1[RRC Identifier],0))</f>
        <v>30</v>
      </c>
      <c r="O187" s="107" t="b">
        <f t="shared" si="5"/>
        <v>0</v>
      </c>
      <c r="P187" s="186"/>
      <c r="Q187" s="128">
        <f>rrcworking[[#This Row],[Last Month Closing Stock]]</f>
        <v>30</v>
      </c>
      <c r="R187" s="186">
        <v>45</v>
      </c>
      <c r="S187" s="147">
        <f>IF(ISERROR(INDEX(Table2[OIL],MATCH(rrcworking[[#This Row],[Magnum Wolfpak '#]],Table2[Rox Wolf'#],0))),0,INDEX(Table2[OIL],MATCH(rrcworking[[#This Row],[Magnum Wolfpak '#]],Table2[Rox Wolf'#],0)))</f>
        <v>0</v>
      </c>
      <c r="T187" s="100">
        <f>rrcworking[[#This Row],[Closing Stock (Oil)]]+rrcworking[[#This Row],[Sales/Dispostion]]-rrcworking[[#This Row],[Opening Oil Stock]]</f>
        <v>15</v>
      </c>
      <c r="U187" s="113">
        <f>rrcworking[[#This Row],[Gauge Sheet Prod Volume]]-rrcworking[[#This Row],[Oil Production]]</f>
        <v>-15</v>
      </c>
      <c r="V187" s="147">
        <f>IF(ISERROR(INDEX(Table2[GAS],MATCH(rrcworking[[#This Row],[Magnum Wolfpak '#]],Table2[Rox Wolf'#],0))),0,INDEX(Table2[GAS],MATCH(rrcworking[[#This Row],[Magnum Wolfpak '#]],Table2[Rox Wolf'#],0)))</f>
        <v>0</v>
      </c>
      <c r="W187" s="84"/>
      <c r="X187" s="137">
        <f>IF(rrcworking[[#This Row],[Pressure Base]]=14.73,rrcworking[[#This Row],[Gas Sales Statement Volume (MCF)]]*$R$2,rrcworking[[#This Row],[Gas Sales Statement Volume (MCF)]])</f>
        <v>0</v>
      </c>
      <c r="Y187" s="85"/>
      <c r="Z187" s="85">
        <v>1</v>
      </c>
      <c r="AA187" s="147">
        <f>IF(ISERROR(INDEX(Table2[LEASE USE],MATCH(rrcworking[[#This Row],[Magnum Wolfpak '#]],Table2[Rox Wolf'#],0))),0,INDEX(Table2[LEASE USE],MATCH(rrcworking[[#This Row],[Magnum Wolfpak '#]],Table2[Rox Wolf'#],0)))</f>
        <v>0</v>
      </c>
      <c r="AB187" s="86">
        <f>rrcworking[[#This Row],[Disposition Volume (MCF) @ 14.65 MCF]]+rrcworking[[#This Row],[Lease Use (MCF)]]</f>
        <v>0</v>
      </c>
      <c r="AC187" s="87"/>
      <c r="AD187" s="37" t="s">
        <v>1272</v>
      </c>
      <c r="AE187" s="193">
        <f>COUNTIF(FilterList,rrcworking[[#This Row],[Magnum Wolfpak '#]])</f>
        <v>0</v>
      </c>
      <c r="AF187" s="189"/>
      <c r="AG187" s="190"/>
      <c r="AH187" s="37"/>
      <c r="AI187" s="37"/>
      <c r="AJ187" s="37">
        <v>1</v>
      </c>
      <c r="AK187" s="37" t="s">
        <v>1175</v>
      </c>
      <c r="AL187" s="37" t="s">
        <v>1175</v>
      </c>
      <c r="AM187" s="37" t="s">
        <v>1206</v>
      </c>
      <c r="AN187" s="37" t="s">
        <v>1146</v>
      </c>
      <c r="AO187" s="37" t="s">
        <v>1181</v>
      </c>
      <c r="AP187" s="37" t="s">
        <v>1224</v>
      </c>
      <c r="AQ187" s="37" t="s">
        <v>1249</v>
      </c>
    </row>
    <row r="188" spans="3:43" ht="15">
      <c r="C188" s="80" t="e">
        <v>#N/A</v>
      </c>
      <c r="D188" s="62" t="s">
        <v>173</v>
      </c>
      <c r="E188" s="132" t="s">
        <v>174</v>
      </c>
      <c r="F188" s="130">
        <v>0</v>
      </c>
      <c r="G188" s="121" t="s">
        <v>1094</v>
      </c>
      <c r="H188" s="18" t="s">
        <v>619</v>
      </c>
      <c r="I188" s="18" t="s">
        <v>2</v>
      </c>
      <c r="J188" s="19" t="s">
        <v>474</v>
      </c>
      <c r="K188" s="103">
        <v>15252</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186"/>
      <c r="Q188" s="128">
        <f>rrcworking[[#This Row],[Last Month Closing Stock]]</f>
        <v>0</v>
      </c>
      <c r="R188" s="186">
        <f>rrcworking[[#This Row],[Opening Oil Stock]]</f>
        <v>0</v>
      </c>
      <c r="S188" s="147">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Volume]]-rrcworking[[#This Row],[Oil Production]]</f>
        <v>0</v>
      </c>
      <c r="V188" s="147">
        <f>IF(ISERROR(INDEX(Table2[GAS],MATCH(rrcworking[[#This Row],[Magnum Wolfpak '#]],Table2[Rox Wolf'#],0))),0,INDEX(Table2[GAS],MATCH(rrcworking[[#This Row],[Magnum Wolfpak '#]],Table2[Rox Wolf'#],0)))</f>
        <v>0</v>
      </c>
      <c r="W188" s="24"/>
      <c r="X188" s="136">
        <f>IF(rrcworking[[#This Row],[Pressure Base]]=14.73,rrcworking[[#This Row],[Gas Sales Statement Volume (MCF)]]*$R$2,rrcworking[[#This Row],[Gas Sales Statement Volume (MCF)]])</f>
        <v>0</v>
      </c>
      <c r="Y188" s="60"/>
      <c r="Z188" s="60"/>
      <c r="AA188" s="147">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92">
        <f>COUNTIF(FilterList,rrcworking[[#This Row],[Magnum Wolfpak '#]])</f>
        <v>0</v>
      </c>
      <c r="AF188" s="189"/>
      <c r="AG188" s="190"/>
      <c r="AH188" s="37"/>
      <c r="AI188" s="37"/>
      <c r="AJ188" s="37"/>
      <c r="AK188" s="37"/>
      <c r="AL188" s="37"/>
      <c r="AM188" s="37"/>
      <c r="AN188" s="37"/>
      <c r="AO188" s="37"/>
      <c r="AP188" s="37"/>
      <c r="AQ188" s="37"/>
    </row>
    <row r="189" spans="3:43" ht="15">
      <c r="C189" s="80" t="e">
        <v>#N/A</v>
      </c>
      <c r="D189" s="62" t="s">
        <v>369</v>
      </c>
      <c r="E189" s="132" t="s">
        <v>370</v>
      </c>
      <c r="F189" s="130">
        <v>1</v>
      </c>
      <c r="G189" s="121" t="s">
        <v>1094</v>
      </c>
      <c r="H189" s="18" t="s">
        <v>620</v>
      </c>
      <c r="I189" s="18" t="s">
        <v>59</v>
      </c>
      <c r="J189" s="19" t="s">
        <v>588</v>
      </c>
      <c r="K189" s="103">
        <v>120373</v>
      </c>
      <c r="L189" s="101">
        <f>INDEX(Table1[Production],MATCH(rrcworking[[#This Row],[RRC ID Number]],Table1[RRC Identifier],0))</f>
        <v>0</v>
      </c>
      <c r="M189" s="30">
        <f>INDEX(Table1[Formation Production],MATCH(rrcworking[[#This Row],[RRC ID Number]],Table1[RRC Identifier],0))</f>
        <v>0</v>
      </c>
      <c r="N189" s="31">
        <f>INDEX(Table1[On Hand End of Month],MATCH(rrcworking[[#This Row],[RRC ID Number]],Table1[RRC Identifier],0))</f>
        <v>0</v>
      </c>
      <c r="O189" s="106" t="b">
        <f t="shared" si="5"/>
        <v>1</v>
      </c>
      <c r="P189" s="186"/>
      <c r="Q189" s="128">
        <f>rrcworking[[#This Row],[Last Month Closing Stock]]</f>
        <v>0</v>
      </c>
      <c r="R189" s="186">
        <f>rrcworking[[#This Row],[Opening Oil Stock]]</f>
        <v>0</v>
      </c>
      <c r="S189" s="147">
        <f>IF(ISERROR(INDEX(Table2[OIL],MATCH(rrcworking[[#This Row],[Magnum Wolfpak '#]],Table2[Rox Wolf'#],0))),0,INDEX(Table2[OIL],MATCH(rrcworking[[#This Row],[Magnum Wolfpak '#]],Table2[Rox Wolf'#],0)))</f>
        <v>0</v>
      </c>
      <c r="T189" s="35">
        <f>rrcworking[[#This Row],[Closing Stock (Oil)]]+rrcworking[[#This Row],[Sales/Dispostion]]-rrcworking[[#This Row],[Opening Oil Stock]]</f>
        <v>0</v>
      </c>
      <c r="U189" s="112">
        <f>rrcworking[[#This Row],[Gauge Sheet Prod Volume]]-rrcworking[[#This Row],[Oil Production]]</f>
        <v>0</v>
      </c>
      <c r="V189" s="147">
        <f>IF(ISERROR(INDEX(Table2[GAS],MATCH(rrcworking[[#This Row],[Magnum Wolfpak '#]],Table2[Rox Wolf'#],0))),0,INDEX(Table2[GAS],MATCH(rrcworking[[#This Row],[Magnum Wolfpak '#]],Table2[Rox Wolf'#],0)))</f>
        <v>0</v>
      </c>
      <c r="W189" s="24"/>
      <c r="X189" s="136">
        <f>IF(rrcworking[[#This Row],[Pressure Base]]=14.73,rrcworking[[#This Row],[Gas Sales Statement Volume (MCF)]]*$R$2,rrcworking[[#This Row],[Gas Sales Statement Volume (MCF)]])</f>
        <v>0</v>
      </c>
      <c r="Y189" s="60"/>
      <c r="Z189" s="60"/>
      <c r="AA189" s="147">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192">
        <f>COUNTIF(FilterList,rrcworking[[#This Row],[Magnum Wolfpak '#]])</f>
        <v>0</v>
      </c>
      <c r="AF189" s="189"/>
      <c r="AG189" s="190"/>
      <c r="AH189" s="37"/>
      <c r="AI189" s="37"/>
      <c r="AJ189" s="37"/>
      <c r="AK189" s="37"/>
      <c r="AL189" s="37"/>
      <c r="AM189" s="37"/>
      <c r="AN189" s="37"/>
      <c r="AO189" s="37"/>
      <c r="AP189" s="37"/>
      <c r="AQ189" s="37"/>
    </row>
    <row r="190" spans="3:43" ht="75">
      <c r="C190" s="80">
        <v>99305</v>
      </c>
      <c r="D190" s="62" t="s">
        <v>202</v>
      </c>
      <c r="E190" s="132" t="s">
        <v>203</v>
      </c>
      <c r="F190" s="130">
        <v>0</v>
      </c>
      <c r="G190" s="121" t="s">
        <v>1094</v>
      </c>
      <c r="H190" s="18" t="s">
        <v>619</v>
      </c>
      <c r="I190" s="18" t="s">
        <v>2</v>
      </c>
      <c r="J190" s="19" t="s">
        <v>491</v>
      </c>
      <c r="K190" s="103">
        <v>27401</v>
      </c>
      <c r="L190" s="101">
        <f>INDEX(Table1[Production],MATCH(rrcworking[[#This Row],[RRC ID Number]],Table1[RRC Identifier],0))</f>
        <v>62</v>
      </c>
      <c r="M190" s="30">
        <f>INDEX(Table1[Formation Production],MATCH(rrcworking[[#This Row],[RRC ID Number]],Table1[RRC Identifier],0))</f>
        <v>0</v>
      </c>
      <c r="N190" s="31">
        <f>INDEX(Table1[On Hand End of Month],MATCH(rrcworking[[#This Row],[RRC ID Number]],Table1[RRC Identifier],0))</f>
        <v>185</v>
      </c>
      <c r="O190" s="106" t="b">
        <f t="shared" si="5"/>
        <v>0</v>
      </c>
      <c r="P190" s="186">
        <v>65</v>
      </c>
      <c r="Q190" s="128">
        <f>rrcworking[[#This Row],[Last Month Closing Stock]]</f>
        <v>185</v>
      </c>
      <c r="R190" s="187">
        <v>354</v>
      </c>
      <c r="S190" s="147">
        <f>IF(ISERROR(INDEX(Table2[OIL],MATCH(rrcworking[[#This Row],[Magnum Wolfpak '#]],Table2[Rox Wolf'#],0))),0,INDEX(Table2[OIL],MATCH(rrcworking[[#This Row],[Magnum Wolfpak '#]],Table2[Rox Wolf'#],0)))</f>
        <v>0</v>
      </c>
      <c r="T190" s="35">
        <f>rrcworking[[#This Row],[Closing Stock (Oil)]]+rrcworking[[#This Row],[Sales/Dispostion]]-rrcworking[[#This Row],[Opening Oil Stock]]</f>
        <v>169</v>
      </c>
      <c r="U190" s="112">
        <f>rrcworking[[#This Row],[Gauge Sheet Prod Volume]]-rrcworking[[#This Row],[Oil Production]]</f>
        <v>-104</v>
      </c>
      <c r="V190" s="147">
        <f>IF(ISERROR(INDEX(Table2[GAS],MATCH(rrcworking[[#This Row],[Magnum Wolfpak '#]],Table2[Rox Wolf'#],0))),0,INDEX(Table2[GAS],MATCH(rrcworking[[#This Row],[Magnum Wolfpak '#]],Table2[Rox Wolf'#],0)))</f>
        <v>0</v>
      </c>
      <c r="W190" s="24"/>
      <c r="X190" s="136">
        <f>IF(rrcworking[[#This Row],[Pressure Base]]=14.73,rrcworking[[#This Row],[Gas Sales Statement Volume (MCF)]]*$R$2,rrcworking[[#This Row],[Gas Sales Statement Volume (MCF)]])</f>
        <v>0</v>
      </c>
      <c r="Y190" s="60"/>
      <c r="Z190" s="60"/>
      <c r="AA190" s="147">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t="s">
        <v>1274</v>
      </c>
      <c r="AE190" s="192">
        <f>COUNTIF(FilterList,rrcworking[[#This Row],[Magnum Wolfpak '#]])</f>
        <v>0</v>
      </c>
      <c r="AF190" s="189"/>
      <c r="AG190" s="190"/>
      <c r="AH190" s="37"/>
      <c r="AI190" s="190"/>
      <c r="AJ190" s="37">
        <v>3</v>
      </c>
      <c r="AK190" s="37" t="s">
        <v>1146</v>
      </c>
      <c r="AL190" s="37" t="s">
        <v>1175</v>
      </c>
      <c r="AM190" s="37" t="s">
        <v>1273</v>
      </c>
      <c r="AN190" s="37" t="s">
        <v>1175</v>
      </c>
      <c r="AO190" s="37" t="s">
        <v>1186</v>
      </c>
      <c r="AP190" s="37" t="s">
        <v>1251</v>
      </c>
      <c r="AQ190" s="37"/>
    </row>
    <row r="191" spans="3:43" ht="15">
      <c r="C191" s="80">
        <v>99302</v>
      </c>
      <c r="D191" s="62" t="s">
        <v>199</v>
      </c>
      <c r="E191" s="132" t="s">
        <v>200</v>
      </c>
      <c r="F191" s="130">
        <v>0</v>
      </c>
      <c r="G191" s="121" t="s">
        <v>1094</v>
      </c>
      <c r="H191" s="18" t="s">
        <v>619</v>
      </c>
      <c r="I191" s="18" t="s">
        <v>2</v>
      </c>
      <c r="J191" s="19" t="s">
        <v>489</v>
      </c>
      <c r="K191" s="103">
        <v>27495</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164</v>
      </c>
      <c r="O191" s="106" t="b">
        <f t="shared" si="5"/>
        <v>1</v>
      </c>
      <c r="P191" s="186">
        <v>57</v>
      </c>
      <c r="Q191" s="128">
        <f>rrcworking[[#This Row],[Last Month Closing Stock]]</f>
        <v>164</v>
      </c>
      <c r="R191" s="186">
        <v>220</v>
      </c>
      <c r="S191" s="147">
        <f>IF(ISERROR(INDEX(Table2[OIL],MATCH(rrcworking[[#This Row],[Magnum Wolfpak '#]],Table2[Rox Wolf'#],0))),0,INDEX(Table2[OIL],MATCH(rrcworking[[#This Row],[Magnum Wolfpak '#]],Table2[Rox Wolf'#],0)))</f>
        <v>0</v>
      </c>
      <c r="T191" s="35">
        <f>rrcworking[[#This Row],[Closing Stock (Oil)]]+rrcworking[[#This Row],[Sales/Dispostion]]-rrcworking[[#This Row],[Opening Oil Stock]]</f>
        <v>56</v>
      </c>
      <c r="U191" s="112">
        <f>rrcworking[[#This Row],[Gauge Sheet Prod Volume]]-rrcworking[[#This Row],[Oil Production]]</f>
        <v>1</v>
      </c>
      <c r="V191" s="147">
        <f>IF(ISERROR(INDEX(Table2[GAS],MATCH(rrcworking[[#This Row],[Magnum Wolfpak '#]],Table2[Rox Wolf'#],0))),0,INDEX(Table2[GAS],MATCH(rrcworking[[#This Row],[Magnum Wolfpak '#]],Table2[Rox Wolf'#],0)))</f>
        <v>677</v>
      </c>
      <c r="W191" s="24"/>
      <c r="X191" s="136">
        <f>IF(rrcworking[[#This Row],[Pressure Base]]=14.73,rrcworking[[#This Row],[Gas Sales Statement Volume (MCF)]]*$R$2,rrcworking[[#This Row],[Gas Sales Statement Volume (MCF)]])</f>
        <v>677</v>
      </c>
      <c r="Y191" s="60"/>
      <c r="Z191" s="60"/>
      <c r="AA191" s="147">
        <f>IF(ISERROR(INDEX(Table2[LEASE USE],MATCH(rrcworking[[#This Row],[Magnum Wolfpak '#]],Table2[Rox Wolf'#],0))),0,INDEX(Table2[LEASE USE],MATCH(rrcworking[[#This Row],[Magnum Wolfpak '#]],Table2[Rox Wolf'#],0)))</f>
        <v>0</v>
      </c>
      <c r="AB191" s="57">
        <f>rrcworking[[#This Row],[Disposition Volume (MCF) @ 14.65 MCF]]+rrcworking[[#This Row],[Lease Use (MCF)]]</f>
        <v>677</v>
      </c>
      <c r="AC191" s="37"/>
      <c r="AD191" s="37"/>
      <c r="AE191" s="192">
        <f>COUNTIF(FilterList,rrcworking[[#This Row],[Magnum Wolfpak '#]])</f>
        <v>0</v>
      </c>
      <c r="AF191" s="189"/>
      <c r="AG191" s="190"/>
      <c r="AH191" s="37"/>
      <c r="AI191" s="37"/>
      <c r="AJ191" s="37">
        <v>1</v>
      </c>
      <c r="AK191" s="37" t="s">
        <v>1146</v>
      </c>
      <c r="AL191" s="37" t="s">
        <v>1175</v>
      </c>
      <c r="AM191" s="37" t="s">
        <v>1185</v>
      </c>
      <c r="AN191" s="37" t="s">
        <v>1175</v>
      </c>
      <c r="AO191" s="37" t="s">
        <v>1186</v>
      </c>
      <c r="AP191" s="37" t="s">
        <v>1252</v>
      </c>
      <c r="AQ191" s="37" t="s">
        <v>1188</v>
      </c>
    </row>
    <row r="192" spans="3:43" ht="150">
      <c r="C192" s="80">
        <v>99296</v>
      </c>
      <c r="D192" s="62" t="s">
        <v>199</v>
      </c>
      <c r="E192" s="132" t="s">
        <v>201</v>
      </c>
      <c r="F192" s="130">
        <v>0</v>
      </c>
      <c r="G192" s="121" t="s">
        <v>1094</v>
      </c>
      <c r="H192" s="18" t="s">
        <v>619</v>
      </c>
      <c r="I192" s="18" t="s">
        <v>2</v>
      </c>
      <c r="J192" s="19" t="s">
        <v>490</v>
      </c>
      <c r="K192" s="103">
        <v>27499</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245</v>
      </c>
      <c r="O192" s="106" t="b">
        <f t="shared" si="5"/>
        <v>1</v>
      </c>
      <c r="P192" s="186">
        <v>23</v>
      </c>
      <c r="Q192" s="128">
        <f>rrcworking[[#This Row],[Last Month Closing Stock]]</f>
        <v>245</v>
      </c>
      <c r="R192" s="187">
        <v>269</v>
      </c>
      <c r="S192" s="147">
        <f>IF(ISERROR(INDEX(Table2[OIL],MATCH(rrcworking[[#This Row],[Magnum Wolfpak '#]],Table2[Rox Wolf'#],0))),0,INDEX(Table2[OIL],MATCH(rrcworking[[#This Row],[Magnum Wolfpak '#]],Table2[Rox Wolf'#],0)))</f>
        <v>0</v>
      </c>
      <c r="T192" s="35">
        <f>rrcworking[[#This Row],[Closing Stock (Oil)]]+rrcworking[[#This Row],[Sales/Dispostion]]-rrcworking[[#This Row],[Opening Oil Stock]]</f>
        <v>24</v>
      </c>
      <c r="U192" s="112">
        <f>rrcworking[[#This Row],[Gauge Sheet Prod Volume]]-rrcworking[[#This Row],[Oil Production]]</f>
        <v>-1</v>
      </c>
      <c r="V192" s="147">
        <f>IF(ISERROR(INDEX(Table2[GAS],MATCH(rrcworking[[#This Row],[Magnum Wolfpak '#]],Table2[Rox Wolf'#],0))),0,INDEX(Table2[GAS],MATCH(rrcworking[[#This Row],[Magnum Wolfpak '#]],Table2[Rox Wolf'#],0)))</f>
        <v>0</v>
      </c>
      <c r="W192" s="24"/>
      <c r="X192" s="136">
        <f>IF(rrcworking[[#This Row],[Pressure Base]]=14.73,rrcworking[[#This Row],[Gas Sales Statement Volume (MCF)]]*$R$2,rrcworking[[#This Row],[Gas Sales Statement Volume (MCF)]])</f>
        <v>0</v>
      </c>
      <c r="Y192" s="60"/>
      <c r="Z192" s="60"/>
      <c r="AA192" s="147">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1262</v>
      </c>
      <c r="AE192" s="192">
        <f>COUNTIF(FilterList,rrcworking[[#This Row],[Magnum Wolfpak '#]])</f>
        <v>0</v>
      </c>
      <c r="AF192" s="189"/>
      <c r="AG192" s="190"/>
      <c r="AH192" s="37"/>
      <c r="AI192" s="190"/>
      <c r="AJ192" s="37">
        <v>3</v>
      </c>
      <c r="AK192" s="37" t="s">
        <v>1146</v>
      </c>
      <c r="AL192" s="37" t="s">
        <v>1175</v>
      </c>
      <c r="AM192" s="37" t="s">
        <v>1189</v>
      </c>
      <c r="AN192" s="37" t="s">
        <v>1175</v>
      </c>
      <c r="AO192" s="37" t="s">
        <v>1186</v>
      </c>
      <c r="AP192" s="37" t="s">
        <v>1253</v>
      </c>
      <c r="AQ192" s="37"/>
    </row>
    <row r="193" spans="3:43" ht="15">
      <c r="C193" s="80" t="e">
        <v>#N/A</v>
      </c>
      <c r="D193" s="62" t="s">
        <v>115</v>
      </c>
      <c r="E193" s="132" t="s">
        <v>117</v>
      </c>
      <c r="F193" s="130">
        <v>2</v>
      </c>
      <c r="G193" s="121">
        <v>5113</v>
      </c>
      <c r="H193" s="18" t="s">
        <v>618</v>
      </c>
      <c r="I193" s="18" t="s">
        <v>59</v>
      </c>
      <c r="J193" s="19" t="s">
        <v>439</v>
      </c>
      <c r="K193" s="103">
        <v>189915</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186"/>
      <c r="Q193" s="128">
        <f>rrcworking[[#This Row],[Last Month Closing Stock]]</f>
        <v>0</v>
      </c>
      <c r="R193" s="186">
        <f>rrcworking[[#This Row],[Opening Oil Stock]]</f>
        <v>0</v>
      </c>
      <c r="S193" s="147">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 Volume]]-rrcworking[[#This Row],[Oil Production]]</f>
        <v>0</v>
      </c>
      <c r="V193" s="147">
        <f>IF(ISERROR(INDEX(Table2[GAS],MATCH(rrcworking[[#This Row],[Magnum Wolfpak '#]],Table2[Rox Wolf'#],0))),0,INDEX(Table2[GAS],MATCH(rrcworking[[#This Row],[Magnum Wolfpak '#]],Table2[Rox Wolf'#],0)))</f>
        <v>0</v>
      </c>
      <c r="W193" s="24"/>
      <c r="X193" s="136">
        <f>IF(rrcworking[[#This Row],[Pressure Base]]=14.73,rrcworking[[#This Row],[Gas Sales Statement Volume (MCF)]]*$R$2,rrcworking[[#This Row],[Gas Sales Statement Volume (MCF)]])</f>
        <v>0</v>
      </c>
      <c r="Y193" s="60"/>
      <c r="Z193" s="60"/>
      <c r="AA193" s="147">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192">
        <f>COUNTIF(FilterList,rrcworking[[#This Row],[Magnum Wolfpak '#]])</f>
        <v>0</v>
      </c>
      <c r="AF193" s="189"/>
      <c r="AG193" s="190"/>
      <c r="AH193" s="37"/>
      <c r="AI193" s="37"/>
      <c r="AJ193" s="37"/>
      <c r="AK193" s="37"/>
      <c r="AL193" s="37"/>
      <c r="AM193" s="37"/>
      <c r="AN193" s="37"/>
      <c r="AO193" s="37"/>
      <c r="AP193" s="37"/>
      <c r="AQ193" s="37"/>
    </row>
    <row r="194" spans="3:43" ht="15">
      <c r="C194" s="80" t="e">
        <v>#N/A</v>
      </c>
      <c r="D194" s="62" t="s">
        <v>166</v>
      </c>
      <c r="E194" s="132" t="s">
        <v>167</v>
      </c>
      <c r="F194" s="130">
        <v>1</v>
      </c>
      <c r="G194" s="121" t="s">
        <v>1094</v>
      </c>
      <c r="H194" s="18" t="s">
        <v>619</v>
      </c>
      <c r="I194" s="18" t="s">
        <v>59</v>
      </c>
      <c r="J194" s="19" t="s">
        <v>470</v>
      </c>
      <c r="K194" s="103">
        <v>192497</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6"/>
      <c r="Q194" s="128">
        <f>rrcworking[[#This Row],[Last Month Closing Stock]]</f>
        <v>0</v>
      </c>
      <c r="R194" s="186">
        <f>rrcworking[[#This Row],[Opening Oil Stock]]</f>
        <v>0</v>
      </c>
      <c r="S194" s="147">
        <f>IF(ISERROR(INDEX(Table2[OIL],MATCH(rrcworking[[#This Row],[Magnum Wolfpak '#]],Table2[Rox Wolf'#],0))),0,INDEX(Table2[OIL],MATCH(rrcworking[[#This Row],[Magnum Wolfpak '#]],Table2[Rox Wolf'#],0)))</f>
        <v>0</v>
      </c>
      <c r="T194" s="35">
        <f>rrcworking[[#This Row],[Closing Stock (Oil)]]+rrcworking[[#This Row],[Sales/Dispostion]]-rrcworking[[#This Row],[Opening Oil Stock]]</f>
        <v>0</v>
      </c>
      <c r="U194" s="112">
        <f>rrcworking[[#This Row],[Gauge Sheet Prod Volume]]-rrcworking[[#This Row],[Oil Production]]</f>
        <v>0</v>
      </c>
      <c r="V194" s="147">
        <f>IF(ISERROR(INDEX(Table2[GAS],MATCH(rrcworking[[#This Row],[Magnum Wolfpak '#]],Table2[Rox Wolf'#],0))),0,INDEX(Table2[GAS],MATCH(rrcworking[[#This Row],[Magnum Wolfpak '#]],Table2[Rox Wolf'#],0)))</f>
        <v>0</v>
      </c>
      <c r="W194" s="24"/>
      <c r="X194" s="136">
        <f>IF(rrcworking[[#This Row],[Pressure Base]]=14.73,rrcworking[[#This Row],[Gas Sales Statement Volume (MCF)]]*$R$2,rrcworking[[#This Row],[Gas Sales Statement Volume (MCF)]])</f>
        <v>0</v>
      </c>
      <c r="Y194" s="60"/>
      <c r="Z194" s="60"/>
      <c r="AA194" s="147">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192">
        <f>COUNTIF(FilterList,rrcworking[[#This Row],[Magnum Wolfpak '#]])</f>
        <v>0</v>
      </c>
      <c r="AF194" s="189"/>
      <c r="AG194" s="190"/>
      <c r="AH194" s="37"/>
      <c r="AI194" s="37"/>
      <c r="AJ194" s="37"/>
      <c r="AK194" s="37"/>
      <c r="AL194" s="37"/>
      <c r="AM194" s="37"/>
      <c r="AN194" s="37"/>
      <c r="AO194" s="37"/>
      <c r="AP194" s="37"/>
      <c r="AQ194" s="37"/>
    </row>
    <row r="195" spans="3:43" ht="15">
      <c r="C195" s="80">
        <v>99194</v>
      </c>
      <c r="D195" s="62" t="s">
        <v>168</v>
      </c>
      <c r="E195" s="132" t="s">
        <v>169</v>
      </c>
      <c r="F195" s="130">
        <v>0</v>
      </c>
      <c r="G195" s="121" t="s">
        <v>1094</v>
      </c>
      <c r="H195" s="18" t="s">
        <v>619</v>
      </c>
      <c r="I195" s="18" t="s">
        <v>2</v>
      </c>
      <c r="J195" s="19" t="s">
        <v>471</v>
      </c>
      <c r="K195" s="103">
        <v>21610</v>
      </c>
      <c r="L195" s="101">
        <f>INDEX(Table1[Production],MATCH(rrcworking[[#This Row],[RRC ID Number]],Table1[RRC Identifier],0))</f>
        <v>657</v>
      </c>
      <c r="M195" s="30">
        <f>INDEX(Table1[Formation Production],MATCH(rrcworking[[#This Row],[RRC ID Number]],Table1[RRC Identifier],0))</f>
        <v>0</v>
      </c>
      <c r="N195" s="31">
        <f>INDEX(Table1[On Hand End of Month],MATCH(rrcworking[[#This Row],[RRC ID Number]],Table1[RRC Identifier],0))</f>
        <v>277</v>
      </c>
      <c r="O195" s="106" t="b">
        <f t="shared" si="5"/>
        <v>0</v>
      </c>
      <c r="P195" s="186">
        <v>605</v>
      </c>
      <c r="Q195" s="128">
        <f>rrcworking[[#This Row],[Last Month Closing Stock]]</f>
        <v>277</v>
      </c>
      <c r="R195" s="187">
        <v>192</v>
      </c>
      <c r="S195" s="147">
        <f>IF(ISERROR(INDEX(Table2[OIL],MATCH(rrcworking[[#This Row],[Magnum Wolfpak '#]],Table2[Rox Wolf'#],0))),0,INDEX(Table2[OIL],MATCH(rrcworking[[#This Row],[Magnum Wolfpak '#]],Table2[Rox Wolf'#],0)))</f>
        <v>679</v>
      </c>
      <c r="T195" s="35">
        <f>rrcworking[[#This Row],[Closing Stock (Oil)]]+rrcworking[[#This Row],[Sales/Dispostion]]-rrcworking[[#This Row],[Opening Oil Stock]]</f>
        <v>594</v>
      </c>
      <c r="U195" s="112">
        <f>rrcworking[[#This Row],[Gauge Sheet Prod Volume]]-rrcworking[[#This Row],[Oil Production]]</f>
        <v>11</v>
      </c>
      <c r="V195" s="147">
        <f>IF(ISERROR(INDEX(Table2[GAS],MATCH(rrcworking[[#This Row],[Magnum Wolfpak '#]],Table2[Rox Wolf'#],0))),0,INDEX(Table2[GAS],MATCH(rrcworking[[#This Row],[Magnum Wolfpak '#]],Table2[Rox Wolf'#],0)))</f>
        <v>0</v>
      </c>
      <c r="W195" s="24"/>
      <c r="X195" s="136">
        <f>IF(rrcworking[[#This Row],[Pressure Base]]=14.73,rrcworking[[#This Row],[Gas Sales Statement Volume (MCF)]]*$R$2,rrcworking[[#This Row],[Gas Sales Statement Volume (MCF)]])</f>
        <v>0</v>
      </c>
      <c r="Y195" s="60"/>
      <c r="Z195" s="60"/>
      <c r="AA195" s="147">
        <f>IF(ISERROR(INDEX(Table2[LEASE USE],MATCH(rrcworking[[#This Row],[Magnum Wolfpak '#]],Table2[Rox Wolf'#],0))),0,INDEX(Table2[LEASE USE],MATCH(rrcworking[[#This Row],[Magnum Wolfpak '#]],Table2[Rox Wolf'#],0)))</f>
        <v>0</v>
      </c>
      <c r="AB195" s="57">
        <f>rrcworking[[#This Row],[Disposition Volume (MCF) @ 14.65 MCF]]+rrcworking[[#This Row],[Lease Use (MCF)]]</f>
        <v>0</v>
      </c>
      <c r="AC195" s="37"/>
      <c r="AD195" s="37"/>
      <c r="AE195" s="192">
        <f>COUNTIF(FilterList,rrcworking[[#This Row],[Magnum Wolfpak '#]])</f>
        <v>0</v>
      </c>
      <c r="AF195" s="189"/>
      <c r="AG195" s="190"/>
      <c r="AH195" s="37"/>
      <c r="AI195" s="190"/>
      <c r="AJ195" s="37">
        <v>2</v>
      </c>
      <c r="AK195" s="37" t="s">
        <v>1175</v>
      </c>
      <c r="AL195" s="37" t="s">
        <v>1175</v>
      </c>
      <c r="AM195" s="37" t="s">
        <v>1238</v>
      </c>
      <c r="AN195" s="37" t="s">
        <v>1175</v>
      </c>
      <c r="AO195" s="37" t="s">
        <v>1239</v>
      </c>
      <c r="AP195" s="37" t="s">
        <v>1240</v>
      </c>
      <c r="AQ195" s="37" t="s">
        <v>1205</v>
      </c>
    </row>
    <row r="196" spans="3:43" ht="15.75" thickBot="1">
      <c r="C196" s="80">
        <v>80001</v>
      </c>
      <c r="D196" s="62" t="s">
        <v>267</v>
      </c>
      <c r="E196" s="132" t="s">
        <v>268</v>
      </c>
      <c r="F196" s="130">
        <v>1</v>
      </c>
      <c r="G196" s="121" t="s">
        <v>1094</v>
      </c>
      <c r="H196" s="18" t="s">
        <v>619</v>
      </c>
      <c r="I196" s="18" t="s">
        <v>59</v>
      </c>
      <c r="J196" s="19" t="s">
        <v>523</v>
      </c>
      <c r="K196" s="103">
        <v>91859</v>
      </c>
      <c r="L196" s="102">
        <f>INDEX(Table1[Production],MATCH(rrcworking[[#This Row],[RRC ID Number]],Table1[RRC Identifier],0))</f>
        <v>65</v>
      </c>
      <c r="M196" s="32">
        <f>INDEX(Table1[Formation Production],MATCH(rrcworking[[#This Row],[RRC ID Number]],Table1[RRC Identifier],0))</f>
        <v>328</v>
      </c>
      <c r="N196" s="33">
        <f>INDEX(Table1[On Hand End of Month],MATCH(rrcworking[[#This Row],[RRC ID Number]],Table1[RRC Identifier],0))</f>
        <v>142</v>
      </c>
      <c r="O196" s="108" t="b">
        <f t="shared" si="5"/>
        <v>0</v>
      </c>
      <c r="P196" s="186">
        <v>20</v>
      </c>
      <c r="Q196" s="128">
        <f>rrcworking[[#This Row],[Last Month Closing Stock]]</f>
        <v>142</v>
      </c>
      <c r="R196" s="187">
        <v>21</v>
      </c>
      <c r="S196" s="147">
        <f>IF(ISERROR(INDEX(Table2[OIL],MATCH(rrcworking[[#This Row],[Magnum Wolfpak '#]],Table2[Rox Wolf'#],0))),0,INDEX(Table2[OIL],MATCH(rrcworking[[#This Row],[Magnum Wolfpak '#]],Table2[Rox Wolf'#],0)))</f>
        <v>141</v>
      </c>
      <c r="T196" s="35">
        <f>rrcworking[[#This Row],[Closing Stock (Oil)]]+rrcworking[[#This Row],[Sales/Dispostion]]-rrcworking[[#This Row],[Opening Oil Stock]]</f>
        <v>20</v>
      </c>
      <c r="U196" s="112">
        <f>rrcworking[[#This Row],[Gauge Sheet Prod Volume]]-rrcworking[[#This Row],[Oil Production]]</f>
        <v>0</v>
      </c>
      <c r="V196" s="147">
        <f>IF(ISERROR(INDEX(Table2[GAS],MATCH(rrcworking[[#This Row],[Magnum Wolfpak '#]],Table2[Rox Wolf'#],0))),0,INDEX(Table2[GAS],MATCH(rrcworking[[#This Row],[Magnum Wolfpak '#]],Table2[Rox Wolf'#],0)))</f>
        <v>1376</v>
      </c>
      <c r="W196" s="24"/>
      <c r="X196" s="136">
        <f>IF(rrcworking[[#This Row],[Pressure Base]]=14.73,rrcworking[[#This Row],[Gas Sales Statement Volume (MCF)]]*$R$2,rrcworking[[#This Row],[Gas Sales Statement Volume (MCF)]])</f>
        <v>1376</v>
      </c>
      <c r="Y196" s="151"/>
      <c r="Z196" s="61">
        <v>4</v>
      </c>
      <c r="AA196" s="147">
        <f>IF(ISERROR(INDEX(Table2[LEASE USE],MATCH(rrcworking[[#This Row],[Magnum Wolfpak '#]],Table2[Rox Wolf'#],0))),0,INDEX(Table2[LEASE USE],MATCH(rrcworking[[#This Row],[Magnum Wolfpak '#]],Table2[Rox Wolf'#],0)))</f>
        <v>124</v>
      </c>
      <c r="AB196" s="58">
        <f>rrcworking[[#This Row],[Disposition Volume (MCF) @ 14.65 MCF]]+rrcworking[[#This Row],[Lease Use (MCF)]]</f>
        <v>1500</v>
      </c>
      <c r="AC196" s="37"/>
      <c r="AD196" s="37"/>
      <c r="AE196" s="192">
        <f>COUNTIF(FilterList,rrcworking[[#This Row],[Magnum Wolfpak '#]])</f>
        <v>0</v>
      </c>
      <c r="AF196" s="189"/>
      <c r="AG196" s="190"/>
      <c r="AH196" s="37"/>
      <c r="AI196" s="190"/>
      <c r="AJ196" s="37">
        <v>2</v>
      </c>
      <c r="AK196" s="37" t="s">
        <v>1175</v>
      </c>
      <c r="AL196" s="37" t="s">
        <v>1175</v>
      </c>
      <c r="AM196" s="37" t="s">
        <v>1222</v>
      </c>
      <c r="AN196" s="37" t="s">
        <v>1175</v>
      </c>
      <c r="AO196" s="37" t="s">
        <v>1186</v>
      </c>
      <c r="AP196" s="37" t="s">
        <v>1228</v>
      </c>
      <c r="AQ196" s="37"/>
    </row>
    <row r="197" spans="3:43" ht="16.5" thickTop="1" thickBot="1">
      <c r="C197" s="80" t="e">
        <v>#N/A</v>
      </c>
      <c r="D197" s="62" t="s">
        <v>85</v>
      </c>
      <c r="E197" s="132" t="s">
        <v>86</v>
      </c>
      <c r="F197" s="130">
        <v>1</v>
      </c>
      <c r="G197" s="121" t="s">
        <v>1094</v>
      </c>
      <c r="H197" s="18" t="s">
        <v>618</v>
      </c>
      <c r="I197" s="18" t="s">
        <v>59</v>
      </c>
      <c r="J197" s="19" t="s">
        <v>420</v>
      </c>
      <c r="K197" s="103">
        <v>200152</v>
      </c>
      <c r="L197" s="101">
        <f>INDEX(Table1[Production],MATCH(rrcworking[[#This Row],[RRC ID Number]],Table1[RRC Identifier],0))</f>
        <v>0</v>
      </c>
      <c r="M197" s="30">
        <f>INDEX(Table1[Formation Production],MATCH(rrcworking[[#This Row],[RRC ID Number]],Table1[RRC Identifier],0))</f>
        <v>0</v>
      </c>
      <c r="N197" s="31">
        <f>INDEX(Table1[On Hand End of Month],MATCH(rrcworking[[#This Row],[RRC ID Number]],Table1[RRC Identifier],0))</f>
        <v>0</v>
      </c>
      <c r="O197" s="106" t="b">
        <f t="shared" si="5"/>
        <v>1</v>
      </c>
      <c r="P197" s="186"/>
      <c r="Q197" s="128">
        <f>rrcworking[[#This Row],[Last Month Closing Stock]]</f>
        <v>0</v>
      </c>
      <c r="R197" s="186">
        <f>rrcworking[[#This Row],[Opening Oil Stock]]</f>
        <v>0</v>
      </c>
      <c r="S197" s="147">
        <f>IF(ISERROR(INDEX(Table2[OIL],MATCH(rrcworking[[#This Row],[Magnum Wolfpak '#]],Table2[Rox Wolf'#],0))),0,INDEX(Table2[OIL],MATCH(rrcworking[[#This Row],[Magnum Wolfpak '#]],Table2[Rox Wolf'#],0)))</f>
        <v>0</v>
      </c>
      <c r="T197" s="36">
        <f>rrcworking[[#This Row],[Closing Stock (Oil)]]+rrcworking[[#This Row],[Sales/Dispostion]]-rrcworking[[#This Row],[Opening Oil Stock]]</f>
        <v>0</v>
      </c>
      <c r="U197" s="112">
        <f>rrcworking[[#This Row],[Gauge Sheet Prod Volume]]-rrcworking[[#This Row],[Oil Production]]</f>
        <v>0</v>
      </c>
      <c r="V197" s="147">
        <f>IF(ISERROR(INDEX(Table2[GAS],MATCH(rrcworking[[#This Row],[Magnum Wolfpak '#]],Table2[Rox Wolf'#],0))),0,INDEX(Table2[GAS],MATCH(rrcworking[[#This Row],[Magnum Wolfpak '#]],Table2[Rox Wolf'#],0)))</f>
        <v>0</v>
      </c>
      <c r="W197" s="24"/>
      <c r="X197" s="138">
        <f>IF(rrcworking[[#This Row],[Pressure Base]]=14.73,rrcworking[[#This Row],[Gas Sales Statement Volume (MCF)]]*$R$2,rrcworking[[#This Row],[Gas Sales Statement Volume (MCF)]])</f>
        <v>0</v>
      </c>
      <c r="Y197" s="60"/>
      <c r="Z197" s="60"/>
      <c r="AA197" s="147">
        <f>IF(ISERROR(INDEX(Table2[LEASE USE],MATCH(rrcworking[[#This Row],[Magnum Wolfpak '#]],Table2[Rox Wolf'#],0))),0,INDEX(Table2[LEASE USE],MATCH(rrcworking[[#This Row],[Magnum Wolfpak '#]],Table2[Rox Wolf'#],0)))</f>
        <v>0</v>
      </c>
      <c r="AB197" s="60">
        <f>rrcworking[[#This Row],[Disposition Volume (MCF) @ 14.65 MCF]]+rrcworking[[#This Row],[Lease Use (MCF)]]</f>
        <v>0</v>
      </c>
      <c r="AC197" s="37"/>
      <c r="AD197" s="37"/>
      <c r="AE197" s="192">
        <f>COUNTIF(FilterList,rrcworking[[#This Row],[Magnum Wolfpak '#]])</f>
        <v>0</v>
      </c>
      <c r="AF197" s="189"/>
      <c r="AG197" s="190"/>
      <c r="AH197" s="37"/>
      <c r="AI197" s="37"/>
      <c r="AJ197" s="37"/>
      <c r="AK197" s="37"/>
      <c r="AL197" s="37"/>
      <c r="AM197" s="37"/>
      <c r="AN197" s="37"/>
      <c r="AO197" s="37"/>
      <c r="AP197" s="37"/>
      <c r="AQ197" s="37"/>
    </row>
    <row r="198" spans="3:43" ht="15.75" thickTop="1">
      <c r="C198" s="20">
        <f>SUBTOTAL(103,rrcworking[Magnum Wolfpak '#])</f>
        <v>192</v>
      </c>
      <c r="D198" s="20"/>
      <c r="E198" s="20" t="s">
        <v>626</v>
      </c>
      <c r="F198" s="144">
        <f>SUBTOTAL(103,rrcworking[Well Number])</f>
        <v>192</v>
      </c>
      <c r="G198" s="144"/>
      <c r="H198" s="144"/>
      <c r="I198" s="144"/>
      <c r="J198" s="223"/>
      <c r="K198" s="224"/>
      <c r="L198" s="145" t="e">
        <f>SUBTOTAL(109,rrcworking[[ Last Month Oil Production]])</f>
        <v>#N/A</v>
      </c>
      <c r="M198" s="20" t="e">
        <f>SUBTOTAL(109,rrcworking[Last Month Gas Prod])</f>
        <v>#N/A</v>
      </c>
      <c r="N198" s="20">
        <f>SUBTOTAL(109,rrcworking[Last Month Closing Stock])</f>
        <v>14063</v>
      </c>
      <c r="O198" s="146"/>
      <c r="P198" s="146">
        <f>SUBTOTAL(109,rrcworking[Gauge Sheet Prod Volume])</f>
        <v>15204</v>
      </c>
      <c r="Q198" s="145">
        <f>SUBTOTAL(109,rrcworking[Opening Oil Stock])</f>
        <v>14063</v>
      </c>
      <c r="R198" s="20">
        <f>SUBTOTAL(109,rrcworking[Closing Stock (Oil)])</f>
        <v>13436</v>
      </c>
      <c r="S198" s="20">
        <f>SUBTOTAL(109,rrcworking[Sales/Dispostion])</f>
        <v>15699</v>
      </c>
      <c r="T198" s="20">
        <f>SUBTOTAL(109,rrcworking[Oil Production])</f>
        <v>15072</v>
      </c>
      <c r="U198" s="20"/>
      <c r="V198" s="168">
        <f>SUBTOTAL(109,rrcworking[Gas Sales Statement Volume (MCF)])</f>
        <v>287564</v>
      </c>
      <c r="W198" s="20"/>
      <c r="X198" s="147">
        <f>SUBTOTAL(109,rrcworking[Disposition Volume (MCF) @ 14.65 MCF])</f>
        <v>287564</v>
      </c>
      <c r="Y198" s="20"/>
      <c r="Z198" s="20"/>
      <c r="AA198" s="20">
        <f>SUBTOTAL(109,rrcworking[Lease Use (MCF)])</f>
        <v>6235</v>
      </c>
      <c r="AB198" s="147">
        <f>SUBTOTAL(109,rrcworking[Formation Production (MCF) @ 14.65 psi])</f>
        <v>293799</v>
      </c>
      <c r="AC198">
        <f>SUBTOTAL(103,rrcworking[Gas Comments])</f>
        <v>3</v>
      </c>
      <c r="AE198" s="20"/>
    </row>
    <row r="199" spans="3:43">
      <c r="V199" s="5"/>
    </row>
    <row r="200" spans="3:43" ht="51">
      <c r="AB200" s="240" t="s">
        <v>1285</v>
      </c>
    </row>
  </sheetData>
  <mergeCells count="8">
    <mergeCell ref="AC4:AD4"/>
    <mergeCell ref="AH3:AQ3"/>
    <mergeCell ref="C2:G2"/>
    <mergeCell ref="V4:AB4"/>
    <mergeCell ref="P4:U4"/>
    <mergeCell ref="L4:O4"/>
    <mergeCell ref="C4:K4"/>
    <mergeCell ref="Z3:AB3"/>
  </mergeCells>
  <phoneticPr fontId="67" type="noConversion"/>
  <conditionalFormatting sqref="U6:U197">
    <cfRule type="expression" dxfId="148" priority="2">
      <formula>ABS($U6)&gt;20</formula>
    </cfRule>
  </conditionalFormatting>
  <conditionalFormatting sqref="T6:T197">
    <cfRule type="cellIs" dxfId="147" priority="1" operator="lessThan">
      <formula>0</formula>
    </cfRule>
  </conditionalFormatting>
  <pageMargins left="0.25" right="0.25" top="0.75" bottom="0.75" header="0.3" footer="0.3"/>
  <pageSetup scale="10" orientation="landscape" horizontalDpi="1200" verticalDpi="1200" r:id="rId1"/>
  <ignoredErrors>
    <ignoredError sqref="F46:F50"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1100</v>
      </c>
      <c r="E1" t="s">
        <v>1098</v>
      </c>
      <c r="F1" t="s">
        <v>1099</v>
      </c>
    </row>
    <row r="2" spans="1:6" ht="19.5">
      <c r="A2" s="45" t="s">
        <v>658</v>
      </c>
      <c r="E2" t="s">
        <v>75</v>
      </c>
    </row>
    <row r="3" spans="1:6" ht="19.5">
      <c r="A3" s="45" t="s">
        <v>677</v>
      </c>
      <c r="E3" t="s">
        <v>78</v>
      </c>
      <c r="F3">
        <v>99228</v>
      </c>
    </row>
    <row r="4" spans="1:6" ht="19.5">
      <c r="A4" s="45" t="s">
        <v>712</v>
      </c>
      <c r="E4" t="s">
        <v>81</v>
      </c>
      <c r="F4">
        <v>99017</v>
      </c>
    </row>
    <row r="5" spans="1:6" ht="19.5">
      <c r="A5" s="45" t="s">
        <v>714</v>
      </c>
      <c r="E5" t="s">
        <v>83</v>
      </c>
    </row>
    <row r="6" spans="1:6" ht="19.5">
      <c r="A6" s="45" t="s">
        <v>720</v>
      </c>
      <c r="E6" t="s">
        <v>86</v>
      </c>
    </row>
    <row r="7" spans="1:6" ht="19.5">
      <c r="A7" s="45" t="s">
        <v>722</v>
      </c>
      <c r="E7" t="s">
        <v>87</v>
      </c>
    </row>
    <row r="8" spans="1:6" ht="19.5">
      <c r="A8" s="45" t="s">
        <v>724</v>
      </c>
      <c r="E8" t="s">
        <v>89</v>
      </c>
    </row>
    <row r="9" spans="1:6" ht="19.5">
      <c r="A9" s="45" t="s">
        <v>726</v>
      </c>
      <c r="E9" t="s">
        <v>92</v>
      </c>
      <c r="F9">
        <v>34001</v>
      </c>
    </row>
    <row r="10" spans="1:6" ht="19.5">
      <c r="A10" s="45" t="s">
        <v>730</v>
      </c>
      <c r="E10" t="s">
        <v>94</v>
      </c>
      <c r="F10">
        <v>93701</v>
      </c>
    </row>
    <row r="11" spans="1:6" ht="19.5">
      <c r="A11" s="45" t="s">
        <v>739</v>
      </c>
      <c r="E11" t="s">
        <v>92</v>
      </c>
    </row>
    <row r="12" spans="1:6" ht="19.5">
      <c r="A12" s="127"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D94"/>
  <sheetViews>
    <sheetView topLeftCell="A60" workbookViewId="0">
      <selection activeCell="E94" sqref="D94:E94"/>
    </sheetView>
  </sheetViews>
  <sheetFormatPr defaultRowHeight="12.75"/>
  <cols>
    <col min="1" max="1" width="16.6640625" style="25" customWidth="1"/>
    <col min="2" max="2" width="30.83203125" style="17" bestFit="1" customWidth="1"/>
    <col min="3" max="3" width="9.33203125" style="160"/>
    <col min="4" max="4" width="22.33203125" style="160"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 width="9.33203125" style="25"/>
    <col min="17" max="17" width="13.83203125" style="25" customWidth="1"/>
    <col min="18" max="16384" width="9.33203125" style="25"/>
  </cols>
  <sheetData>
    <row r="1" spans="1:30" s="153" customFormat="1" ht="21">
      <c r="A1" s="250"/>
      <c r="B1" s="250"/>
      <c r="C1" s="250"/>
      <c r="D1" s="250"/>
      <c r="E1" s="250"/>
    </row>
    <row r="2" spans="1:30" s="153" customFormat="1" ht="21">
      <c r="A2" s="251"/>
      <c r="B2" s="251"/>
      <c r="C2" s="251"/>
      <c r="D2" s="251"/>
      <c r="E2" s="251"/>
      <c r="F2" s="206" t="s">
        <v>1150</v>
      </c>
      <c r="G2" s="207"/>
      <c r="H2" s="207"/>
      <c r="I2" s="207"/>
      <c r="J2" s="207"/>
      <c r="K2" s="207"/>
      <c r="L2" s="207"/>
      <c r="M2" s="207"/>
      <c r="N2" s="207"/>
      <c r="O2" s="207"/>
      <c r="P2" s="207"/>
      <c r="Q2" s="207"/>
      <c r="R2" s="207"/>
      <c r="S2" s="207"/>
      <c r="T2" s="207"/>
      <c r="U2" s="207"/>
      <c r="V2" s="207"/>
      <c r="W2" s="207"/>
      <c r="X2" s="207"/>
      <c r="Y2" s="207"/>
      <c r="Z2" s="207"/>
      <c r="AA2" s="207"/>
      <c r="AB2" s="207"/>
      <c r="AC2" s="207"/>
      <c r="AD2" s="207"/>
    </row>
    <row r="3" spans="1:30" s="153" customFormat="1" ht="21">
      <c r="B3" s="154"/>
      <c r="C3" s="155"/>
      <c r="D3" s="155"/>
      <c r="E3" s="154"/>
    </row>
    <row r="4" spans="1:30" ht="48.75" customHeight="1">
      <c r="A4" s="156" t="s">
        <v>1118</v>
      </c>
      <c r="B4" s="157" t="s">
        <v>825</v>
      </c>
      <c r="C4" s="158" t="s">
        <v>746</v>
      </c>
      <c r="D4" s="159" t="s">
        <v>747</v>
      </c>
      <c r="E4" s="158" t="s">
        <v>748</v>
      </c>
      <c r="F4" s="25" t="s">
        <v>1113</v>
      </c>
      <c r="G4" s="25" t="s">
        <v>1114</v>
      </c>
      <c r="H4" s="25" t="s">
        <v>1115</v>
      </c>
      <c r="I4" s="25" t="s">
        <v>1116</v>
      </c>
      <c r="J4" s="25" t="s">
        <v>1117</v>
      </c>
      <c r="K4" s="156" t="s">
        <v>1133</v>
      </c>
      <c r="M4"/>
      <c r="N4"/>
      <c r="Q4" s="156" t="s">
        <v>1256</v>
      </c>
    </row>
    <row r="5" spans="1:30" s="153" customFormat="1" ht="21">
      <c r="A5">
        <v>99265</v>
      </c>
      <c r="B5" t="s">
        <v>1123</v>
      </c>
      <c r="C5" s="165">
        <f>ROUND(INDEX(Table4[OIL],MATCH(Table2[[#This Row],[Rox Wolf'#]],Table4[Wolf],0)),0)</f>
        <v>0</v>
      </c>
      <c r="D5" s="165">
        <f>INDEX(Table4[GAS],MATCH(Table2[[#This Row],[Rox Wolf'#]],Table4[Wolf],0))</f>
        <v>8022</v>
      </c>
      <c r="E5" s="165">
        <f>INDEX(Table4[LEASE USE],MATCH(Table2[[#This Row],[Rox Wolf'#]],Table4[Wolf],0))</f>
        <v>243</v>
      </c>
      <c r="F5" s="167"/>
      <c r="G5" s="167"/>
      <c r="H5" s="167"/>
      <c r="I5" s="167"/>
      <c r="J5" s="163">
        <f>COUNTIF(FilterList,#REF!)</f>
        <v>0</v>
      </c>
      <c r="K5" s="167"/>
      <c r="M5" s="25"/>
      <c r="N5" s="25"/>
      <c r="Q5" s="208">
        <v>34001</v>
      </c>
    </row>
    <row r="6" spans="1:30" ht="15">
      <c r="A6">
        <v>99266</v>
      </c>
      <c r="B6" t="s">
        <v>1124</v>
      </c>
      <c r="C6" s="165">
        <f>ROUND(INDEX(Table4[OIL],MATCH(Table2[[#This Row],[Rox Wolf'#]],Table4[Wolf],0)),0)</f>
        <v>0</v>
      </c>
      <c r="D6" s="174">
        <f>INDEX(Table4[GAS],MATCH(Table2[[#This Row],[Rox Wolf'#]],Table4[Wolf],0))</f>
        <v>2879</v>
      </c>
      <c r="E6" s="174">
        <f>INDEX(Table4[LEASE USE],MATCH(Table2[[#This Row],[Rox Wolf'#]],Table4[Wolf],0))</f>
        <v>87</v>
      </c>
      <c r="F6" s="167"/>
      <c r="G6" s="167"/>
      <c r="H6" s="167"/>
      <c r="I6" s="167"/>
      <c r="J6" s="163">
        <f>COUNTIF(FilterList,#REF!)</f>
        <v>0</v>
      </c>
      <c r="K6" s="167"/>
      <c r="Q6" s="209">
        <v>48001</v>
      </c>
    </row>
    <row r="7" spans="1:30" ht="15">
      <c r="A7">
        <v>99267</v>
      </c>
      <c r="B7" t="s">
        <v>1125</v>
      </c>
      <c r="C7" s="165">
        <f>ROUND(INDEX(Table4[OIL],MATCH(Table2[[#This Row],[Rox Wolf'#]],Table4[Wolf],0)),0)</f>
        <v>0</v>
      </c>
      <c r="D7" s="174">
        <f>INDEX(Table4[GAS],MATCH(Table2[[#This Row],[Rox Wolf'#]],Table4[Wolf],0))</f>
        <v>0</v>
      </c>
      <c r="E7" s="174">
        <f>INDEX(Table4[LEASE USE],MATCH(Table2[[#This Row],[Rox Wolf'#]],Table4[Wolf],0))</f>
        <v>0</v>
      </c>
      <c r="F7" s="167"/>
      <c r="G7" s="167"/>
      <c r="H7" s="167"/>
      <c r="I7" s="167"/>
      <c r="J7" s="163">
        <f>COUNTIF(FilterList,#REF!)</f>
        <v>0</v>
      </c>
      <c r="K7" s="167"/>
      <c r="Q7" s="208">
        <v>80001</v>
      </c>
    </row>
    <row r="8" spans="1:30" ht="15">
      <c r="A8">
        <v>99229</v>
      </c>
      <c r="B8" t="s">
        <v>749</v>
      </c>
      <c r="C8" s="166">
        <f>ROUND(INDEX(Table4[OIL],MATCH(Table2[[#This Row],[Rox Wolf'#]],Table4[Wolf],0)),0)</f>
        <v>542</v>
      </c>
      <c r="D8" s="173">
        <f>INDEX(Table4[GAS],MATCH(Table2[[#This Row],[Rox Wolf'#]],Table4[Wolf],0))</f>
        <v>32</v>
      </c>
      <c r="E8" s="166">
        <f>INDEX(Table4[LEASE USE],MATCH(Table2[[#This Row],[Rox Wolf'#]],Table4[Wolf],0))</f>
        <v>31</v>
      </c>
      <c r="F8" s="167"/>
      <c r="G8" s="167"/>
      <c r="H8" s="167"/>
      <c r="I8" s="167"/>
      <c r="J8" s="163">
        <f>COUNTIF(FilterList,#REF!)</f>
        <v>0</v>
      </c>
      <c r="K8" s="167"/>
      <c r="Q8" s="209">
        <v>82001</v>
      </c>
    </row>
    <row r="9" spans="1:30" ht="15">
      <c r="A9">
        <v>93701</v>
      </c>
      <c r="B9" t="s">
        <v>796</v>
      </c>
      <c r="C9" s="166">
        <f>ROUND(INDEX(Table4[OIL],MATCH(Table2[[#This Row],[Rox Wolf'#]],Table4[Wolf],0)),0)</f>
        <v>0</v>
      </c>
      <c r="D9" s="173">
        <f>INDEX(Table4[GAS],MATCH(Table2[[#This Row],[Rox Wolf'#]],Table4[Wolf],0))</f>
        <v>9</v>
      </c>
      <c r="E9" s="166">
        <f>INDEX(Table4[LEASE USE],MATCH(Table2[[#This Row],[Rox Wolf'#]],Table4[Wolf],0))</f>
        <v>0</v>
      </c>
      <c r="F9" s="167"/>
      <c r="G9" s="167"/>
      <c r="H9" s="167"/>
      <c r="I9" s="167"/>
      <c r="J9" s="163">
        <f>COUNTIF(FilterList,#REF!)</f>
        <v>0</v>
      </c>
      <c r="K9" s="167"/>
      <c r="Q9" s="208">
        <v>92001</v>
      </c>
    </row>
    <row r="10" spans="1:30" ht="15" hidden="1">
      <c r="A10">
        <v>99170</v>
      </c>
      <c r="B10" t="s">
        <v>798</v>
      </c>
      <c r="C10" s="166">
        <f>ROUND(INDEX(Table4[OIL],MATCH(Table2[[#This Row],[Rox Wolf'#]],Table4[Wolf],0)),0)</f>
        <v>0</v>
      </c>
      <c r="D10" s="173">
        <f>INDEX(Table4[GAS],MATCH(Table2[[#This Row],[Rox Wolf'#]],Table4[Wolf],0))</f>
        <v>0</v>
      </c>
      <c r="E10" s="166">
        <f>INDEX(Table4[LEASE USE],MATCH(Table2[[#This Row],[Rox Wolf'#]],Table4[Wolf],0))</f>
        <v>0</v>
      </c>
      <c r="F10" s="167"/>
      <c r="G10" s="167"/>
      <c r="H10" s="167"/>
      <c r="I10" s="167"/>
      <c r="J10" s="163">
        <f>COUNTIF(FilterList,#REF!)</f>
        <v>0</v>
      </c>
      <c r="K10" s="169" t="s">
        <v>1134</v>
      </c>
      <c r="Q10" s="209">
        <v>93701</v>
      </c>
    </row>
    <row r="11" spans="1:30" ht="15">
      <c r="A11">
        <v>96701</v>
      </c>
      <c r="B11" t="s">
        <v>750</v>
      </c>
      <c r="C11" s="166">
        <f>ROUND(INDEX(Table4[OIL],MATCH(Table2[[#This Row],[Rox Wolf'#]],Table4[Wolf],0)),0)</f>
        <v>0</v>
      </c>
      <c r="D11" s="173">
        <f>INDEX(Table4[GAS],MATCH(Table2[[#This Row],[Rox Wolf'#]],Table4[Wolf],0))</f>
        <v>31</v>
      </c>
      <c r="E11" s="166">
        <f>INDEX(Table4[LEASE USE],MATCH(Table2[[#This Row],[Rox Wolf'#]],Table4[Wolf],0))</f>
        <v>0</v>
      </c>
      <c r="F11" s="167"/>
      <c r="G11" s="167"/>
      <c r="H11" s="167"/>
      <c r="I11" s="167"/>
      <c r="J11" s="163">
        <f>COUNTIF(FilterList,#REF!)</f>
        <v>0</v>
      </c>
      <c r="K11" s="167"/>
      <c r="M11"/>
      <c r="N11"/>
      <c r="Q11" s="208">
        <v>93806</v>
      </c>
    </row>
    <row r="12" spans="1:30" ht="15">
      <c r="A12">
        <v>82001</v>
      </c>
      <c r="B12" t="s">
        <v>751</v>
      </c>
      <c r="C12" s="166">
        <f>ROUND(INDEX(Table4[OIL],MATCH(Table2[[#This Row],[Rox Wolf'#]],Table4[Wolf],0)),0)</f>
        <v>0</v>
      </c>
      <c r="D12" s="173">
        <f>INDEX(Table4[GAS],MATCH(Table2[[#This Row],[Rox Wolf'#]],Table4[Wolf],0))</f>
        <v>31</v>
      </c>
      <c r="E12" s="166">
        <f>INDEX(Table4[LEASE USE],MATCH(Table2[[#This Row],[Rox Wolf'#]],Table4[Wolf],0))</f>
        <v>0</v>
      </c>
      <c r="F12" s="167"/>
      <c r="G12" s="167"/>
      <c r="H12" s="167"/>
      <c r="I12" s="167"/>
      <c r="J12" s="163">
        <f>COUNTIF(FilterList,#REF!)</f>
        <v>0</v>
      </c>
      <c r="K12" s="167"/>
      <c r="M12"/>
      <c r="N12"/>
      <c r="Q12" s="209">
        <v>93901</v>
      </c>
    </row>
    <row r="13" spans="1:30" ht="15">
      <c r="A13">
        <v>96501</v>
      </c>
      <c r="B13" t="s">
        <v>752</v>
      </c>
      <c r="C13" s="166">
        <f>ROUND(INDEX(Table4[OIL],MATCH(Table2[[#This Row],[Rox Wolf'#]],Table4[Wolf],0)),0)</f>
        <v>0</v>
      </c>
      <c r="D13" s="173">
        <f>INDEX(Table4[GAS],MATCH(Table2[[#This Row],[Rox Wolf'#]],Table4[Wolf],0))</f>
        <v>938</v>
      </c>
      <c r="E13" s="166">
        <f>INDEX(Table4[LEASE USE],MATCH(Table2[[#This Row],[Rox Wolf'#]],Table4[Wolf],0))</f>
        <v>51</v>
      </c>
      <c r="F13" s="167"/>
      <c r="G13" s="167"/>
      <c r="H13" s="167"/>
      <c r="I13" s="167"/>
      <c r="J13" s="163">
        <f>COUNTIF(FilterList,#REF!)</f>
        <v>0</v>
      </c>
      <c r="K13" s="167"/>
      <c r="M13"/>
      <c r="N13"/>
      <c r="Q13" s="208">
        <v>94601</v>
      </c>
    </row>
    <row r="14" spans="1:30" ht="15">
      <c r="A14">
        <v>99230</v>
      </c>
      <c r="B14" t="s">
        <v>753</v>
      </c>
      <c r="C14" s="166">
        <f>ROUND(INDEX(Table4[OIL],MATCH(Table2[[#This Row],[Rox Wolf'#]],Table4[Wolf],0)),0)</f>
        <v>367</v>
      </c>
      <c r="D14" s="173">
        <f>INDEX(Table4[GAS],MATCH(Table2[[#This Row],[Rox Wolf'#]],Table4[Wolf],0))</f>
        <v>3137</v>
      </c>
      <c r="E14" s="166">
        <f>INDEX(Table4[LEASE USE],MATCH(Table2[[#This Row],[Rox Wolf'#]],Table4[Wolf],0))</f>
        <v>0</v>
      </c>
      <c r="F14" s="167"/>
      <c r="G14" s="167"/>
      <c r="H14" s="167"/>
      <c r="I14" s="167"/>
      <c r="J14" s="163">
        <f>COUNTIF(FilterList,#REF!)</f>
        <v>0</v>
      </c>
      <c r="K14" s="167"/>
      <c r="L14"/>
      <c r="M14"/>
      <c r="N14"/>
      <c r="O14"/>
      <c r="Q14" s="209">
        <v>95801</v>
      </c>
    </row>
    <row r="15" spans="1:30" ht="15">
      <c r="A15">
        <v>99286</v>
      </c>
      <c r="B15" t="s">
        <v>754</v>
      </c>
      <c r="C15" s="166">
        <f>ROUND(INDEX(Table4[OIL],MATCH(Table2[[#This Row],[Rox Wolf'#]],Table4[Wolf],0)),0)</f>
        <v>513</v>
      </c>
      <c r="D15" s="173">
        <f>INDEX(Table4[GAS],MATCH(Table2[[#This Row],[Rox Wolf'#]],Table4[Wolf],0))</f>
        <v>703</v>
      </c>
      <c r="E15" s="166">
        <f>INDEX(Table4[LEASE USE],MATCH(Table2[[#This Row],[Rox Wolf'#]],Table4[Wolf],0))</f>
        <v>62</v>
      </c>
      <c r="F15" s="167"/>
      <c r="G15" s="167"/>
      <c r="H15" s="167"/>
      <c r="I15" s="167"/>
      <c r="J15" s="163">
        <f>COUNTIF(FilterList,#REF!)</f>
        <v>0</v>
      </c>
      <c r="K15" s="167"/>
      <c r="L15"/>
      <c r="M15"/>
      <c r="N15"/>
      <c r="O15"/>
      <c r="Q15" s="208">
        <v>96501</v>
      </c>
    </row>
    <row r="16" spans="1:30" ht="15">
      <c r="A16">
        <v>99294</v>
      </c>
      <c r="B16" t="s">
        <v>755</v>
      </c>
      <c r="C16" s="166">
        <f>ROUND(INDEX(Table4[OIL],MATCH(Table2[[#This Row],[Rox Wolf'#]],Table4[Wolf],0)),0)</f>
        <v>1010</v>
      </c>
      <c r="D16" s="173">
        <f>INDEX(Table4[GAS],MATCH(Table2[[#This Row],[Rox Wolf'#]],Table4[Wolf],0))</f>
        <v>839</v>
      </c>
      <c r="E16" s="166">
        <f>INDEX(Table4[LEASE USE],MATCH(Table2[[#This Row],[Rox Wolf'#]],Table4[Wolf],0))</f>
        <v>31</v>
      </c>
      <c r="F16" s="167"/>
      <c r="G16" s="167"/>
      <c r="H16" s="167"/>
      <c r="I16" s="167"/>
      <c r="J16" s="163">
        <f>COUNTIF(FilterList,#REF!)</f>
        <v>0</v>
      </c>
      <c r="K16" s="167"/>
      <c r="L16"/>
      <c r="M16"/>
      <c r="N16"/>
      <c r="O16"/>
      <c r="Q16" s="209">
        <v>96701</v>
      </c>
    </row>
    <row r="17" spans="1:17" ht="15">
      <c r="A17">
        <v>99293</v>
      </c>
      <c r="B17" t="s">
        <v>756</v>
      </c>
      <c r="C17" s="166">
        <f>ROUND(INDEX(Table4[OIL],MATCH(Table2[[#This Row],[Rox Wolf'#]],Table4[Wolf],0)),0)</f>
        <v>340</v>
      </c>
      <c r="D17" s="173">
        <f>INDEX(Table4[GAS],MATCH(Table2[[#This Row],[Rox Wolf'#]],Table4[Wolf],0))</f>
        <v>398</v>
      </c>
      <c r="E17" s="166">
        <f>INDEX(Table4[LEASE USE],MATCH(Table2[[#This Row],[Rox Wolf'#]],Table4[Wolf],0))</f>
        <v>31</v>
      </c>
      <c r="F17" s="167"/>
      <c r="G17" s="167"/>
      <c r="H17" s="167"/>
      <c r="I17" s="167"/>
      <c r="J17" s="163">
        <f>COUNTIF(FilterList,#REF!)</f>
        <v>0</v>
      </c>
      <c r="K17" s="167"/>
      <c r="L17"/>
      <c r="M17"/>
      <c r="N17"/>
      <c r="O17"/>
      <c r="Q17" s="208">
        <v>96901</v>
      </c>
    </row>
    <row r="18" spans="1:17" ht="15">
      <c r="A18">
        <v>99295</v>
      </c>
      <c r="B18" t="s">
        <v>757</v>
      </c>
      <c r="C18" s="166">
        <f>ROUND(INDEX(Table4[OIL],MATCH(Table2[[#This Row],[Rox Wolf'#]],Table4[Wolf],0)),0)</f>
        <v>2520</v>
      </c>
      <c r="D18" s="173">
        <f>INDEX(Table4[GAS],MATCH(Table2[[#This Row],[Rox Wolf'#]],Table4[Wolf],0))</f>
        <v>2878</v>
      </c>
      <c r="E18" s="166">
        <f>INDEX(Table4[LEASE USE],MATCH(Table2[[#This Row],[Rox Wolf'#]],Table4[Wolf],0))</f>
        <v>217</v>
      </c>
      <c r="F18" s="167"/>
      <c r="G18" s="167"/>
      <c r="H18" s="167"/>
      <c r="I18" s="167"/>
      <c r="J18" s="163">
        <f>COUNTIF(FilterList,#REF!)</f>
        <v>0</v>
      </c>
      <c r="K18" s="167"/>
      <c r="L18"/>
      <c r="M18"/>
      <c r="N18"/>
      <c r="O18"/>
      <c r="Q18" s="209">
        <v>98401</v>
      </c>
    </row>
    <row r="19" spans="1:17" ht="15">
      <c r="A19">
        <v>99228</v>
      </c>
      <c r="B19" t="s">
        <v>78</v>
      </c>
      <c r="C19" s="166">
        <f>ROUND(INDEX(Table4[OIL],MATCH(Table2[[#This Row],[Rox Wolf'#]],Table4[Wolf],0)),0)</f>
        <v>0</v>
      </c>
      <c r="D19" s="172">
        <f>INDEX(Table4[GAS],MATCH(Table2[[#This Row],[Rox Wolf'#]],Table4[Wolf],0))</f>
        <v>0</v>
      </c>
      <c r="E19" s="166">
        <f>INDEX(Table4[LEASE USE],MATCH(Table2[[#This Row],[Rox Wolf'#]],Table4[Wolf],0))</f>
        <v>0</v>
      </c>
      <c r="F19" s="167"/>
      <c r="G19" s="167"/>
      <c r="H19" s="167"/>
      <c r="I19" s="167"/>
      <c r="J19" s="163">
        <f>COUNTIF(FilterList,#REF!)</f>
        <v>0</v>
      </c>
      <c r="K19" s="167"/>
      <c r="L19"/>
      <c r="O19"/>
      <c r="Q19" s="208">
        <v>98801</v>
      </c>
    </row>
    <row r="20" spans="1:17" ht="15" hidden="1">
      <c r="A20">
        <v>99200</v>
      </c>
      <c r="B20" t="s">
        <v>800</v>
      </c>
      <c r="C20" s="166">
        <f>ROUND(INDEX(Table4[OIL],MATCH(Table2[[#This Row],[Rox Wolf'#]],Table4[Wolf],0)),0)</f>
        <v>1515</v>
      </c>
      <c r="D20" s="173">
        <f>INDEX(Table4[GAS],MATCH(Table2[[#This Row],[Rox Wolf'#]],Table4[Wolf],0))</f>
        <v>0</v>
      </c>
      <c r="E20" s="166">
        <f>INDEX(Table4[LEASE USE],MATCH(Table2[[#This Row],[Rox Wolf'#]],Table4[Wolf],0))</f>
        <v>0</v>
      </c>
      <c r="F20" s="167"/>
      <c r="G20" s="167"/>
      <c r="H20" s="167"/>
      <c r="I20" s="167"/>
      <c r="J20" s="163">
        <f>COUNTIF(FilterList,#REF!)</f>
        <v>0</v>
      </c>
      <c r="K20" s="169" t="s">
        <v>1135</v>
      </c>
      <c r="L20"/>
      <c r="O20"/>
      <c r="Q20" s="209">
        <v>98910</v>
      </c>
    </row>
    <row r="21" spans="1:17" ht="15">
      <c r="A21">
        <v>99255</v>
      </c>
      <c r="B21" t="s">
        <v>758</v>
      </c>
      <c r="C21" s="166">
        <f>ROUND(INDEX(Table4[OIL],MATCH(Table2[[#This Row],[Rox Wolf'#]],Table4[Wolf],0)),0)</f>
        <v>0</v>
      </c>
      <c r="D21" s="173">
        <f>INDEX(Table4[GAS],MATCH(Table2[[#This Row],[Rox Wolf'#]],Table4[Wolf],0))</f>
        <v>0</v>
      </c>
      <c r="E21" s="166">
        <f>INDEX(Table4[LEASE USE],MATCH(Table2[[#This Row],[Rox Wolf'#]],Table4[Wolf],0))</f>
        <v>0</v>
      </c>
      <c r="F21" s="167"/>
      <c r="G21" s="167"/>
      <c r="H21" s="167"/>
      <c r="I21" s="167"/>
      <c r="J21" s="163">
        <f>COUNTIF(FilterList,#REF!)</f>
        <v>0</v>
      </c>
      <c r="K21" s="167"/>
      <c r="L21"/>
      <c r="O21"/>
      <c r="Q21" s="208">
        <v>98915</v>
      </c>
    </row>
    <row r="22" spans="1:17" ht="15">
      <c r="A22">
        <v>98921</v>
      </c>
      <c r="B22" t="s">
        <v>801</v>
      </c>
      <c r="C22" s="166">
        <f>ROUND(INDEX(Table4[OIL],MATCH(Table2[[#This Row],[Rox Wolf'#]],Table4[Wolf],0)),0)</f>
        <v>331</v>
      </c>
      <c r="D22" s="173">
        <f>INDEX(Table4[GAS],MATCH(Table2[[#This Row],[Rox Wolf'#]],Table4[Wolf],0))</f>
        <v>0</v>
      </c>
      <c r="E22" s="166">
        <f>INDEX(Table4[LEASE USE],MATCH(Table2[[#This Row],[Rox Wolf'#]],Table4[Wolf],0))</f>
        <v>0</v>
      </c>
      <c r="F22" s="167"/>
      <c r="G22" s="167"/>
      <c r="H22" s="167"/>
      <c r="I22" s="167"/>
      <c r="J22" s="163">
        <f>COUNTIF(FilterList,#REF!)</f>
        <v>0</v>
      </c>
      <c r="K22" s="167"/>
      <c r="Q22" s="209">
        <v>98921</v>
      </c>
    </row>
    <row r="23" spans="1:17" ht="15">
      <c r="A23">
        <v>99017</v>
      </c>
      <c r="B23" t="s">
        <v>759</v>
      </c>
      <c r="C23" s="166">
        <f>ROUND(INDEX(Table4[OIL],MATCH(Table2[[#This Row],[Rox Wolf'#]],Table4[Wolf],0)),0)</f>
        <v>0</v>
      </c>
      <c r="D23" s="173">
        <f>INDEX(Table4[GAS],MATCH(Table2[[#This Row],[Rox Wolf'#]],Table4[Wolf],0))</f>
        <v>4759</v>
      </c>
      <c r="E23" s="166">
        <f>INDEX(Table4[LEASE USE],MATCH(Table2[[#This Row],[Rox Wolf'#]],Table4[Wolf],0))</f>
        <v>217</v>
      </c>
      <c r="F23" s="167"/>
      <c r="G23" s="167"/>
      <c r="H23" s="167"/>
      <c r="I23" s="167"/>
      <c r="J23" s="163">
        <f>COUNTIF(FilterList,#REF!)</f>
        <v>0</v>
      </c>
      <c r="K23" s="167"/>
      <c r="Q23" s="208">
        <v>98955</v>
      </c>
    </row>
    <row r="24" spans="1:17" ht="15">
      <c r="A24">
        <v>99067</v>
      </c>
      <c r="B24" t="s">
        <v>760</v>
      </c>
      <c r="C24" s="166">
        <f>ROUND(INDEX(Table4[OIL],MATCH(Table2[[#This Row],[Rox Wolf'#]],Table4[Wolf],0)),0)</f>
        <v>0</v>
      </c>
      <c r="D24" s="173">
        <f>INDEX(Table4[GAS],MATCH(Table2[[#This Row],[Rox Wolf'#]],Table4[Wolf],0))</f>
        <v>313</v>
      </c>
      <c r="E24" s="166">
        <f>INDEX(Table4[LEASE USE],MATCH(Table2[[#This Row],[Rox Wolf'#]],Table4[Wolf],0))</f>
        <v>0</v>
      </c>
      <c r="F24" s="167"/>
      <c r="G24" s="167"/>
      <c r="H24" s="167"/>
      <c r="I24" s="167"/>
      <c r="J24" s="163">
        <f>COUNTIF(FilterList,#REF!)</f>
        <v>0</v>
      </c>
      <c r="K24" s="167"/>
      <c r="Q24" s="209">
        <v>98956</v>
      </c>
    </row>
    <row r="25" spans="1:17" ht="15">
      <c r="A25">
        <v>99169</v>
      </c>
      <c r="B25" t="s">
        <v>802</v>
      </c>
      <c r="C25" s="166">
        <f>ROUND(INDEX(Table4[OIL],MATCH(Table2[[#This Row],[Rox Wolf'#]],Table4[Wolf],0)),0)</f>
        <v>0</v>
      </c>
      <c r="D25" s="173">
        <f>INDEX(Table4[GAS],MATCH(Table2[[#This Row],[Rox Wolf'#]],Table4[Wolf],0))</f>
        <v>0</v>
      </c>
      <c r="E25" s="166">
        <f>INDEX(Table4[LEASE USE],MATCH(Table2[[#This Row],[Rox Wolf'#]],Table4[Wolf],0))</f>
        <v>0</v>
      </c>
      <c r="F25" s="167"/>
      <c r="G25" s="167"/>
      <c r="H25" s="167"/>
      <c r="I25" s="167"/>
      <c r="J25" s="163">
        <f>COUNTIF(FilterList,#REF!)</f>
        <v>0</v>
      </c>
      <c r="K25" s="167"/>
      <c r="Q25" s="208">
        <v>98958</v>
      </c>
    </row>
    <row r="26" spans="1:17" ht="15">
      <c r="A26">
        <v>99069</v>
      </c>
      <c r="B26" t="s">
        <v>761</v>
      </c>
      <c r="C26" s="166">
        <f>ROUND(INDEX(Table4[OIL],MATCH(Table2[[#This Row],[Rox Wolf'#]],Table4[Wolf],0)),0)</f>
        <v>0</v>
      </c>
      <c r="D26" s="173">
        <f>INDEX(Table4[GAS],MATCH(Table2[[#This Row],[Rox Wolf'#]],Table4[Wolf],0))</f>
        <v>2012</v>
      </c>
      <c r="E26" s="166">
        <f>INDEX(Table4[LEASE USE],MATCH(Table2[[#This Row],[Rox Wolf'#]],Table4[Wolf],0))</f>
        <v>93</v>
      </c>
      <c r="F26" s="167"/>
      <c r="G26" s="167"/>
      <c r="H26" s="167"/>
      <c r="I26" s="167"/>
      <c r="J26" s="163">
        <f>COUNTIF(FilterList,#REF!)</f>
        <v>0</v>
      </c>
      <c r="K26" s="167"/>
      <c r="Q26" s="209">
        <v>98959</v>
      </c>
    </row>
    <row r="27" spans="1:17" ht="15">
      <c r="A27">
        <v>98965</v>
      </c>
      <c r="B27" t="s">
        <v>762</v>
      </c>
      <c r="C27" s="166">
        <f>ROUND(INDEX(Table4[OIL],MATCH(Table2[[#This Row],[Rox Wolf'#]],Table4[Wolf],0)),0)</f>
        <v>193</v>
      </c>
      <c r="D27" s="173">
        <f>INDEX(Table4[GAS],MATCH(Table2[[#This Row],[Rox Wolf'#]],Table4[Wolf],0))</f>
        <v>797</v>
      </c>
      <c r="E27" s="166">
        <f>INDEX(Table4[LEASE USE],MATCH(Table2[[#This Row],[Rox Wolf'#]],Table4[Wolf],0))</f>
        <v>30</v>
      </c>
      <c r="F27" s="167"/>
      <c r="G27" s="167"/>
      <c r="H27" s="167"/>
      <c r="I27" s="167"/>
      <c r="J27" s="163">
        <f>COUNTIF(FilterList,#REF!)</f>
        <v>0</v>
      </c>
      <c r="K27" s="167"/>
      <c r="Q27" s="208">
        <v>98961</v>
      </c>
    </row>
    <row r="28" spans="1:17" ht="15">
      <c r="A28">
        <v>99225</v>
      </c>
      <c r="B28" t="s">
        <v>1126</v>
      </c>
      <c r="C28" s="166">
        <f>ROUND(INDEX(Table4[OIL],MATCH(Table2[[#This Row],[Rox Wolf'#]],Table4[Wolf],0)),0)</f>
        <v>0</v>
      </c>
      <c r="D28" s="173">
        <f>INDEX(Table4[GAS],MATCH(Table2[[#This Row],[Rox Wolf'#]],Table4[Wolf],0))</f>
        <v>0</v>
      </c>
      <c r="E28" s="166">
        <f>INDEX(Table4[LEASE USE],MATCH(Table2[[#This Row],[Rox Wolf'#]],Table4[Wolf],0))</f>
        <v>0</v>
      </c>
      <c r="F28" s="167"/>
      <c r="G28" s="167"/>
      <c r="H28" s="167"/>
      <c r="I28" s="167"/>
      <c r="J28" s="163">
        <f>COUNTIF(FilterList,#REF!)</f>
        <v>0</v>
      </c>
      <c r="K28" s="167"/>
      <c r="Q28" s="209">
        <v>98965</v>
      </c>
    </row>
    <row r="29" spans="1:17" ht="15">
      <c r="A29">
        <v>48001</v>
      </c>
      <c r="B29" t="s">
        <v>763</v>
      </c>
      <c r="C29" s="166">
        <f>ROUND(INDEX(Table4[OIL],MATCH(Table2[[#This Row],[Rox Wolf'#]],Table4[Wolf],0)),0)</f>
        <v>0</v>
      </c>
      <c r="D29" s="173">
        <f>INDEX(Table4[GAS],MATCH(Table2[[#This Row],[Rox Wolf'#]],Table4[Wolf],0))</f>
        <v>0</v>
      </c>
      <c r="E29" s="166">
        <f>INDEX(Table4[LEASE USE],MATCH(Table2[[#This Row],[Rox Wolf'#]],Table4[Wolf],0))</f>
        <v>0</v>
      </c>
      <c r="F29" s="167"/>
      <c r="G29" s="167"/>
      <c r="H29" s="167"/>
      <c r="I29" s="167"/>
      <c r="J29" s="163">
        <f>COUNTIF(FilterList,#REF!)</f>
        <v>0</v>
      </c>
      <c r="K29" s="167"/>
      <c r="Q29" s="208">
        <v>98976</v>
      </c>
    </row>
    <row r="30" spans="1:17" ht="15">
      <c r="A30">
        <v>93806</v>
      </c>
      <c r="B30" t="s">
        <v>803</v>
      </c>
      <c r="C30" s="166">
        <f>ROUND(INDEX(Table4[OIL],MATCH(Table2[[#This Row],[Rox Wolf'#]],Table4[Wolf],0)),0)</f>
        <v>2</v>
      </c>
      <c r="D30" s="173">
        <f>INDEX(Table4[GAS],MATCH(Table2[[#This Row],[Rox Wolf'#]],Table4[Wolf],0))</f>
        <v>0</v>
      </c>
      <c r="E30" s="166">
        <f>INDEX(Table4[LEASE USE],MATCH(Table2[[#This Row],[Rox Wolf'#]],Table4[Wolf],0))</f>
        <v>0</v>
      </c>
      <c r="F30" s="167"/>
      <c r="G30" s="167"/>
      <c r="H30" s="167"/>
      <c r="I30" s="167"/>
      <c r="J30" s="163">
        <f>COUNTIF(FilterList,#REF!)</f>
        <v>0</v>
      </c>
      <c r="K30" s="167"/>
      <c r="Q30" s="209">
        <v>98979</v>
      </c>
    </row>
    <row r="31" spans="1:17" ht="15">
      <c r="A31">
        <v>98961</v>
      </c>
      <c r="B31" t="s">
        <v>804</v>
      </c>
      <c r="C31" s="166">
        <f>ROUND(INDEX(Table4[OIL],MATCH(Table2[[#This Row],[Rox Wolf'#]],Table4[Wolf],0)),0)</f>
        <v>340</v>
      </c>
      <c r="D31" s="173">
        <f>INDEX(Table4[GAS],MATCH(Table2[[#This Row],[Rox Wolf'#]],Table4[Wolf],0))</f>
        <v>2578</v>
      </c>
      <c r="E31" s="166">
        <f>INDEX(Table4[LEASE USE],MATCH(Table2[[#This Row],[Rox Wolf'#]],Table4[Wolf],0))</f>
        <v>0</v>
      </c>
      <c r="F31" s="167"/>
      <c r="G31" s="167"/>
      <c r="H31" s="167"/>
      <c r="I31" s="167"/>
      <c r="J31" s="163">
        <f>COUNTIF(FilterList,#REF!)</f>
        <v>0</v>
      </c>
      <c r="K31" s="167"/>
      <c r="Q31" s="208">
        <v>98983</v>
      </c>
    </row>
    <row r="32" spans="1:17" ht="15">
      <c r="A32">
        <v>99307</v>
      </c>
      <c r="B32" t="s">
        <v>764</v>
      </c>
      <c r="C32" s="166">
        <f>ROUND(INDEX(Table4[OIL],MATCH(Table2[[#This Row],[Rox Wolf'#]],Table4[Wolf],0)),0)</f>
        <v>0</v>
      </c>
      <c r="D32" s="173">
        <f>INDEX(Table4[GAS],MATCH(Table2[[#This Row],[Rox Wolf'#]],Table4[Wolf],0))</f>
        <v>585</v>
      </c>
      <c r="E32" s="166">
        <f>INDEX(Table4[LEASE USE],MATCH(Table2[[#This Row],[Rox Wolf'#]],Table4[Wolf],0))</f>
        <v>0</v>
      </c>
      <c r="F32" s="167"/>
      <c r="G32" s="167"/>
      <c r="H32" s="167"/>
      <c r="I32" s="167"/>
      <c r="J32" s="163">
        <f>COUNTIF(FilterList,#REF!)</f>
        <v>0</v>
      </c>
      <c r="K32" s="167"/>
      <c r="Q32" s="209">
        <v>98987</v>
      </c>
    </row>
    <row r="33" spans="1:17" ht="15">
      <c r="A33">
        <v>98987</v>
      </c>
      <c r="B33" t="s">
        <v>765</v>
      </c>
      <c r="C33" s="166">
        <f>ROUND(INDEX(Table4[OIL],MATCH(Table2[[#This Row],[Rox Wolf'#]],Table4[Wolf],0)),0)</f>
        <v>0</v>
      </c>
      <c r="D33" s="173">
        <f>INDEX(Table4[GAS],MATCH(Table2[[#This Row],[Rox Wolf'#]],Table4[Wolf],0))</f>
        <v>62</v>
      </c>
      <c r="E33" s="166">
        <f>INDEX(Table4[LEASE USE],MATCH(Table2[[#This Row],[Rox Wolf'#]],Table4[Wolf],0))</f>
        <v>7</v>
      </c>
      <c r="F33" s="167"/>
      <c r="G33" s="167"/>
      <c r="H33" s="167"/>
      <c r="I33" s="167"/>
      <c r="J33" s="163">
        <f>COUNTIF(FilterList,#REF!)</f>
        <v>0</v>
      </c>
      <c r="K33" s="167"/>
      <c r="Q33" s="208">
        <v>98988</v>
      </c>
    </row>
    <row r="34" spans="1:17" ht="15">
      <c r="A34">
        <v>98988</v>
      </c>
      <c r="B34" t="s">
        <v>766</v>
      </c>
      <c r="C34" s="166">
        <f>ROUND(INDEX(Table4[OIL],MATCH(Table2[[#This Row],[Rox Wolf'#]],Table4[Wolf],0)),0)</f>
        <v>0</v>
      </c>
      <c r="D34" s="173">
        <f>INDEX(Table4[GAS],MATCH(Table2[[#This Row],[Rox Wolf'#]],Table4[Wolf],0))</f>
        <v>0</v>
      </c>
      <c r="E34" s="166">
        <f>INDEX(Table4[LEASE USE],MATCH(Table2[[#This Row],[Rox Wolf'#]],Table4[Wolf],0))</f>
        <v>0</v>
      </c>
      <c r="F34" s="167"/>
      <c r="G34" s="167"/>
      <c r="H34" s="167"/>
      <c r="I34" s="167"/>
      <c r="J34" s="163">
        <f>COUNTIF(FilterList,#REF!)</f>
        <v>0</v>
      </c>
      <c r="K34" s="167"/>
      <c r="Q34" s="209">
        <v>98990</v>
      </c>
    </row>
    <row r="35" spans="1:17" ht="15">
      <c r="A35">
        <v>99007</v>
      </c>
      <c r="B35" t="s">
        <v>767</v>
      </c>
      <c r="C35" s="166">
        <f>ROUND(INDEX(Table4[OIL],MATCH(Table2[[#This Row],[Rox Wolf'#]],Table4[Wolf],0)),0)</f>
        <v>0</v>
      </c>
      <c r="D35" s="173">
        <f>INDEX(Table4[GAS],MATCH(Table2[[#This Row],[Rox Wolf'#]],Table4[Wolf],0))</f>
        <v>404</v>
      </c>
      <c r="E35" s="166">
        <f>INDEX(Table4[LEASE USE],MATCH(Table2[[#This Row],[Rox Wolf'#]],Table4[Wolf],0))</f>
        <v>17</v>
      </c>
      <c r="F35" s="167"/>
      <c r="G35" s="167"/>
      <c r="H35" s="167"/>
      <c r="I35" s="167"/>
      <c r="J35" s="163">
        <f>COUNTIF(FilterList,#REF!)</f>
        <v>0</v>
      </c>
      <c r="K35" s="167"/>
      <c r="Q35" s="208">
        <v>99007</v>
      </c>
    </row>
    <row r="36" spans="1:17" ht="15">
      <c r="A36">
        <v>98956</v>
      </c>
      <c r="B36" t="s">
        <v>768</v>
      </c>
      <c r="C36" s="166">
        <f>ROUND(INDEX(Table4[OIL],MATCH(Table2[[#This Row],[Rox Wolf'#]],Table4[Wolf],0)),0)</f>
        <v>0</v>
      </c>
      <c r="D36" s="173">
        <f>INDEX(Table4[GAS],MATCH(Table2[[#This Row],[Rox Wolf'#]],Table4[Wolf],0))</f>
        <v>881</v>
      </c>
      <c r="E36" s="166">
        <f>INDEX(Table4[LEASE USE],MATCH(Table2[[#This Row],[Rox Wolf'#]],Table4[Wolf],0))</f>
        <v>62</v>
      </c>
      <c r="F36" s="167"/>
      <c r="G36" s="167"/>
      <c r="H36" s="167"/>
      <c r="I36" s="167"/>
      <c r="J36" s="163">
        <f>COUNTIF(FilterList,#REF!)</f>
        <v>0</v>
      </c>
      <c r="K36" s="167"/>
      <c r="Q36" s="209">
        <v>99017</v>
      </c>
    </row>
    <row r="37" spans="1:17" ht="15">
      <c r="A37">
        <v>98958</v>
      </c>
      <c r="B37" t="s">
        <v>769</v>
      </c>
      <c r="C37" s="166">
        <f>ROUND(INDEX(Table4[OIL],MATCH(Table2[[#This Row],[Rox Wolf'#]],Table4[Wolf],0)),0)</f>
        <v>0</v>
      </c>
      <c r="D37" s="173">
        <f>INDEX(Table4[GAS],MATCH(Table2[[#This Row],[Rox Wolf'#]],Table4[Wolf],0))</f>
        <v>3863</v>
      </c>
      <c r="E37" s="166">
        <f>INDEX(Table4[LEASE USE],MATCH(Table2[[#This Row],[Rox Wolf'#]],Table4[Wolf],0))</f>
        <v>186</v>
      </c>
      <c r="F37" s="167"/>
      <c r="G37" s="167"/>
      <c r="H37" s="167"/>
      <c r="I37" s="167"/>
      <c r="J37" s="163">
        <f>COUNTIF(FilterList,#REF!)</f>
        <v>0</v>
      </c>
      <c r="K37" s="167"/>
      <c r="Q37" s="208">
        <v>99026</v>
      </c>
    </row>
    <row r="38" spans="1:17" ht="15">
      <c r="A38">
        <v>98959</v>
      </c>
      <c r="B38" t="s">
        <v>770</v>
      </c>
      <c r="C38" s="166">
        <f>ROUND(INDEX(Table4[OIL],MATCH(Table2[[#This Row],[Rox Wolf'#]],Table4[Wolf],0)),0)</f>
        <v>0</v>
      </c>
      <c r="D38" s="173">
        <f>INDEX(Table4[GAS],MATCH(Table2[[#This Row],[Rox Wolf'#]],Table4[Wolf],0))</f>
        <v>33</v>
      </c>
      <c r="E38" s="166">
        <f>INDEX(Table4[LEASE USE],MATCH(Table2[[#This Row],[Rox Wolf'#]],Table4[Wolf],0))</f>
        <v>0</v>
      </c>
      <c r="F38" s="167"/>
      <c r="G38" s="167"/>
      <c r="H38" s="167"/>
      <c r="I38" s="167"/>
      <c r="J38" s="163">
        <f>COUNTIF(FilterList,#REF!)</f>
        <v>0</v>
      </c>
      <c r="K38" s="167"/>
      <c r="Q38" s="209">
        <v>99058</v>
      </c>
    </row>
    <row r="39" spans="1:17" ht="15">
      <c r="A39">
        <v>99093</v>
      </c>
      <c r="B39" t="s">
        <v>771</v>
      </c>
      <c r="C39" s="166">
        <f>ROUND(INDEX(Table4[OIL],MATCH(Table2[[#This Row],[Rox Wolf'#]],Table4[Wolf],0)),0)</f>
        <v>0</v>
      </c>
      <c r="D39" s="173">
        <f>INDEX(Table4[GAS],MATCH(Table2[[#This Row],[Rox Wolf'#]],Table4[Wolf],0))</f>
        <v>2955</v>
      </c>
      <c r="E39" s="166">
        <f>INDEX(Table4[LEASE USE],MATCH(Table2[[#This Row],[Rox Wolf'#]],Table4[Wolf],0))</f>
        <v>124</v>
      </c>
      <c r="F39" s="167"/>
      <c r="G39" s="167"/>
      <c r="H39" s="167"/>
      <c r="I39" s="167"/>
      <c r="J39" s="163">
        <f>COUNTIF(FilterList,#REF!)</f>
        <v>0</v>
      </c>
      <c r="K39" s="167"/>
      <c r="Q39" s="208">
        <v>99065</v>
      </c>
    </row>
    <row r="40" spans="1:17" ht="15">
      <c r="A40">
        <v>99094</v>
      </c>
      <c r="B40" t="s">
        <v>772</v>
      </c>
      <c r="C40" s="166">
        <f>ROUND(INDEX(Table4[OIL],MATCH(Table2[[#This Row],[Rox Wolf'#]],Table4[Wolf],0)),0)</f>
        <v>0</v>
      </c>
      <c r="D40" s="173">
        <f>INDEX(Table4[GAS],MATCH(Table2[[#This Row],[Rox Wolf'#]],Table4[Wolf],0))</f>
        <v>2955</v>
      </c>
      <c r="E40" s="166">
        <f>INDEX(Table4[LEASE USE],MATCH(Table2[[#This Row],[Rox Wolf'#]],Table4[Wolf],0))</f>
        <v>124</v>
      </c>
      <c r="F40" s="167"/>
      <c r="G40" s="167"/>
      <c r="H40" s="167"/>
      <c r="I40" s="167"/>
      <c r="J40" s="163">
        <f>COUNTIF(FilterList,#REF!)</f>
        <v>0</v>
      </c>
      <c r="K40" s="167"/>
      <c r="Q40" s="209">
        <v>99066</v>
      </c>
    </row>
    <row r="41" spans="1:17" ht="15">
      <c r="A41">
        <v>99095</v>
      </c>
      <c r="B41" t="s">
        <v>773</v>
      </c>
      <c r="C41" s="166">
        <f>ROUND(INDEX(Table4[OIL],MATCH(Table2[[#This Row],[Rox Wolf'#]],Table4[Wolf],0)),0)</f>
        <v>0</v>
      </c>
      <c r="D41" s="173">
        <f>INDEX(Table4[GAS],MATCH(Table2[[#This Row],[Rox Wolf'#]],Table4[Wolf],0))</f>
        <v>1101</v>
      </c>
      <c r="E41" s="166">
        <f>INDEX(Table4[LEASE USE],MATCH(Table2[[#This Row],[Rox Wolf'#]],Table4[Wolf],0))</f>
        <v>31</v>
      </c>
      <c r="F41" s="167"/>
      <c r="G41" s="167"/>
      <c r="H41" s="167"/>
      <c r="I41" s="167"/>
      <c r="J41" s="163">
        <f>COUNTIF(FilterList,#REF!)</f>
        <v>0</v>
      </c>
      <c r="K41" s="167"/>
      <c r="Q41" s="208">
        <v>99067</v>
      </c>
    </row>
    <row r="42" spans="1:17" ht="15">
      <c r="A42">
        <v>98801</v>
      </c>
      <c r="B42" t="s">
        <v>774</v>
      </c>
      <c r="C42" s="166">
        <f>ROUND(INDEX(Table4[OIL],MATCH(Table2[[#This Row],[Rox Wolf'#]],Table4[Wolf],0)),0)</f>
        <v>180</v>
      </c>
      <c r="D42" s="173">
        <f>INDEX(Table4[GAS],MATCH(Table2[[#This Row],[Rox Wolf'#]],Table4[Wolf],0))</f>
        <v>954</v>
      </c>
      <c r="E42" s="166">
        <f>INDEX(Table4[LEASE USE],MATCH(Table2[[#This Row],[Rox Wolf'#]],Table4[Wolf],0))</f>
        <v>84</v>
      </c>
      <c r="F42" s="167"/>
      <c r="G42" s="167"/>
      <c r="H42" s="167"/>
      <c r="I42" s="167"/>
      <c r="J42" s="163">
        <f>COUNTIF(FilterList,#REF!)</f>
        <v>0</v>
      </c>
      <c r="K42" s="167"/>
      <c r="Q42" s="209">
        <v>99069</v>
      </c>
    </row>
    <row r="43" spans="1:17" ht="15" hidden="1">
      <c r="A43">
        <v>94601</v>
      </c>
      <c r="B43" t="s">
        <v>805</v>
      </c>
      <c r="C43" s="166">
        <f>ROUND(INDEX(Table4[OIL],MATCH(Table2[[#This Row],[Rox Wolf'#]],Table4[Wolf],0)),0)</f>
        <v>360</v>
      </c>
      <c r="D43" s="173">
        <f>INDEX(Table4[GAS],MATCH(Table2[[#This Row],[Rox Wolf'#]],Table4[Wolf],0))</f>
        <v>2826</v>
      </c>
      <c r="E43" s="166">
        <f>INDEX(Table4[LEASE USE],MATCH(Table2[[#This Row],[Rox Wolf'#]],Table4[Wolf],0))</f>
        <v>0</v>
      </c>
      <c r="F43" s="167"/>
      <c r="G43" s="167"/>
      <c r="H43" s="167"/>
      <c r="I43" s="167"/>
      <c r="J43" s="163">
        <f>COUNTIF(FilterList,#REF!)</f>
        <v>0</v>
      </c>
      <c r="K43" s="169" t="s">
        <v>1135</v>
      </c>
      <c r="Q43" s="208">
        <v>99093</v>
      </c>
    </row>
    <row r="44" spans="1:17" ht="15">
      <c r="A44">
        <v>99113</v>
      </c>
      <c r="B44" t="s">
        <v>775</v>
      </c>
      <c r="C44" s="166">
        <f>ROUND(INDEX(Table4[OIL],MATCH(Table2[[#This Row],[Rox Wolf'#]],Table4[Wolf],0)),0)</f>
        <v>0</v>
      </c>
      <c r="D44" s="173">
        <f>INDEX(Table4[GAS],MATCH(Table2[[#This Row],[Rox Wolf'#]],Table4[Wolf],0))</f>
        <v>217</v>
      </c>
      <c r="E44" s="166">
        <f>INDEX(Table4[LEASE USE],MATCH(Table2[[#This Row],[Rox Wolf'#]],Table4[Wolf],0))</f>
        <v>0</v>
      </c>
      <c r="F44" s="167"/>
      <c r="G44" s="167"/>
      <c r="H44" s="167"/>
      <c r="I44" s="167"/>
      <c r="J44" s="163">
        <f>COUNTIF(FilterList,#REF!)</f>
        <v>0</v>
      </c>
      <c r="K44" s="167"/>
      <c r="Q44" s="209">
        <v>99094</v>
      </c>
    </row>
    <row r="45" spans="1:17" ht="15">
      <c r="A45">
        <v>99066</v>
      </c>
      <c r="B45" t="s">
        <v>776</v>
      </c>
      <c r="C45" s="166">
        <f>ROUND(INDEX(Table4[OIL],MATCH(Table2[[#This Row],[Rox Wolf'#]],Table4[Wolf],0)),0)</f>
        <v>0</v>
      </c>
      <c r="D45" s="173">
        <f>INDEX(Table4[GAS],MATCH(Table2[[#This Row],[Rox Wolf'#]],Table4[Wolf],0))</f>
        <v>997</v>
      </c>
      <c r="E45" s="166">
        <f>INDEX(Table4[LEASE USE],MATCH(Table2[[#This Row],[Rox Wolf'#]],Table4[Wolf],0))</f>
        <v>0</v>
      </c>
      <c r="F45" s="167"/>
      <c r="G45" s="167"/>
      <c r="H45" s="167"/>
      <c r="I45" s="167"/>
      <c r="J45" s="163">
        <f>COUNTIF(FilterList,#REF!)</f>
        <v>0</v>
      </c>
      <c r="K45" s="167"/>
      <c r="Q45" s="208">
        <v>99095</v>
      </c>
    </row>
    <row r="46" spans="1:17" ht="15">
      <c r="A46">
        <v>99065</v>
      </c>
      <c r="B46" t="s">
        <v>777</v>
      </c>
      <c r="C46" s="166">
        <f>ROUND(INDEX(Table4[OIL],MATCH(Table2[[#This Row],[Rox Wolf'#]],Table4[Wolf],0)),0)</f>
        <v>0</v>
      </c>
      <c r="D46" s="173">
        <f>INDEX(Table4[GAS],MATCH(Table2[[#This Row],[Rox Wolf'#]],Table4[Wolf],0))</f>
        <v>1</v>
      </c>
      <c r="E46" s="166">
        <f>INDEX(Table4[LEASE USE],MATCH(Table2[[#This Row],[Rox Wolf'#]],Table4[Wolf],0))</f>
        <v>0</v>
      </c>
      <c r="F46" s="167"/>
      <c r="G46" s="167"/>
      <c r="H46" s="167"/>
      <c r="I46" s="167"/>
      <c r="J46" s="163">
        <f>COUNTIF(FilterList,#REF!)</f>
        <v>0</v>
      </c>
      <c r="K46" s="167"/>
      <c r="Q46" s="209">
        <v>99101</v>
      </c>
    </row>
    <row r="47" spans="1:17" ht="15">
      <c r="A47">
        <v>99278</v>
      </c>
      <c r="B47" t="s">
        <v>778</v>
      </c>
      <c r="C47" s="166">
        <f>ROUND(INDEX(Table4[OIL],MATCH(Table2[[#This Row],[Rox Wolf'#]],Table4[Wolf],0)),0)</f>
        <v>0</v>
      </c>
      <c r="D47" s="173">
        <f>INDEX(Table4[GAS],MATCH(Table2[[#This Row],[Rox Wolf'#]],Table4[Wolf],0))</f>
        <v>8053</v>
      </c>
      <c r="E47" s="166">
        <f>INDEX(Table4[LEASE USE],MATCH(Table2[[#This Row],[Rox Wolf'#]],Table4[Wolf],0))</f>
        <v>403</v>
      </c>
      <c r="F47" s="167"/>
      <c r="G47" s="167"/>
      <c r="H47" s="167"/>
      <c r="I47" s="167"/>
      <c r="J47" s="163">
        <f>COUNTIF(FilterList,#REF!)</f>
        <v>0</v>
      </c>
      <c r="K47" s="167"/>
      <c r="Q47" s="208">
        <v>99102</v>
      </c>
    </row>
    <row r="48" spans="1:17" ht="15">
      <c r="A48">
        <v>98990</v>
      </c>
      <c r="B48" t="s">
        <v>779</v>
      </c>
      <c r="C48" s="166">
        <f>ROUND(INDEX(Table4[OIL],MATCH(Table2[[#This Row],[Rox Wolf'#]],Table4[Wolf],0)),0)</f>
        <v>0</v>
      </c>
      <c r="D48" s="173">
        <f>INDEX(Table4[GAS],MATCH(Table2[[#This Row],[Rox Wolf'#]],Table4[Wolf],0))</f>
        <v>123</v>
      </c>
      <c r="E48" s="166">
        <f>INDEX(Table4[LEASE USE],MATCH(Table2[[#This Row],[Rox Wolf'#]],Table4[Wolf],0))</f>
        <v>0</v>
      </c>
      <c r="F48" s="167"/>
      <c r="G48" s="167"/>
      <c r="H48" s="167"/>
      <c r="I48" s="167"/>
      <c r="J48" s="163">
        <f>COUNTIF(FilterList,#REF!)</f>
        <v>0</v>
      </c>
      <c r="K48" s="167"/>
      <c r="Q48" s="209">
        <v>99113</v>
      </c>
    </row>
    <row r="49" spans="1:17" ht="15">
      <c r="A49">
        <v>98976</v>
      </c>
      <c r="B49" t="s">
        <v>780</v>
      </c>
      <c r="C49" s="166">
        <f>ROUND(INDEX(Table4[OIL],MATCH(Table2[[#This Row],[Rox Wolf'#]],Table4[Wolf],0)),0)</f>
        <v>0</v>
      </c>
      <c r="D49" s="173">
        <f>INDEX(Table4[GAS],MATCH(Table2[[#This Row],[Rox Wolf'#]],Table4[Wolf],0))</f>
        <v>47</v>
      </c>
      <c r="E49" s="166">
        <f>INDEX(Table4[LEASE USE],MATCH(Table2[[#This Row],[Rox Wolf'#]],Table4[Wolf],0))</f>
        <v>0</v>
      </c>
      <c r="F49" s="167"/>
      <c r="G49" s="167"/>
      <c r="H49" s="167"/>
      <c r="I49" s="167"/>
      <c r="J49" s="163">
        <f>COUNTIF(FilterList,#REF!)</f>
        <v>0</v>
      </c>
      <c r="K49" s="167"/>
      <c r="Q49" s="208">
        <v>99122</v>
      </c>
    </row>
    <row r="50" spans="1:17" ht="15">
      <c r="A50">
        <v>93901</v>
      </c>
      <c r="B50" t="s">
        <v>1127</v>
      </c>
      <c r="C50" s="166">
        <f>ROUND(INDEX(Table4[OIL],MATCH(Table2[[#This Row],[Rox Wolf'#]],Table4[Wolf],0)),0)</f>
        <v>0</v>
      </c>
      <c r="D50" s="173">
        <f>INDEX(Table4[GAS],MATCH(Table2[[#This Row],[Rox Wolf'#]],Table4[Wolf],0))</f>
        <v>0</v>
      </c>
      <c r="E50" s="166">
        <f>INDEX(Table4[LEASE USE],MATCH(Table2[[#This Row],[Rox Wolf'#]],Table4[Wolf],0))</f>
        <v>0</v>
      </c>
      <c r="F50" s="167"/>
      <c r="G50" s="167"/>
      <c r="H50" s="167"/>
      <c r="I50" s="167"/>
      <c r="J50" s="163">
        <f>COUNTIF(FilterList,#REF!)</f>
        <v>0</v>
      </c>
      <c r="K50" s="167"/>
      <c r="Q50" s="209">
        <v>99128</v>
      </c>
    </row>
    <row r="51" spans="1:17" ht="15">
      <c r="A51">
        <v>99159</v>
      </c>
      <c r="B51" t="s">
        <v>781</v>
      </c>
      <c r="C51" s="166">
        <f>ROUND(INDEX(Table4[OIL],MATCH(Table2[[#This Row],[Rox Wolf'#]],Table4[Wolf],0)),0)</f>
        <v>0</v>
      </c>
      <c r="D51" s="173">
        <f>INDEX(Table4[GAS],MATCH(Table2[[#This Row],[Rox Wolf'#]],Table4[Wolf],0))</f>
        <v>3283</v>
      </c>
      <c r="E51" s="166">
        <f>INDEX(Table4[LEASE USE],MATCH(Table2[[#This Row],[Rox Wolf'#]],Table4[Wolf],0))</f>
        <v>12</v>
      </c>
      <c r="F51" s="167"/>
      <c r="G51" s="167"/>
      <c r="H51" s="167"/>
      <c r="I51" s="167"/>
      <c r="J51" s="163">
        <f>COUNTIF(FilterList,#REF!)</f>
        <v>0</v>
      </c>
      <c r="K51" s="167"/>
      <c r="Q51" s="208">
        <v>99132</v>
      </c>
    </row>
    <row r="52" spans="1:17" ht="15">
      <c r="A52">
        <v>98955</v>
      </c>
      <c r="B52" t="s">
        <v>280</v>
      </c>
      <c r="C52" s="166">
        <f>ROUND(INDEX(Table4[OIL],MATCH(Table2[[#This Row],[Rox Wolf'#]],Table4[Wolf],0)),0)</f>
        <v>0</v>
      </c>
      <c r="D52" s="173">
        <f>INDEX(Table4[GAS],MATCH(Table2[[#This Row],[Rox Wolf'#]],Table4[Wolf],0))</f>
        <v>771</v>
      </c>
      <c r="E52" s="166">
        <f>INDEX(Table4[LEASE USE],MATCH(Table2[[#This Row],[Rox Wolf'#]],Table4[Wolf],0))</f>
        <v>31</v>
      </c>
      <c r="F52" s="167"/>
      <c r="G52" s="167"/>
      <c r="H52" s="167"/>
      <c r="I52" s="167"/>
      <c r="J52" s="163">
        <f>COUNTIF(FilterList,#REF!)</f>
        <v>0</v>
      </c>
      <c r="K52" s="167"/>
      <c r="Q52" s="209">
        <v>99133</v>
      </c>
    </row>
    <row r="53" spans="1:17" ht="15">
      <c r="A53">
        <v>99269</v>
      </c>
      <c r="B53" t="s">
        <v>1128</v>
      </c>
      <c r="C53" s="165">
        <f>ROUND(INDEX(Table4[OIL],MATCH(Table2[[#This Row],[Rox Wolf'#]],Table4[Wolf],0)),0)</f>
        <v>0</v>
      </c>
      <c r="D53" s="174">
        <f>INDEX(Table4[GAS],MATCH(Table2[[#This Row],[Rox Wolf'#]],Table4[Wolf],0))</f>
        <v>1823</v>
      </c>
      <c r="E53" s="174">
        <f>INDEX(Table4[LEASE USE],MATCH(Table2[[#This Row],[Rox Wolf'#]],Table4[Wolf],0))</f>
        <v>310</v>
      </c>
      <c r="F53" s="167"/>
      <c r="G53" s="167"/>
      <c r="H53" s="167"/>
      <c r="I53" s="167"/>
      <c r="J53" s="163">
        <f>COUNTIF(FilterList,#REF!)</f>
        <v>0</v>
      </c>
      <c r="K53" s="167"/>
      <c r="Q53" s="208">
        <v>99134</v>
      </c>
    </row>
    <row r="54" spans="1:17" ht="15">
      <c r="A54">
        <v>92001</v>
      </c>
      <c r="B54" t="s">
        <v>232</v>
      </c>
      <c r="C54" s="166">
        <f>ROUND(INDEX(Table4[OIL],MATCH(Table2[[#This Row],[Rox Wolf'#]],Table4[Wolf],0)),0)</f>
        <v>0</v>
      </c>
      <c r="D54" s="173">
        <f>INDEX(Table4[GAS],MATCH(Table2[[#This Row],[Rox Wolf'#]],Table4[Wolf],0))</f>
        <v>0</v>
      </c>
      <c r="E54" s="166">
        <f>INDEX(Table4[LEASE USE],MATCH(Table2[[#This Row],[Rox Wolf'#]],Table4[Wolf],0))</f>
        <v>0</v>
      </c>
      <c r="F54" s="167"/>
      <c r="G54" s="167"/>
      <c r="H54" s="167"/>
      <c r="I54" s="167"/>
      <c r="J54" s="163">
        <f>COUNTIF(FilterList,#REF!)</f>
        <v>0</v>
      </c>
      <c r="K54" s="167"/>
      <c r="Q54" s="209">
        <v>99140</v>
      </c>
    </row>
    <row r="55" spans="1:17" ht="15">
      <c r="A55">
        <v>99058</v>
      </c>
      <c r="B55" t="s">
        <v>782</v>
      </c>
      <c r="C55" s="166">
        <f>ROUND(INDEX(Table4[OIL],MATCH(Table2[[#This Row],[Rox Wolf'#]],Table4[Wolf],0)),0)</f>
        <v>0</v>
      </c>
      <c r="D55" s="173">
        <f>INDEX(Table4[GAS],MATCH(Table2[[#This Row],[Rox Wolf'#]],Table4[Wolf],0))</f>
        <v>3162</v>
      </c>
      <c r="E55" s="166">
        <f>INDEX(Table4[LEASE USE],MATCH(Table2[[#This Row],[Rox Wolf'#]],Table4[Wolf],0))</f>
        <v>0</v>
      </c>
      <c r="F55" s="167"/>
      <c r="G55" s="167"/>
      <c r="H55" s="167"/>
      <c r="I55" s="167"/>
      <c r="J55" s="163">
        <f>COUNTIF(FilterList,#REF!)</f>
        <v>0</v>
      </c>
      <c r="K55" s="167"/>
      <c r="Q55" s="208">
        <v>99159</v>
      </c>
    </row>
    <row r="56" spans="1:17" ht="15">
      <c r="A56">
        <v>99186</v>
      </c>
      <c r="B56" t="s">
        <v>807</v>
      </c>
      <c r="C56" s="166">
        <f>ROUND(INDEX(Table4[OIL],MATCH(Table2[[#This Row],[Rox Wolf'#]],Table4[Wolf],0)),0)</f>
        <v>0</v>
      </c>
      <c r="D56" s="173">
        <f>INDEX(Table4[GAS],MATCH(Table2[[#This Row],[Rox Wolf'#]],Table4[Wolf],0))</f>
        <v>0</v>
      </c>
      <c r="E56" s="166">
        <f>INDEX(Table4[LEASE USE],MATCH(Table2[[#This Row],[Rox Wolf'#]],Table4[Wolf],0))</f>
        <v>126</v>
      </c>
      <c r="F56" s="167"/>
      <c r="G56" s="167"/>
      <c r="H56" s="167"/>
      <c r="I56" s="167"/>
      <c r="J56" s="163">
        <f>COUNTIF(FilterList,#REF!)</f>
        <v>0</v>
      </c>
      <c r="K56" s="167"/>
      <c r="Q56" s="209">
        <v>99161</v>
      </c>
    </row>
    <row r="57" spans="1:17" ht="15">
      <c r="A57">
        <v>99288</v>
      </c>
      <c r="B57" t="s">
        <v>1122</v>
      </c>
      <c r="C57" s="166">
        <f>ROUND(INDEX(Table4[OIL],MATCH(Table2[[#This Row],[Rox Wolf'#]],Table4[Wolf],0)),0)</f>
        <v>0</v>
      </c>
      <c r="D57" s="173">
        <f>INDEX(Table4[GAS],MATCH(Table2[[#This Row],[Rox Wolf'#]],Table4[Wolf],0))</f>
        <v>2</v>
      </c>
      <c r="E57" s="166">
        <f>INDEX(Table4[LEASE USE],MATCH(Table2[[#This Row],[Rox Wolf'#]],Table4[Wolf],0))</f>
        <v>0</v>
      </c>
      <c r="F57" s="167"/>
      <c r="G57" s="167"/>
      <c r="H57" s="167"/>
      <c r="I57" s="167"/>
      <c r="J57" s="163">
        <f>COUNTIF(FilterList,#REF!)</f>
        <v>0</v>
      </c>
      <c r="K57" s="167"/>
      <c r="Q57" s="208">
        <v>99169</v>
      </c>
    </row>
    <row r="58" spans="1:17" ht="15">
      <c r="A58">
        <v>99297</v>
      </c>
      <c r="B58" t="s">
        <v>783</v>
      </c>
      <c r="C58" s="166">
        <f>ROUND(INDEX(Table4[OIL],MATCH(Table2[[#This Row],[Rox Wolf'#]],Table4[Wolf],0)),0)</f>
        <v>2385</v>
      </c>
      <c r="D58" s="173">
        <f>INDEX(Table4[GAS],MATCH(Table2[[#This Row],[Rox Wolf'#]],Table4[Wolf],0))</f>
        <v>783</v>
      </c>
      <c r="E58" s="166">
        <f>INDEX(Table4[LEASE USE],MATCH(Table2[[#This Row],[Rox Wolf'#]],Table4[Wolf],0))</f>
        <v>0</v>
      </c>
      <c r="F58" s="167"/>
      <c r="G58" s="167"/>
      <c r="H58" s="167"/>
      <c r="I58" s="167"/>
      <c r="J58" s="163">
        <f>COUNTIF(FilterList,#REF!)</f>
        <v>0</v>
      </c>
      <c r="K58" s="167"/>
      <c r="Q58" s="209">
        <v>99170</v>
      </c>
    </row>
    <row r="59" spans="1:17" ht="15" hidden="1">
      <c r="A59">
        <v>99122</v>
      </c>
      <c r="B59" s="3" t="s">
        <v>1255</v>
      </c>
      <c r="C59" s="165">
        <f>ROUND(INDEX(Table4[OIL],MATCH(Table2[[#This Row],[Rox Wolf'#]],Table4[Wolf],0)),0)</f>
        <v>0</v>
      </c>
      <c r="D59" s="174">
        <f>INDEX(Table4[GAS],MATCH(Table2[[#This Row],[Rox Wolf'#]],Table4[Wolf],0))</f>
        <v>0</v>
      </c>
      <c r="E59" s="174">
        <f>INDEX(Table4[LEASE USE],MATCH(Table2[[#This Row],[Rox Wolf'#]],Table4[Wolf],0))</f>
        <v>0</v>
      </c>
      <c r="F59" s="167"/>
      <c r="G59" s="167"/>
      <c r="H59" s="167"/>
      <c r="I59" s="167"/>
      <c r="J59" s="163">
        <f>COUNTIF(FilterList,#REF!)</f>
        <v>0</v>
      </c>
      <c r="K59" s="210" t="s">
        <v>1135</v>
      </c>
      <c r="Q59" s="208">
        <v>99171</v>
      </c>
    </row>
    <row r="60" spans="1:17" ht="15">
      <c r="A60">
        <v>99268</v>
      </c>
      <c r="B60" t="s">
        <v>1129</v>
      </c>
      <c r="C60" s="165">
        <f>ROUND(INDEX(Table4[OIL],MATCH(Table2[[#This Row],[Rox Wolf'#]],Table4[Wolf],0)),0)</f>
        <v>0</v>
      </c>
      <c r="D60" s="174">
        <f>INDEX(Table4[GAS],MATCH(Table2[[#This Row],[Rox Wolf'#]],Table4[Wolf],0))</f>
        <v>6076</v>
      </c>
      <c r="E60" s="174">
        <f>INDEX(Table4[LEASE USE],MATCH(Table2[[#This Row],[Rox Wolf'#]],Table4[Wolf],0))</f>
        <v>319</v>
      </c>
      <c r="F60" s="167"/>
      <c r="G60" s="167"/>
      <c r="H60" s="167"/>
      <c r="I60" s="167"/>
      <c r="J60" s="163">
        <f>COUNTIF(FilterList,#REF!)</f>
        <v>0</v>
      </c>
      <c r="K60" s="167"/>
      <c r="Q60" s="208"/>
    </row>
    <row r="61" spans="1:17" ht="15">
      <c r="A61">
        <v>99102</v>
      </c>
      <c r="B61" t="s">
        <v>784</v>
      </c>
      <c r="C61" s="166">
        <f>ROUND(INDEX(Table4[OIL],MATCH(Table2[[#This Row],[Rox Wolf'#]],Table4[Wolf],0)),0)</f>
        <v>760</v>
      </c>
      <c r="D61" s="173">
        <f>INDEX(Table4[GAS],MATCH(Table2[[#This Row],[Rox Wolf'#]],Table4[Wolf],0))</f>
        <v>53566</v>
      </c>
      <c r="E61" s="166">
        <f>INDEX(Table4[LEASE USE],MATCH(Table2[[#This Row],[Rox Wolf'#]],Table4[Wolf],0))</f>
        <v>0</v>
      </c>
      <c r="F61" s="167"/>
      <c r="G61" s="167"/>
      <c r="H61" s="167"/>
      <c r="I61" s="167"/>
      <c r="J61" s="163">
        <f>COUNTIF(FilterList,#REF!)</f>
        <v>0</v>
      </c>
      <c r="K61" s="167"/>
      <c r="Q61" s="209">
        <v>99172</v>
      </c>
    </row>
    <row r="62" spans="1:17" ht="15">
      <c r="A62">
        <v>99259</v>
      </c>
      <c r="B62" t="s">
        <v>1105</v>
      </c>
      <c r="C62" s="166">
        <f>ROUND(INDEX(Table4[OIL],MATCH(Table2[[#This Row],[Rox Wolf'#]],Table4[Wolf],0)),0)</f>
        <v>183</v>
      </c>
      <c r="D62" s="173">
        <f>INDEX(Table4[GAS],MATCH(Table2[[#This Row],[Rox Wolf'#]],Table4[Wolf],0))</f>
        <v>0</v>
      </c>
      <c r="E62" s="166">
        <f>INDEX(Table4[LEASE USE],MATCH(Table2[[#This Row],[Rox Wolf'#]],Table4[Wolf],0))</f>
        <v>0</v>
      </c>
      <c r="F62" s="167"/>
      <c r="G62" s="167"/>
      <c r="H62" s="167"/>
      <c r="I62" s="167"/>
      <c r="J62" s="163">
        <f>COUNTIF(FilterList,#REF!)</f>
        <v>0</v>
      </c>
      <c r="K62" s="167"/>
      <c r="Q62" s="208">
        <v>99173</v>
      </c>
    </row>
    <row r="63" spans="1:17" ht="15">
      <c r="A63">
        <v>95801</v>
      </c>
      <c r="B63" t="s">
        <v>1130</v>
      </c>
      <c r="C63" s="166">
        <f>ROUND(INDEX(Table4[OIL],MATCH(Table2[[#This Row],[Rox Wolf'#]],Table4[Wolf],0)),0)</f>
        <v>0</v>
      </c>
      <c r="D63" s="173">
        <f>INDEX(Table4[GAS],MATCH(Table2[[#This Row],[Rox Wolf'#]],Table4[Wolf],0))</f>
        <v>0</v>
      </c>
      <c r="E63" s="166">
        <f>INDEX(Table4[LEASE USE],MATCH(Table2[[#This Row],[Rox Wolf'#]],Table4[Wolf],0))</f>
        <v>0</v>
      </c>
      <c r="F63" s="167"/>
      <c r="G63" s="167"/>
      <c r="H63" s="167"/>
      <c r="I63" s="167"/>
      <c r="J63" s="163">
        <f>COUNTIF(FilterList,#REF!)</f>
        <v>0</v>
      </c>
      <c r="K63" s="167"/>
      <c r="Q63" s="209">
        <v>99186</v>
      </c>
    </row>
    <row r="64" spans="1:17" ht="15">
      <c r="A64">
        <v>99132</v>
      </c>
      <c r="B64" t="s">
        <v>1106</v>
      </c>
      <c r="C64" s="166">
        <f>ROUND(INDEX(Table4[OIL],MATCH(Table2[[#This Row],[Rox Wolf'#]],Table4[Wolf],0)),0)</f>
        <v>0</v>
      </c>
      <c r="D64" s="173">
        <f>INDEX(Table4[GAS],MATCH(Table2[[#This Row],[Rox Wolf'#]],Table4[Wolf],0))</f>
        <v>0</v>
      </c>
      <c r="E64" s="166">
        <f>INDEX(Table4[LEASE USE],MATCH(Table2[[#This Row],[Rox Wolf'#]],Table4[Wolf],0))</f>
        <v>8</v>
      </c>
      <c r="F64" s="167"/>
      <c r="G64" s="167"/>
      <c r="H64" s="167"/>
      <c r="I64" s="167"/>
      <c r="J64" s="163">
        <f>COUNTIF(FilterList,#REF!)</f>
        <v>0</v>
      </c>
      <c r="K64" s="167"/>
      <c r="Q64" s="208">
        <v>99194</v>
      </c>
    </row>
    <row r="65" spans="1:17" ht="15">
      <c r="A65">
        <v>99133</v>
      </c>
      <c r="B65" t="s">
        <v>1107</v>
      </c>
      <c r="C65" s="166">
        <f>ROUND(INDEX(Table4[OIL],MATCH(Table2[[#This Row],[Rox Wolf'#]],Table4[Wolf],0)),0)</f>
        <v>0</v>
      </c>
      <c r="D65" s="173">
        <f>INDEX(Table4[GAS],MATCH(Table2[[#This Row],[Rox Wolf'#]],Table4[Wolf],0))</f>
        <v>0</v>
      </c>
      <c r="E65" s="166">
        <f>INDEX(Table4[LEASE USE],MATCH(Table2[[#This Row],[Rox Wolf'#]],Table4[Wolf],0))</f>
        <v>0</v>
      </c>
      <c r="F65" s="167"/>
      <c r="G65" s="167"/>
      <c r="H65" s="167"/>
      <c r="I65" s="167"/>
      <c r="J65" s="163">
        <f>COUNTIF(FilterList,#REF!)</f>
        <v>0</v>
      </c>
      <c r="K65" s="167"/>
      <c r="Q65" s="209">
        <v>99200</v>
      </c>
    </row>
    <row r="66" spans="1:17" ht="15">
      <c r="A66">
        <v>99128</v>
      </c>
      <c r="B66" t="s">
        <v>808</v>
      </c>
      <c r="C66" s="166">
        <f>ROUND(INDEX(Table4[OIL],MATCH(Table2[[#This Row],[Rox Wolf'#]],Table4[Wolf],0)),0)</f>
        <v>0</v>
      </c>
      <c r="D66" s="173">
        <f>INDEX(Table4[GAS],MATCH(Table2[[#This Row],[Rox Wolf'#]],Table4[Wolf],0))</f>
        <v>6901</v>
      </c>
      <c r="E66" s="166">
        <f>INDEX(Table4[LEASE USE],MATCH(Table2[[#This Row],[Rox Wolf'#]],Table4[Wolf],0))</f>
        <v>260</v>
      </c>
      <c r="F66" s="167"/>
      <c r="G66" s="167"/>
      <c r="H66" s="167"/>
      <c r="I66" s="167"/>
      <c r="J66" s="163">
        <f>COUNTIF(FilterList,#REF!)</f>
        <v>0</v>
      </c>
      <c r="K66" s="167"/>
      <c r="Q66" s="208">
        <v>99225</v>
      </c>
    </row>
    <row r="67" spans="1:17" ht="15">
      <c r="A67">
        <v>99134</v>
      </c>
      <c r="B67" t="s">
        <v>809</v>
      </c>
      <c r="C67" s="166">
        <f>ROUND(INDEX(Table4[OIL],MATCH(Table2[[#This Row],[Rox Wolf'#]],Table4[Wolf],0)),0)</f>
        <v>0</v>
      </c>
      <c r="D67" s="173">
        <f>INDEX(Table4[GAS],MATCH(Table2[[#This Row],[Rox Wolf'#]],Table4[Wolf],0))</f>
        <v>3506</v>
      </c>
      <c r="E67" s="166">
        <f>INDEX(Table4[LEASE USE],MATCH(Table2[[#This Row],[Rox Wolf'#]],Table4[Wolf],0))</f>
        <v>0</v>
      </c>
      <c r="F67" s="167"/>
      <c r="G67" s="167"/>
      <c r="H67" s="167"/>
      <c r="I67" s="167"/>
      <c r="J67" s="163">
        <f>COUNTIF(FilterList,#REF!)</f>
        <v>0</v>
      </c>
      <c r="K67" s="167"/>
      <c r="Q67" s="209">
        <v>99228</v>
      </c>
    </row>
    <row r="68" spans="1:17" ht="15">
      <c r="A68">
        <v>99256</v>
      </c>
      <c r="B68" t="s">
        <v>113</v>
      </c>
      <c r="C68" s="166">
        <f>ROUND(INDEX(Table4[OIL],MATCH(Table2[[#This Row],[Rox Wolf'#]],Table4[Wolf],0)),0)</f>
        <v>181</v>
      </c>
      <c r="D68" s="173">
        <f>INDEX(Table4[GAS],MATCH(Table2[[#This Row],[Rox Wolf'#]],Table4[Wolf],0))</f>
        <v>1790</v>
      </c>
      <c r="E68" s="166">
        <f>INDEX(Table4[LEASE USE],MATCH(Table2[[#This Row],[Rox Wolf'#]],Table4[Wolf],0))</f>
        <v>0</v>
      </c>
      <c r="F68" s="167"/>
      <c r="G68" s="167"/>
      <c r="H68" s="167"/>
      <c r="I68" s="167"/>
      <c r="J68" s="163">
        <f>COUNTIF(FilterList,#REF!)</f>
        <v>0</v>
      </c>
      <c r="K68" s="167"/>
      <c r="Q68" s="208">
        <v>99229</v>
      </c>
    </row>
    <row r="69" spans="1:17" ht="15">
      <c r="A69">
        <v>98910</v>
      </c>
      <c r="B69" t="s">
        <v>810</v>
      </c>
      <c r="C69" s="166">
        <f>ROUND(INDEX(Table4[OIL],MATCH(Table2[[#This Row],[Rox Wolf'#]],Table4[Wolf],0)),0)</f>
        <v>1183</v>
      </c>
      <c r="D69" s="173">
        <f>INDEX(Table4[GAS],MATCH(Table2[[#This Row],[Rox Wolf'#]],Table4[Wolf],0))</f>
        <v>0</v>
      </c>
      <c r="E69" s="166">
        <f>INDEX(Table4[LEASE USE],MATCH(Table2[[#This Row],[Rox Wolf'#]],Table4[Wolf],0))</f>
        <v>124</v>
      </c>
      <c r="F69" s="167"/>
      <c r="G69" s="167"/>
      <c r="H69" s="167"/>
      <c r="I69" s="167"/>
      <c r="J69" s="163">
        <f>COUNTIF(FilterList,#REF!)</f>
        <v>0</v>
      </c>
      <c r="K69" s="167"/>
      <c r="Q69" s="209">
        <v>99230</v>
      </c>
    </row>
    <row r="70" spans="1:17" ht="15">
      <c r="A70">
        <v>98401</v>
      </c>
      <c r="B70" t="s">
        <v>785</v>
      </c>
      <c r="C70" s="166">
        <f>ROUND(INDEX(Table4[OIL],MATCH(Table2[[#This Row],[Rox Wolf'#]],Table4[Wolf],0)),0)</f>
        <v>0</v>
      </c>
      <c r="D70" s="173">
        <f>INDEX(Table4[GAS],MATCH(Table2[[#This Row],[Rox Wolf'#]],Table4[Wolf],0))</f>
        <v>2661</v>
      </c>
      <c r="E70" s="166">
        <f>INDEX(Table4[LEASE USE],MATCH(Table2[[#This Row],[Rox Wolf'#]],Table4[Wolf],0))</f>
        <v>93</v>
      </c>
      <c r="F70" s="167"/>
      <c r="G70" s="167"/>
      <c r="H70" s="167"/>
      <c r="I70" s="167"/>
      <c r="J70" s="163">
        <f>COUNTIF(FilterList,#REF!)</f>
        <v>0</v>
      </c>
      <c r="K70" s="167"/>
      <c r="Q70" s="208">
        <v>99246</v>
      </c>
    </row>
    <row r="71" spans="1:17" ht="15">
      <c r="A71">
        <v>96901</v>
      </c>
      <c r="B71" t="s">
        <v>786</v>
      </c>
      <c r="C71" s="166">
        <f>ROUND(INDEX(Table4[OIL],MATCH(Table2[[#This Row],[Rox Wolf'#]],Table4[Wolf],0)),0)</f>
        <v>0</v>
      </c>
      <c r="D71" s="173">
        <f>INDEX(Table4[GAS],MATCH(Table2[[#This Row],[Rox Wolf'#]],Table4[Wolf],0))</f>
        <v>1409</v>
      </c>
      <c r="E71" s="166">
        <f>INDEX(Table4[LEASE USE],MATCH(Table2[[#This Row],[Rox Wolf'#]],Table4[Wolf],0))</f>
        <v>31</v>
      </c>
      <c r="F71" s="167"/>
      <c r="G71" s="167"/>
      <c r="H71" s="167"/>
      <c r="I71" s="167"/>
      <c r="J71" s="163">
        <f>COUNTIF(FilterList,#REF!)</f>
        <v>0</v>
      </c>
      <c r="K71" s="167"/>
      <c r="Q71" s="209">
        <v>99247</v>
      </c>
    </row>
    <row r="72" spans="1:17" ht="15">
      <c r="A72">
        <v>99101</v>
      </c>
      <c r="B72" t="s">
        <v>811</v>
      </c>
      <c r="C72" s="166">
        <f>ROUND(INDEX(Table4[OIL],MATCH(Table2[[#This Row],[Rox Wolf'#]],Table4[Wolf],0)),0)</f>
        <v>190</v>
      </c>
      <c r="D72" s="173">
        <f>INDEX(Table4[GAS],MATCH(Table2[[#This Row],[Rox Wolf'#]],Table4[Wolf],0))</f>
        <v>14964</v>
      </c>
      <c r="E72" s="166">
        <f>INDEX(Table4[LEASE USE],MATCH(Table2[[#This Row],[Rox Wolf'#]],Table4[Wolf],0))</f>
        <v>0</v>
      </c>
      <c r="F72" s="167"/>
      <c r="G72" s="167"/>
      <c r="H72" s="167"/>
      <c r="I72" s="167"/>
      <c r="J72" s="163">
        <f>COUNTIF(FilterList,#REF!)</f>
        <v>0</v>
      </c>
      <c r="K72" s="167"/>
      <c r="Q72" s="208">
        <v>99255</v>
      </c>
    </row>
    <row r="73" spans="1:17" ht="15">
      <c r="A73">
        <v>99026</v>
      </c>
      <c r="B73" t="s">
        <v>813</v>
      </c>
      <c r="C73" s="166">
        <f>ROUND(INDEX(Table4[OIL],MATCH(Table2[[#This Row],[Rox Wolf'#]],Table4[Wolf],0)),0)</f>
        <v>517</v>
      </c>
      <c r="D73" s="173">
        <f>INDEX(Table4[GAS],MATCH(Table2[[#This Row],[Rox Wolf'#]],Table4[Wolf],0))</f>
        <v>0</v>
      </c>
      <c r="E73" s="166">
        <f>INDEX(Table4[LEASE USE],MATCH(Table2[[#This Row],[Rox Wolf'#]],Table4[Wolf],0))</f>
        <v>0</v>
      </c>
      <c r="F73" s="167"/>
      <c r="G73" s="167"/>
      <c r="H73" s="167"/>
      <c r="I73" s="167"/>
      <c r="J73" s="163">
        <f>COUNTIF(FilterList,#REF!)</f>
        <v>0</v>
      </c>
      <c r="K73" s="167"/>
      <c r="Q73" s="209">
        <v>99256</v>
      </c>
    </row>
    <row r="74" spans="1:17" ht="15">
      <c r="A74">
        <v>99246</v>
      </c>
      <c r="B74" t="s">
        <v>787</v>
      </c>
      <c r="C74" s="166">
        <f>ROUND(INDEX(Table4[OIL],MATCH(Table2[[#This Row],[Rox Wolf'#]],Table4[Wolf],0)),0)</f>
        <v>181</v>
      </c>
      <c r="D74" s="173">
        <f>INDEX(Table4[GAS],MATCH(Table2[[#This Row],[Rox Wolf'#]],Table4[Wolf],0))</f>
        <v>14483</v>
      </c>
      <c r="E74" s="166">
        <f>INDEX(Table4[LEASE USE],MATCH(Table2[[#This Row],[Rox Wolf'#]],Table4[Wolf],0))</f>
        <v>775</v>
      </c>
      <c r="F74" s="167"/>
      <c r="G74" s="167"/>
      <c r="H74" s="167"/>
      <c r="I74" s="167"/>
      <c r="J74" s="163">
        <f>COUNTIF(FilterList,#REF!)</f>
        <v>0</v>
      </c>
      <c r="K74" s="167"/>
      <c r="Q74" s="208">
        <v>99259</v>
      </c>
    </row>
    <row r="75" spans="1:17" ht="15">
      <c r="A75">
        <v>99312</v>
      </c>
      <c r="B75" t="s">
        <v>788</v>
      </c>
      <c r="C75" s="166">
        <f>ROUND(INDEX(Table4[OIL],MATCH(Table2[[#This Row],[Rox Wolf'#]],Table4[Wolf],0)),0)</f>
        <v>0</v>
      </c>
      <c r="D75" s="173">
        <f>INDEX(Table4[GAS],MATCH(Table2[[#This Row],[Rox Wolf'#]],Table4[Wolf],0))</f>
        <v>7899</v>
      </c>
      <c r="E75" s="166">
        <f>INDEX(Table4[LEASE USE],MATCH(Table2[[#This Row],[Rox Wolf'#]],Table4[Wolf],0))</f>
        <v>651</v>
      </c>
      <c r="F75" s="167"/>
      <c r="G75" s="167"/>
      <c r="H75" s="167"/>
      <c r="I75" s="167"/>
      <c r="J75" s="163">
        <f>COUNTIF(FilterList,#REF!)</f>
        <v>0</v>
      </c>
      <c r="K75" s="167"/>
      <c r="Q75" s="209">
        <v>99265</v>
      </c>
    </row>
    <row r="76" spans="1:17" ht="15">
      <c r="A76">
        <v>99140</v>
      </c>
      <c r="B76" t="s">
        <v>814</v>
      </c>
      <c r="C76" s="166">
        <f>ROUND(INDEX(Table4[OIL],MATCH(Table2[[#This Row],[Rox Wolf'#]],Table4[Wolf],0)),0)</f>
        <v>0</v>
      </c>
      <c r="D76" s="173">
        <f>INDEX(Table4[GAS],MATCH(Table2[[#This Row],[Rox Wolf'#]],Table4[Wolf],0))</f>
        <v>0</v>
      </c>
      <c r="E76" s="166">
        <f>INDEX(Table4[LEASE USE],MATCH(Table2[[#This Row],[Rox Wolf'#]],Table4[Wolf],0))</f>
        <v>0</v>
      </c>
      <c r="F76" s="167"/>
      <c r="G76" s="167"/>
      <c r="H76" s="167"/>
      <c r="I76" s="167"/>
      <c r="J76" s="163">
        <f>COUNTIF(FilterList,#REF!)</f>
        <v>0</v>
      </c>
      <c r="K76" s="167"/>
      <c r="Q76" s="208">
        <v>99266</v>
      </c>
    </row>
    <row r="77" spans="1:17" ht="15">
      <c r="A77">
        <v>98979</v>
      </c>
      <c r="B77" t="s">
        <v>310</v>
      </c>
      <c r="C77" s="166">
        <f>ROUND(INDEX(Table4[OIL],MATCH(Table2[[#This Row],[Rox Wolf'#]],Table4[Wolf],0)),0)</f>
        <v>0</v>
      </c>
      <c r="D77" s="173">
        <f>INDEX(Table4[GAS],MATCH(Table2[[#This Row],[Rox Wolf'#]],Table4[Wolf],0))</f>
        <v>248</v>
      </c>
      <c r="E77" s="166">
        <f>INDEX(Table4[LEASE USE],MATCH(Table2[[#This Row],[Rox Wolf'#]],Table4[Wolf],0))</f>
        <v>0</v>
      </c>
      <c r="F77" s="167"/>
      <c r="G77" s="167"/>
      <c r="H77" s="167"/>
      <c r="I77" s="167"/>
      <c r="J77" s="163">
        <f>COUNTIF(FilterList,#REF!)</f>
        <v>0</v>
      </c>
      <c r="K77" s="167"/>
      <c r="Q77" s="209">
        <v>99267</v>
      </c>
    </row>
    <row r="78" spans="1:17" ht="15">
      <c r="A78">
        <v>34001</v>
      </c>
      <c r="B78" t="s">
        <v>815</v>
      </c>
      <c r="C78" s="166">
        <f>ROUND(INDEX(Table4[OIL],MATCH(Table2[[#This Row],[Rox Wolf'#]],Table4[Wolf],0)),0)</f>
        <v>501</v>
      </c>
      <c r="D78" s="173">
        <f>INDEX(Table4[GAS],MATCH(Table2[[#This Row],[Rox Wolf'#]],Table4[Wolf],0))</f>
        <v>0</v>
      </c>
      <c r="E78" s="166">
        <f>INDEX(Table4[LEASE USE],MATCH(Table2[[#This Row],[Rox Wolf'#]],Table4[Wolf],0))</f>
        <v>0</v>
      </c>
      <c r="F78" s="167"/>
      <c r="G78" s="167"/>
      <c r="H78" s="167"/>
      <c r="I78" s="167"/>
      <c r="J78" s="163">
        <f>COUNTIF(FilterList,#REF!)</f>
        <v>0</v>
      </c>
      <c r="K78" s="167"/>
      <c r="Q78" s="208">
        <v>99268</v>
      </c>
    </row>
    <row r="79" spans="1:17" ht="15">
      <c r="A79">
        <v>599109</v>
      </c>
      <c r="B79" t="s">
        <v>789</v>
      </c>
      <c r="C79" s="166">
        <f>ROUND(INDEX(Table4[OIL],MATCH(Table2[[#This Row],[Rox Wolf'#]],Table4[Wolf],0)),0)</f>
        <v>180</v>
      </c>
      <c r="D79" s="173">
        <f>INDEX(Table4[GAS],MATCH(Table2[[#This Row],[Rox Wolf'#]],Table4[Wolf],0))</f>
        <v>12440</v>
      </c>
      <c r="E79" s="166">
        <f>INDEX(Table4[LEASE USE],MATCH(Table2[[#This Row],[Rox Wolf'#]],Table4[Wolf],0))</f>
        <v>465</v>
      </c>
      <c r="F79" s="167"/>
      <c r="G79" s="167"/>
      <c r="H79" s="167"/>
      <c r="I79" s="167"/>
      <c r="J79" s="163">
        <f>COUNTIF(FilterList,#REF!)</f>
        <v>0</v>
      </c>
      <c r="K79" s="167"/>
      <c r="Q79" s="209">
        <v>99269</v>
      </c>
    </row>
    <row r="80" spans="1:17" ht="15">
      <c r="A80">
        <v>699109</v>
      </c>
      <c r="B80" t="s">
        <v>790</v>
      </c>
      <c r="C80" s="166">
        <f>ROUND(INDEX(Table4[OIL],MATCH(Table2[[#This Row],[Rox Wolf'#]],Table4[Wolf],0)),0)</f>
        <v>0</v>
      </c>
      <c r="D80" s="173">
        <f>INDEX(Table4[GAS],MATCH(Table2[[#This Row],[Rox Wolf'#]],Table4[Wolf],0))</f>
        <v>1748</v>
      </c>
      <c r="E80" s="166">
        <f>INDEX(Table4[LEASE USE],MATCH(Table2[[#This Row],[Rox Wolf'#]],Table4[Wolf],0))</f>
        <v>0</v>
      </c>
      <c r="F80" s="167"/>
      <c r="G80" s="167"/>
      <c r="H80" s="167"/>
      <c r="I80" s="167"/>
      <c r="J80" s="163">
        <f>COUNTIF(FilterList,#REF!)</f>
        <v>0</v>
      </c>
      <c r="K80" s="167"/>
      <c r="Q80" s="208">
        <v>99270</v>
      </c>
    </row>
    <row r="81" spans="1:17" ht="15">
      <c r="A81">
        <v>98915</v>
      </c>
      <c r="B81" t="s">
        <v>791</v>
      </c>
      <c r="C81" s="166">
        <f>ROUND(INDEX(Table4[OIL],MATCH(Table2[[#This Row],[Rox Wolf'#]],Table4[Wolf],0)),0)</f>
        <v>0</v>
      </c>
      <c r="D81" s="173">
        <f>INDEX(Table4[GAS],MATCH(Table2[[#This Row],[Rox Wolf'#]],Table4[Wolf],0))</f>
        <v>0</v>
      </c>
      <c r="E81" s="166">
        <f>INDEX(Table4[LEASE USE],MATCH(Table2[[#This Row],[Rox Wolf'#]],Table4[Wolf],0))</f>
        <v>0</v>
      </c>
      <c r="F81" s="167"/>
      <c r="G81" s="167"/>
      <c r="H81" s="167"/>
      <c r="I81" s="167"/>
      <c r="J81" s="163">
        <f>COUNTIF(FilterList,#REF!)</f>
        <v>0</v>
      </c>
      <c r="K81" s="167"/>
      <c r="Q81" s="209">
        <v>99278</v>
      </c>
    </row>
    <row r="82" spans="1:17" ht="15">
      <c r="A82">
        <v>99270</v>
      </c>
      <c r="B82" t="s">
        <v>149</v>
      </c>
      <c r="C82" s="166">
        <f>ROUND(INDEX(Table4[OIL],MATCH(Table2[[#This Row],[Rox Wolf'#]],Table4[Wolf],0)),0)</f>
        <v>1942</v>
      </c>
      <c r="D82" s="173">
        <f>INDEX(Table4[GAS],MATCH(Table2[[#This Row],[Rox Wolf'#]],Table4[Wolf],0))</f>
        <v>91204</v>
      </c>
      <c r="E82" s="166">
        <f>INDEX(Table4[LEASE USE],MATCH(Table2[[#This Row],[Rox Wolf'#]],Table4[Wolf],0))</f>
        <v>651</v>
      </c>
      <c r="F82" s="167"/>
      <c r="G82" s="167"/>
      <c r="H82" s="167"/>
      <c r="I82" s="167"/>
      <c r="J82" s="163">
        <f>COUNTIF(FilterList,#REF!)</f>
        <v>0</v>
      </c>
      <c r="K82" s="167"/>
      <c r="Q82" s="208">
        <v>99286</v>
      </c>
    </row>
    <row r="83" spans="1:17" ht="15">
      <c r="A83">
        <v>99247</v>
      </c>
      <c r="B83" t="s">
        <v>1131</v>
      </c>
      <c r="C83" s="166">
        <f>ROUND(INDEX(Table4[OIL],MATCH(Table2[[#This Row],[Rox Wolf'#]],Table4[Wolf],0)),0)</f>
        <v>0</v>
      </c>
      <c r="D83" s="173">
        <f>INDEX(Table4[GAS],MATCH(Table2[[#This Row],[Rox Wolf'#]],Table4[Wolf],0))</f>
        <v>0</v>
      </c>
      <c r="E83" s="166">
        <f>INDEX(Table4[LEASE USE],MATCH(Table2[[#This Row],[Rox Wolf'#]],Table4[Wolf],0))</f>
        <v>0</v>
      </c>
      <c r="F83" s="167"/>
      <c r="G83" s="167"/>
      <c r="H83" s="167"/>
      <c r="I83" s="167"/>
      <c r="J83" s="163">
        <f>COUNTIF(FilterList,#REF!)</f>
        <v>0</v>
      </c>
      <c r="K83" s="167"/>
      <c r="Q83" s="209">
        <v>99288</v>
      </c>
    </row>
    <row r="84" spans="1:17" ht="15">
      <c r="A84">
        <v>98983</v>
      </c>
      <c r="B84" t="s">
        <v>1108</v>
      </c>
      <c r="C84" s="166">
        <f>ROUND(INDEX(Table4[OIL],MATCH(Table2[[#This Row],[Rox Wolf'#]],Table4[Wolf],0)),0)</f>
        <v>0</v>
      </c>
      <c r="D84" s="173">
        <f>INDEX(Table4[GAS],MATCH(Table2[[#This Row],[Rox Wolf'#]],Table4[Wolf],0))</f>
        <v>0</v>
      </c>
      <c r="E84" s="166">
        <f>INDEX(Table4[LEASE USE],MATCH(Table2[[#This Row],[Rox Wolf'#]],Table4[Wolf],0))</f>
        <v>0</v>
      </c>
      <c r="F84" s="167"/>
      <c r="G84" s="167"/>
      <c r="H84" s="167"/>
      <c r="I84" s="167"/>
      <c r="J84" s="163">
        <f>COUNTIF(FilterList,#REF!)</f>
        <v>0</v>
      </c>
      <c r="K84" s="167"/>
      <c r="Q84" s="208">
        <v>99293</v>
      </c>
    </row>
    <row r="85" spans="1:17" ht="15">
      <c r="A85">
        <v>99161</v>
      </c>
      <c r="B85" t="s">
        <v>818</v>
      </c>
      <c r="C85" s="166">
        <f>ROUND(INDEX(Table4[OIL],MATCH(Table2[[#This Row],[Rox Wolf'#]],Table4[Wolf],0)),0)</f>
        <v>338</v>
      </c>
      <c r="D85" s="173">
        <f>INDEX(Table4[GAS],MATCH(Table2[[#This Row],[Rox Wolf'#]],Table4[Wolf],0))</f>
        <v>0</v>
      </c>
      <c r="E85" s="166">
        <f>INDEX(Table4[LEASE USE],MATCH(Table2[[#This Row],[Rox Wolf'#]],Table4[Wolf],0))</f>
        <v>124</v>
      </c>
      <c r="F85" s="167"/>
      <c r="G85" s="167"/>
      <c r="H85" s="167"/>
      <c r="I85" s="167"/>
      <c r="J85" s="163">
        <f>COUNTIF(FilterList,#REF!)</f>
        <v>0</v>
      </c>
      <c r="K85" s="167"/>
      <c r="Q85" s="209">
        <v>99294</v>
      </c>
    </row>
    <row r="86" spans="1:17" ht="15">
      <c r="A86">
        <v>99305</v>
      </c>
      <c r="B86" t="s">
        <v>819</v>
      </c>
      <c r="C86" s="166">
        <f>ROUND(INDEX(Table4[OIL],MATCH(Table2[[#This Row],[Rox Wolf'#]],Table4[Wolf],0)),0)</f>
        <v>0</v>
      </c>
      <c r="D86" s="173">
        <f>INDEX(Table4[GAS],MATCH(Table2[[#This Row],[Rox Wolf'#]],Table4[Wolf],0))</f>
        <v>0</v>
      </c>
      <c r="E86" s="166">
        <f>INDEX(Table4[LEASE USE],MATCH(Table2[[#This Row],[Rox Wolf'#]],Table4[Wolf],0))</f>
        <v>0</v>
      </c>
      <c r="F86" s="167"/>
      <c r="G86" s="167"/>
      <c r="H86" s="167"/>
      <c r="I86" s="167"/>
      <c r="J86" s="163">
        <f>COUNTIF(FilterList,#REF!)</f>
        <v>0</v>
      </c>
      <c r="K86" s="167"/>
      <c r="Q86" s="208">
        <v>99295</v>
      </c>
    </row>
    <row r="87" spans="1:17" ht="15">
      <c r="A87">
        <v>99302</v>
      </c>
      <c r="B87" t="s">
        <v>820</v>
      </c>
      <c r="C87" s="166">
        <f>ROUND(INDEX(Table4[OIL],MATCH(Table2[[#This Row],[Rox Wolf'#]],Table4[Wolf],0)),0)</f>
        <v>0</v>
      </c>
      <c r="D87" s="173">
        <f>INDEX(Table4[GAS],MATCH(Table2[[#This Row],[Rox Wolf'#]],Table4[Wolf],0))</f>
        <v>677</v>
      </c>
      <c r="E87" s="166">
        <f>INDEX(Table4[LEASE USE],MATCH(Table2[[#This Row],[Rox Wolf'#]],Table4[Wolf],0))</f>
        <v>0</v>
      </c>
      <c r="F87" s="167"/>
      <c r="G87" s="167"/>
      <c r="H87" s="167"/>
      <c r="I87" s="167"/>
      <c r="J87" s="163">
        <f>COUNTIF(FilterList,#REF!)</f>
        <v>0</v>
      </c>
      <c r="K87" s="167"/>
      <c r="Q87" s="209">
        <v>99296</v>
      </c>
    </row>
    <row r="88" spans="1:17" ht="15">
      <c r="A88">
        <v>99296</v>
      </c>
      <c r="B88" t="s">
        <v>821</v>
      </c>
      <c r="C88" s="166">
        <f>ROUND(INDEX(Table4[OIL],MATCH(Table2[[#This Row],[Rox Wolf'#]],Table4[Wolf],0)),0)</f>
        <v>0</v>
      </c>
      <c r="D88" s="173">
        <f>INDEX(Table4[GAS],MATCH(Table2[[#This Row],[Rox Wolf'#]],Table4[Wolf],0))</f>
        <v>0</v>
      </c>
      <c r="E88" s="166">
        <f>INDEX(Table4[LEASE USE],MATCH(Table2[[#This Row],[Rox Wolf'#]],Table4[Wolf],0))</f>
        <v>0</v>
      </c>
      <c r="F88" s="167"/>
      <c r="G88" s="167"/>
      <c r="H88" s="167"/>
      <c r="I88" s="167"/>
      <c r="J88" s="163">
        <f>COUNTIF(FilterList,#REF!)</f>
        <v>0</v>
      </c>
      <c r="K88" s="167"/>
      <c r="Q88" s="208">
        <v>99297</v>
      </c>
    </row>
    <row r="89" spans="1:17" ht="15">
      <c r="A89">
        <v>99194</v>
      </c>
      <c r="B89" t="s">
        <v>1109</v>
      </c>
      <c r="C89" s="166">
        <f>ROUND(INDEX(Table4[OIL],MATCH(Table2[[#This Row],[Rox Wolf'#]],Table4[Wolf],0)),0)</f>
        <v>679</v>
      </c>
      <c r="D89" s="173">
        <f>INDEX(Table4[GAS],MATCH(Table2[[#This Row],[Rox Wolf'#]],Table4[Wolf],0))</f>
        <v>0</v>
      </c>
      <c r="E89" s="166">
        <f>INDEX(Table4[LEASE USE],MATCH(Table2[[#This Row],[Rox Wolf'#]],Table4[Wolf],0))</f>
        <v>0</v>
      </c>
      <c r="F89" s="167"/>
      <c r="G89" s="167"/>
      <c r="H89" s="167"/>
      <c r="I89" s="167"/>
      <c r="J89" s="163">
        <f>COUNTIF(FilterList,#REF!)</f>
        <v>0</v>
      </c>
      <c r="K89" s="167"/>
      <c r="Q89" s="209">
        <v>99302</v>
      </c>
    </row>
    <row r="90" spans="1:17" ht="15" hidden="1">
      <c r="A90">
        <v>99171</v>
      </c>
      <c r="B90" t="s">
        <v>822</v>
      </c>
      <c r="C90" s="166">
        <f>ROUND(INDEX(Table4[OIL],MATCH(Table2[[#This Row],[Rox Wolf'#]],Table4[Wolf],0)),0)</f>
        <v>359</v>
      </c>
      <c r="D90" s="173">
        <f>INDEX(Table4[GAS],MATCH(Table2[[#This Row],[Rox Wolf'#]],Table4[Wolf],0))</f>
        <v>0</v>
      </c>
      <c r="E90" s="166">
        <f>INDEX(Table4[LEASE USE],MATCH(Table2[[#This Row],[Rox Wolf'#]],Table4[Wolf],0))</f>
        <v>0</v>
      </c>
      <c r="F90" s="167"/>
      <c r="G90" s="167"/>
      <c r="H90" s="167"/>
      <c r="I90" s="167"/>
      <c r="J90" s="163">
        <f>COUNTIF(FilterList,#REF!)</f>
        <v>0</v>
      </c>
      <c r="K90" s="169" t="s">
        <v>1134</v>
      </c>
      <c r="Q90" s="208">
        <v>99305</v>
      </c>
    </row>
    <row r="91" spans="1:17" ht="15" hidden="1">
      <c r="A91">
        <v>99172</v>
      </c>
      <c r="B91" t="s">
        <v>1132</v>
      </c>
      <c r="C91" s="166">
        <f>ROUND(INDEX(Table4[OIL],MATCH(Table2[[#This Row],[Rox Wolf'#]],Table4[Wolf],0)),0)</f>
        <v>0</v>
      </c>
      <c r="D91" s="173">
        <f>INDEX(Table4[GAS],MATCH(Table2[[#This Row],[Rox Wolf'#]],Table4[Wolf],0))</f>
        <v>0</v>
      </c>
      <c r="E91" s="166">
        <f>INDEX(Table4[LEASE USE],MATCH(Table2[[#This Row],[Rox Wolf'#]],Table4[Wolf],0))</f>
        <v>0</v>
      </c>
      <c r="F91" s="167"/>
      <c r="G91" s="167"/>
      <c r="H91" s="167"/>
      <c r="I91" s="167"/>
      <c r="J91" s="163">
        <f>COUNTIF(FilterList,#REF!)</f>
        <v>0</v>
      </c>
      <c r="K91" s="169" t="s">
        <v>1134</v>
      </c>
      <c r="Q91" s="209">
        <v>99307</v>
      </c>
    </row>
    <row r="92" spans="1:17" ht="15" hidden="1">
      <c r="A92">
        <v>99173</v>
      </c>
      <c r="B92" t="s">
        <v>823</v>
      </c>
      <c r="C92" s="166">
        <f>ROUND(INDEX(Table4[OIL],MATCH(Table2[[#This Row],[Rox Wolf'#]],Table4[Wolf],0)),0)</f>
        <v>182</v>
      </c>
      <c r="D92" s="173">
        <f>INDEX(Table4[GAS],MATCH(Table2[[#This Row],[Rox Wolf'#]],Table4[Wolf],0))</f>
        <v>0</v>
      </c>
      <c r="E92" s="166">
        <f>INDEX(Table4[LEASE USE],MATCH(Table2[[#This Row],[Rox Wolf'#]],Table4[Wolf],0))</f>
        <v>0</v>
      </c>
      <c r="F92" s="167"/>
      <c r="G92" s="167"/>
      <c r="H92" s="167"/>
      <c r="I92" s="167"/>
      <c r="J92" s="163">
        <f>COUNTIF(FilterList,#REF!)</f>
        <v>0</v>
      </c>
      <c r="K92" s="169" t="s">
        <v>1134</v>
      </c>
      <c r="Q92" s="208">
        <v>99312</v>
      </c>
    </row>
    <row r="93" spans="1:17" ht="15">
      <c r="A93">
        <v>80001</v>
      </c>
      <c r="B93" t="s">
        <v>792</v>
      </c>
      <c r="C93" s="166">
        <f>ROUND(INDEX(Table4[OIL],MATCH(Table2[[#This Row],[Rox Wolf'#]],Table4[Wolf],0)),0)</f>
        <v>141</v>
      </c>
      <c r="D93" s="173">
        <f>INDEX(Table4[GAS],MATCH(Table2[[#This Row],[Rox Wolf'#]],Table4[Wolf],0))</f>
        <v>1376</v>
      </c>
      <c r="E93" s="166">
        <f>INDEX(Table4[LEASE USE],MATCH(Table2[[#This Row],[Rox Wolf'#]],Table4[Wolf],0))</f>
        <v>124</v>
      </c>
      <c r="F93" s="167"/>
      <c r="G93" s="167"/>
      <c r="H93" s="167"/>
      <c r="I93" s="167"/>
      <c r="J93" s="163">
        <f>COUNTIF(FilterList,#REF!)</f>
        <v>0</v>
      </c>
      <c r="K93" s="167"/>
      <c r="Q93" s="209">
        <v>599109</v>
      </c>
    </row>
    <row r="94" spans="1:17" ht="15">
      <c r="A94">
        <f>SUBTOTAL(103,Table2[Rox Wolf'#])</f>
        <v>82</v>
      </c>
      <c r="B94"/>
      <c r="C94">
        <f>SUBTOTAL(109,Table2[OIL])</f>
        <v>15699</v>
      </c>
      <c r="D94" s="5">
        <f>SUBTOTAL(109,Table2[GAS])</f>
        <v>284359</v>
      </c>
      <c r="E94">
        <f>SUBTOTAL(109,Table2[LEASE USE])</f>
        <v>6235</v>
      </c>
      <c r="F94"/>
      <c r="G94"/>
      <c r="H94"/>
      <c r="I94"/>
      <c r="J94">
        <f>SUBTOTAL(109,Table2[Filter])</f>
        <v>0</v>
      </c>
      <c r="Q94" s="208">
        <v>699109</v>
      </c>
    </row>
  </sheetData>
  <mergeCells count="2">
    <mergeCell ref="A1:E1"/>
    <mergeCell ref="A2:E2"/>
  </mergeCells>
  <phoneticPr fontId="67" type="noConversion"/>
  <conditionalFormatting sqref="A5:A93 Q5:Q94">
    <cfRule type="duplicateValues" dxfId="73" priority="1"/>
  </conditionalFormatting>
  <pageMargins left="0.25" right="0.25" top="0.75" bottom="0.75" header="0.3" footer="0.3"/>
  <pageSetup scale="37"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E94"/>
  <sheetViews>
    <sheetView topLeftCell="A70" zoomScaleNormal="100" workbookViewId="0">
      <selection activeCell="J11" sqref="J11"/>
    </sheetView>
  </sheetViews>
  <sheetFormatPr defaultRowHeight="15"/>
  <cols>
    <col min="1" max="1" width="12.83203125" style="179" customWidth="1"/>
    <col min="2" max="2" width="30" style="179" bestFit="1" customWidth="1"/>
    <col min="3" max="3" width="9.33203125" style="183"/>
    <col min="4" max="4" width="9.33203125" style="184"/>
    <col min="5" max="5" width="14.1640625" style="183" customWidth="1"/>
    <col min="6" max="16384" width="9.33203125" style="179"/>
  </cols>
  <sheetData>
    <row r="1" spans="1:5" s="177" customFormat="1" ht="21">
      <c r="A1" s="252" t="s">
        <v>628</v>
      </c>
      <c r="B1" s="252"/>
      <c r="C1" s="252"/>
      <c r="D1" s="252"/>
      <c r="E1" s="252"/>
    </row>
    <row r="2" spans="1:5" s="177" customFormat="1" ht="21">
      <c r="A2" s="253">
        <v>43831</v>
      </c>
      <c r="B2" s="253"/>
      <c r="C2" s="253"/>
      <c r="D2" s="253"/>
      <c r="E2" s="253"/>
    </row>
    <row r="3" spans="1:5" s="177" customFormat="1" ht="21">
      <c r="C3" s="199"/>
      <c r="D3" s="178"/>
      <c r="E3" s="199"/>
    </row>
    <row r="4" spans="1:5">
      <c r="A4" s="185" t="s">
        <v>1148</v>
      </c>
      <c r="B4" s="180" t="s">
        <v>1149</v>
      </c>
      <c r="C4" s="181" t="s">
        <v>746</v>
      </c>
      <c r="D4" s="182" t="s">
        <v>747</v>
      </c>
      <c r="E4" s="183" t="s">
        <v>748</v>
      </c>
    </row>
    <row r="5" spans="1:5">
      <c r="A5" s="200">
        <v>34001</v>
      </c>
      <c r="B5" s="200" t="s">
        <v>815</v>
      </c>
      <c r="C5" s="204">
        <v>501.44</v>
      </c>
      <c r="D5" s="205"/>
      <c r="E5" s="205">
        <v>0</v>
      </c>
    </row>
    <row r="6" spans="1:5">
      <c r="A6" s="200">
        <v>48001</v>
      </c>
      <c r="B6" s="200" t="s">
        <v>763</v>
      </c>
      <c r="C6" s="204"/>
      <c r="D6" s="205"/>
      <c r="E6" s="205">
        <v>0</v>
      </c>
    </row>
    <row r="7" spans="1:5">
      <c r="A7" s="200">
        <v>80001</v>
      </c>
      <c r="B7" s="200" t="s">
        <v>792</v>
      </c>
      <c r="C7" s="201">
        <v>141.01</v>
      </c>
      <c r="D7" s="202">
        <v>1376</v>
      </c>
      <c r="E7" s="203">
        <v>124</v>
      </c>
    </row>
    <row r="8" spans="1:5">
      <c r="A8" s="200">
        <v>82001</v>
      </c>
      <c r="B8" s="200" t="s">
        <v>751</v>
      </c>
      <c r="C8" s="201"/>
      <c r="D8" s="202">
        <v>31</v>
      </c>
      <c r="E8" s="203">
        <v>0</v>
      </c>
    </row>
    <row r="9" spans="1:5">
      <c r="A9" s="200">
        <v>92001</v>
      </c>
      <c r="B9" s="200" t="s">
        <v>232</v>
      </c>
      <c r="C9" s="201"/>
      <c r="D9" s="202"/>
      <c r="E9" s="203">
        <v>0</v>
      </c>
    </row>
    <row r="10" spans="1:5">
      <c r="A10" s="200">
        <v>93701</v>
      </c>
      <c r="B10" s="200" t="s">
        <v>796</v>
      </c>
      <c r="C10" s="201"/>
      <c r="D10" s="202">
        <v>9</v>
      </c>
      <c r="E10" s="203">
        <v>0</v>
      </c>
    </row>
    <row r="11" spans="1:5">
      <c r="A11" s="200">
        <v>93806</v>
      </c>
      <c r="B11" s="200" t="s">
        <v>803</v>
      </c>
      <c r="C11" s="201">
        <v>2.3199999999999998</v>
      </c>
      <c r="D11" s="202"/>
      <c r="E11" s="203">
        <v>0</v>
      </c>
    </row>
    <row r="12" spans="1:5">
      <c r="A12" s="200">
        <v>93901</v>
      </c>
      <c r="B12" s="200" t="s">
        <v>1127</v>
      </c>
      <c r="C12" s="201"/>
      <c r="D12" s="202"/>
      <c r="E12" s="203"/>
    </row>
    <row r="13" spans="1:5">
      <c r="A13" s="200">
        <v>94601</v>
      </c>
      <c r="B13" s="200" t="s">
        <v>805</v>
      </c>
      <c r="C13" s="201">
        <v>360.46</v>
      </c>
      <c r="D13" s="202">
        <v>2826</v>
      </c>
      <c r="E13" s="203">
        <v>0</v>
      </c>
    </row>
    <row r="14" spans="1:5">
      <c r="A14" s="200">
        <v>95801</v>
      </c>
      <c r="B14" s="200" t="s">
        <v>1130</v>
      </c>
      <c r="C14" s="201"/>
      <c r="D14" s="202"/>
      <c r="E14" s="203"/>
    </row>
    <row r="15" spans="1:5">
      <c r="A15" s="200">
        <v>96501</v>
      </c>
      <c r="B15" s="200" t="s">
        <v>752</v>
      </c>
      <c r="C15" s="201"/>
      <c r="D15" s="202">
        <v>938</v>
      </c>
      <c r="E15" s="203">
        <v>51</v>
      </c>
    </row>
    <row r="16" spans="1:5">
      <c r="A16" s="200">
        <v>96701</v>
      </c>
      <c r="B16" s="200" t="s">
        <v>750</v>
      </c>
      <c r="C16" s="201"/>
      <c r="D16" s="202">
        <v>31</v>
      </c>
      <c r="E16" s="203">
        <v>0</v>
      </c>
    </row>
    <row r="17" spans="1:5">
      <c r="A17" s="200">
        <v>96901</v>
      </c>
      <c r="B17" s="200" t="s">
        <v>786</v>
      </c>
      <c r="C17" s="201"/>
      <c r="D17" s="202">
        <v>1409</v>
      </c>
      <c r="E17" s="203">
        <v>31</v>
      </c>
    </row>
    <row r="18" spans="1:5">
      <c r="A18" s="200">
        <v>98401</v>
      </c>
      <c r="B18" s="200" t="s">
        <v>785</v>
      </c>
      <c r="C18" s="201"/>
      <c r="D18" s="203">
        <v>2661</v>
      </c>
      <c r="E18" s="203">
        <v>93</v>
      </c>
    </row>
    <row r="19" spans="1:5">
      <c r="A19" s="200">
        <v>98801</v>
      </c>
      <c r="B19" s="200" t="s">
        <v>774</v>
      </c>
      <c r="C19" s="201">
        <v>180.05</v>
      </c>
      <c r="D19" s="202">
        <v>954</v>
      </c>
      <c r="E19" s="203">
        <v>84</v>
      </c>
    </row>
    <row r="20" spans="1:5">
      <c r="A20" s="200">
        <v>98910</v>
      </c>
      <c r="B20" s="200" t="s">
        <v>810</v>
      </c>
      <c r="C20" s="201">
        <v>1182.8900000000001</v>
      </c>
      <c r="D20" s="202"/>
      <c r="E20" s="203">
        <v>124</v>
      </c>
    </row>
    <row r="21" spans="1:5">
      <c r="A21" s="200">
        <v>98915</v>
      </c>
      <c r="B21" s="200" t="s">
        <v>791</v>
      </c>
      <c r="C21" s="201"/>
      <c r="D21" s="202"/>
      <c r="E21" s="203">
        <v>0</v>
      </c>
    </row>
    <row r="22" spans="1:5">
      <c r="A22" s="200">
        <v>98921</v>
      </c>
      <c r="B22" s="200" t="s">
        <v>801</v>
      </c>
      <c r="C22" s="201">
        <v>331.26</v>
      </c>
      <c r="D22" s="202"/>
      <c r="E22" s="203">
        <v>0</v>
      </c>
    </row>
    <row r="23" spans="1:5">
      <c r="A23" s="200">
        <v>98955</v>
      </c>
      <c r="B23" s="200" t="s">
        <v>280</v>
      </c>
      <c r="C23" s="201"/>
      <c r="D23" s="202">
        <v>771</v>
      </c>
      <c r="E23" s="203">
        <v>31</v>
      </c>
    </row>
    <row r="24" spans="1:5">
      <c r="A24" s="200">
        <v>98956</v>
      </c>
      <c r="B24" s="200" t="s">
        <v>768</v>
      </c>
      <c r="C24" s="201"/>
      <c r="D24" s="202">
        <v>881</v>
      </c>
      <c r="E24" s="203">
        <v>62</v>
      </c>
    </row>
    <row r="25" spans="1:5">
      <c r="A25" s="200">
        <v>98958</v>
      </c>
      <c r="B25" s="200" t="s">
        <v>769</v>
      </c>
      <c r="C25" s="201"/>
      <c r="D25" s="202">
        <v>3863</v>
      </c>
      <c r="E25" s="203">
        <v>186</v>
      </c>
    </row>
    <row r="26" spans="1:5">
      <c r="A26" s="200">
        <v>98959</v>
      </c>
      <c r="B26" s="200" t="s">
        <v>770</v>
      </c>
      <c r="C26" s="201"/>
      <c r="D26" s="202">
        <v>33</v>
      </c>
      <c r="E26" s="203">
        <v>0</v>
      </c>
    </row>
    <row r="27" spans="1:5">
      <c r="A27" s="200">
        <v>98961</v>
      </c>
      <c r="B27" s="200" t="s">
        <v>804</v>
      </c>
      <c r="C27" s="201">
        <v>339.51</v>
      </c>
      <c r="D27" s="202">
        <v>2578</v>
      </c>
      <c r="E27" s="203">
        <v>0</v>
      </c>
    </row>
    <row r="28" spans="1:5">
      <c r="A28" s="200">
        <v>98965</v>
      </c>
      <c r="B28" s="200" t="s">
        <v>762</v>
      </c>
      <c r="C28" s="201">
        <v>192.63</v>
      </c>
      <c r="D28" s="202">
        <v>797</v>
      </c>
      <c r="E28" s="203">
        <v>30</v>
      </c>
    </row>
    <row r="29" spans="1:5">
      <c r="A29" s="200">
        <v>98976</v>
      </c>
      <c r="B29" s="200" t="s">
        <v>780</v>
      </c>
      <c r="C29" s="201"/>
      <c r="D29" s="202">
        <v>47</v>
      </c>
      <c r="E29" s="203">
        <v>0</v>
      </c>
    </row>
    <row r="30" spans="1:5">
      <c r="A30" s="200">
        <v>98979</v>
      </c>
      <c r="B30" s="200" t="s">
        <v>310</v>
      </c>
      <c r="C30" s="201"/>
      <c r="D30" s="202">
        <v>248</v>
      </c>
      <c r="E30" s="203">
        <v>0</v>
      </c>
    </row>
    <row r="31" spans="1:5">
      <c r="A31" s="200">
        <v>98983</v>
      </c>
      <c r="B31" s="200" t="s">
        <v>1108</v>
      </c>
      <c r="C31" s="201"/>
      <c r="D31" s="202"/>
      <c r="E31" s="203">
        <v>0</v>
      </c>
    </row>
    <row r="32" spans="1:5" ht="15.75" customHeight="1">
      <c r="A32" s="200">
        <v>98987</v>
      </c>
      <c r="B32" s="200" t="s">
        <v>765</v>
      </c>
      <c r="C32" s="201"/>
      <c r="D32" s="202">
        <v>62</v>
      </c>
      <c r="E32" s="203">
        <v>7</v>
      </c>
    </row>
    <row r="33" spans="1:5">
      <c r="A33" s="200">
        <v>98988</v>
      </c>
      <c r="B33" s="200" t="s">
        <v>766</v>
      </c>
      <c r="C33" s="201"/>
      <c r="D33" s="202">
        <v>0</v>
      </c>
      <c r="E33" s="203">
        <v>0</v>
      </c>
    </row>
    <row r="34" spans="1:5">
      <c r="A34" s="200">
        <v>98990</v>
      </c>
      <c r="B34" s="200" t="s">
        <v>779</v>
      </c>
      <c r="C34" s="201"/>
      <c r="D34" s="202">
        <v>123</v>
      </c>
      <c r="E34" s="203">
        <v>0</v>
      </c>
    </row>
    <row r="35" spans="1:5">
      <c r="A35" s="200">
        <v>99007</v>
      </c>
      <c r="B35" s="200" t="s">
        <v>767</v>
      </c>
      <c r="C35" s="201"/>
      <c r="D35" s="202">
        <v>404</v>
      </c>
      <c r="E35" s="203">
        <v>17</v>
      </c>
    </row>
    <row r="36" spans="1:5">
      <c r="A36" s="200">
        <v>99017</v>
      </c>
      <c r="B36" s="200" t="s">
        <v>759</v>
      </c>
      <c r="C36" s="201"/>
      <c r="D36" s="202">
        <v>4759</v>
      </c>
      <c r="E36" s="203">
        <v>217</v>
      </c>
    </row>
    <row r="37" spans="1:5">
      <c r="A37" s="200">
        <v>99026</v>
      </c>
      <c r="B37" s="200" t="s">
        <v>813</v>
      </c>
      <c r="C37" s="201">
        <v>516.69000000000005</v>
      </c>
      <c r="D37" s="202"/>
      <c r="E37" s="203">
        <v>0</v>
      </c>
    </row>
    <row r="38" spans="1:5">
      <c r="A38" s="200">
        <v>99058</v>
      </c>
      <c r="B38" s="200" t="s">
        <v>782</v>
      </c>
      <c r="C38" s="201"/>
      <c r="D38" s="202">
        <v>3162</v>
      </c>
      <c r="E38" s="203">
        <v>0</v>
      </c>
    </row>
    <row r="39" spans="1:5">
      <c r="A39" s="200">
        <v>99065</v>
      </c>
      <c r="B39" s="200" t="s">
        <v>777</v>
      </c>
      <c r="C39" s="201"/>
      <c r="D39" s="202">
        <v>1</v>
      </c>
      <c r="E39" s="203">
        <v>0</v>
      </c>
    </row>
    <row r="40" spans="1:5">
      <c r="A40" s="200">
        <v>99066</v>
      </c>
      <c r="B40" s="200" t="s">
        <v>776</v>
      </c>
      <c r="C40" s="201"/>
      <c r="D40" s="202">
        <v>997</v>
      </c>
      <c r="E40" s="203">
        <v>0</v>
      </c>
    </row>
    <row r="41" spans="1:5">
      <c r="A41" s="200">
        <v>99067</v>
      </c>
      <c r="B41" s="200" t="s">
        <v>760</v>
      </c>
      <c r="C41" s="201"/>
      <c r="D41" s="202">
        <v>313</v>
      </c>
      <c r="E41" s="203">
        <v>0</v>
      </c>
    </row>
    <row r="42" spans="1:5">
      <c r="A42" s="200">
        <v>99069</v>
      </c>
      <c r="B42" s="200" t="s">
        <v>761</v>
      </c>
      <c r="C42" s="201"/>
      <c r="D42" s="202">
        <v>2012</v>
      </c>
      <c r="E42" s="203">
        <v>93</v>
      </c>
    </row>
    <row r="43" spans="1:5">
      <c r="A43" s="200">
        <v>99093</v>
      </c>
      <c r="B43" s="200" t="s">
        <v>771</v>
      </c>
      <c r="C43" s="201"/>
      <c r="D43" s="202">
        <v>2955</v>
      </c>
      <c r="E43" s="203">
        <v>124</v>
      </c>
    </row>
    <row r="44" spans="1:5">
      <c r="A44" s="200">
        <v>99094</v>
      </c>
      <c r="B44" s="200" t="s">
        <v>772</v>
      </c>
      <c r="C44" s="201"/>
      <c r="D44" s="202">
        <v>2955</v>
      </c>
      <c r="E44" s="203">
        <v>124</v>
      </c>
    </row>
    <row r="45" spans="1:5">
      <c r="A45" s="200">
        <v>99095</v>
      </c>
      <c r="B45" s="200" t="s">
        <v>773</v>
      </c>
      <c r="C45" s="201"/>
      <c r="D45" s="202">
        <v>1101</v>
      </c>
      <c r="E45" s="203">
        <v>31</v>
      </c>
    </row>
    <row r="46" spans="1:5">
      <c r="A46" s="200">
        <v>99101</v>
      </c>
      <c r="B46" s="200" t="s">
        <v>811</v>
      </c>
      <c r="C46" s="201">
        <v>190.29</v>
      </c>
      <c r="D46" s="202">
        <v>14964</v>
      </c>
      <c r="E46" s="203">
        <v>0</v>
      </c>
    </row>
    <row r="47" spans="1:5">
      <c r="A47" s="200">
        <v>99102</v>
      </c>
      <c r="B47" s="200" t="s">
        <v>784</v>
      </c>
      <c r="C47" s="201">
        <v>759.57</v>
      </c>
      <c r="D47" s="202">
        <v>53566</v>
      </c>
      <c r="E47" s="203">
        <v>0</v>
      </c>
    </row>
    <row r="48" spans="1:5">
      <c r="A48" s="200">
        <v>99113</v>
      </c>
      <c r="B48" s="200" t="s">
        <v>775</v>
      </c>
      <c r="C48" s="201"/>
      <c r="D48" s="202">
        <v>217</v>
      </c>
      <c r="E48" s="203">
        <v>0</v>
      </c>
    </row>
    <row r="49" spans="1:5">
      <c r="A49" s="200">
        <v>99122</v>
      </c>
      <c r="B49" s="200" t="s">
        <v>1255</v>
      </c>
      <c r="C49" s="201"/>
      <c r="D49" s="202"/>
      <c r="E49" s="203"/>
    </row>
    <row r="50" spans="1:5">
      <c r="A50" s="200">
        <v>99128</v>
      </c>
      <c r="B50" s="200" t="s">
        <v>808</v>
      </c>
      <c r="C50" s="201"/>
      <c r="D50" s="202">
        <v>6901</v>
      </c>
      <c r="E50" s="203">
        <v>260</v>
      </c>
    </row>
    <row r="51" spans="1:5">
      <c r="A51" s="200">
        <v>99132</v>
      </c>
      <c r="B51" s="200" t="s">
        <v>1106</v>
      </c>
      <c r="C51" s="201"/>
      <c r="D51" s="202"/>
      <c r="E51" s="203">
        <v>8</v>
      </c>
    </row>
    <row r="52" spans="1:5">
      <c r="A52" s="200">
        <v>99133</v>
      </c>
      <c r="B52" s="200" t="s">
        <v>1107</v>
      </c>
      <c r="C52" s="204"/>
      <c r="D52" s="205"/>
      <c r="E52" s="205">
        <v>0</v>
      </c>
    </row>
    <row r="53" spans="1:5">
      <c r="A53" s="200">
        <v>99134</v>
      </c>
      <c r="B53" s="200" t="s">
        <v>809</v>
      </c>
      <c r="C53" s="201"/>
      <c r="D53" s="202">
        <v>3506</v>
      </c>
      <c r="E53" s="203">
        <v>0</v>
      </c>
    </row>
    <row r="54" spans="1:5">
      <c r="A54" s="200">
        <v>99140</v>
      </c>
      <c r="B54" s="200" t="s">
        <v>814</v>
      </c>
      <c r="C54" s="201"/>
      <c r="D54" s="202"/>
      <c r="E54" s="203">
        <v>0</v>
      </c>
    </row>
    <row r="55" spans="1:5">
      <c r="A55" s="200">
        <v>99159</v>
      </c>
      <c r="B55" s="200" t="s">
        <v>781</v>
      </c>
      <c r="C55" s="201"/>
      <c r="D55" s="202">
        <v>3283</v>
      </c>
      <c r="E55" s="203">
        <v>12</v>
      </c>
    </row>
    <row r="56" spans="1:5">
      <c r="A56" s="200">
        <v>99161</v>
      </c>
      <c r="B56" s="200" t="s">
        <v>818</v>
      </c>
      <c r="C56" s="201">
        <v>338.02</v>
      </c>
      <c r="D56" s="202"/>
      <c r="E56" s="203">
        <v>124</v>
      </c>
    </row>
    <row r="57" spans="1:5">
      <c r="A57" s="200">
        <v>99169</v>
      </c>
      <c r="B57" s="200" t="s">
        <v>802</v>
      </c>
      <c r="C57" s="201"/>
      <c r="D57" s="202"/>
      <c r="E57" s="203">
        <v>0</v>
      </c>
    </row>
    <row r="58" spans="1:5">
      <c r="A58" s="200">
        <v>99170</v>
      </c>
      <c r="B58" s="200" t="s">
        <v>798</v>
      </c>
      <c r="C58" s="201"/>
      <c r="D58" s="202"/>
      <c r="E58" s="203">
        <v>0</v>
      </c>
    </row>
    <row r="59" spans="1:5">
      <c r="A59" s="200">
        <v>99171</v>
      </c>
      <c r="B59" s="200" t="s">
        <v>822</v>
      </c>
      <c r="C59" s="204">
        <v>359.26</v>
      </c>
      <c r="D59" s="205"/>
      <c r="E59" s="205">
        <v>0</v>
      </c>
    </row>
    <row r="60" spans="1:5">
      <c r="A60" s="200">
        <v>99172</v>
      </c>
      <c r="B60" s="200" t="s">
        <v>1132</v>
      </c>
      <c r="C60" s="201"/>
      <c r="D60" s="202"/>
      <c r="E60" s="203">
        <v>0</v>
      </c>
    </row>
    <row r="61" spans="1:5">
      <c r="A61" s="200">
        <v>99173</v>
      </c>
      <c r="B61" s="200" t="s">
        <v>823</v>
      </c>
      <c r="C61" s="201">
        <v>181.52</v>
      </c>
      <c r="D61" s="202"/>
      <c r="E61" s="203">
        <v>0</v>
      </c>
    </row>
    <row r="62" spans="1:5">
      <c r="A62" s="200">
        <v>99186</v>
      </c>
      <c r="B62" s="200" t="s">
        <v>807</v>
      </c>
      <c r="C62" s="201"/>
      <c r="D62" s="202"/>
      <c r="E62" s="203">
        <v>126</v>
      </c>
    </row>
    <row r="63" spans="1:5">
      <c r="A63" s="200">
        <v>99194</v>
      </c>
      <c r="B63" s="200" t="s">
        <v>1109</v>
      </c>
      <c r="C63" s="201">
        <v>678.87</v>
      </c>
      <c r="D63" s="202"/>
      <c r="E63" s="203">
        <v>0</v>
      </c>
    </row>
    <row r="64" spans="1:5">
      <c r="A64" s="200">
        <v>99200</v>
      </c>
      <c r="B64" s="200" t="s">
        <v>800</v>
      </c>
      <c r="C64" s="201">
        <v>1515.44</v>
      </c>
      <c r="D64" s="202"/>
      <c r="E64" s="203">
        <v>0</v>
      </c>
    </row>
    <row r="65" spans="1:5">
      <c r="A65" s="200">
        <v>99225</v>
      </c>
      <c r="B65" s="200" t="s">
        <v>1126</v>
      </c>
      <c r="C65" s="201"/>
      <c r="D65" s="202"/>
      <c r="E65" s="203"/>
    </row>
    <row r="66" spans="1:5">
      <c r="A66" s="200">
        <v>99228</v>
      </c>
      <c r="B66" s="200" t="s">
        <v>78</v>
      </c>
      <c r="C66" s="201"/>
      <c r="D66" s="202"/>
      <c r="E66" s="203">
        <v>0</v>
      </c>
    </row>
    <row r="67" spans="1:5">
      <c r="A67" s="200">
        <v>99229</v>
      </c>
      <c r="B67" s="200" t="s">
        <v>749</v>
      </c>
      <c r="C67" s="201">
        <v>541.63</v>
      </c>
      <c r="D67" s="202">
        <v>32</v>
      </c>
      <c r="E67" s="203">
        <v>31</v>
      </c>
    </row>
    <row r="68" spans="1:5">
      <c r="A68" s="200">
        <v>99230</v>
      </c>
      <c r="B68" s="200" t="s">
        <v>753</v>
      </c>
      <c r="C68" s="201">
        <v>367.22</v>
      </c>
      <c r="D68" s="202">
        <v>3137</v>
      </c>
      <c r="E68" s="203">
        <v>0</v>
      </c>
    </row>
    <row r="69" spans="1:5">
      <c r="A69" s="200">
        <v>99246</v>
      </c>
      <c r="B69" s="200" t="s">
        <v>787</v>
      </c>
      <c r="C69" s="201">
        <v>180.88</v>
      </c>
      <c r="D69" s="202">
        <v>14483</v>
      </c>
      <c r="E69" s="203">
        <v>775</v>
      </c>
    </row>
    <row r="70" spans="1:5">
      <c r="A70" s="200">
        <v>99247</v>
      </c>
      <c r="B70" s="200" t="s">
        <v>1131</v>
      </c>
      <c r="C70" s="201"/>
      <c r="D70" s="202"/>
      <c r="E70" s="203">
        <v>0</v>
      </c>
    </row>
    <row r="71" spans="1:5">
      <c r="A71" s="200">
        <v>99255</v>
      </c>
      <c r="B71" s="200" t="s">
        <v>758</v>
      </c>
      <c r="C71" s="201"/>
      <c r="D71" s="202"/>
      <c r="E71" s="203">
        <v>0</v>
      </c>
    </row>
    <row r="72" spans="1:5">
      <c r="A72" s="200">
        <v>99256</v>
      </c>
      <c r="B72" s="200" t="s">
        <v>113</v>
      </c>
      <c r="C72" s="201">
        <v>180.88</v>
      </c>
      <c r="D72" s="202">
        <v>1790</v>
      </c>
      <c r="E72" s="203">
        <v>0</v>
      </c>
    </row>
    <row r="73" spans="1:5">
      <c r="A73" s="200">
        <v>99259</v>
      </c>
      <c r="B73" s="200" t="s">
        <v>1105</v>
      </c>
      <c r="C73" s="201">
        <v>183.49</v>
      </c>
      <c r="D73" s="202"/>
      <c r="E73" s="203"/>
    </row>
    <row r="74" spans="1:5">
      <c r="A74" s="200">
        <v>99265</v>
      </c>
      <c r="B74" s="200" t="s">
        <v>1123</v>
      </c>
      <c r="C74" s="201"/>
      <c r="D74" s="202">
        <v>8022</v>
      </c>
      <c r="E74" s="203">
        <v>243</v>
      </c>
    </row>
    <row r="75" spans="1:5">
      <c r="A75" s="200">
        <v>99266</v>
      </c>
      <c r="B75" s="200" t="s">
        <v>1124</v>
      </c>
      <c r="C75" s="201"/>
      <c r="D75" s="202">
        <v>2879</v>
      </c>
      <c r="E75" s="203">
        <v>87</v>
      </c>
    </row>
    <row r="76" spans="1:5">
      <c r="A76" s="200">
        <v>99267</v>
      </c>
      <c r="B76" s="200" t="s">
        <v>1125</v>
      </c>
      <c r="C76" s="201"/>
      <c r="D76" s="202">
        <v>0</v>
      </c>
      <c r="E76" s="203">
        <v>0</v>
      </c>
    </row>
    <row r="77" spans="1:5">
      <c r="A77" s="200">
        <v>99268</v>
      </c>
      <c r="B77" s="200" t="s">
        <v>1129</v>
      </c>
      <c r="C77" s="201"/>
      <c r="D77" s="202">
        <v>6076</v>
      </c>
      <c r="E77" s="203">
        <v>319</v>
      </c>
    </row>
    <row r="78" spans="1:5">
      <c r="A78" s="200">
        <v>99269</v>
      </c>
      <c r="B78" s="200" t="s">
        <v>1128</v>
      </c>
      <c r="C78" s="201"/>
      <c r="D78" s="202">
        <v>1823</v>
      </c>
      <c r="E78" s="203">
        <v>310</v>
      </c>
    </row>
    <row r="79" spans="1:5">
      <c r="A79" s="200">
        <v>99270</v>
      </c>
      <c r="B79" s="200" t="s">
        <v>149</v>
      </c>
      <c r="C79" s="201">
        <v>1941.59</v>
      </c>
      <c r="D79" s="202">
        <v>91204</v>
      </c>
      <c r="E79" s="203">
        <v>651</v>
      </c>
    </row>
    <row r="80" spans="1:5">
      <c r="A80" s="200">
        <v>99278</v>
      </c>
      <c r="B80" s="200" t="s">
        <v>778</v>
      </c>
      <c r="C80" s="201"/>
      <c r="D80" s="202">
        <v>8053</v>
      </c>
      <c r="E80" s="203">
        <v>403</v>
      </c>
    </row>
    <row r="81" spans="1:5">
      <c r="A81" s="200">
        <v>99286</v>
      </c>
      <c r="B81" s="200" t="s">
        <v>754</v>
      </c>
      <c r="C81" s="201">
        <v>512.94000000000005</v>
      </c>
      <c r="D81" s="202">
        <v>703</v>
      </c>
      <c r="E81" s="203">
        <v>62</v>
      </c>
    </row>
    <row r="82" spans="1:5">
      <c r="A82" s="200">
        <v>99288</v>
      </c>
      <c r="B82" s="200" t="s">
        <v>1122</v>
      </c>
      <c r="C82" s="201"/>
      <c r="D82" s="202">
        <v>2</v>
      </c>
      <c r="E82" s="203">
        <v>0</v>
      </c>
    </row>
    <row r="83" spans="1:5">
      <c r="A83" s="200">
        <v>99293</v>
      </c>
      <c r="B83" s="200" t="s">
        <v>756</v>
      </c>
      <c r="C83" s="201">
        <v>340.2</v>
      </c>
      <c r="D83" s="202">
        <v>398</v>
      </c>
      <c r="E83" s="203">
        <v>31</v>
      </c>
    </row>
    <row r="84" spans="1:5">
      <c r="A84" s="200">
        <v>99294</v>
      </c>
      <c r="B84" s="200" t="s">
        <v>755</v>
      </c>
      <c r="C84" s="201">
        <v>1010.26</v>
      </c>
      <c r="D84" s="202">
        <v>839</v>
      </c>
      <c r="E84" s="203">
        <v>31</v>
      </c>
    </row>
    <row r="85" spans="1:5">
      <c r="A85" s="200">
        <v>99295</v>
      </c>
      <c r="B85" s="200" t="s">
        <v>757</v>
      </c>
      <c r="C85" s="201">
        <v>2520.25</v>
      </c>
      <c r="D85" s="202">
        <v>2878</v>
      </c>
      <c r="E85" s="203">
        <v>217</v>
      </c>
    </row>
    <row r="86" spans="1:5">
      <c r="A86" s="200">
        <v>99296</v>
      </c>
      <c r="B86" s="200" t="s">
        <v>821</v>
      </c>
      <c r="C86" s="201"/>
      <c r="D86" s="202"/>
      <c r="E86" s="203">
        <v>0</v>
      </c>
    </row>
    <row r="87" spans="1:5">
      <c r="A87" s="200">
        <v>99297</v>
      </c>
      <c r="B87" s="200" t="s">
        <v>783</v>
      </c>
      <c r="C87" s="201">
        <v>2384.7199999999998</v>
      </c>
      <c r="D87" s="202">
        <v>783</v>
      </c>
      <c r="E87" s="203">
        <v>0</v>
      </c>
    </row>
    <row r="88" spans="1:5">
      <c r="A88" s="200">
        <v>99302</v>
      </c>
      <c r="B88" s="200" t="s">
        <v>820</v>
      </c>
      <c r="C88" s="201"/>
      <c r="D88" s="202">
        <v>677</v>
      </c>
      <c r="E88" s="203">
        <v>0</v>
      </c>
    </row>
    <row r="89" spans="1:5">
      <c r="A89" s="200">
        <v>99305</v>
      </c>
      <c r="B89" s="200" t="s">
        <v>819</v>
      </c>
      <c r="C89" s="201"/>
      <c r="D89" s="202"/>
      <c r="E89" s="203">
        <v>0</v>
      </c>
    </row>
    <row r="90" spans="1:5">
      <c r="A90" s="200">
        <v>99307</v>
      </c>
      <c r="B90" s="200" t="s">
        <v>764</v>
      </c>
      <c r="C90" s="201"/>
      <c r="D90" s="202">
        <v>585</v>
      </c>
      <c r="E90" s="203">
        <v>0</v>
      </c>
    </row>
    <row r="91" spans="1:5">
      <c r="A91" s="200">
        <v>99312</v>
      </c>
      <c r="B91" s="200" t="s">
        <v>788</v>
      </c>
      <c r="C91" s="201"/>
      <c r="D91" s="202">
        <v>7899</v>
      </c>
      <c r="E91" s="203">
        <v>651</v>
      </c>
    </row>
    <row r="92" spans="1:5">
      <c r="A92" s="200">
        <v>599109</v>
      </c>
      <c r="B92" s="200" t="s">
        <v>789</v>
      </c>
      <c r="C92" s="201">
        <v>180.4</v>
      </c>
      <c r="D92" s="202">
        <v>12440</v>
      </c>
      <c r="E92" s="203">
        <v>465</v>
      </c>
    </row>
    <row r="93" spans="1:5">
      <c r="A93" s="219">
        <v>699109</v>
      </c>
      <c r="B93" s="219" t="s">
        <v>790</v>
      </c>
      <c r="C93" s="220"/>
      <c r="D93" s="221">
        <v>1748</v>
      </c>
      <c r="E93" s="222">
        <v>0</v>
      </c>
    </row>
    <row r="94" spans="1:5" s="177" customFormat="1" ht="21">
      <c r="A94" s="212" t="s">
        <v>626</v>
      </c>
      <c r="B94" s="212">
        <f>SUBTOTAL(103,Table4[Lease])</f>
        <v>89</v>
      </c>
      <c r="C94" s="216">
        <f>SUBTOTAL(109,Table4[OIL])</f>
        <v>18115.690000000002</v>
      </c>
      <c r="D94" s="217">
        <f>SUBTOTAL(109,Table4[GAS])</f>
        <v>287185</v>
      </c>
      <c r="E94" s="218">
        <f>SUBTOTAL(109,Table4[LEASE USE])</f>
        <v>6235</v>
      </c>
    </row>
  </sheetData>
  <mergeCells count="2">
    <mergeCell ref="A1:E1"/>
    <mergeCell ref="A2:E2"/>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6"/>
  <sheetViews>
    <sheetView zoomScale="70" zoomScaleNormal="70" workbookViewId="0">
      <pane ySplit="8" topLeftCell="A26" activePane="bottomLeft" state="frozen"/>
      <selection pane="bottomLeft" activeCell="F5" sqref="F5"/>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101.25">
      <c r="A4" s="13" t="s">
        <v>399</v>
      </c>
      <c r="B4" s="13"/>
      <c r="C4" s="13"/>
      <c r="D4" s="131">
        <v>43800</v>
      </c>
      <c r="E4" s="13"/>
      <c r="F4" s="215" t="s">
        <v>1276</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0" t="s">
        <v>405</v>
      </c>
      <c r="B8" s="150" t="s">
        <v>8</v>
      </c>
      <c r="C8" s="150" t="s">
        <v>7</v>
      </c>
      <c r="D8" s="150" t="s">
        <v>71</v>
      </c>
      <c r="E8" s="150" t="s">
        <v>47</v>
      </c>
      <c r="F8" s="150" t="s">
        <v>48</v>
      </c>
      <c r="G8" s="150" t="s">
        <v>72</v>
      </c>
      <c r="H8" s="150" t="s">
        <v>406</v>
      </c>
      <c r="I8" s="150" t="s">
        <v>407</v>
      </c>
      <c r="J8" s="150" t="s">
        <v>408</v>
      </c>
      <c r="K8" s="150" t="s">
        <v>409</v>
      </c>
      <c r="L8" s="150" t="s">
        <v>410</v>
      </c>
      <c r="M8" s="150" t="s">
        <v>411</v>
      </c>
      <c r="N8" s="150" t="s">
        <v>412</v>
      </c>
      <c r="O8" s="150" t="s">
        <v>413</v>
      </c>
      <c r="P8" s="150" t="s">
        <v>414</v>
      </c>
      <c r="Q8" s="150" t="s">
        <v>415</v>
      </c>
    </row>
    <row r="9" spans="1:17">
      <c r="B9" t="s">
        <v>73</v>
      </c>
      <c r="C9">
        <v>2</v>
      </c>
      <c r="D9">
        <v>127436</v>
      </c>
      <c r="E9" t="s">
        <v>74</v>
      </c>
      <c r="F9" t="s">
        <v>75</v>
      </c>
      <c r="G9" t="s">
        <v>76</v>
      </c>
      <c r="J9">
        <v>0</v>
      </c>
      <c r="K9">
        <v>0</v>
      </c>
      <c r="N9">
        <v>0</v>
      </c>
      <c r="O9">
        <v>0</v>
      </c>
    </row>
    <row r="10" spans="1:17">
      <c r="B10" t="s">
        <v>73</v>
      </c>
      <c r="C10">
        <v>2</v>
      </c>
      <c r="D10">
        <v>272206</v>
      </c>
      <c r="E10" t="s">
        <v>77</v>
      </c>
      <c r="F10" t="s">
        <v>78</v>
      </c>
      <c r="G10" t="s">
        <v>79</v>
      </c>
      <c r="J10">
        <v>149</v>
      </c>
      <c r="K10">
        <v>0</v>
      </c>
      <c r="N10">
        <v>149</v>
      </c>
      <c r="O10">
        <v>2</v>
      </c>
      <c r="P10">
        <v>1</v>
      </c>
      <c r="Q10">
        <v>1</v>
      </c>
    </row>
    <row r="11" spans="1:17">
      <c r="P11">
        <v>1</v>
      </c>
      <c r="Q11">
        <v>2</v>
      </c>
    </row>
    <row r="12" spans="1:17">
      <c r="B12" t="s">
        <v>73</v>
      </c>
      <c r="C12">
        <v>2</v>
      </c>
      <c r="D12">
        <v>250887</v>
      </c>
      <c r="E12" t="s">
        <v>80</v>
      </c>
      <c r="F12" t="s">
        <v>81</v>
      </c>
      <c r="G12">
        <v>1</v>
      </c>
      <c r="J12">
        <v>0</v>
      </c>
      <c r="K12">
        <v>0</v>
      </c>
      <c r="N12">
        <v>0</v>
      </c>
      <c r="O12" s="164">
        <v>5165</v>
      </c>
      <c r="P12">
        <v>217</v>
      </c>
      <c r="Q12">
        <v>1</v>
      </c>
    </row>
    <row r="13" spans="1:17">
      <c r="P13" s="164">
        <v>4948</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200525</v>
      </c>
      <c r="E16" t="s">
        <v>85</v>
      </c>
      <c r="F16" t="s">
        <v>87</v>
      </c>
      <c r="G16">
        <v>1</v>
      </c>
      <c r="J16">
        <v>0</v>
      </c>
      <c r="K16">
        <v>0</v>
      </c>
      <c r="N16">
        <v>0</v>
      </c>
      <c r="O16">
        <v>0</v>
      </c>
    </row>
    <row r="17" spans="2:17">
      <c r="B17" t="s">
        <v>73</v>
      </c>
      <c r="C17">
        <v>2</v>
      </c>
      <c r="D17">
        <v>258014</v>
      </c>
      <c r="E17" t="s">
        <v>88</v>
      </c>
      <c r="F17" t="s">
        <v>89</v>
      </c>
      <c r="G17">
        <v>1</v>
      </c>
      <c r="J17">
        <v>132</v>
      </c>
      <c r="K17">
        <v>0</v>
      </c>
      <c r="N17">
        <v>132</v>
      </c>
      <c r="O17">
        <v>0</v>
      </c>
    </row>
    <row r="18" spans="2:17">
      <c r="B18" t="s">
        <v>90</v>
      </c>
      <c r="C18">
        <v>2</v>
      </c>
      <c r="D18">
        <v>394</v>
      </c>
      <c r="E18" t="s">
        <v>91</v>
      </c>
      <c r="F18" t="s">
        <v>92</v>
      </c>
      <c r="J18">
        <v>300</v>
      </c>
      <c r="K18">
        <v>666</v>
      </c>
      <c r="L18">
        <v>666</v>
      </c>
      <c r="M18">
        <v>1</v>
      </c>
      <c r="N18">
        <v>300</v>
      </c>
      <c r="O18">
        <v>0</v>
      </c>
    </row>
    <row r="19" spans="2:17">
      <c r="B19" t="s">
        <v>73</v>
      </c>
      <c r="C19">
        <v>2</v>
      </c>
      <c r="D19">
        <v>207897</v>
      </c>
      <c r="E19" t="s">
        <v>93</v>
      </c>
      <c r="F19" t="s">
        <v>94</v>
      </c>
      <c r="G19">
        <v>1</v>
      </c>
      <c r="J19">
        <v>0</v>
      </c>
      <c r="K19">
        <v>0</v>
      </c>
      <c r="N19">
        <v>0</v>
      </c>
      <c r="O19">
        <v>0</v>
      </c>
    </row>
    <row r="20" spans="2:17">
      <c r="B20" t="s">
        <v>73</v>
      </c>
      <c r="C20">
        <v>2</v>
      </c>
      <c r="D20">
        <v>145447</v>
      </c>
      <c r="E20" t="s">
        <v>95</v>
      </c>
      <c r="F20" t="s">
        <v>92</v>
      </c>
      <c r="G20">
        <v>5</v>
      </c>
      <c r="J20">
        <v>0</v>
      </c>
      <c r="K20">
        <v>0</v>
      </c>
      <c r="N20">
        <v>0</v>
      </c>
      <c r="O20">
        <v>0</v>
      </c>
    </row>
    <row r="21" spans="2:17">
      <c r="B21" t="s">
        <v>90</v>
      </c>
      <c r="C21">
        <v>2</v>
      </c>
      <c r="D21">
        <v>5446</v>
      </c>
      <c r="E21" t="s">
        <v>96</v>
      </c>
      <c r="F21" t="s">
        <v>97</v>
      </c>
      <c r="J21">
        <v>176</v>
      </c>
      <c r="K21">
        <v>26</v>
      </c>
      <c r="N21">
        <v>202</v>
      </c>
      <c r="O21">
        <v>0</v>
      </c>
    </row>
    <row r="22" spans="2:17">
      <c r="B22" t="s">
        <v>90</v>
      </c>
      <c r="C22">
        <v>2</v>
      </c>
      <c r="D22">
        <v>6169</v>
      </c>
      <c r="E22" t="s">
        <v>96</v>
      </c>
      <c r="F22" t="s">
        <v>98</v>
      </c>
      <c r="J22">
        <v>66</v>
      </c>
      <c r="K22">
        <v>19</v>
      </c>
      <c r="N22">
        <v>85</v>
      </c>
      <c r="O22">
        <v>0</v>
      </c>
    </row>
    <row r="23" spans="2:17">
      <c r="B23" t="s">
        <v>90</v>
      </c>
      <c r="C23">
        <v>2</v>
      </c>
      <c r="D23">
        <v>8462</v>
      </c>
      <c r="E23" t="s">
        <v>99</v>
      </c>
      <c r="F23" t="s">
        <v>97</v>
      </c>
      <c r="J23">
        <v>0</v>
      </c>
      <c r="K23">
        <v>0</v>
      </c>
      <c r="N23">
        <v>0</v>
      </c>
      <c r="O23">
        <v>0</v>
      </c>
    </row>
    <row r="24" spans="2:17">
      <c r="B24" t="s">
        <v>73</v>
      </c>
      <c r="C24">
        <v>2</v>
      </c>
      <c r="D24">
        <v>192476</v>
      </c>
      <c r="E24" t="s">
        <v>100</v>
      </c>
      <c r="F24" t="s">
        <v>101</v>
      </c>
      <c r="G24">
        <v>1</v>
      </c>
      <c r="J24">
        <v>116</v>
      </c>
      <c r="K24">
        <v>0</v>
      </c>
      <c r="N24">
        <v>116</v>
      </c>
      <c r="O24">
        <v>0</v>
      </c>
    </row>
    <row r="25" spans="2:17">
      <c r="B25" t="s">
        <v>73</v>
      </c>
      <c r="C25">
        <v>2</v>
      </c>
      <c r="D25">
        <v>245422</v>
      </c>
      <c r="E25" t="s">
        <v>102</v>
      </c>
      <c r="F25" t="s">
        <v>103</v>
      </c>
      <c r="G25">
        <v>1</v>
      </c>
      <c r="J25">
        <v>334</v>
      </c>
      <c r="K25">
        <v>800</v>
      </c>
      <c r="L25">
        <v>760</v>
      </c>
      <c r="M25">
        <v>1</v>
      </c>
      <c r="N25">
        <v>374</v>
      </c>
      <c r="O25" s="164">
        <v>55666</v>
      </c>
      <c r="P25" s="164">
        <v>55666</v>
      </c>
      <c r="Q25">
        <v>2</v>
      </c>
    </row>
    <row r="26" spans="2:17">
      <c r="B26" t="s">
        <v>90</v>
      </c>
      <c r="C26">
        <v>2</v>
      </c>
      <c r="D26">
        <v>8646</v>
      </c>
      <c r="E26" t="s">
        <v>104</v>
      </c>
      <c r="F26" t="s">
        <v>105</v>
      </c>
      <c r="J26">
        <v>121</v>
      </c>
      <c r="K26">
        <v>71</v>
      </c>
      <c r="N26">
        <v>192</v>
      </c>
      <c r="O26">
        <v>0</v>
      </c>
    </row>
    <row r="27" spans="2:17">
      <c r="B27" t="s">
        <v>73</v>
      </c>
      <c r="C27">
        <v>2</v>
      </c>
      <c r="D27">
        <v>52283</v>
      </c>
      <c r="E27" t="s">
        <v>106</v>
      </c>
      <c r="F27" t="s">
        <v>107</v>
      </c>
      <c r="G27">
        <v>1</v>
      </c>
      <c r="J27">
        <v>240</v>
      </c>
      <c r="K27">
        <v>0</v>
      </c>
      <c r="N27">
        <v>240</v>
      </c>
      <c r="O27">
        <v>0</v>
      </c>
    </row>
    <row r="28" spans="2:17">
      <c r="B28" t="s">
        <v>73</v>
      </c>
      <c r="C28">
        <v>2</v>
      </c>
      <c r="D28">
        <v>253815</v>
      </c>
      <c r="E28" t="s">
        <v>108</v>
      </c>
      <c r="F28" t="s">
        <v>109</v>
      </c>
      <c r="G28">
        <v>1</v>
      </c>
      <c r="J28">
        <v>0</v>
      </c>
      <c r="K28">
        <v>0</v>
      </c>
      <c r="N28">
        <v>0</v>
      </c>
      <c r="O28">
        <v>0</v>
      </c>
    </row>
    <row r="29" spans="2:17">
      <c r="B29" t="s">
        <v>73</v>
      </c>
      <c r="C29">
        <v>2</v>
      </c>
      <c r="D29">
        <v>172874</v>
      </c>
      <c r="E29" t="s">
        <v>110</v>
      </c>
      <c r="F29" t="s">
        <v>111</v>
      </c>
      <c r="G29">
        <v>1</v>
      </c>
      <c r="J29">
        <v>0</v>
      </c>
      <c r="K29">
        <v>0</v>
      </c>
      <c r="N29">
        <v>0</v>
      </c>
      <c r="O29">
        <v>0</v>
      </c>
    </row>
    <row r="30" spans="2:17">
      <c r="B30" t="s">
        <v>73</v>
      </c>
      <c r="C30">
        <v>2</v>
      </c>
      <c r="D30">
        <v>180461</v>
      </c>
      <c r="E30" t="s">
        <v>112</v>
      </c>
      <c r="F30" t="s">
        <v>111</v>
      </c>
      <c r="G30">
        <v>1</v>
      </c>
      <c r="I30">
        <v>5048</v>
      </c>
      <c r="J30">
        <v>154</v>
      </c>
      <c r="K30">
        <v>68</v>
      </c>
      <c r="N30">
        <v>222</v>
      </c>
      <c r="O30" s="164">
        <v>1871</v>
      </c>
      <c r="P30" s="164">
        <v>1871</v>
      </c>
      <c r="Q30">
        <v>2</v>
      </c>
    </row>
    <row r="31" spans="2:17">
      <c r="B31" t="s">
        <v>73</v>
      </c>
      <c r="C31">
        <v>2</v>
      </c>
      <c r="D31">
        <v>198005</v>
      </c>
      <c r="E31" t="s">
        <v>112</v>
      </c>
      <c r="F31" t="s">
        <v>113</v>
      </c>
      <c r="G31">
        <v>5</v>
      </c>
      <c r="I31">
        <v>5048</v>
      </c>
      <c r="J31">
        <v>0</v>
      </c>
      <c r="K31">
        <v>0</v>
      </c>
      <c r="N31">
        <v>0</v>
      </c>
      <c r="O31">
        <v>0</v>
      </c>
    </row>
    <row r="32" spans="2:17">
      <c r="B32" t="s">
        <v>73</v>
      </c>
      <c r="C32">
        <v>2</v>
      </c>
      <c r="D32">
        <v>286124</v>
      </c>
      <c r="E32" t="s">
        <v>114</v>
      </c>
      <c r="F32" t="s">
        <v>89</v>
      </c>
      <c r="G32">
        <v>1</v>
      </c>
      <c r="J32">
        <v>80</v>
      </c>
      <c r="K32">
        <v>0</v>
      </c>
      <c r="N32">
        <v>80</v>
      </c>
      <c r="O32">
        <v>0</v>
      </c>
    </row>
    <row r="33" spans="2:15">
      <c r="B33" t="s">
        <v>73</v>
      </c>
      <c r="C33">
        <v>2</v>
      </c>
      <c r="D33">
        <v>132690</v>
      </c>
      <c r="E33" t="s">
        <v>115</v>
      </c>
      <c r="F33" t="s">
        <v>116</v>
      </c>
      <c r="G33">
        <v>1</v>
      </c>
      <c r="I33">
        <v>5113</v>
      </c>
      <c r="J33">
        <v>84</v>
      </c>
      <c r="K33">
        <v>0</v>
      </c>
      <c r="N33">
        <v>84</v>
      </c>
      <c r="O33">
        <v>0</v>
      </c>
    </row>
    <row r="34" spans="2:15">
      <c r="B34" t="s">
        <v>73</v>
      </c>
      <c r="C34">
        <v>2</v>
      </c>
      <c r="D34">
        <v>189915</v>
      </c>
      <c r="E34" t="s">
        <v>115</v>
      </c>
      <c r="F34" t="s">
        <v>117</v>
      </c>
      <c r="G34">
        <v>2</v>
      </c>
      <c r="I34">
        <v>5113</v>
      </c>
      <c r="J34">
        <v>0</v>
      </c>
      <c r="K34">
        <v>0</v>
      </c>
      <c r="N34">
        <v>0</v>
      </c>
      <c r="O34">
        <v>0</v>
      </c>
    </row>
    <row r="35" spans="2:15">
      <c r="B35" t="s">
        <v>90</v>
      </c>
      <c r="C35">
        <v>2</v>
      </c>
      <c r="D35">
        <v>5086</v>
      </c>
      <c r="E35" t="s">
        <v>118</v>
      </c>
      <c r="F35" t="s">
        <v>119</v>
      </c>
      <c r="J35">
        <v>0</v>
      </c>
      <c r="K35">
        <v>0</v>
      </c>
      <c r="N35">
        <v>0</v>
      </c>
      <c r="O35">
        <v>0</v>
      </c>
    </row>
    <row r="36" spans="2:15">
      <c r="B36" t="s">
        <v>90</v>
      </c>
      <c r="C36">
        <v>2</v>
      </c>
      <c r="D36">
        <v>6739</v>
      </c>
      <c r="E36" t="s">
        <v>120</v>
      </c>
      <c r="F36" t="s">
        <v>121</v>
      </c>
      <c r="J36">
        <v>0</v>
      </c>
      <c r="K36">
        <v>0</v>
      </c>
      <c r="N36">
        <v>0</v>
      </c>
      <c r="O36">
        <v>0</v>
      </c>
    </row>
    <row r="37" spans="2:15">
      <c r="B37" t="s">
        <v>90</v>
      </c>
      <c r="C37">
        <v>2</v>
      </c>
      <c r="D37">
        <v>8169</v>
      </c>
      <c r="E37" t="s">
        <v>122</v>
      </c>
      <c r="F37" t="s">
        <v>121</v>
      </c>
      <c r="J37">
        <v>0</v>
      </c>
      <c r="K37">
        <v>0</v>
      </c>
      <c r="N37">
        <v>0</v>
      </c>
      <c r="O37">
        <v>0</v>
      </c>
    </row>
    <row r="38" spans="2:15">
      <c r="B38" t="s">
        <v>90</v>
      </c>
      <c r="C38">
        <v>2</v>
      </c>
      <c r="D38">
        <v>8635</v>
      </c>
      <c r="E38" t="s">
        <v>123</v>
      </c>
      <c r="F38" t="s">
        <v>124</v>
      </c>
      <c r="J38">
        <v>0</v>
      </c>
      <c r="K38">
        <v>0</v>
      </c>
      <c r="N38">
        <v>0</v>
      </c>
      <c r="O38">
        <v>0</v>
      </c>
    </row>
    <row r="39" spans="2:15">
      <c r="B39" t="s">
        <v>90</v>
      </c>
      <c r="C39">
        <v>2</v>
      </c>
      <c r="D39">
        <v>8247</v>
      </c>
      <c r="E39" t="s">
        <v>125</v>
      </c>
      <c r="F39" t="s">
        <v>124</v>
      </c>
      <c r="J39">
        <v>0</v>
      </c>
      <c r="K39">
        <v>0</v>
      </c>
      <c r="N39">
        <v>0</v>
      </c>
      <c r="O39">
        <v>0</v>
      </c>
    </row>
    <row r="40" spans="2:15">
      <c r="B40" t="s">
        <v>73</v>
      </c>
      <c r="C40">
        <v>2</v>
      </c>
      <c r="D40">
        <v>182045</v>
      </c>
      <c r="E40" t="s">
        <v>126</v>
      </c>
      <c r="F40" t="s">
        <v>124</v>
      </c>
      <c r="G40">
        <v>5</v>
      </c>
      <c r="J40">
        <v>0</v>
      </c>
      <c r="K40">
        <v>0</v>
      </c>
      <c r="N40">
        <v>0</v>
      </c>
      <c r="O40">
        <v>0</v>
      </c>
    </row>
    <row r="41" spans="2:15">
      <c r="B41" t="s">
        <v>90</v>
      </c>
      <c r="C41">
        <v>2</v>
      </c>
      <c r="D41">
        <v>4248</v>
      </c>
      <c r="E41" t="s">
        <v>127</v>
      </c>
      <c r="F41" t="s">
        <v>128</v>
      </c>
      <c r="J41">
        <v>213</v>
      </c>
      <c r="K41">
        <v>0</v>
      </c>
      <c r="N41">
        <v>213</v>
      </c>
      <c r="O41">
        <v>0</v>
      </c>
    </row>
    <row r="42" spans="2:15">
      <c r="B42" t="s">
        <v>73</v>
      </c>
      <c r="C42">
        <v>2</v>
      </c>
      <c r="D42">
        <v>184558</v>
      </c>
      <c r="E42" t="s">
        <v>129</v>
      </c>
      <c r="F42" t="s">
        <v>113</v>
      </c>
      <c r="G42">
        <v>3</v>
      </c>
      <c r="I42">
        <v>5048</v>
      </c>
      <c r="J42">
        <v>0</v>
      </c>
      <c r="K42">
        <v>0</v>
      </c>
      <c r="N42">
        <v>0</v>
      </c>
      <c r="O42">
        <v>0</v>
      </c>
    </row>
    <row r="43" spans="2:15">
      <c r="B43" t="s">
        <v>73</v>
      </c>
      <c r="C43">
        <v>2</v>
      </c>
      <c r="D43">
        <v>133437</v>
      </c>
      <c r="E43" t="s">
        <v>130</v>
      </c>
      <c r="F43" t="s">
        <v>131</v>
      </c>
      <c r="G43">
        <v>1</v>
      </c>
      <c r="J43">
        <v>166</v>
      </c>
      <c r="K43">
        <v>0</v>
      </c>
      <c r="N43">
        <v>166</v>
      </c>
      <c r="O43">
        <v>0</v>
      </c>
    </row>
    <row r="44" spans="2:15">
      <c r="B44" t="s">
        <v>73</v>
      </c>
      <c r="C44">
        <v>2</v>
      </c>
      <c r="D44">
        <v>264004</v>
      </c>
      <c r="E44" t="s">
        <v>132</v>
      </c>
      <c r="F44" t="s">
        <v>133</v>
      </c>
      <c r="G44">
        <v>1</v>
      </c>
      <c r="J44">
        <v>0</v>
      </c>
      <c r="K44">
        <v>0</v>
      </c>
      <c r="N44">
        <v>0</v>
      </c>
      <c r="O44">
        <v>0</v>
      </c>
    </row>
    <row r="45" spans="2:15">
      <c r="B45" t="s">
        <v>73</v>
      </c>
      <c r="C45">
        <v>2</v>
      </c>
      <c r="D45">
        <v>220079</v>
      </c>
      <c r="E45" t="s">
        <v>134</v>
      </c>
      <c r="F45" t="s">
        <v>135</v>
      </c>
      <c r="G45">
        <v>2</v>
      </c>
      <c r="J45">
        <v>0</v>
      </c>
      <c r="K45">
        <v>0</v>
      </c>
      <c r="N45">
        <v>0</v>
      </c>
      <c r="O45">
        <v>0</v>
      </c>
    </row>
    <row r="46" spans="2:15">
      <c r="B46" t="s">
        <v>90</v>
      </c>
      <c r="C46">
        <v>2</v>
      </c>
      <c r="D46">
        <v>10778</v>
      </c>
      <c r="E46" t="s">
        <v>136</v>
      </c>
      <c r="F46" t="s">
        <v>137</v>
      </c>
      <c r="J46">
        <v>0</v>
      </c>
      <c r="K46">
        <v>0</v>
      </c>
      <c r="N46">
        <v>0</v>
      </c>
      <c r="O46">
        <v>0</v>
      </c>
    </row>
    <row r="47" spans="2:15">
      <c r="B47" t="s">
        <v>73</v>
      </c>
      <c r="C47">
        <v>2</v>
      </c>
      <c r="D47">
        <v>280417</v>
      </c>
      <c r="E47" t="s">
        <v>136</v>
      </c>
      <c r="F47" t="s">
        <v>138</v>
      </c>
      <c r="G47">
        <v>1</v>
      </c>
      <c r="J47">
        <v>0</v>
      </c>
      <c r="K47">
        <v>0</v>
      </c>
      <c r="N47">
        <v>0</v>
      </c>
      <c r="O47">
        <v>0</v>
      </c>
    </row>
    <row r="48" spans="2:15">
      <c r="B48" t="s">
        <v>73</v>
      </c>
      <c r="C48">
        <v>2</v>
      </c>
      <c r="D48">
        <v>138470</v>
      </c>
      <c r="E48" t="s">
        <v>139</v>
      </c>
      <c r="F48" t="s">
        <v>140</v>
      </c>
      <c r="G48">
        <v>1</v>
      </c>
      <c r="J48">
        <v>0</v>
      </c>
      <c r="K48">
        <v>0</v>
      </c>
      <c r="N48">
        <v>0</v>
      </c>
      <c r="O48">
        <v>0</v>
      </c>
    </row>
    <row r="49" spans="2:17">
      <c r="B49" t="s">
        <v>73</v>
      </c>
      <c r="C49">
        <v>2</v>
      </c>
      <c r="D49">
        <v>53255</v>
      </c>
      <c r="E49" t="s">
        <v>141</v>
      </c>
      <c r="F49" t="s">
        <v>142</v>
      </c>
      <c r="G49">
        <v>1</v>
      </c>
      <c r="J49">
        <v>0</v>
      </c>
      <c r="K49">
        <v>0</v>
      </c>
      <c r="N49">
        <v>0</v>
      </c>
      <c r="O49">
        <v>0</v>
      </c>
    </row>
    <row r="50" spans="2:17">
      <c r="B50" t="s">
        <v>73</v>
      </c>
      <c r="C50">
        <v>2</v>
      </c>
      <c r="D50">
        <v>59225</v>
      </c>
      <c r="E50" t="s">
        <v>141</v>
      </c>
      <c r="F50" t="s">
        <v>142</v>
      </c>
      <c r="G50">
        <v>2</v>
      </c>
      <c r="J50">
        <v>0</v>
      </c>
      <c r="K50">
        <v>0</v>
      </c>
      <c r="N50">
        <v>0</v>
      </c>
      <c r="O50">
        <v>0</v>
      </c>
    </row>
    <row r="51" spans="2:17">
      <c r="B51" t="s">
        <v>73</v>
      </c>
      <c r="C51">
        <v>2</v>
      </c>
      <c r="D51">
        <v>174916</v>
      </c>
      <c r="E51" t="s">
        <v>141</v>
      </c>
      <c r="F51" t="s">
        <v>143</v>
      </c>
      <c r="G51">
        <v>4</v>
      </c>
      <c r="J51">
        <v>0</v>
      </c>
      <c r="K51">
        <v>0</v>
      </c>
      <c r="N51">
        <v>0</v>
      </c>
      <c r="O51">
        <v>81</v>
      </c>
      <c r="P51">
        <v>81</v>
      </c>
      <c r="Q51">
        <v>2</v>
      </c>
    </row>
    <row r="52" spans="2:17">
      <c r="B52" t="s">
        <v>90</v>
      </c>
      <c r="C52">
        <v>2</v>
      </c>
      <c r="D52">
        <v>10230</v>
      </c>
      <c r="E52" t="s">
        <v>144</v>
      </c>
      <c r="F52" t="s">
        <v>145</v>
      </c>
      <c r="J52">
        <v>180</v>
      </c>
      <c r="K52">
        <v>24</v>
      </c>
      <c r="N52">
        <v>204</v>
      </c>
      <c r="O52">
        <v>0</v>
      </c>
    </row>
    <row r="53" spans="2:17">
      <c r="B53" t="s">
        <v>90</v>
      </c>
      <c r="C53">
        <v>3</v>
      </c>
      <c r="D53">
        <v>27142</v>
      </c>
      <c r="E53" t="s">
        <v>146</v>
      </c>
      <c r="F53" t="s">
        <v>147</v>
      </c>
      <c r="J53">
        <v>0</v>
      </c>
      <c r="K53">
        <v>0</v>
      </c>
      <c r="N53">
        <v>0</v>
      </c>
      <c r="O53">
        <v>0</v>
      </c>
    </row>
    <row r="54" spans="2:17">
      <c r="B54" t="s">
        <v>73</v>
      </c>
      <c r="C54">
        <v>3</v>
      </c>
      <c r="D54">
        <v>280236</v>
      </c>
      <c r="E54" t="s">
        <v>148</v>
      </c>
      <c r="F54" t="s">
        <v>149</v>
      </c>
      <c r="G54">
        <v>1</v>
      </c>
      <c r="J54">
        <v>431</v>
      </c>
      <c r="K54" s="164">
        <v>2218</v>
      </c>
      <c r="L54" s="164">
        <v>1940</v>
      </c>
      <c r="M54">
        <v>1</v>
      </c>
      <c r="N54">
        <v>709</v>
      </c>
      <c r="O54" s="164">
        <v>108156</v>
      </c>
      <c r="P54">
        <v>651</v>
      </c>
      <c r="Q54">
        <v>1</v>
      </c>
    </row>
    <row r="55" spans="2:17">
      <c r="P55" s="164">
        <v>107505</v>
      </c>
      <c r="Q55">
        <v>2</v>
      </c>
    </row>
    <row r="56" spans="2:17">
      <c r="B56" t="s">
        <v>73</v>
      </c>
      <c r="C56">
        <v>3</v>
      </c>
      <c r="D56">
        <v>253385</v>
      </c>
      <c r="E56" t="s">
        <v>150</v>
      </c>
      <c r="F56" t="s">
        <v>151</v>
      </c>
      <c r="G56">
        <v>1</v>
      </c>
      <c r="J56">
        <v>53</v>
      </c>
      <c r="K56">
        <v>0</v>
      </c>
      <c r="N56">
        <v>53</v>
      </c>
      <c r="O56">
        <v>0</v>
      </c>
    </row>
    <row r="57" spans="2:17">
      <c r="B57" t="s">
        <v>90</v>
      </c>
      <c r="C57">
        <v>3</v>
      </c>
      <c r="D57">
        <v>26482</v>
      </c>
      <c r="E57" t="s">
        <v>152</v>
      </c>
      <c r="F57" t="s">
        <v>153</v>
      </c>
      <c r="J57">
        <v>139</v>
      </c>
      <c r="K57">
        <v>0</v>
      </c>
      <c r="N57">
        <v>139</v>
      </c>
      <c r="O57">
        <v>0</v>
      </c>
    </row>
    <row r="58" spans="2:17">
      <c r="B58" t="s">
        <v>90</v>
      </c>
      <c r="C58">
        <v>3</v>
      </c>
      <c r="D58">
        <v>27150</v>
      </c>
      <c r="E58" t="s">
        <v>152</v>
      </c>
      <c r="F58" t="s">
        <v>154</v>
      </c>
      <c r="J58">
        <v>0</v>
      </c>
      <c r="K58">
        <v>0</v>
      </c>
      <c r="N58">
        <v>0</v>
      </c>
      <c r="O58">
        <v>0</v>
      </c>
    </row>
    <row r="59" spans="2:17">
      <c r="B59" t="s">
        <v>90</v>
      </c>
      <c r="C59">
        <v>3</v>
      </c>
      <c r="D59">
        <v>26262</v>
      </c>
      <c r="E59" t="s">
        <v>155</v>
      </c>
      <c r="F59" t="s">
        <v>153</v>
      </c>
      <c r="J59">
        <v>28</v>
      </c>
      <c r="K59">
        <v>0</v>
      </c>
      <c r="N59">
        <v>28</v>
      </c>
      <c r="O59">
        <v>0</v>
      </c>
    </row>
    <row r="60" spans="2:17">
      <c r="B60" t="s">
        <v>90</v>
      </c>
      <c r="C60">
        <v>3</v>
      </c>
      <c r="D60">
        <v>27348</v>
      </c>
      <c r="E60" t="s">
        <v>155</v>
      </c>
      <c r="F60" t="s">
        <v>156</v>
      </c>
      <c r="J60">
        <v>187</v>
      </c>
      <c r="K60">
        <v>0</v>
      </c>
      <c r="N60">
        <v>187</v>
      </c>
      <c r="O60" s="164">
        <v>1442</v>
      </c>
      <c r="P60" s="164">
        <v>1442</v>
      </c>
      <c r="Q60">
        <v>2</v>
      </c>
    </row>
    <row r="61" spans="2:17">
      <c r="B61" t="s">
        <v>73</v>
      </c>
      <c r="C61">
        <v>3</v>
      </c>
      <c r="D61">
        <v>223401</v>
      </c>
      <c r="E61" t="s">
        <v>157</v>
      </c>
      <c r="F61" t="s">
        <v>158</v>
      </c>
      <c r="G61">
        <v>5</v>
      </c>
      <c r="J61">
        <v>0</v>
      </c>
      <c r="K61">
        <v>0</v>
      </c>
      <c r="N61">
        <v>0</v>
      </c>
      <c r="O61">
        <v>0</v>
      </c>
    </row>
    <row r="62" spans="2:17">
      <c r="B62" t="s">
        <v>90</v>
      </c>
      <c r="C62">
        <v>3</v>
      </c>
      <c r="D62">
        <v>27617</v>
      </c>
      <c r="E62" t="s">
        <v>1266</v>
      </c>
      <c r="F62" t="s">
        <v>1267</v>
      </c>
      <c r="J62">
        <v>187</v>
      </c>
      <c r="K62" s="164">
        <v>2082</v>
      </c>
      <c r="L62" s="164">
        <v>1960</v>
      </c>
      <c r="M62">
        <v>1</v>
      </c>
      <c r="N62">
        <v>309</v>
      </c>
      <c r="O62">
        <v>974</v>
      </c>
      <c r="P62">
        <v>974</v>
      </c>
      <c r="Q62">
        <v>2</v>
      </c>
    </row>
    <row r="63" spans="2:17">
      <c r="B63" t="s">
        <v>90</v>
      </c>
      <c r="C63">
        <v>3</v>
      </c>
      <c r="D63">
        <v>26909</v>
      </c>
      <c r="E63" t="s">
        <v>159</v>
      </c>
      <c r="F63" t="s">
        <v>153</v>
      </c>
      <c r="J63">
        <v>32</v>
      </c>
      <c r="K63">
        <v>0</v>
      </c>
      <c r="N63">
        <v>32</v>
      </c>
      <c r="O63">
        <v>0</v>
      </c>
    </row>
    <row r="64" spans="2:17">
      <c r="B64" t="s">
        <v>73</v>
      </c>
      <c r="C64">
        <v>3</v>
      </c>
      <c r="D64">
        <v>233975</v>
      </c>
      <c r="E64" t="s">
        <v>160</v>
      </c>
      <c r="F64" t="s">
        <v>161</v>
      </c>
      <c r="G64">
        <v>1</v>
      </c>
      <c r="J64">
        <v>0</v>
      </c>
      <c r="K64">
        <v>0</v>
      </c>
      <c r="N64">
        <v>0</v>
      </c>
      <c r="O64">
        <v>0</v>
      </c>
    </row>
    <row r="65" spans="2:17">
      <c r="B65" t="s">
        <v>73</v>
      </c>
      <c r="C65">
        <v>3</v>
      </c>
      <c r="D65">
        <v>250605</v>
      </c>
      <c r="E65" t="s">
        <v>162</v>
      </c>
      <c r="F65" t="s">
        <v>163</v>
      </c>
      <c r="G65">
        <v>7</v>
      </c>
      <c r="J65">
        <v>0</v>
      </c>
      <c r="K65">
        <v>0</v>
      </c>
      <c r="N65">
        <v>0</v>
      </c>
      <c r="O65">
        <v>0</v>
      </c>
    </row>
    <row r="66" spans="2:17">
      <c r="B66" t="s">
        <v>90</v>
      </c>
      <c r="C66">
        <v>3</v>
      </c>
      <c r="D66">
        <v>27151</v>
      </c>
      <c r="E66" t="s">
        <v>164</v>
      </c>
      <c r="F66" t="s">
        <v>165</v>
      </c>
      <c r="J66">
        <v>108</v>
      </c>
      <c r="K66">
        <v>0</v>
      </c>
      <c r="N66">
        <v>108</v>
      </c>
      <c r="O66">
        <v>0</v>
      </c>
    </row>
    <row r="67" spans="2:17">
      <c r="B67" t="s">
        <v>73</v>
      </c>
      <c r="C67">
        <v>3</v>
      </c>
      <c r="D67">
        <v>192497</v>
      </c>
      <c r="E67" t="s">
        <v>166</v>
      </c>
      <c r="F67" t="s">
        <v>167</v>
      </c>
      <c r="G67">
        <v>1</v>
      </c>
      <c r="J67">
        <v>0</v>
      </c>
      <c r="K67">
        <v>0</v>
      </c>
      <c r="N67">
        <v>0</v>
      </c>
      <c r="O67">
        <v>0</v>
      </c>
    </row>
    <row r="68" spans="2:17">
      <c r="B68" t="s">
        <v>90</v>
      </c>
      <c r="C68">
        <v>3</v>
      </c>
      <c r="D68">
        <v>21610</v>
      </c>
      <c r="E68" t="s">
        <v>168</v>
      </c>
      <c r="F68" t="s">
        <v>169</v>
      </c>
      <c r="J68">
        <v>281</v>
      </c>
      <c r="K68">
        <v>657</v>
      </c>
      <c r="L68">
        <v>661</v>
      </c>
      <c r="M68">
        <v>1</v>
      </c>
      <c r="N68">
        <v>277</v>
      </c>
      <c r="O68">
        <v>0</v>
      </c>
    </row>
    <row r="69" spans="2:17">
      <c r="B69" t="s">
        <v>73</v>
      </c>
      <c r="C69">
        <v>3</v>
      </c>
      <c r="D69">
        <v>272614</v>
      </c>
      <c r="E69" t="s">
        <v>170</v>
      </c>
      <c r="F69" t="s">
        <v>171</v>
      </c>
      <c r="G69">
        <v>1</v>
      </c>
      <c r="J69">
        <v>0</v>
      </c>
      <c r="K69">
        <v>0</v>
      </c>
      <c r="N69">
        <v>0</v>
      </c>
      <c r="O69">
        <v>0</v>
      </c>
    </row>
    <row r="70" spans="2:17">
      <c r="B70" t="s">
        <v>73</v>
      </c>
      <c r="C70">
        <v>3</v>
      </c>
      <c r="D70">
        <v>279199</v>
      </c>
      <c r="E70" t="s">
        <v>172</v>
      </c>
      <c r="F70" t="s">
        <v>171</v>
      </c>
      <c r="G70">
        <v>2</v>
      </c>
      <c r="J70">
        <v>27</v>
      </c>
      <c r="K70">
        <v>210</v>
      </c>
      <c r="L70">
        <v>184</v>
      </c>
      <c r="M70">
        <v>1</v>
      </c>
      <c r="N70">
        <v>53</v>
      </c>
      <c r="O70" s="164">
        <v>1893</v>
      </c>
      <c r="P70" s="164">
        <v>1893</v>
      </c>
      <c r="Q70">
        <v>2</v>
      </c>
    </row>
    <row r="71" spans="2:17">
      <c r="B71" t="s">
        <v>90</v>
      </c>
      <c r="C71">
        <v>3</v>
      </c>
      <c r="D71">
        <v>15252</v>
      </c>
      <c r="E71" t="s">
        <v>173</v>
      </c>
      <c r="F71" t="s">
        <v>174</v>
      </c>
      <c r="J71">
        <v>0</v>
      </c>
      <c r="K71">
        <v>0</v>
      </c>
      <c r="N71">
        <v>0</v>
      </c>
      <c r="O71">
        <v>0</v>
      </c>
    </row>
    <row r="72" spans="2:17">
      <c r="B72" t="s">
        <v>73</v>
      </c>
      <c r="C72">
        <v>3</v>
      </c>
      <c r="D72">
        <v>206045</v>
      </c>
      <c r="E72" t="s">
        <v>175</v>
      </c>
      <c r="F72" t="s">
        <v>176</v>
      </c>
      <c r="G72" t="s">
        <v>177</v>
      </c>
      <c r="J72">
        <v>169</v>
      </c>
      <c r="K72">
        <v>40</v>
      </c>
      <c r="L72">
        <v>174</v>
      </c>
      <c r="M72">
        <v>1</v>
      </c>
      <c r="N72">
        <v>35</v>
      </c>
      <c r="O72" s="164">
        <v>8627</v>
      </c>
      <c r="P72">
        <v>403</v>
      </c>
      <c r="Q72">
        <v>1</v>
      </c>
    </row>
    <row r="73" spans="2:17">
      <c r="P73" s="164">
        <v>8224</v>
      </c>
      <c r="Q73">
        <v>2</v>
      </c>
    </row>
    <row r="74" spans="2:17">
      <c r="B74" t="s">
        <v>73</v>
      </c>
      <c r="C74">
        <v>3</v>
      </c>
      <c r="D74">
        <v>188081</v>
      </c>
      <c r="E74" t="s">
        <v>178</v>
      </c>
      <c r="F74" t="s">
        <v>158</v>
      </c>
      <c r="G74">
        <v>1</v>
      </c>
      <c r="J74">
        <v>0</v>
      </c>
      <c r="K74">
        <v>0</v>
      </c>
      <c r="N74">
        <v>0</v>
      </c>
      <c r="O74">
        <v>0</v>
      </c>
    </row>
    <row r="75" spans="2:17">
      <c r="B75" t="s">
        <v>73</v>
      </c>
      <c r="C75">
        <v>3</v>
      </c>
      <c r="D75">
        <v>160307</v>
      </c>
      <c r="E75" t="s">
        <v>179</v>
      </c>
      <c r="F75" t="s">
        <v>180</v>
      </c>
      <c r="G75">
        <v>1</v>
      </c>
      <c r="J75">
        <v>173</v>
      </c>
      <c r="K75">
        <v>0</v>
      </c>
      <c r="N75">
        <v>173</v>
      </c>
      <c r="O75">
        <v>0</v>
      </c>
    </row>
    <row r="76" spans="2:17">
      <c r="B76" t="s">
        <v>90</v>
      </c>
      <c r="C76">
        <v>3</v>
      </c>
      <c r="D76">
        <v>27285</v>
      </c>
      <c r="E76" t="s">
        <v>181</v>
      </c>
      <c r="F76" t="s">
        <v>182</v>
      </c>
      <c r="J76">
        <v>172</v>
      </c>
      <c r="K76">
        <v>302</v>
      </c>
      <c r="N76">
        <v>474</v>
      </c>
      <c r="O76">
        <v>288</v>
      </c>
      <c r="P76">
        <v>31</v>
      </c>
      <c r="Q76">
        <v>1</v>
      </c>
    </row>
    <row r="77" spans="2:17">
      <c r="P77">
        <v>257</v>
      </c>
      <c r="Q77">
        <v>2</v>
      </c>
    </row>
    <row r="78" spans="2:17">
      <c r="B78" t="s">
        <v>90</v>
      </c>
      <c r="C78">
        <v>3</v>
      </c>
      <c r="D78">
        <v>27418</v>
      </c>
      <c r="E78" t="s">
        <v>183</v>
      </c>
      <c r="F78" t="s">
        <v>182</v>
      </c>
      <c r="J78">
        <v>514</v>
      </c>
      <c r="K78" s="164">
        <v>3671</v>
      </c>
      <c r="L78" s="164">
        <v>4010</v>
      </c>
      <c r="M78">
        <v>1</v>
      </c>
      <c r="N78">
        <v>175</v>
      </c>
      <c r="O78" s="164">
        <v>2007</v>
      </c>
      <c r="P78">
        <v>217</v>
      </c>
      <c r="Q78">
        <v>1</v>
      </c>
    </row>
    <row r="79" spans="2:17">
      <c r="P79" s="164">
        <v>1790</v>
      </c>
      <c r="Q79">
        <v>2</v>
      </c>
    </row>
    <row r="80" spans="2:17">
      <c r="B80" t="s">
        <v>73</v>
      </c>
      <c r="C80">
        <v>3</v>
      </c>
      <c r="D80">
        <v>282350</v>
      </c>
      <c r="E80" t="s">
        <v>183</v>
      </c>
      <c r="F80" t="s">
        <v>182</v>
      </c>
      <c r="G80" t="s">
        <v>184</v>
      </c>
      <c r="J80">
        <v>369</v>
      </c>
      <c r="K80">
        <v>756</v>
      </c>
      <c r="L80">
        <v>527</v>
      </c>
      <c r="M80">
        <v>1</v>
      </c>
      <c r="N80">
        <v>598</v>
      </c>
      <c r="O80">
        <v>716</v>
      </c>
      <c r="P80">
        <v>62</v>
      </c>
      <c r="Q80">
        <v>1</v>
      </c>
    </row>
    <row r="81" spans="2:17">
      <c r="P81">
        <v>654</v>
      </c>
      <c r="Q81">
        <v>2</v>
      </c>
    </row>
    <row r="82" spans="2:17">
      <c r="B82" t="s">
        <v>90</v>
      </c>
      <c r="C82">
        <v>3</v>
      </c>
      <c r="D82">
        <v>27236</v>
      </c>
      <c r="E82" t="s">
        <v>185</v>
      </c>
      <c r="F82" t="s">
        <v>182</v>
      </c>
      <c r="J82">
        <v>134</v>
      </c>
      <c r="K82">
        <v>579</v>
      </c>
      <c r="L82">
        <v>339</v>
      </c>
      <c r="M82">
        <v>1</v>
      </c>
      <c r="N82">
        <v>374</v>
      </c>
      <c r="O82">
        <v>525</v>
      </c>
      <c r="P82">
        <v>31</v>
      </c>
      <c r="Q82">
        <v>1</v>
      </c>
    </row>
    <row r="83" spans="2:17">
      <c r="P83">
        <v>494</v>
      </c>
      <c r="Q83">
        <v>2</v>
      </c>
    </row>
    <row r="84" spans="2:17">
      <c r="B84" t="s">
        <v>73</v>
      </c>
      <c r="C84">
        <v>3</v>
      </c>
      <c r="D84">
        <v>264922</v>
      </c>
      <c r="E84" t="s">
        <v>186</v>
      </c>
      <c r="F84" t="s">
        <v>187</v>
      </c>
      <c r="G84">
        <v>1</v>
      </c>
      <c r="J84">
        <v>0</v>
      </c>
      <c r="K84">
        <v>0</v>
      </c>
      <c r="N84">
        <v>0</v>
      </c>
      <c r="O84">
        <v>0</v>
      </c>
    </row>
    <row r="85" spans="2:17">
      <c r="B85" t="s">
        <v>90</v>
      </c>
      <c r="C85">
        <v>3</v>
      </c>
      <c r="D85">
        <v>26501</v>
      </c>
      <c r="E85" t="s">
        <v>188</v>
      </c>
      <c r="F85" t="s">
        <v>189</v>
      </c>
      <c r="J85">
        <v>114</v>
      </c>
      <c r="K85">
        <v>0</v>
      </c>
      <c r="N85">
        <v>114</v>
      </c>
      <c r="O85">
        <v>0</v>
      </c>
    </row>
    <row r="86" spans="2:17">
      <c r="B86" t="s">
        <v>90</v>
      </c>
      <c r="C86">
        <v>3</v>
      </c>
      <c r="D86">
        <v>24455</v>
      </c>
      <c r="E86" t="s">
        <v>190</v>
      </c>
      <c r="F86" t="s">
        <v>191</v>
      </c>
      <c r="J86">
        <v>0</v>
      </c>
      <c r="K86">
        <v>0</v>
      </c>
      <c r="N86">
        <v>0</v>
      </c>
      <c r="O86">
        <v>0</v>
      </c>
    </row>
    <row r="87" spans="2:17">
      <c r="B87" t="s">
        <v>73</v>
      </c>
      <c r="C87">
        <v>3</v>
      </c>
      <c r="D87">
        <v>278004</v>
      </c>
      <c r="E87" t="s">
        <v>190</v>
      </c>
      <c r="F87" t="s">
        <v>192</v>
      </c>
      <c r="G87">
        <v>3</v>
      </c>
      <c r="J87">
        <v>172</v>
      </c>
      <c r="K87">
        <v>40</v>
      </c>
      <c r="N87">
        <v>212</v>
      </c>
      <c r="O87" s="164">
        <v>1012</v>
      </c>
      <c r="P87">
        <v>30</v>
      </c>
      <c r="Q87">
        <v>1</v>
      </c>
    </row>
    <row r="88" spans="2:17">
      <c r="P88">
        <v>982</v>
      </c>
      <c r="Q88">
        <v>2</v>
      </c>
    </row>
    <row r="89" spans="2:17">
      <c r="B89" t="s">
        <v>90</v>
      </c>
      <c r="C89">
        <v>3</v>
      </c>
      <c r="D89">
        <v>2099</v>
      </c>
      <c r="E89" t="s">
        <v>193</v>
      </c>
      <c r="F89" t="s">
        <v>194</v>
      </c>
      <c r="J89">
        <v>178</v>
      </c>
      <c r="K89">
        <v>558</v>
      </c>
      <c r="L89">
        <v>513</v>
      </c>
      <c r="M89">
        <v>1</v>
      </c>
      <c r="N89">
        <v>223</v>
      </c>
      <c r="O89">
        <v>0</v>
      </c>
    </row>
    <row r="90" spans="2:17">
      <c r="B90" t="s">
        <v>90</v>
      </c>
      <c r="C90">
        <v>3</v>
      </c>
      <c r="D90">
        <v>24246</v>
      </c>
      <c r="E90" t="s">
        <v>195</v>
      </c>
      <c r="F90" t="s">
        <v>196</v>
      </c>
      <c r="J90">
        <v>52</v>
      </c>
      <c r="K90">
        <v>0</v>
      </c>
      <c r="N90">
        <v>52</v>
      </c>
      <c r="O90">
        <v>0</v>
      </c>
    </row>
    <row r="91" spans="2:17">
      <c r="B91" t="s">
        <v>90</v>
      </c>
      <c r="C91">
        <v>3</v>
      </c>
      <c r="D91">
        <v>27279</v>
      </c>
      <c r="E91" t="s">
        <v>197</v>
      </c>
      <c r="F91" t="s">
        <v>198</v>
      </c>
      <c r="J91">
        <v>229</v>
      </c>
      <c r="K91">
        <v>0</v>
      </c>
      <c r="N91">
        <v>229</v>
      </c>
      <c r="O91">
        <v>0</v>
      </c>
    </row>
    <row r="92" spans="2:17">
      <c r="B92" t="s">
        <v>90</v>
      </c>
      <c r="C92">
        <v>3</v>
      </c>
      <c r="D92">
        <v>27495</v>
      </c>
      <c r="E92" t="s">
        <v>199</v>
      </c>
      <c r="F92" t="s">
        <v>200</v>
      </c>
      <c r="J92">
        <v>164</v>
      </c>
      <c r="K92">
        <v>0</v>
      </c>
      <c r="N92">
        <v>164</v>
      </c>
      <c r="O92">
        <v>0</v>
      </c>
    </row>
    <row r="93" spans="2:17">
      <c r="B93" t="s">
        <v>90</v>
      </c>
      <c r="C93">
        <v>3</v>
      </c>
      <c r="D93">
        <v>27499</v>
      </c>
      <c r="E93" t="s">
        <v>199</v>
      </c>
      <c r="F93" t="s">
        <v>201</v>
      </c>
      <c r="J93">
        <v>408</v>
      </c>
      <c r="K93">
        <v>0</v>
      </c>
      <c r="L93">
        <v>163</v>
      </c>
      <c r="M93">
        <v>1</v>
      </c>
      <c r="N93">
        <v>245</v>
      </c>
      <c r="O93">
        <v>0</v>
      </c>
    </row>
    <row r="94" spans="2:17">
      <c r="B94" t="s">
        <v>90</v>
      </c>
      <c r="C94">
        <v>3</v>
      </c>
      <c r="D94">
        <v>27401</v>
      </c>
      <c r="E94" t="s">
        <v>202</v>
      </c>
      <c r="F94" t="s">
        <v>203</v>
      </c>
      <c r="J94">
        <v>299</v>
      </c>
      <c r="K94">
        <v>62</v>
      </c>
      <c r="L94">
        <v>176</v>
      </c>
      <c r="M94">
        <v>1</v>
      </c>
      <c r="N94">
        <v>185</v>
      </c>
      <c r="O94">
        <v>0</v>
      </c>
    </row>
    <row r="95" spans="2:17">
      <c r="B95" t="s">
        <v>73</v>
      </c>
      <c r="C95">
        <v>3</v>
      </c>
      <c r="D95">
        <v>177442</v>
      </c>
      <c r="E95" t="s">
        <v>204</v>
      </c>
      <c r="F95" t="s">
        <v>205</v>
      </c>
      <c r="G95" t="s">
        <v>206</v>
      </c>
      <c r="J95">
        <v>0</v>
      </c>
      <c r="K95">
        <v>0</v>
      </c>
      <c r="N95">
        <v>0</v>
      </c>
      <c r="O95">
        <v>0</v>
      </c>
    </row>
    <row r="96" spans="2:17">
      <c r="B96" t="s">
        <v>73</v>
      </c>
      <c r="C96">
        <v>3</v>
      </c>
      <c r="D96">
        <v>284976</v>
      </c>
      <c r="E96" t="s">
        <v>207</v>
      </c>
      <c r="F96" t="s">
        <v>208</v>
      </c>
      <c r="G96" t="s">
        <v>209</v>
      </c>
      <c r="J96">
        <v>255</v>
      </c>
      <c r="K96">
        <v>156</v>
      </c>
      <c r="L96">
        <v>177</v>
      </c>
      <c r="M96">
        <v>1</v>
      </c>
      <c r="N96">
        <v>234</v>
      </c>
      <c r="O96" s="164">
        <v>15890</v>
      </c>
      <c r="P96" s="164">
        <v>15890</v>
      </c>
      <c r="Q96">
        <v>2</v>
      </c>
    </row>
    <row r="97" spans="1:17">
      <c r="B97" t="s">
        <v>90</v>
      </c>
      <c r="C97">
        <v>3</v>
      </c>
      <c r="D97">
        <v>2812</v>
      </c>
      <c r="E97" t="s">
        <v>210</v>
      </c>
      <c r="F97" t="s">
        <v>211</v>
      </c>
      <c r="J97">
        <v>81</v>
      </c>
      <c r="K97">
        <v>0</v>
      </c>
      <c r="N97">
        <v>81</v>
      </c>
      <c r="O97">
        <v>0</v>
      </c>
    </row>
    <row r="98" spans="1:17">
      <c r="B98" t="s">
        <v>90</v>
      </c>
      <c r="C98">
        <v>3</v>
      </c>
      <c r="D98">
        <v>2817</v>
      </c>
      <c r="E98" t="s">
        <v>210</v>
      </c>
      <c r="F98" t="s">
        <v>221</v>
      </c>
      <c r="J98">
        <v>225</v>
      </c>
      <c r="K98">
        <v>232</v>
      </c>
      <c r="L98">
        <v>332</v>
      </c>
      <c r="M98">
        <v>1</v>
      </c>
      <c r="N98">
        <v>125</v>
      </c>
      <c r="P98">
        <v>100</v>
      </c>
      <c r="Q98">
        <v>1</v>
      </c>
    </row>
    <row r="99" spans="1:17">
      <c r="B99" t="s">
        <v>90</v>
      </c>
      <c r="C99">
        <v>3</v>
      </c>
      <c r="D99">
        <v>26743</v>
      </c>
      <c r="E99" t="s">
        <v>210</v>
      </c>
      <c r="F99" t="s">
        <v>213</v>
      </c>
      <c r="J99">
        <v>0</v>
      </c>
      <c r="K99">
        <v>0</v>
      </c>
      <c r="N99">
        <v>0</v>
      </c>
      <c r="O99">
        <v>0</v>
      </c>
    </row>
    <row r="100" spans="1:17">
      <c r="B100" t="s">
        <v>90</v>
      </c>
      <c r="C100">
        <v>3</v>
      </c>
      <c r="D100">
        <v>27533</v>
      </c>
      <c r="E100" t="s">
        <v>210</v>
      </c>
      <c r="F100" t="s">
        <v>219</v>
      </c>
      <c r="J100">
        <v>79</v>
      </c>
      <c r="K100">
        <v>0</v>
      </c>
      <c r="N100">
        <v>79</v>
      </c>
      <c r="O100">
        <v>0</v>
      </c>
    </row>
    <row r="101" spans="1:17">
      <c r="B101" t="s">
        <v>73</v>
      </c>
      <c r="C101">
        <v>3</v>
      </c>
      <c r="D101">
        <v>279165</v>
      </c>
      <c r="E101" t="s">
        <v>210</v>
      </c>
      <c r="F101" t="s">
        <v>214</v>
      </c>
      <c r="G101">
        <v>1</v>
      </c>
      <c r="J101">
        <v>0</v>
      </c>
      <c r="K101">
        <v>0</v>
      </c>
      <c r="N101">
        <v>0</v>
      </c>
      <c r="O101">
        <v>0</v>
      </c>
    </row>
    <row r="102" spans="1:17">
      <c r="B102" t="s">
        <v>73</v>
      </c>
      <c r="C102">
        <v>3</v>
      </c>
      <c r="D102">
        <v>287522</v>
      </c>
      <c r="E102" t="s">
        <v>210</v>
      </c>
      <c r="F102" t="s">
        <v>212</v>
      </c>
      <c r="G102">
        <v>5</v>
      </c>
      <c r="J102">
        <v>168</v>
      </c>
      <c r="K102">
        <v>12</v>
      </c>
      <c r="N102">
        <v>180</v>
      </c>
      <c r="O102" s="164">
        <v>3740</v>
      </c>
      <c r="P102">
        <v>180</v>
      </c>
      <c r="Q102">
        <v>1</v>
      </c>
    </row>
    <row r="103" spans="1:17">
      <c r="P103" s="164">
        <v>3560</v>
      </c>
      <c r="Q103">
        <v>2</v>
      </c>
    </row>
    <row r="104" spans="1:17">
      <c r="B104" t="s">
        <v>73</v>
      </c>
      <c r="C104">
        <v>3</v>
      </c>
      <c r="D104">
        <v>133198</v>
      </c>
      <c r="E104" t="s">
        <v>215</v>
      </c>
      <c r="F104" t="s">
        <v>212</v>
      </c>
      <c r="G104">
        <v>7</v>
      </c>
      <c r="I104">
        <v>1471</v>
      </c>
      <c r="J104">
        <v>0</v>
      </c>
      <c r="K104">
        <v>0</v>
      </c>
      <c r="N104">
        <v>0</v>
      </c>
      <c r="O104">
        <v>0</v>
      </c>
    </row>
    <row r="105" spans="1:17">
      <c r="B105" t="s">
        <v>90</v>
      </c>
      <c r="C105">
        <v>3</v>
      </c>
      <c r="D105">
        <v>22393</v>
      </c>
      <c r="E105" t="s">
        <v>216</v>
      </c>
      <c r="F105" t="s">
        <v>217</v>
      </c>
      <c r="I105">
        <v>1471</v>
      </c>
      <c r="J105">
        <v>0</v>
      </c>
      <c r="K105">
        <v>0</v>
      </c>
      <c r="N105">
        <v>0</v>
      </c>
      <c r="O105">
        <v>0</v>
      </c>
    </row>
    <row r="106" spans="1:17">
      <c r="B106" t="s">
        <v>73</v>
      </c>
      <c r="C106">
        <v>3</v>
      </c>
      <c r="D106">
        <v>229081</v>
      </c>
      <c r="E106" t="s">
        <v>218</v>
      </c>
      <c r="F106" t="s">
        <v>219</v>
      </c>
      <c r="G106">
        <v>7</v>
      </c>
      <c r="J106">
        <v>0</v>
      </c>
      <c r="K106">
        <v>0</v>
      </c>
      <c r="N106">
        <v>0</v>
      </c>
      <c r="O106">
        <v>0</v>
      </c>
    </row>
    <row r="107" spans="1:17">
      <c r="A107" t="s">
        <v>1146</v>
      </c>
      <c r="B107" t="s">
        <v>73</v>
      </c>
      <c r="C107">
        <v>3</v>
      </c>
      <c r="D107">
        <v>150672</v>
      </c>
      <c r="E107" t="s">
        <v>220</v>
      </c>
      <c r="F107" t="s">
        <v>221</v>
      </c>
      <c r="G107">
        <v>6</v>
      </c>
      <c r="J107">
        <v>0</v>
      </c>
      <c r="K107">
        <v>0</v>
      </c>
      <c r="N107">
        <v>0</v>
      </c>
    </row>
    <row r="108" spans="1:17">
      <c r="B108" t="s">
        <v>90</v>
      </c>
      <c r="C108">
        <v>3</v>
      </c>
      <c r="D108">
        <v>26834</v>
      </c>
      <c r="E108" t="s">
        <v>222</v>
      </c>
      <c r="F108" t="s">
        <v>223</v>
      </c>
      <c r="J108">
        <v>129</v>
      </c>
      <c r="K108">
        <v>502</v>
      </c>
      <c r="L108">
        <v>357</v>
      </c>
      <c r="M108">
        <v>1</v>
      </c>
      <c r="N108">
        <v>274</v>
      </c>
      <c r="O108">
        <v>279</v>
      </c>
      <c r="P108">
        <v>31</v>
      </c>
      <c r="Q108">
        <v>1</v>
      </c>
    </row>
    <row r="109" spans="1:17">
      <c r="P109">
        <v>248</v>
      </c>
      <c r="Q109">
        <v>2</v>
      </c>
    </row>
    <row r="110" spans="1:17">
      <c r="B110" t="s">
        <v>90</v>
      </c>
      <c r="C110">
        <v>3</v>
      </c>
      <c r="D110">
        <v>26193</v>
      </c>
      <c r="E110" t="s">
        <v>224</v>
      </c>
      <c r="F110" t="s">
        <v>225</v>
      </c>
      <c r="J110">
        <v>68</v>
      </c>
      <c r="K110">
        <v>0</v>
      </c>
      <c r="N110">
        <v>68</v>
      </c>
      <c r="O110">
        <v>0</v>
      </c>
    </row>
    <row r="111" spans="1:17">
      <c r="B111" t="s">
        <v>73</v>
      </c>
      <c r="C111">
        <v>3</v>
      </c>
      <c r="D111">
        <v>275419</v>
      </c>
      <c r="E111" t="s">
        <v>226</v>
      </c>
      <c r="F111" t="s">
        <v>223</v>
      </c>
      <c r="G111" t="s">
        <v>227</v>
      </c>
      <c r="J111">
        <v>0</v>
      </c>
      <c r="K111">
        <v>0</v>
      </c>
      <c r="N111">
        <v>0</v>
      </c>
      <c r="O111">
        <v>0</v>
      </c>
    </row>
    <row r="112" spans="1:17">
      <c r="B112" t="s">
        <v>73</v>
      </c>
      <c r="C112">
        <v>3</v>
      </c>
      <c r="D112">
        <v>139199</v>
      </c>
      <c r="E112" t="s">
        <v>228</v>
      </c>
      <c r="F112" t="s">
        <v>229</v>
      </c>
      <c r="G112">
        <v>1</v>
      </c>
      <c r="J112">
        <v>0</v>
      </c>
      <c r="K112">
        <v>0</v>
      </c>
      <c r="N112">
        <v>0</v>
      </c>
      <c r="O112">
        <v>0</v>
      </c>
    </row>
    <row r="113" spans="2:17">
      <c r="B113" t="s">
        <v>90</v>
      </c>
      <c r="C113">
        <v>3</v>
      </c>
      <c r="D113">
        <v>18769</v>
      </c>
      <c r="E113" t="s">
        <v>231</v>
      </c>
      <c r="F113" t="s">
        <v>232</v>
      </c>
      <c r="J113">
        <v>28</v>
      </c>
      <c r="K113">
        <v>32</v>
      </c>
      <c r="N113">
        <v>60</v>
      </c>
      <c r="O113">
        <v>0</v>
      </c>
    </row>
    <row r="114" spans="2:17">
      <c r="B114" t="s">
        <v>73</v>
      </c>
      <c r="C114">
        <v>3</v>
      </c>
      <c r="D114">
        <v>184787</v>
      </c>
      <c r="E114" t="s">
        <v>233</v>
      </c>
      <c r="F114" t="s">
        <v>234</v>
      </c>
      <c r="G114">
        <v>5</v>
      </c>
      <c r="J114">
        <v>159</v>
      </c>
      <c r="K114">
        <v>188</v>
      </c>
      <c r="L114">
        <v>191</v>
      </c>
      <c r="M114">
        <v>1</v>
      </c>
      <c r="N114">
        <v>156</v>
      </c>
      <c r="O114" s="164">
        <v>15180</v>
      </c>
      <c r="P114">
        <v>465</v>
      </c>
      <c r="Q114">
        <v>1</v>
      </c>
    </row>
    <row r="115" spans="2:17">
      <c r="P115" s="164">
        <v>14715</v>
      </c>
      <c r="Q115">
        <v>2</v>
      </c>
    </row>
    <row r="116" spans="2:17">
      <c r="B116" t="s">
        <v>73</v>
      </c>
      <c r="C116">
        <v>3</v>
      </c>
      <c r="D116">
        <v>113719</v>
      </c>
      <c r="E116" t="s">
        <v>235</v>
      </c>
      <c r="F116" t="s">
        <v>236</v>
      </c>
      <c r="G116">
        <v>23</v>
      </c>
      <c r="J116">
        <v>77</v>
      </c>
      <c r="K116">
        <v>15</v>
      </c>
      <c r="N116">
        <v>92</v>
      </c>
      <c r="O116" s="164">
        <v>1335</v>
      </c>
      <c r="P116" s="164">
        <v>1335</v>
      </c>
      <c r="Q116">
        <v>2</v>
      </c>
    </row>
    <row r="117" spans="2:17">
      <c r="B117" t="s">
        <v>73</v>
      </c>
      <c r="C117">
        <v>3</v>
      </c>
      <c r="D117">
        <v>38467</v>
      </c>
      <c r="E117" t="s">
        <v>237</v>
      </c>
      <c r="F117" t="s">
        <v>234</v>
      </c>
      <c r="G117">
        <v>3</v>
      </c>
      <c r="J117">
        <v>0</v>
      </c>
      <c r="K117">
        <v>0</v>
      </c>
      <c r="N117">
        <v>0</v>
      </c>
      <c r="O117">
        <v>0</v>
      </c>
    </row>
    <row r="118" spans="2:17">
      <c r="B118" t="s">
        <v>90</v>
      </c>
      <c r="C118">
        <v>3</v>
      </c>
      <c r="D118">
        <v>12721</v>
      </c>
      <c r="E118" t="s">
        <v>238</v>
      </c>
      <c r="F118" t="s">
        <v>239</v>
      </c>
      <c r="J118">
        <v>0</v>
      </c>
      <c r="K118">
        <v>0</v>
      </c>
      <c r="N118">
        <v>0</v>
      </c>
      <c r="O118">
        <v>0</v>
      </c>
    </row>
    <row r="119" spans="2:17">
      <c r="B119" t="s">
        <v>73</v>
      </c>
      <c r="C119">
        <v>3</v>
      </c>
      <c r="D119">
        <v>214543</v>
      </c>
      <c r="E119" t="s">
        <v>240</v>
      </c>
      <c r="F119" t="s">
        <v>241</v>
      </c>
      <c r="G119">
        <v>1</v>
      </c>
      <c r="J119">
        <v>0</v>
      </c>
      <c r="K119">
        <v>0</v>
      </c>
      <c r="N119">
        <v>0</v>
      </c>
      <c r="O119">
        <v>0</v>
      </c>
    </row>
    <row r="120" spans="2:17">
      <c r="B120" t="s">
        <v>73</v>
      </c>
      <c r="C120">
        <v>3</v>
      </c>
      <c r="D120">
        <v>235116</v>
      </c>
      <c r="E120" t="s">
        <v>242</v>
      </c>
      <c r="F120" t="s">
        <v>243</v>
      </c>
      <c r="G120">
        <v>2</v>
      </c>
      <c r="J120">
        <v>0</v>
      </c>
      <c r="K120">
        <v>0</v>
      </c>
      <c r="N120">
        <v>0</v>
      </c>
      <c r="O120">
        <v>0</v>
      </c>
    </row>
    <row r="121" spans="2:17">
      <c r="B121" t="s">
        <v>73</v>
      </c>
      <c r="C121">
        <v>3</v>
      </c>
      <c r="D121">
        <v>164970</v>
      </c>
      <c r="E121" t="s">
        <v>244</v>
      </c>
      <c r="F121" t="s">
        <v>245</v>
      </c>
      <c r="G121">
        <v>1</v>
      </c>
      <c r="J121">
        <v>87</v>
      </c>
      <c r="K121">
        <v>17</v>
      </c>
      <c r="N121">
        <v>104</v>
      </c>
      <c r="O121">
        <v>577</v>
      </c>
      <c r="P121">
        <v>35</v>
      </c>
      <c r="Q121">
        <v>1</v>
      </c>
    </row>
    <row r="122" spans="2:17">
      <c r="P122">
        <v>542</v>
      </c>
      <c r="Q122">
        <v>2</v>
      </c>
    </row>
    <row r="123" spans="2:17">
      <c r="B123" t="s">
        <v>90</v>
      </c>
      <c r="C123">
        <v>3</v>
      </c>
      <c r="D123">
        <v>24861</v>
      </c>
      <c r="E123" t="s">
        <v>246</v>
      </c>
      <c r="F123" t="s">
        <v>247</v>
      </c>
      <c r="J123">
        <v>30</v>
      </c>
      <c r="K123">
        <v>0</v>
      </c>
      <c r="N123">
        <v>30</v>
      </c>
      <c r="O123">
        <v>59</v>
      </c>
      <c r="P123">
        <v>5</v>
      </c>
      <c r="Q123">
        <v>1</v>
      </c>
    </row>
    <row r="124" spans="2:17">
      <c r="P124">
        <v>54</v>
      </c>
      <c r="Q124">
        <v>2</v>
      </c>
    </row>
    <row r="125" spans="2:17">
      <c r="B125" t="s">
        <v>73</v>
      </c>
      <c r="C125">
        <v>3</v>
      </c>
      <c r="D125">
        <v>194105</v>
      </c>
      <c r="E125" t="s">
        <v>248</v>
      </c>
      <c r="F125" t="s">
        <v>249</v>
      </c>
      <c r="G125">
        <v>2</v>
      </c>
      <c r="J125">
        <v>0</v>
      </c>
      <c r="K125">
        <v>0</v>
      </c>
      <c r="N125">
        <v>0</v>
      </c>
      <c r="O125">
        <v>0</v>
      </c>
    </row>
    <row r="126" spans="2:17">
      <c r="B126" t="s">
        <v>73</v>
      </c>
      <c r="C126">
        <v>3</v>
      </c>
      <c r="D126">
        <v>130820</v>
      </c>
      <c r="E126" t="s">
        <v>250</v>
      </c>
      <c r="F126" t="s">
        <v>249</v>
      </c>
      <c r="G126">
        <v>1</v>
      </c>
      <c r="J126">
        <v>0</v>
      </c>
      <c r="K126">
        <v>0</v>
      </c>
      <c r="N126">
        <v>0</v>
      </c>
      <c r="O126">
        <v>0</v>
      </c>
    </row>
    <row r="127" spans="2:17">
      <c r="B127" t="s">
        <v>73</v>
      </c>
      <c r="C127">
        <v>3</v>
      </c>
      <c r="D127">
        <v>284977</v>
      </c>
      <c r="E127" t="s">
        <v>251</v>
      </c>
      <c r="F127" t="s">
        <v>252</v>
      </c>
      <c r="G127" t="s">
        <v>253</v>
      </c>
      <c r="J127">
        <v>73</v>
      </c>
      <c r="K127">
        <v>157</v>
      </c>
      <c r="N127">
        <v>230</v>
      </c>
      <c r="O127" s="164">
        <v>16528</v>
      </c>
      <c r="P127">
        <v>775</v>
      </c>
      <c r="Q127">
        <v>1</v>
      </c>
    </row>
    <row r="128" spans="2:17">
      <c r="P128" s="164">
        <v>15753</v>
      </c>
      <c r="Q128">
        <v>2</v>
      </c>
    </row>
    <row r="129" spans="2:17">
      <c r="B129" t="s">
        <v>73</v>
      </c>
      <c r="C129">
        <v>3</v>
      </c>
      <c r="D129">
        <v>247945</v>
      </c>
      <c r="E129" t="s">
        <v>254</v>
      </c>
      <c r="F129" t="s">
        <v>255</v>
      </c>
      <c r="G129">
        <v>2</v>
      </c>
      <c r="J129">
        <v>68</v>
      </c>
      <c r="K129">
        <v>5</v>
      </c>
      <c r="N129">
        <v>73</v>
      </c>
      <c r="O129">
        <v>572</v>
      </c>
      <c r="P129">
        <v>572</v>
      </c>
      <c r="Q129">
        <v>2</v>
      </c>
    </row>
    <row r="130" spans="2:17">
      <c r="B130" t="s">
        <v>73</v>
      </c>
      <c r="C130">
        <v>3</v>
      </c>
      <c r="D130">
        <v>285001</v>
      </c>
      <c r="E130" t="s">
        <v>256</v>
      </c>
      <c r="F130" t="s">
        <v>252</v>
      </c>
      <c r="G130" t="s">
        <v>227</v>
      </c>
      <c r="J130">
        <v>38</v>
      </c>
      <c r="K130">
        <v>62</v>
      </c>
      <c r="N130">
        <v>100</v>
      </c>
      <c r="O130" s="164">
        <v>11954</v>
      </c>
      <c r="P130">
        <v>651</v>
      </c>
      <c r="Q130">
        <v>1</v>
      </c>
    </row>
    <row r="131" spans="2:17">
      <c r="P131" s="164">
        <v>11303</v>
      </c>
      <c r="Q131">
        <v>2</v>
      </c>
    </row>
    <row r="132" spans="2:17">
      <c r="B132" t="s">
        <v>90</v>
      </c>
      <c r="C132">
        <v>3</v>
      </c>
      <c r="D132">
        <v>21879</v>
      </c>
      <c r="E132" t="s">
        <v>257</v>
      </c>
      <c r="F132" t="s">
        <v>258</v>
      </c>
      <c r="J132">
        <v>0</v>
      </c>
      <c r="K132">
        <v>0</v>
      </c>
      <c r="N132">
        <v>0</v>
      </c>
      <c r="O132">
        <v>0</v>
      </c>
    </row>
    <row r="133" spans="2:17">
      <c r="B133" t="s">
        <v>73</v>
      </c>
      <c r="C133">
        <v>3</v>
      </c>
      <c r="D133">
        <v>158027</v>
      </c>
      <c r="E133" t="s">
        <v>259</v>
      </c>
      <c r="F133" t="s">
        <v>260</v>
      </c>
      <c r="G133">
        <v>1</v>
      </c>
      <c r="J133">
        <v>0</v>
      </c>
      <c r="K133">
        <v>0</v>
      </c>
      <c r="N133">
        <v>0</v>
      </c>
      <c r="O133">
        <v>0</v>
      </c>
    </row>
    <row r="134" spans="2:17">
      <c r="B134" t="s">
        <v>73</v>
      </c>
      <c r="C134">
        <v>3</v>
      </c>
      <c r="D134">
        <v>193384</v>
      </c>
      <c r="E134" t="s">
        <v>261</v>
      </c>
      <c r="F134" t="s">
        <v>262</v>
      </c>
      <c r="G134">
        <v>2</v>
      </c>
      <c r="J134">
        <v>51</v>
      </c>
      <c r="K134">
        <v>24</v>
      </c>
      <c r="N134">
        <v>75</v>
      </c>
      <c r="O134">
        <v>883</v>
      </c>
      <c r="P134">
        <v>51</v>
      </c>
      <c r="Q134">
        <v>1</v>
      </c>
    </row>
    <row r="135" spans="2:17">
      <c r="P135">
        <v>832</v>
      </c>
      <c r="Q135">
        <v>2</v>
      </c>
    </row>
    <row r="136" spans="2:17">
      <c r="B136" t="s">
        <v>73</v>
      </c>
      <c r="C136">
        <v>3</v>
      </c>
      <c r="D136">
        <v>47134</v>
      </c>
      <c r="E136" t="s">
        <v>263</v>
      </c>
      <c r="F136" t="s">
        <v>264</v>
      </c>
      <c r="G136">
        <v>1</v>
      </c>
      <c r="J136">
        <v>0</v>
      </c>
      <c r="K136">
        <v>0</v>
      </c>
      <c r="N136">
        <v>0</v>
      </c>
      <c r="O136">
        <v>0</v>
      </c>
    </row>
    <row r="137" spans="2:17">
      <c r="B137" t="s">
        <v>73</v>
      </c>
      <c r="C137">
        <v>3</v>
      </c>
      <c r="D137">
        <v>158691</v>
      </c>
      <c r="E137" t="s">
        <v>265</v>
      </c>
      <c r="F137" t="s">
        <v>266</v>
      </c>
      <c r="G137">
        <v>1</v>
      </c>
      <c r="J137">
        <v>144</v>
      </c>
      <c r="K137">
        <v>30</v>
      </c>
      <c r="N137">
        <v>174</v>
      </c>
      <c r="O137" s="164">
        <v>1084</v>
      </c>
      <c r="P137">
        <v>31</v>
      </c>
      <c r="Q137">
        <v>1</v>
      </c>
    </row>
    <row r="138" spans="2:17">
      <c r="P138" s="164">
        <v>1053</v>
      </c>
      <c r="Q138">
        <v>2</v>
      </c>
    </row>
    <row r="139" spans="2:17">
      <c r="B139" t="s">
        <v>73</v>
      </c>
      <c r="C139">
        <v>3</v>
      </c>
      <c r="D139">
        <v>91859</v>
      </c>
      <c r="E139" t="s">
        <v>267</v>
      </c>
      <c r="F139" t="s">
        <v>268</v>
      </c>
      <c r="G139">
        <v>1</v>
      </c>
      <c r="J139">
        <v>77</v>
      </c>
      <c r="K139">
        <v>65</v>
      </c>
      <c r="N139">
        <v>142</v>
      </c>
      <c r="O139">
        <v>328</v>
      </c>
      <c r="P139">
        <v>44</v>
      </c>
      <c r="Q139">
        <v>1</v>
      </c>
    </row>
    <row r="140" spans="2:17">
      <c r="P140">
        <v>284</v>
      </c>
      <c r="Q140">
        <v>2</v>
      </c>
    </row>
    <row r="141" spans="2:17">
      <c r="B141" t="s">
        <v>73</v>
      </c>
      <c r="C141">
        <v>3</v>
      </c>
      <c r="D141">
        <v>214235</v>
      </c>
      <c r="E141" t="s">
        <v>269</v>
      </c>
      <c r="F141" t="s">
        <v>270</v>
      </c>
      <c r="G141">
        <v>2</v>
      </c>
      <c r="J141">
        <v>0</v>
      </c>
      <c r="K141">
        <v>0</v>
      </c>
      <c r="N141">
        <v>0</v>
      </c>
      <c r="O141">
        <v>0</v>
      </c>
    </row>
    <row r="142" spans="2:17">
      <c r="B142" t="s">
        <v>73</v>
      </c>
      <c r="C142">
        <v>3</v>
      </c>
      <c r="D142">
        <v>58664</v>
      </c>
      <c r="E142" t="s">
        <v>271</v>
      </c>
      <c r="F142" t="s">
        <v>272</v>
      </c>
      <c r="G142">
        <v>1</v>
      </c>
      <c r="J142">
        <v>0</v>
      </c>
      <c r="K142">
        <v>0</v>
      </c>
      <c r="N142">
        <v>0</v>
      </c>
      <c r="O142">
        <v>0</v>
      </c>
    </row>
    <row r="143" spans="2:17">
      <c r="B143" t="s">
        <v>73</v>
      </c>
      <c r="C143">
        <v>3</v>
      </c>
      <c r="D143">
        <v>238352</v>
      </c>
      <c r="E143" t="s">
        <v>273</v>
      </c>
      <c r="F143" t="s">
        <v>274</v>
      </c>
      <c r="G143">
        <v>1</v>
      </c>
      <c r="J143">
        <v>0</v>
      </c>
      <c r="K143">
        <v>0</v>
      </c>
      <c r="N143">
        <v>0</v>
      </c>
      <c r="O143">
        <v>0</v>
      </c>
    </row>
    <row r="144" spans="2:17">
      <c r="B144" t="s">
        <v>73</v>
      </c>
      <c r="C144">
        <v>3</v>
      </c>
      <c r="D144">
        <v>163161</v>
      </c>
      <c r="E144" t="s">
        <v>275</v>
      </c>
      <c r="F144" t="s">
        <v>276</v>
      </c>
      <c r="G144">
        <v>4</v>
      </c>
      <c r="I144">
        <v>1988</v>
      </c>
      <c r="J144">
        <v>0</v>
      </c>
      <c r="K144">
        <v>0</v>
      </c>
      <c r="N144">
        <v>0</v>
      </c>
      <c r="O144">
        <v>0</v>
      </c>
    </row>
    <row r="145" spans="2:17">
      <c r="B145" t="s">
        <v>73</v>
      </c>
      <c r="C145">
        <v>3</v>
      </c>
      <c r="D145">
        <v>183638</v>
      </c>
      <c r="E145" t="s">
        <v>275</v>
      </c>
      <c r="F145" t="s">
        <v>277</v>
      </c>
      <c r="G145">
        <v>1</v>
      </c>
      <c r="J145">
        <v>0</v>
      </c>
      <c r="K145">
        <v>0</v>
      </c>
      <c r="N145">
        <v>0</v>
      </c>
      <c r="O145">
        <v>77</v>
      </c>
      <c r="P145">
        <v>6</v>
      </c>
      <c r="Q145">
        <v>1</v>
      </c>
    </row>
    <row r="146" spans="2:17">
      <c r="P146">
        <v>71</v>
      </c>
      <c r="Q146">
        <v>2</v>
      </c>
    </row>
    <row r="147" spans="2:17">
      <c r="B147" t="s">
        <v>73</v>
      </c>
      <c r="C147">
        <v>3</v>
      </c>
      <c r="D147">
        <v>199834</v>
      </c>
      <c r="E147" t="s">
        <v>275</v>
      </c>
      <c r="F147" t="s">
        <v>278</v>
      </c>
      <c r="G147">
        <v>1</v>
      </c>
      <c r="I147">
        <v>1988</v>
      </c>
      <c r="J147">
        <v>172</v>
      </c>
      <c r="K147">
        <v>53</v>
      </c>
      <c r="N147">
        <v>225</v>
      </c>
      <c r="O147" s="164">
        <v>1041</v>
      </c>
      <c r="P147">
        <v>60</v>
      </c>
      <c r="Q147">
        <v>1</v>
      </c>
    </row>
    <row r="148" spans="2:17">
      <c r="P148">
        <v>981</v>
      </c>
      <c r="Q148">
        <v>2</v>
      </c>
    </row>
    <row r="149" spans="2:17">
      <c r="B149" t="s">
        <v>73</v>
      </c>
      <c r="C149">
        <v>3</v>
      </c>
      <c r="D149">
        <v>201550</v>
      </c>
      <c r="E149" t="s">
        <v>275</v>
      </c>
      <c r="F149" t="s">
        <v>279</v>
      </c>
      <c r="G149">
        <v>3</v>
      </c>
      <c r="I149">
        <v>1988</v>
      </c>
      <c r="J149">
        <v>0</v>
      </c>
      <c r="K149">
        <v>0</v>
      </c>
      <c r="N149">
        <v>0</v>
      </c>
      <c r="O149">
        <v>120</v>
      </c>
      <c r="P149">
        <v>120</v>
      </c>
      <c r="Q149">
        <v>2</v>
      </c>
    </row>
    <row r="150" spans="2:17">
      <c r="B150" t="s">
        <v>73</v>
      </c>
      <c r="C150">
        <v>3</v>
      </c>
      <c r="D150">
        <v>210199</v>
      </c>
      <c r="E150" t="s">
        <v>275</v>
      </c>
      <c r="F150" t="s">
        <v>280</v>
      </c>
      <c r="G150">
        <v>1</v>
      </c>
      <c r="J150">
        <v>63</v>
      </c>
      <c r="K150">
        <v>0</v>
      </c>
      <c r="N150">
        <v>63</v>
      </c>
      <c r="O150">
        <v>644</v>
      </c>
      <c r="P150">
        <v>30</v>
      </c>
      <c r="Q150">
        <v>1</v>
      </c>
    </row>
    <row r="151" spans="2:17">
      <c r="P151">
        <v>614</v>
      </c>
      <c r="Q151">
        <v>2</v>
      </c>
    </row>
    <row r="152" spans="2:17">
      <c r="B152" t="s">
        <v>73</v>
      </c>
      <c r="C152">
        <v>3</v>
      </c>
      <c r="D152">
        <v>210200</v>
      </c>
      <c r="E152" t="s">
        <v>275</v>
      </c>
      <c r="F152" t="s">
        <v>281</v>
      </c>
      <c r="G152">
        <v>6</v>
      </c>
      <c r="J152">
        <v>33</v>
      </c>
      <c r="K152">
        <v>0</v>
      </c>
      <c r="N152">
        <v>33</v>
      </c>
      <c r="O152">
        <v>62</v>
      </c>
      <c r="P152">
        <v>7</v>
      </c>
      <c r="Q152">
        <v>1</v>
      </c>
    </row>
    <row r="153" spans="2:17">
      <c r="P153">
        <v>55</v>
      </c>
      <c r="Q153">
        <v>2</v>
      </c>
    </row>
    <row r="154" spans="2:17">
      <c r="B154" t="s">
        <v>73</v>
      </c>
      <c r="C154">
        <v>3</v>
      </c>
      <c r="D154">
        <v>215622</v>
      </c>
      <c r="E154" t="s">
        <v>275</v>
      </c>
      <c r="F154" t="s">
        <v>281</v>
      </c>
      <c r="G154">
        <v>2</v>
      </c>
      <c r="J154">
        <v>98</v>
      </c>
      <c r="K154">
        <v>0</v>
      </c>
      <c r="N154">
        <v>98</v>
      </c>
      <c r="O154">
        <v>0</v>
      </c>
    </row>
    <row r="155" spans="2:17">
      <c r="B155" t="s">
        <v>73</v>
      </c>
      <c r="C155">
        <v>3</v>
      </c>
      <c r="D155">
        <v>216963</v>
      </c>
      <c r="E155" t="s">
        <v>275</v>
      </c>
      <c r="F155" t="s">
        <v>279</v>
      </c>
      <c r="G155">
        <v>5</v>
      </c>
      <c r="J155">
        <v>0</v>
      </c>
      <c r="K155">
        <v>0</v>
      </c>
      <c r="N155">
        <v>0</v>
      </c>
      <c r="O155">
        <v>0</v>
      </c>
    </row>
    <row r="156" spans="2:17">
      <c r="B156" t="s">
        <v>73</v>
      </c>
      <c r="C156">
        <v>3</v>
      </c>
      <c r="D156">
        <v>217825</v>
      </c>
      <c r="E156" t="s">
        <v>275</v>
      </c>
      <c r="F156" t="s">
        <v>279</v>
      </c>
      <c r="G156">
        <v>1</v>
      </c>
      <c r="J156">
        <v>0</v>
      </c>
      <c r="K156">
        <v>0</v>
      </c>
      <c r="N156">
        <v>0</v>
      </c>
      <c r="O156" s="164">
        <v>3474</v>
      </c>
      <c r="P156">
        <v>168</v>
      </c>
      <c r="Q156">
        <v>1</v>
      </c>
    </row>
    <row r="157" spans="2:17">
      <c r="P157" s="164">
        <v>3306</v>
      </c>
      <c r="Q157">
        <v>2</v>
      </c>
    </row>
    <row r="158" spans="2:17">
      <c r="B158" t="s">
        <v>90</v>
      </c>
      <c r="C158">
        <v>3</v>
      </c>
      <c r="D158">
        <v>11349</v>
      </c>
      <c r="E158" t="s">
        <v>282</v>
      </c>
      <c r="F158" t="s">
        <v>283</v>
      </c>
      <c r="J158">
        <v>205</v>
      </c>
      <c r="K158" s="164">
        <v>1155</v>
      </c>
      <c r="L158" s="164">
        <v>1163</v>
      </c>
      <c r="M158">
        <v>1</v>
      </c>
      <c r="N158">
        <v>197</v>
      </c>
      <c r="O158">
        <v>120</v>
      </c>
      <c r="P158">
        <v>120</v>
      </c>
      <c r="Q158">
        <v>1</v>
      </c>
    </row>
    <row r="159" spans="2:17">
      <c r="B159" t="s">
        <v>90</v>
      </c>
      <c r="C159">
        <v>3</v>
      </c>
      <c r="D159">
        <v>27162</v>
      </c>
      <c r="E159" t="s">
        <v>282</v>
      </c>
      <c r="F159" t="s">
        <v>284</v>
      </c>
      <c r="J159">
        <v>0</v>
      </c>
      <c r="K159">
        <v>0</v>
      </c>
      <c r="N159">
        <v>0</v>
      </c>
      <c r="O159">
        <v>0</v>
      </c>
    </row>
    <row r="160" spans="2:17">
      <c r="B160" t="s">
        <v>73</v>
      </c>
      <c r="C160">
        <v>3</v>
      </c>
      <c r="D160">
        <v>280832</v>
      </c>
      <c r="E160" t="s">
        <v>285</v>
      </c>
      <c r="F160" t="s">
        <v>286</v>
      </c>
      <c r="G160">
        <v>1</v>
      </c>
      <c r="J160">
        <v>43</v>
      </c>
      <c r="K160">
        <v>0</v>
      </c>
      <c r="N160">
        <v>43</v>
      </c>
      <c r="O160">
        <v>6</v>
      </c>
      <c r="P160">
        <v>6</v>
      </c>
      <c r="Q160">
        <v>2</v>
      </c>
    </row>
    <row r="161" spans="2:17">
      <c r="B161" t="s">
        <v>73</v>
      </c>
      <c r="C161">
        <v>3</v>
      </c>
      <c r="D161">
        <v>161374</v>
      </c>
      <c r="E161" t="s">
        <v>287</v>
      </c>
      <c r="F161" t="s">
        <v>288</v>
      </c>
      <c r="G161">
        <v>1</v>
      </c>
      <c r="J161">
        <v>233</v>
      </c>
      <c r="K161">
        <v>0</v>
      </c>
      <c r="N161">
        <v>233</v>
      </c>
      <c r="O161" s="164">
        <v>1431</v>
      </c>
      <c r="P161">
        <v>69</v>
      </c>
      <c r="Q161">
        <v>1</v>
      </c>
    </row>
    <row r="162" spans="2:17">
      <c r="P162" s="164">
        <v>1362</v>
      </c>
      <c r="Q162">
        <v>2</v>
      </c>
    </row>
    <row r="163" spans="2:17">
      <c r="B163" t="s">
        <v>90</v>
      </c>
      <c r="C163">
        <v>3</v>
      </c>
      <c r="D163">
        <v>19798</v>
      </c>
      <c r="E163" t="s">
        <v>289</v>
      </c>
      <c r="F163" t="s">
        <v>290</v>
      </c>
      <c r="J163">
        <v>70</v>
      </c>
      <c r="K163">
        <v>0</v>
      </c>
      <c r="N163">
        <v>70</v>
      </c>
      <c r="O163">
        <v>0</v>
      </c>
    </row>
    <row r="164" spans="2:17">
      <c r="B164" t="s">
        <v>90</v>
      </c>
      <c r="C164">
        <v>3</v>
      </c>
      <c r="D164">
        <v>25782</v>
      </c>
      <c r="E164" t="s">
        <v>291</v>
      </c>
      <c r="F164" t="s">
        <v>292</v>
      </c>
      <c r="J164">
        <v>174</v>
      </c>
      <c r="K164">
        <v>0</v>
      </c>
      <c r="N164">
        <v>174</v>
      </c>
      <c r="O164">
        <v>156</v>
      </c>
      <c r="P164">
        <v>156</v>
      </c>
      <c r="Q164">
        <v>2</v>
      </c>
    </row>
    <row r="165" spans="2:17">
      <c r="B165" t="s">
        <v>90</v>
      </c>
      <c r="C165">
        <v>3</v>
      </c>
      <c r="D165">
        <v>25785</v>
      </c>
      <c r="E165" t="s">
        <v>291</v>
      </c>
      <c r="F165" t="s">
        <v>286</v>
      </c>
      <c r="J165">
        <v>0</v>
      </c>
      <c r="K165">
        <v>0</v>
      </c>
      <c r="N165">
        <v>0</v>
      </c>
      <c r="O165">
        <v>0</v>
      </c>
    </row>
    <row r="166" spans="2:17">
      <c r="B166" t="s">
        <v>73</v>
      </c>
      <c r="C166">
        <v>3</v>
      </c>
      <c r="D166">
        <v>179674</v>
      </c>
      <c r="E166" t="s">
        <v>293</v>
      </c>
      <c r="F166" t="s">
        <v>294</v>
      </c>
      <c r="G166">
        <v>5</v>
      </c>
      <c r="J166">
        <v>0</v>
      </c>
      <c r="K166">
        <v>0</v>
      </c>
      <c r="N166">
        <v>0</v>
      </c>
      <c r="O166">
        <v>0</v>
      </c>
    </row>
    <row r="167" spans="2:17">
      <c r="B167" t="s">
        <v>90</v>
      </c>
      <c r="C167">
        <v>3</v>
      </c>
      <c r="D167">
        <v>24644</v>
      </c>
      <c r="E167" t="s">
        <v>295</v>
      </c>
      <c r="F167" t="s">
        <v>296</v>
      </c>
      <c r="J167">
        <v>139</v>
      </c>
      <c r="K167">
        <v>479</v>
      </c>
      <c r="L167">
        <v>327</v>
      </c>
      <c r="M167">
        <v>1</v>
      </c>
      <c r="N167">
        <v>291</v>
      </c>
      <c r="O167" s="164">
        <v>2419</v>
      </c>
      <c r="P167" s="164">
        <v>2419</v>
      </c>
      <c r="Q167">
        <v>2</v>
      </c>
    </row>
    <row r="168" spans="2:17">
      <c r="B168" t="s">
        <v>73</v>
      </c>
      <c r="C168">
        <v>3</v>
      </c>
      <c r="D168">
        <v>129832</v>
      </c>
      <c r="E168" t="s">
        <v>295</v>
      </c>
      <c r="F168" t="s">
        <v>296</v>
      </c>
      <c r="G168">
        <v>3</v>
      </c>
      <c r="J168">
        <v>0</v>
      </c>
      <c r="K168">
        <v>0</v>
      </c>
      <c r="N168">
        <v>0</v>
      </c>
      <c r="O168">
        <v>0</v>
      </c>
    </row>
    <row r="169" spans="2:17">
      <c r="B169" t="s">
        <v>73</v>
      </c>
      <c r="C169">
        <v>3</v>
      </c>
      <c r="D169">
        <v>127418</v>
      </c>
      <c r="E169" t="s">
        <v>297</v>
      </c>
      <c r="F169" t="s">
        <v>296</v>
      </c>
      <c r="G169">
        <v>5</v>
      </c>
      <c r="J169">
        <v>0</v>
      </c>
      <c r="K169">
        <v>0</v>
      </c>
      <c r="N169">
        <v>0</v>
      </c>
      <c r="O169">
        <v>0</v>
      </c>
    </row>
    <row r="170" spans="2:17">
      <c r="B170" t="s">
        <v>73</v>
      </c>
      <c r="C170">
        <v>3</v>
      </c>
      <c r="D170">
        <v>128149</v>
      </c>
      <c r="E170" t="s">
        <v>297</v>
      </c>
      <c r="F170" t="s">
        <v>296</v>
      </c>
      <c r="G170">
        <v>4</v>
      </c>
      <c r="J170">
        <v>0</v>
      </c>
      <c r="K170">
        <v>0</v>
      </c>
      <c r="N170">
        <v>0</v>
      </c>
      <c r="O170">
        <v>0</v>
      </c>
    </row>
    <row r="171" spans="2:17">
      <c r="B171" t="s">
        <v>90</v>
      </c>
      <c r="C171">
        <v>3</v>
      </c>
      <c r="D171">
        <v>24414</v>
      </c>
      <c r="E171" t="s">
        <v>298</v>
      </c>
      <c r="F171" t="s">
        <v>299</v>
      </c>
      <c r="J171">
        <v>0</v>
      </c>
      <c r="K171">
        <v>0</v>
      </c>
      <c r="N171">
        <v>0</v>
      </c>
      <c r="O171">
        <v>0</v>
      </c>
    </row>
    <row r="172" spans="2:17">
      <c r="B172" t="s">
        <v>73</v>
      </c>
      <c r="C172">
        <v>3</v>
      </c>
      <c r="D172">
        <v>201104</v>
      </c>
      <c r="E172" t="s">
        <v>300</v>
      </c>
      <c r="F172" t="s">
        <v>301</v>
      </c>
      <c r="G172" t="s">
        <v>302</v>
      </c>
      <c r="J172">
        <v>0</v>
      </c>
      <c r="K172">
        <v>0</v>
      </c>
      <c r="N172">
        <v>0</v>
      </c>
      <c r="O172">
        <v>0</v>
      </c>
    </row>
    <row r="173" spans="2:17">
      <c r="B173" t="s">
        <v>90</v>
      </c>
      <c r="C173">
        <v>3</v>
      </c>
      <c r="D173">
        <v>22499</v>
      </c>
      <c r="E173" t="s">
        <v>303</v>
      </c>
      <c r="F173" t="s">
        <v>304</v>
      </c>
      <c r="J173">
        <v>0</v>
      </c>
      <c r="K173">
        <v>0</v>
      </c>
      <c r="N173">
        <v>0</v>
      </c>
      <c r="O173">
        <v>0</v>
      </c>
    </row>
    <row r="174" spans="2:17">
      <c r="B174" t="s">
        <v>73</v>
      </c>
      <c r="C174">
        <v>3</v>
      </c>
      <c r="D174">
        <v>200844</v>
      </c>
      <c r="E174" t="s">
        <v>305</v>
      </c>
      <c r="F174" t="s">
        <v>306</v>
      </c>
      <c r="G174">
        <v>1</v>
      </c>
      <c r="J174">
        <v>135</v>
      </c>
      <c r="K174">
        <v>0</v>
      </c>
      <c r="N174">
        <v>135</v>
      </c>
      <c r="O174">
        <v>0</v>
      </c>
    </row>
    <row r="175" spans="2:17">
      <c r="B175" t="s">
        <v>73</v>
      </c>
      <c r="C175">
        <v>3</v>
      </c>
      <c r="D175">
        <v>283360</v>
      </c>
      <c r="E175" t="s">
        <v>307</v>
      </c>
      <c r="F175" t="s">
        <v>182</v>
      </c>
      <c r="G175" t="s">
        <v>308</v>
      </c>
      <c r="J175">
        <v>134</v>
      </c>
      <c r="K175">
        <v>0</v>
      </c>
      <c r="N175">
        <v>134</v>
      </c>
      <c r="O175">
        <v>0</v>
      </c>
    </row>
    <row r="176" spans="2:17">
      <c r="B176" t="s">
        <v>90</v>
      </c>
      <c r="C176">
        <v>4</v>
      </c>
      <c r="D176">
        <v>13355</v>
      </c>
      <c r="E176" t="s">
        <v>309</v>
      </c>
      <c r="F176" t="s">
        <v>310</v>
      </c>
      <c r="J176">
        <v>165</v>
      </c>
      <c r="K176">
        <v>68</v>
      </c>
      <c r="L176">
        <v>184</v>
      </c>
      <c r="M176">
        <v>1</v>
      </c>
      <c r="N176">
        <v>49</v>
      </c>
      <c r="O176">
        <v>0</v>
      </c>
    </row>
    <row r="177" spans="1:17">
      <c r="B177" t="s">
        <v>73</v>
      </c>
      <c r="C177">
        <v>4</v>
      </c>
      <c r="D177">
        <v>225615</v>
      </c>
      <c r="E177" t="s">
        <v>309</v>
      </c>
      <c r="F177" t="s">
        <v>311</v>
      </c>
      <c r="G177">
        <v>1</v>
      </c>
      <c r="J177">
        <v>0</v>
      </c>
      <c r="K177">
        <v>0</v>
      </c>
      <c r="N177">
        <v>0</v>
      </c>
      <c r="O177">
        <v>0</v>
      </c>
    </row>
    <row r="178" spans="1:17">
      <c r="B178" t="s">
        <v>73</v>
      </c>
      <c r="C178">
        <v>4</v>
      </c>
      <c r="D178">
        <v>115364</v>
      </c>
      <c r="E178" t="s">
        <v>312</v>
      </c>
      <c r="F178" t="s">
        <v>313</v>
      </c>
      <c r="G178">
        <v>1</v>
      </c>
      <c r="J178">
        <v>0</v>
      </c>
      <c r="K178">
        <v>0</v>
      </c>
      <c r="N178">
        <v>0</v>
      </c>
      <c r="O178">
        <v>0</v>
      </c>
    </row>
    <row r="179" spans="1:17">
      <c r="A179" t="s">
        <v>1146</v>
      </c>
      <c r="B179" t="s">
        <v>90</v>
      </c>
      <c r="C179">
        <v>4</v>
      </c>
      <c r="D179">
        <v>13410</v>
      </c>
      <c r="E179" t="s">
        <v>314</v>
      </c>
      <c r="F179" t="s">
        <v>315</v>
      </c>
      <c r="J179">
        <v>192</v>
      </c>
      <c r="K179">
        <v>0</v>
      </c>
      <c r="N179">
        <v>235</v>
      </c>
      <c r="O179">
        <v>0</v>
      </c>
    </row>
    <row r="180" spans="1:17">
      <c r="B180" t="s">
        <v>73</v>
      </c>
      <c r="C180">
        <v>4</v>
      </c>
      <c r="D180">
        <v>255120</v>
      </c>
      <c r="E180" t="s">
        <v>316</v>
      </c>
      <c r="F180" t="s">
        <v>317</v>
      </c>
      <c r="G180">
        <v>1</v>
      </c>
      <c r="J180">
        <v>0</v>
      </c>
      <c r="K180">
        <v>0</v>
      </c>
      <c r="N180">
        <v>0</v>
      </c>
      <c r="O180" s="164">
        <v>1530</v>
      </c>
      <c r="P180">
        <v>300</v>
      </c>
      <c r="Q180">
        <v>1</v>
      </c>
    </row>
    <row r="181" spans="1:17">
      <c r="P181" s="164">
        <v>1230</v>
      </c>
      <c r="Q181">
        <v>2</v>
      </c>
    </row>
    <row r="182" spans="1:17">
      <c r="B182" t="s">
        <v>73</v>
      </c>
      <c r="C182">
        <v>4</v>
      </c>
      <c r="D182">
        <v>39333</v>
      </c>
      <c r="E182" t="s">
        <v>318</v>
      </c>
      <c r="F182" t="s">
        <v>319</v>
      </c>
      <c r="G182">
        <v>1</v>
      </c>
      <c r="J182">
        <v>0</v>
      </c>
      <c r="K182">
        <v>0</v>
      </c>
      <c r="N182">
        <v>0</v>
      </c>
      <c r="O182">
        <v>0</v>
      </c>
    </row>
    <row r="183" spans="1:17">
      <c r="B183" t="s">
        <v>90</v>
      </c>
      <c r="C183">
        <v>4</v>
      </c>
      <c r="D183">
        <v>13726</v>
      </c>
      <c r="E183" t="s">
        <v>320</v>
      </c>
      <c r="F183" t="s">
        <v>321</v>
      </c>
      <c r="J183">
        <v>90</v>
      </c>
      <c r="K183">
        <v>0</v>
      </c>
      <c r="N183">
        <v>90</v>
      </c>
      <c r="O183">
        <v>0</v>
      </c>
    </row>
    <row r="184" spans="1:17">
      <c r="B184" t="s">
        <v>73</v>
      </c>
      <c r="C184">
        <v>4</v>
      </c>
      <c r="D184">
        <v>167923</v>
      </c>
      <c r="E184" t="s">
        <v>322</v>
      </c>
      <c r="F184" t="s">
        <v>323</v>
      </c>
      <c r="G184">
        <v>1</v>
      </c>
      <c r="J184">
        <v>0</v>
      </c>
      <c r="K184">
        <v>0</v>
      </c>
      <c r="N184">
        <v>0</v>
      </c>
      <c r="O184">
        <v>0</v>
      </c>
    </row>
    <row r="185" spans="1:17">
      <c r="B185" t="s">
        <v>90</v>
      </c>
      <c r="C185">
        <v>4</v>
      </c>
      <c r="D185">
        <v>12863</v>
      </c>
      <c r="E185" t="s">
        <v>324</v>
      </c>
      <c r="F185" t="s">
        <v>325</v>
      </c>
      <c r="J185">
        <v>0</v>
      </c>
      <c r="K185">
        <v>0</v>
      </c>
      <c r="N185">
        <v>0</v>
      </c>
      <c r="O185">
        <v>0</v>
      </c>
    </row>
    <row r="186" spans="1:17">
      <c r="B186" t="s">
        <v>73</v>
      </c>
      <c r="C186">
        <v>4</v>
      </c>
      <c r="D186">
        <v>244496</v>
      </c>
      <c r="E186" t="s">
        <v>326</v>
      </c>
      <c r="F186" t="s">
        <v>327</v>
      </c>
      <c r="G186">
        <v>1</v>
      </c>
      <c r="J186">
        <v>162</v>
      </c>
      <c r="K186">
        <v>0</v>
      </c>
      <c r="N186">
        <v>162</v>
      </c>
      <c r="O186" s="164">
        <v>2296</v>
      </c>
      <c r="P186">
        <v>136</v>
      </c>
      <c r="Q186">
        <v>1</v>
      </c>
    </row>
    <row r="187" spans="1:17">
      <c r="P187" s="164">
        <v>2160</v>
      </c>
      <c r="Q187">
        <v>2</v>
      </c>
    </row>
    <row r="188" spans="1:17">
      <c r="B188" t="s">
        <v>73</v>
      </c>
      <c r="C188">
        <v>4</v>
      </c>
      <c r="D188">
        <v>248176</v>
      </c>
      <c r="E188" t="s">
        <v>326</v>
      </c>
      <c r="F188" t="s">
        <v>327</v>
      </c>
      <c r="G188">
        <v>2</v>
      </c>
      <c r="J188">
        <v>0</v>
      </c>
      <c r="K188">
        <v>0</v>
      </c>
      <c r="N188">
        <v>0</v>
      </c>
      <c r="O188" s="164">
        <v>2155</v>
      </c>
      <c r="P188">
        <v>128</v>
      </c>
      <c r="Q188">
        <v>1</v>
      </c>
    </row>
    <row r="189" spans="1:17">
      <c r="P189" s="164">
        <v>2027</v>
      </c>
      <c r="Q189">
        <v>2</v>
      </c>
    </row>
    <row r="190" spans="1:17">
      <c r="B190" t="s">
        <v>73</v>
      </c>
      <c r="C190">
        <v>4</v>
      </c>
      <c r="D190">
        <v>250087</v>
      </c>
      <c r="E190" t="s">
        <v>326</v>
      </c>
      <c r="F190" t="s">
        <v>328</v>
      </c>
      <c r="G190">
        <v>1</v>
      </c>
      <c r="J190">
        <v>24</v>
      </c>
      <c r="K190">
        <v>0</v>
      </c>
      <c r="N190">
        <v>24</v>
      </c>
      <c r="O190" s="164">
        <v>8177</v>
      </c>
      <c r="P190">
        <v>320</v>
      </c>
      <c r="Q190">
        <v>1</v>
      </c>
    </row>
    <row r="191" spans="1:17">
      <c r="P191" s="164">
        <v>7857</v>
      </c>
      <c r="Q191">
        <v>2</v>
      </c>
    </row>
    <row r="192" spans="1:17">
      <c r="B192" t="s">
        <v>73</v>
      </c>
      <c r="C192">
        <v>4</v>
      </c>
      <c r="D192">
        <v>255119</v>
      </c>
      <c r="E192" t="s">
        <v>326</v>
      </c>
      <c r="F192" t="s">
        <v>327</v>
      </c>
      <c r="G192">
        <v>3</v>
      </c>
      <c r="J192">
        <v>0</v>
      </c>
      <c r="K192">
        <v>0</v>
      </c>
      <c r="N192">
        <v>0</v>
      </c>
      <c r="O192">
        <v>203</v>
      </c>
      <c r="P192">
        <v>8</v>
      </c>
      <c r="Q192">
        <v>1</v>
      </c>
    </row>
    <row r="193" spans="2:17">
      <c r="P193">
        <v>195</v>
      </c>
      <c r="Q193">
        <v>2</v>
      </c>
    </row>
    <row r="194" spans="2:17">
      <c r="B194" t="s">
        <v>90</v>
      </c>
      <c r="C194">
        <v>4</v>
      </c>
      <c r="D194">
        <v>12696</v>
      </c>
      <c r="E194" t="s">
        <v>329</v>
      </c>
      <c r="F194" t="s">
        <v>330</v>
      </c>
      <c r="J194">
        <v>47</v>
      </c>
      <c r="K194">
        <v>0</v>
      </c>
      <c r="N194">
        <v>47</v>
      </c>
      <c r="O194">
        <v>0</v>
      </c>
    </row>
    <row r="195" spans="2:17">
      <c r="B195" t="s">
        <v>90</v>
      </c>
      <c r="C195">
        <v>4</v>
      </c>
      <c r="D195">
        <v>13742</v>
      </c>
      <c r="E195" t="s">
        <v>331</v>
      </c>
      <c r="F195" t="s">
        <v>332</v>
      </c>
      <c r="J195">
        <v>52</v>
      </c>
      <c r="K195">
        <v>0</v>
      </c>
      <c r="N195">
        <v>52</v>
      </c>
      <c r="O195">
        <v>0</v>
      </c>
    </row>
    <row r="196" spans="2:17">
      <c r="B196" t="s">
        <v>73</v>
      </c>
      <c r="C196">
        <v>4</v>
      </c>
      <c r="D196">
        <v>54242</v>
      </c>
      <c r="E196" t="s">
        <v>333</v>
      </c>
      <c r="F196" t="s">
        <v>334</v>
      </c>
      <c r="G196">
        <v>2</v>
      </c>
      <c r="J196">
        <v>0</v>
      </c>
      <c r="K196">
        <v>0</v>
      </c>
      <c r="N196">
        <v>0</v>
      </c>
      <c r="O196">
        <v>0</v>
      </c>
    </row>
    <row r="197" spans="2:17">
      <c r="B197" t="s">
        <v>90</v>
      </c>
      <c r="C197">
        <v>4</v>
      </c>
      <c r="D197">
        <v>10325</v>
      </c>
      <c r="E197" t="s">
        <v>335</v>
      </c>
      <c r="F197" t="s">
        <v>336</v>
      </c>
      <c r="J197">
        <v>59</v>
      </c>
      <c r="K197">
        <v>1</v>
      </c>
      <c r="N197">
        <v>60</v>
      </c>
      <c r="O197">
        <v>0</v>
      </c>
    </row>
    <row r="198" spans="2:17">
      <c r="B198" t="s">
        <v>90</v>
      </c>
      <c r="C198">
        <v>4</v>
      </c>
      <c r="D198">
        <v>10563</v>
      </c>
      <c r="E198" t="s">
        <v>335</v>
      </c>
      <c r="F198" t="s">
        <v>337</v>
      </c>
      <c r="J198">
        <v>69</v>
      </c>
      <c r="K198">
        <v>0</v>
      </c>
      <c r="N198">
        <v>69</v>
      </c>
      <c r="O198">
        <v>0</v>
      </c>
    </row>
    <row r="199" spans="2:17">
      <c r="B199" t="s">
        <v>73</v>
      </c>
      <c r="C199">
        <v>4</v>
      </c>
      <c r="D199">
        <v>212342</v>
      </c>
      <c r="E199" t="s">
        <v>338</v>
      </c>
      <c r="F199" t="s">
        <v>339</v>
      </c>
      <c r="G199">
        <v>2</v>
      </c>
      <c r="J199">
        <v>0</v>
      </c>
      <c r="K199">
        <v>0</v>
      </c>
      <c r="N199">
        <v>0</v>
      </c>
      <c r="O199" s="164">
        <v>3189</v>
      </c>
      <c r="P199">
        <v>124</v>
      </c>
      <c r="Q199">
        <v>1</v>
      </c>
    </row>
    <row r="200" spans="2:17">
      <c r="P200" s="164">
        <v>3065</v>
      </c>
      <c r="Q200">
        <v>2</v>
      </c>
    </row>
    <row r="201" spans="2:17">
      <c r="B201" t="s">
        <v>73</v>
      </c>
      <c r="C201">
        <v>4</v>
      </c>
      <c r="D201">
        <v>213792</v>
      </c>
      <c r="E201" t="s">
        <v>338</v>
      </c>
      <c r="F201" t="s">
        <v>339</v>
      </c>
      <c r="G201">
        <v>1</v>
      </c>
      <c r="J201">
        <v>43</v>
      </c>
      <c r="K201">
        <v>0</v>
      </c>
      <c r="N201">
        <v>43</v>
      </c>
      <c r="O201">
        <v>0</v>
      </c>
    </row>
    <row r="202" spans="2:17">
      <c r="B202" t="s">
        <v>73</v>
      </c>
      <c r="C202">
        <v>4</v>
      </c>
      <c r="D202">
        <v>173434</v>
      </c>
      <c r="E202" t="s">
        <v>340</v>
      </c>
      <c r="F202" t="s">
        <v>341</v>
      </c>
      <c r="G202">
        <v>2</v>
      </c>
      <c r="J202">
        <v>169</v>
      </c>
      <c r="K202">
        <v>0</v>
      </c>
      <c r="N202">
        <v>169</v>
      </c>
      <c r="O202">
        <v>253</v>
      </c>
      <c r="P202">
        <v>253</v>
      </c>
      <c r="Q202">
        <v>2</v>
      </c>
    </row>
    <row r="203" spans="2:17">
      <c r="B203" t="s">
        <v>73</v>
      </c>
      <c r="C203">
        <v>4</v>
      </c>
      <c r="D203">
        <v>252973</v>
      </c>
      <c r="E203" t="s">
        <v>342</v>
      </c>
      <c r="F203" t="s">
        <v>343</v>
      </c>
      <c r="G203">
        <v>1</v>
      </c>
      <c r="J203">
        <v>93</v>
      </c>
      <c r="K203">
        <v>0</v>
      </c>
      <c r="N203">
        <v>93</v>
      </c>
      <c r="O203">
        <v>0</v>
      </c>
    </row>
    <row r="204" spans="2:17">
      <c r="B204" t="s">
        <v>73</v>
      </c>
      <c r="C204">
        <v>4</v>
      </c>
      <c r="D204">
        <v>201238</v>
      </c>
      <c r="E204" t="s">
        <v>344</v>
      </c>
      <c r="F204" t="s">
        <v>345</v>
      </c>
      <c r="G204" t="s">
        <v>346</v>
      </c>
      <c r="J204">
        <v>67</v>
      </c>
      <c r="K204">
        <v>10</v>
      </c>
      <c r="N204">
        <v>77</v>
      </c>
      <c r="O204">
        <v>634</v>
      </c>
      <c r="P204">
        <v>634</v>
      </c>
      <c r="Q204">
        <v>2</v>
      </c>
    </row>
    <row r="205" spans="2:17">
      <c r="B205" t="s">
        <v>73</v>
      </c>
      <c r="C205">
        <v>4</v>
      </c>
      <c r="D205">
        <v>242290</v>
      </c>
      <c r="E205" t="s">
        <v>347</v>
      </c>
      <c r="F205" t="s">
        <v>345</v>
      </c>
      <c r="G205">
        <v>20</v>
      </c>
      <c r="J205">
        <v>0</v>
      </c>
      <c r="K205">
        <v>0</v>
      </c>
      <c r="N205">
        <v>0</v>
      </c>
      <c r="O205">
        <v>0</v>
      </c>
    </row>
    <row r="206" spans="2:17">
      <c r="B206" t="s">
        <v>73</v>
      </c>
      <c r="C206">
        <v>4</v>
      </c>
      <c r="D206">
        <v>198253</v>
      </c>
      <c r="E206" t="s">
        <v>348</v>
      </c>
      <c r="F206" t="s">
        <v>345</v>
      </c>
      <c r="G206" t="s">
        <v>349</v>
      </c>
      <c r="J206">
        <v>0</v>
      </c>
      <c r="K206">
        <v>0</v>
      </c>
      <c r="N206">
        <v>0</v>
      </c>
      <c r="O206">
        <v>0</v>
      </c>
    </row>
    <row r="207" spans="2:17">
      <c r="B207" t="s">
        <v>73</v>
      </c>
      <c r="C207">
        <v>4</v>
      </c>
      <c r="D207">
        <v>159856</v>
      </c>
      <c r="E207" t="s">
        <v>350</v>
      </c>
      <c r="F207" t="s">
        <v>345</v>
      </c>
      <c r="G207" t="s">
        <v>351</v>
      </c>
      <c r="J207">
        <v>0</v>
      </c>
      <c r="K207">
        <v>0</v>
      </c>
      <c r="N207">
        <v>0</v>
      </c>
      <c r="O207">
        <v>0</v>
      </c>
    </row>
    <row r="208" spans="2:17">
      <c r="B208" t="s">
        <v>73</v>
      </c>
      <c r="C208">
        <v>4</v>
      </c>
      <c r="D208">
        <v>162080</v>
      </c>
      <c r="E208" t="s">
        <v>352</v>
      </c>
      <c r="F208" t="s">
        <v>353</v>
      </c>
      <c r="G208">
        <v>14</v>
      </c>
      <c r="J208">
        <v>3</v>
      </c>
      <c r="K208">
        <v>0</v>
      </c>
      <c r="N208">
        <v>3</v>
      </c>
      <c r="O208">
        <v>725</v>
      </c>
      <c r="P208">
        <v>725</v>
      </c>
      <c r="Q208">
        <v>2</v>
      </c>
    </row>
    <row r="209" spans="2:17">
      <c r="B209" t="s">
        <v>73</v>
      </c>
      <c r="C209">
        <v>4</v>
      </c>
      <c r="D209">
        <v>11877</v>
      </c>
      <c r="E209" t="s">
        <v>354</v>
      </c>
      <c r="F209" t="s">
        <v>355</v>
      </c>
      <c r="G209">
        <v>1</v>
      </c>
      <c r="J209">
        <v>0</v>
      </c>
      <c r="K209">
        <v>0</v>
      </c>
      <c r="N209">
        <v>0</v>
      </c>
      <c r="O209">
        <v>383</v>
      </c>
      <c r="P209">
        <v>383</v>
      </c>
      <c r="Q209">
        <v>2</v>
      </c>
    </row>
    <row r="210" spans="2:17">
      <c r="B210" t="s">
        <v>73</v>
      </c>
      <c r="C210">
        <v>4</v>
      </c>
      <c r="D210">
        <v>11885</v>
      </c>
      <c r="E210" t="s">
        <v>354</v>
      </c>
      <c r="F210" t="s">
        <v>356</v>
      </c>
      <c r="G210">
        <v>2</v>
      </c>
      <c r="J210">
        <v>0</v>
      </c>
      <c r="K210">
        <v>0</v>
      </c>
      <c r="N210">
        <v>0</v>
      </c>
      <c r="O210" s="164">
        <v>1619</v>
      </c>
      <c r="P210" s="164">
        <v>1619</v>
      </c>
      <c r="Q210">
        <v>2</v>
      </c>
    </row>
    <row r="211" spans="2:17">
      <c r="B211" t="s">
        <v>73</v>
      </c>
      <c r="C211">
        <v>4</v>
      </c>
      <c r="D211">
        <v>191863</v>
      </c>
      <c r="E211" t="s">
        <v>354</v>
      </c>
      <c r="F211" t="s">
        <v>357</v>
      </c>
      <c r="G211">
        <v>3</v>
      </c>
      <c r="J211">
        <v>0</v>
      </c>
      <c r="K211">
        <v>0</v>
      </c>
      <c r="N211">
        <v>0</v>
      </c>
      <c r="O211">
        <v>0</v>
      </c>
    </row>
    <row r="212" spans="2:17">
      <c r="B212" t="s">
        <v>73</v>
      </c>
      <c r="C212">
        <v>4</v>
      </c>
      <c r="D212">
        <v>194224</v>
      </c>
      <c r="E212" t="s">
        <v>358</v>
      </c>
      <c r="F212" t="s">
        <v>359</v>
      </c>
      <c r="G212">
        <v>2</v>
      </c>
      <c r="J212">
        <v>268</v>
      </c>
      <c r="K212">
        <v>0</v>
      </c>
      <c r="N212">
        <v>268</v>
      </c>
      <c r="O212" s="164">
        <v>1852</v>
      </c>
      <c r="P212">
        <v>57</v>
      </c>
      <c r="Q212">
        <v>1</v>
      </c>
    </row>
    <row r="213" spans="2:17">
      <c r="P213" s="164">
        <v>1795</v>
      </c>
      <c r="Q213">
        <v>2</v>
      </c>
    </row>
    <row r="214" spans="2:17">
      <c r="B214" t="s">
        <v>73</v>
      </c>
      <c r="C214">
        <v>4</v>
      </c>
      <c r="D214">
        <v>127818</v>
      </c>
      <c r="E214" t="s">
        <v>360</v>
      </c>
      <c r="F214" t="s">
        <v>361</v>
      </c>
      <c r="G214">
        <v>1</v>
      </c>
      <c r="J214">
        <v>166</v>
      </c>
      <c r="K214">
        <v>0</v>
      </c>
      <c r="N214">
        <v>166</v>
      </c>
      <c r="O214">
        <v>0</v>
      </c>
    </row>
    <row r="215" spans="2:17">
      <c r="B215" t="s">
        <v>73</v>
      </c>
      <c r="C215">
        <v>4</v>
      </c>
      <c r="D215">
        <v>276012</v>
      </c>
      <c r="E215" t="s">
        <v>362</v>
      </c>
      <c r="F215" t="s">
        <v>363</v>
      </c>
      <c r="G215" t="s">
        <v>364</v>
      </c>
      <c r="I215">
        <v>5050</v>
      </c>
      <c r="J215">
        <v>62</v>
      </c>
      <c r="K215">
        <v>81</v>
      </c>
      <c r="L215">
        <v>142</v>
      </c>
      <c r="M215">
        <v>1</v>
      </c>
      <c r="N215">
        <v>1</v>
      </c>
      <c r="O215" s="164">
        <v>3378</v>
      </c>
      <c r="P215" s="164">
        <v>3378</v>
      </c>
      <c r="Q215">
        <v>2</v>
      </c>
    </row>
    <row r="216" spans="2:17">
      <c r="B216" t="s">
        <v>73</v>
      </c>
      <c r="C216">
        <v>4</v>
      </c>
      <c r="D216">
        <v>192315</v>
      </c>
      <c r="E216" t="s">
        <v>365</v>
      </c>
      <c r="F216" t="s">
        <v>366</v>
      </c>
      <c r="G216">
        <v>2</v>
      </c>
      <c r="J216">
        <v>0</v>
      </c>
      <c r="K216">
        <v>0</v>
      </c>
      <c r="N216">
        <v>0</v>
      </c>
      <c r="O216">
        <v>0</v>
      </c>
    </row>
    <row r="217" spans="2:17">
      <c r="B217" t="s">
        <v>73</v>
      </c>
      <c r="C217">
        <v>4</v>
      </c>
      <c r="D217">
        <v>140637</v>
      </c>
      <c r="E217" t="s">
        <v>367</v>
      </c>
      <c r="F217" t="s">
        <v>368</v>
      </c>
      <c r="G217">
        <v>1</v>
      </c>
      <c r="J217">
        <v>92</v>
      </c>
      <c r="K217">
        <v>0</v>
      </c>
      <c r="N217">
        <v>92</v>
      </c>
      <c r="O217">
        <v>0</v>
      </c>
    </row>
    <row r="218" spans="2:17">
      <c r="B218" t="s">
        <v>73</v>
      </c>
      <c r="C218">
        <v>4</v>
      </c>
      <c r="D218">
        <v>120373</v>
      </c>
      <c r="E218" t="s">
        <v>369</v>
      </c>
      <c r="F218" t="s">
        <v>370</v>
      </c>
      <c r="G218">
        <v>1</v>
      </c>
      <c r="J218">
        <v>0</v>
      </c>
      <c r="K218">
        <v>0</v>
      </c>
      <c r="N218">
        <v>0</v>
      </c>
      <c r="O218">
        <v>0</v>
      </c>
    </row>
    <row r="219" spans="2:17">
      <c r="B219" t="s">
        <v>90</v>
      </c>
      <c r="C219">
        <v>4</v>
      </c>
      <c r="D219">
        <v>14061</v>
      </c>
      <c r="E219" t="s">
        <v>371</v>
      </c>
      <c r="F219" t="s">
        <v>372</v>
      </c>
      <c r="J219">
        <v>170</v>
      </c>
      <c r="K219">
        <v>69</v>
      </c>
      <c r="N219">
        <v>239</v>
      </c>
      <c r="O219">
        <v>0</v>
      </c>
    </row>
    <row r="220" spans="2:17">
      <c r="B220" t="s">
        <v>73</v>
      </c>
      <c r="C220">
        <v>4</v>
      </c>
      <c r="D220">
        <v>195786</v>
      </c>
      <c r="E220" t="s">
        <v>373</v>
      </c>
      <c r="F220" t="s">
        <v>374</v>
      </c>
      <c r="G220">
        <v>2</v>
      </c>
      <c r="J220">
        <v>0</v>
      </c>
      <c r="K220">
        <v>0</v>
      </c>
      <c r="N220">
        <v>0</v>
      </c>
      <c r="O220">
        <v>0</v>
      </c>
    </row>
    <row r="221" spans="2:17">
      <c r="B221" t="s">
        <v>73</v>
      </c>
      <c r="C221">
        <v>4</v>
      </c>
      <c r="D221">
        <v>226100</v>
      </c>
      <c r="E221" t="s">
        <v>375</v>
      </c>
      <c r="F221" t="s">
        <v>339</v>
      </c>
      <c r="G221">
        <v>5</v>
      </c>
      <c r="J221">
        <v>0</v>
      </c>
      <c r="K221">
        <v>0</v>
      </c>
      <c r="N221">
        <v>0</v>
      </c>
      <c r="O221" s="164">
        <v>1147</v>
      </c>
      <c r="P221">
        <v>31</v>
      </c>
      <c r="Q221">
        <v>1</v>
      </c>
    </row>
    <row r="222" spans="2:17">
      <c r="P222" s="164">
        <v>1116</v>
      </c>
      <c r="Q222">
        <v>2</v>
      </c>
    </row>
    <row r="223" spans="2:17">
      <c r="B223" t="s">
        <v>73</v>
      </c>
      <c r="C223">
        <v>4</v>
      </c>
      <c r="D223">
        <v>233961</v>
      </c>
      <c r="E223" t="s">
        <v>375</v>
      </c>
      <c r="F223" t="s">
        <v>339</v>
      </c>
      <c r="G223">
        <v>3</v>
      </c>
      <c r="J223">
        <v>0</v>
      </c>
      <c r="K223">
        <v>0</v>
      </c>
      <c r="N223">
        <v>0</v>
      </c>
      <c r="O223" s="164">
        <v>3189</v>
      </c>
      <c r="P223">
        <v>124</v>
      </c>
      <c r="Q223">
        <v>1</v>
      </c>
    </row>
    <row r="224" spans="2:17">
      <c r="P224" s="164">
        <v>3065</v>
      </c>
      <c r="Q224">
        <v>2</v>
      </c>
    </row>
    <row r="225" spans="1:17">
      <c r="B225" t="s">
        <v>73</v>
      </c>
      <c r="C225">
        <v>4</v>
      </c>
      <c r="D225">
        <v>142434</v>
      </c>
      <c r="E225" t="s">
        <v>376</v>
      </c>
      <c r="F225" t="s">
        <v>377</v>
      </c>
      <c r="G225">
        <v>2</v>
      </c>
      <c r="J225">
        <v>49</v>
      </c>
      <c r="K225">
        <v>0</v>
      </c>
      <c r="N225">
        <v>49</v>
      </c>
      <c r="O225">
        <v>0</v>
      </c>
    </row>
    <row r="226" spans="1:17">
      <c r="B226" t="s">
        <v>73</v>
      </c>
      <c r="C226">
        <v>4</v>
      </c>
      <c r="D226">
        <v>142269</v>
      </c>
      <c r="E226" t="s">
        <v>378</v>
      </c>
      <c r="F226" t="s">
        <v>379</v>
      </c>
      <c r="G226">
        <v>1</v>
      </c>
      <c r="J226">
        <v>0</v>
      </c>
      <c r="K226">
        <v>0</v>
      </c>
      <c r="N226">
        <v>0</v>
      </c>
      <c r="O226">
        <v>0</v>
      </c>
    </row>
    <row r="227" spans="1:17">
      <c r="B227" t="s">
        <v>90</v>
      </c>
      <c r="C227">
        <v>4</v>
      </c>
      <c r="D227">
        <v>12803</v>
      </c>
      <c r="E227" t="s">
        <v>380</v>
      </c>
      <c r="F227" t="s">
        <v>381</v>
      </c>
      <c r="J227">
        <v>0</v>
      </c>
      <c r="K227">
        <v>0</v>
      </c>
      <c r="N227">
        <v>0</v>
      </c>
      <c r="O227">
        <v>0</v>
      </c>
    </row>
    <row r="228" spans="1:17">
      <c r="B228" t="s">
        <v>90</v>
      </c>
      <c r="C228">
        <v>4</v>
      </c>
      <c r="D228">
        <v>3212</v>
      </c>
      <c r="E228" t="s">
        <v>382</v>
      </c>
      <c r="F228" t="s">
        <v>383</v>
      </c>
      <c r="I228">
        <v>6114</v>
      </c>
      <c r="J228">
        <v>177</v>
      </c>
      <c r="K228">
        <v>0</v>
      </c>
      <c r="L228">
        <v>166</v>
      </c>
      <c r="M228">
        <v>1</v>
      </c>
      <c r="N228">
        <v>11</v>
      </c>
      <c r="O228">
        <v>0</v>
      </c>
    </row>
    <row r="229" spans="1:17">
      <c r="B229" t="s">
        <v>90</v>
      </c>
      <c r="C229">
        <v>4</v>
      </c>
      <c r="D229">
        <v>8717</v>
      </c>
      <c r="E229" t="s">
        <v>382</v>
      </c>
      <c r="F229" t="s">
        <v>384</v>
      </c>
      <c r="J229">
        <v>0</v>
      </c>
      <c r="K229">
        <v>0</v>
      </c>
      <c r="N229">
        <v>0</v>
      </c>
      <c r="O229">
        <v>0</v>
      </c>
    </row>
    <row r="230" spans="1:17">
      <c r="B230" t="s">
        <v>73</v>
      </c>
      <c r="C230">
        <v>4</v>
      </c>
      <c r="D230">
        <v>190124</v>
      </c>
      <c r="E230" t="s">
        <v>385</v>
      </c>
      <c r="F230" t="s">
        <v>386</v>
      </c>
      <c r="G230">
        <v>4</v>
      </c>
      <c r="J230">
        <v>0</v>
      </c>
      <c r="K230">
        <v>0</v>
      </c>
      <c r="N230">
        <v>0</v>
      </c>
      <c r="O230">
        <v>0</v>
      </c>
    </row>
    <row r="231" spans="1:17">
      <c r="B231" t="s">
        <v>90</v>
      </c>
      <c r="C231">
        <v>4</v>
      </c>
      <c r="D231">
        <v>13668</v>
      </c>
      <c r="E231" t="s">
        <v>387</v>
      </c>
      <c r="F231" t="s">
        <v>388</v>
      </c>
      <c r="I231">
        <v>6114</v>
      </c>
      <c r="J231">
        <v>0</v>
      </c>
      <c r="K231">
        <v>0</v>
      </c>
      <c r="N231">
        <v>0</v>
      </c>
      <c r="O231">
        <v>0</v>
      </c>
    </row>
    <row r="232" spans="1:17">
      <c r="B232" t="s">
        <v>90</v>
      </c>
      <c r="C232">
        <v>4</v>
      </c>
      <c r="D232">
        <v>13664</v>
      </c>
      <c r="E232" t="s">
        <v>389</v>
      </c>
      <c r="F232" t="s">
        <v>390</v>
      </c>
      <c r="J232">
        <v>64</v>
      </c>
      <c r="K232">
        <v>0</v>
      </c>
      <c r="N232">
        <v>64</v>
      </c>
      <c r="O232">
        <v>0</v>
      </c>
    </row>
    <row r="233" spans="1:17">
      <c r="B233" t="s">
        <v>73</v>
      </c>
      <c r="C233">
        <v>4</v>
      </c>
      <c r="D233">
        <v>66093</v>
      </c>
      <c r="E233" t="s">
        <v>391</v>
      </c>
      <c r="F233" t="s">
        <v>386</v>
      </c>
      <c r="G233" t="s">
        <v>392</v>
      </c>
      <c r="I233">
        <v>5050</v>
      </c>
      <c r="J233">
        <v>64</v>
      </c>
      <c r="K233">
        <v>0</v>
      </c>
      <c r="L233">
        <v>33</v>
      </c>
      <c r="M233">
        <v>1</v>
      </c>
      <c r="N233">
        <v>31</v>
      </c>
      <c r="O233">
        <v>975</v>
      </c>
      <c r="P233">
        <v>80</v>
      </c>
      <c r="Q233">
        <v>1</v>
      </c>
    </row>
    <row r="234" spans="1:17">
      <c r="P234">
        <v>895</v>
      </c>
      <c r="Q234">
        <v>2</v>
      </c>
    </row>
    <row r="235" spans="1:17">
      <c r="B235" t="s">
        <v>90</v>
      </c>
      <c r="C235">
        <v>4</v>
      </c>
      <c r="D235">
        <v>12360</v>
      </c>
      <c r="E235" t="s">
        <v>393</v>
      </c>
      <c r="F235" t="s">
        <v>394</v>
      </c>
      <c r="J235">
        <v>63</v>
      </c>
      <c r="K235">
        <v>0</v>
      </c>
      <c r="N235">
        <v>63</v>
      </c>
      <c r="O235">
        <v>0</v>
      </c>
    </row>
    <row r="236" spans="1:17" ht="15">
      <c r="A236" s="212" t="s">
        <v>626</v>
      </c>
      <c r="B236" s="212"/>
      <c r="C236" s="212"/>
      <c r="D236" s="212"/>
      <c r="E236" s="212">
        <f>SUBTOTAL(103,Table1[Field Name])</f>
        <v>192</v>
      </c>
      <c r="F236" s="212">
        <f>SUBTOTAL(103,Table1[Lease Name])</f>
        <v>192</v>
      </c>
      <c r="G236" s="212"/>
      <c r="H236" s="212"/>
      <c r="I236" s="212"/>
      <c r="J236" s="213">
        <f>SUBTOTAL(109,Table1[On Hand Beginning of Month])</f>
        <v>12903</v>
      </c>
      <c r="K236" s="212">
        <f>SUBTOTAL(109,Table1[Production])</f>
        <v>16262</v>
      </c>
      <c r="L236" s="212">
        <f>SUBTOTAL(109,Table1[Volume])</f>
        <v>15145</v>
      </c>
      <c r="M236" s="212"/>
      <c r="N236" s="212">
        <f>SUBTOTAL(109,Table1[On Hand End of Month])</f>
        <v>14063</v>
      </c>
      <c r="O236" s="213">
        <f>SUBTOTAL(109,Table1[Formation Production])</f>
        <v>298089</v>
      </c>
      <c r="P236" s="212">
        <f>SUBTOTAL(109,Table1[Volume2])</f>
        <v>298189</v>
      </c>
      <c r="Q236" s="212"/>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628</v>
      </c>
    </row>
    <row r="2" spans="1:15" ht="30.75">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1101</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1102</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1102</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1102</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1102</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1102</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39"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898</v>
      </c>
    </row>
    <row r="3" spans="1:25" ht="15">
      <c r="A3" s="67" t="s">
        <v>887</v>
      </c>
      <c r="B3" s="66" t="s">
        <v>896</v>
      </c>
      <c r="C3" s="66" t="s">
        <v>897</v>
      </c>
      <c r="D3" s="66" t="s">
        <v>888</v>
      </c>
      <c r="E3" s="66" t="s">
        <v>889</v>
      </c>
      <c r="F3" s="66" t="s">
        <v>890</v>
      </c>
      <c r="G3" s="66" t="s">
        <v>891</v>
      </c>
      <c r="H3" s="66" t="s">
        <v>892</v>
      </c>
      <c r="I3" s="66" t="s">
        <v>893</v>
      </c>
      <c r="J3" s="66" t="s">
        <v>894</v>
      </c>
      <c r="K3" t="s">
        <v>895</v>
      </c>
    </row>
    <row r="4" spans="1:25" ht="15">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5">
      <c r="A5" s="68">
        <v>561100</v>
      </c>
      <c r="B5" s="69" t="s">
        <v>829</v>
      </c>
      <c r="C5" s="69" t="s">
        <v>830</v>
      </c>
      <c r="D5" s="71">
        <v>0</v>
      </c>
      <c r="E5" s="68">
        <v>120</v>
      </c>
      <c r="F5" s="71">
        <v>0</v>
      </c>
      <c r="G5" s="68">
        <v>776</v>
      </c>
      <c r="H5" s="70">
        <v>0.64</v>
      </c>
      <c r="J5" s="66"/>
      <c r="K5" s="78">
        <v>19.8</v>
      </c>
      <c r="M5">
        <v>99229</v>
      </c>
      <c r="Q5" s="65"/>
      <c r="Y5" s="65">
        <v>0</v>
      </c>
    </row>
    <row r="6" spans="1:25" ht="15">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5">
      <c r="A7" s="68">
        <v>562100</v>
      </c>
      <c r="B7" s="69" t="s">
        <v>833</v>
      </c>
      <c r="C7" s="69" t="s">
        <v>834</v>
      </c>
      <c r="D7" s="71">
        <v>0</v>
      </c>
      <c r="E7" s="68">
        <v>14</v>
      </c>
      <c r="F7" s="71">
        <v>0</v>
      </c>
      <c r="G7" s="68">
        <v>73</v>
      </c>
      <c r="H7" s="70">
        <v>0.64</v>
      </c>
      <c r="J7" s="66"/>
      <c r="K7" s="78">
        <v>142.80000000000001</v>
      </c>
      <c r="M7" t="s">
        <v>797</v>
      </c>
      <c r="Q7" s="65"/>
      <c r="Y7" s="65">
        <v>0</v>
      </c>
    </row>
    <row r="8" spans="1:25" ht="15">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5">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5">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30">
      <c r="A11" s="68">
        <v>565115</v>
      </c>
      <c r="B11" s="69" t="s">
        <v>838</v>
      </c>
      <c r="C11" s="69" t="s">
        <v>839</v>
      </c>
      <c r="D11" s="72">
        <v>3067</v>
      </c>
      <c r="E11" s="68">
        <v>89</v>
      </c>
      <c r="F11" s="68">
        <v>99</v>
      </c>
      <c r="G11" s="68">
        <v>544</v>
      </c>
      <c r="H11" s="70">
        <v>0.70299999999999996</v>
      </c>
      <c r="J11" s="66"/>
      <c r="K11" s="78">
        <v>744.1</v>
      </c>
      <c r="M11">
        <v>99230</v>
      </c>
      <c r="Q11" s="65"/>
      <c r="Y11" s="65">
        <v>0</v>
      </c>
    </row>
    <row r="12" spans="1:25" ht="30">
      <c r="A12" s="68">
        <v>566100</v>
      </c>
      <c r="B12" s="69" t="s">
        <v>840</v>
      </c>
      <c r="C12" s="69" t="s">
        <v>841</v>
      </c>
      <c r="D12" s="70">
        <v>5.78</v>
      </c>
      <c r="E12" s="68">
        <v>171</v>
      </c>
      <c r="F12" s="68">
        <v>186</v>
      </c>
      <c r="G12" s="68">
        <v>696</v>
      </c>
      <c r="H12" s="70">
        <v>0.66300000000000003</v>
      </c>
      <c r="J12" s="66"/>
      <c r="K12" s="78">
        <v>744.4</v>
      </c>
      <c r="M12">
        <v>99286</v>
      </c>
      <c r="Q12" s="65"/>
      <c r="Y12" s="65">
        <v>0</v>
      </c>
    </row>
    <row r="13" spans="1:25" ht="15">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5">
      <c r="A14" s="68">
        <v>566110</v>
      </c>
      <c r="B14" s="69" t="s">
        <v>844</v>
      </c>
      <c r="C14" s="69" t="s">
        <v>845</v>
      </c>
      <c r="D14" s="71">
        <v>0</v>
      </c>
      <c r="E14" s="68">
        <v>8</v>
      </c>
      <c r="F14" s="71">
        <v>0</v>
      </c>
      <c r="G14" s="68">
        <v>49</v>
      </c>
      <c r="H14" s="70">
        <v>0.74399999999999999</v>
      </c>
      <c r="J14" s="66"/>
      <c r="K14" s="78">
        <v>33.9</v>
      </c>
      <c r="M14">
        <v>99293</v>
      </c>
      <c r="Q14" s="65"/>
      <c r="Y14" s="65">
        <v>0</v>
      </c>
    </row>
    <row r="15" spans="1:25" ht="30">
      <c r="A15" s="68">
        <v>566115</v>
      </c>
      <c r="B15" s="69" t="s">
        <v>846</v>
      </c>
      <c r="C15" s="69" t="s">
        <v>847</v>
      </c>
      <c r="D15" s="70">
        <v>4.069</v>
      </c>
      <c r="E15" s="68">
        <v>184</v>
      </c>
      <c r="F15" s="68">
        <v>213</v>
      </c>
      <c r="G15" s="68">
        <v>739</v>
      </c>
      <c r="H15" s="70">
        <v>0.72799999999999998</v>
      </c>
      <c r="J15" s="66"/>
      <c r="K15" s="78">
        <v>458.6</v>
      </c>
      <c r="M15">
        <v>99295</v>
      </c>
      <c r="Q15" s="65"/>
      <c r="Y15" s="65">
        <v>0</v>
      </c>
    </row>
    <row r="16" spans="1:25" ht="30">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30">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30">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5">
      <c r="A19" s="68">
        <v>567100</v>
      </c>
      <c r="B19" s="69" t="s">
        <v>854</v>
      </c>
      <c r="C19" s="69" t="s">
        <v>855</v>
      </c>
      <c r="D19" s="71">
        <v>0</v>
      </c>
      <c r="E19" s="68">
        <v>315</v>
      </c>
      <c r="F19" s="71">
        <v>0</v>
      </c>
      <c r="G19" s="68">
        <v>180</v>
      </c>
      <c r="H19" s="70">
        <v>0.65</v>
      </c>
      <c r="J19" s="66"/>
      <c r="K19" s="78">
        <v>744</v>
      </c>
      <c r="Q19" s="65"/>
      <c r="Y19" s="65">
        <v>0</v>
      </c>
    </row>
    <row r="20" spans="1:25" ht="30">
      <c r="A20" s="68">
        <v>567105</v>
      </c>
      <c r="B20" s="69" t="s">
        <v>856</v>
      </c>
      <c r="C20" s="69" t="s">
        <v>857</v>
      </c>
      <c r="D20" s="68">
        <v>62</v>
      </c>
      <c r="E20" s="68">
        <v>4</v>
      </c>
      <c r="F20" s="71">
        <v>4</v>
      </c>
      <c r="G20" s="68">
        <v>64</v>
      </c>
      <c r="H20" s="70">
        <v>0.56000000000000005</v>
      </c>
      <c r="J20" s="66"/>
      <c r="K20" s="78">
        <v>420.3</v>
      </c>
      <c r="M20">
        <v>98921</v>
      </c>
      <c r="Q20" s="65"/>
      <c r="Y20" s="65">
        <v>0</v>
      </c>
    </row>
    <row r="21" spans="1:25" ht="30">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5">
      <c r="A22" s="68">
        <v>568115</v>
      </c>
      <c r="B22" s="69" t="s">
        <v>860</v>
      </c>
      <c r="C22" s="69" t="s">
        <v>861</v>
      </c>
      <c r="D22" s="71">
        <v>0</v>
      </c>
      <c r="E22" s="68">
        <v>292</v>
      </c>
      <c r="F22" s="71">
        <v>0</v>
      </c>
      <c r="G22" s="68">
        <v>53</v>
      </c>
      <c r="H22" s="70">
        <v>0.6</v>
      </c>
      <c r="J22" s="66"/>
      <c r="K22" s="79">
        <v>508</v>
      </c>
      <c r="M22">
        <v>99067</v>
      </c>
      <c r="Q22" s="65"/>
      <c r="Y22" s="65">
        <v>0</v>
      </c>
    </row>
    <row r="23" spans="1:25" ht="15">
      <c r="A23" s="68">
        <v>568120</v>
      </c>
      <c r="B23" s="69" t="s">
        <v>863</v>
      </c>
      <c r="C23" s="69" t="s">
        <v>864</v>
      </c>
      <c r="D23" s="71">
        <v>0</v>
      </c>
      <c r="E23" s="68">
        <v>115</v>
      </c>
      <c r="F23" s="71">
        <v>0</v>
      </c>
      <c r="G23" s="68">
        <v>830</v>
      </c>
      <c r="H23" s="70">
        <v>0.6</v>
      </c>
      <c r="J23" s="66"/>
      <c r="K23" s="78">
        <v>743.8</v>
      </c>
      <c r="M23" t="s">
        <v>797</v>
      </c>
      <c r="Q23" s="65"/>
      <c r="Y23" s="65">
        <v>0</v>
      </c>
    </row>
    <row r="24" spans="1:25" ht="15">
      <c r="A24" s="68">
        <v>568125</v>
      </c>
      <c r="B24" s="69" t="s">
        <v>865</v>
      </c>
      <c r="C24" s="69" t="s">
        <v>866</v>
      </c>
      <c r="D24" s="71">
        <v>0</v>
      </c>
      <c r="E24" s="68">
        <v>6</v>
      </c>
      <c r="F24" s="71">
        <v>0</v>
      </c>
      <c r="G24" s="68">
        <v>45</v>
      </c>
      <c r="H24" s="70">
        <v>0.6</v>
      </c>
      <c r="J24" s="66"/>
      <c r="K24" s="78">
        <v>743.8</v>
      </c>
      <c r="M24">
        <v>99069</v>
      </c>
      <c r="Q24" s="65"/>
      <c r="Y24" s="65">
        <v>0</v>
      </c>
    </row>
    <row r="25" spans="1:25" ht="32.25">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30">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5">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5">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5">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30">
      <c r="A30" s="68">
        <v>575105</v>
      </c>
      <c r="B30" s="69" t="s">
        <v>876</v>
      </c>
      <c r="C30" s="69" t="s">
        <v>877</v>
      </c>
      <c r="D30" s="71">
        <v>0</v>
      </c>
      <c r="E30" s="68">
        <v>206</v>
      </c>
      <c r="F30" s="71">
        <v>0</v>
      </c>
      <c r="G30" s="68">
        <v>1032</v>
      </c>
      <c r="H30" s="70">
        <v>0.65</v>
      </c>
      <c r="J30" s="66"/>
      <c r="K30" s="78">
        <v>744.1</v>
      </c>
      <c r="M30">
        <v>98987</v>
      </c>
      <c r="Q30" s="65"/>
      <c r="Y30" s="65">
        <v>0</v>
      </c>
    </row>
    <row r="31" spans="1:25" ht="30">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879</v>
      </c>
      <c r="C32" s="69" t="s">
        <v>880</v>
      </c>
      <c r="D32" s="71">
        <v>0</v>
      </c>
      <c r="E32" s="68">
        <v>0</v>
      </c>
      <c r="F32" s="71">
        <v>0</v>
      </c>
      <c r="G32" s="68">
        <v>0</v>
      </c>
      <c r="H32" s="70">
        <v>0.69399999999999995</v>
      </c>
      <c r="J32" s="66"/>
      <c r="K32" s="78">
        <v>0</v>
      </c>
      <c r="M32">
        <v>99007</v>
      </c>
      <c r="Q32" s="65"/>
      <c r="Y32" s="65">
        <v>0</v>
      </c>
    </row>
    <row r="33" spans="1:25" ht="30">
      <c r="A33" s="68">
        <v>585105</v>
      </c>
      <c r="B33" s="69" t="s">
        <v>881</v>
      </c>
      <c r="C33" s="69" t="s">
        <v>880</v>
      </c>
      <c r="D33" s="71">
        <v>0</v>
      </c>
      <c r="E33" s="68">
        <v>0</v>
      </c>
      <c r="F33" s="71">
        <v>0</v>
      </c>
      <c r="G33" s="68">
        <v>0</v>
      </c>
      <c r="H33" s="70">
        <v>0.69399999999999995</v>
      </c>
      <c r="J33" s="66"/>
      <c r="K33" s="78">
        <v>0</v>
      </c>
      <c r="M33">
        <v>98956</v>
      </c>
      <c r="Q33" s="65"/>
      <c r="Y33" s="65">
        <v>0</v>
      </c>
    </row>
    <row r="34" spans="1:25" ht="15">
      <c r="A34" s="68">
        <v>595101</v>
      </c>
      <c r="B34" s="69" t="s">
        <v>882</v>
      </c>
      <c r="C34" s="69" t="s">
        <v>883</v>
      </c>
      <c r="D34" s="68">
        <v>788</v>
      </c>
      <c r="E34" s="68">
        <v>56</v>
      </c>
      <c r="F34" s="68">
        <v>62</v>
      </c>
      <c r="G34" s="68">
        <v>125</v>
      </c>
      <c r="H34" s="70">
        <v>0.622</v>
      </c>
      <c r="J34" s="66"/>
      <c r="K34" s="78">
        <v>306.8</v>
      </c>
      <c r="M34">
        <v>89858</v>
      </c>
      <c r="Q34" s="65"/>
      <c r="Y34" s="65">
        <v>0</v>
      </c>
    </row>
    <row r="35" spans="1:25" ht="31.5">
      <c r="A35" s="74"/>
      <c r="B35" s="74"/>
      <c r="C35" s="75" t="s">
        <v>884</v>
      </c>
      <c r="D35" s="76" t="s">
        <v>885</v>
      </c>
      <c r="E35" s="74"/>
      <c r="F35" s="74"/>
      <c r="G35" s="74"/>
      <c r="H35" s="74"/>
      <c r="I35" s="74"/>
      <c r="J35" s="66"/>
      <c r="M35">
        <v>98959</v>
      </c>
      <c r="Q35" s="65"/>
      <c r="Y35" s="65">
        <v>0</v>
      </c>
    </row>
    <row r="36" spans="1:25" ht="15">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622</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903</v>
      </c>
    </row>
    <row r="3" spans="3:3">
      <c r="C3" t="s">
        <v>902</v>
      </c>
    </row>
    <row r="4" spans="3:3" ht="15">
      <c r="C4" s="161">
        <v>98201</v>
      </c>
    </row>
    <row r="5" spans="3:3" ht="15">
      <c r="C5" s="162">
        <v>99269</v>
      </c>
    </row>
    <row r="6" spans="3:3" ht="15">
      <c r="C6" s="161">
        <v>99288</v>
      </c>
    </row>
    <row r="7" spans="3:3" ht="15">
      <c r="C7" s="162">
        <v>99132</v>
      </c>
    </row>
    <row r="8" spans="3:3" ht="15">
      <c r="C8" s="161">
        <v>99133</v>
      </c>
    </row>
    <row r="9" spans="3:3" ht="15">
      <c r="C9" s="162">
        <v>99247</v>
      </c>
    </row>
    <row r="10" spans="3:3">
      <c r="C10" s="152"/>
    </row>
    <row r="11" spans="3:3">
      <c r="C11" s="152"/>
    </row>
    <row r="12" spans="3:3">
      <c r="C12" s="152"/>
    </row>
    <row r="13" spans="3:3" ht="15">
      <c r="C13" s="140"/>
    </row>
    <row r="14" spans="3:3" ht="15">
      <c r="C14" s="139"/>
    </row>
    <row r="15" spans="3:3" ht="15">
      <c r="C15" s="140"/>
    </row>
    <row r="16" spans="3:3" ht="15">
      <c r="C16" s="139"/>
    </row>
    <row r="17" spans="3:3" ht="15">
      <c r="C17" s="140"/>
    </row>
    <row r="18" spans="3:3" ht="15">
      <c r="C18" s="139"/>
    </row>
    <row r="19" spans="3:3" ht="15">
      <c r="C19" s="140"/>
    </row>
    <row r="20" spans="3:3" ht="15">
      <c r="C20" s="139"/>
    </row>
    <row r="21" spans="3:3" ht="15">
      <c r="C21" s="140"/>
    </row>
    <row r="22" spans="3:3" ht="15">
      <c r="C22" s="139"/>
    </row>
    <row r="23" spans="3:3" ht="15">
      <c r="C23" s="140"/>
    </row>
    <row r="24" spans="3:3" ht="15">
      <c r="C24" s="139"/>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6" priority="25"/>
  </conditionalFormatting>
  <conditionalFormatting sqref="C17:C24">
    <cfRule type="duplicateValues" dxfId="5" priority="22"/>
  </conditionalFormatting>
  <conditionalFormatting sqref="C17:C23">
    <cfRule type="duplicateValues" dxfId="4" priority="21"/>
  </conditionalFormatting>
  <conditionalFormatting sqref="C13:C16">
    <cfRule type="duplicateValues" dxfId="3" priority="14"/>
  </conditionalFormatting>
  <conditionalFormatting sqref="C13:C16">
    <cfRule type="duplicateValues" dxfId="2" priority="13"/>
  </conditionalFormatting>
  <conditionalFormatting sqref="C10:C12">
    <cfRule type="duplicateValues" dxfId="1" priority="8"/>
  </conditionalFormatting>
  <conditionalFormatting sqref="C4:C9">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Jan 2020 EDI</vt:lpstr>
      <vt:lpstr>Working Spreadsheet Jan 20</vt:lpstr>
      <vt:lpstr>FuzzyLookup_AddIn_Undo_Sheet</vt:lpstr>
      <vt:lpstr>Pulled &amp; Formatted Allocations</vt:lpstr>
      <vt:lpstr>Raw Copy Allocations</vt:lpstr>
      <vt:lpstr>Dec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2020-03-26T20:50:16Z</dcterms:modified>
</cp:coreProperties>
</file>