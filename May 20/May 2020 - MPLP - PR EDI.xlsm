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203" codeName="{91AB8045-AFC0-B76E-F17D-A240E00664AE}"/>
  <workbookPr codeName="ThisWorkbook" autoCompressPictures="0"/>
  <bookViews>
    <workbookView xWindow="38140" yWindow="3600" windowWidth="38380" windowHeight="20840" tabRatio="898" activeTab="1"/>
  </bookViews>
  <sheets>
    <sheet name="May 2020 EDI" sheetId="4" r:id="rId1"/>
    <sheet name="Working Spreadsheet May 20" sheetId="8" r:id="rId2"/>
    <sheet name="FuzzyLookup_AddIn_Undo_Sheet" sheetId="14" state="hidden" r:id="rId3"/>
    <sheet name="Pulled &amp; Formatted Allocations" sheetId="13" r:id="rId4"/>
    <sheet name="Raw Copy Allocations" sheetId="17" r:id="rId5"/>
    <sheet name="Apr 2020 RRC Export" sheetId="6" r:id="rId6"/>
    <sheet name="Removed RRC ID" sheetId="18" r:id="rId7"/>
    <sheet name="2019 Fuel May" sheetId="11" r:id="rId8"/>
    <sheet name="South Texas Meter Statement" sheetId="15" r:id="rId9"/>
    <sheet name="SummaryTable" sheetId="9" r:id="rId10"/>
    <sheet name="Dropdown Controller" sheetId="10" r:id="rId11"/>
    <sheet name="FilterList" sheetId="16" r:id="rId12"/>
    <sheet name="Sheet1" sheetId="19" r:id="rId13"/>
  </sheets>
  <externalReferences>
    <externalReference r:id="rId14"/>
  </externalReferences>
  <definedNames>
    <definedName name="_Fill" localSheetId="7" hidden="1">'2019 Fuel May'!#REF!</definedName>
    <definedName name="_Fill" hidden="1">#REF!</definedName>
    <definedName name="_xlnm._FilterDatabase" localSheetId="7" hidden="1">'2019 Fuel May'!$A$9:$O$76</definedName>
    <definedName name="_xlnm._FilterDatabase" localSheetId="0" hidden="1">'May 2020 EDI'!$A$3:$AT$190</definedName>
    <definedName name="_Key1" localSheetId="7" hidden="1">'2019 Fuel May'!#REF!</definedName>
    <definedName name="_Key1" hidden="1">#REF!</definedName>
    <definedName name="_Key2" localSheetId="7" hidden="1">'2019 Fuel May'!#REF!</definedName>
    <definedName name="_Key2" hidden="1">#REF!</definedName>
    <definedName name="_Order1" hidden="1">255</definedName>
    <definedName name="_Order2" hidden="1">255</definedName>
    <definedName name="_Sort" localSheetId="7" hidden="1">'2019 Fuel May'!$A$29:$H$29</definedName>
    <definedName name="_Sort" hidden="1">#REF!</definedName>
    <definedName name="aa" localSheetId="7" hidden="1">#REF!</definedName>
    <definedName name="aa" hidden="1">#REF!</definedName>
    <definedName name="aaa" localSheetId="7" hidden="1">#REF!</definedName>
    <definedName name="aaa" hidden="1">#REF!</definedName>
    <definedName name="aab" localSheetId="7" hidden="1">#REF!</definedName>
    <definedName name="aab" hidden="1">#REF!</definedName>
    <definedName name="aac" localSheetId="7" hidden="1">#REF!</definedName>
    <definedName name="aac" hidden="1">#REF!</definedName>
    <definedName name="aad" localSheetId="7" hidden="1">#REF!</definedName>
    <definedName name="aad" hidden="1">#REF!</definedName>
    <definedName name="aae" localSheetId="7" hidden="1">#REF!</definedName>
    <definedName name="aae" hidden="1">#REF!</definedName>
    <definedName name="aaf" localSheetId="7" hidden="1">#REF!</definedName>
    <definedName name="aaf" hidden="1">#REF!</definedName>
    <definedName name="aah" localSheetId="7" hidden="1">#REF!</definedName>
    <definedName name="aah" hidden="1">#REF!</definedName>
    <definedName name="aai" localSheetId="7" hidden="1">#REF!</definedName>
    <definedName name="aai" hidden="1">#REF!</definedName>
    <definedName name="abc" localSheetId="7" hidden="1">#REF!</definedName>
    <definedName name="abc" hidden="1">#REF!</definedName>
    <definedName name="bb" localSheetId="7" hidden="1">#REF!</definedName>
    <definedName name="bb" hidden="1">#REF!</definedName>
    <definedName name="cc" localSheetId="7" hidden="1">#REF!</definedName>
    <definedName name="cc" hidden="1">#REF!</definedName>
    <definedName name="dd" localSheetId="7" hidden="1">#REF!</definedName>
    <definedName name="dd" hidden="1">#REF!</definedName>
    <definedName name="ee" localSheetId="7" hidden="1">#REF!</definedName>
    <definedName name="ee" hidden="1">#REF!</definedName>
    <definedName name="eee" localSheetId="7" hidden="1">#REF!</definedName>
    <definedName name="eee" hidden="1">#REF!</definedName>
    <definedName name="eqr" localSheetId="7" hidden="1">#REF!</definedName>
    <definedName name="eqr" hidden="1">#REF!</definedName>
    <definedName name="eqw" localSheetId="7" hidden="1">#REF!</definedName>
    <definedName name="eqw" hidden="1">#REF!</definedName>
    <definedName name="ewq" localSheetId="7" hidden="1">#REF!</definedName>
    <definedName name="ewq" hidden="1">#REF!</definedName>
    <definedName name="ff" localSheetId="7" hidden="1">#REF!</definedName>
    <definedName name="ff" hidden="1">#REF!</definedName>
    <definedName name="filteridlist">[1]FilterList!$B:$B</definedName>
    <definedName name="FilterList">FilterList!$C:$C</definedName>
    <definedName name="gg" localSheetId="7" hidden="1">#REF!</definedName>
    <definedName name="gg" hidden="1">#REF!</definedName>
    <definedName name="ghe" localSheetId="7" hidden="1">#REF!</definedName>
    <definedName name="ghe" hidden="1">#REF!</definedName>
    <definedName name="ghr" localSheetId="7" hidden="1">#REF!</definedName>
    <definedName name="ghr" hidden="1">#REF!</definedName>
    <definedName name="ght" localSheetId="7" hidden="1">#REF!</definedName>
    <definedName name="ght" hidden="1">#REF!</definedName>
    <definedName name="ghy" localSheetId="7" hidden="1">#REF!</definedName>
    <definedName name="ghy" hidden="1">#REF!</definedName>
    <definedName name="hat" localSheetId="7" hidden="1">#REF!</definedName>
    <definedName name="hat" hidden="1">#REF!</definedName>
    <definedName name="help" localSheetId="7" hidden="1">#REF!</definedName>
    <definedName name="help" hidden="1">#REF!</definedName>
    <definedName name="hh" localSheetId="7" hidden="1">#REF!</definedName>
    <definedName name="hh" hidden="1">#REF!</definedName>
    <definedName name="January2011Compressors" localSheetId="7" hidden="1">#REF!</definedName>
    <definedName name="January2011Compressors" hidden="1">#REF!</definedName>
    <definedName name="jj" localSheetId="7" hidden="1">#REF!</definedName>
    <definedName name="jj" hidden="1">#REF!</definedName>
    <definedName name="jk" localSheetId="7" hidden="1">#REF!</definedName>
    <definedName name="jk" hidden="1">#REF!</definedName>
    <definedName name="Key" localSheetId="7" hidden="1">#REF!</definedName>
    <definedName name="Key" hidden="1">#REF!</definedName>
    <definedName name="kk" localSheetId="7" hidden="1">#REF!</definedName>
    <definedName name="kk" hidden="1">#REF!</definedName>
    <definedName name="ll" localSheetId="7" hidden="1">#REF!</definedName>
    <definedName name="ll" hidden="1">#REF!</definedName>
    <definedName name="mm" localSheetId="7" hidden="1">#REF!</definedName>
    <definedName name="mm" hidden="1">#REF!</definedName>
    <definedName name="numb" localSheetId="7" hidden="1">#REF!</definedName>
    <definedName name="numb" hidden="1">#REF!</definedName>
    <definedName name="_xlnm.Print_Area" localSheetId="7">'2019 Fuel May'!$A$1:$N$76</definedName>
    <definedName name="Print_Area_MI" localSheetId="7">'2019 Fuel May'!$A$1:$E$194</definedName>
    <definedName name="_xlnm.Print_Titles" localSheetId="4">'Raw Copy Allocations'!$4:$4</definedName>
    <definedName name="qq" localSheetId="7" hidden="1">#REF!</definedName>
    <definedName name="qq" hidden="1">#REF!</definedName>
    <definedName name="qqe" localSheetId="7" hidden="1">#REF!</definedName>
    <definedName name="qqe" hidden="1">#REF!</definedName>
    <definedName name="qqi" localSheetId="7" hidden="1">#REF!</definedName>
    <definedName name="qqi" hidden="1">#REF!</definedName>
    <definedName name="qqo" localSheetId="7" hidden="1">#REF!</definedName>
    <definedName name="qqo" hidden="1">#REF!</definedName>
    <definedName name="qqp" localSheetId="7" hidden="1">#REF!</definedName>
    <definedName name="qqp" hidden="1">#REF!</definedName>
    <definedName name="qqq" localSheetId="7" hidden="1">#REF!</definedName>
    <definedName name="qqq" hidden="1">#REF!</definedName>
    <definedName name="qqr" localSheetId="7" hidden="1">#REF!</definedName>
    <definedName name="qqr" hidden="1">#REF!</definedName>
    <definedName name="qqt" localSheetId="7" hidden="1">#REF!</definedName>
    <definedName name="qqt" hidden="1">#REF!</definedName>
    <definedName name="qqu" localSheetId="7" hidden="1">#REF!</definedName>
    <definedName name="qqu" hidden="1">#REF!</definedName>
    <definedName name="qqy" localSheetId="7" hidden="1">#REF!</definedName>
    <definedName name="qqy" hidden="1">#REF!</definedName>
    <definedName name="qw" localSheetId="7" hidden="1">#REF!</definedName>
    <definedName name="qw" hidden="1">#REF!</definedName>
    <definedName name="qwe" localSheetId="7" hidden="1">#REF!</definedName>
    <definedName name="qwe" hidden="1">#REF!</definedName>
    <definedName name="qwr" localSheetId="7" hidden="1">#REF!</definedName>
    <definedName name="qwr" hidden="1">#REF!</definedName>
    <definedName name="qww" localSheetId="7" hidden="1">#REF!</definedName>
    <definedName name="qww" hidden="1">#REF!</definedName>
    <definedName name="rrr" localSheetId="7" hidden="1">#REF!</definedName>
    <definedName name="rrr" hidden="1">#REF!</definedName>
    <definedName name="sl" localSheetId="7" hidden="1">#REF!</definedName>
    <definedName name="sl" hidden="1">#REF!</definedName>
    <definedName name="wer" localSheetId="7" hidden="1">#REF!</definedName>
    <definedName name="wer" hidden="1">#REF!</definedName>
    <definedName name="wqe" localSheetId="7" hidden="1">#REF!</definedName>
    <definedName name="wqe" hidden="1">#REF!</definedName>
    <definedName name="wqi" localSheetId="7" hidden="1">#REF!</definedName>
    <definedName name="wqi" hidden="1">#REF!</definedName>
    <definedName name="wqo" localSheetId="7" hidden="1">#REF!</definedName>
    <definedName name="wqo" hidden="1">#REF!</definedName>
    <definedName name="wqp" localSheetId="7" hidden="1">#REF!</definedName>
    <definedName name="wqp" hidden="1">#REF!</definedName>
    <definedName name="wqt" localSheetId="7" hidden="1">#REF!</definedName>
    <definedName name="wqt" hidden="1">#REF!</definedName>
    <definedName name="wqu" localSheetId="7" hidden="1">#REF!</definedName>
    <definedName name="wqu" hidden="1">#REF!</definedName>
    <definedName name="wqy" localSheetId="7" hidden="1">#REF!</definedName>
    <definedName name="wqy" hidden="1">#REF!</definedName>
    <definedName name="wwe" localSheetId="7" hidden="1">#REF!</definedName>
    <definedName name="wwe" hidden="1">#REF!</definedName>
    <definedName name="wwi" localSheetId="7" hidden="1">#REF!</definedName>
    <definedName name="wwi" hidden="1">#REF!</definedName>
    <definedName name="wwo" localSheetId="7" hidden="1">#REF!</definedName>
    <definedName name="wwo" hidden="1">#REF!</definedName>
    <definedName name="wwp" localSheetId="7" hidden="1">#REF!</definedName>
    <definedName name="wwp" hidden="1">#REF!</definedName>
    <definedName name="wwq" localSheetId="7" hidden="1">#REF!</definedName>
    <definedName name="wwq" hidden="1">#REF!</definedName>
    <definedName name="wwr" localSheetId="7" hidden="1">#REF!</definedName>
    <definedName name="wwr" hidden="1">#REF!</definedName>
    <definedName name="wwt" localSheetId="7" hidden="1">#REF!</definedName>
    <definedName name="wwt" hidden="1">#REF!</definedName>
    <definedName name="wwu" localSheetId="7" hidden="1">#REF!</definedName>
    <definedName name="wwu" hidden="1">#REF!</definedName>
    <definedName name="www" localSheetId="7" hidden="1">#REF!</definedName>
    <definedName name="www" hidden="1">#REF!</definedName>
    <definedName name="wwy" localSheetId="7" hidden="1">#REF!</definedName>
    <definedName name="wwy" hidden="1">#REF!</definedName>
    <definedName name="y" localSheetId="7" hidden="1">#REF!</definedName>
    <definedName name="y" hidden="1">#REF!</definedName>
    <definedName name="yy" localSheetId="7" hidden="1">#REF!</definedName>
    <definedName name="yy" hidden="1">#REF!</definedName>
  </definedNames>
  <calcPr calcId="140001" iterate="1" concurrentCalc="0"/>
  <pivotCaches>
    <pivotCache cacheId="0" r:id="rId15"/>
  </pivotCaches>
  <extLst>
    <ext xmlns:mx="http://schemas.microsoft.com/office/mac/excel/2008/main" uri="{7523E5D3-25F3-A5E0-1632-64F254C22452}">
      <mx:ArchID Flags="2"/>
    </ext>
  </extLst>
</workbook>
</file>

<file path=xl/calcChain.xml><?xml version="1.0" encoding="utf-8"?>
<calcChain xmlns="http://schemas.openxmlformats.org/spreadsheetml/2006/main">
  <c r="R195" i="8" l="1"/>
  <c r="R5" i="4"/>
  <c r="R6" i="4"/>
  <c r="R7" i="4"/>
  <c r="R8" i="4"/>
  <c r="R9" i="4"/>
  <c r="R10"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29" i="4"/>
  <c r="R130" i="4"/>
  <c r="R131" i="4"/>
  <c r="R132" i="4"/>
  <c r="R133" i="4"/>
  <c r="R134" i="4"/>
  <c r="R135" i="4"/>
  <c r="R136" i="4"/>
  <c r="R137" i="4"/>
  <c r="R138" i="4"/>
  <c r="R139" i="4"/>
  <c r="R140" i="4"/>
  <c r="R141" i="4"/>
  <c r="R142" i="4"/>
  <c r="R143" i="4"/>
  <c r="R144" i="4"/>
  <c r="R145" i="4"/>
  <c r="R146" i="4"/>
  <c r="R147" i="4"/>
  <c r="R148" i="4"/>
  <c r="R149" i="4"/>
  <c r="R150" i="4"/>
  <c r="R151" i="4"/>
  <c r="R152" i="4"/>
  <c r="R153" i="4"/>
  <c r="R154" i="4"/>
  <c r="R155" i="4"/>
  <c r="R156" i="4"/>
  <c r="R157" i="4"/>
  <c r="R158" i="4"/>
  <c r="R159" i="4"/>
  <c r="R160" i="4"/>
  <c r="R161" i="4"/>
  <c r="R162" i="4"/>
  <c r="R163" i="4"/>
  <c r="R164" i="4"/>
  <c r="R165" i="4"/>
  <c r="R166" i="4"/>
  <c r="R167" i="4"/>
  <c r="R168" i="4"/>
  <c r="R169" i="4"/>
  <c r="R170" i="4"/>
  <c r="R171" i="4"/>
  <c r="R172" i="4"/>
  <c r="R173" i="4"/>
  <c r="R174" i="4"/>
  <c r="R175" i="4"/>
  <c r="R176" i="4"/>
  <c r="R177" i="4"/>
  <c r="R178" i="4"/>
  <c r="R179" i="4"/>
  <c r="R180" i="4"/>
  <c r="R181" i="4"/>
  <c r="R182" i="4"/>
  <c r="R183" i="4"/>
  <c r="R184" i="4"/>
  <c r="R185" i="4"/>
  <c r="R186" i="4"/>
  <c r="R187" i="4"/>
  <c r="R188" i="4"/>
  <c r="R189" i="4"/>
  <c r="R190" i="4"/>
  <c r="R191" i="4"/>
  <c r="R192" i="4"/>
  <c r="R4" i="4"/>
  <c r="V7" i="8"/>
  <c r="Y7" i="8"/>
  <c r="AA7" i="8"/>
  <c r="V8" i="8"/>
  <c r="Y8" i="8"/>
  <c r="AA8" i="8"/>
  <c r="V9" i="8"/>
  <c r="Y9" i="8"/>
  <c r="AA9" i="8"/>
  <c r="V10" i="8"/>
  <c r="Y10" i="8"/>
  <c r="AA10" i="8"/>
  <c r="V11" i="8"/>
  <c r="Y11" i="8"/>
  <c r="AA11" i="8"/>
  <c r="V12" i="8"/>
  <c r="Y12" i="8"/>
  <c r="AA12" i="8"/>
  <c r="AA13" i="8"/>
  <c r="V14" i="8"/>
  <c r="Y14" i="8"/>
  <c r="AA14" i="8"/>
  <c r="V15" i="8"/>
  <c r="Y15" i="8"/>
  <c r="AA15" i="8"/>
  <c r="V16" i="8"/>
  <c r="Y16" i="8"/>
  <c r="AA16" i="8"/>
  <c r="V17" i="8"/>
  <c r="Y17" i="8"/>
  <c r="AA17" i="8"/>
  <c r="V18" i="8"/>
  <c r="Y18" i="8"/>
  <c r="AA18" i="8"/>
  <c r="V19" i="8"/>
  <c r="Y19" i="8"/>
  <c r="AA19" i="8"/>
  <c r="V20" i="8"/>
  <c r="Y20" i="8"/>
  <c r="AA20" i="8"/>
  <c r="V21" i="8"/>
  <c r="Y21" i="8"/>
  <c r="AA21" i="8"/>
  <c r="V22" i="8"/>
  <c r="Y22" i="8"/>
  <c r="AA22" i="8"/>
  <c r="V23" i="8"/>
  <c r="Y23" i="8"/>
  <c r="AA23" i="8"/>
  <c r="V24" i="8"/>
  <c r="Y24" i="8"/>
  <c r="AA24" i="8"/>
  <c r="V25" i="8"/>
  <c r="Y25" i="8"/>
  <c r="AA25" i="8"/>
  <c r="V26" i="8"/>
  <c r="Y26" i="8"/>
  <c r="AA26" i="8"/>
  <c r="V27" i="8"/>
  <c r="Y27" i="8"/>
  <c r="AA27" i="8"/>
  <c r="V28" i="8"/>
  <c r="Y28" i="8"/>
  <c r="AA28" i="8"/>
  <c r="V29" i="8"/>
  <c r="Y29" i="8"/>
  <c r="AA29" i="8"/>
  <c r="V30" i="8"/>
  <c r="Y30" i="8"/>
  <c r="AA30" i="8"/>
  <c r="V31" i="8"/>
  <c r="Y31" i="8"/>
  <c r="AA31" i="8"/>
  <c r="V32" i="8"/>
  <c r="Y32" i="8"/>
  <c r="AA32" i="8"/>
  <c r="V33" i="8"/>
  <c r="Y33" i="8"/>
  <c r="AA33" i="8"/>
  <c r="V34" i="8"/>
  <c r="Y34" i="8"/>
  <c r="AA34" i="8"/>
  <c r="V35" i="8"/>
  <c r="Y35" i="8"/>
  <c r="AA35" i="8"/>
  <c r="V36" i="8"/>
  <c r="Y36" i="8"/>
  <c r="AA36" i="8"/>
  <c r="V37" i="8"/>
  <c r="Y37" i="8"/>
  <c r="AA37" i="8"/>
  <c r="V38" i="8"/>
  <c r="Y38" i="8"/>
  <c r="AA38" i="8"/>
  <c r="V39" i="8"/>
  <c r="Y39" i="8"/>
  <c r="AA39" i="8"/>
  <c r="V40" i="8"/>
  <c r="Y40" i="8"/>
  <c r="AA40" i="8"/>
  <c r="V41" i="8"/>
  <c r="Y41" i="8"/>
  <c r="AA41" i="8"/>
  <c r="V42" i="8"/>
  <c r="Y42" i="8"/>
  <c r="AA42" i="8"/>
  <c r="V43" i="8"/>
  <c r="Y43" i="8"/>
  <c r="AA43" i="8"/>
  <c r="V44" i="8"/>
  <c r="Y44" i="8"/>
  <c r="AA44" i="8"/>
  <c r="V45" i="8"/>
  <c r="Y45" i="8"/>
  <c r="AA45" i="8"/>
  <c r="V46" i="8"/>
  <c r="Y46" i="8"/>
  <c r="AA46" i="8"/>
  <c r="V47" i="8"/>
  <c r="Y47" i="8"/>
  <c r="AA47" i="8"/>
  <c r="V48" i="8"/>
  <c r="Y48" i="8"/>
  <c r="AA48" i="8"/>
  <c r="V49" i="8"/>
  <c r="Y49" i="8"/>
  <c r="AA49" i="8"/>
  <c r="V50" i="8"/>
  <c r="Y50" i="8"/>
  <c r="AA50" i="8"/>
  <c r="V51" i="8"/>
  <c r="Y51" i="8"/>
  <c r="AA51" i="8"/>
  <c r="V52" i="8"/>
  <c r="Y52" i="8"/>
  <c r="AA52" i="8"/>
  <c r="V53" i="8"/>
  <c r="Y53" i="8"/>
  <c r="AA53" i="8"/>
  <c r="V54" i="8"/>
  <c r="Y54" i="8"/>
  <c r="AA54" i="8"/>
  <c r="V55" i="8"/>
  <c r="Y55" i="8"/>
  <c r="AA55" i="8"/>
  <c r="V56" i="8"/>
  <c r="Y56" i="8"/>
  <c r="AA56" i="8"/>
  <c r="V57" i="8"/>
  <c r="Y57" i="8"/>
  <c r="AA57" i="8"/>
  <c r="V58" i="8"/>
  <c r="Y58" i="8"/>
  <c r="AA58" i="8"/>
  <c r="V59" i="8"/>
  <c r="Y59" i="8"/>
  <c r="AA59" i="8"/>
  <c r="V60" i="8"/>
  <c r="Y60" i="8"/>
  <c r="AA60" i="8"/>
  <c r="V61" i="8"/>
  <c r="Y61" i="8"/>
  <c r="AA61" i="8"/>
  <c r="V62" i="8"/>
  <c r="Y62" i="8"/>
  <c r="AA62" i="8"/>
  <c r="V63" i="8"/>
  <c r="Y63" i="8"/>
  <c r="AA63" i="8"/>
  <c r="V64" i="8"/>
  <c r="Y64" i="8"/>
  <c r="AA64" i="8"/>
  <c r="V65" i="8"/>
  <c r="Y65" i="8"/>
  <c r="AA65" i="8"/>
  <c r="V66" i="8"/>
  <c r="Y66" i="8"/>
  <c r="AA66" i="8"/>
  <c r="V67" i="8"/>
  <c r="Y67" i="8"/>
  <c r="AA67" i="8"/>
  <c r="V68" i="8"/>
  <c r="Y68" i="8"/>
  <c r="AA68" i="8"/>
  <c r="V69" i="8"/>
  <c r="Y69" i="8"/>
  <c r="AA69" i="8"/>
  <c r="V70" i="8"/>
  <c r="Y70" i="8"/>
  <c r="AA70" i="8"/>
  <c r="V71" i="8"/>
  <c r="Y71" i="8"/>
  <c r="AA71" i="8"/>
  <c r="V72" i="8"/>
  <c r="Y72" i="8"/>
  <c r="AA72" i="8"/>
  <c r="V73" i="8"/>
  <c r="Y73" i="8"/>
  <c r="AA73" i="8"/>
  <c r="V74" i="8"/>
  <c r="Y74" i="8"/>
  <c r="AA74" i="8"/>
  <c r="V75" i="8"/>
  <c r="Y75" i="8"/>
  <c r="AA75" i="8"/>
  <c r="V76" i="8"/>
  <c r="Y76" i="8"/>
  <c r="AA76" i="8"/>
  <c r="V77" i="8"/>
  <c r="Y77" i="8"/>
  <c r="AA77" i="8"/>
  <c r="V78" i="8"/>
  <c r="Y78" i="8"/>
  <c r="AA78" i="8"/>
  <c r="V79" i="8"/>
  <c r="Y79" i="8"/>
  <c r="AA79" i="8"/>
  <c r="V80" i="8"/>
  <c r="Y80" i="8"/>
  <c r="AA80" i="8"/>
  <c r="V81" i="8"/>
  <c r="Y81" i="8"/>
  <c r="AA81" i="8"/>
  <c r="V82" i="8"/>
  <c r="Y82" i="8"/>
  <c r="AA82" i="8"/>
  <c r="V83" i="8"/>
  <c r="Y83" i="8"/>
  <c r="AA83" i="8"/>
  <c r="V84" i="8"/>
  <c r="Y84" i="8"/>
  <c r="AA84" i="8"/>
  <c r="V85" i="8"/>
  <c r="Y85" i="8"/>
  <c r="AA85" i="8"/>
  <c r="V86" i="8"/>
  <c r="Y86" i="8"/>
  <c r="AA86" i="8"/>
  <c r="V87" i="8"/>
  <c r="Y87" i="8"/>
  <c r="AA87" i="8"/>
  <c r="V88" i="8"/>
  <c r="Y88" i="8"/>
  <c r="AA88" i="8"/>
  <c r="V89" i="8"/>
  <c r="Y89" i="8"/>
  <c r="AA89" i="8"/>
  <c r="V90" i="8"/>
  <c r="Y90" i="8"/>
  <c r="AA90" i="8"/>
  <c r="V91" i="8"/>
  <c r="Y91" i="8"/>
  <c r="AA91" i="8"/>
  <c r="V92" i="8"/>
  <c r="Y92" i="8"/>
  <c r="AA92" i="8"/>
  <c r="Y93" i="8"/>
  <c r="AA93" i="8"/>
  <c r="V94" i="8"/>
  <c r="Y94" i="8"/>
  <c r="AA94" i="8"/>
  <c r="V95" i="8"/>
  <c r="Y95" i="8"/>
  <c r="AA95" i="8"/>
  <c r="V96" i="8"/>
  <c r="Y96" i="8"/>
  <c r="AA96" i="8"/>
  <c r="V97" i="8"/>
  <c r="Y97" i="8"/>
  <c r="AA97" i="8"/>
  <c r="V98" i="8"/>
  <c r="Y98" i="8"/>
  <c r="AA98" i="8"/>
  <c r="V99" i="8"/>
  <c r="Y99" i="8"/>
  <c r="AA99" i="8"/>
  <c r="V100" i="8"/>
  <c r="Y100" i="8"/>
  <c r="AA100" i="8"/>
  <c r="V101" i="8"/>
  <c r="Y101" i="8"/>
  <c r="AA101" i="8"/>
  <c r="V102" i="8"/>
  <c r="Y102" i="8"/>
  <c r="AA102" i="8"/>
  <c r="V103" i="8"/>
  <c r="Y103" i="8"/>
  <c r="AA103" i="8"/>
  <c r="V104" i="8"/>
  <c r="Y104" i="8"/>
  <c r="AA104" i="8"/>
  <c r="V105" i="8"/>
  <c r="Y105" i="8"/>
  <c r="AA105" i="8"/>
  <c r="V106" i="8"/>
  <c r="Y106" i="8"/>
  <c r="AA106" i="8"/>
  <c r="V107" i="8"/>
  <c r="Y107" i="8"/>
  <c r="AA107" i="8"/>
  <c r="V108" i="8"/>
  <c r="Y108" i="8"/>
  <c r="AA108" i="8"/>
  <c r="V109" i="8"/>
  <c r="Y109" i="8"/>
  <c r="AA109" i="8"/>
  <c r="V110" i="8"/>
  <c r="Y110" i="8"/>
  <c r="AA110" i="8"/>
  <c r="V111" i="8"/>
  <c r="Y111" i="8"/>
  <c r="AA111" i="8"/>
  <c r="V112" i="8"/>
  <c r="Y112" i="8"/>
  <c r="AA112" i="8"/>
  <c r="V113" i="8"/>
  <c r="Y113" i="8"/>
  <c r="AA113" i="8"/>
  <c r="V114" i="8"/>
  <c r="Y114" i="8"/>
  <c r="AA114" i="8"/>
  <c r="V115" i="8"/>
  <c r="Y115" i="8"/>
  <c r="AA115" i="8"/>
  <c r="V116" i="8"/>
  <c r="Y116" i="8"/>
  <c r="AA116" i="8"/>
  <c r="V117" i="8"/>
  <c r="Y117" i="8"/>
  <c r="AA117" i="8"/>
  <c r="V118" i="8"/>
  <c r="Y118" i="8"/>
  <c r="AA118" i="8"/>
  <c r="V119" i="8"/>
  <c r="Y119" i="8"/>
  <c r="AA119" i="8"/>
  <c r="V120" i="8"/>
  <c r="Y120" i="8"/>
  <c r="AA120" i="8"/>
  <c r="V121" i="8"/>
  <c r="Y121" i="8"/>
  <c r="AA121" i="8"/>
  <c r="V122" i="8"/>
  <c r="Y122" i="8"/>
  <c r="AA122" i="8"/>
  <c r="V123" i="8"/>
  <c r="Y123" i="8"/>
  <c r="AA123" i="8"/>
  <c r="V124" i="8"/>
  <c r="Y124" i="8"/>
  <c r="AA124" i="8"/>
  <c r="V125" i="8"/>
  <c r="Y125" i="8"/>
  <c r="AA125" i="8"/>
  <c r="V126" i="8"/>
  <c r="Y126" i="8"/>
  <c r="AA126" i="8"/>
  <c r="V127" i="8"/>
  <c r="Y127" i="8"/>
  <c r="AA127" i="8"/>
  <c r="V128" i="8"/>
  <c r="Y128" i="8"/>
  <c r="AA128" i="8"/>
  <c r="V129" i="8"/>
  <c r="Y129" i="8"/>
  <c r="AA129" i="8"/>
  <c r="V130" i="8"/>
  <c r="Y130" i="8"/>
  <c r="AA130" i="8"/>
  <c r="V131" i="8"/>
  <c r="Y131" i="8"/>
  <c r="AA131" i="8"/>
  <c r="V132" i="8"/>
  <c r="Y132" i="8"/>
  <c r="AA132" i="8"/>
  <c r="V133" i="8"/>
  <c r="Y133" i="8"/>
  <c r="AA133" i="8"/>
  <c r="V134" i="8"/>
  <c r="Y134" i="8"/>
  <c r="AA134" i="8"/>
  <c r="V135" i="8"/>
  <c r="Y135" i="8"/>
  <c r="AA135" i="8"/>
  <c r="V136" i="8"/>
  <c r="Y136" i="8"/>
  <c r="AA136" i="8"/>
  <c r="V137" i="8"/>
  <c r="Y137" i="8"/>
  <c r="AA137" i="8"/>
  <c r="V138" i="8"/>
  <c r="Y138" i="8"/>
  <c r="AA138" i="8"/>
  <c r="V139" i="8"/>
  <c r="Y139" i="8"/>
  <c r="AA139" i="8"/>
  <c r="V140" i="8"/>
  <c r="Y140" i="8"/>
  <c r="AA140" i="8"/>
  <c r="V141" i="8"/>
  <c r="Y141" i="8"/>
  <c r="AA141" i="8"/>
  <c r="V142" i="8"/>
  <c r="Y142" i="8"/>
  <c r="AA142" i="8"/>
  <c r="V143" i="8"/>
  <c r="Y143" i="8"/>
  <c r="AA143" i="8"/>
  <c r="V144" i="8"/>
  <c r="Y144" i="8"/>
  <c r="AA144" i="8"/>
  <c r="V145" i="8"/>
  <c r="Y145" i="8"/>
  <c r="AA145" i="8"/>
  <c r="V146" i="8"/>
  <c r="Y146" i="8"/>
  <c r="AA146" i="8"/>
  <c r="V147" i="8"/>
  <c r="Y147" i="8"/>
  <c r="AA147" i="8"/>
  <c r="V148" i="8"/>
  <c r="Y148" i="8"/>
  <c r="AA148" i="8"/>
  <c r="V149" i="8"/>
  <c r="Y149" i="8"/>
  <c r="AA149" i="8"/>
  <c r="V150" i="8"/>
  <c r="Y150" i="8"/>
  <c r="AA150" i="8"/>
  <c r="V151" i="8"/>
  <c r="Y151" i="8"/>
  <c r="AA151" i="8"/>
  <c r="V152" i="8"/>
  <c r="Y152" i="8"/>
  <c r="AA152" i="8"/>
  <c r="V153" i="8"/>
  <c r="Y153" i="8"/>
  <c r="AA153" i="8"/>
  <c r="V154" i="8"/>
  <c r="Y154" i="8"/>
  <c r="AA154" i="8"/>
  <c r="V155" i="8"/>
  <c r="Y155" i="8"/>
  <c r="AA155" i="8"/>
  <c r="V156" i="8"/>
  <c r="Y156" i="8"/>
  <c r="AA156" i="8"/>
  <c r="V157" i="8"/>
  <c r="Y157" i="8"/>
  <c r="AA157" i="8"/>
  <c r="V158" i="8"/>
  <c r="Y158" i="8"/>
  <c r="AA158" i="8"/>
  <c r="V159" i="8"/>
  <c r="Y159" i="8"/>
  <c r="AA159" i="8"/>
  <c r="V160" i="8"/>
  <c r="Y160" i="8"/>
  <c r="AA160" i="8"/>
  <c r="V161" i="8"/>
  <c r="Y161" i="8"/>
  <c r="AA161" i="8"/>
  <c r="V162" i="8"/>
  <c r="Y162" i="8"/>
  <c r="AA162" i="8"/>
  <c r="V163" i="8"/>
  <c r="Y163" i="8"/>
  <c r="AA163" i="8"/>
  <c r="V164" i="8"/>
  <c r="Y164" i="8"/>
  <c r="AA164" i="8"/>
  <c r="V165" i="8"/>
  <c r="Y165" i="8"/>
  <c r="AA165" i="8"/>
  <c r="V166" i="8"/>
  <c r="Y166" i="8"/>
  <c r="AA166" i="8"/>
  <c r="V167" i="8"/>
  <c r="Y167" i="8"/>
  <c r="AA167" i="8"/>
  <c r="V168" i="8"/>
  <c r="Y168" i="8"/>
  <c r="AA168" i="8"/>
  <c r="V169" i="8"/>
  <c r="Y169" i="8"/>
  <c r="AA169" i="8"/>
  <c r="V170" i="8"/>
  <c r="Y170" i="8"/>
  <c r="AA170" i="8"/>
  <c r="V171" i="8"/>
  <c r="Y171" i="8"/>
  <c r="AA171" i="8"/>
  <c r="V172" i="8"/>
  <c r="Y172" i="8"/>
  <c r="AA172" i="8"/>
  <c r="V173" i="8"/>
  <c r="Y173" i="8"/>
  <c r="AA173" i="8"/>
  <c r="V174" i="8"/>
  <c r="Y174" i="8"/>
  <c r="AA174" i="8"/>
  <c r="V175" i="8"/>
  <c r="Y175" i="8"/>
  <c r="AA175" i="8"/>
  <c r="V176" i="8"/>
  <c r="Y176" i="8"/>
  <c r="AA176" i="8"/>
  <c r="V177" i="8"/>
  <c r="Y177" i="8"/>
  <c r="AA177" i="8"/>
  <c r="V178" i="8"/>
  <c r="Y178" i="8"/>
  <c r="AA178" i="8"/>
  <c r="V179" i="8"/>
  <c r="Y179" i="8"/>
  <c r="AA179" i="8"/>
  <c r="V180" i="8"/>
  <c r="Y180" i="8"/>
  <c r="AA180" i="8"/>
  <c r="V181" i="8"/>
  <c r="Y181" i="8"/>
  <c r="AA181" i="8"/>
  <c r="V182" i="8"/>
  <c r="Y182" i="8"/>
  <c r="AA182" i="8"/>
  <c r="V183" i="8"/>
  <c r="Y183" i="8"/>
  <c r="AA183" i="8"/>
  <c r="V184" i="8"/>
  <c r="Y184" i="8"/>
  <c r="AA184" i="8"/>
  <c r="V185" i="8"/>
  <c r="Y185" i="8"/>
  <c r="AA185" i="8"/>
  <c r="V186" i="8"/>
  <c r="Y186" i="8"/>
  <c r="AA186" i="8"/>
  <c r="V187" i="8"/>
  <c r="Y187" i="8"/>
  <c r="AA187" i="8"/>
  <c r="V188" i="8"/>
  <c r="Y188" i="8"/>
  <c r="AA188" i="8"/>
  <c r="V189" i="8"/>
  <c r="Y189" i="8"/>
  <c r="AA189" i="8"/>
  <c r="V190" i="8"/>
  <c r="Y190" i="8"/>
  <c r="AA190" i="8"/>
  <c r="V191" i="8"/>
  <c r="Y191" i="8"/>
  <c r="AA191" i="8"/>
  <c r="V192" i="8"/>
  <c r="Y192" i="8"/>
  <c r="AA192" i="8"/>
  <c r="V193" i="8"/>
  <c r="Y193" i="8"/>
  <c r="AA193" i="8"/>
  <c r="V194" i="8"/>
  <c r="Y194" i="8"/>
  <c r="AA194" i="8"/>
  <c r="V6" i="8"/>
  <c r="Y6" i="8"/>
  <c r="AA6" i="8"/>
  <c r="P5" i="4"/>
  <c r="P6" i="4"/>
  <c r="P7" i="4"/>
  <c r="P8" i="4"/>
  <c r="P9" i="4"/>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4" i="4"/>
  <c r="N194" i="8"/>
  <c r="Q194" i="8"/>
  <c r="R194" i="8"/>
  <c r="N191" i="8"/>
  <c r="Q191" i="8"/>
  <c r="R191" i="8"/>
  <c r="N190" i="8"/>
  <c r="Q190" i="8"/>
  <c r="R190" i="8"/>
  <c r="N186" i="8"/>
  <c r="Q186" i="8"/>
  <c r="R186" i="8"/>
  <c r="N185" i="8"/>
  <c r="Q185" i="8"/>
  <c r="R185" i="8"/>
  <c r="N179" i="8"/>
  <c r="Q179" i="8"/>
  <c r="R179" i="8"/>
  <c r="N178" i="8"/>
  <c r="Q178" i="8"/>
  <c r="R178" i="8"/>
  <c r="N177" i="8"/>
  <c r="Q177" i="8"/>
  <c r="R177" i="8"/>
  <c r="N174" i="8"/>
  <c r="Q174" i="8"/>
  <c r="R174" i="8"/>
  <c r="N173" i="8"/>
  <c r="Q173" i="8"/>
  <c r="R173" i="8"/>
  <c r="N172" i="8"/>
  <c r="Q172" i="8"/>
  <c r="R172" i="8"/>
  <c r="N171" i="8"/>
  <c r="Q171" i="8"/>
  <c r="R171" i="8"/>
  <c r="N169" i="8"/>
  <c r="Q169" i="8"/>
  <c r="R169" i="8"/>
  <c r="N166" i="8"/>
  <c r="Q166" i="8"/>
  <c r="R166" i="8"/>
  <c r="N162" i="8"/>
  <c r="Q162" i="8"/>
  <c r="R162" i="8"/>
  <c r="N161" i="8"/>
  <c r="Q161" i="8"/>
  <c r="R161" i="8"/>
  <c r="N160" i="8"/>
  <c r="Q160" i="8"/>
  <c r="R160" i="8"/>
  <c r="N159" i="8"/>
  <c r="Q159" i="8"/>
  <c r="R159" i="8"/>
  <c r="N158" i="8"/>
  <c r="Q158" i="8"/>
  <c r="R158" i="8"/>
  <c r="N157" i="8"/>
  <c r="Q157" i="8"/>
  <c r="R157" i="8"/>
  <c r="N155" i="8"/>
  <c r="Q155" i="8"/>
  <c r="R155" i="8"/>
  <c r="N153" i="8"/>
  <c r="Q153" i="8"/>
  <c r="R153" i="8"/>
  <c r="N151" i="8"/>
  <c r="Q151" i="8"/>
  <c r="R151" i="8"/>
  <c r="N150" i="8"/>
  <c r="Q150" i="8"/>
  <c r="R150" i="8"/>
  <c r="N148" i="8"/>
  <c r="Q148" i="8"/>
  <c r="R148" i="8"/>
  <c r="N147" i="8"/>
  <c r="Q147" i="8"/>
  <c r="R147" i="8"/>
  <c r="N146" i="8"/>
  <c r="Q146" i="8"/>
  <c r="R146" i="8"/>
  <c r="N144" i="8"/>
  <c r="Q144" i="8"/>
  <c r="R144" i="8"/>
  <c r="N143" i="8"/>
  <c r="Q143" i="8"/>
  <c r="R143" i="8"/>
  <c r="N142" i="8"/>
  <c r="Q142" i="8"/>
  <c r="R142" i="8"/>
  <c r="N141" i="8"/>
  <c r="Q141" i="8"/>
  <c r="R141" i="8"/>
  <c r="N140" i="8"/>
  <c r="Q140" i="8"/>
  <c r="R140" i="8"/>
  <c r="N139" i="8"/>
  <c r="Q139" i="8"/>
  <c r="R139" i="8"/>
  <c r="N138" i="8"/>
  <c r="Q138" i="8"/>
  <c r="R138" i="8"/>
  <c r="N135" i="8"/>
  <c r="Q135" i="8"/>
  <c r="R135" i="8"/>
  <c r="N134" i="8"/>
  <c r="Q134" i="8"/>
  <c r="R134" i="8"/>
  <c r="N133" i="8"/>
  <c r="Q133" i="8"/>
  <c r="R133" i="8"/>
  <c r="N131" i="8"/>
  <c r="Q131" i="8"/>
  <c r="R131" i="8"/>
  <c r="N130" i="8"/>
  <c r="Q130" i="8"/>
  <c r="R130" i="8"/>
  <c r="N126" i="8"/>
  <c r="Q126" i="8"/>
  <c r="R126" i="8"/>
  <c r="N125" i="8"/>
  <c r="Q125" i="8"/>
  <c r="R125" i="8"/>
  <c r="N122" i="8"/>
  <c r="Q122" i="8"/>
  <c r="R122" i="8"/>
  <c r="N119" i="8"/>
  <c r="Q119" i="8"/>
  <c r="R119" i="8"/>
  <c r="N118" i="8"/>
  <c r="Q118" i="8"/>
  <c r="R118" i="8"/>
  <c r="N117" i="8"/>
  <c r="Q117" i="8"/>
  <c r="R117" i="8"/>
  <c r="N116" i="8"/>
  <c r="Q116" i="8"/>
  <c r="R116" i="8"/>
  <c r="N115" i="8"/>
  <c r="Q115" i="8"/>
  <c r="R115" i="8"/>
  <c r="N110" i="8"/>
  <c r="Q110" i="8"/>
  <c r="R110" i="8"/>
  <c r="N109" i="8"/>
  <c r="Q109" i="8"/>
  <c r="R109" i="8"/>
  <c r="N108" i="8"/>
  <c r="Q108" i="8"/>
  <c r="R108" i="8"/>
  <c r="N107" i="8"/>
  <c r="Q107" i="8"/>
  <c r="R107" i="8"/>
  <c r="N106" i="8"/>
  <c r="Q106" i="8"/>
  <c r="R106" i="8"/>
  <c r="N103" i="8"/>
  <c r="Q103" i="8"/>
  <c r="R103" i="8"/>
  <c r="N101" i="8"/>
  <c r="Q101" i="8"/>
  <c r="R101" i="8"/>
  <c r="N100" i="8"/>
  <c r="Q100" i="8"/>
  <c r="R100" i="8"/>
  <c r="N99" i="8"/>
  <c r="Q99" i="8"/>
  <c r="R99" i="8"/>
  <c r="N97" i="8"/>
  <c r="Q97" i="8"/>
  <c r="R97" i="8"/>
  <c r="N95" i="8"/>
  <c r="Q95" i="8"/>
  <c r="R95" i="8"/>
  <c r="N92" i="8"/>
  <c r="Q92" i="8"/>
  <c r="R92" i="8"/>
  <c r="N91" i="8"/>
  <c r="Q91" i="8"/>
  <c r="R91" i="8"/>
  <c r="N87" i="8"/>
  <c r="Q87" i="8"/>
  <c r="R87" i="8"/>
  <c r="N86" i="8"/>
  <c r="Q86" i="8"/>
  <c r="R86" i="8"/>
  <c r="N85" i="8"/>
  <c r="Q85" i="8"/>
  <c r="R85" i="8"/>
  <c r="N84" i="8"/>
  <c r="Q84" i="8"/>
  <c r="R84" i="8"/>
  <c r="N82" i="8"/>
  <c r="Q82" i="8"/>
  <c r="R82" i="8"/>
  <c r="N79" i="8"/>
  <c r="Q79" i="8"/>
  <c r="R79" i="8"/>
  <c r="N78" i="8"/>
  <c r="Q78" i="8"/>
  <c r="R78" i="8"/>
  <c r="N77" i="8"/>
  <c r="Q77" i="8"/>
  <c r="R77" i="8"/>
  <c r="N76" i="8"/>
  <c r="Q76" i="8"/>
  <c r="R76" i="8"/>
  <c r="N74" i="8"/>
  <c r="Q74" i="8"/>
  <c r="R74" i="8"/>
  <c r="N70" i="8"/>
  <c r="Q70" i="8"/>
  <c r="R70" i="8"/>
  <c r="N67" i="8"/>
  <c r="Q67" i="8"/>
  <c r="R67" i="8"/>
  <c r="N62" i="8"/>
  <c r="Q62" i="8"/>
  <c r="R62" i="8"/>
  <c r="N61" i="8"/>
  <c r="Q61" i="8"/>
  <c r="R61" i="8"/>
  <c r="N60" i="8"/>
  <c r="Q60" i="8"/>
  <c r="R60" i="8"/>
  <c r="N59" i="8"/>
  <c r="Q59" i="8"/>
  <c r="R59" i="8"/>
  <c r="N58" i="8"/>
  <c r="Q58" i="8"/>
  <c r="R58" i="8"/>
  <c r="N57" i="8"/>
  <c r="Q57" i="8"/>
  <c r="R57" i="8"/>
  <c r="N55" i="8"/>
  <c r="Q55" i="8"/>
  <c r="R55" i="8"/>
  <c r="N53" i="8"/>
  <c r="Q53" i="8"/>
  <c r="R53" i="8"/>
  <c r="N52" i="8"/>
  <c r="Q52" i="8"/>
  <c r="R52" i="8"/>
  <c r="N51" i="8"/>
  <c r="Q51" i="8"/>
  <c r="R51" i="8"/>
  <c r="N50" i="8"/>
  <c r="Q50" i="8"/>
  <c r="R50" i="8"/>
  <c r="N49" i="8"/>
  <c r="Q49" i="8"/>
  <c r="R49" i="8"/>
  <c r="N48" i="8"/>
  <c r="Q48" i="8"/>
  <c r="R48" i="8"/>
  <c r="N47" i="8"/>
  <c r="Q47" i="8"/>
  <c r="R47" i="8"/>
  <c r="N45" i="8"/>
  <c r="Q45" i="8"/>
  <c r="R45" i="8"/>
  <c r="N44" i="8"/>
  <c r="Q44" i="8"/>
  <c r="R44" i="8"/>
  <c r="N43" i="8"/>
  <c r="Q43" i="8"/>
  <c r="R43" i="8"/>
  <c r="N41" i="8"/>
  <c r="Q41" i="8"/>
  <c r="R41" i="8"/>
  <c r="N40" i="8"/>
  <c r="Q40" i="8"/>
  <c r="R40" i="8"/>
  <c r="N39" i="8"/>
  <c r="Q39" i="8"/>
  <c r="R39" i="8"/>
  <c r="N34" i="8"/>
  <c r="Q34" i="8"/>
  <c r="R34" i="8"/>
  <c r="N33" i="8"/>
  <c r="Q33" i="8"/>
  <c r="R33" i="8"/>
  <c r="N31" i="8"/>
  <c r="Q31" i="8"/>
  <c r="R31" i="8"/>
  <c r="N30" i="8"/>
  <c r="Q30" i="8"/>
  <c r="R30" i="8"/>
  <c r="N28" i="8"/>
  <c r="Q28" i="8"/>
  <c r="R28" i="8"/>
  <c r="N23" i="8"/>
  <c r="Q23" i="8"/>
  <c r="R23" i="8"/>
  <c r="N20" i="8"/>
  <c r="Q20" i="8"/>
  <c r="R20" i="8"/>
  <c r="N19" i="8"/>
  <c r="Q19" i="8"/>
  <c r="R19" i="8"/>
  <c r="N18" i="8"/>
  <c r="Q18" i="8"/>
  <c r="R18" i="8"/>
  <c r="N16" i="8"/>
  <c r="Q16" i="8"/>
  <c r="R16" i="8"/>
  <c r="N15" i="8"/>
  <c r="Q15" i="8"/>
  <c r="R15" i="8"/>
  <c r="N12" i="8"/>
  <c r="Q12" i="8"/>
  <c r="R12" i="8"/>
  <c r="N11" i="8"/>
  <c r="Q11" i="8"/>
  <c r="R11" i="8"/>
  <c r="N6" i="8"/>
  <c r="Q6" i="8"/>
  <c r="R6" i="8"/>
  <c r="N113" i="8"/>
  <c r="Q113" i="8"/>
  <c r="N102" i="8"/>
  <c r="Q102" i="8"/>
  <c r="N89" i="8"/>
  <c r="Q89" i="8"/>
  <c r="N46" i="8"/>
  <c r="Q46" i="8"/>
  <c r="N36" i="8"/>
  <c r="Q36" i="8"/>
  <c r="N9" i="8"/>
  <c r="Q9" i="8"/>
  <c r="N8" i="8"/>
  <c r="Q8" i="8"/>
  <c r="N7" i="8"/>
  <c r="Q7" i="8"/>
  <c r="AQ39" i="4"/>
  <c r="AQ113" i="4"/>
  <c r="AQ108" i="4"/>
  <c r="AQ161" i="4"/>
  <c r="AQ129" i="4"/>
  <c r="AQ15" i="4"/>
  <c r="AQ105" i="4"/>
  <c r="AQ182" i="4"/>
  <c r="AQ137" i="4"/>
  <c r="N73" i="8"/>
  <c r="Q73" i="8"/>
  <c r="N72" i="8"/>
  <c r="Q72" i="8"/>
  <c r="N71" i="8"/>
  <c r="Q71" i="8"/>
  <c r="C95" i="13"/>
  <c r="D95" i="13"/>
  <c r="E95" i="13"/>
  <c r="J95" i="13"/>
  <c r="C9" i="13"/>
  <c r="S13" i="8"/>
  <c r="D9" i="13"/>
  <c r="E9" i="13"/>
  <c r="J9" i="13"/>
  <c r="N13" i="8"/>
  <c r="Q13" i="8"/>
  <c r="N75" i="8"/>
  <c r="Q75" i="8"/>
  <c r="N123" i="8"/>
  <c r="Q123" i="8"/>
  <c r="N114" i="8"/>
  <c r="Q114" i="8"/>
  <c r="N112" i="8"/>
  <c r="Q112" i="8"/>
  <c r="N64" i="8"/>
  <c r="Q64" i="8"/>
  <c r="N65" i="8"/>
  <c r="Q65" i="8"/>
  <c r="N63" i="8"/>
  <c r="Q63" i="8"/>
  <c r="N37" i="8"/>
  <c r="Q37" i="8"/>
  <c r="N29" i="8"/>
  <c r="Q29" i="8"/>
  <c r="N21" i="8"/>
  <c r="Q21" i="8"/>
  <c r="N14" i="8"/>
  <c r="Q14" i="8"/>
  <c r="N10" i="8"/>
  <c r="Q10" i="8"/>
  <c r="N17" i="8"/>
  <c r="Q17" i="8"/>
  <c r="N22" i="8"/>
  <c r="Q22" i="8"/>
  <c r="N24" i="8"/>
  <c r="Q24" i="8"/>
  <c r="N25" i="8"/>
  <c r="Q25" i="8"/>
  <c r="N26" i="8"/>
  <c r="Q26" i="8"/>
  <c r="N27" i="8"/>
  <c r="Q27" i="8"/>
  <c r="N32" i="8"/>
  <c r="Q32" i="8"/>
  <c r="N35" i="8"/>
  <c r="Q35" i="8"/>
  <c r="N38" i="8"/>
  <c r="Q38" i="8"/>
  <c r="N42" i="8"/>
  <c r="Q42" i="8"/>
  <c r="N54" i="8"/>
  <c r="Q54" i="8"/>
  <c r="N56" i="8"/>
  <c r="Q56" i="8"/>
  <c r="N66" i="8"/>
  <c r="Q66" i="8"/>
  <c r="N68" i="8"/>
  <c r="Q68" i="8"/>
  <c r="N69" i="8"/>
  <c r="Q69" i="8"/>
  <c r="N80" i="8"/>
  <c r="Q80" i="8"/>
  <c r="N81" i="8"/>
  <c r="Q81" i="8"/>
  <c r="N83" i="8"/>
  <c r="Q83" i="8"/>
  <c r="N88" i="8"/>
  <c r="Q88" i="8"/>
  <c r="N90" i="8"/>
  <c r="Q90" i="8"/>
  <c r="N93" i="8"/>
  <c r="Q93" i="8"/>
  <c r="N94" i="8"/>
  <c r="Q94" i="8"/>
  <c r="N96" i="8"/>
  <c r="Q96" i="8"/>
  <c r="N98" i="8"/>
  <c r="Q98" i="8"/>
  <c r="N104" i="8"/>
  <c r="Q104" i="8"/>
  <c r="N105" i="8"/>
  <c r="Q105" i="8"/>
  <c r="N111" i="8"/>
  <c r="Q111" i="8"/>
  <c r="N120" i="8"/>
  <c r="Q120" i="8"/>
  <c r="N121" i="8"/>
  <c r="Q121" i="8"/>
  <c r="N124" i="8"/>
  <c r="Q124" i="8"/>
  <c r="N127" i="8"/>
  <c r="Q127" i="8"/>
  <c r="N128" i="8"/>
  <c r="Q128" i="8"/>
  <c r="N129" i="8"/>
  <c r="Q129" i="8"/>
  <c r="N132" i="8"/>
  <c r="Q132" i="8"/>
  <c r="N136" i="8"/>
  <c r="Q136" i="8"/>
  <c r="C65" i="13"/>
  <c r="S136" i="8"/>
  <c r="T136" i="8"/>
  <c r="N137" i="8"/>
  <c r="Q137" i="8"/>
  <c r="C66" i="13"/>
  <c r="S137" i="8"/>
  <c r="T137" i="8"/>
  <c r="U137" i="8"/>
  <c r="N145" i="8"/>
  <c r="Q145" i="8"/>
  <c r="N149" i="8"/>
  <c r="Q149" i="8"/>
  <c r="N152" i="8"/>
  <c r="Q152" i="8"/>
  <c r="N154" i="8"/>
  <c r="Q154" i="8"/>
  <c r="N156" i="8"/>
  <c r="Q156" i="8"/>
  <c r="N163" i="8"/>
  <c r="Q163" i="8"/>
  <c r="N164" i="8"/>
  <c r="Q164" i="8"/>
  <c r="N165" i="8"/>
  <c r="Q165" i="8"/>
  <c r="N167" i="8"/>
  <c r="Q167" i="8"/>
  <c r="N168" i="8"/>
  <c r="Q168" i="8"/>
  <c r="N170" i="8"/>
  <c r="Q170" i="8"/>
  <c r="N175" i="8"/>
  <c r="Q175" i="8"/>
  <c r="N176" i="8"/>
  <c r="Q176" i="8"/>
  <c r="N180" i="8"/>
  <c r="Q180" i="8"/>
  <c r="N181" i="8"/>
  <c r="Q181" i="8"/>
  <c r="C84" i="13"/>
  <c r="S181" i="8"/>
  <c r="T181" i="8"/>
  <c r="Y44" i="4"/>
  <c r="N182" i="8"/>
  <c r="Q182" i="8"/>
  <c r="N183" i="8"/>
  <c r="Q183" i="8"/>
  <c r="N184" i="8"/>
  <c r="Q184" i="8"/>
  <c r="N187" i="8"/>
  <c r="Q187" i="8"/>
  <c r="N188" i="8"/>
  <c r="Q188" i="8"/>
  <c r="N189" i="8"/>
  <c r="Q189" i="8"/>
  <c r="N192" i="8"/>
  <c r="Q192" i="8"/>
  <c r="N193" i="8"/>
  <c r="Q193" i="8"/>
  <c r="AQ192" i="4"/>
  <c r="L13" i="8"/>
  <c r="M13" i="8"/>
  <c r="O13" i="8"/>
  <c r="N192" i="4"/>
  <c r="AD13" i="8"/>
  <c r="N230" i="6"/>
  <c r="C60" i="13"/>
  <c r="D60" i="13"/>
  <c r="E60" i="13"/>
  <c r="J60" i="13"/>
  <c r="B96" i="17"/>
  <c r="E96" i="17"/>
  <c r="C96" i="17"/>
  <c r="D96" i="17"/>
  <c r="C5" i="13"/>
  <c r="C6" i="13"/>
  <c r="C7" i="13"/>
  <c r="C8"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S90" i="8"/>
  <c r="C49" i="13"/>
  <c r="C50" i="13"/>
  <c r="C51" i="13"/>
  <c r="C52" i="13"/>
  <c r="C53" i="13"/>
  <c r="C54" i="13"/>
  <c r="C55" i="13"/>
  <c r="C56" i="13"/>
  <c r="C57" i="13"/>
  <c r="C58" i="13"/>
  <c r="C59" i="13"/>
  <c r="C61" i="13"/>
  <c r="C62" i="13"/>
  <c r="C64" i="13"/>
  <c r="C63" i="13"/>
  <c r="C67" i="13"/>
  <c r="C68" i="13"/>
  <c r="C69" i="13"/>
  <c r="C70" i="13"/>
  <c r="C71" i="13"/>
  <c r="C72" i="13"/>
  <c r="C73" i="13"/>
  <c r="C74" i="13"/>
  <c r="C75" i="13"/>
  <c r="C76" i="13"/>
  <c r="C77" i="13"/>
  <c r="C78" i="13"/>
  <c r="C79" i="13"/>
  <c r="S170" i="8"/>
  <c r="C80" i="13"/>
  <c r="C81" i="13"/>
  <c r="C82" i="13"/>
  <c r="C83" i="13"/>
  <c r="C85" i="13"/>
  <c r="S182" i="8"/>
  <c r="C86" i="13"/>
  <c r="C87" i="13"/>
  <c r="C88" i="13"/>
  <c r="C89" i="13"/>
  <c r="C90" i="13"/>
  <c r="C91" i="13"/>
  <c r="C92" i="13"/>
  <c r="C93" i="13"/>
  <c r="C94" i="13"/>
  <c r="E5" i="13"/>
  <c r="E6" i="13"/>
  <c r="E7" i="13"/>
  <c r="E29" i="13"/>
  <c r="E51" i="13"/>
  <c r="E54" i="13"/>
  <c r="E61" i="13"/>
  <c r="E64" i="13"/>
  <c r="E84" i="13"/>
  <c r="E92" i="13"/>
  <c r="D5" i="13"/>
  <c r="D6" i="13"/>
  <c r="D7" i="13"/>
  <c r="D8"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1" i="13"/>
  <c r="D62" i="13"/>
  <c r="D64" i="13"/>
  <c r="D63"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E81" i="13"/>
  <c r="E80" i="13"/>
  <c r="E76" i="13"/>
  <c r="E33" i="13"/>
  <c r="E87" i="13"/>
  <c r="E88" i="13"/>
  <c r="E59" i="13"/>
  <c r="E89" i="13"/>
  <c r="E19" i="13"/>
  <c r="E17" i="13"/>
  <c r="E18" i="13"/>
  <c r="E58" i="13"/>
  <c r="E16" i="13"/>
  <c r="E48" i="13"/>
  <c r="E83" i="13"/>
  <c r="E63" i="13"/>
  <c r="E69" i="13"/>
  <c r="E22" i="13"/>
  <c r="E75" i="13"/>
  <c r="E15" i="13"/>
  <c r="E8" i="13"/>
  <c r="E20" i="13"/>
  <c r="E21" i="13"/>
  <c r="E90" i="13"/>
  <c r="E57" i="13"/>
  <c r="E93" i="13"/>
  <c r="E91" i="13"/>
  <c r="E11" i="13"/>
  <c r="E26" i="13"/>
  <c r="E86" i="13"/>
  <c r="E52" i="13"/>
  <c r="E77" i="13"/>
  <c r="E68" i="13"/>
  <c r="E66" i="13"/>
  <c r="E65" i="13"/>
  <c r="E67" i="13"/>
  <c r="E45" i="13"/>
  <c r="E62" i="13"/>
  <c r="E73" i="13"/>
  <c r="E42" i="13"/>
  <c r="E41" i="13"/>
  <c r="E40" i="13"/>
  <c r="E27" i="13"/>
  <c r="E25" i="13"/>
  <c r="E46" i="13"/>
  <c r="E47" i="13"/>
  <c r="E56" i="13"/>
  <c r="E74" i="13"/>
  <c r="E24" i="13"/>
  <c r="E36" i="13"/>
  <c r="E49" i="13"/>
  <c r="E35" i="13"/>
  <c r="E34" i="13"/>
  <c r="E85" i="13"/>
  <c r="E78" i="13"/>
  <c r="E28" i="13"/>
  <c r="E32" i="13"/>
  <c r="E39" i="13"/>
  <c r="E38" i="13"/>
  <c r="E37" i="13"/>
  <c r="E53" i="13"/>
  <c r="E23" i="13"/>
  <c r="E82" i="13"/>
  <c r="E70" i="13"/>
  <c r="E43" i="13"/>
  <c r="E71" i="13"/>
  <c r="E72" i="13"/>
  <c r="E12" i="13"/>
  <c r="E14" i="13"/>
  <c r="E44" i="13"/>
  <c r="E31" i="13"/>
  <c r="E10" i="13"/>
  <c r="E55" i="13"/>
  <c r="E13" i="13"/>
  <c r="E94" i="13"/>
  <c r="E30" i="13"/>
  <c r="E79" i="13"/>
  <c r="E50" i="13"/>
  <c r="F230" i="6"/>
  <c r="J230" i="6"/>
  <c r="P230" i="6"/>
  <c r="L230" i="6"/>
  <c r="M121" i="8"/>
  <c r="M7" i="8"/>
  <c r="M8" i="8"/>
  <c r="M9" i="8"/>
  <c r="M10" i="8"/>
  <c r="M11" i="8"/>
  <c r="M12"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L121" i="8"/>
  <c r="O230" i="6"/>
  <c r="K230" i="6"/>
  <c r="E230" i="6"/>
  <c r="I76" i="11"/>
  <c r="L76" i="11"/>
  <c r="H76" i="11"/>
  <c r="I75" i="11"/>
  <c r="L75" i="11"/>
  <c r="H75" i="11"/>
  <c r="I74" i="11"/>
  <c r="L74" i="11"/>
  <c r="H74" i="11"/>
  <c r="I73" i="11"/>
  <c r="L73" i="11"/>
  <c r="H73" i="11"/>
  <c r="I70" i="11"/>
  <c r="L70" i="11"/>
  <c r="H70" i="11"/>
  <c r="I69" i="11"/>
  <c r="L69" i="11"/>
  <c r="H69" i="11"/>
  <c r="I67" i="11"/>
  <c r="L67" i="11"/>
  <c r="H67" i="11"/>
  <c r="I66" i="11"/>
  <c r="L66" i="11"/>
  <c r="H66" i="11"/>
  <c r="I64" i="11"/>
  <c r="L64" i="11"/>
  <c r="H64" i="11"/>
  <c r="I63" i="11"/>
  <c r="L63" i="11"/>
  <c r="H63" i="11"/>
  <c r="I61" i="11"/>
  <c r="H61" i="11"/>
  <c r="I58" i="11"/>
  <c r="L58" i="11"/>
  <c r="H58" i="11"/>
  <c r="I57" i="11"/>
  <c r="L57" i="11"/>
  <c r="H57" i="11"/>
  <c r="I56" i="11"/>
  <c r="L56" i="11"/>
  <c r="H56" i="11"/>
  <c r="I54" i="11"/>
  <c r="L54" i="11"/>
  <c r="H54" i="11"/>
  <c r="I52" i="11"/>
  <c r="L52" i="11"/>
  <c r="H52" i="11"/>
  <c r="I51" i="11"/>
  <c r="L51" i="11"/>
  <c r="H51" i="11"/>
  <c r="I49" i="11"/>
  <c r="L49" i="11"/>
  <c r="H49" i="11"/>
  <c r="I48" i="11"/>
  <c r="L48" i="11"/>
  <c r="H48" i="11"/>
  <c r="I47" i="11"/>
  <c r="L47" i="11"/>
  <c r="H47" i="11"/>
  <c r="I46" i="11"/>
  <c r="L46" i="11"/>
  <c r="H46" i="11"/>
  <c r="I42" i="11"/>
  <c r="L42" i="11"/>
  <c r="H42" i="11"/>
  <c r="I41" i="11"/>
  <c r="L41" i="11"/>
  <c r="H41" i="11"/>
  <c r="I40" i="11"/>
  <c r="L40" i="11"/>
  <c r="H40" i="11"/>
  <c r="I39" i="11"/>
  <c r="L39" i="11"/>
  <c r="H39" i="11"/>
  <c r="I38" i="11"/>
  <c r="L38" i="11"/>
  <c r="H38" i="11"/>
  <c r="I37" i="11"/>
  <c r="L37" i="11"/>
  <c r="H37" i="11"/>
  <c r="I36" i="11"/>
  <c r="L36" i="11"/>
  <c r="H36" i="11"/>
  <c r="I35" i="11"/>
  <c r="L35" i="11"/>
  <c r="H35" i="11"/>
  <c r="I34" i="11"/>
  <c r="L34" i="11"/>
  <c r="H34" i="11"/>
  <c r="I33" i="11"/>
  <c r="L33" i="11"/>
  <c r="H33" i="11"/>
  <c r="I32" i="11"/>
  <c r="L32" i="11"/>
  <c r="H32" i="11"/>
  <c r="I31" i="11"/>
  <c r="L31" i="11"/>
  <c r="H31" i="11"/>
  <c r="I30" i="11"/>
  <c r="L30" i="11"/>
  <c r="H30" i="11"/>
  <c r="I29" i="11"/>
  <c r="L29" i="11"/>
  <c r="H29" i="11"/>
  <c r="I28" i="11"/>
  <c r="L28" i="11"/>
  <c r="H28" i="11"/>
  <c r="I26" i="11"/>
  <c r="L26" i="11"/>
  <c r="H26" i="11"/>
  <c r="I25" i="11"/>
  <c r="L25" i="11"/>
  <c r="H25" i="11"/>
  <c r="I24" i="11"/>
  <c r="L24" i="11"/>
  <c r="H24" i="11"/>
  <c r="I22" i="11"/>
  <c r="L22" i="11"/>
  <c r="H22" i="11"/>
  <c r="I21" i="11"/>
  <c r="L21" i="11"/>
  <c r="H21" i="11"/>
  <c r="I20" i="11"/>
  <c r="L20" i="11"/>
  <c r="H20" i="11"/>
  <c r="I19" i="11"/>
  <c r="L19" i="11"/>
  <c r="H19" i="11"/>
  <c r="I18" i="11"/>
  <c r="L18" i="11"/>
  <c r="H18" i="11"/>
  <c r="I16" i="11"/>
  <c r="L16" i="11"/>
  <c r="H16" i="11"/>
  <c r="I15" i="11"/>
  <c r="L15" i="11"/>
  <c r="H15" i="11"/>
  <c r="I14" i="11"/>
  <c r="L14" i="11"/>
  <c r="H14" i="11"/>
  <c r="I12" i="11"/>
  <c r="L12" i="11"/>
  <c r="H12" i="11"/>
  <c r="I11" i="11"/>
  <c r="H11" i="11"/>
  <c r="A96" i="13"/>
  <c r="J94" i="13"/>
  <c r="J93" i="13"/>
  <c r="J92" i="13"/>
  <c r="J91" i="13"/>
  <c r="J90" i="13"/>
  <c r="J89" i="13"/>
  <c r="J88" i="13"/>
  <c r="J87" i="13"/>
  <c r="J86" i="13"/>
  <c r="J85" i="13"/>
  <c r="J84" i="13"/>
  <c r="J83" i="13"/>
  <c r="J82" i="13"/>
  <c r="J81" i="13"/>
  <c r="J80" i="13"/>
  <c r="J79" i="13"/>
  <c r="J78" i="13"/>
  <c r="J77" i="13"/>
  <c r="J76" i="13"/>
  <c r="J75" i="13"/>
  <c r="J74" i="13"/>
  <c r="J73" i="13"/>
  <c r="J72" i="13"/>
  <c r="J71" i="13"/>
  <c r="J70" i="13"/>
  <c r="J69" i="13"/>
  <c r="J68" i="13"/>
  <c r="J67" i="13"/>
  <c r="J66" i="13"/>
  <c r="J65" i="13"/>
  <c r="J63" i="13"/>
  <c r="J64" i="13"/>
  <c r="J62" i="13"/>
  <c r="J61" i="13"/>
  <c r="J59" i="13"/>
  <c r="J58" i="13"/>
  <c r="J57" i="13"/>
  <c r="J56" i="13"/>
  <c r="J55" i="13"/>
  <c r="J54" i="13"/>
  <c r="J53" i="13"/>
  <c r="J52" i="13"/>
  <c r="J51" i="13"/>
  <c r="J50" i="13"/>
  <c r="J49" i="13"/>
  <c r="J48" i="13"/>
  <c r="J47" i="13"/>
  <c r="J46" i="13"/>
  <c r="J45" i="13"/>
  <c r="J44" i="13"/>
  <c r="J43" i="13"/>
  <c r="J42" i="13"/>
  <c r="J41" i="13"/>
  <c r="J40" i="13"/>
  <c r="J39" i="13"/>
  <c r="J38" i="13"/>
  <c r="J37" i="13"/>
  <c r="J36" i="13"/>
  <c r="J35" i="13"/>
  <c r="J34" i="13"/>
  <c r="J33" i="13"/>
  <c r="J32" i="13"/>
  <c r="J31" i="13"/>
  <c r="J30" i="13"/>
  <c r="J29" i="13"/>
  <c r="J28" i="13"/>
  <c r="J27" i="13"/>
  <c r="J26" i="13"/>
  <c r="J25" i="13"/>
  <c r="J24" i="13"/>
  <c r="J23" i="13"/>
  <c r="J22" i="13"/>
  <c r="J21" i="13"/>
  <c r="J20" i="13"/>
  <c r="J19" i="13"/>
  <c r="J18" i="13"/>
  <c r="J17" i="13"/>
  <c r="J16" i="13"/>
  <c r="J15" i="13"/>
  <c r="J14" i="13"/>
  <c r="J13" i="13"/>
  <c r="J12" i="13"/>
  <c r="J11" i="13"/>
  <c r="J10" i="13"/>
  <c r="J8" i="13"/>
  <c r="J7" i="13"/>
  <c r="J6" i="13"/>
  <c r="J5" i="13"/>
  <c r="AB195" i="8"/>
  <c r="F195" i="8"/>
  <c r="C195" i="8"/>
  <c r="AD194" i="8"/>
  <c r="S194" i="8"/>
  <c r="M194" i="8"/>
  <c r="L194" i="8"/>
  <c r="AD193" i="8"/>
  <c r="S193" i="8"/>
  <c r="M193" i="8"/>
  <c r="L193" i="8"/>
  <c r="AD192" i="8"/>
  <c r="S192" i="8"/>
  <c r="T192" i="8"/>
  <c r="M192" i="8"/>
  <c r="L192" i="8"/>
  <c r="AD191" i="8"/>
  <c r="S191" i="8"/>
  <c r="M191" i="8"/>
  <c r="L191" i="8"/>
  <c r="AD190" i="8"/>
  <c r="S190" i="8"/>
  <c r="M190" i="8"/>
  <c r="L190" i="8"/>
  <c r="AD189" i="8"/>
  <c r="S189" i="8"/>
  <c r="M189" i="8"/>
  <c r="L189" i="8"/>
  <c r="AD188" i="8"/>
  <c r="S188" i="8"/>
  <c r="M188" i="8"/>
  <c r="L188" i="8"/>
  <c r="AD187" i="8"/>
  <c r="S187" i="8"/>
  <c r="AA77" i="4"/>
  <c r="M187" i="8"/>
  <c r="L187" i="8"/>
  <c r="AD186" i="8"/>
  <c r="S186" i="8"/>
  <c r="AA175" i="4"/>
  <c r="M186" i="8"/>
  <c r="L186" i="8"/>
  <c r="AD185" i="8"/>
  <c r="S185" i="8"/>
  <c r="M185" i="8"/>
  <c r="L185" i="8"/>
  <c r="AD184" i="8"/>
  <c r="S184" i="8"/>
  <c r="M184" i="8"/>
  <c r="L184" i="8"/>
  <c r="AD183" i="8"/>
  <c r="S183" i="8"/>
  <c r="M183" i="8"/>
  <c r="L183" i="8"/>
  <c r="AD182" i="8"/>
  <c r="O189" i="4"/>
  <c r="M182" i="8"/>
  <c r="L182" i="8"/>
  <c r="AD181" i="8"/>
  <c r="M181" i="8"/>
  <c r="L181" i="8"/>
  <c r="AD180" i="8"/>
  <c r="S180" i="8"/>
  <c r="M180" i="8"/>
  <c r="L180" i="8"/>
  <c r="AD179" i="8"/>
  <c r="S179" i="8"/>
  <c r="M179" i="8"/>
  <c r="L179" i="8"/>
  <c r="AD178" i="8"/>
  <c r="S178" i="8"/>
  <c r="M178" i="8"/>
  <c r="L178" i="8"/>
  <c r="AD177" i="8"/>
  <c r="S177" i="8"/>
  <c r="M177" i="8"/>
  <c r="L177" i="8"/>
  <c r="AD176" i="8"/>
  <c r="S176" i="8"/>
  <c r="T176" i="8"/>
  <c r="M176" i="8"/>
  <c r="L176" i="8"/>
  <c r="AD175" i="8"/>
  <c r="S175" i="8"/>
  <c r="AA92" i="4"/>
  <c r="M175" i="8"/>
  <c r="L175" i="8"/>
  <c r="AD174" i="8"/>
  <c r="S174" i="8"/>
  <c r="M174" i="8"/>
  <c r="L174" i="8"/>
  <c r="AD173" i="8"/>
  <c r="S173" i="8"/>
  <c r="M173" i="8"/>
  <c r="L173" i="8"/>
  <c r="AD172" i="8"/>
  <c r="S172" i="8"/>
  <c r="M172" i="8"/>
  <c r="L172" i="8"/>
  <c r="AD171" i="8"/>
  <c r="S171" i="8"/>
  <c r="M171" i="8"/>
  <c r="L171" i="8"/>
  <c r="AD170" i="8"/>
  <c r="M170" i="8"/>
  <c r="L170" i="8"/>
  <c r="AD169" i="8"/>
  <c r="S169" i="8"/>
  <c r="AA12" i="4"/>
  <c r="M169" i="8"/>
  <c r="L169" i="8"/>
  <c r="AD168" i="8"/>
  <c r="S168" i="8"/>
  <c r="AA141" i="4"/>
  <c r="M168" i="8"/>
  <c r="L168" i="8"/>
  <c r="AD167" i="8"/>
  <c r="S167" i="8"/>
  <c r="AA69" i="4"/>
  <c r="M167" i="8"/>
  <c r="L167" i="8"/>
  <c r="AD166" i="8"/>
  <c r="S166" i="8"/>
  <c r="AA136" i="4"/>
  <c r="M166" i="8"/>
  <c r="L166" i="8"/>
  <c r="AD165" i="8"/>
  <c r="S165" i="8"/>
  <c r="M165" i="8"/>
  <c r="L165" i="8"/>
  <c r="AD164" i="8"/>
  <c r="S164" i="8"/>
  <c r="M164" i="8"/>
  <c r="L164" i="8"/>
  <c r="AD163" i="8"/>
  <c r="S163" i="8"/>
  <c r="M163" i="8"/>
  <c r="L163" i="8"/>
  <c r="AD162" i="8"/>
  <c r="S162" i="8"/>
  <c r="T162" i="8"/>
  <c r="M162" i="8"/>
  <c r="L162" i="8"/>
  <c r="AD161" i="8"/>
  <c r="S161" i="8"/>
  <c r="M161" i="8"/>
  <c r="L161" i="8"/>
  <c r="AD160" i="8"/>
  <c r="S160" i="8"/>
  <c r="AA113" i="4"/>
  <c r="M160" i="8"/>
  <c r="L160" i="8"/>
  <c r="AD159" i="8"/>
  <c r="S159" i="8"/>
  <c r="M159" i="8"/>
  <c r="L159" i="8"/>
  <c r="AD158" i="8"/>
  <c r="S158" i="8"/>
  <c r="M158" i="8"/>
  <c r="L158" i="8"/>
  <c r="AD157" i="8"/>
  <c r="O130" i="4"/>
  <c r="S157" i="8"/>
  <c r="M157" i="8"/>
  <c r="L157" i="8"/>
  <c r="AD156" i="8"/>
  <c r="S156" i="8"/>
  <c r="M156" i="8"/>
  <c r="L156" i="8"/>
  <c r="AD155" i="8"/>
  <c r="S155" i="8"/>
  <c r="M155" i="8"/>
  <c r="L155" i="8"/>
  <c r="AD154" i="8"/>
  <c r="S154" i="8"/>
  <c r="M154" i="8"/>
  <c r="L154" i="8"/>
  <c r="AD153" i="8"/>
  <c r="S153" i="8"/>
  <c r="M153" i="8"/>
  <c r="L153" i="8"/>
  <c r="AD152" i="8"/>
  <c r="S152" i="8"/>
  <c r="M152" i="8"/>
  <c r="L152" i="8"/>
  <c r="AD151" i="8"/>
  <c r="S151" i="8"/>
  <c r="M151" i="8"/>
  <c r="L151" i="8"/>
  <c r="AD150" i="8"/>
  <c r="S150" i="8"/>
  <c r="M150" i="8"/>
  <c r="L150" i="8"/>
  <c r="AD149" i="8"/>
  <c r="S149" i="8"/>
  <c r="M149" i="8"/>
  <c r="L149" i="8"/>
  <c r="AD148" i="8"/>
  <c r="S148" i="8"/>
  <c r="M148" i="8"/>
  <c r="L148" i="8"/>
  <c r="AD147" i="8"/>
  <c r="S147" i="8"/>
  <c r="M147" i="8"/>
  <c r="L147" i="8"/>
  <c r="AD146" i="8"/>
  <c r="S146" i="8"/>
  <c r="M146" i="8"/>
  <c r="L146" i="8"/>
  <c r="AD145" i="8"/>
  <c r="S145" i="8"/>
  <c r="M145" i="8"/>
  <c r="L145" i="8"/>
  <c r="AD144" i="8"/>
  <c r="S144" i="8"/>
  <c r="M144" i="8"/>
  <c r="L144" i="8"/>
  <c r="AD143" i="8"/>
  <c r="S143" i="8"/>
  <c r="M143" i="8"/>
  <c r="L143" i="8"/>
  <c r="AD142" i="8"/>
  <c r="S142" i="8"/>
  <c r="M142" i="8"/>
  <c r="L142" i="8"/>
  <c r="AD141" i="8"/>
  <c r="S141" i="8"/>
  <c r="M141" i="8"/>
  <c r="L141" i="8"/>
  <c r="AD140" i="8"/>
  <c r="S140" i="8"/>
  <c r="M140" i="8"/>
  <c r="L140" i="8"/>
  <c r="AD139" i="8"/>
  <c r="N173" i="4"/>
  <c r="S139" i="8"/>
  <c r="M139" i="8"/>
  <c r="L139" i="8"/>
  <c r="AD138" i="8"/>
  <c r="S138" i="8"/>
  <c r="M138" i="8"/>
  <c r="L138" i="8"/>
  <c r="AD137" i="8"/>
  <c r="M137" i="8"/>
  <c r="L137" i="8"/>
  <c r="AD136" i="8"/>
  <c r="M136" i="8"/>
  <c r="L136" i="8"/>
  <c r="AD135" i="8"/>
  <c r="S135" i="8"/>
  <c r="M135" i="8"/>
  <c r="L135" i="8"/>
  <c r="AD134" i="8"/>
  <c r="S134" i="8"/>
  <c r="AA133" i="4"/>
  <c r="M134" i="8"/>
  <c r="L134" i="8"/>
  <c r="AD133" i="8"/>
  <c r="S133" i="8"/>
  <c r="M133" i="8"/>
  <c r="L133" i="8"/>
  <c r="AD132" i="8"/>
  <c r="S132" i="8"/>
  <c r="M132" i="8"/>
  <c r="L132" i="8"/>
  <c r="AD131" i="8"/>
  <c r="O142" i="4"/>
  <c r="S131" i="8"/>
  <c r="M131" i="8"/>
  <c r="L131" i="8"/>
  <c r="AD130" i="8"/>
  <c r="S130" i="8"/>
  <c r="M130" i="8"/>
  <c r="L130" i="8"/>
  <c r="AD129" i="8"/>
  <c r="O156" i="4"/>
  <c r="S129" i="8"/>
  <c r="M129" i="8"/>
  <c r="L129" i="8"/>
  <c r="AD128" i="8"/>
  <c r="O176" i="4"/>
  <c r="S128" i="8"/>
  <c r="M128" i="8"/>
  <c r="L128" i="8"/>
  <c r="AD127" i="8"/>
  <c r="O98" i="4"/>
  <c r="S127" i="8"/>
  <c r="M127" i="8"/>
  <c r="L127" i="8"/>
  <c r="AD126" i="8"/>
  <c r="O97" i="4"/>
  <c r="S126" i="8"/>
  <c r="M126" i="8"/>
  <c r="L126" i="8"/>
  <c r="AD125" i="8"/>
  <c r="O36" i="4"/>
  <c r="S125" i="8"/>
  <c r="M125" i="8"/>
  <c r="L125" i="8"/>
  <c r="AD124" i="8"/>
  <c r="S124" i="8"/>
  <c r="M124" i="8"/>
  <c r="L124" i="8"/>
  <c r="AD123" i="8"/>
  <c r="O151" i="4"/>
  <c r="S123" i="8"/>
  <c r="M123" i="8"/>
  <c r="L123" i="8"/>
  <c r="AD122" i="8"/>
  <c r="O90" i="4"/>
  <c r="S122" i="8"/>
  <c r="M122" i="8"/>
  <c r="L122" i="8"/>
  <c r="AD121" i="8"/>
  <c r="S121" i="8"/>
  <c r="O121" i="8"/>
  <c r="AD120" i="8"/>
  <c r="S120" i="8"/>
  <c r="AA51" i="4"/>
  <c r="L120" i="8"/>
  <c r="AD119" i="8"/>
  <c r="S119" i="8"/>
  <c r="AA32" i="4"/>
  <c r="L119" i="8"/>
  <c r="AD118" i="8"/>
  <c r="S118" i="8"/>
  <c r="L118" i="8"/>
  <c r="O118" i="8"/>
  <c r="AD117" i="8"/>
  <c r="S117" i="8"/>
  <c r="AA30" i="4"/>
  <c r="L117" i="8"/>
  <c r="AD116" i="8"/>
  <c r="S116" i="8"/>
  <c r="L116" i="8"/>
  <c r="AD115" i="8"/>
  <c r="S115" i="8"/>
  <c r="L115" i="8"/>
  <c r="AD114" i="8"/>
  <c r="S114" i="8"/>
  <c r="L114" i="8"/>
  <c r="O114" i="8"/>
  <c r="AD113" i="8"/>
  <c r="S113" i="8"/>
  <c r="L113" i="8"/>
  <c r="AD112" i="8"/>
  <c r="S112" i="8"/>
  <c r="L112" i="8"/>
  <c r="AD111" i="8"/>
  <c r="N188" i="4"/>
  <c r="S111" i="8"/>
  <c r="L111" i="8"/>
  <c r="AD110" i="8"/>
  <c r="S110" i="8"/>
  <c r="L110" i="8"/>
  <c r="AD109" i="8"/>
  <c r="S109" i="8"/>
  <c r="T109" i="8"/>
  <c r="L109" i="8"/>
  <c r="AD108" i="8"/>
  <c r="S108" i="8"/>
  <c r="L108" i="8"/>
  <c r="AD107" i="8"/>
  <c r="N164" i="4"/>
  <c r="S107" i="8"/>
  <c r="T107" i="8"/>
  <c r="L107" i="8"/>
  <c r="AD106" i="8"/>
  <c r="S106" i="8"/>
  <c r="L106" i="8"/>
  <c r="AD105" i="8"/>
  <c r="N162" i="4"/>
  <c r="S105" i="8"/>
  <c r="L105" i="8"/>
  <c r="AD104" i="8"/>
  <c r="S104" i="8"/>
  <c r="L104" i="8"/>
  <c r="AD103" i="8"/>
  <c r="O161" i="4"/>
  <c r="S103" i="8"/>
  <c r="AA161" i="4"/>
  <c r="L103" i="8"/>
  <c r="O103" i="8"/>
  <c r="AD102" i="8"/>
  <c r="S102" i="8"/>
  <c r="L102" i="8"/>
  <c r="AD101" i="8"/>
  <c r="S101" i="8"/>
  <c r="AA37" i="4"/>
  <c r="L101" i="8"/>
  <c r="AD100" i="8"/>
  <c r="O174" i="4"/>
  <c r="S100" i="8"/>
  <c r="L100" i="8"/>
  <c r="AD99" i="8"/>
  <c r="O19" i="4"/>
  <c r="N19" i="4"/>
  <c r="S99" i="8"/>
  <c r="L99" i="8"/>
  <c r="AD98" i="8"/>
  <c r="S98" i="8"/>
  <c r="L98" i="8"/>
  <c r="AD97" i="8"/>
  <c r="S97" i="8"/>
  <c r="L97" i="8"/>
  <c r="O97" i="8"/>
  <c r="AD96" i="8"/>
  <c r="S96" i="8"/>
  <c r="L96" i="8"/>
  <c r="AD95" i="8"/>
  <c r="N83" i="4"/>
  <c r="S95" i="8"/>
  <c r="L95" i="8"/>
  <c r="AD94" i="8"/>
  <c r="S94" i="8"/>
  <c r="L94" i="8"/>
  <c r="AD93" i="8"/>
  <c r="S93" i="8"/>
  <c r="AA160" i="4"/>
  <c r="L93" i="8"/>
  <c r="AD92" i="8"/>
  <c r="N171" i="4"/>
  <c r="S92" i="8"/>
  <c r="AA171" i="4"/>
  <c r="L92" i="8"/>
  <c r="O92" i="8"/>
  <c r="AD91" i="8"/>
  <c r="S91" i="8"/>
  <c r="T91" i="8"/>
  <c r="L91" i="8"/>
  <c r="O91" i="8"/>
  <c r="AD90" i="8"/>
  <c r="AA62" i="4"/>
  <c r="L90" i="8"/>
  <c r="AD89" i="8"/>
  <c r="O167" i="4"/>
  <c r="S89" i="8"/>
  <c r="L89" i="8"/>
  <c r="AD88" i="8"/>
  <c r="S88" i="8"/>
  <c r="L88" i="8"/>
  <c r="AD87" i="8"/>
  <c r="S87" i="8"/>
  <c r="L87" i="8"/>
  <c r="AD86" i="8"/>
  <c r="O101" i="4"/>
  <c r="S86" i="8"/>
  <c r="T86" i="8"/>
  <c r="L86" i="8"/>
  <c r="O86" i="8"/>
  <c r="AD85" i="8"/>
  <c r="N100" i="4"/>
  <c r="S85" i="8"/>
  <c r="L85" i="8"/>
  <c r="O85" i="8"/>
  <c r="AD84" i="8"/>
  <c r="S84" i="8"/>
  <c r="AA127" i="4"/>
  <c r="L84" i="8"/>
  <c r="AD83" i="8"/>
  <c r="O126" i="4"/>
  <c r="S83" i="8"/>
  <c r="L83" i="8"/>
  <c r="AD82" i="8"/>
  <c r="S82" i="8"/>
  <c r="L82" i="8"/>
  <c r="AD81" i="8"/>
  <c r="S81" i="8"/>
  <c r="AA125" i="4"/>
  <c r="L81" i="8"/>
  <c r="AD80" i="8"/>
  <c r="S80" i="8"/>
  <c r="T80" i="8"/>
  <c r="U80" i="8"/>
  <c r="L80" i="8"/>
  <c r="O80" i="8"/>
  <c r="AD79" i="8"/>
  <c r="N29" i="4"/>
  <c r="S79" i="8"/>
  <c r="L79" i="8"/>
  <c r="O79" i="8"/>
  <c r="AD78" i="8"/>
  <c r="S78" i="8"/>
  <c r="AA28" i="4"/>
  <c r="L78" i="8"/>
  <c r="AD77" i="8"/>
  <c r="O135" i="4"/>
  <c r="S77" i="8"/>
  <c r="L77" i="8"/>
  <c r="AD76" i="8"/>
  <c r="S76" i="8"/>
  <c r="L76" i="8"/>
  <c r="AD75" i="8"/>
  <c r="O80" i="4"/>
  <c r="S75" i="8"/>
  <c r="AA80" i="4"/>
  <c r="L75" i="8"/>
  <c r="AD74" i="8"/>
  <c r="N159" i="4"/>
  <c r="S74" i="8"/>
  <c r="AA159" i="4"/>
  <c r="L74" i="8"/>
  <c r="O74" i="8"/>
  <c r="AD73" i="8"/>
  <c r="S73" i="8"/>
  <c r="L73" i="8"/>
  <c r="O73" i="8"/>
  <c r="AD72" i="8"/>
  <c r="S72" i="8"/>
  <c r="AA178" i="4"/>
  <c r="L72" i="8"/>
  <c r="AD71" i="8"/>
  <c r="O158" i="4"/>
  <c r="S71" i="8"/>
  <c r="L71" i="8"/>
  <c r="AD70" i="8"/>
  <c r="S70" i="8"/>
  <c r="L70" i="8"/>
  <c r="AD69" i="8"/>
  <c r="S69" i="8"/>
  <c r="L69" i="8"/>
  <c r="AD68" i="8"/>
  <c r="O117" i="4"/>
  <c r="S68" i="8"/>
  <c r="AA117" i="4"/>
  <c r="L68" i="8"/>
  <c r="O68" i="8"/>
  <c r="AD67" i="8"/>
  <c r="S67" i="8"/>
  <c r="L67" i="8"/>
  <c r="O67" i="8"/>
  <c r="AD66" i="8"/>
  <c r="S66" i="8"/>
  <c r="L66" i="8"/>
  <c r="AD65" i="8"/>
  <c r="N115" i="4"/>
  <c r="S65" i="8"/>
  <c r="L65" i="8"/>
  <c r="AD64" i="8"/>
  <c r="S64" i="8"/>
  <c r="L64" i="8"/>
  <c r="AD63" i="8"/>
  <c r="O119" i="4"/>
  <c r="S63" i="8"/>
  <c r="AA119" i="4"/>
  <c r="L63" i="8"/>
  <c r="AD62" i="8"/>
  <c r="S62" i="8"/>
  <c r="L62" i="8"/>
  <c r="O62" i="8"/>
  <c r="AD61" i="8"/>
  <c r="N138" i="4"/>
  <c r="S61" i="8"/>
  <c r="L61" i="8"/>
  <c r="O61" i="8"/>
  <c r="AD60" i="8"/>
  <c r="S60" i="8"/>
  <c r="AA146" i="4"/>
  <c r="L60" i="8"/>
  <c r="AD59" i="8"/>
  <c r="N145" i="4"/>
  <c r="S59" i="8"/>
  <c r="L59" i="8"/>
  <c r="AD58" i="8"/>
  <c r="S58" i="8"/>
  <c r="L58" i="8"/>
  <c r="AD57" i="8"/>
  <c r="S57" i="8"/>
  <c r="AA153" i="4"/>
  <c r="L57" i="8"/>
  <c r="AD56" i="8"/>
  <c r="O13" i="4"/>
  <c r="S56" i="8"/>
  <c r="L56" i="8"/>
  <c r="O56" i="8"/>
  <c r="AD55" i="8"/>
  <c r="S55" i="8"/>
  <c r="AA15" i="4"/>
  <c r="L55" i="8"/>
  <c r="O55" i="8"/>
  <c r="AD54" i="8"/>
  <c r="S54" i="8"/>
  <c r="AA103" i="4"/>
  <c r="L54" i="8"/>
  <c r="AD53" i="8"/>
  <c r="N140" i="4"/>
  <c r="S53" i="8"/>
  <c r="L53" i="8"/>
  <c r="AD52" i="8"/>
  <c r="S52" i="8"/>
  <c r="L52" i="8"/>
  <c r="AD51" i="8"/>
  <c r="S51" i="8"/>
  <c r="AA55" i="4"/>
  <c r="L51" i="8"/>
  <c r="AD50" i="8"/>
  <c r="O63" i="4"/>
  <c r="S50" i="8"/>
  <c r="AA63" i="4"/>
  <c r="L50" i="8"/>
  <c r="AD49" i="8"/>
  <c r="O52" i="4"/>
  <c r="S49" i="8"/>
  <c r="T49" i="8"/>
  <c r="L49" i="8"/>
  <c r="O49" i="8"/>
  <c r="AD48" i="8"/>
  <c r="S48" i="8"/>
  <c r="T48" i="8"/>
  <c r="L48" i="8"/>
  <c r="AD47" i="8"/>
  <c r="S47" i="8"/>
  <c r="L47" i="8"/>
  <c r="AD46" i="8"/>
  <c r="O50" i="4"/>
  <c r="S46" i="8"/>
  <c r="L46" i="8"/>
  <c r="AD45" i="8"/>
  <c r="S45" i="8"/>
  <c r="AA48" i="4"/>
  <c r="L45" i="8"/>
  <c r="AD44" i="8"/>
  <c r="O78" i="4"/>
  <c r="S44" i="8"/>
  <c r="L44" i="8"/>
  <c r="O44" i="8"/>
  <c r="AD43" i="8"/>
  <c r="S43" i="8"/>
  <c r="AA71" i="4"/>
  <c r="L43" i="8"/>
  <c r="O43" i="8"/>
  <c r="AD42" i="8"/>
  <c r="S42" i="8"/>
  <c r="AA70" i="4"/>
  <c r="L42" i="8"/>
  <c r="AD41" i="8"/>
  <c r="O64" i="4"/>
  <c r="S41" i="8"/>
  <c r="L41" i="8"/>
  <c r="AD40" i="8"/>
  <c r="O7" i="4"/>
  <c r="S40" i="8"/>
  <c r="L40" i="8"/>
  <c r="AD39" i="8"/>
  <c r="S39" i="8"/>
  <c r="AA157" i="4"/>
  <c r="L39" i="8"/>
  <c r="AD38" i="8"/>
  <c r="O170" i="4"/>
  <c r="S38" i="8"/>
  <c r="L38" i="8"/>
  <c r="O38" i="8"/>
  <c r="AD37" i="8"/>
  <c r="O43" i="4"/>
  <c r="S37" i="8"/>
  <c r="L37" i="8"/>
  <c r="O37" i="8"/>
  <c r="AD36" i="8"/>
  <c r="S36" i="8"/>
  <c r="AA166" i="4"/>
  <c r="L36" i="8"/>
  <c r="AD35" i="8"/>
  <c r="O6" i="4"/>
  <c r="S35" i="8"/>
  <c r="L35" i="8"/>
  <c r="AD34" i="8"/>
  <c r="O143" i="4"/>
  <c r="S34" i="8"/>
  <c r="L34" i="8"/>
  <c r="AD33" i="8"/>
  <c r="S33" i="8"/>
  <c r="T33" i="8"/>
  <c r="L33" i="8"/>
  <c r="AD32" i="8"/>
  <c r="O18" i="4"/>
  <c r="S32" i="8"/>
  <c r="L32" i="8"/>
  <c r="AD31" i="8"/>
  <c r="O105" i="4"/>
  <c r="S31" i="8"/>
  <c r="AA105" i="4"/>
  <c r="L31" i="8"/>
  <c r="O31" i="8"/>
  <c r="AD30" i="8"/>
  <c r="S30" i="8"/>
  <c r="AA124" i="4"/>
  <c r="L30" i="8"/>
  <c r="AD29" i="8"/>
  <c r="O24" i="4"/>
  <c r="S29" i="8"/>
  <c r="L29" i="8"/>
  <c r="O29" i="8"/>
  <c r="AD28" i="8"/>
  <c r="S28" i="8"/>
  <c r="L28" i="8"/>
  <c r="AD27" i="8"/>
  <c r="O5" i="4"/>
  <c r="S27" i="8"/>
  <c r="AA5" i="4"/>
  <c r="L27" i="8"/>
  <c r="AD26" i="8"/>
  <c r="O67" i="4"/>
  <c r="S26" i="8"/>
  <c r="L26" i="8"/>
  <c r="O26" i="8"/>
  <c r="AD25" i="8"/>
  <c r="S25" i="8"/>
  <c r="AA66" i="4"/>
  <c r="L25" i="8"/>
  <c r="O25" i="8"/>
  <c r="AD24" i="8"/>
  <c r="S24" i="8"/>
  <c r="AA65" i="4"/>
  <c r="L24" i="8"/>
  <c r="AD23" i="8"/>
  <c r="O139" i="4"/>
  <c r="S23" i="8"/>
  <c r="T23" i="8"/>
  <c r="L23" i="8"/>
  <c r="AD22" i="8"/>
  <c r="O68" i="4"/>
  <c r="S22" i="8"/>
  <c r="L22" i="8"/>
  <c r="AD21" i="8"/>
  <c r="S21" i="8"/>
  <c r="AA35" i="4"/>
  <c r="L21" i="8"/>
  <c r="AD20" i="8"/>
  <c r="O184" i="4"/>
  <c r="S20" i="8"/>
  <c r="L20" i="8"/>
  <c r="O20" i="8"/>
  <c r="AD19" i="8"/>
  <c r="S19" i="8"/>
  <c r="AA182" i="4"/>
  <c r="L19" i="8"/>
  <c r="O19" i="8"/>
  <c r="AD18" i="8"/>
  <c r="O59" i="4"/>
  <c r="S18" i="8"/>
  <c r="AA59" i="4"/>
  <c r="L18" i="8"/>
  <c r="AD17" i="8"/>
  <c r="O60" i="4"/>
  <c r="S17" i="8"/>
  <c r="L17" i="8"/>
  <c r="AD16" i="8"/>
  <c r="O4" i="4"/>
  <c r="S16" i="8"/>
  <c r="L16" i="8"/>
  <c r="AD15" i="8"/>
  <c r="O137" i="4"/>
  <c r="S15" i="8"/>
  <c r="AA137" i="4"/>
  <c r="L15" i="8"/>
  <c r="AD14" i="8"/>
  <c r="O11" i="4"/>
  <c r="S14" i="8"/>
  <c r="L14" i="8"/>
  <c r="O14" i="8"/>
  <c r="AD12" i="8"/>
  <c r="S12" i="8"/>
  <c r="L12" i="8"/>
  <c r="O12" i="8"/>
  <c r="AD11" i="8"/>
  <c r="S11" i="8"/>
  <c r="AA89" i="4"/>
  <c r="L11" i="8"/>
  <c r="AD10" i="8"/>
  <c r="O87" i="4"/>
  <c r="S10" i="8"/>
  <c r="L10" i="8"/>
  <c r="O10" i="8"/>
  <c r="AD9" i="8"/>
  <c r="S9" i="8"/>
  <c r="L9" i="8"/>
  <c r="AD8" i="8"/>
  <c r="S8" i="8"/>
  <c r="AA150" i="4"/>
  <c r="L8" i="8"/>
  <c r="AD7" i="8"/>
  <c r="O149" i="4"/>
  <c r="S7" i="8"/>
  <c r="L7" i="8"/>
  <c r="O7" i="8"/>
  <c r="AD6" i="8"/>
  <c r="O56" i="4"/>
  <c r="S6" i="8"/>
  <c r="AA56" i="4"/>
  <c r="M6" i="8"/>
  <c r="L6" i="8"/>
  <c r="L195" i="8"/>
  <c r="AQ190" i="4"/>
  <c r="AQ189" i="4"/>
  <c r="AQ188" i="4"/>
  <c r="AQ183" i="4"/>
  <c r="AQ176" i="4"/>
  <c r="AQ170" i="4"/>
  <c r="AQ156" i="4"/>
  <c r="AQ151" i="4"/>
  <c r="AQ141" i="4"/>
  <c r="AQ132" i="4"/>
  <c r="AQ123" i="4"/>
  <c r="AQ110" i="4"/>
  <c r="AQ109" i="4"/>
  <c r="AQ107" i="4"/>
  <c r="AQ104" i="4"/>
  <c r="AQ103" i="4"/>
  <c r="AQ102" i="4"/>
  <c r="AQ98" i="4"/>
  <c r="AQ93" i="4"/>
  <c r="AQ92" i="4"/>
  <c r="AQ91" i="4"/>
  <c r="AQ87" i="4"/>
  <c r="AQ86" i="4"/>
  <c r="AQ81" i="4"/>
  <c r="AQ79" i="4"/>
  <c r="AQ77" i="4"/>
  <c r="AQ76" i="4"/>
  <c r="AQ75" i="4"/>
  <c r="AQ72" i="4"/>
  <c r="AQ70" i="4"/>
  <c r="AQ68" i="4"/>
  <c r="AQ67" i="4"/>
  <c r="AQ66" i="4"/>
  <c r="AQ65" i="4"/>
  <c r="AQ62" i="4"/>
  <c r="AQ60" i="4"/>
  <c r="AQ58" i="4"/>
  <c r="AQ46" i="4"/>
  <c r="AQ44" i="4"/>
  <c r="AQ22" i="4"/>
  <c r="AQ18" i="4"/>
  <c r="AQ17" i="4"/>
  <c r="AQ14" i="4"/>
  <c r="AQ13" i="4"/>
  <c r="AQ10" i="4"/>
  <c r="AQ5" i="4"/>
  <c r="AQ99" i="4"/>
  <c r="T184" i="8"/>
  <c r="U184" i="8"/>
  <c r="AQ69" i="4"/>
  <c r="AQ57" i="4"/>
  <c r="AQ97" i="4"/>
  <c r="AQ118" i="4"/>
  <c r="AQ162" i="4"/>
  <c r="AQ191" i="4"/>
  <c r="AQ51" i="4"/>
  <c r="T41" i="8"/>
  <c r="U41" i="8"/>
  <c r="AQ50" i="4"/>
  <c r="T46" i="8"/>
  <c r="AQ146" i="4"/>
  <c r="AQ158" i="4"/>
  <c r="AQ128" i="4"/>
  <c r="AQ125" i="4"/>
  <c r="AQ126" i="4"/>
  <c r="AQ168" i="4"/>
  <c r="AQ160" i="4"/>
  <c r="AQ26" i="4"/>
  <c r="AQ187" i="4"/>
  <c r="T155" i="8"/>
  <c r="T173" i="8"/>
  <c r="T179" i="8"/>
  <c r="AQ89" i="4"/>
  <c r="AQ45" i="4"/>
  <c r="AQ4" i="4"/>
  <c r="AQ124" i="4"/>
  <c r="AQ177" i="4"/>
  <c r="AQ78" i="4"/>
  <c r="AQ55" i="4"/>
  <c r="AQ54" i="4"/>
  <c r="T53" i="8"/>
  <c r="U53" i="8"/>
  <c r="T59" i="8"/>
  <c r="Y145" i="4"/>
  <c r="AQ106" i="4"/>
  <c r="AQ114" i="4"/>
  <c r="AQ135" i="4"/>
  <c r="AQ28" i="4"/>
  <c r="AQ29" i="4"/>
  <c r="AQ100" i="4"/>
  <c r="AQ169" i="4"/>
  <c r="AQ83" i="4"/>
  <c r="AQ84" i="4"/>
  <c r="AQ37" i="4"/>
  <c r="AQ163" i="4"/>
  <c r="AQ165" i="4"/>
  <c r="AQ95" i="4"/>
  <c r="T110" i="8"/>
  <c r="T117" i="8"/>
  <c r="Y30" i="4"/>
  <c r="AQ131" i="4"/>
  <c r="T139" i="8"/>
  <c r="T144" i="8"/>
  <c r="AQ147" i="4"/>
  <c r="T174" i="8"/>
  <c r="AQ175" i="4"/>
  <c r="AA152" i="4"/>
  <c r="O157" i="4"/>
  <c r="O138" i="4"/>
  <c r="O178" i="4"/>
  <c r="AA17" i="4"/>
  <c r="AA27" i="4"/>
  <c r="O133" i="4"/>
  <c r="AA183" i="4"/>
  <c r="AA112" i="4"/>
  <c r="O22" i="4"/>
  <c r="AA73" i="4"/>
  <c r="O108" i="4"/>
  <c r="AA181" i="4"/>
  <c r="O72" i="4"/>
  <c r="AA102" i="4"/>
  <c r="O12" i="4"/>
  <c r="AA148" i="4"/>
  <c r="O92" i="4"/>
  <c r="AA41" i="4"/>
  <c r="O44" i="4"/>
  <c r="O77" i="4"/>
  <c r="AA76" i="4"/>
  <c r="O110" i="4"/>
  <c r="O45" i="4"/>
  <c r="O70" i="4"/>
  <c r="O49" i="4"/>
  <c r="O103" i="4"/>
  <c r="O154" i="4"/>
  <c r="AA36" i="4"/>
  <c r="AA142" i="4"/>
  <c r="O134" i="4"/>
  <c r="AA186" i="4"/>
  <c r="O33" i="4"/>
  <c r="O20" i="4"/>
  <c r="AA47" i="4"/>
  <c r="O107" i="4"/>
  <c r="AA109" i="4"/>
  <c r="O180" i="4"/>
  <c r="O104" i="4"/>
  <c r="O10" i="4"/>
  <c r="AA39" i="4"/>
  <c r="O93" i="4"/>
  <c r="AA42" i="4"/>
  <c r="AA99" i="4"/>
  <c r="O75" i="4"/>
  <c r="O8" i="4"/>
  <c r="O182" i="4"/>
  <c r="O65" i="4"/>
  <c r="O166" i="4"/>
  <c r="O15" i="4"/>
  <c r="O145" i="4"/>
  <c r="AA97" i="4"/>
  <c r="AA132" i="4"/>
  <c r="O183" i="4"/>
  <c r="AA187" i="4"/>
  <c r="O112" i="4"/>
  <c r="AA34" i="4"/>
  <c r="O73" i="4"/>
  <c r="AA123" i="4"/>
  <c r="AA96" i="4"/>
  <c r="O181" i="4"/>
  <c r="O102" i="4"/>
  <c r="O148" i="4"/>
  <c r="AA38" i="4"/>
  <c r="O41" i="4"/>
  <c r="AA40" i="4"/>
  <c r="AA61" i="4"/>
  <c r="O76" i="4"/>
  <c r="AA45" i="4"/>
  <c r="AA60" i="4"/>
  <c r="AA68" i="4"/>
  <c r="AA9" i="4"/>
  <c r="AA24" i="4"/>
  <c r="AA143" i="4"/>
  <c r="AA6" i="4"/>
  <c r="AA43" i="4"/>
  <c r="AA7" i="4"/>
  <c r="AA64" i="4"/>
  <c r="AA50" i="4"/>
  <c r="AA53" i="4"/>
  <c r="AA54" i="4"/>
  <c r="AA140" i="4"/>
  <c r="AA154" i="4"/>
  <c r="AA145" i="4"/>
  <c r="AA138" i="4"/>
  <c r="AA120" i="4"/>
  <c r="AA115" i="4"/>
  <c r="AA116" i="4"/>
  <c r="AA114" i="4"/>
  <c r="AA122" i="4"/>
  <c r="AA121" i="4"/>
  <c r="AA179" i="4"/>
  <c r="AA88" i="4"/>
  <c r="AA29" i="4"/>
  <c r="AA128" i="4"/>
  <c r="AA129" i="4"/>
  <c r="AA126" i="4"/>
  <c r="AA100" i="4"/>
  <c r="AA101" i="4"/>
  <c r="AA169" i="4"/>
  <c r="AA168" i="4"/>
  <c r="AA167" i="4"/>
  <c r="AA25" i="4"/>
  <c r="AA14" i="4"/>
  <c r="AA83" i="4"/>
  <c r="AA81" i="4"/>
  <c r="AA84" i="4"/>
  <c r="AA19" i="4"/>
  <c r="AA174" i="4"/>
  <c r="AA144" i="4"/>
  <c r="AA91" i="4"/>
  <c r="AA162" i="4"/>
  <c r="AA164" i="4"/>
  <c r="AA185" i="4"/>
  <c r="AA188" i="4"/>
  <c r="AA172" i="4"/>
  <c r="AA82" i="4"/>
  <c r="AA85" i="4"/>
  <c r="AA155" i="4"/>
  <c r="AA31" i="4"/>
  <c r="AA98" i="4"/>
  <c r="O186" i="4"/>
  <c r="AA173" i="4"/>
  <c r="O23" i="4"/>
  <c r="AA21" i="4"/>
  <c r="O47" i="4"/>
  <c r="AA147" i="4"/>
  <c r="AA79" i="4"/>
  <c r="O113" i="4"/>
  <c r="AA16" i="4"/>
  <c r="O136" i="4"/>
  <c r="O39" i="4"/>
  <c r="AA94" i="4"/>
  <c r="O42" i="4"/>
  <c r="AA46" i="4"/>
  <c r="O99" i="4"/>
  <c r="O26" i="4"/>
  <c r="AA58" i="4"/>
  <c r="AA90" i="4"/>
  <c r="AA176" i="4"/>
  <c r="O132" i="4"/>
  <c r="O187" i="4"/>
  <c r="O34" i="4"/>
  <c r="O123" i="4"/>
  <c r="AA108" i="4"/>
  <c r="O96" i="4"/>
  <c r="AA130" i="4"/>
  <c r="O74" i="4"/>
  <c r="O69" i="4"/>
  <c r="O38" i="4"/>
  <c r="O40" i="4"/>
  <c r="AA44" i="4"/>
  <c r="O61" i="4"/>
  <c r="O57" i="4"/>
  <c r="O150" i="4"/>
  <c r="O89" i="4"/>
  <c r="O35" i="4"/>
  <c r="O66" i="4"/>
  <c r="O9" i="4"/>
  <c r="O124" i="4"/>
  <c r="O177" i="4"/>
  <c r="O71" i="4"/>
  <c r="O48" i="4"/>
  <c r="O53" i="4"/>
  <c r="O55" i="4"/>
  <c r="O153" i="4"/>
  <c r="O146" i="4"/>
  <c r="O106" i="4"/>
  <c r="O116" i="4"/>
  <c r="O114" i="4"/>
  <c r="O122" i="4"/>
  <c r="O179" i="4"/>
  <c r="O28" i="4"/>
  <c r="O29" i="4"/>
  <c r="O128" i="4"/>
  <c r="O125" i="4"/>
  <c r="O127" i="4"/>
  <c r="O100" i="4"/>
  <c r="O169" i="4"/>
  <c r="O62" i="4"/>
  <c r="O25" i="4"/>
  <c r="O171" i="4"/>
  <c r="O160" i="4"/>
  <c r="O83" i="4"/>
  <c r="O81" i="4"/>
  <c r="O84" i="4"/>
  <c r="O118" i="4"/>
  <c r="O37" i="4"/>
  <c r="O144" i="4"/>
  <c r="O91" i="4"/>
  <c r="O163" i="4"/>
  <c r="O164" i="4"/>
  <c r="O165" i="4"/>
  <c r="O95" i="4"/>
  <c r="O185" i="4"/>
  <c r="O172" i="4"/>
  <c r="O82" i="4"/>
  <c r="O191" i="4"/>
  <c r="O155" i="4"/>
  <c r="O30" i="4"/>
  <c r="O31" i="4"/>
  <c r="O32" i="4"/>
  <c r="O51" i="4"/>
  <c r="O190" i="4"/>
  <c r="AA151" i="4"/>
  <c r="AA156" i="4"/>
  <c r="O131" i="4"/>
  <c r="AA134" i="4"/>
  <c r="O173" i="4"/>
  <c r="AA33" i="4"/>
  <c r="O21" i="4"/>
  <c r="AA20" i="4"/>
  <c r="O147" i="4"/>
  <c r="AA107" i="4"/>
  <c r="O79" i="4"/>
  <c r="AA180" i="4"/>
  <c r="O16" i="4"/>
  <c r="O141" i="4"/>
  <c r="AA10" i="4"/>
  <c r="O94" i="4"/>
  <c r="AA93" i="4"/>
  <c r="O46" i="4"/>
  <c r="O175" i="4"/>
  <c r="O58" i="4"/>
  <c r="AQ24" i="4"/>
  <c r="AQ166" i="4"/>
  <c r="T154" i="8"/>
  <c r="U154" i="8"/>
  <c r="T175" i="8"/>
  <c r="AQ172" i="4"/>
  <c r="T145" i="8"/>
  <c r="U145" i="8"/>
  <c r="AQ56" i="4"/>
  <c r="J96" i="13"/>
  <c r="N178" i="4"/>
  <c r="N127" i="4"/>
  <c r="N25" i="4"/>
  <c r="N118" i="4"/>
  <c r="N37" i="4"/>
  <c r="T149" i="8"/>
  <c r="O86" i="4"/>
  <c r="T22" i="8"/>
  <c r="U22" i="8"/>
  <c r="N15" i="4"/>
  <c r="O156" i="8"/>
  <c r="O159" i="8"/>
  <c r="O184" i="8"/>
  <c r="O127" i="8"/>
  <c r="O39" i="8"/>
  <c r="O28" i="8"/>
  <c r="O34" i="8"/>
  <c r="O110" i="8"/>
  <c r="O87" i="8"/>
  <c r="O15" i="8"/>
  <c r="O54" i="8"/>
  <c r="O81" i="8"/>
  <c r="O133" i="8"/>
  <c r="O158" i="8"/>
  <c r="O164" i="8"/>
  <c r="O125" i="8"/>
  <c r="O151" i="8"/>
  <c r="O182" i="8"/>
  <c r="O16" i="8"/>
  <c r="O42" i="8"/>
  <c r="O48" i="8"/>
  <c r="O57" i="8"/>
  <c r="O71" i="8"/>
  <c r="O82" i="8"/>
  <c r="O126" i="8"/>
  <c r="O157" i="8"/>
  <c r="T182" i="8"/>
  <c r="Y189" i="4"/>
  <c r="O132" i="8"/>
  <c r="O150" i="8"/>
  <c r="O167" i="8"/>
  <c r="O51" i="8"/>
  <c r="O52" i="8"/>
  <c r="O60" i="8"/>
  <c r="O116" i="8"/>
  <c r="O124" i="8"/>
  <c r="T127" i="8"/>
  <c r="O129" i="8"/>
  <c r="O130" i="8"/>
  <c r="O162" i="8"/>
  <c r="O9" i="8"/>
  <c r="O123" i="8"/>
  <c r="O185" i="8"/>
  <c r="O190" i="8"/>
  <c r="O21" i="8"/>
  <c r="O22" i="8"/>
  <c r="O30" i="8"/>
  <c r="O64" i="8"/>
  <c r="O95" i="8"/>
  <c r="O109" i="8"/>
  <c r="O191" i="8"/>
  <c r="O99" i="8"/>
  <c r="O120" i="8"/>
  <c r="O134" i="8"/>
  <c r="O147" i="8"/>
  <c r="O24" i="8"/>
  <c r="O45" i="8"/>
  <c r="O188" i="8"/>
  <c r="O8" i="8"/>
  <c r="O33" i="8"/>
  <c r="O46" i="8"/>
  <c r="O78" i="8"/>
  <c r="O111" i="8"/>
  <c r="O152" i="8"/>
  <c r="O194" i="8"/>
  <c r="T170" i="8"/>
  <c r="N77" i="4"/>
  <c r="T189" i="8"/>
  <c r="Y76" i="4"/>
  <c r="T25" i="8"/>
  <c r="U25" i="8"/>
  <c r="T94" i="8"/>
  <c r="AA4" i="4"/>
  <c r="N126" i="4"/>
  <c r="N23" i="4"/>
  <c r="N42" i="4"/>
  <c r="AA111" i="4"/>
  <c r="N158" i="4"/>
  <c r="N190" i="4"/>
  <c r="AA23" i="4"/>
  <c r="N26" i="4"/>
  <c r="AA22" i="4"/>
  <c r="N106" i="4"/>
  <c r="N47" i="4"/>
  <c r="AA158" i="4"/>
  <c r="AA18" i="4"/>
  <c r="AQ35" i="4"/>
  <c r="AA87" i="4"/>
  <c r="O32" i="8"/>
  <c r="O100" i="8"/>
  <c r="AA190" i="4"/>
  <c r="AA135" i="4"/>
  <c r="O104" i="8"/>
  <c r="AA189" i="4"/>
  <c r="AA163" i="4"/>
  <c r="O18" i="8"/>
  <c r="O36" i="8"/>
  <c r="O66" i="8"/>
  <c r="O88" i="8"/>
  <c r="O98" i="8"/>
  <c r="O117" i="8"/>
  <c r="N84" i="4"/>
  <c r="O115" i="8"/>
  <c r="O146" i="8"/>
  <c r="O11" i="8"/>
  <c r="O47" i="8"/>
  <c r="O58" i="8"/>
  <c r="N117" i="4"/>
  <c r="O75" i="8"/>
  <c r="N125" i="4"/>
  <c r="O90" i="8"/>
  <c r="O131" i="8"/>
  <c r="O154" i="8"/>
  <c r="O186" i="8"/>
  <c r="O69" i="8"/>
  <c r="T104" i="8"/>
  <c r="U104" i="8"/>
  <c r="O105" i="8"/>
  <c r="N142" i="4"/>
  <c r="O161" i="8"/>
  <c r="O192" i="8"/>
  <c r="O50" i="8"/>
  <c r="O70" i="8"/>
  <c r="O72" i="8"/>
  <c r="O76" i="8"/>
  <c r="N28" i="4"/>
  <c r="O84" i="8"/>
  <c r="O93" i="8"/>
  <c r="O96" i="8"/>
  <c r="N163" i="4"/>
  <c r="N165" i="4"/>
  <c r="N155" i="4"/>
  <c r="O145" i="8"/>
  <c r="T152" i="8"/>
  <c r="U152" i="8"/>
  <c r="T168" i="8"/>
  <c r="U168" i="8"/>
  <c r="T187" i="8"/>
  <c r="Y77" i="4"/>
  <c r="O108" i="8"/>
  <c r="N30" i="4"/>
  <c r="O140" i="8"/>
  <c r="O149" i="8"/>
  <c r="O160" i="8"/>
  <c r="O155" i="8"/>
  <c r="T167" i="8"/>
  <c r="U167" i="8"/>
  <c r="N94" i="4"/>
  <c r="O187" i="8"/>
  <c r="N76" i="4"/>
  <c r="O193" i="8"/>
  <c r="AQ149" i="4"/>
  <c r="AQ119" i="4"/>
  <c r="T66" i="8"/>
  <c r="U66" i="8"/>
  <c r="AQ116" i="4"/>
  <c r="T17" i="8"/>
  <c r="Y60" i="4"/>
  <c r="AQ120" i="4"/>
  <c r="O40" i="8"/>
  <c r="T19" i="8"/>
  <c r="AA139" i="4"/>
  <c r="N146" i="4"/>
  <c r="O27" i="8"/>
  <c r="N87" i="4"/>
  <c r="O63" i="8"/>
  <c r="N114" i="4"/>
  <c r="O106" i="8"/>
  <c r="T111" i="8"/>
  <c r="O112" i="8"/>
  <c r="O94" i="8"/>
  <c r="N32" i="4"/>
  <c r="O163" i="8"/>
  <c r="N144" i="4"/>
  <c r="O153" i="8"/>
  <c r="N136" i="4"/>
  <c r="N39" i="4"/>
  <c r="O122" i="8"/>
  <c r="O128" i="8"/>
  <c r="O139" i="8"/>
  <c r="O148" i="8"/>
  <c r="O183" i="8"/>
  <c r="AQ19" i="4"/>
  <c r="T99" i="8"/>
  <c r="T11" i="8"/>
  <c r="AQ117" i="4"/>
  <c r="T68" i="8"/>
  <c r="AQ8" i="4"/>
  <c r="AQ159" i="4"/>
  <c r="T28" i="8"/>
  <c r="U28" i="8"/>
  <c r="AQ9" i="4"/>
  <c r="T158" i="8"/>
  <c r="U158" i="8"/>
  <c r="AQ180" i="4"/>
  <c r="AQ80" i="4"/>
  <c r="T75" i="8"/>
  <c r="U75" i="8"/>
  <c r="AQ174" i="4"/>
  <c r="T100" i="8"/>
  <c r="Y174" i="4"/>
  <c r="AQ53" i="4"/>
  <c r="T47" i="8"/>
  <c r="T40" i="8"/>
  <c r="U40" i="8"/>
  <c r="AQ7" i="4"/>
  <c r="AQ178" i="4"/>
  <c r="T72" i="8"/>
  <c r="U72" i="8"/>
  <c r="AQ115" i="4"/>
  <c r="T65" i="8"/>
  <c r="Y115" i="4"/>
  <c r="AQ33" i="4"/>
  <c r="T140" i="8"/>
  <c r="U140" i="8"/>
  <c r="T84" i="8"/>
  <c r="AQ127" i="4"/>
  <c r="AQ43" i="4"/>
  <c r="T103" i="8"/>
  <c r="AQ6" i="4"/>
  <c r="AQ139" i="4"/>
  <c r="T71" i="8"/>
  <c r="Y158" i="4"/>
  <c r="T138" i="8"/>
  <c r="T126" i="8"/>
  <c r="U126" i="8"/>
  <c r="T88" i="8"/>
  <c r="Y168" i="4"/>
  <c r="T76" i="8"/>
  <c r="U76" i="8"/>
  <c r="AQ88" i="4"/>
  <c r="AQ157" i="4"/>
  <c r="AQ74" i="4"/>
  <c r="AQ167" i="4"/>
  <c r="T89" i="8"/>
  <c r="U89" i="8"/>
  <c r="T45" i="8"/>
  <c r="U45" i="8"/>
  <c r="AQ48" i="4"/>
  <c r="AQ150" i="4"/>
  <c r="T57" i="8"/>
  <c r="U57" i="8"/>
  <c r="AQ153" i="4"/>
  <c r="AQ144" i="4"/>
  <c r="T102" i="8"/>
  <c r="U102" i="8"/>
  <c r="AQ138" i="4"/>
  <c r="T61" i="8"/>
  <c r="U61" i="8"/>
  <c r="AQ20" i="4"/>
  <c r="T146" i="8"/>
  <c r="U146" i="8"/>
  <c r="AQ122" i="4"/>
  <c r="AQ152" i="4"/>
  <c r="T9" i="8"/>
  <c r="AQ179" i="4"/>
  <c r="T34" i="8"/>
  <c r="U34" i="8"/>
  <c r="AQ143" i="4"/>
  <c r="AQ11" i="4"/>
  <c r="T12" i="8"/>
  <c r="U12" i="8"/>
  <c r="T52" i="8"/>
  <c r="U52" i="8"/>
  <c r="T85" i="8"/>
  <c r="Y100" i="4"/>
  <c r="T97" i="8"/>
  <c r="U97" i="8"/>
  <c r="T95" i="8"/>
  <c r="U95" i="8"/>
  <c r="AQ186" i="4"/>
  <c r="AQ82" i="4"/>
  <c r="T79" i="8"/>
  <c r="Y29" i="4"/>
  <c r="AQ94" i="4"/>
  <c r="AQ38" i="4"/>
  <c r="T150" i="8"/>
  <c r="Y147" i="4"/>
  <c r="T55" i="8"/>
  <c r="U55" i="8"/>
  <c r="T16" i="8"/>
  <c r="U16" i="8"/>
  <c r="T87" i="8"/>
  <c r="U87" i="8"/>
  <c r="T77" i="8"/>
  <c r="U77" i="8"/>
  <c r="T67" i="8"/>
  <c r="Y114" i="4"/>
  <c r="AQ185" i="4"/>
  <c r="AQ49" i="4"/>
  <c r="T106" i="8"/>
  <c r="U106" i="8"/>
  <c r="T101" i="8"/>
  <c r="U101" i="8"/>
  <c r="T78" i="8"/>
  <c r="U78" i="8"/>
  <c r="T82" i="8"/>
  <c r="Y129" i="4"/>
  <c r="AQ173" i="4"/>
  <c r="AQ164" i="4"/>
  <c r="AQ140" i="4"/>
  <c r="AQ184" i="4"/>
  <c r="T31" i="8"/>
  <c r="U31" i="8"/>
  <c r="T15" i="8"/>
  <c r="U15" i="8"/>
  <c r="AQ40" i="4"/>
  <c r="T186" i="8"/>
  <c r="U186" i="8"/>
  <c r="AQ21" i="4"/>
  <c r="AQ30" i="4"/>
  <c r="AQ101" i="4"/>
  <c r="AQ145" i="4"/>
  <c r="AQ52" i="4"/>
  <c r="AQ96" i="4"/>
  <c r="N161" i="4"/>
  <c r="N103" i="4"/>
  <c r="U110" i="8"/>
  <c r="N44" i="4"/>
  <c r="N86" i="4"/>
  <c r="N191" i="4"/>
  <c r="N128" i="4"/>
  <c r="N12" i="4"/>
  <c r="N81" i="4"/>
  <c r="N62" i="4"/>
  <c r="N102" i="4"/>
  <c r="N82" i="4"/>
  <c r="N107" i="4"/>
  <c r="N31" i="4"/>
  <c r="N116" i="4"/>
  <c r="N92" i="4"/>
  <c r="N57" i="4"/>
  <c r="N46" i="4"/>
  <c r="N172" i="4"/>
  <c r="N179" i="4"/>
  <c r="Y66" i="4"/>
  <c r="T29" i="8"/>
  <c r="U29" i="8"/>
  <c r="T36" i="8"/>
  <c r="Y166" i="4"/>
  <c r="AQ27" i="4"/>
  <c r="AQ31" i="4"/>
  <c r="AQ42" i="4"/>
  <c r="AQ23" i="4"/>
  <c r="AQ181" i="4"/>
  <c r="AQ155" i="4"/>
  <c r="AQ136" i="4"/>
  <c r="T147" i="8"/>
  <c r="U147" i="8"/>
  <c r="AQ133" i="4"/>
  <c r="AQ36" i="4"/>
  <c r="AQ25" i="4"/>
  <c r="AQ90" i="4"/>
  <c r="AQ111" i="4"/>
  <c r="AQ142" i="4"/>
  <c r="AQ41" i="4"/>
  <c r="AQ112" i="4"/>
  <c r="AQ130" i="4"/>
  <c r="AQ32" i="4"/>
  <c r="AQ148" i="4"/>
  <c r="AQ12" i="4"/>
  <c r="T148" i="8"/>
  <c r="T6" i="8"/>
  <c r="U6" i="8"/>
  <c r="T60" i="8"/>
  <c r="U60" i="8"/>
  <c r="AQ64" i="4"/>
  <c r="AQ16" i="4"/>
  <c r="Y128" i="4"/>
  <c r="U127" i="8"/>
  <c r="Y98" i="4"/>
  <c r="U175" i="8"/>
  <c r="Y92" i="4"/>
  <c r="U181" i="8"/>
  <c r="U144" i="8"/>
  <c r="Y21" i="4"/>
  <c r="Y185" i="4"/>
  <c r="U155" i="8"/>
  <c r="Y96" i="4"/>
  <c r="Y140" i="4"/>
  <c r="Y97" i="4"/>
  <c r="U139" i="8"/>
  <c r="Y173" i="4"/>
  <c r="U192" i="8"/>
  <c r="Y58" i="4"/>
  <c r="U84" i="8"/>
  <c r="Y127" i="4"/>
  <c r="U47" i="8"/>
  <c r="Y53" i="4"/>
  <c r="U174" i="8"/>
  <c r="Y94" i="4"/>
  <c r="U99" i="8"/>
  <c r="Y19" i="4"/>
  <c r="Y141" i="4"/>
  <c r="Y180" i="4"/>
  <c r="U179" i="8"/>
  <c r="Y40" i="4"/>
  <c r="U117" i="8"/>
  <c r="U19" i="8"/>
  <c r="Y182" i="4"/>
  <c r="U46" i="8"/>
  <c r="Y50" i="4"/>
  <c r="U59" i="8"/>
  <c r="Y178" i="4"/>
  <c r="U9" i="8"/>
  <c r="Y152" i="4"/>
  <c r="U173" i="8"/>
  <c r="Y38" i="4"/>
  <c r="T10" i="8"/>
  <c r="U10" i="8"/>
  <c r="U17" i="8"/>
  <c r="Y7" i="4"/>
  <c r="Y153" i="4"/>
  <c r="U100" i="8"/>
  <c r="Y167" i="4"/>
  <c r="U71" i="8"/>
  <c r="Y20" i="4"/>
  <c r="Y9" i="4"/>
  <c r="Y54" i="4"/>
  <c r="U85" i="8"/>
  <c r="Y135" i="4"/>
  <c r="U82" i="8"/>
  <c r="Y4" i="4"/>
  <c r="Y15" i="4"/>
  <c r="T113" i="8"/>
  <c r="Y82" i="4"/>
  <c r="Y28" i="4"/>
  <c r="Y137" i="4"/>
  <c r="U67" i="8"/>
  <c r="U36" i="8"/>
  <c r="U148" i="8"/>
  <c r="T153" i="8"/>
  <c r="U153" i="8"/>
  <c r="AQ47" i="4"/>
  <c r="T141" i="8"/>
  <c r="U141" i="8"/>
  <c r="AQ73" i="4"/>
  <c r="T177" i="8"/>
  <c r="U177" i="8"/>
  <c r="T119" i="8"/>
  <c r="U119" i="8"/>
  <c r="T178" i="8"/>
  <c r="Y42" i="4"/>
  <c r="T169" i="8"/>
  <c r="U169" i="8"/>
  <c r="T125" i="8"/>
  <c r="U125" i="8"/>
  <c r="T171" i="8"/>
  <c r="U171" i="8"/>
  <c r="T122" i="8"/>
  <c r="U122" i="8"/>
  <c r="T166" i="8"/>
  <c r="U166" i="8"/>
  <c r="T159" i="8"/>
  <c r="Y181" i="4"/>
  <c r="T118" i="8"/>
  <c r="U118" i="8"/>
  <c r="T134" i="8"/>
  <c r="Y133" i="4"/>
  <c r="T172" i="8"/>
  <c r="U172" i="8"/>
  <c r="T142" i="8"/>
  <c r="U142" i="8"/>
  <c r="T130" i="8"/>
  <c r="U130" i="8"/>
  <c r="T151" i="8"/>
  <c r="U151" i="8"/>
  <c r="T157" i="8"/>
  <c r="U157" i="8"/>
  <c r="T131" i="8"/>
  <c r="Y142" i="4"/>
  <c r="T116" i="8"/>
  <c r="Y155" i="4"/>
  <c r="Y47" i="4"/>
  <c r="Y56" i="4"/>
  <c r="Y41" i="4"/>
  <c r="Y39" i="4"/>
  <c r="U109" i="8"/>
  <c r="Y95" i="4"/>
  <c r="U136" i="8"/>
  <c r="Y183" i="4"/>
  <c r="U33" i="8"/>
  <c r="Y177" i="4"/>
  <c r="N132" i="4"/>
  <c r="U176" i="8"/>
  <c r="Y93" i="4"/>
  <c r="Y12" i="4"/>
  <c r="AA95" i="4"/>
  <c r="T64" i="8"/>
  <c r="Y73" i="4"/>
  <c r="Y99" i="4"/>
  <c r="Y83" i="4"/>
  <c r="T39" i="8"/>
  <c r="U39" i="8"/>
  <c r="N183" i="4"/>
  <c r="N22" i="4"/>
  <c r="N131" i="4"/>
  <c r="N98" i="4"/>
  <c r="O188" i="4"/>
  <c r="O162" i="4"/>
  <c r="O140" i="4"/>
  <c r="T120" i="8"/>
  <c r="O165" i="8"/>
  <c r="O171" i="8"/>
  <c r="O172" i="8"/>
  <c r="O173" i="8"/>
  <c r="O174" i="8"/>
  <c r="O177" i="8"/>
  <c r="O178" i="8"/>
  <c r="O179" i="8"/>
  <c r="O180" i="8"/>
  <c r="O181" i="8"/>
  <c r="T165" i="8"/>
  <c r="T21" i="8"/>
  <c r="T112" i="8"/>
  <c r="U112" i="8"/>
  <c r="Y90" i="4"/>
  <c r="Y24" i="4"/>
  <c r="Y107" i="4"/>
  <c r="U189" i="8"/>
  <c r="N108" i="4"/>
  <c r="N113" i="4"/>
  <c r="N72" i="4"/>
  <c r="N167" i="4"/>
  <c r="T128" i="8"/>
  <c r="U128" i="8"/>
  <c r="Y143" i="4"/>
  <c r="Y69" i="4"/>
  <c r="T51" i="8"/>
  <c r="Y55" i="4"/>
  <c r="AA177" i="4"/>
  <c r="N174" i="4"/>
  <c r="N135" i="4"/>
  <c r="O115" i="4"/>
  <c r="T32" i="8"/>
  <c r="O102" i="8"/>
  <c r="T194" i="8"/>
  <c r="T124" i="8"/>
  <c r="T83" i="8"/>
  <c r="Y126" i="4"/>
  <c r="T27" i="8"/>
  <c r="T73" i="8"/>
  <c r="Y23" i="4"/>
  <c r="U150" i="8"/>
  <c r="T121" i="8"/>
  <c r="U121" i="8"/>
  <c r="T96" i="8"/>
  <c r="U96" i="8"/>
  <c r="T81" i="8"/>
  <c r="U107" i="8"/>
  <c r="Y164" i="4"/>
  <c r="Y49" i="4"/>
  <c r="U48" i="8"/>
  <c r="Y120" i="4"/>
  <c r="U64" i="8"/>
  <c r="N189" i="4"/>
  <c r="U165" i="8"/>
  <c r="Y102" i="4"/>
  <c r="U91" i="8"/>
  <c r="Y25" i="4"/>
  <c r="N112" i="4"/>
  <c r="U124" i="8"/>
  <c r="Y17" i="4"/>
  <c r="U83" i="8"/>
  <c r="Y5" i="4"/>
  <c r="U27" i="8"/>
  <c r="U73" i="8"/>
  <c r="Y179" i="4"/>
  <c r="Y81" i="4"/>
  <c r="U81" i="8"/>
  <c r="Y125" i="4"/>
  <c r="T37" i="8"/>
  <c r="U37" i="8"/>
  <c r="Y175" i="4"/>
  <c r="Y32" i="4"/>
  <c r="Y37" i="4"/>
  <c r="Y163" i="4"/>
  <c r="Y116" i="4"/>
  <c r="Y138" i="4"/>
  <c r="Y64" i="4"/>
  <c r="U187" i="8"/>
  <c r="Y80" i="4"/>
  <c r="O159" i="4"/>
  <c r="O135" i="8"/>
  <c r="O136" i="8"/>
  <c r="O137" i="8"/>
  <c r="O138" i="8"/>
  <c r="O141" i="8"/>
  <c r="O142" i="8"/>
  <c r="O143" i="8"/>
  <c r="O144" i="8"/>
  <c r="T180" i="8"/>
  <c r="T105" i="8"/>
  <c r="T35" i="8"/>
  <c r="T63" i="8"/>
  <c r="Y146" i="4"/>
  <c r="Y157" i="4"/>
  <c r="Y91" i="4"/>
  <c r="Y48" i="4"/>
  <c r="Y22" i="4"/>
  <c r="U51" i="8"/>
  <c r="T42" i="8"/>
  <c r="N101" i="4"/>
  <c r="AA52" i="4"/>
  <c r="T132" i="8"/>
  <c r="T93" i="8"/>
  <c r="T24" i="8"/>
  <c r="T123" i="8"/>
  <c r="U134" i="8"/>
  <c r="AA49" i="4"/>
  <c r="O189" i="8"/>
  <c r="O119" i="8"/>
  <c r="O101" i="8"/>
  <c r="O89" i="8"/>
  <c r="O83" i="8"/>
  <c r="O77" i="8"/>
  <c r="O65" i="8"/>
  <c r="O59" i="8"/>
  <c r="O53" i="8"/>
  <c r="O41" i="8"/>
  <c r="O35" i="8"/>
  <c r="O23" i="8"/>
  <c r="O17" i="8"/>
  <c r="T129" i="8"/>
  <c r="U129" i="8"/>
  <c r="T90" i="8"/>
  <c r="U116" i="8"/>
  <c r="Y88" i="4"/>
  <c r="T30" i="8"/>
  <c r="U30" i="8"/>
  <c r="N13" i="4"/>
  <c r="T54" i="8"/>
  <c r="N154" i="4"/>
  <c r="N122" i="4"/>
  <c r="N95" i="4"/>
  <c r="N185" i="4"/>
  <c r="O166" i="8"/>
  <c r="O168" i="8"/>
  <c r="O169" i="8"/>
  <c r="O170" i="8"/>
  <c r="O175" i="8"/>
  <c r="O176" i="8"/>
  <c r="T69" i="8"/>
  <c r="T156" i="8"/>
  <c r="N96" i="4"/>
  <c r="N181" i="4"/>
  <c r="Y45" i="4"/>
  <c r="V195" i="8"/>
  <c r="N111" i="4"/>
  <c r="O111" i="4"/>
  <c r="O109" i="4"/>
  <c r="N109" i="4"/>
  <c r="N104" i="4"/>
  <c r="U131" i="8"/>
  <c r="Y105" i="4"/>
  <c r="Y84" i="4"/>
  <c r="T74" i="8"/>
  <c r="AA8" i="4"/>
  <c r="U120" i="8"/>
  <c r="Y51" i="4"/>
  <c r="U180" i="8"/>
  <c r="Y46" i="4"/>
  <c r="U35" i="8"/>
  <c r="Y6" i="4"/>
  <c r="T160" i="8"/>
  <c r="Y89" i="4"/>
  <c r="U11" i="8"/>
  <c r="Y108" i="4"/>
  <c r="Y169" i="4"/>
  <c r="Y33" i="4"/>
  <c r="Y176" i="4"/>
  <c r="Y124" i="4"/>
  <c r="Y161" i="4"/>
  <c r="U103" i="8"/>
  <c r="Y123" i="4"/>
  <c r="U149" i="8"/>
  <c r="N90" i="4"/>
  <c r="AA131" i="4"/>
  <c r="T133" i="8"/>
  <c r="U132" i="8"/>
  <c r="Y132" i="4"/>
  <c r="Y160" i="4"/>
  <c r="U93" i="8"/>
  <c r="N130" i="4"/>
  <c r="U182" i="8"/>
  <c r="U170" i="8"/>
  <c r="Y10" i="4"/>
  <c r="U49" i="8"/>
  <c r="Y52" i="4"/>
  <c r="N17" i="4"/>
  <c r="O17" i="4"/>
  <c r="O27" i="4"/>
  <c r="N27" i="4"/>
  <c r="N133" i="4"/>
  <c r="AA26" i="4"/>
  <c r="T190" i="8"/>
  <c r="AA57" i="4"/>
  <c r="T191" i="8"/>
  <c r="AA110" i="4"/>
  <c r="T193" i="8"/>
  <c r="U193" i="8"/>
  <c r="U194" i="8"/>
  <c r="Y8" i="4"/>
  <c r="U21" i="8"/>
  <c r="Y35" i="4"/>
  <c r="U138" i="8"/>
  <c r="Y187" i="4"/>
  <c r="U68" i="8"/>
  <c r="Y117" i="4"/>
  <c r="U111" i="8"/>
  <c r="Y188" i="4"/>
  <c r="Y14" i="4"/>
  <c r="U94" i="8"/>
  <c r="M195" i="8"/>
  <c r="O6" i="8"/>
  <c r="AA149" i="4"/>
  <c r="T7" i="8"/>
  <c r="S195" i="8"/>
  <c r="O152" i="4"/>
  <c r="Y195" i="8"/>
  <c r="AA11" i="4"/>
  <c r="T14" i="8"/>
  <c r="U14" i="8"/>
  <c r="T20" i="8"/>
  <c r="AA184" i="4"/>
  <c r="T26" i="8"/>
  <c r="AA67" i="4"/>
  <c r="Y18" i="4"/>
  <c r="U32" i="8"/>
  <c r="AA170" i="4"/>
  <c r="T38" i="8"/>
  <c r="T44" i="8"/>
  <c r="AA78" i="4"/>
  <c r="N54" i="4"/>
  <c r="O54" i="4"/>
  <c r="AA13" i="4"/>
  <c r="T56" i="8"/>
  <c r="N153" i="4"/>
  <c r="AA106" i="4"/>
  <c r="T62" i="8"/>
  <c r="N119" i="4"/>
  <c r="O120" i="4"/>
  <c r="N120" i="4"/>
  <c r="O121" i="4"/>
  <c r="N121" i="4"/>
  <c r="N80" i="4"/>
  <c r="O88" i="4"/>
  <c r="N88" i="4"/>
  <c r="O129" i="4"/>
  <c r="N129" i="4"/>
  <c r="U86" i="8"/>
  <c r="Y101" i="4"/>
  <c r="N169" i="4"/>
  <c r="O168" i="4"/>
  <c r="N168" i="4"/>
  <c r="N160" i="4"/>
  <c r="O14" i="4"/>
  <c r="N14" i="4"/>
  <c r="T98" i="8"/>
  <c r="AA118" i="4"/>
  <c r="N91" i="4"/>
  <c r="O107" i="8"/>
  <c r="T108" i="8"/>
  <c r="AA165" i="4"/>
  <c r="O113" i="8"/>
  <c r="AA191" i="4"/>
  <c r="T114" i="8"/>
  <c r="U114" i="8"/>
  <c r="N85" i="4"/>
  <c r="O85" i="4"/>
  <c r="N51" i="4"/>
  <c r="N21" i="4"/>
  <c r="AA86" i="4"/>
  <c r="T183" i="8"/>
  <c r="N99" i="4"/>
  <c r="N61" i="4"/>
  <c r="AA75" i="4"/>
  <c r="T188" i="8"/>
  <c r="T161" i="8"/>
  <c r="AA74" i="4"/>
  <c r="U162" i="8"/>
  <c r="Y16" i="4"/>
  <c r="AA72" i="4"/>
  <c r="T163" i="8"/>
  <c r="AA104" i="4"/>
  <c r="T164" i="8"/>
  <c r="N75" i="4"/>
  <c r="AQ59" i="4"/>
  <c r="T18" i="8"/>
  <c r="AQ71" i="4"/>
  <c r="T43" i="8"/>
  <c r="AQ63" i="4"/>
  <c r="T50" i="8"/>
  <c r="AQ154" i="4"/>
  <c r="T58" i="8"/>
  <c r="T70" i="8"/>
  <c r="AQ121" i="4"/>
  <c r="AQ171" i="4"/>
  <c r="T92" i="8"/>
  <c r="T115" i="8"/>
  <c r="AQ85" i="4"/>
  <c r="AQ134" i="4"/>
  <c r="T135" i="8"/>
  <c r="AQ34" i="4"/>
  <c r="T143" i="8"/>
  <c r="AQ61" i="4"/>
  <c r="T185" i="8"/>
  <c r="Q195" i="8"/>
  <c r="T8" i="8"/>
  <c r="N195" i="8"/>
  <c r="N78" i="4"/>
  <c r="N63" i="4"/>
  <c r="N16" i="4"/>
  <c r="N175" i="4"/>
  <c r="N58" i="4"/>
  <c r="N110" i="4"/>
  <c r="N8" i="4"/>
  <c r="N71" i="4"/>
  <c r="N52" i="4"/>
  <c r="N134" i="4"/>
  <c r="N186" i="4"/>
  <c r="N187" i="4"/>
  <c r="N33" i="4"/>
  <c r="N10" i="4"/>
  <c r="N148" i="4"/>
  <c r="N41" i="4"/>
  <c r="N70" i="4"/>
  <c r="N93" i="4"/>
  <c r="N64" i="4"/>
  <c r="N53" i="4"/>
  <c r="N20" i="4"/>
  <c r="N73" i="4"/>
  <c r="N123" i="4"/>
  <c r="N147" i="4"/>
  <c r="N7" i="4"/>
  <c r="N50" i="4"/>
  <c r="N151" i="4"/>
  <c r="N97" i="4"/>
  <c r="N176" i="4"/>
  <c r="N156" i="4"/>
  <c r="N49" i="4"/>
  <c r="N141" i="4"/>
  <c r="N157" i="4"/>
  <c r="N48" i="4"/>
  <c r="N55" i="4"/>
  <c r="N79" i="4"/>
  <c r="N180" i="4"/>
  <c r="Y36" i="4"/>
  <c r="U159" i="8"/>
  <c r="Y112" i="4"/>
  <c r="C96" i="13"/>
  <c r="Y31" i="4"/>
  <c r="Y130" i="4"/>
  <c r="U113" i="8"/>
  <c r="Y109" i="4"/>
  <c r="U88" i="8"/>
  <c r="Y87" i="4"/>
  <c r="Y68" i="4"/>
  <c r="Y190" i="4"/>
  <c r="Y11" i="4"/>
  <c r="Y110" i="4"/>
  <c r="Y172" i="4"/>
  <c r="Y156" i="4"/>
  <c r="N56" i="4"/>
  <c r="N45" i="4"/>
  <c r="N182" i="4"/>
  <c r="N66" i="4"/>
  <c r="N105" i="4"/>
  <c r="N43" i="4"/>
  <c r="N89" i="4"/>
  <c r="N59" i="4"/>
  <c r="Y139" i="4"/>
  <c r="U23" i="8"/>
  <c r="N65" i="4"/>
  <c r="N124" i="4"/>
  <c r="N166" i="4"/>
  <c r="N38" i="4"/>
  <c r="N60" i="4"/>
  <c r="N139" i="4"/>
  <c r="N24" i="4"/>
  <c r="N6" i="4"/>
  <c r="N74" i="4"/>
  <c r="N152" i="4"/>
  <c r="N4" i="4"/>
  <c r="N68" i="4"/>
  <c r="N9" i="4"/>
  <c r="N143" i="4"/>
  <c r="N40" i="4"/>
  <c r="N150" i="4"/>
  <c r="N137" i="4"/>
  <c r="N35" i="4"/>
  <c r="N5" i="4"/>
  <c r="N177" i="4"/>
  <c r="N34" i="4"/>
  <c r="N11" i="4"/>
  <c r="N184" i="4"/>
  <c r="N67" i="4"/>
  <c r="N18" i="4"/>
  <c r="N170" i="4"/>
  <c r="N36" i="4"/>
  <c r="N69" i="4"/>
  <c r="U178" i="8"/>
  <c r="Y111" i="4"/>
  <c r="Y136" i="4"/>
  <c r="Y148" i="4"/>
  <c r="E96" i="13"/>
  <c r="Y27" i="4"/>
  <c r="Y144" i="4"/>
  <c r="U65" i="8"/>
  <c r="U79" i="8"/>
  <c r="Y186" i="4"/>
  <c r="AA192" i="4"/>
  <c r="T13" i="8"/>
  <c r="D96" i="13"/>
  <c r="Y191" i="4"/>
  <c r="Y43" i="4"/>
  <c r="U105" i="8"/>
  <c r="Y162" i="4"/>
  <c r="U90" i="8"/>
  <c r="Y62" i="4"/>
  <c r="Y151" i="4"/>
  <c r="U123" i="8"/>
  <c r="Y70" i="4"/>
  <c r="U42" i="8"/>
  <c r="Y79" i="4"/>
  <c r="U156" i="8"/>
  <c r="Y103" i="4"/>
  <c r="U54" i="8"/>
  <c r="U24" i="8"/>
  <c r="Y65" i="4"/>
  <c r="U63" i="8"/>
  <c r="Y119" i="4"/>
  <c r="Y122" i="4"/>
  <c r="U69" i="8"/>
  <c r="Y150" i="4"/>
  <c r="U8" i="8"/>
  <c r="Y134" i="4"/>
  <c r="U135" i="8"/>
  <c r="Y71" i="4"/>
  <c r="U43" i="8"/>
  <c r="U164" i="8"/>
  <c r="Y104" i="4"/>
  <c r="Y106" i="4"/>
  <c r="U62" i="8"/>
  <c r="U74" i="8"/>
  <c r="Y159" i="4"/>
  <c r="Y184" i="4"/>
  <c r="U20" i="8"/>
  <c r="U7" i="8"/>
  <c r="Y149" i="4"/>
  <c r="U191" i="8"/>
  <c r="Y57" i="4"/>
  <c r="Y121" i="4"/>
  <c r="U70" i="8"/>
  <c r="U161" i="8"/>
  <c r="Y74" i="4"/>
  <c r="Y118" i="4"/>
  <c r="U98" i="8"/>
  <c r="U190" i="8"/>
  <c r="Y26" i="4"/>
  <c r="U58" i="8"/>
  <c r="Y154" i="4"/>
  <c r="U18" i="8"/>
  <c r="Y59" i="4"/>
  <c r="U163" i="8"/>
  <c r="Y72" i="4"/>
  <c r="U188" i="8"/>
  <c r="Y75" i="4"/>
  <c r="U183" i="8"/>
  <c r="Y86" i="4"/>
  <c r="Y131" i="4"/>
  <c r="U133" i="8"/>
  <c r="U115" i="8"/>
  <c r="Y85" i="4"/>
  <c r="U44" i="8"/>
  <c r="Y78" i="4"/>
  <c r="U26" i="8"/>
  <c r="Y67" i="4"/>
  <c r="U185" i="8"/>
  <c r="Y61" i="4"/>
  <c r="U108" i="8"/>
  <c r="Y165" i="4"/>
  <c r="U143" i="8"/>
  <c r="Y34" i="4"/>
  <c r="U92" i="8"/>
  <c r="Y171" i="4"/>
  <c r="U50" i="8"/>
  <c r="Y63" i="4"/>
  <c r="Y13" i="4"/>
  <c r="U56" i="8"/>
  <c r="U38" i="8"/>
  <c r="Y170" i="4"/>
  <c r="Y113" i="4"/>
  <c r="U160" i="8"/>
  <c r="Y192" i="4"/>
  <c r="U13" i="8"/>
  <c r="T195" i="8"/>
  <c r="AA195" i="8"/>
  <c r="N149" i="4"/>
</calcChain>
</file>

<file path=xl/sharedStrings.xml><?xml version="1.0" encoding="utf-8"?>
<sst xmlns="http://schemas.openxmlformats.org/spreadsheetml/2006/main" count="5057" uniqueCount="1315">
  <si>
    <t>tab</t>
  </si>
  <si>
    <t>pr</t>
  </si>
  <si>
    <t>o</t>
  </si>
  <si>
    <t>n</t>
  </si>
  <si>
    <t>Report Type</t>
  </si>
  <si>
    <t>Record Unique</t>
  </si>
  <si>
    <t>Operator Number</t>
  </si>
  <si>
    <t>District</t>
  </si>
  <si>
    <t>Lease Type</t>
  </si>
  <si>
    <t>Oil Lease Number/Gas ID</t>
  </si>
  <si>
    <t>Drilling Permit Number</t>
  </si>
  <si>
    <t>API Number</t>
  </si>
  <si>
    <t>Corrected Report</t>
  </si>
  <si>
    <t>Lease Total Line</t>
  </si>
  <si>
    <t>Commingle Permit Number</t>
  </si>
  <si>
    <t>Commingle Permit One-time Use Remark</t>
  </si>
  <si>
    <t>Cycle Date</t>
  </si>
  <si>
    <t>Gas Formation  Production</t>
  </si>
  <si>
    <t>Gas Disp Code 1 - Lse Fld Fuel System</t>
  </si>
  <si>
    <t>Gas Disp Code 2 - Transmission Line</t>
  </si>
  <si>
    <t>Gas Disp Code 3 - Processing Plant</t>
  </si>
  <si>
    <t>Gas Disp Code 4 - Vented or Flared</t>
  </si>
  <si>
    <t>Gas Disp Code 4 - Vented Flared  Remark</t>
  </si>
  <si>
    <t>Gas Disp Code 5 - Gas Lift</t>
  </si>
  <si>
    <t>Gas Disp Code 6 - Pressure Maint</t>
  </si>
  <si>
    <t>Gas Disp Code 7 - Carbon Black</t>
  </si>
  <si>
    <t>Gas Disp Code 7 - Carbon Black Plant Name</t>
  </si>
  <si>
    <t>Gas Disp Code 8 - Underground Storage</t>
  </si>
  <si>
    <t>Liq Production</t>
  </si>
  <si>
    <t>Liq Disp Code 0 - Pipeline</t>
  </si>
  <si>
    <t>Liq Disp Code 1 - Truck</t>
  </si>
  <si>
    <t>Liq Disp Code 2 - Tank Car or Barge</t>
  </si>
  <si>
    <t>Liq Disp Code 3 - Net Tank Cleaning</t>
  </si>
  <si>
    <t>Liq Disp Code 3 - Net Tank Cleaning Remark</t>
  </si>
  <si>
    <t>Liq Disp Code 4 - Circulating</t>
  </si>
  <si>
    <t>Liq Disp Code 4 - Circulating Remark</t>
  </si>
  <si>
    <t>Liq Disp Code 5 - Lost</t>
  </si>
  <si>
    <t>Liq Disp Code 6 - Sedimentation</t>
  </si>
  <si>
    <t>Liq Disp Code 6 - Sedimentation Remark</t>
  </si>
  <si>
    <t>Liq Disp Code 71 - Operator Change</t>
  </si>
  <si>
    <t>Liq Disp Code 72 - Road Oil</t>
  </si>
  <si>
    <t>Liq Disp Code 73 - Lease Use</t>
  </si>
  <si>
    <t>Liq Disp Code 74 - Lost to Formation</t>
  </si>
  <si>
    <t>Liq Disp Code 75 - Other</t>
  </si>
  <si>
    <t>Liq Disp Code 75 - Other Remarks</t>
  </si>
  <si>
    <t>Liq Disp Code 8 - Skim Liquid</t>
  </si>
  <si>
    <t>Liq Ending  Storage</t>
  </si>
  <si>
    <t>Field Name</t>
  </si>
  <si>
    <t>Lease Name</t>
  </si>
  <si>
    <t>Gas Well Number</t>
  </si>
  <si>
    <t>Delimiter</t>
  </si>
  <si>
    <t>Agent userID</t>
  </si>
  <si>
    <t>Agent name</t>
  </si>
  <si>
    <t>Agent e-mail address</t>
  </si>
  <si>
    <t>Agent phone number</t>
  </si>
  <si>
    <t>Record Count</t>
  </si>
  <si>
    <t>Current Production Month</t>
  </si>
  <si>
    <t>1</t>
  </si>
  <si>
    <t>3</t>
  </si>
  <si>
    <t>g</t>
  </si>
  <si>
    <t>10</t>
  </si>
  <si>
    <t>4</t>
  </si>
  <si>
    <t>5</t>
  </si>
  <si>
    <t>6</t>
  </si>
  <si>
    <t>7</t>
  </si>
  <si>
    <t>bhaktamplp</t>
  </si>
  <si>
    <t>mishaun bhakta</t>
  </si>
  <si>
    <t>mishaun@magnumproducing.com</t>
  </si>
  <si>
    <t>3618260116</t>
  </si>
  <si>
    <t>MAGNUM PRODUCING, LP (521516)</t>
  </si>
  <si>
    <t>RRC Identifier</t>
  </si>
  <si>
    <t>Gas Well ID</t>
  </si>
  <si>
    <t>Gas</t>
  </si>
  <si>
    <t>BAKER (WILCOX 10000)</t>
  </si>
  <si>
    <t>BAKER, EARL</t>
  </si>
  <si>
    <t xml:space="preserve">    1A </t>
  </si>
  <si>
    <t>BENBOW (WILCOX 10,000)</t>
  </si>
  <si>
    <t>BMB INVESTMENTS</t>
  </si>
  <si>
    <t xml:space="preserve">    1ST</t>
  </si>
  <si>
    <t>BORCHERS, EAST (1250)</t>
  </si>
  <si>
    <t>CHICOLETE CREEK</t>
  </si>
  <si>
    <t>BORCHERS, SOUTH (3600)</t>
  </si>
  <si>
    <t>DOROTIK G. U.</t>
  </si>
  <si>
    <t xml:space="preserve">    1R </t>
  </si>
  <si>
    <t>BRANDT (WILCOX DEEP)</t>
  </si>
  <si>
    <t>ZENGERLE</t>
  </si>
  <si>
    <t>BETTGE</t>
  </si>
  <si>
    <t>BTSA (YEGUA 4594)</t>
  </si>
  <si>
    <t>BRADFORD</t>
  </si>
  <si>
    <t>Oil</t>
  </si>
  <si>
    <t>COTTONWOOD CREEK, SOUTH</t>
  </si>
  <si>
    <t>SCHAEFER, E. C.</t>
  </si>
  <si>
    <t>COTTONWOOD CREEK, S. (FRIO 2300)</t>
  </si>
  <si>
    <t>ANGERSTEIN, H O</t>
  </si>
  <si>
    <t>COTTONWOOD CREEK, S (FRIO 2800)</t>
  </si>
  <si>
    <t>COTTONWOOD CREEK, S. (YEGUA 4500</t>
  </si>
  <si>
    <t>GEARY, C. A.</t>
  </si>
  <si>
    <t>KRUEGAR, D. R.</t>
  </si>
  <si>
    <t>COTTONWOOD CREEK, S.(YEGUA 4800)</t>
  </si>
  <si>
    <t>FIFTEEN MILE CREEK (WILCOX)</t>
  </si>
  <si>
    <t>RIEMENSCHNEIDER</t>
  </si>
  <si>
    <t>FOSS-BROWN (WILCOX)</t>
  </si>
  <si>
    <t>MENNING</t>
  </si>
  <si>
    <t>LA WARD, NORTH</t>
  </si>
  <si>
    <t>BURDITT, ALLEN L.</t>
  </si>
  <si>
    <t>MAXINE, NE (8000)</t>
  </si>
  <si>
    <t>LINDHOLM, CHARLES</t>
  </si>
  <si>
    <t>MCKINNEY (WILCOX)</t>
  </si>
  <si>
    <t>PHILLIP A. MCKINNEY GAS UNIT</t>
  </si>
  <si>
    <t>MUY BUENO (WILCOX J)</t>
  </si>
  <si>
    <t>PETTUS, W. W. HEIRS</t>
  </si>
  <si>
    <t>MUY BUENO (9800)</t>
  </si>
  <si>
    <t>PETTUS HEIRS</t>
  </si>
  <si>
    <t>NORMANNA, E. (FRIO)</t>
  </si>
  <si>
    <t>ORD (WILCOX J-1 SAND)</t>
  </si>
  <si>
    <t>KILROY-TIPTON</t>
  </si>
  <si>
    <t>TIPTON</t>
  </si>
  <si>
    <t>PANNA MARIA (EDWARDS)</t>
  </si>
  <si>
    <t>MOCZYGEMBA, C.W.</t>
  </si>
  <si>
    <t>PAPALOTE, E. (6000)</t>
  </si>
  <si>
    <t>HYNES</t>
  </si>
  <si>
    <t>PAPALOTE, E. (6000 STRAY)</t>
  </si>
  <si>
    <t>PETTUS, S.E. (UPPER MUTT)</t>
  </si>
  <si>
    <t>MCKINNEY, J. E.</t>
  </si>
  <si>
    <t>PETTUS, SE. (WILCOX 7650)</t>
  </si>
  <si>
    <t>PETTUS, S.E. (1360)</t>
  </si>
  <si>
    <t>PORTER, WEST (PETTUS)</t>
  </si>
  <si>
    <t>PARGMANN, A. O.</t>
  </si>
  <si>
    <t>RIVERDALE (MASSIVE FIRST-WILCOX)</t>
  </si>
  <si>
    <t>SPEAKS, S.W. (12010)</t>
  </si>
  <si>
    <t>BING</t>
  </si>
  <si>
    <t>THE RAPTURE (MAGNOLIA)</t>
  </si>
  <si>
    <t>MENNING A-129</t>
  </si>
  <si>
    <t>THEIS, SOUTH(SLICK FIRST)</t>
  </si>
  <si>
    <t>MARTIN UNIT</t>
  </si>
  <si>
    <t>WESTHOFF (COMBINED ASSOCIATED)</t>
  </si>
  <si>
    <t>SIMONS-HAFERNICK UNIT</t>
  </si>
  <si>
    <t>SIMONS-VANCE</t>
  </si>
  <si>
    <t>YORKTOWN, SOUTH (ROEDER)</t>
  </si>
  <si>
    <t>SPIES, CLIFFORD F. G. U. #2</t>
  </si>
  <si>
    <t>YORKTOWN, S (WILCOX 11100)</t>
  </si>
  <si>
    <t>SPIES, CLIFFORD F. G. U. #1</t>
  </si>
  <si>
    <t>CLIFFORD F. SPIES GAS UNIT 1</t>
  </si>
  <si>
    <t>ZOLLER (10,000)</t>
  </si>
  <si>
    <t>STATE TRACT 44 UNIT</t>
  </si>
  <si>
    <t>WILDCAT</t>
  </si>
  <si>
    <t>ANDERSON-THOMPSON</t>
  </si>
  <si>
    <t>ALLEN DOME (10,800)</t>
  </si>
  <si>
    <t>SPOHN FOUNDATION</t>
  </si>
  <si>
    <t>ANGELINA (12900)</t>
  </si>
  <si>
    <t>PIPKIN-WINGATE</t>
  </si>
  <si>
    <t>BIG HILL</t>
  </si>
  <si>
    <t>FITZHUGH</t>
  </si>
  <si>
    <t>FITZHUGH-MCLEAN</t>
  </si>
  <si>
    <t>BIG HILL ( DISCORBIS B)</t>
  </si>
  <si>
    <t>MCLEAN UNIT 3</t>
  </si>
  <si>
    <t>BIG HILL (FRIO 10,100)</t>
  </si>
  <si>
    <t>FRIENDSHIP</t>
  </si>
  <si>
    <t>BIG HILL ( MIOCENE SIPHONINA)</t>
  </si>
  <si>
    <t>BIG HILL (NONION STRUMA SD.)</t>
  </si>
  <si>
    <t>FRIENDSHIP NO. 4 GAS UNIT</t>
  </si>
  <si>
    <t>BIG HILL, WEST (FRIO 10,400)</t>
  </si>
  <si>
    <t>FRIENDSHIP G.U.</t>
  </si>
  <si>
    <t>BLEIBLERVILLE (WILCOX 9000)</t>
  </si>
  <si>
    <t>A. SCHROEDER</t>
  </si>
  <si>
    <t>BLEIBLERVILLE (11000 WILCOX)</t>
  </si>
  <si>
    <t>TITAN</t>
  </si>
  <si>
    <t>BLUE LAKE (9400)</t>
  </si>
  <si>
    <t>VIEMAN, L.D.</t>
  </si>
  <si>
    <t>BUTTERMILK (FRIO 8500)</t>
  </si>
  <si>
    <t>BAPTIST FOUNDATION</t>
  </si>
  <si>
    <t>BUTTERMILK (NODOSARIA 10,000)</t>
  </si>
  <si>
    <t>CHENANGO (9520)</t>
  </si>
  <si>
    <t>TEN BRINK</t>
  </si>
  <si>
    <t>CONROE (MIDDLE WILCOX CONS.)</t>
  </si>
  <si>
    <t>KEYSTONE MILLS</t>
  </si>
  <si>
    <t xml:space="preserve">    3W </t>
  </si>
  <si>
    <t>DEVIL (FRIO)</t>
  </si>
  <si>
    <t>EGYPT (FIRST WILCOX)</t>
  </si>
  <si>
    <t>DUNCAN, G. C.</t>
  </si>
  <si>
    <t>ELIJAH GREEN (WILCOX 3)</t>
  </si>
  <si>
    <t>BLACK STONE MINERALS</t>
  </si>
  <si>
    <t>ELIJAH GREEN (WILCOX 6)</t>
  </si>
  <si>
    <t xml:space="preserve">    2C </t>
  </si>
  <si>
    <t>ELIJAH GREEN (WILCOX 7)</t>
  </si>
  <si>
    <t>GIDDINGS (WILCOX 4500)</t>
  </si>
  <si>
    <t>LEHMANN-ZOCH</t>
  </si>
  <si>
    <t>GIDDINGS (WILCOX 7300)</t>
  </si>
  <si>
    <t>ROYAL ET AL</t>
  </si>
  <si>
    <t>HAMEL (WILCOX 8460)</t>
  </si>
  <si>
    <t>EAST HAMEL GU 4</t>
  </si>
  <si>
    <t>EAST HAMEL GAS UNIT 4</t>
  </si>
  <si>
    <t>HIGH ISLAND</t>
  </si>
  <si>
    <t>ROBERTS-MUELLER</t>
  </si>
  <si>
    <t>JABO (L. HACKBERRY 8570)</t>
  </si>
  <si>
    <t>PIPKIN</t>
  </si>
  <si>
    <t>JARVIS CREEK (5375)</t>
  </si>
  <si>
    <t>RIEGER</t>
  </si>
  <si>
    <t>KARLGORE (YEGUA 2 SAND)</t>
  </si>
  <si>
    <t>TICONDEROGA B</t>
  </si>
  <si>
    <t>TICONDEROGA D</t>
  </si>
  <si>
    <t>KARLGORE (YEGUA 4-G)</t>
  </si>
  <si>
    <t>TICONDEROGA A</t>
  </si>
  <si>
    <t>LOMITA (AUSTIN CHALK)</t>
  </si>
  <si>
    <t>FIELDS UNIT</t>
  </si>
  <si>
    <t xml:space="preserve">    1H </t>
  </si>
  <si>
    <t>LOMITA (WILCOX 7400 SD)</t>
  </si>
  <si>
    <t>RANCHO CULLEN UNIT</t>
  </si>
  <si>
    <t xml:space="preserve">    2H </t>
  </si>
  <si>
    <t>LOUISE</t>
  </si>
  <si>
    <t>HOUSTON, WALLACE</t>
  </si>
  <si>
    <t>LANCASTER, W. H.</t>
  </si>
  <si>
    <t>MCINTYRE</t>
  </si>
  <si>
    <t>OVERLAND</t>
  </si>
  <si>
    <t>LOUISE (FRIO 5860)</t>
  </si>
  <si>
    <t>LOUISE (FRIO 6570)</t>
  </si>
  <si>
    <t>LANCASTER, W.H.</t>
  </si>
  <si>
    <t>LOUISE (PERRY 6050)</t>
  </si>
  <si>
    <t>MCINTYRE, WILLIS</t>
  </si>
  <si>
    <t>LOUISE (5470)</t>
  </si>
  <si>
    <t>STEWART, W. L.</t>
  </si>
  <si>
    <t>LUCKY ( GOLA)</t>
  </si>
  <si>
    <t>ANDERSON</t>
  </si>
  <si>
    <t>LUCKY (HUEBNER 8900)</t>
  </si>
  <si>
    <t>HUEBNER</t>
  </si>
  <si>
    <t>LUCKY (THOMPSON 10100)</t>
  </si>
  <si>
    <t xml:space="preserve">    1T </t>
  </si>
  <si>
    <t>MANOR LAKE (10,300)</t>
  </si>
  <si>
    <t>MCMILLIAN</t>
  </si>
  <si>
    <t>TICONDEROGA GAS UNIT B</t>
  </si>
  <si>
    <t>MAXWELL (COOK MTN. 12,500)</t>
  </si>
  <si>
    <t>MAXWELL, GEORGE</t>
  </si>
  <si>
    <t>MAYES, SOUTH (FRIO 19)</t>
  </si>
  <si>
    <t>SOUTH MAYES GAS UNIT 10</t>
  </si>
  <si>
    <t>MAYES SOUTH (FRIO 22)</t>
  </si>
  <si>
    <t>SOUTH MAYES UNIT 6</t>
  </si>
  <si>
    <t>MAYES, SOUTH (FRIO 9000)</t>
  </si>
  <si>
    <t>MAYES, WEST (F-2)</t>
  </si>
  <si>
    <t>MAYES, M. E.</t>
  </si>
  <si>
    <t>MCCOY (QUINN)</t>
  </si>
  <si>
    <t>QUINN, B. E.</t>
  </si>
  <si>
    <t>NELSONVILLE (WILCOX 9,000)</t>
  </si>
  <si>
    <t>MIKESKA</t>
  </si>
  <si>
    <t>NELSONVILLE ( WILCOX 10,400)</t>
  </si>
  <si>
    <t>MIKESKA, JERRY</t>
  </si>
  <si>
    <t>NELSONVILLE (9100)</t>
  </si>
  <si>
    <t>SUROVIK, FRANK</t>
  </si>
  <si>
    <t>ORANGE HILL, S. (WILCOX 9320)</t>
  </si>
  <si>
    <t>KAECHELE, C. R.</t>
  </si>
  <si>
    <t>ORANGE HILL, SE. (WILCOX 9400)</t>
  </si>
  <si>
    <t>PALACIOS (FRIO A, FB-1)</t>
  </si>
  <si>
    <t>ROBESON</t>
  </si>
  <si>
    <t xml:space="preserve">    1C </t>
  </si>
  <si>
    <t>PALACIOS (FRIO -C-)</t>
  </si>
  <si>
    <t>G.S. HARRISON UNIT</t>
  </si>
  <si>
    <t>PALACIOS (MELBOURN E-3 SEG C)</t>
  </si>
  <si>
    <t>RAMSEY ( 8500 WILCOX)</t>
  </si>
  <si>
    <t>BROYLES B</t>
  </si>
  <si>
    <t>RAMSEY (8600 WILCOX)</t>
  </si>
  <si>
    <t>HERDER, GEORGE</t>
  </si>
  <si>
    <t>RAMSEY (10,700)</t>
  </si>
  <si>
    <t>POOLE "B"</t>
  </si>
  <si>
    <t>RAMSEY, E. (WILCOX 9350)</t>
  </si>
  <si>
    <t>POOLE</t>
  </si>
  <si>
    <t>RAMSEY, E. (WILCOX 9370)</t>
  </si>
  <si>
    <t>PRIESMEYER, L.</t>
  </si>
  <si>
    <t>RAMSEY, E. (WILCOX 10300)</t>
  </si>
  <si>
    <t>ZAHRADNICK, ALFRED</t>
  </si>
  <si>
    <t>RAMSEY, E. (WILCOX 10,700)</t>
  </si>
  <si>
    <t>PRIESMEYER "A"</t>
  </si>
  <si>
    <t>ROCK ISLAND (9900)</t>
  </si>
  <si>
    <t>PETERSON, JOHN ETAL UNIT</t>
  </si>
  <si>
    <t>SEALY (FRIO 3500)</t>
  </si>
  <si>
    <t>RICHARDSON, ET AL GU</t>
  </si>
  <si>
    <t>SEALY (WILCOX CONS.)</t>
  </si>
  <si>
    <t>HINTZ ESTATE "A"</t>
  </si>
  <si>
    <t>HILLBOLDT GAS UNIT</t>
  </si>
  <si>
    <t>HINTZ ESTATE</t>
  </si>
  <si>
    <t>HINTZ ESTATE 'A'</t>
  </si>
  <si>
    <t>LIEBERMAN</t>
  </si>
  <si>
    <t>HILLBOLDT</t>
  </si>
  <si>
    <t>SHERIDAN, S. W. (WILCOX 8200)</t>
  </si>
  <si>
    <t>PLOW REALTY COMPANY</t>
  </si>
  <si>
    <t>BRISCOE C</t>
  </si>
  <si>
    <t>SUBLIME (WILCOX 9100)</t>
  </si>
  <si>
    <t>JOHNSON, B. A. 'A'</t>
  </si>
  <si>
    <t>SUBLIME (WILCOX 9500)</t>
  </si>
  <si>
    <t>JOHNSON, B. A. 'E' GU</t>
  </si>
  <si>
    <t>SUBLIME (7360)</t>
  </si>
  <si>
    <t>JOHNSON, B.A.</t>
  </si>
  <si>
    <t>SUBLIME (9200)</t>
  </si>
  <si>
    <t>JOHNSON, B. A. "D" OIL UNIT</t>
  </si>
  <si>
    <t>TAIL FEATHERS (YEGUA)</t>
  </si>
  <si>
    <t>RASMUSSEN</t>
  </si>
  <si>
    <t>ULRICH (YEGUA CONSOL)</t>
  </si>
  <si>
    <t>NASH, HANNAH</t>
  </si>
  <si>
    <t>ULRICH (YEGUA 1D)</t>
  </si>
  <si>
    <t>WEED (NODOSARIA)</t>
  </si>
  <si>
    <t>HURT, GEORGE E.</t>
  </si>
  <si>
    <t>WHITES BAYOU (F-14)</t>
  </si>
  <si>
    <t>ROGERS, B. B. GU 2</t>
  </si>
  <si>
    <t xml:space="preserve">    2 C</t>
  </si>
  <si>
    <t>WHITES BAYOU (F-16)</t>
  </si>
  <si>
    <t>B.B. ROGERS GAS UNIT 1</t>
  </si>
  <si>
    <t>WHITES BAYOU, S. (9800)</t>
  </si>
  <si>
    <t>HAYNES, J. F.</t>
  </si>
  <si>
    <t>ELIJAH GREEN (WILCOX 10)</t>
  </si>
  <si>
    <t xml:space="preserve">    3 T</t>
  </si>
  <si>
    <t>AGUA DULCE (VICKSBURG CONSL.)</t>
  </si>
  <si>
    <t>SCARBOROUGH</t>
  </si>
  <si>
    <t>FULLER</t>
  </si>
  <si>
    <t>BLOOMBERG (VICKSBURG 6000)</t>
  </si>
  <si>
    <t>MORSE</t>
  </si>
  <si>
    <t>CHAPMAN RANCH (UPPER FRIO CONS.)</t>
  </si>
  <si>
    <t>CHAPMAN</t>
  </si>
  <si>
    <t>CISCO-BENAVIDES (LOBO CONS.)</t>
  </si>
  <si>
    <t>MARTINEZ CHILDREN TRUST FUND</t>
  </si>
  <si>
    <t>CORPUS CHRISTI ( ALLEN)</t>
  </si>
  <si>
    <t>HATCH, G. W., ET AL</t>
  </si>
  <si>
    <t>CORPUS CHRISTI, W (CONSOLIDATED)</t>
  </si>
  <si>
    <t>HATCH, G.W. ET AL</t>
  </si>
  <si>
    <t>ESTES COVE (E-1, FAULT BLOCK B)</t>
  </si>
  <si>
    <t>POLLY BROWN ET AL</t>
  </si>
  <si>
    <t>ESTES COVE (F-1 FB-B)</t>
  </si>
  <si>
    <t>SCHNITZ, OLIVIA</t>
  </si>
  <si>
    <t>EXSUN (LOBO CONS.)</t>
  </si>
  <si>
    <t>ALEXANDER "A"</t>
  </si>
  <si>
    <t>MENDOZA "B"</t>
  </si>
  <si>
    <t>HARVEY (M-3)</t>
  </si>
  <si>
    <t>HAMON-HARVEY</t>
  </si>
  <si>
    <t>HARVEY ( 9-A FRIO)</t>
  </si>
  <si>
    <t>HARVEY, J.H. UNIT</t>
  </si>
  <si>
    <t>HARVEY, DEEP (ANDERSON)</t>
  </si>
  <si>
    <t>MCKAMEY</t>
  </si>
  <si>
    <t>HI-LUK</t>
  </si>
  <si>
    <t>MILLER, C.A.</t>
  </si>
  <si>
    <t>DALEY, IRENE</t>
  </si>
  <si>
    <t>HOFFMAN (WILCOX)</t>
  </si>
  <si>
    <t>HOFFMAN 116</t>
  </si>
  <si>
    <t>JAVELINA (VICKSBURG CONS.)</t>
  </si>
  <si>
    <t>KOTARA-ALDRIDGE ET AL G U</t>
  </si>
  <si>
    <t>KELSEY (VXKBG. CONSOL.)</t>
  </si>
  <si>
    <t>MARTINEZ GAS UNIT</t>
  </si>
  <si>
    <t>MAY (LOWER 7)</t>
  </si>
  <si>
    <t>MAY FIELD UNIT</t>
  </si>
  <si>
    <t xml:space="preserve">  24  L</t>
  </si>
  <si>
    <t>MAY (LOWER 7-B)</t>
  </si>
  <si>
    <t>MAY (MASSIVE 9)</t>
  </si>
  <si>
    <t xml:space="preserve">   24 L</t>
  </si>
  <si>
    <t>MAY (MIDDLE 8)</t>
  </si>
  <si>
    <t xml:space="preserve">   24 U</t>
  </si>
  <si>
    <t>MAY (UPPER 7B)</t>
  </si>
  <si>
    <t>CHILDS/MIDDLE/GU</t>
  </si>
  <si>
    <t>MAY, SOUTH (MASSIVE BASAL)</t>
  </si>
  <si>
    <t>KAUFER, LEO -B- /MA.-1/</t>
  </si>
  <si>
    <t>KAUFER, LEO -B- /BA-2/ UNIT</t>
  </si>
  <si>
    <t>KAUFER "B" UNIT</t>
  </si>
  <si>
    <t>MAY, W. (11,600 CONS.)</t>
  </si>
  <si>
    <t>COLLINS-BEVANS</t>
  </si>
  <si>
    <t>MCCOOK, E. (VICKSBURG LO-Y-2)</t>
  </si>
  <si>
    <t>KOTARA ALDRIDGE GU</t>
  </si>
  <si>
    <t>MIDWAY (9150)</t>
  </si>
  <si>
    <t>MCCANN, OLA GAS UNIT</t>
  </si>
  <si>
    <t xml:space="preserve">    2A </t>
  </si>
  <si>
    <t>MIDWAY (9300)</t>
  </si>
  <si>
    <t>OLA MCCANN GAS UNIT</t>
  </si>
  <si>
    <t>MOBIL-DAVID, EAST</t>
  </si>
  <si>
    <t>MANLEY, ALMA</t>
  </si>
  <si>
    <t>MONTE CHRISTO, SOUTH (11,130)</t>
  </si>
  <si>
    <t>THREE CITIES</t>
  </si>
  <si>
    <t>ORCONES (FRIO-VKSBG CONS.)</t>
  </si>
  <si>
    <t>MILLER WEST</t>
  </si>
  <si>
    <t>ROSITA, E. (WILCOX CONS.)</t>
  </si>
  <si>
    <t>CASAS</t>
  </si>
  <si>
    <t>ROSITA, NW (WILCOX CONS.)</t>
  </si>
  <si>
    <t>STEDMAN ISLAND</t>
  </si>
  <si>
    <t>REDFISH BAY PROPERTIES</t>
  </si>
  <si>
    <t>STEDMAN ISLAND(C-1)</t>
  </si>
  <si>
    <t>REDFISH BAY PROPERTIES, LTD.</t>
  </si>
  <si>
    <t>TRIPLE -A- (FRIO 6450)</t>
  </si>
  <si>
    <t>BEYER</t>
  </si>
  <si>
    <t>TRIPLE -A- (FRIO 6600 SAND)</t>
  </si>
  <si>
    <t>NELSON, A. E.</t>
  </si>
  <si>
    <t>BEYER, MONROE</t>
  </si>
  <si>
    <t>TRIPLE -A- (FRIO 7100, E.)</t>
  </si>
  <si>
    <t>MCCANN, OLA</t>
  </si>
  <si>
    <t>TRIPLE -A- (FRIO 7500)</t>
  </si>
  <si>
    <t>NELSON, A.E</t>
  </si>
  <si>
    <t>TRIPLE -A- (NELSON SAND)</t>
  </si>
  <si>
    <t>OLA MCCANN "A"</t>
  </si>
  <si>
    <t>TRIPLE A (9200 SAND)</t>
  </si>
  <si>
    <t xml:space="preserve">    1 L</t>
  </si>
  <si>
    <t>WHITE POINT, E. (6050)</t>
  </si>
  <si>
    <t>STATE TRACT 750-A</t>
  </si>
  <si>
    <t xml:space="preserve">Search Criteria: </t>
  </si>
  <si>
    <t>Filing Operator:</t>
  </si>
  <si>
    <t>District:</t>
  </si>
  <si>
    <t>Statewide</t>
  </si>
  <si>
    <t>Prod Month:</t>
  </si>
  <si>
    <t>Lease Type:</t>
  </si>
  <si>
    <t>Both</t>
  </si>
  <si>
    <t>Oil/Condensate (Whole Barrels)</t>
  </si>
  <si>
    <t>Gas/Casinghead Gas - MCF</t>
  </si>
  <si>
    <t>Disposition</t>
  </si>
  <si>
    <t>Multiple Reports</t>
  </si>
  <si>
    <t>Lease Total</t>
  </si>
  <si>
    <t>Commingle Permit No.</t>
  </si>
  <si>
    <t>On Hand Beginning of Month</t>
  </si>
  <si>
    <t>Production</t>
  </si>
  <si>
    <t>Volume</t>
  </si>
  <si>
    <t>Code</t>
  </si>
  <si>
    <t>On Hand End of Month</t>
  </si>
  <si>
    <t>Formation Production</t>
  </si>
  <si>
    <t>Volume2</t>
  </si>
  <si>
    <t>Code3</t>
  </si>
  <si>
    <t>127436</t>
  </si>
  <si>
    <t>272206</t>
  </si>
  <si>
    <t>250887</t>
  </si>
  <si>
    <t>270531</t>
  </si>
  <si>
    <t>200152</t>
  </si>
  <si>
    <t>200525</t>
  </si>
  <si>
    <t>258014</t>
  </si>
  <si>
    <t>00394</t>
  </si>
  <si>
    <t>207897</t>
  </si>
  <si>
    <t>145447</t>
  </si>
  <si>
    <t>05446</t>
  </si>
  <si>
    <t>06169</t>
  </si>
  <si>
    <t>08462</t>
  </si>
  <si>
    <t>192476</t>
  </si>
  <si>
    <t>245422</t>
  </si>
  <si>
    <t>08646</t>
  </si>
  <si>
    <t>052283</t>
  </si>
  <si>
    <t>253815</t>
  </si>
  <si>
    <t>172874</t>
  </si>
  <si>
    <t>180461</t>
  </si>
  <si>
    <t>198005</t>
  </si>
  <si>
    <t>286124</t>
  </si>
  <si>
    <t>132690</t>
  </si>
  <si>
    <t>189915</t>
  </si>
  <si>
    <t>05086</t>
  </si>
  <si>
    <t>06739</t>
  </si>
  <si>
    <t>08169</t>
  </si>
  <si>
    <t>08635</t>
  </si>
  <si>
    <t>08247</t>
  </si>
  <si>
    <t>182045</t>
  </si>
  <si>
    <t>04248</t>
  </si>
  <si>
    <t>184558</t>
  </si>
  <si>
    <t>133437</t>
  </si>
  <si>
    <t>264004</t>
  </si>
  <si>
    <t>220079</t>
  </si>
  <si>
    <t>280417</t>
  </si>
  <si>
    <t>10778</t>
  </si>
  <si>
    <t>138470</t>
  </si>
  <si>
    <t>053255</t>
  </si>
  <si>
    <t>059225</t>
  </si>
  <si>
    <t>174916</t>
  </si>
  <si>
    <t>10230</t>
  </si>
  <si>
    <t>27142</t>
  </si>
  <si>
    <t>280236</t>
  </si>
  <si>
    <t>253385</t>
  </si>
  <si>
    <t>26482</t>
  </si>
  <si>
    <t>27150</t>
  </si>
  <si>
    <t>26262</t>
  </si>
  <si>
    <t>27348</t>
  </si>
  <si>
    <t>223401</t>
  </si>
  <si>
    <t>26909</t>
  </si>
  <si>
    <t>233975</t>
  </si>
  <si>
    <t>250605</t>
  </si>
  <si>
    <t>27151</t>
  </si>
  <si>
    <t>192497</t>
  </si>
  <si>
    <t>21610</t>
  </si>
  <si>
    <t>272614</t>
  </si>
  <si>
    <t>279199</t>
  </si>
  <si>
    <t>15252</t>
  </si>
  <si>
    <t>206045</t>
  </si>
  <si>
    <t>188081</t>
  </si>
  <si>
    <t>160307</t>
  </si>
  <si>
    <t>27285</t>
  </si>
  <si>
    <t>282350</t>
  </si>
  <si>
    <t>27418</t>
  </si>
  <si>
    <t>27236</t>
  </si>
  <si>
    <t>264922</t>
  </si>
  <si>
    <t>26501</t>
  </si>
  <si>
    <t>278004</t>
  </si>
  <si>
    <t>24455</t>
  </si>
  <si>
    <t>02099</t>
  </si>
  <si>
    <t>24246</t>
  </si>
  <si>
    <t>27279</t>
  </si>
  <si>
    <t>27495</t>
  </si>
  <si>
    <t>27499</t>
  </si>
  <si>
    <t>27401</t>
  </si>
  <si>
    <t>177442</t>
  </si>
  <si>
    <t>284976</t>
  </si>
  <si>
    <t>279165</t>
  </si>
  <si>
    <t>02812</t>
  </si>
  <si>
    <t>26743</t>
  </si>
  <si>
    <t>133198</t>
  </si>
  <si>
    <t>22393</t>
  </si>
  <si>
    <t>229081</t>
  </si>
  <si>
    <t>26834</t>
  </si>
  <si>
    <t>26193</t>
  </si>
  <si>
    <t>275419</t>
  </si>
  <si>
    <t>139199</t>
  </si>
  <si>
    <t>18769</t>
  </si>
  <si>
    <t>184787</t>
  </si>
  <si>
    <t>113719</t>
  </si>
  <si>
    <t>038467</t>
  </si>
  <si>
    <t>12721</t>
  </si>
  <si>
    <t>214543</t>
  </si>
  <si>
    <t>235116</t>
  </si>
  <si>
    <t>164970</t>
  </si>
  <si>
    <t>24861</t>
  </si>
  <si>
    <t>194105</t>
  </si>
  <si>
    <t>130820</t>
  </si>
  <si>
    <t>284977</t>
  </si>
  <si>
    <t>247945</t>
  </si>
  <si>
    <t>285001</t>
  </si>
  <si>
    <t>21879</t>
  </si>
  <si>
    <t>158027</t>
  </si>
  <si>
    <t>193384</t>
  </si>
  <si>
    <t>047134</t>
  </si>
  <si>
    <t>158691</t>
  </si>
  <si>
    <t>091859</t>
  </si>
  <si>
    <t>214235</t>
  </si>
  <si>
    <t>058664</t>
  </si>
  <si>
    <t>238352</t>
  </si>
  <si>
    <t>163161</t>
  </si>
  <si>
    <t>183638</t>
  </si>
  <si>
    <t>199834</t>
  </si>
  <si>
    <t>201550</t>
  </si>
  <si>
    <t>210199</t>
  </si>
  <si>
    <t>210200</t>
  </si>
  <si>
    <t>215622</t>
  </si>
  <si>
    <t>216963</t>
  </si>
  <si>
    <t>217825</t>
  </si>
  <si>
    <t>11349</t>
  </si>
  <si>
    <t>27162</t>
  </si>
  <si>
    <t>280832</t>
  </si>
  <si>
    <t>161374</t>
  </si>
  <si>
    <t>19798</t>
  </si>
  <si>
    <t>25782</t>
  </si>
  <si>
    <t>25785</t>
  </si>
  <si>
    <t>179674</t>
  </si>
  <si>
    <t>129832</t>
  </si>
  <si>
    <t>24644</t>
  </si>
  <si>
    <t>127418</t>
  </si>
  <si>
    <t>128149</t>
  </si>
  <si>
    <t>24414</t>
  </si>
  <si>
    <t>201104</t>
  </si>
  <si>
    <t>22499</t>
  </si>
  <si>
    <t>200844</t>
  </si>
  <si>
    <t>283360</t>
  </si>
  <si>
    <t>225615</t>
  </si>
  <si>
    <t>13355</t>
  </si>
  <si>
    <t>115364</t>
  </si>
  <si>
    <t>13410</t>
  </si>
  <si>
    <t>255120</t>
  </si>
  <si>
    <t>039333</t>
  </si>
  <si>
    <t>13726</t>
  </si>
  <si>
    <t>167923</t>
  </si>
  <si>
    <t>12863</t>
  </si>
  <si>
    <t>244496</t>
  </si>
  <si>
    <t>248176</t>
  </si>
  <si>
    <t>250087</t>
  </si>
  <si>
    <t>255119</t>
  </si>
  <si>
    <t>12696</t>
  </si>
  <si>
    <t>13742</t>
  </si>
  <si>
    <t>054242</t>
  </si>
  <si>
    <t>10325</t>
  </si>
  <si>
    <t>10563</t>
  </si>
  <si>
    <t>212342</t>
  </si>
  <si>
    <t>213792</t>
  </si>
  <si>
    <t>173434</t>
  </si>
  <si>
    <t>252973</t>
  </si>
  <si>
    <t>201238</t>
  </si>
  <si>
    <t>242290</t>
  </si>
  <si>
    <t>198253</t>
  </si>
  <si>
    <t>159856</t>
  </si>
  <si>
    <t>162080</t>
  </si>
  <si>
    <t>011877</t>
  </si>
  <si>
    <t>011885</t>
  </si>
  <si>
    <t>191863</t>
  </si>
  <si>
    <t>194224</t>
  </si>
  <si>
    <t>127818</t>
  </si>
  <si>
    <t>276012</t>
  </si>
  <si>
    <t>192315</t>
  </si>
  <si>
    <t>140637</t>
  </si>
  <si>
    <t>120373</t>
  </si>
  <si>
    <t>14061</t>
  </si>
  <si>
    <t>195786</t>
  </si>
  <si>
    <t>226100</t>
  </si>
  <si>
    <t>233961</t>
  </si>
  <si>
    <t>142434</t>
  </si>
  <si>
    <t>142269</t>
  </si>
  <si>
    <t>12803</t>
  </si>
  <si>
    <t>03212</t>
  </si>
  <si>
    <t>08717</t>
  </si>
  <si>
    <t>190124</t>
  </si>
  <si>
    <t>13668</t>
  </si>
  <si>
    <t>13664</t>
  </si>
  <si>
    <t>066093</t>
  </si>
  <si>
    <t>12360</t>
  </si>
  <si>
    <t>RRC ID</t>
  </si>
  <si>
    <t>RRC ID Number</t>
  </si>
  <si>
    <t>Well Number</t>
  </si>
  <si>
    <t>Last Month Gas Prod</t>
  </si>
  <si>
    <t xml:space="preserve"> Last Month Oil Production</t>
  </si>
  <si>
    <t>Last Month Closing Stock</t>
  </si>
  <si>
    <t>No activity?</t>
  </si>
  <si>
    <t>Oil Production for Reporting Month</t>
  </si>
  <si>
    <t>Opening Oil Stock</t>
  </si>
  <si>
    <t>Closing Oil Stock</t>
  </si>
  <si>
    <t>Sales/Dispostion</t>
  </si>
  <si>
    <t>Oil Production</t>
  </si>
  <si>
    <t>Report Month</t>
  </si>
  <si>
    <t>Row Labels</t>
  </si>
  <si>
    <t>Grand Total</t>
  </si>
  <si>
    <t>02</t>
  </si>
  <si>
    <t>03</t>
  </si>
  <si>
    <t>04</t>
  </si>
  <si>
    <t>Gas Production for Reporting Month</t>
  </si>
  <si>
    <t>Pressure Base</t>
  </si>
  <si>
    <t>Lease Use (MCF)</t>
  </si>
  <si>
    <t>Gas Sales Statement Volume (MCF)</t>
  </si>
  <si>
    <t>Formation Production (MCF) @ 14.65 psi</t>
  </si>
  <si>
    <t>Total</t>
  </si>
  <si>
    <t>Conv Factor 14.73 psi to 14.65 psi</t>
  </si>
  <si>
    <t>MAGNUM PRODUCING, LP</t>
  </si>
  <si>
    <t>MAGNUM ENGINEERING COMPANY</t>
  </si>
  <si>
    <t>MAY, 2019</t>
  </si>
  <si>
    <t>500 N. SHORELINE,  SUITE 322</t>
  </si>
  <si>
    <t>CORPUS CHRISTI, TEXAS 78401</t>
  </si>
  <si>
    <t xml:space="preserve"> </t>
  </si>
  <si>
    <t>Unit</t>
  </si>
  <si>
    <t>Compressor and/or Pumping Unit</t>
  </si>
  <si>
    <t>In Use</t>
  </si>
  <si>
    <t>Capacity</t>
  </si>
  <si>
    <t>5/19</t>
  </si>
  <si>
    <t>Used</t>
  </si>
  <si>
    <t>Well</t>
  </si>
  <si>
    <t>Suction</t>
  </si>
  <si>
    <t>Discharge</t>
  </si>
  <si>
    <t>Fuel Gas</t>
  </si>
  <si>
    <t>Compress</t>
  </si>
  <si>
    <t>Type</t>
  </si>
  <si>
    <t>Description</t>
  </si>
  <si>
    <t>YES/ NO</t>
  </si>
  <si>
    <t>Mcfd</t>
  </si>
  <si>
    <t>HP</t>
  </si>
  <si>
    <t>Percent</t>
  </si>
  <si>
    <t>Pressure</t>
  </si>
  <si>
    <t>Days On</t>
  </si>
  <si>
    <t>Month</t>
  </si>
  <si>
    <t>Algea GU 3</t>
  </si>
  <si>
    <t>CO</t>
  </si>
  <si>
    <t>Gemini MPC Wauk VRG 330, 2 stage, 65 hp</t>
  </si>
  <si>
    <t>NO</t>
  </si>
  <si>
    <t>Anderson #1-T</t>
  </si>
  <si>
    <t>Gemini MPC Wauk VRG 330, 2 stage, 40 hp</t>
  </si>
  <si>
    <t>YES</t>
  </si>
  <si>
    <t>PU</t>
  </si>
  <si>
    <t>Arrow A-54 Engine</t>
  </si>
  <si>
    <t>NS</t>
  </si>
  <si>
    <t>Alexander A #1</t>
  </si>
  <si>
    <t>Ariel JGQ-2-3 with Cat G-3306NA Engine, 3 Stage</t>
  </si>
  <si>
    <t>Alexander A #2</t>
  </si>
  <si>
    <t>Alexander A #3</t>
  </si>
  <si>
    <t>Ariel JGP-2-3 with Cat G-3304NA Engine, 3 Stage</t>
  </si>
  <si>
    <t>Ba. Foundation #2</t>
  </si>
  <si>
    <t>Gemini MOC-2-2 with Gemini Engine, 2 stage</t>
  </si>
  <si>
    <t>BSM #2-T</t>
  </si>
  <si>
    <t>Ariel JGQ-2-3 with Cat G-3306TA Engine, 3 Stage</t>
  </si>
  <si>
    <t>BSM #2-C</t>
  </si>
  <si>
    <t>BSM #3</t>
  </si>
  <si>
    <t>BSM #4</t>
  </si>
  <si>
    <t>Bradford #1</t>
  </si>
  <si>
    <t>Beyer 1</t>
  </si>
  <si>
    <t>Arrow C-96 Engine</t>
  </si>
  <si>
    <t>BMB Investments #1</t>
  </si>
  <si>
    <t>Bull Redfish Unit #1</t>
  </si>
  <si>
    <t>Chicolete Creek 1</t>
  </si>
  <si>
    <t>Childs 14</t>
  </si>
  <si>
    <t>Ariel JGQ-2-3 Cat G-3306NA, 3 stage, 145 HP</t>
  </si>
  <si>
    <t>MG</t>
  </si>
  <si>
    <t>Collins-Bevins 2</t>
  </si>
  <si>
    <t>East Hamel GU 4-3</t>
  </si>
  <si>
    <t>Hoffman #2</t>
  </si>
  <si>
    <t>Ariel JGP-1-2 with Cat G-3304NA Engine, 2 Stage</t>
  </si>
  <si>
    <t>Hoffman #3</t>
  </si>
  <si>
    <t>Hoffman #5</t>
  </si>
  <si>
    <t>Hillboldt 1</t>
  </si>
  <si>
    <t>Hillboldt 2</t>
  </si>
  <si>
    <t>Hillboldt 6</t>
  </si>
  <si>
    <t>Hintz Estate 1</t>
  </si>
  <si>
    <t>Hintz Estate A 1</t>
  </si>
  <si>
    <t>Hintz Estate A 3</t>
  </si>
  <si>
    <t xml:space="preserve">Johnson 1 </t>
  </si>
  <si>
    <t xml:space="preserve">Johnson  D 1 </t>
  </si>
  <si>
    <t xml:space="preserve">Johnson E 1 </t>
  </si>
  <si>
    <t xml:space="preserve">Johnson A-1 </t>
  </si>
  <si>
    <t>Kaufer B-1</t>
  </si>
  <si>
    <t>Kaufer B-2 U</t>
  </si>
  <si>
    <t>Kaufer B-2 L</t>
  </si>
  <si>
    <t>Keystone Mills 3W</t>
  </si>
  <si>
    <t>Landcaster #5</t>
  </si>
  <si>
    <t>Lieberman 1</t>
  </si>
  <si>
    <t>Martinez Trust #1</t>
  </si>
  <si>
    <t>Gemini MPC-2 Wauk VRG 220, 2 stage, 40 hp</t>
  </si>
  <si>
    <t>May Field Unit 24</t>
  </si>
  <si>
    <t>McCann, Ola 1L</t>
  </si>
  <si>
    <t xml:space="preserve">McCann, Ola 2-A </t>
  </si>
  <si>
    <t>McCann, Ola  A-1</t>
  </si>
  <si>
    <t>Ajax 25 HP Engine</t>
  </si>
  <si>
    <t>McIntrye #1</t>
  </si>
  <si>
    <t>Gemini M-302 with Cat 3304NA Engine, 3 stage</t>
  </si>
  <si>
    <t>Waukesha VRG 265 Engine</t>
  </si>
  <si>
    <t>Mikeska, J 1</t>
  </si>
  <si>
    <t>Medoza B-1</t>
  </si>
  <si>
    <t>Menning #1</t>
  </si>
  <si>
    <t>Miller 1</t>
  </si>
  <si>
    <t>Gas Engine uses propane</t>
  </si>
  <si>
    <t>Miller West #1</t>
  </si>
  <si>
    <t>Gemmini 22 Hp</t>
  </si>
  <si>
    <t>Nelson #4</t>
  </si>
  <si>
    <t>Ajax 40 HP Engine</t>
  </si>
  <si>
    <t>Plow Realty 1</t>
  </si>
  <si>
    <t>Poole B 2</t>
  </si>
  <si>
    <t>Gemini MPD Wauk VRG 330, 2 stage, 65 hp</t>
  </si>
  <si>
    <t>Priesmeyer 1</t>
  </si>
  <si>
    <t>Roberts Mueller #32</t>
  </si>
  <si>
    <t>Robeson 1-T</t>
  </si>
  <si>
    <t>Ariel JGQ-2-3 Cat G-3306NA, 2 stage, 145 HP</t>
  </si>
  <si>
    <t>Robeson 1-C</t>
  </si>
  <si>
    <t>Schaefer 1, 2, 4</t>
  </si>
  <si>
    <t>Ariel JG-4 with Cat G-379 Engine, 3 Stage</t>
  </si>
  <si>
    <t>SM GU 10-5</t>
  </si>
  <si>
    <t>Ariel JGP-2-3 with Cat G-3304NA Engine, 2 Stage</t>
  </si>
  <si>
    <t>SM GU 6-23</t>
  </si>
  <si>
    <t>State Tract 750 A</t>
  </si>
  <si>
    <t>Stewart 6</t>
  </si>
  <si>
    <t>Arrow 106 Engine</t>
  </si>
  <si>
    <t>Sp. Foundation #1</t>
  </si>
  <si>
    <t>Surovik 1</t>
  </si>
  <si>
    <t>Tipton #1</t>
  </si>
  <si>
    <t>Zahradnick 1</t>
  </si>
  <si>
    <t>OIL</t>
  </si>
  <si>
    <t>GAS</t>
  </si>
  <si>
    <t>LEASE USE</t>
  </si>
  <si>
    <t>ANDERSON 1C</t>
  </si>
  <si>
    <t>BA JOHNSON A-1</t>
  </si>
  <si>
    <t>BA JOHNSON D-1</t>
  </si>
  <si>
    <t>BA JOHNSON E-1</t>
  </si>
  <si>
    <t>BAPTIST FOUNDATION 2</t>
  </si>
  <si>
    <t>BLACK STONE 2C</t>
  </si>
  <si>
    <t>BLACK STONE 2T</t>
  </si>
  <si>
    <t>BLACK STONE 3C</t>
  </si>
  <si>
    <t>BLACK STONE 4</t>
  </si>
  <si>
    <t>BRADFORD 1</t>
  </si>
  <si>
    <t>CHICOLETTE CREEK</t>
  </si>
  <si>
    <t>CHILDS 14</t>
  </si>
  <si>
    <t>COLLIN BEVAN</t>
  </si>
  <si>
    <t>EAST HAMEL 4-3</t>
  </si>
  <si>
    <t>FRANK SUROVIK</t>
  </si>
  <si>
    <t>HARRISON 2</t>
  </si>
  <si>
    <t>HILLBOLDT 1</t>
  </si>
  <si>
    <t>HILLBOLDT 2</t>
  </si>
  <si>
    <t>HILLBOLDT 6</t>
  </si>
  <si>
    <t>HINTZ 1</t>
  </si>
  <si>
    <t>HINTZ A-1</t>
  </si>
  <si>
    <t>HINTZ A-3</t>
  </si>
  <si>
    <t>HOFFMAN 2</t>
  </si>
  <si>
    <t>HOFFMAN 3</t>
  </si>
  <si>
    <t>HOFFMAN 5</t>
  </si>
  <si>
    <t>JERRY MIKESKA 1</t>
  </si>
  <si>
    <t>KAUFER 1</t>
  </si>
  <si>
    <t>KAUFER B-2L</t>
  </si>
  <si>
    <t>KAUFER B-2U</t>
  </si>
  <si>
    <t>KEYSTONE MILLS 3W</t>
  </si>
  <si>
    <t>KOTARA 2L</t>
  </si>
  <si>
    <t>KOTARA 2U</t>
  </si>
  <si>
    <t>LANCASTER 5</t>
  </si>
  <si>
    <t>MAYFIELD 24L</t>
  </si>
  <si>
    <t>MCLEAN #4</t>
  </si>
  <si>
    <t>MENNING #1</t>
  </si>
  <si>
    <t>POOLE B-2</t>
  </si>
  <si>
    <t>PRIESMEYER 1</t>
  </si>
  <si>
    <t>ROBESON 1C</t>
  </si>
  <si>
    <t>ROBESON 1T</t>
  </si>
  <si>
    <t>SMGU 10-5</t>
  </si>
  <si>
    <t>SMGU 6-23</t>
  </si>
  <si>
    <t>SPIES 4</t>
  </si>
  <si>
    <t>ZAHRADNICK #1</t>
  </si>
  <si>
    <t>Hours Operated</t>
  </si>
  <si>
    <t>Compressor Fuel Rate MCFD</t>
  </si>
  <si>
    <t>MCLEAN UNIT 4</t>
  </si>
  <si>
    <t>ANGERSTEIN</t>
  </si>
  <si>
    <t>ARKANSAS</t>
  </si>
  <si>
    <t>ARTIE NIPPER</t>
  </si>
  <si>
    <t>LOUISIANA</t>
  </si>
  <si>
    <t>BP AMERICA</t>
  </si>
  <si>
    <t>BURDITT</t>
  </si>
  <si>
    <t>CLAYTON FRANKS</t>
  </si>
  <si>
    <t>GEARY</t>
  </si>
  <si>
    <t>HANNAH NASH</t>
  </si>
  <si>
    <t>JS KEAN</t>
  </si>
  <si>
    <t>98955B</t>
  </si>
  <si>
    <t>MCINTYRE #1</t>
  </si>
  <si>
    <t>OLA MCCANN 1L</t>
  </si>
  <si>
    <t>OLA MCCANN 2A</t>
  </si>
  <si>
    <t>PLOW REALTY</t>
  </si>
  <si>
    <t xml:space="preserve">RANCHO CULLEN </t>
  </si>
  <si>
    <t>99026I</t>
  </si>
  <si>
    <t>ROBERTS MUELLER</t>
  </si>
  <si>
    <t>ROYAL #1</t>
  </si>
  <si>
    <t xml:space="preserve">SCHAEFFER </t>
  </si>
  <si>
    <t>99109C</t>
  </si>
  <si>
    <t>99109D</t>
  </si>
  <si>
    <t>STEWART 6</t>
  </si>
  <si>
    <t>TICONDEROGA A-1</t>
  </si>
  <si>
    <t>TICONDEROGA B-1</t>
  </si>
  <si>
    <t>TICONDEROGA D-1</t>
  </si>
  <si>
    <t>WHITEHEAD 1-19</t>
  </si>
  <si>
    <t>WHITEHEAD 3-19</t>
  </si>
  <si>
    <t>Wolfpak #</t>
  </si>
  <si>
    <t>Well Name</t>
  </si>
  <si>
    <t>Similarity</t>
  </si>
  <si>
    <t>PETTUS HEIRS #1 L.T.</t>
  </si>
  <si>
    <t>2.072 1.1363</t>
  </si>
  <si>
    <t>SPIES GAS UNIT</t>
  </si>
  <si>
    <t>120 0.0000</t>
  </si>
  <si>
    <t>SPIES #4</t>
  </si>
  <si>
    <t>247 0.0000</t>
  </si>
  <si>
    <t>SCARBOROUGH #1</t>
  </si>
  <si>
    <t>84 0.0000</t>
  </si>
  <si>
    <t>0 0.0000</t>
  </si>
  <si>
    <t>366 1.1250</t>
  </si>
  <si>
    <t>3.262 1.1560</t>
  </si>
  <si>
    <t>BA JOHNSON CHECK METER</t>
  </si>
  <si>
    <t>2.749 1.1160</t>
  </si>
  <si>
    <t>RAMSEY FIELD CHECK METER</t>
  </si>
  <si>
    <t>5.318 1.0870</t>
  </si>
  <si>
    <t>J. MIKESKA #1</t>
  </si>
  <si>
    <t>5.965 1.1730</t>
  </si>
  <si>
    <t>FRANK SUROVICK #1</t>
  </si>
  <si>
    <t>11 0.0000</t>
  </si>
  <si>
    <t>NELSONVILLE COMPRESSOR OUTLET</t>
  </si>
  <si>
    <t>3.508 1.1600</t>
  </si>
  <si>
    <t>NELSONVILLE COMPRESSOR INLET</t>
  </si>
  <si>
    <t>4.376 1.1600</t>
  </si>
  <si>
    <t>NELSONVILLE CHECK METER</t>
  </si>
  <si>
    <t>3.124 1.1600</t>
  </si>
  <si>
    <t>NELSONVILLE LP CHECK METER</t>
  </si>
  <si>
    <t>3.750 1.1600</t>
  </si>
  <si>
    <t>KEYSTONE MILLS #3W</t>
  </si>
  <si>
    <t>9,757 0.0000</t>
  </si>
  <si>
    <t>ANGERSTEI N #1 TO SHAEFER LEASE</t>
  </si>
  <si>
    <t>62 0.9850</t>
  </si>
  <si>
    <t>SCHAEFER MAKEUP FROM CROSSTEX</t>
  </si>
  <si>
    <r>
      <t>1.</t>
    </r>
    <r>
      <rPr>
        <sz val="11"/>
        <color indexed="23"/>
        <rFont val="Courier New"/>
        <family val="1"/>
        <charset val="204"/>
      </rPr>
      <t>356 1.0910</t>
    </r>
  </si>
  <si>
    <t>OLA MCCANN #lL</t>
  </si>
  <si>
    <t>6.171 0.0000</t>
  </si>
  <si>
    <t>508 .0</t>
  </si>
  <si>
    <t>OLA MCCANN #2-A</t>
  </si>
  <si>
    <t>3,550 0.0000</t>
  </si>
  <si>
    <t>TRIPLE A FUEL</t>
  </si>
  <si>
    <t>192 0.0000</t>
  </si>
  <si>
    <r>
      <t xml:space="preserve">PRIESMEYER #1 </t>
    </r>
    <r>
      <rPr>
        <sz val="13"/>
        <color indexed="23"/>
        <rFont val="Courier New"/>
        <family val="1"/>
        <charset val="204"/>
      </rPr>
      <t xml:space="preserve">&amp; </t>
    </r>
    <r>
      <rPr>
        <sz val="11"/>
        <color indexed="23"/>
        <rFont val="Courier New"/>
        <family val="1"/>
        <charset val="204"/>
      </rPr>
      <t>#2 COMINGLED</t>
    </r>
  </si>
  <si>
    <t>1.841 1.0950</t>
  </si>
  <si>
    <t>PRIESMEYER - HERDER CHECK METER</t>
  </si>
  <si>
    <t>1.177 1.0860</t>
  </si>
  <si>
    <t>POOLE #B-2</t>
  </si>
  <si>
    <t>1.900 1.1090</t>
  </si>
  <si>
    <t>1.236 1.0900</t>
  </si>
  <si>
    <t>CHICOLETE CREEK #1</t>
  </si>
  <si>
    <t>4.445 1.0040</t>
  </si>
  <si>
    <t>CHICOLETE CREEK CHECK METER</t>
  </si>
  <si>
    <t>6.389 0.0000</t>
  </si>
  <si>
    <t>65.334 1.0680</t>
  </si>
  <si>
    <t>BMB INVESTMENT #1</t>
  </si>
  <si>
    <t>0 1.1310</t>
  </si>
  <si>
    <t>BMB INVESTMENT CHECK METER</t>
  </si>
  <si>
    <t>BRADFORD #1</t>
  </si>
  <si>
    <t>714 1.1033</t>
  </si>
  <si>
    <t>- - - - - - - - -- -</t>
  </si>
  <si>
    <t>- - - - - - - - - - -</t>
  </si>
  <si>
    <t>TOTAL FOR THE MONTH</t>
  </si>
  <si>
    <t>STATION</t>
  </si>
  <si>
    <t>MCF</t>
  </si>
  <si>
    <t>BTU</t>
  </si>
  <si>
    <t>MMBTU</t>
  </si>
  <si>
    <t>MCF/D</t>
  </si>
  <si>
    <t>MMBTU/D</t>
  </si>
  <si>
    <t>PSIG</t>
  </si>
  <si>
    <t>GRAVITY</t>
  </si>
  <si>
    <t>HOURS</t>
  </si>
  <si>
    <t>STATION NAME</t>
  </si>
  <si>
    <t>Column1</t>
  </si>
  <si>
    <t>VOID COLUMNS - ONLY NEED DATA FROM HOURS</t>
  </si>
  <si>
    <t>PRIESMEYER #1 &amp; #2 COMINGLED</t>
  </si>
  <si>
    <t>1.356 1.0910</t>
  </si>
  <si>
    <t>Sum of Lease Use (MCF)</t>
  </si>
  <si>
    <t>FilterList</t>
  </si>
  <si>
    <t>*copy values here to filter other sheets by same wolfpak number</t>
  </si>
  <si>
    <t>Sum of Formation Production (MCF) @ 14.65 psi</t>
  </si>
  <si>
    <t>Sum of Last Month Gas Prod</t>
  </si>
  <si>
    <t>Gas Comments</t>
  </si>
  <si>
    <t>Oil Comments</t>
  </si>
  <si>
    <t>Prod Calc vs Gauge Sheet</t>
  </si>
  <si>
    <t>closing stocks that do not match gauge sheet will have the keyword "force" in the comments.  Stocks may have been forced due to previous errors in inputting closing stock for various reasons (adding water tank, typos, taking the wrong day as the closing stock, etc)</t>
  </si>
  <si>
    <t>521516</t>
  </si>
  <si>
    <t>8</t>
  </si>
  <si>
    <t>9</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</si>
  <si>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</si>
  <si>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</si>
  <si>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</si>
  <si>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</si>
  <si>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</si>
  <si>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</si>
  <si>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</si>
  <si>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</si>
  <si>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</si>
  <si>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</si>
  <si>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</si>
  <si>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</si>
  <si>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</si>
  <si>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</si>
  <si>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</si>
  <si>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</si>
  <si>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</si>
  <si>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</si>
  <si>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</si>
  <si>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</si>
  <si>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</si>
  <si>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</si>
  <si>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</si>
  <si>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</si>
  <si>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</si>
  <si>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</si>
  <si>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</si>
  <si>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</si>
  <si>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</si>
  <si>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</si>
  <si>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</si>
  <si>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</si>
  <si>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</si>
  <si>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</si>
  <si>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</si>
  <si>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</si>
  <si>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</si>
  <si>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</si>
  <si>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</si>
  <si>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</si>
  <si>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</si>
  <si>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</si>
  <si>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</si>
  <si>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</si>
  <si>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</si>
  <si>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</si>
  <si>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</si>
  <si>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</si>
  <si>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</si>
  <si>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</si>
  <si>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</si>
  <si>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</si>
  <si>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</si>
  <si>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</si>
  <si>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</si>
  <si>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</si>
  <si>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</si>
  <si>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</si>
  <si>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</si>
  <si>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</si>
  <si>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</si>
  <si>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</si>
  <si>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</si>
  <si>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</si>
  <si>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</si>
  <si>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</si>
  <si>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</si>
  <si>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</si>
  <si>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</si>
  <si>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</si>
  <si>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</si>
  <si>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</si>
  <si>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</si>
  <si>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</si>
  <si>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</si>
  <si>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</si>
  <si>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</si>
  <si>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</si>
  <si>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</si>
  <si>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</si>
  <si>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</si>
  <si>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</si>
  <si>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</si>
  <si>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</si>
  <si>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</si>
  <si>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</si>
  <si>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</si>
  <si>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</si>
  <si>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</si>
  <si>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</si>
  <si>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</si>
  <si>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</si>
  <si>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</si>
  <si>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</si>
  <si>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</si>
  <si>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</si>
  <si>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</si>
  <si>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</si>
  <si>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</si>
  <si>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</si>
  <si>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</si>
  <si>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</si>
  <si>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</si>
  <si>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</si>
  <si>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</si>
  <si>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</si>
  <si>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</si>
  <si>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</si>
  <si>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</si>
  <si>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</si>
  <si>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</si>
  <si>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</si>
  <si>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</si>
  <si>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</si>
  <si>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</si>
  <si>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</si>
  <si>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</si>
  <si>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</si>
  <si>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</si>
  <si>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</si>
  <si>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</si>
  <si>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</si>
  <si>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</si>
  <si>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</si>
  <si>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</si>
  <si>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</si>
  <si>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</si>
  <si>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</si>
  <si>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</si>
  <si>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</si>
  <si>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</si>
  <si>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</si>
  <si>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</si>
  <si>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</si>
  <si>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</si>
  <si>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</si>
  <si>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</si>
  <si>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</si>
  <si>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</si>
  <si>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</si>
  <si>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</si>
  <si>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</si>
  <si>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</si>
  <si>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</si>
  <si>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</si>
  <si>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</si>
  <si>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</si>
  <si>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</si>
  <si>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</si>
  <si>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</si>
  <si>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</si>
  <si>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</si>
  <si>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</si>
  <si>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</si>
  <si>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</si>
  <si>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</si>
  <si>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</si>
  <si>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</si>
  <si>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</si>
  <si>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</si>
  <si>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</si>
  <si>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</si>
  <si>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</si>
  <si>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</si>
  <si>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</si>
  <si>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</si>
  <si>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</si>
  <si>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</si>
  <si>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</si>
  <si>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</si>
  <si>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</si>
  <si>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</si>
  <si>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</si>
  <si>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</si>
  <si>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</si>
  <si>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</si>
  <si>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</si>
  <si>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</si>
  <si>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
  </si>
  <si>
    <t>3C</t>
  </si>
  <si>
    <t>4C</t>
  </si>
  <si>
    <t>2T</t>
  </si>
  <si>
    <t>name</t>
  </si>
  <si>
    <t>wolf</t>
  </si>
  <si>
    <t>well</t>
  </si>
  <si>
    <t>Wolfpak Number</t>
  </si>
  <si>
    <t>inactive</t>
  </si>
  <si>
    <t>Magnum Producing Well Info and Ids (hard coded)</t>
  </si>
  <si>
    <t>Previous Month Activity (looking up values from export)</t>
  </si>
  <si>
    <t>MILLER WEST #1</t>
  </si>
  <si>
    <t>NELSON #4</t>
  </si>
  <si>
    <t>NELSON 8</t>
  </si>
  <si>
    <t>STATE TRACT 750A</t>
  </si>
  <si>
    <t>VIEMAN</t>
  </si>
  <si>
    <t>Big Hill</t>
  </si>
  <si>
    <t>McLean Unit 4</t>
  </si>
  <si>
    <t>*in september he goes to 126.1 again - is this a mistake? Call david *need to carry 127 bbl stock to next month even though september gauge sheet starts off with 126.1.  called david - still hasn't resovled it.</t>
  </si>
  <si>
    <t>LU PER DAY</t>
  </si>
  <si>
    <t>DAYS ON</t>
  </si>
  <si>
    <t>PU PER DAY</t>
  </si>
  <si>
    <t>PU ON</t>
  </si>
  <si>
    <t>Filter</t>
  </si>
  <si>
    <t>Rox Wolf#</t>
  </si>
  <si>
    <t>Magnum Wolfpak #</t>
  </si>
  <si>
    <t>ravi allocated</t>
  </si>
  <si>
    <t>MCLEAN #3</t>
  </si>
  <si>
    <t>ALEXANDER #A1</t>
  </si>
  <si>
    <t>ALEXANDER #A2</t>
  </si>
  <si>
    <t>ALEXANDER #A3</t>
  </si>
  <si>
    <t>FITZHUGH #2</t>
  </si>
  <si>
    <t>KRUEGER, DR #1</t>
  </si>
  <si>
    <t>MARTINEZ CHILDREN TRUST</t>
  </si>
  <si>
    <t>MENDOZA #B1</t>
  </si>
  <si>
    <t>MILLER, CA</t>
  </si>
  <si>
    <t>STATE TRACT 44 #2</t>
  </si>
  <si>
    <t>WHITEHEAD 2-19</t>
  </si>
  <si>
    <t>state</t>
  </si>
  <si>
    <t>AR</t>
  </si>
  <si>
    <t>LA</t>
  </si>
  <si>
    <t>2</t>
  </si>
  <si>
    <t>287522</t>
  </si>
  <si>
    <t>Ocober 2019: had to change rrc id because this well became a gas well.  Old rrc oil id was 23217</t>
  </si>
  <si>
    <t>September: force stock to make prod 0</t>
  </si>
  <si>
    <t xml:space="preserve">September: Force stock to make gauge sheet 0.  October 2019: realized this well is mcintyre #8 and not mcintyre #1 - file corrections for this rrc id as it has not produced. </t>
  </si>
  <si>
    <t>27533</t>
  </si>
  <si>
    <t>October 2019: new entry - was missing on my spreadsheet before.  Manually submitted corrections/older reports for June - September</t>
  </si>
  <si>
    <t>October 2019: stock is at 55 but sold more than stock had… have to resolve - talked to Brian at miller consulting - he said to go back to a previous month and increase the production to account for the load picked up - he said it is common for people to correct pr reports and shouldn't alarm anything.  it is also common for oil to be moved into the main tank from a water tank and this could happen.  talked to hunter, our gauger, and he said there were some transfers of oil from water tanks - he said that the closing stock is 28 bbls but is just water</t>
  </si>
  <si>
    <t>Y</t>
  </si>
  <si>
    <t xml:space="preserve">    </t>
  </si>
  <si>
    <t>Wolf</t>
  </si>
  <si>
    <t>Lease</t>
  </si>
  <si>
    <t>*kotara aldridge is split on Roxanne's so be sure to manually enter in volume for Kotara on PR if pulling values from her sheet | also kaufer 2L and 2U</t>
  </si>
  <si>
    <t>November 2019: Hintz CM sheet has production for this well - July - Oct i missed reporting oil production - reported all of it in November - if there is an allowable issue in the future this would be why and is why -177 is difference</t>
  </si>
  <si>
    <t>October comment: bottom of tanks were pulled to reduce our stock - rrc asks to go to previous months and reduce production to account for this - there is no code to claim water being pulled.  I will force stock to match guage sheet prod of 0, and then manipulate production whenever we have a load pickedup to normalize stock.  November 2019:  laura says this well is to be plugged</t>
  </si>
  <si>
    <t>November 2019: cannot find why mismatch occurs. Stocks are correct</t>
  </si>
  <si>
    <t>*If no, then the gauge sheet will have tabs with well names to find</t>
  </si>
  <si>
    <t>Yes if workbook contains mutliple years and year must be passed to select correct worksheet</t>
  </si>
  <si>
    <t>(Months with 31 days) *Months with 30 days will be shifted up 1 cell</t>
  </si>
  <si>
    <t>IF N, then this cell will always have the closing stock listed correctly for months with 30 dayas</t>
  </si>
  <si>
    <t>*Range is for 31 day months Range (start, end)</t>
  </si>
  <si>
    <t>*Not Available denotes gauge sheet is a pdf format or that a method of pulling data is not achievable</t>
  </si>
  <si>
    <t>Manual Extraction Gauge Sheet Prod</t>
  </si>
  <si>
    <t>Manual Extraction Closing Stock</t>
  </si>
  <si>
    <t>Number of Oil Tanks</t>
  </si>
  <si>
    <t>Monthly Tabs</t>
  </si>
  <si>
    <t>Multiple Years</t>
  </si>
  <si>
    <t>Oil Stock Cell</t>
  </si>
  <si>
    <t>Shift Up Required</t>
  </si>
  <si>
    <t>Gauge Sheet Oil Production</t>
  </si>
  <si>
    <t>Filename</t>
  </si>
  <si>
    <t>Comments</t>
  </si>
  <si>
    <t>Not Available</t>
  </si>
  <si>
    <t>Do not produce oil</t>
  </si>
  <si>
    <t>N</t>
  </si>
  <si>
    <t>N27</t>
  </si>
  <si>
    <t>O28,O57</t>
  </si>
  <si>
    <t>Closing stock is on next month's tab - would have to write logic to get correct sheet</t>
  </si>
  <si>
    <t>Manually will have to pull data - This gauge sheet has running months on one sheet - too hard to pass values in</t>
  </si>
  <si>
    <t>D57</t>
  </si>
  <si>
    <t>L27,L57</t>
  </si>
  <si>
    <t>Baptist Foundation 2.xlsx</t>
  </si>
  <si>
    <t>Gauge sheet stock summation is not correct because it includes water tank.  However, since there is only 1 tank, we can pull data from 1 cell</t>
  </si>
  <si>
    <t>can't find in november</t>
  </si>
  <si>
    <t>D39</t>
  </si>
  <si>
    <t>N9,N39</t>
  </si>
  <si>
    <t>Black stone Minerals # 2-T...xlsx</t>
  </si>
  <si>
    <t>Only has 1 tank so we can assign Y to Correct Oil Stock Summation</t>
  </si>
  <si>
    <t>D39,G39,J39</t>
  </si>
  <si>
    <t>Black stone Minerals # 3-C..xlsx</t>
  </si>
  <si>
    <t>D39,G39</t>
  </si>
  <si>
    <t>Black stone Minerals # 4-C...xlsx</t>
  </si>
  <si>
    <t>BMB Investment #1.xlsx</t>
  </si>
  <si>
    <t>On pettus sheet but does not produce oil</t>
  </si>
  <si>
    <t>AH34</t>
  </si>
  <si>
    <t>O8,O39</t>
  </si>
  <si>
    <t>BURDITT.xlsx</t>
  </si>
  <si>
    <t>Chicolet Creek #1.xlsx</t>
  </si>
  <si>
    <t>doesn't produce oil</t>
  </si>
  <si>
    <t>D52</t>
  </si>
  <si>
    <t>L22,L52</t>
  </si>
  <si>
    <t>May Field.xlsx</t>
  </si>
  <si>
    <t>AB26</t>
  </si>
  <si>
    <t>East Hamel.xlsx</t>
  </si>
  <si>
    <t>Just has one sheet</t>
  </si>
  <si>
    <t>K57</t>
  </si>
  <si>
    <t>Harrison 2.xlsx</t>
  </si>
  <si>
    <t>pdf gauge sheet</t>
  </si>
  <si>
    <t>wells do not produce oil</t>
  </si>
  <si>
    <t>well has 2 zones - have to look at each sheet manually</t>
  </si>
  <si>
    <t>D57,G57</t>
  </si>
  <si>
    <t>Keystone Mills #3.xlsx</t>
  </si>
  <si>
    <t>O27,O57</t>
  </si>
  <si>
    <t>Garza, Korara Alridge, Martinez.xlsx</t>
  </si>
  <si>
    <t>multiple sheets and name is abbeviated - also shared tank battery</t>
  </si>
  <si>
    <t>Split oil tank - manually check</t>
  </si>
  <si>
    <t>gauger sometimes doesn't complete sheet</t>
  </si>
  <si>
    <t>Mclean.xlsx</t>
  </si>
  <si>
    <t>G37</t>
  </si>
  <si>
    <t>F7,F37</t>
  </si>
  <si>
    <t>not found in november - but doesn't produce oil as well</t>
  </si>
  <si>
    <t>AD26</t>
  </si>
  <si>
    <t>Menning #1 Production report.xlsx</t>
  </si>
  <si>
    <t>Nelsonville.xlsx</t>
  </si>
  <si>
    <t>AB42</t>
  </si>
  <si>
    <t>Bradford, Pettus H..xlsx</t>
  </si>
  <si>
    <t>Preismeyer, Poole, Zahradnik.xlsx</t>
  </si>
  <si>
    <t>Rancho cullen sheet.xlsx</t>
  </si>
  <si>
    <t>Robeson 1T.xlsx</t>
  </si>
  <si>
    <t>Robeson 1C.xlsx</t>
  </si>
  <si>
    <t>Well will be plugged</t>
  </si>
  <si>
    <t>Spohn Foundation.xlsx</t>
  </si>
  <si>
    <t>State Tract Unit 44 Unit #2.xlsx</t>
  </si>
  <si>
    <t>AK34</t>
  </si>
  <si>
    <t>R8,R39</t>
  </si>
  <si>
    <t>Steward #5 exists in worksheet, will have to make sure Stewart #6 is passed in</t>
  </si>
  <si>
    <t>N45</t>
  </si>
  <si>
    <t>AA15,AA45</t>
  </si>
  <si>
    <t>Vieman #4.xlsx</t>
  </si>
  <si>
    <t>Reporting Comments</t>
  </si>
  <si>
    <t>Data Map</t>
  </si>
  <si>
    <t>3T</t>
  </si>
  <si>
    <t xml:space="preserve">2C </t>
  </si>
  <si>
    <t>Black stone Minerals # 2-C 2020.xlsx</t>
  </si>
  <si>
    <t>LOUISE.xlsx</t>
  </si>
  <si>
    <t>TRIPLE A, SCARBOROUGH, DALEY, MILLER, HAMON HARVEY, ST 750A.xlsx</t>
  </si>
  <si>
    <t>Ticonderoga A-1 H 2020.xlsx</t>
  </si>
  <si>
    <t>Ticonderoga B-1 H 2020.xlsx</t>
  </si>
  <si>
    <t>Ticonderoga D-1 H 2020.xlsx</t>
  </si>
  <si>
    <t>December 2019: Mclean #3 not prod - marking as not available to avoid confusion for extraction (mclean #3 was taking mclean #4 gauge sheet vals)</t>
  </si>
  <si>
    <t>MELANCON</t>
  </si>
  <si>
    <t>December 2019: between the two tanks 1C and 1T is a 21 bbl difference - should work itself out</t>
  </si>
  <si>
    <t>Datamap/ Program comments</t>
  </si>
  <si>
    <t>December 2019: gauger didn't fill out sheet completely - had to manually enter</t>
  </si>
  <si>
    <t>November 2019: sale of second load was 12/1, so gauger showing higher oil sales than what we paid for - no error for mismatch.  December 2019: no error due to previous month disposition</t>
  </si>
  <si>
    <t>December 2019: emailed gauger to ask where the other 100 bbls went - Billy called and told me it was 100 bbl of water in the bottom - we flow the D straight to water tanks b/c of low pressure - he says he color cut it, which will give a better indication on the reports what is oil vs water in the tank (yellow paste on the gauge line that turns red when it comes into contact with water) - will file correction for ticonderoga D to account for this water pull</t>
  </si>
  <si>
    <t>January 2020: updating rrc id to 02817 - not keeping old gas rrc id of 150672</t>
  </si>
  <si>
    <t>02817</t>
  </si>
  <si>
    <t>BIG HILL ( HACKBERRY SAND)</t>
  </si>
  <si>
    <t>MCLEAN</t>
  </si>
  <si>
    <t>27617</t>
  </si>
  <si>
    <t xml:space="preserve">lease is filed under pending - rrc will have to issue a lease id.  January 2020: RRC ID issued </t>
  </si>
  <si>
    <t>D39,G39,J39,M39</t>
  </si>
  <si>
    <t>January 2020: gauger uses 4th tank which was not previously accounted for.  Will add starting 2020 as part of closing stock and count production all in one month. Will use this stock going forward</t>
  </si>
  <si>
    <t>LUCKY, WEST (FRIO 8100)</t>
  </si>
  <si>
    <t>Anderson #3.xlsx</t>
  </si>
  <si>
    <t xml:space="preserve">Going to use closing stock as 1/31 in order for program to automatically pull.  Anderson #1 I decided not to do it b/c it was an existing well, but since anderson #3 is new, I will use 31st as closing stock </t>
  </si>
  <si>
    <t>***FOR GAS: MANUALLY REPORT ON PR FROM GAUGE SHEET FLARED/VENTED GAS</t>
  </si>
  <si>
    <t>No sales pipeline - flare permit # is 38810</t>
  </si>
  <si>
    <t>ANDERSON #3</t>
  </si>
  <si>
    <t>LUCKY, WEST</t>
  </si>
  <si>
    <t>*Total will be off from roxanne b/c this includes Anderson #3's flared gas</t>
  </si>
  <si>
    <t>ANDERSON 3</t>
  </si>
  <si>
    <t>September 2019: force closing stock to match gauge sheet production, error was made in the past - will correct itself once there is sales  October 2019: force closign stock  November 2019: Force Closing stock to ensure no match gauge.  sheet production value.  December 2019: Force closing stock.  January 2020: no gauge sheet - will claim 0 prod for Jan 2020 based on last month oil</t>
  </si>
  <si>
    <t>AL44</t>
  </si>
  <si>
    <t>L14,L44</t>
  </si>
  <si>
    <t>December 2019: gauge sheet unavaialbe - had issues with gauger and had to fire him; February 2020: New gauger with new gauge sheet layout - adapted map - HOWEVER Feb 2020 was unable to be tested due to gauger not filling in information to the bottom of the sheet</t>
  </si>
  <si>
    <t>Feb 2020: 36 bbl diff is becauseoil tanks bottoms were pulled - no error</t>
  </si>
  <si>
    <t>Feb 2020: could not find gauge sheet - used march 2020 opening stock as closing stock for feb</t>
  </si>
  <si>
    <t>December 2019: Gauge sheet unavailable - gauger was fired.  Assuming same produciton as last month to keep active.  January 2020:  do not have gauge sheet - I have feb 2020 and I see it did not produce but has a closing stock of 45 bbls, so going to put 15 prod for jan 2020; Feb 2020 gauge sheet was incomplete - treid to use matrch 2020 opening stock but does not appear to be right - keeping closing stock from column AL</t>
  </si>
  <si>
    <t>December 2019: Gauge sheet unavailable - gauger was fired.  Assuming same produciton as last month to keep active.  January 2020:  do not have gauge sheet - I have feb 2020 and I see opening stock for feb 2020 was 104, so going to put 180 prod for jan 2020, starting feb 2020 things will be in line. Feb 2020: gauge sheet incomplete - looked ahead to march 2020 - there is a dispotsiton in march of 190 bbl so will balance closing stock next month</t>
  </si>
  <si>
    <t>Record was dropped in Jan 2020 - removing it from pr edi</t>
  </si>
  <si>
    <t>91</t>
  </si>
  <si>
    <t xml:space="preserve"> Comments</t>
  </si>
  <si>
    <t>Repoprt Month Removed</t>
  </si>
  <si>
    <t>Roxanne Wolfpak #'s Reported</t>
  </si>
  <si>
    <t>HOUSTON WALLACE</t>
  </si>
  <si>
    <t>Feb 2020: well showed revenue for the first time since I have been reporting - I have never seen its gauge sheet -after looking it was w-h #4 - I will file corrective report dating 5/19 to cover production for this sale - there was oil transferred from the gun barrel tank that rrc stock never accounted for - according to gauge sheet 19 bbls remain in stock after sale - will correct reports accordingly</t>
  </si>
  <si>
    <t>HOUSTON, WALLACE W-H #4</t>
  </si>
  <si>
    <t>Feb 2020: no gauge sheet - will have to correct if necessary - using last month prod</t>
  </si>
  <si>
    <t>Closing Stock (Oil)</t>
  </si>
  <si>
    <t xml:space="preserve">Feb 2020: gauger had put sale of oil picked up on 3/1/2020 on feb gauge sheet- accounting has put sale for march.  Therefore, I will carry the stock as if there were no sale, and place the sale in march pr; </t>
  </si>
  <si>
    <t xml:space="preserve">March 2020:  sale took place and bottoms were pulled - therefore gauge sheet stock is less than on rrc record - will have to file correction in the future to reduce prod from previous month or wait until another sale when well is prod.  Force stock to make prod match gauge sheet, which is 0; </t>
  </si>
  <si>
    <t>N8,NL38</t>
  </si>
  <si>
    <t>October Comment: appears keystone has had oil produced in the past but has not been reported starting 4/2019.  Stock was cleared out by luis or diana - misread the gauge sheet… will have to file corrections at some point (when load is picked up)  November 2019: Made corrections for april - october - had to manipulate closing stocks and report more prod than what was on the gauge sheet (tried to limit to 30 bbl/month mismatch); mar 2020: gauger did appear to mark daily prod column even tho stock increeased</t>
  </si>
  <si>
    <t>LUCKY, EAST (HUEBNER)</t>
  </si>
  <si>
    <t>Gas 04 No sales pipeline - flare permit # is 38810</t>
  </si>
  <si>
    <t>27736</t>
  </si>
  <si>
    <t>Gauge Sheet Prod Volume (oil)</t>
  </si>
  <si>
    <t>Gauge Sheet Prod Vol</t>
  </si>
  <si>
    <t>March 2020: sale occurred 4/1/20 - accounted for on gauge sheet but not in accounting sales - no error; April 2020: no error - evens out from march;</t>
  </si>
  <si>
    <t>November 2019 comment: appears load from october was put on november sales ticket and is why we are off 185 bbls  - no error.  December 2019:  -189 is from November's ticket - no error.  Feb 2020: no error; Mar 2020 - no error, sale from 2/29 was placed in march in accounting;  April 2020: 10 bbls of the error occur from sales purchase statement being 10 less bbls than gauger reported pulled</t>
  </si>
  <si>
    <t xml:space="preserve">August comment: opening stock doesn't match gauge sheet - need to check with july 2019 notes.  November 2019: having to force stock to match gauge sheet prod - carrying stock of over 100 bbls according to gauge sheet… will have to wait for a disposition to correct.  December 2019: Forceclosing stock to match gauge prod.  Jan 2020: force closing stock; Feb 2020 - force closing stock;  March 2020: having to force stock to higher value on gauge sheet to avoid negative production - therefore, showing less prod than actually occured; april 2020: forcing closing stock to prevent negative production - showing half the prod that of gauger; </t>
  </si>
  <si>
    <t>November 2019: Opening stock listed on gauger's sheet is off - will have to let it fix its self - explains 30 bbl diff between gauge and calculated for pr. December 2019 same 30 bbl diff as before; Jan 2020: same ~30 bbl as before; Feb 2020: no gauge sheet - will have to correct if necessary - using last month prod; March 2020 - run was taken 4/1 and is on gauger's spreadsheet but non on purchase statemetn - no error; april 2020 - -194 bbls is b/c sale was put on this month for accounting and gauger showed stock dorp last month</t>
  </si>
  <si>
    <t>Feb 2020: no gauge sheet - will have to correct if necessary - using last month prod;  Mar 2020: noticed pr reports have excess stock - will have to manipulate prod until sale;  April 2020 - sale was missing on allocation sheet - visible in wolfpak - manually entered sale</t>
  </si>
  <si>
    <t>December 2019: between the two tanks 1C and 1T is a 21 bbl difference - should work itself out; April 2020: gauger moved 110 bbs from drip tank which is why there is 110 bbl difference in production</t>
  </si>
  <si>
    <t>April</t>
  </si>
  <si>
    <t>WALLACE HOUSTON</t>
  </si>
  <si>
    <t>November 2019: Missed reporting oil for this well over previous months - making up for it this month.   March 2020: may plant tab on gauge sheet has 70 more bbls than on pr records - will have to file correction if stock is sold and theree isn't enough to cover it; April 2020: same as march comment; May 2020 - forcing stock to may plant tab's closing stock</t>
  </si>
  <si>
    <t>October 2019 comment: condensate oil was transferred to another tank - adding this transfer to gauge sheet closing stocks to match gauge sheet production.  November 2019: oil and was pulled from tanks and transferred to smgu 10-5 tank… which is barely readable on the faxed, handwritten gauge sheet... will keep stock as it used to be + the amount transfered- will manipulate in the future to resolve.  December 2019: keeping stock from previous months as described in previous comments due to transfer of oil.  January 2020:  keeping same stock adn going against gauge sheet - will have to correct once their a dispostion allocated to 6 - 23.  Feb 2020: following notes of jan 2020; following notes from before - it looks like transferred stock to other tank was sold and not allocated to this well; April 2020: forcing stock - will correct when their is a disposition; May 2020 forcing stock will correct when dispositon</t>
  </si>
  <si>
    <t xml:space="preserve">October comment: added closing stock plus oil transferred to other tank  November 2019 comment:  adding production from nelson #4 tab to the shared tank sheet stock (160+17).  December 2019:  showing 0 oil prod - gauge sheet still shows stock but can't force closing stock because the well isn't actually producing - therefore from this point on stocks will mismatch from gauge sheet.  Feb 2020: using shared tank tab closing stock + nelson 4 closing stock (102 + 25) - this will overreport actual production to rrc by 49 bbls;  Mar 2020 - transferred oil from oen tank to shared tank - reporting closing stock gauger has mentioned on shared tank tab;  April 2020: forcing stock to be less than gauge sheet - well did not produce but had a sale of 160 bbls - if well produces in the future can maniuplate month's production to make up for the 26 bbl difference;; May 2020: same as apr comment; </t>
  </si>
  <si>
    <t xml:space="preserve">December 2019: gauger moved 100 bbls from water tank that was unnacounted for all this - time - counting it as production this month - lease produced so this should be okay as long as we don't get overproduction notice.  Forcing stock to 1 bbl because #1L will go negative anything below 31 bbls.  Jan 2020: giving ola mcann 2A more production to get stock up in case their is a disposition in the future.  both ola mcann 2a and 1L stocks equal gauge sheet commingled tank tab;  April 2020:  appears stocks for ola mcann 2A and #1L were flip flopped based on allocation of disposition - there was 104 bbls transfered from a water tank to an oil tank that justifies olamcann 2A reporting production - forcing stock to have 15 bbls remaining in case there is another disposition in the future; may 2020 commignled tank shows 13 bbls of production - adding it to lower stock to prevent negative stock in the future if dispostion; </t>
  </si>
  <si>
    <t xml:space="preserve">September comment: moved 80 bbls from water tank to oil tank 9/2019 (counting it as production - called rrc how to report this - they wanted details and lease number so probably not the best route.  Feb 2020: transferred oil from water tank to oil tank - causing a 35 bbl over report from gauge sheet;  April 2020:  appears stocks for ola mcann 2A and #1L were flip flopped based on allocation of disposition - there was 104 bbls transfered from a water tank to an oil tank that justifies olamcann 2A reporting production - ola mcann 2A and 1L will have 50 bbls in excess stock from here on out from gaug sheet;  may 2020 commignled tank shows 13 bbls of production - adding 12 bbl to lower stock to prevent negative stock in the future if dispostion, adding 1 bbl to this well; </t>
  </si>
  <si>
    <t>April 2020: pulled 36 bbls of bottom's of oil tank..forcing stock to keep stock - alternative is to go back to 2019 and reduce production to account for these 36 bbls; may 2020 - same as apr comment;</t>
  </si>
  <si>
    <t>May 2020: msssed april's 2020 gauge sheet, making up for it in may by using closing stock on gauge sheet</t>
  </si>
  <si>
    <t>November 2019: Gauger drained 43 bbls of water from oil tank - this is why 45 bbl difference- no error - gauger didn't account for this in his prod column.  Feb 2020: drained water that is why there is 26 bbl difference - no error; April 2020: not worrying about 30 bbl diff because under production evens out from water being pulled from tanks;  May 2020: well shut in - we sold to another operator effective June 2006</t>
  </si>
  <si>
    <t>May 2020: well shut in - we sold to another operator effective June 2006</t>
  </si>
  <si>
    <t>Flared Gas</t>
  </si>
  <si>
    <t>May 2020 - initially thought we woud need to report the flared tank vapor gas to RRC - however, after reading Statewide rule 32 - tank vapors are exempt and do not require reporting/metering</t>
  </si>
  <si>
    <t>March 2020: sale took place 3/28 - not in accounting system - therefore will force closing stock to keep the 180 bbl sale to match gauge sheet prod.  In april I will have to force the stock;  April 2020: forcing closing stock to match gauge sheet prod - another 170 bbl sale in april was not recorded on purchase statement for accounting to input  May 2020:  noticed that sale that occured in march was not put in the allocation spreadsheet, which caused me not to report it - after checking wolfpak, it was inputted later - will file correction;</t>
  </si>
  <si>
    <t>April 2020:  bsm #2T was put in BSM #3C tank - subracted added stock in tank #1 from BSM #3 stock, and added it to BSM #2T stock;    May 2020 - filed correction for april - typo occurred when manually adding stock to bsm 2T from 3C gauge sheet;  May 2020: tanks are all shuffled - talked to Jeff - he says only 2T is prod after April - therefore to find stocks take difference in tank levels from previous levels on all 3 wells in order to determine 2T's stock</t>
  </si>
  <si>
    <t>April 2020:  bsm #2T was put in BSM #3C tank - subracted added stock in tank #1 from BSM #3 stock, and added it to BSM #2T stock; May 2020: forcing stock to match gauge sheet prod - tanks have been shuffled and only 2T is significantly prod - therefore all  differences in levels account for 2T</t>
  </si>
  <si>
    <t>May 2020: forcing stock to match gauge sheet prod - tanks have been shuffled and only 2T is significantly prod - therefore all  differences in levels account for 2T</t>
  </si>
  <si>
    <t xml:space="preserve">November 2019: pulled 30+ bbls off bottom of oil tank - have to file correction to backout production for previous month to account for this  - however, there is no easy way without reentering all PR reports from the date forward.  Therefore, I will carry the stock and reduce production reported until stock balances out again. Jan 2020: reported 1 bbl instead of 5 to try and balance stock; Feb 2020: no gauge sheet - will have to correct if necessary;  Mar 2020: manipulating prod to try and reduce stock;  april 2020: additional 190 bbls from accounting included in april not on gaugers sheet-will take accountings number for sale as usual;  May 2020: filed correction to reduce stock from april by 190 bbls to account for sale - gauger did not mark the correct closing stock in april - in may's gauge sheet- the opening stock was ~190 bbls less than april's closing stock - fixes water pull discrepancy as well; </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</si>
</sst>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quot;$&quot;#,##0.00_);\(&quot;$&quot;#,##0.00\)"/>
    <numFmt numFmtId="165" formatCode="0.0000"/>
    <numFmt numFmtId="166" formatCode="###0;###0"/>
    <numFmt numFmtId="167" formatCode="###0.000;###0.000"/>
    <numFmt numFmtId="168" formatCode="###0.0;###0.0"/>
    <numFmt numFmtId="169" formatCode="#,##0;#,##0"/>
  </numFmts>
  <fonts count="80" x14ac:knownFonts="1">
    <font>
      <sz val="10"/>
      <name val="Times New Roman"/>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0"/>
      <color indexed="12"/>
      <name val="Times New Roman"/>
      <family val="1"/>
    </font>
    <font>
      <sz val="10"/>
      <name val="Times New Roman"/>
      <family val="1"/>
    </font>
    <font>
      <b/>
      <u/>
      <sz val="10"/>
      <name val="Times New Roman"/>
      <family val="1"/>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8"/>
      <name val="Times New Roman"/>
      <family val="1"/>
    </font>
    <font>
      <sz val="11"/>
      <name val="Calibri"/>
      <family val="2"/>
      <scheme val="minor"/>
    </font>
    <font>
      <sz val="11"/>
      <name val="Calibri"/>
      <family val="2"/>
      <scheme val="minor"/>
    </font>
    <font>
      <sz val="12"/>
      <name val="Helv"/>
    </font>
    <font>
      <sz val="16"/>
      <name val="Helv"/>
    </font>
    <font>
      <b/>
      <sz val="24"/>
      <name val="Helv"/>
    </font>
    <font>
      <sz val="10"/>
      <name val="CG Times"/>
    </font>
    <font>
      <u/>
      <sz val="16"/>
      <name val="Helv"/>
    </font>
    <font>
      <sz val="8"/>
      <name val="CG Times"/>
    </font>
    <font>
      <sz val="12"/>
      <name val="CG Times"/>
    </font>
    <font>
      <sz val="12"/>
      <name val="Helvetica-Narrow"/>
      <family val="2"/>
    </font>
    <font>
      <sz val="14"/>
      <color rgb="FFFF0000"/>
      <name val="Times New Roman"/>
      <family val="1"/>
    </font>
    <font>
      <b/>
      <sz val="16"/>
      <color theme="1"/>
      <name val="Calibri"/>
      <family val="2"/>
      <scheme val="minor"/>
    </font>
    <font>
      <sz val="10"/>
      <name val="Times New Roman"/>
      <family val="1"/>
      <charset val="204"/>
    </font>
    <font>
      <sz val="11"/>
      <color indexed="23"/>
      <name val="Arial"/>
      <family val="2"/>
    </font>
    <font>
      <sz val="11"/>
      <color indexed="23"/>
      <name val="Courier New"/>
      <family val="1"/>
      <charset val="204"/>
    </font>
    <font>
      <sz val="10"/>
      <color indexed="23"/>
      <name val="Arial"/>
      <family val="1"/>
      <charset val="204"/>
    </font>
    <font>
      <sz val="13"/>
      <color indexed="23"/>
      <name val="Courier New"/>
      <family val="1"/>
      <charset val="204"/>
    </font>
    <font>
      <sz val="12"/>
      <color indexed="23"/>
      <name val="Courier New"/>
      <family val="1"/>
      <charset val="204"/>
    </font>
    <font>
      <sz val="9"/>
      <color indexed="23"/>
      <name val="Times New Roman"/>
      <family val="1"/>
      <charset val="204"/>
    </font>
    <font>
      <sz val="16"/>
      <color rgb="FFFF0000"/>
      <name val="Times New Roman"/>
      <family val="1"/>
    </font>
    <font>
      <sz val="11"/>
      <name val="Calibri"/>
      <family val="2"/>
      <scheme val="minor"/>
    </font>
    <font>
      <sz val="20"/>
      <color rgb="FFFF0000"/>
      <name val="Times New Roman"/>
      <family val="1"/>
    </font>
    <font>
      <sz val="10"/>
      <color rgb="FFFF0000"/>
      <name val="Times New Roman"/>
      <family val="1"/>
    </font>
    <font>
      <sz val="10"/>
      <color theme="1"/>
      <name val="Times New Roman"/>
      <family val="1"/>
    </font>
    <font>
      <sz val="12"/>
      <color rgb="FFFF0000"/>
      <name val="Times New Roman"/>
      <family val="1"/>
    </font>
    <font>
      <sz val="8"/>
      <name val="Times New Roman"/>
      <family val="1"/>
    </font>
    <font>
      <i/>
      <sz val="9"/>
      <name val="Times New Roman"/>
      <family val="1"/>
    </font>
    <font>
      <sz val="36"/>
      <name val="Times New Roman"/>
      <family val="1"/>
    </font>
    <font>
      <sz val="11"/>
      <color rgb="FF000000"/>
      <name val="Calibri"/>
      <family val="2"/>
    </font>
    <font>
      <b/>
      <sz val="16"/>
      <color rgb="FFFF0000"/>
      <name val="Calibri"/>
      <family val="2"/>
      <scheme val="minor"/>
    </font>
    <font>
      <sz val="11"/>
      <color rgb="FF000000"/>
      <name val="Calibri"/>
      <family val="2"/>
      <scheme val="minor"/>
    </font>
    <font>
      <b/>
      <sz val="10"/>
      <color theme="0"/>
      <name val="Times New Roman"/>
      <family val="1"/>
    </font>
    <font>
      <b/>
      <u/>
      <sz val="10"/>
      <color theme="0"/>
      <name val="Times New Roman"/>
      <family val="1"/>
    </font>
    <font>
      <b/>
      <sz val="10"/>
      <color theme="1"/>
      <name val="Times New Roman"/>
      <family val="1"/>
    </font>
    <font>
      <u/>
      <sz val="10"/>
      <color theme="11"/>
      <name val="Times New Roman"/>
      <family val="1"/>
    </font>
  </fonts>
  <fills count="46">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5" tint="0.59999389629810485"/>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theme="5" tint="0.39997558519241921"/>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1"/>
        <bgColor indexed="64"/>
      </patternFill>
    </fill>
    <fill>
      <patternFill patternType="solid">
        <fgColor rgb="FFC6E0B4"/>
        <bgColor rgb="FF000000"/>
      </patternFill>
    </fill>
    <fill>
      <patternFill patternType="solid">
        <fgColor theme="4"/>
        <bgColor theme="4"/>
      </patternFill>
    </fill>
    <fill>
      <patternFill patternType="solid">
        <fgColor rgb="FFDCE6F1"/>
        <bgColor rgb="FFDCE6F1"/>
      </patternFill>
    </fill>
  </fills>
  <borders count="41">
    <border>
      <left/>
      <right/>
      <top/>
      <bottom/>
      <diagonal/>
    </border>
    <border>
      <left style="thin">
        <color auto="1"/>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auto="1"/>
      </left>
      <right/>
      <top style="thin">
        <color auto="1"/>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top/>
      <bottom style="thin">
        <color auto="1"/>
      </bottom>
      <diagonal/>
    </border>
    <border>
      <left style="thin">
        <color auto="1"/>
      </left>
      <right style="thin">
        <color auto="1"/>
      </right>
      <top style="thin">
        <color auto="1"/>
      </top>
      <bottom style="thin">
        <color auto="1"/>
      </bottom>
      <diagonal/>
    </border>
    <border>
      <left style="thick">
        <color rgb="FFFF0000"/>
      </left>
      <right style="thick">
        <color rgb="FFFF0000"/>
      </right>
      <top style="thick">
        <color rgb="FFFF0000"/>
      </top>
      <bottom/>
      <diagonal/>
    </border>
    <border>
      <left style="thick">
        <color rgb="FFFF0000"/>
      </left>
      <right style="thick">
        <color rgb="FFFF0000"/>
      </right>
      <top/>
      <bottom/>
      <diagonal/>
    </border>
    <border>
      <left style="thick">
        <color rgb="FF00B050"/>
      </left>
      <right style="thick">
        <color rgb="FF00B050"/>
      </right>
      <top style="thick">
        <color rgb="FF00B050"/>
      </top>
      <bottom/>
      <diagonal/>
    </border>
    <border>
      <left style="thick">
        <color rgb="FF00B050"/>
      </left>
      <right style="thick">
        <color rgb="FF00B050"/>
      </right>
      <top/>
      <bottom/>
      <diagonal/>
    </border>
    <border>
      <left style="thick">
        <color rgb="FF00B050"/>
      </left>
      <right style="thick">
        <color rgb="FF00B050"/>
      </right>
      <top/>
      <bottom style="thick">
        <color rgb="FF00B050"/>
      </bottom>
      <diagonal/>
    </border>
    <border>
      <left style="thick">
        <color rgb="FFFF0000"/>
      </left>
      <right/>
      <top/>
      <bottom/>
      <diagonal/>
    </border>
    <border>
      <left style="thin">
        <color theme="4" tint="0.39997558519241921"/>
      </left>
      <right/>
      <top style="thin">
        <color theme="4" tint="0.39997558519241921"/>
      </top>
      <bottom style="thin">
        <color theme="4" tint="0.39997558519241921"/>
      </bottom>
      <diagonal/>
    </border>
    <border>
      <left style="thick">
        <color auto="1"/>
      </left>
      <right/>
      <top/>
      <bottom/>
      <diagonal/>
    </border>
    <border>
      <left/>
      <right style="thick">
        <color auto="1"/>
      </right>
      <top/>
      <bottom/>
      <diagonal/>
    </border>
    <border>
      <left/>
      <right style="thick">
        <color auto="1"/>
      </right>
      <top style="thin">
        <color auto="1"/>
      </top>
      <bottom/>
      <diagonal/>
    </border>
    <border>
      <left/>
      <right style="thick">
        <color auto="1"/>
      </right>
      <top/>
      <bottom style="thin">
        <color auto="1"/>
      </bottom>
      <diagonal/>
    </border>
    <border>
      <left style="thick">
        <color auto="1"/>
      </left>
      <right/>
      <top style="thin">
        <color auto="1"/>
      </top>
      <bottom style="thin">
        <color auto="1"/>
      </bottom>
      <diagonal/>
    </border>
    <border>
      <left style="thin">
        <color auto="1"/>
      </left>
      <right style="thin">
        <color auto="1"/>
      </right>
      <top style="thin">
        <color auto="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right style="thick">
        <color rgb="FFFF0000"/>
      </right>
      <top/>
      <bottom/>
      <diagonal/>
    </border>
    <border>
      <left/>
      <right/>
      <top style="thin">
        <color theme="4" tint="0.39997558519241921"/>
      </top>
      <bottom style="thin">
        <color theme="4" tint="0.39997558519241921"/>
      </bottom>
      <diagonal/>
    </border>
    <border>
      <left style="thin">
        <color theme="4" tint="0.39997558519241921"/>
      </left>
      <right/>
      <top style="double">
        <color theme="4"/>
      </top>
      <bottom style="thin">
        <color theme="4" tint="0.39997558519241921"/>
      </bottom>
      <diagonal/>
    </border>
    <border>
      <left/>
      <right/>
      <top style="double">
        <color theme="4"/>
      </top>
      <bottom style="thin">
        <color theme="4" tint="0.39997558519241921"/>
      </bottom>
      <diagonal/>
    </border>
    <border>
      <left/>
      <right style="thin">
        <color auto="1"/>
      </right>
      <top style="double">
        <color theme="4"/>
      </top>
      <bottom style="thin">
        <color theme="4" tint="0.39997558519241921"/>
      </bottom>
      <diagonal/>
    </border>
    <border>
      <left style="thin">
        <color auto="1"/>
      </left>
      <right/>
      <top style="double">
        <color theme="4"/>
      </top>
      <bottom style="thin">
        <color theme="4" tint="0.39997558519241921"/>
      </bottom>
      <diagonal/>
    </border>
    <border>
      <left/>
      <right style="thin">
        <color theme="4" tint="0.39997558519241921"/>
      </right>
      <top style="double">
        <color theme="4"/>
      </top>
      <bottom style="thin">
        <color theme="4" tint="0.39997558519241921"/>
      </bottom>
      <diagonal/>
    </border>
    <border>
      <left style="thin">
        <color rgb="FF95B3D7"/>
      </left>
      <right/>
      <top style="thin">
        <color rgb="FF95B3D7"/>
      </top>
      <bottom style="thin">
        <color rgb="FF95B3D7"/>
      </bottom>
      <diagonal/>
    </border>
  </borders>
  <cellStyleXfs count="125">
    <xf numFmtId="0" fontId="0" fillId="0" borderId="0"/>
    <xf numFmtId="0" fontId="27" fillId="2" borderId="0" applyNumberFormat="0" applyBorder="0" applyAlignment="0" applyProtection="0"/>
    <xf numFmtId="0" fontId="27" fillId="3" borderId="0" applyNumberFormat="0" applyBorder="0" applyAlignment="0" applyProtection="0"/>
    <xf numFmtId="0" fontId="27" fillId="4" borderId="0" applyNumberFormat="0" applyBorder="0" applyAlignment="0" applyProtection="0"/>
    <xf numFmtId="0" fontId="27" fillId="5" borderId="0" applyNumberFormat="0" applyBorder="0" applyAlignment="0" applyProtection="0"/>
    <xf numFmtId="0" fontId="27" fillId="6" borderId="0" applyNumberFormat="0" applyBorder="0" applyAlignment="0" applyProtection="0"/>
    <xf numFmtId="0" fontId="27" fillId="7" borderId="0" applyNumberFormat="0" applyBorder="0" applyAlignment="0" applyProtection="0"/>
    <xf numFmtId="0" fontId="27" fillId="8" borderId="0" applyNumberFormat="0" applyBorder="0" applyAlignment="0" applyProtection="0"/>
    <xf numFmtId="0" fontId="27" fillId="9" borderId="0" applyNumberFormat="0" applyBorder="0" applyAlignment="0" applyProtection="0"/>
    <xf numFmtId="0" fontId="27" fillId="10" borderId="0" applyNumberFormat="0" applyBorder="0" applyAlignment="0" applyProtection="0"/>
    <xf numFmtId="0" fontId="27" fillId="11" borderId="0" applyNumberFormat="0" applyBorder="0" applyAlignment="0" applyProtection="0"/>
    <xf numFmtId="0" fontId="27" fillId="12" borderId="0" applyNumberFormat="0" applyBorder="0" applyAlignment="0" applyProtection="0"/>
    <xf numFmtId="0" fontId="27" fillId="13" borderId="0" applyNumberFormat="0" applyBorder="0" applyAlignment="0" applyProtection="0"/>
    <xf numFmtId="0" fontId="28" fillId="14" borderId="0" applyNumberFormat="0" applyBorder="0" applyAlignment="0" applyProtection="0"/>
    <xf numFmtId="0" fontId="28" fillId="15" borderId="0" applyNumberFormat="0" applyBorder="0" applyAlignment="0" applyProtection="0"/>
    <xf numFmtId="0" fontId="28" fillId="16" borderId="0" applyNumberFormat="0" applyBorder="0" applyAlignment="0" applyProtection="0"/>
    <xf numFmtId="0" fontId="28" fillId="17" borderId="0" applyNumberFormat="0" applyBorder="0" applyAlignment="0" applyProtection="0"/>
    <xf numFmtId="0" fontId="28" fillId="18" borderId="0" applyNumberFormat="0" applyBorder="0" applyAlignment="0" applyProtection="0"/>
    <xf numFmtId="0" fontId="28" fillId="19" borderId="0" applyNumberFormat="0" applyBorder="0" applyAlignment="0" applyProtection="0"/>
    <xf numFmtId="0" fontId="28" fillId="20" borderId="0" applyNumberFormat="0" applyBorder="0" applyAlignment="0" applyProtection="0"/>
    <xf numFmtId="0" fontId="28" fillId="21" borderId="0" applyNumberFormat="0" applyBorder="0" applyAlignment="0" applyProtection="0"/>
    <xf numFmtId="0" fontId="28" fillId="22" borderId="0" applyNumberFormat="0" applyBorder="0" applyAlignment="0" applyProtection="0"/>
    <xf numFmtId="0" fontId="28" fillId="23" borderId="0" applyNumberFormat="0" applyBorder="0" applyAlignment="0" applyProtection="0"/>
    <xf numFmtId="0" fontId="28" fillId="24" borderId="0" applyNumberFormat="0" applyBorder="0" applyAlignment="0" applyProtection="0"/>
    <xf numFmtId="0" fontId="28" fillId="25" borderId="0" applyNumberFormat="0" applyBorder="0" applyAlignment="0" applyProtection="0"/>
    <xf numFmtId="0" fontId="29" fillId="26" borderId="0" applyNumberFormat="0" applyBorder="0" applyAlignment="0" applyProtection="0"/>
    <xf numFmtId="0" fontId="30" fillId="27" borderId="2" applyNumberFormat="0" applyAlignment="0" applyProtection="0"/>
    <xf numFmtId="0" fontId="31" fillId="28" borderId="3" applyNumberFormat="0" applyAlignment="0" applyProtection="0"/>
    <xf numFmtId="0" fontId="32" fillId="0" borderId="0" applyNumberFormat="0" applyFill="0" applyBorder="0" applyAlignment="0" applyProtection="0"/>
    <xf numFmtId="0" fontId="33" fillId="29" borderId="0" applyNumberFormat="0" applyBorder="0" applyAlignment="0" applyProtection="0"/>
    <xf numFmtId="0" fontId="34" fillId="0" borderId="4" applyNumberFormat="0" applyFill="0" applyAlignment="0" applyProtection="0"/>
    <xf numFmtId="0" fontId="35" fillId="0" borderId="5" applyNumberFormat="0" applyFill="0" applyAlignment="0" applyProtection="0"/>
    <xf numFmtId="0" fontId="36" fillId="0" borderId="6" applyNumberFormat="0" applyFill="0" applyAlignment="0" applyProtection="0"/>
    <xf numFmtId="0" fontId="36" fillId="0" borderId="0" applyNumberFormat="0" applyFill="0" applyBorder="0" applyAlignment="0" applyProtection="0"/>
    <xf numFmtId="0" fontId="24" fillId="0" borderId="0" applyNumberFormat="0" applyFill="0" applyBorder="0" applyAlignment="0" applyProtection="0">
      <alignment vertical="top"/>
      <protection locked="0"/>
    </xf>
    <xf numFmtId="0" fontId="37" fillId="30" borderId="2" applyNumberFormat="0" applyAlignment="0" applyProtection="0"/>
    <xf numFmtId="0" fontId="38" fillId="0" borderId="7" applyNumberFormat="0" applyFill="0" applyAlignment="0" applyProtection="0"/>
    <xf numFmtId="0" fontId="39" fillId="31" borderId="0" applyNumberFormat="0" applyBorder="0" applyAlignment="0" applyProtection="0"/>
    <xf numFmtId="0" fontId="27" fillId="0" borderId="0"/>
    <xf numFmtId="0" fontId="27" fillId="32" borderId="8" applyNumberFormat="0" applyFont="0" applyAlignment="0" applyProtection="0"/>
    <xf numFmtId="0" fontId="40" fillId="27" borderId="9" applyNumberFormat="0" applyAlignment="0" applyProtection="0"/>
    <xf numFmtId="0" fontId="41" fillId="0" borderId="0" applyNumberFormat="0" applyFill="0" applyBorder="0" applyAlignment="0" applyProtection="0"/>
    <xf numFmtId="0" fontId="42" fillId="0" borderId="10" applyNumberFormat="0" applyFill="0" applyAlignment="0" applyProtection="0"/>
    <xf numFmtId="0" fontId="43" fillId="0" borderId="0" applyNumberFormat="0" applyFill="0" applyBorder="0" applyAlignment="0" applyProtection="0"/>
    <xf numFmtId="0" fontId="47" fillId="0" borderId="0"/>
    <xf numFmtId="0" fontId="52" fillId="0" borderId="0"/>
    <xf numFmtId="0" fontId="23" fillId="0" borderId="0"/>
    <xf numFmtId="0" fontId="22" fillId="0" borderId="0"/>
    <xf numFmtId="0" fontId="20" fillId="0" borderId="0"/>
    <xf numFmtId="0" fontId="20" fillId="32" borderId="8" applyNumberFormat="0" applyFont="0" applyAlignment="0" applyProtection="0"/>
    <xf numFmtId="0" fontId="20" fillId="2" borderId="0" applyNumberFormat="0" applyBorder="0" applyAlignment="0" applyProtection="0"/>
    <xf numFmtId="0" fontId="20" fillId="8" borderId="0" applyNumberFormat="0" applyBorder="0" applyAlignment="0" applyProtection="0"/>
    <xf numFmtId="0" fontId="20" fillId="3" borderId="0" applyNumberFormat="0" applyBorder="0" applyAlignment="0" applyProtection="0"/>
    <xf numFmtId="0" fontId="20" fillId="9" borderId="0" applyNumberFormat="0" applyBorder="0" applyAlignment="0" applyProtection="0"/>
    <xf numFmtId="0" fontId="20" fillId="4" borderId="0" applyNumberFormat="0" applyBorder="0" applyAlignment="0" applyProtection="0"/>
    <xf numFmtId="0" fontId="20" fillId="10" borderId="0" applyNumberFormat="0" applyBorder="0" applyAlignment="0" applyProtection="0"/>
    <xf numFmtId="0" fontId="20" fillId="5" borderId="0" applyNumberFormat="0" applyBorder="0" applyAlignment="0" applyProtection="0"/>
    <xf numFmtId="0" fontId="20" fillId="11" borderId="0" applyNumberFormat="0" applyBorder="0" applyAlignment="0" applyProtection="0"/>
    <xf numFmtId="0" fontId="20" fillId="6" borderId="0" applyNumberFormat="0" applyBorder="0" applyAlignment="0" applyProtection="0"/>
    <xf numFmtId="0" fontId="20" fillId="12" borderId="0" applyNumberFormat="0" applyBorder="0" applyAlignment="0" applyProtection="0"/>
    <xf numFmtId="0" fontId="20" fillId="7" borderId="0" applyNumberFormat="0" applyBorder="0" applyAlignment="0" applyProtection="0"/>
    <xf numFmtId="0" fontId="20" fillId="13" borderId="0" applyNumberFormat="0" applyBorder="0" applyAlignment="0" applyProtection="0"/>
    <xf numFmtId="0" fontId="19" fillId="0" borderId="0"/>
    <xf numFmtId="0" fontId="17" fillId="0" borderId="0"/>
    <xf numFmtId="0" fontId="25" fillId="0" borderId="0"/>
    <xf numFmtId="0" fontId="16" fillId="2" borderId="0" applyNumberFormat="0" applyBorder="0" applyAlignment="0" applyProtection="0"/>
    <xf numFmtId="0" fontId="16" fillId="3" borderId="0" applyNumberFormat="0" applyBorder="0" applyAlignment="0" applyProtection="0"/>
    <xf numFmtId="0" fontId="16" fillId="4" borderId="0" applyNumberFormat="0" applyBorder="0" applyAlignment="0" applyProtection="0"/>
    <xf numFmtId="0" fontId="16" fillId="5" borderId="0" applyNumberFormat="0" applyBorder="0" applyAlignment="0" applyProtection="0"/>
    <xf numFmtId="0" fontId="16" fillId="6" borderId="0" applyNumberFormat="0" applyBorder="0" applyAlignment="0" applyProtection="0"/>
    <xf numFmtId="0" fontId="16" fillId="7" borderId="0" applyNumberFormat="0" applyBorder="0" applyAlignment="0" applyProtection="0"/>
    <xf numFmtId="0" fontId="16" fillId="8" borderId="0" applyNumberFormat="0" applyBorder="0" applyAlignment="0" applyProtection="0"/>
    <xf numFmtId="0" fontId="16" fillId="9" borderId="0" applyNumberFormat="0" applyBorder="0" applyAlignment="0" applyProtection="0"/>
    <xf numFmtId="0" fontId="16" fillId="10" borderId="0" applyNumberFormat="0" applyBorder="0" applyAlignment="0" applyProtection="0"/>
    <xf numFmtId="0" fontId="16" fillId="11" borderId="0" applyNumberFormat="0" applyBorder="0" applyAlignment="0" applyProtection="0"/>
    <xf numFmtId="0" fontId="16" fillId="12" borderId="0" applyNumberFormat="0" applyBorder="0" applyAlignment="0" applyProtection="0"/>
    <xf numFmtId="0" fontId="16" fillId="13" borderId="0" applyNumberFormat="0" applyBorder="0" applyAlignment="0" applyProtection="0"/>
    <xf numFmtId="0" fontId="16" fillId="0" borderId="0"/>
    <xf numFmtId="0" fontId="16" fillId="32" borderId="8" applyNumberFormat="0" applyFont="0" applyAlignment="0" applyProtection="0"/>
    <xf numFmtId="0" fontId="16" fillId="0" borderId="0"/>
    <xf numFmtId="0" fontId="16" fillId="0" borderId="0"/>
    <xf numFmtId="0" fontId="15" fillId="0" borderId="0"/>
    <xf numFmtId="0" fontId="15" fillId="32" borderId="8" applyNumberFormat="0" applyFont="0" applyAlignment="0" applyProtection="0"/>
    <xf numFmtId="0" fontId="15" fillId="2" borderId="0" applyNumberFormat="0" applyBorder="0" applyAlignment="0" applyProtection="0"/>
    <xf numFmtId="0" fontId="15" fillId="8" borderId="0" applyNumberFormat="0" applyBorder="0" applyAlignment="0" applyProtection="0"/>
    <xf numFmtId="0" fontId="15" fillId="3" borderId="0" applyNumberFormat="0" applyBorder="0" applyAlignment="0" applyProtection="0"/>
    <xf numFmtId="0" fontId="15" fillId="9" borderId="0" applyNumberFormat="0" applyBorder="0" applyAlignment="0" applyProtection="0"/>
    <xf numFmtId="0" fontId="15" fillId="4" borderId="0" applyNumberFormat="0" applyBorder="0" applyAlignment="0" applyProtection="0"/>
    <xf numFmtId="0" fontId="15" fillId="10" borderId="0" applyNumberFormat="0" applyBorder="0" applyAlignment="0" applyProtection="0"/>
    <xf numFmtId="0" fontId="15" fillId="5" borderId="0" applyNumberFormat="0" applyBorder="0" applyAlignment="0" applyProtection="0"/>
    <xf numFmtId="0" fontId="15" fillId="11" borderId="0" applyNumberFormat="0" applyBorder="0" applyAlignment="0" applyProtection="0"/>
    <xf numFmtId="0" fontId="15" fillId="6" borderId="0" applyNumberFormat="0" applyBorder="0" applyAlignment="0" applyProtection="0"/>
    <xf numFmtId="0" fontId="15" fillId="12" borderId="0" applyNumberFormat="0" applyBorder="0" applyAlignment="0" applyProtection="0"/>
    <xf numFmtId="0" fontId="15" fillId="7" borderId="0" applyNumberFormat="0" applyBorder="0" applyAlignment="0" applyProtection="0"/>
    <xf numFmtId="0" fontId="15" fillId="13" borderId="0" applyNumberFormat="0" applyBorder="0" applyAlignment="0" applyProtection="0"/>
    <xf numFmtId="0" fontId="13" fillId="0" borderId="0"/>
    <xf numFmtId="0" fontId="12" fillId="0" borderId="0"/>
    <xf numFmtId="0" fontId="10" fillId="0" borderId="0"/>
    <xf numFmtId="0" fontId="9" fillId="0" borderId="0"/>
    <xf numFmtId="0" fontId="8" fillId="0" borderId="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cellStyleXfs>
  <cellXfs count="265">
    <xf numFmtId="0" fontId="0" fillId="0" borderId="0" xfId="0"/>
    <xf numFmtId="49" fontId="0" fillId="0" borderId="0" xfId="0" applyNumberFormat="1"/>
    <xf numFmtId="49" fontId="24" fillId="0" borderId="0" xfId="34" applyNumberFormat="1" applyAlignment="1" applyProtection="1"/>
    <xf numFmtId="0" fontId="25" fillId="0" borderId="0" xfId="0" applyFont="1"/>
    <xf numFmtId="49" fontId="25" fillId="0" borderId="0" xfId="0" applyNumberFormat="1" applyFont="1" applyBorder="1"/>
    <xf numFmtId="1" fontId="0" fillId="0" borderId="0" xfId="0" applyNumberFormat="1"/>
    <xf numFmtId="49" fontId="25" fillId="0" borderId="0" xfId="0" applyNumberFormat="1" applyFont="1" applyBorder="1" applyAlignment="1">
      <alignment horizontal="center" wrapText="1"/>
    </xf>
    <xf numFmtId="1" fontId="25" fillId="0" borderId="0" xfId="0" applyNumberFormat="1" applyFont="1" applyBorder="1" applyAlignment="1">
      <alignment horizontal="center" wrapText="1"/>
    </xf>
    <xf numFmtId="0" fontId="25" fillId="0" borderId="0" xfId="0" applyFont="1" applyAlignment="1">
      <alignment horizontal="center" wrapText="1"/>
    </xf>
    <xf numFmtId="49" fontId="25" fillId="0" borderId="0" xfId="0" applyNumberFormat="1" applyFont="1" applyAlignment="1">
      <alignment horizontal="center" wrapText="1"/>
    </xf>
    <xf numFmtId="49" fontId="25" fillId="0" borderId="0" xfId="0" applyNumberFormat="1" applyFont="1"/>
    <xf numFmtId="1" fontId="25" fillId="0" borderId="0" xfId="0" applyNumberFormat="1" applyFont="1"/>
    <xf numFmtId="49" fontId="0" fillId="0" borderId="0" xfId="0" applyNumberFormat="1" applyAlignment="1">
      <alignment horizontal="right"/>
    </xf>
    <xf numFmtId="0" fontId="27" fillId="0" borderId="0" xfId="38"/>
    <xf numFmtId="0" fontId="27" fillId="0" borderId="1" xfId="38" applyBorder="1"/>
    <xf numFmtId="3" fontId="27" fillId="0" borderId="1" xfId="38" applyNumberFormat="1" applyBorder="1"/>
    <xf numFmtId="0" fontId="26" fillId="0" borderId="0" xfId="0" applyFont="1" applyAlignment="1">
      <alignment horizontal="center" wrapText="1"/>
    </xf>
    <xf numFmtId="0" fontId="0" fillId="0" borderId="0" xfId="0" applyAlignment="1">
      <alignment horizontal="center" wrapText="1"/>
    </xf>
    <xf numFmtId="49" fontId="23" fillId="0" borderId="0" xfId="38" applyNumberFormat="1" applyFont="1" applyAlignment="1">
      <alignment horizontal="center"/>
    </xf>
    <xf numFmtId="49" fontId="23" fillId="0" borderId="0" xfId="38" applyNumberFormat="1" applyFont="1"/>
    <xf numFmtId="0" fontId="45" fillId="0" borderId="0" xfId="0" applyFont="1"/>
    <xf numFmtId="49" fontId="45" fillId="0" borderId="0" xfId="0" applyNumberFormat="1" applyFont="1" applyAlignment="1">
      <alignment horizontal="center"/>
    </xf>
    <xf numFmtId="0" fontId="0" fillId="0" borderId="0" xfId="0" applyAlignment="1">
      <alignment horizontal="left"/>
    </xf>
    <xf numFmtId="0" fontId="25" fillId="0" borderId="11" xfId="0" applyFont="1" applyBorder="1" applyAlignment="1">
      <alignment horizontal="center" wrapText="1"/>
    </xf>
    <xf numFmtId="0" fontId="0" fillId="0" borderId="0" xfId="0" applyAlignment="1">
      <alignment wrapText="1"/>
    </xf>
    <xf numFmtId="0" fontId="0" fillId="0" borderId="13" xfId="0" applyBorder="1" applyAlignment="1">
      <alignment wrapText="1"/>
    </xf>
    <xf numFmtId="0" fontId="0" fillId="0" borderId="18" xfId="0" applyBorder="1"/>
    <xf numFmtId="0" fontId="45" fillId="33" borderId="16" xfId="0" applyFont="1" applyFill="1" applyBorder="1" applyAlignment="1">
      <alignment horizontal="center"/>
    </xf>
    <xf numFmtId="0" fontId="45" fillId="0" borderId="16" xfId="0" applyFont="1" applyBorder="1" applyAlignment="1">
      <alignment horizontal="center"/>
    </xf>
    <xf numFmtId="0" fontId="45" fillId="33" borderId="0" xfId="0" applyFont="1" applyFill="1" applyBorder="1" applyAlignment="1">
      <alignment horizontal="center"/>
    </xf>
    <xf numFmtId="0" fontId="45" fillId="0" borderId="0" xfId="0" applyFont="1" applyBorder="1" applyAlignment="1">
      <alignment horizontal="center"/>
    </xf>
    <xf numFmtId="0" fontId="45" fillId="33" borderId="17" xfId="0" applyFont="1" applyFill="1" applyBorder="1" applyAlignment="1">
      <alignment horizontal="center"/>
    </xf>
    <xf numFmtId="0" fontId="45" fillId="0" borderId="17" xfId="0" applyFont="1" applyBorder="1" applyAlignment="1">
      <alignment horizontal="center"/>
    </xf>
    <xf numFmtId="0" fontId="45" fillId="0" borderId="21" xfId="0" applyFont="1" applyBorder="1"/>
    <xf numFmtId="0" fontId="45" fillId="0" borderId="22" xfId="0" applyFont="1" applyBorder="1"/>
    <xf numFmtId="0" fontId="45" fillId="0" borderId="23" xfId="0" applyFont="1" applyBorder="1"/>
    <xf numFmtId="0" fontId="45" fillId="0" borderId="0" xfId="0" applyFont="1" applyAlignment="1">
      <alignment wrapText="1"/>
    </xf>
    <xf numFmtId="0" fontId="48" fillId="0" borderId="0" xfId="44" applyFont="1" applyAlignment="1">
      <alignment horizontal="left"/>
    </xf>
    <xf numFmtId="0" fontId="48" fillId="0" borderId="0" xfId="44" applyFont="1" applyAlignment="1">
      <alignment horizontal="center"/>
    </xf>
    <xf numFmtId="10" fontId="48" fillId="0" borderId="0" xfId="44" applyNumberFormat="1" applyFont="1" applyAlignment="1">
      <alignment horizontal="center"/>
    </xf>
    <xf numFmtId="0" fontId="48" fillId="0" borderId="0" xfId="44" applyFont="1"/>
    <xf numFmtId="0" fontId="49" fillId="0" borderId="0" xfId="44" applyFont="1"/>
    <xf numFmtId="0" fontId="50" fillId="0" borderId="0" xfId="44" applyFont="1" applyAlignment="1">
      <alignment horizontal="center"/>
    </xf>
    <xf numFmtId="0" fontId="51" fillId="0" borderId="0" xfId="44" applyFont="1" applyAlignment="1">
      <alignment horizontal="center"/>
    </xf>
    <xf numFmtId="0" fontId="48" fillId="0" borderId="18" xfId="44" applyFont="1" applyBorder="1" applyAlignment="1">
      <alignment horizontal="center"/>
    </xf>
    <xf numFmtId="16" fontId="48" fillId="0" borderId="18" xfId="44" quotePrefix="1" applyNumberFormat="1" applyFont="1" applyBorder="1" applyAlignment="1">
      <alignment horizontal="center"/>
    </xf>
    <xf numFmtId="10" fontId="48" fillId="0" borderId="18" xfId="44" applyNumberFormat="1" applyFont="1" applyBorder="1" applyAlignment="1">
      <alignment horizontal="center"/>
    </xf>
    <xf numFmtId="0" fontId="48" fillId="0" borderId="0" xfId="44" applyFont="1" applyBorder="1"/>
    <xf numFmtId="0" fontId="53" fillId="0" borderId="0" xfId="45" applyFont="1" applyAlignment="1">
      <alignment horizontal="left"/>
    </xf>
    <xf numFmtId="164" fontId="48" fillId="0" borderId="18" xfId="44" applyNumberFormat="1" applyFont="1" applyBorder="1" applyAlignment="1" applyProtection="1">
      <alignment horizontal="center"/>
    </xf>
    <xf numFmtId="1" fontId="48" fillId="0" borderId="18" xfId="44" applyNumberFormat="1" applyFont="1" applyBorder="1" applyAlignment="1">
      <alignment horizontal="center"/>
    </xf>
    <xf numFmtId="10" fontId="48" fillId="0" borderId="18" xfId="44" applyNumberFormat="1" applyFont="1" applyBorder="1" applyAlignment="1" applyProtection="1">
      <alignment horizontal="center"/>
    </xf>
    <xf numFmtId="1" fontId="48" fillId="0" borderId="18" xfId="44" applyNumberFormat="1" applyFont="1" applyBorder="1" applyAlignment="1" applyProtection="1">
      <alignment horizontal="center"/>
    </xf>
    <xf numFmtId="0" fontId="47" fillId="0" borderId="18" xfId="44" applyFont="1" applyBorder="1"/>
    <xf numFmtId="0" fontId="54" fillId="0" borderId="0" xfId="44" applyFont="1" applyAlignment="1">
      <alignment horizontal="left"/>
    </xf>
    <xf numFmtId="1" fontId="46" fillId="0" borderId="19" xfId="0" applyNumberFormat="1" applyFont="1" applyBorder="1"/>
    <xf numFmtId="1" fontId="46" fillId="0" borderId="20" xfId="0" applyNumberFormat="1" applyFont="1" applyBorder="1"/>
    <xf numFmtId="1" fontId="46" fillId="0" borderId="16" xfId="0" applyNumberFormat="1" applyFont="1" applyBorder="1"/>
    <xf numFmtId="1" fontId="46" fillId="0" borderId="0" xfId="0" applyNumberFormat="1" applyFont="1" applyBorder="1"/>
    <xf numFmtId="1" fontId="46" fillId="0" borderId="17" xfId="0" applyNumberFormat="1" applyFont="1" applyBorder="1"/>
    <xf numFmtId="0" fontId="46" fillId="0" borderId="0" xfId="0" applyNumberFormat="1" applyFont="1"/>
    <xf numFmtId="0" fontId="45" fillId="0" borderId="24" xfId="0" applyFont="1" applyBorder="1" applyAlignment="1">
      <alignment wrapText="1"/>
    </xf>
    <xf numFmtId="0" fontId="36" fillId="0" borderId="0" xfId="33"/>
    <xf numFmtId="165" fontId="0" fillId="0" borderId="0" xfId="0" applyNumberFormat="1"/>
    <xf numFmtId="0" fontId="57" fillId="0" borderId="0" xfId="0" applyFont="1" applyAlignment="1">
      <alignment vertical="top" wrapText="1"/>
    </xf>
    <xf numFmtId="0" fontId="59" fillId="0" borderId="0" xfId="0" applyFont="1" applyAlignment="1">
      <alignment horizontal="left" vertical="top"/>
    </xf>
    <xf numFmtId="166" fontId="58" fillId="0" borderId="0" xfId="0" applyNumberFormat="1" applyFont="1" applyAlignment="1">
      <alignment horizontal="left" vertical="top" wrapText="1"/>
    </xf>
    <xf numFmtId="0" fontId="59" fillId="0" borderId="0" xfId="0" applyFont="1" applyAlignment="1">
      <alignment horizontal="left" vertical="top" wrapText="1"/>
    </xf>
    <xf numFmtId="167" fontId="58" fillId="0" borderId="0" xfId="0" applyNumberFormat="1" applyFont="1" applyAlignment="1">
      <alignment horizontal="left" vertical="top" wrapText="1"/>
    </xf>
    <xf numFmtId="166" fontId="58" fillId="0" borderId="0" xfId="0" applyNumberFormat="1" applyFont="1" applyAlignment="1">
      <alignment horizontal="right" vertical="top" wrapText="1"/>
    </xf>
    <xf numFmtId="169" fontId="58" fillId="0" borderId="0" xfId="0" applyNumberFormat="1" applyFont="1" applyAlignment="1">
      <alignment horizontal="left" vertical="top" wrapText="1"/>
    </xf>
    <xf numFmtId="0" fontId="60" fillId="0" borderId="0" xfId="0" applyFont="1" applyAlignment="1">
      <alignment horizontal="left" vertical="top" wrapText="1"/>
    </xf>
    <xf numFmtId="0" fontId="57" fillId="0" borderId="0" xfId="0" applyFont="1" applyAlignment="1">
      <alignment horizontal="left" vertical="top" wrapText="1"/>
    </xf>
    <xf numFmtId="0" fontId="62" fillId="0" borderId="0" xfId="0" applyFont="1" applyAlignment="1">
      <alignment horizontal="left" vertical="top" wrapText="1"/>
    </xf>
    <xf numFmtId="0" fontId="63" fillId="0" borderId="0" xfId="0" applyFont="1" applyAlignment="1">
      <alignment horizontal="left" vertical="top" wrapText="1"/>
    </xf>
    <xf numFmtId="0" fontId="64" fillId="0" borderId="0" xfId="0" applyFont="1"/>
    <xf numFmtId="168" fontId="58" fillId="36" borderId="0" xfId="0" applyNumberFormat="1" applyFont="1" applyFill="1" applyAlignment="1">
      <alignment horizontal="left" vertical="top" wrapText="1"/>
    </xf>
    <xf numFmtId="0" fontId="59" fillId="36" borderId="0" xfId="0" applyFont="1" applyFill="1" applyAlignment="1">
      <alignment horizontal="left" vertical="top" wrapText="1"/>
    </xf>
    <xf numFmtId="0" fontId="65" fillId="0" borderId="0" xfId="0" applyNumberFormat="1" applyFont="1"/>
    <xf numFmtId="0" fontId="65" fillId="0" borderId="0" xfId="0" applyNumberFormat="1" applyFont="1" applyAlignment="1">
      <alignment horizontal="right"/>
    </xf>
    <xf numFmtId="0" fontId="65" fillId="0" borderId="0" xfId="0" applyNumberFormat="1" applyFont="1" applyFill="1"/>
    <xf numFmtId="49" fontId="23" fillId="0" borderId="0" xfId="38" applyNumberFormat="1" applyFont="1" applyFill="1"/>
    <xf numFmtId="1" fontId="46" fillId="0" borderId="0" xfId="0" applyNumberFormat="1" applyFont="1" applyFill="1" applyBorder="1"/>
    <xf numFmtId="0" fontId="45" fillId="0" borderId="0" xfId="0" applyFont="1" applyFill="1" applyAlignment="1">
      <alignment wrapText="1"/>
    </xf>
    <xf numFmtId="0" fontId="21" fillId="0" borderId="25" xfId="47" applyNumberFormat="1" applyFont="1" applyBorder="1" applyAlignment="1"/>
    <xf numFmtId="0" fontId="21" fillId="37" borderId="25" xfId="47" applyNumberFormat="1" applyFont="1" applyFill="1" applyBorder="1" applyAlignment="1"/>
    <xf numFmtId="0" fontId="21" fillId="35" borderId="25" xfId="47" applyNumberFormat="1" applyFont="1" applyFill="1" applyBorder="1" applyAlignment="1"/>
    <xf numFmtId="0" fontId="0" fillId="0" borderId="0" xfId="0" pivotButton="1" applyAlignment="1">
      <alignment wrapText="1"/>
    </xf>
    <xf numFmtId="0" fontId="0" fillId="38" borderId="18" xfId="0" applyFill="1" applyBorder="1" applyAlignment="1">
      <alignment horizontal="center" wrapText="1"/>
    </xf>
    <xf numFmtId="3" fontId="0" fillId="38" borderId="18" xfId="0" applyNumberFormat="1" applyFill="1" applyBorder="1" applyAlignment="1">
      <alignment horizontal="center"/>
    </xf>
    <xf numFmtId="0" fontId="0" fillId="39" borderId="18" xfId="0" applyFill="1" applyBorder="1" applyAlignment="1">
      <alignment horizontal="center" wrapText="1"/>
    </xf>
    <xf numFmtId="3" fontId="0" fillId="39" borderId="18" xfId="0" applyNumberFormat="1" applyFill="1" applyBorder="1" applyAlignment="1">
      <alignment horizontal="center"/>
    </xf>
    <xf numFmtId="3" fontId="0" fillId="0" borderId="0" xfId="0" applyNumberFormat="1" applyAlignment="1">
      <alignment wrapText="1"/>
    </xf>
    <xf numFmtId="0" fontId="45" fillId="0" borderId="0" xfId="0" applyFont="1" applyBorder="1" applyAlignment="1">
      <alignment wrapText="1"/>
    </xf>
    <xf numFmtId="0" fontId="46" fillId="0" borderId="0" xfId="0" applyNumberFormat="1" applyFont="1" applyFill="1"/>
    <xf numFmtId="0" fontId="45" fillId="0" borderId="0" xfId="0" applyFont="1" applyFill="1" applyBorder="1" applyAlignment="1">
      <alignment horizontal="center"/>
    </xf>
    <xf numFmtId="0" fontId="45" fillId="0" borderId="22" xfId="0" applyFont="1" applyFill="1" applyBorder="1"/>
    <xf numFmtId="0" fontId="45" fillId="34" borderId="0" xfId="0" applyFont="1" applyFill="1" applyBorder="1" applyAlignment="1">
      <alignment horizontal="center"/>
    </xf>
    <xf numFmtId="0" fontId="45" fillId="34" borderId="17" xfId="0" applyFont="1" applyFill="1" applyBorder="1" applyAlignment="1">
      <alignment horizontal="center"/>
    </xf>
    <xf numFmtId="0" fontId="23" fillId="0" borderId="27" xfId="38" applyNumberFormat="1" applyFont="1" applyBorder="1"/>
    <xf numFmtId="0" fontId="23" fillId="0" borderId="27" xfId="38" applyNumberFormat="1" applyFont="1" applyFill="1" applyBorder="1"/>
    <xf numFmtId="0" fontId="45" fillId="0" borderId="28" xfId="0" applyFont="1" applyBorder="1" applyAlignment="1">
      <alignment horizontal="center"/>
    </xf>
    <xf numFmtId="0" fontId="45" fillId="0" borderId="27" xfId="0" applyFont="1" applyBorder="1" applyAlignment="1">
      <alignment horizontal="center"/>
    </xf>
    <xf numFmtId="0" fontId="45" fillId="0" borderId="27" xfId="0" applyFont="1" applyFill="1" applyBorder="1" applyAlignment="1">
      <alignment horizontal="center"/>
    </xf>
    <xf numFmtId="0" fontId="45" fillId="0" borderId="29" xfId="0" applyFont="1" applyBorder="1" applyAlignment="1">
      <alignment horizontal="center"/>
    </xf>
    <xf numFmtId="0" fontId="25" fillId="0" borderId="30" xfId="0" applyFont="1" applyBorder="1" applyAlignment="1">
      <alignment horizontal="center" wrapText="1"/>
    </xf>
    <xf numFmtId="0" fontId="25" fillId="0" borderId="17" xfId="0" applyFont="1" applyBorder="1" applyAlignment="1">
      <alignment horizontal="center" wrapText="1"/>
    </xf>
    <xf numFmtId="0" fontId="25" fillId="0" borderId="29" xfId="0" applyFont="1" applyBorder="1" applyAlignment="1">
      <alignment horizontal="center" wrapText="1"/>
    </xf>
    <xf numFmtId="0" fontId="45" fillId="0" borderId="27" xfId="0" applyFont="1" applyBorder="1"/>
    <xf numFmtId="0" fontId="45" fillId="0" borderId="27" xfId="0" applyFont="1" applyFill="1" applyBorder="1"/>
    <xf numFmtId="0" fontId="25" fillId="0" borderId="0" xfId="0" applyFont="1" applyBorder="1" applyAlignment="1">
      <alignment horizontal="center" wrapText="1"/>
    </xf>
    <xf numFmtId="0" fontId="25" fillId="0" borderId="27" xfId="0" applyFont="1" applyBorder="1" applyAlignment="1">
      <alignment horizontal="center" wrapText="1"/>
    </xf>
    <xf numFmtId="0" fontId="44" fillId="0" borderId="0" xfId="0" applyFont="1" applyAlignment="1">
      <alignment wrapText="1"/>
    </xf>
    <xf numFmtId="17" fontId="44" fillId="0" borderId="0" xfId="0" applyNumberFormat="1" applyFont="1" applyAlignment="1">
      <alignment wrapText="1"/>
    </xf>
    <xf numFmtId="0" fontId="67" fillId="0" borderId="0" xfId="0" applyFont="1" applyAlignment="1">
      <alignment wrapText="1"/>
    </xf>
    <xf numFmtId="0" fontId="45" fillId="0" borderId="0" xfId="0" applyNumberFormat="1" applyFont="1" applyAlignment="1">
      <alignment horizontal="center"/>
    </xf>
    <xf numFmtId="0" fontId="45" fillId="0" borderId="0" xfId="0" applyNumberFormat="1" applyFont="1" applyFill="1" applyAlignment="1">
      <alignment horizontal="center"/>
    </xf>
    <xf numFmtId="49" fontId="25" fillId="0" borderId="0" xfId="0" applyNumberFormat="1" applyFont="1" applyFill="1"/>
    <xf numFmtId="49" fontId="0" fillId="0" borderId="0" xfId="0" applyNumberFormat="1" applyFill="1"/>
    <xf numFmtId="49" fontId="25" fillId="0" borderId="0" xfId="0" applyNumberFormat="1" applyFont="1" applyFill="1" applyBorder="1" applyAlignment="1">
      <alignment horizontal="center" wrapText="1"/>
    </xf>
    <xf numFmtId="49" fontId="23" fillId="0" borderId="0" xfId="38" applyNumberFormat="1" applyFont="1" applyFill="1" applyAlignment="1">
      <alignment horizontal="center"/>
    </xf>
    <xf numFmtId="0" fontId="48" fillId="0" borderId="31" xfId="44" applyFont="1" applyBorder="1" applyAlignment="1">
      <alignment horizontal="center"/>
    </xf>
    <xf numFmtId="0" fontId="45" fillId="40" borderId="0" xfId="0" applyFont="1" applyFill="1"/>
    <xf numFmtId="49" fontId="0" fillId="0" borderId="0" xfId="0" applyNumberFormat="1" applyFont="1" applyFill="1" applyAlignment="1">
      <alignment horizontal="center"/>
    </xf>
    <xf numFmtId="49" fontId="0" fillId="0" borderId="0" xfId="0" applyNumberFormat="1" applyFont="1" applyAlignment="1">
      <alignment horizontal="center"/>
    </xf>
    <xf numFmtId="0" fontId="0" fillId="0" borderId="0" xfId="0" applyFont="1"/>
    <xf numFmtId="0" fontId="0" fillId="0" borderId="0" xfId="0" applyFont="1" applyFill="1"/>
    <xf numFmtId="1" fontId="45" fillId="0" borderId="0" xfId="0" applyNumberFormat="1" applyFont="1" applyFill="1" applyBorder="1"/>
    <xf numFmtId="0" fontId="18" fillId="37" borderId="25" xfId="62" applyNumberFormat="1" applyFont="1" applyFill="1" applyBorder="1" applyAlignment="1"/>
    <xf numFmtId="0" fontId="18" fillId="0" borderId="25" xfId="62" applyNumberFormat="1" applyFont="1" applyBorder="1" applyAlignment="1"/>
    <xf numFmtId="49" fontId="25" fillId="0" borderId="0" xfId="0" applyNumberFormat="1" applyFont="1" applyAlignment="1">
      <alignment horizontal="center"/>
    </xf>
    <xf numFmtId="0" fontId="45" fillId="34" borderId="16" xfId="0" applyFont="1" applyFill="1" applyBorder="1" applyAlignment="1">
      <alignment horizontal="center"/>
    </xf>
    <xf numFmtId="0" fontId="45" fillId="34" borderId="0" xfId="0" applyFont="1" applyFill="1" applyBorder="1" applyAlignment="1">
      <alignment horizontal="center" wrapText="1"/>
    </xf>
    <xf numFmtId="1" fontId="45" fillId="0" borderId="0" xfId="0" applyNumberFormat="1" applyFont="1"/>
    <xf numFmtId="1" fontId="45" fillId="0" borderId="0" xfId="0" applyNumberFormat="1" applyFont="1" applyFill="1"/>
    <xf numFmtId="49" fontId="25" fillId="0" borderId="0" xfId="64" applyNumberFormat="1" applyFont="1"/>
    <xf numFmtId="0" fontId="15" fillId="0" borderId="0" xfId="81"/>
    <xf numFmtId="1" fontId="46" fillId="0" borderId="17" xfId="0" applyNumberFormat="1" applyFont="1" applyFill="1" applyBorder="1"/>
    <xf numFmtId="0" fontId="68" fillId="0" borderId="25" xfId="0" applyFont="1" applyBorder="1"/>
    <xf numFmtId="0" fontId="56" fillId="0" borderId="0" xfId="0" applyFont="1" applyAlignment="1">
      <alignment wrapText="1"/>
    </xf>
    <xf numFmtId="0" fontId="56" fillId="0" borderId="0" xfId="0" applyFont="1" applyAlignment="1">
      <alignment horizontal="center" wrapText="1"/>
    </xf>
    <xf numFmtId="1" fontId="56" fillId="0" borderId="0" xfId="0" applyNumberFormat="1" applyFont="1" applyAlignment="1">
      <alignment horizontal="center" wrapText="1"/>
    </xf>
    <xf numFmtId="0" fontId="25" fillId="0" borderId="0" xfId="0" applyFont="1" applyAlignment="1">
      <alignment wrapText="1"/>
    </xf>
    <xf numFmtId="0" fontId="42" fillId="0" borderId="0" xfId="0" applyFont="1" applyAlignment="1">
      <alignment wrapText="1"/>
    </xf>
    <xf numFmtId="0" fontId="42" fillId="0" borderId="0" xfId="0" applyFont="1" applyAlignment="1">
      <alignment horizontal="center" wrapText="1"/>
    </xf>
    <xf numFmtId="1" fontId="42" fillId="0" borderId="0" xfId="0" applyNumberFormat="1" applyFont="1" applyAlignment="1">
      <alignment horizontal="center" wrapText="1"/>
    </xf>
    <xf numFmtId="1" fontId="0" fillId="0" borderId="0" xfId="0" applyNumberFormat="1" applyAlignment="1">
      <alignment horizontal="center" wrapText="1"/>
    </xf>
    <xf numFmtId="0" fontId="14" fillId="37" borderId="32" xfId="0" applyNumberFormat="1" applyFont="1" applyFill="1" applyBorder="1"/>
    <xf numFmtId="0" fontId="14" fillId="0" borderId="32" xfId="0" applyNumberFormat="1" applyFont="1" applyBorder="1"/>
    <xf numFmtId="0" fontId="0" fillId="0" borderId="0" xfId="0" applyNumberFormat="1" applyAlignment="1">
      <alignment wrapText="1"/>
    </xf>
    <xf numFmtId="3" fontId="0" fillId="0" borderId="0" xfId="0" applyNumberFormat="1"/>
    <xf numFmtId="0" fontId="0" fillId="33" borderId="0" xfId="0" applyFill="1" applyAlignment="1">
      <alignment horizontal="center"/>
    </xf>
    <xf numFmtId="0" fontId="0" fillId="0" borderId="0" xfId="0" applyAlignment="1">
      <alignment horizontal="center"/>
    </xf>
    <xf numFmtId="0" fontId="12" fillId="0" borderId="0" xfId="96" applyFill="1" applyAlignment="1">
      <alignment wrapText="1"/>
    </xf>
    <xf numFmtId="0" fontId="11" fillId="0" borderId="0" xfId="96" applyFont="1" applyFill="1" applyAlignment="1">
      <alignment wrapText="1"/>
    </xf>
    <xf numFmtId="49" fontId="10" fillId="0" borderId="0" xfId="38" applyNumberFormat="1" applyFont="1"/>
    <xf numFmtId="49" fontId="10" fillId="0" borderId="0" xfId="38" applyNumberFormat="1" applyFont="1" applyAlignment="1">
      <alignment horizontal="center"/>
    </xf>
    <xf numFmtId="0" fontId="10" fillId="0" borderId="0" xfId="97" applyAlignment="1">
      <alignment horizontal="center"/>
    </xf>
    <xf numFmtId="1" fontId="10" fillId="0" borderId="0" xfId="97" applyNumberFormat="1" applyAlignment="1">
      <alignment horizontal="center"/>
    </xf>
    <xf numFmtId="1" fontId="10" fillId="33" borderId="0" xfId="97" applyNumberFormat="1" applyFill="1" applyAlignment="1">
      <alignment horizontal="center"/>
    </xf>
    <xf numFmtId="0" fontId="45" fillId="0" borderId="0" xfId="0" applyNumberFormat="1" applyFont="1"/>
    <xf numFmtId="49" fontId="9" fillId="0" borderId="0" xfId="38" applyNumberFormat="1" applyFont="1" applyAlignment="1">
      <alignment horizontal="center"/>
    </xf>
    <xf numFmtId="0" fontId="56" fillId="0" borderId="0" xfId="98" applyFont="1"/>
    <xf numFmtId="1" fontId="56" fillId="0" borderId="0" xfId="98" applyNumberFormat="1" applyFont="1" applyAlignment="1">
      <alignment horizontal="center"/>
    </xf>
    <xf numFmtId="0" fontId="9" fillId="0" borderId="0" xfId="98"/>
    <xf numFmtId="0" fontId="42" fillId="0" borderId="0" xfId="98" applyFont="1"/>
    <xf numFmtId="0" fontId="42" fillId="0" borderId="0" xfId="98" applyFont="1" applyAlignment="1">
      <alignment horizontal="center"/>
    </xf>
    <xf numFmtId="1" fontId="42" fillId="0" borderId="0" xfId="98" applyNumberFormat="1" applyFont="1" applyAlignment="1">
      <alignment horizontal="center"/>
    </xf>
    <xf numFmtId="0" fontId="9" fillId="0" borderId="0" xfId="98" applyAlignment="1">
      <alignment horizontal="center"/>
    </xf>
    <xf numFmtId="1" fontId="9" fillId="0" borderId="0" xfId="98" applyNumberFormat="1" applyAlignment="1">
      <alignment horizontal="center"/>
    </xf>
    <xf numFmtId="0" fontId="8" fillId="0" borderId="0" xfId="98" applyFont="1"/>
    <xf numFmtId="0" fontId="71" fillId="0" borderId="0" xfId="0" applyFont="1" applyAlignment="1">
      <alignment horizontal="center" wrapText="1"/>
    </xf>
    <xf numFmtId="0" fontId="45" fillId="0" borderId="0" xfId="0" applyFont="1" applyAlignment="1">
      <alignment horizontal="center" wrapText="1"/>
    </xf>
    <xf numFmtId="0" fontId="45" fillId="0" borderId="12" xfId="0" applyFont="1" applyBorder="1" applyAlignment="1">
      <alignment wrapText="1"/>
    </xf>
    <xf numFmtId="0" fontId="45" fillId="42" borderId="0" xfId="0" applyFont="1" applyFill="1" applyAlignment="1">
      <alignment wrapText="1"/>
    </xf>
    <xf numFmtId="0" fontId="65" fillId="0" borderId="33" xfId="0" applyFont="1" applyBorder="1"/>
    <xf numFmtId="0" fontId="65" fillId="0" borderId="33" xfId="0" applyFont="1" applyFill="1" applyBorder="1"/>
    <xf numFmtId="0" fontId="0" fillId="0" borderId="33" xfId="0" applyBorder="1" applyAlignment="1">
      <alignment horizontal="center" wrapText="1"/>
    </xf>
    <xf numFmtId="0" fontId="44" fillId="0" borderId="18" xfId="0" applyFont="1" applyBorder="1" applyAlignment="1">
      <alignment wrapText="1"/>
    </xf>
    <xf numFmtId="0" fontId="71" fillId="0" borderId="13" xfId="0" applyFont="1" applyBorder="1" applyAlignment="1">
      <alignment horizontal="center" wrapText="1"/>
    </xf>
    <xf numFmtId="0" fontId="71" fillId="0" borderId="14" xfId="0" applyFont="1" applyBorder="1" applyAlignment="1">
      <alignment horizontal="center" wrapText="1"/>
    </xf>
    <xf numFmtId="0" fontId="71" fillId="0" borderId="15" xfId="0" applyFont="1" applyBorder="1" applyAlignment="1">
      <alignment horizontal="center" wrapText="1"/>
    </xf>
    <xf numFmtId="0" fontId="56" fillId="0" borderId="0" xfId="98" applyFont="1" applyAlignment="1">
      <alignment horizontal="center"/>
    </xf>
    <xf numFmtId="0" fontId="73" fillId="0" borderId="0" xfId="0" applyFont="1"/>
    <xf numFmtId="0" fontId="74" fillId="36" borderId="0" xfId="0" applyFont="1" applyFill="1" applyAlignment="1"/>
    <xf numFmtId="0" fontId="56" fillId="36" borderId="0" xfId="0" applyFont="1" applyFill="1" applyAlignment="1">
      <alignment wrapText="1"/>
    </xf>
    <xf numFmtId="0" fontId="7" fillId="0" borderId="0" xfId="96" applyFont="1" applyFill="1" applyAlignment="1">
      <alignment wrapText="1"/>
    </xf>
    <xf numFmtId="49" fontId="6" fillId="0" borderId="0" xfId="38" applyNumberFormat="1" applyFont="1"/>
    <xf numFmtId="49" fontId="5" fillId="0" borderId="0" xfId="38" applyNumberFormat="1" applyFont="1"/>
    <xf numFmtId="0" fontId="73" fillId="0" borderId="0" xfId="98" applyFont="1" applyFill="1"/>
    <xf numFmtId="0" fontId="75" fillId="43" borderId="0" xfId="98" applyFont="1" applyFill="1" applyAlignment="1">
      <alignment horizontal="center"/>
    </xf>
    <xf numFmtId="1" fontId="75" fillId="0" borderId="0" xfId="98" applyNumberFormat="1" applyFont="1" applyFill="1" applyAlignment="1">
      <alignment horizontal="center"/>
    </xf>
    <xf numFmtId="0" fontId="75" fillId="0" borderId="0" xfId="98" applyFont="1" applyFill="1" applyAlignment="1">
      <alignment horizontal="center"/>
    </xf>
    <xf numFmtId="0" fontId="65" fillId="36" borderId="0" xfId="0" applyNumberFormat="1" applyFont="1" applyFill="1"/>
    <xf numFmtId="0" fontId="45" fillId="36" borderId="0" xfId="0" applyNumberFormat="1" applyFont="1" applyFill="1"/>
    <xf numFmtId="0" fontId="0" fillId="36" borderId="0" xfId="0" applyFont="1" applyFill="1"/>
    <xf numFmtId="49" fontId="0" fillId="36" borderId="0" xfId="0" applyNumberFormat="1" applyFont="1" applyFill="1" applyAlignment="1">
      <alignment horizontal="center"/>
    </xf>
    <xf numFmtId="0" fontId="45" fillId="36" borderId="0" xfId="0" applyNumberFormat="1" applyFont="1" applyFill="1" applyAlignment="1">
      <alignment horizontal="center"/>
    </xf>
    <xf numFmtId="49" fontId="23" fillId="36" borderId="0" xfId="38" applyNumberFormat="1" applyFont="1" applyFill="1" applyAlignment="1">
      <alignment horizontal="center"/>
    </xf>
    <xf numFmtId="0" fontId="0" fillId="36" borderId="0" xfId="0" applyFill="1"/>
    <xf numFmtId="49" fontId="4" fillId="36" borderId="0" xfId="38" applyNumberFormat="1" applyFont="1" applyFill="1"/>
    <xf numFmtId="0" fontId="0" fillId="36" borderId="0" xfId="0" applyFill="1" applyAlignment="1">
      <alignment wrapText="1"/>
    </xf>
    <xf numFmtId="49" fontId="3" fillId="0" borderId="0" xfId="38" applyNumberFormat="1" applyFont="1" applyAlignment="1">
      <alignment horizontal="center"/>
    </xf>
    <xf numFmtId="0" fontId="76" fillId="44" borderId="25" xfId="0" applyFont="1" applyFill="1" applyBorder="1" applyAlignment="1">
      <alignment horizontal="center" wrapText="1"/>
    </xf>
    <xf numFmtId="0" fontId="76" fillId="44" borderId="34" xfId="0" applyFont="1" applyFill="1" applyBorder="1" applyAlignment="1">
      <alignment horizontal="center" wrapText="1"/>
    </xf>
    <xf numFmtId="0" fontId="2" fillId="0" borderId="34" xfId="0" applyNumberFormat="1" applyFont="1" applyBorder="1"/>
    <xf numFmtId="0" fontId="68" fillId="0" borderId="34" xfId="0" applyFont="1" applyBorder="1"/>
    <xf numFmtId="49" fontId="68" fillId="0" borderId="34" xfId="0" applyNumberFormat="1" applyFont="1" applyBorder="1" applyAlignment="1">
      <alignment horizontal="center"/>
    </xf>
    <xf numFmtId="0" fontId="2" fillId="0" borderId="25" xfId="0" applyNumberFormat="1" applyFont="1" applyBorder="1"/>
    <xf numFmtId="0" fontId="2" fillId="37" borderId="25" xfId="0" applyNumberFormat="1" applyFont="1" applyFill="1" applyBorder="1"/>
    <xf numFmtId="0" fontId="2" fillId="37" borderId="34" xfId="0" applyNumberFormat="1" applyFont="1" applyFill="1" applyBorder="1"/>
    <xf numFmtId="0" fontId="68" fillId="37" borderId="34" xfId="0" applyFont="1" applyFill="1" applyBorder="1"/>
    <xf numFmtId="49" fontId="68" fillId="37" borderId="34" xfId="0" applyNumberFormat="1" applyFont="1" applyFill="1" applyBorder="1" applyAlignment="1">
      <alignment horizontal="center"/>
    </xf>
    <xf numFmtId="0" fontId="2" fillId="0" borderId="34" xfId="0" applyFont="1" applyBorder="1" applyAlignment="1">
      <alignment wrapText="1"/>
    </xf>
    <xf numFmtId="0" fontId="2" fillId="37" borderId="34" xfId="0" applyFont="1" applyFill="1" applyBorder="1" applyAlignment="1">
      <alignment wrapText="1"/>
    </xf>
    <xf numFmtId="0" fontId="77" fillId="44" borderId="34" xfId="0" applyFont="1" applyFill="1" applyBorder="1" applyAlignment="1">
      <alignment horizontal="center" wrapText="1"/>
    </xf>
    <xf numFmtId="49" fontId="2" fillId="37" borderId="34" xfId="38" applyNumberFormat="1" applyFont="1" applyFill="1" applyBorder="1" applyAlignment="1">
      <alignment horizontal="center"/>
    </xf>
    <xf numFmtId="49" fontId="2" fillId="37" borderId="34" xfId="38" applyNumberFormat="1" applyFont="1" applyFill="1" applyBorder="1" applyAlignment="1"/>
    <xf numFmtId="49" fontId="2" fillId="0" borderId="34" xfId="38" applyNumberFormat="1" applyFont="1" applyBorder="1" applyAlignment="1">
      <alignment horizontal="center"/>
    </xf>
    <xf numFmtId="49" fontId="2" fillId="0" borderId="34" xfId="38" applyNumberFormat="1" applyFont="1" applyBorder="1" applyAlignment="1"/>
    <xf numFmtId="0" fontId="42" fillId="0" borderId="35" xfId="0" applyFont="1" applyBorder="1"/>
    <xf numFmtId="0" fontId="42" fillId="0" borderId="36" xfId="0" applyFont="1" applyBorder="1"/>
    <xf numFmtId="0" fontId="42" fillId="0" borderId="36" xfId="0" applyFont="1" applyBorder="1" applyAlignment="1">
      <alignment horizontal="center"/>
    </xf>
    <xf numFmtId="0" fontId="42" fillId="0" borderId="36" xfId="0" applyNumberFormat="1" applyFont="1" applyBorder="1" applyAlignment="1"/>
    <xf numFmtId="0" fontId="42" fillId="0" borderId="37" xfId="0" applyNumberFormat="1" applyFont="1" applyBorder="1" applyAlignment="1"/>
    <xf numFmtId="0" fontId="42" fillId="0" borderId="38" xfId="0" applyFont="1" applyBorder="1"/>
    <xf numFmtId="0" fontId="42" fillId="0" borderId="37" xfId="0" applyFont="1" applyBorder="1"/>
    <xf numFmtId="1" fontId="42" fillId="0" borderId="38" xfId="0" applyNumberFormat="1" applyFont="1" applyBorder="1"/>
    <xf numFmtId="1" fontId="42" fillId="0" borderId="36" xfId="0" applyNumberFormat="1" applyFont="1" applyBorder="1"/>
    <xf numFmtId="0" fontId="78" fillId="0" borderId="36" xfId="0" applyFont="1" applyBorder="1"/>
    <xf numFmtId="0" fontId="78" fillId="0" borderId="39" xfId="0" applyFont="1" applyBorder="1"/>
    <xf numFmtId="0" fontId="76" fillId="44" borderId="0" xfId="0" applyFont="1" applyFill="1" applyBorder="1" applyAlignment="1">
      <alignment horizontal="center" wrapText="1"/>
    </xf>
    <xf numFmtId="17" fontId="0" fillId="0" borderId="0" xfId="0" applyNumberFormat="1"/>
    <xf numFmtId="0" fontId="73" fillId="45" borderId="40" xfId="0" applyFont="1" applyFill="1" applyBorder="1"/>
    <xf numFmtId="0" fontId="73" fillId="0" borderId="40" xfId="0" applyFont="1" applyBorder="1"/>
    <xf numFmtId="0" fontId="0" fillId="0" borderId="26" xfId="0" applyFont="1" applyBorder="1" applyAlignment="1">
      <alignment horizontal="center" wrapText="1"/>
    </xf>
    <xf numFmtId="0" fontId="0" fillId="0" borderId="0" xfId="0" applyFont="1" applyBorder="1" applyAlignment="1">
      <alignment horizontal="center" wrapText="1"/>
    </xf>
    <xf numFmtId="0" fontId="42" fillId="0" borderId="35" xfId="0" applyNumberFormat="1" applyFont="1" applyBorder="1" applyAlignment="1"/>
    <xf numFmtId="0" fontId="42" fillId="0" borderId="38" xfId="0" applyNumberFormat="1" applyFont="1" applyBorder="1" applyAlignment="1"/>
    <xf numFmtId="0" fontId="42" fillId="0" borderId="39" xfId="0" applyNumberFormat="1" applyFont="1" applyBorder="1" applyAlignment="1"/>
    <xf numFmtId="1" fontId="45" fillId="36" borderId="0" xfId="0" applyNumberFormat="1" applyFont="1" applyFill="1"/>
    <xf numFmtId="0" fontId="1" fillId="0" borderId="0" xfId="0" applyNumberFormat="1" applyFont="1" applyFill="1" applyBorder="1" applyAlignment="1" applyProtection="1"/>
    <xf numFmtId="0" fontId="1" fillId="41" borderId="0" xfId="0" applyNumberFormat="1" applyFont="1" applyFill="1" applyBorder="1" applyAlignment="1" applyProtection="1">
      <alignment horizontal="center"/>
    </xf>
    <xf numFmtId="1" fontId="1" fillId="0" borderId="0" xfId="0" applyNumberFormat="1" applyFont="1" applyFill="1" applyBorder="1" applyAlignment="1" applyProtection="1">
      <alignment horizontal="center"/>
    </xf>
    <xf numFmtId="0" fontId="1" fillId="0" borderId="0" xfId="0" applyNumberFormat="1" applyFont="1" applyFill="1" applyBorder="1" applyAlignment="1" applyProtection="1">
      <alignment horizontal="center"/>
    </xf>
    <xf numFmtId="49" fontId="25" fillId="0" borderId="0" xfId="0" applyNumberFormat="1" applyFont="1" applyFill="1" applyBorder="1"/>
    <xf numFmtId="1" fontId="0" fillId="0" borderId="0" xfId="0" applyNumberFormat="1" applyFill="1"/>
    <xf numFmtId="49" fontId="25" fillId="0" borderId="0" xfId="64" applyNumberFormat="1" applyFont="1" applyFill="1"/>
    <xf numFmtId="0" fontId="0" fillId="0" borderId="0" xfId="0" applyFill="1"/>
    <xf numFmtId="49" fontId="1" fillId="36" borderId="0" xfId="38" applyNumberFormat="1" applyFont="1" applyFill="1" applyAlignment="1">
      <alignment horizontal="center"/>
    </xf>
    <xf numFmtId="17" fontId="1" fillId="0" borderId="0" xfId="38" applyNumberFormat="1" applyFont="1"/>
    <xf numFmtId="49" fontId="1" fillId="0" borderId="0" xfId="38" applyNumberFormat="1" applyFont="1"/>
    <xf numFmtId="0" fontId="44" fillId="0" borderId="13" xfId="0" applyFont="1" applyBorder="1" applyAlignment="1">
      <alignment horizontal="center" wrapText="1"/>
    </xf>
    <xf numFmtId="0" fontId="44" fillId="0" borderId="15" xfId="0" applyFont="1" applyBorder="1" applyAlignment="1">
      <alignment horizontal="center" wrapText="1"/>
    </xf>
    <xf numFmtId="0" fontId="72" fillId="0" borderId="13" xfId="0" applyFont="1" applyBorder="1" applyAlignment="1">
      <alignment horizontal="center"/>
    </xf>
    <xf numFmtId="0" fontId="72" fillId="0" borderId="14" xfId="0" applyFont="1" applyBorder="1" applyAlignment="1">
      <alignment horizontal="center"/>
    </xf>
    <xf numFmtId="0" fontId="72" fillId="0" borderId="15" xfId="0" applyFont="1" applyBorder="1" applyAlignment="1">
      <alignment horizontal="center"/>
    </xf>
    <xf numFmtId="0" fontId="55" fillId="0" borderId="0" xfId="0" applyFont="1" applyFill="1" applyAlignment="1">
      <alignment horizontal="center" wrapText="1"/>
    </xf>
    <xf numFmtId="0" fontId="66" fillId="0" borderId="0" xfId="0" applyFont="1" applyFill="1" applyAlignment="1">
      <alignment horizontal="center" wrapText="1"/>
    </xf>
    <xf numFmtId="0" fontId="44" fillId="0" borderId="14" xfId="0" applyFont="1" applyBorder="1" applyAlignment="1">
      <alignment horizontal="center" wrapText="1"/>
    </xf>
    <xf numFmtId="0" fontId="69" fillId="0" borderId="17" xfId="0" applyFont="1" applyBorder="1" applyAlignment="1">
      <alignment horizontal="left" wrapText="1"/>
    </xf>
    <xf numFmtId="0" fontId="56" fillId="0" borderId="0" xfId="0" applyFont="1" applyAlignment="1">
      <alignment horizontal="center" wrapText="1"/>
    </xf>
    <xf numFmtId="17" fontId="56" fillId="0" borderId="0" xfId="0" applyNumberFormat="1" applyFont="1" applyAlignment="1">
      <alignment horizontal="center" wrapText="1"/>
    </xf>
    <xf numFmtId="0" fontId="56" fillId="0" borderId="0" xfId="98" applyFont="1" applyAlignment="1">
      <alignment horizontal="center"/>
    </xf>
    <xf numFmtId="17" fontId="56" fillId="0" borderId="0" xfId="98" applyNumberFormat="1" applyFont="1" applyAlignment="1">
      <alignment horizontal="center"/>
    </xf>
  </cellXfs>
  <cellStyles count="125">
    <cellStyle name="20% - Accent1" xfId="1" builtinId="30" customBuiltin="1"/>
    <cellStyle name="20% - Accent1 2" xfId="50"/>
    <cellStyle name="20% - Accent1 3" xfId="65"/>
    <cellStyle name="20% - Accent1 4" xfId="83"/>
    <cellStyle name="20% - Accent2" xfId="2" builtinId="34" customBuiltin="1"/>
    <cellStyle name="20% - Accent2 2" xfId="52"/>
    <cellStyle name="20% - Accent2 3" xfId="66"/>
    <cellStyle name="20% - Accent2 4" xfId="85"/>
    <cellStyle name="20% - Accent3" xfId="3" builtinId="38" customBuiltin="1"/>
    <cellStyle name="20% - Accent3 2" xfId="54"/>
    <cellStyle name="20% - Accent3 3" xfId="67"/>
    <cellStyle name="20% - Accent3 4" xfId="87"/>
    <cellStyle name="20% - Accent4" xfId="4" builtinId="42" customBuiltin="1"/>
    <cellStyle name="20% - Accent4 2" xfId="56"/>
    <cellStyle name="20% - Accent4 3" xfId="68"/>
    <cellStyle name="20% - Accent4 4" xfId="89"/>
    <cellStyle name="20% - Accent5" xfId="5" builtinId="46" customBuiltin="1"/>
    <cellStyle name="20% - Accent5 2" xfId="58"/>
    <cellStyle name="20% - Accent5 3" xfId="69"/>
    <cellStyle name="20% - Accent5 4" xfId="91"/>
    <cellStyle name="20% - Accent6" xfId="6" builtinId="50" customBuiltin="1"/>
    <cellStyle name="20% - Accent6 2" xfId="60"/>
    <cellStyle name="20% - Accent6 3" xfId="70"/>
    <cellStyle name="20% - Accent6 4" xfId="93"/>
    <cellStyle name="40% - Accent1" xfId="7" builtinId="31" customBuiltin="1"/>
    <cellStyle name="40% - Accent1 2" xfId="51"/>
    <cellStyle name="40% - Accent1 3" xfId="71"/>
    <cellStyle name="40% - Accent1 4" xfId="84"/>
    <cellStyle name="40% - Accent2" xfId="8" builtinId="35" customBuiltin="1"/>
    <cellStyle name="40% - Accent2 2" xfId="53"/>
    <cellStyle name="40% - Accent2 3" xfId="72"/>
    <cellStyle name="40% - Accent2 4" xfId="86"/>
    <cellStyle name="40% - Accent3" xfId="9" builtinId="39" customBuiltin="1"/>
    <cellStyle name="40% - Accent3 2" xfId="55"/>
    <cellStyle name="40% - Accent3 3" xfId="73"/>
    <cellStyle name="40% - Accent3 4" xfId="88"/>
    <cellStyle name="40% - Accent4" xfId="10" builtinId="43" customBuiltin="1"/>
    <cellStyle name="40% - Accent4 2" xfId="57"/>
    <cellStyle name="40% - Accent4 3" xfId="74"/>
    <cellStyle name="40% - Accent4 4" xfId="90"/>
    <cellStyle name="40% - Accent5" xfId="11" builtinId="47" customBuiltin="1"/>
    <cellStyle name="40% - Accent5 2" xfId="59"/>
    <cellStyle name="40% - Accent5 3" xfId="75"/>
    <cellStyle name="40% - Accent5 4" xfId="92"/>
    <cellStyle name="40% - Accent6" xfId="12" builtinId="51" customBuiltin="1"/>
    <cellStyle name="40% - Accent6 2" xfId="61"/>
    <cellStyle name="40% - Accent6 3" xfId="76"/>
    <cellStyle name="40% - Accent6 4" xfId="94"/>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Input" xfId="35" builtinId="20" customBuiltin="1"/>
    <cellStyle name="Linked Cell" xfId="36" builtinId="24" customBuiltin="1"/>
    <cellStyle name="Neutral" xfId="37" builtinId="28" customBuiltin="1"/>
    <cellStyle name="Normal" xfId="0" builtinId="0"/>
    <cellStyle name="Normal 10" xfId="81"/>
    <cellStyle name="Normal 11" xfId="95"/>
    <cellStyle name="Normal 12" xfId="96"/>
    <cellStyle name="Normal 13" xfId="97"/>
    <cellStyle name="Normal 14" xfId="98"/>
    <cellStyle name="Normal 2" xfId="38"/>
    <cellStyle name="Normal 2 2" xfId="45"/>
    <cellStyle name="Normal 2 3" xfId="77"/>
    <cellStyle name="Normal 2 4" xfId="99"/>
    <cellStyle name="Normal 3" xfId="44"/>
    <cellStyle name="Normal 4" xfId="46"/>
    <cellStyle name="Normal 4 2" xfId="79"/>
    <cellStyle name="Normal 5" xfId="47"/>
    <cellStyle name="Normal 5 2" xfId="80"/>
    <cellStyle name="Normal 6" xfId="48"/>
    <cellStyle name="Normal 7" xfId="62"/>
    <cellStyle name="Normal 8" xfId="63"/>
    <cellStyle name="Normal 9" xfId="64"/>
    <cellStyle name="Note 2" xfId="39"/>
    <cellStyle name="Note 2 2" xfId="78"/>
    <cellStyle name="Note 3" xfId="49"/>
    <cellStyle name="Note 4" xfId="82"/>
    <cellStyle name="Output" xfId="40" builtinId="21" customBuiltin="1"/>
    <cellStyle name="Title" xfId="41" builtinId="15" customBuiltin="1"/>
    <cellStyle name="Total" xfId="42" builtinId="25" customBuiltin="1"/>
    <cellStyle name="Warning Text" xfId="43" builtinId="11" customBuiltin="1"/>
  </cellStyles>
  <dxfs count="163">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b/>
        <i val="0"/>
        <strike val="0"/>
        <condense val="0"/>
        <extend val="0"/>
        <outline val="0"/>
        <shadow val="0"/>
        <u val="none"/>
        <vertAlign val="baseline"/>
        <sz val="10"/>
        <color theme="1"/>
        <name val="Times New Roman"/>
        <scheme val="none"/>
      </font>
      <border diagonalUp="0" diagonalDown="0" outline="0">
        <left/>
        <right style="thin">
          <color theme="4" tint="0.39997558519241921"/>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1" formatCode="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1" formatCode="0"/>
      <border diagonalUp="0" diagonalDown="0" outline="0">
        <left style="thin">
          <color auto="1"/>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style="thin">
          <color auto="1"/>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style="thin">
          <color auto="1"/>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style="thin">
          <color auto="1"/>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style="thin">
          <color auto="1"/>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style="thin">
          <color auto="1"/>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style="thin">
          <color theme="4" tint="0.39997558519241921"/>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style="thin">
          <color theme="4" tint="0.39997558519241921"/>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style="thin">
          <color auto="1"/>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style="thin">
          <color auto="1"/>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style="thin">
          <color theme="4" tint="0.39997558519241921"/>
        </left>
        <right/>
        <top style="double">
          <color theme="4"/>
        </top>
        <bottom style="thin">
          <color theme="4" tint="0.39997558519241921"/>
        </bottom>
      </border>
    </dxf>
    <dxf>
      <alignment wrapText="1" readingOrder="0"/>
    </dxf>
    <dxf>
      <numFmt numFmtId="3" formatCode="#,##0"/>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ill>
        <patternFill patternType="solid">
          <bgColor theme="5" tint="0.39997558519241921"/>
        </patternFill>
      </fill>
    </dxf>
    <dxf>
      <fill>
        <patternFill patternType="solid">
          <bgColor theme="5" tint="0.79998168889431442"/>
        </patternFill>
      </fill>
    </dxf>
    <dxf>
      <alignment horizontal="center" readingOrder="0"/>
    </dxf>
    <dxf>
      <alignment wrapText="1" readingOrder="0"/>
    </dxf>
    <dxf>
      <alignment wrapText="1" readingOrder="0"/>
    </dxf>
    <dxf>
      <font>
        <b val="0"/>
        <i val="0"/>
        <strike val="0"/>
        <condense val="0"/>
        <extend val="0"/>
        <outline val="0"/>
        <shadow val="0"/>
        <u val="none"/>
        <vertAlign val="baseline"/>
        <sz val="11"/>
        <color indexed="23"/>
        <name val="Arial"/>
        <scheme val="none"/>
      </font>
      <numFmt numFmtId="168" formatCode="###0.0;###0.0"/>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7" formatCode="###0.000;###0.0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border diagonalUp="0" diagonalDown="0">
        <left style="thin">
          <color indexed="64"/>
        </left>
        <right/>
        <top/>
        <bottom/>
      </border>
    </dxf>
    <dxf>
      <border diagonalUp="0" diagonalDown="0">
        <left style="thin">
          <color indexed="64"/>
        </left>
        <right/>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sz val="11"/>
        <color rgb="FF000000"/>
        <name val="Calibri"/>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sz val="11"/>
        <color rgb="FF000000"/>
        <name val="Calibri"/>
        <scheme val="minor"/>
      </font>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9" tint="0.59999389629810485"/>
        </patternFill>
      </fill>
      <alignment horizontal="center" vertical="bottom" textRotation="0" wrapText="0" indent="0" justifyLastLine="0" shrinkToFit="0" readingOrder="0"/>
      <border diagonalUp="0" diagonalDown="0" outline="0">
        <left/>
        <right/>
        <top/>
        <bottom/>
      </border>
      <protection locked="1" hidden="0"/>
    </dxf>
    <dxf>
      <font>
        <sz val="11"/>
        <color rgb="FF000000"/>
        <name val="Calibri"/>
        <scheme val="minor"/>
      </font>
      <fill>
        <patternFill patternType="solid">
          <fgColor rgb="FF000000"/>
          <bgColor rgb="FFC6E0B4"/>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0000"/>
        <name val="Calibri"/>
        <scheme val="none"/>
      </font>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0000"/>
        <name val="Calibri"/>
        <scheme val="none"/>
      </font>
      <fill>
        <patternFill patternType="none">
          <fgColor indexed="64"/>
          <bgColor indexed="65"/>
        </patternFill>
      </fill>
    </dxf>
    <dxf>
      <alignment horizontal="general" vertical="bottom" textRotation="0" wrapText="1" indent="0" justifyLastLine="0" shrinkToFit="0" readingOrder="0"/>
    </dxf>
    <dxf>
      <alignment vertical="bottom" textRotation="0" wrapText="1" indent="0" justifyLastLine="0" shrinkToFit="0" readingOrder="0"/>
    </dxf>
    <dxf>
      <numFmt numFmtId="0" formatCode="General"/>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numFmt numFmtId="0" formatCode="General"/>
      <alignment horizontal="center" vertical="bottom" textRotation="0" wrapText="0" indent="0" justifyLastLine="0" shrinkToFit="0" readingOrder="0"/>
    </dxf>
    <dxf>
      <numFmt numFmtId="1" formatCode="0"/>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alignment vertical="bottom" textRotation="0" wrapText="1" indent="0" justifyLastLine="0" shrinkToFit="0" readingOrder="0"/>
    </dxf>
    <dxf>
      <numFmt numFmtId="0" formatCode="General"/>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dxf>
    <dxf>
      <font>
        <strike val="0"/>
        <outline val="0"/>
        <shadow val="0"/>
        <u val="none"/>
        <vertAlign val="baseline"/>
        <sz val="1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numFmt numFmtId="0" formatCode="General"/>
      <border diagonalUp="0" diagonalDown="0">
        <left/>
        <right style="thick">
          <color rgb="FFFF0000"/>
        </right>
        <top/>
        <bottom/>
        <vertical/>
        <horizontal/>
      </border>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alignment vertical="bottom" textRotation="0" wrapText="1" indent="0" justifyLastLine="0" shrinkToFit="0" readingOrder="0"/>
      <border outline="0">
        <left style="thin">
          <color indexed="64"/>
        </left>
      </border>
    </dxf>
    <dxf>
      <font>
        <strike val="0"/>
        <outline val="0"/>
        <shadow val="0"/>
        <u val="none"/>
        <vertAlign val="baseline"/>
        <sz val="11"/>
        <name val="Calibri"/>
        <scheme val="minor"/>
      </font>
      <numFmt numFmtId="1" formatCode="0"/>
      <border diagonalUp="0" diagonalDown="0">
        <left style="thick">
          <color rgb="FFFF0000"/>
        </left>
        <right style="thick">
          <color rgb="FFFF0000"/>
        </right>
        <top/>
        <bottom/>
        <vertical/>
        <horizontal/>
      </border>
    </dxf>
    <dxf>
      <font>
        <b val="0"/>
        <i val="0"/>
        <strike val="0"/>
        <condense val="0"/>
        <extend val="0"/>
        <outline val="0"/>
        <shadow val="0"/>
        <u val="none"/>
        <vertAlign val="baseline"/>
        <sz val="11"/>
        <color auto="1"/>
        <name val="Calibri"/>
        <scheme val="minor"/>
      </font>
      <numFmt numFmtId="1" formatCode="0"/>
    </dxf>
    <dxf>
      <font>
        <strike val="0"/>
        <outline val="0"/>
        <shadow val="0"/>
        <u val="none"/>
        <vertAlign val="baseline"/>
        <sz val="11"/>
        <name val="Calibri"/>
        <scheme val="minor"/>
      </font>
      <numFmt numFmtId="1" formatCode="0"/>
      <border diagonalUp="0" diagonalDown="0">
        <left/>
        <right style="thin">
          <color indexed="64"/>
        </right>
        <top/>
        <bottom/>
      </border>
    </dxf>
    <dxf>
      <font>
        <b val="0"/>
        <i val="0"/>
        <strike val="0"/>
        <condense val="0"/>
        <extend val="0"/>
        <outline val="0"/>
        <shadow val="0"/>
        <u val="none"/>
        <vertAlign val="baseline"/>
        <sz val="11"/>
        <color auto="1"/>
        <name val="Calibri"/>
        <scheme val="minor"/>
      </font>
      <numFmt numFmtId="1" formatCode="0"/>
    </dxf>
    <dxf>
      <font>
        <b val="0"/>
        <i val="0"/>
        <strike val="0"/>
        <condense val="0"/>
        <extend val="0"/>
        <outline val="0"/>
        <shadow val="0"/>
        <u val="none"/>
        <vertAlign val="baseline"/>
        <sz val="11"/>
        <color auto="1"/>
        <name val="Calibri"/>
        <scheme val="minor"/>
      </font>
      <numFmt numFmtId="1" formatCode="0"/>
    </dxf>
    <dxf>
      <font>
        <strike val="0"/>
        <outline val="0"/>
        <shadow val="0"/>
        <u val="none"/>
        <vertAlign val="baseline"/>
        <sz val="11"/>
        <name val="Calibri"/>
        <scheme val="minor"/>
      </font>
      <numFmt numFmtId="1" formatCode="0"/>
      <fill>
        <patternFill patternType="none">
          <fgColor indexed="64"/>
          <bgColor auto="1"/>
        </patternFill>
      </fill>
      <border diagonalUp="0" diagonalDown="0">
        <left style="thin">
          <color indexed="64"/>
        </left>
        <right/>
        <top/>
        <bottom/>
      </border>
    </dxf>
    <dxf>
      <font>
        <b val="0"/>
        <i val="0"/>
        <strike val="0"/>
        <condense val="0"/>
        <extend val="0"/>
        <outline val="0"/>
        <shadow val="0"/>
        <u val="none"/>
        <vertAlign val="baseline"/>
        <sz val="11"/>
        <color auto="1"/>
        <name val="Calibri"/>
        <scheme val="minor"/>
      </font>
      <numFmt numFmtId="0" formatCode="General"/>
    </dxf>
    <dxf>
      <font>
        <strike val="0"/>
        <outline val="0"/>
        <shadow val="0"/>
        <u val="none"/>
        <vertAlign val="baseline"/>
        <sz val="11"/>
        <name val="Calibri"/>
        <scheme val="minor"/>
      </font>
      <numFmt numFmtId="0" formatCode="General"/>
      <border diagonalUp="0" diagonalDown="0" outline="0">
        <left/>
        <right style="thick">
          <color rgb="FF00B050"/>
        </right>
        <top/>
        <bottom/>
      </border>
    </dxf>
    <dxf>
      <font>
        <strike val="0"/>
        <outline val="0"/>
        <shadow val="0"/>
        <u val="none"/>
        <vertAlign val="baseline"/>
        <sz val="11"/>
        <name val="Calibri"/>
        <scheme val="minor"/>
      </font>
      <numFmt numFmtId="1" formatCode="0"/>
    </dxf>
    <dxf>
      <font>
        <strike val="0"/>
        <outline val="0"/>
        <shadow val="0"/>
        <u val="none"/>
        <vertAlign val="baseline"/>
        <sz val="1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numFmt numFmtId="0" formatCode="General"/>
      <fill>
        <patternFill patternType="solid">
          <fgColor indexed="64"/>
          <bgColor theme="0" tint="-0.34998626667073579"/>
        </patternFill>
      </fill>
    </dxf>
    <dxf>
      <font>
        <sz val="11"/>
        <name val="Calibri"/>
        <scheme val="minor"/>
      </font>
      <fill>
        <patternFill patternType="none">
          <fgColor indexed="64"/>
          <bgColor indexed="65"/>
        </patternFill>
      </fill>
      <alignment horizontal="general" vertical="bottom" textRotation="0" wrapText="1" indent="0" justifyLastLine="0" shrinkToFit="0" readingOrder="0"/>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strike val="0"/>
        <outline val="0"/>
        <shadow val="0"/>
        <u val="none"/>
        <vertAlign val="baseline"/>
        <sz val="11"/>
        <name val="Calibri"/>
        <scheme val="minor"/>
      </font>
      <numFmt numFmtId="0" formatCode="General"/>
      <fill>
        <patternFill patternType="solid">
          <fgColor indexed="64"/>
          <bgColor theme="5" tint="0.59999389629810485"/>
        </patternFill>
      </fill>
      <alignment horizontal="center" vertical="bottom" textRotation="0" indent="0" justifyLastLine="0" shrinkToFit="0" readingOrder="0"/>
    </dxf>
    <dxf>
      <font>
        <strike val="0"/>
        <outline val="0"/>
        <shadow val="0"/>
        <u val="none"/>
        <vertAlign val="baseline"/>
        <sz val="11"/>
        <name val="Calibri"/>
        <scheme val="minor"/>
      </font>
      <numFmt numFmtId="0" formatCode="General"/>
      <fill>
        <patternFill patternType="solid">
          <fgColor indexed="64"/>
          <bgColor rgb="FF92D050"/>
        </patternFill>
      </fill>
      <alignment horizontal="center" vertical="bottom" textRotation="0" indent="0" justifyLastLine="0" shrinkToFit="0" readingOrder="0"/>
      <border diagonalUp="0" diagonalDown="0">
        <left style="thin">
          <color indexed="64"/>
        </left>
        <right/>
        <top/>
        <bottom/>
      </border>
    </dxf>
    <dxf>
      <font>
        <strike val="0"/>
        <outline val="0"/>
        <shadow val="0"/>
        <u val="none"/>
        <vertAlign val="baseline"/>
        <sz val="11"/>
        <name val="Calibri"/>
        <scheme val="minor"/>
      </font>
      <numFmt numFmtId="0" formatCode="General"/>
      <border diagonalUp="0" diagonalDown="0">
        <left/>
        <right style="thick">
          <color indexed="64"/>
        </right>
        <top/>
        <bottom/>
        <vertical/>
        <horizontal/>
      </border>
    </dxf>
    <dxf>
      <font>
        <strike val="0"/>
        <outline val="0"/>
        <shadow val="0"/>
        <u val="none"/>
        <vertAlign val="baseline"/>
        <sz val="11"/>
        <name val="Calibri"/>
        <scheme val="minor"/>
      </font>
      <numFmt numFmtId="30" formatCode="@"/>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0" indent="0" justifyLastLine="0" shrinkToFit="0" readingOrder="0"/>
    </dxf>
    <dxf>
      <font>
        <strike val="0"/>
        <outline val="0"/>
        <shadow val="0"/>
        <u val="none"/>
        <vertAlign val="baseline"/>
        <sz val="11"/>
        <name val="Calibri"/>
        <scheme val="minor"/>
      </font>
      <numFmt numFmtId="30" formatCode="@"/>
      <alignment horizontal="center" vertical="bottom" textRotation="0" wrapText="0" indent="0" justifyLastLine="0" shrinkToFit="0" readingOrder="0"/>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dxf>
    <dxf>
      <alignment horizontal="center" vertical="bottom" textRotation="0" wrapText="1" indent="0" justifyLastLine="0" shrinkToFit="0" readingOrder="0"/>
    </dxf>
  </dxfs>
  <tableStyles count="0" defaultTableStyle="TableStyleMedium2" defaultPivotStyle="PivotStyleLight16"/>
  <colors>
    <mruColors>
      <color rgb="FFFFCC99"/>
      <color rgb="FFFFFFA3"/>
    </mruColors>
  </colors>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externalLink" Target="externalLinks/externalLink1.xml"/><Relationship Id="rId15" Type="http://schemas.openxmlformats.org/officeDocument/2006/relationships/pivotCacheDefinition" Target="pivotCache/pivotCacheDefinition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MAGNUM/Mishaun/Python%20Scripts/Data%20Extraction/Data%20Map%20-%20Gauge%20Sheets%20-%20MPLP.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PLP Data Map"/>
      <sheetName val="FilterList"/>
    </sheetNames>
    <sheetDataSet>
      <sheetData sheetId="0" refreshError="1"/>
      <sheetData sheetId="1">
        <row r="3">
          <cell r="B3" t="str">
            <v>FilterId</v>
          </cell>
        </row>
        <row r="4">
          <cell r="B4" t="str">
            <v>26834</v>
          </cell>
        </row>
        <row r="5">
          <cell r="B5" t="str">
            <v>279199</v>
          </cell>
        </row>
        <row r="6">
          <cell r="B6" t="str">
            <v>27236</v>
          </cell>
        </row>
        <row r="7">
          <cell r="B7" t="str">
            <v>27285</v>
          </cell>
        </row>
        <row r="8">
          <cell r="B8" t="str">
            <v>282350</v>
          </cell>
        </row>
        <row r="9">
          <cell r="B9" t="str">
            <v>27418</v>
          </cell>
        </row>
        <row r="10">
          <cell r="B10" t="str">
            <v>08646</v>
          </cell>
        </row>
        <row r="11">
          <cell r="B11" t="str">
            <v>194224</v>
          </cell>
        </row>
        <row r="12">
          <cell r="B12" t="str">
            <v>278004</v>
          </cell>
        </row>
        <row r="13">
          <cell r="B13" t="str">
            <v>247945</v>
          </cell>
        </row>
        <row r="14">
          <cell r="B14" t="str">
            <v>05446</v>
          </cell>
        </row>
        <row r="15">
          <cell r="B15" t="str">
            <v>25782</v>
          </cell>
        </row>
        <row r="16">
          <cell r="B16" t="str">
            <v>161374</v>
          </cell>
        </row>
        <row r="17">
          <cell r="B17" t="str">
            <v>06169</v>
          </cell>
        </row>
        <row r="18">
          <cell r="B18" t="str">
            <v>287522</v>
          </cell>
        </row>
        <row r="19">
          <cell r="B19" t="str">
            <v>18769</v>
          </cell>
        </row>
        <row r="20">
          <cell r="B20" t="str">
            <v>066093</v>
          </cell>
        </row>
        <row r="21">
          <cell r="B21" t="str">
            <v>834804</v>
          </cell>
        </row>
        <row r="22">
          <cell r="B22" t="str">
            <v>245422</v>
          </cell>
        </row>
        <row r="23">
          <cell r="B23" t="str">
            <v>164970</v>
          </cell>
        </row>
        <row r="24">
          <cell r="B24" t="str">
            <v>14061</v>
          </cell>
        </row>
        <row r="25">
          <cell r="B25" t="str">
            <v>10325</v>
          </cell>
        </row>
        <row r="26">
          <cell r="B26" t="str">
            <v>24644</v>
          </cell>
        </row>
        <row r="27">
          <cell r="B27" t="str">
            <v>03212</v>
          </cell>
        </row>
        <row r="28">
          <cell r="B28" t="str">
            <v>180461</v>
          </cell>
        </row>
        <row r="29">
          <cell r="B29" t="str">
            <v>11349</v>
          </cell>
        </row>
        <row r="30">
          <cell r="B30" t="str">
            <v>193384</v>
          </cell>
        </row>
        <row r="31">
          <cell r="B31" t="str">
            <v>284976</v>
          </cell>
        </row>
        <row r="32">
          <cell r="B32" t="str">
            <v>285001</v>
          </cell>
        </row>
        <row r="33">
          <cell r="B33" t="str">
            <v>284977</v>
          </cell>
        </row>
        <row r="34">
          <cell r="B34" t="str">
            <v>13355</v>
          </cell>
        </row>
        <row r="35">
          <cell r="B35" t="str">
            <v>00394</v>
          </cell>
        </row>
        <row r="36">
          <cell r="B36" t="str">
            <v>184787</v>
          </cell>
        </row>
        <row r="37">
          <cell r="B37" t="str">
            <v>113719</v>
          </cell>
        </row>
        <row r="38">
          <cell r="B38" t="str">
            <v>280236</v>
          </cell>
        </row>
        <row r="39">
          <cell r="B39" t="str">
            <v>10230</v>
          </cell>
        </row>
        <row r="40">
          <cell r="B40" t="str">
            <v>150672</v>
          </cell>
        </row>
        <row r="41">
          <cell r="B41" t="str">
            <v>27401</v>
          </cell>
        </row>
        <row r="42">
          <cell r="B42" t="str">
            <v>27499</v>
          </cell>
        </row>
        <row r="43">
          <cell r="B43" t="str">
            <v>21610</v>
          </cell>
        </row>
        <row r="44">
          <cell r="B44" t="str">
            <v>091859</v>
          </cell>
        </row>
        <row r="45">
          <cell r="B45" t="str">
            <v>244496</v>
          </cell>
        </row>
        <row r="46">
          <cell r="B46" t="str">
            <v>248176</v>
          </cell>
        </row>
        <row r="47">
          <cell r="B47" t="str">
            <v>255119</v>
          </cell>
        </row>
        <row r="48">
          <cell r="B48" t="str">
            <v>207897</v>
          </cell>
        </row>
        <row r="49">
          <cell r="B49" t="str">
            <v>133437</v>
          </cell>
        </row>
        <row r="50">
          <cell r="B50" t="str">
            <v>272206</v>
          </cell>
        </row>
        <row r="51">
          <cell r="B51" t="str">
            <v>286124</v>
          </cell>
        </row>
        <row r="52">
          <cell r="B52" t="str">
            <v>250887</v>
          </cell>
        </row>
        <row r="53">
          <cell r="B53" t="str">
            <v>162080</v>
          </cell>
        </row>
        <row r="54">
          <cell r="B54" t="str">
            <v>174916</v>
          </cell>
        </row>
        <row r="55">
          <cell r="B55" t="str">
            <v>26262</v>
          </cell>
        </row>
        <row r="56">
          <cell r="B56" t="str">
            <v>210200</v>
          </cell>
        </row>
        <row r="57">
          <cell r="B57" t="str">
            <v>215622</v>
          </cell>
        </row>
        <row r="58">
          <cell r="B58" t="str">
            <v>183638</v>
          </cell>
        </row>
        <row r="59">
          <cell r="B59" t="str">
            <v>199834</v>
          </cell>
        </row>
        <row r="60">
          <cell r="B60" t="str">
            <v>201550</v>
          </cell>
        </row>
        <row r="61">
          <cell r="B61" t="str">
            <v>217825</v>
          </cell>
        </row>
        <row r="62">
          <cell r="B62" t="str">
            <v>212342</v>
          </cell>
        </row>
        <row r="63">
          <cell r="B63" t="str">
            <v>226100</v>
          </cell>
        </row>
        <row r="64">
          <cell r="B64" t="str">
            <v>233961</v>
          </cell>
        </row>
        <row r="65">
          <cell r="B65" t="str">
            <v>280832</v>
          </cell>
        </row>
        <row r="66">
          <cell r="B66" t="str">
            <v>011885</v>
          </cell>
        </row>
        <row r="67">
          <cell r="B67" t="str">
            <v>011877</v>
          </cell>
        </row>
        <row r="68">
          <cell r="B68" t="str">
            <v>206045</v>
          </cell>
        </row>
        <row r="69">
          <cell r="B69" t="str">
            <v>173434</v>
          </cell>
        </row>
        <row r="70">
          <cell r="B70" t="str">
            <v>210199</v>
          </cell>
        </row>
        <row r="71">
          <cell r="B71" t="str">
            <v>255120</v>
          </cell>
        </row>
        <row r="72">
          <cell r="B72" t="str">
            <v>201238</v>
          </cell>
        </row>
        <row r="73">
          <cell r="B73" t="str">
            <v>276012</v>
          </cell>
        </row>
        <row r="74">
          <cell r="B74" t="str">
            <v>26743</v>
          </cell>
        </row>
        <row r="75">
          <cell r="B75" t="str">
            <v>27533</v>
          </cell>
        </row>
        <row r="76">
          <cell r="B76" t="str">
            <v>27348</v>
          </cell>
        </row>
        <row r="77">
          <cell r="B77" t="str">
            <v>250087</v>
          </cell>
        </row>
        <row r="78">
          <cell r="B78" t="str">
            <v>13668</v>
          </cell>
        </row>
        <row r="79">
          <cell r="B79" t="str">
            <v>158691</v>
          </cell>
        </row>
        <row r="80">
          <cell r="B80" t="str">
            <v>02099</v>
          </cell>
        </row>
        <row r="81">
          <cell r="B81" t="str">
            <v>26501</v>
          </cell>
        </row>
        <row r="82">
          <cell r="B82" t="str">
            <v>12360</v>
          </cell>
        </row>
        <row r="83">
          <cell r="B83" t="str">
            <v>24861</v>
          </cell>
        </row>
        <row r="84">
          <cell r="B84" t="str">
            <v>27495</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Mishaun Bhakta" refreshedDate="43790.516458564816" createdVersion="4" refreshedVersion="6" minRefreshableVersion="3" recordCount="190">
  <cacheSource type="worksheet">
    <worksheetSource name="rrcworking"/>
  </cacheSource>
  <cacheFields count="29">
    <cacheField name="Magnum Wolfpak #" numFmtId="0">
      <sharedItems containsMixedTypes="1" containsNumber="1" containsInteger="1" minValue="34001" maxValue="599109"/>
    </cacheField>
    <cacheField name="Field Name" numFmtId="0">
      <sharedItems/>
    </cacheField>
    <cacheField name="Lease Name" numFmtId="0">
      <sharedItems count="154">
        <s v="A. SCHROEDER"/>
        <s v="ALEXANDER &quot;A&quot;"/>
        <s v="ANDERSON"/>
        <s v="ANDERSON-THOMPSON"/>
        <s v="ANGERSTEIN, H O"/>
        <s v="B.B. ROGERS GAS UNIT 1"/>
        <s v="BAKER, EARL"/>
        <s v="BAPTIST FOUNDATION"/>
        <s v="BETTGE"/>
        <s v="BEYER"/>
        <s v="BEYER, MONROE"/>
        <s v="BING"/>
        <s v="BLACK STONE MINERALS"/>
        <s v="BMB INVESTMENTS"/>
        <s v="BRADFORD"/>
        <s v="BRISCOE C"/>
        <s v="BROYLES B"/>
        <s v="BURDITT, ALLEN L."/>
        <s v="CASAS"/>
        <s v="CHAPMAN"/>
        <s v="CHICOLETE CREEK"/>
        <s v="CHILDS/MIDDLE/GU"/>
        <s v="CLIFFORD F. SPIES GAS UNIT 1"/>
        <s v="COLLINS-BEVANS"/>
        <s v="DALEY, IRENE"/>
        <s v="DOROTIK G. U."/>
        <s v="DUNCAN, G. C."/>
        <s v="EAST HAMEL GAS UNIT 4"/>
        <s v="EAST HAMEL GU 4"/>
        <s v="FIELDS UNIT"/>
        <s v="FITZHUGH"/>
        <s v="FITZHUGH-MCLEAN"/>
        <s v="FRIENDSHIP"/>
        <s v="FRIENDSHIP G.U."/>
        <s v="FRIENDSHIP NO. 4 GAS UNIT"/>
        <s v="FULLER"/>
        <s v="G.S. HARRISON UNIT"/>
        <s v="GEARY, C. A."/>
        <s v="HAMON-HARVEY"/>
        <s v="HARVEY, J.H. UNIT"/>
        <s v="HATCH, G. W., ET AL"/>
        <s v="HATCH, G.W. ET AL"/>
        <s v="HAYNES, J. F."/>
        <s v="HERDER, GEORGE"/>
        <s v="HILLBOLDT"/>
        <s v="HILLBOLDT GAS UNIT"/>
        <s v="HINTZ ESTATE"/>
        <s v="HINTZ ESTATE &quot;A&quot;"/>
        <s v="HINTZ ESTATE 'A'"/>
        <s v="HOFFMAN 116"/>
        <s v="HOUSTON, WALLACE"/>
        <s v="HUEBNER"/>
        <s v="HURT, GEORGE E."/>
        <s v="HYNES"/>
        <s v="JOHNSON, B. A. &quot;D&quot; OIL UNIT"/>
        <s v="JOHNSON, B. A. 'A'"/>
        <s v="JOHNSON, B. A. 'E' GU"/>
        <s v="JOHNSON, B.A."/>
        <s v="KAECHELE, C. R."/>
        <s v="KAUFER &quot;B&quot; UNIT"/>
        <s v="KAUFER, LEO -B- /BA-2/ UNIT"/>
        <s v="KAUFER, LEO -B- /MA.-1/"/>
        <s v="KEYSTONE MILLS"/>
        <s v="KILROY-TIPTON"/>
        <s v="KOTARA ALDRIDGE GU"/>
        <s v="KOTARA-ALDRIDGE ET AL G U"/>
        <s v="KRUEGAR, D. R."/>
        <s v="LANCASTER, W. H."/>
        <s v="LANCASTER, W.H."/>
        <s v="LEHMANN-ZOCH"/>
        <s v="LIEBERMAN"/>
        <s v="LINDHOLM, CHARLES"/>
        <s v="MANLEY, ALMA"/>
        <s v="MARTIN UNIT"/>
        <s v="MARTINEZ CHILDREN TRUST FUND"/>
        <s v="MARTINEZ GAS UNIT"/>
        <s v="MAXWELL, GEORGE"/>
        <s v="MAY FIELD UNIT"/>
        <s v="MAYES, M. E."/>
        <s v="MCCANN, OLA"/>
        <s v="MCCANN, OLA GAS UNIT"/>
        <s v="MCINTYRE"/>
        <s v="MCINTYRE, WILLIS"/>
        <s v="MCKAMEY"/>
        <s v="MCKINNEY, J. E."/>
        <s v="MCLEAN UNIT 3"/>
        <s v="MCLEAN UNIT 4"/>
        <s v="MCMILLIAN"/>
        <s v="MENDOZA &quot;B&quot;"/>
        <s v="MENNING"/>
        <s v="MENNING A-129"/>
        <s v="MIKESKA"/>
        <s v="MIKESKA, JERRY"/>
        <s v="MILLER WEST"/>
        <s v="MILLER, C.A."/>
        <s v="MOCZYGEMBA, C.W."/>
        <s v="MORSE"/>
        <s v="NASH, HANNAH"/>
        <s v="NELSON, A. E."/>
        <s v="NELSON, A.E"/>
        <s v="OLA MCCANN &quot;A&quot;"/>
        <s v="OLA MCCANN GAS UNIT"/>
        <s v="OVERLAND"/>
        <s v="PARGMANN, A. O."/>
        <s v="PETERSON, JOHN ETAL UNIT"/>
        <s v="PETTUS HEIRS"/>
        <s v="PETTUS, W. W. HEIRS"/>
        <s v="PHILLIP A. MCKINNEY GAS UNIT"/>
        <s v="PIPKIN"/>
        <s v="PIPKIN-WINGATE"/>
        <s v="PLOW REALTY COMPANY"/>
        <s v="POLLY BROWN ET AL"/>
        <s v="POOLE"/>
        <s v="POOLE &quot;B&quot;"/>
        <s v="PRIESMEYER &quot;A&quot;"/>
        <s v="PRIESMEYER, L."/>
        <s v="QUINN, B. E."/>
        <s v="RANCHO CULLEN UNIT"/>
        <s v="RASMUSSEN"/>
        <s v="REDFISH BAY PROPERTIES"/>
        <s v="REDFISH BAY PROPERTIES, LTD."/>
        <s v="RICHARDSON, ET AL GU"/>
        <s v="RIEGER"/>
        <s v="RIEMENSCHNEIDER"/>
        <s v="ROBERTS-MUELLER"/>
        <s v="ROBESON"/>
        <s v="ROGERS, B. B. GU 2"/>
        <s v="ROYAL ET AL"/>
        <s v="SCARBOROUGH"/>
        <s v="SCHAEFER, E. C."/>
        <s v="SCHNITZ, OLIVIA"/>
        <s v="SIMONS-HAFERNICK UNIT"/>
        <s v="SIMONS-VANCE"/>
        <s v="SOUTH MAYES GAS UNIT 10"/>
        <s v="SOUTH MAYES UNIT 6"/>
        <s v="SPIES, CLIFFORD F. G. U. #1"/>
        <s v="SPIES, CLIFFORD F. G. U. #2"/>
        <s v="SPOHN FOUNDATION"/>
        <s v="STATE TRACT 44 UNIT"/>
        <s v="STATE TRACT 750-A"/>
        <s v="STEWART, W. L."/>
        <s v="SUROVIK, FRANK"/>
        <s v="TEN BRINK"/>
        <s v="THREE CITIES"/>
        <s v="TICONDEROGA A"/>
        <s v="TICONDEROGA B"/>
        <s v="TICONDEROGA D"/>
        <s v="TIPTON"/>
        <s v="TITAN"/>
        <s v="VIEMAN, L.D."/>
        <s v="ZAHRADNICK, ALFRED"/>
        <s v="ZENGERLE"/>
        <e v="#N/A" u="1"/>
        <s v="TICONDEROGA GAS UNIT B" u="1"/>
      </sharedItems>
    </cacheField>
    <cacheField name="Well Number" numFmtId="49">
      <sharedItems containsMixedTypes="1" containsNumber="1" containsInteger="1" minValue="0" maxValue="23"/>
    </cacheField>
    <cacheField name="Commingle Permit Number" numFmtId="0">
      <sharedItems containsBlank="1" containsMixedTypes="1" containsNumber="1" containsInteger="1" minValue="1471" maxValue="6114"/>
    </cacheField>
    <cacheField name="District" numFmtId="49">
      <sharedItems/>
    </cacheField>
    <cacheField name="Lease Type" numFmtId="49">
      <sharedItems/>
    </cacheField>
    <cacheField name="RRC ID" numFmtId="49">
      <sharedItems/>
    </cacheField>
    <cacheField name="RRC ID Number" numFmtId="0">
      <sharedItems containsSemiMixedTypes="0" containsString="0" containsNumber="1" containsInteger="1" minValue="394" maxValue="834804"/>
    </cacheField>
    <cacheField name=" Last Month Oil Production" numFmtId="0">
      <sharedItems containsSemiMixedTypes="0" containsString="0" containsNumber="1" containsInteger="1" minValue="0" maxValue="4322"/>
    </cacheField>
    <cacheField name="Last Month Gas Prod" numFmtId="0">
      <sharedItems containsString="0" containsBlank="1" containsNumber="1" containsInteger="1" minValue="0" maxValue="127072"/>
    </cacheField>
    <cacheField name="Last Month Closing Stock" numFmtId="0">
      <sharedItems containsSemiMixedTypes="0" containsString="0" containsNumber="1" containsInteger="1" minValue="0" maxValue="615"/>
    </cacheField>
    <cacheField name="No activity?" numFmtId="0">
      <sharedItems/>
    </cacheField>
    <cacheField name="Gauge Sheet Prod Vol" numFmtId="0">
      <sharedItems containsString="0" containsBlank="1" containsNumber="1" containsInteger="1" minValue="0" maxValue="3563"/>
    </cacheField>
    <cacheField name="Opening Oil Stock" numFmtId="0">
      <sharedItems containsSemiMixedTypes="0" containsString="0" containsNumber="1" containsInteger="1" minValue="0" maxValue="615"/>
    </cacheField>
    <cacheField name="Closing Oil Stock" numFmtId="0">
      <sharedItems containsString="0" containsBlank="1" containsNumber="1" containsInteger="1" minValue="0" maxValue="661"/>
    </cacheField>
    <cacheField name="Sales/Dispostion" numFmtId="1">
      <sharedItems containsString="0" containsBlank="1" containsNumber="1" containsInteger="1" minValue="0" maxValue="3544"/>
    </cacheField>
    <cacheField name="Oil Production" numFmtId="0">
      <sharedItems containsSemiMixedTypes="0" containsString="0" containsNumber="1" containsInteger="1" minValue="0" maxValue="3464"/>
    </cacheField>
    <cacheField name="Prod Calc vs Gauge Sheet" numFmtId="0">
      <sharedItems containsSemiMixedTypes="0" containsString="0" containsNumber="1" containsInteger="1" minValue="-102" maxValue="139"/>
    </cacheField>
    <cacheField name="Gas Sales Statement Volume (MCF)" numFmtId="0">
      <sharedItems containsString="0" containsBlank="1" containsNumber="1" containsInteger="1" minValue="0" maxValue="119399"/>
    </cacheField>
    <cacheField name="Pressure Base" numFmtId="0">
      <sharedItems containsNonDate="0" containsString="0" containsBlank="1"/>
    </cacheField>
    <cacheField name="Disposition Volume (MCF) @ 14.65 MCF" numFmtId="1">
      <sharedItems containsSemiMixedTypes="0" containsString="0" containsNumber="1" containsInteger="1" minValue="0" maxValue="119399"/>
    </cacheField>
    <cacheField name="Hours Operated" numFmtId="1">
      <sharedItems containsNonDate="0" containsString="0" containsBlank="1"/>
    </cacheField>
    <cacheField name="Compressor Fuel Rate MCFD" numFmtId="1">
      <sharedItems containsString="0" containsBlank="1" containsNumber="1" containsInteger="1" minValue="0" maxValue="25"/>
    </cacheField>
    <cacheField name="Lease Use (MCF)" numFmtId="0">
      <sharedItems containsString="0" containsBlank="1" containsNumber="1" containsInteger="1" minValue="0" maxValue="750"/>
    </cacheField>
    <cacheField name="Formation Production (MCF) @ 14.65 psi" numFmtId="1">
      <sharedItems containsSemiMixedTypes="0" containsString="0" containsNumber="1" containsInteger="1" minValue="0" maxValue="120029"/>
    </cacheField>
    <cacheField name="Gas Comments" numFmtId="0">
      <sharedItems containsBlank="1"/>
    </cacheField>
    <cacheField name="Oil Comments" numFmtId="0">
      <sharedItems containsBlank="1"/>
    </cacheField>
    <cacheField name="FilterList"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90">
  <r>
    <e v="#N/A"/>
    <s v="BLEIBLERVILLE (WILCOX 9000)"/>
    <x v="0"/>
    <n v="0"/>
    <s v=""/>
    <s v="03"/>
    <s v="o"/>
    <s v="27151"/>
    <n v="27151"/>
    <n v="0"/>
    <n v="0"/>
    <n v="108"/>
    <b v="1"/>
    <m/>
    <n v="108"/>
    <n v="108"/>
    <n v="0"/>
    <n v="0"/>
    <n v="0"/>
    <m/>
    <m/>
    <n v="0"/>
    <m/>
    <m/>
    <m/>
    <n v="0"/>
    <m/>
    <m/>
    <n v="0"/>
  </r>
  <r>
    <n v="99265"/>
    <s v="EXSUN (LOBO CONS.)"/>
    <x v="1"/>
    <n v="1"/>
    <s v=""/>
    <s v="04"/>
    <s v="g"/>
    <s v="244496"/>
    <n v="244496"/>
    <n v="0"/>
    <n v="6136"/>
    <n v="162"/>
    <b v="0"/>
    <m/>
    <n v="162"/>
    <n v="162"/>
    <m/>
    <n v="0"/>
    <n v="0"/>
    <n v="2546"/>
    <m/>
    <n v="2546"/>
    <m/>
    <m/>
    <m/>
    <n v="2546"/>
    <s v="ravi allocated"/>
    <m/>
    <n v="0"/>
  </r>
  <r>
    <n v="99266"/>
    <s v="EXSUN (LOBO CONS.)"/>
    <x v="1"/>
    <n v="2"/>
    <s v=""/>
    <s v="04"/>
    <s v="g"/>
    <s v="248176"/>
    <n v="248176"/>
    <n v="0"/>
    <n v="2830"/>
    <n v="0"/>
    <b v="0"/>
    <m/>
    <n v="0"/>
    <n v="0"/>
    <m/>
    <n v="0"/>
    <n v="0"/>
    <n v="2342"/>
    <m/>
    <n v="2342"/>
    <m/>
    <m/>
    <m/>
    <n v="2342"/>
    <s v="ravi allocated"/>
    <m/>
    <n v="0"/>
  </r>
  <r>
    <n v="99267"/>
    <s v="EXSUN (LOBO CONS.)"/>
    <x v="1"/>
    <n v="3"/>
    <s v=""/>
    <s v="04"/>
    <s v="g"/>
    <s v="255119"/>
    <n v="255119"/>
    <n v="0"/>
    <n v="692"/>
    <n v="0"/>
    <b v="0"/>
    <m/>
    <n v="0"/>
    <n v="0"/>
    <m/>
    <n v="0"/>
    <n v="0"/>
    <n v="731"/>
    <m/>
    <n v="731"/>
    <m/>
    <m/>
    <m/>
    <n v="731"/>
    <s v="ravi allocated"/>
    <m/>
    <n v="0"/>
  </r>
  <r>
    <n v="99229"/>
    <s v="LUCKY ( GOLA)"/>
    <x v="2"/>
    <n v="0"/>
    <s v=""/>
    <s v="03"/>
    <s v="o"/>
    <s v="26834"/>
    <n v="26834"/>
    <n v="453"/>
    <n v="422"/>
    <n v="443"/>
    <b v="0"/>
    <n v="548"/>
    <n v="443"/>
    <n v="423"/>
    <n v="528"/>
    <n v="508"/>
    <n v="40"/>
    <n v="461"/>
    <m/>
    <n v="461"/>
    <m/>
    <n v="1"/>
    <n v="14"/>
    <n v="475"/>
    <m/>
    <m/>
    <n v="0"/>
  </r>
  <r>
    <e v="#N/A"/>
    <s v="LUCKY (THOMPSON 10100)"/>
    <x v="2"/>
    <s v="    1T "/>
    <s v=""/>
    <s v="03"/>
    <s v="g"/>
    <s v="275419"/>
    <n v="275419"/>
    <n v="0"/>
    <n v="0"/>
    <n v="0"/>
    <b v="1"/>
    <m/>
    <n v="0"/>
    <n v="0"/>
    <n v="0"/>
    <n v="0"/>
    <n v="0"/>
    <m/>
    <m/>
    <n v="0"/>
    <m/>
    <m/>
    <m/>
    <n v="0"/>
    <m/>
    <m/>
    <n v="0"/>
  </r>
  <r>
    <e v="#N/A"/>
    <s v="WILDCAT"/>
    <x v="3"/>
    <n v="0"/>
    <s v=""/>
    <s v="03"/>
    <s v="o"/>
    <s v="27142"/>
    <n v="27142"/>
    <n v="0"/>
    <n v="0"/>
    <n v="0"/>
    <b v="1"/>
    <m/>
    <n v="0"/>
    <n v="0"/>
    <n v="0"/>
    <n v="0"/>
    <n v="0"/>
    <m/>
    <m/>
    <n v="0"/>
    <m/>
    <m/>
    <m/>
    <n v="0"/>
    <m/>
    <m/>
    <n v="0"/>
  </r>
  <r>
    <n v="93701"/>
    <s v="COTTONWOOD CREEK, S. (FRIO 2300)"/>
    <x v="4"/>
    <n v="1"/>
    <s v=""/>
    <s v="02"/>
    <s v="g"/>
    <s v="207897"/>
    <n v="207897"/>
    <n v="0"/>
    <n v="23"/>
    <n v="0"/>
    <b v="0"/>
    <m/>
    <n v="0"/>
    <n v="0"/>
    <n v="0"/>
    <n v="0"/>
    <n v="0"/>
    <n v="34"/>
    <m/>
    <n v="34"/>
    <m/>
    <m/>
    <n v="0"/>
    <n v="34"/>
    <m/>
    <m/>
    <n v="0"/>
  </r>
  <r>
    <e v="#N/A"/>
    <s v="WHITES BAYOU (F-16)"/>
    <x v="5"/>
    <n v="0"/>
    <s v=""/>
    <s v="03"/>
    <s v="o"/>
    <s v="22499"/>
    <n v="22499"/>
    <n v="0"/>
    <n v="0"/>
    <n v="0"/>
    <b v="1"/>
    <m/>
    <n v="0"/>
    <n v="0"/>
    <n v="0"/>
    <n v="0"/>
    <n v="0"/>
    <m/>
    <m/>
    <n v="0"/>
    <m/>
    <m/>
    <m/>
    <n v="0"/>
    <m/>
    <m/>
    <n v="0"/>
  </r>
  <r>
    <e v="#N/A"/>
    <s v="BAKER (WILCOX 10000)"/>
    <x v="6"/>
    <s v="    1A "/>
    <s v=""/>
    <s v="02"/>
    <s v="g"/>
    <s v="127436"/>
    <n v="127436"/>
    <n v="0"/>
    <n v="0"/>
    <n v="0"/>
    <b v="1"/>
    <m/>
    <n v="0"/>
    <n v="0"/>
    <n v="0"/>
    <n v="0"/>
    <n v="0"/>
    <m/>
    <m/>
    <n v="0"/>
    <m/>
    <m/>
    <m/>
    <n v="0"/>
    <m/>
    <m/>
    <n v="0"/>
  </r>
  <r>
    <n v="99230"/>
    <s v="BUTTERMILK (NODOSARIA 10,000)"/>
    <x v="7"/>
    <n v="2"/>
    <s v=""/>
    <s v="03"/>
    <s v="g"/>
    <s v="279199"/>
    <n v="279199"/>
    <n v="82"/>
    <n v="636"/>
    <n v="159"/>
    <b v="0"/>
    <n v="75"/>
    <n v="159"/>
    <n v="50"/>
    <n v="174"/>
    <n v="65"/>
    <n v="10"/>
    <n v="539"/>
    <m/>
    <n v="539"/>
    <m/>
    <m/>
    <n v="0"/>
    <n v="539"/>
    <m/>
    <m/>
    <n v="0"/>
  </r>
  <r>
    <e v="#N/A"/>
    <s v="BUTTERMILK (FRIO 8500)"/>
    <x v="7"/>
    <n v="1"/>
    <s v=""/>
    <s v="03"/>
    <s v="g"/>
    <s v="272614"/>
    <n v="272614"/>
    <n v="0"/>
    <n v="0"/>
    <n v="0"/>
    <b v="1"/>
    <m/>
    <n v="0"/>
    <n v="0"/>
    <n v="0"/>
    <n v="0"/>
    <n v="0"/>
    <m/>
    <m/>
    <n v="0"/>
    <m/>
    <m/>
    <m/>
    <n v="0"/>
    <m/>
    <m/>
    <n v="0"/>
  </r>
  <r>
    <e v="#N/A"/>
    <s v="BRANDT (WILCOX DEEP)"/>
    <x v="8"/>
    <n v="1"/>
    <s v=""/>
    <s v="02"/>
    <s v="g"/>
    <s v="200525"/>
    <n v="200525"/>
    <n v="0"/>
    <n v="0"/>
    <n v="0"/>
    <b v="1"/>
    <m/>
    <n v="0"/>
    <n v="0"/>
    <n v="0"/>
    <n v="0"/>
    <n v="0"/>
    <m/>
    <m/>
    <n v="0"/>
    <m/>
    <m/>
    <m/>
    <n v="0"/>
    <m/>
    <m/>
    <n v="0"/>
  </r>
  <r>
    <e v="#N/A"/>
    <s v="TRIPLE -A- (FRIO 6450)"/>
    <x v="9"/>
    <n v="0"/>
    <s v=""/>
    <s v="04"/>
    <s v="o"/>
    <s v="12803"/>
    <n v="12803"/>
    <n v="0"/>
    <n v="0"/>
    <n v="0"/>
    <b v="1"/>
    <m/>
    <n v="0"/>
    <n v="0"/>
    <n v="0"/>
    <n v="0"/>
    <n v="0"/>
    <m/>
    <m/>
    <n v="0"/>
    <m/>
    <m/>
    <m/>
    <n v="0"/>
    <m/>
    <m/>
    <n v="0"/>
  </r>
  <r>
    <e v="#N/A"/>
    <s v="TRIPLE -A- (FRIO 6600 SAND)"/>
    <x v="10"/>
    <n v="0"/>
    <s v=""/>
    <s v="04"/>
    <s v="o"/>
    <s v="08717"/>
    <n v="8717"/>
    <n v="0"/>
    <n v="0"/>
    <n v="0"/>
    <b v="1"/>
    <m/>
    <n v="0"/>
    <n v="0"/>
    <n v="0"/>
    <n v="0"/>
    <n v="0"/>
    <m/>
    <m/>
    <n v="0"/>
    <m/>
    <m/>
    <m/>
    <n v="0"/>
    <m/>
    <m/>
    <n v="0"/>
  </r>
  <r>
    <n v="98201"/>
    <s v="SPEAKS, S.W. (12010)"/>
    <x v="11"/>
    <n v="1"/>
    <s v=""/>
    <s v="02"/>
    <s v="g"/>
    <s v="133437"/>
    <n v="133437"/>
    <n v="0"/>
    <n v="0"/>
    <n v="166"/>
    <b v="1"/>
    <m/>
    <n v="166"/>
    <n v="166"/>
    <n v="0"/>
    <n v="0"/>
    <n v="0"/>
    <m/>
    <m/>
    <n v="0"/>
    <m/>
    <m/>
    <m/>
    <n v="0"/>
    <m/>
    <m/>
    <n v="1"/>
  </r>
  <r>
    <n v="99294"/>
    <s v="ELIJAH GREEN (WILCOX 7)"/>
    <x v="12"/>
    <s v="2T"/>
    <s v=""/>
    <s v="03"/>
    <s v="o"/>
    <s v="27236"/>
    <n v="27236"/>
    <n v="712"/>
    <n v="903"/>
    <n v="344"/>
    <b v="0"/>
    <n v="653"/>
    <n v="344"/>
    <n v="144"/>
    <n v="842"/>
    <n v="642"/>
    <n v="11"/>
    <n v="738"/>
    <m/>
    <n v="738"/>
    <m/>
    <n v="1"/>
    <n v="27"/>
    <n v="765"/>
    <m/>
    <m/>
    <n v="0"/>
  </r>
  <r>
    <e v="#N/A"/>
    <s v="ELIJAH GREEN (WILCOX 10)"/>
    <x v="12"/>
    <s v="    3 T"/>
    <s v=""/>
    <s v="03"/>
    <s v="g"/>
    <s v="283360"/>
    <n v="283360"/>
    <n v="0"/>
    <n v="0"/>
    <n v="134"/>
    <b v="1"/>
    <m/>
    <n v="134"/>
    <n v="134"/>
    <n v="0"/>
    <n v="0"/>
    <n v="0"/>
    <m/>
    <m/>
    <n v="0"/>
    <m/>
    <m/>
    <m/>
    <n v="0"/>
    <m/>
    <m/>
    <n v="0"/>
  </r>
  <r>
    <n v="99293"/>
    <s v="ELIJAH GREEN (WILCOX 3)"/>
    <x v="12"/>
    <s v="3C"/>
    <s v=""/>
    <s v="03"/>
    <s v="o"/>
    <s v="27285"/>
    <n v="27285"/>
    <n v="560"/>
    <n v="742"/>
    <n v="356"/>
    <b v="0"/>
    <n v="352"/>
    <n v="356"/>
    <n v="334"/>
    <n v="348"/>
    <n v="326"/>
    <n v="26"/>
    <n v="490"/>
    <m/>
    <n v="490"/>
    <m/>
    <n v="1"/>
    <n v="28"/>
    <n v="518"/>
    <m/>
    <m/>
    <n v="0"/>
  </r>
  <r>
    <n v="99286"/>
    <s v="ELIJAH GREEN (WILCOX 6)"/>
    <x v="12"/>
    <s v="    2C "/>
    <s v=""/>
    <s v="03"/>
    <s v="g"/>
    <s v="282350"/>
    <n v="282350"/>
    <n v="944"/>
    <n v="1426"/>
    <n v="379"/>
    <b v="0"/>
    <n v="752"/>
    <n v="379"/>
    <n v="237"/>
    <n v="858"/>
    <n v="716"/>
    <n v="36"/>
    <n v="757"/>
    <m/>
    <n v="757"/>
    <m/>
    <n v="2"/>
    <n v="54"/>
    <n v="811"/>
    <m/>
    <m/>
    <n v="0"/>
  </r>
  <r>
    <n v="99295"/>
    <s v="ELIJAH GREEN (WILCOX 6)"/>
    <x v="12"/>
    <s v="4C"/>
    <s v=""/>
    <s v="03"/>
    <s v="o"/>
    <s v="27418"/>
    <n v="27418"/>
    <n v="2872"/>
    <n v="3482"/>
    <n v="277"/>
    <b v="0"/>
    <n v="1919"/>
    <n v="277"/>
    <n v="661"/>
    <n v="1476"/>
    <n v="1860"/>
    <n v="59"/>
    <n v="2418"/>
    <m/>
    <n v="2418"/>
    <m/>
    <n v="7"/>
    <n v="168"/>
    <n v="2586"/>
    <m/>
    <m/>
    <n v="0"/>
  </r>
  <r>
    <n v="99228"/>
    <s v="BENBOW (WILCOX 10,000)"/>
    <x v="13"/>
    <s v="    1ST"/>
    <s v=""/>
    <s v="02"/>
    <s v="g"/>
    <s v="272206"/>
    <n v="272206"/>
    <n v="0"/>
    <n v="108"/>
    <n v="149"/>
    <b v="0"/>
    <n v="0"/>
    <n v="149"/>
    <n v="149"/>
    <n v="0"/>
    <n v="0"/>
    <n v="0"/>
    <n v="0"/>
    <m/>
    <n v="0"/>
    <m/>
    <n v="1"/>
    <n v="0"/>
    <n v="0"/>
    <m/>
    <m/>
    <n v="0"/>
  </r>
  <r>
    <e v="#N/A"/>
    <s v="BTSA (YEGUA 4594)"/>
    <x v="14"/>
    <n v="1"/>
    <s v=""/>
    <s v="02"/>
    <s v="g"/>
    <s v="258014"/>
    <n v="258014"/>
    <n v="0"/>
    <n v="0"/>
    <n v="132"/>
    <b v="1"/>
    <m/>
    <n v="132"/>
    <n v="132"/>
    <n v="0"/>
    <n v="0"/>
    <n v="0"/>
    <m/>
    <m/>
    <n v="0"/>
    <m/>
    <m/>
    <m/>
    <n v="0"/>
    <m/>
    <m/>
    <n v="0"/>
  </r>
  <r>
    <n v="99255"/>
    <s v="NORMANNA, E. (FRIO)"/>
    <x v="14"/>
    <n v="1"/>
    <s v=""/>
    <s v="02"/>
    <s v="g"/>
    <s v="286124"/>
    <n v="286124"/>
    <n v="0"/>
    <n v="393"/>
    <n v="80"/>
    <b v="0"/>
    <n v="0"/>
    <n v="80"/>
    <n v="80"/>
    <n v="0"/>
    <n v="0"/>
    <n v="0"/>
    <n v="309"/>
    <m/>
    <n v="309"/>
    <m/>
    <n v="1"/>
    <n v="13"/>
    <n v="322"/>
    <m/>
    <s v="force stock to make prod 0"/>
    <n v="0"/>
  </r>
  <r>
    <e v="#N/A"/>
    <s v="SHERIDAN, S. W. (WILCOX 8200)"/>
    <x v="15"/>
    <n v="0"/>
    <s v=""/>
    <s v="03"/>
    <s v="o"/>
    <s v="27162"/>
    <n v="27162"/>
    <n v="0"/>
    <n v="0"/>
    <n v="0"/>
    <b v="1"/>
    <m/>
    <n v="0"/>
    <n v="0"/>
    <n v="0"/>
    <n v="0"/>
    <n v="0"/>
    <m/>
    <m/>
    <n v="0"/>
    <m/>
    <m/>
    <m/>
    <n v="0"/>
    <m/>
    <m/>
    <n v="0"/>
  </r>
  <r>
    <e v="#N/A"/>
    <s v="RAMSEY ( 8500 WILCOX)"/>
    <x v="16"/>
    <n v="0"/>
    <s v=""/>
    <s v="03"/>
    <s v="o"/>
    <s v="21879"/>
    <n v="21879"/>
    <n v="0"/>
    <n v="0"/>
    <n v="0"/>
    <b v="1"/>
    <m/>
    <n v="0"/>
    <n v="0"/>
    <n v="0"/>
    <n v="0"/>
    <n v="0"/>
    <m/>
    <m/>
    <n v="0"/>
    <m/>
    <m/>
    <m/>
    <n v="0"/>
    <m/>
    <m/>
    <n v="0"/>
  </r>
  <r>
    <n v="98921"/>
    <s v="LA WARD, NORTH"/>
    <x v="17"/>
    <n v="0"/>
    <s v=""/>
    <s v="02"/>
    <s v="o"/>
    <s v="08646"/>
    <n v="8646"/>
    <n v="204"/>
    <n v="0"/>
    <n v="78"/>
    <b v="0"/>
    <n v="178"/>
    <n v="78"/>
    <n v="86"/>
    <n v="167"/>
    <n v="175"/>
    <n v="3"/>
    <n v="0"/>
    <m/>
    <n v="0"/>
    <m/>
    <m/>
    <n v="0"/>
    <n v="0"/>
    <m/>
    <m/>
    <n v="0"/>
  </r>
  <r>
    <e v="#N/A"/>
    <s v="ROSITA, E. (WILCOX CONS.)"/>
    <x v="18"/>
    <n v="2"/>
    <s v=""/>
    <s v="04"/>
    <s v="g"/>
    <s v="195786"/>
    <n v="195786"/>
    <n v="0"/>
    <n v="0"/>
    <n v="0"/>
    <b v="1"/>
    <m/>
    <n v="0"/>
    <n v="0"/>
    <n v="0"/>
    <n v="0"/>
    <n v="0"/>
    <m/>
    <m/>
    <n v="0"/>
    <m/>
    <m/>
    <m/>
    <n v="0"/>
    <m/>
    <m/>
    <n v="0"/>
  </r>
  <r>
    <e v="#N/A"/>
    <s v="CHAPMAN RANCH (UPPER FRIO CONS.)"/>
    <x v="19"/>
    <n v="0"/>
    <s v=""/>
    <s v="04"/>
    <s v="o"/>
    <s v="13410"/>
    <n v="13410"/>
    <n v="0"/>
    <n v="0"/>
    <n v="235"/>
    <b v="1"/>
    <m/>
    <n v="235"/>
    <n v="235"/>
    <n v="0"/>
    <n v="0"/>
    <n v="0"/>
    <m/>
    <m/>
    <n v="0"/>
    <m/>
    <m/>
    <m/>
    <n v="0"/>
    <m/>
    <m/>
    <n v="0"/>
  </r>
  <r>
    <n v="99017"/>
    <s v="BORCHERS, EAST (1250)"/>
    <x v="20"/>
    <n v="1"/>
    <s v=""/>
    <s v="02"/>
    <s v="g"/>
    <s v="250887"/>
    <n v="250887"/>
    <n v="0"/>
    <n v="5182"/>
    <n v="0"/>
    <b v="0"/>
    <m/>
    <n v="0"/>
    <n v="0"/>
    <n v="0"/>
    <n v="0"/>
    <n v="0"/>
    <n v="4729"/>
    <m/>
    <n v="4729"/>
    <m/>
    <n v="7"/>
    <n v="210"/>
    <n v="4939"/>
    <m/>
    <m/>
    <n v="0"/>
  </r>
  <r>
    <n v="99067"/>
    <s v="MAY (UPPER 7B)"/>
    <x v="21"/>
    <n v="14"/>
    <s v=""/>
    <s v="04"/>
    <s v="g"/>
    <s v="162080"/>
    <n v="162080"/>
    <n v="0"/>
    <n v="469"/>
    <n v="3"/>
    <b v="0"/>
    <m/>
    <n v="3"/>
    <n v="3"/>
    <n v="0"/>
    <n v="0"/>
    <n v="0"/>
    <n v="460"/>
    <m/>
    <n v="460"/>
    <m/>
    <m/>
    <n v="0"/>
    <n v="460"/>
    <m/>
    <m/>
    <n v="0"/>
  </r>
  <r>
    <n v="98915"/>
    <s v="YORKTOWN, S (WILCOX 11100)"/>
    <x v="22"/>
    <n v="4"/>
    <s v=""/>
    <s v="02"/>
    <s v="g"/>
    <s v="174916"/>
    <n v="174916"/>
    <n v="0"/>
    <n v="0"/>
    <n v="0"/>
    <b v="1"/>
    <m/>
    <n v="0"/>
    <m/>
    <n v="0"/>
    <n v="0"/>
    <n v="0"/>
    <n v="74"/>
    <m/>
    <n v="74"/>
    <m/>
    <m/>
    <n v="0"/>
    <n v="74"/>
    <m/>
    <m/>
    <n v="0"/>
  </r>
  <r>
    <n v="99069"/>
    <s v="MAY, W. (11,600 CONS.)"/>
    <x v="23"/>
    <n v="2"/>
    <s v=""/>
    <s v="04"/>
    <s v="g"/>
    <s v="194224"/>
    <n v="194224"/>
    <n v="10"/>
    <n v="1937"/>
    <n v="238"/>
    <b v="0"/>
    <n v="8"/>
    <n v="238"/>
    <n v="246"/>
    <n v="0"/>
    <n v="8"/>
    <n v="0"/>
    <n v="1702"/>
    <m/>
    <n v="1702"/>
    <m/>
    <n v="3"/>
    <n v="90"/>
    <n v="1792"/>
    <m/>
    <s v="force closing stock to match gauge sheet production, error was made in the past - will correct itself once there is sales"/>
    <n v="0"/>
  </r>
  <r>
    <e v="#N/A"/>
    <s v="HI-LUK"/>
    <x v="24"/>
    <n v="0"/>
    <s v=""/>
    <s v="04"/>
    <s v="o"/>
    <s v="10563"/>
    <n v="10563"/>
    <n v="0"/>
    <n v="0"/>
    <n v="69"/>
    <b v="1"/>
    <m/>
    <n v="69"/>
    <n v="69"/>
    <n v="0"/>
    <n v="0"/>
    <n v="0"/>
    <m/>
    <m/>
    <n v="0"/>
    <m/>
    <m/>
    <m/>
    <n v="0"/>
    <m/>
    <m/>
    <n v="0"/>
  </r>
  <r>
    <e v="#N/A"/>
    <s v="BORCHERS, SOUTH (3600)"/>
    <x v="25"/>
    <s v="    1R "/>
    <s v=""/>
    <s v="02"/>
    <s v="g"/>
    <s v="270531"/>
    <n v="270531"/>
    <n v="0"/>
    <n v="0"/>
    <n v="26"/>
    <b v="1"/>
    <m/>
    <n v="26"/>
    <n v="26"/>
    <n v="0"/>
    <n v="0"/>
    <n v="0"/>
    <m/>
    <m/>
    <n v="0"/>
    <m/>
    <m/>
    <m/>
    <n v="0"/>
    <m/>
    <m/>
    <n v="0"/>
  </r>
  <r>
    <e v="#N/A"/>
    <s v="EGYPT (FIRST WILCOX)"/>
    <x v="26"/>
    <n v="1"/>
    <s v=""/>
    <s v="03"/>
    <s v="g"/>
    <s v="160307"/>
    <n v="160307"/>
    <n v="0"/>
    <n v="0"/>
    <n v="173"/>
    <b v="1"/>
    <n v="0"/>
    <n v="173"/>
    <n v="173"/>
    <n v="0"/>
    <n v="0"/>
    <n v="0"/>
    <m/>
    <m/>
    <n v="0"/>
    <m/>
    <m/>
    <m/>
    <n v="0"/>
    <m/>
    <m/>
    <n v="0"/>
  </r>
  <r>
    <n v="98965"/>
    <s v="HAMEL (WILCOX 8460)"/>
    <x v="27"/>
    <n v="3"/>
    <s v=""/>
    <s v="03"/>
    <s v="g"/>
    <s v="278004"/>
    <n v="278004"/>
    <n v="19"/>
    <n v="350"/>
    <n v="209"/>
    <b v="0"/>
    <n v="25"/>
    <n v="209"/>
    <n v="234"/>
    <n v="0"/>
    <n v="25"/>
    <n v="0"/>
    <n v="863"/>
    <m/>
    <n v="863"/>
    <m/>
    <n v="1"/>
    <n v="25"/>
    <n v="888"/>
    <m/>
    <m/>
    <n v="0"/>
  </r>
  <r>
    <e v="#N/A"/>
    <s v="HAMEL (WILCOX 8460)"/>
    <x v="28"/>
    <n v="0"/>
    <s v=""/>
    <s v="03"/>
    <s v="o"/>
    <s v="24455"/>
    <n v="24455"/>
    <n v="0"/>
    <n v="0"/>
    <n v="0"/>
    <b v="1"/>
    <m/>
    <n v="0"/>
    <n v="0"/>
    <n v="0"/>
    <n v="0"/>
    <n v="0"/>
    <m/>
    <m/>
    <n v="0"/>
    <m/>
    <m/>
    <m/>
    <n v="0"/>
    <m/>
    <m/>
    <n v="0"/>
  </r>
  <r>
    <e v="#N/A"/>
    <s v="LOMITA (AUSTIN CHALK)"/>
    <x v="29"/>
    <s v="    1H "/>
    <s v=""/>
    <s v="03"/>
    <s v="g"/>
    <s v="177442"/>
    <n v="177442"/>
    <n v="0"/>
    <n v="0"/>
    <n v="0"/>
    <b v="1"/>
    <m/>
    <n v="0"/>
    <n v="0"/>
    <n v="0"/>
    <n v="0"/>
    <n v="0"/>
    <m/>
    <m/>
    <n v="0"/>
    <m/>
    <m/>
    <m/>
    <n v="0"/>
    <m/>
    <m/>
    <n v="0"/>
  </r>
  <r>
    <e v="#N/A"/>
    <s v="BIG HILL"/>
    <x v="30"/>
    <n v="0"/>
    <s v=""/>
    <s v="03"/>
    <s v="o"/>
    <s v="26482"/>
    <n v="26482"/>
    <n v="0"/>
    <n v="0"/>
    <n v="139"/>
    <b v="1"/>
    <m/>
    <n v="139"/>
    <n v="139"/>
    <n v="0"/>
    <n v="0"/>
    <n v="0"/>
    <m/>
    <m/>
    <n v="0"/>
    <m/>
    <m/>
    <m/>
    <n v="0"/>
    <m/>
    <m/>
    <n v="0"/>
  </r>
  <r>
    <e v="#N/A"/>
    <s v="BIG HILL ( DISCORBIS B)"/>
    <x v="30"/>
    <n v="0"/>
    <s v=""/>
    <s v="03"/>
    <s v="o"/>
    <s v="26262"/>
    <n v="26262"/>
    <n v="0"/>
    <n v="0"/>
    <n v="55"/>
    <b v="1"/>
    <m/>
    <n v="55"/>
    <n v="55"/>
    <n v="0"/>
    <n v="0"/>
    <n v="0"/>
    <m/>
    <m/>
    <n v="0"/>
    <m/>
    <m/>
    <m/>
    <n v="0"/>
    <m/>
    <m/>
    <n v="0"/>
  </r>
  <r>
    <e v="#N/A"/>
    <s v="BIG HILL ( MIOCENE SIPHONINA)"/>
    <x v="30"/>
    <n v="0"/>
    <s v=""/>
    <s v="03"/>
    <s v="o"/>
    <s v="26909"/>
    <n v="26909"/>
    <n v="0"/>
    <n v="0"/>
    <n v="32"/>
    <b v="1"/>
    <m/>
    <n v="32"/>
    <n v="32"/>
    <n v="0"/>
    <n v="0"/>
    <n v="0"/>
    <m/>
    <m/>
    <n v="0"/>
    <m/>
    <m/>
    <m/>
    <n v="0"/>
    <m/>
    <m/>
    <n v="0"/>
  </r>
  <r>
    <e v="#N/A"/>
    <s v="BIG HILL"/>
    <x v="31"/>
    <n v="0"/>
    <s v=""/>
    <s v="03"/>
    <s v="o"/>
    <s v="27150"/>
    <n v="27150"/>
    <n v="0"/>
    <n v="0"/>
    <n v="0"/>
    <b v="1"/>
    <m/>
    <n v="0"/>
    <n v="0"/>
    <n v="0"/>
    <n v="0"/>
    <n v="0"/>
    <m/>
    <m/>
    <n v="0"/>
    <m/>
    <m/>
    <m/>
    <n v="0"/>
    <m/>
    <m/>
    <n v="0"/>
  </r>
  <r>
    <e v="#N/A"/>
    <s v="BIG HILL (FRIO 10,100)"/>
    <x v="32"/>
    <n v="5"/>
    <s v=""/>
    <s v="03"/>
    <s v="g"/>
    <s v="223401"/>
    <n v="223401"/>
    <n v="0"/>
    <n v="0"/>
    <n v="0"/>
    <b v="1"/>
    <m/>
    <n v="0"/>
    <n v="0"/>
    <n v="0"/>
    <n v="0"/>
    <n v="0"/>
    <m/>
    <m/>
    <n v="0"/>
    <m/>
    <m/>
    <m/>
    <n v="0"/>
    <m/>
    <m/>
    <n v="0"/>
  </r>
  <r>
    <e v="#N/A"/>
    <s v="DEVIL (FRIO)"/>
    <x v="32"/>
    <n v="1"/>
    <s v=""/>
    <s v="03"/>
    <s v="g"/>
    <s v="188081"/>
    <n v="188081"/>
    <n v="0"/>
    <n v="0"/>
    <n v="0"/>
    <b v="1"/>
    <m/>
    <n v="0"/>
    <n v="0"/>
    <n v="0"/>
    <n v="0"/>
    <n v="0"/>
    <m/>
    <m/>
    <n v="0"/>
    <m/>
    <m/>
    <m/>
    <n v="0"/>
    <m/>
    <m/>
    <n v="0"/>
  </r>
  <r>
    <e v="#N/A"/>
    <s v="BIG HILL, WEST (FRIO 10,400)"/>
    <x v="33"/>
    <n v="7"/>
    <s v=""/>
    <s v="03"/>
    <s v="g"/>
    <s v="250605"/>
    <n v="250605"/>
    <n v="0"/>
    <n v="0"/>
    <n v="0"/>
    <b v="1"/>
    <m/>
    <n v="0"/>
    <n v="0"/>
    <n v="0"/>
    <n v="0"/>
    <n v="0"/>
    <m/>
    <m/>
    <n v="0"/>
    <m/>
    <m/>
    <m/>
    <n v="0"/>
    <m/>
    <m/>
    <n v="0"/>
  </r>
  <r>
    <e v="#N/A"/>
    <s v="BIG HILL (NONION STRUMA SD.)"/>
    <x v="34"/>
    <n v="1"/>
    <s v=""/>
    <s v="03"/>
    <s v="g"/>
    <s v="233975"/>
    <n v="233975"/>
    <n v="0"/>
    <n v="0"/>
    <n v="0"/>
    <b v="1"/>
    <m/>
    <n v="0"/>
    <n v="0"/>
    <n v="0"/>
    <n v="0"/>
    <n v="0"/>
    <m/>
    <m/>
    <n v="0"/>
    <m/>
    <m/>
    <m/>
    <n v="0"/>
    <m/>
    <m/>
    <n v="0"/>
  </r>
  <r>
    <e v="#N/A"/>
    <s v="AGUA DULCE (VICKSBURG CONSL.)"/>
    <x v="35"/>
    <n v="1"/>
    <s v=""/>
    <s v="04"/>
    <s v="g"/>
    <s v="225615"/>
    <n v="225615"/>
    <n v="0"/>
    <n v="0"/>
    <n v="0"/>
    <b v="1"/>
    <m/>
    <n v="0"/>
    <n v="0"/>
    <n v="0"/>
    <n v="0"/>
    <n v="0"/>
    <m/>
    <m/>
    <n v="0"/>
    <m/>
    <m/>
    <m/>
    <n v="0"/>
    <m/>
    <m/>
    <n v="0"/>
  </r>
  <r>
    <n v="99307"/>
    <s v="PALACIOS (FRIO -C-)"/>
    <x v="36"/>
    <n v="2"/>
    <s v=""/>
    <s v="03"/>
    <s v="g"/>
    <s v="247945"/>
    <n v="247945"/>
    <n v="18"/>
    <n v="564"/>
    <n v="212"/>
    <b v="0"/>
    <n v="13"/>
    <n v="212"/>
    <n v="225"/>
    <n v="0"/>
    <n v="13"/>
    <n v="0"/>
    <n v="542"/>
    <m/>
    <n v="542"/>
    <m/>
    <m/>
    <n v="0"/>
    <n v="542"/>
    <m/>
    <m/>
    <n v="0"/>
  </r>
  <r>
    <e v="#N/A"/>
    <s v="COTTONWOOD CREEK, S.(YEGUA 4800)"/>
    <x v="37"/>
    <n v="0"/>
    <s v=""/>
    <s v="02"/>
    <s v="o"/>
    <s v="08462"/>
    <n v="8462"/>
    <n v="0"/>
    <n v="0"/>
    <n v="0"/>
    <b v="1"/>
    <m/>
    <n v="0"/>
    <n v="0"/>
    <n v="0"/>
    <n v="0"/>
    <n v="0"/>
    <m/>
    <m/>
    <n v="0"/>
    <m/>
    <m/>
    <m/>
    <n v="0"/>
    <m/>
    <m/>
    <n v="0"/>
  </r>
  <r>
    <n v="93806"/>
    <s v="COTTONWOOD CREEK, S. (YEGUA 4500"/>
    <x v="37"/>
    <n v="0"/>
    <s v=""/>
    <s v="02"/>
    <s v="o"/>
    <s v="05446"/>
    <n v="5446"/>
    <n v="26"/>
    <n v="0"/>
    <n v="107"/>
    <b v="0"/>
    <n v="27"/>
    <n v="107"/>
    <n v="133"/>
    <n v="0"/>
    <n v="26"/>
    <n v="1"/>
    <n v="0"/>
    <m/>
    <n v="0"/>
    <m/>
    <m/>
    <n v="0"/>
    <n v="0"/>
    <m/>
    <m/>
    <n v="0"/>
  </r>
  <r>
    <e v="#N/A"/>
    <s v="HARVEY (M-3)"/>
    <x v="38"/>
    <n v="0"/>
    <s v=""/>
    <s v="04"/>
    <s v="o"/>
    <s v="12696"/>
    <n v="12696"/>
    <n v="0"/>
    <n v="0"/>
    <n v="47"/>
    <b v="1"/>
    <m/>
    <n v="47"/>
    <n v="47"/>
    <n v="0"/>
    <n v="0"/>
    <n v="0"/>
    <m/>
    <m/>
    <n v="0"/>
    <m/>
    <m/>
    <m/>
    <n v="0"/>
    <m/>
    <m/>
    <n v="0"/>
  </r>
  <r>
    <e v="#N/A"/>
    <s v="HARVEY ( 9-A FRIO)"/>
    <x v="39"/>
    <n v="0"/>
    <s v=""/>
    <s v="04"/>
    <s v="o"/>
    <s v="13742"/>
    <n v="13742"/>
    <n v="0"/>
    <n v="0"/>
    <n v="52"/>
    <b v="1"/>
    <m/>
    <n v="52"/>
    <n v="52"/>
    <n v="0"/>
    <n v="0"/>
    <n v="0"/>
    <m/>
    <m/>
    <n v="0"/>
    <m/>
    <m/>
    <m/>
    <n v="0"/>
    <m/>
    <m/>
    <n v="0"/>
  </r>
  <r>
    <e v="#N/A"/>
    <s v="CORPUS CHRISTI ( ALLEN)"/>
    <x v="40"/>
    <n v="1"/>
    <s v=""/>
    <s v="04"/>
    <s v="g"/>
    <s v="039333"/>
    <n v="39333"/>
    <n v="0"/>
    <n v="0"/>
    <n v="0"/>
    <b v="1"/>
    <m/>
    <n v="0"/>
    <n v="0"/>
    <n v="0"/>
    <n v="0"/>
    <n v="0"/>
    <m/>
    <m/>
    <n v="0"/>
    <m/>
    <m/>
    <m/>
    <n v="0"/>
    <m/>
    <m/>
    <n v="0"/>
  </r>
  <r>
    <e v="#N/A"/>
    <s v="CORPUS CHRISTI, W (CONSOLIDATED)"/>
    <x v="41"/>
    <n v="0"/>
    <s v=""/>
    <s v="04"/>
    <s v="o"/>
    <s v="13726"/>
    <n v="13726"/>
    <n v="0"/>
    <n v="0"/>
    <n v="90"/>
    <b v="1"/>
    <m/>
    <n v="90"/>
    <n v="90"/>
    <n v="0"/>
    <n v="0"/>
    <n v="0"/>
    <m/>
    <m/>
    <n v="0"/>
    <m/>
    <m/>
    <m/>
    <n v="0"/>
    <m/>
    <m/>
    <n v="0"/>
  </r>
  <r>
    <e v="#N/A"/>
    <s v="WHITES BAYOU, S. (9800)"/>
    <x v="42"/>
    <n v="1"/>
    <s v=""/>
    <s v="03"/>
    <s v="g"/>
    <s v="200844"/>
    <n v="200844"/>
    <n v="0"/>
    <n v="0"/>
    <n v="135"/>
    <b v="1"/>
    <m/>
    <n v="135"/>
    <n v="135"/>
    <n v="0"/>
    <n v="0"/>
    <n v="0"/>
    <m/>
    <m/>
    <n v="0"/>
    <m/>
    <m/>
    <m/>
    <n v="0"/>
    <m/>
    <m/>
    <n v="0"/>
  </r>
  <r>
    <e v="#N/A"/>
    <s v="RAMSEY (8600 WILCOX)"/>
    <x v="43"/>
    <n v="1"/>
    <s v=""/>
    <s v="03"/>
    <s v="g"/>
    <s v="158027"/>
    <n v="158027"/>
    <n v="0"/>
    <n v="0"/>
    <n v="0"/>
    <b v="1"/>
    <m/>
    <n v="0"/>
    <n v="0"/>
    <n v="0"/>
    <n v="0"/>
    <n v="0"/>
    <m/>
    <m/>
    <n v="0"/>
    <m/>
    <m/>
    <m/>
    <n v="0"/>
    <m/>
    <m/>
    <n v="0"/>
  </r>
  <r>
    <n v="99007"/>
    <s v="SEALY (WILCOX CONS.)"/>
    <x v="44"/>
    <n v="6"/>
    <s v=""/>
    <s v="03"/>
    <s v="g"/>
    <s v="210200"/>
    <n v="210200"/>
    <n v="0"/>
    <n v="146"/>
    <n v="33"/>
    <b v="0"/>
    <m/>
    <n v="33"/>
    <n v="33"/>
    <n v="0"/>
    <n v="0"/>
    <n v="0"/>
    <n v="304"/>
    <m/>
    <n v="304"/>
    <m/>
    <n v="1"/>
    <n v="16"/>
    <n v="320"/>
    <m/>
    <m/>
    <n v="0"/>
  </r>
  <r>
    <n v="98988"/>
    <s v="SEALY (WILCOX CONS.)"/>
    <x v="44"/>
    <n v="2"/>
    <s v=""/>
    <s v="03"/>
    <s v="g"/>
    <s v="215622"/>
    <n v="215622"/>
    <n v="0"/>
    <n v="0"/>
    <n v="98"/>
    <b v="1"/>
    <m/>
    <n v="98"/>
    <n v="98"/>
    <n v="0"/>
    <n v="0"/>
    <n v="0"/>
    <n v="227"/>
    <m/>
    <n v="227"/>
    <m/>
    <n v="5"/>
    <n v="30"/>
    <n v="257"/>
    <m/>
    <m/>
    <n v="0"/>
  </r>
  <r>
    <n v="98987"/>
    <s v="SEALY (WILCOX CONS.)"/>
    <x v="45"/>
    <n v="1"/>
    <s v=""/>
    <s v="03"/>
    <s v="g"/>
    <s v="183638"/>
    <n v="183638"/>
    <n v="0"/>
    <n v="128"/>
    <n v="0"/>
    <b v="0"/>
    <m/>
    <n v="0"/>
    <n v="0"/>
    <n v="0"/>
    <n v="0"/>
    <n v="0"/>
    <n v="254"/>
    <m/>
    <n v="254"/>
    <m/>
    <n v="1"/>
    <n v="16"/>
    <n v="270"/>
    <m/>
    <m/>
    <n v="0"/>
  </r>
  <r>
    <n v="98956"/>
    <s v="SEALY (WILCOX CONS.)"/>
    <x v="46"/>
    <n v="1"/>
    <n v="1988"/>
    <s v="03"/>
    <s v="g"/>
    <s v="199834"/>
    <n v="199834"/>
    <n v="0"/>
    <n v="1092"/>
    <n v="119"/>
    <b v="0"/>
    <m/>
    <n v="119"/>
    <n v="119"/>
    <n v="0"/>
    <n v="0"/>
    <n v="0"/>
    <n v="1403"/>
    <m/>
    <n v="1403"/>
    <m/>
    <n v="2"/>
    <n v="54"/>
    <n v="1457"/>
    <m/>
    <m/>
    <n v="0"/>
  </r>
  <r>
    <e v="#N/A"/>
    <s v="SEALY (WILCOX CONS.)"/>
    <x v="47"/>
    <n v="4"/>
    <n v="1988"/>
    <s v="03"/>
    <s v="g"/>
    <s v="163161"/>
    <n v="163161"/>
    <n v="0"/>
    <n v="0"/>
    <n v="0"/>
    <b v="1"/>
    <m/>
    <n v="0"/>
    <n v="0"/>
    <n v="0"/>
    <n v="0"/>
    <n v="0"/>
    <m/>
    <m/>
    <n v="0"/>
    <m/>
    <m/>
    <m/>
    <n v="0"/>
    <m/>
    <m/>
    <n v="0"/>
  </r>
  <r>
    <n v="98959"/>
    <s v="SEALY (WILCOX CONS.)"/>
    <x v="48"/>
    <n v="3"/>
    <n v="1988"/>
    <s v="03"/>
    <s v="g"/>
    <s v="201550"/>
    <n v="201550"/>
    <n v="0"/>
    <n v="85"/>
    <n v="0"/>
    <b v="0"/>
    <m/>
    <n v="0"/>
    <n v="0"/>
    <n v="0"/>
    <n v="0"/>
    <n v="0"/>
    <n v="94"/>
    <m/>
    <n v="94"/>
    <m/>
    <n v="0"/>
    <n v="0"/>
    <n v="94"/>
    <m/>
    <m/>
    <n v="0"/>
  </r>
  <r>
    <n v="98958"/>
    <s v="SEALY (WILCOX CONS.)"/>
    <x v="48"/>
    <n v="1"/>
    <s v=""/>
    <s v="03"/>
    <s v="g"/>
    <s v="217825"/>
    <n v="217825"/>
    <n v="0"/>
    <n v="990"/>
    <n v="0"/>
    <b v="0"/>
    <m/>
    <n v="0"/>
    <n v="0"/>
    <m/>
    <n v="0"/>
    <n v="0"/>
    <n v="956"/>
    <m/>
    <n v="956"/>
    <m/>
    <n v="6"/>
    <n v="72"/>
    <n v="1028"/>
    <m/>
    <m/>
    <n v="0"/>
  </r>
  <r>
    <e v="#N/A"/>
    <s v="SEALY (WILCOX CONS.)"/>
    <x v="48"/>
    <n v="5"/>
    <s v=""/>
    <s v="03"/>
    <s v="g"/>
    <s v="216963"/>
    <n v="216963"/>
    <n v="0"/>
    <n v="0"/>
    <n v="0"/>
    <b v="1"/>
    <m/>
    <n v="0"/>
    <n v="0"/>
    <n v="0"/>
    <n v="0"/>
    <n v="0"/>
    <m/>
    <m/>
    <n v="0"/>
    <m/>
    <m/>
    <m/>
    <n v="0"/>
    <m/>
    <m/>
    <n v="0"/>
  </r>
  <r>
    <n v="99093"/>
    <s v="HOFFMAN (WILCOX)"/>
    <x v="49"/>
    <n v="2"/>
    <s v=""/>
    <s v="04"/>
    <s v="g"/>
    <s v="212342"/>
    <n v="212342"/>
    <n v="0"/>
    <n v="2206"/>
    <n v="0"/>
    <b v="0"/>
    <m/>
    <n v="0"/>
    <n v="0"/>
    <n v="0"/>
    <n v="0"/>
    <n v="0"/>
    <n v="3039"/>
    <m/>
    <n v="3039"/>
    <m/>
    <n v="4"/>
    <n v="112"/>
    <n v="3151"/>
    <m/>
    <m/>
    <n v="0"/>
  </r>
  <r>
    <n v="99095"/>
    <s v="ROSITA, NW (WILCOX CONS.)"/>
    <x v="49"/>
    <n v="5"/>
    <s v=""/>
    <s v="04"/>
    <s v="g"/>
    <s v="226100"/>
    <n v="226100"/>
    <n v="0"/>
    <n v="823"/>
    <n v="0"/>
    <b v="0"/>
    <m/>
    <n v="0"/>
    <n v="0"/>
    <n v="0"/>
    <n v="0"/>
    <n v="0"/>
    <n v="1262"/>
    <m/>
    <n v="1262"/>
    <m/>
    <n v="1"/>
    <n v="28"/>
    <n v="1290"/>
    <m/>
    <m/>
    <n v="0"/>
  </r>
  <r>
    <n v="99094"/>
    <s v="ROSITA, NW (WILCOX CONS.)"/>
    <x v="49"/>
    <n v="3"/>
    <s v=""/>
    <s v="04"/>
    <s v="g"/>
    <s v="233961"/>
    <n v="233961"/>
    <n v="0"/>
    <n v="2206"/>
    <n v="0"/>
    <b v="0"/>
    <m/>
    <n v="0"/>
    <n v="0"/>
    <n v="0"/>
    <n v="0"/>
    <n v="0"/>
    <n v="3038"/>
    <m/>
    <n v="3038"/>
    <m/>
    <n v="4"/>
    <n v="112"/>
    <n v="3150"/>
    <m/>
    <m/>
    <n v="0"/>
  </r>
  <r>
    <e v="#N/A"/>
    <s v="HOFFMAN (WILCOX)"/>
    <x v="49"/>
    <n v="1"/>
    <s v=""/>
    <s v="04"/>
    <s v="g"/>
    <s v="213792"/>
    <n v="213792"/>
    <n v="0"/>
    <n v="0"/>
    <n v="43"/>
    <b v="1"/>
    <m/>
    <n v="43"/>
    <n v="43"/>
    <n v="0"/>
    <n v="0"/>
    <n v="0"/>
    <m/>
    <m/>
    <n v="0"/>
    <m/>
    <m/>
    <m/>
    <n v="0"/>
    <m/>
    <m/>
    <n v="0"/>
  </r>
  <r>
    <e v="#N/A"/>
    <s v="LOUISE"/>
    <x v="50"/>
    <n v="0"/>
    <s v=""/>
    <s v="03"/>
    <s v="o"/>
    <s v="02812"/>
    <n v="2812"/>
    <n v="0"/>
    <n v="0"/>
    <n v="81"/>
    <b v="1"/>
    <m/>
    <n v="81"/>
    <n v="81"/>
    <n v="0"/>
    <n v="0"/>
    <n v="0"/>
    <m/>
    <m/>
    <n v="0"/>
    <m/>
    <m/>
    <m/>
    <n v="0"/>
    <m/>
    <m/>
    <n v="0"/>
  </r>
  <r>
    <e v="#N/A"/>
    <s v="LUCKY (HUEBNER 8900)"/>
    <x v="51"/>
    <n v="0"/>
    <s v=""/>
    <s v="03"/>
    <s v="o"/>
    <s v="26193"/>
    <n v="26193"/>
    <n v="0"/>
    <n v="0"/>
    <n v="68"/>
    <b v="1"/>
    <n v="0"/>
    <n v="68"/>
    <n v="68"/>
    <n v="0"/>
    <n v="0"/>
    <n v="0"/>
    <m/>
    <m/>
    <n v="0"/>
    <m/>
    <m/>
    <m/>
    <n v="0"/>
    <m/>
    <m/>
    <n v="0"/>
  </r>
  <r>
    <e v="#N/A"/>
    <s v="WEED (NODOSARIA)"/>
    <x v="52"/>
    <n v="0"/>
    <s v=""/>
    <s v="03"/>
    <s v="o"/>
    <s v="24414"/>
    <n v="24414"/>
    <n v="0"/>
    <n v="0"/>
    <n v="0"/>
    <b v="1"/>
    <m/>
    <n v="0"/>
    <n v="0"/>
    <n v="0"/>
    <n v="0"/>
    <n v="0"/>
    <m/>
    <m/>
    <n v="0"/>
    <m/>
    <m/>
    <m/>
    <n v="0"/>
    <m/>
    <m/>
    <n v="0"/>
  </r>
  <r>
    <e v="#N/A"/>
    <s v="PAPALOTE, E. (6000)"/>
    <x v="53"/>
    <n v="0"/>
    <s v=""/>
    <s v="02"/>
    <s v="o"/>
    <s v="06739"/>
    <n v="6739"/>
    <n v="0"/>
    <n v="0"/>
    <n v="0"/>
    <b v="1"/>
    <m/>
    <n v="0"/>
    <n v="0"/>
    <n v="0"/>
    <n v="0"/>
    <n v="0"/>
    <m/>
    <m/>
    <n v="0"/>
    <m/>
    <m/>
    <m/>
    <n v="0"/>
    <m/>
    <m/>
    <n v="0"/>
  </r>
  <r>
    <e v="#N/A"/>
    <s v="PAPALOTE, E. (6000 STRAY)"/>
    <x v="53"/>
    <n v="0"/>
    <s v=""/>
    <s v="02"/>
    <s v="o"/>
    <s v="08169"/>
    <n v="8169"/>
    <n v="0"/>
    <n v="0"/>
    <n v="0"/>
    <b v="1"/>
    <m/>
    <n v="0"/>
    <n v="0"/>
    <n v="0"/>
    <n v="0"/>
    <n v="0"/>
    <m/>
    <m/>
    <n v="0"/>
    <m/>
    <m/>
    <m/>
    <n v="0"/>
    <m/>
    <m/>
    <n v="0"/>
  </r>
  <r>
    <n v="82001"/>
    <s v="SUBLIME (9200)"/>
    <x v="54"/>
    <n v="0"/>
    <s v=""/>
    <s v="03"/>
    <s v="o"/>
    <s v="25782"/>
    <n v="25782"/>
    <n v="19"/>
    <n v="140"/>
    <n v="109"/>
    <b v="0"/>
    <n v="0"/>
    <n v="109"/>
    <n v="109"/>
    <n v="0"/>
    <n v="0"/>
    <n v="0"/>
    <n v="47"/>
    <m/>
    <n v="47"/>
    <m/>
    <n v="0"/>
    <n v="0"/>
    <n v="47"/>
    <m/>
    <m/>
    <n v="0"/>
  </r>
  <r>
    <n v="96701"/>
    <s v="SUBLIME (WILCOX 9100)"/>
    <x v="55"/>
    <n v="1"/>
    <s v=""/>
    <s v="03"/>
    <s v="g"/>
    <s v="280832"/>
    <n v="280832"/>
    <n v="0"/>
    <n v="10"/>
    <n v="43"/>
    <b v="0"/>
    <m/>
    <n v="43"/>
    <n v="43"/>
    <n v="0"/>
    <n v="0"/>
    <n v="0"/>
    <n v="71"/>
    <m/>
    <n v="71"/>
    <m/>
    <n v="0"/>
    <n v="0"/>
    <n v="71"/>
    <m/>
    <m/>
    <n v="0"/>
  </r>
  <r>
    <e v="#N/A"/>
    <s v="SUBLIME (9200)"/>
    <x v="55"/>
    <n v="0"/>
    <s v=""/>
    <s v="03"/>
    <s v="o"/>
    <s v="25785"/>
    <n v="25785"/>
    <n v="0"/>
    <n v="0"/>
    <n v="0"/>
    <b v="1"/>
    <m/>
    <n v="0"/>
    <n v="0"/>
    <n v="0"/>
    <n v="0"/>
    <n v="0"/>
    <m/>
    <m/>
    <n v="0"/>
    <m/>
    <m/>
    <m/>
    <n v="0"/>
    <m/>
    <m/>
    <n v="0"/>
  </r>
  <r>
    <n v="96501"/>
    <s v="SUBLIME (WILCOX 9500)"/>
    <x v="56"/>
    <n v="1"/>
    <s v=""/>
    <s v="03"/>
    <s v="g"/>
    <s v="161374"/>
    <n v="161374"/>
    <n v="3"/>
    <n v="1287"/>
    <n v="217"/>
    <b v="0"/>
    <n v="10"/>
    <n v="217"/>
    <n v="227"/>
    <n v="0"/>
    <n v="10"/>
    <n v="0"/>
    <n v="2555"/>
    <m/>
    <n v="2555"/>
    <m/>
    <n v="3"/>
    <n v="90"/>
    <n v="2645"/>
    <m/>
    <m/>
    <n v="0"/>
  </r>
  <r>
    <e v="#N/A"/>
    <s v="SUBLIME (7360)"/>
    <x v="57"/>
    <n v="0"/>
    <s v=""/>
    <s v="03"/>
    <s v="o"/>
    <s v="19798"/>
    <n v="19798"/>
    <n v="0"/>
    <n v="0"/>
    <n v="70"/>
    <b v="1"/>
    <m/>
    <n v="70"/>
    <n v="70"/>
    <n v="0"/>
    <n v="0"/>
    <n v="0"/>
    <m/>
    <m/>
    <n v="0"/>
    <m/>
    <m/>
    <m/>
    <n v="0"/>
    <m/>
    <m/>
    <n v="0"/>
  </r>
  <r>
    <e v="#N/A"/>
    <s v="ORANGE HILL, S. (WILCOX 9320)"/>
    <x v="58"/>
    <n v="2"/>
    <s v=""/>
    <s v="03"/>
    <s v="g"/>
    <s v="194105"/>
    <n v="194105"/>
    <n v="0"/>
    <n v="0"/>
    <n v="0"/>
    <b v="1"/>
    <m/>
    <n v="0"/>
    <n v="0"/>
    <n v="0"/>
    <n v="0"/>
    <n v="0"/>
    <m/>
    <m/>
    <n v="0"/>
    <m/>
    <m/>
    <m/>
    <n v="0"/>
    <m/>
    <m/>
    <n v="0"/>
  </r>
  <r>
    <e v="#N/A"/>
    <s v="ORANGE HILL, SE. (WILCOX 9400)"/>
    <x v="58"/>
    <n v="1"/>
    <s v=""/>
    <s v="03"/>
    <s v="g"/>
    <s v="130820"/>
    <n v="130820"/>
    <n v="0"/>
    <n v="0"/>
    <n v="0"/>
    <b v="1"/>
    <m/>
    <n v="0"/>
    <n v="0"/>
    <n v="0"/>
    <n v="0"/>
    <n v="0"/>
    <m/>
    <m/>
    <n v="0"/>
    <m/>
    <m/>
    <m/>
    <n v="0"/>
    <m/>
    <m/>
    <n v="0"/>
  </r>
  <r>
    <e v="#N/A"/>
    <s v="MAY, SOUTH (MASSIVE BASAL)"/>
    <x v="59"/>
    <n v="3"/>
    <s v=""/>
    <s v="04"/>
    <s v="g"/>
    <s v="191863"/>
    <n v="191863"/>
    <n v="0"/>
    <n v="0"/>
    <n v="0"/>
    <b v="1"/>
    <m/>
    <n v="0"/>
    <n v="0"/>
    <n v="0"/>
    <n v="0"/>
    <n v="0"/>
    <m/>
    <m/>
    <n v="0"/>
    <m/>
    <m/>
    <m/>
    <n v="0"/>
    <m/>
    <m/>
    <n v="0"/>
  </r>
  <r>
    <n v="99065"/>
    <s v="MAY, SOUTH (MASSIVE BASAL)"/>
    <x v="60"/>
    <n v="2"/>
    <s v=""/>
    <s v="04"/>
    <s v="g"/>
    <s v="011885"/>
    <n v="11885"/>
    <n v="0"/>
    <n v="1602"/>
    <n v="0"/>
    <b v="0"/>
    <m/>
    <n v="0"/>
    <n v="0"/>
    <n v="0"/>
    <n v="0"/>
    <n v="0"/>
    <n v="1015"/>
    <m/>
    <n v="1015"/>
    <m/>
    <m/>
    <n v="0"/>
    <n v="1015"/>
    <m/>
    <m/>
    <n v="0"/>
  </r>
  <r>
    <n v="99113"/>
    <s v="MAY, SOUTH (MASSIVE BASAL)"/>
    <x v="61"/>
    <n v="1"/>
    <s v=""/>
    <s v="04"/>
    <s v="g"/>
    <s v="011877"/>
    <n v="11877"/>
    <n v="0"/>
    <n v="312"/>
    <n v="0"/>
    <b v="0"/>
    <m/>
    <n v="0"/>
    <n v="0"/>
    <n v="0"/>
    <n v="0"/>
    <n v="0"/>
    <n v="284"/>
    <m/>
    <n v="284"/>
    <m/>
    <m/>
    <n v="0"/>
    <n v="284"/>
    <m/>
    <m/>
    <n v="0"/>
  </r>
  <r>
    <n v="99278"/>
    <s v="CONROE (MIDDLE WILCOX CONS.)"/>
    <x v="62"/>
    <s v="    3W "/>
    <s v=""/>
    <s v="03"/>
    <s v="g"/>
    <s v="206045"/>
    <n v="206045"/>
    <n v="0"/>
    <n v="8593"/>
    <n v="0"/>
    <b v="0"/>
    <m/>
    <n v="0"/>
    <n v="0"/>
    <n v="0"/>
    <n v="0"/>
    <n v="0"/>
    <n v="7806"/>
    <m/>
    <n v="7806"/>
    <m/>
    <n v="13"/>
    <n v="377"/>
    <n v="8183"/>
    <m/>
    <m/>
    <n v="0"/>
  </r>
  <r>
    <e v="#N/A"/>
    <s v="ORD (WILCOX J-1 SAND)"/>
    <x v="63"/>
    <n v="1"/>
    <n v="5113"/>
    <s v="02"/>
    <s v="g"/>
    <s v="132690"/>
    <n v="132690"/>
    <n v="0"/>
    <n v="0"/>
    <n v="84"/>
    <b v="1"/>
    <m/>
    <n v="84"/>
    <n v="84"/>
    <n v="0"/>
    <n v="0"/>
    <n v="0"/>
    <m/>
    <m/>
    <n v="0"/>
    <m/>
    <m/>
    <m/>
    <n v="0"/>
    <m/>
    <m/>
    <n v="0"/>
  </r>
  <r>
    <e v="#N/A"/>
    <s v="MCCOOK, E. (VICKSBURG LO-Y-2)"/>
    <x v="64"/>
    <n v="1"/>
    <s v=""/>
    <s v="04"/>
    <s v="g"/>
    <s v="127818"/>
    <n v="127818"/>
    <n v="0"/>
    <n v="0"/>
    <n v="166"/>
    <b v="1"/>
    <m/>
    <n v="166"/>
    <n v="166"/>
    <n v="0"/>
    <n v="0"/>
    <n v="0"/>
    <m/>
    <m/>
    <n v="0"/>
    <m/>
    <m/>
    <m/>
    <n v="0"/>
    <m/>
    <m/>
    <n v="0"/>
  </r>
  <r>
    <n v="98990"/>
    <s v="JAVELINA (VICKSBURG CONS.)"/>
    <x v="65"/>
    <n v="2"/>
    <s v=""/>
    <s v="04"/>
    <s v="g"/>
    <s v="173434"/>
    <n v="173434"/>
    <n v="0"/>
    <n v="142"/>
    <n v="169"/>
    <b v="0"/>
    <m/>
    <n v="169"/>
    <n v="169"/>
    <n v="0"/>
    <n v="0"/>
    <n v="0"/>
    <n v="2854"/>
    <m/>
    <n v="2854"/>
    <m/>
    <n v="0"/>
    <m/>
    <n v="2854"/>
    <m/>
    <m/>
    <n v="0"/>
  </r>
  <r>
    <e v="#N/A"/>
    <s v="COTTONWOOD CREEK, S. (YEGUA 4500"/>
    <x v="66"/>
    <n v="0"/>
    <s v=""/>
    <s v="02"/>
    <s v="o"/>
    <s v="06169"/>
    <n v="6169"/>
    <n v="19"/>
    <n v="0"/>
    <n v="175"/>
    <b v="0"/>
    <n v="26"/>
    <n v="175"/>
    <n v="200"/>
    <m/>
    <n v="25"/>
    <n v="1"/>
    <m/>
    <m/>
    <n v="0"/>
    <m/>
    <m/>
    <m/>
    <n v="0"/>
    <m/>
    <m/>
    <n v="0"/>
  </r>
  <r>
    <e v="#N/A"/>
    <s v="LOUISE (FRIO 5860)"/>
    <x v="67"/>
    <n v="7"/>
    <n v="1471"/>
    <s v="03"/>
    <s v="g"/>
    <s v="133198"/>
    <n v="133198"/>
    <n v="0"/>
    <n v="0"/>
    <n v="0"/>
    <b v="1"/>
    <m/>
    <n v="0"/>
    <n v="0"/>
    <n v="0"/>
    <n v="0"/>
    <n v="0"/>
    <m/>
    <m/>
    <n v="0"/>
    <m/>
    <m/>
    <m/>
    <n v="0"/>
    <m/>
    <m/>
    <n v="0"/>
  </r>
  <r>
    <n v="99159"/>
    <s v="LOUISE"/>
    <x v="67"/>
    <n v="0"/>
    <n v="1471"/>
    <s v="03"/>
    <s v="o"/>
    <s v="23217"/>
    <n v="23217"/>
    <n v="3"/>
    <n v="2537"/>
    <n v="140"/>
    <b v="0"/>
    <n v="3"/>
    <n v="140"/>
    <n v="146"/>
    <n v="0"/>
    <n v="6"/>
    <n v="-3"/>
    <n v="219"/>
    <m/>
    <n v="219"/>
    <m/>
    <n v="6"/>
    <n v="174"/>
    <n v="393"/>
    <m/>
    <m/>
    <n v="0"/>
  </r>
  <r>
    <e v="#N/A"/>
    <s v="LOUISE (FRIO 6570)"/>
    <x v="68"/>
    <n v="0"/>
    <n v="1471"/>
    <s v="03"/>
    <s v="o"/>
    <s v="22393"/>
    <n v="22393"/>
    <n v="0"/>
    <n v="0"/>
    <n v="0"/>
    <b v="1"/>
    <m/>
    <n v="0"/>
    <n v="0"/>
    <n v="0"/>
    <n v="0"/>
    <n v="0"/>
    <m/>
    <m/>
    <n v="0"/>
    <m/>
    <m/>
    <m/>
    <n v="0"/>
    <m/>
    <m/>
    <n v="0"/>
  </r>
  <r>
    <e v="#N/A"/>
    <s v="GIDDINGS (WILCOX 4500)"/>
    <x v="69"/>
    <n v="1"/>
    <s v=""/>
    <s v="03"/>
    <s v="g"/>
    <s v="264922"/>
    <n v="264922"/>
    <n v="0"/>
    <n v="0"/>
    <n v="0"/>
    <b v="1"/>
    <m/>
    <n v="0"/>
    <n v="0"/>
    <n v="0"/>
    <n v="0"/>
    <n v="0"/>
    <m/>
    <m/>
    <n v="0"/>
    <m/>
    <m/>
    <m/>
    <n v="0"/>
    <m/>
    <m/>
    <n v="0"/>
  </r>
  <r>
    <n v="98955"/>
    <s v="SEALY (WILCOX CONS.)"/>
    <x v="70"/>
    <n v="1"/>
    <s v=""/>
    <s v="03"/>
    <s v="g"/>
    <s v="210199"/>
    <n v="210199"/>
    <n v="0"/>
    <n v="655"/>
    <n v="63"/>
    <b v="0"/>
    <m/>
    <n v="63"/>
    <n v="63"/>
    <m/>
    <n v="0"/>
    <n v="0"/>
    <n v="907"/>
    <m/>
    <n v="907"/>
    <m/>
    <n v="1"/>
    <n v="27"/>
    <n v="934"/>
    <m/>
    <m/>
    <n v="0"/>
  </r>
  <r>
    <e v="#N/A"/>
    <s v="MAXINE, NE (8000)"/>
    <x v="71"/>
    <n v="1"/>
    <s v=""/>
    <s v="02"/>
    <s v="g"/>
    <s v="052283"/>
    <n v="52283"/>
    <n v="0"/>
    <n v="0"/>
    <n v="240"/>
    <b v="1"/>
    <m/>
    <n v="240"/>
    <n v="240"/>
    <n v="0"/>
    <n v="0"/>
    <n v="0"/>
    <m/>
    <m/>
    <n v="0"/>
    <m/>
    <m/>
    <m/>
    <n v="0"/>
    <m/>
    <m/>
    <n v="0"/>
  </r>
  <r>
    <e v="#N/A"/>
    <s v="MOBIL-DAVID, EAST"/>
    <x v="72"/>
    <n v="1"/>
    <s v=""/>
    <s v="04"/>
    <s v="g"/>
    <s v="140637"/>
    <n v="140637"/>
    <n v="0"/>
    <n v="0"/>
    <n v="92"/>
    <b v="1"/>
    <m/>
    <n v="92"/>
    <n v="92"/>
    <n v="0"/>
    <n v="0"/>
    <n v="0"/>
    <m/>
    <m/>
    <n v="0"/>
    <m/>
    <m/>
    <m/>
    <n v="0"/>
    <m/>
    <m/>
    <n v="0"/>
  </r>
  <r>
    <e v="#N/A"/>
    <s v="THEIS, SOUTH(SLICK FIRST)"/>
    <x v="73"/>
    <n v="2"/>
    <s v=""/>
    <s v="02"/>
    <s v="g"/>
    <s v="220079"/>
    <n v="220079"/>
    <n v="0"/>
    <n v="0"/>
    <n v="0"/>
    <b v="1"/>
    <m/>
    <n v="0"/>
    <n v="0"/>
    <n v="0"/>
    <n v="0"/>
    <n v="0"/>
    <m/>
    <m/>
    <n v="0"/>
    <m/>
    <m/>
    <m/>
    <n v="0"/>
    <m/>
    <m/>
    <n v="0"/>
  </r>
  <r>
    <n v="99269"/>
    <s v="CISCO-BENAVIDES (LOBO CONS.)"/>
    <x v="74"/>
    <n v="1"/>
    <s v=""/>
    <s v="04"/>
    <s v="g"/>
    <s v="255120"/>
    <n v="255120"/>
    <n v="0"/>
    <n v="1016"/>
    <n v="0"/>
    <b v="0"/>
    <m/>
    <n v="0"/>
    <n v="0"/>
    <m/>
    <n v="0"/>
    <n v="0"/>
    <n v="1385"/>
    <m/>
    <n v="1385"/>
    <m/>
    <m/>
    <m/>
    <n v="1385"/>
    <s v="ravi allocated"/>
    <m/>
    <n v="1"/>
  </r>
  <r>
    <e v="#N/A"/>
    <s v="KELSEY (VXKBG. CONSOL.)"/>
    <x v="75"/>
    <n v="1"/>
    <s v=""/>
    <s v="04"/>
    <s v="g"/>
    <s v="252973"/>
    <n v="252973"/>
    <n v="0"/>
    <n v="0"/>
    <n v="93"/>
    <b v="1"/>
    <m/>
    <n v="93"/>
    <n v="93"/>
    <n v="0"/>
    <n v="0"/>
    <n v="0"/>
    <m/>
    <m/>
    <n v="0"/>
    <m/>
    <m/>
    <m/>
    <n v="0"/>
    <m/>
    <m/>
    <n v="0"/>
  </r>
  <r>
    <n v="92001"/>
    <s v="MAXWELL (COOK MTN. 12,500)"/>
    <x v="76"/>
    <n v="0"/>
    <s v=""/>
    <s v="03"/>
    <s v="o"/>
    <s v="18769"/>
    <n v="18769"/>
    <n v="50"/>
    <n v="0"/>
    <n v="39"/>
    <b v="0"/>
    <n v="32"/>
    <n v="39"/>
    <n v="70"/>
    <m/>
    <n v="31"/>
    <n v="1"/>
    <n v="0"/>
    <m/>
    <n v="0"/>
    <m/>
    <m/>
    <n v="0"/>
    <n v="0"/>
    <m/>
    <m/>
    <n v="0"/>
  </r>
  <r>
    <n v="99058"/>
    <s v="MAY (LOWER 7)"/>
    <x v="77"/>
    <s v="  24  L"/>
    <s v=""/>
    <s v="04"/>
    <s v="g"/>
    <s v="201238"/>
    <n v="201238"/>
    <n v="0"/>
    <n v="5459"/>
    <n v="39"/>
    <b v="0"/>
    <m/>
    <n v="39"/>
    <n v="39"/>
    <n v="0"/>
    <n v="0"/>
    <n v="0"/>
    <n v="5442"/>
    <m/>
    <n v="5442"/>
    <m/>
    <m/>
    <n v="0"/>
    <n v="5442"/>
    <m/>
    <m/>
    <n v="0"/>
  </r>
  <r>
    <e v="#N/A"/>
    <s v="MAY (LOWER 7-B)"/>
    <x v="77"/>
    <n v="20"/>
    <s v=""/>
    <s v="04"/>
    <s v="g"/>
    <s v="242290"/>
    <n v="242290"/>
    <n v="0"/>
    <n v="0"/>
    <n v="0"/>
    <b v="1"/>
    <m/>
    <n v="0"/>
    <n v="0"/>
    <n v="0"/>
    <n v="0"/>
    <n v="0"/>
    <m/>
    <m/>
    <n v="0"/>
    <m/>
    <m/>
    <m/>
    <n v="0"/>
    <m/>
    <m/>
    <n v="0"/>
  </r>
  <r>
    <e v="#N/A"/>
    <s v="MAY (MASSIVE 9)"/>
    <x v="77"/>
    <s v="   24 L"/>
    <s v=""/>
    <s v="04"/>
    <s v="g"/>
    <s v="198253"/>
    <n v="198253"/>
    <n v="0"/>
    <n v="0"/>
    <n v="0"/>
    <b v="1"/>
    <m/>
    <n v="0"/>
    <n v="0"/>
    <n v="0"/>
    <n v="0"/>
    <n v="0"/>
    <m/>
    <m/>
    <n v="0"/>
    <m/>
    <m/>
    <m/>
    <n v="0"/>
    <m/>
    <m/>
    <n v="0"/>
  </r>
  <r>
    <e v="#N/A"/>
    <s v="MAY (MIDDLE 8)"/>
    <x v="77"/>
    <s v="   24 U"/>
    <s v=""/>
    <s v="04"/>
    <s v="g"/>
    <s v="159856"/>
    <n v="159856"/>
    <n v="0"/>
    <n v="0"/>
    <n v="0"/>
    <b v="1"/>
    <m/>
    <n v="0"/>
    <n v="0"/>
    <n v="0"/>
    <n v="0"/>
    <n v="0"/>
    <m/>
    <m/>
    <n v="0"/>
    <m/>
    <m/>
    <m/>
    <n v="0"/>
    <m/>
    <m/>
    <n v="0"/>
  </r>
  <r>
    <e v="#N/A"/>
    <s v="MAYES, WEST (F-2)"/>
    <x v="78"/>
    <n v="0"/>
    <s v=""/>
    <s v="03"/>
    <s v="o"/>
    <s v="12721"/>
    <n v="12721"/>
    <n v="0"/>
    <n v="0"/>
    <n v="0"/>
    <b v="1"/>
    <m/>
    <n v="0"/>
    <n v="0"/>
    <n v="0"/>
    <n v="0"/>
    <n v="0"/>
    <m/>
    <m/>
    <n v="0"/>
    <m/>
    <m/>
    <m/>
    <n v="0"/>
    <m/>
    <m/>
    <n v="0"/>
  </r>
  <r>
    <e v="#N/A"/>
    <s v="TRIPLE -A- (FRIO 7100, E.)"/>
    <x v="79"/>
    <n v="4"/>
    <s v=""/>
    <s v="04"/>
    <s v="g"/>
    <s v="190124"/>
    <n v="190124"/>
    <n v="0"/>
    <n v="0"/>
    <n v="0"/>
    <b v="1"/>
    <m/>
    <n v="0"/>
    <n v="0"/>
    <n v="0"/>
    <n v="0"/>
    <n v="0"/>
    <m/>
    <m/>
    <n v="0"/>
    <m/>
    <m/>
    <m/>
    <n v="0"/>
    <m/>
    <m/>
    <n v="0"/>
  </r>
  <r>
    <n v="99128"/>
    <s v="TRIPLE A (9200 SAND)"/>
    <x v="79"/>
    <s v="    1 L"/>
    <n v="5050"/>
    <s v="04"/>
    <s v="g"/>
    <s v="066093"/>
    <n v="66093"/>
    <n v="225"/>
    <n v="4284"/>
    <n v="69"/>
    <b v="0"/>
    <n v="17"/>
    <n v="69"/>
    <n v="85"/>
    <n v="0"/>
    <n v="16"/>
    <n v="1"/>
    <n v="49"/>
    <m/>
    <n v="49"/>
    <m/>
    <n v="10"/>
    <n v="150"/>
    <n v="199"/>
    <m/>
    <s v="moved 80 bbls from water tank to oil tank 8/2018 (counting it as production - called rrc how to report this - they wanted details and lease number so probably not the best route."/>
    <n v="0"/>
  </r>
  <r>
    <n v="99134"/>
    <s v="MIDWAY (9150)"/>
    <x v="80"/>
    <s v="    2A "/>
    <n v="5050"/>
    <s v="04"/>
    <s v="g"/>
    <s v="276012"/>
    <n v="276012"/>
    <n v="0"/>
    <n v="2361"/>
    <n v="62"/>
    <b v="0"/>
    <m/>
    <n v="62"/>
    <n v="62"/>
    <n v="0"/>
    <n v="0"/>
    <n v="0"/>
    <n v="8144"/>
    <m/>
    <n v="8144"/>
    <m/>
    <n v="0"/>
    <n v="0"/>
    <n v="8144"/>
    <m/>
    <m/>
    <n v="0"/>
  </r>
  <r>
    <n v="99186"/>
    <s v="LOUISE"/>
    <x v="81"/>
    <n v="0"/>
    <s v=""/>
    <s v="03"/>
    <s v="o"/>
    <s v="26743"/>
    <n v="26743"/>
    <n v="0"/>
    <n v="8"/>
    <n v="26"/>
    <b v="0"/>
    <m/>
    <n v="26"/>
    <n v="26"/>
    <m/>
    <n v="0"/>
    <n v="0"/>
    <n v="0"/>
    <m/>
    <n v="0"/>
    <m/>
    <n v="2"/>
    <n v="0"/>
    <n v="0"/>
    <m/>
    <s v="Force stock to make gauge sheet 0"/>
    <n v="0"/>
  </r>
  <r>
    <e v="#N/A"/>
    <s v="LOUISE (PERRY 6050)"/>
    <x v="82"/>
    <n v="7"/>
    <s v=""/>
    <s v="03"/>
    <s v="g"/>
    <s v="229081"/>
    <n v="229081"/>
    <n v="0"/>
    <n v="0"/>
    <n v="0"/>
    <b v="1"/>
    <m/>
    <n v="0"/>
    <n v="0"/>
    <n v="0"/>
    <n v="0"/>
    <n v="0"/>
    <m/>
    <m/>
    <n v="0"/>
    <m/>
    <m/>
    <m/>
    <n v="0"/>
    <m/>
    <m/>
    <n v="0"/>
  </r>
  <r>
    <e v="#N/A"/>
    <s v="HARVEY, DEEP (ANDERSON)"/>
    <x v="83"/>
    <n v="2"/>
    <s v=""/>
    <s v="04"/>
    <s v="g"/>
    <s v="054242"/>
    <n v="54242"/>
    <n v="0"/>
    <n v="0"/>
    <n v="0"/>
    <b v="1"/>
    <m/>
    <n v="0"/>
    <n v="0"/>
    <n v="0"/>
    <n v="0"/>
    <n v="0"/>
    <m/>
    <m/>
    <n v="0"/>
    <m/>
    <m/>
    <m/>
    <n v="0"/>
    <m/>
    <m/>
    <n v="0"/>
  </r>
  <r>
    <e v="#N/A"/>
    <s v="PETTUS, S.E. (UPPER MUTT)"/>
    <x v="84"/>
    <n v="0"/>
    <s v=""/>
    <s v="02"/>
    <s v="o"/>
    <s v="08635"/>
    <n v="8635"/>
    <n v="0"/>
    <n v="0"/>
    <n v="0"/>
    <b v="1"/>
    <m/>
    <n v="0"/>
    <n v="0"/>
    <n v="0"/>
    <n v="0"/>
    <n v="0"/>
    <m/>
    <m/>
    <n v="0"/>
    <m/>
    <m/>
    <m/>
    <n v="0"/>
    <m/>
    <m/>
    <n v="0"/>
  </r>
  <r>
    <e v="#N/A"/>
    <s v="PETTUS, SE. (WILCOX 7650)"/>
    <x v="84"/>
    <n v="0"/>
    <s v=""/>
    <s v="02"/>
    <s v="o"/>
    <s v="08247"/>
    <n v="8247"/>
    <n v="0"/>
    <n v="0"/>
    <n v="0"/>
    <b v="1"/>
    <m/>
    <n v="0"/>
    <n v="0"/>
    <n v="0"/>
    <n v="0"/>
    <n v="0"/>
    <m/>
    <m/>
    <n v="0"/>
    <m/>
    <m/>
    <m/>
    <n v="0"/>
    <m/>
    <m/>
    <n v="0"/>
  </r>
  <r>
    <e v="#N/A"/>
    <s v="PETTUS, S.E. (1360)"/>
    <x v="84"/>
    <n v="5"/>
    <s v=""/>
    <s v="02"/>
    <s v="g"/>
    <s v="182045"/>
    <n v="182045"/>
    <n v="0"/>
    <n v="0"/>
    <n v="0"/>
    <b v="1"/>
    <m/>
    <n v="0"/>
    <n v="0"/>
    <n v="0"/>
    <n v="0"/>
    <n v="0"/>
    <m/>
    <m/>
    <n v="0"/>
    <m/>
    <m/>
    <m/>
    <n v="0"/>
    <m/>
    <m/>
    <n v="0"/>
  </r>
  <r>
    <n v="99288"/>
    <s v="BIG HILL ( DISCORBIS B)"/>
    <x v="85"/>
    <n v="0"/>
    <s v=""/>
    <s v="03"/>
    <s v="o"/>
    <s v="27348"/>
    <n v="27348"/>
    <n v="8"/>
    <n v="0"/>
    <n v="184"/>
    <b v="0"/>
    <n v="1"/>
    <n v="184"/>
    <n v="187"/>
    <m/>
    <n v="3"/>
    <n v="-2"/>
    <m/>
    <m/>
    <n v="0"/>
    <m/>
    <m/>
    <m/>
    <n v="0"/>
    <m/>
    <m/>
    <n v="1"/>
  </r>
  <r>
    <n v="99297"/>
    <e v="#N/A"/>
    <x v="86"/>
    <s v="4"/>
    <m/>
    <s v="03"/>
    <s v="o"/>
    <s v="834804"/>
    <n v="834804"/>
    <n v="363"/>
    <m/>
    <n v="191"/>
    <b v="0"/>
    <n v="12"/>
    <n v="191"/>
    <n v="203"/>
    <n v="0"/>
    <n v="12"/>
    <n v="0"/>
    <n v="664"/>
    <m/>
    <n v="664"/>
    <m/>
    <m/>
    <n v="0"/>
    <n v="664"/>
    <m/>
    <s v="lease is filed under pending - rrc will have to issue a lease id"/>
    <n v="0"/>
  </r>
  <r>
    <e v="#N/A"/>
    <s v="MANOR LAKE (10,300)"/>
    <x v="87"/>
    <n v="1"/>
    <s v=""/>
    <s v="03"/>
    <s v="g"/>
    <s v="139199"/>
    <n v="139199"/>
    <n v="0"/>
    <n v="0"/>
    <n v="0"/>
    <b v="1"/>
    <m/>
    <n v="0"/>
    <n v="0"/>
    <n v="0"/>
    <n v="0"/>
    <n v="0"/>
    <m/>
    <m/>
    <n v="0"/>
    <m/>
    <m/>
    <m/>
    <n v="0"/>
    <m/>
    <m/>
    <n v="0"/>
  </r>
  <r>
    <n v="99268"/>
    <s v="EXSUN (LOBO CONS.)"/>
    <x v="88"/>
    <n v="1"/>
    <s v=""/>
    <s v="04"/>
    <s v="g"/>
    <s v="250087"/>
    <n v="250087"/>
    <n v="0"/>
    <n v="3302"/>
    <n v="24"/>
    <b v="0"/>
    <m/>
    <n v="24"/>
    <n v="24"/>
    <m/>
    <n v="0"/>
    <n v="0"/>
    <n v="3273"/>
    <m/>
    <n v="3273"/>
    <m/>
    <m/>
    <m/>
    <n v="3273"/>
    <s v="ravi allocated"/>
    <m/>
    <n v="0"/>
  </r>
  <r>
    <n v="99102"/>
    <s v="FOSS-BROWN (WILCOX)"/>
    <x v="89"/>
    <n v="1"/>
    <s v=""/>
    <s v="02"/>
    <s v="g"/>
    <s v="245422"/>
    <n v="245422"/>
    <n v="1017"/>
    <n v="61197"/>
    <n v="304"/>
    <b v="0"/>
    <n v="908"/>
    <n v="304"/>
    <n v="453"/>
    <n v="748"/>
    <n v="897"/>
    <n v="11"/>
    <n v="56716"/>
    <m/>
    <n v="56716"/>
    <m/>
    <m/>
    <n v="0"/>
    <n v="56716"/>
    <m/>
    <m/>
    <n v="0"/>
  </r>
  <r>
    <e v="#N/A"/>
    <s v="THE RAPTURE (MAGNOLIA)"/>
    <x v="90"/>
    <n v="1"/>
    <s v=""/>
    <s v="02"/>
    <s v="g"/>
    <s v="264004"/>
    <n v="264004"/>
    <n v="0"/>
    <n v="0"/>
    <n v="0"/>
    <b v="1"/>
    <m/>
    <n v="0"/>
    <n v="0"/>
    <n v="0"/>
    <n v="0"/>
    <n v="0"/>
    <m/>
    <m/>
    <n v="0"/>
    <m/>
    <m/>
    <m/>
    <n v="0"/>
    <m/>
    <m/>
    <n v="0"/>
  </r>
  <r>
    <e v="#N/A"/>
    <s v="NELSONVILLE (WILCOX 9,000)"/>
    <x v="91"/>
    <n v="2"/>
    <s v=""/>
    <s v="03"/>
    <s v="g"/>
    <s v="235116"/>
    <n v="235116"/>
    <n v="0"/>
    <n v="0"/>
    <n v="0"/>
    <b v="1"/>
    <m/>
    <n v="0"/>
    <n v="0"/>
    <n v="0"/>
    <n v="0"/>
    <n v="0"/>
    <m/>
    <m/>
    <n v="0"/>
    <m/>
    <m/>
    <m/>
    <n v="0"/>
    <m/>
    <m/>
    <n v="0"/>
  </r>
  <r>
    <n v="98801"/>
    <s v="NELSONVILLE ( WILCOX 10,400)"/>
    <x v="92"/>
    <n v="1"/>
    <s v=""/>
    <s v="03"/>
    <s v="g"/>
    <s v="164970"/>
    <n v="164970"/>
    <n v="25"/>
    <n v="3118"/>
    <n v="209"/>
    <b v="0"/>
    <n v="18"/>
    <n v="209"/>
    <n v="49"/>
    <n v="172"/>
    <n v="12"/>
    <n v="6"/>
    <n v="1955"/>
    <m/>
    <n v="1955"/>
    <m/>
    <n v="7"/>
    <n v="91"/>
    <n v="2046"/>
    <m/>
    <m/>
    <n v="0"/>
  </r>
  <r>
    <n v="99259"/>
    <s v="ORCONES (FRIO-VKSBG CONS.)"/>
    <x v="93"/>
    <n v="0"/>
    <s v=""/>
    <s v="04"/>
    <s v="o"/>
    <s v="14061"/>
    <n v="14061"/>
    <n v="267"/>
    <n v="0"/>
    <n v="247"/>
    <b v="0"/>
    <n v="289"/>
    <n v="247"/>
    <n v="157"/>
    <n v="365"/>
    <n v="275"/>
    <n v="14"/>
    <n v="0"/>
    <m/>
    <n v="0"/>
    <m/>
    <m/>
    <n v="0"/>
    <n v="0"/>
    <m/>
    <m/>
    <n v="0"/>
  </r>
  <r>
    <e v="#N/A"/>
    <s v="HI-LUK"/>
    <x v="94"/>
    <n v="0"/>
    <s v=""/>
    <s v="04"/>
    <s v="o"/>
    <s v="10325"/>
    <n v="10325"/>
    <n v="2"/>
    <n v="0"/>
    <n v="159"/>
    <b v="0"/>
    <n v="2"/>
    <n v="159"/>
    <n v="160"/>
    <m/>
    <n v="1"/>
    <n v="1"/>
    <m/>
    <m/>
    <n v="0"/>
    <m/>
    <m/>
    <m/>
    <n v="0"/>
    <m/>
    <m/>
    <n v="0"/>
  </r>
  <r>
    <e v="#N/A"/>
    <s v="PANNA MARIA (EDWARDS)"/>
    <x v="95"/>
    <n v="0"/>
    <s v=""/>
    <s v="02"/>
    <s v="o"/>
    <s v="05086"/>
    <n v="5086"/>
    <n v="0"/>
    <n v="0"/>
    <n v="0"/>
    <b v="1"/>
    <m/>
    <n v="0"/>
    <n v="0"/>
    <n v="0"/>
    <n v="0"/>
    <n v="0"/>
    <m/>
    <m/>
    <n v="0"/>
    <m/>
    <m/>
    <m/>
    <n v="0"/>
    <m/>
    <m/>
    <n v="0"/>
  </r>
  <r>
    <e v="#N/A"/>
    <s v="BLOOMBERG (VICKSBURG 6000)"/>
    <x v="96"/>
    <n v="1"/>
    <s v=""/>
    <s v="04"/>
    <s v="g"/>
    <s v="115364"/>
    <n v="115364"/>
    <n v="0"/>
    <n v="0"/>
    <n v="0"/>
    <b v="1"/>
    <m/>
    <n v="0"/>
    <n v="0"/>
    <n v="0"/>
    <n v="0"/>
    <n v="0"/>
    <m/>
    <m/>
    <n v="0"/>
    <m/>
    <m/>
    <m/>
    <n v="0"/>
    <m/>
    <m/>
    <n v="0"/>
  </r>
  <r>
    <n v="98961"/>
    <s v="ULRICH (YEGUA CONSOL)"/>
    <x v="97"/>
    <n v="0"/>
    <s v=""/>
    <s v="03"/>
    <s v="o"/>
    <s v="24644"/>
    <n v="24644"/>
    <n v="273"/>
    <n v="2213"/>
    <n v="107"/>
    <b v="0"/>
    <n v="216"/>
    <n v="107"/>
    <n v="153"/>
    <n v="168"/>
    <n v="214"/>
    <n v="2"/>
    <n v="2003"/>
    <m/>
    <n v="2003"/>
    <m/>
    <n v="0"/>
    <n v="0"/>
    <n v="2003"/>
    <m/>
    <m/>
    <n v="0"/>
  </r>
  <r>
    <e v="#N/A"/>
    <s v="ULRICH (YEGUA CONSOL)"/>
    <x v="97"/>
    <n v="3"/>
    <s v=""/>
    <s v="03"/>
    <s v="g"/>
    <s v="129832"/>
    <n v="129832"/>
    <n v="0"/>
    <n v="0"/>
    <n v="0"/>
    <b v="1"/>
    <m/>
    <n v="0"/>
    <n v="0"/>
    <n v="0"/>
    <n v="0"/>
    <n v="0"/>
    <m/>
    <m/>
    <n v="0"/>
    <m/>
    <m/>
    <m/>
    <n v="0"/>
    <m/>
    <m/>
    <n v="0"/>
  </r>
  <r>
    <e v="#N/A"/>
    <s v="ULRICH (YEGUA 1D)"/>
    <x v="97"/>
    <n v="5"/>
    <s v=""/>
    <s v="03"/>
    <s v="g"/>
    <s v="127418"/>
    <n v="127418"/>
    <n v="0"/>
    <n v="0"/>
    <n v="0"/>
    <b v="1"/>
    <m/>
    <n v="0"/>
    <n v="0"/>
    <n v="0"/>
    <n v="0"/>
    <n v="0"/>
    <m/>
    <m/>
    <n v="0"/>
    <m/>
    <m/>
    <m/>
    <n v="0"/>
    <m/>
    <m/>
    <n v="0"/>
  </r>
  <r>
    <e v="#N/A"/>
    <s v="ULRICH (YEGUA 1D)"/>
    <x v="97"/>
    <n v="4"/>
    <s v=""/>
    <s v="03"/>
    <s v="g"/>
    <s v="128149"/>
    <n v="128149"/>
    <n v="0"/>
    <n v="0"/>
    <n v="0"/>
    <b v="1"/>
    <m/>
    <n v="0"/>
    <n v="0"/>
    <n v="0"/>
    <n v="0"/>
    <n v="0"/>
    <m/>
    <m/>
    <n v="0"/>
    <m/>
    <m/>
    <m/>
    <n v="0"/>
    <m/>
    <m/>
    <n v="0"/>
  </r>
  <r>
    <n v="99132"/>
    <s v="TRIPLE -A- (FRIO 6600 SAND)"/>
    <x v="98"/>
    <s v="4"/>
    <n v="6114"/>
    <s v="04"/>
    <s v="o"/>
    <s v="03212"/>
    <n v="3212"/>
    <n v="41"/>
    <n v="72"/>
    <n v="41"/>
    <b v="0"/>
    <n v="45"/>
    <n v="41"/>
    <n v="89"/>
    <m/>
    <n v="48"/>
    <n v="-3"/>
    <n v="0"/>
    <m/>
    <n v="0"/>
    <m/>
    <n v="4"/>
    <n v="72"/>
    <n v="72"/>
    <m/>
    <m/>
    <n v="1"/>
  </r>
  <r>
    <n v="99133"/>
    <s v="TRIPLE -A- (FRIO 7500)"/>
    <x v="99"/>
    <s v="8"/>
    <n v="6114"/>
    <s v="04"/>
    <s v="o"/>
    <s v="13668"/>
    <n v="13668"/>
    <n v="0"/>
    <n v="0"/>
    <n v="0"/>
    <b v="1"/>
    <m/>
    <n v="0"/>
    <n v="0"/>
    <n v="0"/>
    <n v="0"/>
    <n v="0"/>
    <m/>
    <m/>
    <n v="0"/>
    <m/>
    <m/>
    <m/>
    <n v="0"/>
    <m/>
    <m/>
    <n v="1"/>
  </r>
  <r>
    <e v="#N/A"/>
    <s v="TRIPLE -A- (NELSON SAND)"/>
    <x v="100"/>
    <n v="0"/>
    <s v=""/>
    <s v="04"/>
    <s v="o"/>
    <s v="13664"/>
    <n v="13664"/>
    <n v="0"/>
    <n v="0"/>
    <n v="64"/>
    <b v="1"/>
    <m/>
    <n v="64"/>
    <n v="64"/>
    <n v="0"/>
    <n v="0"/>
    <n v="0"/>
    <m/>
    <m/>
    <n v="0"/>
    <m/>
    <m/>
    <m/>
    <n v="0"/>
    <m/>
    <m/>
    <n v="0"/>
  </r>
  <r>
    <e v="#N/A"/>
    <s v="MIDWAY (9300)"/>
    <x v="101"/>
    <n v="2"/>
    <s v=""/>
    <s v="04"/>
    <s v="g"/>
    <s v="192315"/>
    <n v="192315"/>
    <n v="0"/>
    <n v="0"/>
    <n v="0"/>
    <b v="1"/>
    <m/>
    <n v="0"/>
    <n v="0"/>
    <n v="0"/>
    <n v="0"/>
    <n v="0"/>
    <m/>
    <m/>
    <n v="0"/>
    <m/>
    <m/>
    <m/>
    <n v="0"/>
    <m/>
    <m/>
    <n v="0"/>
  </r>
  <r>
    <e v="#N/A"/>
    <s v="LOUISE"/>
    <x v="102"/>
    <n v="1"/>
    <s v=""/>
    <s v="03"/>
    <s v="g"/>
    <s v="279165"/>
    <n v="279165"/>
    <n v="0"/>
    <n v="0"/>
    <n v="0"/>
    <b v="1"/>
    <m/>
    <n v="0"/>
    <n v="0"/>
    <n v="0"/>
    <n v="0"/>
    <n v="0"/>
    <m/>
    <m/>
    <n v="0"/>
    <m/>
    <m/>
    <m/>
    <n v="0"/>
    <m/>
    <m/>
    <n v="0"/>
  </r>
  <r>
    <e v="#N/A"/>
    <s v="PORTER, WEST (PETTUS)"/>
    <x v="103"/>
    <n v="0"/>
    <s v=""/>
    <s v="02"/>
    <s v="o"/>
    <s v="04248"/>
    <n v="4248"/>
    <n v="0"/>
    <n v="0"/>
    <n v="213"/>
    <b v="1"/>
    <m/>
    <n v="213"/>
    <n v="213"/>
    <n v="0"/>
    <n v="0"/>
    <n v="0"/>
    <m/>
    <m/>
    <n v="0"/>
    <m/>
    <m/>
    <m/>
    <n v="0"/>
    <m/>
    <m/>
    <n v="0"/>
  </r>
  <r>
    <e v="#N/A"/>
    <s v="ROCK ISLAND (9900)"/>
    <x v="104"/>
    <n v="1"/>
    <s v=""/>
    <s v="03"/>
    <s v="g"/>
    <s v="058664"/>
    <n v="58664"/>
    <n v="0"/>
    <n v="0"/>
    <n v="0"/>
    <b v="1"/>
    <m/>
    <n v="0"/>
    <n v="0"/>
    <n v="0"/>
    <n v="0"/>
    <n v="0"/>
    <m/>
    <m/>
    <n v="0"/>
    <m/>
    <m/>
    <m/>
    <n v="0"/>
    <m/>
    <m/>
    <n v="0"/>
  </r>
  <r>
    <e v="#N/A"/>
    <s v="MUY BUENO (9800)"/>
    <x v="105"/>
    <n v="5"/>
    <n v="5048"/>
    <s v="02"/>
    <s v="g"/>
    <s v="198005"/>
    <n v="198005"/>
    <n v="0"/>
    <n v="0"/>
    <n v="0"/>
    <b v="1"/>
    <m/>
    <n v="0"/>
    <n v="0"/>
    <n v="0"/>
    <n v="0"/>
    <n v="0"/>
    <m/>
    <m/>
    <n v="0"/>
    <m/>
    <m/>
    <m/>
    <n v="0"/>
    <m/>
    <m/>
    <n v="0"/>
  </r>
  <r>
    <e v="#N/A"/>
    <s v="RIVERDALE (MASSIVE FIRST-WILCOX)"/>
    <x v="105"/>
    <n v="3"/>
    <n v="5048"/>
    <s v="02"/>
    <s v="g"/>
    <s v="184558"/>
    <n v="184558"/>
    <n v="0"/>
    <n v="0"/>
    <n v="0"/>
    <b v="1"/>
    <m/>
    <n v="0"/>
    <n v="0"/>
    <n v="0"/>
    <n v="0"/>
    <n v="0"/>
    <m/>
    <m/>
    <n v="0"/>
    <m/>
    <m/>
    <m/>
    <n v="0"/>
    <m/>
    <m/>
    <n v="0"/>
  </r>
  <r>
    <e v="#N/A"/>
    <s v="MUY BUENO (WILCOX J)"/>
    <x v="106"/>
    <n v="1"/>
    <s v=""/>
    <s v="02"/>
    <s v="g"/>
    <s v="172874"/>
    <n v="172874"/>
    <n v="0"/>
    <n v="0"/>
    <n v="0"/>
    <b v="1"/>
    <m/>
    <n v="0"/>
    <n v="0"/>
    <n v="0"/>
    <n v="0"/>
    <n v="0"/>
    <m/>
    <m/>
    <n v="0"/>
    <m/>
    <m/>
    <m/>
    <n v="0"/>
    <m/>
    <m/>
    <n v="0"/>
  </r>
  <r>
    <n v="99256"/>
    <s v="MUY BUENO (9800)"/>
    <x v="106"/>
    <n v="1"/>
    <n v="5048"/>
    <s v="02"/>
    <s v="g"/>
    <s v="180461"/>
    <n v="180461"/>
    <n v="47"/>
    <n v="2020"/>
    <n v="217"/>
    <b v="0"/>
    <n v="45"/>
    <n v="217"/>
    <n v="262"/>
    <n v="0"/>
    <n v="45"/>
    <n v="0"/>
    <n v="2269"/>
    <m/>
    <n v="2269"/>
    <m/>
    <m/>
    <n v="0"/>
    <n v="2269"/>
    <m/>
    <m/>
    <n v="0"/>
  </r>
  <r>
    <e v="#N/A"/>
    <s v="MCKINNEY (WILCOX)"/>
    <x v="107"/>
    <n v="1"/>
    <s v=""/>
    <s v="02"/>
    <s v="g"/>
    <s v="253815"/>
    <n v="253815"/>
    <n v="0"/>
    <n v="0"/>
    <n v="0"/>
    <b v="1"/>
    <m/>
    <n v="0"/>
    <n v="0"/>
    <n v="0"/>
    <n v="0"/>
    <n v="0"/>
    <m/>
    <m/>
    <n v="0"/>
    <m/>
    <m/>
    <m/>
    <n v="0"/>
    <m/>
    <m/>
    <n v="0"/>
  </r>
  <r>
    <e v="#N/A"/>
    <s v="JABO (L. HACKBERRY 8570)"/>
    <x v="108"/>
    <n v="0"/>
    <s v=""/>
    <s v="03"/>
    <s v="o"/>
    <s v="24246"/>
    <n v="24246"/>
    <n v="0"/>
    <n v="0"/>
    <n v="52"/>
    <b v="1"/>
    <m/>
    <n v="52"/>
    <n v="52"/>
    <n v="0"/>
    <n v="0"/>
    <n v="0"/>
    <m/>
    <m/>
    <n v="0"/>
    <m/>
    <m/>
    <m/>
    <n v="0"/>
    <m/>
    <m/>
    <n v="0"/>
  </r>
  <r>
    <e v="#N/A"/>
    <s v="ANGELINA (12900)"/>
    <x v="109"/>
    <n v="1"/>
    <s v=""/>
    <s v="03"/>
    <s v="g"/>
    <s v="253385"/>
    <n v="253385"/>
    <n v="0"/>
    <n v="0"/>
    <n v="53"/>
    <b v="1"/>
    <m/>
    <n v="53"/>
    <n v="53"/>
    <n v="0"/>
    <n v="0"/>
    <n v="0"/>
    <m/>
    <m/>
    <n v="0"/>
    <m/>
    <m/>
    <m/>
    <n v="0"/>
    <m/>
    <m/>
    <n v="0"/>
  </r>
  <r>
    <n v="98910"/>
    <s v="SHERIDAN, S. W. (WILCOX 8200)"/>
    <x v="110"/>
    <n v="0"/>
    <s v=""/>
    <s v="03"/>
    <s v="o"/>
    <s v="11349"/>
    <n v="11349"/>
    <n v="1171"/>
    <n v="124"/>
    <n v="128"/>
    <b v="0"/>
    <n v="1166"/>
    <n v="128"/>
    <n v="285"/>
    <n v="1009"/>
    <n v="1166"/>
    <n v="0"/>
    <n v="0"/>
    <m/>
    <n v="0"/>
    <m/>
    <n v="4"/>
    <n v="120"/>
    <n v="120"/>
    <m/>
    <m/>
    <n v="0"/>
  </r>
  <r>
    <e v="#N/A"/>
    <s v="ESTES COVE (E-1, FAULT BLOCK B)"/>
    <x v="111"/>
    <n v="1"/>
    <s v=""/>
    <s v="04"/>
    <s v="g"/>
    <s v="167923"/>
    <n v="167923"/>
    <n v="0"/>
    <n v="0"/>
    <n v="0"/>
    <b v="1"/>
    <m/>
    <n v="0"/>
    <n v="0"/>
    <n v="0"/>
    <n v="0"/>
    <n v="0"/>
    <m/>
    <m/>
    <n v="0"/>
    <m/>
    <m/>
    <m/>
    <n v="0"/>
    <m/>
    <m/>
    <n v="0"/>
  </r>
  <r>
    <e v="#N/A"/>
    <s v="RAMSEY, E. (WILCOX 9350)"/>
    <x v="112"/>
    <n v="1"/>
    <s v=""/>
    <s v="03"/>
    <s v="g"/>
    <s v="047134"/>
    <n v="47134"/>
    <n v="0"/>
    <n v="0"/>
    <n v="0"/>
    <b v="1"/>
    <m/>
    <n v="0"/>
    <n v="0"/>
    <n v="0"/>
    <n v="0"/>
    <n v="0"/>
    <m/>
    <m/>
    <n v="0"/>
    <m/>
    <m/>
    <m/>
    <n v="0"/>
    <m/>
    <m/>
    <n v="0"/>
  </r>
  <r>
    <n v="98401"/>
    <s v="RAMSEY (10,700)"/>
    <x v="113"/>
    <n v="2"/>
    <s v=""/>
    <s v="03"/>
    <s v="g"/>
    <s v="193384"/>
    <n v="193384"/>
    <n v="31"/>
    <n v="201"/>
    <n v="160"/>
    <b v="0"/>
    <n v="22"/>
    <n v="160"/>
    <n v="182"/>
    <n v="0"/>
    <n v="22"/>
    <n v="0"/>
    <n v="943"/>
    <m/>
    <n v="943"/>
    <m/>
    <n v="3"/>
    <n v="42"/>
    <n v="985"/>
    <m/>
    <m/>
    <n v="0"/>
  </r>
  <r>
    <e v="#N/A"/>
    <s v="RAMSEY, E. (WILCOX 10,700)"/>
    <x v="114"/>
    <n v="2"/>
    <s v=""/>
    <s v="03"/>
    <s v="g"/>
    <s v="214235"/>
    <n v="214235"/>
    <n v="0"/>
    <n v="0"/>
    <n v="0"/>
    <b v="1"/>
    <m/>
    <n v="0"/>
    <n v="0"/>
    <n v="0"/>
    <n v="0"/>
    <n v="0"/>
    <m/>
    <m/>
    <n v="0"/>
    <m/>
    <m/>
    <m/>
    <n v="0"/>
    <m/>
    <m/>
    <n v="0"/>
  </r>
  <r>
    <n v="96901"/>
    <s v="RAMSEY, E. (WILCOX 9370)"/>
    <x v="115"/>
    <n v="1"/>
    <s v=""/>
    <s v="03"/>
    <s v="g"/>
    <s v="158691"/>
    <n v="158691"/>
    <n v="0"/>
    <n v="1217"/>
    <n v="125"/>
    <b v="0"/>
    <n v="3"/>
    <n v="125"/>
    <n v="125"/>
    <n v="0"/>
    <n v="0"/>
    <n v="3"/>
    <n v="795"/>
    <m/>
    <n v="795"/>
    <m/>
    <n v="1"/>
    <n v="23"/>
    <n v="818"/>
    <m/>
    <s v="opening stock doesn't match gauge sheet - need to check with july 2019 notes"/>
    <n v="0"/>
  </r>
  <r>
    <e v="#N/A"/>
    <s v="MCCOY (QUINN)"/>
    <x v="116"/>
    <n v="1"/>
    <s v=""/>
    <s v="03"/>
    <s v="g"/>
    <s v="214543"/>
    <n v="214543"/>
    <n v="0"/>
    <n v="0"/>
    <n v="0"/>
    <b v="1"/>
    <m/>
    <n v="0"/>
    <n v="0"/>
    <n v="0"/>
    <n v="0"/>
    <n v="0"/>
    <m/>
    <m/>
    <n v="0"/>
    <m/>
    <m/>
    <m/>
    <n v="0"/>
    <m/>
    <m/>
    <n v="0"/>
  </r>
  <r>
    <n v="99101"/>
    <s v="LOMITA (WILCOX 7400 SD)"/>
    <x v="117"/>
    <s v="    2H "/>
    <s v=""/>
    <s v="03"/>
    <s v="g"/>
    <s v="284976"/>
    <n v="284976"/>
    <n v="297"/>
    <n v="23157"/>
    <n v="208"/>
    <b v="0"/>
    <n v="284"/>
    <n v="208"/>
    <n v="296"/>
    <n v="191"/>
    <n v="279"/>
    <n v="5"/>
    <n v="22145"/>
    <m/>
    <n v="22145"/>
    <m/>
    <m/>
    <n v="0"/>
    <n v="22145"/>
    <m/>
    <m/>
    <n v="0"/>
  </r>
  <r>
    <e v="#N/A"/>
    <s v="TAIL FEATHERS (YEGUA)"/>
    <x v="118"/>
    <n v="5"/>
    <s v=""/>
    <s v="03"/>
    <s v="g"/>
    <s v="179674"/>
    <n v="179674"/>
    <n v="0"/>
    <n v="0"/>
    <n v="0"/>
    <b v="1"/>
    <m/>
    <n v="0"/>
    <n v="0"/>
    <n v="0"/>
    <n v="0"/>
    <n v="0"/>
    <m/>
    <m/>
    <n v="0"/>
    <m/>
    <m/>
    <m/>
    <n v="0"/>
    <m/>
    <m/>
    <n v="0"/>
  </r>
  <r>
    <e v="#N/A"/>
    <s v="STEDMAN ISLAND"/>
    <x v="119"/>
    <n v="2"/>
    <s v=""/>
    <s v="04"/>
    <s v="g"/>
    <s v="142434"/>
    <n v="142434"/>
    <n v="0"/>
    <n v="0"/>
    <n v="49"/>
    <b v="1"/>
    <m/>
    <n v="49"/>
    <n v="49"/>
    <n v="0"/>
    <n v="0"/>
    <n v="0"/>
    <m/>
    <m/>
    <n v="0"/>
    <m/>
    <m/>
    <m/>
    <n v="0"/>
    <m/>
    <m/>
    <n v="0"/>
  </r>
  <r>
    <e v="#N/A"/>
    <s v="STEDMAN ISLAND(C-1)"/>
    <x v="120"/>
    <n v="1"/>
    <s v=""/>
    <s v="04"/>
    <s v="g"/>
    <s v="142269"/>
    <n v="142269"/>
    <n v="0"/>
    <n v="0"/>
    <n v="0"/>
    <b v="1"/>
    <m/>
    <n v="0"/>
    <n v="0"/>
    <n v="0"/>
    <n v="0"/>
    <n v="0"/>
    <m/>
    <m/>
    <n v="0"/>
    <m/>
    <m/>
    <m/>
    <n v="0"/>
    <m/>
    <m/>
    <n v="0"/>
  </r>
  <r>
    <e v="#N/A"/>
    <s v="SEALY (FRIO 3500)"/>
    <x v="121"/>
    <n v="1"/>
    <s v=""/>
    <s v="03"/>
    <s v="g"/>
    <s v="238352"/>
    <n v="238352"/>
    <n v="0"/>
    <n v="0"/>
    <n v="0"/>
    <b v="1"/>
    <m/>
    <n v="0"/>
    <n v="0"/>
    <n v="0"/>
    <n v="0"/>
    <n v="0"/>
    <m/>
    <m/>
    <n v="0"/>
    <m/>
    <m/>
    <m/>
    <n v="0"/>
    <m/>
    <m/>
    <n v="0"/>
  </r>
  <r>
    <e v="#N/A"/>
    <s v="JARVIS CREEK (5375)"/>
    <x v="122"/>
    <n v="0"/>
    <s v=""/>
    <s v="03"/>
    <s v="o"/>
    <s v="27279"/>
    <n v="27279"/>
    <n v="0"/>
    <n v="0"/>
    <n v="229"/>
    <b v="1"/>
    <m/>
    <n v="229"/>
    <n v="229"/>
    <n v="0"/>
    <n v="0"/>
    <n v="0"/>
    <m/>
    <m/>
    <n v="0"/>
    <m/>
    <m/>
    <m/>
    <n v="0"/>
    <m/>
    <m/>
    <n v="0"/>
  </r>
  <r>
    <e v="#N/A"/>
    <s v="FIFTEEN MILE CREEK (WILCOX)"/>
    <x v="123"/>
    <n v="1"/>
    <s v=""/>
    <s v="02"/>
    <s v="g"/>
    <s v="192476"/>
    <n v="192476"/>
    <n v="0"/>
    <n v="0"/>
    <n v="116"/>
    <b v="1"/>
    <m/>
    <n v="116"/>
    <n v="116"/>
    <n v="0"/>
    <n v="0"/>
    <n v="0"/>
    <m/>
    <m/>
    <n v="0"/>
    <m/>
    <m/>
    <m/>
    <n v="0"/>
    <m/>
    <m/>
    <n v="0"/>
  </r>
  <r>
    <s v="99026I"/>
    <s v="HIGH ISLAND"/>
    <x v="124"/>
    <n v="0"/>
    <s v=""/>
    <s v="03"/>
    <s v="o"/>
    <s v="02099"/>
    <n v="2099"/>
    <n v="575"/>
    <n v="0"/>
    <n v="205"/>
    <b v="0"/>
    <n v="265"/>
    <n v="205"/>
    <n v="118"/>
    <n v="346"/>
    <n v="259"/>
    <n v="6"/>
    <n v="0"/>
    <m/>
    <n v="0"/>
    <m/>
    <m/>
    <n v="0"/>
    <n v="0"/>
    <m/>
    <m/>
    <n v="0"/>
  </r>
  <r>
    <n v="99312"/>
    <s v="PALACIOS (MELBOURN E-3 SEG C)"/>
    <x v="125"/>
    <s v="    1T "/>
    <s v=""/>
    <s v="03"/>
    <s v="g"/>
    <s v="285001"/>
    <n v="285001"/>
    <n v="40"/>
    <n v="15773"/>
    <n v="45"/>
    <b v="0"/>
    <n v="36"/>
    <n v="45"/>
    <n v="82"/>
    <n v="0"/>
    <n v="37"/>
    <n v="-1"/>
    <n v="12877"/>
    <m/>
    <n v="12877"/>
    <m/>
    <n v="21"/>
    <n v="630"/>
    <n v="13507"/>
    <m/>
    <m/>
    <n v="0"/>
  </r>
  <r>
    <n v="99246"/>
    <s v="PALACIOS (FRIO A, FB-1)"/>
    <x v="125"/>
    <s v="    1C "/>
    <s v=""/>
    <s v="03"/>
    <s v="g"/>
    <s v="284977"/>
    <n v="284977"/>
    <n v="142"/>
    <n v="22489"/>
    <n v="67"/>
    <b v="0"/>
    <n v="53"/>
    <n v="67"/>
    <n v="222"/>
    <n v="0"/>
    <n v="155"/>
    <n v="-102"/>
    <n v="19503"/>
    <m/>
    <n v="19503"/>
    <m/>
    <n v="25"/>
    <n v="750"/>
    <n v="20253"/>
    <m/>
    <m/>
    <n v="0"/>
  </r>
  <r>
    <e v="#N/A"/>
    <s v="WHITES BAYOU (F-14)"/>
    <x v="126"/>
    <s v="    2 C"/>
    <s v=""/>
    <s v="03"/>
    <s v="g"/>
    <s v="201104"/>
    <n v="201104"/>
    <n v="0"/>
    <n v="0"/>
    <n v="0"/>
    <b v="1"/>
    <m/>
    <n v="0"/>
    <n v="0"/>
    <n v="0"/>
    <n v="0"/>
    <n v="0"/>
    <m/>
    <m/>
    <n v="0"/>
    <m/>
    <m/>
    <m/>
    <n v="0"/>
    <m/>
    <m/>
    <n v="0"/>
  </r>
  <r>
    <n v="99140"/>
    <s v="GIDDINGS (WILCOX 7300)"/>
    <x v="127"/>
    <n v="0"/>
    <s v=""/>
    <s v="03"/>
    <s v="o"/>
    <s v="26501"/>
    <n v="26501"/>
    <n v="1164"/>
    <n v="2259"/>
    <n v="382"/>
    <b v="0"/>
    <n v="939"/>
    <n v="382"/>
    <n v="114"/>
    <n v="1189"/>
    <n v="921"/>
    <n v="18"/>
    <n v="1926"/>
    <m/>
    <n v="1926"/>
    <m/>
    <m/>
    <n v="0"/>
    <n v="1926"/>
    <m/>
    <m/>
    <n v="0"/>
  </r>
  <r>
    <n v="98979"/>
    <s v="AGUA DULCE (VICKSBURG CONSL.)"/>
    <x v="128"/>
    <n v="0"/>
    <s v=""/>
    <s v="04"/>
    <s v="o"/>
    <s v="13355"/>
    <n v="13355"/>
    <n v="60"/>
    <n v="271"/>
    <n v="154"/>
    <b v="0"/>
    <n v="58"/>
    <n v="154"/>
    <n v="212"/>
    <n v="0"/>
    <n v="58"/>
    <n v="0"/>
    <n v="265"/>
    <m/>
    <n v="265"/>
    <m/>
    <n v="0"/>
    <n v="0"/>
    <n v="265"/>
    <m/>
    <m/>
    <n v="0"/>
  </r>
  <r>
    <e v="#N/A"/>
    <s v="COTTONWOOD CREEK, S (FRIO 2800)"/>
    <x v="129"/>
    <n v="5"/>
    <s v=""/>
    <s v="02"/>
    <s v="g"/>
    <s v="145447"/>
    <n v="145447"/>
    <n v="0"/>
    <n v="0"/>
    <n v="0"/>
    <b v="1"/>
    <m/>
    <n v="0"/>
    <n v="0"/>
    <n v="0"/>
    <n v="0"/>
    <n v="0"/>
    <m/>
    <m/>
    <n v="0"/>
    <m/>
    <m/>
    <m/>
    <n v="0"/>
    <m/>
    <m/>
    <n v="0"/>
  </r>
  <r>
    <n v="34001"/>
    <s v="COTTONWOOD CREEK, SOUTH"/>
    <x v="129"/>
    <n v="0"/>
    <s v=""/>
    <s v="02"/>
    <s v="o"/>
    <s v="00394"/>
    <n v="394"/>
    <n v="298"/>
    <n v="0"/>
    <n v="328"/>
    <b v="0"/>
    <n v="386"/>
    <n v="328"/>
    <n v="267"/>
    <n v="444"/>
    <n v="383"/>
    <n v="3"/>
    <n v="0"/>
    <m/>
    <n v="0"/>
    <m/>
    <m/>
    <n v="0"/>
    <n v="0"/>
    <m/>
    <m/>
    <n v="0"/>
  </r>
  <r>
    <e v="#N/A"/>
    <s v="ESTES COVE (F-1 FB-B)"/>
    <x v="130"/>
    <n v="0"/>
    <s v=""/>
    <s v="04"/>
    <s v="o"/>
    <s v="12863"/>
    <n v="12863"/>
    <n v="0"/>
    <n v="0"/>
    <n v="0"/>
    <b v="1"/>
    <m/>
    <n v="0"/>
    <n v="0"/>
    <n v="0"/>
    <n v="0"/>
    <n v="0"/>
    <m/>
    <m/>
    <n v="0"/>
    <m/>
    <m/>
    <m/>
    <n v="0"/>
    <m/>
    <m/>
    <n v="0"/>
  </r>
  <r>
    <e v="#N/A"/>
    <s v="WESTHOFF (COMBINED ASSOCIATED)"/>
    <x v="131"/>
    <n v="0"/>
    <s v=""/>
    <s v="02"/>
    <s v="o"/>
    <s v="10778"/>
    <n v="10778"/>
    <n v="0"/>
    <n v="0"/>
    <n v="0"/>
    <b v="1"/>
    <m/>
    <n v="0"/>
    <n v="0"/>
    <n v="0"/>
    <n v="0"/>
    <n v="0"/>
    <m/>
    <m/>
    <n v="0"/>
    <m/>
    <m/>
    <m/>
    <n v="0"/>
    <m/>
    <m/>
    <n v="0"/>
  </r>
  <r>
    <e v="#N/A"/>
    <s v="WESTHOFF (COMBINED ASSOCIATED)"/>
    <x v="132"/>
    <n v="1"/>
    <s v=""/>
    <s v="02"/>
    <s v="g"/>
    <s v="280417"/>
    <n v="280417"/>
    <n v="0"/>
    <n v="0"/>
    <n v="0"/>
    <b v="1"/>
    <m/>
    <n v="0"/>
    <n v="0"/>
    <n v="0"/>
    <n v="0"/>
    <n v="0"/>
    <m/>
    <m/>
    <n v="0"/>
    <m/>
    <m/>
    <m/>
    <n v="0"/>
    <m/>
    <m/>
    <n v="0"/>
  </r>
  <r>
    <e v="#N/A"/>
    <s v="MAYES, SOUTH (FRIO 9000)"/>
    <x v="133"/>
    <n v="3"/>
    <s v=""/>
    <s v="03"/>
    <s v="g"/>
    <s v="038467"/>
    <n v="38467"/>
    <n v="0"/>
    <n v="0"/>
    <n v="0"/>
    <b v="1"/>
    <m/>
    <n v="0"/>
    <n v="0"/>
    <n v="0"/>
    <n v="0"/>
    <n v="0"/>
    <m/>
    <m/>
    <n v="0"/>
    <m/>
    <m/>
    <m/>
    <n v="0"/>
    <m/>
    <m/>
    <n v="0"/>
  </r>
  <r>
    <n v="599109"/>
    <s v="MAYES, SOUTH (FRIO 19)"/>
    <x v="133"/>
    <n v="5"/>
    <s v=""/>
    <s v="03"/>
    <s v="g"/>
    <s v="184787"/>
    <n v="184787"/>
    <n v="568"/>
    <n v="19307"/>
    <n v="225"/>
    <b v="0"/>
    <n v="201"/>
    <n v="225"/>
    <n v="240"/>
    <n v="183"/>
    <n v="198"/>
    <n v="3"/>
    <n v="18288"/>
    <m/>
    <n v="18288"/>
    <m/>
    <n v="15"/>
    <n v="450"/>
    <n v="18738"/>
    <m/>
    <m/>
    <n v="0"/>
  </r>
  <r>
    <s v="99109D"/>
    <s v="MAYES SOUTH (FRIO 22)"/>
    <x v="134"/>
    <n v="23"/>
    <s v=""/>
    <s v="03"/>
    <s v="g"/>
    <s v="113719"/>
    <n v="113719"/>
    <n v="0"/>
    <n v="2323"/>
    <n v="38"/>
    <b v="0"/>
    <n v="1"/>
    <n v="38"/>
    <n v="42"/>
    <n v="0"/>
    <n v="4"/>
    <n v="-3"/>
    <n v="1681"/>
    <m/>
    <n v="1681"/>
    <m/>
    <m/>
    <n v="0"/>
    <n v="1681"/>
    <m/>
    <m/>
    <n v="0"/>
  </r>
  <r>
    <e v="#N/A"/>
    <s v="YORKTOWN, S (WILCOX 11100)"/>
    <x v="135"/>
    <n v="1"/>
    <s v=""/>
    <s v="02"/>
    <s v="g"/>
    <s v="053255"/>
    <n v="53255"/>
    <n v="0"/>
    <n v="0"/>
    <n v="0"/>
    <b v="1"/>
    <m/>
    <n v="0"/>
    <n v="0"/>
    <n v="0"/>
    <n v="0"/>
    <n v="0"/>
    <m/>
    <m/>
    <n v="0"/>
    <m/>
    <m/>
    <m/>
    <n v="0"/>
    <m/>
    <m/>
    <n v="0"/>
  </r>
  <r>
    <e v="#N/A"/>
    <s v="YORKTOWN, S (WILCOX 11100)"/>
    <x v="135"/>
    <n v="2"/>
    <s v=""/>
    <s v="02"/>
    <s v="g"/>
    <s v="059225"/>
    <n v="59225"/>
    <n v="0"/>
    <n v="0"/>
    <n v="0"/>
    <b v="1"/>
    <m/>
    <n v="0"/>
    <n v="0"/>
    <n v="0"/>
    <n v="0"/>
    <n v="0"/>
    <m/>
    <m/>
    <n v="0"/>
    <m/>
    <m/>
    <m/>
    <n v="0"/>
    <m/>
    <m/>
    <n v="0"/>
  </r>
  <r>
    <e v="#N/A"/>
    <s v="YORKTOWN, SOUTH (ROEDER)"/>
    <x v="136"/>
    <n v="1"/>
    <s v=""/>
    <s v="02"/>
    <s v="g"/>
    <s v="138470"/>
    <n v="138470"/>
    <n v="0"/>
    <n v="0"/>
    <n v="0"/>
    <b v="1"/>
    <m/>
    <n v="0"/>
    <n v="0"/>
    <n v="0"/>
    <n v="0"/>
    <n v="0"/>
    <m/>
    <m/>
    <n v="0"/>
    <m/>
    <m/>
    <m/>
    <n v="0"/>
    <m/>
    <m/>
    <n v="0"/>
  </r>
  <r>
    <n v="99270"/>
    <s v="ALLEN DOME (10,800)"/>
    <x v="137"/>
    <n v="1"/>
    <s v=""/>
    <s v="03"/>
    <s v="g"/>
    <s v="280236"/>
    <n v="280236"/>
    <n v="4322"/>
    <n v="127072"/>
    <n v="615"/>
    <b v="0"/>
    <n v="3563"/>
    <n v="615"/>
    <n v="535"/>
    <n v="3544"/>
    <n v="3464"/>
    <n v="99"/>
    <n v="119399"/>
    <m/>
    <n v="119399"/>
    <m/>
    <n v="21"/>
    <n v="630"/>
    <n v="120029"/>
    <m/>
    <m/>
    <n v="0"/>
  </r>
  <r>
    <n v="99247"/>
    <s v="ZOLLER (10,000)"/>
    <x v="138"/>
    <n v="0"/>
    <s v=""/>
    <s v="02"/>
    <s v="o"/>
    <s v="10230"/>
    <n v="10230"/>
    <n v="47"/>
    <n v="0"/>
    <n v="142"/>
    <b v="0"/>
    <n v="238"/>
    <n v="142"/>
    <n v="380"/>
    <n v="0"/>
    <n v="238"/>
    <n v="0"/>
    <m/>
    <m/>
    <n v="0"/>
    <m/>
    <m/>
    <m/>
    <n v="0"/>
    <m/>
    <m/>
    <n v="1"/>
  </r>
  <r>
    <e v="#N/A"/>
    <s v="WHITE POINT, E. (6050)"/>
    <x v="139"/>
    <n v="0"/>
    <s v=""/>
    <s v="04"/>
    <s v="o"/>
    <s v="12360"/>
    <n v="12360"/>
    <n v="1"/>
    <n v="0"/>
    <n v="127"/>
    <b v="0"/>
    <n v="0"/>
    <n v="127"/>
    <n v="127"/>
    <m/>
    <n v="0"/>
    <n v="0"/>
    <m/>
    <m/>
    <n v="0"/>
    <m/>
    <m/>
    <m/>
    <n v="0"/>
    <m/>
    <s v="*in september he goes to 126.1 again - is this a mistake? Call david *need to carry 127 bbl stock to next month even though september gauge sheet starts off with 126.1.  called david - still hasn't resovled it."/>
    <n v="0"/>
  </r>
  <r>
    <n v="99161"/>
    <s v="LOUISE (5470)"/>
    <x v="140"/>
    <n v="6"/>
    <s v=""/>
    <s v="03"/>
    <s v="g"/>
    <s v="150672"/>
    <n v="150672"/>
    <n v="98"/>
    <n v="52"/>
    <n v="58"/>
    <b v="0"/>
    <n v="0"/>
    <n v="58"/>
    <n v="58"/>
    <n v="0"/>
    <n v="0"/>
    <n v="0"/>
    <n v="0"/>
    <m/>
    <n v="0"/>
    <m/>
    <n v="4"/>
    <n v="0"/>
    <n v="0"/>
    <m/>
    <m/>
    <n v="0"/>
  </r>
  <r>
    <n v="48001"/>
    <s v="NELSONVILLE (9100)"/>
    <x v="141"/>
    <n v="0"/>
    <s v=""/>
    <s v="03"/>
    <s v="o"/>
    <s v="24861"/>
    <n v="24861"/>
    <n v="63"/>
    <n v="36"/>
    <n v="30"/>
    <b v="0"/>
    <n v="0"/>
    <n v="30"/>
    <n v="30"/>
    <n v="0"/>
    <n v="0"/>
    <n v="0"/>
    <n v="13"/>
    <m/>
    <n v="13"/>
    <m/>
    <n v="1"/>
    <n v="5"/>
    <n v="18"/>
    <m/>
    <m/>
    <n v="0"/>
  </r>
  <r>
    <e v="#N/A"/>
    <s v="CHENANGO (9520)"/>
    <x v="142"/>
    <n v="0"/>
    <s v=""/>
    <s v="03"/>
    <s v="o"/>
    <s v="15252"/>
    <n v="15252"/>
    <n v="0"/>
    <n v="0"/>
    <n v="0"/>
    <b v="1"/>
    <m/>
    <n v="0"/>
    <n v="0"/>
    <n v="0"/>
    <n v="0"/>
    <n v="0"/>
    <m/>
    <m/>
    <n v="0"/>
    <m/>
    <m/>
    <m/>
    <n v="0"/>
    <m/>
    <m/>
    <n v="0"/>
  </r>
  <r>
    <e v="#N/A"/>
    <s v="MONTE CHRISTO, SOUTH (11,130)"/>
    <x v="143"/>
    <n v="1"/>
    <s v=""/>
    <s v="04"/>
    <s v="g"/>
    <s v="120373"/>
    <n v="120373"/>
    <n v="0"/>
    <n v="0"/>
    <n v="0"/>
    <b v="1"/>
    <m/>
    <n v="0"/>
    <n v="0"/>
    <n v="0"/>
    <n v="0"/>
    <n v="0"/>
    <m/>
    <m/>
    <n v="0"/>
    <m/>
    <m/>
    <m/>
    <n v="0"/>
    <m/>
    <m/>
    <n v="0"/>
  </r>
  <r>
    <n v="99305"/>
    <s v="KARLGORE (YEGUA 4-G)"/>
    <x v="144"/>
    <n v="0"/>
    <s v=""/>
    <s v="03"/>
    <s v="o"/>
    <s v="27401"/>
    <n v="27401"/>
    <n v="1506"/>
    <n v="0"/>
    <n v="594"/>
    <b v="0"/>
    <n v="987"/>
    <n v="594"/>
    <n v="588"/>
    <n v="871"/>
    <n v="865"/>
    <n v="122"/>
    <n v="0"/>
    <m/>
    <n v="0"/>
    <m/>
    <m/>
    <n v="0"/>
    <n v="0"/>
    <m/>
    <m/>
    <n v="0"/>
  </r>
  <r>
    <n v="99302"/>
    <s v="KARLGORE (YEGUA 2 SAND)"/>
    <x v="145"/>
    <n v="0"/>
    <s v=""/>
    <s v="03"/>
    <s v="o"/>
    <s v="27495"/>
    <n v="27495"/>
    <n v="0"/>
    <n v="211"/>
    <n v="108"/>
    <b v="0"/>
    <n v="0"/>
    <n v="108"/>
    <n v="108"/>
    <n v="0"/>
    <n v="0"/>
    <n v="0"/>
    <n v="0"/>
    <m/>
    <n v="0"/>
    <m/>
    <m/>
    <n v="0"/>
    <n v="0"/>
    <m/>
    <m/>
    <n v="0"/>
  </r>
  <r>
    <n v="99296"/>
    <s v="KARLGORE (YEGUA 2 SAND)"/>
    <x v="146"/>
    <n v="0"/>
    <s v=""/>
    <s v="03"/>
    <s v="o"/>
    <s v="27499"/>
    <n v="27499"/>
    <n v="178"/>
    <n v="0"/>
    <n v="464"/>
    <b v="0"/>
    <n v="306"/>
    <n v="464"/>
    <n v="631"/>
    <n v="0"/>
    <n v="167"/>
    <n v="139"/>
    <n v="0"/>
    <m/>
    <n v="0"/>
    <m/>
    <m/>
    <n v="0"/>
    <n v="0"/>
    <m/>
    <m/>
    <n v="0"/>
  </r>
  <r>
    <e v="#N/A"/>
    <s v="ORD (WILCOX J-1 SAND)"/>
    <x v="147"/>
    <n v="2"/>
    <n v="5113"/>
    <s v="02"/>
    <s v="g"/>
    <s v="189915"/>
    <n v="189915"/>
    <n v="0"/>
    <n v="0"/>
    <n v="0"/>
    <b v="1"/>
    <m/>
    <n v="0"/>
    <n v="0"/>
    <n v="0"/>
    <n v="0"/>
    <n v="0"/>
    <m/>
    <m/>
    <n v="0"/>
    <m/>
    <m/>
    <m/>
    <n v="0"/>
    <m/>
    <m/>
    <n v="0"/>
  </r>
  <r>
    <e v="#N/A"/>
    <s v="BLEIBLERVILLE (11000 WILCOX)"/>
    <x v="148"/>
    <n v="1"/>
    <s v=""/>
    <s v="03"/>
    <s v="g"/>
    <s v="192497"/>
    <n v="192497"/>
    <n v="0"/>
    <n v="0"/>
    <n v="0"/>
    <b v="1"/>
    <m/>
    <n v="0"/>
    <n v="0"/>
    <n v="0"/>
    <n v="0"/>
    <n v="0"/>
    <m/>
    <m/>
    <n v="0"/>
    <m/>
    <m/>
    <m/>
    <n v="0"/>
    <m/>
    <m/>
    <n v="0"/>
  </r>
  <r>
    <n v="99194"/>
    <s v="BLUE LAKE (9400)"/>
    <x v="149"/>
    <n v="0"/>
    <s v=""/>
    <s v="03"/>
    <s v="o"/>
    <s v="21610"/>
    <n v="21610"/>
    <n v="750"/>
    <n v="0"/>
    <n v="389"/>
    <b v="0"/>
    <n v="1118"/>
    <n v="389"/>
    <n v="283"/>
    <n v="1196"/>
    <n v="1090"/>
    <n v="28"/>
    <n v="0"/>
    <m/>
    <n v="0"/>
    <m/>
    <m/>
    <n v="0"/>
    <n v="0"/>
    <m/>
    <m/>
    <n v="0"/>
  </r>
  <r>
    <n v="80001"/>
    <s v="RAMSEY, E. (WILCOX 10300)"/>
    <x v="150"/>
    <n v="1"/>
    <s v=""/>
    <s v="03"/>
    <s v="g"/>
    <s v="091859"/>
    <n v="91859"/>
    <n v="9"/>
    <n v="513"/>
    <n v="58"/>
    <b v="0"/>
    <n v="0"/>
    <n v="58"/>
    <n v="58"/>
    <n v="0"/>
    <n v="0"/>
    <n v="0"/>
    <n v="150"/>
    <m/>
    <n v="150"/>
    <m/>
    <n v="4"/>
    <n v="20"/>
    <n v="170"/>
    <m/>
    <m/>
    <n v="0"/>
  </r>
  <r>
    <e v="#N/A"/>
    <s v="BRANDT (WILCOX DEEP)"/>
    <x v="151"/>
    <n v="1"/>
    <s v=""/>
    <s v="02"/>
    <s v="g"/>
    <s v="200152"/>
    <n v="200152"/>
    <n v="0"/>
    <n v="0"/>
    <n v="0"/>
    <b v="1"/>
    <m/>
    <n v="0"/>
    <n v="0"/>
    <n v="0"/>
    <n v="0"/>
    <n v="0"/>
    <m/>
    <m/>
    <n v="0"/>
    <m/>
    <m/>
    <m/>
    <n v="0"/>
    <m/>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location ref="B3:E156" firstHeaderRow="0" firstDataRow="1" firstDataCol="1"/>
  <pivotFields count="29">
    <pivotField showAll="0"/>
    <pivotField showAll="0" defaultSubtotal="0"/>
    <pivotField axis="axisRow" showAll="0">
      <items count="155">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m="1" x="153"/>
        <item sd="0" x="147"/>
        <item sd="0" x="148"/>
        <item sd="0" x="149"/>
        <item sd="0" x="150"/>
        <item sd="0" x="151"/>
        <item sd="0" m="1" x="152"/>
        <item t="default" sd="0"/>
      </items>
    </pivotField>
    <pivotField showAll="0"/>
    <pivotField showAll="0" defaultSubtotal="0"/>
    <pivotField showAll="0"/>
    <pivotField showAll="0"/>
    <pivotField showAll="0"/>
    <pivotField showAll="0"/>
    <pivotField showAll="0"/>
    <pivotField dataField="1" showAll="0"/>
    <pivotField showAll="0"/>
    <pivotField showAll="0"/>
    <pivotField showAll="0" defaultSubtotal="0"/>
    <pivotField showAll="0"/>
    <pivotField showAll="0"/>
    <pivotField showAll="0"/>
    <pivotField showAll="0"/>
    <pivotField showAll="0" defaultSubtotal="0"/>
    <pivotField showAll="0" defaultSubtotal="0"/>
    <pivotField showAll="0" defaultSubtotal="0"/>
    <pivotField numFmtId="1" showAll="0"/>
    <pivotField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1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8"/>
    </i>
    <i>
      <x v="149"/>
    </i>
    <i>
      <x v="150"/>
    </i>
    <i>
      <x v="151"/>
    </i>
    <i>
      <x v="152"/>
    </i>
    <i t="grand">
      <x/>
    </i>
  </rowItems>
  <colFields count="1">
    <field x="-2"/>
  </colFields>
  <colItems count="3">
    <i>
      <x/>
    </i>
    <i i="1">
      <x v="1"/>
    </i>
    <i i="2">
      <x v="2"/>
    </i>
  </colItems>
  <dataFields count="3">
    <dataField name="Sum of Lease Use (MCF)" fld="24" baseField="2" baseItem="56" numFmtId="3"/>
    <dataField name="Sum of Formation Production (MCF) @ 14.65 psi" fld="25" baseField="2" baseItem="12" numFmtId="3"/>
    <dataField name="Sum of Last Month Gas Prod" fld="10" baseField="2" baseItem="10" numFmtId="3"/>
  </dataFields>
  <formats count="9">
    <format dxfId="77">
      <pivotArea field="2" type="button" dataOnly="0" labelOnly="1" outline="0" axis="axisRow" fieldPosition="0"/>
    </format>
    <format dxfId="76">
      <pivotArea dataOnly="0" labelOnly="1" outline="0" fieldPosition="0">
        <references count="1">
          <reference field="4294967294" count="2">
            <x v="0"/>
            <x v="1"/>
          </reference>
        </references>
      </pivotArea>
    </format>
    <format dxfId="75">
      <pivotArea dataOnly="0" outline="0" fieldPosition="0">
        <references count="1">
          <reference field="4294967294" count="2">
            <x v="0"/>
            <x v="1"/>
          </reference>
        </references>
      </pivotArea>
    </format>
    <format dxfId="74">
      <pivotArea dataOnly="0" outline="0" fieldPosition="0">
        <references count="1">
          <reference field="4294967294" count="1">
            <x v="0"/>
          </reference>
        </references>
      </pivotArea>
    </format>
    <format dxfId="73">
      <pivotArea dataOnly="0" outline="0" fieldPosition="0">
        <references count="1">
          <reference field="4294967294" count="1">
            <x v="1"/>
          </reference>
        </references>
      </pivotArea>
    </format>
    <format dxfId="72">
      <pivotArea dataOnly="0" outline="0" fieldPosition="0">
        <references count="1">
          <reference field="4294967294" count="1">
            <x v="0"/>
          </reference>
        </references>
      </pivotArea>
    </format>
    <format dxfId="71">
      <pivotArea dataOnly="0" outline="0" fieldPosition="0">
        <references count="1">
          <reference field="4294967294" count="1">
            <x v="1"/>
          </reference>
        </references>
      </pivotArea>
    </format>
    <format dxfId="70">
      <pivotArea outline="0" fieldPosition="0">
        <references count="1">
          <reference field="4294967294" count="1">
            <x v="2"/>
          </reference>
        </references>
      </pivotArea>
    </format>
    <format dxfId="69">
      <pivotArea dataOnly="0"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6" name="rrcworking" displayName="rrcworking" ref="C5:AP195" totalsRowCount="1" headerRowDxfId="162" dataDxfId="161">
  <autoFilter ref="C5:AP194"/>
  <sortState ref="C6:AE197">
    <sortCondition ref="E5:E197"/>
  </sortState>
  <tableColumns count="40">
    <tableColumn id="14" name="Magnum Wolfpak #" totalsRowFunction="count" dataDxfId="160" totalsRowDxfId="51"/>
    <tableColumn id="28" name="Field Name" dataDxfId="159" totalsRowDxfId="50"/>
    <tableColumn id="1" name="Lease Name" totalsRowLabel="Total" dataDxfId="158" totalsRowDxfId="49"/>
    <tableColumn id="4" name="Well Number" totalsRowFunction="count" dataDxfId="157" totalsRowDxfId="48"/>
    <tableColumn id="29" name="Commingle Permit Number" dataDxfId="156" totalsRowDxfId="47"/>
    <tableColumn id="16" name="District" dataDxfId="155" totalsRowDxfId="46"/>
    <tableColumn id="30" name="Lease Type" dataDxfId="154" totalsRowDxfId="45"/>
    <tableColumn id="2" name="RRC ID" dataDxfId="153" totalsRowDxfId="44" dataCellStyle="Normal 2"/>
    <tableColumn id="3" name="RRC ID Number" dataDxfId="152" totalsRowDxfId="43" dataCellStyle="Normal 2"/>
    <tableColumn id="5" name=" Last Month Oil Production" totalsRowFunction="sum" dataDxfId="151" totalsRowDxfId="42">
      <calculatedColumnFormula>INDEX(Table1[Production],MATCH(rrcworking[[#This Row],[RRC ID Number]],Table1[RRC Identifier],0))</calculatedColumnFormula>
    </tableColumn>
    <tableColumn id="6" name="Last Month Gas Prod" totalsRowFunction="sum" dataDxfId="150" totalsRowDxfId="41">
      <calculatedColumnFormula>INDEX(Table1[Formation Production],MATCH(rrcworking[[#This Row],[RRC ID Number]],Table1[RRC Identifier],0))</calculatedColumnFormula>
    </tableColumn>
    <tableColumn id="7" name="Last Month Closing Stock" totalsRowFunction="sum" dataDxfId="149" totalsRowDxfId="40">
      <calculatedColumnFormula>INDEX(Table1[On Hand End of Month],MATCH(rrcworking[[#This Row],[RRC ID Number]],Table1[RRC Identifier],0))</calculatedColumnFormula>
    </tableColumn>
    <tableColumn id="8" name="No activity?" dataDxfId="148" totalsRowDxfId="39">
      <calculatedColumnFormula>IF(AND(L6=0,M6=0), TRUE, FALSE)</calculatedColumnFormula>
    </tableColumn>
    <tableColumn id="23" name="Gauge Sheet Prod Volume (oil)" dataDxfId="147" totalsRowDxfId="38" dataCellStyle="Normal 9"/>
    <tableColumn id="9" name="Opening Oil Stock" totalsRowFunction="sum" dataDxfId="146" totalsRowDxfId="37">
      <calculatedColumnFormula>rrcworking[[#This Row],[Last Month Closing Stock]]</calculatedColumnFormula>
    </tableColumn>
    <tableColumn id="10" name="Closing Stock (Oil)" totalsRowFunction="sum" dataDxfId="145" totalsRowDxfId="0" dataCellStyle="Normal 9"/>
    <tableColumn id="11" name="Sales/Dispostion" totalsRowFunction="sum" dataDxfId="144" totalsRowDxfId="36">
      <calculatedColumnFormula>IF(ISERROR(INDEX(Table2[OIL],MATCH(rrcworking[[#This Row],[Magnum Wolfpak '#]],Table2[Rox Wolf'#],0))),0,INDEX(Table2[OIL],MATCH(rrcworking[[#This Row],[Magnum Wolfpak '#]],Table2[Rox Wolf'#],0)))</calculatedColumnFormula>
    </tableColumn>
    <tableColumn id="12" name="Oil Production" totalsRowFunction="sum" dataDxfId="143" totalsRowDxfId="35">
      <calculatedColumnFormula>rrcworking[[#This Row],[Closing Stock (Oil)]]+rrcworking[[#This Row],[Sales/Dispostion]]-rrcworking[[#This Row],[Opening Oil Stock]]</calculatedColumnFormula>
    </tableColumn>
    <tableColumn id="26" name="Prod Calc vs Gauge Sheet" dataDxfId="142" totalsRowDxfId="34">
      <calculatedColumnFormula>rrcworking[[#This Row],[Gauge Sheet Prod Volume (oil)]]-rrcworking[[#This Row],[Oil Production]]</calculatedColumnFormula>
    </tableColumn>
    <tableColumn id="17" name="Gas Sales Statement Volume (MCF)" totalsRowFunction="sum" dataDxfId="141" totalsRowDxfId="33">
      <calculatedColumnFormula>IF(ISERROR(INDEX(Table2[GAS],MATCH(rrcworking[[#This Row],[Magnum Wolfpak '#]],Table2[Rox Wolf'#],0))),0,INDEX(Table2[GAS],MATCH(rrcworking[[#This Row],[Magnum Wolfpak '#]],Table2[Rox Wolf'#],0)))</calculatedColumnFormula>
    </tableColumn>
    <tableColumn id="25" name="Hours Operated" dataDxfId="140" totalsRowDxfId="32"/>
    <tableColumn id="27" name="Compressor Fuel Rate MCFD" dataDxfId="139" totalsRowDxfId="31"/>
    <tableColumn id="19" name="Lease Use (MCF)" totalsRowFunction="sum" dataDxfId="138" totalsRowDxfId="30">
      <calculatedColumnFormula>IF(ISERROR(INDEX(Table2[LEASE USE],MATCH(rrcworking[[#This Row],[Magnum Wolfpak '#]],Table2[Rox Wolf'#],0))),0,INDEX(Table2[LEASE USE],MATCH(rrcworking[[#This Row],[Magnum Wolfpak '#]],Table2[Rox Wolf'#],0)))</calculatedColumnFormula>
    </tableColumn>
    <tableColumn id="37" name="Flared Gas" dataDxfId="137" totalsRowDxfId="29"/>
    <tableColumn id="20" name="Formation Production (MCF) @ 14.65 psi" totalsRowFunction="sum" dataDxfId="136" totalsRowDxfId="28">
      <calculatedColumnFormula>rrcworking[[#This Row],[Gas Sales Statement Volume (MCF)]]+rrcworking[[#This Row],[Lease Use (MCF)]]+rrcworking[[#This Row],[Flared Gas]]</calculatedColumnFormula>
    </tableColumn>
    <tableColumn id="24" name="Gas Comments" totalsRowFunction="count" dataDxfId="135" totalsRowDxfId="27"/>
    <tableColumn id="22" name="Oil Comments" dataDxfId="134" totalsRowDxfId="26"/>
    <tableColumn id="15" name="FilterList" dataDxfId="133" totalsRowDxfId="25">
      <calculatedColumnFormula>COUNTIF(FilterList,rrcworking[[#This Row],[Magnum Wolfpak '#]])</calculatedColumnFormula>
    </tableColumn>
    <tableColumn id="13" name="Gauge Sheet Prod Vol" dataDxfId="132" totalsRowDxfId="24"/>
    <tableColumn id="31" name="Closing Oil Stock" dataDxfId="131" totalsRowDxfId="23"/>
    <tableColumn id="32" name="Manual Extraction Gauge Sheet Prod" dataDxfId="130" totalsRowDxfId="22"/>
    <tableColumn id="33" name="Manual Extraction Closing Stock" dataDxfId="129" totalsRowDxfId="21"/>
    <tableColumn id="34" name="Number of Oil Tanks" dataDxfId="128" totalsRowDxfId="20"/>
    <tableColumn id="35" name="Monthly Tabs" dataDxfId="127" totalsRowDxfId="19"/>
    <tableColumn id="36" name="Multiple Years" dataDxfId="126" totalsRowDxfId="18"/>
    <tableColumn id="39" name="Oil Stock Cell" dataDxfId="125" totalsRowDxfId="17"/>
    <tableColumn id="40" name="Shift Up Required" dataDxfId="124" totalsRowDxfId="16"/>
    <tableColumn id="41" name="Gauge Sheet Oil Production" dataDxfId="123" totalsRowDxfId="15"/>
    <tableColumn id="42" name="Filename" dataDxfId="122" totalsRowDxfId="14"/>
    <tableColumn id="43" name="Comments" dataDxfId="121" totalsRowDxfId="13"/>
  </tableColumns>
  <tableStyleInfo name="TableStyleMedium2" showFirstColumn="0" showLastColumn="0" showRowStripes="1" showColumnStripes="0"/>
</table>
</file>

<file path=xl/tables/table2.xml><?xml version="1.0" encoding="utf-8"?>
<table xmlns="http://schemas.openxmlformats.org/spreadsheetml/2006/main" id="12" name="Table213" displayName="Table213" ref="A1:A12" totalsRowShown="0" dataDxfId="120" tableBorderDxfId="119" dataCellStyle="Normal 3">
  <autoFilter ref="A1:A12"/>
  <tableColumns count="1">
    <tableColumn id="1" name="well" dataDxfId="118" dataCellStyle="Normal 3"/>
  </tableColumns>
  <tableStyleInfo name="TableStyleMedium2" showFirstColumn="0" showLastColumn="0" showRowStripes="1" showColumnStripes="0"/>
</table>
</file>

<file path=xl/tables/table3.xml><?xml version="1.0" encoding="utf-8"?>
<table xmlns="http://schemas.openxmlformats.org/spreadsheetml/2006/main" id="13" name="Table314" displayName="Table314" ref="E1:F192" totalsRowShown="0">
  <autoFilter ref="E1:F192"/>
  <tableColumns count="2">
    <tableColumn id="1" name="name"/>
    <tableColumn id="2" name="wolf"/>
  </tableColumns>
  <tableStyleInfo name="TableStyleMedium2" showFirstColumn="0" showLastColumn="0" showRowStripes="1" showColumnStripes="0"/>
</table>
</file>

<file path=xl/tables/table4.xml><?xml version="1.0" encoding="utf-8"?>
<table xmlns="http://schemas.openxmlformats.org/spreadsheetml/2006/main" id="2" name="Table2" displayName="Table2" ref="A4:K96" totalsRowCount="1" headerRowDxfId="117" dataDxfId="116" totalsRowDxfId="115">
  <autoFilter ref="A4:K95">
    <filterColumn colId="10">
      <filters blank="1"/>
    </filterColumn>
  </autoFilter>
  <sortState ref="A5:K93">
    <sortCondition ref="B4:B93"/>
  </sortState>
  <tableColumns count="11">
    <tableColumn id="11" name="Rox Wolf#" totalsRowFunction="count" dataDxfId="114" dataCellStyle="Normal 12"/>
    <tableColumn id="2" name="Well Name" dataDxfId="113" dataCellStyle="Normal 12"/>
    <tableColumn id="3" name="OIL" totalsRowFunction="sum" dataDxfId="112" dataCellStyle="Normal 12">
      <calculatedColumnFormula>ROUND(INDEX(Table4[OIL],MATCH(Table2[[#This Row],[Rox Wolf'#]],Table4[Wolf],0)),0)</calculatedColumnFormula>
    </tableColumn>
    <tableColumn id="4" name="GAS" totalsRowFunction="sum" dataDxfId="111" totalsRowDxfId="110" dataCellStyle="Normal 13">
      <calculatedColumnFormula>INDEX(Table4[GAS],MATCH(Table2[[#This Row],[Rox Wolf'#]],Table4[Wolf],0))</calculatedColumnFormula>
    </tableColumn>
    <tableColumn id="5" name="LEASE USE" totalsRowFunction="sum" dataDxfId="109" dataCellStyle="Normal 12">
      <calculatedColumnFormula>INDEX(Table4[LEASE USE],MATCH(Table2[[#This Row],[Rox Wolf'#]],Table4[Wolf],0))</calculatedColumnFormula>
    </tableColumn>
    <tableColumn id="6" name="LU PER DAY" dataDxfId="108" dataCellStyle="Normal 12"/>
    <tableColumn id="7" name="DAYS ON" dataDxfId="107" dataCellStyle="Normal 12"/>
    <tableColumn id="8" name="PU PER DAY" dataDxfId="106" dataCellStyle="Normal 12"/>
    <tableColumn id="9" name="PU ON" dataDxfId="105" dataCellStyle="Normal 12"/>
    <tableColumn id="10" name="Filter" totalsRowFunction="sum" dataDxfId="104">
      <calculatedColumnFormula>COUNTIF(FilterList,#REF!)</calculatedColumnFormula>
    </tableColumn>
    <tableColumn id="12" name="state" dataDxfId="103" totalsRowDxfId="102" dataCellStyle="Normal 12"/>
  </tableColumns>
  <tableStyleInfo name="TableStyleMedium2" showFirstColumn="0" showLastColumn="0" showRowStripes="1" showColumnStripes="0"/>
</table>
</file>

<file path=xl/tables/table5.xml><?xml version="1.0" encoding="utf-8"?>
<table xmlns="http://schemas.openxmlformats.org/spreadsheetml/2006/main" id="4" name="Table4" displayName="Table4" ref="A4:E96" totalsRowCount="1">
  <autoFilter ref="A4:E95"/>
  <sortState ref="A5:E5">
    <sortCondition ref="B4"/>
  </sortState>
  <tableColumns count="5">
    <tableColumn id="1" name="Wolf" totalsRowLabel="Total" dataDxfId="101" totalsRowDxfId="100" dataCellStyle="Normal 14"/>
    <tableColumn id="2" name="Lease" totalsRowFunction="count" dataDxfId="99" totalsRowDxfId="98" dataCellStyle="Normal 14"/>
    <tableColumn id="3" name="OIL" totalsRowFunction="sum" dataDxfId="97" totalsRowDxfId="96" dataCellStyle="Normal 14"/>
    <tableColumn id="4" name="GAS" totalsRowFunction="sum" dataDxfId="95" totalsRowDxfId="94" dataCellStyle="Normal 14"/>
    <tableColumn id="5" name="LEASE USE" totalsRowFunction="sum" dataDxfId="93" totalsRowDxfId="92" dataCellStyle="Normal 14"/>
  </tableColumns>
  <tableStyleInfo name="TableStyleMedium2" showFirstColumn="0" showLastColumn="0" showRowStripes="1" showColumnStripes="0"/>
</table>
</file>

<file path=xl/tables/table6.xml><?xml version="1.0" encoding="utf-8"?>
<table xmlns="http://schemas.openxmlformats.org/spreadsheetml/2006/main" id="1" name="Table1" displayName="Table1" ref="A8:Q230" totalsRowCount="1" dataCellStyle="Normal 2">
  <autoFilter ref="A8:Q229">
    <filterColumn colId="5">
      <filters>
        <filter val="JOHNSON, B. A. 'A'"/>
        <filter val="JOHNSON, B. A. 'E' GU"/>
        <filter val="JOHNSON, B. A. &quot;D&quot; OIL UNIT"/>
        <filter val="JOHNSON, B.A."/>
        <filter val="PETERSON, JOHN ETAL UNIT"/>
      </filters>
    </filterColumn>
  </autoFilter>
  <tableColumns count="17">
    <tableColumn id="1" name="Multiple Reports" totalsRowLabel="Total" totalsRowDxfId="68" dataCellStyle="Normal 2"/>
    <tableColumn id="2" name="Lease Type" totalsRowDxfId="67" dataCellStyle="Normal 2"/>
    <tableColumn id="3" name="District" totalsRowDxfId="66" dataCellStyle="Normal 2"/>
    <tableColumn id="4" name="RRC Identifier" totalsRowDxfId="65" dataCellStyle="Normal 2"/>
    <tableColumn id="5" name="Field Name" totalsRowFunction="count" totalsRowDxfId="64" dataCellStyle="Normal 2"/>
    <tableColumn id="6" name="Lease Name" totalsRowFunction="count" totalsRowDxfId="63" dataCellStyle="Normal 2"/>
    <tableColumn id="7" name="Gas Well ID" totalsRowDxfId="62" dataCellStyle="Normal 2"/>
    <tableColumn id="8" name="Lease Total" totalsRowDxfId="61" dataCellStyle="Normal 2"/>
    <tableColumn id="9" name="Commingle Permit No." totalsRowDxfId="60" dataCellStyle="Normal 2"/>
    <tableColumn id="10" name="On Hand Beginning of Month" totalsRowFunction="sum" dataDxfId="91" totalsRowDxfId="59" dataCellStyle="Normal 2"/>
    <tableColumn id="11" name="Production" totalsRowFunction="sum" totalsRowDxfId="58" dataCellStyle="Normal 2"/>
    <tableColumn id="12" name="Volume" totalsRowFunction="sum" totalsRowDxfId="57" dataCellStyle="Normal 2"/>
    <tableColumn id="13" name="Code" totalsRowDxfId="56" dataCellStyle="Normal 2"/>
    <tableColumn id="14" name="On Hand End of Month" totalsRowFunction="sum" totalsRowDxfId="55" dataCellStyle="Normal 2"/>
    <tableColumn id="17" name="Formation Production" totalsRowFunction="sum" dataDxfId="90" totalsRowDxfId="54" dataCellStyle="Normal 2"/>
    <tableColumn id="18" name="Volume2" totalsRowFunction="sum" totalsRowDxfId="53" dataCellStyle="Normal 2"/>
    <tableColumn id="19" name="Code3" totalsRowDxfId="52" dataCellStyle="Normal 2"/>
  </tableColumns>
  <tableStyleInfo name="TableStyleMedium2" showFirstColumn="0" showLastColumn="0" showRowStripes="1" showColumnStripes="0"/>
</table>
</file>

<file path=xl/tables/table7.xml><?xml version="1.0" encoding="utf-8"?>
<table xmlns="http://schemas.openxmlformats.org/spreadsheetml/2006/main" id="9" name="Table9" displayName="Table9" ref="A3:K34" totalsRowShown="0" headerRowDxfId="89" dataDxfId="88">
  <autoFilter ref="A3:K34"/>
  <tableColumns count="11">
    <tableColumn id="1" name="STATION" dataDxfId="87"/>
    <tableColumn id="2" name="STATION NAME" dataDxfId="86"/>
    <tableColumn id="3" name="Column1" dataDxfId="85"/>
    <tableColumn id="4" name="MCF" dataDxfId="84"/>
    <tableColumn id="5" name="BTU" dataDxfId="83"/>
    <tableColumn id="6" name="MMBTU" dataDxfId="82"/>
    <tableColumn id="7" name="MCF/D" dataDxfId="81"/>
    <tableColumn id="8" name="MMBTU/D" dataDxfId="80"/>
    <tableColumn id="9" name="PSIG"/>
    <tableColumn id="10" name="GRAVITY" dataDxfId="79"/>
    <tableColumn id="11" name="HOURS" dataDxfId="7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mailto:mishaun@magnumproducing.com" TargetMode="Externa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 Id="rId2"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IP192"/>
  <sheetViews>
    <sheetView topLeftCell="H1" zoomScale="115" zoomScaleNormal="115" zoomScalePageLayoutView="115" workbookViewId="0">
      <pane ySplit="3" topLeftCell="A4" activePane="bottomLeft" state="frozen"/>
      <selection pane="bottomLeft" activeCell="AQ1" sqref="AQ1:AQ1048576"/>
    </sheetView>
  </sheetViews>
  <sheetFormatPr baseColWidth="10" defaultColWidth="8.83203125" defaultRowHeight="12" x14ac:dyDescent="0"/>
  <cols>
    <col min="1" max="1" width="11.5" style="4" customWidth="1"/>
    <col min="2" max="2" width="11.33203125" style="1" customWidth="1"/>
    <col min="3" max="3" width="12.83203125" style="1" customWidth="1"/>
    <col min="4" max="4" width="14" style="1" customWidth="1"/>
    <col min="5" max="5" width="12.1640625" style="1" customWidth="1"/>
    <col min="6" max="6" width="12.6640625" style="1" customWidth="1"/>
    <col min="7" max="7" width="16.83203125" style="1" customWidth="1"/>
    <col min="8" max="8" width="12.33203125" style="1" customWidth="1"/>
    <col min="9" max="9" width="14.33203125" style="1" customWidth="1"/>
    <col min="10" max="10" width="16.83203125" style="118" customWidth="1"/>
    <col min="11" max="11" width="14.83203125" style="1" customWidth="1"/>
    <col min="12" max="12" width="14.6640625" style="1" customWidth="1"/>
    <col min="13" max="13" width="11" style="5" customWidth="1"/>
    <col min="14" max="14" width="16.83203125" style="5" customWidth="1"/>
    <col min="15" max="18" width="14.83203125" style="5" customWidth="1"/>
    <col min="19" max="19" width="14.83203125" style="1" customWidth="1"/>
    <col min="20" max="22" width="14.83203125" style="5" customWidth="1"/>
    <col min="23" max="23" width="14.83203125" style="1" customWidth="1"/>
    <col min="24" max="29" width="14.83203125" style="5" customWidth="1"/>
    <col min="30" max="30" width="14.83203125" style="1" customWidth="1"/>
    <col min="31" max="31" width="14.83203125" style="5" customWidth="1"/>
    <col min="32" max="32" width="14.83203125" style="1" customWidth="1"/>
    <col min="33" max="33" width="14.83203125" style="5" customWidth="1"/>
    <col min="34" max="34" width="16.6640625" style="5" customWidth="1"/>
    <col min="35" max="35" width="17.6640625" style="1" customWidth="1"/>
    <col min="36" max="40" width="14.83203125" style="5" customWidth="1"/>
    <col min="41" max="41" width="14.83203125" style="1" customWidth="1"/>
    <col min="42" max="43" width="14.83203125" style="5" customWidth="1"/>
    <col min="44" max="44" width="28.83203125" style="1" bestFit="1" customWidth="1"/>
    <col min="45" max="45" width="28.1640625" style="1" bestFit="1" customWidth="1"/>
    <col min="46" max="46" width="14.33203125" style="1" customWidth="1"/>
  </cols>
  <sheetData>
    <row r="1" spans="1:250" s="3" customFormat="1" ht="42.75" customHeight="1">
      <c r="A1" s="6" t="s">
        <v>50</v>
      </c>
      <c r="B1" s="6" t="s">
        <v>51</v>
      </c>
      <c r="C1" s="6" t="s">
        <v>52</v>
      </c>
      <c r="D1" s="6" t="s">
        <v>53</v>
      </c>
      <c r="E1" s="6" t="s">
        <v>54</v>
      </c>
      <c r="F1" s="6" t="s">
        <v>55</v>
      </c>
      <c r="G1" s="6" t="s">
        <v>56</v>
      </c>
      <c r="H1" s="9"/>
      <c r="I1" s="10"/>
      <c r="J1" s="117"/>
      <c r="K1" s="10"/>
      <c r="L1" s="10"/>
      <c r="M1" s="11"/>
      <c r="N1" s="11"/>
      <c r="O1" s="11"/>
      <c r="P1" s="11"/>
      <c r="Q1" s="11"/>
      <c r="R1" s="11"/>
      <c r="S1" s="10"/>
      <c r="T1" s="11"/>
      <c r="U1" s="11"/>
      <c r="V1" s="11"/>
      <c r="W1" s="10"/>
      <c r="X1" s="11"/>
      <c r="Y1" s="11"/>
      <c r="Z1" s="11"/>
      <c r="AA1" s="11"/>
      <c r="AB1" s="11"/>
      <c r="AC1" s="11"/>
      <c r="AD1" s="10"/>
      <c r="AE1" s="11"/>
      <c r="AF1" s="10"/>
      <c r="AG1" s="11"/>
      <c r="AH1" s="11"/>
      <c r="AI1" s="10"/>
      <c r="AJ1" s="11"/>
      <c r="AK1" s="11"/>
      <c r="AL1" s="11"/>
      <c r="AM1" s="11"/>
      <c r="AN1" s="11"/>
      <c r="AO1" s="10"/>
      <c r="AP1" s="11"/>
      <c r="AQ1" s="11"/>
      <c r="AR1" s="10"/>
      <c r="AS1" s="10"/>
      <c r="AT1" s="10"/>
    </row>
    <row r="2" spans="1:250" ht="19.5" customHeight="1">
      <c r="A2" s="4" t="s">
        <v>0</v>
      </c>
      <c r="B2" s="10" t="s">
        <v>65</v>
      </c>
      <c r="C2" s="10" t="s">
        <v>66</v>
      </c>
      <c r="D2" s="2" t="s">
        <v>67</v>
      </c>
      <c r="E2" s="10" t="s">
        <v>68</v>
      </c>
      <c r="F2" s="5">
        <v>189</v>
      </c>
      <c r="G2" s="12" t="s">
        <v>3</v>
      </c>
    </row>
    <row r="3" spans="1:250" s="3" customFormat="1" ht="54.75" customHeight="1">
      <c r="A3" s="6" t="s">
        <v>4</v>
      </c>
      <c r="B3" s="6" t="s">
        <v>5</v>
      </c>
      <c r="C3" s="6" t="s">
        <v>6</v>
      </c>
      <c r="D3" s="6" t="s">
        <v>7</v>
      </c>
      <c r="E3" s="6" t="s">
        <v>8</v>
      </c>
      <c r="F3" s="6" t="s">
        <v>9</v>
      </c>
      <c r="G3" s="6" t="s">
        <v>10</v>
      </c>
      <c r="H3" s="6" t="s">
        <v>11</v>
      </c>
      <c r="I3" s="6" t="s">
        <v>12</v>
      </c>
      <c r="J3" s="119" t="s">
        <v>13</v>
      </c>
      <c r="K3" s="6" t="s">
        <v>14</v>
      </c>
      <c r="L3" s="6" t="s">
        <v>15</v>
      </c>
      <c r="M3" s="7" t="s">
        <v>16</v>
      </c>
      <c r="N3" s="7" t="s">
        <v>17</v>
      </c>
      <c r="O3" s="7" t="s">
        <v>18</v>
      </c>
      <c r="P3" s="7" t="s">
        <v>19</v>
      </c>
      <c r="Q3" s="7" t="s">
        <v>20</v>
      </c>
      <c r="R3" s="7" t="s">
        <v>21</v>
      </c>
      <c r="S3" s="6" t="s">
        <v>22</v>
      </c>
      <c r="T3" s="7" t="s">
        <v>23</v>
      </c>
      <c r="U3" s="7" t="s">
        <v>24</v>
      </c>
      <c r="V3" s="7" t="s">
        <v>25</v>
      </c>
      <c r="W3" s="6" t="s">
        <v>26</v>
      </c>
      <c r="X3" s="7" t="s">
        <v>27</v>
      </c>
      <c r="Y3" s="7" t="s">
        <v>28</v>
      </c>
      <c r="Z3" s="7" t="s">
        <v>29</v>
      </c>
      <c r="AA3" s="7" t="s">
        <v>30</v>
      </c>
      <c r="AB3" s="7" t="s">
        <v>31</v>
      </c>
      <c r="AC3" s="7" t="s">
        <v>32</v>
      </c>
      <c r="AD3" s="6" t="s">
        <v>33</v>
      </c>
      <c r="AE3" s="7" t="s">
        <v>34</v>
      </c>
      <c r="AF3" s="6" t="s">
        <v>35</v>
      </c>
      <c r="AG3" s="7" t="s">
        <v>36</v>
      </c>
      <c r="AH3" s="7" t="s">
        <v>37</v>
      </c>
      <c r="AI3" s="6" t="s">
        <v>38</v>
      </c>
      <c r="AJ3" s="7" t="s">
        <v>39</v>
      </c>
      <c r="AK3" s="7" t="s">
        <v>40</v>
      </c>
      <c r="AL3" s="7" t="s">
        <v>41</v>
      </c>
      <c r="AM3" s="7" t="s">
        <v>42</v>
      </c>
      <c r="AN3" s="7" t="s">
        <v>43</v>
      </c>
      <c r="AO3" s="6" t="s">
        <v>44</v>
      </c>
      <c r="AP3" s="7" t="s">
        <v>45</v>
      </c>
      <c r="AQ3" s="7" t="s">
        <v>46</v>
      </c>
      <c r="AR3" s="6" t="s">
        <v>47</v>
      </c>
      <c r="AS3" s="6" t="s">
        <v>48</v>
      </c>
      <c r="AT3" s="6" t="s">
        <v>49</v>
      </c>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c r="CK3" s="8"/>
      <c r="CL3" s="8"/>
      <c r="CM3" s="8"/>
      <c r="CN3" s="8"/>
      <c r="CO3" s="8"/>
      <c r="CP3" s="8"/>
      <c r="CQ3" s="8"/>
      <c r="CR3" s="8"/>
      <c r="CS3" s="8"/>
      <c r="CT3" s="8"/>
      <c r="CU3" s="8"/>
      <c r="CV3" s="8"/>
      <c r="CW3" s="8"/>
      <c r="CX3" s="8"/>
      <c r="CY3" s="8"/>
      <c r="CZ3" s="8"/>
      <c r="DA3" s="8"/>
      <c r="DB3" s="8"/>
      <c r="DC3" s="8"/>
      <c r="DD3" s="8"/>
      <c r="DE3" s="8"/>
      <c r="DF3" s="8"/>
      <c r="DG3" s="8"/>
      <c r="DH3" s="8"/>
      <c r="DI3" s="8"/>
      <c r="DJ3" s="8"/>
      <c r="DK3" s="8"/>
      <c r="DL3" s="8"/>
      <c r="DM3" s="8"/>
      <c r="DN3" s="8"/>
      <c r="DO3" s="8"/>
      <c r="DP3" s="8"/>
      <c r="DQ3" s="8"/>
      <c r="DR3" s="8"/>
      <c r="DS3" s="8"/>
      <c r="DT3" s="8"/>
      <c r="DU3" s="8"/>
      <c r="DV3" s="8"/>
      <c r="DW3" s="8"/>
      <c r="DX3" s="8"/>
      <c r="DY3" s="8"/>
      <c r="DZ3" s="8"/>
      <c r="EA3" s="8"/>
      <c r="EB3" s="8"/>
      <c r="EC3" s="8"/>
      <c r="ED3" s="8"/>
      <c r="EE3" s="8"/>
      <c r="EF3" s="8"/>
      <c r="EG3" s="8"/>
      <c r="EH3" s="8"/>
      <c r="EI3" s="8"/>
      <c r="EJ3" s="8"/>
      <c r="EK3" s="8"/>
      <c r="EL3" s="8"/>
      <c r="EM3" s="8"/>
      <c r="EN3" s="8"/>
      <c r="EO3" s="8"/>
      <c r="EP3" s="8"/>
      <c r="EQ3" s="8"/>
      <c r="ER3" s="8"/>
      <c r="ES3" s="8"/>
      <c r="ET3" s="8"/>
      <c r="EU3" s="8"/>
      <c r="EV3" s="8"/>
      <c r="EW3" s="8"/>
      <c r="EX3" s="8"/>
      <c r="EY3" s="8"/>
      <c r="EZ3" s="8"/>
      <c r="FA3" s="8"/>
      <c r="FB3" s="8"/>
      <c r="FC3" s="8"/>
      <c r="FD3" s="8"/>
      <c r="FE3" s="8"/>
      <c r="FF3" s="8"/>
      <c r="FG3" s="8"/>
      <c r="FH3" s="8"/>
      <c r="FI3" s="8"/>
      <c r="FJ3" s="8"/>
      <c r="FK3" s="8"/>
      <c r="FL3" s="8"/>
      <c r="FM3" s="8"/>
      <c r="FN3" s="8"/>
      <c r="FO3" s="8"/>
      <c r="FP3" s="8"/>
      <c r="FQ3" s="8"/>
      <c r="FR3" s="8"/>
      <c r="FS3" s="8"/>
      <c r="FT3" s="8"/>
      <c r="FU3" s="8"/>
      <c r="FV3" s="8"/>
      <c r="FW3" s="8"/>
      <c r="FX3" s="8"/>
      <c r="FY3" s="8"/>
      <c r="FZ3" s="8"/>
      <c r="GA3" s="8"/>
      <c r="GB3" s="8"/>
      <c r="GC3" s="8"/>
      <c r="GD3" s="8"/>
      <c r="GE3" s="8"/>
      <c r="GF3" s="8"/>
      <c r="GG3" s="8"/>
      <c r="GH3" s="8"/>
      <c r="GI3" s="8"/>
      <c r="GJ3" s="8"/>
      <c r="GK3" s="8"/>
      <c r="GL3" s="8"/>
      <c r="GM3" s="8"/>
      <c r="GN3" s="8"/>
      <c r="GO3" s="8"/>
      <c r="GP3" s="8"/>
      <c r="GQ3" s="8"/>
      <c r="GR3" s="8"/>
      <c r="GS3" s="8"/>
      <c r="GT3" s="8"/>
      <c r="GU3" s="8"/>
      <c r="GV3" s="8"/>
      <c r="GW3" s="8"/>
      <c r="GX3" s="8"/>
      <c r="GY3" s="8"/>
      <c r="GZ3" s="8"/>
      <c r="HA3" s="8"/>
      <c r="HB3" s="8"/>
      <c r="HC3" s="8"/>
      <c r="HD3" s="8"/>
      <c r="HE3" s="8"/>
      <c r="HF3" s="8"/>
      <c r="HG3" s="8"/>
      <c r="HH3" s="8"/>
      <c r="HI3" s="8"/>
      <c r="HJ3" s="8"/>
      <c r="HK3" s="8"/>
      <c r="HL3" s="8"/>
      <c r="HM3" s="8"/>
      <c r="HN3" s="8"/>
      <c r="HO3" s="8"/>
      <c r="HP3" s="8"/>
      <c r="HQ3" s="8"/>
      <c r="HR3" s="8"/>
      <c r="HS3" s="8"/>
      <c r="HT3" s="8"/>
      <c r="HU3" s="8"/>
      <c r="HV3" s="8"/>
      <c r="HW3" s="8"/>
      <c r="HX3" s="8"/>
      <c r="HY3" s="8"/>
      <c r="HZ3" s="8"/>
      <c r="IA3" s="8"/>
      <c r="IB3" s="8"/>
      <c r="IC3" s="8"/>
      <c r="ID3" s="8"/>
      <c r="IE3" s="8"/>
      <c r="IF3" s="8"/>
      <c r="IG3" s="8"/>
      <c r="IH3" s="8"/>
      <c r="II3" s="8"/>
      <c r="IJ3" s="8"/>
      <c r="IK3" s="8"/>
      <c r="IL3" s="8"/>
      <c r="IM3" s="8"/>
      <c r="IN3" s="8"/>
      <c r="IO3" s="8"/>
      <c r="IP3" s="8"/>
    </row>
    <row r="4" spans="1:250">
      <c r="A4" s="4" t="s">
        <v>1</v>
      </c>
      <c r="B4" s="1" t="s">
        <v>57</v>
      </c>
      <c r="C4" s="10" t="s">
        <v>909</v>
      </c>
      <c r="D4" s="10" t="s">
        <v>617</v>
      </c>
      <c r="E4" s="1" t="s">
        <v>59</v>
      </c>
      <c r="F4" s="1" t="s">
        <v>415</v>
      </c>
      <c r="I4" s="1" t="s">
        <v>3</v>
      </c>
      <c r="J4" s="118" t="s">
        <v>3</v>
      </c>
      <c r="K4" s="1" t="s">
        <v>1090</v>
      </c>
      <c r="M4" s="5">
        <v>202005</v>
      </c>
      <c r="N4" s="5">
        <f>INDEX(rrcworking[Formation Production (MCF) @ 14.65 psi],MATCH('May 2020 EDI'!F4,rrcworking[RRC ID],0))</f>
        <v>0</v>
      </c>
      <c r="O4" s="5">
        <f>INDEX(rrcworking[Lease Use (MCF)],MATCH('May 2020 EDI'!F4,rrcworking[RRC ID],0))</f>
        <v>0</v>
      </c>
      <c r="P4" s="5">
        <f>INDEX(rrcworking[Gas Sales Statement Volume (MCF)],MATCH('May 2020 EDI'!F4,rrcworking[RRC ID],0))</f>
        <v>0</v>
      </c>
      <c r="R4" s="246">
        <f>INDEX(rrcworking[Flared Gas],MATCH('May 2020 EDI'!F4,rrcworking[RRC ID],0))</f>
        <v>0</v>
      </c>
      <c r="Y4" s="5">
        <f>INDEX(rrcworking[Oil Production],MATCH('May 2020 EDI'!F4,rrcworking[RRC ID],0))</f>
        <v>0</v>
      </c>
      <c r="AA4" s="5">
        <f>INDEX(rrcworking[Sales/Dispostion],MATCH('May 2020 EDI'!F4,rrcworking[RRC ID],0))</f>
        <v>0</v>
      </c>
      <c r="AQ4" s="5">
        <f>INDEX(rrcworking[Closing Stock (Oil)],MATCH('May 2020 EDI'!F4,rrcworking[RRC ID],0))</f>
        <v>0</v>
      </c>
    </row>
    <row r="5" spans="1:250">
      <c r="A5" s="4" t="s">
        <v>1</v>
      </c>
      <c r="B5" s="1" t="s">
        <v>1131</v>
      </c>
      <c r="C5" s="10" t="s">
        <v>909</v>
      </c>
      <c r="D5" s="1" t="s">
        <v>617</v>
      </c>
      <c r="E5" s="1" t="s">
        <v>59</v>
      </c>
      <c r="F5" s="1" t="s">
        <v>416</v>
      </c>
      <c r="I5" s="1" t="s">
        <v>3</v>
      </c>
      <c r="J5" s="118" t="s">
        <v>3</v>
      </c>
      <c r="K5" s="1" t="s">
        <v>1090</v>
      </c>
      <c r="M5" s="5">
        <v>202005</v>
      </c>
      <c r="N5" s="5">
        <f>INDEX(rrcworking[Formation Production (MCF) @ 14.65 psi],MATCH('May 2020 EDI'!F5,rrcworking[RRC ID],0))</f>
        <v>0</v>
      </c>
      <c r="O5" s="5">
        <f>INDEX(rrcworking[Lease Use (MCF)],MATCH('May 2020 EDI'!F5,rrcworking[RRC ID],0))</f>
        <v>0</v>
      </c>
      <c r="P5" s="5">
        <f>INDEX(rrcworking[Gas Sales Statement Volume (MCF)],MATCH('May 2020 EDI'!F5,rrcworking[RRC ID],0))</f>
        <v>0</v>
      </c>
      <c r="R5" s="246">
        <f>INDEX(rrcworking[Flared Gas],MATCH('May 2020 EDI'!F5,rrcworking[RRC ID],0))</f>
        <v>0</v>
      </c>
      <c r="Y5" s="5">
        <f>INDEX(rrcworking[Oil Production],MATCH('May 2020 EDI'!F5,rrcworking[RRC ID],0))</f>
        <v>0</v>
      </c>
      <c r="AA5" s="5">
        <f>INDEX(rrcworking[Sales/Dispostion],MATCH('May 2020 EDI'!F5,rrcworking[RRC ID],0))</f>
        <v>0</v>
      </c>
      <c r="AQ5" s="5">
        <f>INDEX(rrcworking[Closing Stock (Oil)],MATCH('May 2020 EDI'!F5,rrcworking[RRC ID],0))</f>
        <v>149</v>
      </c>
    </row>
    <row r="6" spans="1:250">
      <c r="A6" s="4" t="s">
        <v>1</v>
      </c>
      <c r="B6" s="1" t="s">
        <v>58</v>
      </c>
      <c r="C6" s="10" t="s">
        <v>909</v>
      </c>
      <c r="D6" s="1" t="s">
        <v>617</v>
      </c>
      <c r="E6" s="1" t="s">
        <v>59</v>
      </c>
      <c r="F6" s="1" t="s">
        <v>417</v>
      </c>
      <c r="I6" s="1" t="s">
        <v>3</v>
      </c>
      <c r="J6" s="118" t="s">
        <v>3</v>
      </c>
      <c r="K6" s="1" t="s">
        <v>1090</v>
      </c>
      <c r="M6" s="5">
        <v>202005</v>
      </c>
      <c r="N6" s="5">
        <f>INDEX(rrcworking[Formation Production (MCF) @ 14.65 psi],MATCH('May 2020 EDI'!F6,rrcworking[RRC ID],0))</f>
        <v>4660</v>
      </c>
      <c r="O6" s="5">
        <f>INDEX(rrcworking[Lease Use (MCF)],MATCH('May 2020 EDI'!F6,rrcworking[RRC ID],0))</f>
        <v>217</v>
      </c>
      <c r="P6" s="5">
        <f>INDEX(rrcworking[Gas Sales Statement Volume (MCF)],MATCH('May 2020 EDI'!F6,rrcworking[RRC ID],0))</f>
        <v>4443</v>
      </c>
      <c r="R6" s="246">
        <f>INDEX(rrcworking[Flared Gas],MATCH('May 2020 EDI'!F6,rrcworking[RRC ID],0))</f>
        <v>0</v>
      </c>
      <c r="Y6" s="5">
        <f>INDEX(rrcworking[Oil Production],MATCH('May 2020 EDI'!F6,rrcworking[RRC ID],0))</f>
        <v>0</v>
      </c>
      <c r="AA6" s="5">
        <f>INDEX(rrcworking[Sales/Dispostion],MATCH('May 2020 EDI'!F6,rrcworking[RRC ID],0))</f>
        <v>0</v>
      </c>
      <c r="AQ6" s="5">
        <f>INDEX(rrcworking[Closing Stock (Oil)],MATCH('May 2020 EDI'!F6,rrcworking[RRC ID],0))</f>
        <v>0</v>
      </c>
    </row>
    <row r="7" spans="1:250">
      <c r="A7" s="4" t="s">
        <v>1</v>
      </c>
      <c r="B7" s="1" t="s">
        <v>61</v>
      </c>
      <c r="C7" s="10" t="s">
        <v>909</v>
      </c>
      <c r="D7" s="1" t="s">
        <v>617</v>
      </c>
      <c r="E7" s="1" t="s">
        <v>59</v>
      </c>
      <c r="F7" s="1" t="s">
        <v>418</v>
      </c>
      <c r="I7" s="1" t="s">
        <v>3</v>
      </c>
      <c r="J7" s="118" t="s">
        <v>3</v>
      </c>
      <c r="K7" s="1" t="s">
        <v>1090</v>
      </c>
      <c r="M7" s="5">
        <v>202005</v>
      </c>
      <c r="N7" s="5">
        <f>INDEX(rrcworking[Formation Production (MCF) @ 14.65 psi],MATCH('May 2020 EDI'!F7,rrcworking[RRC ID],0))</f>
        <v>0</v>
      </c>
      <c r="O7" s="5">
        <f>INDEX(rrcworking[Lease Use (MCF)],MATCH('May 2020 EDI'!F7,rrcworking[RRC ID],0))</f>
        <v>0</v>
      </c>
      <c r="P7" s="5">
        <f>INDEX(rrcworking[Gas Sales Statement Volume (MCF)],MATCH('May 2020 EDI'!F7,rrcworking[RRC ID],0))</f>
        <v>0</v>
      </c>
      <c r="R7" s="246">
        <f>INDEX(rrcworking[Flared Gas],MATCH('May 2020 EDI'!F7,rrcworking[RRC ID],0))</f>
        <v>0</v>
      </c>
      <c r="Y7" s="5">
        <f>INDEX(rrcworking[Oil Production],MATCH('May 2020 EDI'!F7,rrcworking[RRC ID],0))</f>
        <v>0</v>
      </c>
      <c r="AA7" s="5">
        <f>INDEX(rrcworking[Sales/Dispostion],MATCH('May 2020 EDI'!F7,rrcworking[RRC ID],0))</f>
        <v>0</v>
      </c>
      <c r="AQ7" s="5">
        <f>INDEX(rrcworking[Closing Stock (Oil)],MATCH('May 2020 EDI'!F7,rrcworking[RRC ID],0))</f>
        <v>26</v>
      </c>
    </row>
    <row r="8" spans="1:250">
      <c r="A8" s="4" t="s">
        <v>1</v>
      </c>
      <c r="B8" s="1" t="s">
        <v>62</v>
      </c>
      <c r="C8" s="10" t="s">
        <v>909</v>
      </c>
      <c r="D8" s="1" t="s">
        <v>617</v>
      </c>
      <c r="E8" s="1" t="s">
        <v>59</v>
      </c>
      <c r="F8" s="1" t="s">
        <v>419</v>
      </c>
      <c r="I8" s="1" t="s">
        <v>3</v>
      </c>
      <c r="J8" s="117" t="s">
        <v>3</v>
      </c>
      <c r="K8" s="1" t="s">
        <v>1090</v>
      </c>
      <c r="M8" s="5">
        <v>202005</v>
      </c>
      <c r="N8" s="5">
        <f>INDEX(rrcworking[Formation Production (MCF) @ 14.65 psi],MATCH('May 2020 EDI'!F8,rrcworking[RRC ID],0))</f>
        <v>0</v>
      </c>
      <c r="O8" s="5">
        <f>INDEX(rrcworking[Lease Use (MCF)],MATCH('May 2020 EDI'!F8,rrcworking[RRC ID],0))</f>
        <v>0</v>
      </c>
      <c r="P8" s="5">
        <f>INDEX(rrcworking[Gas Sales Statement Volume (MCF)],MATCH('May 2020 EDI'!F8,rrcworking[RRC ID],0))</f>
        <v>0</v>
      </c>
      <c r="R8" s="246">
        <f>INDEX(rrcworking[Flared Gas],MATCH('May 2020 EDI'!F8,rrcworking[RRC ID],0))</f>
        <v>0</v>
      </c>
      <c r="Y8" s="5">
        <f>INDEX(rrcworking[Oil Production],MATCH('May 2020 EDI'!F8,rrcworking[RRC ID],0))</f>
        <v>0</v>
      </c>
      <c r="AA8" s="5">
        <f>INDEX(rrcworking[Sales/Dispostion],MATCH('May 2020 EDI'!F8,rrcworking[RRC ID],0))</f>
        <v>0</v>
      </c>
      <c r="AQ8" s="5">
        <f>INDEX(rrcworking[Closing Stock (Oil)],MATCH('May 2020 EDI'!F8,rrcworking[RRC ID],0))</f>
        <v>0</v>
      </c>
    </row>
    <row r="9" spans="1:250">
      <c r="A9" s="4" t="s">
        <v>1</v>
      </c>
      <c r="B9" s="1" t="s">
        <v>63</v>
      </c>
      <c r="C9" s="10" t="s">
        <v>909</v>
      </c>
      <c r="D9" s="1" t="s">
        <v>617</v>
      </c>
      <c r="E9" s="1" t="s">
        <v>59</v>
      </c>
      <c r="F9" s="1" t="s">
        <v>421</v>
      </c>
      <c r="I9" s="10" t="s">
        <v>3</v>
      </c>
      <c r="J9" s="118" t="s">
        <v>3</v>
      </c>
      <c r="K9" s="1" t="s">
        <v>1090</v>
      </c>
      <c r="M9" s="5">
        <v>202005</v>
      </c>
      <c r="N9" s="5">
        <f>INDEX(rrcworking[Formation Production (MCF) @ 14.65 psi],MATCH('May 2020 EDI'!F9,rrcworking[RRC ID],0))</f>
        <v>0</v>
      </c>
      <c r="O9" s="5">
        <f>INDEX(rrcworking[Lease Use (MCF)],MATCH('May 2020 EDI'!F9,rrcworking[RRC ID],0))</f>
        <v>0</v>
      </c>
      <c r="P9" s="5">
        <f>INDEX(rrcworking[Gas Sales Statement Volume (MCF)],MATCH('May 2020 EDI'!F9,rrcworking[RRC ID],0))</f>
        <v>0</v>
      </c>
      <c r="R9" s="246">
        <f>INDEX(rrcworking[Flared Gas],MATCH('May 2020 EDI'!F9,rrcworking[RRC ID],0))</f>
        <v>0</v>
      </c>
      <c r="Y9" s="5">
        <f>INDEX(rrcworking[Oil Production],MATCH('May 2020 EDI'!F9,rrcworking[RRC ID],0))</f>
        <v>0</v>
      </c>
      <c r="AA9" s="5">
        <f>INDEX(rrcworking[Sales/Dispostion],MATCH('May 2020 EDI'!F9,rrcworking[RRC ID],0))</f>
        <v>0</v>
      </c>
      <c r="AQ9" s="5">
        <f>INDEX(rrcworking[Closing Stock (Oil)],MATCH('May 2020 EDI'!F9,rrcworking[RRC ID],0))</f>
        <v>132</v>
      </c>
    </row>
    <row r="10" spans="1:250">
      <c r="A10" s="4" t="s">
        <v>1</v>
      </c>
      <c r="B10" s="1" t="s">
        <v>64</v>
      </c>
      <c r="C10" s="10" t="s">
        <v>909</v>
      </c>
      <c r="D10" s="1" t="s">
        <v>617</v>
      </c>
      <c r="E10" s="1" t="s">
        <v>2</v>
      </c>
      <c r="F10" s="1" t="s">
        <v>422</v>
      </c>
      <c r="I10" s="10" t="s">
        <v>3</v>
      </c>
      <c r="J10" s="118" t="s">
        <v>3</v>
      </c>
      <c r="K10" s="1" t="s">
        <v>1090</v>
      </c>
      <c r="M10" s="5">
        <v>202005</v>
      </c>
      <c r="N10" s="5">
        <f>INDEX(rrcworking[Formation Production (MCF) @ 14.65 psi],MATCH('May 2020 EDI'!F10,rrcworking[RRC ID],0))</f>
        <v>0</v>
      </c>
      <c r="O10" s="5">
        <f>INDEX(rrcworking[Lease Use (MCF)],MATCH('May 2020 EDI'!F10,rrcworking[RRC ID],0))</f>
        <v>0</v>
      </c>
      <c r="P10" s="5">
        <f>INDEX(rrcworking[Gas Sales Statement Volume (MCF)],MATCH('May 2020 EDI'!F10,rrcworking[RRC ID],0))</f>
        <v>0</v>
      </c>
      <c r="R10" s="246">
        <f>INDEX(rrcworking[Flared Gas],MATCH('May 2020 EDI'!F10,rrcworking[RRC ID],0))</f>
        <v>0</v>
      </c>
      <c r="Y10" s="5">
        <f>INDEX(rrcworking[Oil Production],MATCH('May 2020 EDI'!F10,rrcworking[RRC ID],0))</f>
        <v>743</v>
      </c>
      <c r="AA10" s="5">
        <f>INDEX(rrcworking[Sales/Dispostion],MATCH('May 2020 EDI'!F10,rrcworking[RRC ID],0))</f>
        <v>0</v>
      </c>
      <c r="AQ10" s="5">
        <f>INDEX(rrcworking[Closing Stock (Oil)],MATCH('May 2020 EDI'!F10,rrcworking[RRC ID],0))</f>
        <v>974</v>
      </c>
    </row>
    <row r="11" spans="1:250">
      <c r="A11" s="4" t="s">
        <v>1</v>
      </c>
      <c r="B11" s="1" t="s">
        <v>910</v>
      </c>
      <c r="C11" s="10" t="s">
        <v>909</v>
      </c>
      <c r="D11" s="1" t="s">
        <v>617</v>
      </c>
      <c r="E11" s="1" t="s">
        <v>59</v>
      </c>
      <c r="F11" s="1" t="s">
        <v>423</v>
      </c>
      <c r="I11" s="10" t="s">
        <v>3</v>
      </c>
      <c r="J11" s="118" t="s">
        <v>3</v>
      </c>
      <c r="K11" s="1" t="s">
        <v>1090</v>
      </c>
      <c r="M11" s="5">
        <v>202005</v>
      </c>
      <c r="N11" s="5">
        <f>INDEX(rrcworking[Formation Production (MCF) @ 14.65 psi],MATCH('May 2020 EDI'!F11,rrcworking[RRC ID],0))</f>
        <v>0</v>
      </c>
      <c r="O11" s="5">
        <f>INDEX(rrcworking[Lease Use (MCF)],MATCH('May 2020 EDI'!F11,rrcworking[RRC ID],0))</f>
        <v>0</v>
      </c>
      <c r="P11" s="5">
        <f>INDEX(rrcworking[Gas Sales Statement Volume (MCF)],MATCH('May 2020 EDI'!F11,rrcworking[RRC ID],0))</f>
        <v>0</v>
      </c>
      <c r="R11" s="246">
        <f>INDEX(rrcworking[Flared Gas],MATCH('May 2020 EDI'!F11,rrcworking[RRC ID],0))</f>
        <v>0</v>
      </c>
      <c r="Y11" s="5">
        <f>INDEX(rrcworking[Oil Production],MATCH('May 2020 EDI'!F11,rrcworking[RRC ID],0))</f>
        <v>0</v>
      </c>
      <c r="AA11" s="5">
        <f>INDEX(rrcworking[Sales/Dispostion],MATCH('May 2020 EDI'!F11,rrcworking[RRC ID],0))</f>
        <v>0</v>
      </c>
      <c r="AQ11" s="5">
        <f>INDEX(rrcworking[Closing Stock (Oil)],MATCH('May 2020 EDI'!F11,rrcworking[RRC ID],0))</f>
        <v>0</v>
      </c>
    </row>
    <row r="12" spans="1:250">
      <c r="A12" s="4" t="s">
        <v>1</v>
      </c>
      <c r="B12" s="1" t="s">
        <v>911</v>
      </c>
      <c r="C12" s="10" t="s">
        <v>909</v>
      </c>
      <c r="D12" s="1" t="s">
        <v>617</v>
      </c>
      <c r="E12" s="1" t="s">
        <v>59</v>
      </c>
      <c r="F12" s="1" t="s">
        <v>424</v>
      </c>
      <c r="I12" s="10" t="s">
        <v>3</v>
      </c>
      <c r="J12" s="118" t="s">
        <v>3</v>
      </c>
      <c r="K12" s="1" t="s">
        <v>1090</v>
      </c>
      <c r="M12" s="5">
        <v>202005</v>
      </c>
      <c r="N12" s="5">
        <f>INDEX(rrcworking[Formation Production (MCF) @ 14.65 psi],MATCH('May 2020 EDI'!F12,rrcworking[RRC ID],0))</f>
        <v>0</v>
      </c>
      <c r="O12" s="5">
        <f>INDEX(rrcworking[Lease Use (MCF)],MATCH('May 2020 EDI'!F12,rrcworking[RRC ID],0))</f>
        <v>0</v>
      </c>
      <c r="P12" s="5">
        <f>INDEX(rrcworking[Gas Sales Statement Volume (MCF)],MATCH('May 2020 EDI'!F12,rrcworking[RRC ID],0))</f>
        <v>0</v>
      </c>
      <c r="R12" s="246">
        <f>INDEX(rrcworking[Flared Gas],MATCH('May 2020 EDI'!F12,rrcworking[RRC ID],0))</f>
        <v>0</v>
      </c>
      <c r="Y12" s="5">
        <f>INDEX(rrcworking[Oil Production],MATCH('May 2020 EDI'!F12,rrcworking[RRC ID],0))</f>
        <v>0</v>
      </c>
      <c r="AA12" s="5">
        <f>INDEX(rrcworking[Sales/Dispostion],MATCH('May 2020 EDI'!F12,rrcworking[RRC ID],0))</f>
        <v>0</v>
      </c>
      <c r="AQ12" s="5">
        <f>INDEX(rrcworking[Closing Stock (Oil)],MATCH('May 2020 EDI'!F12,rrcworking[RRC ID],0))</f>
        <v>0</v>
      </c>
    </row>
    <row r="13" spans="1:250">
      <c r="A13" s="4" t="s">
        <v>1</v>
      </c>
      <c r="B13" s="1" t="s">
        <v>60</v>
      </c>
      <c r="C13" s="10" t="s">
        <v>909</v>
      </c>
      <c r="D13" s="1" t="s">
        <v>617</v>
      </c>
      <c r="E13" s="1" t="s">
        <v>2</v>
      </c>
      <c r="F13" s="1" t="s">
        <v>425</v>
      </c>
      <c r="I13" s="10" t="s">
        <v>3</v>
      </c>
      <c r="J13" s="118" t="s">
        <v>3</v>
      </c>
      <c r="K13" s="1" t="s">
        <v>1090</v>
      </c>
      <c r="M13" s="5">
        <v>202005</v>
      </c>
      <c r="N13" s="5">
        <f>INDEX(rrcworking[Formation Production (MCF) @ 14.65 psi],MATCH('May 2020 EDI'!F13,rrcworking[RRC ID],0))</f>
        <v>0</v>
      </c>
      <c r="O13" s="5">
        <f>INDEX(rrcworking[Lease Use (MCF)],MATCH('May 2020 EDI'!F13,rrcworking[RRC ID],0))</f>
        <v>0</v>
      </c>
      <c r="P13" s="5">
        <f>INDEX(rrcworking[Gas Sales Statement Volume (MCF)],MATCH('May 2020 EDI'!F13,rrcworking[RRC ID],0))</f>
        <v>0</v>
      </c>
      <c r="R13" s="246">
        <f>INDEX(rrcworking[Flared Gas],MATCH('May 2020 EDI'!F13,rrcworking[RRC ID],0))</f>
        <v>0</v>
      </c>
      <c r="Y13" s="5">
        <f>INDEX(rrcworking[Oil Production],MATCH('May 2020 EDI'!F13,rrcworking[RRC ID],0))</f>
        <v>16</v>
      </c>
      <c r="AA13" s="5">
        <f>INDEX(rrcworking[Sales/Dispostion],MATCH('May 2020 EDI'!F13,rrcworking[RRC ID],0))</f>
        <v>0</v>
      </c>
      <c r="AQ13" s="5">
        <f>INDEX(rrcworking[Closing Stock (Oil)],MATCH('May 2020 EDI'!F13,rrcworking[RRC ID],0))</f>
        <v>117</v>
      </c>
    </row>
    <row r="14" spans="1:250">
      <c r="A14" s="4" t="s">
        <v>1</v>
      </c>
      <c r="B14" s="1" t="s">
        <v>912</v>
      </c>
      <c r="C14" s="10" t="s">
        <v>909</v>
      </c>
      <c r="D14" s="1" t="s">
        <v>617</v>
      </c>
      <c r="E14" s="1" t="s">
        <v>2</v>
      </c>
      <c r="F14" s="1" t="s">
        <v>426</v>
      </c>
      <c r="I14" s="10" t="s">
        <v>3</v>
      </c>
      <c r="J14" s="118" t="s">
        <v>3</v>
      </c>
      <c r="K14" s="1" t="s">
        <v>1090</v>
      </c>
      <c r="M14" s="5">
        <v>202005</v>
      </c>
      <c r="N14" s="5">
        <f>INDEX(rrcworking[Formation Production (MCF) @ 14.65 psi],MATCH('May 2020 EDI'!F14,rrcworking[RRC ID],0))</f>
        <v>0</v>
      </c>
      <c r="O14" s="5">
        <f>INDEX(rrcworking[Lease Use (MCF)],MATCH('May 2020 EDI'!F14,rrcworking[RRC ID],0))</f>
        <v>0</v>
      </c>
      <c r="P14" s="5">
        <f>INDEX(rrcworking[Gas Sales Statement Volume (MCF)],MATCH('May 2020 EDI'!F14,rrcworking[RRC ID],0))</f>
        <v>0</v>
      </c>
      <c r="R14" s="246">
        <f>INDEX(rrcworking[Flared Gas],MATCH('May 2020 EDI'!F14,rrcworking[RRC ID],0))</f>
        <v>0</v>
      </c>
      <c r="Y14" s="5">
        <f>INDEX(rrcworking[Oil Production],MATCH('May 2020 EDI'!F14,rrcworking[RRC ID],0))</f>
        <v>21</v>
      </c>
      <c r="AA14" s="5">
        <f>INDEX(rrcworking[Sales/Dispostion],MATCH('May 2020 EDI'!F14,rrcworking[RRC ID],0))</f>
        <v>0</v>
      </c>
      <c r="AQ14" s="5">
        <f>INDEX(rrcworking[Closing Stock (Oil)],MATCH('May 2020 EDI'!F14,rrcworking[RRC ID],0))</f>
        <v>48</v>
      </c>
    </row>
    <row r="15" spans="1:250">
      <c r="A15" s="4" t="s">
        <v>1</v>
      </c>
      <c r="B15" s="1" t="s">
        <v>913</v>
      </c>
      <c r="C15" s="10" t="s">
        <v>909</v>
      </c>
      <c r="D15" s="1" t="s">
        <v>617</v>
      </c>
      <c r="E15" s="1" t="s">
        <v>2</v>
      </c>
      <c r="F15" s="1" t="s">
        <v>427</v>
      </c>
      <c r="I15" s="10" t="s">
        <v>3</v>
      </c>
      <c r="J15" s="118" t="s">
        <v>3</v>
      </c>
      <c r="K15" s="1" t="s">
        <v>1090</v>
      </c>
      <c r="M15" s="5">
        <v>202005</v>
      </c>
      <c r="N15" s="5">
        <f>INDEX(rrcworking[Formation Production (MCF) @ 14.65 psi],MATCH('May 2020 EDI'!F15,rrcworking[RRC ID],0))</f>
        <v>0</v>
      </c>
      <c r="O15" s="5">
        <f>INDEX(rrcworking[Lease Use (MCF)],MATCH('May 2020 EDI'!F15,rrcworking[RRC ID],0))</f>
        <v>0</v>
      </c>
      <c r="P15" s="5">
        <f>INDEX(rrcworking[Gas Sales Statement Volume (MCF)],MATCH('May 2020 EDI'!F15,rrcworking[RRC ID],0))</f>
        <v>0</v>
      </c>
      <c r="R15" s="246">
        <f>INDEX(rrcworking[Flared Gas],MATCH('May 2020 EDI'!F15,rrcworking[RRC ID],0))</f>
        <v>0</v>
      </c>
      <c r="Y15" s="5">
        <f>INDEX(rrcworking[Oil Production],MATCH('May 2020 EDI'!F15,rrcworking[RRC ID],0))</f>
        <v>0</v>
      </c>
      <c r="AA15" s="5">
        <f>INDEX(rrcworking[Sales/Dispostion],MATCH('May 2020 EDI'!F15,rrcworking[RRC ID],0))</f>
        <v>0</v>
      </c>
      <c r="AQ15" s="5">
        <f>INDEX(rrcworking[Closing Stock (Oil)],MATCH('May 2020 EDI'!F15,rrcworking[RRC ID],0))</f>
        <v>0</v>
      </c>
    </row>
    <row r="16" spans="1:250">
      <c r="A16" s="4" t="s">
        <v>1</v>
      </c>
      <c r="B16" s="1" t="s">
        <v>914</v>
      </c>
      <c r="C16" s="10" t="s">
        <v>909</v>
      </c>
      <c r="D16" s="1" t="s">
        <v>617</v>
      </c>
      <c r="E16" s="1" t="s">
        <v>59</v>
      </c>
      <c r="F16" s="1" t="s">
        <v>428</v>
      </c>
      <c r="I16" s="10" t="s">
        <v>3</v>
      </c>
      <c r="J16" s="118" t="s">
        <v>3</v>
      </c>
      <c r="K16" s="1" t="s">
        <v>1090</v>
      </c>
      <c r="M16" s="5">
        <v>202005</v>
      </c>
      <c r="N16" s="5">
        <f>INDEX(rrcworking[Formation Production (MCF) @ 14.65 psi],MATCH('May 2020 EDI'!F16,rrcworking[RRC ID],0))</f>
        <v>0</v>
      </c>
      <c r="O16" s="5">
        <f>INDEX(rrcworking[Lease Use (MCF)],MATCH('May 2020 EDI'!F16,rrcworking[RRC ID],0))</f>
        <v>0</v>
      </c>
      <c r="P16" s="5">
        <f>INDEX(rrcworking[Gas Sales Statement Volume (MCF)],MATCH('May 2020 EDI'!F16,rrcworking[RRC ID],0))</f>
        <v>0</v>
      </c>
      <c r="R16" s="246">
        <f>INDEX(rrcworking[Flared Gas],MATCH('May 2020 EDI'!F16,rrcworking[RRC ID],0))</f>
        <v>0</v>
      </c>
      <c r="Y16" s="5">
        <f>INDEX(rrcworking[Oil Production],MATCH('May 2020 EDI'!F16,rrcworking[RRC ID],0))</f>
        <v>0</v>
      </c>
      <c r="AA16" s="5">
        <f>INDEX(rrcworking[Sales/Dispostion],MATCH('May 2020 EDI'!F16,rrcworking[RRC ID],0))</f>
        <v>0</v>
      </c>
      <c r="AQ16" s="5">
        <f>INDEX(rrcworking[Closing Stock (Oil)],MATCH('May 2020 EDI'!F16,rrcworking[RRC ID],0))</f>
        <v>116</v>
      </c>
    </row>
    <row r="17" spans="1:43">
      <c r="A17" s="4" t="s">
        <v>1</v>
      </c>
      <c r="B17" s="1" t="s">
        <v>915</v>
      </c>
      <c r="C17" s="10" t="s">
        <v>909</v>
      </c>
      <c r="D17" s="1" t="s">
        <v>617</v>
      </c>
      <c r="E17" s="1" t="s">
        <v>59</v>
      </c>
      <c r="F17" s="1" t="s">
        <v>429</v>
      </c>
      <c r="I17" s="10" t="s">
        <v>3</v>
      </c>
      <c r="J17" s="118" t="s">
        <v>3</v>
      </c>
      <c r="K17" s="1" t="s">
        <v>1090</v>
      </c>
      <c r="M17" s="5">
        <v>202005</v>
      </c>
      <c r="N17" s="5">
        <f>INDEX(rrcworking[Formation Production (MCF) @ 14.65 psi],MATCH('May 2020 EDI'!F17,rrcworking[RRC ID],0))</f>
        <v>42675</v>
      </c>
      <c r="O17" s="5">
        <f>INDEX(rrcworking[Lease Use (MCF)],MATCH('May 2020 EDI'!F17,rrcworking[RRC ID],0))</f>
        <v>0</v>
      </c>
      <c r="P17" s="5">
        <f>INDEX(rrcworking[Gas Sales Statement Volume (MCF)],MATCH('May 2020 EDI'!F17,rrcworking[RRC ID],0))</f>
        <v>42675</v>
      </c>
      <c r="R17" s="246">
        <f>INDEX(rrcworking[Flared Gas],MATCH('May 2020 EDI'!F17,rrcworking[RRC ID],0))</f>
        <v>0</v>
      </c>
      <c r="Y17" s="5">
        <f>INDEX(rrcworking[Oil Production],MATCH('May 2020 EDI'!F17,rrcworking[RRC ID],0))</f>
        <v>554</v>
      </c>
      <c r="AA17" s="5">
        <f>INDEX(rrcworking[Sales/Dispostion],MATCH('May 2020 EDI'!F17,rrcworking[RRC ID],0))</f>
        <v>0</v>
      </c>
      <c r="AQ17" s="5">
        <f>INDEX(rrcworking[Closing Stock (Oil)],MATCH('May 2020 EDI'!F17,rrcworking[RRC ID],0))</f>
        <v>708</v>
      </c>
    </row>
    <row r="18" spans="1:43">
      <c r="A18" s="4" t="s">
        <v>1</v>
      </c>
      <c r="B18" s="1" t="s">
        <v>916</v>
      </c>
      <c r="C18" s="10" t="s">
        <v>909</v>
      </c>
      <c r="D18" s="1" t="s">
        <v>617</v>
      </c>
      <c r="E18" s="1" t="s">
        <v>2</v>
      </c>
      <c r="F18" s="1" t="s">
        <v>430</v>
      </c>
      <c r="I18" s="10" t="s">
        <v>3</v>
      </c>
      <c r="J18" s="118" t="s">
        <v>3</v>
      </c>
      <c r="K18" s="1" t="s">
        <v>1090</v>
      </c>
      <c r="M18" s="5">
        <v>202005</v>
      </c>
      <c r="N18" s="5">
        <f>INDEX(rrcworking[Formation Production (MCF) @ 14.65 psi],MATCH('May 2020 EDI'!F18,rrcworking[RRC ID],0))</f>
        <v>0</v>
      </c>
      <c r="O18" s="5">
        <f>INDEX(rrcworking[Lease Use (MCF)],MATCH('May 2020 EDI'!F18,rrcworking[RRC ID],0))</f>
        <v>0</v>
      </c>
      <c r="P18" s="5">
        <f>INDEX(rrcworking[Gas Sales Statement Volume (MCF)],MATCH('May 2020 EDI'!F18,rrcworking[RRC ID],0))</f>
        <v>0</v>
      </c>
      <c r="R18" s="246">
        <f>INDEX(rrcworking[Flared Gas],MATCH('May 2020 EDI'!F18,rrcworking[RRC ID],0))</f>
        <v>0</v>
      </c>
      <c r="Y18" s="5">
        <f>INDEX(rrcworking[Oil Production],MATCH('May 2020 EDI'!F18,rrcworking[RRC ID],0))</f>
        <v>0</v>
      </c>
      <c r="AA18" s="5">
        <f>INDEX(rrcworking[Sales/Dispostion],MATCH('May 2020 EDI'!F18,rrcworking[RRC ID],0))</f>
        <v>0</v>
      </c>
      <c r="AQ18" s="5">
        <f>INDEX(rrcworking[Closing Stock (Oil)],MATCH('May 2020 EDI'!F18,rrcworking[RRC ID],0))</f>
        <v>123</v>
      </c>
    </row>
    <row r="19" spans="1:43">
      <c r="A19" s="4" t="s">
        <v>1</v>
      </c>
      <c r="B19" s="1" t="s">
        <v>917</v>
      </c>
      <c r="C19" s="10" t="s">
        <v>909</v>
      </c>
      <c r="D19" s="1" t="s">
        <v>617</v>
      </c>
      <c r="E19" s="1" t="s">
        <v>59</v>
      </c>
      <c r="F19" s="1" t="s">
        <v>431</v>
      </c>
      <c r="I19" s="10" t="s">
        <v>3</v>
      </c>
      <c r="J19" s="118" t="s">
        <v>3</v>
      </c>
      <c r="K19" s="1" t="s">
        <v>1090</v>
      </c>
      <c r="M19" s="5">
        <v>202005</v>
      </c>
      <c r="N19" s="5">
        <f>INDEX(rrcworking[Formation Production (MCF) @ 14.65 psi],MATCH('May 2020 EDI'!F19,rrcworking[RRC ID],0))</f>
        <v>0</v>
      </c>
      <c r="O19" s="5">
        <f>INDEX(rrcworking[Lease Use (MCF)],MATCH('May 2020 EDI'!F19,rrcworking[RRC ID],0))</f>
        <v>0</v>
      </c>
      <c r="P19" s="5">
        <f>INDEX(rrcworking[Gas Sales Statement Volume (MCF)],MATCH('May 2020 EDI'!F19,rrcworking[RRC ID],0))</f>
        <v>0</v>
      </c>
      <c r="R19" s="246">
        <f>INDEX(rrcworking[Flared Gas],MATCH('May 2020 EDI'!F19,rrcworking[RRC ID],0))</f>
        <v>0</v>
      </c>
      <c r="Y19" s="5">
        <f>INDEX(rrcworking[Oil Production],MATCH('May 2020 EDI'!F19,rrcworking[RRC ID],0))</f>
        <v>0</v>
      </c>
      <c r="AA19" s="5">
        <f>INDEX(rrcworking[Sales/Dispostion],MATCH('May 2020 EDI'!F19,rrcworking[RRC ID],0))</f>
        <v>0</v>
      </c>
      <c r="AQ19" s="5">
        <f>INDEX(rrcworking[Closing Stock (Oil)],MATCH('May 2020 EDI'!F19,rrcworking[RRC ID],0))</f>
        <v>240</v>
      </c>
    </row>
    <row r="20" spans="1:43">
      <c r="A20" s="4" t="s">
        <v>1</v>
      </c>
      <c r="B20" s="1" t="s">
        <v>918</v>
      </c>
      <c r="C20" s="10" t="s">
        <v>909</v>
      </c>
      <c r="D20" s="1" t="s">
        <v>617</v>
      </c>
      <c r="E20" s="1" t="s">
        <v>59</v>
      </c>
      <c r="F20" s="1" t="s">
        <v>432</v>
      </c>
      <c r="I20" s="10" t="s">
        <v>3</v>
      </c>
      <c r="J20" s="118" t="s">
        <v>3</v>
      </c>
      <c r="K20" s="1" t="s">
        <v>1090</v>
      </c>
      <c r="M20" s="5">
        <v>202005</v>
      </c>
      <c r="N20" s="5">
        <f>INDEX(rrcworking[Formation Production (MCF) @ 14.65 psi],MATCH('May 2020 EDI'!F20,rrcworking[RRC ID],0))</f>
        <v>0</v>
      </c>
      <c r="O20" s="5">
        <f>INDEX(rrcworking[Lease Use (MCF)],MATCH('May 2020 EDI'!F20,rrcworking[RRC ID],0))</f>
        <v>0</v>
      </c>
      <c r="P20" s="5">
        <f>INDEX(rrcworking[Gas Sales Statement Volume (MCF)],MATCH('May 2020 EDI'!F20,rrcworking[RRC ID],0))</f>
        <v>0</v>
      </c>
      <c r="R20" s="246">
        <f>INDEX(rrcworking[Flared Gas],MATCH('May 2020 EDI'!F20,rrcworking[RRC ID],0))</f>
        <v>0</v>
      </c>
      <c r="Y20" s="5">
        <f>INDEX(rrcworking[Oil Production],MATCH('May 2020 EDI'!F20,rrcworking[RRC ID],0))</f>
        <v>0</v>
      </c>
      <c r="AA20" s="5">
        <f>INDEX(rrcworking[Sales/Dispostion],MATCH('May 2020 EDI'!F20,rrcworking[RRC ID],0))</f>
        <v>0</v>
      </c>
      <c r="AQ20" s="5">
        <f>INDEX(rrcworking[Closing Stock (Oil)],MATCH('May 2020 EDI'!F20,rrcworking[RRC ID],0))</f>
        <v>0</v>
      </c>
    </row>
    <row r="21" spans="1:43">
      <c r="A21" s="4" t="s">
        <v>1</v>
      </c>
      <c r="B21" s="1" t="s">
        <v>919</v>
      </c>
      <c r="C21" s="10" t="s">
        <v>909</v>
      </c>
      <c r="D21" s="1" t="s">
        <v>617</v>
      </c>
      <c r="E21" s="1" t="s">
        <v>59</v>
      </c>
      <c r="F21" s="1" t="s">
        <v>433</v>
      </c>
      <c r="I21" s="10" t="s">
        <v>3</v>
      </c>
      <c r="J21" s="118" t="s">
        <v>3</v>
      </c>
      <c r="K21" s="1" t="s">
        <v>1090</v>
      </c>
      <c r="M21" s="5">
        <v>202005</v>
      </c>
      <c r="N21" s="5">
        <f>INDEX(rrcworking[Formation Production (MCF) @ 14.65 psi],MATCH('May 2020 EDI'!F21,rrcworking[RRC ID],0))</f>
        <v>0</v>
      </c>
      <c r="O21" s="5">
        <f>INDEX(rrcworking[Lease Use (MCF)],MATCH('May 2020 EDI'!F21,rrcworking[RRC ID],0))</f>
        <v>0</v>
      </c>
      <c r="P21" s="5">
        <f>INDEX(rrcworking[Gas Sales Statement Volume (MCF)],MATCH('May 2020 EDI'!F21,rrcworking[RRC ID],0))</f>
        <v>0</v>
      </c>
      <c r="R21" s="246">
        <f>INDEX(rrcworking[Flared Gas],MATCH('May 2020 EDI'!F21,rrcworking[RRC ID],0))</f>
        <v>0</v>
      </c>
      <c r="Y21" s="5">
        <f>INDEX(rrcworking[Oil Production],MATCH('May 2020 EDI'!F21,rrcworking[RRC ID],0))</f>
        <v>0</v>
      </c>
      <c r="AA21" s="5">
        <f>INDEX(rrcworking[Sales/Dispostion],MATCH('May 2020 EDI'!F21,rrcworking[RRC ID],0))</f>
        <v>0</v>
      </c>
      <c r="AQ21" s="5">
        <f>INDEX(rrcworking[Closing Stock (Oil)],MATCH('May 2020 EDI'!F21,rrcworking[RRC ID],0))</f>
        <v>0</v>
      </c>
    </row>
    <row r="22" spans="1:43">
      <c r="A22" s="4" t="s">
        <v>1</v>
      </c>
      <c r="B22" s="1" t="s">
        <v>920</v>
      </c>
      <c r="C22" s="10" t="s">
        <v>909</v>
      </c>
      <c r="D22" s="1" t="s">
        <v>617</v>
      </c>
      <c r="E22" s="1" t="s">
        <v>59</v>
      </c>
      <c r="F22" s="1" t="s">
        <v>434</v>
      </c>
      <c r="I22" s="10" t="s">
        <v>3</v>
      </c>
      <c r="J22" s="118" t="s">
        <v>3</v>
      </c>
      <c r="K22" s="1">
        <v>5048</v>
      </c>
      <c r="M22" s="5">
        <v>202005</v>
      </c>
      <c r="N22" s="5">
        <f>INDEX(rrcworking[Formation Production (MCF) @ 14.65 psi],MATCH('May 2020 EDI'!F22,rrcworking[RRC ID],0))</f>
        <v>1896</v>
      </c>
      <c r="O22" s="5">
        <f>INDEX(rrcworking[Lease Use (MCF)],MATCH('May 2020 EDI'!F22,rrcworking[RRC ID],0))</f>
        <v>0</v>
      </c>
      <c r="P22" s="5">
        <f>INDEX(rrcworking[Gas Sales Statement Volume (MCF)],MATCH('May 2020 EDI'!F22,rrcworking[RRC ID],0))</f>
        <v>1896</v>
      </c>
      <c r="R22" s="246">
        <f>INDEX(rrcworking[Flared Gas],MATCH('May 2020 EDI'!F22,rrcworking[RRC ID],0))</f>
        <v>0</v>
      </c>
      <c r="Y22" s="5">
        <f>INDEX(rrcworking[Oil Production],MATCH('May 2020 EDI'!F22,rrcworking[RRC ID],0))</f>
        <v>48</v>
      </c>
      <c r="AA22" s="5">
        <f>INDEX(rrcworking[Sales/Dispostion],MATCH('May 2020 EDI'!F22,rrcworking[RRC ID],0))</f>
        <v>0</v>
      </c>
      <c r="AQ22" s="5">
        <f>INDEX(rrcworking[Closing Stock (Oil)],MATCH('May 2020 EDI'!F22,rrcworking[RRC ID],0))</f>
        <v>248</v>
      </c>
    </row>
    <row r="23" spans="1:43">
      <c r="A23" s="4" t="s">
        <v>1</v>
      </c>
      <c r="B23" s="1" t="s">
        <v>921</v>
      </c>
      <c r="C23" s="10" t="s">
        <v>909</v>
      </c>
      <c r="D23" s="1" t="s">
        <v>617</v>
      </c>
      <c r="E23" s="1" t="s">
        <v>59</v>
      </c>
      <c r="F23" s="1" t="s">
        <v>435</v>
      </c>
      <c r="I23" s="10" t="s">
        <v>3</v>
      </c>
      <c r="J23" s="118" t="s">
        <v>3</v>
      </c>
      <c r="K23" s="1">
        <v>5048</v>
      </c>
      <c r="M23" s="5">
        <v>202005</v>
      </c>
      <c r="N23" s="5">
        <f>INDEX(rrcworking[Formation Production (MCF) @ 14.65 psi],MATCH('May 2020 EDI'!F23,rrcworking[RRC ID],0))</f>
        <v>0</v>
      </c>
      <c r="O23" s="5">
        <f>INDEX(rrcworking[Lease Use (MCF)],MATCH('May 2020 EDI'!F23,rrcworking[RRC ID],0))</f>
        <v>0</v>
      </c>
      <c r="P23" s="5">
        <f>INDEX(rrcworking[Gas Sales Statement Volume (MCF)],MATCH('May 2020 EDI'!F23,rrcworking[RRC ID],0))</f>
        <v>0</v>
      </c>
      <c r="R23" s="246">
        <f>INDEX(rrcworking[Flared Gas],MATCH('May 2020 EDI'!F23,rrcworking[RRC ID],0))</f>
        <v>0</v>
      </c>
      <c r="Y23" s="5">
        <f>INDEX(rrcworking[Oil Production],MATCH('May 2020 EDI'!F23,rrcworking[RRC ID],0))</f>
        <v>0</v>
      </c>
      <c r="AA23" s="5">
        <f>INDEX(rrcworking[Sales/Dispostion],MATCH('May 2020 EDI'!F23,rrcworking[RRC ID],0))</f>
        <v>0</v>
      </c>
      <c r="AQ23" s="5">
        <f>INDEX(rrcworking[Closing Stock (Oil)],MATCH('May 2020 EDI'!F23,rrcworking[RRC ID],0))</f>
        <v>0</v>
      </c>
    </row>
    <row r="24" spans="1:43">
      <c r="A24" s="4" t="s">
        <v>1</v>
      </c>
      <c r="B24" s="1" t="s">
        <v>922</v>
      </c>
      <c r="C24" s="10" t="s">
        <v>909</v>
      </c>
      <c r="D24" s="1" t="s">
        <v>617</v>
      </c>
      <c r="E24" s="1" t="s">
        <v>59</v>
      </c>
      <c r="F24" s="1" t="s">
        <v>436</v>
      </c>
      <c r="I24" s="10" t="s">
        <v>3</v>
      </c>
      <c r="J24" s="118" t="s">
        <v>3</v>
      </c>
      <c r="K24" s="1" t="s">
        <v>1090</v>
      </c>
      <c r="M24" s="5">
        <v>202005</v>
      </c>
      <c r="N24" s="5">
        <f>INDEX(rrcworking[Formation Production (MCF) @ 14.65 psi],MATCH('May 2020 EDI'!F24,rrcworking[RRC ID],0))</f>
        <v>0</v>
      </c>
      <c r="O24" s="5">
        <f>INDEX(rrcworking[Lease Use (MCF)],MATCH('May 2020 EDI'!F24,rrcworking[RRC ID],0))</f>
        <v>0</v>
      </c>
      <c r="P24" s="5">
        <f>INDEX(rrcworking[Gas Sales Statement Volume (MCF)],MATCH('May 2020 EDI'!F24,rrcworking[RRC ID],0))</f>
        <v>0</v>
      </c>
      <c r="R24" s="246">
        <f>INDEX(rrcworking[Flared Gas],MATCH('May 2020 EDI'!F24,rrcworking[RRC ID],0))</f>
        <v>0</v>
      </c>
      <c r="Y24" s="5">
        <f>INDEX(rrcworking[Oil Production],MATCH('May 2020 EDI'!F24,rrcworking[RRC ID],0))</f>
        <v>0</v>
      </c>
      <c r="AA24" s="5">
        <f>INDEX(rrcworking[Sales/Dispostion],MATCH('May 2020 EDI'!F24,rrcworking[RRC ID],0))</f>
        <v>0</v>
      </c>
      <c r="AQ24" s="5">
        <f>INDEX(rrcworking[Closing Stock (Oil)],MATCH('May 2020 EDI'!F24,rrcworking[RRC ID],0))</f>
        <v>80</v>
      </c>
    </row>
    <row r="25" spans="1:43">
      <c r="A25" s="4" t="s">
        <v>1</v>
      </c>
      <c r="B25" s="1" t="s">
        <v>923</v>
      </c>
      <c r="C25" s="10" t="s">
        <v>909</v>
      </c>
      <c r="D25" s="1" t="s">
        <v>617</v>
      </c>
      <c r="E25" s="1" t="s">
        <v>59</v>
      </c>
      <c r="F25" s="1" t="s">
        <v>437</v>
      </c>
      <c r="I25" s="10" t="s">
        <v>3</v>
      </c>
      <c r="J25" s="118" t="s">
        <v>3</v>
      </c>
      <c r="K25" s="1">
        <v>5113</v>
      </c>
      <c r="M25" s="5">
        <v>202005</v>
      </c>
      <c r="N25" s="5">
        <f>INDEX(rrcworking[Formation Production (MCF) @ 14.65 psi],MATCH('May 2020 EDI'!F25,rrcworking[RRC ID],0))</f>
        <v>0</v>
      </c>
      <c r="O25" s="5">
        <f>INDEX(rrcworking[Lease Use (MCF)],MATCH('May 2020 EDI'!F25,rrcworking[RRC ID],0))</f>
        <v>0</v>
      </c>
      <c r="P25" s="5">
        <f>INDEX(rrcworking[Gas Sales Statement Volume (MCF)],MATCH('May 2020 EDI'!F25,rrcworking[RRC ID],0))</f>
        <v>0</v>
      </c>
      <c r="R25" s="246">
        <f>INDEX(rrcworking[Flared Gas],MATCH('May 2020 EDI'!F25,rrcworking[RRC ID],0))</f>
        <v>0</v>
      </c>
      <c r="Y25" s="5">
        <f>INDEX(rrcworking[Oil Production],MATCH('May 2020 EDI'!F25,rrcworking[RRC ID],0))</f>
        <v>0</v>
      </c>
      <c r="AA25" s="5">
        <f>INDEX(rrcworking[Sales/Dispostion],MATCH('May 2020 EDI'!F25,rrcworking[RRC ID],0))</f>
        <v>0</v>
      </c>
      <c r="AQ25" s="5">
        <f>INDEX(rrcworking[Closing Stock (Oil)],MATCH('May 2020 EDI'!F25,rrcworking[RRC ID],0))</f>
        <v>84</v>
      </c>
    </row>
    <row r="26" spans="1:43">
      <c r="A26" s="4" t="s">
        <v>1</v>
      </c>
      <c r="B26" s="1" t="s">
        <v>924</v>
      </c>
      <c r="C26" s="10" t="s">
        <v>909</v>
      </c>
      <c r="D26" s="1" t="s">
        <v>617</v>
      </c>
      <c r="E26" s="1" t="s">
        <v>59</v>
      </c>
      <c r="F26" s="1" t="s">
        <v>438</v>
      </c>
      <c r="I26" s="10" t="s">
        <v>3</v>
      </c>
      <c r="J26" s="118" t="s">
        <v>3</v>
      </c>
      <c r="K26" s="1">
        <v>5113</v>
      </c>
      <c r="M26" s="5">
        <v>202005</v>
      </c>
      <c r="N26" s="5">
        <f>INDEX(rrcworking[Formation Production (MCF) @ 14.65 psi],MATCH('May 2020 EDI'!F26,rrcworking[RRC ID],0))</f>
        <v>0</v>
      </c>
      <c r="O26" s="5">
        <f>INDEX(rrcworking[Lease Use (MCF)],MATCH('May 2020 EDI'!F26,rrcworking[RRC ID],0))</f>
        <v>0</v>
      </c>
      <c r="P26" s="5">
        <f>INDEX(rrcworking[Gas Sales Statement Volume (MCF)],MATCH('May 2020 EDI'!F26,rrcworking[RRC ID],0))</f>
        <v>0</v>
      </c>
      <c r="R26" s="246">
        <f>INDEX(rrcworking[Flared Gas],MATCH('May 2020 EDI'!F26,rrcworking[RRC ID],0))</f>
        <v>0</v>
      </c>
      <c r="Y26" s="5">
        <f>INDEX(rrcworking[Oil Production],MATCH('May 2020 EDI'!F26,rrcworking[RRC ID],0))</f>
        <v>0</v>
      </c>
      <c r="AA26" s="5">
        <f>INDEX(rrcworking[Sales/Dispostion],MATCH('May 2020 EDI'!F26,rrcworking[RRC ID],0))</f>
        <v>0</v>
      </c>
      <c r="AQ26" s="5">
        <f>INDEX(rrcworking[Closing Stock (Oil)],MATCH('May 2020 EDI'!F26,rrcworking[RRC ID],0))</f>
        <v>0</v>
      </c>
    </row>
    <row r="27" spans="1:43">
      <c r="A27" s="4" t="s">
        <v>1</v>
      </c>
      <c r="B27" s="1" t="s">
        <v>925</v>
      </c>
      <c r="C27" s="10" t="s">
        <v>909</v>
      </c>
      <c r="D27" s="1" t="s">
        <v>617</v>
      </c>
      <c r="E27" s="1" t="s">
        <v>2</v>
      </c>
      <c r="F27" s="1" t="s">
        <v>439</v>
      </c>
      <c r="I27" s="10" t="s">
        <v>3</v>
      </c>
      <c r="J27" s="118" t="s">
        <v>3</v>
      </c>
      <c r="K27" s="1" t="s">
        <v>1090</v>
      </c>
      <c r="M27" s="5">
        <v>202005</v>
      </c>
      <c r="N27" s="5">
        <f>INDEX(rrcworking[Formation Production (MCF) @ 14.65 psi],MATCH('May 2020 EDI'!F27,rrcworking[RRC ID],0))</f>
        <v>0</v>
      </c>
      <c r="O27" s="5">
        <f>INDEX(rrcworking[Lease Use (MCF)],MATCH('May 2020 EDI'!F27,rrcworking[RRC ID],0))</f>
        <v>0</v>
      </c>
      <c r="P27" s="5">
        <f>INDEX(rrcworking[Gas Sales Statement Volume (MCF)],MATCH('May 2020 EDI'!F27,rrcworking[RRC ID],0))</f>
        <v>0</v>
      </c>
      <c r="R27" s="246">
        <f>INDEX(rrcworking[Flared Gas],MATCH('May 2020 EDI'!F27,rrcworking[RRC ID],0))</f>
        <v>0</v>
      </c>
      <c r="Y27" s="5">
        <f>INDEX(rrcworking[Oil Production],MATCH('May 2020 EDI'!F27,rrcworking[RRC ID],0))</f>
        <v>0</v>
      </c>
      <c r="AA27" s="5">
        <f>INDEX(rrcworking[Sales/Dispostion],MATCH('May 2020 EDI'!F27,rrcworking[RRC ID],0))</f>
        <v>0</v>
      </c>
      <c r="AQ27" s="5">
        <f>INDEX(rrcworking[Closing Stock (Oil)],MATCH('May 2020 EDI'!F27,rrcworking[RRC ID],0))</f>
        <v>0</v>
      </c>
    </row>
    <row r="28" spans="1:43">
      <c r="A28" s="4" t="s">
        <v>1</v>
      </c>
      <c r="B28" s="1" t="s">
        <v>926</v>
      </c>
      <c r="C28" s="10" t="s">
        <v>909</v>
      </c>
      <c r="D28" s="1" t="s">
        <v>617</v>
      </c>
      <c r="E28" s="1" t="s">
        <v>2</v>
      </c>
      <c r="F28" s="1" t="s">
        <v>440</v>
      </c>
      <c r="I28" s="10" t="s">
        <v>3</v>
      </c>
      <c r="J28" s="118" t="s">
        <v>3</v>
      </c>
      <c r="K28" s="1" t="s">
        <v>1090</v>
      </c>
      <c r="M28" s="5">
        <v>202005</v>
      </c>
      <c r="N28" s="5">
        <f>INDEX(rrcworking[Formation Production (MCF) @ 14.65 psi],MATCH('May 2020 EDI'!F28,rrcworking[RRC ID],0))</f>
        <v>0</v>
      </c>
      <c r="O28" s="5">
        <f>INDEX(rrcworking[Lease Use (MCF)],MATCH('May 2020 EDI'!F28,rrcworking[RRC ID],0))</f>
        <v>0</v>
      </c>
      <c r="P28" s="5">
        <f>INDEX(rrcworking[Gas Sales Statement Volume (MCF)],MATCH('May 2020 EDI'!F28,rrcworking[RRC ID],0))</f>
        <v>0</v>
      </c>
      <c r="R28" s="246">
        <f>INDEX(rrcworking[Flared Gas],MATCH('May 2020 EDI'!F28,rrcworking[RRC ID],0))</f>
        <v>0</v>
      </c>
      <c r="Y28" s="5">
        <f>INDEX(rrcworking[Oil Production],MATCH('May 2020 EDI'!F28,rrcworking[RRC ID],0))</f>
        <v>0</v>
      </c>
      <c r="AA28" s="5">
        <f>INDEX(rrcworking[Sales/Dispostion],MATCH('May 2020 EDI'!F28,rrcworking[RRC ID],0))</f>
        <v>0</v>
      </c>
      <c r="AQ28" s="5">
        <f>INDEX(rrcworking[Closing Stock (Oil)],MATCH('May 2020 EDI'!F28,rrcworking[RRC ID],0))</f>
        <v>0</v>
      </c>
    </row>
    <row r="29" spans="1:43">
      <c r="A29" s="4" t="s">
        <v>1</v>
      </c>
      <c r="B29" s="1" t="s">
        <v>927</v>
      </c>
      <c r="C29" s="10" t="s">
        <v>909</v>
      </c>
      <c r="D29" s="1" t="s">
        <v>617</v>
      </c>
      <c r="E29" s="1" t="s">
        <v>2</v>
      </c>
      <c r="F29" s="1" t="s">
        <v>441</v>
      </c>
      <c r="I29" s="10" t="s">
        <v>3</v>
      </c>
      <c r="J29" s="118" t="s">
        <v>3</v>
      </c>
      <c r="K29" s="1" t="s">
        <v>1090</v>
      </c>
      <c r="M29" s="5">
        <v>202005</v>
      </c>
      <c r="N29" s="5">
        <f>INDEX(rrcworking[Formation Production (MCF) @ 14.65 psi],MATCH('May 2020 EDI'!F29,rrcworking[RRC ID],0))</f>
        <v>0</v>
      </c>
      <c r="O29" s="5">
        <f>INDEX(rrcworking[Lease Use (MCF)],MATCH('May 2020 EDI'!F29,rrcworking[RRC ID],0))</f>
        <v>0</v>
      </c>
      <c r="P29" s="5">
        <f>INDEX(rrcworking[Gas Sales Statement Volume (MCF)],MATCH('May 2020 EDI'!F29,rrcworking[RRC ID],0))</f>
        <v>0</v>
      </c>
      <c r="R29" s="246">
        <f>INDEX(rrcworking[Flared Gas],MATCH('May 2020 EDI'!F29,rrcworking[RRC ID],0))</f>
        <v>0</v>
      </c>
      <c r="Y29" s="5">
        <f>INDEX(rrcworking[Oil Production],MATCH('May 2020 EDI'!F29,rrcworking[RRC ID],0))</f>
        <v>0</v>
      </c>
      <c r="AA29" s="5">
        <f>INDEX(rrcworking[Sales/Dispostion],MATCH('May 2020 EDI'!F29,rrcworking[RRC ID],0))</f>
        <v>0</v>
      </c>
      <c r="AQ29" s="5">
        <f>INDEX(rrcworking[Closing Stock (Oil)],MATCH('May 2020 EDI'!F29,rrcworking[RRC ID],0))</f>
        <v>0</v>
      </c>
    </row>
    <row r="30" spans="1:43">
      <c r="A30" s="4" t="s">
        <v>1</v>
      </c>
      <c r="B30" s="1" t="s">
        <v>928</v>
      </c>
      <c r="C30" s="10" t="s">
        <v>909</v>
      </c>
      <c r="D30" s="1" t="s">
        <v>617</v>
      </c>
      <c r="E30" s="1" t="s">
        <v>2</v>
      </c>
      <c r="F30" s="1" t="s">
        <v>442</v>
      </c>
      <c r="I30" s="10" t="s">
        <v>3</v>
      </c>
      <c r="J30" s="118" t="s">
        <v>3</v>
      </c>
      <c r="K30" s="1" t="s">
        <v>1090</v>
      </c>
      <c r="M30" s="5">
        <v>202005</v>
      </c>
      <c r="N30" s="5">
        <f>INDEX(rrcworking[Formation Production (MCF) @ 14.65 psi],MATCH('May 2020 EDI'!F30,rrcworking[RRC ID],0))</f>
        <v>0</v>
      </c>
      <c r="O30" s="5">
        <f>INDEX(rrcworking[Lease Use (MCF)],MATCH('May 2020 EDI'!F30,rrcworking[RRC ID],0))</f>
        <v>0</v>
      </c>
      <c r="P30" s="5">
        <f>INDEX(rrcworking[Gas Sales Statement Volume (MCF)],MATCH('May 2020 EDI'!F30,rrcworking[RRC ID],0))</f>
        <v>0</v>
      </c>
      <c r="R30" s="246">
        <f>INDEX(rrcworking[Flared Gas],MATCH('May 2020 EDI'!F30,rrcworking[RRC ID],0))</f>
        <v>0</v>
      </c>
      <c r="Y30" s="5">
        <f>INDEX(rrcworking[Oil Production],MATCH('May 2020 EDI'!F30,rrcworking[RRC ID],0))</f>
        <v>0</v>
      </c>
      <c r="AA30" s="5">
        <f>INDEX(rrcworking[Sales/Dispostion],MATCH('May 2020 EDI'!F30,rrcworking[RRC ID],0))</f>
        <v>0</v>
      </c>
      <c r="AQ30" s="5">
        <f>INDEX(rrcworking[Closing Stock (Oil)],MATCH('May 2020 EDI'!F30,rrcworking[RRC ID],0))</f>
        <v>0</v>
      </c>
    </row>
    <row r="31" spans="1:43">
      <c r="A31" s="4" t="s">
        <v>1</v>
      </c>
      <c r="B31" s="1" t="s">
        <v>929</v>
      </c>
      <c r="C31" s="10" t="s">
        <v>909</v>
      </c>
      <c r="D31" s="1" t="s">
        <v>617</v>
      </c>
      <c r="E31" s="1" t="s">
        <v>2</v>
      </c>
      <c r="F31" s="1" t="s">
        <v>443</v>
      </c>
      <c r="I31" s="10" t="s">
        <v>3</v>
      </c>
      <c r="J31" s="118" t="s">
        <v>3</v>
      </c>
      <c r="K31" s="1" t="s">
        <v>1090</v>
      </c>
      <c r="M31" s="5">
        <v>202005</v>
      </c>
      <c r="N31" s="5">
        <f>INDEX(rrcworking[Formation Production (MCF) @ 14.65 psi],MATCH('May 2020 EDI'!F31,rrcworking[RRC ID],0))</f>
        <v>0</v>
      </c>
      <c r="O31" s="5">
        <f>INDEX(rrcworking[Lease Use (MCF)],MATCH('May 2020 EDI'!F31,rrcworking[RRC ID],0))</f>
        <v>0</v>
      </c>
      <c r="P31" s="5">
        <f>INDEX(rrcworking[Gas Sales Statement Volume (MCF)],MATCH('May 2020 EDI'!F31,rrcworking[RRC ID],0))</f>
        <v>0</v>
      </c>
      <c r="R31" s="246">
        <f>INDEX(rrcworking[Flared Gas],MATCH('May 2020 EDI'!F31,rrcworking[RRC ID],0))</f>
        <v>0</v>
      </c>
      <c r="Y31" s="5">
        <f>INDEX(rrcworking[Oil Production],MATCH('May 2020 EDI'!F31,rrcworking[RRC ID],0))</f>
        <v>0</v>
      </c>
      <c r="AA31" s="5">
        <f>INDEX(rrcworking[Sales/Dispostion],MATCH('May 2020 EDI'!F31,rrcworking[RRC ID],0))</f>
        <v>0</v>
      </c>
      <c r="AQ31" s="5">
        <f>INDEX(rrcworking[Closing Stock (Oil)],MATCH('May 2020 EDI'!F31,rrcworking[RRC ID],0))</f>
        <v>0</v>
      </c>
    </row>
    <row r="32" spans="1:43">
      <c r="A32" s="4" t="s">
        <v>1</v>
      </c>
      <c r="B32" s="1" t="s">
        <v>930</v>
      </c>
      <c r="C32" s="10" t="s">
        <v>909</v>
      </c>
      <c r="D32" s="1" t="s">
        <v>617</v>
      </c>
      <c r="E32" s="1" t="s">
        <v>59</v>
      </c>
      <c r="F32" s="1" t="s">
        <v>444</v>
      </c>
      <c r="I32" s="10" t="s">
        <v>3</v>
      </c>
      <c r="J32" s="118" t="s">
        <v>3</v>
      </c>
      <c r="K32" s="1" t="s">
        <v>1090</v>
      </c>
      <c r="M32" s="5">
        <v>202005</v>
      </c>
      <c r="N32" s="5">
        <f>INDEX(rrcworking[Formation Production (MCF) @ 14.65 psi],MATCH('May 2020 EDI'!F32,rrcworking[RRC ID],0))</f>
        <v>0</v>
      </c>
      <c r="O32" s="5">
        <f>INDEX(rrcworking[Lease Use (MCF)],MATCH('May 2020 EDI'!F32,rrcworking[RRC ID],0))</f>
        <v>0</v>
      </c>
      <c r="P32" s="5">
        <f>INDEX(rrcworking[Gas Sales Statement Volume (MCF)],MATCH('May 2020 EDI'!F32,rrcworking[RRC ID],0))</f>
        <v>0</v>
      </c>
      <c r="R32" s="246">
        <f>INDEX(rrcworking[Flared Gas],MATCH('May 2020 EDI'!F32,rrcworking[RRC ID],0))</f>
        <v>0</v>
      </c>
      <c r="Y32" s="5">
        <f>INDEX(rrcworking[Oil Production],MATCH('May 2020 EDI'!F32,rrcworking[RRC ID],0))</f>
        <v>0</v>
      </c>
      <c r="AA32" s="5">
        <f>INDEX(rrcworking[Sales/Dispostion],MATCH('May 2020 EDI'!F32,rrcworking[RRC ID],0))</f>
        <v>0</v>
      </c>
      <c r="AQ32" s="5">
        <f>INDEX(rrcworking[Closing Stock (Oil)],MATCH('May 2020 EDI'!F32,rrcworking[RRC ID],0))</f>
        <v>0</v>
      </c>
    </row>
    <row r="33" spans="1:43">
      <c r="A33" s="4" t="s">
        <v>1</v>
      </c>
      <c r="B33" s="1" t="s">
        <v>931</v>
      </c>
      <c r="C33" s="10" t="s">
        <v>909</v>
      </c>
      <c r="D33" s="1" t="s">
        <v>617</v>
      </c>
      <c r="E33" s="1" t="s">
        <v>2</v>
      </c>
      <c r="F33" s="1" t="s">
        <v>445</v>
      </c>
      <c r="I33" s="10" t="s">
        <v>3</v>
      </c>
      <c r="J33" s="118" t="s">
        <v>3</v>
      </c>
      <c r="K33" s="1" t="s">
        <v>1090</v>
      </c>
      <c r="M33" s="5">
        <v>202005</v>
      </c>
      <c r="N33" s="5">
        <f>INDEX(rrcworking[Formation Production (MCF) @ 14.65 psi],MATCH('May 2020 EDI'!F33,rrcworking[RRC ID],0))</f>
        <v>0</v>
      </c>
      <c r="O33" s="5">
        <f>INDEX(rrcworking[Lease Use (MCF)],MATCH('May 2020 EDI'!F33,rrcworking[RRC ID],0))</f>
        <v>0</v>
      </c>
      <c r="P33" s="5">
        <f>INDEX(rrcworking[Gas Sales Statement Volume (MCF)],MATCH('May 2020 EDI'!F33,rrcworking[RRC ID],0))</f>
        <v>0</v>
      </c>
      <c r="R33" s="246">
        <f>INDEX(rrcworking[Flared Gas],MATCH('May 2020 EDI'!F33,rrcworking[RRC ID],0))</f>
        <v>0</v>
      </c>
      <c r="Y33" s="5">
        <f>INDEX(rrcworking[Oil Production],MATCH('May 2020 EDI'!F33,rrcworking[RRC ID],0))</f>
        <v>0</v>
      </c>
      <c r="AA33" s="5">
        <f>INDEX(rrcworking[Sales/Dispostion],MATCH('May 2020 EDI'!F33,rrcworking[RRC ID],0))</f>
        <v>0</v>
      </c>
      <c r="AQ33" s="5">
        <f>INDEX(rrcworking[Closing Stock (Oil)],MATCH('May 2020 EDI'!F33,rrcworking[RRC ID],0))</f>
        <v>213</v>
      </c>
    </row>
    <row r="34" spans="1:43">
      <c r="A34" s="4" t="s">
        <v>1</v>
      </c>
      <c r="B34" s="1" t="s">
        <v>932</v>
      </c>
      <c r="C34" s="10" t="s">
        <v>909</v>
      </c>
      <c r="D34" s="1" t="s">
        <v>617</v>
      </c>
      <c r="E34" s="1" t="s">
        <v>59</v>
      </c>
      <c r="F34" s="1" t="s">
        <v>446</v>
      </c>
      <c r="I34" s="10" t="s">
        <v>3</v>
      </c>
      <c r="J34" s="118" t="s">
        <v>3</v>
      </c>
      <c r="K34" s="1">
        <v>5048</v>
      </c>
      <c r="M34" s="5">
        <v>202005</v>
      </c>
      <c r="N34" s="5">
        <f>INDEX(rrcworking[Formation Production (MCF) @ 14.65 psi],MATCH('May 2020 EDI'!F34,rrcworking[RRC ID],0))</f>
        <v>0</v>
      </c>
      <c r="O34" s="5">
        <f>INDEX(rrcworking[Lease Use (MCF)],MATCH('May 2020 EDI'!F34,rrcworking[RRC ID],0))</f>
        <v>0</v>
      </c>
      <c r="P34" s="5">
        <f>INDEX(rrcworking[Gas Sales Statement Volume (MCF)],MATCH('May 2020 EDI'!F34,rrcworking[RRC ID],0))</f>
        <v>0</v>
      </c>
      <c r="R34" s="246">
        <f>INDEX(rrcworking[Flared Gas],MATCH('May 2020 EDI'!F34,rrcworking[RRC ID],0))</f>
        <v>0</v>
      </c>
      <c r="Y34" s="5">
        <f>INDEX(rrcworking[Oil Production],MATCH('May 2020 EDI'!F34,rrcworking[RRC ID],0))</f>
        <v>0</v>
      </c>
      <c r="AA34" s="5">
        <f>INDEX(rrcworking[Sales/Dispostion],MATCH('May 2020 EDI'!F34,rrcworking[RRC ID],0))</f>
        <v>0</v>
      </c>
      <c r="AQ34" s="5">
        <f>INDEX(rrcworking[Closing Stock (Oil)],MATCH('May 2020 EDI'!F34,rrcworking[RRC ID],0))</f>
        <v>0</v>
      </c>
    </row>
    <row r="35" spans="1:43">
      <c r="A35" s="4" t="s">
        <v>1</v>
      </c>
      <c r="B35" s="1" t="s">
        <v>933</v>
      </c>
      <c r="C35" s="10" t="s">
        <v>909</v>
      </c>
      <c r="D35" s="1" t="s">
        <v>617</v>
      </c>
      <c r="E35" s="1" t="s">
        <v>59</v>
      </c>
      <c r="F35" s="1" t="s">
        <v>447</v>
      </c>
      <c r="I35" s="10" t="s">
        <v>3</v>
      </c>
      <c r="J35" s="118" t="s">
        <v>3</v>
      </c>
      <c r="K35" s="1" t="s">
        <v>1090</v>
      </c>
      <c r="M35" s="5">
        <v>202005</v>
      </c>
      <c r="N35" s="5">
        <f>INDEX(rrcworking[Formation Production (MCF) @ 14.65 psi],MATCH('May 2020 EDI'!F35,rrcworking[RRC ID],0))</f>
        <v>0</v>
      </c>
      <c r="O35" s="5">
        <f>INDEX(rrcworking[Lease Use (MCF)],MATCH('May 2020 EDI'!F35,rrcworking[RRC ID],0))</f>
        <v>0</v>
      </c>
      <c r="P35" s="5">
        <f>INDEX(rrcworking[Gas Sales Statement Volume (MCF)],MATCH('May 2020 EDI'!F35,rrcworking[RRC ID],0))</f>
        <v>0</v>
      </c>
      <c r="R35" s="246">
        <f>INDEX(rrcworking[Flared Gas],MATCH('May 2020 EDI'!F35,rrcworking[RRC ID],0))</f>
        <v>0</v>
      </c>
      <c r="Y35" s="5">
        <f>INDEX(rrcworking[Oil Production],MATCH('May 2020 EDI'!F35,rrcworking[RRC ID],0))</f>
        <v>0</v>
      </c>
      <c r="AA35" s="5">
        <f>INDEX(rrcworking[Sales/Dispostion],MATCH('May 2020 EDI'!F35,rrcworking[RRC ID],0))</f>
        <v>0</v>
      </c>
      <c r="AQ35" s="5">
        <f>INDEX(rrcworking[Closing Stock (Oil)],MATCH('May 2020 EDI'!F35,rrcworking[RRC ID],0))</f>
        <v>166</v>
      </c>
    </row>
    <row r="36" spans="1:43">
      <c r="A36" s="4" t="s">
        <v>1</v>
      </c>
      <c r="B36" s="1" t="s">
        <v>934</v>
      </c>
      <c r="C36" s="10" t="s">
        <v>909</v>
      </c>
      <c r="D36" s="1" t="s">
        <v>617</v>
      </c>
      <c r="E36" s="1" t="s">
        <v>59</v>
      </c>
      <c r="F36" s="1" t="s">
        <v>448</v>
      </c>
      <c r="I36" s="10" t="s">
        <v>3</v>
      </c>
      <c r="J36" s="118" t="s">
        <v>3</v>
      </c>
      <c r="K36" s="1" t="s">
        <v>1090</v>
      </c>
      <c r="M36" s="5">
        <v>202005</v>
      </c>
      <c r="N36" s="5">
        <f>INDEX(rrcworking[Formation Production (MCF) @ 14.65 psi],MATCH('May 2020 EDI'!F36,rrcworking[RRC ID],0))</f>
        <v>0</v>
      </c>
      <c r="O36" s="5">
        <f>INDEX(rrcworking[Lease Use (MCF)],MATCH('May 2020 EDI'!F36,rrcworking[RRC ID],0))</f>
        <v>0</v>
      </c>
      <c r="P36" s="5">
        <f>INDEX(rrcworking[Gas Sales Statement Volume (MCF)],MATCH('May 2020 EDI'!F36,rrcworking[RRC ID],0))</f>
        <v>0</v>
      </c>
      <c r="R36" s="246">
        <f>INDEX(rrcworking[Flared Gas],MATCH('May 2020 EDI'!F36,rrcworking[RRC ID],0))</f>
        <v>0</v>
      </c>
      <c r="Y36" s="5">
        <f>INDEX(rrcworking[Oil Production],MATCH('May 2020 EDI'!F36,rrcworking[RRC ID],0))</f>
        <v>0</v>
      </c>
      <c r="AA36" s="5">
        <f>INDEX(rrcworking[Sales/Dispostion],MATCH('May 2020 EDI'!F36,rrcworking[RRC ID],0))</f>
        <v>0</v>
      </c>
      <c r="AQ36" s="5">
        <f>INDEX(rrcworking[Closing Stock (Oil)],MATCH('May 2020 EDI'!F36,rrcworking[RRC ID],0))</f>
        <v>0</v>
      </c>
    </row>
    <row r="37" spans="1:43">
      <c r="A37" s="4" t="s">
        <v>1</v>
      </c>
      <c r="B37" s="1" t="s">
        <v>935</v>
      </c>
      <c r="C37" s="10" t="s">
        <v>909</v>
      </c>
      <c r="D37" s="1" t="s">
        <v>617</v>
      </c>
      <c r="E37" s="1" t="s">
        <v>59</v>
      </c>
      <c r="F37" s="1" t="s">
        <v>449</v>
      </c>
      <c r="I37" s="10" t="s">
        <v>3</v>
      </c>
      <c r="J37" s="118" t="s">
        <v>3</v>
      </c>
      <c r="K37" s="1" t="s">
        <v>1090</v>
      </c>
      <c r="M37" s="5">
        <v>202005</v>
      </c>
      <c r="N37" s="5">
        <f>INDEX(rrcworking[Formation Production (MCF) @ 14.65 psi],MATCH('May 2020 EDI'!F37,rrcworking[RRC ID],0))</f>
        <v>0</v>
      </c>
      <c r="O37" s="5">
        <f>INDEX(rrcworking[Lease Use (MCF)],MATCH('May 2020 EDI'!F37,rrcworking[RRC ID],0))</f>
        <v>0</v>
      </c>
      <c r="P37" s="5">
        <f>INDEX(rrcworking[Gas Sales Statement Volume (MCF)],MATCH('May 2020 EDI'!F37,rrcworking[RRC ID],0))</f>
        <v>0</v>
      </c>
      <c r="R37" s="246">
        <f>INDEX(rrcworking[Flared Gas],MATCH('May 2020 EDI'!F37,rrcworking[RRC ID],0))</f>
        <v>0</v>
      </c>
      <c r="Y37" s="5">
        <f>INDEX(rrcworking[Oil Production],MATCH('May 2020 EDI'!F37,rrcworking[RRC ID],0))</f>
        <v>0</v>
      </c>
      <c r="AA37" s="5">
        <f>INDEX(rrcworking[Sales/Dispostion],MATCH('May 2020 EDI'!F37,rrcworking[RRC ID],0))</f>
        <v>0</v>
      </c>
      <c r="AQ37" s="5">
        <f>INDEX(rrcworking[Closing Stock (Oil)],MATCH('May 2020 EDI'!F37,rrcworking[RRC ID],0))</f>
        <v>0</v>
      </c>
    </row>
    <row r="38" spans="1:43">
      <c r="A38" s="4" t="s">
        <v>1</v>
      </c>
      <c r="B38" s="1" t="s">
        <v>936</v>
      </c>
      <c r="C38" s="10" t="s">
        <v>909</v>
      </c>
      <c r="D38" s="1" t="s">
        <v>617</v>
      </c>
      <c r="E38" s="1" t="s">
        <v>59</v>
      </c>
      <c r="F38" s="1" t="s">
        <v>450</v>
      </c>
      <c r="I38" s="10" t="s">
        <v>3</v>
      </c>
      <c r="J38" s="118" t="s">
        <v>3</v>
      </c>
      <c r="K38" s="1" t="s">
        <v>1090</v>
      </c>
      <c r="M38" s="5">
        <v>202005</v>
      </c>
      <c r="N38" s="5">
        <f>INDEX(rrcworking[Formation Production (MCF) @ 14.65 psi],MATCH('May 2020 EDI'!F38,rrcworking[RRC ID],0))</f>
        <v>0</v>
      </c>
      <c r="O38" s="5">
        <f>INDEX(rrcworking[Lease Use (MCF)],MATCH('May 2020 EDI'!F38,rrcworking[RRC ID],0))</f>
        <v>0</v>
      </c>
      <c r="P38" s="5">
        <f>INDEX(rrcworking[Gas Sales Statement Volume (MCF)],MATCH('May 2020 EDI'!F38,rrcworking[RRC ID],0))</f>
        <v>0</v>
      </c>
      <c r="R38" s="246">
        <f>INDEX(rrcworking[Flared Gas],MATCH('May 2020 EDI'!F38,rrcworking[RRC ID],0))</f>
        <v>0</v>
      </c>
      <c r="Y38" s="5">
        <f>INDEX(rrcworking[Oil Production],MATCH('May 2020 EDI'!F38,rrcworking[RRC ID],0))</f>
        <v>0</v>
      </c>
      <c r="AA38" s="5">
        <f>INDEX(rrcworking[Sales/Dispostion],MATCH('May 2020 EDI'!F38,rrcworking[RRC ID],0))</f>
        <v>0</v>
      </c>
      <c r="AQ38" s="5">
        <f>INDEX(rrcworking[Closing Stock (Oil)],MATCH('May 2020 EDI'!F38,rrcworking[RRC ID],0))</f>
        <v>0</v>
      </c>
    </row>
    <row r="39" spans="1:43">
      <c r="A39" s="4" t="s">
        <v>1</v>
      </c>
      <c r="B39" s="1" t="s">
        <v>937</v>
      </c>
      <c r="C39" s="10" t="s">
        <v>909</v>
      </c>
      <c r="D39" s="1" t="s">
        <v>617</v>
      </c>
      <c r="E39" s="1" t="s">
        <v>2</v>
      </c>
      <c r="F39" s="1" t="s">
        <v>451</v>
      </c>
      <c r="I39" s="10" t="s">
        <v>3</v>
      </c>
      <c r="J39" s="118" t="s">
        <v>3</v>
      </c>
      <c r="K39" s="1" t="s">
        <v>1090</v>
      </c>
      <c r="M39" s="5">
        <v>202005</v>
      </c>
      <c r="N39" s="5">
        <f>INDEX(rrcworking[Formation Production (MCF) @ 14.65 psi],MATCH('May 2020 EDI'!F39,rrcworking[RRC ID],0))</f>
        <v>0</v>
      </c>
      <c r="O39" s="5">
        <f>INDEX(rrcworking[Lease Use (MCF)],MATCH('May 2020 EDI'!F39,rrcworking[RRC ID],0))</f>
        <v>0</v>
      </c>
      <c r="P39" s="5">
        <f>INDEX(rrcworking[Gas Sales Statement Volume (MCF)],MATCH('May 2020 EDI'!F39,rrcworking[RRC ID],0))</f>
        <v>0</v>
      </c>
      <c r="R39" s="246">
        <f>INDEX(rrcworking[Flared Gas],MATCH('May 2020 EDI'!F39,rrcworking[RRC ID],0))</f>
        <v>0</v>
      </c>
      <c r="Y39" s="5">
        <f>INDEX(rrcworking[Oil Production],MATCH('May 2020 EDI'!F39,rrcworking[RRC ID],0))</f>
        <v>0</v>
      </c>
      <c r="AA39" s="5">
        <f>INDEX(rrcworking[Sales/Dispostion],MATCH('May 2020 EDI'!F39,rrcworking[RRC ID],0))</f>
        <v>0</v>
      </c>
      <c r="AQ39" s="5">
        <f>INDEX(rrcworking[Closing Stock (Oil)],MATCH('May 2020 EDI'!F39,rrcworking[RRC ID],0))</f>
        <v>0</v>
      </c>
    </row>
    <row r="40" spans="1:43">
      <c r="A40" s="4" t="s">
        <v>1</v>
      </c>
      <c r="B40" s="1" t="s">
        <v>938</v>
      </c>
      <c r="C40" s="10" t="s">
        <v>909</v>
      </c>
      <c r="D40" s="1" t="s">
        <v>617</v>
      </c>
      <c r="E40" s="1" t="s">
        <v>59</v>
      </c>
      <c r="F40" s="1" t="s">
        <v>452</v>
      </c>
      <c r="I40" s="10" t="s">
        <v>3</v>
      </c>
      <c r="J40" s="118" t="s">
        <v>3</v>
      </c>
      <c r="K40" s="1" t="s">
        <v>1090</v>
      </c>
      <c r="M40" s="5">
        <v>202005</v>
      </c>
      <c r="N40" s="5">
        <f>INDEX(rrcworking[Formation Production (MCF) @ 14.65 psi],MATCH('May 2020 EDI'!F40,rrcworking[RRC ID],0))</f>
        <v>0</v>
      </c>
      <c r="O40" s="5">
        <f>INDEX(rrcworking[Lease Use (MCF)],MATCH('May 2020 EDI'!F40,rrcworking[RRC ID],0))</f>
        <v>0</v>
      </c>
      <c r="P40" s="5">
        <f>INDEX(rrcworking[Gas Sales Statement Volume (MCF)],MATCH('May 2020 EDI'!F40,rrcworking[RRC ID],0))</f>
        <v>0</v>
      </c>
      <c r="R40" s="246">
        <f>INDEX(rrcworking[Flared Gas],MATCH('May 2020 EDI'!F40,rrcworking[RRC ID],0))</f>
        <v>0</v>
      </c>
      <c r="Y40" s="5">
        <f>INDEX(rrcworking[Oil Production],MATCH('May 2020 EDI'!F40,rrcworking[RRC ID],0))</f>
        <v>0</v>
      </c>
      <c r="AA40" s="5">
        <f>INDEX(rrcworking[Sales/Dispostion],MATCH('May 2020 EDI'!F40,rrcworking[RRC ID],0))</f>
        <v>0</v>
      </c>
      <c r="AQ40" s="5">
        <f>INDEX(rrcworking[Closing Stock (Oil)],MATCH('May 2020 EDI'!F40,rrcworking[RRC ID],0))</f>
        <v>0</v>
      </c>
    </row>
    <row r="41" spans="1:43">
      <c r="A41" s="4" t="s">
        <v>1</v>
      </c>
      <c r="B41" s="1" t="s">
        <v>939</v>
      </c>
      <c r="C41" s="10" t="s">
        <v>909</v>
      </c>
      <c r="D41" s="1" t="s">
        <v>617</v>
      </c>
      <c r="E41" s="1" t="s">
        <v>59</v>
      </c>
      <c r="F41" s="1" t="s">
        <v>453</v>
      </c>
      <c r="I41" s="10" t="s">
        <v>3</v>
      </c>
      <c r="J41" s="118" t="s">
        <v>3</v>
      </c>
      <c r="K41" s="1" t="s">
        <v>1090</v>
      </c>
      <c r="M41" s="5">
        <v>202005</v>
      </c>
      <c r="N41" s="5">
        <f>INDEX(rrcworking[Formation Production (MCF) @ 14.65 psi],MATCH('May 2020 EDI'!F41,rrcworking[RRC ID],0))</f>
        <v>0</v>
      </c>
      <c r="O41" s="5">
        <f>INDEX(rrcworking[Lease Use (MCF)],MATCH('May 2020 EDI'!F41,rrcworking[RRC ID],0))</f>
        <v>0</v>
      </c>
      <c r="P41" s="5">
        <f>INDEX(rrcworking[Gas Sales Statement Volume (MCF)],MATCH('May 2020 EDI'!F41,rrcworking[RRC ID],0))</f>
        <v>0</v>
      </c>
      <c r="R41" s="246">
        <f>INDEX(rrcworking[Flared Gas],MATCH('May 2020 EDI'!F41,rrcworking[RRC ID],0))</f>
        <v>0</v>
      </c>
      <c r="Y41" s="5">
        <f>INDEX(rrcworking[Oil Production],MATCH('May 2020 EDI'!F41,rrcworking[RRC ID],0))</f>
        <v>0</v>
      </c>
      <c r="AA41" s="5">
        <f>INDEX(rrcworking[Sales/Dispostion],MATCH('May 2020 EDI'!F41,rrcworking[RRC ID],0))</f>
        <v>0</v>
      </c>
      <c r="AQ41" s="5">
        <f>INDEX(rrcworking[Closing Stock (Oil)],MATCH('May 2020 EDI'!F41,rrcworking[RRC ID],0))</f>
        <v>0</v>
      </c>
    </row>
    <row r="42" spans="1:43">
      <c r="A42" s="4" t="s">
        <v>1</v>
      </c>
      <c r="B42" s="1" t="s">
        <v>940</v>
      </c>
      <c r="C42" s="10" t="s">
        <v>909</v>
      </c>
      <c r="D42" s="1" t="s">
        <v>617</v>
      </c>
      <c r="E42" s="1" t="s">
        <v>59</v>
      </c>
      <c r="F42" s="1" t="s">
        <v>454</v>
      </c>
      <c r="I42" s="10" t="s">
        <v>3</v>
      </c>
      <c r="J42" s="118" t="s">
        <v>3</v>
      </c>
      <c r="K42" s="1" t="s">
        <v>1090</v>
      </c>
      <c r="M42" s="5">
        <v>202005</v>
      </c>
      <c r="N42" s="5">
        <f>INDEX(rrcworking[Formation Production (MCF) @ 14.65 psi],MATCH('May 2020 EDI'!F42,rrcworking[RRC ID],0))</f>
        <v>0</v>
      </c>
      <c r="O42" s="5">
        <f>INDEX(rrcworking[Lease Use (MCF)],MATCH('May 2020 EDI'!F42,rrcworking[RRC ID],0))</f>
        <v>0</v>
      </c>
      <c r="P42" s="5">
        <f>INDEX(rrcworking[Gas Sales Statement Volume (MCF)],MATCH('May 2020 EDI'!F42,rrcworking[RRC ID],0))</f>
        <v>0</v>
      </c>
      <c r="R42" s="246">
        <f>INDEX(rrcworking[Flared Gas],MATCH('May 2020 EDI'!F42,rrcworking[RRC ID],0))</f>
        <v>0</v>
      </c>
      <c r="Y42" s="5">
        <f>INDEX(rrcworking[Oil Production],MATCH('May 2020 EDI'!F42,rrcworking[RRC ID],0))</f>
        <v>0</v>
      </c>
      <c r="AA42" s="5">
        <f>INDEX(rrcworking[Sales/Dispostion],MATCH('May 2020 EDI'!F42,rrcworking[RRC ID],0))</f>
        <v>0</v>
      </c>
      <c r="AQ42" s="5">
        <f>INDEX(rrcworking[Closing Stock (Oil)],MATCH('May 2020 EDI'!F42,rrcworking[RRC ID],0))</f>
        <v>0</v>
      </c>
    </row>
    <row r="43" spans="1:43">
      <c r="A43" s="4" t="s">
        <v>1</v>
      </c>
      <c r="B43" s="1" t="s">
        <v>941</v>
      </c>
      <c r="C43" s="10" t="s">
        <v>909</v>
      </c>
      <c r="D43" s="1" t="s">
        <v>617</v>
      </c>
      <c r="E43" s="1" t="s">
        <v>59</v>
      </c>
      <c r="F43" s="1" t="s">
        <v>455</v>
      </c>
      <c r="I43" s="10" t="s">
        <v>3</v>
      </c>
      <c r="J43" s="118" t="s">
        <v>3</v>
      </c>
      <c r="K43" s="1" t="s">
        <v>1090</v>
      </c>
      <c r="M43" s="5">
        <v>202005</v>
      </c>
      <c r="N43" s="5">
        <f>INDEX(rrcworking[Formation Production (MCF) @ 14.65 psi],MATCH('May 2020 EDI'!F43,rrcworking[RRC ID],0))</f>
        <v>0</v>
      </c>
      <c r="O43" s="5">
        <f>INDEX(rrcworking[Lease Use (MCF)],MATCH('May 2020 EDI'!F43,rrcworking[RRC ID],0))</f>
        <v>0</v>
      </c>
      <c r="P43" s="5">
        <f>INDEX(rrcworking[Gas Sales Statement Volume (MCF)],MATCH('May 2020 EDI'!F43,rrcworking[RRC ID],0))</f>
        <v>0</v>
      </c>
      <c r="R43" s="246">
        <f>INDEX(rrcworking[Flared Gas],MATCH('May 2020 EDI'!F43,rrcworking[RRC ID],0))</f>
        <v>0</v>
      </c>
      <c r="Y43" s="5">
        <f>INDEX(rrcworking[Oil Production],MATCH('May 2020 EDI'!F43,rrcworking[RRC ID],0))</f>
        <v>0</v>
      </c>
      <c r="AA43" s="5">
        <f>INDEX(rrcworking[Sales/Dispostion],MATCH('May 2020 EDI'!F43,rrcworking[RRC ID],0))</f>
        <v>0</v>
      </c>
      <c r="AQ43" s="5">
        <f>INDEX(rrcworking[Closing Stock (Oil)],MATCH('May 2020 EDI'!F43,rrcworking[RRC ID],0))</f>
        <v>0</v>
      </c>
    </row>
    <row r="44" spans="1:43">
      <c r="A44" s="4" t="s">
        <v>1</v>
      </c>
      <c r="B44" s="1" t="s">
        <v>942</v>
      </c>
      <c r="C44" s="10" t="s">
        <v>909</v>
      </c>
      <c r="D44" s="1" t="s">
        <v>617</v>
      </c>
      <c r="E44" s="1" t="s">
        <v>2</v>
      </c>
      <c r="F44" s="1" t="s">
        <v>456</v>
      </c>
      <c r="I44" s="10" t="s">
        <v>3</v>
      </c>
      <c r="J44" s="118" t="s">
        <v>3</v>
      </c>
      <c r="K44" s="1" t="s">
        <v>1090</v>
      </c>
      <c r="M44" s="5">
        <v>202005</v>
      </c>
      <c r="N44" s="5">
        <f>INDEX(rrcworking[Formation Production (MCF) @ 14.65 psi],MATCH('May 2020 EDI'!F44,rrcworking[RRC ID],0))</f>
        <v>0</v>
      </c>
      <c r="O44" s="5">
        <f>INDEX(rrcworking[Lease Use (MCF)],MATCH('May 2020 EDI'!F44,rrcworking[RRC ID],0))</f>
        <v>0</v>
      </c>
      <c r="P44" s="5">
        <f>INDEX(rrcworking[Gas Sales Statement Volume (MCF)],MATCH('May 2020 EDI'!F44,rrcworking[RRC ID],0))</f>
        <v>0</v>
      </c>
      <c r="R44" s="246">
        <f>INDEX(rrcworking[Flared Gas],MATCH('May 2020 EDI'!F44,rrcworking[RRC ID],0))</f>
        <v>0</v>
      </c>
      <c r="Y44" s="5">
        <f>INDEX(rrcworking[Oil Production],MATCH('May 2020 EDI'!F44,rrcworking[RRC ID],0))</f>
        <v>48</v>
      </c>
      <c r="AA44" s="5">
        <f>INDEX(rrcworking[Sales/Dispostion],MATCH('May 2020 EDI'!F44,rrcworking[RRC ID],0))</f>
        <v>0</v>
      </c>
      <c r="AQ44" s="5">
        <f>INDEX(rrcworking[Closing Stock (Oil)],MATCH('May 2020 EDI'!F44,rrcworking[RRC ID],0))</f>
        <v>299</v>
      </c>
    </row>
    <row r="45" spans="1:43">
      <c r="A45" s="4" t="s">
        <v>1</v>
      </c>
      <c r="B45" s="1" t="s">
        <v>943</v>
      </c>
      <c r="C45" s="10" t="s">
        <v>909</v>
      </c>
      <c r="D45" s="1" t="s">
        <v>618</v>
      </c>
      <c r="E45" s="1" t="s">
        <v>2</v>
      </c>
      <c r="F45" s="1" t="s">
        <v>457</v>
      </c>
      <c r="I45" s="10" t="s">
        <v>3</v>
      </c>
      <c r="J45" s="118" t="s">
        <v>3</v>
      </c>
      <c r="K45" s="1" t="s">
        <v>1090</v>
      </c>
      <c r="M45" s="5">
        <v>202005</v>
      </c>
      <c r="N45" s="5">
        <f>INDEX(rrcworking[Formation Production (MCF) @ 14.65 psi],MATCH('May 2020 EDI'!F45,rrcworking[RRC ID],0))</f>
        <v>0</v>
      </c>
      <c r="O45" s="5">
        <f>INDEX(rrcworking[Lease Use (MCF)],MATCH('May 2020 EDI'!F45,rrcworking[RRC ID],0))</f>
        <v>0</v>
      </c>
      <c r="P45" s="5">
        <f>INDEX(rrcworking[Gas Sales Statement Volume (MCF)],MATCH('May 2020 EDI'!F45,rrcworking[RRC ID],0))</f>
        <v>0</v>
      </c>
      <c r="R45" s="246">
        <f>INDEX(rrcworking[Flared Gas],MATCH('May 2020 EDI'!F45,rrcworking[RRC ID],0))</f>
        <v>0</v>
      </c>
      <c r="Y45" s="5">
        <f>INDEX(rrcworking[Oil Production],MATCH('May 2020 EDI'!F45,rrcworking[RRC ID],0))</f>
        <v>0</v>
      </c>
      <c r="AA45" s="5">
        <f>INDEX(rrcworking[Sales/Dispostion],MATCH('May 2020 EDI'!F45,rrcworking[RRC ID],0))</f>
        <v>0</v>
      </c>
      <c r="AQ45" s="5">
        <f>INDEX(rrcworking[Closing Stock (Oil)],MATCH('May 2020 EDI'!F45,rrcworking[RRC ID],0))</f>
        <v>0</v>
      </c>
    </row>
    <row r="46" spans="1:43">
      <c r="A46" s="4" t="s">
        <v>1</v>
      </c>
      <c r="B46" s="1" t="s">
        <v>944</v>
      </c>
      <c r="C46" s="10" t="s">
        <v>909</v>
      </c>
      <c r="D46" s="1" t="s">
        <v>618</v>
      </c>
      <c r="E46" s="1" t="s">
        <v>59</v>
      </c>
      <c r="F46" s="1" t="s">
        <v>458</v>
      </c>
      <c r="I46" s="10" t="s">
        <v>3</v>
      </c>
      <c r="J46" s="118" t="s">
        <v>3</v>
      </c>
      <c r="K46" s="1" t="s">
        <v>1090</v>
      </c>
      <c r="M46" s="5">
        <v>202005</v>
      </c>
      <c r="N46" s="5">
        <f>INDEX(rrcworking[Formation Production (MCF) @ 14.65 psi],MATCH('May 2020 EDI'!F46,rrcworking[RRC ID],0))</f>
        <v>30117</v>
      </c>
      <c r="O46" s="5">
        <f>INDEX(rrcworking[Lease Use (MCF)],MATCH('May 2020 EDI'!F46,rrcworking[RRC ID],0))</f>
        <v>294</v>
      </c>
      <c r="P46" s="5">
        <f>INDEX(rrcworking[Gas Sales Statement Volume (MCF)],MATCH('May 2020 EDI'!F46,rrcworking[RRC ID],0))</f>
        <v>29823</v>
      </c>
      <c r="R46" s="246">
        <f>INDEX(rrcworking[Flared Gas],MATCH('May 2020 EDI'!F46,rrcworking[RRC ID],0))</f>
        <v>0</v>
      </c>
      <c r="Y46" s="5">
        <f>INDEX(rrcworking[Oil Production],MATCH('May 2020 EDI'!F46,rrcworking[RRC ID],0))</f>
        <v>580</v>
      </c>
      <c r="AA46" s="5">
        <f>INDEX(rrcworking[Sales/Dispostion],MATCH('May 2020 EDI'!F46,rrcworking[RRC ID],0))</f>
        <v>0</v>
      </c>
      <c r="AQ46" s="5">
        <f>INDEX(rrcworking[Closing Stock (Oil)],MATCH('May 2020 EDI'!F46,rrcworking[RRC ID],0))</f>
        <v>798</v>
      </c>
    </row>
    <row r="47" spans="1:43">
      <c r="A47" s="4" t="s">
        <v>1</v>
      </c>
      <c r="B47" s="1" t="s">
        <v>945</v>
      </c>
      <c r="C47" s="10" t="s">
        <v>909</v>
      </c>
      <c r="D47" s="1" t="s">
        <v>618</v>
      </c>
      <c r="E47" s="1" t="s">
        <v>59</v>
      </c>
      <c r="F47" s="1" t="s">
        <v>459</v>
      </c>
      <c r="I47" s="10" t="s">
        <v>3</v>
      </c>
      <c r="J47" s="118" t="s">
        <v>3</v>
      </c>
      <c r="K47" s="1" t="s">
        <v>1090</v>
      </c>
      <c r="M47" s="5">
        <v>202005</v>
      </c>
      <c r="N47" s="5">
        <f>INDEX(rrcworking[Formation Production (MCF) @ 14.65 psi],MATCH('May 2020 EDI'!F47,rrcworking[RRC ID],0))</f>
        <v>0</v>
      </c>
      <c r="O47" s="5">
        <f>INDEX(rrcworking[Lease Use (MCF)],MATCH('May 2020 EDI'!F47,rrcworking[RRC ID],0))</f>
        <v>0</v>
      </c>
      <c r="P47" s="5">
        <f>INDEX(rrcworking[Gas Sales Statement Volume (MCF)],MATCH('May 2020 EDI'!F47,rrcworking[RRC ID],0))</f>
        <v>0</v>
      </c>
      <c r="R47" s="246">
        <f>INDEX(rrcworking[Flared Gas],MATCH('May 2020 EDI'!F47,rrcworking[RRC ID],0))</f>
        <v>0</v>
      </c>
      <c r="Y47" s="5">
        <f>INDEX(rrcworking[Oil Production],MATCH('May 2020 EDI'!F47,rrcworking[RRC ID],0))</f>
        <v>0</v>
      </c>
      <c r="AA47" s="5">
        <f>INDEX(rrcworking[Sales/Dispostion],MATCH('May 2020 EDI'!F47,rrcworking[RRC ID],0))</f>
        <v>0</v>
      </c>
      <c r="AQ47" s="5">
        <f>INDEX(rrcworking[Closing Stock (Oil)],MATCH('May 2020 EDI'!F47,rrcworking[RRC ID],0))</f>
        <v>53</v>
      </c>
    </row>
    <row r="48" spans="1:43">
      <c r="A48" s="4" t="s">
        <v>1</v>
      </c>
      <c r="B48" s="1" t="s">
        <v>946</v>
      </c>
      <c r="C48" s="10" t="s">
        <v>909</v>
      </c>
      <c r="D48" s="1" t="s">
        <v>618</v>
      </c>
      <c r="E48" s="1" t="s">
        <v>2</v>
      </c>
      <c r="F48" s="1" t="s">
        <v>460</v>
      </c>
      <c r="I48" s="10" t="s">
        <v>3</v>
      </c>
      <c r="J48" s="118" t="s">
        <v>3</v>
      </c>
      <c r="K48" s="1" t="s">
        <v>1090</v>
      </c>
      <c r="M48" s="5">
        <v>202005</v>
      </c>
      <c r="N48" s="5">
        <f>INDEX(rrcworking[Formation Production (MCF) @ 14.65 psi],MATCH('May 2020 EDI'!F48,rrcworking[RRC ID],0))</f>
        <v>0</v>
      </c>
      <c r="O48" s="5">
        <f>INDEX(rrcworking[Lease Use (MCF)],MATCH('May 2020 EDI'!F48,rrcworking[RRC ID],0))</f>
        <v>0</v>
      </c>
      <c r="P48" s="5">
        <f>INDEX(rrcworking[Gas Sales Statement Volume (MCF)],MATCH('May 2020 EDI'!F48,rrcworking[RRC ID],0))</f>
        <v>0</v>
      </c>
      <c r="R48" s="246">
        <f>INDEX(rrcworking[Flared Gas],MATCH('May 2020 EDI'!F48,rrcworking[RRC ID],0))</f>
        <v>0</v>
      </c>
      <c r="Y48" s="5">
        <f>INDEX(rrcworking[Oil Production],MATCH('May 2020 EDI'!F48,rrcworking[RRC ID],0))</f>
        <v>0</v>
      </c>
      <c r="AA48" s="5">
        <f>INDEX(rrcworking[Sales/Dispostion],MATCH('May 2020 EDI'!F48,rrcworking[RRC ID],0))</f>
        <v>0</v>
      </c>
      <c r="AQ48" s="5">
        <f>INDEX(rrcworking[Closing Stock (Oil)],MATCH('May 2020 EDI'!F48,rrcworking[RRC ID],0))</f>
        <v>139</v>
      </c>
    </row>
    <row r="49" spans="1:43">
      <c r="A49" s="4" t="s">
        <v>1</v>
      </c>
      <c r="B49" s="1" t="s">
        <v>947</v>
      </c>
      <c r="C49" s="10" t="s">
        <v>909</v>
      </c>
      <c r="D49" s="1" t="s">
        <v>618</v>
      </c>
      <c r="E49" s="1" t="s">
        <v>2</v>
      </c>
      <c r="F49" s="1" t="s">
        <v>461</v>
      </c>
      <c r="I49" s="10" t="s">
        <v>3</v>
      </c>
      <c r="J49" s="118" t="s">
        <v>3</v>
      </c>
      <c r="K49" s="1" t="s">
        <v>1090</v>
      </c>
      <c r="M49" s="5">
        <v>202005</v>
      </c>
      <c r="N49" s="5">
        <f>INDEX(rrcworking[Formation Production (MCF) @ 14.65 psi],MATCH('May 2020 EDI'!F49,rrcworking[RRC ID],0))</f>
        <v>0</v>
      </c>
      <c r="O49" s="5">
        <f>INDEX(rrcworking[Lease Use (MCF)],MATCH('May 2020 EDI'!F49,rrcworking[RRC ID],0))</f>
        <v>0</v>
      </c>
      <c r="P49" s="5">
        <f>INDEX(rrcworking[Gas Sales Statement Volume (MCF)],MATCH('May 2020 EDI'!F49,rrcworking[RRC ID],0))</f>
        <v>0</v>
      </c>
      <c r="R49" s="246">
        <f>INDEX(rrcworking[Flared Gas],MATCH('May 2020 EDI'!F49,rrcworking[RRC ID],0))</f>
        <v>0</v>
      </c>
      <c r="Y49" s="5">
        <f>INDEX(rrcworking[Oil Production],MATCH('May 2020 EDI'!F49,rrcworking[RRC ID],0))</f>
        <v>0</v>
      </c>
      <c r="AA49" s="5">
        <f>INDEX(rrcworking[Sales/Dispostion],MATCH('May 2020 EDI'!F49,rrcworking[RRC ID],0))</f>
        <v>0</v>
      </c>
      <c r="AQ49" s="5">
        <f>INDEX(rrcworking[Closing Stock (Oil)],MATCH('May 2020 EDI'!F49,rrcworking[RRC ID],0))</f>
        <v>0</v>
      </c>
    </row>
    <row r="50" spans="1:43">
      <c r="A50" s="4" t="s">
        <v>1</v>
      </c>
      <c r="B50" s="1" t="s">
        <v>948</v>
      </c>
      <c r="C50" s="10" t="s">
        <v>909</v>
      </c>
      <c r="D50" s="1" t="s">
        <v>618</v>
      </c>
      <c r="E50" s="1" t="s">
        <v>2</v>
      </c>
      <c r="F50" s="1" t="s">
        <v>462</v>
      </c>
      <c r="I50" s="10" t="s">
        <v>3</v>
      </c>
      <c r="J50" s="118" t="s">
        <v>3</v>
      </c>
      <c r="K50" s="1" t="s">
        <v>1090</v>
      </c>
      <c r="M50" s="5">
        <v>202005</v>
      </c>
      <c r="N50" s="5">
        <f>INDEX(rrcworking[Formation Production (MCF) @ 14.65 psi],MATCH('May 2020 EDI'!F50,rrcworking[RRC ID],0))</f>
        <v>0</v>
      </c>
      <c r="O50" s="5">
        <f>INDEX(rrcworking[Lease Use (MCF)],MATCH('May 2020 EDI'!F50,rrcworking[RRC ID],0))</f>
        <v>0</v>
      </c>
      <c r="P50" s="5">
        <f>INDEX(rrcworking[Gas Sales Statement Volume (MCF)],MATCH('May 2020 EDI'!F50,rrcworking[RRC ID],0))</f>
        <v>0</v>
      </c>
      <c r="R50" s="246">
        <f>INDEX(rrcworking[Flared Gas],MATCH('May 2020 EDI'!F50,rrcworking[RRC ID],0))</f>
        <v>0</v>
      </c>
      <c r="Y50" s="5">
        <f>INDEX(rrcworking[Oil Production],MATCH('May 2020 EDI'!F50,rrcworking[RRC ID],0))</f>
        <v>0</v>
      </c>
      <c r="AA50" s="5">
        <f>INDEX(rrcworking[Sales/Dispostion],MATCH('May 2020 EDI'!F50,rrcworking[RRC ID],0))</f>
        <v>0</v>
      </c>
      <c r="AQ50" s="5">
        <f>INDEX(rrcworking[Closing Stock (Oil)],MATCH('May 2020 EDI'!F50,rrcworking[RRC ID],0))</f>
        <v>28</v>
      </c>
    </row>
    <row r="51" spans="1:43">
      <c r="A51" s="4" t="s">
        <v>1</v>
      </c>
      <c r="B51" s="1" t="s">
        <v>949</v>
      </c>
      <c r="C51" s="10" t="s">
        <v>909</v>
      </c>
      <c r="D51" s="1" t="s">
        <v>618</v>
      </c>
      <c r="E51" s="1" t="s">
        <v>2</v>
      </c>
      <c r="F51" s="1" t="s">
        <v>463</v>
      </c>
      <c r="I51" s="10" t="s">
        <v>3</v>
      </c>
      <c r="J51" s="118" t="s">
        <v>3</v>
      </c>
      <c r="K51" s="1" t="s">
        <v>1090</v>
      </c>
      <c r="M51" s="5">
        <v>202005</v>
      </c>
      <c r="N51" s="5">
        <f>INDEX(rrcworking[Formation Production (MCF) @ 14.65 psi],MATCH('May 2020 EDI'!F51,rrcworking[RRC ID],0))</f>
        <v>0</v>
      </c>
      <c r="O51" s="5">
        <f>INDEX(rrcworking[Lease Use (MCF)],MATCH('May 2020 EDI'!F51,rrcworking[RRC ID],0))</f>
        <v>0</v>
      </c>
      <c r="P51" s="5">
        <f>INDEX(rrcworking[Gas Sales Statement Volume (MCF)],MATCH('May 2020 EDI'!F51,rrcworking[RRC ID],0))</f>
        <v>0</v>
      </c>
      <c r="R51" s="246">
        <f>INDEX(rrcworking[Flared Gas],MATCH('May 2020 EDI'!F51,rrcworking[RRC ID],0))</f>
        <v>0</v>
      </c>
      <c r="Y51" s="5">
        <f>INDEX(rrcworking[Oil Production],MATCH('May 2020 EDI'!F51,rrcworking[RRC ID],0))</f>
        <v>0</v>
      </c>
      <c r="AA51" s="5">
        <f>INDEX(rrcworking[Sales/Dispostion],MATCH('May 2020 EDI'!F51,rrcworking[RRC ID],0))</f>
        <v>0</v>
      </c>
      <c r="AQ51" s="5">
        <f>INDEX(rrcworking[Closing Stock (Oil)],MATCH('May 2020 EDI'!F51,rrcworking[RRC ID],0))</f>
        <v>51</v>
      </c>
    </row>
    <row r="52" spans="1:43">
      <c r="A52" s="4" t="s">
        <v>1</v>
      </c>
      <c r="B52" s="1" t="s">
        <v>950</v>
      </c>
      <c r="C52" s="10" t="s">
        <v>909</v>
      </c>
      <c r="D52" s="1" t="s">
        <v>618</v>
      </c>
      <c r="E52" s="1" t="s">
        <v>59</v>
      </c>
      <c r="F52" s="1" t="s">
        <v>464</v>
      </c>
      <c r="I52" s="10" t="s">
        <v>3</v>
      </c>
      <c r="J52" s="118" t="s">
        <v>3</v>
      </c>
      <c r="K52" s="1" t="s">
        <v>1090</v>
      </c>
      <c r="M52" s="5">
        <v>202005</v>
      </c>
      <c r="N52" s="5">
        <f>INDEX(rrcworking[Formation Production (MCF) @ 14.65 psi],MATCH('May 2020 EDI'!F52,rrcworking[RRC ID],0))</f>
        <v>0</v>
      </c>
      <c r="O52" s="5">
        <f>INDEX(rrcworking[Lease Use (MCF)],MATCH('May 2020 EDI'!F52,rrcworking[RRC ID],0))</f>
        <v>0</v>
      </c>
      <c r="P52" s="5">
        <f>INDEX(rrcworking[Gas Sales Statement Volume (MCF)],MATCH('May 2020 EDI'!F52,rrcworking[RRC ID],0))</f>
        <v>0</v>
      </c>
      <c r="R52" s="246">
        <f>INDEX(rrcworking[Flared Gas],MATCH('May 2020 EDI'!F52,rrcworking[RRC ID],0))</f>
        <v>0</v>
      </c>
      <c r="Y52" s="5">
        <f>INDEX(rrcworking[Oil Production],MATCH('May 2020 EDI'!F52,rrcworking[RRC ID],0))</f>
        <v>0</v>
      </c>
      <c r="AA52" s="5">
        <f>INDEX(rrcworking[Sales/Dispostion],MATCH('May 2020 EDI'!F52,rrcworking[RRC ID],0))</f>
        <v>0</v>
      </c>
      <c r="AQ52" s="5">
        <f>INDEX(rrcworking[Closing Stock (Oil)],MATCH('May 2020 EDI'!F52,rrcworking[RRC ID],0))</f>
        <v>0</v>
      </c>
    </row>
    <row r="53" spans="1:43">
      <c r="A53" s="4" t="s">
        <v>1</v>
      </c>
      <c r="B53" s="1" t="s">
        <v>951</v>
      </c>
      <c r="C53" s="10" t="s">
        <v>909</v>
      </c>
      <c r="D53" s="1" t="s">
        <v>618</v>
      </c>
      <c r="E53" s="1" t="s">
        <v>2</v>
      </c>
      <c r="F53" s="1" t="s">
        <v>465</v>
      </c>
      <c r="I53" s="10" t="s">
        <v>3</v>
      </c>
      <c r="J53" s="118" t="s">
        <v>3</v>
      </c>
      <c r="K53" s="1" t="s">
        <v>1090</v>
      </c>
      <c r="M53" s="5">
        <v>202005</v>
      </c>
      <c r="N53" s="5">
        <f>INDEX(rrcworking[Formation Production (MCF) @ 14.65 psi],MATCH('May 2020 EDI'!F53,rrcworking[RRC ID],0))</f>
        <v>0</v>
      </c>
      <c r="O53" s="5">
        <f>INDEX(rrcworking[Lease Use (MCF)],MATCH('May 2020 EDI'!F53,rrcworking[RRC ID],0))</f>
        <v>0</v>
      </c>
      <c r="P53" s="5">
        <f>INDEX(rrcworking[Gas Sales Statement Volume (MCF)],MATCH('May 2020 EDI'!F53,rrcworking[RRC ID],0))</f>
        <v>0</v>
      </c>
      <c r="R53" s="246">
        <f>INDEX(rrcworking[Flared Gas],MATCH('May 2020 EDI'!F53,rrcworking[RRC ID],0))</f>
        <v>0</v>
      </c>
      <c r="Y53" s="5">
        <f>INDEX(rrcworking[Oil Production],MATCH('May 2020 EDI'!F53,rrcworking[RRC ID],0))</f>
        <v>0</v>
      </c>
      <c r="AA53" s="5">
        <f>INDEX(rrcworking[Sales/Dispostion],MATCH('May 2020 EDI'!F53,rrcworking[RRC ID],0))</f>
        <v>0</v>
      </c>
      <c r="AQ53" s="5">
        <f>INDEX(rrcworking[Closing Stock (Oil)],MATCH('May 2020 EDI'!F53,rrcworking[RRC ID],0))</f>
        <v>32</v>
      </c>
    </row>
    <row r="54" spans="1:43">
      <c r="A54" s="4" t="s">
        <v>1</v>
      </c>
      <c r="B54" s="1" t="s">
        <v>952</v>
      </c>
      <c r="C54" s="10" t="s">
        <v>909</v>
      </c>
      <c r="D54" s="1" t="s">
        <v>618</v>
      </c>
      <c r="E54" s="1" t="s">
        <v>59</v>
      </c>
      <c r="F54" s="1" t="s">
        <v>466</v>
      </c>
      <c r="I54" s="10" t="s">
        <v>3</v>
      </c>
      <c r="J54" s="118" t="s">
        <v>3</v>
      </c>
      <c r="K54" s="1" t="s">
        <v>1090</v>
      </c>
      <c r="M54" s="5">
        <v>202005</v>
      </c>
      <c r="N54" s="5">
        <f>INDEX(rrcworking[Formation Production (MCF) @ 14.65 psi],MATCH('May 2020 EDI'!F54,rrcworking[RRC ID],0))</f>
        <v>0</v>
      </c>
      <c r="O54" s="5">
        <f>INDEX(rrcworking[Lease Use (MCF)],MATCH('May 2020 EDI'!F54,rrcworking[RRC ID],0))</f>
        <v>0</v>
      </c>
      <c r="P54" s="5">
        <f>INDEX(rrcworking[Gas Sales Statement Volume (MCF)],MATCH('May 2020 EDI'!F54,rrcworking[RRC ID],0))</f>
        <v>0</v>
      </c>
      <c r="R54" s="246">
        <f>INDEX(rrcworking[Flared Gas],MATCH('May 2020 EDI'!F54,rrcworking[RRC ID],0))</f>
        <v>0</v>
      </c>
      <c r="Y54" s="5">
        <f>INDEX(rrcworking[Oil Production],MATCH('May 2020 EDI'!F54,rrcworking[RRC ID],0))</f>
        <v>0</v>
      </c>
      <c r="AA54" s="5">
        <f>INDEX(rrcworking[Sales/Dispostion],MATCH('May 2020 EDI'!F54,rrcworking[RRC ID],0))</f>
        <v>0</v>
      </c>
      <c r="AQ54" s="5">
        <f>INDEX(rrcworking[Closing Stock (Oil)],MATCH('May 2020 EDI'!F54,rrcworking[RRC ID],0))</f>
        <v>0</v>
      </c>
    </row>
    <row r="55" spans="1:43">
      <c r="A55" s="4" t="s">
        <v>1</v>
      </c>
      <c r="B55" s="1" t="s">
        <v>953</v>
      </c>
      <c r="C55" s="10" t="s">
        <v>909</v>
      </c>
      <c r="D55" s="1" t="s">
        <v>618</v>
      </c>
      <c r="E55" s="1" t="s">
        <v>59</v>
      </c>
      <c r="F55" s="1" t="s">
        <v>467</v>
      </c>
      <c r="I55" s="10" t="s">
        <v>3</v>
      </c>
      <c r="J55" s="118" t="s">
        <v>3</v>
      </c>
      <c r="K55" s="1" t="s">
        <v>1090</v>
      </c>
      <c r="M55" s="5">
        <v>202005</v>
      </c>
      <c r="N55" s="5">
        <f>INDEX(rrcworking[Formation Production (MCF) @ 14.65 psi],MATCH('May 2020 EDI'!F55,rrcworking[RRC ID],0))</f>
        <v>0</v>
      </c>
      <c r="O55" s="5">
        <f>INDEX(rrcworking[Lease Use (MCF)],MATCH('May 2020 EDI'!F55,rrcworking[RRC ID],0))</f>
        <v>0</v>
      </c>
      <c r="P55" s="5">
        <f>INDEX(rrcworking[Gas Sales Statement Volume (MCF)],MATCH('May 2020 EDI'!F55,rrcworking[RRC ID],0))</f>
        <v>0</v>
      </c>
      <c r="R55" s="246">
        <f>INDEX(rrcworking[Flared Gas],MATCH('May 2020 EDI'!F55,rrcworking[RRC ID],0))</f>
        <v>0</v>
      </c>
      <c r="Y55" s="5">
        <f>INDEX(rrcworking[Oil Production],MATCH('May 2020 EDI'!F55,rrcworking[RRC ID],0))</f>
        <v>0</v>
      </c>
      <c r="AA55" s="5">
        <f>INDEX(rrcworking[Sales/Dispostion],MATCH('May 2020 EDI'!F55,rrcworking[RRC ID],0))</f>
        <v>0</v>
      </c>
      <c r="AQ55" s="5">
        <f>INDEX(rrcworking[Closing Stock (Oil)],MATCH('May 2020 EDI'!F55,rrcworking[RRC ID],0))</f>
        <v>0</v>
      </c>
    </row>
    <row r="56" spans="1:43">
      <c r="A56" s="4" t="s">
        <v>1</v>
      </c>
      <c r="B56" s="1" t="s">
        <v>954</v>
      </c>
      <c r="C56" s="10" t="s">
        <v>909</v>
      </c>
      <c r="D56" s="1" t="s">
        <v>618</v>
      </c>
      <c r="E56" s="1" t="s">
        <v>2</v>
      </c>
      <c r="F56" s="1" t="s">
        <v>468</v>
      </c>
      <c r="I56" s="10" t="s">
        <v>3</v>
      </c>
      <c r="J56" s="118" t="s">
        <v>3</v>
      </c>
      <c r="K56" s="1" t="s">
        <v>1090</v>
      </c>
      <c r="M56" s="5">
        <v>202005</v>
      </c>
      <c r="N56" s="5">
        <f>INDEX(rrcworking[Formation Production (MCF) @ 14.65 psi],MATCH('May 2020 EDI'!F56,rrcworking[RRC ID],0))</f>
        <v>0</v>
      </c>
      <c r="O56" s="5">
        <f>INDEX(rrcworking[Lease Use (MCF)],MATCH('May 2020 EDI'!F56,rrcworking[RRC ID],0))</f>
        <v>0</v>
      </c>
      <c r="P56" s="5">
        <f>INDEX(rrcworking[Gas Sales Statement Volume (MCF)],MATCH('May 2020 EDI'!F56,rrcworking[RRC ID],0))</f>
        <v>0</v>
      </c>
      <c r="R56" s="246">
        <f>INDEX(rrcworking[Flared Gas],MATCH('May 2020 EDI'!F56,rrcworking[RRC ID],0))</f>
        <v>0</v>
      </c>
      <c r="Y56" s="5">
        <f>INDEX(rrcworking[Oil Production],MATCH('May 2020 EDI'!F56,rrcworking[RRC ID],0))</f>
        <v>0</v>
      </c>
      <c r="AA56" s="5">
        <f>INDEX(rrcworking[Sales/Dispostion],MATCH('May 2020 EDI'!F56,rrcworking[RRC ID],0))</f>
        <v>0</v>
      </c>
      <c r="AQ56" s="5">
        <f>INDEX(rrcworking[Closing Stock (Oil)],MATCH('May 2020 EDI'!F56,rrcworking[RRC ID],0))</f>
        <v>108</v>
      </c>
    </row>
    <row r="57" spans="1:43">
      <c r="A57" s="4" t="s">
        <v>1</v>
      </c>
      <c r="B57" s="1" t="s">
        <v>955</v>
      </c>
      <c r="C57" s="10" t="s">
        <v>909</v>
      </c>
      <c r="D57" s="1" t="s">
        <v>618</v>
      </c>
      <c r="E57" s="1" t="s">
        <v>59</v>
      </c>
      <c r="F57" s="1" t="s">
        <v>469</v>
      </c>
      <c r="I57" s="10" t="s">
        <v>3</v>
      </c>
      <c r="J57" s="118" t="s">
        <v>3</v>
      </c>
      <c r="K57" s="1" t="s">
        <v>1090</v>
      </c>
      <c r="M57" s="5">
        <v>202005</v>
      </c>
      <c r="N57" s="5">
        <f>INDEX(rrcworking[Formation Production (MCF) @ 14.65 psi],MATCH('May 2020 EDI'!F57,rrcworking[RRC ID],0))</f>
        <v>0</v>
      </c>
      <c r="O57" s="5">
        <f>INDEX(rrcworking[Lease Use (MCF)],MATCH('May 2020 EDI'!F57,rrcworking[RRC ID],0))</f>
        <v>0</v>
      </c>
      <c r="P57" s="5">
        <f>INDEX(rrcworking[Gas Sales Statement Volume (MCF)],MATCH('May 2020 EDI'!F57,rrcworking[RRC ID],0))</f>
        <v>0</v>
      </c>
      <c r="R57" s="246">
        <f>INDEX(rrcworking[Flared Gas],MATCH('May 2020 EDI'!F57,rrcworking[RRC ID],0))</f>
        <v>0</v>
      </c>
      <c r="Y57" s="5">
        <f>INDEX(rrcworking[Oil Production],MATCH('May 2020 EDI'!F57,rrcworking[RRC ID],0))</f>
        <v>0</v>
      </c>
      <c r="AA57" s="5">
        <f>INDEX(rrcworking[Sales/Dispostion],MATCH('May 2020 EDI'!F57,rrcworking[RRC ID],0))</f>
        <v>0</v>
      </c>
      <c r="AQ57" s="5">
        <f>INDEX(rrcworking[Closing Stock (Oil)],MATCH('May 2020 EDI'!F57,rrcworking[RRC ID],0))</f>
        <v>0</v>
      </c>
    </row>
    <row r="58" spans="1:43">
      <c r="A58" s="4" t="s">
        <v>1</v>
      </c>
      <c r="B58" s="1" t="s">
        <v>956</v>
      </c>
      <c r="C58" s="10" t="s">
        <v>909</v>
      </c>
      <c r="D58" s="1" t="s">
        <v>618</v>
      </c>
      <c r="E58" s="1" t="s">
        <v>2</v>
      </c>
      <c r="F58" s="1" t="s">
        <v>470</v>
      </c>
      <c r="I58" s="10" t="s">
        <v>3</v>
      </c>
      <c r="J58" s="118" t="s">
        <v>3</v>
      </c>
      <c r="K58" s="1" t="s">
        <v>1090</v>
      </c>
      <c r="M58" s="5">
        <v>202005</v>
      </c>
      <c r="N58" s="5">
        <f>INDEX(rrcworking[Formation Production (MCF) @ 14.65 psi],MATCH('May 2020 EDI'!F58,rrcworking[RRC ID],0))</f>
        <v>0</v>
      </c>
      <c r="O58" s="5">
        <f>INDEX(rrcworking[Lease Use (MCF)],MATCH('May 2020 EDI'!F58,rrcworking[RRC ID],0))</f>
        <v>0</v>
      </c>
      <c r="P58" s="5">
        <f>INDEX(rrcworking[Gas Sales Statement Volume (MCF)],MATCH('May 2020 EDI'!F58,rrcworking[RRC ID],0))</f>
        <v>0</v>
      </c>
      <c r="R58" s="246">
        <f>INDEX(rrcworking[Flared Gas],MATCH('May 2020 EDI'!F58,rrcworking[RRC ID],0))</f>
        <v>0</v>
      </c>
      <c r="Y58" s="5">
        <f>INDEX(rrcworking[Oil Production],MATCH('May 2020 EDI'!F58,rrcworking[RRC ID],0))</f>
        <v>0</v>
      </c>
      <c r="AA58" s="5">
        <f>INDEX(rrcworking[Sales/Dispostion],MATCH('May 2020 EDI'!F58,rrcworking[RRC ID],0))</f>
        <v>0</v>
      </c>
      <c r="AQ58" s="5">
        <f>INDEX(rrcworking[Closing Stock (Oil)],MATCH('May 2020 EDI'!F58,rrcworking[RRC ID],0))</f>
        <v>154</v>
      </c>
    </row>
    <row r="59" spans="1:43">
      <c r="A59" s="4" t="s">
        <v>1</v>
      </c>
      <c r="B59" s="1" t="s">
        <v>957</v>
      </c>
      <c r="C59" s="10" t="s">
        <v>909</v>
      </c>
      <c r="D59" s="1" t="s">
        <v>618</v>
      </c>
      <c r="E59" s="1" t="s">
        <v>59</v>
      </c>
      <c r="F59" s="1" t="s">
        <v>471</v>
      </c>
      <c r="I59" s="10" t="s">
        <v>3</v>
      </c>
      <c r="J59" s="118" t="s">
        <v>3</v>
      </c>
      <c r="K59" s="1" t="s">
        <v>1090</v>
      </c>
      <c r="M59" s="5">
        <v>202005</v>
      </c>
      <c r="N59" s="5">
        <f>INDEX(rrcworking[Formation Production (MCF) @ 14.65 psi],MATCH('May 2020 EDI'!F59,rrcworking[RRC ID],0))</f>
        <v>0</v>
      </c>
      <c r="O59" s="5">
        <f>INDEX(rrcworking[Lease Use (MCF)],MATCH('May 2020 EDI'!F59,rrcworking[RRC ID],0))</f>
        <v>0</v>
      </c>
      <c r="P59" s="5">
        <f>INDEX(rrcworking[Gas Sales Statement Volume (MCF)],MATCH('May 2020 EDI'!F59,rrcworking[RRC ID],0))</f>
        <v>0</v>
      </c>
      <c r="R59" s="246">
        <f>INDEX(rrcworking[Flared Gas],MATCH('May 2020 EDI'!F59,rrcworking[RRC ID],0))</f>
        <v>0</v>
      </c>
      <c r="Y59" s="5">
        <f>INDEX(rrcworking[Oil Production],MATCH('May 2020 EDI'!F59,rrcworking[RRC ID],0))</f>
        <v>0</v>
      </c>
      <c r="AA59" s="5">
        <f>INDEX(rrcworking[Sales/Dispostion],MATCH('May 2020 EDI'!F59,rrcworking[RRC ID],0))</f>
        <v>0</v>
      </c>
      <c r="AQ59" s="5">
        <f>INDEX(rrcworking[Closing Stock (Oil)],MATCH('May 2020 EDI'!F59,rrcworking[RRC ID],0))</f>
        <v>0</v>
      </c>
    </row>
    <row r="60" spans="1:43">
      <c r="A60" s="4" t="s">
        <v>1</v>
      </c>
      <c r="B60" s="1" t="s">
        <v>958</v>
      </c>
      <c r="C60" s="10" t="s">
        <v>909</v>
      </c>
      <c r="D60" s="1" t="s">
        <v>618</v>
      </c>
      <c r="E60" s="1" t="s">
        <v>59</v>
      </c>
      <c r="F60" s="1" t="s">
        <v>472</v>
      </c>
      <c r="I60" s="10" t="s">
        <v>3</v>
      </c>
      <c r="J60" s="118" t="s">
        <v>3</v>
      </c>
      <c r="K60" s="1" t="s">
        <v>1090</v>
      </c>
      <c r="M60" s="5">
        <v>202005</v>
      </c>
      <c r="N60" s="5">
        <f>INDEX(rrcworking[Formation Production (MCF) @ 14.65 psi],MATCH('May 2020 EDI'!F60,rrcworking[RRC ID],0))</f>
        <v>1969</v>
      </c>
      <c r="O60" s="5">
        <f>INDEX(rrcworking[Lease Use (MCF)],MATCH('May 2020 EDI'!F60,rrcworking[RRC ID],0))</f>
        <v>0</v>
      </c>
      <c r="P60" s="5">
        <f>INDEX(rrcworking[Gas Sales Statement Volume (MCF)],MATCH('May 2020 EDI'!F60,rrcworking[RRC ID],0))</f>
        <v>1969</v>
      </c>
      <c r="R60" s="246">
        <f>INDEX(rrcworking[Flared Gas],MATCH('May 2020 EDI'!F60,rrcworking[RRC ID],0))</f>
        <v>0</v>
      </c>
      <c r="Y60" s="5">
        <f>INDEX(rrcworking[Oil Production],MATCH('May 2020 EDI'!F60,rrcworking[RRC ID],0))</f>
        <v>217</v>
      </c>
      <c r="AA60" s="5">
        <f>INDEX(rrcworking[Sales/Dispostion],MATCH('May 2020 EDI'!F60,rrcworking[RRC ID],0))</f>
        <v>0</v>
      </c>
      <c r="AQ60" s="5">
        <f>INDEX(rrcworking[Closing Stock (Oil)],MATCH('May 2020 EDI'!F60,rrcworking[RRC ID],0))</f>
        <v>317</v>
      </c>
    </row>
    <row r="61" spans="1:43">
      <c r="A61" s="4" t="s">
        <v>1</v>
      </c>
      <c r="B61" s="1" t="s">
        <v>959</v>
      </c>
      <c r="C61" s="10" t="s">
        <v>909</v>
      </c>
      <c r="D61" s="1" t="s">
        <v>618</v>
      </c>
      <c r="E61" s="1" t="s">
        <v>2</v>
      </c>
      <c r="F61" s="1" t="s">
        <v>473</v>
      </c>
      <c r="I61" s="10" t="s">
        <v>3</v>
      </c>
      <c r="J61" s="118" t="s">
        <v>3</v>
      </c>
      <c r="K61" s="1" t="s">
        <v>1090</v>
      </c>
      <c r="M61" s="5">
        <v>202005</v>
      </c>
      <c r="N61" s="5">
        <f>INDEX(rrcworking[Formation Production (MCF) @ 14.65 psi],MATCH('May 2020 EDI'!F61,rrcworking[RRC ID],0))</f>
        <v>0</v>
      </c>
      <c r="O61" s="5">
        <f>INDEX(rrcworking[Lease Use (MCF)],MATCH('May 2020 EDI'!F61,rrcworking[RRC ID],0))</f>
        <v>0</v>
      </c>
      <c r="P61" s="5">
        <f>INDEX(rrcworking[Gas Sales Statement Volume (MCF)],MATCH('May 2020 EDI'!F61,rrcworking[RRC ID],0))</f>
        <v>0</v>
      </c>
      <c r="R61" s="246">
        <f>INDEX(rrcworking[Flared Gas],MATCH('May 2020 EDI'!F61,rrcworking[RRC ID],0))</f>
        <v>0</v>
      </c>
      <c r="Y61" s="5">
        <f>INDEX(rrcworking[Oil Production],MATCH('May 2020 EDI'!F61,rrcworking[RRC ID],0))</f>
        <v>0</v>
      </c>
      <c r="AA61" s="5">
        <f>INDEX(rrcworking[Sales/Dispostion],MATCH('May 2020 EDI'!F61,rrcworking[RRC ID],0))</f>
        <v>0</v>
      </c>
      <c r="AQ61" s="5">
        <f>INDEX(rrcworking[Closing Stock (Oil)],MATCH('May 2020 EDI'!F61,rrcworking[RRC ID],0))</f>
        <v>0</v>
      </c>
    </row>
    <row r="62" spans="1:43">
      <c r="A62" s="4" t="s">
        <v>1</v>
      </c>
      <c r="B62" s="1" t="s">
        <v>960</v>
      </c>
      <c r="C62" s="10" t="s">
        <v>909</v>
      </c>
      <c r="D62" s="1" t="s">
        <v>618</v>
      </c>
      <c r="E62" s="1" t="s">
        <v>59</v>
      </c>
      <c r="F62" s="1" t="s">
        <v>474</v>
      </c>
      <c r="I62" s="10" t="s">
        <v>3</v>
      </c>
      <c r="J62" s="118" t="s">
        <v>3</v>
      </c>
      <c r="K62" s="1" t="s">
        <v>1090</v>
      </c>
      <c r="M62" s="5">
        <v>202005</v>
      </c>
      <c r="N62" s="5">
        <f>INDEX(rrcworking[Formation Production (MCF) @ 14.65 psi],MATCH('May 2020 EDI'!F62,rrcworking[RRC ID],0))</f>
        <v>7312</v>
      </c>
      <c r="O62" s="5">
        <f>INDEX(rrcworking[Lease Use (MCF)],MATCH('May 2020 EDI'!F62,rrcworking[RRC ID],0))</f>
        <v>403</v>
      </c>
      <c r="P62" s="5">
        <f>INDEX(rrcworking[Gas Sales Statement Volume (MCF)],MATCH('May 2020 EDI'!F62,rrcworking[RRC ID],0))</f>
        <v>6909</v>
      </c>
      <c r="R62" s="246">
        <f>INDEX(rrcworking[Flared Gas],MATCH('May 2020 EDI'!F62,rrcworking[RRC ID],0))</f>
        <v>0</v>
      </c>
      <c r="Y62" s="5">
        <f>INDEX(rrcworking[Oil Production],MATCH('May 2020 EDI'!F62,rrcworking[RRC ID],0))</f>
        <v>25</v>
      </c>
      <c r="AA62" s="5">
        <f>INDEX(rrcworking[Sales/Dispostion],MATCH('May 2020 EDI'!F62,rrcworking[RRC ID],0))</f>
        <v>0</v>
      </c>
      <c r="AQ62" s="5">
        <f>INDEX(rrcworking[Closing Stock (Oil)],MATCH('May 2020 EDI'!F62,rrcworking[RRC ID],0))</f>
        <v>174</v>
      </c>
    </row>
    <row r="63" spans="1:43">
      <c r="A63" s="4" t="s">
        <v>1</v>
      </c>
      <c r="B63" s="1" t="s">
        <v>961</v>
      </c>
      <c r="C63" s="10" t="s">
        <v>909</v>
      </c>
      <c r="D63" s="1" t="s">
        <v>618</v>
      </c>
      <c r="E63" s="1" t="s">
        <v>59</v>
      </c>
      <c r="F63" s="1" t="s">
        <v>475</v>
      </c>
      <c r="I63" s="10" t="s">
        <v>3</v>
      </c>
      <c r="J63" s="118" t="s">
        <v>3</v>
      </c>
      <c r="K63" s="1" t="s">
        <v>1090</v>
      </c>
      <c r="M63" s="5">
        <v>202005</v>
      </c>
      <c r="N63" s="5">
        <f>INDEX(rrcworking[Formation Production (MCF) @ 14.65 psi],MATCH('May 2020 EDI'!F63,rrcworking[RRC ID],0))</f>
        <v>0</v>
      </c>
      <c r="O63" s="5">
        <f>INDEX(rrcworking[Lease Use (MCF)],MATCH('May 2020 EDI'!F63,rrcworking[RRC ID],0))</f>
        <v>0</v>
      </c>
      <c r="P63" s="5">
        <f>INDEX(rrcworking[Gas Sales Statement Volume (MCF)],MATCH('May 2020 EDI'!F63,rrcworking[RRC ID],0))</f>
        <v>0</v>
      </c>
      <c r="R63" s="246">
        <f>INDEX(rrcworking[Flared Gas],MATCH('May 2020 EDI'!F63,rrcworking[RRC ID],0))</f>
        <v>0</v>
      </c>
      <c r="Y63" s="5">
        <f>INDEX(rrcworking[Oil Production],MATCH('May 2020 EDI'!F63,rrcworking[RRC ID],0))</f>
        <v>0</v>
      </c>
      <c r="AA63" s="5">
        <f>INDEX(rrcworking[Sales/Dispostion],MATCH('May 2020 EDI'!F63,rrcworking[RRC ID],0))</f>
        <v>0</v>
      </c>
      <c r="AQ63" s="5">
        <f>INDEX(rrcworking[Closing Stock (Oil)],MATCH('May 2020 EDI'!F63,rrcworking[RRC ID],0))</f>
        <v>0</v>
      </c>
    </row>
    <row r="64" spans="1:43">
      <c r="A64" s="4" t="s">
        <v>1</v>
      </c>
      <c r="B64" s="1" t="s">
        <v>962</v>
      </c>
      <c r="C64" s="10" t="s">
        <v>909</v>
      </c>
      <c r="D64" s="1" t="s">
        <v>618</v>
      </c>
      <c r="E64" s="1" t="s">
        <v>59</v>
      </c>
      <c r="F64" s="1" t="s">
        <v>476</v>
      </c>
      <c r="I64" s="10" t="s">
        <v>3</v>
      </c>
      <c r="J64" s="118" t="s">
        <v>3</v>
      </c>
      <c r="K64" s="1" t="s">
        <v>1090</v>
      </c>
      <c r="M64" s="5">
        <v>202005</v>
      </c>
      <c r="N64" s="5">
        <f>INDEX(rrcworking[Formation Production (MCF) @ 14.65 psi],MATCH('May 2020 EDI'!F64,rrcworking[RRC ID],0))</f>
        <v>0</v>
      </c>
      <c r="O64" s="5">
        <f>INDEX(rrcworking[Lease Use (MCF)],MATCH('May 2020 EDI'!F64,rrcworking[RRC ID],0))</f>
        <v>0</v>
      </c>
      <c r="P64" s="5">
        <f>INDEX(rrcworking[Gas Sales Statement Volume (MCF)],MATCH('May 2020 EDI'!F64,rrcworking[RRC ID],0))</f>
        <v>0</v>
      </c>
      <c r="R64" s="246">
        <f>INDEX(rrcworking[Flared Gas],MATCH('May 2020 EDI'!F64,rrcworking[RRC ID],0))</f>
        <v>0</v>
      </c>
      <c r="Y64" s="5">
        <f>INDEX(rrcworking[Oil Production],MATCH('May 2020 EDI'!F64,rrcworking[RRC ID],0))</f>
        <v>0</v>
      </c>
      <c r="AA64" s="5">
        <f>INDEX(rrcworking[Sales/Dispostion],MATCH('May 2020 EDI'!F64,rrcworking[RRC ID],0))</f>
        <v>0</v>
      </c>
      <c r="AQ64" s="5">
        <f>INDEX(rrcworking[Closing Stock (Oil)],MATCH('May 2020 EDI'!F64,rrcworking[RRC ID],0))</f>
        <v>173</v>
      </c>
    </row>
    <row r="65" spans="1:46">
      <c r="A65" s="4" t="s">
        <v>1</v>
      </c>
      <c r="B65" s="1" t="s">
        <v>963</v>
      </c>
      <c r="C65" s="10" t="s">
        <v>909</v>
      </c>
      <c r="D65" s="1" t="s">
        <v>618</v>
      </c>
      <c r="E65" s="1" t="s">
        <v>2</v>
      </c>
      <c r="F65" s="1" t="s">
        <v>477</v>
      </c>
      <c r="I65" s="10" t="s">
        <v>3</v>
      </c>
      <c r="J65" s="118" t="s">
        <v>3</v>
      </c>
      <c r="K65" s="1" t="s">
        <v>1090</v>
      </c>
      <c r="M65" s="5">
        <v>202005</v>
      </c>
      <c r="N65" s="5">
        <f>INDEX(rrcworking[Formation Production (MCF) @ 14.65 psi],MATCH('May 2020 EDI'!F65,rrcworking[RRC ID],0))</f>
        <v>1</v>
      </c>
      <c r="O65" s="5">
        <f>INDEX(rrcworking[Lease Use (MCF)],MATCH('May 2020 EDI'!F65,rrcworking[RRC ID],0))</f>
        <v>1</v>
      </c>
      <c r="P65" s="5">
        <f>INDEX(rrcworking[Gas Sales Statement Volume (MCF)],MATCH('May 2020 EDI'!F65,rrcworking[RRC ID],0))</f>
        <v>0</v>
      </c>
      <c r="R65" s="246">
        <f>INDEX(rrcworking[Flared Gas],MATCH('May 2020 EDI'!F65,rrcworking[RRC ID],0))</f>
        <v>0</v>
      </c>
      <c r="Y65" s="5">
        <f>INDEX(rrcworking[Oil Production],MATCH('May 2020 EDI'!F65,rrcworking[RRC ID],0))</f>
        <v>3</v>
      </c>
      <c r="AA65" s="5">
        <f>INDEX(rrcworking[Sales/Dispostion],MATCH('May 2020 EDI'!F65,rrcworking[RRC ID],0))</f>
        <v>0</v>
      </c>
      <c r="AQ65" s="5">
        <f>INDEX(rrcworking[Closing Stock (Oil)],MATCH('May 2020 EDI'!F65,rrcworking[RRC ID],0))</f>
        <v>435</v>
      </c>
      <c r="AT65" s="10"/>
    </row>
    <row r="66" spans="1:46">
      <c r="A66" s="4" t="s">
        <v>1</v>
      </c>
      <c r="B66" s="1" t="s">
        <v>964</v>
      </c>
      <c r="C66" s="10" t="s">
        <v>909</v>
      </c>
      <c r="D66" s="1" t="s">
        <v>618</v>
      </c>
      <c r="E66" s="1" t="s">
        <v>59</v>
      </c>
      <c r="F66" s="1" t="s">
        <v>478</v>
      </c>
      <c r="I66" s="10" t="s">
        <v>3</v>
      </c>
      <c r="J66" s="118" t="s">
        <v>3</v>
      </c>
      <c r="K66" s="1" t="s">
        <v>1090</v>
      </c>
      <c r="M66" s="5">
        <v>202005</v>
      </c>
      <c r="N66" s="5">
        <f>INDEX(rrcworking[Formation Production (MCF) @ 14.65 psi],MATCH('May 2020 EDI'!F66,rrcworking[RRC ID],0))</f>
        <v>857</v>
      </c>
      <c r="O66" s="5">
        <f>INDEX(rrcworking[Lease Use (MCF)],MATCH('May 2020 EDI'!F66,rrcworking[RRC ID],0))</f>
        <v>62</v>
      </c>
      <c r="P66" s="5">
        <f>INDEX(rrcworking[Gas Sales Statement Volume (MCF)],MATCH('May 2020 EDI'!F66,rrcworking[RRC ID],0))</f>
        <v>795</v>
      </c>
      <c r="R66" s="246">
        <f>INDEX(rrcworking[Flared Gas],MATCH('May 2020 EDI'!F66,rrcworking[RRC ID],0))</f>
        <v>0</v>
      </c>
      <c r="Y66" s="5">
        <f>INDEX(rrcworking[Oil Production],MATCH('May 2020 EDI'!F66,rrcworking[RRC ID],0))</f>
        <v>0</v>
      </c>
      <c r="AA66" s="5">
        <f>INDEX(rrcworking[Sales/Dispostion],MATCH('May 2020 EDI'!F66,rrcworking[RRC ID],0))</f>
        <v>0</v>
      </c>
      <c r="AQ66" s="5">
        <f>INDEX(rrcworking[Closing Stock (Oil)],MATCH('May 2020 EDI'!F66,rrcworking[RRC ID],0))</f>
        <v>384</v>
      </c>
    </row>
    <row r="67" spans="1:46">
      <c r="A67" s="4" t="s">
        <v>1</v>
      </c>
      <c r="B67" s="1" t="s">
        <v>965</v>
      </c>
      <c r="C67" s="10" t="s">
        <v>909</v>
      </c>
      <c r="D67" s="1" t="s">
        <v>618</v>
      </c>
      <c r="E67" s="1" t="s">
        <v>2</v>
      </c>
      <c r="F67" s="1" t="s">
        <v>479</v>
      </c>
      <c r="I67" s="10" t="s">
        <v>3</v>
      </c>
      <c r="J67" s="118" t="s">
        <v>3</v>
      </c>
      <c r="K67" s="1" t="s">
        <v>1090</v>
      </c>
      <c r="M67" s="5">
        <v>202005</v>
      </c>
      <c r="N67" s="5">
        <f>INDEX(rrcworking[Formation Production (MCF) @ 14.65 psi],MATCH('May 2020 EDI'!F67,rrcworking[RRC ID],0))</f>
        <v>0</v>
      </c>
      <c r="O67" s="5">
        <f>INDEX(rrcworking[Lease Use (MCF)],MATCH('May 2020 EDI'!F67,rrcworking[RRC ID],0))</f>
        <v>0</v>
      </c>
      <c r="P67" s="5">
        <f>INDEX(rrcworking[Gas Sales Statement Volume (MCF)],MATCH('May 2020 EDI'!F67,rrcworking[RRC ID],0))</f>
        <v>0</v>
      </c>
      <c r="R67" s="246">
        <f>INDEX(rrcworking[Flared Gas],MATCH('May 2020 EDI'!F67,rrcworking[RRC ID],0))</f>
        <v>0</v>
      </c>
      <c r="Y67" s="5">
        <f>INDEX(rrcworking[Oil Production],MATCH('May 2020 EDI'!F67,rrcworking[RRC ID],0))</f>
        <v>0</v>
      </c>
      <c r="AA67" s="5">
        <f>INDEX(rrcworking[Sales/Dispostion],MATCH('May 2020 EDI'!F67,rrcworking[RRC ID],0))</f>
        <v>0</v>
      </c>
      <c r="AQ67" s="5">
        <f>INDEX(rrcworking[Closing Stock (Oil)],MATCH('May 2020 EDI'!F67,rrcworking[RRC ID],0))</f>
        <v>182</v>
      </c>
      <c r="AT67" s="10"/>
    </row>
    <row r="68" spans="1:46">
      <c r="A68" s="4" t="s">
        <v>1</v>
      </c>
      <c r="B68" s="1" t="s">
        <v>966</v>
      </c>
      <c r="C68" s="10" t="s">
        <v>909</v>
      </c>
      <c r="D68" s="1" t="s">
        <v>618</v>
      </c>
      <c r="E68" s="1" t="s">
        <v>2</v>
      </c>
      <c r="F68" s="1" t="s">
        <v>480</v>
      </c>
      <c r="I68" s="10" t="s">
        <v>3</v>
      </c>
      <c r="J68" s="118" t="s">
        <v>3</v>
      </c>
      <c r="K68" s="1" t="s">
        <v>1090</v>
      </c>
      <c r="M68" s="5">
        <v>202005</v>
      </c>
      <c r="N68" s="5">
        <f>INDEX(rrcworking[Formation Production (MCF) @ 14.65 psi],MATCH('May 2020 EDI'!F68,rrcworking[RRC ID],0))</f>
        <v>1172</v>
      </c>
      <c r="O68" s="5">
        <f>INDEX(rrcworking[Lease Use (MCF)],MATCH('May 2020 EDI'!F68,rrcworking[RRC ID],0))</f>
        <v>31</v>
      </c>
      <c r="P68" s="5">
        <f>INDEX(rrcworking[Gas Sales Statement Volume (MCF)],MATCH('May 2020 EDI'!F68,rrcworking[RRC ID],0))</f>
        <v>1141</v>
      </c>
      <c r="R68" s="246">
        <f>INDEX(rrcworking[Flared Gas],MATCH('May 2020 EDI'!F68,rrcworking[RRC ID],0))</f>
        <v>0</v>
      </c>
      <c r="Y68" s="5">
        <f>INDEX(rrcworking[Oil Production],MATCH('May 2020 EDI'!F68,rrcworking[RRC ID],0))</f>
        <v>868</v>
      </c>
      <c r="AA68" s="5">
        <f>INDEX(rrcworking[Sales/Dispostion],MATCH('May 2020 EDI'!F68,rrcworking[RRC ID],0))</f>
        <v>0</v>
      </c>
      <c r="AQ68" s="5">
        <f>INDEX(rrcworking[Closing Stock (Oil)],MATCH('May 2020 EDI'!F68,rrcworking[RRC ID],0))</f>
        <v>1833</v>
      </c>
      <c r="AT68" s="10"/>
    </row>
    <row r="69" spans="1:46">
      <c r="A69" s="4" t="s">
        <v>1</v>
      </c>
      <c r="B69" s="1" t="s">
        <v>967</v>
      </c>
      <c r="C69" s="10" t="s">
        <v>909</v>
      </c>
      <c r="D69" s="1" t="s">
        <v>618</v>
      </c>
      <c r="E69" s="1" t="s">
        <v>2</v>
      </c>
      <c r="F69" s="1" t="s">
        <v>482</v>
      </c>
      <c r="I69" s="10" t="s">
        <v>3</v>
      </c>
      <c r="J69" s="118" t="s">
        <v>3</v>
      </c>
      <c r="K69" s="1" t="s">
        <v>1090</v>
      </c>
      <c r="M69" s="5">
        <v>202005</v>
      </c>
      <c r="N69" s="5">
        <f>INDEX(rrcworking[Formation Production (MCF) @ 14.65 psi],MATCH('May 2020 EDI'!F69,rrcworking[RRC ID],0))</f>
        <v>0</v>
      </c>
      <c r="O69" s="5">
        <f>INDEX(rrcworking[Lease Use (MCF)],MATCH('May 2020 EDI'!F69,rrcworking[RRC ID],0))</f>
        <v>0</v>
      </c>
      <c r="P69" s="5">
        <f>INDEX(rrcworking[Gas Sales Statement Volume (MCF)],MATCH('May 2020 EDI'!F69,rrcworking[RRC ID],0))</f>
        <v>0</v>
      </c>
      <c r="R69" s="246">
        <f>INDEX(rrcworking[Flared Gas],MATCH('May 2020 EDI'!F69,rrcworking[RRC ID],0))</f>
        <v>0</v>
      </c>
      <c r="Y69" s="5">
        <f>INDEX(rrcworking[Oil Production],MATCH('May 2020 EDI'!F69,rrcworking[RRC ID],0))</f>
        <v>0</v>
      </c>
      <c r="AA69" s="5">
        <f>INDEX(rrcworking[Sales/Dispostion],MATCH('May 2020 EDI'!F69,rrcworking[RRC ID],0))</f>
        <v>0</v>
      </c>
      <c r="AQ69" s="5">
        <f>INDEX(rrcworking[Closing Stock (Oil)],MATCH('May 2020 EDI'!F69,rrcworking[RRC ID],0))</f>
        <v>114</v>
      </c>
    </row>
    <row r="70" spans="1:46">
      <c r="A70" s="4" t="s">
        <v>1</v>
      </c>
      <c r="B70" s="1" t="s">
        <v>968</v>
      </c>
      <c r="C70" s="10" t="s">
        <v>909</v>
      </c>
      <c r="D70" s="1" t="s">
        <v>618</v>
      </c>
      <c r="E70" s="1" t="s">
        <v>59</v>
      </c>
      <c r="F70" s="1" t="s">
        <v>483</v>
      </c>
      <c r="I70" s="10" t="s">
        <v>3</v>
      </c>
      <c r="J70" s="118" t="s">
        <v>3</v>
      </c>
      <c r="K70" s="1" t="s">
        <v>1090</v>
      </c>
      <c r="M70" s="5">
        <v>202005</v>
      </c>
      <c r="N70" s="5">
        <f>INDEX(rrcworking[Formation Production (MCF) @ 14.65 psi],MATCH('May 2020 EDI'!F70,rrcworking[RRC ID],0))</f>
        <v>929</v>
      </c>
      <c r="O70" s="5">
        <f>INDEX(rrcworking[Lease Use (MCF)],MATCH('May 2020 EDI'!F70,rrcworking[RRC ID],0))</f>
        <v>31</v>
      </c>
      <c r="P70" s="5">
        <f>INDEX(rrcworking[Gas Sales Statement Volume (MCF)],MATCH('May 2020 EDI'!F70,rrcworking[RRC ID],0))</f>
        <v>898</v>
      </c>
      <c r="R70" s="246">
        <f>INDEX(rrcworking[Flared Gas],MATCH('May 2020 EDI'!F70,rrcworking[RRC ID],0))</f>
        <v>0</v>
      </c>
      <c r="Y70" s="5">
        <f>INDEX(rrcworking[Oil Production],MATCH('May 2020 EDI'!F70,rrcworking[RRC ID],0))</f>
        <v>23</v>
      </c>
      <c r="AA70" s="5">
        <f>INDEX(rrcworking[Sales/Dispostion],MATCH('May 2020 EDI'!F70,rrcworking[RRC ID],0))</f>
        <v>0</v>
      </c>
      <c r="AQ70" s="5">
        <f>INDEX(rrcworking[Closing Stock (Oil)],MATCH('May 2020 EDI'!F70,rrcworking[RRC ID],0))</f>
        <v>127</v>
      </c>
    </row>
    <row r="71" spans="1:46">
      <c r="A71" s="4" t="s">
        <v>1</v>
      </c>
      <c r="B71" s="1" t="s">
        <v>969</v>
      </c>
      <c r="C71" s="10" t="s">
        <v>909</v>
      </c>
      <c r="D71" s="1" t="s">
        <v>618</v>
      </c>
      <c r="E71" s="1" t="s">
        <v>2</v>
      </c>
      <c r="F71" s="1" t="s">
        <v>484</v>
      </c>
      <c r="I71" s="10" t="s">
        <v>3</v>
      </c>
      <c r="J71" s="118" t="s">
        <v>3</v>
      </c>
      <c r="K71" s="1" t="s">
        <v>1090</v>
      </c>
      <c r="M71" s="5">
        <v>202005</v>
      </c>
      <c r="N71" s="5">
        <f>INDEX(rrcworking[Formation Production (MCF) @ 14.65 psi],MATCH('May 2020 EDI'!F71,rrcworking[RRC ID],0))</f>
        <v>0</v>
      </c>
      <c r="O71" s="5">
        <f>INDEX(rrcworking[Lease Use (MCF)],MATCH('May 2020 EDI'!F71,rrcworking[RRC ID],0))</f>
        <v>0</v>
      </c>
      <c r="P71" s="5">
        <f>INDEX(rrcworking[Gas Sales Statement Volume (MCF)],MATCH('May 2020 EDI'!F71,rrcworking[RRC ID],0))</f>
        <v>0</v>
      </c>
      <c r="R71" s="246">
        <f>INDEX(rrcworking[Flared Gas],MATCH('May 2020 EDI'!F71,rrcworking[RRC ID],0))</f>
        <v>0</v>
      </c>
      <c r="Y71" s="5">
        <f>INDEX(rrcworking[Oil Production],MATCH('May 2020 EDI'!F71,rrcworking[RRC ID],0))</f>
        <v>0</v>
      </c>
      <c r="AA71" s="5">
        <f>INDEX(rrcworking[Sales/Dispostion],MATCH('May 2020 EDI'!F71,rrcworking[RRC ID],0))</f>
        <v>0</v>
      </c>
      <c r="AQ71" s="5">
        <f>INDEX(rrcworking[Closing Stock (Oil)],MATCH('May 2020 EDI'!F71,rrcworking[RRC ID],0))</f>
        <v>0</v>
      </c>
    </row>
    <row r="72" spans="1:46">
      <c r="A72" s="4" t="s">
        <v>1</v>
      </c>
      <c r="B72" s="1" t="s">
        <v>970</v>
      </c>
      <c r="C72" s="10" t="s">
        <v>909</v>
      </c>
      <c r="D72" s="1" t="s">
        <v>618</v>
      </c>
      <c r="E72" s="1" t="s">
        <v>2</v>
      </c>
      <c r="F72" s="1" t="s">
        <v>485</v>
      </c>
      <c r="I72" s="10" t="s">
        <v>3</v>
      </c>
      <c r="J72" s="118" t="s">
        <v>3</v>
      </c>
      <c r="K72" s="1" t="s">
        <v>1090</v>
      </c>
      <c r="M72" s="5">
        <v>202005</v>
      </c>
      <c r="N72" s="5">
        <f>INDEX(rrcworking[Formation Production (MCF) @ 14.65 psi],MATCH('May 2020 EDI'!F72,rrcworking[RRC ID],0))</f>
        <v>0</v>
      </c>
      <c r="O72" s="5">
        <f>INDEX(rrcworking[Lease Use (MCF)],MATCH('May 2020 EDI'!F72,rrcworking[RRC ID],0))</f>
        <v>0</v>
      </c>
      <c r="P72" s="5">
        <f>INDEX(rrcworking[Gas Sales Statement Volume (MCF)],MATCH('May 2020 EDI'!F72,rrcworking[RRC ID],0))</f>
        <v>0</v>
      </c>
      <c r="R72" s="246">
        <f>INDEX(rrcworking[Flared Gas],MATCH('May 2020 EDI'!F72,rrcworking[RRC ID],0))</f>
        <v>0</v>
      </c>
      <c r="Y72" s="5">
        <f>INDEX(rrcworking[Oil Production],MATCH('May 2020 EDI'!F72,rrcworking[RRC ID],0))</f>
        <v>32</v>
      </c>
      <c r="AA72" s="5">
        <f>INDEX(rrcworking[Sales/Dispostion],MATCH('May 2020 EDI'!F72,rrcworking[RRC ID],0))</f>
        <v>0</v>
      </c>
      <c r="AQ72" s="5">
        <f>INDEX(rrcworking[Closing Stock (Oil)],MATCH('May 2020 EDI'!F72,rrcworking[RRC ID],0))</f>
        <v>343</v>
      </c>
    </row>
    <row r="73" spans="1:46">
      <c r="A73" s="4" t="s">
        <v>1</v>
      </c>
      <c r="B73" s="1" t="s">
        <v>971</v>
      </c>
      <c r="C73" s="10" t="s">
        <v>909</v>
      </c>
      <c r="D73" s="1" t="s">
        <v>618</v>
      </c>
      <c r="E73" s="1" t="s">
        <v>2</v>
      </c>
      <c r="F73" s="1" t="s">
        <v>486</v>
      </c>
      <c r="I73" s="10" t="s">
        <v>3</v>
      </c>
      <c r="J73" s="118" t="s">
        <v>3</v>
      </c>
      <c r="K73" s="1" t="s">
        <v>1090</v>
      </c>
      <c r="M73" s="5">
        <v>202005</v>
      </c>
      <c r="N73" s="5">
        <f>INDEX(rrcworking[Formation Production (MCF) @ 14.65 psi],MATCH('May 2020 EDI'!F73,rrcworking[RRC ID],0))</f>
        <v>0</v>
      </c>
      <c r="O73" s="5">
        <f>INDEX(rrcworking[Lease Use (MCF)],MATCH('May 2020 EDI'!F73,rrcworking[RRC ID],0))</f>
        <v>0</v>
      </c>
      <c r="P73" s="5">
        <f>INDEX(rrcworking[Gas Sales Statement Volume (MCF)],MATCH('May 2020 EDI'!F73,rrcworking[RRC ID],0))</f>
        <v>0</v>
      </c>
      <c r="R73" s="246">
        <f>INDEX(rrcworking[Flared Gas],MATCH('May 2020 EDI'!F73,rrcworking[RRC ID],0))</f>
        <v>0</v>
      </c>
      <c r="Y73" s="5">
        <f>INDEX(rrcworking[Oil Production],MATCH('May 2020 EDI'!F73,rrcworking[RRC ID],0))</f>
        <v>0</v>
      </c>
      <c r="AA73" s="5">
        <f>INDEX(rrcworking[Sales/Dispostion],MATCH('May 2020 EDI'!F73,rrcworking[RRC ID],0))</f>
        <v>0</v>
      </c>
      <c r="AQ73" s="5">
        <f>INDEX(rrcworking[Closing Stock (Oil)],MATCH('May 2020 EDI'!F73,rrcworking[RRC ID],0))</f>
        <v>52</v>
      </c>
    </row>
    <row r="74" spans="1:46">
      <c r="A74" s="4" t="s">
        <v>1</v>
      </c>
      <c r="B74" s="1" t="s">
        <v>972</v>
      </c>
      <c r="C74" s="10" t="s">
        <v>909</v>
      </c>
      <c r="D74" s="1" t="s">
        <v>618</v>
      </c>
      <c r="E74" s="1" t="s">
        <v>2</v>
      </c>
      <c r="F74" s="1" t="s">
        <v>487</v>
      </c>
      <c r="I74" s="10" t="s">
        <v>3</v>
      </c>
      <c r="J74" s="118" t="s">
        <v>3</v>
      </c>
      <c r="K74" s="1" t="s">
        <v>1090</v>
      </c>
      <c r="M74" s="5">
        <v>202005</v>
      </c>
      <c r="N74" s="5">
        <f>INDEX(rrcworking[Formation Production (MCF) @ 14.65 psi],MATCH('May 2020 EDI'!F74,rrcworking[RRC ID],0))</f>
        <v>0</v>
      </c>
      <c r="O74" s="5">
        <f>INDEX(rrcworking[Lease Use (MCF)],MATCH('May 2020 EDI'!F74,rrcworking[RRC ID],0))</f>
        <v>0</v>
      </c>
      <c r="P74" s="5">
        <f>INDEX(rrcworking[Gas Sales Statement Volume (MCF)],MATCH('May 2020 EDI'!F74,rrcworking[RRC ID],0))</f>
        <v>0</v>
      </c>
      <c r="R74" s="246">
        <f>INDEX(rrcworking[Flared Gas],MATCH('May 2020 EDI'!F74,rrcworking[RRC ID],0))</f>
        <v>0</v>
      </c>
      <c r="Y74" s="5">
        <f>INDEX(rrcworking[Oil Production],MATCH('May 2020 EDI'!F74,rrcworking[RRC ID],0))</f>
        <v>0</v>
      </c>
      <c r="AA74" s="5">
        <f>INDEX(rrcworking[Sales/Dispostion],MATCH('May 2020 EDI'!F74,rrcworking[RRC ID],0))</f>
        <v>0</v>
      </c>
      <c r="AQ74" s="5">
        <f>INDEX(rrcworking[Closing Stock (Oil)],MATCH('May 2020 EDI'!F74,rrcworking[RRC ID],0))</f>
        <v>229</v>
      </c>
    </row>
    <row r="75" spans="1:46">
      <c r="A75" s="4" t="s">
        <v>1</v>
      </c>
      <c r="B75" s="1" t="s">
        <v>973</v>
      </c>
      <c r="C75" s="10" t="s">
        <v>909</v>
      </c>
      <c r="D75" s="1" t="s">
        <v>618</v>
      </c>
      <c r="E75" s="1" t="s">
        <v>2</v>
      </c>
      <c r="F75" s="1" t="s">
        <v>488</v>
      </c>
      <c r="I75" s="10" t="s">
        <v>3</v>
      </c>
      <c r="J75" s="118" t="s">
        <v>3</v>
      </c>
      <c r="K75" s="1" t="s">
        <v>1090</v>
      </c>
      <c r="M75" s="5">
        <v>202005</v>
      </c>
      <c r="N75" s="5">
        <f>INDEX(rrcworking[Formation Production (MCF) @ 14.65 psi],MATCH('May 2020 EDI'!F75,rrcworking[RRC ID],0))</f>
        <v>0</v>
      </c>
      <c r="O75" s="5">
        <f>INDEX(rrcworking[Lease Use (MCF)],MATCH('May 2020 EDI'!F75,rrcworking[RRC ID],0))</f>
        <v>0</v>
      </c>
      <c r="P75" s="5">
        <f>INDEX(rrcworking[Gas Sales Statement Volume (MCF)],MATCH('May 2020 EDI'!F75,rrcworking[RRC ID],0))</f>
        <v>0</v>
      </c>
      <c r="R75" s="246">
        <f>INDEX(rrcworking[Flared Gas],MATCH('May 2020 EDI'!F75,rrcworking[RRC ID],0))</f>
        <v>0</v>
      </c>
      <c r="Y75" s="5">
        <f>INDEX(rrcworking[Oil Production],MATCH('May 2020 EDI'!F75,rrcworking[RRC ID],0))</f>
        <v>2</v>
      </c>
      <c r="AA75" s="5">
        <f>INDEX(rrcworking[Sales/Dispostion],MATCH('May 2020 EDI'!F75,rrcworking[RRC ID],0))</f>
        <v>0</v>
      </c>
      <c r="AQ75" s="5">
        <f>INDEX(rrcworking[Closing Stock (Oil)],MATCH('May 2020 EDI'!F75,rrcworking[RRC ID],0))</f>
        <v>252</v>
      </c>
    </row>
    <row r="76" spans="1:46">
      <c r="A76" s="4" t="s">
        <v>1</v>
      </c>
      <c r="B76" s="1" t="s">
        <v>974</v>
      </c>
      <c r="C76" s="10" t="s">
        <v>909</v>
      </c>
      <c r="D76" s="1" t="s">
        <v>618</v>
      </c>
      <c r="E76" s="1" t="s">
        <v>2</v>
      </c>
      <c r="F76" s="1" t="s">
        <v>489</v>
      </c>
      <c r="I76" s="10" t="s">
        <v>3</v>
      </c>
      <c r="J76" s="118" t="s">
        <v>3</v>
      </c>
      <c r="K76" s="1" t="s">
        <v>1090</v>
      </c>
      <c r="M76" s="5">
        <v>202005</v>
      </c>
      <c r="N76" s="5">
        <f>INDEX(rrcworking[Formation Production (MCF) @ 14.65 psi],MATCH('May 2020 EDI'!F76,rrcworking[RRC ID],0))</f>
        <v>0</v>
      </c>
      <c r="O76" s="5">
        <f>INDEX(rrcworking[Lease Use (MCF)],MATCH('May 2020 EDI'!F76,rrcworking[RRC ID],0))</f>
        <v>0</v>
      </c>
      <c r="P76" s="5">
        <f>INDEX(rrcworking[Gas Sales Statement Volume (MCF)],MATCH('May 2020 EDI'!F76,rrcworking[RRC ID],0))</f>
        <v>0</v>
      </c>
      <c r="R76" s="246">
        <f>INDEX(rrcworking[Flared Gas],MATCH('May 2020 EDI'!F76,rrcworking[RRC ID],0))</f>
        <v>0</v>
      </c>
      <c r="Y76" s="5">
        <f>INDEX(rrcworking[Oil Production],MATCH('May 2020 EDI'!F76,rrcworking[RRC ID],0))</f>
        <v>15</v>
      </c>
      <c r="AA76" s="5">
        <f>INDEX(rrcworking[Sales/Dispostion],MATCH('May 2020 EDI'!F76,rrcworking[RRC ID],0))</f>
        <v>0</v>
      </c>
      <c r="AQ76" s="5">
        <f>INDEX(rrcworking[Closing Stock (Oil)],MATCH('May 2020 EDI'!F76,rrcworking[RRC ID],0))</f>
        <v>312</v>
      </c>
    </row>
    <row r="77" spans="1:46">
      <c r="A77" s="4" t="s">
        <v>1</v>
      </c>
      <c r="B77" s="1" t="s">
        <v>975</v>
      </c>
      <c r="C77" s="10" t="s">
        <v>909</v>
      </c>
      <c r="D77" s="1" t="s">
        <v>618</v>
      </c>
      <c r="E77" s="1" t="s">
        <v>2</v>
      </c>
      <c r="F77" s="1" t="s">
        <v>490</v>
      </c>
      <c r="I77" s="10" t="s">
        <v>3</v>
      </c>
      <c r="J77" s="118" t="s">
        <v>3</v>
      </c>
      <c r="K77" s="1" t="s">
        <v>1090</v>
      </c>
      <c r="M77" s="5">
        <v>202005</v>
      </c>
      <c r="N77" s="5">
        <f>INDEX(rrcworking[Formation Production (MCF) @ 14.65 psi],MATCH('May 2020 EDI'!F77,rrcworking[RRC ID],0))</f>
        <v>0</v>
      </c>
      <c r="O77" s="5">
        <f>INDEX(rrcworking[Lease Use (MCF)],MATCH('May 2020 EDI'!F77,rrcworking[RRC ID],0))</f>
        <v>0</v>
      </c>
      <c r="P77" s="5">
        <f>INDEX(rrcworking[Gas Sales Statement Volume (MCF)],MATCH('May 2020 EDI'!F77,rrcworking[RRC ID],0))</f>
        <v>0</v>
      </c>
      <c r="R77" s="246">
        <f>INDEX(rrcworking[Flared Gas],MATCH('May 2020 EDI'!F77,rrcworking[RRC ID],0))</f>
        <v>0</v>
      </c>
      <c r="Y77" s="5">
        <f>INDEX(rrcworking[Oil Production],MATCH('May 2020 EDI'!F77,rrcworking[RRC ID],0))</f>
        <v>18</v>
      </c>
      <c r="AA77" s="5">
        <f>INDEX(rrcworking[Sales/Dispostion],MATCH('May 2020 EDI'!F77,rrcworking[RRC ID],0))</f>
        <v>0</v>
      </c>
      <c r="AQ77" s="5">
        <f>INDEX(rrcworking[Closing Stock (Oil)],MATCH('May 2020 EDI'!F77,rrcworking[RRC ID],0))</f>
        <v>428</v>
      </c>
    </row>
    <row r="78" spans="1:46">
      <c r="A78" s="4" t="s">
        <v>1</v>
      </c>
      <c r="B78" s="1" t="s">
        <v>976</v>
      </c>
      <c r="C78" s="10" t="s">
        <v>909</v>
      </c>
      <c r="D78" s="1" t="s">
        <v>618</v>
      </c>
      <c r="E78" s="1" t="s">
        <v>59</v>
      </c>
      <c r="F78" s="1" t="s">
        <v>491</v>
      </c>
      <c r="I78" s="10" t="s">
        <v>3</v>
      </c>
      <c r="J78" s="118" t="s">
        <v>3</v>
      </c>
      <c r="K78" s="1" t="s">
        <v>1090</v>
      </c>
      <c r="M78" s="5">
        <v>202005</v>
      </c>
      <c r="N78" s="5">
        <f>INDEX(rrcworking[Formation Production (MCF) @ 14.65 psi],MATCH('May 2020 EDI'!F78,rrcworking[RRC ID],0))</f>
        <v>0</v>
      </c>
      <c r="O78" s="5">
        <f>INDEX(rrcworking[Lease Use (MCF)],MATCH('May 2020 EDI'!F78,rrcworking[RRC ID],0))</f>
        <v>0</v>
      </c>
      <c r="P78" s="5">
        <f>INDEX(rrcworking[Gas Sales Statement Volume (MCF)],MATCH('May 2020 EDI'!F78,rrcworking[RRC ID],0))</f>
        <v>0</v>
      </c>
      <c r="R78" s="246">
        <f>INDEX(rrcworking[Flared Gas],MATCH('May 2020 EDI'!F78,rrcworking[RRC ID],0))</f>
        <v>0</v>
      </c>
      <c r="Y78" s="5">
        <f>INDEX(rrcworking[Oil Production],MATCH('May 2020 EDI'!F78,rrcworking[RRC ID],0))</f>
        <v>0</v>
      </c>
      <c r="AA78" s="5">
        <f>INDEX(rrcworking[Sales/Dispostion],MATCH('May 2020 EDI'!F78,rrcworking[RRC ID],0))</f>
        <v>0</v>
      </c>
      <c r="AQ78" s="5">
        <f>INDEX(rrcworking[Closing Stock (Oil)],MATCH('May 2020 EDI'!F78,rrcworking[RRC ID],0))</f>
        <v>0</v>
      </c>
    </row>
    <row r="79" spans="1:46">
      <c r="A79" s="4" t="s">
        <v>1</v>
      </c>
      <c r="B79" s="1" t="s">
        <v>977</v>
      </c>
      <c r="C79" s="10" t="s">
        <v>909</v>
      </c>
      <c r="D79" s="1" t="s">
        <v>618</v>
      </c>
      <c r="E79" s="1" t="s">
        <v>59</v>
      </c>
      <c r="F79" s="1" t="s">
        <v>492</v>
      </c>
      <c r="I79" s="10" t="s">
        <v>3</v>
      </c>
      <c r="J79" s="118" t="s">
        <v>3</v>
      </c>
      <c r="K79" s="1" t="s">
        <v>1090</v>
      </c>
      <c r="M79" s="5">
        <v>202005</v>
      </c>
      <c r="N79" s="5">
        <f>INDEX(rrcworking[Formation Production (MCF) @ 14.65 psi],MATCH('May 2020 EDI'!F79,rrcworking[RRC ID],0))</f>
        <v>0</v>
      </c>
      <c r="O79" s="5">
        <f>INDEX(rrcworking[Lease Use (MCF)],MATCH('May 2020 EDI'!F79,rrcworking[RRC ID],0))</f>
        <v>0</v>
      </c>
      <c r="P79" s="5">
        <f>INDEX(rrcworking[Gas Sales Statement Volume (MCF)],MATCH('May 2020 EDI'!F79,rrcworking[RRC ID],0))</f>
        <v>0</v>
      </c>
      <c r="R79" s="246">
        <f>INDEX(rrcworking[Flared Gas],MATCH('May 2020 EDI'!F79,rrcworking[RRC ID],0))</f>
        <v>0</v>
      </c>
      <c r="Y79" s="5">
        <f>INDEX(rrcworking[Oil Production],MATCH('May 2020 EDI'!F79,rrcworking[RRC ID],0))</f>
        <v>0</v>
      </c>
      <c r="AA79" s="5">
        <f>INDEX(rrcworking[Sales/Dispostion],MATCH('May 2020 EDI'!F79,rrcworking[RRC ID],0))</f>
        <v>0</v>
      </c>
      <c r="AQ79" s="5">
        <f>INDEX(rrcworking[Closing Stock (Oil)],MATCH('May 2020 EDI'!F79,rrcworking[RRC ID],0))</f>
        <v>150</v>
      </c>
    </row>
    <row r="80" spans="1:46">
      <c r="A80" s="4" t="s">
        <v>1</v>
      </c>
      <c r="B80" s="1" t="s">
        <v>978</v>
      </c>
      <c r="C80" s="10" t="s">
        <v>909</v>
      </c>
      <c r="D80" s="1" t="s">
        <v>618</v>
      </c>
      <c r="E80" s="1" t="s">
        <v>2</v>
      </c>
      <c r="F80" s="1" t="s">
        <v>494</v>
      </c>
      <c r="I80" s="10" t="s">
        <v>3</v>
      </c>
      <c r="J80" s="118" t="s">
        <v>3</v>
      </c>
      <c r="K80" s="1" t="s">
        <v>1090</v>
      </c>
      <c r="M80" s="5">
        <v>202005</v>
      </c>
      <c r="N80" s="5">
        <f>INDEX(rrcworking[Formation Production (MCF) @ 14.65 psi],MATCH('May 2020 EDI'!F80,rrcworking[RRC ID],0))</f>
        <v>0</v>
      </c>
      <c r="O80" s="5">
        <f>INDEX(rrcworking[Lease Use (MCF)],MATCH('May 2020 EDI'!F80,rrcworking[RRC ID],0))</f>
        <v>0</v>
      </c>
      <c r="P80" s="5">
        <f>INDEX(rrcworking[Gas Sales Statement Volume (MCF)],MATCH('May 2020 EDI'!F80,rrcworking[RRC ID],0))</f>
        <v>0</v>
      </c>
      <c r="R80" s="246">
        <f>INDEX(rrcworking[Flared Gas],MATCH('May 2020 EDI'!F80,rrcworking[RRC ID],0))</f>
        <v>0</v>
      </c>
      <c r="Y80" s="5">
        <f>INDEX(rrcworking[Oil Production],MATCH('May 2020 EDI'!F80,rrcworking[RRC ID],0))</f>
        <v>0</v>
      </c>
      <c r="AA80" s="5">
        <f>INDEX(rrcworking[Sales/Dispostion],MATCH('May 2020 EDI'!F80,rrcworking[RRC ID],0))</f>
        <v>0</v>
      </c>
      <c r="AQ80" s="5">
        <f>INDEX(rrcworking[Closing Stock (Oil)],MATCH('May 2020 EDI'!F80,rrcworking[RRC ID],0))</f>
        <v>18</v>
      </c>
    </row>
    <row r="81" spans="1:43">
      <c r="A81" s="4" t="s">
        <v>1</v>
      </c>
      <c r="B81" s="1" t="s">
        <v>979</v>
      </c>
      <c r="C81" s="10" t="s">
        <v>909</v>
      </c>
      <c r="D81" s="1" t="s">
        <v>618</v>
      </c>
      <c r="E81" s="1" t="s">
        <v>59</v>
      </c>
      <c r="F81" s="1" t="s">
        <v>1132</v>
      </c>
      <c r="I81" s="10" t="s">
        <v>3</v>
      </c>
      <c r="J81" s="118" t="s">
        <v>3</v>
      </c>
      <c r="M81" s="5">
        <v>202005</v>
      </c>
      <c r="N81" s="5">
        <f>INDEX(rrcworking[Formation Production (MCF) @ 14.65 psi],MATCH('May 2020 EDI'!F81,rrcworking[RRC ID],0))</f>
        <v>4494</v>
      </c>
      <c r="O81" s="5">
        <f>INDEX(rrcworking[Lease Use (MCF)],MATCH('May 2020 EDI'!F81,rrcworking[RRC ID],0))</f>
        <v>186</v>
      </c>
      <c r="P81" s="5">
        <f>INDEX(rrcworking[Gas Sales Statement Volume (MCF)],MATCH('May 2020 EDI'!F81,rrcworking[RRC ID],0))</f>
        <v>4308</v>
      </c>
      <c r="R81" s="246">
        <f>INDEX(rrcworking[Flared Gas],MATCH('May 2020 EDI'!F81,rrcworking[RRC ID],0))</f>
        <v>0</v>
      </c>
      <c r="Y81" s="5">
        <f>INDEX(rrcworking[Oil Production],MATCH('May 2020 EDI'!F81,rrcworking[RRC ID],0))</f>
        <v>14</v>
      </c>
      <c r="AA81" s="5">
        <f>INDEX(rrcworking[Sales/Dispostion],MATCH('May 2020 EDI'!F81,rrcworking[RRC ID],0))</f>
        <v>0</v>
      </c>
      <c r="AQ81" s="5">
        <f>INDEX(rrcworking[Closing Stock (Oil)],MATCH('May 2020 EDI'!F81,rrcworking[RRC ID],0))</f>
        <v>95</v>
      </c>
    </row>
    <row r="82" spans="1:43">
      <c r="A82" s="4" t="s">
        <v>1</v>
      </c>
      <c r="B82" s="1" t="s">
        <v>980</v>
      </c>
      <c r="C82" s="10" t="s">
        <v>909</v>
      </c>
      <c r="D82" s="1" t="s">
        <v>618</v>
      </c>
      <c r="E82" s="1" t="s">
        <v>2</v>
      </c>
      <c r="F82" s="1" t="s">
        <v>495</v>
      </c>
      <c r="I82" s="10" t="s">
        <v>3</v>
      </c>
      <c r="J82" s="118" t="s">
        <v>3</v>
      </c>
      <c r="K82" s="1" t="s">
        <v>1090</v>
      </c>
      <c r="M82" s="5">
        <v>202005</v>
      </c>
      <c r="N82" s="5">
        <f>INDEX(rrcworking[Formation Production (MCF) @ 14.65 psi],MATCH('May 2020 EDI'!F82,rrcworking[RRC ID],0))</f>
        <v>0</v>
      </c>
      <c r="O82" s="5">
        <f>INDEX(rrcworking[Lease Use (MCF)],MATCH('May 2020 EDI'!F82,rrcworking[RRC ID],0))</f>
        <v>0</v>
      </c>
      <c r="P82" s="5">
        <f>INDEX(rrcworking[Gas Sales Statement Volume (MCF)],MATCH('May 2020 EDI'!F82,rrcworking[RRC ID],0))</f>
        <v>0</v>
      </c>
      <c r="R82" s="246">
        <f>INDEX(rrcworking[Flared Gas],MATCH('May 2020 EDI'!F82,rrcworking[RRC ID],0))</f>
        <v>0</v>
      </c>
      <c r="Y82" s="5">
        <f>INDEX(rrcworking[Oil Production],MATCH('May 2020 EDI'!F82,rrcworking[RRC ID],0))</f>
        <v>0</v>
      </c>
      <c r="AA82" s="5">
        <f>INDEX(rrcworking[Sales/Dispostion],MATCH('May 2020 EDI'!F82,rrcworking[RRC ID],0))</f>
        <v>0</v>
      </c>
      <c r="AQ82" s="5">
        <f>INDEX(rrcworking[Closing Stock (Oil)],MATCH('May 2020 EDI'!F82,rrcworking[RRC ID],0))</f>
        <v>0</v>
      </c>
    </row>
    <row r="83" spans="1:43">
      <c r="A83" s="4" t="s">
        <v>1</v>
      </c>
      <c r="B83" s="1" t="s">
        <v>981</v>
      </c>
      <c r="C83" s="10" t="s">
        <v>909</v>
      </c>
      <c r="D83" s="1" t="s">
        <v>618</v>
      </c>
      <c r="E83" s="1" t="s">
        <v>59</v>
      </c>
      <c r="F83" s="1" t="s">
        <v>496</v>
      </c>
      <c r="I83" s="10" t="s">
        <v>3</v>
      </c>
      <c r="J83" s="118" t="s">
        <v>3</v>
      </c>
      <c r="K83" s="1">
        <v>1471</v>
      </c>
      <c r="M83" s="5">
        <v>202005</v>
      </c>
      <c r="N83" s="5">
        <f>INDEX(rrcworking[Formation Production (MCF) @ 14.65 psi],MATCH('May 2020 EDI'!F83,rrcworking[RRC ID],0))</f>
        <v>0</v>
      </c>
      <c r="O83" s="5">
        <f>INDEX(rrcworking[Lease Use (MCF)],MATCH('May 2020 EDI'!F83,rrcworking[RRC ID],0))</f>
        <v>0</v>
      </c>
      <c r="P83" s="5">
        <f>INDEX(rrcworking[Gas Sales Statement Volume (MCF)],MATCH('May 2020 EDI'!F83,rrcworking[RRC ID],0))</f>
        <v>0</v>
      </c>
      <c r="R83" s="246">
        <f>INDEX(rrcworking[Flared Gas],MATCH('May 2020 EDI'!F83,rrcworking[RRC ID],0))</f>
        <v>0</v>
      </c>
      <c r="Y83" s="5">
        <f>INDEX(rrcworking[Oil Production],MATCH('May 2020 EDI'!F83,rrcworking[RRC ID],0))</f>
        <v>0</v>
      </c>
      <c r="AA83" s="5">
        <f>INDEX(rrcworking[Sales/Dispostion],MATCH('May 2020 EDI'!F83,rrcworking[RRC ID],0))</f>
        <v>0</v>
      </c>
      <c r="AQ83" s="5">
        <f>INDEX(rrcworking[Closing Stock (Oil)],MATCH('May 2020 EDI'!F83,rrcworking[RRC ID],0))</f>
        <v>0</v>
      </c>
    </row>
    <row r="84" spans="1:43">
      <c r="A84" s="4" t="s">
        <v>1</v>
      </c>
      <c r="B84" s="1" t="s">
        <v>982</v>
      </c>
      <c r="C84" s="10" t="s">
        <v>909</v>
      </c>
      <c r="D84" s="1" t="s">
        <v>618</v>
      </c>
      <c r="E84" s="1" t="s">
        <v>2</v>
      </c>
      <c r="F84" s="1" t="s">
        <v>497</v>
      </c>
      <c r="I84" s="10" t="s">
        <v>3</v>
      </c>
      <c r="J84" s="118" t="s">
        <v>3</v>
      </c>
      <c r="K84" s="1">
        <v>1471</v>
      </c>
      <c r="M84" s="5">
        <v>202005</v>
      </c>
      <c r="N84" s="5">
        <f>INDEX(rrcworking[Formation Production (MCF) @ 14.65 psi],MATCH('May 2020 EDI'!F84,rrcworking[RRC ID],0))</f>
        <v>0</v>
      </c>
      <c r="O84" s="5">
        <f>INDEX(rrcworking[Lease Use (MCF)],MATCH('May 2020 EDI'!F84,rrcworking[RRC ID],0))</f>
        <v>0</v>
      </c>
      <c r="P84" s="5">
        <f>INDEX(rrcworking[Gas Sales Statement Volume (MCF)],MATCH('May 2020 EDI'!F84,rrcworking[RRC ID],0))</f>
        <v>0</v>
      </c>
      <c r="R84" s="246">
        <f>INDEX(rrcworking[Flared Gas],MATCH('May 2020 EDI'!F84,rrcworking[RRC ID],0))</f>
        <v>0</v>
      </c>
      <c r="Y84" s="5">
        <f>INDEX(rrcworking[Oil Production],MATCH('May 2020 EDI'!F84,rrcworking[RRC ID],0))</f>
        <v>0</v>
      </c>
      <c r="AA84" s="5">
        <f>INDEX(rrcworking[Sales/Dispostion],MATCH('May 2020 EDI'!F84,rrcworking[RRC ID],0))</f>
        <v>0</v>
      </c>
      <c r="AQ84" s="5">
        <f>INDEX(rrcworking[Closing Stock (Oil)],MATCH('May 2020 EDI'!F84,rrcworking[RRC ID],0))</f>
        <v>0</v>
      </c>
    </row>
    <row r="85" spans="1:43">
      <c r="A85" s="4" t="s">
        <v>1</v>
      </c>
      <c r="B85" s="1" t="s">
        <v>983</v>
      </c>
      <c r="C85" s="10" t="s">
        <v>909</v>
      </c>
      <c r="D85" s="1" t="s">
        <v>618</v>
      </c>
      <c r="E85" s="1" t="s">
        <v>59</v>
      </c>
      <c r="F85" s="1" t="s">
        <v>498</v>
      </c>
      <c r="I85" s="10" t="s">
        <v>3</v>
      </c>
      <c r="J85" s="118" t="s">
        <v>3</v>
      </c>
      <c r="K85" s="1" t="s">
        <v>1090</v>
      </c>
      <c r="M85" s="5">
        <v>202005</v>
      </c>
      <c r="N85" s="5">
        <f>INDEX(rrcworking[Formation Production (MCF) @ 14.65 psi],MATCH('May 2020 EDI'!F85,rrcworking[RRC ID],0))</f>
        <v>0</v>
      </c>
      <c r="O85" s="5">
        <f>INDEX(rrcworking[Lease Use (MCF)],MATCH('May 2020 EDI'!F85,rrcworking[RRC ID],0))</f>
        <v>0</v>
      </c>
      <c r="P85" s="5">
        <f>INDEX(rrcworking[Gas Sales Statement Volume (MCF)],MATCH('May 2020 EDI'!F85,rrcworking[RRC ID],0))</f>
        <v>0</v>
      </c>
      <c r="R85" s="246">
        <f>INDEX(rrcworking[Flared Gas],MATCH('May 2020 EDI'!F85,rrcworking[RRC ID],0))</f>
        <v>0</v>
      </c>
      <c r="Y85" s="5">
        <f>INDEX(rrcworking[Oil Production],MATCH('May 2020 EDI'!F85,rrcworking[RRC ID],0))</f>
        <v>0</v>
      </c>
      <c r="AA85" s="5">
        <f>INDEX(rrcworking[Sales/Dispostion],MATCH('May 2020 EDI'!F85,rrcworking[RRC ID],0))</f>
        <v>0</v>
      </c>
      <c r="AQ85" s="5">
        <f>INDEX(rrcworking[Closing Stock (Oil)],MATCH('May 2020 EDI'!F85,rrcworking[RRC ID],0))</f>
        <v>0</v>
      </c>
    </row>
    <row r="86" spans="1:43">
      <c r="A86" s="4" t="s">
        <v>1</v>
      </c>
      <c r="B86" s="1" t="s">
        <v>984</v>
      </c>
      <c r="C86" s="10" t="s">
        <v>909</v>
      </c>
      <c r="D86" s="1" t="s">
        <v>618</v>
      </c>
      <c r="E86" s="1" t="s">
        <v>2</v>
      </c>
      <c r="F86" s="10" t="s">
        <v>1248</v>
      </c>
      <c r="I86" s="10" t="s">
        <v>3</v>
      </c>
      <c r="J86" s="118" t="s">
        <v>3</v>
      </c>
      <c r="K86" s="1" t="s">
        <v>1090</v>
      </c>
      <c r="M86" s="5">
        <v>202005</v>
      </c>
      <c r="N86" s="5">
        <f>INDEX(rrcworking[Formation Production (MCF) @ 14.65 psi],MATCH('May 2020 EDI'!F86,rrcworking[RRC ID],0))</f>
        <v>124</v>
      </c>
      <c r="O86" s="5">
        <f>INDEX(rrcworking[Lease Use (MCF)],MATCH('May 2020 EDI'!F86,rrcworking[RRC ID],0))</f>
        <v>124</v>
      </c>
      <c r="P86" s="5">
        <f>INDEX(rrcworking[Gas Sales Statement Volume (MCF)],MATCH('May 2020 EDI'!F86,rrcworking[RRC ID],0))</f>
        <v>0</v>
      </c>
      <c r="R86" s="246">
        <f>INDEX(rrcworking[Flared Gas],MATCH('May 2020 EDI'!F86,rrcworking[RRC ID],0))</f>
        <v>0</v>
      </c>
      <c r="Y86" s="5">
        <f>INDEX(rrcworking[Oil Production],MATCH('May 2020 EDI'!F86,rrcworking[RRC ID],0))</f>
        <v>266</v>
      </c>
      <c r="AA86" s="5">
        <f>INDEX(rrcworking[Sales/Dispostion],MATCH('May 2020 EDI'!F86,rrcworking[RRC ID],0))</f>
        <v>0</v>
      </c>
      <c r="AQ86" s="5">
        <f>INDEX(rrcworking[Closing Stock (Oil)],MATCH('May 2020 EDI'!F86,rrcworking[RRC ID],0))</f>
        <v>433</v>
      </c>
    </row>
    <row r="87" spans="1:43">
      <c r="A87" s="4" t="s">
        <v>1</v>
      </c>
      <c r="B87" s="1" t="s">
        <v>985</v>
      </c>
      <c r="C87" s="10" t="s">
        <v>909</v>
      </c>
      <c r="D87" s="1" t="s">
        <v>618</v>
      </c>
      <c r="E87" s="1" t="s">
        <v>2</v>
      </c>
      <c r="F87" s="1" t="s">
        <v>499</v>
      </c>
      <c r="I87" s="10" t="s">
        <v>3</v>
      </c>
      <c r="J87" s="118" t="s">
        <v>3</v>
      </c>
      <c r="K87" s="1" t="s">
        <v>1090</v>
      </c>
      <c r="M87" s="5">
        <v>202005</v>
      </c>
      <c r="N87" s="5">
        <f>INDEX(rrcworking[Formation Production (MCF) @ 14.65 psi],MATCH('May 2020 EDI'!F87,rrcworking[RRC ID],0))</f>
        <v>0</v>
      </c>
      <c r="O87" s="5">
        <f>INDEX(rrcworking[Lease Use (MCF)],MATCH('May 2020 EDI'!F87,rrcworking[RRC ID],0))</f>
        <v>0</v>
      </c>
      <c r="P87" s="5">
        <f>INDEX(rrcworking[Gas Sales Statement Volume (MCF)],MATCH('May 2020 EDI'!F87,rrcworking[RRC ID],0))</f>
        <v>0</v>
      </c>
      <c r="R87" s="246">
        <f>INDEX(rrcworking[Flared Gas],MATCH('May 2020 EDI'!F87,rrcworking[RRC ID],0))</f>
        <v>0</v>
      </c>
      <c r="Y87" s="5">
        <f>INDEX(rrcworking[Oil Production],MATCH('May 2020 EDI'!F87,rrcworking[RRC ID],0))</f>
        <v>0</v>
      </c>
      <c r="AA87" s="5">
        <f>INDEX(rrcworking[Sales/Dispostion],MATCH('May 2020 EDI'!F87,rrcworking[RRC ID],0))</f>
        <v>0</v>
      </c>
      <c r="AQ87" s="5">
        <f>INDEX(rrcworking[Closing Stock (Oil)],MATCH('May 2020 EDI'!F87,rrcworking[RRC ID],0))</f>
        <v>86</v>
      </c>
    </row>
    <row r="88" spans="1:43">
      <c r="A88" s="4" t="s">
        <v>1</v>
      </c>
      <c r="B88" s="1" t="s">
        <v>986</v>
      </c>
      <c r="C88" s="10" t="s">
        <v>909</v>
      </c>
      <c r="D88" s="1" t="s">
        <v>618</v>
      </c>
      <c r="E88" s="1" t="s">
        <v>2</v>
      </c>
      <c r="F88" s="1" t="s">
        <v>500</v>
      </c>
      <c r="I88" s="10" t="s">
        <v>3</v>
      </c>
      <c r="J88" s="118" t="s">
        <v>3</v>
      </c>
      <c r="K88" s="1" t="s">
        <v>1090</v>
      </c>
      <c r="M88" s="5">
        <v>202005</v>
      </c>
      <c r="N88" s="5">
        <f>INDEX(rrcworking[Formation Production (MCF) @ 14.65 psi],MATCH('May 2020 EDI'!F88,rrcworking[RRC ID],0))</f>
        <v>0</v>
      </c>
      <c r="O88" s="5">
        <f>INDEX(rrcworking[Lease Use (MCF)],MATCH('May 2020 EDI'!F88,rrcworking[RRC ID],0))</f>
        <v>0</v>
      </c>
      <c r="P88" s="5">
        <f>INDEX(rrcworking[Gas Sales Statement Volume (MCF)],MATCH('May 2020 EDI'!F88,rrcworking[RRC ID],0))</f>
        <v>0</v>
      </c>
      <c r="R88" s="246">
        <f>INDEX(rrcworking[Flared Gas],MATCH('May 2020 EDI'!F88,rrcworking[RRC ID],0))</f>
        <v>0</v>
      </c>
      <c r="Y88" s="5">
        <f>INDEX(rrcworking[Oil Production],MATCH('May 2020 EDI'!F88,rrcworking[RRC ID],0))</f>
        <v>0</v>
      </c>
      <c r="AA88" s="5">
        <f>INDEX(rrcworking[Sales/Dispostion],MATCH('May 2020 EDI'!F88,rrcworking[RRC ID],0))</f>
        <v>0</v>
      </c>
      <c r="AQ88" s="5">
        <f>INDEX(rrcworking[Closing Stock (Oil)],MATCH('May 2020 EDI'!F88,rrcworking[RRC ID],0))</f>
        <v>68</v>
      </c>
    </row>
    <row r="89" spans="1:43">
      <c r="A89" s="4" t="s">
        <v>1</v>
      </c>
      <c r="B89" s="1" t="s">
        <v>987</v>
      </c>
      <c r="C89" s="10" t="s">
        <v>909</v>
      </c>
      <c r="D89" s="1" t="s">
        <v>618</v>
      </c>
      <c r="E89" s="1" t="s">
        <v>59</v>
      </c>
      <c r="F89" s="1" t="s">
        <v>501</v>
      </c>
      <c r="I89" s="10" t="s">
        <v>3</v>
      </c>
      <c r="J89" s="118" t="s">
        <v>3</v>
      </c>
      <c r="K89" s="1" t="s">
        <v>1090</v>
      </c>
      <c r="M89" s="5">
        <v>202005</v>
      </c>
      <c r="N89" s="5">
        <f>INDEX(rrcworking[Formation Production (MCF) @ 14.65 psi],MATCH('May 2020 EDI'!F89,rrcworking[RRC ID],0))</f>
        <v>0</v>
      </c>
      <c r="O89" s="5">
        <f>INDEX(rrcworking[Lease Use (MCF)],MATCH('May 2020 EDI'!F89,rrcworking[RRC ID],0))</f>
        <v>0</v>
      </c>
      <c r="P89" s="5">
        <f>INDEX(rrcworking[Gas Sales Statement Volume (MCF)],MATCH('May 2020 EDI'!F89,rrcworking[RRC ID],0))</f>
        <v>0</v>
      </c>
      <c r="R89" s="246">
        <f>INDEX(rrcworking[Flared Gas],MATCH('May 2020 EDI'!F89,rrcworking[RRC ID],0))</f>
        <v>0</v>
      </c>
      <c r="Y89" s="5">
        <f>INDEX(rrcworking[Oil Production],MATCH('May 2020 EDI'!F89,rrcworking[RRC ID],0))</f>
        <v>0</v>
      </c>
      <c r="AA89" s="5">
        <f>INDEX(rrcworking[Sales/Dispostion],MATCH('May 2020 EDI'!F89,rrcworking[RRC ID],0))</f>
        <v>0</v>
      </c>
      <c r="AQ89" s="5">
        <f>INDEX(rrcworking[Closing Stock (Oil)],MATCH('May 2020 EDI'!F89,rrcworking[RRC ID],0))</f>
        <v>0</v>
      </c>
    </row>
    <row r="90" spans="1:43">
      <c r="A90" s="4" t="s">
        <v>1</v>
      </c>
      <c r="B90" s="1" t="s">
        <v>988</v>
      </c>
      <c r="C90" s="10" t="s">
        <v>909</v>
      </c>
      <c r="D90" s="1" t="s">
        <v>618</v>
      </c>
      <c r="E90" s="1" t="s">
        <v>59</v>
      </c>
      <c r="F90" s="1" t="s">
        <v>502</v>
      </c>
      <c r="I90" s="10" t="s">
        <v>3</v>
      </c>
      <c r="J90" s="118" t="s">
        <v>3</v>
      </c>
      <c r="K90" s="1" t="s">
        <v>1090</v>
      </c>
      <c r="M90" s="5">
        <v>202005</v>
      </c>
      <c r="N90" s="5">
        <f>INDEX(rrcworking[Formation Production (MCF) @ 14.65 psi],MATCH('May 2020 EDI'!F90,rrcworking[RRC ID],0))</f>
        <v>0</v>
      </c>
      <c r="O90" s="5">
        <f>INDEX(rrcworking[Lease Use (MCF)],MATCH('May 2020 EDI'!F90,rrcworking[RRC ID],0))</f>
        <v>0</v>
      </c>
      <c r="P90" s="5">
        <f>INDEX(rrcworking[Gas Sales Statement Volume (MCF)],MATCH('May 2020 EDI'!F90,rrcworking[RRC ID],0))</f>
        <v>0</v>
      </c>
      <c r="R90" s="246">
        <f>INDEX(rrcworking[Flared Gas],MATCH('May 2020 EDI'!F90,rrcworking[RRC ID],0))</f>
        <v>0</v>
      </c>
      <c r="Y90" s="5">
        <f>INDEX(rrcworking[Oil Production],MATCH('May 2020 EDI'!F90,rrcworking[RRC ID],0))</f>
        <v>0</v>
      </c>
      <c r="AA90" s="5">
        <f>INDEX(rrcworking[Sales/Dispostion],MATCH('May 2020 EDI'!F90,rrcworking[RRC ID],0))</f>
        <v>0</v>
      </c>
      <c r="AQ90" s="5">
        <f>INDEX(rrcworking[Closing Stock (Oil)],MATCH('May 2020 EDI'!F90,rrcworking[RRC ID],0))</f>
        <v>0</v>
      </c>
    </row>
    <row r="91" spans="1:43">
      <c r="A91" s="4" t="s">
        <v>1</v>
      </c>
      <c r="B91" s="1" t="s">
        <v>989</v>
      </c>
      <c r="C91" s="10" t="s">
        <v>909</v>
      </c>
      <c r="D91" s="1" t="s">
        <v>618</v>
      </c>
      <c r="E91" s="1" t="s">
        <v>2</v>
      </c>
      <c r="F91" s="1" t="s">
        <v>503</v>
      </c>
      <c r="I91" s="10" t="s">
        <v>3</v>
      </c>
      <c r="J91" s="118" t="s">
        <v>3</v>
      </c>
      <c r="K91" s="1" t="s">
        <v>1090</v>
      </c>
      <c r="M91" s="5">
        <v>202005</v>
      </c>
      <c r="N91" s="5">
        <f>INDEX(rrcworking[Formation Production (MCF) @ 14.65 psi],MATCH('May 2020 EDI'!F91,rrcworking[RRC ID],0))</f>
        <v>0</v>
      </c>
      <c r="O91" s="5">
        <f>INDEX(rrcworking[Lease Use (MCF)],MATCH('May 2020 EDI'!F91,rrcworking[RRC ID],0))</f>
        <v>0</v>
      </c>
      <c r="P91" s="5">
        <f>INDEX(rrcworking[Gas Sales Statement Volume (MCF)],MATCH('May 2020 EDI'!F91,rrcworking[RRC ID],0))</f>
        <v>0</v>
      </c>
      <c r="R91" s="246">
        <f>INDEX(rrcworking[Flared Gas],MATCH('May 2020 EDI'!F91,rrcworking[RRC ID],0))</f>
        <v>0</v>
      </c>
      <c r="Y91" s="5">
        <f>INDEX(rrcworking[Oil Production],MATCH('May 2020 EDI'!F91,rrcworking[RRC ID],0))</f>
        <v>24</v>
      </c>
      <c r="AA91" s="5">
        <f>INDEX(rrcworking[Sales/Dispostion],MATCH('May 2020 EDI'!F91,rrcworking[RRC ID],0))</f>
        <v>0</v>
      </c>
      <c r="AQ91" s="5">
        <f>INDEX(rrcworking[Closing Stock (Oil)],MATCH('May 2020 EDI'!F91,rrcworking[RRC ID],0))</f>
        <v>171</v>
      </c>
    </row>
    <row r="92" spans="1:43">
      <c r="A92" s="4" t="s">
        <v>1</v>
      </c>
      <c r="B92" s="1" t="s">
        <v>990</v>
      </c>
      <c r="C92" s="10" t="s">
        <v>909</v>
      </c>
      <c r="D92" s="1" t="s">
        <v>618</v>
      </c>
      <c r="E92" s="1" t="s">
        <v>59</v>
      </c>
      <c r="F92" s="1" t="s">
        <v>504</v>
      </c>
      <c r="I92" s="10" t="s">
        <v>3</v>
      </c>
      <c r="J92" s="118" t="s">
        <v>3</v>
      </c>
      <c r="K92" s="1" t="s">
        <v>1090</v>
      </c>
      <c r="M92" s="5">
        <v>202005</v>
      </c>
      <c r="N92" s="5">
        <f>INDEX(rrcworking[Formation Production (MCF) @ 14.65 psi],MATCH('May 2020 EDI'!F92,rrcworking[RRC ID],0))</f>
        <v>11293</v>
      </c>
      <c r="O92" s="5">
        <f>INDEX(rrcworking[Lease Use (MCF)],MATCH('May 2020 EDI'!F92,rrcworking[RRC ID],0))</f>
        <v>465</v>
      </c>
      <c r="P92" s="5">
        <f>INDEX(rrcworking[Gas Sales Statement Volume (MCF)],MATCH('May 2020 EDI'!F92,rrcworking[RRC ID],0))</f>
        <v>10828</v>
      </c>
      <c r="R92" s="246">
        <f>INDEX(rrcworking[Flared Gas],MATCH('May 2020 EDI'!F92,rrcworking[RRC ID],0))</f>
        <v>0</v>
      </c>
      <c r="Y92" s="5">
        <f>INDEX(rrcworking[Oil Production],MATCH('May 2020 EDI'!F92,rrcworking[RRC ID],0))</f>
        <v>113</v>
      </c>
      <c r="AA92" s="5">
        <f>INDEX(rrcworking[Sales/Dispostion],MATCH('May 2020 EDI'!F92,rrcworking[RRC ID],0))</f>
        <v>0</v>
      </c>
      <c r="AQ92" s="5">
        <f>INDEX(rrcworking[Closing Stock (Oil)],MATCH('May 2020 EDI'!F92,rrcworking[RRC ID],0))</f>
        <v>234</v>
      </c>
    </row>
    <row r="93" spans="1:43">
      <c r="A93" s="4" t="s">
        <v>1</v>
      </c>
      <c r="B93" s="1" t="s">
        <v>991</v>
      </c>
      <c r="C93" s="10" t="s">
        <v>909</v>
      </c>
      <c r="D93" s="1" t="s">
        <v>618</v>
      </c>
      <c r="E93" s="1" t="s">
        <v>59</v>
      </c>
      <c r="F93" s="1" t="s">
        <v>505</v>
      </c>
      <c r="I93" s="10" t="s">
        <v>3</v>
      </c>
      <c r="J93" s="118" t="s">
        <v>3</v>
      </c>
      <c r="K93" s="1" t="s">
        <v>1090</v>
      </c>
      <c r="M93" s="5">
        <v>202005</v>
      </c>
      <c r="N93" s="5">
        <f>INDEX(rrcworking[Formation Production (MCF) @ 14.65 psi],MATCH('May 2020 EDI'!F93,rrcworking[RRC ID],0))</f>
        <v>1745</v>
      </c>
      <c r="O93" s="5">
        <f>INDEX(rrcworking[Lease Use (MCF)],MATCH('May 2020 EDI'!F93,rrcworking[RRC ID],0))</f>
        <v>0</v>
      </c>
      <c r="P93" s="5">
        <f>INDEX(rrcworking[Gas Sales Statement Volume (MCF)],MATCH('May 2020 EDI'!F93,rrcworking[RRC ID],0))</f>
        <v>1745</v>
      </c>
      <c r="R93" s="246">
        <f>INDEX(rrcworking[Flared Gas],MATCH('May 2020 EDI'!F93,rrcworking[RRC ID],0))</f>
        <v>0</v>
      </c>
      <c r="Y93" s="5">
        <f>INDEX(rrcworking[Oil Production],MATCH('May 2020 EDI'!F93,rrcworking[RRC ID],0))</f>
        <v>1</v>
      </c>
      <c r="AA93" s="5">
        <f>INDEX(rrcworking[Sales/Dispostion],MATCH('May 2020 EDI'!F93,rrcworking[RRC ID],0))</f>
        <v>0</v>
      </c>
      <c r="AQ93" s="5">
        <f>INDEX(rrcworking[Closing Stock (Oil)],MATCH('May 2020 EDI'!F93,rrcworking[RRC ID],0))</f>
        <v>123</v>
      </c>
    </row>
    <row r="94" spans="1:43">
      <c r="A94" s="4" t="s">
        <v>1</v>
      </c>
      <c r="B94" s="1" t="s">
        <v>1273</v>
      </c>
      <c r="C94" s="10" t="s">
        <v>909</v>
      </c>
      <c r="D94" s="1" t="s">
        <v>618</v>
      </c>
      <c r="E94" s="1" t="s">
        <v>59</v>
      </c>
      <c r="F94" s="1" t="s">
        <v>506</v>
      </c>
      <c r="I94" s="10" t="s">
        <v>3</v>
      </c>
      <c r="J94" s="118" t="s">
        <v>3</v>
      </c>
      <c r="K94" s="1" t="s">
        <v>1090</v>
      </c>
      <c r="M94" s="5">
        <v>202005</v>
      </c>
      <c r="N94" s="5">
        <f>INDEX(rrcworking[Formation Production (MCF) @ 14.65 psi],MATCH('May 2020 EDI'!F94,rrcworking[RRC ID],0))</f>
        <v>0</v>
      </c>
      <c r="O94" s="5">
        <f>INDEX(rrcworking[Lease Use (MCF)],MATCH('May 2020 EDI'!F94,rrcworking[RRC ID],0))</f>
        <v>0</v>
      </c>
      <c r="P94" s="5">
        <f>INDEX(rrcworking[Gas Sales Statement Volume (MCF)],MATCH('May 2020 EDI'!F94,rrcworking[RRC ID],0))</f>
        <v>0</v>
      </c>
      <c r="R94" s="246">
        <f>INDEX(rrcworking[Flared Gas],MATCH('May 2020 EDI'!F94,rrcworking[RRC ID],0))</f>
        <v>0</v>
      </c>
      <c r="Y94" s="5">
        <f>INDEX(rrcworking[Oil Production],MATCH('May 2020 EDI'!F94,rrcworking[RRC ID],0))</f>
        <v>0</v>
      </c>
      <c r="AA94" s="5">
        <f>INDEX(rrcworking[Sales/Dispostion],MATCH('May 2020 EDI'!F94,rrcworking[RRC ID],0))</f>
        <v>0</v>
      </c>
      <c r="AQ94" s="5">
        <f>INDEX(rrcworking[Closing Stock (Oil)],MATCH('May 2020 EDI'!F94,rrcworking[RRC ID],0))</f>
        <v>0</v>
      </c>
    </row>
    <row r="95" spans="1:43">
      <c r="A95" s="4" t="s">
        <v>1</v>
      </c>
      <c r="B95" s="1" t="s">
        <v>992</v>
      </c>
      <c r="C95" s="10" t="s">
        <v>909</v>
      </c>
      <c r="D95" s="1" t="s">
        <v>618</v>
      </c>
      <c r="E95" s="1" t="s">
        <v>2</v>
      </c>
      <c r="F95" s="1" t="s">
        <v>507</v>
      </c>
      <c r="I95" s="10" t="s">
        <v>3</v>
      </c>
      <c r="J95" s="118" t="s">
        <v>3</v>
      </c>
      <c r="K95" s="1" t="s">
        <v>1090</v>
      </c>
      <c r="M95" s="5">
        <v>202005</v>
      </c>
      <c r="N95" s="5">
        <f>INDEX(rrcworking[Formation Production (MCF) @ 14.65 psi],MATCH('May 2020 EDI'!F95,rrcworking[RRC ID],0))</f>
        <v>0</v>
      </c>
      <c r="O95" s="5">
        <f>INDEX(rrcworking[Lease Use (MCF)],MATCH('May 2020 EDI'!F95,rrcworking[RRC ID],0))</f>
        <v>0</v>
      </c>
      <c r="P95" s="5">
        <f>INDEX(rrcworking[Gas Sales Statement Volume (MCF)],MATCH('May 2020 EDI'!F95,rrcworking[RRC ID],0))</f>
        <v>0</v>
      </c>
      <c r="R95" s="246">
        <f>INDEX(rrcworking[Flared Gas],MATCH('May 2020 EDI'!F95,rrcworking[RRC ID],0))</f>
        <v>0</v>
      </c>
      <c r="Y95" s="5">
        <f>INDEX(rrcworking[Oil Production],MATCH('May 2020 EDI'!F95,rrcworking[RRC ID],0))</f>
        <v>0</v>
      </c>
      <c r="AA95" s="5">
        <f>INDEX(rrcworking[Sales/Dispostion],MATCH('May 2020 EDI'!F95,rrcworking[RRC ID],0))</f>
        <v>0</v>
      </c>
      <c r="AQ95" s="5">
        <f>INDEX(rrcworking[Closing Stock (Oil)],MATCH('May 2020 EDI'!F95,rrcworking[RRC ID],0))</f>
        <v>0</v>
      </c>
    </row>
    <row r="96" spans="1:43">
      <c r="A96" s="4" t="s">
        <v>1</v>
      </c>
      <c r="B96" s="1" t="s">
        <v>993</v>
      </c>
      <c r="C96" s="10" t="s">
        <v>909</v>
      </c>
      <c r="D96" s="1" t="s">
        <v>618</v>
      </c>
      <c r="E96" s="1" t="s">
        <v>59</v>
      </c>
      <c r="F96" s="1" t="s">
        <v>508</v>
      </c>
      <c r="I96" s="10" t="s">
        <v>3</v>
      </c>
      <c r="J96" s="118" t="s">
        <v>3</v>
      </c>
      <c r="K96" s="1" t="s">
        <v>1090</v>
      </c>
      <c r="M96" s="5">
        <v>202005</v>
      </c>
      <c r="N96" s="5">
        <f>INDEX(rrcworking[Formation Production (MCF) @ 14.65 psi],MATCH('May 2020 EDI'!F96,rrcworking[RRC ID],0))</f>
        <v>0</v>
      </c>
      <c r="O96" s="5">
        <f>INDEX(rrcworking[Lease Use (MCF)],MATCH('May 2020 EDI'!F96,rrcworking[RRC ID],0))</f>
        <v>0</v>
      </c>
      <c r="P96" s="5">
        <f>INDEX(rrcworking[Gas Sales Statement Volume (MCF)],MATCH('May 2020 EDI'!F96,rrcworking[RRC ID],0))</f>
        <v>0</v>
      </c>
      <c r="R96" s="246">
        <f>INDEX(rrcworking[Flared Gas],MATCH('May 2020 EDI'!F96,rrcworking[RRC ID],0))</f>
        <v>0</v>
      </c>
      <c r="Y96" s="5">
        <f>INDEX(rrcworking[Oil Production],MATCH('May 2020 EDI'!F96,rrcworking[RRC ID],0))</f>
        <v>0</v>
      </c>
      <c r="AA96" s="5">
        <f>INDEX(rrcworking[Sales/Dispostion],MATCH('May 2020 EDI'!F96,rrcworking[RRC ID],0))</f>
        <v>0</v>
      </c>
      <c r="AQ96" s="5">
        <f>INDEX(rrcworking[Closing Stock (Oil)],MATCH('May 2020 EDI'!F96,rrcworking[RRC ID],0))</f>
        <v>0</v>
      </c>
    </row>
    <row r="97" spans="1:43">
      <c r="A97" s="4" t="s">
        <v>1</v>
      </c>
      <c r="B97" s="1" t="s">
        <v>994</v>
      </c>
      <c r="C97" s="10" t="s">
        <v>909</v>
      </c>
      <c r="D97" s="1" t="s">
        <v>618</v>
      </c>
      <c r="E97" s="1" t="s">
        <v>59</v>
      </c>
      <c r="F97" s="1" t="s">
        <v>509</v>
      </c>
      <c r="I97" s="10" t="s">
        <v>3</v>
      </c>
      <c r="J97" s="118" t="s">
        <v>3</v>
      </c>
      <c r="K97" s="1" t="s">
        <v>1090</v>
      </c>
      <c r="M97" s="5">
        <v>202005</v>
      </c>
      <c r="N97" s="5">
        <f>INDEX(rrcworking[Formation Production (MCF) @ 14.65 psi],MATCH('May 2020 EDI'!F97,rrcworking[RRC ID],0))</f>
        <v>0</v>
      </c>
      <c r="O97" s="5">
        <f>INDEX(rrcworking[Lease Use (MCF)],MATCH('May 2020 EDI'!F97,rrcworking[RRC ID],0))</f>
        <v>0</v>
      </c>
      <c r="P97" s="5">
        <f>INDEX(rrcworking[Gas Sales Statement Volume (MCF)],MATCH('May 2020 EDI'!F97,rrcworking[RRC ID],0))</f>
        <v>0</v>
      </c>
      <c r="R97" s="246">
        <f>INDEX(rrcworking[Flared Gas],MATCH('May 2020 EDI'!F97,rrcworking[RRC ID],0))</f>
        <v>0</v>
      </c>
      <c r="Y97" s="5">
        <f>INDEX(rrcworking[Oil Production],MATCH('May 2020 EDI'!F97,rrcworking[RRC ID],0))</f>
        <v>0</v>
      </c>
      <c r="AA97" s="5">
        <f>INDEX(rrcworking[Sales/Dispostion],MATCH('May 2020 EDI'!F97,rrcworking[RRC ID],0))</f>
        <v>0</v>
      </c>
      <c r="AQ97" s="5">
        <f>INDEX(rrcworking[Closing Stock (Oil)],MATCH('May 2020 EDI'!F97,rrcworking[RRC ID],0))</f>
        <v>0</v>
      </c>
    </row>
    <row r="98" spans="1:43">
      <c r="A98" s="4" t="s">
        <v>1</v>
      </c>
      <c r="B98" s="1" t="s">
        <v>995</v>
      </c>
      <c r="C98" s="10" t="s">
        <v>909</v>
      </c>
      <c r="D98" s="1" t="s">
        <v>618</v>
      </c>
      <c r="E98" s="1" t="s">
        <v>59</v>
      </c>
      <c r="F98" s="1" t="s">
        <v>510</v>
      </c>
      <c r="I98" s="10" t="s">
        <v>3</v>
      </c>
      <c r="J98" s="118" t="s">
        <v>3</v>
      </c>
      <c r="K98" s="1" t="s">
        <v>1090</v>
      </c>
      <c r="M98" s="5">
        <v>202005</v>
      </c>
      <c r="N98" s="5">
        <f>INDEX(rrcworking[Formation Production (MCF) @ 14.65 psi],MATCH('May 2020 EDI'!F98,rrcworking[RRC ID],0))</f>
        <v>5557</v>
      </c>
      <c r="O98" s="5">
        <f>INDEX(rrcworking[Lease Use (MCF)],MATCH('May 2020 EDI'!F98,rrcworking[RRC ID],0))</f>
        <v>217</v>
      </c>
      <c r="P98" s="5">
        <f>INDEX(rrcworking[Gas Sales Statement Volume (MCF)],MATCH('May 2020 EDI'!F98,rrcworking[RRC ID],0))</f>
        <v>5340</v>
      </c>
      <c r="R98" s="246">
        <f>INDEX(rrcworking[Flared Gas],MATCH('May 2020 EDI'!F98,rrcworking[RRC ID],0))</f>
        <v>0</v>
      </c>
      <c r="Y98" s="5">
        <f>INDEX(rrcworking[Oil Production],MATCH('May 2020 EDI'!F98,rrcworking[RRC ID],0))</f>
        <v>78</v>
      </c>
      <c r="AA98" s="5">
        <f>INDEX(rrcworking[Sales/Dispostion],MATCH('May 2020 EDI'!F98,rrcworking[RRC ID],0))</f>
        <v>0</v>
      </c>
      <c r="AQ98" s="5">
        <f>INDEX(rrcworking[Closing Stock (Oil)],MATCH('May 2020 EDI'!F98,rrcworking[RRC ID],0))</f>
        <v>205</v>
      </c>
    </row>
    <row r="99" spans="1:43">
      <c r="A99" s="4" t="s">
        <v>1</v>
      </c>
      <c r="B99" s="1" t="s">
        <v>996</v>
      </c>
      <c r="C99" s="10" t="s">
        <v>909</v>
      </c>
      <c r="D99" s="1" t="s">
        <v>618</v>
      </c>
      <c r="E99" s="1" t="s">
        <v>2</v>
      </c>
      <c r="F99" s="1" t="s">
        <v>511</v>
      </c>
      <c r="I99" s="10" t="s">
        <v>3</v>
      </c>
      <c r="J99" s="118" t="s">
        <v>3</v>
      </c>
      <c r="K99" s="1" t="s">
        <v>1090</v>
      </c>
      <c r="M99" s="5">
        <v>202005</v>
      </c>
      <c r="N99" s="5">
        <f>INDEX(rrcworking[Formation Production (MCF) @ 14.65 psi],MATCH('May 2020 EDI'!F99,rrcworking[RRC ID],0))</f>
        <v>227</v>
      </c>
      <c r="O99" s="5">
        <f>INDEX(rrcworking[Lease Use (MCF)],MATCH('May 2020 EDI'!F99,rrcworking[RRC ID],0))</f>
        <v>31</v>
      </c>
      <c r="P99" s="5">
        <f>INDEX(rrcworking[Gas Sales Statement Volume (MCF)],MATCH('May 2020 EDI'!F99,rrcworking[RRC ID],0))</f>
        <v>196</v>
      </c>
      <c r="R99" s="246">
        <f>INDEX(rrcworking[Flared Gas],MATCH('May 2020 EDI'!F99,rrcworking[RRC ID],0))</f>
        <v>0</v>
      </c>
      <c r="Y99" s="5">
        <f>INDEX(rrcworking[Oil Production],MATCH('May 2020 EDI'!F99,rrcworking[RRC ID],0))</f>
        <v>0</v>
      </c>
      <c r="AA99" s="5">
        <f>INDEX(rrcworking[Sales/Dispostion],MATCH('May 2020 EDI'!F99,rrcworking[RRC ID],0))</f>
        <v>0</v>
      </c>
      <c r="AQ99" s="5">
        <f>INDEX(rrcworking[Closing Stock (Oil)],MATCH('May 2020 EDI'!F99,rrcworking[RRC ID],0))</f>
        <v>45</v>
      </c>
    </row>
    <row r="100" spans="1:43">
      <c r="A100" s="4" t="s">
        <v>1</v>
      </c>
      <c r="B100" s="1" t="s">
        <v>997</v>
      </c>
      <c r="C100" s="10" t="s">
        <v>909</v>
      </c>
      <c r="D100" s="1" t="s">
        <v>618</v>
      </c>
      <c r="E100" s="1" t="s">
        <v>59</v>
      </c>
      <c r="F100" s="1" t="s">
        <v>512</v>
      </c>
      <c r="I100" s="10" t="s">
        <v>3</v>
      </c>
      <c r="J100" s="118" t="s">
        <v>3</v>
      </c>
      <c r="K100" s="1" t="s">
        <v>1090</v>
      </c>
      <c r="M100" s="5">
        <v>202005</v>
      </c>
      <c r="N100" s="5">
        <f>INDEX(rrcworking[Formation Production (MCF) @ 14.65 psi],MATCH('May 2020 EDI'!F100,rrcworking[RRC ID],0))</f>
        <v>0</v>
      </c>
      <c r="O100" s="5">
        <f>INDEX(rrcworking[Lease Use (MCF)],MATCH('May 2020 EDI'!F100,rrcworking[RRC ID],0))</f>
        <v>0</v>
      </c>
      <c r="P100" s="5">
        <f>INDEX(rrcworking[Gas Sales Statement Volume (MCF)],MATCH('May 2020 EDI'!F100,rrcworking[RRC ID],0))</f>
        <v>0</v>
      </c>
      <c r="R100" s="246">
        <f>INDEX(rrcworking[Flared Gas],MATCH('May 2020 EDI'!F100,rrcworking[RRC ID],0))</f>
        <v>0</v>
      </c>
      <c r="Y100" s="5">
        <f>INDEX(rrcworking[Oil Production],MATCH('May 2020 EDI'!F100,rrcworking[RRC ID],0))</f>
        <v>0</v>
      </c>
      <c r="AA100" s="5">
        <f>INDEX(rrcworking[Sales/Dispostion],MATCH('May 2020 EDI'!F100,rrcworking[RRC ID],0))</f>
        <v>0</v>
      </c>
      <c r="AQ100" s="5">
        <f>INDEX(rrcworking[Closing Stock (Oil)],MATCH('May 2020 EDI'!F100,rrcworking[RRC ID],0))</f>
        <v>0</v>
      </c>
    </row>
    <row r="101" spans="1:43">
      <c r="A101" s="4" t="s">
        <v>1</v>
      </c>
      <c r="B101" s="1" t="s">
        <v>998</v>
      </c>
      <c r="C101" s="10" t="s">
        <v>909</v>
      </c>
      <c r="D101" s="1" t="s">
        <v>618</v>
      </c>
      <c r="E101" s="1" t="s">
        <v>59</v>
      </c>
      <c r="F101" s="1" t="s">
        <v>513</v>
      </c>
      <c r="I101" s="10" t="s">
        <v>3</v>
      </c>
      <c r="J101" s="118" t="s">
        <v>3</v>
      </c>
      <c r="K101" s="1" t="s">
        <v>1090</v>
      </c>
      <c r="M101" s="5">
        <v>202005</v>
      </c>
      <c r="N101" s="5">
        <f>INDEX(rrcworking[Formation Production (MCF) @ 14.65 psi],MATCH('May 2020 EDI'!F101,rrcworking[RRC ID],0))</f>
        <v>0</v>
      </c>
      <c r="O101" s="5">
        <f>INDEX(rrcworking[Lease Use (MCF)],MATCH('May 2020 EDI'!F101,rrcworking[RRC ID],0))</f>
        <v>0</v>
      </c>
      <c r="P101" s="5">
        <f>INDEX(rrcworking[Gas Sales Statement Volume (MCF)],MATCH('May 2020 EDI'!F101,rrcworking[RRC ID],0))</f>
        <v>0</v>
      </c>
      <c r="R101" s="246">
        <f>INDEX(rrcworking[Flared Gas],MATCH('May 2020 EDI'!F101,rrcworking[RRC ID],0))</f>
        <v>0</v>
      </c>
      <c r="Y101" s="5">
        <f>INDEX(rrcworking[Oil Production],MATCH('May 2020 EDI'!F101,rrcworking[RRC ID],0))</f>
        <v>0</v>
      </c>
      <c r="AA101" s="5">
        <f>INDEX(rrcworking[Sales/Dispostion],MATCH('May 2020 EDI'!F101,rrcworking[RRC ID],0))</f>
        <v>0</v>
      </c>
      <c r="AQ101" s="5">
        <f>INDEX(rrcworking[Closing Stock (Oil)],MATCH('May 2020 EDI'!F101,rrcworking[RRC ID],0))</f>
        <v>0</v>
      </c>
    </row>
    <row r="102" spans="1:43">
      <c r="A102" s="4" t="s">
        <v>1</v>
      </c>
      <c r="B102" s="1" t="s">
        <v>999</v>
      </c>
      <c r="C102" s="10" t="s">
        <v>909</v>
      </c>
      <c r="D102" s="1" t="s">
        <v>618</v>
      </c>
      <c r="E102" s="1" t="s">
        <v>59</v>
      </c>
      <c r="F102" s="1" t="s">
        <v>514</v>
      </c>
      <c r="I102" s="10" t="s">
        <v>3</v>
      </c>
      <c r="J102" s="118" t="s">
        <v>3</v>
      </c>
      <c r="K102" s="1" t="s">
        <v>1090</v>
      </c>
      <c r="M102" s="5">
        <v>202005</v>
      </c>
      <c r="N102" s="5">
        <f>INDEX(rrcworking[Formation Production (MCF) @ 14.65 psi],MATCH('May 2020 EDI'!F102,rrcworking[RRC ID],0))</f>
        <v>17974</v>
      </c>
      <c r="O102" s="5">
        <f>INDEX(rrcworking[Lease Use (MCF)],MATCH('May 2020 EDI'!F102,rrcworking[RRC ID],0))</f>
        <v>775</v>
      </c>
      <c r="P102" s="5">
        <f>INDEX(rrcworking[Gas Sales Statement Volume (MCF)],MATCH('May 2020 EDI'!F102,rrcworking[RRC ID],0))</f>
        <v>17199</v>
      </c>
      <c r="R102" s="246">
        <f>INDEX(rrcworking[Flared Gas],MATCH('May 2020 EDI'!F102,rrcworking[RRC ID],0))</f>
        <v>0</v>
      </c>
      <c r="Y102" s="5">
        <f>INDEX(rrcworking[Oil Production],MATCH('May 2020 EDI'!F102,rrcworking[RRC ID],0))</f>
        <v>42</v>
      </c>
      <c r="AA102" s="5">
        <f>INDEX(rrcworking[Sales/Dispostion],MATCH('May 2020 EDI'!F102,rrcworking[RRC ID],0))</f>
        <v>0</v>
      </c>
      <c r="AQ102" s="5">
        <f>INDEX(rrcworking[Closing Stock (Oil)],MATCH('May 2020 EDI'!F102,rrcworking[RRC ID],0))</f>
        <v>341</v>
      </c>
    </row>
    <row r="103" spans="1:43">
      <c r="A103" s="4" t="s">
        <v>1</v>
      </c>
      <c r="B103" s="1" t="s">
        <v>1000</v>
      </c>
      <c r="C103" s="10" t="s">
        <v>909</v>
      </c>
      <c r="D103" s="1" t="s">
        <v>618</v>
      </c>
      <c r="E103" s="1" t="s">
        <v>59</v>
      </c>
      <c r="F103" s="1" t="s">
        <v>515</v>
      </c>
      <c r="I103" s="10" t="s">
        <v>3</v>
      </c>
      <c r="J103" s="118" t="s">
        <v>3</v>
      </c>
      <c r="K103" s="1" t="s">
        <v>1090</v>
      </c>
      <c r="M103" s="5">
        <v>202005</v>
      </c>
      <c r="N103" s="5">
        <f>INDEX(rrcworking[Formation Production (MCF) @ 14.65 psi],MATCH('May 2020 EDI'!F103,rrcworking[RRC ID],0))</f>
        <v>530</v>
      </c>
      <c r="O103" s="5">
        <f>INDEX(rrcworking[Lease Use (MCF)],MATCH('May 2020 EDI'!F103,rrcworking[RRC ID],0))</f>
        <v>0</v>
      </c>
      <c r="P103" s="5">
        <f>INDEX(rrcworking[Gas Sales Statement Volume (MCF)],MATCH('May 2020 EDI'!F103,rrcworking[RRC ID],0))</f>
        <v>530</v>
      </c>
      <c r="R103" s="246">
        <f>INDEX(rrcworking[Flared Gas],MATCH('May 2020 EDI'!F103,rrcworking[RRC ID],0))</f>
        <v>0</v>
      </c>
      <c r="Y103" s="5">
        <f>INDEX(rrcworking[Oil Production],MATCH('May 2020 EDI'!F103,rrcworking[RRC ID],0))</f>
        <v>19</v>
      </c>
      <c r="AA103" s="5">
        <f>INDEX(rrcworking[Sales/Dispostion],MATCH('May 2020 EDI'!F103,rrcworking[RRC ID],0))</f>
        <v>0</v>
      </c>
      <c r="AQ103" s="5">
        <f>INDEX(rrcworking[Closing Stock (Oil)],MATCH('May 2020 EDI'!F103,rrcworking[RRC ID],0))</f>
        <v>169</v>
      </c>
    </row>
    <row r="104" spans="1:43">
      <c r="A104" s="4" t="s">
        <v>1</v>
      </c>
      <c r="B104" s="1" t="s">
        <v>1001</v>
      </c>
      <c r="C104" s="10" t="s">
        <v>909</v>
      </c>
      <c r="D104" s="1" t="s">
        <v>618</v>
      </c>
      <c r="E104" s="1" t="s">
        <v>59</v>
      </c>
      <c r="F104" s="1" t="s">
        <v>516</v>
      </c>
      <c r="I104" s="10" t="s">
        <v>3</v>
      </c>
      <c r="J104" s="118" t="s">
        <v>3</v>
      </c>
      <c r="K104" s="1" t="s">
        <v>1090</v>
      </c>
      <c r="M104" s="5">
        <v>202005</v>
      </c>
      <c r="N104" s="5">
        <f>INDEX(rrcworking[Formation Production (MCF) @ 14.65 psi],MATCH('May 2020 EDI'!F104,rrcworking[RRC ID],0))</f>
        <v>0</v>
      </c>
      <c r="O104" s="5">
        <f>INDEX(rrcworking[Lease Use (MCF)],MATCH('May 2020 EDI'!F104,rrcworking[RRC ID],0))</f>
        <v>0</v>
      </c>
      <c r="P104" s="5">
        <f>INDEX(rrcworking[Gas Sales Statement Volume (MCF)],MATCH('May 2020 EDI'!F104,rrcworking[RRC ID],0))</f>
        <v>0</v>
      </c>
      <c r="R104" s="246">
        <f>INDEX(rrcworking[Flared Gas],MATCH('May 2020 EDI'!F104,rrcworking[RRC ID],0))</f>
        <v>0</v>
      </c>
      <c r="Y104" s="5">
        <f>INDEX(rrcworking[Oil Production],MATCH('May 2020 EDI'!F104,rrcworking[RRC ID],0))</f>
        <v>0</v>
      </c>
      <c r="AA104" s="5">
        <f>INDEX(rrcworking[Sales/Dispostion],MATCH('May 2020 EDI'!F104,rrcworking[RRC ID],0))</f>
        <v>0</v>
      </c>
      <c r="AQ104" s="5">
        <f>INDEX(rrcworking[Closing Stock (Oil)],MATCH('May 2020 EDI'!F104,rrcworking[RRC ID],0))</f>
        <v>109</v>
      </c>
    </row>
    <row r="105" spans="1:43">
      <c r="A105" s="4" t="s">
        <v>1</v>
      </c>
      <c r="B105" s="1" t="s">
        <v>1002</v>
      </c>
      <c r="C105" s="10" t="s">
        <v>909</v>
      </c>
      <c r="D105" s="1" t="s">
        <v>618</v>
      </c>
      <c r="E105" s="1" t="s">
        <v>2</v>
      </c>
      <c r="F105" s="1" t="s">
        <v>517</v>
      </c>
      <c r="I105" s="10" t="s">
        <v>3</v>
      </c>
      <c r="J105" s="118" t="s">
        <v>3</v>
      </c>
      <c r="K105" s="1" t="s">
        <v>1090</v>
      </c>
      <c r="M105" s="5">
        <v>202005</v>
      </c>
      <c r="N105" s="5">
        <f>INDEX(rrcworking[Formation Production (MCF) @ 14.65 psi],MATCH('May 2020 EDI'!F105,rrcworking[RRC ID],0))</f>
        <v>0</v>
      </c>
      <c r="O105" s="5">
        <f>INDEX(rrcworking[Lease Use (MCF)],MATCH('May 2020 EDI'!F105,rrcworking[RRC ID],0))</f>
        <v>0</v>
      </c>
      <c r="P105" s="5">
        <f>INDEX(rrcworking[Gas Sales Statement Volume (MCF)],MATCH('May 2020 EDI'!F105,rrcworking[RRC ID],0))</f>
        <v>0</v>
      </c>
      <c r="R105" s="246">
        <f>INDEX(rrcworking[Flared Gas],MATCH('May 2020 EDI'!F105,rrcworking[RRC ID],0))</f>
        <v>0</v>
      </c>
      <c r="Y105" s="5">
        <f>INDEX(rrcworking[Oil Production],MATCH('May 2020 EDI'!F105,rrcworking[RRC ID],0))</f>
        <v>0</v>
      </c>
      <c r="AA105" s="5">
        <f>INDEX(rrcworking[Sales/Dispostion],MATCH('May 2020 EDI'!F105,rrcworking[RRC ID],0))</f>
        <v>0</v>
      </c>
      <c r="AQ105" s="5">
        <f>INDEX(rrcworking[Closing Stock (Oil)],MATCH('May 2020 EDI'!F105,rrcworking[RRC ID],0))</f>
        <v>0</v>
      </c>
    </row>
    <row r="106" spans="1:43">
      <c r="A106" s="4" t="s">
        <v>1</v>
      </c>
      <c r="B106" s="1" t="s">
        <v>1003</v>
      </c>
      <c r="C106" s="10" t="s">
        <v>909</v>
      </c>
      <c r="D106" s="1" t="s">
        <v>618</v>
      </c>
      <c r="E106" s="1" t="s">
        <v>59</v>
      </c>
      <c r="F106" s="1" t="s">
        <v>518</v>
      </c>
      <c r="I106" s="10" t="s">
        <v>3</v>
      </c>
      <c r="J106" s="118" t="s">
        <v>3</v>
      </c>
      <c r="K106" s="1" t="s">
        <v>1090</v>
      </c>
      <c r="M106" s="5">
        <v>202005</v>
      </c>
      <c r="N106" s="5">
        <f>INDEX(rrcworking[Formation Production (MCF) @ 14.65 psi],MATCH('May 2020 EDI'!F106,rrcworking[RRC ID],0))</f>
        <v>0</v>
      </c>
      <c r="O106" s="5">
        <f>INDEX(rrcworking[Lease Use (MCF)],MATCH('May 2020 EDI'!F106,rrcworking[RRC ID],0))</f>
        <v>0</v>
      </c>
      <c r="P106" s="5">
        <f>INDEX(rrcworking[Gas Sales Statement Volume (MCF)],MATCH('May 2020 EDI'!F106,rrcworking[RRC ID],0))</f>
        <v>0</v>
      </c>
      <c r="R106" s="246">
        <f>INDEX(rrcworking[Flared Gas],MATCH('May 2020 EDI'!F106,rrcworking[RRC ID],0))</f>
        <v>0</v>
      </c>
      <c r="Y106" s="5">
        <f>INDEX(rrcworking[Oil Production],MATCH('May 2020 EDI'!F106,rrcworking[RRC ID],0))</f>
        <v>0</v>
      </c>
      <c r="AA106" s="5">
        <f>INDEX(rrcworking[Sales/Dispostion],MATCH('May 2020 EDI'!F106,rrcworking[RRC ID],0))</f>
        <v>0</v>
      </c>
      <c r="AQ106" s="5">
        <f>INDEX(rrcworking[Closing Stock (Oil)],MATCH('May 2020 EDI'!F106,rrcworking[RRC ID],0))</f>
        <v>0</v>
      </c>
    </row>
    <row r="107" spans="1:43">
      <c r="A107" s="4" t="s">
        <v>1</v>
      </c>
      <c r="B107" s="1" t="s">
        <v>1004</v>
      </c>
      <c r="C107" s="10" t="s">
        <v>909</v>
      </c>
      <c r="D107" s="1" t="s">
        <v>618</v>
      </c>
      <c r="E107" s="1" t="s">
        <v>59</v>
      </c>
      <c r="F107" s="1" t="s">
        <v>519</v>
      </c>
      <c r="I107" s="10" t="s">
        <v>3</v>
      </c>
      <c r="J107" s="118" t="s">
        <v>3</v>
      </c>
      <c r="K107" s="1" t="s">
        <v>1090</v>
      </c>
      <c r="M107" s="5">
        <v>202005</v>
      </c>
      <c r="N107" s="5">
        <f>INDEX(rrcworking[Formation Production (MCF) @ 14.65 psi],MATCH('May 2020 EDI'!F107,rrcworking[RRC ID],0))</f>
        <v>3426</v>
      </c>
      <c r="O107" s="5">
        <f>INDEX(rrcworking[Lease Use (MCF)],MATCH('May 2020 EDI'!F107,rrcworking[RRC ID],0))</f>
        <v>57</v>
      </c>
      <c r="P107" s="5">
        <f>INDEX(rrcworking[Gas Sales Statement Volume (MCF)],MATCH('May 2020 EDI'!F107,rrcworking[RRC ID],0))</f>
        <v>3369</v>
      </c>
      <c r="R107" s="246">
        <f>INDEX(rrcworking[Flared Gas],MATCH('May 2020 EDI'!F107,rrcworking[RRC ID],0))</f>
        <v>0</v>
      </c>
      <c r="Y107" s="5">
        <f>INDEX(rrcworking[Oil Production],MATCH('May 2020 EDI'!F107,rrcworking[RRC ID],0))</f>
        <v>62</v>
      </c>
      <c r="AA107" s="5">
        <f>INDEX(rrcworking[Sales/Dispostion],MATCH('May 2020 EDI'!F107,rrcworking[RRC ID],0))</f>
        <v>0</v>
      </c>
      <c r="AQ107" s="5">
        <f>INDEX(rrcworking[Closing Stock (Oil)],MATCH('May 2020 EDI'!F107,rrcworking[RRC ID],0))</f>
        <v>258</v>
      </c>
    </row>
    <row r="108" spans="1:43">
      <c r="A108" s="4" t="s">
        <v>1</v>
      </c>
      <c r="B108" s="1" t="s">
        <v>1005</v>
      </c>
      <c r="C108" s="10" t="s">
        <v>909</v>
      </c>
      <c r="D108" s="1" t="s">
        <v>618</v>
      </c>
      <c r="E108" s="1" t="s">
        <v>59</v>
      </c>
      <c r="F108" s="1" t="s">
        <v>520</v>
      </c>
      <c r="I108" s="10" t="s">
        <v>3</v>
      </c>
      <c r="J108" s="118" t="s">
        <v>3</v>
      </c>
      <c r="K108" s="1" t="s">
        <v>1090</v>
      </c>
      <c r="M108" s="5">
        <v>202005</v>
      </c>
      <c r="N108" s="5">
        <f>INDEX(rrcworking[Formation Production (MCF) @ 14.65 psi],MATCH('May 2020 EDI'!F108,rrcworking[RRC ID],0))</f>
        <v>0</v>
      </c>
      <c r="O108" s="5">
        <f>INDEX(rrcworking[Lease Use (MCF)],MATCH('May 2020 EDI'!F108,rrcworking[RRC ID],0))</f>
        <v>0</v>
      </c>
      <c r="P108" s="5">
        <f>INDEX(rrcworking[Gas Sales Statement Volume (MCF)],MATCH('May 2020 EDI'!F108,rrcworking[RRC ID],0))</f>
        <v>0</v>
      </c>
      <c r="R108" s="246">
        <f>INDEX(rrcworking[Flared Gas],MATCH('May 2020 EDI'!F108,rrcworking[RRC ID],0))</f>
        <v>0</v>
      </c>
      <c r="Y108" s="5">
        <f>INDEX(rrcworking[Oil Production],MATCH('May 2020 EDI'!F108,rrcworking[RRC ID],0))</f>
        <v>0</v>
      </c>
      <c r="AA108" s="5">
        <f>INDEX(rrcworking[Sales/Dispostion],MATCH('May 2020 EDI'!F108,rrcworking[RRC ID],0))</f>
        <v>0</v>
      </c>
      <c r="AQ108" s="5">
        <f>INDEX(rrcworking[Closing Stock (Oil)],MATCH('May 2020 EDI'!F108,rrcworking[RRC ID],0))</f>
        <v>0</v>
      </c>
    </row>
    <row r="109" spans="1:43">
      <c r="A109" s="4" t="s">
        <v>1</v>
      </c>
      <c r="B109" s="1" t="s">
        <v>1006</v>
      </c>
      <c r="C109" s="10" t="s">
        <v>909</v>
      </c>
      <c r="D109" s="1" t="s">
        <v>618</v>
      </c>
      <c r="E109" s="1" t="s">
        <v>59</v>
      </c>
      <c r="F109" s="1" t="s">
        <v>521</v>
      </c>
      <c r="I109" s="10" t="s">
        <v>3</v>
      </c>
      <c r="J109" s="118" t="s">
        <v>3</v>
      </c>
      <c r="K109" s="1" t="s">
        <v>1090</v>
      </c>
      <c r="M109" s="5">
        <v>202005</v>
      </c>
      <c r="N109" s="5">
        <f>INDEX(rrcworking[Formation Production (MCF) @ 14.65 psi],MATCH('May 2020 EDI'!F109,rrcworking[RRC ID],0))</f>
        <v>1341</v>
      </c>
      <c r="O109" s="5">
        <f>INDEX(rrcworking[Lease Use (MCF)],MATCH('May 2020 EDI'!F109,rrcworking[RRC ID],0))</f>
        <v>10</v>
      </c>
      <c r="P109" s="5">
        <f>INDEX(rrcworking[Gas Sales Statement Volume (MCF)],MATCH('May 2020 EDI'!F109,rrcworking[RRC ID],0))</f>
        <v>1331</v>
      </c>
      <c r="R109" s="246">
        <f>INDEX(rrcworking[Flared Gas],MATCH('May 2020 EDI'!F109,rrcworking[RRC ID],0))</f>
        <v>0</v>
      </c>
      <c r="Y109" s="5">
        <f>INDEX(rrcworking[Oil Production],MATCH('May 2020 EDI'!F109,rrcworking[RRC ID],0))</f>
        <v>5</v>
      </c>
      <c r="AA109" s="5">
        <f>INDEX(rrcworking[Sales/Dispostion],MATCH('May 2020 EDI'!F109,rrcworking[RRC ID],0))</f>
        <v>0</v>
      </c>
      <c r="AQ109" s="5">
        <f>INDEX(rrcworking[Closing Stock (Oil)],MATCH('May 2020 EDI'!F109,rrcworking[RRC ID],0))</f>
        <v>80</v>
      </c>
    </row>
    <row r="110" spans="1:43">
      <c r="A110" s="4" t="s">
        <v>1</v>
      </c>
      <c r="B110" s="1" t="s">
        <v>1007</v>
      </c>
      <c r="C110" s="10" t="s">
        <v>909</v>
      </c>
      <c r="D110" s="1" t="s">
        <v>618</v>
      </c>
      <c r="E110" s="1" t="s">
        <v>59</v>
      </c>
      <c r="F110" s="1" t="s">
        <v>522</v>
      </c>
      <c r="I110" s="10" t="s">
        <v>3</v>
      </c>
      <c r="J110" s="118" t="s">
        <v>3</v>
      </c>
      <c r="K110" s="1" t="s">
        <v>1090</v>
      </c>
      <c r="M110" s="5">
        <v>202005</v>
      </c>
      <c r="N110" s="5">
        <f>INDEX(rrcworking[Formation Production (MCF) @ 14.65 psi],MATCH('May 2020 EDI'!F110,rrcworking[RRC ID],0))</f>
        <v>1519</v>
      </c>
      <c r="O110" s="5">
        <f>INDEX(rrcworking[Lease Use (MCF)],MATCH('May 2020 EDI'!F110,rrcworking[RRC ID],0))</f>
        <v>76</v>
      </c>
      <c r="P110" s="5">
        <f>INDEX(rrcworking[Gas Sales Statement Volume (MCF)],MATCH('May 2020 EDI'!F110,rrcworking[RRC ID],0))</f>
        <v>1443</v>
      </c>
      <c r="R110" s="246">
        <f>INDEX(rrcworking[Flared Gas],MATCH('May 2020 EDI'!F110,rrcworking[RRC ID],0))</f>
        <v>0</v>
      </c>
      <c r="Y110" s="5">
        <f>INDEX(rrcworking[Oil Production],MATCH('May 2020 EDI'!F110,rrcworking[RRC ID],0))</f>
        <v>30</v>
      </c>
      <c r="AA110" s="5">
        <f>INDEX(rrcworking[Sales/Dispostion],MATCH('May 2020 EDI'!F110,rrcworking[RRC ID],0))</f>
        <v>0</v>
      </c>
      <c r="AQ110" s="5">
        <f>INDEX(rrcworking[Closing Stock (Oil)],MATCH('May 2020 EDI'!F110,rrcworking[RRC ID],0))</f>
        <v>145</v>
      </c>
    </row>
    <row r="111" spans="1:43">
      <c r="A111" s="4" t="s">
        <v>1</v>
      </c>
      <c r="B111" s="1" t="s">
        <v>1008</v>
      </c>
      <c r="C111" s="10" t="s">
        <v>909</v>
      </c>
      <c r="D111" s="1" t="s">
        <v>618</v>
      </c>
      <c r="E111" s="1" t="s">
        <v>59</v>
      </c>
      <c r="F111" s="1" t="s">
        <v>523</v>
      </c>
      <c r="I111" s="10" t="s">
        <v>3</v>
      </c>
      <c r="J111" s="118" t="s">
        <v>3</v>
      </c>
      <c r="K111" s="1" t="s">
        <v>1090</v>
      </c>
      <c r="M111" s="5">
        <v>202005</v>
      </c>
      <c r="N111" s="5">
        <f>INDEX(rrcworking[Formation Production (MCF) @ 14.65 psi],MATCH('May 2020 EDI'!F111,rrcworking[RRC ID],0))</f>
        <v>0</v>
      </c>
      <c r="O111" s="5">
        <f>INDEX(rrcworking[Lease Use (MCF)],MATCH('May 2020 EDI'!F111,rrcworking[RRC ID],0))</f>
        <v>0</v>
      </c>
      <c r="P111" s="5">
        <f>INDEX(rrcworking[Gas Sales Statement Volume (MCF)],MATCH('May 2020 EDI'!F111,rrcworking[RRC ID],0))</f>
        <v>0</v>
      </c>
      <c r="R111" s="246">
        <f>INDEX(rrcworking[Flared Gas],MATCH('May 2020 EDI'!F111,rrcworking[RRC ID],0))</f>
        <v>0</v>
      </c>
      <c r="Y111" s="5">
        <f>INDEX(rrcworking[Oil Production],MATCH('May 2020 EDI'!F111,rrcworking[RRC ID],0))</f>
        <v>0</v>
      </c>
      <c r="AA111" s="5">
        <f>INDEX(rrcworking[Sales/Dispostion],MATCH('May 2020 EDI'!F111,rrcworking[RRC ID],0))</f>
        <v>0</v>
      </c>
      <c r="AQ111" s="5">
        <f>INDEX(rrcworking[Closing Stock (Oil)],MATCH('May 2020 EDI'!F111,rrcworking[RRC ID],0))</f>
        <v>0</v>
      </c>
    </row>
    <row r="112" spans="1:43">
      <c r="A112" s="4" t="s">
        <v>1</v>
      </c>
      <c r="B112" s="1" t="s">
        <v>1009</v>
      </c>
      <c r="C112" s="10" t="s">
        <v>909</v>
      </c>
      <c r="D112" s="1" t="s">
        <v>618</v>
      </c>
      <c r="E112" s="1" t="s">
        <v>59</v>
      </c>
      <c r="F112" s="1" t="s">
        <v>524</v>
      </c>
      <c r="I112" s="10" t="s">
        <v>3</v>
      </c>
      <c r="J112" s="118" t="s">
        <v>3</v>
      </c>
      <c r="K112" s="1" t="s">
        <v>1090</v>
      </c>
      <c r="M112" s="5">
        <v>202005</v>
      </c>
      <c r="N112" s="5">
        <f>INDEX(rrcworking[Formation Production (MCF) @ 14.65 psi],MATCH('May 2020 EDI'!F112,rrcworking[RRC ID],0))</f>
        <v>0</v>
      </c>
      <c r="O112" s="5">
        <f>INDEX(rrcworking[Lease Use (MCF)],MATCH('May 2020 EDI'!F112,rrcworking[RRC ID],0))</f>
        <v>0</v>
      </c>
      <c r="P112" s="5">
        <f>INDEX(rrcworking[Gas Sales Statement Volume (MCF)],MATCH('May 2020 EDI'!F112,rrcworking[RRC ID],0))</f>
        <v>0</v>
      </c>
      <c r="R112" s="246">
        <f>INDEX(rrcworking[Flared Gas],MATCH('May 2020 EDI'!F112,rrcworking[RRC ID],0))</f>
        <v>0</v>
      </c>
      <c r="Y112" s="5">
        <f>INDEX(rrcworking[Oil Production],MATCH('May 2020 EDI'!F112,rrcworking[RRC ID],0))</f>
        <v>0</v>
      </c>
      <c r="AA112" s="5">
        <f>INDEX(rrcworking[Sales/Dispostion],MATCH('May 2020 EDI'!F112,rrcworking[RRC ID],0))</f>
        <v>0</v>
      </c>
      <c r="AQ112" s="5">
        <f>INDEX(rrcworking[Closing Stock (Oil)],MATCH('May 2020 EDI'!F112,rrcworking[RRC ID],0))</f>
        <v>0</v>
      </c>
    </row>
    <row r="113" spans="1:43">
      <c r="A113" s="4" t="s">
        <v>1</v>
      </c>
      <c r="B113" s="1" t="s">
        <v>1010</v>
      </c>
      <c r="C113" s="10" t="s">
        <v>909</v>
      </c>
      <c r="D113" s="1" t="s">
        <v>618</v>
      </c>
      <c r="E113" s="1" t="s">
        <v>59</v>
      </c>
      <c r="F113" s="1" t="s">
        <v>525</v>
      </c>
      <c r="I113" s="10" t="s">
        <v>3</v>
      </c>
      <c r="J113" s="118" t="s">
        <v>3</v>
      </c>
      <c r="K113" s="1" t="s">
        <v>1090</v>
      </c>
      <c r="M113" s="5">
        <v>202005</v>
      </c>
      <c r="N113" s="5">
        <f>INDEX(rrcworking[Formation Production (MCF) @ 14.65 psi],MATCH('May 2020 EDI'!F113,rrcworking[RRC ID],0))</f>
        <v>0</v>
      </c>
      <c r="O113" s="5">
        <f>INDEX(rrcworking[Lease Use (MCF)],MATCH('May 2020 EDI'!F113,rrcworking[RRC ID],0))</f>
        <v>0</v>
      </c>
      <c r="P113" s="5">
        <f>INDEX(rrcworking[Gas Sales Statement Volume (MCF)],MATCH('May 2020 EDI'!F113,rrcworking[RRC ID],0))</f>
        <v>0</v>
      </c>
      <c r="R113" s="246">
        <f>INDEX(rrcworking[Flared Gas],MATCH('May 2020 EDI'!F113,rrcworking[RRC ID],0))</f>
        <v>0</v>
      </c>
      <c r="Y113" s="5">
        <f>INDEX(rrcworking[Oil Production],MATCH('May 2020 EDI'!F113,rrcworking[RRC ID],0))</f>
        <v>0</v>
      </c>
      <c r="AA113" s="5">
        <f>INDEX(rrcworking[Sales/Dispostion],MATCH('May 2020 EDI'!F113,rrcworking[RRC ID],0))</f>
        <v>0</v>
      </c>
      <c r="AQ113" s="5">
        <f>INDEX(rrcworking[Closing Stock (Oil)],MATCH('May 2020 EDI'!F113,rrcworking[RRC ID],0))</f>
        <v>0</v>
      </c>
    </row>
    <row r="114" spans="1:43">
      <c r="A114" s="4" t="s">
        <v>1</v>
      </c>
      <c r="B114" s="1" t="s">
        <v>1011</v>
      </c>
      <c r="C114" s="10" t="s">
        <v>909</v>
      </c>
      <c r="D114" s="1" t="s">
        <v>618</v>
      </c>
      <c r="E114" s="1" t="s">
        <v>59</v>
      </c>
      <c r="F114" s="1" t="s">
        <v>526</v>
      </c>
      <c r="I114" s="10" t="s">
        <v>3</v>
      </c>
      <c r="J114" s="118" t="s">
        <v>3</v>
      </c>
      <c r="K114" s="1">
        <v>1988</v>
      </c>
      <c r="M114" s="5">
        <v>202005</v>
      </c>
      <c r="N114" s="5">
        <f>INDEX(rrcworking[Formation Production (MCF) @ 14.65 psi],MATCH('May 2020 EDI'!F114,rrcworking[RRC ID],0))</f>
        <v>0</v>
      </c>
      <c r="O114" s="5">
        <f>INDEX(rrcworking[Lease Use (MCF)],MATCH('May 2020 EDI'!F114,rrcworking[RRC ID],0))</f>
        <v>0</v>
      </c>
      <c r="P114" s="5">
        <f>INDEX(rrcworking[Gas Sales Statement Volume (MCF)],MATCH('May 2020 EDI'!F114,rrcworking[RRC ID],0))</f>
        <v>0</v>
      </c>
      <c r="R114" s="246">
        <f>INDEX(rrcworking[Flared Gas],MATCH('May 2020 EDI'!F114,rrcworking[RRC ID],0))</f>
        <v>0</v>
      </c>
      <c r="Y114" s="5">
        <f>INDEX(rrcworking[Oil Production],MATCH('May 2020 EDI'!F114,rrcworking[RRC ID],0))</f>
        <v>0</v>
      </c>
      <c r="AA114" s="5">
        <f>INDEX(rrcworking[Sales/Dispostion],MATCH('May 2020 EDI'!F114,rrcworking[RRC ID],0))</f>
        <v>0</v>
      </c>
      <c r="AQ114" s="5">
        <f>INDEX(rrcworking[Closing Stock (Oil)],MATCH('May 2020 EDI'!F114,rrcworking[RRC ID],0))</f>
        <v>0</v>
      </c>
    </row>
    <row r="115" spans="1:43">
      <c r="A115" s="4" t="s">
        <v>1</v>
      </c>
      <c r="B115" s="1" t="s">
        <v>1012</v>
      </c>
      <c r="C115" s="10" t="s">
        <v>909</v>
      </c>
      <c r="D115" s="1" t="s">
        <v>618</v>
      </c>
      <c r="E115" s="1" t="s">
        <v>59</v>
      </c>
      <c r="F115" s="1" t="s">
        <v>527</v>
      </c>
      <c r="I115" s="10" t="s">
        <v>3</v>
      </c>
      <c r="J115" s="118" t="s">
        <v>3</v>
      </c>
      <c r="K115" s="1" t="s">
        <v>1090</v>
      </c>
      <c r="M115" s="5">
        <v>202005</v>
      </c>
      <c r="N115" s="5">
        <f>INDEX(rrcworking[Formation Production (MCF) @ 14.65 psi],MATCH('May 2020 EDI'!F115,rrcworking[RRC ID],0))</f>
        <v>0</v>
      </c>
      <c r="O115" s="5">
        <f>INDEX(rrcworking[Lease Use (MCF)],MATCH('May 2020 EDI'!F115,rrcworking[RRC ID],0))</f>
        <v>0</v>
      </c>
      <c r="P115" s="5">
        <f>INDEX(rrcworking[Gas Sales Statement Volume (MCF)],MATCH('May 2020 EDI'!F115,rrcworking[RRC ID],0))</f>
        <v>0</v>
      </c>
      <c r="R115" s="246">
        <f>INDEX(rrcworking[Flared Gas],MATCH('May 2020 EDI'!F115,rrcworking[RRC ID],0))</f>
        <v>0</v>
      </c>
      <c r="Y115" s="5">
        <f>INDEX(rrcworking[Oil Production],MATCH('May 2020 EDI'!F115,rrcworking[RRC ID],0))</f>
        <v>0</v>
      </c>
      <c r="AA115" s="5">
        <f>INDEX(rrcworking[Sales/Dispostion],MATCH('May 2020 EDI'!F115,rrcworking[RRC ID],0))</f>
        <v>0</v>
      </c>
      <c r="AQ115" s="5">
        <f>INDEX(rrcworking[Closing Stock (Oil)],MATCH('May 2020 EDI'!F115,rrcworking[RRC ID],0))</f>
        <v>0</v>
      </c>
    </row>
    <row r="116" spans="1:43">
      <c r="A116" s="4" t="s">
        <v>1</v>
      </c>
      <c r="B116" s="1" t="s">
        <v>1013</v>
      </c>
      <c r="C116" s="10" t="s">
        <v>909</v>
      </c>
      <c r="D116" s="1" t="s">
        <v>618</v>
      </c>
      <c r="E116" s="1" t="s">
        <v>59</v>
      </c>
      <c r="F116" s="1" t="s">
        <v>528</v>
      </c>
      <c r="I116" s="10" t="s">
        <v>3</v>
      </c>
      <c r="J116" s="118" t="s">
        <v>3</v>
      </c>
      <c r="K116" s="1">
        <v>1988</v>
      </c>
      <c r="M116" s="5">
        <v>202005</v>
      </c>
      <c r="N116" s="5">
        <f>INDEX(rrcworking[Formation Production (MCF) @ 14.65 psi],MATCH('May 2020 EDI'!F116,rrcworking[RRC ID],0))</f>
        <v>687</v>
      </c>
      <c r="O116" s="5">
        <f>INDEX(rrcworking[Lease Use (MCF)],MATCH('May 2020 EDI'!F116,rrcworking[RRC ID],0))</f>
        <v>62</v>
      </c>
      <c r="P116" s="5">
        <f>INDEX(rrcworking[Gas Sales Statement Volume (MCF)],MATCH('May 2020 EDI'!F116,rrcworking[RRC ID],0))</f>
        <v>625</v>
      </c>
      <c r="R116" s="246">
        <f>INDEX(rrcworking[Flared Gas],MATCH('May 2020 EDI'!F116,rrcworking[RRC ID],0))</f>
        <v>0</v>
      </c>
      <c r="Y116" s="5">
        <f>INDEX(rrcworking[Oil Production],MATCH('May 2020 EDI'!F116,rrcworking[RRC ID],0))</f>
        <v>50</v>
      </c>
      <c r="AA116" s="5">
        <f>INDEX(rrcworking[Sales/Dispostion],MATCH('May 2020 EDI'!F116,rrcworking[RRC ID],0))</f>
        <v>0</v>
      </c>
      <c r="AQ116" s="5">
        <f>INDEX(rrcworking[Closing Stock (Oil)],MATCH('May 2020 EDI'!F116,rrcworking[RRC ID],0))</f>
        <v>239</v>
      </c>
    </row>
    <row r="117" spans="1:43">
      <c r="A117" s="4" t="s">
        <v>1</v>
      </c>
      <c r="B117" s="1" t="s">
        <v>1014</v>
      </c>
      <c r="C117" s="10" t="s">
        <v>909</v>
      </c>
      <c r="D117" s="1" t="s">
        <v>618</v>
      </c>
      <c r="E117" s="1" t="s">
        <v>59</v>
      </c>
      <c r="F117" s="1" t="s">
        <v>529</v>
      </c>
      <c r="I117" s="10" t="s">
        <v>3</v>
      </c>
      <c r="J117" s="118" t="s">
        <v>3</v>
      </c>
      <c r="K117" s="1">
        <v>1988</v>
      </c>
      <c r="M117" s="5">
        <v>202005</v>
      </c>
      <c r="N117" s="5">
        <f>INDEX(rrcworking[Formation Production (MCF) @ 14.65 psi],MATCH('May 2020 EDI'!F117,rrcworking[RRC ID],0))</f>
        <v>19</v>
      </c>
      <c r="O117" s="5">
        <f>INDEX(rrcworking[Lease Use (MCF)],MATCH('May 2020 EDI'!F117,rrcworking[RRC ID],0))</f>
        <v>0</v>
      </c>
      <c r="P117" s="5">
        <f>INDEX(rrcworking[Gas Sales Statement Volume (MCF)],MATCH('May 2020 EDI'!F117,rrcworking[RRC ID],0))</f>
        <v>19</v>
      </c>
      <c r="R117" s="246">
        <f>INDEX(rrcworking[Flared Gas],MATCH('May 2020 EDI'!F117,rrcworking[RRC ID],0))</f>
        <v>0</v>
      </c>
      <c r="Y117" s="5">
        <f>INDEX(rrcworking[Oil Production],MATCH('May 2020 EDI'!F117,rrcworking[RRC ID],0))</f>
        <v>0</v>
      </c>
      <c r="AA117" s="5">
        <f>INDEX(rrcworking[Sales/Dispostion],MATCH('May 2020 EDI'!F117,rrcworking[RRC ID],0))</f>
        <v>0</v>
      </c>
      <c r="AQ117" s="5">
        <f>INDEX(rrcworking[Closing Stock (Oil)],MATCH('May 2020 EDI'!F117,rrcworking[RRC ID],0))</f>
        <v>0</v>
      </c>
    </row>
    <row r="118" spans="1:43">
      <c r="A118" s="4" t="s">
        <v>1</v>
      </c>
      <c r="B118" s="1" t="s">
        <v>1015</v>
      </c>
      <c r="C118" s="10" t="s">
        <v>909</v>
      </c>
      <c r="D118" s="1" t="s">
        <v>618</v>
      </c>
      <c r="E118" s="1" t="s">
        <v>59</v>
      </c>
      <c r="F118" s="1" t="s">
        <v>530</v>
      </c>
      <c r="I118" s="10" t="s">
        <v>3</v>
      </c>
      <c r="J118" s="118" t="s">
        <v>3</v>
      </c>
      <c r="K118" s="1" t="s">
        <v>1090</v>
      </c>
      <c r="M118" s="5">
        <v>202005</v>
      </c>
      <c r="N118" s="5">
        <f>INDEX(rrcworking[Formation Production (MCF) @ 14.65 psi],MATCH('May 2020 EDI'!F118,rrcworking[RRC ID],0))</f>
        <v>3918</v>
      </c>
      <c r="O118" s="5">
        <f>INDEX(rrcworking[Lease Use (MCF)],MATCH('May 2020 EDI'!F118,rrcworking[RRC ID],0))</f>
        <v>30</v>
      </c>
      <c r="P118" s="5">
        <f>INDEX(rrcworking[Gas Sales Statement Volume (MCF)],MATCH('May 2020 EDI'!F118,rrcworking[RRC ID],0))</f>
        <v>3888</v>
      </c>
      <c r="R118" s="246">
        <f>INDEX(rrcworking[Flared Gas],MATCH('May 2020 EDI'!F118,rrcworking[RRC ID],0))</f>
        <v>0</v>
      </c>
      <c r="Y118" s="5">
        <f>INDEX(rrcworking[Oil Production],MATCH('May 2020 EDI'!F118,rrcworking[RRC ID],0))</f>
        <v>167</v>
      </c>
      <c r="AA118" s="5">
        <f>INDEX(rrcworking[Sales/Dispostion],MATCH('May 2020 EDI'!F118,rrcworking[RRC ID],0))</f>
        <v>0</v>
      </c>
      <c r="AQ118" s="5">
        <f>INDEX(rrcworking[Closing Stock (Oil)],MATCH('May 2020 EDI'!F118,rrcworking[RRC ID],0))</f>
        <v>230</v>
      </c>
    </row>
    <row r="119" spans="1:43">
      <c r="A119" s="4" t="s">
        <v>1</v>
      </c>
      <c r="B119" s="1" t="s">
        <v>1016</v>
      </c>
      <c r="C119" s="10" t="s">
        <v>909</v>
      </c>
      <c r="D119" s="1" t="s">
        <v>618</v>
      </c>
      <c r="E119" s="1" t="s">
        <v>59</v>
      </c>
      <c r="F119" s="1" t="s">
        <v>531</v>
      </c>
      <c r="I119" s="10" t="s">
        <v>3</v>
      </c>
      <c r="J119" s="118" t="s">
        <v>3</v>
      </c>
      <c r="K119" s="1" t="s">
        <v>1090</v>
      </c>
      <c r="M119" s="5">
        <v>202005</v>
      </c>
      <c r="N119" s="5">
        <f>INDEX(rrcworking[Formation Production (MCF) @ 14.65 psi],MATCH('May 2020 EDI'!F119,rrcworking[RRC ID],0))</f>
        <v>224</v>
      </c>
      <c r="O119" s="5">
        <f>INDEX(rrcworking[Lease Use (MCF)],MATCH('May 2020 EDI'!F119,rrcworking[RRC ID],0))</f>
        <v>8</v>
      </c>
      <c r="P119" s="5">
        <f>INDEX(rrcworking[Gas Sales Statement Volume (MCF)],MATCH('May 2020 EDI'!F119,rrcworking[RRC ID],0))</f>
        <v>216</v>
      </c>
      <c r="R119" s="246">
        <f>INDEX(rrcworking[Flared Gas],MATCH('May 2020 EDI'!F119,rrcworking[RRC ID],0))</f>
        <v>0</v>
      </c>
      <c r="Y119" s="5">
        <f>INDEX(rrcworking[Oil Production],MATCH('May 2020 EDI'!F119,rrcworking[RRC ID],0))</f>
        <v>0</v>
      </c>
      <c r="AA119" s="5">
        <f>INDEX(rrcworking[Sales/Dispostion],MATCH('May 2020 EDI'!F119,rrcworking[RRC ID],0))</f>
        <v>0</v>
      </c>
      <c r="AQ119" s="5">
        <f>INDEX(rrcworking[Closing Stock (Oil)],MATCH('May 2020 EDI'!F119,rrcworking[RRC ID],0))</f>
        <v>33</v>
      </c>
    </row>
    <row r="120" spans="1:43">
      <c r="A120" s="4" t="s">
        <v>1</v>
      </c>
      <c r="B120" s="1" t="s">
        <v>1017</v>
      </c>
      <c r="C120" s="10" t="s">
        <v>909</v>
      </c>
      <c r="D120" s="1" t="s">
        <v>618</v>
      </c>
      <c r="E120" s="1" t="s">
        <v>59</v>
      </c>
      <c r="F120" s="1" t="s">
        <v>532</v>
      </c>
      <c r="I120" s="10" t="s">
        <v>3</v>
      </c>
      <c r="J120" s="118" t="s">
        <v>3</v>
      </c>
      <c r="K120" s="1" t="s">
        <v>1090</v>
      </c>
      <c r="M120" s="5">
        <v>202005</v>
      </c>
      <c r="N120" s="5">
        <f>INDEX(rrcworking[Formation Production (MCF) @ 14.65 psi],MATCH('May 2020 EDI'!F120,rrcworking[RRC ID],0))</f>
        <v>2228</v>
      </c>
      <c r="O120" s="5">
        <f>INDEX(rrcworking[Lease Use (MCF)],MATCH('May 2020 EDI'!F120,rrcworking[RRC ID],0))</f>
        <v>150</v>
      </c>
      <c r="P120" s="5">
        <f>INDEX(rrcworking[Gas Sales Statement Volume (MCF)],MATCH('May 2020 EDI'!F120,rrcworking[RRC ID],0))</f>
        <v>2078</v>
      </c>
      <c r="R120" s="246">
        <f>INDEX(rrcworking[Flared Gas],MATCH('May 2020 EDI'!F120,rrcworking[RRC ID],0))</f>
        <v>0</v>
      </c>
      <c r="Y120" s="5">
        <f>INDEX(rrcworking[Oil Production],MATCH('May 2020 EDI'!F120,rrcworking[RRC ID],0))</f>
        <v>65</v>
      </c>
      <c r="AA120" s="5">
        <f>INDEX(rrcworking[Sales/Dispostion],MATCH('May 2020 EDI'!F120,rrcworking[RRC ID],0))</f>
        <v>0</v>
      </c>
      <c r="AQ120" s="5">
        <f>INDEX(rrcworking[Closing Stock (Oil)],MATCH('May 2020 EDI'!F120,rrcworking[RRC ID],0))</f>
        <v>163</v>
      </c>
    </row>
    <row r="121" spans="1:43">
      <c r="A121" s="4" t="s">
        <v>1</v>
      </c>
      <c r="B121" s="1" t="s">
        <v>1018</v>
      </c>
      <c r="C121" s="10" t="s">
        <v>909</v>
      </c>
      <c r="D121" s="1" t="s">
        <v>618</v>
      </c>
      <c r="E121" s="1" t="s">
        <v>59</v>
      </c>
      <c r="F121" s="1" t="s">
        <v>533</v>
      </c>
      <c r="I121" s="10" t="s">
        <v>3</v>
      </c>
      <c r="J121" s="118" t="s">
        <v>3</v>
      </c>
      <c r="K121" s="1" t="s">
        <v>1090</v>
      </c>
      <c r="M121" s="5">
        <v>202005</v>
      </c>
      <c r="N121" s="5">
        <f>INDEX(rrcworking[Formation Production (MCF) @ 14.65 psi],MATCH('May 2020 EDI'!F121,rrcworking[RRC ID],0))</f>
        <v>0</v>
      </c>
      <c r="O121" s="5">
        <f>INDEX(rrcworking[Lease Use (MCF)],MATCH('May 2020 EDI'!F121,rrcworking[RRC ID],0))</f>
        <v>0</v>
      </c>
      <c r="P121" s="5">
        <f>INDEX(rrcworking[Gas Sales Statement Volume (MCF)],MATCH('May 2020 EDI'!F121,rrcworking[RRC ID],0))</f>
        <v>0</v>
      </c>
      <c r="R121" s="246">
        <f>INDEX(rrcworking[Flared Gas],MATCH('May 2020 EDI'!F121,rrcworking[RRC ID],0))</f>
        <v>0</v>
      </c>
      <c r="Y121" s="5">
        <f>INDEX(rrcworking[Oil Production],MATCH('May 2020 EDI'!F121,rrcworking[RRC ID],0))</f>
        <v>0</v>
      </c>
      <c r="AA121" s="5">
        <f>INDEX(rrcworking[Sales/Dispostion],MATCH('May 2020 EDI'!F121,rrcworking[RRC ID],0))</f>
        <v>0</v>
      </c>
      <c r="AQ121" s="5">
        <f>INDEX(rrcworking[Closing Stock (Oil)],MATCH('May 2020 EDI'!F121,rrcworking[RRC ID],0))</f>
        <v>0</v>
      </c>
    </row>
    <row r="122" spans="1:43">
      <c r="A122" s="4" t="s">
        <v>1</v>
      </c>
      <c r="B122" s="1" t="s">
        <v>1019</v>
      </c>
      <c r="C122" s="10" t="s">
        <v>909</v>
      </c>
      <c r="D122" s="1" t="s">
        <v>618</v>
      </c>
      <c r="E122" s="1" t="s">
        <v>59</v>
      </c>
      <c r="F122" s="1" t="s">
        <v>534</v>
      </c>
      <c r="I122" s="10" t="s">
        <v>3</v>
      </c>
      <c r="J122" s="118" t="s">
        <v>3</v>
      </c>
      <c r="K122" s="1" t="s">
        <v>1090</v>
      </c>
      <c r="M122" s="5">
        <v>202005</v>
      </c>
      <c r="N122" s="5">
        <f>INDEX(rrcworking[Formation Production (MCF) @ 14.65 psi],MATCH('May 2020 EDI'!F122,rrcworking[RRC ID],0))</f>
        <v>3359</v>
      </c>
      <c r="O122" s="5">
        <f>INDEX(rrcworking[Lease Use (MCF)],MATCH('May 2020 EDI'!F122,rrcworking[RRC ID],0))</f>
        <v>186</v>
      </c>
      <c r="P122" s="5">
        <f>INDEX(rrcworking[Gas Sales Statement Volume (MCF)],MATCH('May 2020 EDI'!F122,rrcworking[RRC ID],0))</f>
        <v>3173</v>
      </c>
      <c r="R122" s="246">
        <f>INDEX(rrcworking[Flared Gas],MATCH('May 2020 EDI'!F122,rrcworking[RRC ID],0))</f>
        <v>0</v>
      </c>
      <c r="Y122" s="5">
        <f>INDEX(rrcworking[Oil Production],MATCH('May 2020 EDI'!F122,rrcworking[RRC ID],0))</f>
        <v>0</v>
      </c>
      <c r="AA122" s="5">
        <f>INDEX(rrcworking[Sales/Dispostion],MATCH('May 2020 EDI'!F122,rrcworking[RRC ID],0))</f>
        <v>0</v>
      </c>
      <c r="AQ122" s="5">
        <f>INDEX(rrcworking[Closing Stock (Oil)],MATCH('May 2020 EDI'!F122,rrcworking[RRC ID],0))</f>
        <v>0</v>
      </c>
    </row>
    <row r="123" spans="1:43">
      <c r="A123" s="4" t="s">
        <v>1</v>
      </c>
      <c r="B123" s="1" t="s">
        <v>1020</v>
      </c>
      <c r="C123" s="10" t="s">
        <v>909</v>
      </c>
      <c r="D123" s="1" t="s">
        <v>618</v>
      </c>
      <c r="E123" s="1" t="s">
        <v>2</v>
      </c>
      <c r="F123" s="1" t="s">
        <v>535</v>
      </c>
      <c r="I123" s="10" t="s">
        <v>3</v>
      </c>
      <c r="J123" s="118" t="s">
        <v>3</v>
      </c>
      <c r="K123" s="1" t="s">
        <v>1090</v>
      </c>
      <c r="M123" s="5">
        <v>202005</v>
      </c>
      <c r="N123" s="5">
        <f>INDEX(rrcworking[Formation Production (MCF) @ 14.65 psi],MATCH('May 2020 EDI'!F123,rrcworking[RRC ID],0))</f>
        <v>12</v>
      </c>
      <c r="O123" s="5">
        <f>INDEX(rrcworking[Lease Use (MCF)],MATCH('May 2020 EDI'!F123,rrcworking[RRC ID],0))</f>
        <v>12</v>
      </c>
      <c r="P123" s="5">
        <f>INDEX(rrcworking[Gas Sales Statement Volume (MCF)],MATCH('May 2020 EDI'!F123,rrcworking[RRC ID],0))</f>
        <v>0</v>
      </c>
      <c r="R123" s="246">
        <f>INDEX(rrcworking[Flared Gas],MATCH('May 2020 EDI'!F123,rrcworking[RRC ID],0))</f>
        <v>0</v>
      </c>
      <c r="Y123" s="5">
        <f>INDEX(rrcworking[Oil Production],MATCH('May 2020 EDI'!F123,rrcworking[RRC ID],0))</f>
        <v>1215</v>
      </c>
      <c r="AA123" s="5">
        <f>INDEX(rrcworking[Sales/Dispostion],MATCH('May 2020 EDI'!F123,rrcworking[RRC ID],0))</f>
        <v>706</v>
      </c>
      <c r="AQ123" s="5">
        <f>INDEX(rrcworking[Closing Stock (Oil)],MATCH('May 2020 EDI'!F123,rrcworking[RRC ID],0))</f>
        <v>735</v>
      </c>
    </row>
    <row r="124" spans="1:43">
      <c r="A124" s="4" t="s">
        <v>1</v>
      </c>
      <c r="B124" s="1" t="s">
        <v>1021</v>
      </c>
      <c r="C124" s="10" t="s">
        <v>909</v>
      </c>
      <c r="D124" s="1" t="s">
        <v>618</v>
      </c>
      <c r="E124" s="1" t="s">
        <v>2</v>
      </c>
      <c r="F124" s="1" t="s">
        <v>536</v>
      </c>
      <c r="I124" s="10" t="s">
        <v>3</v>
      </c>
      <c r="J124" s="118" t="s">
        <v>3</v>
      </c>
      <c r="K124" s="1" t="s">
        <v>1090</v>
      </c>
      <c r="M124" s="5">
        <v>202005</v>
      </c>
      <c r="N124" s="5">
        <f>INDEX(rrcworking[Formation Production (MCF) @ 14.65 psi],MATCH('May 2020 EDI'!F124,rrcworking[RRC ID],0))</f>
        <v>0</v>
      </c>
      <c r="O124" s="5">
        <f>INDEX(rrcworking[Lease Use (MCF)],MATCH('May 2020 EDI'!F124,rrcworking[RRC ID],0))</f>
        <v>0</v>
      </c>
      <c r="P124" s="5">
        <f>INDEX(rrcworking[Gas Sales Statement Volume (MCF)],MATCH('May 2020 EDI'!F124,rrcworking[RRC ID],0))</f>
        <v>0</v>
      </c>
      <c r="R124" s="246">
        <f>INDEX(rrcworking[Flared Gas],MATCH('May 2020 EDI'!F124,rrcworking[RRC ID],0))</f>
        <v>0</v>
      </c>
      <c r="Y124" s="5">
        <f>INDEX(rrcworking[Oil Production],MATCH('May 2020 EDI'!F124,rrcworking[RRC ID],0))</f>
        <v>0</v>
      </c>
      <c r="AA124" s="5">
        <f>INDEX(rrcworking[Sales/Dispostion],MATCH('May 2020 EDI'!F124,rrcworking[RRC ID],0))</f>
        <v>0</v>
      </c>
      <c r="AQ124" s="5">
        <f>INDEX(rrcworking[Closing Stock (Oil)],MATCH('May 2020 EDI'!F124,rrcworking[RRC ID],0))</f>
        <v>0</v>
      </c>
    </row>
    <row r="125" spans="1:43">
      <c r="A125" s="4" t="s">
        <v>1</v>
      </c>
      <c r="B125" s="1" t="s">
        <v>1022</v>
      </c>
      <c r="C125" s="10" t="s">
        <v>909</v>
      </c>
      <c r="D125" s="1" t="s">
        <v>618</v>
      </c>
      <c r="E125" s="1" t="s">
        <v>59</v>
      </c>
      <c r="F125" s="1" t="s">
        <v>537</v>
      </c>
      <c r="I125" s="10" t="s">
        <v>3</v>
      </c>
      <c r="J125" s="118" t="s">
        <v>3</v>
      </c>
      <c r="K125" s="1" t="s">
        <v>1090</v>
      </c>
      <c r="M125" s="5">
        <v>202005</v>
      </c>
      <c r="N125" s="5">
        <f>INDEX(rrcworking[Formation Production (MCF) @ 14.65 psi],MATCH('May 2020 EDI'!F125,rrcworking[RRC ID],0))</f>
        <v>0</v>
      </c>
      <c r="O125" s="5">
        <f>INDEX(rrcworking[Lease Use (MCF)],MATCH('May 2020 EDI'!F125,rrcworking[RRC ID],0))</f>
        <v>0</v>
      </c>
      <c r="P125" s="5">
        <f>INDEX(rrcworking[Gas Sales Statement Volume (MCF)],MATCH('May 2020 EDI'!F125,rrcworking[RRC ID],0))</f>
        <v>0</v>
      </c>
      <c r="R125" s="246">
        <f>INDEX(rrcworking[Flared Gas],MATCH('May 2020 EDI'!F125,rrcworking[RRC ID],0))</f>
        <v>0</v>
      </c>
      <c r="Y125" s="5">
        <f>INDEX(rrcworking[Oil Production],MATCH('May 2020 EDI'!F125,rrcworking[RRC ID],0))</f>
        <v>0</v>
      </c>
      <c r="AA125" s="5">
        <f>INDEX(rrcworking[Sales/Dispostion],MATCH('May 2020 EDI'!F125,rrcworking[RRC ID],0))</f>
        <v>0</v>
      </c>
      <c r="AQ125" s="5">
        <f>INDEX(rrcworking[Closing Stock (Oil)],MATCH('May 2020 EDI'!F125,rrcworking[RRC ID],0))</f>
        <v>48</v>
      </c>
    </row>
    <row r="126" spans="1:43">
      <c r="A126" s="4" t="s">
        <v>1</v>
      </c>
      <c r="B126" s="1" t="s">
        <v>1023</v>
      </c>
      <c r="C126" s="10" t="s">
        <v>909</v>
      </c>
      <c r="D126" s="1" t="s">
        <v>618</v>
      </c>
      <c r="E126" s="1" t="s">
        <v>59</v>
      </c>
      <c r="F126" s="1" t="s">
        <v>538</v>
      </c>
      <c r="I126" s="10" t="s">
        <v>3</v>
      </c>
      <c r="J126" s="118" t="s">
        <v>3</v>
      </c>
      <c r="K126" s="1" t="s">
        <v>1090</v>
      </c>
      <c r="M126" s="5">
        <v>202005</v>
      </c>
      <c r="N126" s="5">
        <f>INDEX(rrcworking[Formation Production (MCF) @ 14.65 psi],MATCH('May 2020 EDI'!F126,rrcworking[RRC ID],0))</f>
        <v>2142</v>
      </c>
      <c r="O126" s="5">
        <f>INDEX(rrcworking[Lease Use (MCF)],MATCH('May 2020 EDI'!F126,rrcworking[RRC ID],0))</f>
        <v>93</v>
      </c>
      <c r="P126" s="5">
        <f>INDEX(rrcworking[Gas Sales Statement Volume (MCF)],MATCH('May 2020 EDI'!F126,rrcworking[RRC ID],0))</f>
        <v>2049</v>
      </c>
      <c r="R126" s="246">
        <f>INDEX(rrcworking[Flared Gas],MATCH('May 2020 EDI'!F126,rrcworking[RRC ID],0))</f>
        <v>0</v>
      </c>
      <c r="Y126" s="5">
        <f>INDEX(rrcworking[Oil Production],MATCH('May 2020 EDI'!F126,rrcworking[RRC ID],0))</f>
        <v>16</v>
      </c>
      <c r="AA126" s="5">
        <f>INDEX(rrcworking[Sales/Dispostion],MATCH('May 2020 EDI'!F126,rrcworking[RRC ID],0))</f>
        <v>0</v>
      </c>
      <c r="AQ126" s="5">
        <f>INDEX(rrcworking[Closing Stock (Oil)],MATCH('May 2020 EDI'!F126,rrcworking[RRC ID],0))</f>
        <v>43</v>
      </c>
    </row>
    <row r="127" spans="1:43">
      <c r="A127" s="4" t="s">
        <v>1</v>
      </c>
      <c r="B127" s="1" t="s">
        <v>1024</v>
      </c>
      <c r="C127" s="10" t="s">
        <v>909</v>
      </c>
      <c r="D127" s="1" t="s">
        <v>618</v>
      </c>
      <c r="E127" s="1" t="s">
        <v>2</v>
      </c>
      <c r="F127" s="1" t="s">
        <v>539</v>
      </c>
      <c r="I127" s="10" t="s">
        <v>3</v>
      </c>
      <c r="J127" s="118" t="s">
        <v>3</v>
      </c>
      <c r="K127" s="1" t="s">
        <v>1090</v>
      </c>
      <c r="M127" s="5">
        <v>202005</v>
      </c>
      <c r="N127" s="5">
        <f>INDEX(rrcworking[Formation Production (MCF) @ 14.65 psi],MATCH('May 2020 EDI'!F127,rrcworking[RRC ID],0))</f>
        <v>0</v>
      </c>
      <c r="O127" s="5">
        <f>INDEX(rrcworking[Lease Use (MCF)],MATCH('May 2020 EDI'!F127,rrcworking[RRC ID],0))</f>
        <v>0</v>
      </c>
      <c r="P127" s="5">
        <f>INDEX(rrcworking[Gas Sales Statement Volume (MCF)],MATCH('May 2020 EDI'!F127,rrcworking[RRC ID],0))</f>
        <v>0</v>
      </c>
      <c r="R127" s="246">
        <f>INDEX(rrcworking[Flared Gas],MATCH('May 2020 EDI'!F127,rrcworking[RRC ID],0))</f>
        <v>0</v>
      </c>
      <c r="Y127" s="5">
        <f>INDEX(rrcworking[Oil Production],MATCH('May 2020 EDI'!F127,rrcworking[RRC ID],0))</f>
        <v>0</v>
      </c>
      <c r="AA127" s="5">
        <f>INDEX(rrcworking[Sales/Dispostion],MATCH('May 2020 EDI'!F127,rrcworking[RRC ID],0))</f>
        <v>0</v>
      </c>
      <c r="AQ127" s="5">
        <f>INDEX(rrcworking[Closing Stock (Oil)],MATCH('May 2020 EDI'!F127,rrcworking[RRC ID],0))</f>
        <v>70</v>
      </c>
    </row>
    <row r="128" spans="1:43">
      <c r="A128" s="4" t="s">
        <v>1</v>
      </c>
      <c r="B128" s="1" t="s">
        <v>1025</v>
      </c>
      <c r="C128" s="10" t="s">
        <v>909</v>
      </c>
      <c r="D128" s="1" t="s">
        <v>618</v>
      </c>
      <c r="E128" s="1" t="s">
        <v>2</v>
      </c>
      <c r="F128" s="1" t="s">
        <v>540</v>
      </c>
      <c r="I128" s="10" t="s">
        <v>3</v>
      </c>
      <c r="J128" s="118" t="s">
        <v>3</v>
      </c>
      <c r="K128" s="1" t="s">
        <v>1090</v>
      </c>
      <c r="M128" s="5">
        <v>202005</v>
      </c>
      <c r="N128" s="5">
        <f>INDEX(rrcworking[Formation Production (MCF) @ 14.65 psi],MATCH('May 2020 EDI'!F128,rrcworking[RRC ID],0))</f>
        <v>33</v>
      </c>
      <c r="O128" s="5">
        <f>INDEX(rrcworking[Lease Use (MCF)],MATCH('May 2020 EDI'!F128,rrcworking[RRC ID],0))</f>
        <v>0</v>
      </c>
      <c r="P128" s="5">
        <f>INDEX(rrcworking[Gas Sales Statement Volume (MCF)],MATCH('May 2020 EDI'!F128,rrcworking[RRC ID],0))</f>
        <v>33</v>
      </c>
      <c r="R128" s="246">
        <f>INDEX(rrcworking[Flared Gas],MATCH('May 2020 EDI'!F128,rrcworking[RRC ID],0))</f>
        <v>0</v>
      </c>
      <c r="Y128" s="5">
        <f>INDEX(rrcworking[Oil Production],MATCH('May 2020 EDI'!F128,rrcworking[RRC ID],0))</f>
        <v>10</v>
      </c>
      <c r="AA128" s="5">
        <f>INDEX(rrcworking[Sales/Dispostion],MATCH('May 2020 EDI'!F128,rrcworking[RRC ID],0))</f>
        <v>0</v>
      </c>
      <c r="AQ128" s="5">
        <f>INDEX(rrcworking[Closing Stock (Oil)],MATCH('May 2020 EDI'!F128,rrcworking[RRC ID],0))</f>
        <v>227</v>
      </c>
    </row>
    <row r="129" spans="1:43">
      <c r="A129" s="4" t="s">
        <v>1</v>
      </c>
      <c r="B129" s="1" t="s">
        <v>1026</v>
      </c>
      <c r="C129" s="10" t="s">
        <v>909</v>
      </c>
      <c r="D129" s="1" t="s">
        <v>618</v>
      </c>
      <c r="E129" s="1" t="s">
        <v>2</v>
      </c>
      <c r="F129" s="1" t="s">
        <v>541</v>
      </c>
      <c r="I129" s="10" t="s">
        <v>3</v>
      </c>
      <c r="J129" s="118" t="s">
        <v>3</v>
      </c>
      <c r="K129" s="1" t="s">
        <v>1090</v>
      </c>
      <c r="M129" s="5">
        <v>202005</v>
      </c>
      <c r="N129" s="5">
        <f>INDEX(rrcworking[Formation Production (MCF) @ 14.65 psi],MATCH('May 2020 EDI'!F129,rrcworking[RRC ID],0))</f>
        <v>0</v>
      </c>
      <c r="O129" s="5">
        <f>INDEX(rrcworking[Lease Use (MCF)],MATCH('May 2020 EDI'!F129,rrcworking[RRC ID],0))</f>
        <v>0</v>
      </c>
      <c r="P129" s="5">
        <f>INDEX(rrcworking[Gas Sales Statement Volume (MCF)],MATCH('May 2020 EDI'!F129,rrcworking[RRC ID],0))</f>
        <v>0</v>
      </c>
      <c r="R129" s="246">
        <f>INDEX(rrcworking[Flared Gas],MATCH('May 2020 EDI'!F129,rrcworking[RRC ID],0))</f>
        <v>0</v>
      </c>
      <c r="Y129" s="5">
        <f>INDEX(rrcworking[Oil Production],MATCH('May 2020 EDI'!F129,rrcworking[RRC ID],0))</f>
        <v>0</v>
      </c>
      <c r="AA129" s="5">
        <f>INDEX(rrcworking[Sales/Dispostion],MATCH('May 2020 EDI'!F129,rrcworking[RRC ID],0))</f>
        <v>0</v>
      </c>
      <c r="AQ129" s="5">
        <f>INDEX(rrcworking[Closing Stock (Oil)],MATCH('May 2020 EDI'!F129,rrcworking[RRC ID],0))</f>
        <v>0</v>
      </c>
    </row>
    <row r="130" spans="1:43">
      <c r="A130" s="4" t="s">
        <v>1</v>
      </c>
      <c r="B130" s="1" t="s">
        <v>1027</v>
      </c>
      <c r="C130" s="10" t="s">
        <v>909</v>
      </c>
      <c r="D130" s="1" t="s">
        <v>618</v>
      </c>
      <c r="E130" s="1" t="s">
        <v>59</v>
      </c>
      <c r="F130" s="1" t="s">
        <v>542</v>
      </c>
      <c r="I130" s="10" t="s">
        <v>3</v>
      </c>
      <c r="J130" s="118" t="s">
        <v>3</v>
      </c>
      <c r="K130" s="1" t="s">
        <v>1090</v>
      </c>
      <c r="M130" s="5">
        <v>202005</v>
      </c>
      <c r="N130" s="5">
        <f>INDEX(rrcworking[Formation Production (MCF) @ 14.65 psi],MATCH('May 2020 EDI'!F130,rrcworking[RRC ID],0))</f>
        <v>0</v>
      </c>
      <c r="O130" s="5">
        <f>INDEX(rrcworking[Lease Use (MCF)],MATCH('May 2020 EDI'!F130,rrcworking[RRC ID],0))</f>
        <v>0</v>
      </c>
      <c r="P130" s="5">
        <f>INDEX(rrcworking[Gas Sales Statement Volume (MCF)],MATCH('May 2020 EDI'!F130,rrcworking[RRC ID],0))</f>
        <v>0</v>
      </c>
      <c r="R130" s="246">
        <f>INDEX(rrcworking[Flared Gas],MATCH('May 2020 EDI'!F130,rrcworking[RRC ID],0))</f>
        <v>0</v>
      </c>
      <c r="Y130" s="5">
        <f>INDEX(rrcworking[Oil Production],MATCH('May 2020 EDI'!F130,rrcworking[RRC ID],0))</f>
        <v>0</v>
      </c>
      <c r="AA130" s="5">
        <f>INDEX(rrcworking[Sales/Dispostion],MATCH('May 2020 EDI'!F130,rrcworking[RRC ID],0))</f>
        <v>0</v>
      </c>
      <c r="AQ130" s="5">
        <f>INDEX(rrcworking[Closing Stock (Oil)],MATCH('May 2020 EDI'!F130,rrcworking[RRC ID],0))</f>
        <v>0</v>
      </c>
    </row>
    <row r="131" spans="1:43">
      <c r="A131" s="4" t="s">
        <v>1</v>
      </c>
      <c r="B131" s="1" t="s">
        <v>1028</v>
      </c>
      <c r="C131" s="10" t="s">
        <v>909</v>
      </c>
      <c r="D131" s="1" t="s">
        <v>618</v>
      </c>
      <c r="E131" s="1" t="s">
        <v>59</v>
      </c>
      <c r="F131" s="1" t="s">
        <v>543</v>
      </c>
      <c r="I131" s="10" t="s">
        <v>3</v>
      </c>
      <c r="J131" s="118" t="s">
        <v>3</v>
      </c>
      <c r="K131" s="1" t="s">
        <v>1090</v>
      </c>
      <c r="M131" s="5">
        <v>202005</v>
      </c>
      <c r="N131" s="5">
        <f>INDEX(rrcworking[Formation Production (MCF) @ 14.65 psi],MATCH('May 2020 EDI'!F131,rrcworking[RRC ID],0))</f>
        <v>0</v>
      </c>
      <c r="O131" s="5">
        <f>INDEX(rrcworking[Lease Use (MCF)],MATCH('May 2020 EDI'!F131,rrcworking[RRC ID],0))</f>
        <v>0</v>
      </c>
      <c r="P131" s="5">
        <f>INDEX(rrcworking[Gas Sales Statement Volume (MCF)],MATCH('May 2020 EDI'!F131,rrcworking[RRC ID],0))</f>
        <v>0</v>
      </c>
      <c r="R131" s="246">
        <f>INDEX(rrcworking[Flared Gas],MATCH('May 2020 EDI'!F131,rrcworking[RRC ID],0))</f>
        <v>0</v>
      </c>
      <c r="Y131" s="5">
        <f>INDEX(rrcworking[Oil Production],MATCH('May 2020 EDI'!F131,rrcworking[RRC ID],0))</f>
        <v>0</v>
      </c>
      <c r="AA131" s="5">
        <f>INDEX(rrcworking[Sales/Dispostion],MATCH('May 2020 EDI'!F131,rrcworking[RRC ID],0))</f>
        <v>0</v>
      </c>
      <c r="AQ131" s="5">
        <f>INDEX(rrcworking[Closing Stock (Oil)],MATCH('May 2020 EDI'!F131,rrcworking[RRC ID],0))</f>
        <v>0</v>
      </c>
    </row>
    <row r="132" spans="1:43">
      <c r="A132" s="4" t="s">
        <v>1</v>
      </c>
      <c r="B132" s="1" t="s">
        <v>1029</v>
      </c>
      <c r="C132" s="10" t="s">
        <v>909</v>
      </c>
      <c r="D132" s="1" t="s">
        <v>618</v>
      </c>
      <c r="E132" s="1" t="s">
        <v>2</v>
      </c>
      <c r="F132" s="1" t="s">
        <v>544</v>
      </c>
      <c r="I132" s="10" t="s">
        <v>3</v>
      </c>
      <c r="J132" s="118" t="s">
        <v>3</v>
      </c>
      <c r="K132" s="1" t="s">
        <v>1090</v>
      </c>
      <c r="M132" s="5">
        <v>202005</v>
      </c>
      <c r="N132" s="5">
        <f>INDEX(rrcworking[Formation Production (MCF) @ 14.65 psi],MATCH('May 2020 EDI'!F132,rrcworking[RRC ID],0))</f>
        <v>2273</v>
      </c>
      <c r="O132" s="5">
        <f>INDEX(rrcworking[Lease Use (MCF)],MATCH('May 2020 EDI'!F132,rrcworking[RRC ID],0))</f>
        <v>0</v>
      </c>
      <c r="P132" s="5">
        <f>INDEX(rrcworking[Gas Sales Statement Volume (MCF)],MATCH('May 2020 EDI'!F132,rrcworking[RRC ID],0))</f>
        <v>2273</v>
      </c>
      <c r="R132" s="246">
        <f>INDEX(rrcworking[Flared Gas],MATCH('May 2020 EDI'!F132,rrcworking[RRC ID],0))</f>
        <v>0</v>
      </c>
      <c r="Y132" s="5">
        <f>INDEX(rrcworking[Oil Production],MATCH('May 2020 EDI'!F132,rrcworking[RRC ID],0))</f>
        <v>339</v>
      </c>
      <c r="AA132" s="5">
        <f>INDEX(rrcworking[Sales/Dispostion],MATCH('May 2020 EDI'!F132,rrcworking[RRC ID],0))</f>
        <v>0</v>
      </c>
      <c r="AQ132" s="5">
        <f>INDEX(rrcworking[Closing Stock (Oil)],MATCH('May 2020 EDI'!F132,rrcworking[RRC ID],0))</f>
        <v>565</v>
      </c>
    </row>
    <row r="133" spans="1:43">
      <c r="A133" s="4" t="s">
        <v>1</v>
      </c>
      <c r="B133" s="1" t="s">
        <v>1030</v>
      </c>
      <c r="C133" s="10" t="s">
        <v>909</v>
      </c>
      <c r="D133" s="1" t="s">
        <v>618</v>
      </c>
      <c r="E133" s="1" t="s">
        <v>59</v>
      </c>
      <c r="F133" s="1" t="s">
        <v>545</v>
      </c>
      <c r="I133" s="10" t="s">
        <v>3</v>
      </c>
      <c r="J133" s="118" t="s">
        <v>3</v>
      </c>
      <c r="K133" s="1" t="s">
        <v>1090</v>
      </c>
      <c r="M133" s="5">
        <v>202005</v>
      </c>
      <c r="N133" s="5">
        <f>INDEX(rrcworking[Formation Production (MCF) @ 14.65 psi],MATCH('May 2020 EDI'!F133,rrcworking[RRC ID],0))</f>
        <v>0</v>
      </c>
      <c r="O133" s="5">
        <f>INDEX(rrcworking[Lease Use (MCF)],MATCH('May 2020 EDI'!F133,rrcworking[RRC ID],0))</f>
        <v>0</v>
      </c>
      <c r="P133" s="5">
        <f>INDEX(rrcworking[Gas Sales Statement Volume (MCF)],MATCH('May 2020 EDI'!F133,rrcworking[RRC ID],0))</f>
        <v>0</v>
      </c>
      <c r="R133" s="246">
        <f>INDEX(rrcworking[Flared Gas],MATCH('May 2020 EDI'!F133,rrcworking[RRC ID],0))</f>
        <v>0</v>
      </c>
      <c r="Y133" s="5">
        <f>INDEX(rrcworking[Oil Production],MATCH('May 2020 EDI'!F133,rrcworking[RRC ID],0))</f>
        <v>0</v>
      </c>
      <c r="AA133" s="5">
        <f>INDEX(rrcworking[Sales/Dispostion],MATCH('May 2020 EDI'!F133,rrcworking[RRC ID],0))</f>
        <v>0</v>
      </c>
      <c r="AQ133" s="5">
        <f>INDEX(rrcworking[Closing Stock (Oil)],MATCH('May 2020 EDI'!F133,rrcworking[RRC ID],0))</f>
        <v>0</v>
      </c>
    </row>
    <row r="134" spans="1:43">
      <c r="A134" s="4" t="s">
        <v>1</v>
      </c>
      <c r="B134" s="1" t="s">
        <v>1031</v>
      </c>
      <c r="C134" s="10" t="s">
        <v>909</v>
      </c>
      <c r="D134" s="1" t="s">
        <v>618</v>
      </c>
      <c r="E134" s="1" t="s">
        <v>59</v>
      </c>
      <c r="F134" s="1" t="s">
        <v>546</v>
      </c>
      <c r="I134" s="10" t="s">
        <v>3</v>
      </c>
      <c r="J134" s="118" t="s">
        <v>3</v>
      </c>
      <c r="K134" s="1" t="s">
        <v>1090</v>
      </c>
      <c r="M134" s="5">
        <v>202005</v>
      </c>
      <c r="N134" s="5">
        <f>INDEX(rrcworking[Formation Production (MCF) @ 14.65 psi],MATCH('May 2020 EDI'!F134,rrcworking[RRC ID],0))</f>
        <v>0</v>
      </c>
      <c r="O134" s="5">
        <f>INDEX(rrcworking[Lease Use (MCF)],MATCH('May 2020 EDI'!F134,rrcworking[RRC ID],0))</f>
        <v>0</v>
      </c>
      <c r="P134" s="5">
        <f>INDEX(rrcworking[Gas Sales Statement Volume (MCF)],MATCH('May 2020 EDI'!F134,rrcworking[RRC ID],0))</f>
        <v>0</v>
      </c>
      <c r="R134" s="246">
        <f>INDEX(rrcworking[Flared Gas],MATCH('May 2020 EDI'!F134,rrcworking[RRC ID],0))</f>
        <v>0</v>
      </c>
      <c r="Y134" s="5">
        <f>INDEX(rrcworking[Oil Production],MATCH('May 2020 EDI'!F134,rrcworking[RRC ID],0))</f>
        <v>0</v>
      </c>
      <c r="AA134" s="5">
        <f>INDEX(rrcworking[Sales/Dispostion],MATCH('May 2020 EDI'!F134,rrcworking[RRC ID],0))</f>
        <v>0</v>
      </c>
      <c r="AQ134" s="5">
        <f>INDEX(rrcworking[Closing Stock (Oil)],MATCH('May 2020 EDI'!F134,rrcworking[RRC ID],0))</f>
        <v>0</v>
      </c>
    </row>
    <row r="135" spans="1:43">
      <c r="A135" s="4" t="s">
        <v>1</v>
      </c>
      <c r="B135" s="1" t="s">
        <v>1032</v>
      </c>
      <c r="C135" s="10" t="s">
        <v>909</v>
      </c>
      <c r="D135" s="1" t="s">
        <v>618</v>
      </c>
      <c r="E135" s="1" t="s">
        <v>2</v>
      </c>
      <c r="F135" s="1" t="s">
        <v>547</v>
      </c>
      <c r="I135" s="10" t="s">
        <v>3</v>
      </c>
      <c r="J135" s="118" t="s">
        <v>3</v>
      </c>
      <c r="K135" s="1" t="s">
        <v>1090</v>
      </c>
      <c r="M135" s="5">
        <v>202005</v>
      </c>
      <c r="N135" s="5">
        <f>INDEX(rrcworking[Formation Production (MCF) @ 14.65 psi],MATCH('May 2020 EDI'!F135,rrcworking[RRC ID],0))</f>
        <v>0</v>
      </c>
      <c r="O135" s="5">
        <f>INDEX(rrcworking[Lease Use (MCF)],MATCH('May 2020 EDI'!F135,rrcworking[RRC ID],0))</f>
        <v>0</v>
      </c>
      <c r="P135" s="5">
        <f>INDEX(rrcworking[Gas Sales Statement Volume (MCF)],MATCH('May 2020 EDI'!F135,rrcworking[RRC ID],0))</f>
        <v>0</v>
      </c>
      <c r="R135" s="246">
        <f>INDEX(rrcworking[Flared Gas],MATCH('May 2020 EDI'!F135,rrcworking[RRC ID],0))</f>
        <v>0</v>
      </c>
      <c r="Y135" s="5">
        <f>INDEX(rrcworking[Oil Production],MATCH('May 2020 EDI'!F135,rrcworking[RRC ID],0))</f>
        <v>0</v>
      </c>
      <c r="AA135" s="5">
        <f>INDEX(rrcworking[Sales/Dispostion],MATCH('May 2020 EDI'!F135,rrcworking[RRC ID],0))</f>
        <v>0</v>
      </c>
      <c r="AQ135" s="5">
        <f>INDEX(rrcworking[Closing Stock (Oil)],MATCH('May 2020 EDI'!F135,rrcworking[RRC ID],0))</f>
        <v>0</v>
      </c>
    </row>
    <row r="136" spans="1:43">
      <c r="A136" s="4" t="s">
        <v>1</v>
      </c>
      <c r="B136" s="1" t="s">
        <v>1033</v>
      </c>
      <c r="C136" s="10" t="s">
        <v>909</v>
      </c>
      <c r="D136" s="1" t="s">
        <v>618</v>
      </c>
      <c r="E136" s="1" t="s">
        <v>59</v>
      </c>
      <c r="F136" s="1" t="s">
        <v>548</v>
      </c>
      <c r="I136" s="10" t="s">
        <v>3</v>
      </c>
      <c r="J136" s="118" t="s">
        <v>3</v>
      </c>
      <c r="K136" s="1" t="s">
        <v>1090</v>
      </c>
      <c r="M136" s="5">
        <v>202005</v>
      </c>
      <c r="N136" s="5">
        <f>INDEX(rrcworking[Formation Production (MCF) @ 14.65 psi],MATCH('May 2020 EDI'!F136,rrcworking[RRC ID],0))</f>
        <v>0</v>
      </c>
      <c r="O136" s="5">
        <f>INDEX(rrcworking[Lease Use (MCF)],MATCH('May 2020 EDI'!F136,rrcworking[RRC ID],0))</f>
        <v>0</v>
      </c>
      <c r="P136" s="5">
        <f>INDEX(rrcworking[Gas Sales Statement Volume (MCF)],MATCH('May 2020 EDI'!F136,rrcworking[RRC ID],0))</f>
        <v>0</v>
      </c>
      <c r="R136" s="246">
        <f>INDEX(rrcworking[Flared Gas],MATCH('May 2020 EDI'!F136,rrcworking[RRC ID],0))</f>
        <v>0</v>
      </c>
      <c r="Y136" s="5">
        <f>INDEX(rrcworking[Oil Production],MATCH('May 2020 EDI'!F136,rrcworking[RRC ID],0))</f>
        <v>0</v>
      </c>
      <c r="AA136" s="5">
        <f>INDEX(rrcworking[Sales/Dispostion],MATCH('May 2020 EDI'!F136,rrcworking[RRC ID],0))</f>
        <v>0</v>
      </c>
      <c r="AQ136" s="5">
        <f>INDEX(rrcworking[Closing Stock (Oil)],MATCH('May 2020 EDI'!F136,rrcworking[RRC ID],0))</f>
        <v>0</v>
      </c>
    </row>
    <row r="137" spans="1:43">
      <c r="A137" s="4" t="s">
        <v>1</v>
      </c>
      <c r="B137" s="1" t="s">
        <v>1034</v>
      </c>
      <c r="C137" s="10" t="s">
        <v>909</v>
      </c>
      <c r="D137" s="1" t="s">
        <v>618</v>
      </c>
      <c r="E137" s="1" t="s">
        <v>2</v>
      </c>
      <c r="F137" s="1" t="s">
        <v>549</v>
      </c>
      <c r="I137" s="10" t="s">
        <v>3</v>
      </c>
      <c r="J137" s="118" t="s">
        <v>3</v>
      </c>
      <c r="K137" s="1" t="s">
        <v>1090</v>
      </c>
      <c r="M137" s="5">
        <v>202005</v>
      </c>
      <c r="N137" s="5">
        <f>INDEX(rrcworking[Formation Production (MCF) @ 14.65 psi],MATCH('May 2020 EDI'!F137,rrcworking[RRC ID],0))</f>
        <v>0</v>
      </c>
      <c r="O137" s="5">
        <f>INDEX(rrcworking[Lease Use (MCF)],MATCH('May 2020 EDI'!F137,rrcworking[RRC ID],0))</f>
        <v>0</v>
      </c>
      <c r="P137" s="5">
        <f>INDEX(rrcworking[Gas Sales Statement Volume (MCF)],MATCH('May 2020 EDI'!F137,rrcworking[RRC ID],0))</f>
        <v>0</v>
      </c>
      <c r="R137" s="246">
        <f>INDEX(rrcworking[Flared Gas],MATCH('May 2020 EDI'!F137,rrcworking[RRC ID],0))</f>
        <v>0</v>
      </c>
      <c r="Y137" s="5">
        <f>INDEX(rrcworking[Oil Production],MATCH('May 2020 EDI'!F137,rrcworking[RRC ID],0))</f>
        <v>0</v>
      </c>
      <c r="AA137" s="5">
        <f>INDEX(rrcworking[Sales/Dispostion],MATCH('May 2020 EDI'!F137,rrcworking[RRC ID],0))</f>
        <v>0</v>
      </c>
      <c r="AQ137" s="5">
        <f>INDEX(rrcworking[Closing Stock (Oil)],MATCH('May 2020 EDI'!F137,rrcworking[RRC ID],0))</f>
        <v>0</v>
      </c>
    </row>
    <row r="138" spans="1:43">
      <c r="A138" s="4" t="s">
        <v>1</v>
      </c>
      <c r="B138" s="1" t="s">
        <v>1035</v>
      </c>
      <c r="C138" s="10" t="s">
        <v>909</v>
      </c>
      <c r="D138" s="1" t="s">
        <v>618</v>
      </c>
      <c r="E138" s="1" t="s">
        <v>59</v>
      </c>
      <c r="F138" s="1" t="s">
        <v>550</v>
      </c>
      <c r="I138" s="10" t="s">
        <v>3</v>
      </c>
      <c r="J138" s="118" t="s">
        <v>3</v>
      </c>
      <c r="K138" s="1" t="s">
        <v>1090</v>
      </c>
      <c r="M138" s="5">
        <v>202005</v>
      </c>
      <c r="N138" s="5">
        <f>INDEX(rrcworking[Formation Production (MCF) @ 14.65 psi],MATCH('May 2020 EDI'!F138,rrcworking[RRC ID],0))</f>
        <v>0</v>
      </c>
      <c r="O138" s="5">
        <f>INDEX(rrcworking[Lease Use (MCF)],MATCH('May 2020 EDI'!F138,rrcworking[RRC ID],0))</f>
        <v>0</v>
      </c>
      <c r="P138" s="5">
        <f>INDEX(rrcworking[Gas Sales Statement Volume (MCF)],MATCH('May 2020 EDI'!F138,rrcworking[RRC ID],0))</f>
        <v>0</v>
      </c>
      <c r="R138" s="246">
        <f>INDEX(rrcworking[Flared Gas],MATCH('May 2020 EDI'!F138,rrcworking[RRC ID],0))</f>
        <v>0</v>
      </c>
      <c r="Y138" s="5">
        <f>INDEX(rrcworking[Oil Production],MATCH('May 2020 EDI'!F138,rrcworking[RRC ID],0))</f>
        <v>0</v>
      </c>
      <c r="AA138" s="5">
        <f>INDEX(rrcworking[Sales/Dispostion],MATCH('May 2020 EDI'!F138,rrcworking[RRC ID],0))</f>
        <v>0</v>
      </c>
      <c r="AQ138" s="5">
        <f>INDEX(rrcworking[Closing Stock (Oil)],MATCH('May 2020 EDI'!F138,rrcworking[RRC ID],0))</f>
        <v>135</v>
      </c>
    </row>
    <row r="139" spans="1:43">
      <c r="A139" s="4" t="s">
        <v>1</v>
      </c>
      <c r="B139" s="1" t="s">
        <v>1036</v>
      </c>
      <c r="C139" s="10" t="s">
        <v>909</v>
      </c>
      <c r="D139" s="1" t="s">
        <v>618</v>
      </c>
      <c r="E139" s="1" t="s">
        <v>59</v>
      </c>
      <c r="F139" s="1" t="s">
        <v>551</v>
      </c>
      <c r="I139" s="10" t="s">
        <v>3</v>
      </c>
      <c r="J139" s="118" t="s">
        <v>3</v>
      </c>
      <c r="K139" s="1" t="s">
        <v>1090</v>
      </c>
      <c r="M139" s="5">
        <v>202005</v>
      </c>
      <c r="N139" s="5">
        <f>INDEX(rrcworking[Formation Production (MCF) @ 14.65 psi],MATCH('May 2020 EDI'!F139,rrcworking[RRC ID],0))</f>
        <v>0</v>
      </c>
      <c r="O139" s="5">
        <f>INDEX(rrcworking[Lease Use (MCF)],MATCH('May 2020 EDI'!F139,rrcworking[RRC ID],0))</f>
        <v>0</v>
      </c>
      <c r="P139" s="5">
        <f>INDEX(rrcworking[Gas Sales Statement Volume (MCF)],MATCH('May 2020 EDI'!F139,rrcworking[RRC ID],0))</f>
        <v>0</v>
      </c>
      <c r="R139" s="246">
        <f>INDEX(rrcworking[Flared Gas],MATCH('May 2020 EDI'!F139,rrcworking[RRC ID],0))</f>
        <v>0</v>
      </c>
      <c r="Y139" s="5">
        <f>INDEX(rrcworking[Oil Production],MATCH('May 2020 EDI'!F139,rrcworking[RRC ID],0))</f>
        <v>0</v>
      </c>
      <c r="AA139" s="5">
        <f>INDEX(rrcworking[Sales/Dispostion],MATCH('May 2020 EDI'!F139,rrcworking[RRC ID],0))</f>
        <v>0</v>
      </c>
      <c r="AQ139" s="5">
        <f>INDEX(rrcworking[Closing Stock (Oil)],MATCH('May 2020 EDI'!F139,rrcworking[RRC ID],0))</f>
        <v>134</v>
      </c>
    </row>
    <row r="140" spans="1:43">
      <c r="A140" s="4" t="s">
        <v>1</v>
      </c>
      <c r="B140" s="1" t="s">
        <v>1037</v>
      </c>
      <c r="C140" s="10" t="s">
        <v>909</v>
      </c>
      <c r="D140" s="1" t="s">
        <v>619</v>
      </c>
      <c r="E140" s="1" t="s">
        <v>59</v>
      </c>
      <c r="F140" s="1" t="s">
        <v>552</v>
      </c>
      <c r="I140" s="10" t="s">
        <v>3</v>
      </c>
      <c r="J140" s="118" t="s">
        <v>3</v>
      </c>
      <c r="K140" s="1" t="s">
        <v>1090</v>
      </c>
      <c r="M140" s="5">
        <v>202005</v>
      </c>
      <c r="N140" s="5">
        <f>INDEX(rrcworking[Formation Production (MCF) @ 14.65 psi],MATCH('May 2020 EDI'!F140,rrcworking[RRC ID],0))</f>
        <v>0</v>
      </c>
      <c r="O140" s="5">
        <f>INDEX(rrcworking[Lease Use (MCF)],MATCH('May 2020 EDI'!F140,rrcworking[RRC ID],0))</f>
        <v>0</v>
      </c>
      <c r="P140" s="5">
        <f>INDEX(rrcworking[Gas Sales Statement Volume (MCF)],MATCH('May 2020 EDI'!F140,rrcworking[RRC ID],0))</f>
        <v>0</v>
      </c>
      <c r="R140" s="246">
        <f>INDEX(rrcworking[Flared Gas],MATCH('May 2020 EDI'!F140,rrcworking[RRC ID],0))</f>
        <v>0</v>
      </c>
      <c r="Y140" s="5">
        <f>INDEX(rrcworking[Oil Production],MATCH('May 2020 EDI'!F140,rrcworking[RRC ID],0))</f>
        <v>0</v>
      </c>
      <c r="AA140" s="5">
        <f>INDEX(rrcworking[Sales/Dispostion],MATCH('May 2020 EDI'!F140,rrcworking[RRC ID],0))</f>
        <v>0</v>
      </c>
      <c r="AQ140" s="5">
        <f>INDEX(rrcworking[Closing Stock (Oil)],MATCH('May 2020 EDI'!F140,rrcworking[RRC ID],0))</f>
        <v>0</v>
      </c>
    </row>
    <row r="141" spans="1:43">
      <c r="A141" s="4" t="s">
        <v>1</v>
      </c>
      <c r="B141" s="1" t="s">
        <v>1038</v>
      </c>
      <c r="C141" s="10" t="s">
        <v>909</v>
      </c>
      <c r="D141" s="1" t="s">
        <v>619</v>
      </c>
      <c r="E141" s="1" t="s">
        <v>2</v>
      </c>
      <c r="F141" s="1" t="s">
        <v>553</v>
      </c>
      <c r="I141" s="10" t="s">
        <v>3</v>
      </c>
      <c r="J141" s="118" t="s">
        <v>3</v>
      </c>
      <c r="K141" s="1" t="s">
        <v>1090</v>
      </c>
      <c r="M141" s="5">
        <v>202005</v>
      </c>
      <c r="N141" s="5">
        <f>INDEX(rrcworking[Formation Production (MCF) @ 14.65 psi],MATCH('May 2020 EDI'!F141,rrcworking[RRC ID],0))</f>
        <v>253</v>
      </c>
      <c r="O141" s="5">
        <f>INDEX(rrcworking[Lease Use (MCF)],MATCH('May 2020 EDI'!F141,rrcworking[RRC ID],0))</f>
        <v>0</v>
      </c>
      <c r="P141" s="5">
        <f>INDEX(rrcworking[Gas Sales Statement Volume (MCF)],MATCH('May 2020 EDI'!F141,rrcworking[RRC ID],0))</f>
        <v>253</v>
      </c>
      <c r="R141" s="246">
        <f>INDEX(rrcworking[Flared Gas],MATCH('May 2020 EDI'!F141,rrcworking[RRC ID],0))</f>
        <v>0</v>
      </c>
      <c r="Y141" s="5">
        <f>INDEX(rrcworking[Oil Production],MATCH('May 2020 EDI'!F141,rrcworking[RRC ID],0))</f>
        <v>60</v>
      </c>
      <c r="AA141" s="5">
        <f>INDEX(rrcworking[Sales/Dispostion],MATCH('May 2020 EDI'!F141,rrcworking[RRC ID],0))</f>
        <v>0</v>
      </c>
      <c r="AQ141" s="5">
        <f>INDEX(rrcworking[Closing Stock (Oil)],MATCH('May 2020 EDI'!F141,rrcworking[RRC ID],0))</f>
        <v>155</v>
      </c>
    </row>
    <row r="142" spans="1:43">
      <c r="A142" s="4" t="s">
        <v>1</v>
      </c>
      <c r="B142" s="1" t="s">
        <v>1039</v>
      </c>
      <c r="C142" s="10" t="s">
        <v>909</v>
      </c>
      <c r="D142" s="1" t="s">
        <v>619</v>
      </c>
      <c r="E142" s="1" t="s">
        <v>59</v>
      </c>
      <c r="F142" s="1" t="s">
        <v>554</v>
      </c>
      <c r="I142" s="10" t="s">
        <v>3</v>
      </c>
      <c r="J142" s="118" t="s">
        <v>3</v>
      </c>
      <c r="K142" s="1" t="s">
        <v>1090</v>
      </c>
      <c r="M142" s="5">
        <v>202005</v>
      </c>
      <c r="N142" s="5">
        <f>INDEX(rrcworking[Formation Production (MCF) @ 14.65 psi],MATCH('May 2020 EDI'!F142,rrcworking[RRC ID],0))</f>
        <v>0</v>
      </c>
      <c r="O142" s="5">
        <f>INDEX(rrcworking[Lease Use (MCF)],MATCH('May 2020 EDI'!F142,rrcworking[RRC ID],0))</f>
        <v>0</v>
      </c>
      <c r="P142" s="5">
        <f>INDEX(rrcworking[Gas Sales Statement Volume (MCF)],MATCH('May 2020 EDI'!F142,rrcworking[RRC ID],0))</f>
        <v>0</v>
      </c>
      <c r="R142" s="246">
        <f>INDEX(rrcworking[Flared Gas],MATCH('May 2020 EDI'!F142,rrcworking[RRC ID],0))</f>
        <v>0</v>
      </c>
      <c r="Y142" s="5">
        <f>INDEX(rrcworking[Oil Production],MATCH('May 2020 EDI'!F142,rrcworking[RRC ID],0))</f>
        <v>0</v>
      </c>
      <c r="AA142" s="5">
        <f>INDEX(rrcworking[Sales/Dispostion],MATCH('May 2020 EDI'!F142,rrcworking[RRC ID],0))</f>
        <v>0</v>
      </c>
      <c r="AQ142" s="5">
        <f>INDEX(rrcworking[Closing Stock (Oil)],MATCH('May 2020 EDI'!F142,rrcworking[RRC ID],0))</f>
        <v>0</v>
      </c>
    </row>
    <row r="143" spans="1:43">
      <c r="A143" s="4" t="s">
        <v>1</v>
      </c>
      <c r="B143" s="1" t="s">
        <v>1040</v>
      </c>
      <c r="C143" s="10" t="s">
        <v>909</v>
      </c>
      <c r="D143" s="1" t="s">
        <v>619</v>
      </c>
      <c r="E143" s="1" t="s">
        <v>2</v>
      </c>
      <c r="F143" s="1" t="s">
        <v>555</v>
      </c>
      <c r="I143" s="10" t="s">
        <v>3</v>
      </c>
      <c r="J143" s="118" t="s">
        <v>3</v>
      </c>
      <c r="K143" s="1" t="s">
        <v>1090</v>
      </c>
      <c r="M143" s="5">
        <v>202005</v>
      </c>
      <c r="N143" s="5">
        <f>INDEX(rrcworking[Formation Production (MCF) @ 14.65 psi],MATCH('May 2020 EDI'!F143,rrcworking[RRC ID],0))</f>
        <v>0</v>
      </c>
      <c r="O143" s="5">
        <f>INDEX(rrcworking[Lease Use (MCF)],MATCH('May 2020 EDI'!F143,rrcworking[RRC ID],0))</f>
        <v>0</v>
      </c>
      <c r="P143" s="5">
        <f>INDEX(rrcworking[Gas Sales Statement Volume (MCF)],MATCH('May 2020 EDI'!F143,rrcworking[RRC ID],0))</f>
        <v>0</v>
      </c>
      <c r="R143" s="246">
        <f>INDEX(rrcworking[Flared Gas],MATCH('May 2020 EDI'!F143,rrcworking[RRC ID],0))</f>
        <v>0</v>
      </c>
      <c r="Y143" s="5">
        <f>INDEX(rrcworking[Oil Production],MATCH('May 2020 EDI'!F143,rrcworking[RRC ID],0))</f>
        <v>0</v>
      </c>
      <c r="AA143" s="5">
        <f>INDEX(rrcworking[Sales/Dispostion],MATCH('May 2020 EDI'!F143,rrcworking[RRC ID],0))</f>
        <v>0</v>
      </c>
      <c r="AQ143" s="5">
        <f>INDEX(rrcworking[Closing Stock (Oil)],MATCH('May 2020 EDI'!F143,rrcworking[RRC ID],0))</f>
        <v>235</v>
      </c>
    </row>
    <row r="144" spans="1:43">
      <c r="A144" s="4" t="s">
        <v>1</v>
      </c>
      <c r="B144" s="1" t="s">
        <v>1041</v>
      </c>
      <c r="C144" s="10" t="s">
        <v>909</v>
      </c>
      <c r="D144" s="1" t="s">
        <v>619</v>
      </c>
      <c r="E144" s="1" t="s">
        <v>59</v>
      </c>
      <c r="F144" s="1" t="s">
        <v>556</v>
      </c>
      <c r="I144" s="10" t="s">
        <v>3</v>
      </c>
      <c r="J144" s="118" t="s">
        <v>3</v>
      </c>
      <c r="K144" s="1" t="s">
        <v>1090</v>
      </c>
      <c r="M144" s="5">
        <v>202005</v>
      </c>
      <c r="N144" s="5">
        <f>INDEX(rrcworking[Formation Production (MCF) @ 14.65 psi],MATCH('May 2020 EDI'!F144,rrcworking[RRC ID],0))</f>
        <v>280</v>
      </c>
      <c r="O144" s="5">
        <f>INDEX(rrcworking[Lease Use (MCF)],MATCH('May 2020 EDI'!F144,rrcworking[RRC ID],0))</f>
        <v>280</v>
      </c>
      <c r="P144" s="5">
        <f>INDEX(rrcworking[Gas Sales Statement Volume (MCF)],MATCH('May 2020 EDI'!F144,rrcworking[RRC ID],0))</f>
        <v>0</v>
      </c>
      <c r="R144" s="246">
        <f>INDEX(rrcworking[Flared Gas],MATCH('May 2020 EDI'!F144,rrcworking[RRC ID],0))</f>
        <v>0</v>
      </c>
      <c r="Y144" s="5">
        <f>INDEX(rrcworking[Oil Production],MATCH('May 2020 EDI'!F144,rrcworking[RRC ID],0))</f>
        <v>0</v>
      </c>
      <c r="AA144" s="5">
        <f>INDEX(rrcworking[Sales/Dispostion],MATCH('May 2020 EDI'!F144,rrcworking[RRC ID],0))</f>
        <v>0</v>
      </c>
      <c r="AQ144" s="5">
        <f>INDEX(rrcworking[Closing Stock (Oil)],MATCH('May 2020 EDI'!F144,rrcworking[RRC ID],0))</f>
        <v>0</v>
      </c>
    </row>
    <row r="145" spans="1:43">
      <c r="A145" s="4" t="s">
        <v>1</v>
      </c>
      <c r="B145" s="1" t="s">
        <v>1042</v>
      </c>
      <c r="C145" s="10" t="s">
        <v>909</v>
      </c>
      <c r="D145" s="1" t="s">
        <v>619</v>
      </c>
      <c r="E145" s="1" t="s">
        <v>59</v>
      </c>
      <c r="F145" s="1" t="s">
        <v>557</v>
      </c>
      <c r="I145" s="10" t="s">
        <v>3</v>
      </c>
      <c r="J145" s="118" t="s">
        <v>3</v>
      </c>
      <c r="K145" s="1" t="s">
        <v>1090</v>
      </c>
      <c r="M145" s="5">
        <v>202005</v>
      </c>
      <c r="N145" s="5">
        <f>INDEX(rrcworking[Formation Production (MCF) @ 14.65 psi],MATCH('May 2020 EDI'!F145,rrcworking[RRC ID],0))</f>
        <v>0</v>
      </c>
      <c r="O145" s="5">
        <f>INDEX(rrcworking[Lease Use (MCF)],MATCH('May 2020 EDI'!F145,rrcworking[RRC ID],0))</f>
        <v>0</v>
      </c>
      <c r="P145" s="5">
        <f>INDEX(rrcworking[Gas Sales Statement Volume (MCF)],MATCH('May 2020 EDI'!F145,rrcworking[RRC ID],0))</f>
        <v>0</v>
      </c>
      <c r="R145" s="246">
        <f>INDEX(rrcworking[Flared Gas],MATCH('May 2020 EDI'!F145,rrcworking[RRC ID],0))</f>
        <v>0</v>
      </c>
      <c r="Y145" s="5">
        <f>INDEX(rrcworking[Oil Production],MATCH('May 2020 EDI'!F145,rrcworking[RRC ID],0))</f>
        <v>0</v>
      </c>
      <c r="AA145" s="5">
        <f>INDEX(rrcworking[Sales/Dispostion],MATCH('May 2020 EDI'!F145,rrcworking[RRC ID],0))</f>
        <v>0</v>
      </c>
      <c r="AQ145" s="5">
        <f>INDEX(rrcworking[Closing Stock (Oil)],MATCH('May 2020 EDI'!F145,rrcworking[RRC ID],0))</f>
        <v>0</v>
      </c>
    </row>
    <row r="146" spans="1:43">
      <c r="A146" s="4" t="s">
        <v>1</v>
      </c>
      <c r="B146" s="1" t="s">
        <v>1043</v>
      </c>
      <c r="C146" s="10" t="s">
        <v>909</v>
      </c>
      <c r="D146" s="1" t="s">
        <v>619</v>
      </c>
      <c r="E146" s="1" t="s">
        <v>2</v>
      </c>
      <c r="F146" s="1" t="s">
        <v>558</v>
      </c>
      <c r="I146" s="10" t="s">
        <v>3</v>
      </c>
      <c r="J146" s="118" t="s">
        <v>3</v>
      </c>
      <c r="K146" s="1" t="s">
        <v>1090</v>
      </c>
      <c r="M146" s="5">
        <v>202005</v>
      </c>
      <c r="N146" s="5">
        <f>INDEX(rrcworking[Formation Production (MCF) @ 14.65 psi],MATCH('May 2020 EDI'!F146,rrcworking[RRC ID],0))</f>
        <v>0</v>
      </c>
      <c r="O146" s="5">
        <f>INDEX(rrcworking[Lease Use (MCF)],MATCH('May 2020 EDI'!F146,rrcworking[RRC ID],0))</f>
        <v>0</v>
      </c>
      <c r="P146" s="5">
        <f>INDEX(rrcworking[Gas Sales Statement Volume (MCF)],MATCH('May 2020 EDI'!F146,rrcworking[RRC ID],0))</f>
        <v>0</v>
      </c>
      <c r="R146" s="246">
        <f>INDEX(rrcworking[Flared Gas],MATCH('May 2020 EDI'!F146,rrcworking[RRC ID],0))</f>
        <v>0</v>
      </c>
      <c r="Y146" s="5">
        <f>INDEX(rrcworking[Oil Production],MATCH('May 2020 EDI'!F146,rrcworking[RRC ID],0))</f>
        <v>0</v>
      </c>
      <c r="AA146" s="5">
        <f>INDEX(rrcworking[Sales/Dispostion],MATCH('May 2020 EDI'!F146,rrcworking[RRC ID],0))</f>
        <v>0</v>
      </c>
      <c r="AQ146" s="5">
        <f>INDEX(rrcworking[Closing Stock (Oil)],MATCH('May 2020 EDI'!F146,rrcworking[RRC ID],0))</f>
        <v>90</v>
      </c>
    </row>
    <row r="147" spans="1:43">
      <c r="A147" s="4" t="s">
        <v>1</v>
      </c>
      <c r="B147" s="1" t="s">
        <v>1044</v>
      </c>
      <c r="C147" s="10" t="s">
        <v>909</v>
      </c>
      <c r="D147" s="1" t="s">
        <v>619</v>
      </c>
      <c r="E147" s="1" t="s">
        <v>59</v>
      </c>
      <c r="F147" s="1" t="s">
        <v>559</v>
      </c>
      <c r="I147" s="10" t="s">
        <v>3</v>
      </c>
      <c r="J147" s="118" t="s">
        <v>3</v>
      </c>
      <c r="K147" s="1" t="s">
        <v>1090</v>
      </c>
      <c r="M147" s="5">
        <v>202005</v>
      </c>
      <c r="N147" s="5">
        <f>INDEX(rrcworking[Formation Production (MCF) @ 14.65 psi],MATCH('May 2020 EDI'!F147,rrcworking[RRC ID],0))</f>
        <v>0</v>
      </c>
      <c r="O147" s="5">
        <f>INDEX(rrcworking[Lease Use (MCF)],MATCH('May 2020 EDI'!F147,rrcworking[RRC ID],0))</f>
        <v>0</v>
      </c>
      <c r="P147" s="5">
        <f>INDEX(rrcworking[Gas Sales Statement Volume (MCF)],MATCH('May 2020 EDI'!F147,rrcworking[RRC ID],0))</f>
        <v>0</v>
      </c>
      <c r="R147" s="246">
        <f>INDEX(rrcworking[Flared Gas],MATCH('May 2020 EDI'!F147,rrcworking[RRC ID],0))</f>
        <v>0</v>
      </c>
      <c r="Y147" s="5">
        <f>INDEX(rrcworking[Oil Production],MATCH('May 2020 EDI'!F147,rrcworking[RRC ID],0))</f>
        <v>0</v>
      </c>
      <c r="AA147" s="5">
        <f>INDEX(rrcworking[Sales/Dispostion],MATCH('May 2020 EDI'!F147,rrcworking[RRC ID],0))</f>
        <v>0</v>
      </c>
      <c r="AQ147" s="5">
        <f>INDEX(rrcworking[Closing Stock (Oil)],MATCH('May 2020 EDI'!F147,rrcworking[RRC ID],0))</f>
        <v>0</v>
      </c>
    </row>
    <row r="148" spans="1:43">
      <c r="A148" s="4" t="s">
        <v>1</v>
      </c>
      <c r="B148" s="1" t="s">
        <v>1045</v>
      </c>
      <c r="C148" s="10" t="s">
        <v>909</v>
      </c>
      <c r="D148" s="1" t="s">
        <v>619</v>
      </c>
      <c r="E148" s="1" t="s">
        <v>2</v>
      </c>
      <c r="F148" s="1" t="s">
        <v>560</v>
      </c>
      <c r="I148" s="10" t="s">
        <v>3</v>
      </c>
      <c r="J148" s="118" t="s">
        <v>3</v>
      </c>
      <c r="K148" s="1" t="s">
        <v>1090</v>
      </c>
      <c r="M148" s="5">
        <v>202005</v>
      </c>
      <c r="N148" s="5">
        <f>INDEX(rrcworking[Formation Production (MCF) @ 14.65 psi],MATCH('May 2020 EDI'!F148,rrcworking[RRC ID],0))</f>
        <v>0</v>
      </c>
      <c r="O148" s="5">
        <f>INDEX(rrcworking[Lease Use (MCF)],MATCH('May 2020 EDI'!F148,rrcworking[RRC ID],0))</f>
        <v>0</v>
      </c>
      <c r="P148" s="5">
        <f>INDEX(rrcworking[Gas Sales Statement Volume (MCF)],MATCH('May 2020 EDI'!F148,rrcworking[RRC ID],0))</f>
        <v>0</v>
      </c>
      <c r="R148" s="246">
        <f>INDEX(rrcworking[Flared Gas],MATCH('May 2020 EDI'!F148,rrcworking[RRC ID],0))</f>
        <v>0</v>
      </c>
      <c r="Y148" s="5">
        <f>INDEX(rrcworking[Oil Production],MATCH('May 2020 EDI'!F148,rrcworking[RRC ID],0))</f>
        <v>0</v>
      </c>
      <c r="AA148" s="5">
        <f>INDEX(rrcworking[Sales/Dispostion],MATCH('May 2020 EDI'!F148,rrcworking[RRC ID],0))</f>
        <v>0</v>
      </c>
      <c r="AQ148" s="5">
        <f>INDEX(rrcworking[Closing Stock (Oil)],MATCH('May 2020 EDI'!F148,rrcworking[RRC ID],0))</f>
        <v>0</v>
      </c>
    </row>
    <row r="149" spans="1:43">
      <c r="A149" s="4" t="s">
        <v>1</v>
      </c>
      <c r="B149" s="1" t="s">
        <v>1046</v>
      </c>
      <c r="C149" s="10" t="s">
        <v>909</v>
      </c>
      <c r="D149" s="1" t="s">
        <v>619</v>
      </c>
      <c r="E149" s="1" t="s">
        <v>59</v>
      </c>
      <c r="F149" s="1" t="s">
        <v>561</v>
      </c>
      <c r="I149" s="10" t="s">
        <v>3</v>
      </c>
      <c r="J149" s="118" t="s">
        <v>3</v>
      </c>
      <c r="K149" s="1" t="s">
        <v>1090</v>
      </c>
      <c r="M149" s="5">
        <v>202005</v>
      </c>
      <c r="N149" s="5">
        <f>INDEX(rrcworking[Formation Production (MCF) @ 14.65 psi],MATCH('May 2020 EDI'!F149,rrcworking[RRC ID],0))</f>
        <v>6282</v>
      </c>
      <c r="O149" s="5">
        <f>INDEX(rrcworking[Lease Use (MCF)],MATCH('May 2020 EDI'!F149,rrcworking[RRC ID],0))</f>
        <v>219</v>
      </c>
      <c r="P149" s="5">
        <f>INDEX(rrcworking[Gas Sales Statement Volume (MCF)],MATCH('May 2020 EDI'!F149,rrcworking[RRC ID],0))</f>
        <v>6063</v>
      </c>
      <c r="R149" s="246">
        <f>INDEX(rrcworking[Flared Gas],MATCH('May 2020 EDI'!F149,rrcworking[RRC ID],0))</f>
        <v>0</v>
      </c>
      <c r="Y149" s="5">
        <f>INDEX(rrcworking[Oil Production],MATCH('May 2020 EDI'!F149,rrcworking[RRC ID],0))</f>
        <v>0</v>
      </c>
      <c r="AA149" s="5">
        <f>INDEX(rrcworking[Sales/Dispostion],MATCH('May 2020 EDI'!F149,rrcworking[RRC ID],0))</f>
        <v>0</v>
      </c>
      <c r="AQ149" s="5">
        <f>INDEX(rrcworking[Closing Stock (Oil)],MATCH('May 2020 EDI'!F149,rrcworking[RRC ID],0))</f>
        <v>162</v>
      </c>
    </row>
    <row r="150" spans="1:43">
      <c r="A150" s="4" t="s">
        <v>1</v>
      </c>
      <c r="B150" s="1" t="s">
        <v>1047</v>
      </c>
      <c r="C150" s="10" t="s">
        <v>909</v>
      </c>
      <c r="D150" s="1" t="s">
        <v>619</v>
      </c>
      <c r="E150" s="1" t="s">
        <v>59</v>
      </c>
      <c r="F150" s="1" t="s">
        <v>562</v>
      </c>
      <c r="I150" s="10" t="s">
        <v>3</v>
      </c>
      <c r="J150" s="118" t="s">
        <v>3</v>
      </c>
      <c r="K150" s="1" t="s">
        <v>1090</v>
      </c>
      <c r="M150" s="5">
        <v>202005</v>
      </c>
      <c r="N150" s="5">
        <f>INDEX(rrcworking[Formation Production (MCF) @ 14.65 psi],MATCH('May 2020 EDI'!F150,rrcworking[RRC ID],0))</f>
        <v>2553</v>
      </c>
      <c r="O150" s="5">
        <f>INDEX(rrcworking[Lease Use (MCF)],MATCH('May 2020 EDI'!F150,rrcworking[RRC ID],0))</f>
        <v>89</v>
      </c>
      <c r="P150" s="5">
        <f>INDEX(rrcworking[Gas Sales Statement Volume (MCF)],MATCH('May 2020 EDI'!F150,rrcworking[RRC ID],0))</f>
        <v>2464</v>
      </c>
      <c r="R150" s="246">
        <f>INDEX(rrcworking[Flared Gas],MATCH('May 2020 EDI'!F150,rrcworking[RRC ID],0))</f>
        <v>0</v>
      </c>
      <c r="Y150" s="5">
        <f>INDEX(rrcworking[Oil Production],MATCH('May 2020 EDI'!F150,rrcworking[RRC ID],0))</f>
        <v>0</v>
      </c>
      <c r="AA150" s="5">
        <f>INDEX(rrcworking[Sales/Dispostion],MATCH('May 2020 EDI'!F150,rrcworking[RRC ID],0))</f>
        <v>0</v>
      </c>
      <c r="AQ150" s="5">
        <f>INDEX(rrcworking[Closing Stock (Oil)],MATCH('May 2020 EDI'!F150,rrcworking[RRC ID],0))</f>
        <v>0</v>
      </c>
    </row>
    <row r="151" spans="1:43">
      <c r="A151" s="4" t="s">
        <v>1</v>
      </c>
      <c r="B151" s="1" t="s">
        <v>1048</v>
      </c>
      <c r="C151" s="10" t="s">
        <v>909</v>
      </c>
      <c r="D151" s="1" t="s">
        <v>619</v>
      </c>
      <c r="E151" s="1" t="s">
        <v>59</v>
      </c>
      <c r="F151" s="1" t="s">
        <v>563</v>
      </c>
      <c r="I151" s="10" t="s">
        <v>3</v>
      </c>
      <c r="J151" s="118" t="s">
        <v>3</v>
      </c>
      <c r="K151" s="1" t="s">
        <v>1090</v>
      </c>
      <c r="M151" s="5">
        <v>202005</v>
      </c>
      <c r="N151" s="5">
        <f>INDEX(rrcworking[Formation Production (MCF) @ 14.65 psi],MATCH('May 2020 EDI'!F151,rrcworking[RRC ID],0))</f>
        <v>6008</v>
      </c>
      <c r="O151" s="5">
        <f>INDEX(rrcworking[Lease Use (MCF)],MATCH('May 2020 EDI'!F151,rrcworking[RRC ID],0))</f>
        <v>288</v>
      </c>
      <c r="P151" s="5">
        <f>INDEX(rrcworking[Gas Sales Statement Volume (MCF)],MATCH('May 2020 EDI'!F151,rrcworking[RRC ID],0))</f>
        <v>5720</v>
      </c>
      <c r="R151" s="246">
        <f>INDEX(rrcworking[Flared Gas],MATCH('May 2020 EDI'!F151,rrcworking[RRC ID],0))</f>
        <v>0</v>
      </c>
      <c r="Y151" s="5">
        <f>INDEX(rrcworking[Oil Production],MATCH('May 2020 EDI'!F151,rrcworking[RRC ID],0))</f>
        <v>0</v>
      </c>
      <c r="AA151" s="5">
        <f>INDEX(rrcworking[Sales/Dispostion],MATCH('May 2020 EDI'!F151,rrcworking[RRC ID],0))</f>
        <v>0</v>
      </c>
      <c r="AQ151" s="5">
        <f>INDEX(rrcworking[Closing Stock (Oil)],MATCH('May 2020 EDI'!F151,rrcworking[RRC ID],0))</f>
        <v>24</v>
      </c>
    </row>
    <row r="152" spans="1:43">
      <c r="A152" s="4" t="s">
        <v>1</v>
      </c>
      <c r="B152" s="1" t="s">
        <v>1049</v>
      </c>
      <c r="C152" s="10" t="s">
        <v>909</v>
      </c>
      <c r="D152" s="1" t="s">
        <v>619</v>
      </c>
      <c r="E152" s="1" t="s">
        <v>59</v>
      </c>
      <c r="F152" s="1" t="s">
        <v>564</v>
      </c>
      <c r="I152" s="10" t="s">
        <v>3</v>
      </c>
      <c r="J152" s="118" t="s">
        <v>3</v>
      </c>
      <c r="K152" s="1" t="s">
        <v>1090</v>
      </c>
      <c r="M152" s="5">
        <v>202005</v>
      </c>
      <c r="N152" s="5">
        <f>INDEX(rrcworking[Formation Production (MCF) @ 14.65 psi],MATCH('May 2020 EDI'!F152,rrcworking[RRC ID],0))</f>
        <v>101</v>
      </c>
      <c r="O152" s="5">
        <f>INDEX(rrcworking[Lease Use (MCF)],MATCH('May 2020 EDI'!F152,rrcworking[RRC ID],0))</f>
        <v>5</v>
      </c>
      <c r="P152" s="5">
        <f>INDEX(rrcworking[Gas Sales Statement Volume (MCF)],MATCH('May 2020 EDI'!F152,rrcworking[RRC ID],0))</f>
        <v>96</v>
      </c>
      <c r="R152" s="246">
        <f>INDEX(rrcworking[Flared Gas],MATCH('May 2020 EDI'!F152,rrcworking[RRC ID],0))</f>
        <v>0</v>
      </c>
      <c r="Y152" s="5">
        <f>INDEX(rrcworking[Oil Production],MATCH('May 2020 EDI'!F152,rrcworking[RRC ID],0))</f>
        <v>0</v>
      </c>
      <c r="AA152" s="5">
        <f>INDEX(rrcworking[Sales/Dispostion],MATCH('May 2020 EDI'!F152,rrcworking[RRC ID],0))</f>
        <v>0</v>
      </c>
      <c r="AQ152" s="5">
        <f>INDEX(rrcworking[Closing Stock (Oil)],MATCH('May 2020 EDI'!F152,rrcworking[RRC ID],0))</f>
        <v>0</v>
      </c>
    </row>
    <row r="153" spans="1:43">
      <c r="A153" s="4" t="s">
        <v>1</v>
      </c>
      <c r="B153" s="1" t="s">
        <v>1050</v>
      </c>
      <c r="C153" s="10" t="s">
        <v>909</v>
      </c>
      <c r="D153" s="1" t="s">
        <v>619</v>
      </c>
      <c r="E153" s="1" t="s">
        <v>2</v>
      </c>
      <c r="F153" s="1" t="s">
        <v>565</v>
      </c>
      <c r="I153" s="10" t="s">
        <v>3</v>
      </c>
      <c r="J153" s="118" t="s">
        <v>3</v>
      </c>
      <c r="K153" s="1" t="s">
        <v>1090</v>
      </c>
      <c r="M153" s="5">
        <v>202005</v>
      </c>
      <c r="N153" s="5">
        <f>INDEX(rrcworking[Formation Production (MCF) @ 14.65 psi],MATCH('May 2020 EDI'!F153,rrcworking[RRC ID],0))</f>
        <v>0</v>
      </c>
      <c r="O153" s="5">
        <f>INDEX(rrcworking[Lease Use (MCF)],MATCH('May 2020 EDI'!F153,rrcworking[RRC ID],0))</f>
        <v>0</v>
      </c>
      <c r="P153" s="5">
        <f>INDEX(rrcworking[Gas Sales Statement Volume (MCF)],MATCH('May 2020 EDI'!F153,rrcworking[RRC ID],0))</f>
        <v>0</v>
      </c>
      <c r="R153" s="246">
        <f>INDEX(rrcworking[Flared Gas],MATCH('May 2020 EDI'!F153,rrcworking[RRC ID],0))</f>
        <v>0</v>
      </c>
      <c r="Y153" s="5">
        <f>INDEX(rrcworking[Oil Production],MATCH('May 2020 EDI'!F153,rrcworking[RRC ID],0))</f>
        <v>0</v>
      </c>
      <c r="AA153" s="5">
        <f>INDEX(rrcworking[Sales/Dispostion],MATCH('May 2020 EDI'!F153,rrcworking[RRC ID],0))</f>
        <v>0</v>
      </c>
      <c r="AQ153" s="5">
        <f>INDEX(rrcworking[Closing Stock (Oil)],MATCH('May 2020 EDI'!F153,rrcworking[RRC ID],0))</f>
        <v>47</v>
      </c>
    </row>
    <row r="154" spans="1:43">
      <c r="A154" s="4" t="s">
        <v>1</v>
      </c>
      <c r="B154" s="1" t="s">
        <v>1051</v>
      </c>
      <c r="C154" s="10" t="s">
        <v>909</v>
      </c>
      <c r="D154" s="1" t="s">
        <v>619</v>
      </c>
      <c r="E154" s="1" t="s">
        <v>2</v>
      </c>
      <c r="F154" s="1" t="s">
        <v>566</v>
      </c>
      <c r="I154" s="10" t="s">
        <v>3</v>
      </c>
      <c r="J154" s="118" t="s">
        <v>3</v>
      </c>
      <c r="K154" s="1" t="s">
        <v>1090</v>
      </c>
      <c r="M154" s="5">
        <v>202005</v>
      </c>
      <c r="N154" s="5">
        <f>INDEX(rrcworking[Formation Production (MCF) @ 14.65 psi],MATCH('May 2020 EDI'!F154,rrcworking[RRC ID],0))</f>
        <v>0</v>
      </c>
      <c r="O154" s="5">
        <f>INDEX(rrcworking[Lease Use (MCF)],MATCH('May 2020 EDI'!F154,rrcworking[RRC ID],0))</f>
        <v>0</v>
      </c>
      <c r="P154" s="5">
        <f>INDEX(rrcworking[Gas Sales Statement Volume (MCF)],MATCH('May 2020 EDI'!F154,rrcworking[RRC ID],0))</f>
        <v>0</v>
      </c>
      <c r="R154" s="246">
        <f>INDEX(rrcworking[Flared Gas],MATCH('May 2020 EDI'!F154,rrcworking[RRC ID],0))</f>
        <v>0</v>
      </c>
      <c r="Y154" s="5">
        <f>INDEX(rrcworking[Oil Production],MATCH('May 2020 EDI'!F154,rrcworking[RRC ID],0))</f>
        <v>0</v>
      </c>
      <c r="AA154" s="5">
        <f>INDEX(rrcworking[Sales/Dispostion],MATCH('May 2020 EDI'!F154,rrcworking[RRC ID],0))</f>
        <v>0</v>
      </c>
      <c r="AQ154" s="5">
        <f>INDEX(rrcworking[Closing Stock (Oil)],MATCH('May 2020 EDI'!F154,rrcworking[RRC ID],0))</f>
        <v>52</v>
      </c>
    </row>
    <row r="155" spans="1:43">
      <c r="A155" s="4" t="s">
        <v>1</v>
      </c>
      <c r="B155" s="1" t="s">
        <v>1052</v>
      </c>
      <c r="C155" s="10" t="s">
        <v>909</v>
      </c>
      <c r="D155" s="1" t="s">
        <v>619</v>
      </c>
      <c r="E155" s="1" t="s">
        <v>59</v>
      </c>
      <c r="F155" s="1" t="s">
        <v>567</v>
      </c>
      <c r="I155" s="10" t="s">
        <v>3</v>
      </c>
      <c r="J155" s="118" t="s">
        <v>3</v>
      </c>
      <c r="K155" s="1" t="s">
        <v>1090</v>
      </c>
      <c r="M155" s="5">
        <v>202005</v>
      </c>
      <c r="N155" s="5">
        <f>INDEX(rrcworking[Formation Production (MCF) @ 14.65 psi],MATCH('May 2020 EDI'!F155,rrcworking[RRC ID],0))</f>
        <v>0</v>
      </c>
      <c r="O155" s="5">
        <f>INDEX(rrcworking[Lease Use (MCF)],MATCH('May 2020 EDI'!F155,rrcworking[RRC ID],0))</f>
        <v>0</v>
      </c>
      <c r="P155" s="5">
        <f>INDEX(rrcworking[Gas Sales Statement Volume (MCF)],MATCH('May 2020 EDI'!F155,rrcworking[RRC ID],0))</f>
        <v>0</v>
      </c>
      <c r="R155" s="246">
        <f>INDEX(rrcworking[Flared Gas],MATCH('May 2020 EDI'!F155,rrcworking[RRC ID],0))</f>
        <v>0</v>
      </c>
      <c r="Y155" s="5">
        <f>INDEX(rrcworking[Oil Production],MATCH('May 2020 EDI'!F155,rrcworking[RRC ID],0))</f>
        <v>0</v>
      </c>
      <c r="AA155" s="5">
        <f>INDEX(rrcworking[Sales/Dispostion],MATCH('May 2020 EDI'!F155,rrcworking[RRC ID],0))</f>
        <v>0</v>
      </c>
      <c r="AQ155" s="5">
        <f>INDEX(rrcworking[Closing Stock (Oil)],MATCH('May 2020 EDI'!F155,rrcworking[RRC ID],0))</f>
        <v>0</v>
      </c>
    </row>
    <row r="156" spans="1:43">
      <c r="A156" s="4" t="s">
        <v>1</v>
      </c>
      <c r="B156" s="1" t="s">
        <v>1053</v>
      </c>
      <c r="C156" s="10" t="s">
        <v>909</v>
      </c>
      <c r="D156" s="1" t="s">
        <v>619</v>
      </c>
      <c r="E156" s="1" t="s">
        <v>2</v>
      </c>
      <c r="F156" s="1" t="s">
        <v>568</v>
      </c>
      <c r="I156" s="10" t="s">
        <v>3</v>
      </c>
      <c r="J156" s="118" t="s">
        <v>3</v>
      </c>
      <c r="K156" s="1" t="s">
        <v>1090</v>
      </c>
      <c r="M156" s="5">
        <v>202005</v>
      </c>
      <c r="N156" s="5">
        <f>INDEX(rrcworking[Formation Production (MCF) @ 14.65 psi],MATCH('May 2020 EDI'!F156,rrcworking[RRC ID],0))</f>
        <v>0</v>
      </c>
      <c r="O156" s="5">
        <f>INDEX(rrcworking[Lease Use (MCF)],MATCH('May 2020 EDI'!F156,rrcworking[RRC ID],0))</f>
        <v>0</v>
      </c>
      <c r="P156" s="5">
        <f>INDEX(rrcworking[Gas Sales Statement Volume (MCF)],MATCH('May 2020 EDI'!F156,rrcworking[RRC ID],0))</f>
        <v>0</v>
      </c>
      <c r="R156" s="246">
        <f>INDEX(rrcworking[Flared Gas],MATCH('May 2020 EDI'!F156,rrcworking[RRC ID],0))</f>
        <v>0</v>
      </c>
      <c r="Y156" s="5">
        <f>INDEX(rrcworking[Oil Production],MATCH('May 2020 EDI'!F156,rrcworking[RRC ID],0))</f>
        <v>0</v>
      </c>
      <c r="AA156" s="5">
        <f>INDEX(rrcworking[Sales/Dispostion],MATCH('May 2020 EDI'!F156,rrcworking[RRC ID],0))</f>
        <v>0</v>
      </c>
      <c r="AQ156" s="5">
        <f>INDEX(rrcworking[Closing Stock (Oil)],MATCH('May 2020 EDI'!F156,rrcworking[RRC ID],0))</f>
        <v>65</v>
      </c>
    </row>
    <row r="157" spans="1:43">
      <c r="A157" s="4" t="s">
        <v>1</v>
      </c>
      <c r="B157" s="1" t="s">
        <v>1054</v>
      </c>
      <c r="C157" s="10" t="s">
        <v>909</v>
      </c>
      <c r="D157" s="1" t="s">
        <v>619</v>
      </c>
      <c r="E157" s="1" t="s">
        <v>2</v>
      </c>
      <c r="F157" s="1" t="s">
        <v>569</v>
      </c>
      <c r="I157" s="10" t="s">
        <v>3</v>
      </c>
      <c r="J157" s="118" t="s">
        <v>3</v>
      </c>
      <c r="K157" s="1" t="s">
        <v>1090</v>
      </c>
      <c r="M157" s="5">
        <v>202005</v>
      </c>
      <c r="N157" s="5">
        <f>INDEX(rrcworking[Formation Production (MCF) @ 14.65 psi],MATCH('May 2020 EDI'!F157,rrcworking[RRC ID],0))</f>
        <v>0</v>
      </c>
      <c r="O157" s="5">
        <f>INDEX(rrcworking[Lease Use (MCF)],MATCH('May 2020 EDI'!F157,rrcworking[RRC ID],0))</f>
        <v>0</v>
      </c>
      <c r="P157" s="5">
        <f>INDEX(rrcworking[Gas Sales Statement Volume (MCF)],MATCH('May 2020 EDI'!F157,rrcworking[RRC ID],0))</f>
        <v>0</v>
      </c>
      <c r="R157" s="246">
        <f>INDEX(rrcworking[Flared Gas],MATCH('May 2020 EDI'!F157,rrcworking[RRC ID],0))</f>
        <v>0</v>
      </c>
      <c r="Y157" s="5">
        <f>INDEX(rrcworking[Oil Production],MATCH('May 2020 EDI'!F157,rrcworking[RRC ID],0))</f>
        <v>0</v>
      </c>
      <c r="AA157" s="5">
        <f>INDEX(rrcworking[Sales/Dispostion],MATCH('May 2020 EDI'!F157,rrcworking[RRC ID],0))</f>
        <v>0</v>
      </c>
      <c r="AQ157" s="5">
        <f>INDEX(rrcworking[Closing Stock (Oil)],MATCH('May 2020 EDI'!F157,rrcworking[RRC ID],0))</f>
        <v>69</v>
      </c>
    </row>
    <row r="158" spans="1:43">
      <c r="A158" s="4" t="s">
        <v>1</v>
      </c>
      <c r="B158" s="1" t="s">
        <v>1055</v>
      </c>
      <c r="C158" s="10" t="s">
        <v>909</v>
      </c>
      <c r="D158" s="1" t="s">
        <v>619</v>
      </c>
      <c r="E158" s="1" t="s">
        <v>59</v>
      </c>
      <c r="F158" s="1" t="s">
        <v>570</v>
      </c>
      <c r="I158" s="10" t="s">
        <v>3</v>
      </c>
      <c r="J158" s="118" t="s">
        <v>3</v>
      </c>
      <c r="K158" s="1" t="s">
        <v>1090</v>
      </c>
      <c r="M158" s="5">
        <v>202005</v>
      </c>
      <c r="N158" s="5">
        <f>INDEX(rrcworking[Formation Production (MCF) @ 14.65 psi],MATCH('May 2020 EDI'!F158,rrcworking[RRC ID],0))</f>
        <v>3017</v>
      </c>
      <c r="O158" s="5">
        <f>INDEX(rrcworking[Lease Use (MCF)],MATCH('May 2020 EDI'!F158,rrcworking[RRC ID],0))</f>
        <v>124</v>
      </c>
      <c r="P158" s="5">
        <f>INDEX(rrcworking[Gas Sales Statement Volume (MCF)],MATCH('May 2020 EDI'!F158,rrcworking[RRC ID],0))</f>
        <v>2893</v>
      </c>
      <c r="R158" s="246">
        <f>INDEX(rrcworking[Flared Gas],MATCH('May 2020 EDI'!F158,rrcworking[RRC ID],0))</f>
        <v>0</v>
      </c>
      <c r="Y158" s="5">
        <f>INDEX(rrcworking[Oil Production],MATCH('May 2020 EDI'!F158,rrcworking[RRC ID],0))</f>
        <v>0</v>
      </c>
      <c r="AA158" s="5">
        <f>INDEX(rrcworking[Sales/Dispostion],MATCH('May 2020 EDI'!F158,rrcworking[RRC ID],0))</f>
        <v>0</v>
      </c>
      <c r="AQ158" s="5">
        <f>INDEX(rrcworking[Closing Stock (Oil)],MATCH('May 2020 EDI'!F158,rrcworking[RRC ID],0))</f>
        <v>0</v>
      </c>
    </row>
    <row r="159" spans="1:43">
      <c r="A159" s="4" t="s">
        <v>1</v>
      </c>
      <c r="B159" s="1" t="s">
        <v>1056</v>
      </c>
      <c r="C159" s="10" t="s">
        <v>909</v>
      </c>
      <c r="D159" s="1" t="s">
        <v>619</v>
      </c>
      <c r="E159" s="1" t="s">
        <v>59</v>
      </c>
      <c r="F159" s="1" t="s">
        <v>571</v>
      </c>
      <c r="I159" s="10" t="s">
        <v>3</v>
      </c>
      <c r="J159" s="118" t="s">
        <v>3</v>
      </c>
      <c r="K159" s="1" t="s">
        <v>1090</v>
      </c>
      <c r="M159" s="5">
        <v>202005</v>
      </c>
      <c r="N159" s="5">
        <f>INDEX(rrcworking[Formation Production (MCF) @ 14.65 psi],MATCH('May 2020 EDI'!F159,rrcworking[RRC ID],0))</f>
        <v>0</v>
      </c>
      <c r="O159" s="5">
        <f>INDEX(rrcworking[Lease Use (MCF)],MATCH('May 2020 EDI'!F159,rrcworking[RRC ID],0))</f>
        <v>0</v>
      </c>
      <c r="P159" s="5">
        <f>INDEX(rrcworking[Gas Sales Statement Volume (MCF)],MATCH('May 2020 EDI'!F159,rrcworking[RRC ID],0))</f>
        <v>0</v>
      </c>
      <c r="R159" s="246">
        <f>INDEX(rrcworking[Flared Gas],MATCH('May 2020 EDI'!F159,rrcworking[RRC ID],0))</f>
        <v>0</v>
      </c>
      <c r="Y159" s="5">
        <f>INDEX(rrcworking[Oil Production],MATCH('May 2020 EDI'!F159,rrcworking[RRC ID],0))</f>
        <v>0</v>
      </c>
      <c r="AA159" s="5">
        <f>INDEX(rrcworking[Sales/Dispostion],MATCH('May 2020 EDI'!F159,rrcworking[RRC ID],0))</f>
        <v>0</v>
      </c>
      <c r="AQ159" s="5">
        <f>INDEX(rrcworking[Closing Stock (Oil)],MATCH('May 2020 EDI'!F159,rrcworking[RRC ID],0))</f>
        <v>43</v>
      </c>
    </row>
    <row r="160" spans="1:43">
      <c r="A160" s="4" t="s">
        <v>1</v>
      </c>
      <c r="B160" s="1" t="s">
        <v>1057</v>
      </c>
      <c r="C160" s="10" t="s">
        <v>909</v>
      </c>
      <c r="D160" s="1" t="s">
        <v>619</v>
      </c>
      <c r="E160" s="1" t="s">
        <v>59</v>
      </c>
      <c r="F160" s="1" t="s">
        <v>572</v>
      </c>
      <c r="I160" s="10" t="s">
        <v>3</v>
      </c>
      <c r="J160" s="118" t="s">
        <v>3</v>
      </c>
      <c r="K160" s="1" t="s">
        <v>1090</v>
      </c>
      <c r="M160" s="5">
        <v>202005</v>
      </c>
      <c r="N160" s="5">
        <f>INDEX(rrcworking[Formation Production (MCF) @ 14.65 psi],MATCH('May 2020 EDI'!F160,rrcworking[RRC ID],0))</f>
        <v>184</v>
      </c>
      <c r="O160" s="5">
        <f>INDEX(rrcworking[Lease Use (MCF)],MATCH('May 2020 EDI'!F160,rrcworking[RRC ID],0))</f>
        <v>0</v>
      </c>
      <c r="P160" s="5">
        <f>INDEX(rrcworking[Gas Sales Statement Volume (MCF)],MATCH('May 2020 EDI'!F160,rrcworking[RRC ID],0))</f>
        <v>184</v>
      </c>
      <c r="R160" s="246">
        <f>INDEX(rrcworking[Flared Gas],MATCH('May 2020 EDI'!F160,rrcworking[RRC ID],0))</f>
        <v>0</v>
      </c>
      <c r="Y160" s="5">
        <f>INDEX(rrcworking[Oil Production],MATCH('May 2020 EDI'!F160,rrcworking[RRC ID],0))</f>
        <v>0</v>
      </c>
      <c r="AA160" s="5">
        <f>INDEX(rrcworking[Sales/Dispostion],MATCH('May 2020 EDI'!F160,rrcworking[RRC ID],0))</f>
        <v>0</v>
      </c>
      <c r="AQ160" s="5">
        <f>INDEX(rrcworking[Closing Stock (Oil)],MATCH('May 2020 EDI'!F160,rrcworking[RRC ID],0))</f>
        <v>169</v>
      </c>
    </row>
    <row r="161" spans="1:43">
      <c r="A161" s="4" t="s">
        <v>1</v>
      </c>
      <c r="B161" s="1" t="s">
        <v>1058</v>
      </c>
      <c r="C161" s="10" t="s">
        <v>909</v>
      </c>
      <c r="D161" s="1" t="s">
        <v>619</v>
      </c>
      <c r="E161" s="1" t="s">
        <v>59</v>
      </c>
      <c r="F161" s="1" t="s">
        <v>573</v>
      </c>
      <c r="I161" s="10" t="s">
        <v>3</v>
      </c>
      <c r="J161" s="118" t="s">
        <v>3</v>
      </c>
      <c r="K161" s="1" t="s">
        <v>1090</v>
      </c>
      <c r="M161" s="5">
        <v>202005</v>
      </c>
      <c r="N161" s="5">
        <f>INDEX(rrcworking[Formation Production (MCF) @ 14.65 psi],MATCH('May 2020 EDI'!F161,rrcworking[RRC ID],0))</f>
        <v>0</v>
      </c>
      <c r="O161" s="5">
        <f>INDEX(rrcworking[Lease Use (MCF)],MATCH('May 2020 EDI'!F161,rrcworking[RRC ID],0))</f>
        <v>0</v>
      </c>
      <c r="P161" s="5">
        <f>INDEX(rrcworking[Gas Sales Statement Volume (MCF)],MATCH('May 2020 EDI'!F161,rrcworking[RRC ID],0))</f>
        <v>0</v>
      </c>
      <c r="R161" s="246">
        <f>INDEX(rrcworking[Flared Gas],MATCH('May 2020 EDI'!F161,rrcworking[RRC ID],0))</f>
        <v>0</v>
      </c>
      <c r="Y161" s="5">
        <f>INDEX(rrcworking[Oil Production],MATCH('May 2020 EDI'!F161,rrcworking[RRC ID],0))</f>
        <v>0</v>
      </c>
      <c r="AA161" s="5">
        <f>INDEX(rrcworking[Sales/Dispostion],MATCH('May 2020 EDI'!F161,rrcworking[RRC ID],0))</f>
        <v>0</v>
      </c>
      <c r="AQ161" s="5">
        <f>INDEX(rrcworking[Closing Stock (Oil)],MATCH('May 2020 EDI'!F161,rrcworking[RRC ID],0))</f>
        <v>93</v>
      </c>
    </row>
    <row r="162" spans="1:43">
      <c r="A162" s="4" t="s">
        <v>1</v>
      </c>
      <c r="B162" s="1" t="s">
        <v>1059</v>
      </c>
      <c r="C162" s="10" t="s">
        <v>909</v>
      </c>
      <c r="D162" s="1" t="s">
        <v>619</v>
      </c>
      <c r="E162" s="1" t="s">
        <v>59</v>
      </c>
      <c r="F162" s="1" t="s">
        <v>574</v>
      </c>
      <c r="I162" s="10" t="s">
        <v>3</v>
      </c>
      <c r="J162" s="118" t="s">
        <v>3</v>
      </c>
      <c r="K162" s="1" t="s">
        <v>1090</v>
      </c>
      <c r="M162" s="5">
        <v>202005</v>
      </c>
      <c r="N162" s="5">
        <f>INDEX(rrcworking[Formation Production (MCF) @ 14.65 psi],MATCH('May 2020 EDI'!F162,rrcworking[RRC ID],0))</f>
        <v>2211</v>
      </c>
      <c r="O162" s="5">
        <f>INDEX(rrcworking[Lease Use (MCF)],MATCH('May 2020 EDI'!F162,rrcworking[RRC ID],0))</f>
        <v>0</v>
      </c>
      <c r="P162" s="5">
        <f>INDEX(rrcworking[Gas Sales Statement Volume (MCF)],MATCH('May 2020 EDI'!F162,rrcworking[RRC ID],0))</f>
        <v>2211</v>
      </c>
      <c r="R162" s="246">
        <f>INDEX(rrcworking[Flared Gas],MATCH('May 2020 EDI'!F162,rrcworking[RRC ID],0))</f>
        <v>0</v>
      </c>
      <c r="Y162" s="5">
        <f>INDEX(rrcworking[Oil Production],MATCH('May 2020 EDI'!F162,rrcworking[RRC ID],0))</f>
        <v>65</v>
      </c>
      <c r="AA162" s="5">
        <f>INDEX(rrcworking[Sales/Dispostion],MATCH('May 2020 EDI'!F162,rrcworking[RRC ID],0))</f>
        <v>0</v>
      </c>
      <c r="AQ162" s="5">
        <f>INDEX(rrcworking[Closing Stock (Oil)],MATCH('May 2020 EDI'!F162,rrcworking[RRC ID],0))</f>
        <v>160</v>
      </c>
    </row>
    <row r="163" spans="1:43">
      <c r="A163" s="4" t="s">
        <v>1</v>
      </c>
      <c r="B163" s="1" t="s">
        <v>1060</v>
      </c>
      <c r="C163" s="10" t="s">
        <v>909</v>
      </c>
      <c r="D163" s="1" t="s">
        <v>619</v>
      </c>
      <c r="E163" s="1" t="s">
        <v>59</v>
      </c>
      <c r="F163" s="1" t="s">
        <v>575</v>
      </c>
      <c r="I163" s="10" t="s">
        <v>3</v>
      </c>
      <c r="J163" s="118" t="s">
        <v>3</v>
      </c>
      <c r="K163" s="1" t="s">
        <v>1090</v>
      </c>
      <c r="M163" s="5">
        <v>202005</v>
      </c>
      <c r="N163" s="5">
        <f>INDEX(rrcworking[Formation Production (MCF) @ 14.65 psi],MATCH('May 2020 EDI'!F163,rrcworking[RRC ID],0))</f>
        <v>0</v>
      </c>
      <c r="O163" s="5">
        <f>INDEX(rrcworking[Lease Use (MCF)],MATCH('May 2020 EDI'!F163,rrcworking[RRC ID],0))</f>
        <v>0</v>
      </c>
      <c r="P163" s="5">
        <f>INDEX(rrcworking[Gas Sales Statement Volume (MCF)],MATCH('May 2020 EDI'!F163,rrcworking[RRC ID],0))</f>
        <v>0</v>
      </c>
      <c r="R163" s="246">
        <f>INDEX(rrcworking[Flared Gas],MATCH('May 2020 EDI'!F163,rrcworking[RRC ID],0))</f>
        <v>0</v>
      </c>
      <c r="Y163" s="5">
        <f>INDEX(rrcworking[Oil Production],MATCH('May 2020 EDI'!F163,rrcworking[RRC ID],0))</f>
        <v>0</v>
      </c>
      <c r="AA163" s="5">
        <f>INDEX(rrcworking[Sales/Dispostion],MATCH('May 2020 EDI'!F163,rrcworking[RRC ID],0))</f>
        <v>0</v>
      </c>
      <c r="AQ163" s="5">
        <f>INDEX(rrcworking[Closing Stock (Oil)],MATCH('May 2020 EDI'!F163,rrcworking[RRC ID],0))</f>
        <v>0</v>
      </c>
    </row>
    <row r="164" spans="1:43">
      <c r="A164" s="4" t="s">
        <v>1</v>
      </c>
      <c r="B164" s="1" t="s">
        <v>1061</v>
      </c>
      <c r="C164" s="10" t="s">
        <v>909</v>
      </c>
      <c r="D164" s="1" t="s">
        <v>619</v>
      </c>
      <c r="E164" s="1" t="s">
        <v>59</v>
      </c>
      <c r="F164" s="1" t="s">
        <v>576</v>
      </c>
      <c r="I164" s="10" t="s">
        <v>3</v>
      </c>
      <c r="J164" s="118" t="s">
        <v>3</v>
      </c>
      <c r="K164" s="1" t="s">
        <v>1090</v>
      </c>
      <c r="M164" s="5">
        <v>202005</v>
      </c>
      <c r="N164" s="5">
        <f>INDEX(rrcworking[Formation Production (MCF) @ 14.65 psi],MATCH('May 2020 EDI'!F164,rrcworking[RRC ID],0))</f>
        <v>0</v>
      </c>
      <c r="O164" s="5">
        <f>INDEX(rrcworking[Lease Use (MCF)],MATCH('May 2020 EDI'!F164,rrcworking[RRC ID],0))</f>
        <v>0</v>
      </c>
      <c r="P164" s="5">
        <f>INDEX(rrcworking[Gas Sales Statement Volume (MCF)],MATCH('May 2020 EDI'!F164,rrcworking[RRC ID],0))</f>
        <v>0</v>
      </c>
      <c r="R164" s="246">
        <f>INDEX(rrcworking[Flared Gas],MATCH('May 2020 EDI'!F164,rrcworking[RRC ID],0))</f>
        <v>0</v>
      </c>
      <c r="Y164" s="5">
        <f>INDEX(rrcworking[Oil Production],MATCH('May 2020 EDI'!F164,rrcworking[RRC ID],0))</f>
        <v>0</v>
      </c>
      <c r="AA164" s="5">
        <f>INDEX(rrcworking[Sales/Dispostion],MATCH('May 2020 EDI'!F164,rrcworking[RRC ID],0))</f>
        <v>0</v>
      </c>
      <c r="AQ164" s="5">
        <f>INDEX(rrcworking[Closing Stock (Oil)],MATCH('May 2020 EDI'!F164,rrcworking[RRC ID],0))</f>
        <v>0</v>
      </c>
    </row>
    <row r="165" spans="1:43">
      <c r="A165" s="4" t="s">
        <v>1</v>
      </c>
      <c r="B165" s="1" t="s">
        <v>1062</v>
      </c>
      <c r="C165" s="10" t="s">
        <v>909</v>
      </c>
      <c r="D165" s="1" t="s">
        <v>619</v>
      </c>
      <c r="E165" s="1" t="s">
        <v>59</v>
      </c>
      <c r="F165" s="1" t="s">
        <v>577</v>
      </c>
      <c r="I165" s="10" t="s">
        <v>3</v>
      </c>
      <c r="J165" s="118" t="s">
        <v>3</v>
      </c>
      <c r="K165" s="1" t="s">
        <v>1090</v>
      </c>
      <c r="M165" s="5">
        <v>202005</v>
      </c>
      <c r="N165" s="5">
        <f>INDEX(rrcworking[Formation Production (MCF) @ 14.65 psi],MATCH('May 2020 EDI'!F165,rrcworking[RRC ID],0))</f>
        <v>0</v>
      </c>
      <c r="O165" s="5">
        <f>INDEX(rrcworking[Lease Use (MCF)],MATCH('May 2020 EDI'!F165,rrcworking[RRC ID],0))</f>
        <v>0</v>
      </c>
      <c r="P165" s="5">
        <f>INDEX(rrcworking[Gas Sales Statement Volume (MCF)],MATCH('May 2020 EDI'!F165,rrcworking[RRC ID],0))</f>
        <v>0</v>
      </c>
      <c r="R165" s="246">
        <f>INDEX(rrcworking[Flared Gas],MATCH('May 2020 EDI'!F165,rrcworking[RRC ID],0))</f>
        <v>0</v>
      </c>
      <c r="Y165" s="5">
        <f>INDEX(rrcworking[Oil Production],MATCH('May 2020 EDI'!F165,rrcworking[RRC ID],0))</f>
        <v>0</v>
      </c>
      <c r="AA165" s="5">
        <f>INDEX(rrcworking[Sales/Dispostion],MATCH('May 2020 EDI'!F165,rrcworking[RRC ID],0))</f>
        <v>0</v>
      </c>
      <c r="AQ165" s="5">
        <f>INDEX(rrcworking[Closing Stock (Oil)],MATCH('May 2020 EDI'!F165,rrcworking[RRC ID],0))</f>
        <v>0</v>
      </c>
    </row>
    <row r="166" spans="1:43">
      <c r="A166" s="4" t="s">
        <v>1</v>
      </c>
      <c r="B166" s="1" t="s">
        <v>1063</v>
      </c>
      <c r="C166" s="10" t="s">
        <v>909</v>
      </c>
      <c r="D166" s="1" t="s">
        <v>619</v>
      </c>
      <c r="E166" s="1" t="s">
        <v>59</v>
      </c>
      <c r="F166" s="1" t="s">
        <v>578</v>
      </c>
      <c r="I166" s="10" t="s">
        <v>3</v>
      </c>
      <c r="J166" s="118" t="s">
        <v>3</v>
      </c>
      <c r="K166" s="1" t="s">
        <v>1090</v>
      </c>
      <c r="M166" s="5">
        <v>202005</v>
      </c>
      <c r="N166" s="5">
        <f>INDEX(rrcworking[Formation Production (MCF) @ 14.65 psi],MATCH('May 2020 EDI'!F166,rrcworking[RRC ID],0))</f>
        <v>182</v>
      </c>
      <c r="O166" s="5">
        <f>INDEX(rrcworking[Lease Use (MCF)],MATCH('May 2020 EDI'!F166,rrcworking[RRC ID],0))</f>
        <v>0</v>
      </c>
      <c r="P166" s="5">
        <f>INDEX(rrcworking[Gas Sales Statement Volume (MCF)],MATCH('May 2020 EDI'!F166,rrcworking[RRC ID],0))</f>
        <v>182</v>
      </c>
      <c r="R166" s="246">
        <f>INDEX(rrcworking[Flared Gas],MATCH('May 2020 EDI'!F166,rrcworking[RRC ID],0))</f>
        <v>0</v>
      </c>
      <c r="Y166" s="5">
        <f>INDEX(rrcworking[Oil Production],MATCH('May 2020 EDI'!F166,rrcworking[RRC ID],0))</f>
        <v>0</v>
      </c>
      <c r="AA166" s="5">
        <f>INDEX(rrcworking[Sales/Dispostion],MATCH('May 2020 EDI'!F166,rrcworking[RRC ID],0))</f>
        <v>0</v>
      </c>
      <c r="AQ166" s="5">
        <f>INDEX(rrcworking[Closing Stock (Oil)],MATCH('May 2020 EDI'!F166,rrcworking[RRC ID],0))</f>
        <v>3</v>
      </c>
    </row>
    <row r="167" spans="1:43">
      <c r="A167" s="4" t="s">
        <v>1</v>
      </c>
      <c r="B167" s="1" t="s">
        <v>1064</v>
      </c>
      <c r="C167" s="10" t="s">
        <v>909</v>
      </c>
      <c r="D167" s="1" t="s">
        <v>619</v>
      </c>
      <c r="E167" s="1" t="s">
        <v>59</v>
      </c>
      <c r="F167" s="1" t="s">
        <v>579</v>
      </c>
      <c r="I167" s="10" t="s">
        <v>3</v>
      </c>
      <c r="J167" s="118" t="s">
        <v>3</v>
      </c>
      <c r="K167" s="1" t="s">
        <v>1090</v>
      </c>
      <c r="M167" s="5">
        <v>202005</v>
      </c>
      <c r="N167" s="5">
        <f>INDEX(rrcworking[Formation Production (MCF) @ 14.65 psi],MATCH('May 2020 EDI'!F167,rrcworking[RRC ID],0))</f>
        <v>170</v>
      </c>
      <c r="O167" s="5">
        <f>INDEX(rrcworking[Lease Use (MCF)],MATCH('May 2020 EDI'!F167,rrcworking[RRC ID],0))</f>
        <v>0</v>
      </c>
      <c r="P167" s="5">
        <f>INDEX(rrcworking[Gas Sales Statement Volume (MCF)],MATCH('May 2020 EDI'!F167,rrcworking[RRC ID],0))</f>
        <v>170</v>
      </c>
      <c r="R167" s="246">
        <f>INDEX(rrcworking[Flared Gas],MATCH('May 2020 EDI'!F167,rrcworking[RRC ID],0))</f>
        <v>0</v>
      </c>
      <c r="Y167" s="5">
        <f>INDEX(rrcworking[Oil Production],MATCH('May 2020 EDI'!F167,rrcworking[RRC ID],0))</f>
        <v>0</v>
      </c>
      <c r="AA167" s="5">
        <f>INDEX(rrcworking[Sales/Dispostion],MATCH('May 2020 EDI'!F167,rrcworking[RRC ID],0))</f>
        <v>0</v>
      </c>
      <c r="AQ167" s="5">
        <f>INDEX(rrcworking[Closing Stock (Oil)],MATCH('May 2020 EDI'!F167,rrcworking[RRC ID],0))</f>
        <v>0</v>
      </c>
    </row>
    <row r="168" spans="1:43">
      <c r="A168" s="4" t="s">
        <v>1</v>
      </c>
      <c r="B168" s="1" t="s">
        <v>1065</v>
      </c>
      <c r="C168" s="10" t="s">
        <v>909</v>
      </c>
      <c r="D168" s="1" t="s">
        <v>619</v>
      </c>
      <c r="E168" s="1" t="s">
        <v>59</v>
      </c>
      <c r="F168" s="1" t="s">
        <v>580</v>
      </c>
      <c r="I168" s="10" t="s">
        <v>3</v>
      </c>
      <c r="J168" s="118" t="s">
        <v>3</v>
      </c>
      <c r="K168" s="1" t="s">
        <v>1090</v>
      </c>
      <c r="M168" s="5">
        <v>202005</v>
      </c>
      <c r="N168" s="5">
        <f>INDEX(rrcworking[Formation Production (MCF) @ 14.65 psi],MATCH('May 2020 EDI'!F168,rrcworking[RRC ID],0))</f>
        <v>659</v>
      </c>
      <c r="O168" s="5">
        <f>INDEX(rrcworking[Lease Use (MCF)],MATCH('May 2020 EDI'!F168,rrcworking[RRC ID],0))</f>
        <v>0</v>
      </c>
      <c r="P168" s="5">
        <f>INDEX(rrcworking[Gas Sales Statement Volume (MCF)],MATCH('May 2020 EDI'!F168,rrcworking[RRC ID],0))</f>
        <v>659</v>
      </c>
      <c r="R168" s="246">
        <f>INDEX(rrcworking[Flared Gas],MATCH('May 2020 EDI'!F168,rrcworking[RRC ID],0))</f>
        <v>0</v>
      </c>
      <c r="Y168" s="5">
        <f>INDEX(rrcworking[Oil Production],MATCH('May 2020 EDI'!F168,rrcworking[RRC ID],0))</f>
        <v>0</v>
      </c>
      <c r="AA168" s="5">
        <f>INDEX(rrcworking[Sales/Dispostion],MATCH('May 2020 EDI'!F168,rrcworking[RRC ID],0))</f>
        <v>0</v>
      </c>
      <c r="AQ168" s="5">
        <f>INDEX(rrcworking[Closing Stock (Oil)],MATCH('May 2020 EDI'!F168,rrcworking[RRC ID],0))</f>
        <v>0</v>
      </c>
    </row>
    <row r="169" spans="1:43">
      <c r="A169" s="4" t="s">
        <v>1</v>
      </c>
      <c r="B169" s="1" t="s">
        <v>1066</v>
      </c>
      <c r="C169" s="10" t="s">
        <v>909</v>
      </c>
      <c r="D169" s="1" t="s">
        <v>619</v>
      </c>
      <c r="E169" s="1" t="s">
        <v>59</v>
      </c>
      <c r="F169" s="1" t="s">
        <v>581</v>
      </c>
      <c r="I169" s="10" t="s">
        <v>3</v>
      </c>
      <c r="J169" s="118" t="s">
        <v>3</v>
      </c>
      <c r="K169" s="1" t="s">
        <v>1090</v>
      </c>
      <c r="M169" s="5">
        <v>202005</v>
      </c>
      <c r="N169" s="5">
        <f>INDEX(rrcworking[Formation Production (MCF) @ 14.65 psi],MATCH('May 2020 EDI'!F169,rrcworking[RRC ID],0))</f>
        <v>0</v>
      </c>
      <c r="O169" s="5">
        <f>INDEX(rrcworking[Lease Use (MCF)],MATCH('May 2020 EDI'!F169,rrcworking[RRC ID],0))</f>
        <v>0</v>
      </c>
      <c r="P169" s="5">
        <f>INDEX(rrcworking[Gas Sales Statement Volume (MCF)],MATCH('May 2020 EDI'!F169,rrcworking[RRC ID],0))</f>
        <v>0</v>
      </c>
      <c r="R169" s="246">
        <f>INDEX(rrcworking[Flared Gas],MATCH('May 2020 EDI'!F169,rrcworking[RRC ID],0))</f>
        <v>0</v>
      </c>
      <c r="Y169" s="5">
        <f>INDEX(rrcworking[Oil Production],MATCH('May 2020 EDI'!F169,rrcworking[RRC ID],0))</f>
        <v>0</v>
      </c>
      <c r="AA169" s="5">
        <f>INDEX(rrcworking[Sales/Dispostion],MATCH('May 2020 EDI'!F169,rrcworking[RRC ID],0))</f>
        <v>0</v>
      </c>
      <c r="AQ169" s="5">
        <f>INDEX(rrcworking[Closing Stock (Oil)],MATCH('May 2020 EDI'!F169,rrcworking[RRC ID],0))</f>
        <v>0</v>
      </c>
    </row>
    <row r="170" spans="1:43">
      <c r="A170" s="4" t="s">
        <v>1</v>
      </c>
      <c r="B170" s="1" t="s">
        <v>1067</v>
      </c>
      <c r="C170" s="10" t="s">
        <v>909</v>
      </c>
      <c r="D170" s="1" t="s">
        <v>619</v>
      </c>
      <c r="E170" s="1" t="s">
        <v>59</v>
      </c>
      <c r="F170" s="1" t="s">
        <v>582</v>
      </c>
      <c r="I170" s="10" t="s">
        <v>3</v>
      </c>
      <c r="J170" s="118" t="s">
        <v>3</v>
      </c>
      <c r="K170" s="1" t="s">
        <v>1090</v>
      </c>
      <c r="M170" s="5">
        <v>202005</v>
      </c>
      <c r="N170" s="5">
        <f>INDEX(rrcworking[Formation Production (MCF) @ 14.65 psi],MATCH('May 2020 EDI'!F170,rrcworking[RRC ID],0))</f>
        <v>0</v>
      </c>
      <c r="O170" s="5">
        <f>INDEX(rrcworking[Lease Use (MCF)],MATCH('May 2020 EDI'!F170,rrcworking[RRC ID],0))</f>
        <v>0</v>
      </c>
      <c r="P170" s="5">
        <f>INDEX(rrcworking[Gas Sales Statement Volume (MCF)],MATCH('May 2020 EDI'!F170,rrcworking[RRC ID],0))</f>
        <v>0</v>
      </c>
      <c r="R170" s="246">
        <f>INDEX(rrcworking[Flared Gas],MATCH('May 2020 EDI'!F170,rrcworking[RRC ID],0))</f>
        <v>0</v>
      </c>
      <c r="Y170" s="5">
        <f>INDEX(rrcworking[Oil Production],MATCH('May 2020 EDI'!F170,rrcworking[RRC ID],0))</f>
        <v>0</v>
      </c>
      <c r="AA170" s="5">
        <f>INDEX(rrcworking[Sales/Dispostion],MATCH('May 2020 EDI'!F170,rrcworking[RRC ID],0))</f>
        <v>0</v>
      </c>
      <c r="AQ170" s="5">
        <f>INDEX(rrcworking[Closing Stock (Oil)],MATCH('May 2020 EDI'!F170,rrcworking[RRC ID],0))</f>
        <v>27</v>
      </c>
    </row>
    <row r="171" spans="1:43">
      <c r="A171" s="4" t="s">
        <v>1</v>
      </c>
      <c r="B171" s="1" t="s">
        <v>1068</v>
      </c>
      <c r="C171" s="10" t="s">
        <v>909</v>
      </c>
      <c r="D171" s="1" t="s">
        <v>619</v>
      </c>
      <c r="E171" s="1" t="s">
        <v>59</v>
      </c>
      <c r="F171" s="1" t="s">
        <v>583</v>
      </c>
      <c r="I171" s="10" t="s">
        <v>3</v>
      </c>
      <c r="J171" s="118" t="s">
        <v>3</v>
      </c>
      <c r="K171" s="1" t="s">
        <v>1090</v>
      </c>
      <c r="M171" s="5">
        <v>202005</v>
      </c>
      <c r="N171" s="5">
        <f>INDEX(rrcworking[Formation Production (MCF) @ 14.65 psi],MATCH('May 2020 EDI'!F171,rrcworking[RRC ID],0))</f>
        <v>0</v>
      </c>
      <c r="O171" s="5">
        <f>INDEX(rrcworking[Lease Use (MCF)],MATCH('May 2020 EDI'!F171,rrcworking[RRC ID],0))</f>
        <v>0</v>
      </c>
      <c r="P171" s="5">
        <f>INDEX(rrcworking[Gas Sales Statement Volume (MCF)],MATCH('May 2020 EDI'!F171,rrcworking[RRC ID],0))</f>
        <v>0</v>
      </c>
      <c r="R171" s="246">
        <f>INDEX(rrcworking[Flared Gas],MATCH('May 2020 EDI'!F171,rrcworking[RRC ID],0))</f>
        <v>0</v>
      </c>
      <c r="Y171" s="5">
        <f>INDEX(rrcworking[Oil Production],MATCH('May 2020 EDI'!F171,rrcworking[RRC ID],0))</f>
        <v>0</v>
      </c>
      <c r="AA171" s="5">
        <f>INDEX(rrcworking[Sales/Dispostion],MATCH('May 2020 EDI'!F171,rrcworking[RRC ID],0))</f>
        <v>0</v>
      </c>
      <c r="AQ171" s="5">
        <f>INDEX(rrcworking[Closing Stock (Oil)],MATCH('May 2020 EDI'!F171,rrcworking[RRC ID],0))</f>
        <v>166</v>
      </c>
    </row>
    <row r="172" spans="1:43">
      <c r="A172" s="4" t="s">
        <v>1</v>
      </c>
      <c r="B172" s="1" t="s">
        <v>1069</v>
      </c>
      <c r="C172" s="10" t="s">
        <v>909</v>
      </c>
      <c r="D172" s="1" t="s">
        <v>619</v>
      </c>
      <c r="E172" s="1" t="s">
        <v>59</v>
      </c>
      <c r="F172" s="1" t="s">
        <v>584</v>
      </c>
      <c r="I172" s="10" t="s">
        <v>3</v>
      </c>
      <c r="J172" s="118" t="s">
        <v>3</v>
      </c>
      <c r="K172" s="1">
        <v>5050</v>
      </c>
      <c r="M172" s="5">
        <v>202005</v>
      </c>
      <c r="N172" s="5">
        <f>INDEX(rrcworking[Formation Production (MCF) @ 14.65 psi],MATCH('May 2020 EDI'!F172,rrcworking[RRC ID],0))</f>
        <v>2653</v>
      </c>
      <c r="O172" s="5">
        <f>INDEX(rrcworking[Lease Use (MCF)],MATCH('May 2020 EDI'!F172,rrcworking[RRC ID],0))</f>
        <v>0</v>
      </c>
      <c r="P172" s="5">
        <f>INDEX(rrcworking[Gas Sales Statement Volume (MCF)],MATCH('May 2020 EDI'!F172,rrcworking[RRC ID],0))</f>
        <v>2653</v>
      </c>
      <c r="R172" s="246">
        <f>INDEX(rrcworking[Flared Gas],MATCH('May 2020 EDI'!F172,rrcworking[RRC ID],0))</f>
        <v>0</v>
      </c>
      <c r="Y172" s="5">
        <f>INDEX(rrcworking[Oil Production],MATCH('May 2020 EDI'!F172,rrcworking[RRC ID],0))</f>
        <v>12</v>
      </c>
      <c r="AA172" s="5">
        <f>INDEX(rrcworking[Sales/Dispostion],MATCH('May 2020 EDI'!F172,rrcworking[RRC ID],0))</f>
        <v>0</v>
      </c>
      <c r="AQ172" s="5">
        <f>INDEX(rrcworking[Closing Stock (Oil)],MATCH('May 2020 EDI'!F172,rrcworking[RRC ID],0))</f>
        <v>27</v>
      </c>
    </row>
    <row r="173" spans="1:43">
      <c r="A173" s="4" t="s">
        <v>1</v>
      </c>
      <c r="B173" s="1" t="s">
        <v>1070</v>
      </c>
      <c r="C173" s="10" t="s">
        <v>909</v>
      </c>
      <c r="D173" s="1" t="s">
        <v>619</v>
      </c>
      <c r="E173" s="1" t="s">
        <v>59</v>
      </c>
      <c r="F173" s="1" t="s">
        <v>585</v>
      </c>
      <c r="I173" s="10" t="s">
        <v>3</v>
      </c>
      <c r="J173" s="118" t="s">
        <v>3</v>
      </c>
      <c r="K173" s="1" t="s">
        <v>1090</v>
      </c>
      <c r="M173" s="5">
        <v>202005</v>
      </c>
      <c r="N173" s="5">
        <f>INDEX(rrcworking[Formation Production (MCF) @ 14.65 psi],MATCH('May 2020 EDI'!F173,rrcworking[RRC ID],0))</f>
        <v>0</v>
      </c>
      <c r="O173" s="5">
        <f>INDEX(rrcworking[Lease Use (MCF)],MATCH('May 2020 EDI'!F173,rrcworking[RRC ID],0))</f>
        <v>0</v>
      </c>
      <c r="P173" s="5">
        <f>INDEX(rrcworking[Gas Sales Statement Volume (MCF)],MATCH('May 2020 EDI'!F173,rrcworking[RRC ID],0))</f>
        <v>0</v>
      </c>
      <c r="R173" s="246">
        <f>INDEX(rrcworking[Flared Gas],MATCH('May 2020 EDI'!F173,rrcworking[RRC ID],0))</f>
        <v>0</v>
      </c>
      <c r="Y173" s="5">
        <f>INDEX(rrcworking[Oil Production],MATCH('May 2020 EDI'!F173,rrcworking[RRC ID],0))</f>
        <v>0</v>
      </c>
      <c r="AA173" s="5">
        <f>INDEX(rrcworking[Sales/Dispostion],MATCH('May 2020 EDI'!F173,rrcworking[RRC ID],0))</f>
        <v>0</v>
      </c>
      <c r="AQ173" s="5">
        <f>INDEX(rrcworking[Closing Stock (Oil)],MATCH('May 2020 EDI'!F173,rrcworking[RRC ID],0))</f>
        <v>0</v>
      </c>
    </row>
    <row r="174" spans="1:43">
      <c r="A174" s="4" t="s">
        <v>1</v>
      </c>
      <c r="B174" s="1" t="s">
        <v>1071</v>
      </c>
      <c r="C174" s="10" t="s">
        <v>909</v>
      </c>
      <c r="D174" s="1" t="s">
        <v>619</v>
      </c>
      <c r="E174" s="1" t="s">
        <v>59</v>
      </c>
      <c r="F174" s="1" t="s">
        <v>586</v>
      </c>
      <c r="I174" s="10" t="s">
        <v>3</v>
      </c>
      <c r="J174" s="118" t="s">
        <v>3</v>
      </c>
      <c r="K174" s="1" t="s">
        <v>1090</v>
      </c>
      <c r="M174" s="5">
        <v>202005</v>
      </c>
      <c r="N174" s="5">
        <f>INDEX(rrcworking[Formation Production (MCF) @ 14.65 psi],MATCH('May 2020 EDI'!F174,rrcworking[RRC ID],0))</f>
        <v>0</v>
      </c>
      <c r="O174" s="5">
        <f>INDEX(rrcworking[Lease Use (MCF)],MATCH('May 2020 EDI'!F174,rrcworking[RRC ID],0))</f>
        <v>0</v>
      </c>
      <c r="P174" s="5">
        <f>INDEX(rrcworking[Gas Sales Statement Volume (MCF)],MATCH('May 2020 EDI'!F174,rrcworking[RRC ID],0))</f>
        <v>0</v>
      </c>
      <c r="R174" s="246">
        <f>INDEX(rrcworking[Flared Gas],MATCH('May 2020 EDI'!F174,rrcworking[RRC ID],0))</f>
        <v>0</v>
      </c>
      <c r="Y174" s="5">
        <f>INDEX(rrcworking[Oil Production],MATCH('May 2020 EDI'!F174,rrcworking[RRC ID],0))</f>
        <v>0</v>
      </c>
      <c r="AA174" s="5">
        <f>INDEX(rrcworking[Sales/Dispostion],MATCH('May 2020 EDI'!F174,rrcworking[RRC ID],0))</f>
        <v>0</v>
      </c>
      <c r="AQ174" s="5">
        <f>INDEX(rrcworking[Closing Stock (Oil)],MATCH('May 2020 EDI'!F174,rrcworking[RRC ID],0))</f>
        <v>92</v>
      </c>
    </row>
    <row r="175" spans="1:43">
      <c r="A175" s="4" t="s">
        <v>1</v>
      </c>
      <c r="B175" s="1" t="s">
        <v>1072</v>
      </c>
      <c r="C175" s="10" t="s">
        <v>909</v>
      </c>
      <c r="D175" s="1" t="s">
        <v>619</v>
      </c>
      <c r="E175" s="1" t="s">
        <v>59</v>
      </c>
      <c r="F175" s="1" t="s">
        <v>587</v>
      </c>
      <c r="I175" s="10" t="s">
        <v>3</v>
      </c>
      <c r="J175" s="118" t="s">
        <v>3</v>
      </c>
      <c r="K175" s="1" t="s">
        <v>1090</v>
      </c>
      <c r="M175" s="5">
        <v>202005</v>
      </c>
      <c r="N175" s="5">
        <f>INDEX(rrcworking[Formation Production (MCF) @ 14.65 psi],MATCH('May 2020 EDI'!F175,rrcworking[RRC ID],0))</f>
        <v>0</v>
      </c>
      <c r="O175" s="5">
        <f>INDEX(rrcworking[Lease Use (MCF)],MATCH('May 2020 EDI'!F175,rrcworking[RRC ID],0))</f>
        <v>0</v>
      </c>
      <c r="P175" s="5">
        <f>INDEX(rrcworking[Gas Sales Statement Volume (MCF)],MATCH('May 2020 EDI'!F175,rrcworking[RRC ID],0))</f>
        <v>0</v>
      </c>
      <c r="R175" s="246">
        <f>INDEX(rrcworking[Flared Gas],MATCH('May 2020 EDI'!F175,rrcworking[RRC ID],0))</f>
        <v>0</v>
      </c>
      <c r="Y175" s="5">
        <f>INDEX(rrcworking[Oil Production],MATCH('May 2020 EDI'!F175,rrcworking[RRC ID],0))</f>
        <v>0</v>
      </c>
      <c r="AA175" s="5">
        <f>INDEX(rrcworking[Sales/Dispostion],MATCH('May 2020 EDI'!F175,rrcworking[RRC ID],0))</f>
        <v>0</v>
      </c>
      <c r="AQ175" s="5">
        <f>INDEX(rrcworking[Closing Stock (Oil)],MATCH('May 2020 EDI'!F175,rrcworking[RRC ID],0))</f>
        <v>0</v>
      </c>
    </row>
    <row r="176" spans="1:43">
      <c r="A176" s="4" t="s">
        <v>1</v>
      </c>
      <c r="B176" s="1" t="s">
        <v>1073</v>
      </c>
      <c r="C176" s="10" t="s">
        <v>909</v>
      </c>
      <c r="D176" s="1" t="s">
        <v>619</v>
      </c>
      <c r="E176" s="1" t="s">
        <v>2</v>
      </c>
      <c r="F176" s="1" t="s">
        <v>588</v>
      </c>
      <c r="I176" s="10" t="s">
        <v>3</v>
      </c>
      <c r="J176" s="118" t="s">
        <v>3</v>
      </c>
      <c r="K176" s="1" t="s">
        <v>1090</v>
      </c>
      <c r="M176" s="5">
        <v>202005</v>
      </c>
      <c r="N176" s="5">
        <f>INDEX(rrcworking[Formation Production (MCF) @ 14.65 psi],MATCH('May 2020 EDI'!F176,rrcworking[RRC ID],0))</f>
        <v>0</v>
      </c>
      <c r="O176" s="5">
        <f>INDEX(rrcworking[Lease Use (MCF)],MATCH('May 2020 EDI'!F176,rrcworking[RRC ID],0))</f>
        <v>0</v>
      </c>
      <c r="P176" s="5">
        <f>INDEX(rrcworking[Gas Sales Statement Volume (MCF)],MATCH('May 2020 EDI'!F176,rrcworking[RRC ID],0))</f>
        <v>0</v>
      </c>
      <c r="R176" s="246">
        <f>INDEX(rrcworking[Flared Gas],MATCH('May 2020 EDI'!F176,rrcworking[RRC ID],0))</f>
        <v>0</v>
      </c>
      <c r="Y176" s="5">
        <f>INDEX(rrcworking[Oil Production],MATCH('May 2020 EDI'!F176,rrcworking[RRC ID],0))</f>
        <v>0</v>
      </c>
      <c r="AA176" s="5">
        <f>INDEX(rrcworking[Sales/Dispostion],MATCH('May 2020 EDI'!F176,rrcworking[RRC ID],0))</f>
        <v>0</v>
      </c>
      <c r="AQ176" s="5">
        <f>INDEX(rrcworking[Closing Stock (Oil)],MATCH('May 2020 EDI'!F176,rrcworking[RRC ID],0))</f>
        <v>117</v>
      </c>
    </row>
    <row r="177" spans="1:46">
      <c r="A177" s="4" t="s">
        <v>1</v>
      </c>
      <c r="B177" s="1" t="s">
        <v>1074</v>
      </c>
      <c r="C177" s="10" t="s">
        <v>909</v>
      </c>
      <c r="D177" s="1" t="s">
        <v>619</v>
      </c>
      <c r="E177" s="1" t="s">
        <v>59</v>
      </c>
      <c r="F177" s="1" t="s">
        <v>589</v>
      </c>
      <c r="I177" s="10" t="s">
        <v>3</v>
      </c>
      <c r="J177" s="118" t="s">
        <v>3</v>
      </c>
      <c r="K177" s="1" t="s">
        <v>1090</v>
      </c>
      <c r="M177" s="5">
        <v>202005</v>
      </c>
      <c r="N177" s="5">
        <f>INDEX(rrcworking[Formation Production (MCF) @ 14.65 psi],MATCH('May 2020 EDI'!F177,rrcworking[RRC ID],0))</f>
        <v>0</v>
      </c>
      <c r="O177" s="5">
        <f>INDEX(rrcworking[Lease Use (MCF)],MATCH('May 2020 EDI'!F177,rrcworking[RRC ID],0))</f>
        <v>0</v>
      </c>
      <c r="P177" s="5">
        <f>INDEX(rrcworking[Gas Sales Statement Volume (MCF)],MATCH('May 2020 EDI'!F177,rrcworking[RRC ID],0))</f>
        <v>0</v>
      </c>
      <c r="R177" s="246">
        <f>INDEX(rrcworking[Flared Gas],MATCH('May 2020 EDI'!F177,rrcworking[RRC ID],0))</f>
        <v>0</v>
      </c>
      <c r="Y177" s="5">
        <f>INDEX(rrcworking[Oil Production],MATCH('May 2020 EDI'!F177,rrcworking[RRC ID],0))</f>
        <v>0</v>
      </c>
      <c r="AA177" s="5">
        <f>INDEX(rrcworking[Sales/Dispostion],MATCH('May 2020 EDI'!F177,rrcworking[RRC ID],0))</f>
        <v>0</v>
      </c>
      <c r="AQ177" s="5">
        <f>INDEX(rrcworking[Closing Stock (Oil)],MATCH('May 2020 EDI'!F177,rrcworking[RRC ID],0))</f>
        <v>0</v>
      </c>
    </row>
    <row r="178" spans="1:46">
      <c r="A178" s="4" t="s">
        <v>1</v>
      </c>
      <c r="B178" s="1" t="s">
        <v>1075</v>
      </c>
      <c r="C178" s="10" t="s">
        <v>909</v>
      </c>
      <c r="D178" s="1" t="s">
        <v>619</v>
      </c>
      <c r="E178" s="1" t="s">
        <v>59</v>
      </c>
      <c r="F178" s="1" t="s">
        <v>590</v>
      </c>
      <c r="I178" s="10" t="s">
        <v>3</v>
      </c>
      <c r="J178" s="118" t="s">
        <v>3</v>
      </c>
      <c r="K178" s="1" t="s">
        <v>1090</v>
      </c>
      <c r="M178" s="5">
        <v>202005</v>
      </c>
      <c r="N178" s="5">
        <f>INDEX(rrcworking[Formation Production (MCF) @ 14.65 psi],MATCH('May 2020 EDI'!F178,rrcworking[RRC ID],0))</f>
        <v>912</v>
      </c>
      <c r="O178" s="5">
        <f>INDEX(rrcworking[Lease Use (MCF)],MATCH('May 2020 EDI'!F178,rrcworking[RRC ID],0))</f>
        <v>31</v>
      </c>
      <c r="P178" s="5">
        <f>INDEX(rrcworking[Gas Sales Statement Volume (MCF)],MATCH('May 2020 EDI'!F178,rrcworking[RRC ID],0))</f>
        <v>881</v>
      </c>
      <c r="R178" s="246">
        <f>INDEX(rrcworking[Flared Gas],MATCH('May 2020 EDI'!F178,rrcworking[RRC ID],0))</f>
        <v>0</v>
      </c>
      <c r="Y178" s="5">
        <f>INDEX(rrcworking[Oil Production],MATCH('May 2020 EDI'!F178,rrcworking[RRC ID],0))</f>
        <v>0</v>
      </c>
      <c r="AA178" s="5">
        <f>INDEX(rrcworking[Sales/Dispostion],MATCH('May 2020 EDI'!F178,rrcworking[RRC ID],0))</f>
        <v>0</v>
      </c>
      <c r="AQ178" s="5">
        <f>INDEX(rrcworking[Closing Stock (Oil)],MATCH('May 2020 EDI'!F178,rrcworking[RRC ID],0))</f>
        <v>0</v>
      </c>
    </row>
    <row r="179" spans="1:46">
      <c r="A179" s="4" t="s">
        <v>1</v>
      </c>
      <c r="B179" s="1" t="s">
        <v>1076</v>
      </c>
      <c r="C179" s="10" t="s">
        <v>909</v>
      </c>
      <c r="D179" s="1" t="s">
        <v>619</v>
      </c>
      <c r="E179" s="1" t="s">
        <v>59</v>
      </c>
      <c r="F179" s="1" t="s">
        <v>591</v>
      </c>
      <c r="I179" s="10" t="s">
        <v>3</v>
      </c>
      <c r="J179" s="118" t="s">
        <v>3</v>
      </c>
      <c r="K179" s="1" t="s">
        <v>1090</v>
      </c>
      <c r="M179" s="5">
        <v>202005</v>
      </c>
      <c r="N179" s="5">
        <f>INDEX(rrcworking[Formation Production (MCF) @ 14.65 psi],MATCH('May 2020 EDI'!F179,rrcworking[RRC ID],0))</f>
        <v>3017</v>
      </c>
      <c r="O179" s="5">
        <f>INDEX(rrcworking[Lease Use (MCF)],MATCH('May 2020 EDI'!F179,rrcworking[RRC ID],0))</f>
        <v>124</v>
      </c>
      <c r="P179" s="5">
        <f>INDEX(rrcworking[Gas Sales Statement Volume (MCF)],MATCH('May 2020 EDI'!F179,rrcworking[RRC ID],0))</f>
        <v>2893</v>
      </c>
      <c r="R179" s="246">
        <f>INDEX(rrcworking[Flared Gas],MATCH('May 2020 EDI'!F179,rrcworking[RRC ID],0))</f>
        <v>0</v>
      </c>
      <c r="Y179" s="5">
        <f>INDEX(rrcworking[Oil Production],MATCH('May 2020 EDI'!F179,rrcworking[RRC ID],0))</f>
        <v>0</v>
      </c>
      <c r="AA179" s="5">
        <f>INDEX(rrcworking[Sales/Dispostion],MATCH('May 2020 EDI'!F179,rrcworking[RRC ID],0))</f>
        <v>0</v>
      </c>
      <c r="AQ179" s="5">
        <f>INDEX(rrcworking[Closing Stock (Oil)],MATCH('May 2020 EDI'!F179,rrcworking[RRC ID],0))</f>
        <v>0</v>
      </c>
    </row>
    <row r="180" spans="1:46">
      <c r="A180" s="4" t="s">
        <v>1</v>
      </c>
      <c r="B180" s="1" t="s">
        <v>1077</v>
      </c>
      <c r="C180" s="10" t="s">
        <v>909</v>
      </c>
      <c r="D180" s="1" t="s">
        <v>619</v>
      </c>
      <c r="E180" s="1" t="s">
        <v>59</v>
      </c>
      <c r="F180" s="1" t="s">
        <v>592</v>
      </c>
      <c r="I180" s="10" t="s">
        <v>3</v>
      </c>
      <c r="J180" s="118" t="s">
        <v>3</v>
      </c>
      <c r="K180" s="1" t="s">
        <v>1090</v>
      </c>
      <c r="M180" s="5">
        <v>202005</v>
      </c>
      <c r="N180" s="5">
        <f>INDEX(rrcworking[Formation Production (MCF) @ 14.65 psi],MATCH('May 2020 EDI'!F180,rrcworking[RRC ID],0))</f>
        <v>0</v>
      </c>
      <c r="O180" s="5">
        <f>INDEX(rrcworking[Lease Use (MCF)],MATCH('May 2020 EDI'!F180,rrcworking[RRC ID],0))</f>
        <v>0</v>
      </c>
      <c r="P180" s="5">
        <f>INDEX(rrcworking[Gas Sales Statement Volume (MCF)],MATCH('May 2020 EDI'!F180,rrcworking[RRC ID],0))</f>
        <v>0</v>
      </c>
      <c r="R180" s="246">
        <f>INDEX(rrcworking[Flared Gas],MATCH('May 2020 EDI'!F180,rrcworking[RRC ID],0))</f>
        <v>0</v>
      </c>
      <c r="Y180" s="5">
        <f>INDEX(rrcworking[Oil Production],MATCH('May 2020 EDI'!F180,rrcworking[RRC ID],0))</f>
        <v>0</v>
      </c>
      <c r="AA180" s="5">
        <f>INDEX(rrcworking[Sales/Dispostion],MATCH('May 2020 EDI'!F180,rrcworking[RRC ID],0))</f>
        <v>0</v>
      </c>
      <c r="AQ180" s="5">
        <f>INDEX(rrcworking[Closing Stock (Oil)],MATCH('May 2020 EDI'!F180,rrcworking[RRC ID],0))</f>
        <v>49</v>
      </c>
    </row>
    <row r="181" spans="1:46">
      <c r="A181" s="4" t="s">
        <v>1</v>
      </c>
      <c r="B181" s="1" t="s">
        <v>1078</v>
      </c>
      <c r="C181" s="10" t="s">
        <v>909</v>
      </c>
      <c r="D181" s="1" t="s">
        <v>619</v>
      </c>
      <c r="E181" s="1" t="s">
        <v>59</v>
      </c>
      <c r="F181" s="1" t="s">
        <v>593</v>
      </c>
      <c r="I181" s="10" t="s">
        <v>3</v>
      </c>
      <c r="J181" s="118" t="s">
        <v>3</v>
      </c>
      <c r="K181" s="1" t="s">
        <v>1090</v>
      </c>
      <c r="M181" s="5">
        <v>202005</v>
      </c>
      <c r="N181" s="5">
        <f>INDEX(rrcworking[Formation Production (MCF) @ 14.65 psi],MATCH('May 2020 EDI'!F181,rrcworking[RRC ID],0))</f>
        <v>0</v>
      </c>
      <c r="O181" s="5">
        <f>INDEX(rrcworking[Lease Use (MCF)],MATCH('May 2020 EDI'!F181,rrcworking[RRC ID],0))</f>
        <v>0</v>
      </c>
      <c r="P181" s="5">
        <f>INDEX(rrcworking[Gas Sales Statement Volume (MCF)],MATCH('May 2020 EDI'!F181,rrcworking[RRC ID],0))</f>
        <v>0</v>
      </c>
      <c r="R181" s="246">
        <f>INDEX(rrcworking[Flared Gas],MATCH('May 2020 EDI'!F181,rrcworking[RRC ID],0))</f>
        <v>0</v>
      </c>
      <c r="Y181" s="5">
        <f>INDEX(rrcworking[Oil Production],MATCH('May 2020 EDI'!F181,rrcworking[RRC ID],0))</f>
        <v>0</v>
      </c>
      <c r="AA181" s="5">
        <f>INDEX(rrcworking[Sales/Dispostion],MATCH('May 2020 EDI'!F181,rrcworking[RRC ID],0))</f>
        <v>0</v>
      </c>
      <c r="AQ181" s="5">
        <f>INDEX(rrcworking[Closing Stock (Oil)],MATCH('May 2020 EDI'!F181,rrcworking[RRC ID],0))</f>
        <v>0</v>
      </c>
    </row>
    <row r="182" spans="1:46">
      <c r="A182" s="4" t="s">
        <v>1</v>
      </c>
      <c r="B182" s="1" t="s">
        <v>1079</v>
      </c>
      <c r="C182" s="10" t="s">
        <v>909</v>
      </c>
      <c r="D182" s="1" t="s">
        <v>619</v>
      </c>
      <c r="E182" s="1" t="s">
        <v>2</v>
      </c>
      <c r="F182" s="1" t="s">
        <v>594</v>
      </c>
      <c r="I182" s="10" t="s">
        <v>3</v>
      </c>
      <c r="J182" s="118" t="s">
        <v>3</v>
      </c>
      <c r="K182" s="1" t="s">
        <v>1090</v>
      </c>
      <c r="M182" s="5">
        <v>202005</v>
      </c>
      <c r="N182" s="5">
        <f>INDEX(rrcworking[Formation Production (MCF) @ 14.65 psi],MATCH('May 2020 EDI'!F182,rrcworking[RRC ID],0))</f>
        <v>0</v>
      </c>
      <c r="O182" s="5">
        <f>INDEX(rrcworking[Lease Use (MCF)],MATCH('May 2020 EDI'!F182,rrcworking[RRC ID],0))</f>
        <v>0</v>
      </c>
      <c r="P182" s="5">
        <f>INDEX(rrcworking[Gas Sales Statement Volume (MCF)],MATCH('May 2020 EDI'!F182,rrcworking[RRC ID],0))</f>
        <v>0</v>
      </c>
      <c r="R182" s="246">
        <f>INDEX(rrcworking[Flared Gas],MATCH('May 2020 EDI'!F182,rrcworking[RRC ID],0))</f>
        <v>0</v>
      </c>
      <c r="Y182" s="5">
        <f>INDEX(rrcworking[Oil Production],MATCH('May 2020 EDI'!F182,rrcworking[RRC ID],0))</f>
        <v>0</v>
      </c>
      <c r="AA182" s="5">
        <f>INDEX(rrcworking[Sales/Dispostion],MATCH('May 2020 EDI'!F182,rrcworking[RRC ID],0))</f>
        <v>0</v>
      </c>
      <c r="AQ182" s="5">
        <f>INDEX(rrcworking[Closing Stock (Oil)],MATCH('May 2020 EDI'!F182,rrcworking[RRC ID],0))</f>
        <v>0</v>
      </c>
    </row>
    <row r="183" spans="1:46">
      <c r="A183" s="4" t="s">
        <v>1</v>
      </c>
      <c r="B183" s="1" t="s">
        <v>1080</v>
      </c>
      <c r="C183" s="10" t="s">
        <v>909</v>
      </c>
      <c r="D183" s="1" t="s">
        <v>619</v>
      </c>
      <c r="E183" s="1" t="s">
        <v>2</v>
      </c>
      <c r="F183" s="1" t="s">
        <v>595</v>
      </c>
      <c r="I183" s="10" t="s">
        <v>3</v>
      </c>
      <c r="J183" s="118" t="s">
        <v>3</v>
      </c>
      <c r="K183" s="1">
        <v>6114</v>
      </c>
      <c r="M183" s="5">
        <v>202005</v>
      </c>
      <c r="N183" s="5">
        <f>INDEX(rrcworking[Formation Production (MCF) @ 14.65 psi],MATCH('May 2020 EDI'!F183,rrcworking[RRC ID],0))</f>
        <v>0</v>
      </c>
      <c r="O183" s="5">
        <f>INDEX(rrcworking[Lease Use (MCF)],MATCH('May 2020 EDI'!F183,rrcworking[RRC ID],0))</f>
        <v>0</v>
      </c>
      <c r="P183" s="5">
        <f>INDEX(rrcworking[Gas Sales Statement Volume (MCF)],MATCH('May 2020 EDI'!F183,rrcworking[RRC ID],0))</f>
        <v>0</v>
      </c>
      <c r="R183" s="246">
        <f>INDEX(rrcworking[Flared Gas],MATCH('May 2020 EDI'!F183,rrcworking[RRC ID],0))</f>
        <v>0</v>
      </c>
      <c r="Y183" s="5">
        <f>INDEX(rrcworking[Oil Production],MATCH('May 2020 EDI'!F183,rrcworking[RRC ID],0))</f>
        <v>0</v>
      </c>
      <c r="AA183" s="5">
        <f>INDEX(rrcworking[Sales/Dispostion],MATCH('May 2020 EDI'!F183,rrcworking[RRC ID],0))</f>
        <v>0</v>
      </c>
      <c r="AQ183" s="5">
        <f>INDEX(rrcworking[Closing Stock (Oil)],MATCH('May 2020 EDI'!F183,rrcworking[RRC ID],0))</f>
        <v>72</v>
      </c>
    </row>
    <row r="184" spans="1:46">
      <c r="A184" s="4" t="s">
        <v>1</v>
      </c>
      <c r="B184" s="1" t="s">
        <v>1081</v>
      </c>
      <c r="C184" s="10" t="s">
        <v>909</v>
      </c>
      <c r="D184" s="1" t="s">
        <v>619</v>
      </c>
      <c r="E184" s="1" t="s">
        <v>2</v>
      </c>
      <c r="F184" s="1" t="s">
        <v>596</v>
      </c>
      <c r="I184" s="10" t="s">
        <v>3</v>
      </c>
      <c r="J184" s="118" t="s">
        <v>3</v>
      </c>
      <c r="K184" s="1" t="s">
        <v>1090</v>
      </c>
      <c r="M184" s="5">
        <v>202005</v>
      </c>
      <c r="N184" s="5">
        <f>INDEX(rrcworking[Formation Production (MCF) @ 14.65 psi],MATCH('May 2020 EDI'!F184,rrcworking[RRC ID],0))</f>
        <v>0</v>
      </c>
      <c r="O184" s="5">
        <f>INDEX(rrcworking[Lease Use (MCF)],MATCH('May 2020 EDI'!F184,rrcworking[RRC ID],0))</f>
        <v>0</v>
      </c>
      <c r="P184" s="5">
        <f>INDEX(rrcworking[Gas Sales Statement Volume (MCF)],MATCH('May 2020 EDI'!F184,rrcworking[RRC ID],0))</f>
        <v>0</v>
      </c>
      <c r="R184" s="246">
        <f>INDEX(rrcworking[Flared Gas],MATCH('May 2020 EDI'!F184,rrcworking[RRC ID],0))</f>
        <v>0</v>
      </c>
      <c r="Y184" s="5">
        <f>INDEX(rrcworking[Oil Production],MATCH('May 2020 EDI'!F184,rrcworking[RRC ID],0))</f>
        <v>0</v>
      </c>
      <c r="AA184" s="5">
        <f>INDEX(rrcworking[Sales/Dispostion],MATCH('May 2020 EDI'!F184,rrcworking[RRC ID],0))</f>
        <v>0</v>
      </c>
      <c r="AQ184" s="5">
        <f>INDEX(rrcworking[Closing Stock (Oil)],MATCH('May 2020 EDI'!F184,rrcworking[RRC ID],0))</f>
        <v>0</v>
      </c>
    </row>
    <row r="185" spans="1:46">
      <c r="A185" s="4" t="s">
        <v>1</v>
      </c>
      <c r="B185" s="1" t="s">
        <v>1082</v>
      </c>
      <c r="C185" s="10" t="s">
        <v>909</v>
      </c>
      <c r="D185" s="1" t="s">
        <v>619</v>
      </c>
      <c r="E185" s="1" t="s">
        <v>59</v>
      </c>
      <c r="F185" s="1" t="s">
        <v>597</v>
      </c>
      <c r="I185" s="10" t="s">
        <v>3</v>
      </c>
      <c r="J185" s="118" t="s">
        <v>3</v>
      </c>
      <c r="K185" s="1" t="s">
        <v>1090</v>
      </c>
      <c r="M185" s="5">
        <v>202005</v>
      </c>
      <c r="N185" s="5">
        <f>INDEX(rrcworking[Formation Production (MCF) @ 14.65 psi],MATCH('May 2020 EDI'!F185,rrcworking[RRC ID],0))</f>
        <v>0</v>
      </c>
      <c r="O185" s="5">
        <f>INDEX(rrcworking[Lease Use (MCF)],MATCH('May 2020 EDI'!F185,rrcworking[RRC ID],0))</f>
        <v>0</v>
      </c>
      <c r="P185" s="5">
        <f>INDEX(rrcworking[Gas Sales Statement Volume (MCF)],MATCH('May 2020 EDI'!F185,rrcworking[RRC ID],0))</f>
        <v>0</v>
      </c>
      <c r="R185" s="246">
        <f>INDEX(rrcworking[Flared Gas],MATCH('May 2020 EDI'!F185,rrcworking[RRC ID],0))</f>
        <v>0</v>
      </c>
      <c r="Y185" s="5">
        <f>INDEX(rrcworking[Oil Production],MATCH('May 2020 EDI'!F185,rrcworking[RRC ID],0))</f>
        <v>0</v>
      </c>
      <c r="AA185" s="5">
        <f>INDEX(rrcworking[Sales/Dispostion],MATCH('May 2020 EDI'!F185,rrcworking[RRC ID],0))</f>
        <v>0</v>
      </c>
      <c r="AQ185" s="5">
        <f>INDEX(rrcworking[Closing Stock (Oil)],MATCH('May 2020 EDI'!F185,rrcworking[RRC ID],0))</f>
        <v>0</v>
      </c>
    </row>
    <row r="186" spans="1:46">
      <c r="A186" s="4" t="s">
        <v>1</v>
      </c>
      <c r="B186" s="1" t="s">
        <v>1083</v>
      </c>
      <c r="C186" s="10" t="s">
        <v>909</v>
      </c>
      <c r="D186" s="1" t="s">
        <v>619</v>
      </c>
      <c r="E186" s="1" t="s">
        <v>2</v>
      </c>
      <c r="F186" s="1" t="s">
        <v>598</v>
      </c>
      <c r="I186" s="10" t="s">
        <v>3</v>
      </c>
      <c r="J186" s="118" t="s">
        <v>3</v>
      </c>
      <c r="K186" s="1">
        <v>6114</v>
      </c>
      <c r="M186" s="5">
        <v>202005</v>
      </c>
      <c r="N186" s="5">
        <f>INDEX(rrcworking[Formation Production (MCF) @ 14.65 psi],MATCH('May 2020 EDI'!F186,rrcworking[RRC ID],0))</f>
        <v>0</v>
      </c>
      <c r="O186" s="5">
        <f>INDEX(rrcworking[Lease Use (MCF)],MATCH('May 2020 EDI'!F186,rrcworking[RRC ID],0))</f>
        <v>0</v>
      </c>
      <c r="P186" s="5">
        <f>INDEX(rrcworking[Gas Sales Statement Volume (MCF)],MATCH('May 2020 EDI'!F186,rrcworking[RRC ID],0))</f>
        <v>0</v>
      </c>
      <c r="R186" s="246">
        <f>INDEX(rrcworking[Flared Gas],MATCH('May 2020 EDI'!F186,rrcworking[RRC ID],0))</f>
        <v>0</v>
      </c>
      <c r="Y186" s="5">
        <f>INDEX(rrcworking[Oil Production],MATCH('May 2020 EDI'!F186,rrcworking[RRC ID],0))</f>
        <v>0</v>
      </c>
      <c r="AA186" s="5">
        <f>INDEX(rrcworking[Sales/Dispostion],MATCH('May 2020 EDI'!F186,rrcworking[RRC ID],0))</f>
        <v>0</v>
      </c>
      <c r="AQ186" s="5">
        <f>INDEX(rrcworking[Closing Stock (Oil)],MATCH('May 2020 EDI'!F186,rrcworking[RRC ID],0))</f>
        <v>0</v>
      </c>
    </row>
    <row r="187" spans="1:46">
      <c r="A187" s="4" t="s">
        <v>1</v>
      </c>
      <c r="B187" s="1" t="s">
        <v>1084</v>
      </c>
      <c r="C187" s="10" t="s">
        <v>909</v>
      </c>
      <c r="D187" s="1" t="s">
        <v>619</v>
      </c>
      <c r="E187" s="1" t="s">
        <v>2</v>
      </c>
      <c r="F187" s="1" t="s">
        <v>599</v>
      </c>
      <c r="I187" s="10" t="s">
        <v>3</v>
      </c>
      <c r="J187" s="118" t="s">
        <v>3</v>
      </c>
      <c r="K187" s="1" t="s">
        <v>1090</v>
      </c>
      <c r="M187" s="5">
        <v>202005</v>
      </c>
      <c r="N187" s="5">
        <f>INDEX(rrcworking[Formation Production (MCF) @ 14.65 psi],MATCH('May 2020 EDI'!F187,rrcworking[RRC ID],0))</f>
        <v>0</v>
      </c>
      <c r="O187" s="5">
        <f>INDEX(rrcworking[Lease Use (MCF)],MATCH('May 2020 EDI'!F187,rrcworking[RRC ID],0))</f>
        <v>0</v>
      </c>
      <c r="P187" s="5">
        <f>INDEX(rrcworking[Gas Sales Statement Volume (MCF)],MATCH('May 2020 EDI'!F187,rrcworking[RRC ID],0))</f>
        <v>0</v>
      </c>
      <c r="R187" s="246">
        <f>INDEX(rrcworking[Flared Gas],MATCH('May 2020 EDI'!F187,rrcworking[RRC ID],0))</f>
        <v>0</v>
      </c>
      <c r="Y187" s="5">
        <f>INDEX(rrcworking[Oil Production],MATCH('May 2020 EDI'!F187,rrcworking[RRC ID],0))</f>
        <v>0</v>
      </c>
      <c r="AA187" s="5">
        <f>INDEX(rrcworking[Sales/Dispostion],MATCH('May 2020 EDI'!F187,rrcworking[RRC ID],0))</f>
        <v>0</v>
      </c>
      <c r="AQ187" s="5">
        <f>INDEX(rrcworking[Closing Stock (Oil)],MATCH('May 2020 EDI'!F187,rrcworking[RRC ID],0))</f>
        <v>64</v>
      </c>
    </row>
    <row r="188" spans="1:46">
      <c r="A188" s="4" t="s">
        <v>1</v>
      </c>
      <c r="B188" s="1" t="s">
        <v>1085</v>
      </c>
      <c r="C188" s="10" t="s">
        <v>909</v>
      </c>
      <c r="D188" s="1" t="s">
        <v>619</v>
      </c>
      <c r="E188" s="1" t="s">
        <v>59</v>
      </c>
      <c r="F188" s="1" t="s">
        <v>600</v>
      </c>
      <c r="I188" s="10" t="s">
        <v>3</v>
      </c>
      <c r="J188" s="118" t="s">
        <v>3</v>
      </c>
      <c r="K188" s="1">
        <v>5050</v>
      </c>
      <c r="M188" s="5">
        <v>202005</v>
      </c>
      <c r="N188" s="5">
        <f>INDEX(rrcworking[Formation Production (MCF) @ 14.65 psi],MATCH('May 2020 EDI'!F188,rrcworking[RRC ID],0))</f>
        <v>5009</v>
      </c>
      <c r="O188" s="5">
        <f>INDEX(rrcworking[Lease Use (MCF)],MATCH('May 2020 EDI'!F188,rrcworking[RRC ID],0))</f>
        <v>160</v>
      </c>
      <c r="P188" s="5">
        <f>INDEX(rrcworking[Gas Sales Statement Volume (MCF)],MATCH('May 2020 EDI'!F188,rrcworking[RRC ID],0))</f>
        <v>4849</v>
      </c>
      <c r="R188" s="246">
        <f>INDEX(rrcworking[Flared Gas],MATCH('May 2020 EDI'!F188,rrcworking[RRC ID],0))</f>
        <v>0</v>
      </c>
      <c r="Y188" s="5">
        <f>INDEX(rrcworking[Oil Production],MATCH('May 2020 EDI'!F188,rrcworking[RRC ID],0))</f>
        <v>1</v>
      </c>
      <c r="AA188" s="5">
        <f>INDEX(rrcworking[Sales/Dispostion],MATCH('May 2020 EDI'!F188,rrcworking[RRC ID],0))</f>
        <v>0</v>
      </c>
      <c r="AQ188" s="5">
        <f>INDEX(rrcworking[Closing Stock (Oil)],MATCH('May 2020 EDI'!F188,rrcworking[RRC ID],0))</f>
        <v>187</v>
      </c>
    </row>
    <row r="189" spans="1:46">
      <c r="A189" s="4" t="s">
        <v>1</v>
      </c>
      <c r="B189" s="1" t="s">
        <v>1086</v>
      </c>
      <c r="C189" s="10" t="s">
        <v>909</v>
      </c>
      <c r="D189" s="1" t="s">
        <v>619</v>
      </c>
      <c r="E189" s="1" t="s">
        <v>2</v>
      </c>
      <c r="F189" s="1" t="s">
        <v>601</v>
      </c>
      <c r="I189" s="10" t="s">
        <v>3</v>
      </c>
      <c r="J189" s="118" t="s">
        <v>3</v>
      </c>
      <c r="K189" s="1" t="s">
        <v>1090</v>
      </c>
      <c r="M189" s="5">
        <v>202005</v>
      </c>
      <c r="N189" s="5">
        <f>INDEX(rrcworking[Formation Production (MCF) @ 14.65 psi],MATCH('May 2020 EDI'!F189,rrcworking[RRC ID],0))</f>
        <v>0</v>
      </c>
      <c r="O189" s="5">
        <f>INDEX(rrcworking[Lease Use (MCF)],MATCH('May 2020 EDI'!F189,rrcworking[RRC ID],0))</f>
        <v>0</v>
      </c>
      <c r="P189" s="5">
        <f>INDEX(rrcworking[Gas Sales Statement Volume (MCF)],MATCH('May 2020 EDI'!F189,rrcworking[RRC ID],0))</f>
        <v>0</v>
      </c>
      <c r="R189" s="246">
        <f>INDEX(rrcworking[Flared Gas],MATCH('May 2020 EDI'!F189,rrcworking[RRC ID],0))</f>
        <v>0</v>
      </c>
      <c r="Y189" s="5">
        <f>INDEX(rrcworking[Oil Production],MATCH('May 2020 EDI'!F189,rrcworking[RRC ID],0))</f>
        <v>0</v>
      </c>
      <c r="AA189" s="5">
        <f>INDEX(rrcworking[Sales/Dispostion],MATCH('May 2020 EDI'!F189,rrcworking[RRC ID],0))</f>
        <v>0</v>
      </c>
      <c r="AQ189" s="5">
        <f>INDEX(rrcworking[Closing Stock (Oil)],MATCH('May 2020 EDI'!F189,rrcworking[RRC ID],0))</f>
        <v>63</v>
      </c>
    </row>
    <row r="190" spans="1:46">
      <c r="A190" s="4" t="s">
        <v>1</v>
      </c>
      <c r="B190" s="1" t="s">
        <v>1087</v>
      </c>
      <c r="C190" s="10" t="s">
        <v>909</v>
      </c>
      <c r="D190" s="10" t="s">
        <v>618</v>
      </c>
      <c r="E190" s="10" t="s">
        <v>2</v>
      </c>
      <c r="F190" s="10" t="s">
        <v>1251</v>
      </c>
      <c r="I190" s="10" t="s">
        <v>3</v>
      </c>
      <c r="J190" s="118" t="s">
        <v>3</v>
      </c>
      <c r="M190" s="5">
        <v>202005</v>
      </c>
      <c r="N190" s="5">
        <f>INDEX(rrcworking[Formation Production (MCF) @ 14.65 psi],MATCH('May 2020 EDI'!F190,rrcworking[RRC ID],0))</f>
        <v>0</v>
      </c>
      <c r="O190" s="5">
        <f>INDEX(rrcworking[Lease Use (MCF)],MATCH('May 2020 EDI'!F190,rrcworking[RRC ID],0))</f>
        <v>0</v>
      </c>
      <c r="P190" s="5">
        <f>INDEX(rrcworking[Gas Sales Statement Volume (MCF)],MATCH('May 2020 EDI'!F190,rrcworking[RRC ID],0))</f>
        <v>0</v>
      </c>
      <c r="R190" s="246">
        <f>INDEX(rrcworking[Flared Gas],MATCH('May 2020 EDI'!F190,rrcworking[RRC ID],0))</f>
        <v>0</v>
      </c>
      <c r="Y190" s="5">
        <f>INDEX(rrcworking[Oil Production],MATCH('May 2020 EDI'!F190,rrcworking[RRC ID],0))</f>
        <v>0</v>
      </c>
      <c r="AA190" s="5">
        <f>INDEX(rrcworking[Sales/Dispostion],MATCH('May 2020 EDI'!F190,rrcworking[RRC ID],0))</f>
        <v>0</v>
      </c>
      <c r="AQ190" s="5">
        <f>INDEX(rrcworking[Closing Stock (Oil)],MATCH('May 2020 EDI'!F190,rrcworking[RRC ID],0))</f>
        <v>257</v>
      </c>
      <c r="AR190" s="135" t="s">
        <v>1106</v>
      </c>
      <c r="AS190" s="135" t="s">
        <v>1107</v>
      </c>
      <c r="AT190" s="135" t="s">
        <v>61</v>
      </c>
    </row>
    <row r="191" spans="1:46">
      <c r="A191" s="4" t="s">
        <v>1</v>
      </c>
      <c r="B191" s="1" t="s">
        <v>1088</v>
      </c>
      <c r="C191" s="10" t="s">
        <v>909</v>
      </c>
      <c r="D191" s="10" t="s">
        <v>618</v>
      </c>
      <c r="E191" s="10" t="s">
        <v>2</v>
      </c>
      <c r="F191" s="10" t="s">
        <v>1136</v>
      </c>
      <c r="I191" s="10" t="s">
        <v>3</v>
      </c>
      <c r="J191" s="118" t="s">
        <v>3</v>
      </c>
      <c r="M191" s="5">
        <v>202005</v>
      </c>
      <c r="N191" s="5">
        <f>INDEX(rrcworking[Formation Production (MCF) @ 14.65 psi],MATCH('May 2020 EDI'!F191,rrcworking[RRC ID],0))</f>
        <v>174</v>
      </c>
      <c r="O191" s="5">
        <f>INDEX(rrcworking[Lease Use (MCF)],MATCH('May 2020 EDI'!F191,rrcworking[RRC ID],0))</f>
        <v>174</v>
      </c>
      <c r="P191" s="5">
        <f>INDEX(rrcworking[Gas Sales Statement Volume (MCF)],MATCH('May 2020 EDI'!F191,rrcworking[RRC ID],0))</f>
        <v>0</v>
      </c>
      <c r="R191" s="246">
        <f>INDEX(rrcworking[Flared Gas],MATCH('May 2020 EDI'!F191,rrcworking[RRC ID],0))</f>
        <v>0</v>
      </c>
      <c r="Y191" s="5">
        <f>INDEX(rrcworking[Oil Production],MATCH('May 2020 EDI'!F191,rrcworking[RRC ID],0))</f>
        <v>274</v>
      </c>
      <c r="AA191" s="5">
        <f>INDEX(rrcworking[Sales/Dispostion],MATCH('May 2020 EDI'!F191,rrcworking[RRC ID],0))</f>
        <v>0</v>
      </c>
      <c r="AQ191" s="5">
        <f>INDEX(rrcworking[Closing Stock (Oil)],MATCH('May 2020 EDI'!F191,rrcworking[RRC ID],0))</f>
        <v>366</v>
      </c>
      <c r="AR191" s="135"/>
      <c r="AS191" s="135"/>
      <c r="AT191" s="135"/>
    </row>
    <row r="192" spans="1:46" s="248" customFormat="1">
      <c r="A192" s="245" t="s">
        <v>1</v>
      </c>
      <c r="B192" s="118" t="s">
        <v>1089</v>
      </c>
      <c r="C192" s="117" t="s">
        <v>909</v>
      </c>
      <c r="D192" s="117" t="s">
        <v>618</v>
      </c>
      <c r="E192" s="117" t="s">
        <v>2</v>
      </c>
      <c r="F192" s="117" t="s">
        <v>1288</v>
      </c>
      <c r="G192" s="118"/>
      <c r="H192" s="118"/>
      <c r="I192" s="117" t="s">
        <v>3</v>
      </c>
      <c r="J192" s="118" t="s">
        <v>3</v>
      </c>
      <c r="K192" s="118"/>
      <c r="L192" s="118"/>
      <c r="M192" s="5">
        <v>202005</v>
      </c>
      <c r="N192" s="246">
        <f>INDEX(rrcworking[Formation Production (MCF) @ 14.65 psi],MATCH('May 2020 EDI'!F192,rrcworking[RRC ID],0))</f>
        <v>0</v>
      </c>
      <c r="O192" s="246"/>
      <c r="P192" s="246"/>
      <c r="Q192" s="246"/>
      <c r="R192" s="246">
        <f>INDEX(rrcworking[Flared Gas],MATCH('May 2020 EDI'!F192,rrcworking[RRC ID],0))</f>
        <v>0</v>
      </c>
      <c r="S192" s="118" t="s">
        <v>1259</v>
      </c>
      <c r="T192" s="246"/>
      <c r="U192" s="246"/>
      <c r="V192" s="246"/>
      <c r="W192" s="118"/>
      <c r="X192" s="246"/>
      <c r="Y192" s="246">
        <f>INDEX(rrcworking[Oil Production],MATCH('May 2020 EDI'!F192,rrcworking[RRC ID],0))</f>
        <v>0</v>
      </c>
      <c r="Z192" s="246"/>
      <c r="AA192" s="246">
        <f>INDEX(rrcworking[Sales/Dispostion],MATCH('May 2020 EDI'!F192,rrcworking[RRC ID],0))</f>
        <v>0</v>
      </c>
      <c r="AB192" s="246"/>
      <c r="AC192" s="246"/>
      <c r="AD192" s="118"/>
      <c r="AE192" s="246"/>
      <c r="AF192" s="118"/>
      <c r="AG192" s="246"/>
      <c r="AH192" s="246"/>
      <c r="AI192" s="118"/>
      <c r="AJ192" s="246"/>
      <c r="AK192" s="246"/>
      <c r="AL192" s="246"/>
      <c r="AM192" s="246"/>
      <c r="AN192" s="246"/>
      <c r="AO192" s="118"/>
      <c r="AP192" s="246"/>
      <c r="AQ192" s="246">
        <f>INDEX(rrcworking[Closing Stock (Oil)],MATCH('May 2020 EDI'!F192,rrcworking[RRC ID],0))</f>
        <v>147</v>
      </c>
      <c r="AR192" s="247" t="s">
        <v>1261</v>
      </c>
      <c r="AS192" s="247" t="s">
        <v>1260</v>
      </c>
      <c r="AT192" s="247" t="s">
        <v>58</v>
      </c>
    </row>
  </sheetData>
  <autoFilter ref="A3:AT190"/>
  <phoneticPr fontId="0" type="noConversion"/>
  <hyperlinks>
    <hyperlink ref="D2" r:id="rId1"/>
  </hyperlinks>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pageSetUpPr fitToPage="1"/>
  </sheetPr>
  <dimension ref="C1:AQ196"/>
  <sheetViews>
    <sheetView tabSelected="1" workbookViewId="0">
      <pane xSplit="5" topLeftCell="G1" activePane="topRight" state="frozen"/>
      <selection pane="topRight" activeCell="C2" sqref="C2:G2"/>
    </sheetView>
  </sheetViews>
  <sheetFormatPr baseColWidth="10" defaultColWidth="8.83203125" defaultRowHeight="12" x14ac:dyDescent="0"/>
  <cols>
    <col min="1" max="2" width="2.33203125" customWidth="1"/>
    <col min="3" max="3" width="10" customWidth="1"/>
    <col min="4" max="4" width="27.1640625" customWidth="1"/>
    <col min="5" max="5" width="21.6640625" customWidth="1"/>
    <col min="6" max="6" width="6.5" customWidth="1"/>
    <col min="7" max="7" width="9.83203125" customWidth="1"/>
    <col min="8" max="8" width="8.1640625" customWidth="1"/>
    <col min="9" max="9" width="6.6640625" customWidth="1"/>
    <col min="10" max="10" width="11.1640625" customWidth="1"/>
    <col min="11" max="11" width="14.1640625" customWidth="1"/>
    <col min="12" max="12" width="13.5" customWidth="1"/>
    <col min="13" max="13" width="11" customWidth="1"/>
    <col min="14" max="14" width="16.5" customWidth="1"/>
    <col min="15" max="15" width="15" customWidth="1"/>
    <col min="16" max="16" width="12" customWidth="1"/>
    <col min="17" max="17" width="13.1640625" customWidth="1"/>
    <col min="18" max="18" width="12.83203125" customWidth="1"/>
    <col min="19" max="19" width="11.83203125" customWidth="1"/>
    <col min="20" max="20" width="13.6640625" customWidth="1"/>
    <col min="21" max="21" width="11.83203125" customWidth="1"/>
    <col min="22" max="22" width="12" customWidth="1"/>
    <col min="23" max="23" width="13" customWidth="1"/>
    <col min="24" max="24" width="14.33203125" style="24" customWidth="1"/>
    <col min="25" max="25" width="18.33203125" customWidth="1"/>
    <col min="26" max="26" width="16.83203125" customWidth="1"/>
    <col min="27" max="27" width="14.1640625" customWidth="1"/>
    <col min="28" max="28" width="22.83203125" customWidth="1"/>
    <col min="29" max="29" width="49.5" customWidth="1"/>
    <col min="30" max="30" width="52.83203125" customWidth="1"/>
    <col min="31" max="31" width="12.33203125" customWidth="1"/>
    <col min="34" max="35" width="8.83203125" customWidth="1"/>
    <col min="39" max="39" width="15.5" customWidth="1"/>
    <col min="40" max="40" width="15.33203125" customWidth="1"/>
    <col min="41" max="41" width="27.33203125" customWidth="1"/>
    <col min="42" max="42" width="48.6640625" customWidth="1"/>
    <col min="43" max="43" width="92.83203125" customWidth="1"/>
  </cols>
  <sheetData>
    <row r="1" spans="3:43" ht="42">
      <c r="C1" s="112" t="s">
        <v>614</v>
      </c>
      <c r="D1" s="113">
        <v>43952</v>
      </c>
    </row>
    <row r="2" spans="3:43" ht="50">
      <c r="C2" s="257"/>
      <c r="D2" s="258"/>
      <c r="E2" s="258"/>
      <c r="F2" s="258"/>
      <c r="G2" s="258"/>
      <c r="Q2" s="25" t="s">
        <v>626</v>
      </c>
      <c r="R2" s="26">
        <v>1.0054609999999999</v>
      </c>
      <c r="AD2" s="114" t="s">
        <v>908</v>
      </c>
    </row>
    <row r="3" spans="3:43" ht="43">
      <c r="Z3" s="260"/>
      <c r="AA3" s="260"/>
      <c r="AB3" s="260"/>
      <c r="AH3" s="254" t="s">
        <v>1231</v>
      </c>
      <c r="AI3" s="255"/>
      <c r="AJ3" s="255"/>
      <c r="AK3" s="255"/>
      <c r="AL3" s="255"/>
      <c r="AM3" s="255"/>
      <c r="AN3" s="255"/>
      <c r="AO3" s="255"/>
      <c r="AP3" s="255"/>
      <c r="AQ3" s="256"/>
    </row>
    <row r="4" spans="3:43" s="112" customFormat="1" ht="112">
      <c r="C4" s="252" t="s">
        <v>1099</v>
      </c>
      <c r="D4" s="259"/>
      <c r="E4" s="259"/>
      <c r="F4" s="259"/>
      <c r="G4" s="259"/>
      <c r="H4" s="259"/>
      <c r="I4" s="259"/>
      <c r="J4" s="259"/>
      <c r="K4" s="253"/>
      <c r="L4" s="252" t="s">
        <v>1100</v>
      </c>
      <c r="M4" s="259"/>
      <c r="N4" s="259"/>
      <c r="O4" s="253"/>
      <c r="P4" s="252" t="s">
        <v>609</v>
      </c>
      <c r="Q4" s="259"/>
      <c r="R4" s="259"/>
      <c r="S4" s="259"/>
      <c r="T4" s="259"/>
      <c r="U4" s="253"/>
      <c r="V4" s="252" t="s">
        <v>620</v>
      </c>
      <c r="W4" s="259"/>
      <c r="X4" s="259"/>
      <c r="Y4" s="259"/>
      <c r="Z4" s="259"/>
      <c r="AA4" s="259"/>
      <c r="AB4" s="253"/>
      <c r="AC4" s="252" t="s">
        <v>1230</v>
      </c>
      <c r="AD4" s="253"/>
      <c r="AE4" s="178" t="s">
        <v>1113</v>
      </c>
      <c r="AF4" s="171"/>
      <c r="AG4" s="171"/>
      <c r="AH4" s="179"/>
      <c r="AI4" s="180"/>
      <c r="AJ4" s="180"/>
      <c r="AK4" s="180" t="s">
        <v>1147</v>
      </c>
      <c r="AL4" s="180" t="s">
        <v>1148</v>
      </c>
      <c r="AM4" s="180" t="s">
        <v>1149</v>
      </c>
      <c r="AN4" s="180" t="s">
        <v>1150</v>
      </c>
      <c r="AO4" s="180" t="s">
        <v>1151</v>
      </c>
      <c r="AP4" s="180" t="s">
        <v>1152</v>
      </c>
      <c r="AQ4" s="181" t="s">
        <v>1243</v>
      </c>
    </row>
    <row r="5" spans="3:43" s="17" customFormat="1" ht="61" thickBot="1">
      <c r="C5" s="8" t="s">
        <v>1115</v>
      </c>
      <c r="D5" s="8" t="s">
        <v>47</v>
      </c>
      <c r="E5" s="8" t="s">
        <v>48</v>
      </c>
      <c r="F5" s="8" t="s">
        <v>604</v>
      </c>
      <c r="G5" s="8" t="s">
        <v>14</v>
      </c>
      <c r="H5" s="8" t="s">
        <v>7</v>
      </c>
      <c r="I5" s="8" t="s">
        <v>8</v>
      </c>
      <c r="J5" s="16" t="s">
        <v>602</v>
      </c>
      <c r="K5" s="16" t="s">
        <v>603</v>
      </c>
      <c r="L5" s="105" t="s">
        <v>606</v>
      </c>
      <c r="M5" s="106" t="s">
        <v>605</v>
      </c>
      <c r="N5" s="106" t="s">
        <v>607</v>
      </c>
      <c r="O5" s="107" t="s">
        <v>608</v>
      </c>
      <c r="P5" s="235" t="s">
        <v>1289</v>
      </c>
      <c r="Q5" s="23" t="s">
        <v>610</v>
      </c>
      <c r="R5" s="236" t="s">
        <v>1281</v>
      </c>
      <c r="S5" s="110" t="s">
        <v>612</v>
      </c>
      <c r="T5" s="110" t="s">
        <v>613</v>
      </c>
      <c r="U5" s="111" t="s">
        <v>907</v>
      </c>
      <c r="V5" s="17" t="s">
        <v>623</v>
      </c>
      <c r="W5" s="8" t="s">
        <v>792</v>
      </c>
      <c r="X5" s="8" t="s">
        <v>793</v>
      </c>
      <c r="Y5" s="17" t="s">
        <v>622</v>
      </c>
      <c r="Z5" s="17" t="s">
        <v>1308</v>
      </c>
      <c r="AA5" s="17" t="s">
        <v>624</v>
      </c>
      <c r="AB5" s="8" t="s">
        <v>905</v>
      </c>
      <c r="AC5" s="8" t="s">
        <v>906</v>
      </c>
      <c r="AD5" s="177" t="s">
        <v>901</v>
      </c>
      <c r="AE5" s="236" t="s">
        <v>1290</v>
      </c>
      <c r="AF5" s="8" t="s">
        <v>611</v>
      </c>
      <c r="AG5" s="8" t="s">
        <v>1153</v>
      </c>
      <c r="AH5" s="8" t="s">
        <v>1154</v>
      </c>
      <c r="AI5" s="17" t="s">
        <v>1155</v>
      </c>
      <c r="AJ5" s="17" t="s">
        <v>1156</v>
      </c>
      <c r="AK5" s="17" t="s">
        <v>1157</v>
      </c>
      <c r="AL5" s="17" t="s">
        <v>1158</v>
      </c>
      <c r="AM5" s="17" t="s">
        <v>1159</v>
      </c>
      <c r="AN5" s="17" t="s">
        <v>1160</v>
      </c>
      <c r="AO5" s="17" t="s">
        <v>1161</v>
      </c>
      <c r="AP5" s="17" t="s">
        <v>1162</v>
      </c>
    </row>
    <row r="6" spans="3:43" ht="15" customHeight="1" thickTop="1">
      <c r="C6" s="78" t="e">
        <v>#N/A</v>
      </c>
      <c r="D6" s="60" t="s">
        <v>163</v>
      </c>
      <c r="E6" s="125" t="s">
        <v>164</v>
      </c>
      <c r="F6" s="124">
        <v>0</v>
      </c>
      <c r="G6" s="115" t="s">
        <v>1090</v>
      </c>
      <c r="H6" s="18" t="s">
        <v>618</v>
      </c>
      <c r="I6" s="18" t="s">
        <v>2</v>
      </c>
      <c r="J6" s="19" t="s">
        <v>468</v>
      </c>
      <c r="K6" s="99">
        <v>27151</v>
      </c>
      <c r="L6" s="131">
        <f>INDEX(Table1[Production],MATCH(rrcworking[[#This Row],[RRC ID Number]],Table1[RRC Identifier],0))</f>
        <v>0</v>
      </c>
      <c r="M6" s="27">
        <f>INDEX(Table1[Formation Production],MATCH(rrcworking[[#This Row],[RRC ID Number]],Table1[RRC Identifier],0))</f>
        <v>0</v>
      </c>
      <c r="N6" s="28">
        <f>INDEX(Table1[On Hand End of Month],MATCH(rrcworking[[#This Row],[RRC ID Number]],Table1[RRC Identifier],0))</f>
        <v>108</v>
      </c>
      <c r="O6" s="101" t="b">
        <f t="shared" ref="O6:O37" si="0">IF(AND(L6=0,M6=0), TRUE, FALSE)</f>
        <v>1</v>
      </c>
      <c r="Q6" s="122">
        <f>rrcworking[[#This Row],[Last Month Closing Stock]]</f>
        <v>108</v>
      </c>
      <c r="R6">
        <f>rrcworking[[#This Row],[Opening Oil Stock]]</f>
        <v>108</v>
      </c>
      <c r="S6" s="133">
        <f>IF(ISERROR(INDEX(Table2[OIL],MATCH(rrcworking[[#This Row],[Magnum Wolfpak '#]],Table2[Rox Wolf'#],0))),0,INDEX(Table2[OIL],MATCH(rrcworking[[#This Row],[Magnum Wolfpak '#]],Table2[Rox Wolf'#],0)))</f>
        <v>0</v>
      </c>
      <c r="T6" s="33">
        <f>rrcworking[[#This Row],[Closing Stock (Oil)]]+rrcworking[[#This Row],[Sales/Dispostion]]-rrcworking[[#This Row],[Opening Oil Stock]]</f>
        <v>0</v>
      </c>
      <c r="U6" s="108">
        <f>rrcworking[[#This Row],[Gauge Sheet Prod Volume (oil)]]-rrcworking[[#This Row],[Oil Production]]</f>
        <v>0</v>
      </c>
      <c r="V6" s="133">
        <f>IF(ISERROR(INDEX(Table2[GAS],MATCH(rrcworking[[#This Row],[Magnum Wolfpak '#]],Table2[Rox Wolf'#],0))),0,INDEX(Table2[GAS],MATCH(rrcworking[[#This Row],[Magnum Wolfpak '#]],Table2[Rox Wolf'#],0)))</f>
        <v>0</v>
      </c>
      <c r="W6" s="57"/>
      <c r="X6" s="57"/>
      <c r="Y6" s="133">
        <f>IF(ISERROR(INDEX(Table2[LEASE USE],MATCH(rrcworking[[#This Row],[Magnum Wolfpak '#]],Table2[Rox Wolf'#],0))),0,INDEX(Table2[LEASE USE],MATCH(rrcworking[[#This Row],[Magnum Wolfpak '#]],Table2[Rox Wolf'#],0)))</f>
        <v>0</v>
      </c>
      <c r="Z6" s="133"/>
      <c r="AA6" s="55">
        <f>rrcworking[[#This Row],[Gas Sales Statement Volume (MCF)]]+rrcworking[[#This Row],[Lease Use (MCF)]]+rrcworking[[#This Row],[Flared Gas]]</f>
        <v>0</v>
      </c>
      <c r="AB6" s="36"/>
      <c r="AC6" s="36"/>
      <c r="AD6" s="175">
        <f>COUNTIF(FilterList,rrcworking[[#This Row],[Magnum Wolfpak '#]])</f>
        <v>0</v>
      </c>
      <c r="AE6" s="172"/>
      <c r="AF6" s="173"/>
      <c r="AG6" s="36"/>
      <c r="AH6" s="36"/>
      <c r="AI6" s="36"/>
      <c r="AJ6" s="36"/>
      <c r="AK6" s="36"/>
      <c r="AL6" s="36"/>
      <c r="AM6" s="36"/>
      <c r="AN6" s="36"/>
      <c r="AO6" s="36"/>
      <c r="AP6" s="36"/>
    </row>
    <row r="7" spans="3:43" ht="14" customHeight="1">
      <c r="C7" s="78">
        <v>99265</v>
      </c>
      <c r="D7" s="60" t="s">
        <v>325</v>
      </c>
      <c r="E7" s="125" t="s">
        <v>326</v>
      </c>
      <c r="F7" s="124">
        <v>1</v>
      </c>
      <c r="G7" s="115" t="s">
        <v>1090</v>
      </c>
      <c r="H7" s="18" t="s">
        <v>619</v>
      </c>
      <c r="I7" s="18" t="s">
        <v>59</v>
      </c>
      <c r="J7" s="19" t="s">
        <v>561</v>
      </c>
      <c r="K7" s="99">
        <v>244496</v>
      </c>
      <c r="L7" s="97">
        <f>INDEX(Table1[Production],MATCH(rrcworking[[#This Row],[RRC ID Number]],Table1[RRC Identifier],0))</f>
        <v>0</v>
      </c>
      <c r="M7" s="29">
        <f>INDEX(Table1[Formation Production],MATCH(rrcworking[[#This Row],[RRC ID Number]],Table1[RRC Identifier],0))</f>
        <v>6442</v>
      </c>
      <c r="N7" s="30">
        <f>INDEX(Table1[On Hand End of Month],MATCH(rrcworking[[#This Row],[RRC ID Number]],Table1[RRC Identifier],0))</f>
        <v>162</v>
      </c>
      <c r="O7" s="102" t="b">
        <f t="shared" si="0"/>
        <v>0</v>
      </c>
      <c r="Q7" s="122">
        <f>rrcworking[[#This Row],[Last Month Closing Stock]]</f>
        <v>162</v>
      </c>
      <c r="R7">
        <v>162</v>
      </c>
      <c r="S7" s="133">
        <f>IF(ISERROR(INDEX(Table2[OIL],MATCH(rrcworking[[#This Row],[Magnum Wolfpak '#]],Table2[Rox Wolf'#],0))),0,INDEX(Table2[OIL],MATCH(rrcworking[[#This Row],[Magnum Wolfpak '#]],Table2[Rox Wolf'#],0)))</f>
        <v>0</v>
      </c>
      <c r="T7" s="34">
        <f>rrcworking[[#This Row],[Closing Stock (Oil)]]+rrcworking[[#This Row],[Sales/Dispostion]]-rrcworking[[#This Row],[Opening Oil Stock]]</f>
        <v>0</v>
      </c>
      <c r="U7" s="108">
        <f>rrcworking[[#This Row],[Gauge Sheet Prod Volume (oil)]]-rrcworking[[#This Row],[Oil Production]]</f>
        <v>0</v>
      </c>
      <c r="V7" s="133">
        <f>IF(ISERROR(INDEX(Table2[GAS],MATCH(rrcworking[[#This Row],[Magnum Wolfpak '#]],Table2[Rox Wolf'#],0))),0,INDEX(Table2[GAS],MATCH(rrcworking[[#This Row],[Magnum Wolfpak '#]],Table2[Rox Wolf'#],0)))</f>
        <v>6063</v>
      </c>
      <c r="W7" s="58"/>
      <c r="X7" s="58"/>
      <c r="Y7" s="133">
        <f>IF(ISERROR(INDEX(Table2[LEASE USE],MATCH(rrcworking[[#This Row],[Magnum Wolfpak '#]],Table2[Rox Wolf'#],0))),0,INDEX(Table2[LEASE USE],MATCH(rrcworking[[#This Row],[Magnum Wolfpak '#]],Table2[Rox Wolf'#],0)))</f>
        <v>219</v>
      </c>
      <c r="Z7" s="133"/>
      <c r="AA7" s="56">
        <f>rrcworking[[#This Row],[Gas Sales Statement Volume (MCF)]]+rrcworking[[#This Row],[Lease Use (MCF)]]+rrcworking[[#This Row],[Flared Gas]]</f>
        <v>6282</v>
      </c>
      <c r="AB7" s="36"/>
      <c r="AC7" s="36"/>
      <c r="AD7" s="175">
        <f>COUNTIF(FilterList,rrcworking[[#This Row],[Magnum Wolfpak '#]])</f>
        <v>0</v>
      </c>
      <c r="AE7" s="172"/>
      <c r="AF7" s="173"/>
      <c r="AG7" s="36"/>
      <c r="AH7" s="36"/>
      <c r="AI7" s="174"/>
      <c r="AJ7" s="174"/>
      <c r="AK7" s="174"/>
      <c r="AL7" s="174"/>
      <c r="AM7" s="174"/>
      <c r="AN7" s="174"/>
      <c r="AO7" s="36" t="s">
        <v>1163</v>
      </c>
      <c r="AP7" s="36" t="s">
        <v>1164</v>
      </c>
    </row>
    <row r="8" spans="3:43" ht="14" customHeight="1">
      <c r="C8" s="78">
        <v>99266</v>
      </c>
      <c r="D8" s="60" t="s">
        <v>325</v>
      </c>
      <c r="E8" s="125" t="s">
        <v>326</v>
      </c>
      <c r="F8" s="124">
        <v>2</v>
      </c>
      <c r="G8" s="115" t="s">
        <v>1090</v>
      </c>
      <c r="H8" s="18" t="s">
        <v>619</v>
      </c>
      <c r="I8" s="18" t="s">
        <v>59</v>
      </c>
      <c r="J8" s="19" t="s">
        <v>562</v>
      </c>
      <c r="K8" s="99">
        <v>248176</v>
      </c>
      <c r="L8" s="97">
        <f>INDEX(Table1[Production],MATCH(rrcworking[[#This Row],[RRC ID Number]],Table1[RRC Identifier],0))</f>
        <v>0</v>
      </c>
      <c r="M8" s="29">
        <f>INDEX(Table1[Formation Production],MATCH(rrcworking[[#This Row],[RRC ID Number]],Table1[RRC Identifier],0))</f>
        <v>2418</v>
      </c>
      <c r="N8" s="30">
        <f>INDEX(Table1[On Hand End of Month],MATCH(rrcworking[[#This Row],[RRC ID Number]],Table1[RRC Identifier],0))</f>
        <v>0</v>
      </c>
      <c r="O8" s="102" t="b">
        <f t="shared" si="0"/>
        <v>0</v>
      </c>
      <c r="Q8" s="122">
        <f>rrcworking[[#This Row],[Last Month Closing Stock]]</f>
        <v>0</v>
      </c>
      <c r="R8">
        <v>0</v>
      </c>
      <c r="S8" s="133">
        <f>IF(ISERROR(INDEX(Table2[OIL],MATCH(rrcworking[[#This Row],[Magnum Wolfpak '#]],Table2[Rox Wolf'#],0))),0,INDEX(Table2[OIL],MATCH(rrcworking[[#This Row],[Magnum Wolfpak '#]],Table2[Rox Wolf'#],0)))</f>
        <v>0</v>
      </c>
      <c r="T8" s="34">
        <f>rrcworking[[#This Row],[Closing Stock (Oil)]]+rrcworking[[#This Row],[Sales/Dispostion]]-rrcworking[[#This Row],[Opening Oil Stock]]</f>
        <v>0</v>
      </c>
      <c r="U8" s="108">
        <f>rrcworking[[#This Row],[Gauge Sheet Prod Volume (oil)]]-rrcworking[[#This Row],[Oil Production]]</f>
        <v>0</v>
      </c>
      <c r="V8" s="133">
        <f>IF(ISERROR(INDEX(Table2[GAS],MATCH(rrcworking[[#This Row],[Magnum Wolfpak '#]],Table2[Rox Wolf'#],0))),0,INDEX(Table2[GAS],MATCH(rrcworking[[#This Row],[Magnum Wolfpak '#]],Table2[Rox Wolf'#],0)))</f>
        <v>2464</v>
      </c>
      <c r="W8" s="58"/>
      <c r="X8" s="58"/>
      <c r="Y8" s="133">
        <f>IF(ISERROR(INDEX(Table2[LEASE USE],MATCH(rrcworking[[#This Row],[Magnum Wolfpak '#]],Table2[Rox Wolf'#],0))),0,INDEX(Table2[LEASE USE],MATCH(rrcworking[[#This Row],[Magnum Wolfpak '#]],Table2[Rox Wolf'#],0)))</f>
        <v>89</v>
      </c>
      <c r="Z8" s="133"/>
      <c r="AA8" s="56">
        <f>rrcworking[[#This Row],[Gas Sales Statement Volume (MCF)]]+rrcworking[[#This Row],[Lease Use (MCF)]]+rrcworking[[#This Row],[Flared Gas]]</f>
        <v>2553</v>
      </c>
      <c r="AB8" s="36"/>
      <c r="AC8" s="36"/>
      <c r="AD8" s="175">
        <f>COUNTIF(FilterList,rrcworking[[#This Row],[Magnum Wolfpak '#]])</f>
        <v>0</v>
      </c>
      <c r="AE8" s="172"/>
      <c r="AF8" s="173"/>
      <c r="AG8" s="36"/>
      <c r="AH8" s="36"/>
      <c r="AI8" s="174"/>
      <c r="AJ8" s="174"/>
      <c r="AK8" s="174"/>
      <c r="AL8" s="174"/>
      <c r="AM8" s="174"/>
      <c r="AN8" s="174"/>
      <c r="AO8" s="36" t="s">
        <v>1163</v>
      </c>
      <c r="AP8" s="36" t="s">
        <v>1164</v>
      </c>
    </row>
    <row r="9" spans="3:43" ht="14" customHeight="1">
      <c r="C9" s="78">
        <v>99267</v>
      </c>
      <c r="D9" s="60" t="s">
        <v>325</v>
      </c>
      <c r="E9" s="125" t="s">
        <v>326</v>
      </c>
      <c r="F9" s="124">
        <v>3</v>
      </c>
      <c r="G9" s="115" t="s">
        <v>1090</v>
      </c>
      <c r="H9" s="18" t="s">
        <v>619</v>
      </c>
      <c r="I9" s="18" t="s">
        <v>59</v>
      </c>
      <c r="J9" s="19" t="s">
        <v>564</v>
      </c>
      <c r="K9" s="99">
        <v>255119</v>
      </c>
      <c r="L9" s="97">
        <f>INDEX(Table1[Production],MATCH(rrcworking[[#This Row],[RRC ID Number]],Table1[RRC Identifier],0))</f>
        <v>0</v>
      </c>
      <c r="M9" s="29">
        <f>INDEX(Table1[Formation Production],MATCH(rrcworking[[#This Row],[RRC ID Number]],Table1[RRC Identifier],0))</f>
        <v>325</v>
      </c>
      <c r="N9" s="30">
        <f>INDEX(Table1[On Hand End of Month],MATCH(rrcworking[[#This Row],[RRC ID Number]],Table1[RRC Identifier],0))</f>
        <v>0</v>
      </c>
      <c r="O9" s="102" t="b">
        <f t="shared" si="0"/>
        <v>0</v>
      </c>
      <c r="Q9" s="122">
        <f>rrcworking[[#This Row],[Last Month Closing Stock]]</f>
        <v>0</v>
      </c>
      <c r="R9">
        <v>0</v>
      </c>
      <c r="S9" s="133">
        <f>IF(ISERROR(INDEX(Table2[OIL],MATCH(rrcworking[[#This Row],[Magnum Wolfpak '#]],Table2[Rox Wolf'#],0))),0,INDEX(Table2[OIL],MATCH(rrcworking[[#This Row],[Magnum Wolfpak '#]],Table2[Rox Wolf'#],0)))</f>
        <v>0</v>
      </c>
      <c r="T9" s="34">
        <f>rrcworking[[#This Row],[Closing Stock (Oil)]]+rrcworking[[#This Row],[Sales/Dispostion]]-rrcworking[[#This Row],[Opening Oil Stock]]</f>
        <v>0</v>
      </c>
      <c r="U9" s="108">
        <f>rrcworking[[#This Row],[Gauge Sheet Prod Volume (oil)]]-rrcworking[[#This Row],[Oil Production]]</f>
        <v>0</v>
      </c>
      <c r="V9" s="133">
        <f>IF(ISERROR(INDEX(Table2[GAS],MATCH(rrcworking[[#This Row],[Magnum Wolfpak '#]],Table2[Rox Wolf'#],0))),0,INDEX(Table2[GAS],MATCH(rrcworking[[#This Row],[Magnum Wolfpak '#]],Table2[Rox Wolf'#],0)))</f>
        <v>96</v>
      </c>
      <c r="W9" s="58"/>
      <c r="X9" s="58"/>
      <c r="Y9" s="133">
        <f>IF(ISERROR(INDEX(Table2[LEASE USE],MATCH(rrcworking[[#This Row],[Magnum Wolfpak '#]],Table2[Rox Wolf'#],0))),0,INDEX(Table2[LEASE USE],MATCH(rrcworking[[#This Row],[Magnum Wolfpak '#]],Table2[Rox Wolf'#],0)))</f>
        <v>5</v>
      </c>
      <c r="Z9" s="133"/>
      <c r="AA9" s="56">
        <f>rrcworking[[#This Row],[Gas Sales Statement Volume (MCF)]]+rrcworking[[#This Row],[Lease Use (MCF)]]+rrcworking[[#This Row],[Flared Gas]]</f>
        <v>101</v>
      </c>
      <c r="AB9" s="36"/>
      <c r="AC9" s="36"/>
      <c r="AD9" s="175">
        <f>COUNTIF(FilterList,rrcworking[[#This Row],[Magnum Wolfpak '#]])</f>
        <v>0</v>
      </c>
      <c r="AE9" s="172"/>
      <c r="AF9" s="173"/>
      <c r="AG9" s="36"/>
      <c r="AH9" s="36"/>
      <c r="AI9" s="174"/>
      <c r="AJ9" s="174"/>
      <c r="AK9" s="174"/>
      <c r="AL9" s="174"/>
      <c r="AM9" s="174"/>
      <c r="AN9" s="174"/>
      <c r="AO9" s="36" t="s">
        <v>1163</v>
      </c>
      <c r="AP9" s="36" t="s">
        <v>1164</v>
      </c>
    </row>
    <row r="10" spans="3:43" ht="14" customHeight="1">
      <c r="C10" s="78">
        <v>99229</v>
      </c>
      <c r="D10" s="60" t="s">
        <v>221</v>
      </c>
      <c r="E10" s="125" t="s">
        <v>222</v>
      </c>
      <c r="F10" s="124">
        <v>0</v>
      </c>
      <c r="G10" s="115" t="s">
        <v>1090</v>
      </c>
      <c r="H10" s="18" t="s">
        <v>618</v>
      </c>
      <c r="I10" s="18" t="s">
        <v>2</v>
      </c>
      <c r="J10" s="19" t="s">
        <v>499</v>
      </c>
      <c r="K10" s="99">
        <v>26834</v>
      </c>
      <c r="L10" s="97">
        <f>INDEX(Table1[Production],MATCH(rrcworking[[#This Row],[RRC ID Number]],Table1[RRC Identifier],0))</f>
        <v>0</v>
      </c>
      <c r="M10" s="29">
        <f>INDEX(Table1[Formation Production],MATCH(rrcworking[[#This Row],[RRC ID Number]],Table1[RRC Identifier],0))</f>
        <v>0</v>
      </c>
      <c r="N10" s="30">
        <f>INDEX(Table1[On Hand End of Month],MATCH(rrcworking[[#This Row],[RRC ID Number]],Table1[RRC Identifier],0))</f>
        <v>86</v>
      </c>
      <c r="O10" s="102" t="b">
        <f t="shared" si="0"/>
        <v>1</v>
      </c>
      <c r="Q10" s="122">
        <f>rrcworking[[#This Row],[Last Month Closing Stock]]</f>
        <v>86</v>
      </c>
      <c r="R10">
        <v>86</v>
      </c>
      <c r="S10" s="133">
        <f>IF(ISERROR(INDEX(Table2[OIL],MATCH(rrcworking[[#This Row],[Magnum Wolfpak '#]],Table2[Rox Wolf'#],0))),0,INDEX(Table2[OIL],MATCH(rrcworking[[#This Row],[Magnum Wolfpak '#]],Table2[Rox Wolf'#],0)))</f>
        <v>0</v>
      </c>
      <c r="T10" s="34">
        <f>rrcworking[[#This Row],[Closing Stock (Oil)]]+rrcworking[[#This Row],[Sales/Dispostion]]-rrcworking[[#This Row],[Opening Oil Stock]]</f>
        <v>0</v>
      </c>
      <c r="U10" s="108">
        <f>rrcworking[[#This Row],[Gauge Sheet Prod Volume (oil)]]-rrcworking[[#This Row],[Oil Production]]</f>
        <v>0</v>
      </c>
      <c r="V10" s="133">
        <f>IF(ISERROR(INDEX(Table2[GAS],MATCH(rrcworking[[#This Row],[Magnum Wolfpak '#]],Table2[Rox Wolf'#],0))),0,INDEX(Table2[GAS],MATCH(rrcworking[[#This Row],[Magnum Wolfpak '#]],Table2[Rox Wolf'#],0)))</f>
        <v>0</v>
      </c>
      <c r="W10" s="82"/>
      <c r="X10" s="58">
        <v>1</v>
      </c>
      <c r="Y10" s="133">
        <f>IF(ISERROR(INDEX(Table2[LEASE USE],MATCH(rrcworking[[#This Row],[Magnum Wolfpak '#]],Table2[Rox Wolf'#],0))),0,INDEX(Table2[LEASE USE],MATCH(rrcworking[[#This Row],[Magnum Wolfpak '#]],Table2[Rox Wolf'#],0)))</f>
        <v>0</v>
      </c>
      <c r="Z10" s="133"/>
      <c r="AA10" s="56">
        <f>rrcworking[[#This Row],[Gas Sales Statement Volume (MCF)]]+rrcworking[[#This Row],[Lease Use (MCF)]]+rrcworking[[#This Row],[Flared Gas]]</f>
        <v>0</v>
      </c>
      <c r="AB10" s="36"/>
      <c r="AC10" s="36" t="s">
        <v>1268</v>
      </c>
      <c r="AD10" s="175">
        <f>COUNTIF(FilterList,rrcworking[[#This Row],[Magnum Wolfpak '#]])</f>
        <v>0</v>
      </c>
      <c r="AE10" s="172"/>
      <c r="AF10" s="173"/>
      <c r="AG10" s="36"/>
      <c r="AH10" s="173"/>
      <c r="AI10" s="174">
        <v>3</v>
      </c>
      <c r="AJ10" s="174" t="s">
        <v>1139</v>
      </c>
      <c r="AK10" s="174" t="s">
        <v>1139</v>
      </c>
      <c r="AL10" s="174" t="s">
        <v>1166</v>
      </c>
      <c r="AM10" s="174" t="s">
        <v>1165</v>
      </c>
      <c r="AN10" s="174" t="s">
        <v>1167</v>
      </c>
      <c r="AO10" s="36" t="s">
        <v>1163</v>
      </c>
      <c r="AP10" s="36" t="s">
        <v>1168</v>
      </c>
    </row>
    <row r="11" spans="3:43" ht="14" customHeight="1">
      <c r="C11" s="78" t="e">
        <v>#N/A</v>
      </c>
      <c r="D11" s="60" t="s">
        <v>225</v>
      </c>
      <c r="E11" s="125" t="s">
        <v>222</v>
      </c>
      <c r="F11" s="124" t="s">
        <v>226</v>
      </c>
      <c r="G11" s="115" t="s">
        <v>1090</v>
      </c>
      <c r="H11" s="18" t="s">
        <v>618</v>
      </c>
      <c r="I11" s="18" t="s">
        <v>59</v>
      </c>
      <c r="J11" s="19" t="s">
        <v>501</v>
      </c>
      <c r="K11" s="99">
        <v>275419</v>
      </c>
      <c r="L11" s="97">
        <f>INDEX(Table1[Production],MATCH(rrcworking[[#This Row],[RRC ID Number]],Table1[RRC Identifier],0))</f>
        <v>0</v>
      </c>
      <c r="M11" s="29">
        <f>INDEX(Table1[Formation Production],MATCH(rrcworking[[#This Row],[RRC ID Number]],Table1[RRC Identifier],0))</f>
        <v>0</v>
      </c>
      <c r="N11" s="30">
        <f>INDEX(Table1[On Hand End of Month],MATCH(rrcworking[[#This Row],[RRC ID Number]],Table1[RRC Identifier],0))</f>
        <v>0</v>
      </c>
      <c r="O11" s="102" t="b">
        <f t="shared" si="0"/>
        <v>1</v>
      </c>
      <c r="Q11" s="122">
        <f>rrcworking[[#This Row],[Last Month Closing Stock]]</f>
        <v>0</v>
      </c>
      <c r="R11">
        <f>rrcworking[[#This Row],[Opening Oil Stock]]</f>
        <v>0</v>
      </c>
      <c r="S11" s="133">
        <f>IF(ISERROR(INDEX(Table2[OIL],MATCH(rrcworking[[#This Row],[Magnum Wolfpak '#]],Table2[Rox Wolf'#],0))),0,INDEX(Table2[OIL],MATCH(rrcworking[[#This Row],[Magnum Wolfpak '#]],Table2[Rox Wolf'#],0)))</f>
        <v>0</v>
      </c>
      <c r="T11" s="34">
        <f>rrcworking[[#This Row],[Closing Stock (Oil)]]+rrcworking[[#This Row],[Sales/Dispostion]]-rrcworking[[#This Row],[Opening Oil Stock]]</f>
        <v>0</v>
      </c>
      <c r="U11" s="108">
        <f>rrcworking[[#This Row],[Gauge Sheet Prod Volume (oil)]]-rrcworking[[#This Row],[Oil Production]]</f>
        <v>0</v>
      </c>
      <c r="V11" s="133">
        <f>IF(ISERROR(INDEX(Table2[GAS],MATCH(rrcworking[[#This Row],[Magnum Wolfpak '#]],Table2[Rox Wolf'#],0))),0,INDEX(Table2[GAS],MATCH(rrcworking[[#This Row],[Magnum Wolfpak '#]],Table2[Rox Wolf'#],0)))</f>
        <v>0</v>
      </c>
      <c r="W11" s="58"/>
      <c r="X11" s="58"/>
      <c r="Y11" s="133">
        <f>IF(ISERROR(INDEX(Table2[LEASE USE],MATCH(rrcworking[[#This Row],[Magnum Wolfpak '#]],Table2[Rox Wolf'#],0))),0,INDEX(Table2[LEASE USE],MATCH(rrcworking[[#This Row],[Magnum Wolfpak '#]],Table2[Rox Wolf'#],0)))</f>
        <v>0</v>
      </c>
      <c r="Z11" s="133"/>
      <c r="AA11" s="56">
        <f>rrcworking[[#This Row],[Gas Sales Statement Volume (MCF)]]+rrcworking[[#This Row],[Lease Use (MCF)]]+rrcworking[[#This Row],[Flared Gas]]</f>
        <v>0</v>
      </c>
      <c r="AB11" s="36"/>
      <c r="AC11" s="36"/>
      <c r="AD11" s="175">
        <f>COUNTIF(FilterList,rrcworking[[#This Row],[Magnum Wolfpak '#]])</f>
        <v>0</v>
      </c>
      <c r="AE11" s="172"/>
      <c r="AF11" s="173"/>
      <c r="AG11" s="36"/>
      <c r="AH11" s="36"/>
      <c r="AI11" s="36"/>
      <c r="AJ11" s="36"/>
      <c r="AK11" s="36"/>
      <c r="AL11" s="36"/>
      <c r="AM11" s="36"/>
      <c r="AN11" s="36"/>
      <c r="AO11" s="36"/>
      <c r="AP11" s="36"/>
    </row>
    <row r="12" spans="3:43" ht="14" customHeight="1">
      <c r="C12" s="78" t="e">
        <v>#N/A</v>
      </c>
      <c r="D12" s="60" t="s">
        <v>145</v>
      </c>
      <c r="E12" s="125" t="s">
        <v>146</v>
      </c>
      <c r="F12" s="124">
        <v>0</v>
      </c>
      <c r="G12" s="115" t="s">
        <v>1090</v>
      </c>
      <c r="H12" s="18" t="s">
        <v>618</v>
      </c>
      <c r="I12" s="18" t="s">
        <v>2</v>
      </c>
      <c r="J12" s="19" t="s">
        <v>457</v>
      </c>
      <c r="K12" s="99">
        <v>27142</v>
      </c>
      <c r="L12" s="97">
        <f>INDEX(Table1[Production],MATCH(rrcworking[[#This Row],[RRC ID Number]],Table1[RRC Identifier],0))</f>
        <v>0</v>
      </c>
      <c r="M12" s="29">
        <f>INDEX(Table1[Formation Production],MATCH(rrcworking[[#This Row],[RRC ID Number]],Table1[RRC Identifier],0))</f>
        <v>0</v>
      </c>
      <c r="N12" s="30">
        <f>INDEX(Table1[On Hand End of Month],MATCH(rrcworking[[#This Row],[RRC ID Number]],Table1[RRC Identifier],0))</f>
        <v>0</v>
      </c>
      <c r="O12" s="102" t="b">
        <f t="shared" si="0"/>
        <v>1</v>
      </c>
      <c r="Q12" s="122">
        <f>rrcworking[[#This Row],[Last Month Closing Stock]]</f>
        <v>0</v>
      </c>
      <c r="R12">
        <f>rrcworking[[#This Row],[Opening Oil Stock]]</f>
        <v>0</v>
      </c>
      <c r="S12" s="133">
        <f>IF(ISERROR(INDEX(Table2[OIL],MATCH(rrcworking[[#This Row],[Magnum Wolfpak '#]],Table2[Rox Wolf'#],0))),0,INDEX(Table2[OIL],MATCH(rrcworking[[#This Row],[Magnum Wolfpak '#]],Table2[Rox Wolf'#],0)))</f>
        <v>0</v>
      </c>
      <c r="T12" s="34">
        <f>rrcworking[[#This Row],[Closing Stock (Oil)]]+rrcworking[[#This Row],[Sales/Dispostion]]-rrcworking[[#This Row],[Opening Oil Stock]]</f>
        <v>0</v>
      </c>
      <c r="U12" s="108">
        <f>rrcworking[[#This Row],[Gauge Sheet Prod Volume (oil)]]-rrcworking[[#This Row],[Oil Production]]</f>
        <v>0</v>
      </c>
      <c r="V12" s="133">
        <f>IF(ISERROR(INDEX(Table2[GAS],MATCH(rrcworking[[#This Row],[Magnum Wolfpak '#]],Table2[Rox Wolf'#],0))),0,INDEX(Table2[GAS],MATCH(rrcworking[[#This Row],[Magnum Wolfpak '#]],Table2[Rox Wolf'#],0)))</f>
        <v>0</v>
      </c>
      <c r="W12" s="58"/>
      <c r="X12" s="58"/>
      <c r="Y12" s="133">
        <f>IF(ISERROR(INDEX(Table2[LEASE USE],MATCH(rrcworking[[#This Row],[Magnum Wolfpak '#]],Table2[Rox Wolf'#],0))),0,INDEX(Table2[LEASE USE],MATCH(rrcworking[[#This Row],[Magnum Wolfpak '#]],Table2[Rox Wolf'#],0)))</f>
        <v>0</v>
      </c>
      <c r="Z12" s="133"/>
      <c r="AA12" s="56">
        <f>rrcworking[[#This Row],[Gas Sales Statement Volume (MCF)]]+rrcworking[[#This Row],[Lease Use (MCF)]]+rrcworking[[#This Row],[Flared Gas]]</f>
        <v>0</v>
      </c>
      <c r="AB12" s="36"/>
      <c r="AC12" s="36"/>
      <c r="AD12" s="175">
        <f>COUNTIF(FilterList,rrcworking[[#This Row],[Magnum Wolfpak '#]])</f>
        <v>0</v>
      </c>
      <c r="AE12" s="172"/>
      <c r="AF12" s="173"/>
      <c r="AG12" s="36"/>
      <c r="AH12" s="36"/>
      <c r="AI12" s="36"/>
      <c r="AJ12" s="36"/>
      <c r="AK12" s="36"/>
      <c r="AL12" s="36"/>
      <c r="AM12" s="36"/>
      <c r="AN12" s="36"/>
      <c r="AO12" s="36"/>
      <c r="AP12" s="36"/>
    </row>
    <row r="13" spans="3:43" ht="126">
      <c r="C13" s="193">
        <v>99282</v>
      </c>
      <c r="D13" s="194" t="s">
        <v>1255</v>
      </c>
      <c r="E13" s="195" t="s">
        <v>1263</v>
      </c>
      <c r="F13" s="196" t="s">
        <v>58</v>
      </c>
      <c r="G13" s="197"/>
      <c r="H13" s="198" t="s">
        <v>618</v>
      </c>
      <c r="I13" s="249" t="s">
        <v>2</v>
      </c>
      <c r="J13" s="200" t="s">
        <v>1288</v>
      </c>
      <c r="K13" s="99">
        <v>27736</v>
      </c>
      <c r="L13" s="97">
        <f>INDEX(Table1[Production],MATCH(rrcworking[[#This Row],[RRC ID Number]],Table1[RRC Identifier],0))</f>
        <v>154</v>
      </c>
      <c r="M13" s="29">
        <f>INDEX(Table1[Formation Production],MATCH(rrcworking[[#This Row],[RRC ID Number]],Table1[RRC Identifier],0))</f>
        <v>6151</v>
      </c>
      <c r="N13" s="30">
        <f>INDEX(Table1[On Hand End of Month],MATCH(rrcworking[[#This Row],[RRC ID Number]],Table1[RRC Identifier],0))</f>
        <v>147</v>
      </c>
      <c r="O13" s="102" t="b">
        <f>IF(AND(L13=0,M13=0), TRUE, FALSE)</f>
        <v>0</v>
      </c>
      <c r="P13">
        <v>0</v>
      </c>
      <c r="Q13" s="122">
        <f>rrcworking[[#This Row],[Last Month Closing Stock]]</f>
        <v>147</v>
      </c>
      <c r="R13">
        <v>147</v>
      </c>
      <c r="S13" s="133">
        <f>IF(ISERROR(INDEX(Table2[OIL],MATCH(rrcworking[[#This Row],[Magnum Wolfpak '#]],Table2[Rox Wolf'#],0))),0,INDEX(Table2[OIL],MATCH(rrcworking[[#This Row],[Magnum Wolfpak '#]],Table2[Rox Wolf'#],0)))</f>
        <v>0</v>
      </c>
      <c r="T13" s="34">
        <f>rrcworking[[#This Row],[Closing Stock (Oil)]]+rrcworking[[#This Row],[Sales/Dispostion]]-rrcworking[[#This Row],[Opening Oil Stock]]</f>
        <v>0</v>
      </c>
      <c r="U13" s="108">
        <f>rrcworking[[#This Row],[Gauge Sheet Prod Volume (oil)]]-rrcworking[[#This Row],[Oil Production]]</f>
        <v>0</v>
      </c>
      <c r="V13" s="133"/>
      <c r="W13" s="58"/>
      <c r="X13" s="58"/>
      <c r="Y13" s="134"/>
      <c r="Z13" s="240">
        <v>0</v>
      </c>
      <c r="AA13" s="56">
        <f>rrcworking[[#This Row],[Gas Sales Statement Volume (MCF)]]+rrcworking[[#This Row],[Lease Use (MCF)]]+rrcworking[[#This Row],[Flared Gas]]</f>
        <v>0</v>
      </c>
      <c r="AB13" s="36" t="s">
        <v>1258</v>
      </c>
      <c r="AC13" s="36" t="s">
        <v>1310</v>
      </c>
      <c r="AD13" s="175">
        <f>COUNTIF(FilterList,rrcworking[[#This Row],[Magnum Wolfpak '#]])</f>
        <v>0</v>
      </c>
      <c r="AE13" s="172"/>
      <c r="AF13" s="173"/>
      <c r="AG13" s="36"/>
      <c r="AH13" s="36"/>
      <c r="AI13" s="36">
        <v>2</v>
      </c>
      <c r="AJ13" s="36" t="s">
        <v>1139</v>
      </c>
      <c r="AK13" s="36" t="s">
        <v>1139</v>
      </c>
      <c r="AL13" s="36" t="s">
        <v>1201</v>
      </c>
      <c r="AM13" s="36" t="s">
        <v>1139</v>
      </c>
      <c r="AN13" s="36" t="s">
        <v>1203</v>
      </c>
      <c r="AO13" s="36" t="s">
        <v>1256</v>
      </c>
      <c r="AP13" s="36" t="s">
        <v>1257</v>
      </c>
    </row>
    <row r="14" spans="3:43" ht="14" customHeight="1">
      <c r="C14" s="78">
        <v>93701</v>
      </c>
      <c r="D14" s="60" t="s">
        <v>92</v>
      </c>
      <c r="E14" s="125" t="s">
        <v>93</v>
      </c>
      <c r="F14" s="124">
        <v>1</v>
      </c>
      <c r="G14" s="115" t="s">
        <v>1090</v>
      </c>
      <c r="H14" s="18" t="s">
        <v>617</v>
      </c>
      <c r="I14" s="18" t="s">
        <v>59</v>
      </c>
      <c r="J14" s="19" t="s">
        <v>423</v>
      </c>
      <c r="K14" s="99">
        <v>207897</v>
      </c>
      <c r="L14" s="97">
        <f>INDEX(Table1[Production],MATCH(rrcworking[[#This Row],[RRC ID Number]],Table1[RRC Identifier],0))</f>
        <v>0</v>
      </c>
      <c r="M14" s="29">
        <f>INDEX(Table1[Formation Production],MATCH(rrcworking[[#This Row],[RRC ID Number]],Table1[RRC Identifier],0))</f>
        <v>6</v>
      </c>
      <c r="N14" s="30">
        <f>INDEX(Table1[On Hand End of Month],MATCH(rrcworking[[#This Row],[RRC ID Number]],Table1[RRC Identifier],0))</f>
        <v>0</v>
      </c>
      <c r="O14" s="102" t="b">
        <f t="shared" si="0"/>
        <v>0</v>
      </c>
      <c r="Q14" s="122">
        <f>rrcworking[[#This Row],[Last Month Closing Stock]]</f>
        <v>0</v>
      </c>
      <c r="R14">
        <v>0</v>
      </c>
      <c r="S14" s="133">
        <f>IF(ISERROR(INDEX(Table2[OIL],MATCH(rrcworking[[#This Row],[Magnum Wolfpak '#]],Table2[Rox Wolf'#],0))),0,INDEX(Table2[OIL],MATCH(rrcworking[[#This Row],[Magnum Wolfpak '#]],Table2[Rox Wolf'#],0)))</f>
        <v>0</v>
      </c>
      <c r="T14" s="34">
        <f>rrcworking[[#This Row],[Closing Stock (Oil)]]+rrcworking[[#This Row],[Sales/Dispostion]]-rrcworking[[#This Row],[Opening Oil Stock]]</f>
        <v>0</v>
      </c>
      <c r="U14" s="108">
        <f>rrcworking[[#This Row],[Gauge Sheet Prod Volume (oil)]]-rrcworking[[#This Row],[Oil Production]]</f>
        <v>0</v>
      </c>
      <c r="V14" s="133">
        <f>IF(ISERROR(INDEX(Table2[GAS],MATCH(rrcworking[[#This Row],[Magnum Wolfpak '#]],Table2[Rox Wolf'#],0))),0,INDEX(Table2[GAS],MATCH(rrcworking[[#This Row],[Magnum Wolfpak '#]],Table2[Rox Wolf'#],0)))</f>
        <v>0</v>
      </c>
      <c r="W14" s="58"/>
      <c r="X14" s="58"/>
      <c r="Y14" s="133">
        <f>IF(ISERROR(INDEX(Table2[LEASE USE],MATCH(rrcworking[[#This Row],[Magnum Wolfpak '#]],Table2[Rox Wolf'#],0))),0,INDEX(Table2[LEASE USE],MATCH(rrcworking[[#This Row],[Magnum Wolfpak '#]],Table2[Rox Wolf'#],0)))</f>
        <v>0</v>
      </c>
      <c r="Z14" s="133"/>
      <c r="AA14" s="56">
        <f>rrcworking[[#This Row],[Gas Sales Statement Volume (MCF)]]+rrcworking[[#This Row],[Lease Use (MCF)]]+rrcworking[[#This Row],[Flared Gas]]</f>
        <v>0</v>
      </c>
      <c r="AB14" s="36"/>
      <c r="AC14" s="36"/>
      <c r="AD14" s="175">
        <f>COUNTIF(FilterList,rrcworking[[#This Row],[Magnum Wolfpak '#]])</f>
        <v>0</v>
      </c>
      <c r="AE14" s="172"/>
      <c r="AF14" s="173"/>
      <c r="AG14" s="36"/>
      <c r="AH14" s="36"/>
      <c r="AI14" s="36"/>
      <c r="AJ14" s="36"/>
      <c r="AK14" s="36"/>
      <c r="AL14" s="36"/>
      <c r="AM14" s="36"/>
      <c r="AN14" s="36"/>
      <c r="AO14" s="36" t="s">
        <v>1163</v>
      </c>
      <c r="AP14" s="36" t="s">
        <v>1169</v>
      </c>
    </row>
    <row r="15" spans="3:43" ht="14" customHeight="1">
      <c r="C15" s="78" t="e">
        <v>#N/A</v>
      </c>
      <c r="D15" s="60" t="s">
        <v>302</v>
      </c>
      <c r="E15" s="125" t="s">
        <v>303</v>
      </c>
      <c r="F15" s="124">
        <v>0</v>
      </c>
      <c r="G15" s="115" t="s">
        <v>1090</v>
      </c>
      <c r="H15" s="18" t="s">
        <v>618</v>
      </c>
      <c r="I15" s="18" t="s">
        <v>2</v>
      </c>
      <c r="J15" s="19" t="s">
        <v>549</v>
      </c>
      <c r="K15" s="99">
        <v>22499</v>
      </c>
      <c r="L15" s="97">
        <f>INDEX(Table1[Production],MATCH(rrcworking[[#This Row],[RRC ID Number]],Table1[RRC Identifier],0))</f>
        <v>0</v>
      </c>
      <c r="M15" s="29">
        <f>INDEX(Table1[Formation Production],MATCH(rrcworking[[#This Row],[RRC ID Number]],Table1[RRC Identifier],0))</f>
        <v>0</v>
      </c>
      <c r="N15" s="30">
        <f>INDEX(Table1[On Hand End of Month],MATCH(rrcworking[[#This Row],[RRC ID Number]],Table1[RRC Identifier],0))</f>
        <v>0</v>
      </c>
      <c r="O15" s="102" t="b">
        <f t="shared" si="0"/>
        <v>1</v>
      </c>
      <c r="Q15" s="122">
        <f>rrcworking[[#This Row],[Last Month Closing Stock]]</f>
        <v>0</v>
      </c>
      <c r="R15">
        <f>rrcworking[[#This Row],[Opening Oil Stock]]</f>
        <v>0</v>
      </c>
      <c r="S15" s="133">
        <f>IF(ISERROR(INDEX(Table2[OIL],MATCH(rrcworking[[#This Row],[Magnum Wolfpak '#]],Table2[Rox Wolf'#],0))),0,INDEX(Table2[OIL],MATCH(rrcworking[[#This Row],[Magnum Wolfpak '#]],Table2[Rox Wolf'#],0)))</f>
        <v>0</v>
      </c>
      <c r="T15" s="34">
        <f>rrcworking[[#This Row],[Closing Stock (Oil)]]+rrcworking[[#This Row],[Sales/Dispostion]]-rrcworking[[#This Row],[Opening Oil Stock]]</f>
        <v>0</v>
      </c>
      <c r="U15" s="108">
        <f>rrcworking[[#This Row],[Gauge Sheet Prod Volume (oil)]]-rrcworking[[#This Row],[Oil Production]]</f>
        <v>0</v>
      </c>
      <c r="V15" s="133">
        <f>IF(ISERROR(INDEX(Table2[GAS],MATCH(rrcworking[[#This Row],[Magnum Wolfpak '#]],Table2[Rox Wolf'#],0))),0,INDEX(Table2[GAS],MATCH(rrcworking[[#This Row],[Magnum Wolfpak '#]],Table2[Rox Wolf'#],0)))</f>
        <v>0</v>
      </c>
      <c r="W15" s="58"/>
      <c r="X15" s="58"/>
      <c r="Y15" s="133">
        <f>IF(ISERROR(INDEX(Table2[LEASE USE],MATCH(rrcworking[[#This Row],[Magnum Wolfpak '#]],Table2[Rox Wolf'#],0))),0,INDEX(Table2[LEASE USE],MATCH(rrcworking[[#This Row],[Magnum Wolfpak '#]],Table2[Rox Wolf'#],0)))</f>
        <v>0</v>
      </c>
      <c r="Z15" s="133"/>
      <c r="AA15" s="56">
        <f>rrcworking[[#This Row],[Gas Sales Statement Volume (MCF)]]+rrcworking[[#This Row],[Lease Use (MCF)]]+rrcworking[[#This Row],[Flared Gas]]</f>
        <v>0</v>
      </c>
      <c r="AB15" s="36"/>
      <c r="AC15" s="36"/>
      <c r="AD15" s="175">
        <f>COUNTIF(FilterList,rrcworking[[#This Row],[Magnum Wolfpak '#]])</f>
        <v>0</v>
      </c>
      <c r="AE15" s="172"/>
      <c r="AF15" s="173"/>
      <c r="AG15" s="36"/>
      <c r="AH15" s="36"/>
      <c r="AI15" s="36"/>
      <c r="AJ15" s="36"/>
      <c r="AK15" s="36"/>
      <c r="AL15" s="36"/>
      <c r="AM15" s="36"/>
      <c r="AN15" s="36"/>
      <c r="AO15" s="36"/>
      <c r="AP15" s="36"/>
    </row>
    <row r="16" spans="3:43" ht="14" customHeight="1">
      <c r="C16" s="78" t="e">
        <v>#N/A</v>
      </c>
      <c r="D16" s="60" t="s">
        <v>73</v>
      </c>
      <c r="E16" s="125" t="s">
        <v>74</v>
      </c>
      <c r="F16" s="124" t="s">
        <v>75</v>
      </c>
      <c r="G16" s="115" t="s">
        <v>1090</v>
      </c>
      <c r="H16" s="18" t="s">
        <v>617</v>
      </c>
      <c r="I16" s="18" t="s">
        <v>59</v>
      </c>
      <c r="J16" s="19" t="s">
        <v>415</v>
      </c>
      <c r="K16" s="99">
        <v>127436</v>
      </c>
      <c r="L16" s="132">
        <f>INDEX(Table1[Production],MATCH(rrcworking[[#This Row],[RRC ID Number]],Table1[RRC Identifier],0))</f>
        <v>0</v>
      </c>
      <c r="M16" s="29">
        <f>INDEX(Table1[Formation Production],MATCH(rrcworking[[#This Row],[RRC ID Number]],Table1[RRC Identifier],0))</f>
        <v>0</v>
      </c>
      <c r="N16" s="30">
        <f>INDEX(Table1[On Hand End of Month],MATCH(rrcworking[[#This Row],[RRC ID Number]],Table1[RRC Identifier],0))</f>
        <v>0</v>
      </c>
      <c r="O16" s="102" t="b">
        <f t="shared" si="0"/>
        <v>1</v>
      </c>
      <c r="Q16" s="122">
        <f>rrcworking[[#This Row],[Last Month Closing Stock]]</f>
        <v>0</v>
      </c>
      <c r="R16">
        <f>rrcworking[[#This Row],[Opening Oil Stock]]</f>
        <v>0</v>
      </c>
      <c r="S16" s="133">
        <f>IF(ISERROR(INDEX(Table2[OIL],MATCH(rrcworking[[#This Row],[Magnum Wolfpak '#]],Table2[Rox Wolf'#],0))),0,INDEX(Table2[OIL],MATCH(rrcworking[[#This Row],[Magnum Wolfpak '#]],Table2[Rox Wolf'#],0)))</f>
        <v>0</v>
      </c>
      <c r="T16" s="34">
        <f>rrcworking[[#This Row],[Closing Stock (Oil)]]+rrcworking[[#This Row],[Sales/Dispostion]]-rrcworking[[#This Row],[Opening Oil Stock]]</f>
        <v>0</v>
      </c>
      <c r="U16" s="108">
        <f>rrcworking[[#This Row],[Gauge Sheet Prod Volume (oil)]]-rrcworking[[#This Row],[Oil Production]]</f>
        <v>0</v>
      </c>
      <c r="V16" s="133">
        <f>IF(ISERROR(INDEX(Table2[GAS],MATCH(rrcworking[[#This Row],[Magnum Wolfpak '#]],Table2[Rox Wolf'#],0))),0,INDEX(Table2[GAS],MATCH(rrcworking[[#This Row],[Magnum Wolfpak '#]],Table2[Rox Wolf'#],0)))</f>
        <v>0</v>
      </c>
      <c r="W16" s="58"/>
      <c r="X16" s="58"/>
      <c r="Y16" s="133">
        <f>IF(ISERROR(INDEX(Table2[LEASE USE],MATCH(rrcworking[[#This Row],[Magnum Wolfpak '#]],Table2[Rox Wolf'#],0))),0,INDEX(Table2[LEASE USE],MATCH(rrcworking[[#This Row],[Magnum Wolfpak '#]],Table2[Rox Wolf'#],0)))</f>
        <v>0</v>
      </c>
      <c r="Z16" s="133"/>
      <c r="AA16" s="56">
        <f>rrcworking[[#This Row],[Gas Sales Statement Volume (MCF)]]+rrcworking[[#This Row],[Lease Use (MCF)]]+rrcworking[[#This Row],[Flared Gas]]</f>
        <v>0</v>
      </c>
      <c r="AB16" s="36"/>
      <c r="AC16" s="36"/>
      <c r="AD16" s="175">
        <f>COUNTIF(FilterList,rrcworking[[#This Row],[Magnum Wolfpak '#]])</f>
        <v>0</v>
      </c>
      <c r="AE16" s="172"/>
      <c r="AF16" s="173"/>
      <c r="AG16" s="36"/>
      <c r="AH16" s="36"/>
      <c r="AI16" s="36"/>
      <c r="AJ16" s="36"/>
      <c r="AK16" s="36"/>
      <c r="AL16" s="36"/>
      <c r="AM16" s="36"/>
      <c r="AN16" s="36"/>
      <c r="AO16" s="36"/>
      <c r="AP16" s="36"/>
    </row>
    <row r="17" spans="3:42" ht="42">
      <c r="C17" s="78">
        <v>99230</v>
      </c>
      <c r="D17" s="60" t="s">
        <v>171</v>
      </c>
      <c r="E17" s="126" t="s">
        <v>170</v>
      </c>
      <c r="F17" s="124">
        <v>2</v>
      </c>
      <c r="G17" s="115" t="s">
        <v>1090</v>
      </c>
      <c r="H17" s="18" t="s">
        <v>618</v>
      </c>
      <c r="I17" s="18" t="s">
        <v>59</v>
      </c>
      <c r="J17" s="19" t="s">
        <v>472</v>
      </c>
      <c r="K17" s="99">
        <v>279199</v>
      </c>
      <c r="L17" s="97">
        <f>INDEX(Table1[Production],MATCH(rrcworking[[#This Row],[RRC ID Number]],Table1[RRC Identifier],0))</f>
        <v>402</v>
      </c>
      <c r="M17" s="29">
        <f>INDEX(Table1[Formation Production],MATCH(rrcworking[[#This Row],[RRC ID Number]],Table1[RRC Identifier],0))</f>
        <v>1905</v>
      </c>
      <c r="N17" s="30">
        <f>INDEX(Table1[On Hand End of Month],MATCH(rrcworking[[#This Row],[RRC ID Number]],Table1[RRC Identifier],0))</f>
        <v>100</v>
      </c>
      <c r="O17" s="102" t="b">
        <f t="shared" si="0"/>
        <v>0</v>
      </c>
      <c r="P17">
        <v>217</v>
      </c>
      <c r="Q17" s="122">
        <f>rrcworking[[#This Row],[Last Month Closing Stock]]</f>
        <v>100</v>
      </c>
      <c r="R17">
        <v>317</v>
      </c>
      <c r="S17" s="133">
        <f>IF(ISERROR(INDEX(Table2[OIL],MATCH(rrcworking[[#This Row],[Magnum Wolfpak '#]],Table2[Rox Wolf'#],0))),0,INDEX(Table2[OIL],MATCH(rrcworking[[#This Row],[Magnum Wolfpak '#]],Table2[Rox Wolf'#],0)))</f>
        <v>0</v>
      </c>
      <c r="T17" s="34">
        <f>rrcworking[[#This Row],[Closing Stock (Oil)]]+rrcworking[[#This Row],[Sales/Dispostion]]-rrcworking[[#This Row],[Opening Oil Stock]]</f>
        <v>217</v>
      </c>
      <c r="U17" s="108">
        <f>rrcworking[[#This Row],[Gauge Sheet Prod Volume (oil)]]-rrcworking[[#This Row],[Oil Production]]</f>
        <v>0</v>
      </c>
      <c r="V17" s="133">
        <f>IF(ISERROR(INDEX(Table2[GAS],MATCH(rrcworking[[#This Row],[Magnum Wolfpak '#]],Table2[Rox Wolf'#],0))),0,INDEX(Table2[GAS],MATCH(rrcworking[[#This Row],[Magnum Wolfpak '#]],Table2[Rox Wolf'#],0)))</f>
        <v>1969</v>
      </c>
      <c r="W17" s="58"/>
      <c r="X17" s="58"/>
      <c r="Y17" s="133">
        <f>IF(ISERROR(INDEX(Table2[LEASE USE],MATCH(rrcworking[[#This Row],[Magnum Wolfpak '#]],Table2[Rox Wolf'#],0))),0,INDEX(Table2[LEASE USE],MATCH(rrcworking[[#This Row],[Magnum Wolfpak '#]],Table2[Rox Wolf'#],0)))</f>
        <v>0</v>
      </c>
      <c r="Z17" s="133"/>
      <c r="AA17" s="56">
        <f>rrcworking[[#This Row],[Gas Sales Statement Volume (MCF)]]+rrcworking[[#This Row],[Lease Use (MCF)]]+rrcworking[[#This Row],[Flared Gas]]</f>
        <v>1969</v>
      </c>
      <c r="AB17" s="36"/>
      <c r="AC17" s="36" t="s">
        <v>1291</v>
      </c>
      <c r="AD17" s="175">
        <f>COUNTIF(FilterList,rrcworking[[#This Row],[Magnum Wolfpak '#]])</f>
        <v>0</v>
      </c>
      <c r="AE17" s="172"/>
      <c r="AF17" s="173"/>
      <c r="AG17" s="36"/>
      <c r="AH17" s="173"/>
      <c r="AI17" s="36">
        <v>1</v>
      </c>
      <c r="AJ17" s="36" t="s">
        <v>1139</v>
      </c>
      <c r="AK17" s="36" t="s">
        <v>1139</v>
      </c>
      <c r="AL17" s="36" t="s">
        <v>1170</v>
      </c>
      <c r="AM17" s="36" t="s">
        <v>1139</v>
      </c>
      <c r="AN17" s="36" t="s">
        <v>1171</v>
      </c>
      <c r="AO17" s="36" t="s">
        <v>1172</v>
      </c>
      <c r="AP17" s="36" t="s">
        <v>1173</v>
      </c>
    </row>
    <row r="18" spans="3:42" ht="14" customHeight="1">
      <c r="C18" s="78" t="e">
        <v>#N/A</v>
      </c>
      <c r="D18" s="60" t="s">
        <v>169</v>
      </c>
      <c r="E18" s="125" t="s">
        <v>170</v>
      </c>
      <c r="F18" s="124">
        <v>1</v>
      </c>
      <c r="G18" s="115" t="s">
        <v>1090</v>
      </c>
      <c r="H18" s="18" t="s">
        <v>618</v>
      </c>
      <c r="I18" s="18" t="s">
        <v>59</v>
      </c>
      <c r="J18" s="19" t="s">
        <v>471</v>
      </c>
      <c r="K18" s="99">
        <v>272614</v>
      </c>
      <c r="L18" s="97">
        <f>INDEX(Table1[Production],MATCH(rrcworking[[#This Row],[RRC ID Number]],Table1[RRC Identifier],0))</f>
        <v>0</v>
      </c>
      <c r="M18" s="29">
        <f>INDEX(Table1[Formation Production],MATCH(rrcworking[[#This Row],[RRC ID Number]],Table1[RRC Identifier],0))</f>
        <v>0</v>
      </c>
      <c r="N18" s="30">
        <f>INDEX(Table1[On Hand End of Month],MATCH(rrcworking[[#This Row],[RRC ID Number]],Table1[RRC Identifier],0))</f>
        <v>0</v>
      </c>
      <c r="O18" s="102" t="b">
        <f t="shared" si="0"/>
        <v>1</v>
      </c>
      <c r="Q18" s="122">
        <f>rrcworking[[#This Row],[Last Month Closing Stock]]</f>
        <v>0</v>
      </c>
      <c r="R18">
        <f>rrcworking[[#This Row],[Opening Oil Stock]]</f>
        <v>0</v>
      </c>
      <c r="S18" s="133">
        <f>IF(ISERROR(INDEX(Table2[OIL],MATCH(rrcworking[[#This Row],[Magnum Wolfpak '#]],Table2[Rox Wolf'#],0))),0,INDEX(Table2[OIL],MATCH(rrcworking[[#This Row],[Magnum Wolfpak '#]],Table2[Rox Wolf'#],0)))</f>
        <v>0</v>
      </c>
      <c r="T18" s="34">
        <f>rrcworking[[#This Row],[Closing Stock (Oil)]]+rrcworking[[#This Row],[Sales/Dispostion]]-rrcworking[[#This Row],[Opening Oil Stock]]</f>
        <v>0</v>
      </c>
      <c r="U18" s="108">
        <f>rrcworking[[#This Row],[Gauge Sheet Prod Volume (oil)]]-rrcworking[[#This Row],[Oil Production]]</f>
        <v>0</v>
      </c>
      <c r="V18" s="133">
        <f>IF(ISERROR(INDEX(Table2[GAS],MATCH(rrcworking[[#This Row],[Magnum Wolfpak '#]],Table2[Rox Wolf'#],0))),0,INDEX(Table2[GAS],MATCH(rrcworking[[#This Row],[Magnum Wolfpak '#]],Table2[Rox Wolf'#],0)))</f>
        <v>0</v>
      </c>
      <c r="W18" s="58"/>
      <c r="X18" s="58"/>
      <c r="Y18" s="133">
        <f>IF(ISERROR(INDEX(Table2[LEASE USE],MATCH(rrcworking[[#This Row],[Magnum Wolfpak '#]],Table2[Rox Wolf'#],0))),0,INDEX(Table2[LEASE USE],MATCH(rrcworking[[#This Row],[Magnum Wolfpak '#]],Table2[Rox Wolf'#],0)))</f>
        <v>0</v>
      </c>
      <c r="Z18" s="133"/>
      <c r="AA18" s="56">
        <f>rrcworking[[#This Row],[Gas Sales Statement Volume (MCF)]]+rrcworking[[#This Row],[Lease Use (MCF)]]+rrcworking[[#This Row],[Flared Gas]]</f>
        <v>0</v>
      </c>
      <c r="AB18" s="36"/>
      <c r="AC18" s="36"/>
      <c r="AD18" s="175">
        <f>COUNTIF(FilterList,rrcworking[[#This Row],[Magnum Wolfpak '#]])</f>
        <v>0</v>
      </c>
      <c r="AE18" s="172"/>
      <c r="AF18" s="173"/>
      <c r="AG18" s="36"/>
      <c r="AH18" s="36"/>
      <c r="AI18" s="36"/>
      <c r="AJ18" s="36"/>
      <c r="AK18" s="36"/>
      <c r="AL18" s="36"/>
      <c r="AM18" s="36"/>
      <c r="AN18" s="36"/>
      <c r="AO18" s="36"/>
      <c r="AP18" s="36"/>
    </row>
    <row r="19" spans="3:42" ht="14" customHeight="1">
      <c r="C19" s="78" t="e">
        <v>#N/A</v>
      </c>
      <c r="D19" s="60" t="s">
        <v>379</v>
      </c>
      <c r="E19" s="125" t="s">
        <v>380</v>
      </c>
      <c r="F19" s="124">
        <v>0</v>
      </c>
      <c r="G19" s="115" t="s">
        <v>1090</v>
      </c>
      <c r="H19" s="18" t="s">
        <v>619</v>
      </c>
      <c r="I19" s="18" t="s">
        <v>2</v>
      </c>
      <c r="J19" s="19" t="s">
        <v>594</v>
      </c>
      <c r="K19" s="99">
        <v>12803</v>
      </c>
      <c r="L19" s="97">
        <f>INDEX(Table1[Production],MATCH(rrcworking[[#This Row],[RRC ID Number]],Table1[RRC Identifier],0))</f>
        <v>0</v>
      </c>
      <c r="M19" s="29">
        <f>INDEX(Table1[Formation Production],MATCH(rrcworking[[#This Row],[RRC ID Number]],Table1[RRC Identifier],0))</f>
        <v>0</v>
      </c>
      <c r="N19" s="30">
        <f>INDEX(Table1[On Hand End of Month],MATCH(rrcworking[[#This Row],[RRC ID Number]],Table1[RRC Identifier],0))</f>
        <v>0</v>
      </c>
      <c r="O19" s="102" t="b">
        <f t="shared" si="0"/>
        <v>1</v>
      </c>
      <c r="Q19" s="122">
        <f>rrcworking[[#This Row],[Last Month Closing Stock]]</f>
        <v>0</v>
      </c>
      <c r="R19">
        <f>rrcworking[[#This Row],[Opening Oil Stock]]</f>
        <v>0</v>
      </c>
      <c r="S19" s="133">
        <f>IF(ISERROR(INDEX(Table2[OIL],MATCH(rrcworking[[#This Row],[Magnum Wolfpak '#]],Table2[Rox Wolf'#],0))),0,INDEX(Table2[OIL],MATCH(rrcworking[[#This Row],[Magnum Wolfpak '#]],Table2[Rox Wolf'#],0)))</f>
        <v>0</v>
      </c>
      <c r="T19" s="34">
        <f>rrcworking[[#This Row],[Closing Stock (Oil)]]+rrcworking[[#This Row],[Sales/Dispostion]]-rrcworking[[#This Row],[Opening Oil Stock]]</f>
        <v>0</v>
      </c>
      <c r="U19" s="108">
        <f>rrcworking[[#This Row],[Gauge Sheet Prod Volume (oil)]]-rrcworking[[#This Row],[Oil Production]]</f>
        <v>0</v>
      </c>
      <c r="V19" s="133">
        <f>IF(ISERROR(INDEX(Table2[GAS],MATCH(rrcworking[[#This Row],[Magnum Wolfpak '#]],Table2[Rox Wolf'#],0))),0,INDEX(Table2[GAS],MATCH(rrcworking[[#This Row],[Magnum Wolfpak '#]],Table2[Rox Wolf'#],0)))</f>
        <v>0</v>
      </c>
      <c r="W19" s="58"/>
      <c r="X19" s="58"/>
      <c r="Y19" s="133">
        <f>IF(ISERROR(INDEX(Table2[LEASE USE],MATCH(rrcworking[[#This Row],[Magnum Wolfpak '#]],Table2[Rox Wolf'#],0))),0,INDEX(Table2[LEASE USE],MATCH(rrcworking[[#This Row],[Magnum Wolfpak '#]],Table2[Rox Wolf'#],0)))</f>
        <v>0</v>
      </c>
      <c r="Z19" s="133"/>
      <c r="AA19" s="56">
        <f>rrcworking[[#This Row],[Gas Sales Statement Volume (MCF)]]+rrcworking[[#This Row],[Lease Use (MCF)]]+rrcworking[[#This Row],[Flared Gas]]</f>
        <v>0</v>
      </c>
      <c r="AB19" s="36"/>
      <c r="AC19" s="36"/>
      <c r="AD19" s="175">
        <f>COUNTIF(FilterList,rrcworking[[#This Row],[Magnum Wolfpak '#]])</f>
        <v>0</v>
      </c>
      <c r="AE19" s="172"/>
      <c r="AF19" s="173"/>
      <c r="AG19" s="36"/>
      <c r="AH19" s="36"/>
      <c r="AI19" s="36"/>
      <c r="AJ19" s="36"/>
      <c r="AK19" s="36"/>
      <c r="AL19" s="36"/>
      <c r="AM19" s="36"/>
      <c r="AN19" s="36"/>
      <c r="AO19" s="36"/>
      <c r="AP19" s="36"/>
    </row>
    <row r="20" spans="3:42" ht="14" customHeight="1">
      <c r="C20" s="78" t="e">
        <v>#N/A</v>
      </c>
      <c r="D20" s="60" t="s">
        <v>381</v>
      </c>
      <c r="E20" s="125" t="s">
        <v>383</v>
      </c>
      <c r="F20" s="124">
        <v>0</v>
      </c>
      <c r="G20" s="115" t="s">
        <v>1090</v>
      </c>
      <c r="H20" s="18" t="s">
        <v>619</v>
      </c>
      <c r="I20" s="18" t="s">
        <v>2</v>
      </c>
      <c r="J20" s="19" t="s">
        <v>596</v>
      </c>
      <c r="K20" s="99">
        <v>8717</v>
      </c>
      <c r="L20" s="97">
        <f>INDEX(Table1[Production],MATCH(rrcworking[[#This Row],[RRC ID Number]],Table1[RRC Identifier],0))</f>
        <v>0</v>
      </c>
      <c r="M20" s="29">
        <f>INDEX(Table1[Formation Production],MATCH(rrcworking[[#This Row],[RRC ID Number]],Table1[RRC Identifier],0))</f>
        <v>0</v>
      </c>
      <c r="N20" s="30">
        <f>INDEX(Table1[On Hand End of Month],MATCH(rrcworking[[#This Row],[RRC ID Number]],Table1[RRC Identifier],0))</f>
        <v>0</v>
      </c>
      <c r="O20" s="102" t="b">
        <f t="shared" si="0"/>
        <v>1</v>
      </c>
      <c r="Q20" s="122">
        <f>rrcworking[[#This Row],[Last Month Closing Stock]]</f>
        <v>0</v>
      </c>
      <c r="R20">
        <f>rrcworking[[#This Row],[Opening Oil Stock]]</f>
        <v>0</v>
      </c>
      <c r="S20" s="133">
        <f>IF(ISERROR(INDEX(Table2[OIL],MATCH(rrcworking[[#This Row],[Magnum Wolfpak '#]],Table2[Rox Wolf'#],0))),0,INDEX(Table2[OIL],MATCH(rrcworking[[#This Row],[Magnum Wolfpak '#]],Table2[Rox Wolf'#],0)))</f>
        <v>0</v>
      </c>
      <c r="T20" s="34">
        <f>rrcworking[[#This Row],[Closing Stock (Oil)]]+rrcworking[[#This Row],[Sales/Dispostion]]-rrcworking[[#This Row],[Opening Oil Stock]]</f>
        <v>0</v>
      </c>
      <c r="U20" s="108">
        <f>rrcworking[[#This Row],[Gauge Sheet Prod Volume (oil)]]-rrcworking[[#This Row],[Oil Production]]</f>
        <v>0</v>
      </c>
      <c r="V20" s="133">
        <f>IF(ISERROR(INDEX(Table2[GAS],MATCH(rrcworking[[#This Row],[Magnum Wolfpak '#]],Table2[Rox Wolf'#],0))),0,INDEX(Table2[GAS],MATCH(rrcworking[[#This Row],[Magnum Wolfpak '#]],Table2[Rox Wolf'#],0)))</f>
        <v>0</v>
      </c>
      <c r="W20" s="58"/>
      <c r="X20" s="58"/>
      <c r="Y20" s="133">
        <f>IF(ISERROR(INDEX(Table2[LEASE USE],MATCH(rrcworking[[#This Row],[Magnum Wolfpak '#]],Table2[Rox Wolf'#],0))),0,INDEX(Table2[LEASE USE],MATCH(rrcworking[[#This Row],[Magnum Wolfpak '#]],Table2[Rox Wolf'#],0)))</f>
        <v>0</v>
      </c>
      <c r="Z20" s="133"/>
      <c r="AA20" s="56">
        <f>rrcworking[[#This Row],[Gas Sales Statement Volume (MCF)]]+rrcworking[[#This Row],[Lease Use (MCF)]]+rrcworking[[#This Row],[Flared Gas]]</f>
        <v>0</v>
      </c>
      <c r="AB20" s="36"/>
      <c r="AC20" s="36"/>
      <c r="AD20" s="175">
        <f>COUNTIF(FilterList,rrcworking[[#This Row],[Magnum Wolfpak '#]])</f>
        <v>0</v>
      </c>
      <c r="AE20" s="172"/>
      <c r="AF20" s="173"/>
      <c r="AG20" s="36"/>
      <c r="AH20" s="36"/>
      <c r="AI20" s="36"/>
      <c r="AJ20" s="36"/>
      <c r="AK20" s="36"/>
      <c r="AL20" s="36"/>
      <c r="AM20" s="36"/>
      <c r="AN20" s="36"/>
      <c r="AO20" s="36"/>
      <c r="AP20" s="36"/>
    </row>
    <row r="21" spans="3:42" ht="14" customHeight="1">
      <c r="C21" s="78">
        <v>98201</v>
      </c>
      <c r="D21" s="60" t="s">
        <v>129</v>
      </c>
      <c r="E21" s="125" t="s">
        <v>130</v>
      </c>
      <c r="F21" s="124">
        <v>1</v>
      </c>
      <c r="G21" s="115" t="s">
        <v>1090</v>
      </c>
      <c r="H21" s="18" t="s">
        <v>617</v>
      </c>
      <c r="I21" s="18" t="s">
        <v>59</v>
      </c>
      <c r="J21" s="19" t="s">
        <v>447</v>
      </c>
      <c r="K21" s="99">
        <v>133437</v>
      </c>
      <c r="L21" s="97">
        <f>INDEX(Table1[Production],MATCH(rrcworking[[#This Row],[RRC ID Number]],Table1[RRC Identifier],0))</f>
        <v>0</v>
      </c>
      <c r="M21" s="29">
        <f>INDEX(Table1[Formation Production],MATCH(rrcworking[[#This Row],[RRC ID Number]],Table1[RRC Identifier],0))</f>
        <v>0</v>
      </c>
      <c r="N21" s="30">
        <f>INDEX(Table1[On Hand End of Month],MATCH(rrcworking[[#This Row],[RRC ID Number]],Table1[RRC Identifier],0))</f>
        <v>166</v>
      </c>
      <c r="O21" s="102" t="b">
        <f t="shared" si="0"/>
        <v>1</v>
      </c>
      <c r="Q21" s="122">
        <f>rrcworking[[#This Row],[Last Month Closing Stock]]</f>
        <v>166</v>
      </c>
      <c r="R21">
        <v>166</v>
      </c>
      <c r="S21" s="133">
        <f>IF(ISERROR(INDEX(Table2[OIL],MATCH(rrcworking[[#This Row],[Magnum Wolfpak '#]],Table2[Rox Wolf'#],0))),0,INDEX(Table2[OIL],MATCH(rrcworking[[#This Row],[Magnum Wolfpak '#]],Table2[Rox Wolf'#],0)))</f>
        <v>0</v>
      </c>
      <c r="T21" s="34">
        <f>rrcworking[[#This Row],[Closing Stock (Oil)]]+rrcworking[[#This Row],[Sales/Dispostion]]-rrcworking[[#This Row],[Opening Oil Stock]]</f>
        <v>0</v>
      </c>
      <c r="U21" s="108">
        <f>rrcworking[[#This Row],[Gauge Sheet Prod Volume (oil)]]-rrcworking[[#This Row],[Oil Production]]</f>
        <v>0</v>
      </c>
      <c r="V21" s="133">
        <f>IF(ISERROR(INDEX(Table2[GAS],MATCH(rrcworking[[#This Row],[Magnum Wolfpak '#]],Table2[Rox Wolf'#],0))),0,INDEX(Table2[GAS],MATCH(rrcworking[[#This Row],[Magnum Wolfpak '#]],Table2[Rox Wolf'#],0)))</f>
        <v>0</v>
      </c>
      <c r="W21" s="58"/>
      <c r="X21" s="58"/>
      <c r="Y21" s="133">
        <f>IF(ISERROR(INDEX(Table2[LEASE USE],MATCH(rrcworking[[#This Row],[Magnum Wolfpak '#]],Table2[Rox Wolf'#],0))),0,INDEX(Table2[LEASE USE],MATCH(rrcworking[[#This Row],[Magnum Wolfpak '#]],Table2[Rox Wolf'#],0)))</f>
        <v>0</v>
      </c>
      <c r="Z21" s="133"/>
      <c r="AA21" s="56">
        <f>rrcworking[[#This Row],[Gas Sales Statement Volume (MCF)]]+rrcworking[[#This Row],[Lease Use (MCF)]]+rrcworking[[#This Row],[Flared Gas]]</f>
        <v>0</v>
      </c>
      <c r="AB21" s="36"/>
      <c r="AC21" s="36"/>
      <c r="AD21" s="175">
        <f>COUNTIF(FilterList,rrcworking[[#This Row],[Magnum Wolfpak '#]])</f>
        <v>1</v>
      </c>
      <c r="AE21" s="172"/>
      <c r="AF21" s="173"/>
      <c r="AG21" s="36"/>
      <c r="AH21" s="173"/>
      <c r="AI21" s="174"/>
      <c r="AJ21" s="174"/>
      <c r="AK21" s="174"/>
      <c r="AL21" s="174"/>
      <c r="AM21" s="174"/>
      <c r="AN21" s="174"/>
      <c r="AO21" s="36" t="s">
        <v>1163</v>
      </c>
      <c r="AP21" s="36" t="s">
        <v>1174</v>
      </c>
    </row>
    <row r="22" spans="3:42" ht="112">
      <c r="C22" s="78">
        <v>99294</v>
      </c>
      <c r="D22" s="60" t="s">
        <v>184</v>
      </c>
      <c r="E22" s="125" t="s">
        <v>181</v>
      </c>
      <c r="F22" s="130" t="s">
        <v>1093</v>
      </c>
      <c r="G22" s="115" t="s">
        <v>1090</v>
      </c>
      <c r="H22" s="18" t="s">
        <v>618</v>
      </c>
      <c r="I22" s="18" t="s">
        <v>2</v>
      </c>
      <c r="J22" s="251" t="s">
        <v>480</v>
      </c>
      <c r="K22" s="99">
        <v>27236</v>
      </c>
      <c r="L22" s="97">
        <f>INDEX(Table1[Production],MATCH(rrcworking[[#This Row],[RRC ID Number]],Table1[RRC Identifier],0))</f>
        <v>1459</v>
      </c>
      <c r="M22" s="29">
        <f>INDEX(Table1[Formation Production],MATCH(rrcworking[[#This Row],[RRC ID Number]],Table1[RRC Identifier],0))</f>
        <v>1242</v>
      </c>
      <c r="N22" s="30">
        <f>INDEX(Table1[On Hand End of Month],MATCH(rrcworking[[#This Row],[RRC ID Number]],Table1[RRC Identifier],0))</f>
        <v>965</v>
      </c>
      <c r="O22" s="102" t="b">
        <f t="shared" si="0"/>
        <v>0</v>
      </c>
      <c r="P22">
        <v>1298</v>
      </c>
      <c r="Q22" s="122">
        <f>rrcworking[[#This Row],[Last Month Closing Stock]]</f>
        <v>965</v>
      </c>
      <c r="R22">
        <v>1833</v>
      </c>
      <c r="S22" s="133">
        <f>IF(ISERROR(INDEX(Table2[OIL],MATCH(rrcworking[[#This Row],[Magnum Wolfpak '#]],Table2[Rox Wolf'#],0))),0,INDEX(Table2[OIL],MATCH(rrcworking[[#This Row],[Magnum Wolfpak '#]],Table2[Rox Wolf'#],0)))</f>
        <v>0</v>
      </c>
      <c r="T22" s="34">
        <f>rrcworking[[#This Row],[Closing Stock (Oil)]]+rrcworking[[#This Row],[Sales/Dispostion]]-rrcworking[[#This Row],[Opening Oil Stock]]</f>
        <v>868</v>
      </c>
      <c r="U22" s="108">
        <f>rrcworking[[#This Row],[Gauge Sheet Prod Volume (oil)]]-rrcworking[[#This Row],[Oil Production]]</f>
        <v>430</v>
      </c>
      <c r="V22" s="133">
        <f>IF(ISERROR(INDEX(Table2[GAS],MATCH(rrcworking[[#This Row],[Magnum Wolfpak '#]],Table2[Rox Wolf'#],0))),0,INDEX(Table2[GAS],MATCH(rrcworking[[#This Row],[Magnum Wolfpak '#]],Table2[Rox Wolf'#],0)))</f>
        <v>1141</v>
      </c>
      <c r="W22" s="82"/>
      <c r="X22" s="58">
        <v>1</v>
      </c>
      <c r="Y22" s="133">
        <f>IF(ISERROR(INDEX(Table2[LEASE USE],MATCH(rrcworking[[#This Row],[Magnum Wolfpak '#]],Table2[Rox Wolf'#],0))),0,INDEX(Table2[LEASE USE],MATCH(rrcworking[[#This Row],[Magnum Wolfpak '#]],Table2[Rox Wolf'#],0)))</f>
        <v>31</v>
      </c>
      <c r="Z22" s="133"/>
      <c r="AA22" s="56">
        <f>rrcworking[[#This Row],[Gas Sales Statement Volume (MCF)]]+rrcworking[[#This Row],[Lease Use (MCF)]]+rrcworking[[#This Row],[Flared Gas]]</f>
        <v>1172</v>
      </c>
      <c r="AB22" s="36"/>
      <c r="AC22" s="36" t="s">
        <v>1311</v>
      </c>
      <c r="AD22" s="175">
        <f>COUNTIF(FilterList,rrcworking[[#This Row],[Magnum Wolfpak '#]])</f>
        <v>0</v>
      </c>
      <c r="AE22" s="172"/>
      <c r="AF22" s="173"/>
      <c r="AG22" s="36"/>
      <c r="AH22" s="173"/>
      <c r="AI22" s="36">
        <v>1</v>
      </c>
      <c r="AJ22" s="36" t="s">
        <v>1139</v>
      </c>
      <c r="AK22" s="36" t="s">
        <v>1165</v>
      </c>
      <c r="AL22" s="36" t="s">
        <v>1179</v>
      </c>
      <c r="AM22" s="36" t="s">
        <v>1165</v>
      </c>
      <c r="AN22" s="36" t="s">
        <v>1176</v>
      </c>
      <c r="AO22" s="36" t="s">
        <v>1177</v>
      </c>
      <c r="AP22" s="36" t="s">
        <v>1178</v>
      </c>
    </row>
    <row r="23" spans="3:42" ht="14" customHeight="1">
      <c r="C23" s="78" t="e">
        <v>#N/A</v>
      </c>
      <c r="D23" s="60" t="s">
        <v>306</v>
      </c>
      <c r="E23" s="125" t="s">
        <v>181</v>
      </c>
      <c r="F23" s="124" t="s">
        <v>1232</v>
      </c>
      <c r="G23" s="115" t="s">
        <v>1090</v>
      </c>
      <c r="H23" s="18" t="s">
        <v>618</v>
      </c>
      <c r="I23" s="18" t="s">
        <v>59</v>
      </c>
      <c r="J23" s="19" t="s">
        <v>551</v>
      </c>
      <c r="K23" s="99">
        <v>283360</v>
      </c>
      <c r="L23" s="97">
        <f>INDEX(Table1[Production],MATCH(rrcworking[[#This Row],[RRC ID Number]],Table1[RRC Identifier],0))</f>
        <v>0</v>
      </c>
      <c r="M23" s="29">
        <f>INDEX(Table1[Formation Production],MATCH(rrcworking[[#This Row],[RRC ID Number]],Table1[RRC Identifier],0))</f>
        <v>0</v>
      </c>
      <c r="N23" s="30">
        <f>INDEX(Table1[On Hand End of Month],MATCH(rrcworking[[#This Row],[RRC ID Number]],Table1[RRC Identifier],0))</f>
        <v>134</v>
      </c>
      <c r="O23" s="102" t="b">
        <f t="shared" si="0"/>
        <v>1</v>
      </c>
      <c r="Q23" s="122">
        <f>rrcworking[[#This Row],[Last Month Closing Stock]]</f>
        <v>134</v>
      </c>
      <c r="R23">
        <f>rrcworking[[#This Row],[Opening Oil Stock]]</f>
        <v>134</v>
      </c>
      <c r="S23" s="133">
        <f>IF(ISERROR(INDEX(Table2[OIL],MATCH(rrcworking[[#This Row],[Magnum Wolfpak '#]],Table2[Rox Wolf'#],0))),0,INDEX(Table2[OIL],MATCH(rrcworking[[#This Row],[Magnum Wolfpak '#]],Table2[Rox Wolf'#],0)))</f>
        <v>0</v>
      </c>
      <c r="T23" s="34">
        <f>rrcworking[[#This Row],[Closing Stock (Oil)]]+rrcworking[[#This Row],[Sales/Dispostion]]-rrcworking[[#This Row],[Opening Oil Stock]]</f>
        <v>0</v>
      </c>
      <c r="U23" s="108">
        <f>rrcworking[[#This Row],[Gauge Sheet Prod Volume (oil)]]-rrcworking[[#This Row],[Oil Production]]</f>
        <v>0</v>
      </c>
      <c r="V23" s="133">
        <f>IF(ISERROR(INDEX(Table2[GAS],MATCH(rrcworking[[#This Row],[Magnum Wolfpak '#]],Table2[Rox Wolf'#],0))),0,INDEX(Table2[GAS],MATCH(rrcworking[[#This Row],[Magnum Wolfpak '#]],Table2[Rox Wolf'#],0)))</f>
        <v>0</v>
      </c>
      <c r="W23" s="58"/>
      <c r="X23" s="58"/>
      <c r="Y23" s="133">
        <f>IF(ISERROR(INDEX(Table2[LEASE USE],MATCH(rrcworking[[#This Row],[Magnum Wolfpak '#]],Table2[Rox Wolf'#],0))),0,INDEX(Table2[LEASE USE],MATCH(rrcworking[[#This Row],[Magnum Wolfpak '#]],Table2[Rox Wolf'#],0)))</f>
        <v>0</v>
      </c>
      <c r="Z23" s="133"/>
      <c r="AA23" s="56">
        <f>rrcworking[[#This Row],[Gas Sales Statement Volume (MCF)]]+rrcworking[[#This Row],[Lease Use (MCF)]]+rrcworking[[#This Row],[Flared Gas]]</f>
        <v>0</v>
      </c>
      <c r="AB23" s="36"/>
      <c r="AC23" s="36"/>
      <c r="AD23" s="175">
        <f>COUNTIF(FilterList,rrcworking[[#This Row],[Magnum Wolfpak '#]])</f>
        <v>0</v>
      </c>
      <c r="AE23" s="172"/>
      <c r="AF23" s="173"/>
      <c r="AG23" s="36"/>
      <c r="AH23" s="36"/>
      <c r="AI23" s="36"/>
      <c r="AJ23" s="36"/>
      <c r="AK23" s="36"/>
      <c r="AL23" s="36"/>
      <c r="AM23" s="36"/>
      <c r="AN23" s="36"/>
      <c r="AO23" s="36"/>
      <c r="AP23" s="36"/>
    </row>
    <row r="24" spans="3:42" ht="70">
      <c r="C24" s="78">
        <v>99293</v>
      </c>
      <c r="D24" s="60" t="s">
        <v>180</v>
      </c>
      <c r="E24" s="125" t="s">
        <v>181</v>
      </c>
      <c r="F24" s="130" t="s">
        <v>1091</v>
      </c>
      <c r="G24" s="115" t="s">
        <v>1090</v>
      </c>
      <c r="H24" s="18" t="s">
        <v>618</v>
      </c>
      <c r="I24" s="18" t="s">
        <v>2</v>
      </c>
      <c r="J24" s="19" t="s">
        <v>477</v>
      </c>
      <c r="K24" s="99">
        <v>27285</v>
      </c>
      <c r="L24" s="97">
        <f>INDEX(Table1[Production],MATCH(rrcworking[[#This Row],[RRC ID Number]],Table1[RRC Identifier],0))</f>
        <v>58</v>
      </c>
      <c r="M24" s="29">
        <f>INDEX(Table1[Formation Production],MATCH(rrcworking[[#This Row],[RRC ID Number]],Table1[RRC Identifier],0))</f>
        <v>169</v>
      </c>
      <c r="N24" s="30">
        <f>INDEX(Table1[On Hand End of Month],MATCH(rrcworking[[#This Row],[RRC ID Number]],Table1[RRC Identifier],0))</f>
        <v>432</v>
      </c>
      <c r="O24" s="102" t="b">
        <f t="shared" si="0"/>
        <v>0</v>
      </c>
      <c r="P24">
        <v>3</v>
      </c>
      <c r="Q24" s="122">
        <f>rrcworking[[#This Row],[Last Month Closing Stock]]</f>
        <v>432</v>
      </c>
      <c r="R24">
        <v>435</v>
      </c>
      <c r="S24" s="133">
        <f>IF(ISERROR(INDEX(Table2[OIL],MATCH(rrcworking[[#This Row],[Magnum Wolfpak '#]],Table2[Rox Wolf'#],0))),0,INDEX(Table2[OIL],MATCH(rrcworking[[#This Row],[Magnum Wolfpak '#]],Table2[Rox Wolf'#],0)))</f>
        <v>0</v>
      </c>
      <c r="T24" s="34">
        <f>rrcworking[[#This Row],[Closing Stock (Oil)]]+rrcworking[[#This Row],[Sales/Dispostion]]-rrcworking[[#This Row],[Opening Oil Stock]]</f>
        <v>3</v>
      </c>
      <c r="U24" s="108">
        <f>rrcworking[[#This Row],[Gauge Sheet Prod Volume (oil)]]-rrcworking[[#This Row],[Oil Production]]</f>
        <v>0</v>
      </c>
      <c r="V24" s="133">
        <f>IF(ISERROR(INDEX(Table2[GAS],MATCH(rrcworking[[#This Row],[Magnum Wolfpak '#]],Table2[Rox Wolf'#],0))),0,INDEX(Table2[GAS],MATCH(rrcworking[[#This Row],[Magnum Wolfpak '#]],Table2[Rox Wolf'#],0)))</f>
        <v>0</v>
      </c>
      <c r="W24" s="82"/>
      <c r="X24" s="58">
        <v>1</v>
      </c>
      <c r="Y24" s="133">
        <f>IF(ISERROR(INDEX(Table2[LEASE USE],MATCH(rrcworking[[#This Row],[Magnum Wolfpak '#]],Table2[Rox Wolf'#],0))),0,INDEX(Table2[LEASE USE],MATCH(rrcworking[[#This Row],[Magnum Wolfpak '#]],Table2[Rox Wolf'#],0)))</f>
        <v>1</v>
      </c>
      <c r="Z24" s="133"/>
      <c r="AA24" s="56">
        <f>rrcworking[[#This Row],[Gas Sales Statement Volume (MCF)]]+rrcworking[[#This Row],[Lease Use (MCF)]]+rrcworking[[#This Row],[Flared Gas]]</f>
        <v>1</v>
      </c>
      <c r="AB24" s="36"/>
      <c r="AC24" s="36" t="s">
        <v>1312</v>
      </c>
      <c r="AD24" s="175">
        <f>COUNTIF(FilterList,rrcworking[[#This Row],[Magnum Wolfpak '#]])</f>
        <v>0</v>
      </c>
      <c r="AE24" s="172"/>
      <c r="AF24" s="173"/>
      <c r="AG24" s="36"/>
      <c r="AH24" s="173"/>
      <c r="AI24" s="36">
        <v>3</v>
      </c>
      <c r="AJ24" s="36" t="s">
        <v>1139</v>
      </c>
      <c r="AK24" s="36" t="s">
        <v>1165</v>
      </c>
      <c r="AL24" s="36" t="s">
        <v>1179</v>
      </c>
      <c r="AM24" s="36" t="s">
        <v>1165</v>
      </c>
      <c r="AN24" s="36" t="s">
        <v>1176</v>
      </c>
      <c r="AO24" s="36" t="s">
        <v>1180</v>
      </c>
      <c r="AP24" s="36"/>
    </row>
    <row r="25" spans="3:42" ht="42">
      <c r="C25" s="78">
        <v>99286</v>
      </c>
      <c r="D25" s="60" t="s">
        <v>182</v>
      </c>
      <c r="E25" s="125" t="s">
        <v>181</v>
      </c>
      <c r="F25" s="124" t="s">
        <v>1233</v>
      </c>
      <c r="G25" s="115" t="s">
        <v>1090</v>
      </c>
      <c r="H25" s="18" t="s">
        <v>618</v>
      </c>
      <c r="I25" s="18" t="s">
        <v>59</v>
      </c>
      <c r="J25" s="19" t="s">
        <v>478</v>
      </c>
      <c r="K25" s="99">
        <v>282350</v>
      </c>
      <c r="L25" s="97">
        <f>INDEX(Table1[Production],MATCH(rrcworking[[#This Row],[RRC ID Number]],Table1[RRC Identifier],0))</f>
        <v>0</v>
      </c>
      <c r="M25" s="29">
        <f>INDEX(Table1[Formation Production],MATCH(rrcworking[[#This Row],[RRC ID Number]],Table1[RRC Identifier],0))</f>
        <v>822</v>
      </c>
      <c r="N25" s="30">
        <f>INDEX(Table1[On Hand End of Month],MATCH(rrcworking[[#This Row],[RRC ID Number]],Table1[RRC Identifier],0))</f>
        <v>384</v>
      </c>
      <c r="O25" s="102" t="b">
        <f t="shared" si="0"/>
        <v>0</v>
      </c>
      <c r="P25">
        <v>0</v>
      </c>
      <c r="Q25" s="122">
        <f>rrcworking[[#This Row],[Last Month Closing Stock]]</f>
        <v>384</v>
      </c>
      <c r="R25">
        <v>384</v>
      </c>
      <c r="S25" s="133">
        <f>IF(ISERROR(INDEX(Table2[OIL],MATCH(rrcworking[[#This Row],[Magnum Wolfpak '#]],Table2[Rox Wolf'#],0))),0,INDEX(Table2[OIL],MATCH(rrcworking[[#This Row],[Magnum Wolfpak '#]],Table2[Rox Wolf'#],0)))</f>
        <v>0</v>
      </c>
      <c r="T25" s="34">
        <f>rrcworking[[#This Row],[Closing Stock (Oil)]]+rrcworking[[#This Row],[Sales/Dispostion]]-rrcworking[[#This Row],[Opening Oil Stock]]</f>
        <v>0</v>
      </c>
      <c r="U25" s="108">
        <f>rrcworking[[#This Row],[Gauge Sheet Prod Volume (oil)]]-rrcworking[[#This Row],[Oil Production]]</f>
        <v>0</v>
      </c>
      <c r="V25" s="133">
        <f>IF(ISERROR(INDEX(Table2[GAS],MATCH(rrcworking[[#This Row],[Magnum Wolfpak '#]],Table2[Rox Wolf'#],0))),0,INDEX(Table2[GAS],MATCH(rrcworking[[#This Row],[Magnum Wolfpak '#]],Table2[Rox Wolf'#],0)))</f>
        <v>795</v>
      </c>
      <c r="W25" s="82"/>
      <c r="X25" s="58">
        <v>2</v>
      </c>
      <c r="Y25" s="133">
        <f>IF(ISERROR(INDEX(Table2[LEASE USE],MATCH(rrcworking[[#This Row],[Magnum Wolfpak '#]],Table2[Rox Wolf'#],0))),0,INDEX(Table2[LEASE USE],MATCH(rrcworking[[#This Row],[Magnum Wolfpak '#]],Table2[Rox Wolf'#],0)))</f>
        <v>62</v>
      </c>
      <c r="Z25" s="133"/>
      <c r="AA25" s="56">
        <f>rrcworking[[#This Row],[Gas Sales Statement Volume (MCF)]]+rrcworking[[#This Row],[Lease Use (MCF)]]+rrcworking[[#This Row],[Flared Gas]]</f>
        <v>857</v>
      </c>
      <c r="AB25" s="36"/>
      <c r="AC25" s="36" t="s">
        <v>1313</v>
      </c>
      <c r="AD25" s="175">
        <f>COUNTIF(FilterList,rrcworking[[#This Row],[Magnum Wolfpak '#]])</f>
        <v>0</v>
      </c>
      <c r="AE25" s="172"/>
      <c r="AF25" s="173"/>
      <c r="AG25" s="36"/>
      <c r="AH25" s="173"/>
      <c r="AI25" s="36">
        <v>3</v>
      </c>
      <c r="AJ25" s="36" t="s">
        <v>1139</v>
      </c>
      <c r="AK25" s="36" t="s">
        <v>1165</v>
      </c>
      <c r="AL25" s="36" t="s">
        <v>1179</v>
      </c>
      <c r="AM25" s="36" t="s">
        <v>1165</v>
      </c>
      <c r="AN25" s="36" t="s">
        <v>1176</v>
      </c>
      <c r="AO25" s="36" t="s">
        <v>1234</v>
      </c>
      <c r="AP25" s="36"/>
    </row>
    <row r="26" spans="3:42" ht="14">
      <c r="C26" s="78">
        <v>99295</v>
      </c>
      <c r="D26" s="60" t="s">
        <v>182</v>
      </c>
      <c r="E26" s="125" t="s">
        <v>181</v>
      </c>
      <c r="F26" s="130" t="s">
        <v>1092</v>
      </c>
      <c r="G26" s="115" t="s">
        <v>1090</v>
      </c>
      <c r="H26" s="18" t="s">
        <v>618</v>
      </c>
      <c r="I26" s="18" t="s">
        <v>2</v>
      </c>
      <c r="J26" s="19" t="s">
        <v>479</v>
      </c>
      <c r="K26" s="99">
        <v>27418</v>
      </c>
      <c r="L26" s="97">
        <f>INDEX(Table1[Production],MATCH(rrcworking[[#This Row],[RRC ID Number]],Table1[RRC Identifier],0))</f>
        <v>667</v>
      </c>
      <c r="M26" s="29">
        <f>INDEX(Table1[Formation Production],MATCH(rrcworking[[#This Row],[RRC ID Number]],Table1[RRC Identifier],0))</f>
        <v>1038</v>
      </c>
      <c r="N26" s="30">
        <f>INDEX(Table1[On Hand End of Month],MATCH(rrcworking[[#This Row],[RRC ID Number]],Table1[RRC Identifier],0))</f>
        <v>182</v>
      </c>
      <c r="O26" s="102" t="b">
        <f t="shared" si="0"/>
        <v>0</v>
      </c>
      <c r="P26">
        <v>0</v>
      </c>
      <c r="Q26" s="122">
        <f>rrcworking[[#This Row],[Last Month Closing Stock]]</f>
        <v>182</v>
      </c>
      <c r="R26">
        <v>182</v>
      </c>
      <c r="S26" s="133">
        <f>IF(ISERROR(INDEX(Table2[OIL],MATCH(rrcworking[[#This Row],[Magnum Wolfpak '#]],Table2[Rox Wolf'#],0))),0,INDEX(Table2[OIL],MATCH(rrcworking[[#This Row],[Magnum Wolfpak '#]],Table2[Rox Wolf'#],0)))</f>
        <v>0</v>
      </c>
      <c r="T26" s="34">
        <f>rrcworking[[#This Row],[Closing Stock (Oil)]]+rrcworking[[#This Row],[Sales/Dispostion]]-rrcworking[[#This Row],[Opening Oil Stock]]</f>
        <v>0</v>
      </c>
      <c r="U26" s="108">
        <f>rrcworking[[#This Row],[Gauge Sheet Prod Volume (oil)]]-rrcworking[[#This Row],[Oil Production]]</f>
        <v>0</v>
      </c>
      <c r="V26" s="133">
        <f>IF(ISERROR(INDEX(Table2[GAS],MATCH(rrcworking[[#This Row],[Magnum Wolfpak '#]],Table2[Rox Wolf'#],0))),0,INDEX(Table2[GAS],MATCH(rrcworking[[#This Row],[Magnum Wolfpak '#]],Table2[Rox Wolf'#],0)))</f>
        <v>0</v>
      </c>
      <c r="W26" s="82"/>
      <c r="X26" s="58">
        <v>7</v>
      </c>
      <c r="Y26" s="133">
        <f>IF(ISERROR(INDEX(Table2[LEASE USE],MATCH(rrcworking[[#This Row],[Magnum Wolfpak '#]],Table2[Rox Wolf'#],0))),0,INDEX(Table2[LEASE USE],MATCH(rrcworking[[#This Row],[Magnum Wolfpak '#]],Table2[Rox Wolf'#],0)))</f>
        <v>0</v>
      </c>
      <c r="Z26" s="133"/>
      <c r="AA26" s="56">
        <f>rrcworking[[#This Row],[Gas Sales Statement Volume (MCF)]]+rrcworking[[#This Row],[Lease Use (MCF)]]+rrcworking[[#This Row],[Flared Gas]]</f>
        <v>0</v>
      </c>
      <c r="AB26" s="36"/>
      <c r="AC26" s="36"/>
      <c r="AD26" s="175">
        <f>COUNTIF(FilterList,rrcworking[[#This Row],[Magnum Wolfpak '#]])</f>
        <v>0</v>
      </c>
      <c r="AE26" s="172"/>
      <c r="AF26" s="173"/>
      <c r="AG26" s="36"/>
      <c r="AH26" s="173"/>
      <c r="AI26" s="36">
        <v>2</v>
      </c>
      <c r="AJ26" s="36" t="s">
        <v>1139</v>
      </c>
      <c r="AK26" s="36" t="s">
        <v>1165</v>
      </c>
      <c r="AL26" s="36" t="s">
        <v>1181</v>
      </c>
      <c r="AM26" s="36" t="s">
        <v>1165</v>
      </c>
      <c r="AN26" s="36" t="s">
        <v>1176</v>
      </c>
      <c r="AO26" s="36" t="s">
        <v>1182</v>
      </c>
      <c r="AP26" s="36"/>
    </row>
    <row r="27" spans="3:42" ht="56">
      <c r="C27" s="78">
        <v>99228</v>
      </c>
      <c r="D27" s="60" t="s">
        <v>76</v>
      </c>
      <c r="E27" s="125" t="s">
        <v>77</v>
      </c>
      <c r="F27" s="124" t="s">
        <v>78</v>
      </c>
      <c r="G27" s="115" t="s">
        <v>1090</v>
      </c>
      <c r="H27" s="18" t="s">
        <v>617</v>
      </c>
      <c r="I27" s="18" t="s">
        <v>59</v>
      </c>
      <c r="J27" s="19" t="s">
        <v>416</v>
      </c>
      <c r="K27" s="99">
        <v>272206</v>
      </c>
      <c r="L27" s="97">
        <f>INDEX(Table1[Production],MATCH(rrcworking[[#This Row],[RRC ID Number]],Table1[RRC Identifier],0))</f>
        <v>0</v>
      </c>
      <c r="M27" s="29">
        <f>INDEX(Table1[Formation Production],MATCH(rrcworking[[#This Row],[RRC ID Number]],Table1[RRC Identifier],0))</f>
        <v>0</v>
      </c>
      <c r="N27" s="30">
        <f>INDEX(Table1[On Hand End of Month],MATCH(rrcworking[[#This Row],[RRC ID Number]],Table1[RRC Identifier],0))</f>
        <v>149</v>
      </c>
      <c r="O27" s="102" t="b">
        <f t="shared" si="0"/>
        <v>1</v>
      </c>
      <c r="P27">
        <v>0</v>
      </c>
      <c r="Q27" s="122">
        <f>rrcworking[[#This Row],[Last Month Closing Stock]]</f>
        <v>149</v>
      </c>
      <c r="R27">
        <v>149</v>
      </c>
      <c r="S27" s="133">
        <f>IF(ISERROR(INDEX(Table2[OIL],MATCH(rrcworking[[#This Row],[Magnum Wolfpak '#]],Table2[Rox Wolf'#],0))),0,INDEX(Table2[OIL],MATCH(rrcworking[[#This Row],[Magnum Wolfpak '#]],Table2[Rox Wolf'#],0)))</f>
        <v>0</v>
      </c>
      <c r="T27" s="34">
        <f>rrcworking[[#This Row],[Closing Stock (Oil)]]+rrcworking[[#This Row],[Sales/Dispostion]]-rrcworking[[#This Row],[Opening Oil Stock]]</f>
        <v>0</v>
      </c>
      <c r="U27" s="108">
        <f>rrcworking[[#This Row],[Gauge Sheet Prod Volume (oil)]]-rrcworking[[#This Row],[Oil Production]]</f>
        <v>0</v>
      </c>
      <c r="V27" s="133">
        <f>IF(ISERROR(INDEX(Table2[GAS],MATCH(rrcworking[[#This Row],[Magnum Wolfpak '#]],Table2[Rox Wolf'#],0))),0,INDEX(Table2[GAS],MATCH(rrcworking[[#This Row],[Magnum Wolfpak '#]],Table2[Rox Wolf'#],0)))</f>
        <v>0</v>
      </c>
      <c r="W27" s="82"/>
      <c r="X27" s="58">
        <v>1</v>
      </c>
      <c r="Y27" s="133">
        <f>IF(ISERROR(INDEX(Table2[LEASE USE],MATCH(rrcworking[[#This Row],[Magnum Wolfpak '#]],Table2[Rox Wolf'#],0))),0,INDEX(Table2[LEASE USE],MATCH(rrcworking[[#This Row],[Magnum Wolfpak '#]],Table2[Rox Wolf'#],0)))</f>
        <v>0</v>
      </c>
      <c r="Z27" s="133"/>
      <c r="AA27" s="56">
        <f>rrcworking[[#This Row],[Gas Sales Statement Volume (MCF)]]+rrcworking[[#This Row],[Lease Use (MCF)]]+rrcworking[[#This Row],[Flared Gas]]</f>
        <v>0</v>
      </c>
      <c r="AB27" s="36"/>
      <c r="AC27" s="36" t="s">
        <v>1304</v>
      </c>
      <c r="AD27" s="175">
        <f>COUNTIF(FilterList,rrcworking[[#This Row],[Magnum Wolfpak '#]])</f>
        <v>0</v>
      </c>
      <c r="AE27" s="172"/>
      <c r="AF27" s="173"/>
      <c r="AG27" s="36"/>
      <c r="AH27" s="36"/>
      <c r="AI27" s="36">
        <v>3</v>
      </c>
      <c r="AJ27" s="36" t="s">
        <v>1139</v>
      </c>
      <c r="AK27" s="36" t="s">
        <v>1165</v>
      </c>
      <c r="AL27" s="36" t="s">
        <v>1179</v>
      </c>
      <c r="AM27" s="36" t="s">
        <v>1165</v>
      </c>
      <c r="AN27" s="36" t="s">
        <v>1176</v>
      </c>
      <c r="AO27" s="36" t="s">
        <v>1183</v>
      </c>
      <c r="AP27" s="36"/>
    </row>
    <row r="28" spans="3:42" ht="14" customHeight="1">
      <c r="C28" s="78" t="e">
        <v>#N/A</v>
      </c>
      <c r="D28" s="60" t="s">
        <v>87</v>
      </c>
      <c r="E28" s="125" t="s">
        <v>88</v>
      </c>
      <c r="F28" s="124">
        <v>1</v>
      </c>
      <c r="G28" s="115" t="s">
        <v>1090</v>
      </c>
      <c r="H28" s="18" t="s">
        <v>617</v>
      </c>
      <c r="I28" s="18" t="s">
        <v>59</v>
      </c>
      <c r="J28" s="19" t="s">
        <v>421</v>
      </c>
      <c r="K28" s="99">
        <v>258014</v>
      </c>
      <c r="L28" s="97">
        <f>INDEX(Table1[Production],MATCH(rrcworking[[#This Row],[RRC ID Number]],Table1[RRC Identifier],0))</f>
        <v>0</v>
      </c>
      <c r="M28" s="29">
        <f>INDEX(Table1[Formation Production],MATCH(rrcworking[[#This Row],[RRC ID Number]],Table1[RRC Identifier],0))</f>
        <v>0</v>
      </c>
      <c r="N28" s="30">
        <f>INDEX(Table1[On Hand End of Month],MATCH(rrcworking[[#This Row],[RRC ID Number]],Table1[RRC Identifier],0))</f>
        <v>132</v>
      </c>
      <c r="O28" s="102" t="b">
        <f t="shared" si="0"/>
        <v>1</v>
      </c>
      <c r="Q28" s="122">
        <f>rrcworking[[#This Row],[Last Month Closing Stock]]</f>
        <v>132</v>
      </c>
      <c r="R28">
        <f>rrcworking[[#This Row],[Opening Oil Stock]]</f>
        <v>132</v>
      </c>
      <c r="S28" s="133">
        <f>IF(ISERROR(INDEX(Table2[OIL],MATCH(rrcworking[[#This Row],[Magnum Wolfpak '#]],Table2[Rox Wolf'#],0))),0,INDEX(Table2[OIL],MATCH(rrcworking[[#This Row],[Magnum Wolfpak '#]],Table2[Rox Wolf'#],0)))</f>
        <v>0</v>
      </c>
      <c r="T28" s="34">
        <f>rrcworking[[#This Row],[Closing Stock (Oil)]]+rrcworking[[#This Row],[Sales/Dispostion]]-rrcworking[[#This Row],[Opening Oil Stock]]</f>
        <v>0</v>
      </c>
      <c r="U28" s="108">
        <f>rrcworking[[#This Row],[Gauge Sheet Prod Volume (oil)]]-rrcworking[[#This Row],[Oil Production]]</f>
        <v>0</v>
      </c>
      <c r="V28" s="133">
        <f>IF(ISERROR(INDEX(Table2[GAS],MATCH(rrcworking[[#This Row],[Magnum Wolfpak '#]],Table2[Rox Wolf'#],0))),0,INDEX(Table2[GAS],MATCH(rrcworking[[#This Row],[Magnum Wolfpak '#]],Table2[Rox Wolf'#],0)))</f>
        <v>0</v>
      </c>
      <c r="W28" s="58"/>
      <c r="X28" s="58"/>
      <c r="Y28" s="133">
        <f>IF(ISERROR(INDEX(Table2[LEASE USE],MATCH(rrcworking[[#This Row],[Magnum Wolfpak '#]],Table2[Rox Wolf'#],0))),0,INDEX(Table2[LEASE USE],MATCH(rrcworking[[#This Row],[Magnum Wolfpak '#]],Table2[Rox Wolf'#],0)))</f>
        <v>0</v>
      </c>
      <c r="Z28" s="133"/>
      <c r="AA28" s="56">
        <f>rrcworking[[#This Row],[Gas Sales Statement Volume (MCF)]]+rrcworking[[#This Row],[Lease Use (MCF)]]+rrcworking[[#This Row],[Flared Gas]]</f>
        <v>0</v>
      </c>
      <c r="AB28" s="36"/>
      <c r="AC28" s="36"/>
      <c r="AD28" s="175">
        <f>COUNTIF(FilterList,rrcworking[[#This Row],[Magnum Wolfpak '#]])</f>
        <v>0</v>
      </c>
      <c r="AE28" s="172"/>
      <c r="AF28" s="173"/>
      <c r="AG28" s="36"/>
      <c r="AH28" s="36"/>
      <c r="AI28" s="36"/>
      <c r="AJ28" s="36"/>
      <c r="AK28" s="36"/>
      <c r="AL28" s="36"/>
      <c r="AM28" s="36"/>
      <c r="AN28" s="36"/>
      <c r="AO28" s="36"/>
      <c r="AP28" s="36"/>
    </row>
    <row r="29" spans="3:42" ht="14" customHeight="1">
      <c r="C29" s="78">
        <v>99255</v>
      </c>
      <c r="D29" s="60" t="s">
        <v>113</v>
      </c>
      <c r="E29" s="125" t="s">
        <v>88</v>
      </c>
      <c r="F29" s="124">
        <v>1</v>
      </c>
      <c r="G29" s="115" t="s">
        <v>1090</v>
      </c>
      <c r="H29" s="18" t="s">
        <v>617</v>
      </c>
      <c r="I29" s="18" t="s">
        <v>59</v>
      </c>
      <c r="J29" s="19" t="s">
        <v>436</v>
      </c>
      <c r="K29" s="99">
        <v>286124</v>
      </c>
      <c r="L29" s="97">
        <f>INDEX(Table1[Production],MATCH(rrcworking[[#This Row],[RRC ID Number]],Table1[RRC Identifier],0))</f>
        <v>0</v>
      </c>
      <c r="M29" s="29">
        <f>INDEX(Table1[Formation Production],MATCH(rrcworking[[#This Row],[RRC ID Number]],Table1[RRC Identifier],0))</f>
        <v>0</v>
      </c>
      <c r="N29" s="30">
        <f>INDEX(Table1[On Hand End of Month],MATCH(rrcworking[[#This Row],[RRC ID Number]],Table1[RRC Identifier],0))</f>
        <v>80</v>
      </c>
      <c r="O29" s="102" t="b">
        <f t="shared" si="0"/>
        <v>1</v>
      </c>
      <c r="Q29" s="122">
        <f>rrcworking[[#This Row],[Last Month Closing Stock]]</f>
        <v>80</v>
      </c>
      <c r="R29">
        <v>80</v>
      </c>
      <c r="S29" s="133">
        <f>IF(ISERROR(INDEX(Table2[OIL],MATCH(rrcworking[[#This Row],[Magnum Wolfpak '#]],Table2[Rox Wolf'#],0))),0,INDEX(Table2[OIL],MATCH(rrcworking[[#This Row],[Magnum Wolfpak '#]],Table2[Rox Wolf'#],0)))</f>
        <v>0</v>
      </c>
      <c r="T29" s="34">
        <f>rrcworking[[#This Row],[Closing Stock (Oil)]]+rrcworking[[#This Row],[Sales/Dispostion]]-rrcworking[[#This Row],[Opening Oil Stock]]</f>
        <v>0</v>
      </c>
      <c r="U29" s="108">
        <f>rrcworking[[#This Row],[Gauge Sheet Prod Volume (oil)]]-rrcworking[[#This Row],[Oil Production]]</f>
        <v>0</v>
      </c>
      <c r="V29" s="133">
        <f>IF(ISERROR(INDEX(Table2[GAS],MATCH(rrcworking[[#This Row],[Magnum Wolfpak '#]],Table2[Rox Wolf'#],0))),0,INDEX(Table2[GAS],MATCH(rrcworking[[#This Row],[Magnum Wolfpak '#]],Table2[Rox Wolf'#],0)))</f>
        <v>0</v>
      </c>
      <c r="W29" s="82"/>
      <c r="X29" s="58">
        <v>1</v>
      </c>
      <c r="Y29" s="133">
        <f>IF(ISERROR(INDEX(Table2[LEASE USE],MATCH(rrcworking[[#This Row],[Magnum Wolfpak '#]],Table2[Rox Wolf'#],0))),0,INDEX(Table2[LEASE USE],MATCH(rrcworking[[#This Row],[Magnum Wolfpak '#]],Table2[Rox Wolf'#],0)))</f>
        <v>0</v>
      </c>
      <c r="Z29" s="133"/>
      <c r="AA29" s="56">
        <f>rrcworking[[#This Row],[Gas Sales Statement Volume (MCF)]]+rrcworking[[#This Row],[Lease Use (MCF)]]+rrcworking[[#This Row],[Flared Gas]]</f>
        <v>0</v>
      </c>
      <c r="AB29" s="36"/>
      <c r="AC29" s="36" t="s">
        <v>1134</v>
      </c>
      <c r="AD29" s="175">
        <f>COUNTIF(FilterList,rrcworking[[#This Row],[Magnum Wolfpak '#]])</f>
        <v>0</v>
      </c>
      <c r="AE29" s="172"/>
      <c r="AF29" s="173"/>
      <c r="AG29" s="83"/>
      <c r="AH29" s="83"/>
      <c r="AI29" s="174"/>
      <c r="AJ29" s="174"/>
      <c r="AK29" s="174"/>
      <c r="AL29" s="174"/>
      <c r="AM29" s="174"/>
      <c r="AN29" s="174"/>
      <c r="AO29" s="36" t="s">
        <v>1163</v>
      </c>
      <c r="AP29" s="36" t="s">
        <v>1184</v>
      </c>
    </row>
    <row r="30" spans="3:42" ht="14" customHeight="1">
      <c r="C30" s="78" t="e">
        <v>#N/A</v>
      </c>
      <c r="D30" s="60" t="s">
        <v>281</v>
      </c>
      <c r="E30" s="125" t="s">
        <v>283</v>
      </c>
      <c r="F30" s="124">
        <v>0</v>
      </c>
      <c r="G30" s="115" t="s">
        <v>1090</v>
      </c>
      <c r="H30" s="18" t="s">
        <v>618</v>
      </c>
      <c r="I30" s="18" t="s">
        <v>2</v>
      </c>
      <c r="J30" s="19" t="s">
        <v>536</v>
      </c>
      <c r="K30" s="99">
        <v>27162</v>
      </c>
      <c r="L30" s="97">
        <f>INDEX(Table1[Production],MATCH(rrcworking[[#This Row],[RRC ID Number]],Table1[RRC Identifier],0))</f>
        <v>0</v>
      </c>
      <c r="M30" s="29">
        <f>INDEX(Table1[Formation Production],MATCH(rrcworking[[#This Row],[RRC ID Number]],Table1[RRC Identifier],0))</f>
        <v>0</v>
      </c>
      <c r="N30" s="30">
        <f>INDEX(Table1[On Hand End of Month],MATCH(rrcworking[[#This Row],[RRC ID Number]],Table1[RRC Identifier],0))</f>
        <v>0</v>
      </c>
      <c r="O30" s="102" t="b">
        <f t="shared" si="0"/>
        <v>1</v>
      </c>
      <c r="Q30" s="122">
        <f>rrcworking[[#This Row],[Last Month Closing Stock]]</f>
        <v>0</v>
      </c>
      <c r="R30">
        <f>rrcworking[[#This Row],[Opening Oil Stock]]</f>
        <v>0</v>
      </c>
      <c r="S30" s="133">
        <f>IF(ISERROR(INDEX(Table2[OIL],MATCH(rrcworking[[#This Row],[Magnum Wolfpak '#]],Table2[Rox Wolf'#],0))),0,INDEX(Table2[OIL],MATCH(rrcworking[[#This Row],[Magnum Wolfpak '#]],Table2[Rox Wolf'#],0)))</f>
        <v>0</v>
      </c>
      <c r="T30" s="34">
        <f>rrcworking[[#This Row],[Closing Stock (Oil)]]+rrcworking[[#This Row],[Sales/Dispostion]]-rrcworking[[#This Row],[Opening Oil Stock]]</f>
        <v>0</v>
      </c>
      <c r="U30" s="108">
        <f>rrcworking[[#This Row],[Gauge Sheet Prod Volume (oil)]]-rrcworking[[#This Row],[Oil Production]]</f>
        <v>0</v>
      </c>
      <c r="V30" s="133">
        <f>IF(ISERROR(INDEX(Table2[GAS],MATCH(rrcworking[[#This Row],[Magnum Wolfpak '#]],Table2[Rox Wolf'#],0))),0,INDEX(Table2[GAS],MATCH(rrcworking[[#This Row],[Magnum Wolfpak '#]],Table2[Rox Wolf'#],0)))</f>
        <v>0</v>
      </c>
      <c r="W30" s="58"/>
      <c r="X30" s="58"/>
      <c r="Y30" s="133">
        <f>IF(ISERROR(INDEX(Table2[LEASE USE],MATCH(rrcworking[[#This Row],[Magnum Wolfpak '#]],Table2[Rox Wolf'#],0))),0,INDEX(Table2[LEASE USE],MATCH(rrcworking[[#This Row],[Magnum Wolfpak '#]],Table2[Rox Wolf'#],0)))</f>
        <v>0</v>
      </c>
      <c r="Z30" s="133"/>
      <c r="AA30" s="56">
        <f>rrcworking[[#This Row],[Gas Sales Statement Volume (MCF)]]+rrcworking[[#This Row],[Lease Use (MCF)]]+rrcworking[[#This Row],[Flared Gas]]</f>
        <v>0</v>
      </c>
      <c r="AB30" s="36"/>
      <c r="AC30" s="36"/>
      <c r="AD30" s="175">
        <f>COUNTIF(FilterList,rrcworking[[#This Row],[Magnum Wolfpak '#]])</f>
        <v>0</v>
      </c>
      <c r="AE30" s="172"/>
      <c r="AF30" s="173"/>
      <c r="AG30" s="36"/>
      <c r="AH30" s="36"/>
      <c r="AI30" s="36"/>
      <c r="AJ30" s="36"/>
      <c r="AK30" s="36"/>
      <c r="AL30" s="36"/>
      <c r="AM30" s="36"/>
      <c r="AN30" s="36"/>
      <c r="AO30" s="36"/>
      <c r="AP30" s="36"/>
    </row>
    <row r="31" spans="3:42" ht="14" customHeight="1">
      <c r="C31" s="78" t="e">
        <v>#N/A</v>
      </c>
      <c r="D31" s="60" t="s">
        <v>256</v>
      </c>
      <c r="E31" s="125" t="s">
        <v>257</v>
      </c>
      <c r="F31" s="124">
        <v>0</v>
      </c>
      <c r="G31" s="115" t="s">
        <v>1090</v>
      </c>
      <c r="H31" s="18" t="s">
        <v>618</v>
      </c>
      <c r="I31" s="18" t="s">
        <v>2</v>
      </c>
      <c r="J31" s="19" t="s">
        <v>517</v>
      </c>
      <c r="K31" s="99">
        <v>21879</v>
      </c>
      <c r="L31" s="97">
        <f>INDEX(Table1[Production],MATCH(rrcworking[[#This Row],[RRC ID Number]],Table1[RRC Identifier],0))</f>
        <v>0</v>
      </c>
      <c r="M31" s="29">
        <f>INDEX(Table1[Formation Production],MATCH(rrcworking[[#This Row],[RRC ID Number]],Table1[RRC Identifier],0))</f>
        <v>0</v>
      </c>
      <c r="N31" s="30">
        <f>INDEX(Table1[On Hand End of Month],MATCH(rrcworking[[#This Row],[RRC ID Number]],Table1[RRC Identifier],0))</f>
        <v>0</v>
      </c>
      <c r="O31" s="102" t="b">
        <f t="shared" si="0"/>
        <v>1</v>
      </c>
      <c r="Q31" s="122">
        <f>rrcworking[[#This Row],[Last Month Closing Stock]]</f>
        <v>0</v>
      </c>
      <c r="R31">
        <f>rrcworking[[#This Row],[Opening Oil Stock]]</f>
        <v>0</v>
      </c>
      <c r="S31" s="133">
        <f>IF(ISERROR(INDEX(Table2[OIL],MATCH(rrcworking[[#This Row],[Magnum Wolfpak '#]],Table2[Rox Wolf'#],0))),0,INDEX(Table2[OIL],MATCH(rrcworking[[#This Row],[Magnum Wolfpak '#]],Table2[Rox Wolf'#],0)))</f>
        <v>0</v>
      </c>
      <c r="T31" s="34">
        <f>rrcworking[[#This Row],[Closing Stock (Oil)]]+rrcworking[[#This Row],[Sales/Dispostion]]-rrcworking[[#This Row],[Opening Oil Stock]]</f>
        <v>0</v>
      </c>
      <c r="U31" s="108">
        <f>rrcworking[[#This Row],[Gauge Sheet Prod Volume (oil)]]-rrcworking[[#This Row],[Oil Production]]</f>
        <v>0</v>
      </c>
      <c r="V31" s="133">
        <f>IF(ISERROR(INDEX(Table2[GAS],MATCH(rrcworking[[#This Row],[Magnum Wolfpak '#]],Table2[Rox Wolf'#],0))),0,INDEX(Table2[GAS],MATCH(rrcworking[[#This Row],[Magnum Wolfpak '#]],Table2[Rox Wolf'#],0)))</f>
        <v>0</v>
      </c>
      <c r="W31" s="58"/>
      <c r="X31" s="58"/>
      <c r="Y31" s="133">
        <f>IF(ISERROR(INDEX(Table2[LEASE USE],MATCH(rrcworking[[#This Row],[Magnum Wolfpak '#]],Table2[Rox Wolf'#],0))),0,INDEX(Table2[LEASE USE],MATCH(rrcworking[[#This Row],[Magnum Wolfpak '#]],Table2[Rox Wolf'#],0)))</f>
        <v>0</v>
      </c>
      <c r="Z31" s="133"/>
      <c r="AA31" s="56">
        <f>rrcworking[[#This Row],[Gas Sales Statement Volume (MCF)]]+rrcworking[[#This Row],[Lease Use (MCF)]]+rrcworking[[#This Row],[Flared Gas]]</f>
        <v>0</v>
      </c>
      <c r="AB31" s="36"/>
      <c r="AC31" s="36"/>
      <c r="AD31" s="175">
        <f>COUNTIF(FilterList,rrcworking[[#This Row],[Magnum Wolfpak '#]])</f>
        <v>0</v>
      </c>
      <c r="AE31" s="172"/>
      <c r="AF31" s="173"/>
      <c r="AG31" s="36"/>
      <c r="AH31" s="36"/>
      <c r="AI31" s="36"/>
      <c r="AJ31" s="36"/>
      <c r="AK31" s="36"/>
      <c r="AL31" s="36"/>
      <c r="AM31" s="36"/>
      <c r="AN31" s="36"/>
      <c r="AO31" s="36"/>
      <c r="AP31" s="36"/>
    </row>
    <row r="32" spans="3:42" ht="14" customHeight="1">
      <c r="C32" s="78">
        <v>98921</v>
      </c>
      <c r="D32" s="60" t="s">
        <v>103</v>
      </c>
      <c r="E32" s="125" t="s">
        <v>104</v>
      </c>
      <c r="F32" s="124">
        <v>0</v>
      </c>
      <c r="G32" s="115" t="s">
        <v>1090</v>
      </c>
      <c r="H32" s="18" t="s">
        <v>617</v>
      </c>
      <c r="I32" s="18" t="s">
        <v>2</v>
      </c>
      <c r="J32" s="19" t="s">
        <v>430</v>
      </c>
      <c r="K32" s="99">
        <v>8646</v>
      </c>
      <c r="L32" s="97">
        <f>INDEX(Table1[Production],MATCH(rrcworking[[#This Row],[RRC ID Number]],Table1[RRC Identifier],0))</f>
        <v>7</v>
      </c>
      <c r="M32" s="29">
        <f>INDEX(Table1[Formation Production],MATCH(rrcworking[[#This Row],[RRC ID Number]],Table1[RRC Identifier],0))</f>
        <v>0</v>
      </c>
      <c r="N32" s="30">
        <f>INDEX(Table1[On Hand End of Month],MATCH(rrcworking[[#This Row],[RRC ID Number]],Table1[RRC Identifier],0))</f>
        <v>123</v>
      </c>
      <c r="O32" s="102" t="b">
        <f t="shared" si="0"/>
        <v>0</v>
      </c>
      <c r="P32">
        <v>0</v>
      </c>
      <c r="Q32" s="122">
        <f>rrcworking[[#This Row],[Last Month Closing Stock]]</f>
        <v>123</v>
      </c>
      <c r="R32">
        <v>123</v>
      </c>
      <c r="S32" s="133">
        <f>IF(ISERROR(INDEX(Table2[OIL],MATCH(rrcworking[[#This Row],[Magnum Wolfpak '#]],Table2[Rox Wolf'#],0))),0,INDEX(Table2[OIL],MATCH(rrcworking[[#This Row],[Magnum Wolfpak '#]],Table2[Rox Wolf'#],0)))</f>
        <v>0</v>
      </c>
      <c r="T32" s="34">
        <f>rrcworking[[#This Row],[Closing Stock (Oil)]]+rrcworking[[#This Row],[Sales/Dispostion]]-rrcworking[[#This Row],[Opening Oil Stock]]</f>
        <v>0</v>
      </c>
      <c r="U32" s="108">
        <f>rrcworking[[#This Row],[Gauge Sheet Prod Volume (oil)]]-rrcworking[[#This Row],[Oil Production]]</f>
        <v>0</v>
      </c>
      <c r="V32" s="133">
        <f>IF(ISERROR(INDEX(Table2[GAS],MATCH(rrcworking[[#This Row],[Magnum Wolfpak '#]],Table2[Rox Wolf'#],0))),0,INDEX(Table2[GAS],MATCH(rrcworking[[#This Row],[Magnum Wolfpak '#]],Table2[Rox Wolf'#],0)))</f>
        <v>0</v>
      </c>
      <c r="W32" s="58"/>
      <c r="X32" s="58"/>
      <c r="Y32" s="133">
        <f>IF(ISERROR(INDEX(Table2[LEASE USE],MATCH(rrcworking[[#This Row],[Magnum Wolfpak '#]],Table2[Rox Wolf'#],0))),0,INDEX(Table2[LEASE USE],MATCH(rrcworking[[#This Row],[Magnum Wolfpak '#]],Table2[Rox Wolf'#],0)))</f>
        <v>0</v>
      </c>
      <c r="Z32" s="133"/>
      <c r="AA32" s="56">
        <f>rrcworking[[#This Row],[Gas Sales Statement Volume (MCF)]]+rrcworking[[#This Row],[Lease Use (MCF)]]+rrcworking[[#This Row],[Flared Gas]]</f>
        <v>0</v>
      </c>
      <c r="AB32" s="36"/>
      <c r="AC32" s="36"/>
      <c r="AD32" s="175">
        <f>COUNTIF(FilterList,rrcworking[[#This Row],[Magnum Wolfpak '#]])</f>
        <v>0</v>
      </c>
      <c r="AE32" s="172"/>
      <c r="AF32" s="173"/>
      <c r="AG32" s="36"/>
      <c r="AH32" s="173"/>
      <c r="AI32" s="36">
        <v>2</v>
      </c>
      <c r="AJ32" s="36" t="s">
        <v>1139</v>
      </c>
      <c r="AK32" s="36" t="s">
        <v>1139</v>
      </c>
      <c r="AL32" s="36" t="s">
        <v>1185</v>
      </c>
      <c r="AM32" s="36" t="s">
        <v>1165</v>
      </c>
      <c r="AN32" s="36" t="s">
        <v>1186</v>
      </c>
      <c r="AO32" s="36" t="s">
        <v>1187</v>
      </c>
      <c r="AP32" s="36"/>
    </row>
    <row r="33" spans="3:42" ht="14" customHeight="1">
      <c r="C33" s="78" t="e">
        <v>#N/A</v>
      </c>
      <c r="D33" s="60" t="s">
        <v>372</v>
      </c>
      <c r="E33" s="125" t="s">
        <v>373</v>
      </c>
      <c r="F33" s="124">
        <v>2</v>
      </c>
      <c r="G33" s="115" t="s">
        <v>1090</v>
      </c>
      <c r="H33" s="18" t="s">
        <v>619</v>
      </c>
      <c r="I33" s="18" t="s">
        <v>59</v>
      </c>
      <c r="J33" s="19" t="s">
        <v>589</v>
      </c>
      <c r="K33" s="99">
        <v>195786</v>
      </c>
      <c r="L33" s="97">
        <f>INDEX(Table1[Production],MATCH(rrcworking[[#This Row],[RRC ID Number]],Table1[RRC Identifier],0))</f>
        <v>0</v>
      </c>
      <c r="M33" s="29">
        <f>INDEX(Table1[Formation Production],MATCH(rrcworking[[#This Row],[RRC ID Number]],Table1[RRC Identifier],0))</f>
        <v>0</v>
      </c>
      <c r="N33" s="30">
        <f>INDEX(Table1[On Hand End of Month],MATCH(rrcworking[[#This Row],[RRC ID Number]],Table1[RRC Identifier],0))</f>
        <v>0</v>
      </c>
      <c r="O33" s="102" t="b">
        <f t="shared" si="0"/>
        <v>1</v>
      </c>
      <c r="Q33" s="122">
        <f>rrcworking[[#This Row],[Last Month Closing Stock]]</f>
        <v>0</v>
      </c>
      <c r="R33">
        <f>rrcworking[[#This Row],[Opening Oil Stock]]</f>
        <v>0</v>
      </c>
      <c r="S33" s="133">
        <f>IF(ISERROR(INDEX(Table2[OIL],MATCH(rrcworking[[#This Row],[Magnum Wolfpak '#]],Table2[Rox Wolf'#],0))),0,INDEX(Table2[OIL],MATCH(rrcworking[[#This Row],[Magnum Wolfpak '#]],Table2[Rox Wolf'#],0)))</f>
        <v>0</v>
      </c>
      <c r="T33" s="34">
        <f>rrcworking[[#This Row],[Closing Stock (Oil)]]+rrcworking[[#This Row],[Sales/Dispostion]]-rrcworking[[#This Row],[Opening Oil Stock]]</f>
        <v>0</v>
      </c>
      <c r="U33" s="108">
        <f>rrcworking[[#This Row],[Gauge Sheet Prod Volume (oil)]]-rrcworking[[#This Row],[Oil Production]]</f>
        <v>0</v>
      </c>
      <c r="V33" s="133">
        <f>IF(ISERROR(INDEX(Table2[GAS],MATCH(rrcworking[[#This Row],[Magnum Wolfpak '#]],Table2[Rox Wolf'#],0))),0,INDEX(Table2[GAS],MATCH(rrcworking[[#This Row],[Magnum Wolfpak '#]],Table2[Rox Wolf'#],0)))</f>
        <v>0</v>
      </c>
      <c r="W33" s="58"/>
      <c r="X33" s="58"/>
      <c r="Y33" s="133">
        <f>IF(ISERROR(INDEX(Table2[LEASE USE],MATCH(rrcworking[[#This Row],[Magnum Wolfpak '#]],Table2[Rox Wolf'#],0))),0,INDEX(Table2[LEASE USE],MATCH(rrcworking[[#This Row],[Magnum Wolfpak '#]],Table2[Rox Wolf'#],0)))</f>
        <v>0</v>
      </c>
      <c r="Z33" s="133"/>
      <c r="AA33" s="56">
        <f>rrcworking[[#This Row],[Gas Sales Statement Volume (MCF)]]+rrcworking[[#This Row],[Lease Use (MCF)]]+rrcworking[[#This Row],[Flared Gas]]</f>
        <v>0</v>
      </c>
      <c r="AB33" s="36"/>
      <c r="AC33" s="36"/>
      <c r="AD33" s="175">
        <f>COUNTIF(FilterList,rrcworking[[#This Row],[Magnum Wolfpak '#]])</f>
        <v>0</v>
      </c>
      <c r="AE33" s="172"/>
      <c r="AF33" s="173"/>
      <c r="AG33" s="36"/>
      <c r="AH33" s="36"/>
      <c r="AI33" s="36"/>
      <c r="AJ33" s="36"/>
      <c r="AK33" s="36"/>
      <c r="AL33" s="36"/>
      <c r="AM33" s="36"/>
      <c r="AN33" s="36"/>
      <c r="AO33" s="36"/>
      <c r="AP33" s="36"/>
    </row>
    <row r="34" spans="3:42" ht="14" customHeight="1">
      <c r="C34" s="78" t="e">
        <v>#N/A</v>
      </c>
      <c r="D34" s="60" t="s">
        <v>313</v>
      </c>
      <c r="E34" s="125" t="s">
        <v>314</v>
      </c>
      <c r="F34" s="124">
        <v>0</v>
      </c>
      <c r="G34" s="115" t="s">
        <v>1090</v>
      </c>
      <c r="H34" s="18" t="s">
        <v>619</v>
      </c>
      <c r="I34" s="18" t="s">
        <v>2</v>
      </c>
      <c r="J34" s="19" t="s">
        <v>555</v>
      </c>
      <c r="K34" s="99">
        <v>13410</v>
      </c>
      <c r="L34" s="97">
        <f>INDEX(Table1[Production],MATCH(rrcworking[[#This Row],[RRC ID Number]],Table1[RRC Identifier],0))</f>
        <v>0</v>
      </c>
      <c r="M34" s="29">
        <f>INDEX(Table1[Formation Production],MATCH(rrcworking[[#This Row],[RRC ID Number]],Table1[RRC Identifier],0))</f>
        <v>0</v>
      </c>
      <c r="N34" s="30">
        <f>INDEX(Table1[On Hand End of Month],MATCH(rrcworking[[#This Row],[RRC ID Number]],Table1[RRC Identifier],0))</f>
        <v>235</v>
      </c>
      <c r="O34" s="102" t="b">
        <f t="shared" si="0"/>
        <v>1</v>
      </c>
      <c r="Q34" s="122">
        <f>rrcworking[[#This Row],[Last Month Closing Stock]]</f>
        <v>235</v>
      </c>
      <c r="R34">
        <f>rrcworking[[#This Row],[Opening Oil Stock]]</f>
        <v>235</v>
      </c>
      <c r="S34" s="133">
        <f>IF(ISERROR(INDEX(Table2[OIL],MATCH(rrcworking[[#This Row],[Magnum Wolfpak '#]],Table2[Rox Wolf'#],0))),0,INDEX(Table2[OIL],MATCH(rrcworking[[#This Row],[Magnum Wolfpak '#]],Table2[Rox Wolf'#],0)))</f>
        <v>0</v>
      </c>
      <c r="T34" s="34">
        <f>rrcworking[[#This Row],[Closing Stock (Oil)]]+rrcworking[[#This Row],[Sales/Dispostion]]-rrcworking[[#This Row],[Opening Oil Stock]]</f>
        <v>0</v>
      </c>
      <c r="U34" s="108">
        <f>rrcworking[[#This Row],[Gauge Sheet Prod Volume (oil)]]-rrcworking[[#This Row],[Oil Production]]</f>
        <v>0</v>
      </c>
      <c r="V34" s="133">
        <f>IF(ISERROR(INDEX(Table2[GAS],MATCH(rrcworking[[#This Row],[Magnum Wolfpak '#]],Table2[Rox Wolf'#],0))),0,INDEX(Table2[GAS],MATCH(rrcworking[[#This Row],[Magnum Wolfpak '#]],Table2[Rox Wolf'#],0)))</f>
        <v>0</v>
      </c>
      <c r="W34" s="58"/>
      <c r="X34" s="58"/>
      <c r="Y34" s="133">
        <f>IF(ISERROR(INDEX(Table2[LEASE USE],MATCH(rrcworking[[#This Row],[Magnum Wolfpak '#]],Table2[Rox Wolf'#],0))),0,INDEX(Table2[LEASE USE],MATCH(rrcworking[[#This Row],[Magnum Wolfpak '#]],Table2[Rox Wolf'#],0)))</f>
        <v>0</v>
      </c>
      <c r="Z34" s="133"/>
      <c r="AA34" s="56">
        <f>rrcworking[[#This Row],[Gas Sales Statement Volume (MCF)]]+rrcworking[[#This Row],[Lease Use (MCF)]]+rrcworking[[#This Row],[Flared Gas]]</f>
        <v>0</v>
      </c>
      <c r="AB34" s="36"/>
      <c r="AC34" s="36"/>
      <c r="AD34" s="175">
        <f>COUNTIF(FilterList,rrcworking[[#This Row],[Magnum Wolfpak '#]])</f>
        <v>0</v>
      </c>
      <c r="AE34" s="172"/>
      <c r="AF34" s="173"/>
      <c r="AG34" s="36"/>
      <c r="AH34" s="36"/>
      <c r="AI34" s="36"/>
      <c r="AJ34" s="36"/>
      <c r="AK34" s="36"/>
      <c r="AL34" s="36"/>
      <c r="AM34" s="36"/>
      <c r="AN34" s="36"/>
      <c r="AO34" s="36"/>
      <c r="AP34" s="36"/>
    </row>
    <row r="35" spans="3:42" ht="14" customHeight="1">
      <c r="C35" s="78">
        <v>99017</v>
      </c>
      <c r="D35" s="60" t="s">
        <v>79</v>
      </c>
      <c r="E35" s="125" t="s">
        <v>80</v>
      </c>
      <c r="F35" s="124">
        <v>1</v>
      </c>
      <c r="G35" s="115" t="s">
        <v>1090</v>
      </c>
      <c r="H35" s="18" t="s">
        <v>617</v>
      </c>
      <c r="I35" s="18" t="s">
        <v>59</v>
      </c>
      <c r="J35" s="19" t="s">
        <v>417</v>
      </c>
      <c r="K35" s="99">
        <v>250887</v>
      </c>
      <c r="L35" s="97">
        <f>INDEX(Table1[Production],MATCH(rrcworking[[#This Row],[RRC ID Number]],Table1[RRC Identifier],0))</f>
        <v>0</v>
      </c>
      <c r="M35" s="29">
        <f>INDEX(Table1[Formation Production],MATCH(rrcworking[[#This Row],[RRC ID Number]],Table1[RRC Identifier],0))</f>
        <v>4634</v>
      </c>
      <c r="N35" s="30">
        <f>INDEX(Table1[On Hand End of Month],MATCH(rrcworking[[#This Row],[RRC ID Number]],Table1[RRC Identifier],0))</f>
        <v>0</v>
      </c>
      <c r="O35" s="102" t="b">
        <f t="shared" si="0"/>
        <v>0</v>
      </c>
      <c r="P35">
        <v>0</v>
      </c>
      <c r="Q35" s="122">
        <f>rrcworking[[#This Row],[Last Month Closing Stock]]</f>
        <v>0</v>
      </c>
      <c r="R35">
        <v>0</v>
      </c>
      <c r="S35" s="133">
        <f>IF(ISERROR(INDEX(Table2[OIL],MATCH(rrcworking[[#This Row],[Magnum Wolfpak '#]],Table2[Rox Wolf'#],0))),0,INDEX(Table2[OIL],MATCH(rrcworking[[#This Row],[Magnum Wolfpak '#]],Table2[Rox Wolf'#],0)))</f>
        <v>0</v>
      </c>
      <c r="T35" s="34">
        <f>rrcworking[[#This Row],[Closing Stock (Oil)]]+rrcworking[[#This Row],[Sales/Dispostion]]-rrcworking[[#This Row],[Opening Oil Stock]]</f>
        <v>0</v>
      </c>
      <c r="U35" s="108">
        <f>rrcworking[[#This Row],[Gauge Sheet Prod Volume (oil)]]-rrcworking[[#This Row],[Oil Production]]</f>
        <v>0</v>
      </c>
      <c r="V35" s="133">
        <f>IF(ISERROR(INDEX(Table2[GAS],MATCH(rrcworking[[#This Row],[Magnum Wolfpak '#]],Table2[Rox Wolf'#],0))),0,INDEX(Table2[GAS],MATCH(rrcworking[[#This Row],[Magnum Wolfpak '#]],Table2[Rox Wolf'#],0)))</f>
        <v>4443</v>
      </c>
      <c r="W35" s="82"/>
      <c r="X35" s="58">
        <v>7</v>
      </c>
      <c r="Y35" s="133">
        <f>IF(ISERROR(INDEX(Table2[LEASE USE],MATCH(rrcworking[[#This Row],[Magnum Wolfpak '#]],Table2[Rox Wolf'#],0))),0,INDEX(Table2[LEASE USE],MATCH(rrcworking[[#This Row],[Magnum Wolfpak '#]],Table2[Rox Wolf'#],0)))</f>
        <v>217</v>
      </c>
      <c r="Z35" s="133"/>
      <c r="AA35" s="56">
        <f>rrcworking[[#This Row],[Gas Sales Statement Volume (MCF)]]+rrcworking[[#This Row],[Lease Use (MCF)]]+rrcworking[[#This Row],[Flared Gas]]</f>
        <v>4660</v>
      </c>
      <c r="AB35" s="36"/>
      <c r="AC35" s="36"/>
      <c r="AD35" s="175">
        <f>COUNTIF(FilterList,rrcworking[[#This Row],[Magnum Wolfpak '#]])</f>
        <v>0</v>
      </c>
      <c r="AE35" s="172"/>
      <c r="AF35" s="173"/>
      <c r="AG35" s="36"/>
      <c r="AH35" s="36"/>
      <c r="AI35" s="36">
        <v>3</v>
      </c>
      <c r="AJ35" s="36" t="s">
        <v>1139</v>
      </c>
      <c r="AK35" s="36" t="s">
        <v>1165</v>
      </c>
      <c r="AL35" s="36" t="s">
        <v>1179</v>
      </c>
      <c r="AM35" s="36" t="s">
        <v>1165</v>
      </c>
      <c r="AN35" s="36" t="s">
        <v>1176</v>
      </c>
      <c r="AO35" s="36" t="s">
        <v>1188</v>
      </c>
      <c r="AP35" s="36"/>
    </row>
    <row r="36" spans="3:42" ht="14" customHeight="1">
      <c r="C36" s="78">
        <v>99067</v>
      </c>
      <c r="D36" s="60" t="s">
        <v>351</v>
      </c>
      <c r="E36" s="125" t="s">
        <v>352</v>
      </c>
      <c r="F36" s="124">
        <v>14</v>
      </c>
      <c r="G36" s="115" t="s">
        <v>1090</v>
      </c>
      <c r="H36" s="18" t="s">
        <v>619</v>
      </c>
      <c r="I36" s="18" t="s">
        <v>59</v>
      </c>
      <c r="J36" s="19" t="s">
        <v>578</v>
      </c>
      <c r="K36" s="99">
        <v>162080</v>
      </c>
      <c r="L36" s="97">
        <f>INDEX(Table1[Production],MATCH(rrcworking[[#This Row],[RRC ID Number]],Table1[RRC Identifier],0))</f>
        <v>0</v>
      </c>
      <c r="M36" s="29">
        <f>INDEX(Table1[Formation Production],MATCH(rrcworking[[#This Row],[RRC ID Number]],Table1[RRC Identifier],0))</f>
        <v>214</v>
      </c>
      <c r="N36" s="30">
        <f>INDEX(Table1[On Hand End of Month],MATCH(rrcworking[[#This Row],[RRC ID Number]],Table1[RRC Identifier],0))</f>
        <v>3</v>
      </c>
      <c r="O36" s="102" t="b">
        <f t="shared" si="0"/>
        <v>0</v>
      </c>
      <c r="Q36" s="122">
        <f>rrcworking[[#This Row],[Last Month Closing Stock]]</f>
        <v>3</v>
      </c>
      <c r="R36">
        <v>3</v>
      </c>
      <c r="S36" s="133">
        <f>IF(ISERROR(INDEX(Table2[OIL],MATCH(rrcworking[[#This Row],[Magnum Wolfpak '#]],Table2[Rox Wolf'#],0))),0,INDEX(Table2[OIL],MATCH(rrcworking[[#This Row],[Magnum Wolfpak '#]],Table2[Rox Wolf'#],0)))</f>
        <v>0</v>
      </c>
      <c r="T36" s="34">
        <f>rrcworking[[#This Row],[Closing Stock (Oil)]]+rrcworking[[#This Row],[Sales/Dispostion]]-rrcworking[[#This Row],[Opening Oil Stock]]</f>
        <v>0</v>
      </c>
      <c r="U36" s="108">
        <f>rrcworking[[#This Row],[Gauge Sheet Prod Volume (oil)]]-rrcworking[[#This Row],[Oil Production]]</f>
        <v>0</v>
      </c>
      <c r="V36" s="133">
        <f>IF(ISERROR(INDEX(Table2[GAS],MATCH(rrcworking[[#This Row],[Magnum Wolfpak '#]],Table2[Rox Wolf'#],0))),0,INDEX(Table2[GAS],MATCH(rrcworking[[#This Row],[Magnum Wolfpak '#]],Table2[Rox Wolf'#],0)))</f>
        <v>182</v>
      </c>
      <c r="W36" s="58"/>
      <c r="X36" s="58"/>
      <c r="Y36" s="133">
        <f>IF(ISERROR(INDEX(Table2[LEASE USE],MATCH(rrcworking[[#This Row],[Magnum Wolfpak '#]],Table2[Rox Wolf'#],0))),0,INDEX(Table2[LEASE USE],MATCH(rrcworking[[#This Row],[Magnum Wolfpak '#]],Table2[Rox Wolf'#],0)))</f>
        <v>0</v>
      </c>
      <c r="Z36" s="133"/>
      <c r="AA36" s="56">
        <f>rrcworking[[#This Row],[Gas Sales Statement Volume (MCF)]]+rrcworking[[#This Row],[Lease Use (MCF)]]+rrcworking[[#This Row],[Flared Gas]]</f>
        <v>182</v>
      </c>
      <c r="AB36" s="93"/>
      <c r="AC36" s="36"/>
      <c r="AD36" s="175">
        <f>COUNTIF(FilterList,rrcworking[[#This Row],[Magnum Wolfpak '#]])</f>
        <v>0</v>
      </c>
      <c r="AE36" s="172"/>
      <c r="AF36" s="173"/>
      <c r="AG36" s="83"/>
      <c r="AH36" s="83"/>
      <c r="AI36" s="174"/>
      <c r="AJ36" s="174"/>
      <c r="AK36" s="174"/>
      <c r="AL36" s="174"/>
      <c r="AM36" s="174"/>
      <c r="AN36" s="174"/>
      <c r="AO36" s="36" t="s">
        <v>1163</v>
      </c>
      <c r="AP36" s="36" t="s">
        <v>1189</v>
      </c>
    </row>
    <row r="37" spans="3:42" ht="14" customHeight="1">
      <c r="C37" s="78">
        <v>98915</v>
      </c>
      <c r="D37" s="60" t="s">
        <v>140</v>
      </c>
      <c r="E37" s="125" t="s">
        <v>142</v>
      </c>
      <c r="F37" s="124">
        <v>4</v>
      </c>
      <c r="G37" s="115" t="s">
        <v>1090</v>
      </c>
      <c r="H37" s="18" t="s">
        <v>617</v>
      </c>
      <c r="I37" s="18" t="s">
        <v>59</v>
      </c>
      <c r="J37" s="19" t="s">
        <v>455</v>
      </c>
      <c r="K37" s="99">
        <v>174916</v>
      </c>
      <c r="L37" s="97">
        <f>INDEX(Table1[Production],MATCH(rrcworking[[#This Row],[RRC ID Number]],Table1[RRC Identifier],0))</f>
        <v>0</v>
      </c>
      <c r="M37" s="29">
        <f>INDEX(Table1[Formation Production],MATCH(rrcworking[[#This Row],[RRC ID Number]],Table1[RRC Identifier],0))</f>
        <v>52</v>
      </c>
      <c r="N37" s="30">
        <f>INDEX(Table1[On Hand End of Month],MATCH(rrcworking[[#This Row],[RRC ID Number]],Table1[RRC Identifier],0))</f>
        <v>0</v>
      </c>
      <c r="O37" s="102" t="b">
        <f t="shared" si="0"/>
        <v>0</v>
      </c>
      <c r="Q37" s="122">
        <f>rrcworking[[#This Row],[Last Month Closing Stock]]</f>
        <v>0</v>
      </c>
      <c r="R37">
        <v>0</v>
      </c>
      <c r="S37" s="133">
        <f>IF(ISERROR(INDEX(Table2[OIL],MATCH(rrcworking[[#This Row],[Magnum Wolfpak '#]],Table2[Rox Wolf'#],0))),0,INDEX(Table2[OIL],MATCH(rrcworking[[#This Row],[Magnum Wolfpak '#]],Table2[Rox Wolf'#],0)))</f>
        <v>0</v>
      </c>
      <c r="T37" s="34">
        <f>rrcworking[[#This Row],[Closing Stock (Oil)]]+rrcworking[[#This Row],[Sales/Dispostion]]-rrcworking[[#This Row],[Opening Oil Stock]]</f>
        <v>0</v>
      </c>
      <c r="U37" s="108">
        <f>rrcworking[[#This Row],[Gauge Sheet Prod Volume (oil)]]-rrcworking[[#This Row],[Oil Production]]</f>
        <v>0</v>
      </c>
      <c r="V37" s="133">
        <f>IF(ISERROR(INDEX(Table2[GAS],MATCH(rrcworking[[#This Row],[Magnum Wolfpak '#]],Table2[Rox Wolf'#],0))),0,INDEX(Table2[GAS],MATCH(rrcworking[[#This Row],[Magnum Wolfpak '#]],Table2[Rox Wolf'#],0)))</f>
        <v>0</v>
      </c>
      <c r="W37" s="58"/>
      <c r="X37" s="58"/>
      <c r="Y37" s="133">
        <f>IF(ISERROR(INDEX(Table2[LEASE USE],MATCH(rrcworking[[#This Row],[Magnum Wolfpak '#]],Table2[Rox Wolf'#],0))),0,INDEX(Table2[LEASE USE],MATCH(rrcworking[[#This Row],[Magnum Wolfpak '#]],Table2[Rox Wolf'#],0)))</f>
        <v>0</v>
      </c>
      <c r="Z37" s="133"/>
      <c r="AA37" s="56">
        <f>rrcworking[[#This Row],[Gas Sales Statement Volume (MCF)]]+rrcworking[[#This Row],[Lease Use (MCF)]]+rrcworking[[#This Row],[Flared Gas]]</f>
        <v>0</v>
      </c>
      <c r="AB37" s="36"/>
      <c r="AC37" s="36"/>
      <c r="AD37" s="175">
        <f>COUNTIF(FilterList,rrcworking[[#This Row],[Magnum Wolfpak '#]])</f>
        <v>0</v>
      </c>
      <c r="AE37" s="172"/>
      <c r="AF37" s="173"/>
      <c r="AG37" s="36"/>
      <c r="AH37" s="36"/>
      <c r="AI37" s="36"/>
      <c r="AJ37" s="36"/>
      <c r="AK37" s="36"/>
      <c r="AL37" s="36"/>
      <c r="AM37" s="36"/>
      <c r="AN37" s="36"/>
      <c r="AO37" s="36" t="s">
        <v>1163</v>
      </c>
      <c r="AP37" s="36" t="s">
        <v>1169</v>
      </c>
    </row>
    <row r="38" spans="3:42" ht="14" customHeight="1">
      <c r="C38" s="80">
        <v>99069</v>
      </c>
      <c r="D38" s="94" t="s">
        <v>357</v>
      </c>
      <c r="E38" s="126" t="s">
        <v>358</v>
      </c>
      <c r="F38" s="123">
        <v>2</v>
      </c>
      <c r="G38" s="116" t="s">
        <v>1090</v>
      </c>
      <c r="H38" s="120" t="s">
        <v>619</v>
      </c>
      <c r="I38" s="120" t="s">
        <v>59</v>
      </c>
      <c r="J38" s="81" t="s">
        <v>582</v>
      </c>
      <c r="K38" s="100">
        <v>194224</v>
      </c>
      <c r="L38" s="97">
        <f>INDEX(Table1[Production],MATCH(rrcworking[[#This Row],[RRC ID Number]],Table1[RRC Identifier],0))</f>
        <v>78</v>
      </c>
      <c r="M38" s="29">
        <f>INDEX(Table1[Formation Production],MATCH(rrcworking[[#This Row],[RRC ID Number]],Table1[RRC Identifier],0))</f>
        <v>1049</v>
      </c>
      <c r="N38" s="95">
        <f>INDEX(Table1[On Hand End of Month],MATCH(rrcworking[[#This Row],[RRC ID Number]],Table1[RRC Identifier],0))</f>
        <v>27</v>
      </c>
      <c r="O38" s="103" t="b">
        <f t="shared" ref="O38:O69" si="1">IF(AND(L38=0,M38=0), TRUE, FALSE)</f>
        <v>0</v>
      </c>
      <c r="P38">
        <v>0</v>
      </c>
      <c r="Q38" s="122">
        <f>rrcworking[[#This Row],[Last Month Closing Stock]]</f>
        <v>27</v>
      </c>
      <c r="R38">
        <v>27</v>
      </c>
      <c r="S38" s="133">
        <f>IF(ISERROR(INDEX(Table2[OIL],MATCH(rrcworking[[#This Row],[Magnum Wolfpak '#]],Table2[Rox Wolf'#],0))),0,INDEX(Table2[OIL],MATCH(rrcworking[[#This Row],[Magnum Wolfpak '#]],Table2[Rox Wolf'#],0)))</f>
        <v>0</v>
      </c>
      <c r="T38" s="96">
        <f>rrcworking[[#This Row],[Closing Stock (Oil)]]+rrcworking[[#This Row],[Sales/Dispostion]]-rrcworking[[#This Row],[Opening Oil Stock]]</f>
        <v>0</v>
      </c>
      <c r="U38" s="109">
        <f>rrcworking[[#This Row],[Gauge Sheet Prod Volume (oil)]]-rrcworking[[#This Row],[Oil Production]]</f>
        <v>0</v>
      </c>
      <c r="V38" s="133">
        <f>IF(ISERROR(INDEX(Table2[GAS],MATCH(rrcworking[[#This Row],[Magnum Wolfpak '#]],Table2[Rox Wolf'#],0))),0,INDEX(Table2[GAS],MATCH(rrcworking[[#This Row],[Magnum Wolfpak '#]],Table2[Rox Wolf'#],0)))</f>
        <v>0</v>
      </c>
      <c r="W38" s="127"/>
      <c r="X38" s="82">
        <v>3</v>
      </c>
      <c r="Y38" s="133">
        <f>IF(ISERROR(INDEX(Table2[LEASE USE],MATCH(rrcworking[[#This Row],[Magnum Wolfpak '#]],Table2[Rox Wolf'#],0))),0,INDEX(Table2[LEASE USE],MATCH(rrcworking[[#This Row],[Magnum Wolfpak '#]],Table2[Rox Wolf'#],0)))</f>
        <v>0</v>
      </c>
      <c r="Z38" s="133"/>
      <c r="AA38" s="56">
        <f>rrcworking[[#This Row],[Gas Sales Statement Volume (MCF)]]+rrcworking[[#This Row],[Lease Use (MCF)]]+rrcworking[[#This Row],[Flared Gas]]</f>
        <v>0</v>
      </c>
      <c r="AB38" s="83"/>
      <c r="AC38" s="83" t="s">
        <v>1264</v>
      </c>
      <c r="AD38" s="175">
        <f>COUNTIF(FilterList,rrcworking[[#This Row],[Magnum Wolfpak '#]])</f>
        <v>0</v>
      </c>
      <c r="AE38" s="172"/>
      <c r="AF38" s="173"/>
      <c r="AG38" s="36"/>
      <c r="AH38" s="173"/>
      <c r="AI38" s="36">
        <v>1</v>
      </c>
      <c r="AJ38" s="36" t="s">
        <v>1165</v>
      </c>
      <c r="AK38" s="36" t="s">
        <v>1165</v>
      </c>
      <c r="AL38" s="36" t="s">
        <v>1190</v>
      </c>
      <c r="AM38" s="36" t="s">
        <v>1165</v>
      </c>
      <c r="AN38" s="36" t="s">
        <v>1191</v>
      </c>
      <c r="AO38" s="36" t="s">
        <v>1192</v>
      </c>
      <c r="AP38" s="36"/>
    </row>
    <row r="39" spans="3:42" ht="14" customHeight="1">
      <c r="C39" s="78" t="e">
        <v>#N/A</v>
      </c>
      <c r="D39" s="60" t="s">
        <v>334</v>
      </c>
      <c r="E39" s="125" t="s">
        <v>336</v>
      </c>
      <c r="F39" s="124">
        <v>0</v>
      </c>
      <c r="G39" s="115" t="s">
        <v>1090</v>
      </c>
      <c r="H39" s="18" t="s">
        <v>619</v>
      </c>
      <c r="I39" s="18" t="s">
        <v>2</v>
      </c>
      <c r="J39" s="19" t="s">
        <v>569</v>
      </c>
      <c r="K39" s="99">
        <v>10563</v>
      </c>
      <c r="L39" s="97">
        <f>INDEX(Table1[Production],MATCH(rrcworking[[#This Row],[RRC ID Number]],Table1[RRC Identifier],0))</f>
        <v>0</v>
      </c>
      <c r="M39" s="29">
        <f>INDEX(Table1[Formation Production],MATCH(rrcworking[[#This Row],[RRC ID Number]],Table1[RRC Identifier],0))</f>
        <v>0</v>
      </c>
      <c r="N39" s="30">
        <f>INDEX(Table1[On Hand End of Month],MATCH(rrcworking[[#This Row],[RRC ID Number]],Table1[RRC Identifier],0))</f>
        <v>69</v>
      </c>
      <c r="O39" s="102" t="b">
        <f t="shared" si="1"/>
        <v>1</v>
      </c>
      <c r="Q39" s="122">
        <f>rrcworking[[#This Row],[Last Month Closing Stock]]</f>
        <v>69</v>
      </c>
      <c r="R39">
        <f>rrcworking[[#This Row],[Opening Oil Stock]]</f>
        <v>69</v>
      </c>
      <c r="S39" s="133">
        <f>IF(ISERROR(INDEX(Table2[OIL],MATCH(rrcworking[[#This Row],[Magnum Wolfpak '#]],Table2[Rox Wolf'#],0))),0,INDEX(Table2[OIL],MATCH(rrcworking[[#This Row],[Magnum Wolfpak '#]],Table2[Rox Wolf'#],0)))</f>
        <v>0</v>
      </c>
      <c r="T39" s="34">
        <f>rrcworking[[#This Row],[Closing Stock (Oil)]]+rrcworking[[#This Row],[Sales/Dispostion]]-rrcworking[[#This Row],[Opening Oil Stock]]</f>
        <v>0</v>
      </c>
      <c r="U39" s="108">
        <f>rrcworking[[#This Row],[Gauge Sheet Prod Volume (oil)]]-rrcworking[[#This Row],[Oil Production]]</f>
        <v>0</v>
      </c>
      <c r="V39" s="133">
        <f>IF(ISERROR(INDEX(Table2[GAS],MATCH(rrcworking[[#This Row],[Magnum Wolfpak '#]],Table2[Rox Wolf'#],0))),0,INDEX(Table2[GAS],MATCH(rrcworking[[#This Row],[Magnum Wolfpak '#]],Table2[Rox Wolf'#],0)))</f>
        <v>0</v>
      </c>
      <c r="W39" s="58"/>
      <c r="X39" s="58"/>
      <c r="Y39" s="133">
        <f>IF(ISERROR(INDEX(Table2[LEASE USE],MATCH(rrcworking[[#This Row],[Magnum Wolfpak '#]],Table2[Rox Wolf'#],0))),0,INDEX(Table2[LEASE USE],MATCH(rrcworking[[#This Row],[Magnum Wolfpak '#]],Table2[Rox Wolf'#],0)))</f>
        <v>0</v>
      </c>
      <c r="Z39" s="133"/>
      <c r="AA39" s="56">
        <f>rrcworking[[#This Row],[Gas Sales Statement Volume (MCF)]]+rrcworking[[#This Row],[Lease Use (MCF)]]+rrcworking[[#This Row],[Flared Gas]]</f>
        <v>0</v>
      </c>
      <c r="AB39" s="36"/>
      <c r="AC39" s="36"/>
      <c r="AD39" s="175">
        <f>COUNTIF(FilterList,rrcworking[[#This Row],[Magnum Wolfpak '#]])</f>
        <v>0</v>
      </c>
      <c r="AE39" s="172"/>
      <c r="AF39" s="173"/>
      <c r="AG39" s="36"/>
      <c r="AH39" s="36"/>
      <c r="AI39" s="36"/>
      <c r="AJ39" s="36"/>
      <c r="AK39" s="36"/>
      <c r="AL39" s="36"/>
      <c r="AM39" s="36"/>
      <c r="AN39" s="36"/>
      <c r="AO39" s="36"/>
      <c r="AP39" s="36"/>
    </row>
    <row r="40" spans="3:42" ht="14" customHeight="1">
      <c r="C40" s="78" t="e">
        <v>#N/A</v>
      </c>
      <c r="D40" s="60" t="s">
        <v>81</v>
      </c>
      <c r="E40" s="125" t="s">
        <v>82</v>
      </c>
      <c r="F40" s="124" t="s">
        <v>83</v>
      </c>
      <c r="G40" s="115" t="s">
        <v>1090</v>
      </c>
      <c r="H40" s="18" t="s">
        <v>617</v>
      </c>
      <c r="I40" s="18" t="s">
        <v>59</v>
      </c>
      <c r="J40" s="19" t="s">
        <v>418</v>
      </c>
      <c r="K40" s="99">
        <v>270531</v>
      </c>
      <c r="L40" s="97">
        <f>INDEX(Table1[Production],MATCH(rrcworking[[#This Row],[RRC ID Number]],Table1[RRC Identifier],0))</f>
        <v>0</v>
      </c>
      <c r="M40" s="29">
        <f>INDEX(Table1[Formation Production],MATCH(rrcworking[[#This Row],[RRC ID Number]],Table1[RRC Identifier],0))</f>
        <v>0</v>
      </c>
      <c r="N40" s="30">
        <f>INDEX(Table1[On Hand End of Month],MATCH(rrcworking[[#This Row],[RRC ID Number]],Table1[RRC Identifier],0))</f>
        <v>26</v>
      </c>
      <c r="O40" s="102" t="b">
        <f t="shared" si="1"/>
        <v>1</v>
      </c>
      <c r="Q40" s="122">
        <f>rrcworking[[#This Row],[Last Month Closing Stock]]</f>
        <v>26</v>
      </c>
      <c r="R40">
        <f>rrcworking[[#This Row],[Opening Oil Stock]]</f>
        <v>26</v>
      </c>
      <c r="S40" s="133">
        <f>IF(ISERROR(INDEX(Table2[OIL],MATCH(rrcworking[[#This Row],[Magnum Wolfpak '#]],Table2[Rox Wolf'#],0))),0,INDEX(Table2[OIL],MATCH(rrcworking[[#This Row],[Magnum Wolfpak '#]],Table2[Rox Wolf'#],0)))</f>
        <v>0</v>
      </c>
      <c r="T40" s="34">
        <f>rrcworking[[#This Row],[Closing Stock (Oil)]]+rrcworking[[#This Row],[Sales/Dispostion]]-rrcworking[[#This Row],[Opening Oil Stock]]</f>
        <v>0</v>
      </c>
      <c r="U40" s="108">
        <f>rrcworking[[#This Row],[Gauge Sheet Prod Volume (oil)]]-rrcworking[[#This Row],[Oil Production]]</f>
        <v>0</v>
      </c>
      <c r="V40" s="133">
        <f>IF(ISERROR(INDEX(Table2[GAS],MATCH(rrcworking[[#This Row],[Magnum Wolfpak '#]],Table2[Rox Wolf'#],0))),0,INDEX(Table2[GAS],MATCH(rrcworking[[#This Row],[Magnum Wolfpak '#]],Table2[Rox Wolf'#],0)))</f>
        <v>0</v>
      </c>
      <c r="W40" s="58"/>
      <c r="X40" s="58"/>
      <c r="Y40" s="133">
        <f>IF(ISERROR(INDEX(Table2[LEASE USE],MATCH(rrcworking[[#This Row],[Magnum Wolfpak '#]],Table2[Rox Wolf'#],0))),0,INDEX(Table2[LEASE USE],MATCH(rrcworking[[#This Row],[Magnum Wolfpak '#]],Table2[Rox Wolf'#],0)))</f>
        <v>0</v>
      </c>
      <c r="Z40" s="133"/>
      <c r="AA40" s="56">
        <f>rrcworking[[#This Row],[Gas Sales Statement Volume (MCF)]]+rrcworking[[#This Row],[Lease Use (MCF)]]+rrcworking[[#This Row],[Flared Gas]]</f>
        <v>0</v>
      </c>
      <c r="AB40" s="36"/>
      <c r="AC40" s="36"/>
      <c r="AD40" s="175">
        <f>COUNTIF(FilterList,rrcworking[[#This Row],[Magnum Wolfpak '#]])</f>
        <v>0</v>
      </c>
      <c r="AE40" s="172"/>
      <c r="AF40" s="173"/>
      <c r="AG40" s="36"/>
      <c r="AH40" s="36"/>
      <c r="AI40" s="36"/>
      <c r="AJ40" s="36"/>
      <c r="AK40" s="36"/>
      <c r="AL40" s="36"/>
      <c r="AM40" s="36"/>
      <c r="AN40" s="36"/>
      <c r="AO40" s="36"/>
      <c r="AP40" s="36"/>
    </row>
    <row r="41" spans="3:42" ht="14" customHeight="1">
      <c r="C41" s="78" t="e">
        <v>#N/A</v>
      </c>
      <c r="D41" s="60" t="s">
        <v>178</v>
      </c>
      <c r="E41" s="125" t="s">
        <v>179</v>
      </c>
      <c r="F41" s="124">
        <v>1</v>
      </c>
      <c r="G41" s="115" t="s">
        <v>1090</v>
      </c>
      <c r="H41" s="18" t="s">
        <v>618</v>
      </c>
      <c r="I41" s="18" t="s">
        <v>59</v>
      </c>
      <c r="J41" s="19" t="s">
        <v>476</v>
      </c>
      <c r="K41" s="99">
        <v>160307</v>
      </c>
      <c r="L41" s="97">
        <f>INDEX(Table1[Production],MATCH(rrcworking[[#This Row],[RRC ID Number]],Table1[RRC Identifier],0))</f>
        <v>0</v>
      </c>
      <c r="M41" s="29">
        <f>INDEX(Table1[Formation Production],MATCH(rrcworking[[#This Row],[RRC ID Number]],Table1[RRC Identifier],0))</f>
        <v>0</v>
      </c>
      <c r="N41" s="30">
        <f>INDEX(Table1[On Hand End of Month],MATCH(rrcworking[[#This Row],[RRC ID Number]],Table1[RRC Identifier],0))</f>
        <v>173</v>
      </c>
      <c r="O41" s="102" t="b">
        <f t="shared" si="1"/>
        <v>1</v>
      </c>
      <c r="Q41" s="122">
        <f>rrcworking[[#This Row],[Last Month Closing Stock]]</f>
        <v>173</v>
      </c>
      <c r="R41">
        <f>rrcworking[[#This Row],[Opening Oil Stock]]</f>
        <v>173</v>
      </c>
      <c r="S41" s="133">
        <f>IF(ISERROR(INDEX(Table2[OIL],MATCH(rrcworking[[#This Row],[Magnum Wolfpak '#]],Table2[Rox Wolf'#],0))),0,INDEX(Table2[OIL],MATCH(rrcworking[[#This Row],[Magnum Wolfpak '#]],Table2[Rox Wolf'#],0)))</f>
        <v>0</v>
      </c>
      <c r="T41" s="34">
        <f>rrcworking[[#This Row],[Closing Stock (Oil)]]+rrcworking[[#This Row],[Sales/Dispostion]]-rrcworking[[#This Row],[Opening Oil Stock]]</f>
        <v>0</v>
      </c>
      <c r="U41" s="108">
        <f>rrcworking[[#This Row],[Gauge Sheet Prod Volume (oil)]]-rrcworking[[#This Row],[Oil Production]]</f>
        <v>0</v>
      </c>
      <c r="V41" s="133">
        <f>IF(ISERROR(INDEX(Table2[GAS],MATCH(rrcworking[[#This Row],[Magnum Wolfpak '#]],Table2[Rox Wolf'#],0))),0,INDEX(Table2[GAS],MATCH(rrcworking[[#This Row],[Magnum Wolfpak '#]],Table2[Rox Wolf'#],0)))</f>
        <v>0</v>
      </c>
      <c r="W41" s="58"/>
      <c r="X41" s="58"/>
      <c r="Y41" s="133">
        <f>IF(ISERROR(INDEX(Table2[LEASE USE],MATCH(rrcworking[[#This Row],[Magnum Wolfpak '#]],Table2[Rox Wolf'#],0))),0,INDEX(Table2[LEASE USE],MATCH(rrcworking[[#This Row],[Magnum Wolfpak '#]],Table2[Rox Wolf'#],0)))</f>
        <v>0</v>
      </c>
      <c r="Z41" s="133"/>
      <c r="AA41" s="56">
        <f>rrcworking[[#This Row],[Gas Sales Statement Volume (MCF)]]+rrcworking[[#This Row],[Lease Use (MCF)]]+rrcworking[[#This Row],[Flared Gas]]</f>
        <v>0</v>
      </c>
      <c r="AB41" s="36"/>
      <c r="AC41" s="36"/>
      <c r="AD41" s="175">
        <f>COUNTIF(FilterList,rrcworking[[#This Row],[Magnum Wolfpak '#]])</f>
        <v>0</v>
      </c>
      <c r="AE41" s="172"/>
      <c r="AF41" s="173"/>
      <c r="AG41" s="36"/>
      <c r="AH41" s="36"/>
      <c r="AI41" s="36"/>
      <c r="AJ41" s="36"/>
      <c r="AK41" s="36"/>
      <c r="AL41" s="36"/>
      <c r="AM41" s="36"/>
      <c r="AN41" s="36"/>
      <c r="AO41" s="36"/>
      <c r="AP41" s="36"/>
    </row>
    <row r="42" spans="3:42" ht="14" customHeight="1">
      <c r="C42" s="78">
        <v>98965</v>
      </c>
      <c r="D42" s="60" t="s">
        <v>189</v>
      </c>
      <c r="E42" s="125" t="s">
        <v>191</v>
      </c>
      <c r="F42" s="124">
        <v>3</v>
      </c>
      <c r="G42" s="115" t="s">
        <v>1090</v>
      </c>
      <c r="H42" s="161" t="s">
        <v>1140</v>
      </c>
      <c r="I42" s="18" t="s">
        <v>59</v>
      </c>
      <c r="J42" s="19" t="s">
        <v>483</v>
      </c>
      <c r="K42" s="99">
        <v>278004</v>
      </c>
      <c r="L42" s="97">
        <f>INDEX(Table1[Production],MATCH(rrcworking[[#This Row],[RRC ID Number]],Table1[RRC Identifier],0))</f>
        <v>31</v>
      </c>
      <c r="M42" s="29">
        <f>INDEX(Table1[Formation Production],MATCH(rrcworking[[#This Row],[RRC ID Number]],Table1[RRC Identifier],0))</f>
        <v>1078</v>
      </c>
      <c r="N42" s="30">
        <f>INDEX(Table1[On Hand End of Month],MATCH(rrcworking[[#This Row],[RRC ID Number]],Table1[RRC Identifier],0))</f>
        <v>104</v>
      </c>
      <c r="O42" s="102" t="b">
        <f t="shared" si="1"/>
        <v>0</v>
      </c>
      <c r="P42">
        <v>23</v>
      </c>
      <c r="Q42" s="122">
        <f>rrcworking[[#This Row],[Last Month Closing Stock]]</f>
        <v>104</v>
      </c>
      <c r="R42">
        <v>127</v>
      </c>
      <c r="S42" s="133">
        <f>IF(ISERROR(INDEX(Table2[OIL],MATCH(rrcworking[[#This Row],[Magnum Wolfpak '#]],Table2[Rox Wolf'#],0))),0,INDEX(Table2[OIL],MATCH(rrcworking[[#This Row],[Magnum Wolfpak '#]],Table2[Rox Wolf'#],0)))</f>
        <v>0</v>
      </c>
      <c r="T42" s="34">
        <f>rrcworking[[#This Row],[Closing Stock (Oil)]]+rrcworking[[#This Row],[Sales/Dispostion]]-rrcworking[[#This Row],[Opening Oil Stock]]</f>
        <v>23</v>
      </c>
      <c r="U42" s="108">
        <f>rrcworking[[#This Row],[Gauge Sheet Prod Volume (oil)]]-rrcworking[[#This Row],[Oil Production]]</f>
        <v>0</v>
      </c>
      <c r="V42" s="133">
        <f>IF(ISERROR(INDEX(Table2[GAS],MATCH(rrcworking[[#This Row],[Magnum Wolfpak '#]],Table2[Rox Wolf'#],0))),0,INDEX(Table2[GAS],MATCH(rrcworking[[#This Row],[Magnum Wolfpak '#]],Table2[Rox Wolf'#],0)))</f>
        <v>898</v>
      </c>
      <c r="W42" s="82"/>
      <c r="X42" s="58">
        <v>1</v>
      </c>
      <c r="Y42" s="133">
        <f>IF(ISERROR(INDEX(Table2[LEASE USE],MATCH(rrcworking[[#This Row],[Magnum Wolfpak '#]],Table2[Rox Wolf'#],0))),0,INDEX(Table2[LEASE USE],MATCH(rrcworking[[#This Row],[Magnum Wolfpak '#]],Table2[Rox Wolf'#],0)))</f>
        <v>31</v>
      </c>
      <c r="Z42" s="133"/>
      <c r="AA42" s="56">
        <f>rrcworking[[#This Row],[Gas Sales Statement Volume (MCF)]]+rrcworking[[#This Row],[Lease Use (MCF)]]+rrcworking[[#This Row],[Flared Gas]]</f>
        <v>929</v>
      </c>
      <c r="AB42" s="36"/>
      <c r="AC42" s="36" t="s">
        <v>1146</v>
      </c>
      <c r="AD42" s="175">
        <f>COUNTIF(FilterList,rrcworking[[#This Row],[Magnum Wolfpak '#]])</f>
        <v>0</v>
      </c>
      <c r="AE42" s="172"/>
      <c r="AF42" s="173"/>
      <c r="AG42" s="36"/>
      <c r="AH42" s="173"/>
      <c r="AI42" s="36">
        <v>1</v>
      </c>
      <c r="AJ42" s="36" t="s">
        <v>1165</v>
      </c>
      <c r="AK42" s="36" t="s">
        <v>1165</v>
      </c>
      <c r="AL42" s="36" t="s">
        <v>1193</v>
      </c>
      <c r="AM42" s="36" t="s">
        <v>1165</v>
      </c>
      <c r="AN42" s="36" t="s">
        <v>1176</v>
      </c>
      <c r="AO42" s="36" t="s">
        <v>1194</v>
      </c>
      <c r="AP42" s="36" t="s">
        <v>1195</v>
      </c>
    </row>
    <row r="43" spans="3:42" ht="14" customHeight="1">
      <c r="C43" s="78" t="e">
        <v>#N/A</v>
      </c>
      <c r="D43" s="60" t="s">
        <v>189</v>
      </c>
      <c r="E43" s="125" t="s">
        <v>190</v>
      </c>
      <c r="F43" s="124">
        <v>0</v>
      </c>
      <c r="G43" s="115" t="s">
        <v>1090</v>
      </c>
      <c r="H43" s="18" t="s">
        <v>618</v>
      </c>
      <c r="I43" s="18" t="s">
        <v>2</v>
      </c>
      <c r="J43" s="19" t="s">
        <v>484</v>
      </c>
      <c r="K43" s="99">
        <v>24455</v>
      </c>
      <c r="L43" s="97">
        <f>INDEX(Table1[Production],MATCH(rrcworking[[#This Row],[RRC ID Number]],Table1[RRC Identifier],0))</f>
        <v>0</v>
      </c>
      <c r="M43" s="29">
        <f>INDEX(Table1[Formation Production],MATCH(rrcworking[[#This Row],[RRC ID Number]],Table1[RRC Identifier],0))</f>
        <v>0</v>
      </c>
      <c r="N43" s="30">
        <f>INDEX(Table1[On Hand End of Month],MATCH(rrcworking[[#This Row],[RRC ID Number]],Table1[RRC Identifier],0))</f>
        <v>0</v>
      </c>
      <c r="O43" s="102" t="b">
        <f t="shared" si="1"/>
        <v>1</v>
      </c>
      <c r="Q43" s="122">
        <f>rrcworking[[#This Row],[Last Month Closing Stock]]</f>
        <v>0</v>
      </c>
      <c r="R43">
        <f>rrcworking[[#This Row],[Opening Oil Stock]]</f>
        <v>0</v>
      </c>
      <c r="S43" s="133">
        <f>IF(ISERROR(INDEX(Table2[OIL],MATCH(rrcworking[[#This Row],[Magnum Wolfpak '#]],Table2[Rox Wolf'#],0))),0,INDEX(Table2[OIL],MATCH(rrcworking[[#This Row],[Magnum Wolfpak '#]],Table2[Rox Wolf'#],0)))</f>
        <v>0</v>
      </c>
      <c r="T43" s="34">
        <f>rrcworking[[#This Row],[Closing Stock (Oil)]]+rrcworking[[#This Row],[Sales/Dispostion]]-rrcworking[[#This Row],[Opening Oil Stock]]</f>
        <v>0</v>
      </c>
      <c r="U43" s="108">
        <f>rrcworking[[#This Row],[Gauge Sheet Prod Volume (oil)]]-rrcworking[[#This Row],[Oil Production]]</f>
        <v>0</v>
      </c>
      <c r="V43" s="133">
        <f>IF(ISERROR(INDEX(Table2[GAS],MATCH(rrcworking[[#This Row],[Magnum Wolfpak '#]],Table2[Rox Wolf'#],0))),0,INDEX(Table2[GAS],MATCH(rrcworking[[#This Row],[Magnum Wolfpak '#]],Table2[Rox Wolf'#],0)))</f>
        <v>0</v>
      </c>
      <c r="W43" s="58"/>
      <c r="X43" s="58"/>
      <c r="Y43" s="133">
        <f>IF(ISERROR(INDEX(Table2[LEASE USE],MATCH(rrcworking[[#This Row],[Magnum Wolfpak '#]],Table2[Rox Wolf'#],0))),0,INDEX(Table2[LEASE USE],MATCH(rrcworking[[#This Row],[Magnum Wolfpak '#]],Table2[Rox Wolf'#],0)))</f>
        <v>0</v>
      </c>
      <c r="Z43" s="133"/>
      <c r="AA43" s="56">
        <f>rrcworking[[#This Row],[Gas Sales Statement Volume (MCF)]]+rrcworking[[#This Row],[Lease Use (MCF)]]+rrcworking[[#This Row],[Flared Gas]]</f>
        <v>0</v>
      </c>
      <c r="AB43" s="36"/>
      <c r="AC43" s="36"/>
      <c r="AD43" s="175">
        <f>COUNTIF(FilterList,rrcworking[[#This Row],[Magnum Wolfpak '#]])</f>
        <v>0</v>
      </c>
      <c r="AE43" s="172"/>
      <c r="AF43" s="173"/>
      <c r="AG43" s="36"/>
      <c r="AH43" s="36"/>
      <c r="AI43" s="36"/>
      <c r="AJ43" s="36"/>
      <c r="AK43" s="36"/>
      <c r="AL43" s="36"/>
      <c r="AM43" s="36"/>
      <c r="AN43" s="36"/>
      <c r="AO43" s="36"/>
      <c r="AP43" s="36"/>
    </row>
    <row r="44" spans="3:42" ht="14" customHeight="1">
      <c r="C44" s="78" t="e">
        <v>#N/A</v>
      </c>
      <c r="D44" s="60" t="s">
        <v>203</v>
      </c>
      <c r="E44" s="125" t="s">
        <v>204</v>
      </c>
      <c r="F44" s="124" t="s">
        <v>205</v>
      </c>
      <c r="G44" s="115" t="s">
        <v>1090</v>
      </c>
      <c r="H44" s="18" t="s">
        <v>618</v>
      </c>
      <c r="I44" s="18" t="s">
        <v>59</v>
      </c>
      <c r="J44" s="19" t="s">
        <v>491</v>
      </c>
      <c r="K44" s="99">
        <v>177442</v>
      </c>
      <c r="L44" s="97">
        <f>INDEX(Table1[Production],MATCH(rrcworking[[#This Row],[RRC ID Number]],Table1[RRC Identifier],0))</f>
        <v>0</v>
      </c>
      <c r="M44" s="29">
        <f>INDEX(Table1[Formation Production],MATCH(rrcworking[[#This Row],[RRC ID Number]],Table1[RRC Identifier],0))</f>
        <v>0</v>
      </c>
      <c r="N44" s="30">
        <f>INDEX(Table1[On Hand End of Month],MATCH(rrcworking[[#This Row],[RRC ID Number]],Table1[RRC Identifier],0))</f>
        <v>0</v>
      </c>
      <c r="O44" s="102" t="b">
        <f t="shared" si="1"/>
        <v>1</v>
      </c>
      <c r="Q44" s="122">
        <f>rrcworking[[#This Row],[Last Month Closing Stock]]</f>
        <v>0</v>
      </c>
      <c r="R44">
        <f>rrcworking[[#This Row],[Opening Oil Stock]]</f>
        <v>0</v>
      </c>
      <c r="S44" s="133">
        <f>IF(ISERROR(INDEX(Table2[OIL],MATCH(rrcworking[[#This Row],[Magnum Wolfpak '#]],Table2[Rox Wolf'#],0))),0,INDEX(Table2[OIL],MATCH(rrcworking[[#This Row],[Magnum Wolfpak '#]],Table2[Rox Wolf'#],0)))</f>
        <v>0</v>
      </c>
      <c r="T44" s="34">
        <f>rrcworking[[#This Row],[Closing Stock (Oil)]]+rrcworking[[#This Row],[Sales/Dispostion]]-rrcworking[[#This Row],[Opening Oil Stock]]</f>
        <v>0</v>
      </c>
      <c r="U44" s="108">
        <f>rrcworking[[#This Row],[Gauge Sheet Prod Volume (oil)]]-rrcworking[[#This Row],[Oil Production]]</f>
        <v>0</v>
      </c>
      <c r="V44" s="133">
        <f>IF(ISERROR(INDEX(Table2[GAS],MATCH(rrcworking[[#This Row],[Magnum Wolfpak '#]],Table2[Rox Wolf'#],0))),0,INDEX(Table2[GAS],MATCH(rrcworking[[#This Row],[Magnum Wolfpak '#]],Table2[Rox Wolf'#],0)))</f>
        <v>0</v>
      </c>
      <c r="W44" s="58"/>
      <c r="X44" s="58"/>
      <c r="Y44" s="133">
        <f>IF(ISERROR(INDEX(Table2[LEASE USE],MATCH(rrcworking[[#This Row],[Magnum Wolfpak '#]],Table2[Rox Wolf'#],0))),0,INDEX(Table2[LEASE USE],MATCH(rrcworking[[#This Row],[Magnum Wolfpak '#]],Table2[Rox Wolf'#],0)))</f>
        <v>0</v>
      </c>
      <c r="Z44" s="133"/>
      <c r="AA44" s="56">
        <f>rrcworking[[#This Row],[Gas Sales Statement Volume (MCF)]]+rrcworking[[#This Row],[Lease Use (MCF)]]+rrcworking[[#This Row],[Flared Gas]]</f>
        <v>0</v>
      </c>
      <c r="AB44" s="36"/>
      <c r="AC44" s="36"/>
      <c r="AD44" s="175">
        <f>COUNTIF(FilterList,rrcworking[[#This Row],[Magnum Wolfpak '#]])</f>
        <v>0</v>
      </c>
      <c r="AE44" s="172"/>
      <c r="AF44" s="173"/>
      <c r="AG44" s="36"/>
      <c r="AH44" s="36"/>
      <c r="AI44" s="36"/>
      <c r="AJ44" s="36"/>
      <c r="AK44" s="36"/>
      <c r="AL44" s="36"/>
      <c r="AM44" s="36"/>
      <c r="AN44" s="36"/>
      <c r="AO44" s="36"/>
      <c r="AP44" s="36"/>
    </row>
    <row r="45" spans="3:42" ht="14" customHeight="1">
      <c r="C45" s="78" t="e">
        <v>#N/A</v>
      </c>
      <c r="D45" s="60" t="s">
        <v>151</v>
      </c>
      <c r="E45" s="125" t="s">
        <v>152</v>
      </c>
      <c r="F45" s="130" t="s">
        <v>57</v>
      </c>
      <c r="G45" s="115" t="s">
        <v>1090</v>
      </c>
      <c r="H45" s="18" t="s">
        <v>618</v>
      </c>
      <c r="I45" s="18" t="s">
        <v>2</v>
      </c>
      <c r="J45" s="19" t="s">
        <v>460</v>
      </c>
      <c r="K45" s="99">
        <v>26482</v>
      </c>
      <c r="L45" s="97">
        <f>INDEX(Table1[Production],MATCH(rrcworking[[#This Row],[RRC ID Number]],Table1[RRC Identifier],0))</f>
        <v>0</v>
      </c>
      <c r="M45" s="29">
        <f>INDEX(Table1[Formation Production],MATCH(rrcworking[[#This Row],[RRC ID Number]],Table1[RRC Identifier],0))</f>
        <v>0</v>
      </c>
      <c r="N45" s="30">
        <f>INDEX(Table1[On Hand End of Month],MATCH(rrcworking[[#This Row],[RRC ID Number]],Table1[RRC Identifier],0))</f>
        <v>139</v>
      </c>
      <c r="O45" s="102" t="b">
        <f t="shared" si="1"/>
        <v>1</v>
      </c>
      <c r="Q45" s="122">
        <f>rrcworking[[#This Row],[Last Month Closing Stock]]</f>
        <v>139</v>
      </c>
      <c r="R45">
        <f>rrcworking[[#This Row],[Opening Oil Stock]]</f>
        <v>139</v>
      </c>
      <c r="S45" s="133">
        <f>IF(ISERROR(INDEX(Table2[OIL],MATCH(rrcworking[[#This Row],[Magnum Wolfpak '#]],Table2[Rox Wolf'#],0))),0,INDEX(Table2[OIL],MATCH(rrcworking[[#This Row],[Magnum Wolfpak '#]],Table2[Rox Wolf'#],0)))</f>
        <v>0</v>
      </c>
      <c r="T45" s="34">
        <f>rrcworking[[#This Row],[Closing Stock (Oil)]]+rrcworking[[#This Row],[Sales/Dispostion]]-rrcworking[[#This Row],[Opening Oil Stock]]</f>
        <v>0</v>
      </c>
      <c r="U45" s="108">
        <f>rrcworking[[#This Row],[Gauge Sheet Prod Volume (oil)]]-rrcworking[[#This Row],[Oil Production]]</f>
        <v>0</v>
      </c>
      <c r="V45" s="133">
        <f>IF(ISERROR(INDEX(Table2[GAS],MATCH(rrcworking[[#This Row],[Magnum Wolfpak '#]],Table2[Rox Wolf'#],0))),0,INDEX(Table2[GAS],MATCH(rrcworking[[#This Row],[Magnum Wolfpak '#]],Table2[Rox Wolf'#],0)))</f>
        <v>0</v>
      </c>
      <c r="W45" s="58"/>
      <c r="X45" s="58"/>
      <c r="Y45" s="133">
        <f>IF(ISERROR(INDEX(Table2[LEASE USE],MATCH(rrcworking[[#This Row],[Magnum Wolfpak '#]],Table2[Rox Wolf'#],0))),0,INDEX(Table2[LEASE USE],MATCH(rrcworking[[#This Row],[Magnum Wolfpak '#]],Table2[Rox Wolf'#],0)))</f>
        <v>0</v>
      </c>
      <c r="Z45" s="133"/>
      <c r="AA45" s="56">
        <f>rrcworking[[#This Row],[Gas Sales Statement Volume (MCF)]]+rrcworking[[#This Row],[Lease Use (MCF)]]+rrcworking[[#This Row],[Flared Gas]]</f>
        <v>0</v>
      </c>
      <c r="AB45" s="36"/>
      <c r="AC45" s="36"/>
      <c r="AD45" s="175">
        <f>COUNTIF(FilterList,rrcworking[[#This Row],[Magnum Wolfpak '#]])</f>
        <v>0</v>
      </c>
      <c r="AE45" s="172"/>
      <c r="AF45" s="173"/>
      <c r="AG45" s="36"/>
      <c r="AH45" s="36"/>
      <c r="AI45" s="36"/>
      <c r="AJ45" s="36"/>
      <c r="AK45" s="36"/>
      <c r="AL45" s="36"/>
      <c r="AM45" s="36"/>
      <c r="AN45" s="36"/>
      <c r="AO45" s="36"/>
      <c r="AP45" s="36"/>
    </row>
    <row r="46" spans="3:42" ht="14" customHeight="1">
      <c r="C46" s="78">
        <v>99225</v>
      </c>
      <c r="D46" s="60" t="s">
        <v>154</v>
      </c>
      <c r="E46" s="125" t="s">
        <v>152</v>
      </c>
      <c r="F46" s="130" t="s">
        <v>1131</v>
      </c>
      <c r="G46" s="115" t="s">
        <v>1090</v>
      </c>
      <c r="H46" s="18" t="s">
        <v>618</v>
      </c>
      <c r="I46" s="18" t="s">
        <v>2</v>
      </c>
      <c r="J46" s="19" t="s">
        <v>462</v>
      </c>
      <c r="K46" s="99">
        <v>26262</v>
      </c>
      <c r="L46" s="97">
        <f>INDEX(Table1[Production],MATCH(rrcworking[[#This Row],[RRC ID Number]],Table1[RRC Identifier],0))</f>
        <v>0</v>
      </c>
      <c r="M46" s="29">
        <f>INDEX(Table1[Formation Production],MATCH(rrcworking[[#This Row],[RRC ID Number]],Table1[RRC Identifier],0))</f>
        <v>0</v>
      </c>
      <c r="N46" s="30">
        <f>INDEX(Table1[On Hand End of Month],MATCH(rrcworking[[#This Row],[RRC ID Number]],Table1[RRC Identifier],0))</f>
        <v>28</v>
      </c>
      <c r="O46" s="102" t="b">
        <f t="shared" si="1"/>
        <v>1</v>
      </c>
      <c r="Q46" s="122">
        <f>rrcworking[[#This Row],[Last Month Closing Stock]]</f>
        <v>28</v>
      </c>
      <c r="R46">
        <v>28</v>
      </c>
      <c r="S46" s="133">
        <f>IF(ISERROR(INDEX(Table2[OIL],MATCH(rrcworking[[#This Row],[Magnum Wolfpak '#]],Table2[Rox Wolf'#],0))),0,INDEX(Table2[OIL],MATCH(rrcworking[[#This Row],[Magnum Wolfpak '#]],Table2[Rox Wolf'#],0)))</f>
        <v>0</v>
      </c>
      <c r="T46" s="34">
        <f>rrcworking[[#This Row],[Closing Stock (Oil)]]+rrcworking[[#This Row],[Sales/Dispostion]]-rrcworking[[#This Row],[Opening Oil Stock]]</f>
        <v>0</v>
      </c>
      <c r="U46" s="108">
        <f>rrcworking[[#This Row],[Gauge Sheet Prod Volume (oil)]]-rrcworking[[#This Row],[Oil Production]]</f>
        <v>0</v>
      </c>
      <c r="V46" s="133">
        <f>IF(ISERROR(INDEX(Table2[GAS],MATCH(rrcworking[[#This Row],[Magnum Wolfpak '#]],Table2[Rox Wolf'#],0))),0,INDEX(Table2[GAS],MATCH(rrcworking[[#This Row],[Magnum Wolfpak '#]],Table2[Rox Wolf'#],0)))</f>
        <v>0</v>
      </c>
      <c r="W46" s="58"/>
      <c r="X46" s="58"/>
      <c r="Y46" s="133">
        <f>IF(ISERROR(INDEX(Table2[LEASE USE],MATCH(rrcworking[[#This Row],[Magnum Wolfpak '#]],Table2[Rox Wolf'#],0))),0,INDEX(Table2[LEASE USE],MATCH(rrcworking[[#This Row],[Magnum Wolfpak '#]],Table2[Rox Wolf'#],0)))</f>
        <v>0</v>
      </c>
      <c r="Z46" s="133"/>
      <c r="AA46" s="56">
        <f>rrcworking[[#This Row],[Gas Sales Statement Volume (MCF)]]+rrcworking[[#This Row],[Lease Use (MCF)]]+rrcworking[[#This Row],[Flared Gas]]</f>
        <v>0</v>
      </c>
      <c r="AB46" s="36"/>
      <c r="AC46" s="36" t="s">
        <v>1138</v>
      </c>
      <c r="AD46" s="175">
        <f>COUNTIF(FilterList,rrcworking[[#This Row],[Magnum Wolfpak '#]])</f>
        <v>0</v>
      </c>
      <c r="AE46" s="172"/>
      <c r="AF46" s="173"/>
      <c r="AG46" s="36"/>
      <c r="AH46" s="36"/>
      <c r="AI46" s="174"/>
      <c r="AJ46" s="174"/>
      <c r="AK46" s="174"/>
      <c r="AL46" s="174"/>
      <c r="AM46" s="174"/>
      <c r="AN46" s="174"/>
      <c r="AO46" s="36" t="s">
        <v>1163</v>
      </c>
      <c r="AP46" s="36" t="s">
        <v>1189</v>
      </c>
    </row>
    <row r="47" spans="3:42" ht="126" customHeight="1">
      <c r="C47" s="78" t="e">
        <v>#N/A</v>
      </c>
      <c r="D47" s="60" t="s">
        <v>158</v>
      </c>
      <c r="E47" s="125" t="s">
        <v>152</v>
      </c>
      <c r="F47" s="130" t="s">
        <v>58</v>
      </c>
      <c r="G47" s="115" t="s">
        <v>1090</v>
      </c>
      <c r="H47" s="18" t="s">
        <v>618</v>
      </c>
      <c r="I47" s="18" t="s">
        <v>2</v>
      </c>
      <c r="J47" s="19" t="s">
        <v>465</v>
      </c>
      <c r="K47" s="99">
        <v>26909</v>
      </c>
      <c r="L47" s="97">
        <f>INDEX(Table1[Production],MATCH(rrcworking[[#This Row],[RRC ID Number]],Table1[RRC Identifier],0))</f>
        <v>0</v>
      </c>
      <c r="M47" s="29">
        <f>INDEX(Table1[Formation Production],MATCH(rrcworking[[#This Row],[RRC ID Number]],Table1[RRC Identifier],0))</f>
        <v>0</v>
      </c>
      <c r="N47" s="30">
        <f>INDEX(Table1[On Hand End of Month],MATCH(rrcworking[[#This Row],[RRC ID Number]],Table1[RRC Identifier],0))</f>
        <v>32</v>
      </c>
      <c r="O47" s="102" t="b">
        <f t="shared" si="1"/>
        <v>1</v>
      </c>
      <c r="Q47" s="122">
        <f>rrcworking[[#This Row],[Last Month Closing Stock]]</f>
        <v>32</v>
      </c>
      <c r="R47">
        <f>rrcworking[[#This Row],[Opening Oil Stock]]</f>
        <v>32</v>
      </c>
      <c r="S47" s="133">
        <f>IF(ISERROR(INDEX(Table2[OIL],MATCH(rrcworking[[#This Row],[Magnum Wolfpak '#]],Table2[Rox Wolf'#],0))),0,INDEX(Table2[OIL],MATCH(rrcworking[[#This Row],[Magnum Wolfpak '#]],Table2[Rox Wolf'#],0)))</f>
        <v>0</v>
      </c>
      <c r="T47" s="34">
        <f>rrcworking[[#This Row],[Closing Stock (Oil)]]+rrcworking[[#This Row],[Sales/Dispostion]]-rrcworking[[#This Row],[Opening Oil Stock]]</f>
        <v>0</v>
      </c>
      <c r="U47" s="108">
        <f>rrcworking[[#This Row],[Gauge Sheet Prod Volume (oil)]]-rrcworking[[#This Row],[Oil Production]]</f>
        <v>0</v>
      </c>
      <c r="V47" s="133">
        <f>IF(ISERROR(INDEX(Table2[GAS],MATCH(rrcworking[[#This Row],[Magnum Wolfpak '#]],Table2[Rox Wolf'#],0))),0,INDEX(Table2[GAS],MATCH(rrcworking[[#This Row],[Magnum Wolfpak '#]],Table2[Rox Wolf'#],0)))</f>
        <v>0</v>
      </c>
      <c r="W47" s="58"/>
      <c r="X47" s="58"/>
      <c r="Y47" s="133">
        <f>IF(ISERROR(INDEX(Table2[LEASE USE],MATCH(rrcworking[[#This Row],[Magnum Wolfpak '#]],Table2[Rox Wolf'#],0))),0,INDEX(Table2[LEASE USE],MATCH(rrcworking[[#This Row],[Magnum Wolfpak '#]],Table2[Rox Wolf'#],0)))</f>
        <v>0</v>
      </c>
      <c r="Z47" s="133"/>
      <c r="AA47" s="56">
        <f>rrcworking[[#This Row],[Gas Sales Statement Volume (MCF)]]+rrcworking[[#This Row],[Lease Use (MCF)]]+rrcworking[[#This Row],[Flared Gas]]</f>
        <v>0</v>
      </c>
      <c r="AB47" s="36"/>
      <c r="AC47" s="36"/>
      <c r="AD47" s="175">
        <f>COUNTIF(FilterList,rrcworking[[#This Row],[Magnum Wolfpak '#]])</f>
        <v>0</v>
      </c>
      <c r="AE47" s="172"/>
      <c r="AF47" s="173"/>
      <c r="AG47" s="36"/>
      <c r="AH47" s="36"/>
      <c r="AI47" s="36"/>
      <c r="AJ47" s="36"/>
      <c r="AK47" s="36"/>
      <c r="AL47" s="36"/>
      <c r="AM47" s="36"/>
      <c r="AN47" s="36"/>
      <c r="AO47" s="36"/>
      <c r="AP47" s="36"/>
    </row>
    <row r="48" spans="3:42" ht="14" customHeight="1">
      <c r="C48" s="78" t="e">
        <v>#N/A</v>
      </c>
      <c r="D48" s="60" t="s">
        <v>151</v>
      </c>
      <c r="E48" s="125" t="s">
        <v>153</v>
      </c>
      <c r="F48" s="124">
        <v>0</v>
      </c>
      <c r="G48" s="115" t="s">
        <v>1090</v>
      </c>
      <c r="H48" s="18" t="s">
        <v>618</v>
      </c>
      <c r="I48" s="18" t="s">
        <v>2</v>
      </c>
      <c r="J48" s="19" t="s">
        <v>461</v>
      </c>
      <c r="K48" s="99">
        <v>27150</v>
      </c>
      <c r="L48" s="97">
        <f>INDEX(Table1[Production],MATCH(rrcworking[[#This Row],[RRC ID Number]],Table1[RRC Identifier],0))</f>
        <v>0</v>
      </c>
      <c r="M48" s="29">
        <f>INDEX(Table1[Formation Production],MATCH(rrcworking[[#This Row],[RRC ID Number]],Table1[RRC Identifier],0))</f>
        <v>0</v>
      </c>
      <c r="N48" s="30">
        <f>INDEX(Table1[On Hand End of Month],MATCH(rrcworking[[#This Row],[RRC ID Number]],Table1[RRC Identifier],0))</f>
        <v>0</v>
      </c>
      <c r="O48" s="102" t="b">
        <f t="shared" si="1"/>
        <v>1</v>
      </c>
      <c r="Q48" s="122">
        <f>rrcworking[[#This Row],[Last Month Closing Stock]]</f>
        <v>0</v>
      </c>
      <c r="R48">
        <f>rrcworking[[#This Row],[Opening Oil Stock]]</f>
        <v>0</v>
      </c>
      <c r="S48" s="133">
        <f>IF(ISERROR(INDEX(Table2[OIL],MATCH(rrcworking[[#This Row],[Magnum Wolfpak '#]],Table2[Rox Wolf'#],0))),0,INDEX(Table2[OIL],MATCH(rrcworking[[#This Row],[Magnum Wolfpak '#]],Table2[Rox Wolf'#],0)))</f>
        <v>0</v>
      </c>
      <c r="T48" s="34">
        <f>rrcworking[[#This Row],[Closing Stock (Oil)]]+rrcworking[[#This Row],[Sales/Dispostion]]-rrcworking[[#This Row],[Opening Oil Stock]]</f>
        <v>0</v>
      </c>
      <c r="U48" s="108">
        <f>rrcworking[[#This Row],[Gauge Sheet Prod Volume (oil)]]-rrcworking[[#This Row],[Oil Production]]</f>
        <v>0</v>
      </c>
      <c r="V48" s="133">
        <f>IF(ISERROR(INDEX(Table2[GAS],MATCH(rrcworking[[#This Row],[Magnum Wolfpak '#]],Table2[Rox Wolf'#],0))),0,INDEX(Table2[GAS],MATCH(rrcworking[[#This Row],[Magnum Wolfpak '#]],Table2[Rox Wolf'#],0)))</f>
        <v>0</v>
      </c>
      <c r="W48" s="58"/>
      <c r="X48" s="58"/>
      <c r="Y48" s="133">
        <f>IF(ISERROR(INDEX(Table2[LEASE USE],MATCH(rrcworking[[#This Row],[Magnum Wolfpak '#]],Table2[Rox Wolf'#],0))),0,INDEX(Table2[LEASE USE],MATCH(rrcworking[[#This Row],[Magnum Wolfpak '#]],Table2[Rox Wolf'#],0)))</f>
        <v>0</v>
      </c>
      <c r="Z48" s="133"/>
      <c r="AA48" s="56">
        <f>rrcworking[[#This Row],[Gas Sales Statement Volume (MCF)]]+rrcworking[[#This Row],[Lease Use (MCF)]]+rrcworking[[#This Row],[Flared Gas]]</f>
        <v>0</v>
      </c>
      <c r="AB48" s="36"/>
      <c r="AC48" s="36"/>
      <c r="AD48" s="175">
        <f>COUNTIF(FilterList,rrcworking[[#This Row],[Magnum Wolfpak '#]])</f>
        <v>0</v>
      </c>
      <c r="AE48" s="172"/>
      <c r="AF48" s="173"/>
      <c r="AG48" s="36"/>
      <c r="AH48" s="36"/>
      <c r="AI48" s="36"/>
      <c r="AJ48" s="36"/>
      <c r="AK48" s="36"/>
      <c r="AL48" s="36"/>
      <c r="AM48" s="36"/>
      <c r="AN48" s="36"/>
      <c r="AO48" s="36"/>
      <c r="AP48" s="36"/>
    </row>
    <row r="49" spans="3:42" ht="14" customHeight="1">
      <c r="C49" s="78" t="e">
        <v>#N/A</v>
      </c>
      <c r="D49" s="60" t="s">
        <v>156</v>
      </c>
      <c r="E49" s="125" t="s">
        <v>157</v>
      </c>
      <c r="F49" s="124">
        <v>5</v>
      </c>
      <c r="G49" s="115" t="s">
        <v>1090</v>
      </c>
      <c r="H49" s="18" t="s">
        <v>618</v>
      </c>
      <c r="I49" s="18" t="s">
        <v>59</v>
      </c>
      <c r="J49" s="19" t="s">
        <v>464</v>
      </c>
      <c r="K49" s="99">
        <v>223401</v>
      </c>
      <c r="L49" s="97">
        <f>INDEX(Table1[Production],MATCH(rrcworking[[#This Row],[RRC ID Number]],Table1[RRC Identifier],0))</f>
        <v>0</v>
      </c>
      <c r="M49" s="29">
        <f>INDEX(Table1[Formation Production],MATCH(rrcworking[[#This Row],[RRC ID Number]],Table1[RRC Identifier],0))</f>
        <v>0</v>
      </c>
      <c r="N49" s="30">
        <f>INDEX(Table1[On Hand End of Month],MATCH(rrcworking[[#This Row],[RRC ID Number]],Table1[RRC Identifier],0))</f>
        <v>0</v>
      </c>
      <c r="O49" s="102" t="b">
        <f t="shared" si="1"/>
        <v>1</v>
      </c>
      <c r="Q49" s="122">
        <f>rrcworking[[#This Row],[Last Month Closing Stock]]</f>
        <v>0</v>
      </c>
      <c r="R49">
        <f>rrcworking[[#This Row],[Opening Oil Stock]]</f>
        <v>0</v>
      </c>
      <c r="S49" s="133">
        <f>IF(ISERROR(INDEX(Table2[OIL],MATCH(rrcworking[[#This Row],[Magnum Wolfpak '#]],Table2[Rox Wolf'#],0))),0,INDEX(Table2[OIL],MATCH(rrcworking[[#This Row],[Magnum Wolfpak '#]],Table2[Rox Wolf'#],0)))</f>
        <v>0</v>
      </c>
      <c r="T49" s="34">
        <f>rrcworking[[#This Row],[Closing Stock (Oil)]]+rrcworking[[#This Row],[Sales/Dispostion]]-rrcworking[[#This Row],[Opening Oil Stock]]</f>
        <v>0</v>
      </c>
      <c r="U49" s="108">
        <f>rrcworking[[#This Row],[Gauge Sheet Prod Volume (oil)]]-rrcworking[[#This Row],[Oil Production]]</f>
        <v>0</v>
      </c>
      <c r="V49" s="133">
        <f>IF(ISERROR(INDEX(Table2[GAS],MATCH(rrcworking[[#This Row],[Magnum Wolfpak '#]],Table2[Rox Wolf'#],0))),0,INDEX(Table2[GAS],MATCH(rrcworking[[#This Row],[Magnum Wolfpak '#]],Table2[Rox Wolf'#],0)))</f>
        <v>0</v>
      </c>
      <c r="W49" s="58"/>
      <c r="X49" s="58"/>
      <c r="Y49" s="133">
        <f>IF(ISERROR(INDEX(Table2[LEASE USE],MATCH(rrcworking[[#This Row],[Magnum Wolfpak '#]],Table2[Rox Wolf'#],0))),0,INDEX(Table2[LEASE USE],MATCH(rrcworking[[#This Row],[Magnum Wolfpak '#]],Table2[Rox Wolf'#],0)))</f>
        <v>0</v>
      </c>
      <c r="Z49" s="133"/>
      <c r="AA49" s="56">
        <f>rrcworking[[#This Row],[Gas Sales Statement Volume (MCF)]]+rrcworking[[#This Row],[Lease Use (MCF)]]+rrcworking[[#This Row],[Flared Gas]]</f>
        <v>0</v>
      </c>
      <c r="AB49" s="36"/>
      <c r="AC49" s="36"/>
      <c r="AD49" s="175">
        <f>COUNTIF(FilterList,rrcworking[[#This Row],[Magnum Wolfpak '#]])</f>
        <v>0</v>
      </c>
      <c r="AE49" s="172"/>
      <c r="AF49" s="173"/>
      <c r="AG49" s="36"/>
      <c r="AH49" s="36"/>
      <c r="AI49" s="36"/>
      <c r="AJ49" s="36"/>
      <c r="AK49" s="36"/>
      <c r="AL49" s="36"/>
      <c r="AM49" s="36"/>
      <c r="AN49" s="36"/>
      <c r="AO49" s="36"/>
      <c r="AP49" s="36"/>
    </row>
    <row r="50" spans="3:42" ht="14" customHeight="1">
      <c r="C50" s="78" t="e">
        <v>#N/A</v>
      </c>
      <c r="D50" s="60" t="s">
        <v>177</v>
      </c>
      <c r="E50" s="125" t="s">
        <v>157</v>
      </c>
      <c r="F50" s="124">
        <v>1</v>
      </c>
      <c r="G50" s="115" t="s">
        <v>1090</v>
      </c>
      <c r="H50" s="18" t="s">
        <v>618</v>
      </c>
      <c r="I50" s="18" t="s">
        <v>59</v>
      </c>
      <c r="J50" s="19" t="s">
        <v>475</v>
      </c>
      <c r="K50" s="99">
        <v>188081</v>
      </c>
      <c r="L50" s="97">
        <f>INDEX(Table1[Production],MATCH(rrcworking[[#This Row],[RRC ID Number]],Table1[RRC Identifier],0))</f>
        <v>0</v>
      </c>
      <c r="M50" s="29">
        <f>INDEX(Table1[Formation Production],MATCH(rrcworking[[#This Row],[RRC ID Number]],Table1[RRC Identifier],0))</f>
        <v>0</v>
      </c>
      <c r="N50" s="30">
        <f>INDEX(Table1[On Hand End of Month],MATCH(rrcworking[[#This Row],[RRC ID Number]],Table1[RRC Identifier],0))</f>
        <v>0</v>
      </c>
      <c r="O50" s="102" t="b">
        <f t="shared" si="1"/>
        <v>1</v>
      </c>
      <c r="Q50" s="122">
        <f>rrcworking[[#This Row],[Last Month Closing Stock]]</f>
        <v>0</v>
      </c>
      <c r="R50">
        <f>rrcworking[[#This Row],[Opening Oil Stock]]</f>
        <v>0</v>
      </c>
      <c r="S50" s="133">
        <f>IF(ISERROR(INDEX(Table2[OIL],MATCH(rrcworking[[#This Row],[Magnum Wolfpak '#]],Table2[Rox Wolf'#],0))),0,INDEX(Table2[OIL],MATCH(rrcworking[[#This Row],[Magnum Wolfpak '#]],Table2[Rox Wolf'#],0)))</f>
        <v>0</v>
      </c>
      <c r="T50" s="34">
        <f>rrcworking[[#This Row],[Closing Stock (Oil)]]+rrcworking[[#This Row],[Sales/Dispostion]]-rrcworking[[#This Row],[Opening Oil Stock]]</f>
        <v>0</v>
      </c>
      <c r="U50" s="108">
        <f>rrcworking[[#This Row],[Gauge Sheet Prod Volume (oil)]]-rrcworking[[#This Row],[Oil Production]]</f>
        <v>0</v>
      </c>
      <c r="V50" s="133">
        <f>IF(ISERROR(INDEX(Table2[GAS],MATCH(rrcworking[[#This Row],[Magnum Wolfpak '#]],Table2[Rox Wolf'#],0))),0,INDEX(Table2[GAS],MATCH(rrcworking[[#This Row],[Magnum Wolfpak '#]],Table2[Rox Wolf'#],0)))</f>
        <v>0</v>
      </c>
      <c r="W50" s="58"/>
      <c r="X50" s="58"/>
      <c r="Y50" s="133">
        <f>IF(ISERROR(INDEX(Table2[LEASE USE],MATCH(rrcworking[[#This Row],[Magnum Wolfpak '#]],Table2[Rox Wolf'#],0))),0,INDEX(Table2[LEASE USE],MATCH(rrcworking[[#This Row],[Magnum Wolfpak '#]],Table2[Rox Wolf'#],0)))</f>
        <v>0</v>
      </c>
      <c r="Z50" s="133"/>
      <c r="AA50" s="56">
        <f>rrcworking[[#This Row],[Gas Sales Statement Volume (MCF)]]+rrcworking[[#This Row],[Lease Use (MCF)]]+rrcworking[[#This Row],[Flared Gas]]</f>
        <v>0</v>
      </c>
      <c r="AB50" s="36"/>
      <c r="AC50" s="36"/>
      <c r="AD50" s="175">
        <f>COUNTIF(FilterList,rrcworking[[#This Row],[Magnum Wolfpak '#]])</f>
        <v>0</v>
      </c>
      <c r="AE50" s="172"/>
      <c r="AF50" s="173"/>
      <c r="AG50" s="36"/>
      <c r="AH50" s="36"/>
      <c r="AI50" s="36"/>
      <c r="AJ50" s="36"/>
      <c r="AK50" s="36"/>
      <c r="AL50" s="36"/>
      <c r="AM50" s="36"/>
      <c r="AN50" s="36"/>
      <c r="AO50" s="36"/>
      <c r="AP50" s="36"/>
    </row>
    <row r="51" spans="3:42" ht="14" customHeight="1">
      <c r="C51" s="78" t="e">
        <v>#N/A</v>
      </c>
      <c r="D51" s="60" t="s">
        <v>161</v>
      </c>
      <c r="E51" s="125" t="s">
        <v>162</v>
      </c>
      <c r="F51" s="124">
        <v>7</v>
      </c>
      <c r="G51" s="115" t="s">
        <v>1090</v>
      </c>
      <c r="H51" s="18" t="s">
        <v>618</v>
      </c>
      <c r="I51" s="18" t="s">
        <v>59</v>
      </c>
      <c r="J51" s="19" t="s">
        <v>467</v>
      </c>
      <c r="K51" s="99">
        <v>250605</v>
      </c>
      <c r="L51" s="97">
        <f>INDEX(Table1[Production],MATCH(rrcworking[[#This Row],[RRC ID Number]],Table1[RRC Identifier],0))</f>
        <v>0</v>
      </c>
      <c r="M51" s="29">
        <f>INDEX(Table1[Formation Production],MATCH(rrcworking[[#This Row],[RRC ID Number]],Table1[RRC Identifier],0))</f>
        <v>0</v>
      </c>
      <c r="N51" s="30">
        <f>INDEX(Table1[On Hand End of Month],MATCH(rrcworking[[#This Row],[RRC ID Number]],Table1[RRC Identifier],0))</f>
        <v>0</v>
      </c>
      <c r="O51" s="102" t="b">
        <f t="shared" si="1"/>
        <v>1</v>
      </c>
      <c r="Q51" s="122">
        <f>rrcworking[[#This Row],[Last Month Closing Stock]]</f>
        <v>0</v>
      </c>
      <c r="R51">
        <f>rrcworking[[#This Row],[Opening Oil Stock]]</f>
        <v>0</v>
      </c>
      <c r="S51" s="133">
        <f>IF(ISERROR(INDEX(Table2[OIL],MATCH(rrcworking[[#This Row],[Magnum Wolfpak '#]],Table2[Rox Wolf'#],0))),0,INDEX(Table2[OIL],MATCH(rrcworking[[#This Row],[Magnum Wolfpak '#]],Table2[Rox Wolf'#],0)))</f>
        <v>0</v>
      </c>
      <c r="T51" s="34">
        <f>rrcworking[[#This Row],[Closing Stock (Oil)]]+rrcworking[[#This Row],[Sales/Dispostion]]-rrcworking[[#This Row],[Opening Oil Stock]]</f>
        <v>0</v>
      </c>
      <c r="U51" s="108">
        <f>rrcworking[[#This Row],[Gauge Sheet Prod Volume (oil)]]-rrcworking[[#This Row],[Oil Production]]</f>
        <v>0</v>
      </c>
      <c r="V51" s="133">
        <f>IF(ISERROR(INDEX(Table2[GAS],MATCH(rrcworking[[#This Row],[Magnum Wolfpak '#]],Table2[Rox Wolf'#],0))),0,INDEX(Table2[GAS],MATCH(rrcworking[[#This Row],[Magnum Wolfpak '#]],Table2[Rox Wolf'#],0)))</f>
        <v>0</v>
      </c>
      <c r="W51" s="58"/>
      <c r="X51" s="58"/>
      <c r="Y51" s="133">
        <f>IF(ISERROR(INDEX(Table2[LEASE USE],MATCH(rrcworking[[#This Row],[Magnum Wolfpak '#]],Table2[Rox Wolf'#],0))),0,INDEX(Table2[LEASE USE],MATCH(rrcworking[[#This Row],[Magnum Wolfpak '#]],Table2[Rox Wolf'#],0)))</f>
        <v>0</v>
      </c>
      <c r="Z51" s="133"/>
      <c r="AA51" s="56">
        <f>rrcworking[[#This Row],[Gas Sales Statement Volume (MCF)]]+rrcworking[[#This Row],[Lease Use (MCF)]]+rrcworking[[#This Row],[Flared Gas]]</f>
        <v>0</v>
      </c>
      <c r="AB51" s="36"/>
      <c r="AC51" s="36"/>
      <c r="AD51" s="175">
        <f>COUNTIF(FilterList,rrcworking[[#This Row],[Magnum Wolfpak '#]])</f>
        <v>0</v>
      </c>
      <c r="AE51" s="172"/>
      <c r="AF51" s="173"/>
      <c r="AG51" s="36"/>
      <c r="AH51" s="36"/>
      <c r="AI51" s="36"/>
      <c r="AJ51" s="36"/>
      <c r="AK51" s="36"/>
      <c r="AL51" s="36"/>
      <c r="AM51" s="36"/>
      <c r="AN51" s="36"/>
      <c r="AO51" s="36"/>
      <c r="AP51" s="36"/>
    </row>
    <row r="52" spans="3:42" ht="14">
      <c r="C52" s="78" t="e">
        <v>#N/A</v>
      </c>
      <c r="D52" s="60" t="s">
        <v>159</v>
      </c>
      <c r="E52" s="125" t="s">
        <v>160</v>
      </c>
      <c r="F52" s="124">
        <v>1</v>
      </c>
      <c r="G52" s="115" t="s">
        <v>1090</v>
      </c>
      <c r="H52" s="18" t="s">
        <v>618</v>
      </c>
      <c r="I52" s="18" t="s">
        <v>59</v>
      </c>
      <c r="J52" s="19" t="s">
        <v>466</v>
      </c>
      <c r="K52" s="99">
        <v>233975</v>
      </c>
      <c r="L52" s="97">
        <f>INDEX(Table1[Production],MATCH(rrcworking[[#This Row],[RRC ID Number]],Table1[RRC Identifier],0))</f>
        <v>0</v>
      </c>
      <c r="M52" s="29">
        <f>INDEX(Table1[Formation Production],MATCH(rrcworking[[#This Row],[RRC ID Number]],Table1[RRC Identifier],0))</f>
        <v>0</v>
      </c>
      <c r="N52" s="30">
        <f>INDEX(Table1[On Hand End of Month],MATCH(rrcworking[[#This Row],[RRC ID Number]],Table1[RRC Identifier],0))</f>
        <v>0</v>
      </c>
      <c r="O52" s="102" t="b">
        <f t="shared" si="1"/>
        <v>1</v>
      </c>
      <c r="Q52" s="122">
        <f>rrcworking[[#This Row],[Last Month Closing Stock]]</f>
        <v>0</v>
      </c>
      <c r="R52">
        <f>rrcworking[[#This Row],[Opening Oil Stock]]</f>
        <v>0</v>
      </c>
      <c r="S52" s="133">
        <f>IF(ISERROR(INDEX(Table2[OIL],MATCH(rrcworking[[#This Row],[Magnum Wolfpak '#]],Table2[Rox Wolf'#],0))),0,INDEX(Table2[OIL],MATCH(rrcworking[[#This Row],[Magnum Wolfpak '#]],Table2[Rox Wolf'#],0)))</f>
        <v>0</v>
      </c>
      <c r="T52" s="34">
        <f>rrcworking[[#This Row],[Closing Stock (Oil)]]+rrcworking[[#This Row],[Sales/Dispostion]]-rrcworking[[#This Row],[Opening Oil Stock]]</f>
        <v>0</v>
      </c>
      <c r="U52" s="108">
        <f>rrcworking[[#This Row],[Gauge Sheet Prod Volume (oil)]]-rrcworking[[#This Row],[Oil Production]]</f>
        <v>0</v>
      </c>
      <c r="V52" s="133">
        <f>IF(ISERROR(INDEX(Table2[GAS],MATCH(rrcworking[[#This Row],[Magnum Wolfpak '#]],Table2[Rox Wolf'#],0))),0,INDEX(Table2[GAS],MATCH(rrcworking[[#This Row],[Magnum Wolfpak '#]],Table2[Rox Wolf'#],0)))</f>
        <v>0</v>
      </c>
      <c r="W52" s="58"/>
      <c r="X52" s="58"/>
      <c r="Y52" s="133">
        <f>IF(ISERROR(INDEX(Table2[LEASE USE],MATCH(rrcworking[[#This Row],[Magnum Wolfpak '#]],Table2[Rox Wolf'#],0))),0,INDEX(Table2[LEASE USE],MATCH(rrcworking[[#This Row],[Magnum Wolfpak '#]],Table2[Rox Wolf'#],0)))</f>
        <v>0</v>
      </c>
      <c r="Z52" s="133"/>
      <c r="AA52" s="56">
        <f>rrcworking[[#This Row],[Gas Sales Statement Volume (MCF)]]+rrcworking[[#This Row],[Lease Use (MCF)]]+rrcworking[[#This Row],[Flared Gas]]</f>
        <v>0</v>
      </c>
      <c r="AB52" s="36"/>
      <c r="AC52" s="36"/>
      <c r="AD52" s="175">
        <f>COUNTIF(FilterList,rrcworking[[#This Row],[Magnum Wolfpak '#]])</f>
        <v>0</v>
      </c>
      <c r="AE52" s="172"/>
      <c r="AF52" s="173"/>
      <c r="AG52" s="36"/>
      <c r="AH52" s="36"/>
      <c r="AI52" s="36"/>
      <c r="AJ52" s="36"/>
      <c r="AK52" s="36"/>
      <c r="AL52" s="36"/>
      <c r="AM52" s="36"/>
      <c r="AN52" s="36"/>
      <c r="AO52" s="36"/>
      <c r="AP52" s="36"/>
    </row>
    <row r="53" spans="3:42" ht="14">
      <c r="C53" s="78" t="e">
        <v>#N/A</v>
      </c>
      <c r="D53" s="60" t="s">
        <v>308</v>
      </c>
      <c r="E53" s="125" t="s">
        <v>310</v>
      </c>
      <c r="F53" s="124">
        <v>1</v>
      </c>
      <c r="G53" s="115" t="s">
        <v>1090</v>
      </c>
      <c r="H53" s="18" t="s">
        <v>619</v>
      </c>
      <c r="I53" s="18" t="s">
        <v>59</v>
      </c>
      <c r="J53" s="19" t="s">
        <v>552</v>
      </c>
      <c r="K53" s="99">
        <v>225615</v>
      </c>
      <c r="L53" s="97">
        <f>INDEX(Table1[Production],MATCH(rrcworking[[#This Row],[RRC ID Number]],Table1[RRC Identifier],0))</f>
        <v>0</v>
      </c>
      <c r="M53" s="29">
        <f>INDEX(Table1[Formation Production],MATCH(rrcworking[[#This Row],[RRC ID Number]],Table1[RRC Identifier],0))</f>
        <v>0</v>
      </c>
      <c r="N53" s="30">
        <f>INDEX(Table1[On Hand End of Month],MATCH(rrcworking[[#This Row],[RRC ID Number]],Table1[RRC Identifier],0))</f>
        <v>0</v>
      </c>
      <c r="O53" s="102" t="b">
        <f t="shared" si="1"/>
        <v>1</v>
      </c>
      <c r="Q53" s="122">
        <f>rrcworking[[#This Row],[Last Month Closing Stock]]</f>
        <v>0</v>
      </c>
      <c r="R53">
        <f>rrcworking[[#This Row],[Opening Oil Stock]]</f>
        <v>0</v>
      </c>
      <c r="S53" s="133">
        <f>IF(ISERROR(INDEX(Table2[OIL],MATCH(rrcworking[[#This Row],[Magnum Wolfpak '#]],Table2[Rox Wolf'#],0))),0,INDEX(Table2[OIL],MATCH(rrcworking[[#This Row],[Magnum Wolfpak '#]],Table2[Rox Wolf'#],0)))</f>
        <v>0</v>
      </c>
      <c r="T53" s="34">
        <f>rrcworking[[#This Row],[Closing Stock (Oil)]]+rrcworking[[#This Row],[Sales/Dispostion]]-rrcworking[[#This Row],[Opening Oil Stock]]</f>
        <v>0</v>
      </c>
      <c r="U53" s="108">
        <f>rrcworking[[#This Row],[Gauge Sheet Prod Volume (oil)]]-rrcworking[[#This Row],[Oil Production]]</f>
        <v>0</v>
      </c>
      <c r="V53" s="133">
        <f>IF(ISERROR(INDEX(Table2[GAS],MATCH(rrcworking[[#This Row],[Magnum Wolfpak '#]],Table2[Rox Wolf'#],0))),0,INDEX(Table2[GAS],MATCH(rrcworking[[#This Row],[Magnum Wolfpak '#]],Table2[Rox Wolf'#],0)))</f>
        <v>0</v>
      </c>
      <c r="W53" s="58"/>
      <c r="X53" s="58"/>
      <c r="Y53" s="133">
        <f>IF(ISERROR(INDEX(Table2[LEASE USE],MATCH(rrcworking[[#This Row],[Magnum Wolfpak '#]],Table2[Rox Wolf'#],0))),0,INDEX(Table2[LEASE USE],MATCH(rrcworking[[#This Row],[Magnum Wolfpak '#]],Table2[Rox Wolf'#],0)))</f>
        <v>0</v>
      </c>
      <c r="Z53" s="133"/>
      <c r="AA53" s="56">
        <f>rrcworking[[#This Row],[Gas Sales Statement Volume (MCF)]]+rrcworking[[#This Row],[Lease Use (MCF)]]+rrcworking[[#This Row],[Flared Gas]]</f>
        <v>0</v>
      </c>
      <c r="AB53" s="36"/>
      <c r="AC53" s="36"/>
      <c r="AD53" s="175">
        <f>COUNTIF(FilterList,rrcworking[[#This Row],[Magnum Wolfpak '#]])</f>
        <v>0</v>
      </c>
      <c r="AE53" s="172"/>
      <c r="AF53" s="173"/>
      <c r="AG53" s="36"/>
      <c r="AH53" s="36"/>
      <c r="AI53" s="36"/>
      <c r="AJ53" s="36"/>
      <c r="AK53" s="36"/>
      <c r="AL53" s="36"/>
      <c r="AM53" s="36"/>
      <c r="AN53" s="36"/>
      <c r="AO53" s="36"/>
      <c r="AP53" s="36"/>
    </row>
    <row r="54" spans="3:42" ht="14">
      <c r="C54" s="78">
        <v>99307</v>
      </c>
      <c r="D54" s="60" t="s">
        <v>253</v>
      </c>
      <c r="E54" s="125" t="s">
        <v>254</v>
      </c>
      <c r="F54" s="124">
        <v>2</v>
      </c>
      <c r="G54" s="115" t="s">
        <v>1090</v>
      </c>
      <c r="H54" s="18" t="s">
        <v>618</v>
      </c>
      <c r="I54" s="18" t="s">
        <v>59</v>
      </c>
      <c r="J54" s="19" t="s">
        <v>515</v>
      </c>
      <c r="K54" s="99">
        <v>247945</v>
      </c>
      <c r="L54" s="97">
        <f>INDEX(Table1[Production],MATCH(rrcworking[[#This Row],[RRC ID Number]],Table1[RRC Identifier],0))</f>
        <v>25</v>
      </c>
      <c r="M54" s="29">
        <f>INDEX(Table1[Formation Production],MATCH(rrcworking[[#This Row],[RRC ID Number]],Table1[RRC Identifier],0))</f>
        <v>510</v>
      </c>
      <c r="N54" s="30">
        <f>INDEX(Table1[On Hand End of Month],MATCH(rrcworking[[#This Row],[RRC ID Number]],Table1[RRC Identifier],0))</f>
        <v>150</v>
      </c>
      <c r="O54" s="102" t="b">
        <f t="shared" si="1"/>
        <v>0</v>
      </c>
      <c r="P54">
        <v>17</v>
      </c>
      <c r="Q54" s="122">
        <f>rrcworking[[#This Row],[Last Month Closing Stock]]</f>
        <v>150</v>
      </c>
      <c r="R54">
        <v>169</v>
      </c>
      <c r="S54" s="133">
        <f>IF(ISERROR(INDEX(Table2[OIL],MATCH(rrcworking[[#This Row],[Magnum Wolfpak '#]],Table2[Rox Wolf'#],0))),0,INDEX(Table2[OIL],MATCH(rrcworking[[#This Row],[Magnum Wolfpak '#]],Table2[Rox Wolf'#],0)))</f>
        <v>0</v>
      </c>
      <c r="T54" s="34">
        <f>rrcworking[[#This Row],[Closing Stock (Oil)]]+rrcworking[[#This Row],[Sales/Dispostion]]-rrcworking[[#This Row],[Opening Oil Stock]]</f>
        <v>19</v>
      </c>
      <c r="U54" s="108">
        <f>rrcworking[[#This Row],[Gauge Sheet Prod Volume (oil)]]-rrcworking[[#This Row],[Oil Production]]</f>
        <v>-2</v>
      </c>
      <c r="V54" s="133">
        <f>IF(ISERROR(INDEX(Table2[GAS],MATCH(rrcworking[[#This Row],[Magnum Wolfpak '#]],Table2[Rox Wolf'#],0))),0,INDEX(Table2[GAS],MATCH(rrcworking[[#This Row],[Magnum Wolfpak '#]],Table2[Rox Wolf'#],0)))</f>
        <v>530</v>
      </c>
      <c r="W54" s="58"/>
      <c r="X54" s="58"/>
      <c r="Y54" s="133">
        <f>IF(ISERROR(INDEX(Table2[LEASE USE],MATCH(rrcworking[[#This Row],[Magnum Wolfpak '#]],Table2[Rox Wolf'#],0))),0,INDEX(Table2[LEASE USE],MATCH(rrcworking[[#This Row],[Magnum Wolfpak '#]],Table2[Rox Wolf'#],0)))</f>
        <v>0</v>
      </c>
      <c r="Z54" s="133"/>
      <c r="AA54" s="56">
        <f>rrcworking[[#This Row],[Gas Sales Statement Volume (MCF)]]+rrcworking[[#This Row],[Lease Use (MCF)]]+rrcworking[[#This Row],[Flared Gas]]</f>
        <v>530</v>
      </c>
      <c r="AB54" s="36"/>
      <c r="AC54" s="36"/>
      <c r="AD54" s="175">
        <f>COUNTIF(FilterList,rrcworking[[#This Row],[Magnum Wolfpak '#]])</f>
        <v>0</v>
      </c>
      <c r="AE54" s="172"/>
      <c r="AF54" s="173"/>
      <c r="AG54" s="36"/>
      <c r="AH54" s="173"/>
      <c r="AI54" s="36">
        <v>2</v>
      </c>
      <c r="AJ54" s="36" t="s">
        <v>1139</v>
      </c>
      <c r="AK54" s="36" t="s">
        <v>1139</v>
      </c>
      <c r="AL54" s="36" t="s">
        <v>1196</v>
      </c>
      <c r="AM54" s="36" t="s">
        <v>1139</v>
      </c>
      <c r="AN54" s="36" t="s">
        <v>1171</v>
      </c>
      <c r="AO54" s="36" t="s">
        <v>1197</v>
      </c>
      <c r="AP54" s="36"/>
    </row>
    <row r="55" spans="3:42" ht="14">
      <c r="C55" s="78" t="e">
        <v>#N/A</v>
      </c>
      <c r="D55" s="60" t="s">
        <v>98</v>
      </c>
      <c r="E55" s="125" t="s">
        <v>96</v>
      </c>
      <c r="F55" s="124">
        <v>0</v>
      </c>
      <c r="G55" s="115" t="s">
        <v>1090</v>
      </c>
      <c r="H55" s="18" t="s">
        <v>617</v>
      </c>
      <c r="I55" s="18" t="s">
        <v>2</v>
      </c>
      <c r="J55" s="19" t="s">
        <v>427</v>
      </c>
      <c r="K55" s="99">
        <v>8462</v>
      </c>
      <c r="L55" s="97">
        <f>INDEX(Table1[Production],MATCH(rrcworking[[#This Row],[RRC ID Number]],Table1[RRC Identifier],0))</f>
        <v>0</v>
      </c>
      <c r="M55" s="29">
        <f>INDEX(Table1[Formation Production],MATCH(rrcworking[[#This Row],[RRC ID Number]],Table1[RRC Identifier],0))</f>
        <v>0</v>
      </c>
      <c r="N55" s="30">
        <f>INDEX(Table1[On Hand End of Month],MATCH(rrcworking[[#This Row],[RRC ID Number]],Table1[RRC Identifier],0))</f>
        <v>0</v>
      </c>
      <c r="O55" s="102" t="b">
        <f t="shared" si="1"/>
        <v>1</v>
      </c>
      <c r="Q55" s="122">
        <f>rrcworking[[#This Row],[Last Month Closing Stock]]</f>
        <v>0</v>
      </c>
      <c r="R55">
        <f>rrcworking[[#This Row],[Opening Oil Stock]]</f>
        <v>0</v>
      </c>
      <c r="S55" s="133">
        <f>IF(ISERROR(INDEX(Table2[OIL],MATCH(rrcworking[[#This Row],[Magnum Wolfpak '#]],Table2[Rox Wolf'#],0))),0,INDEX(Table2[OIL],MATCH(rrcworking[[#This Row],[Magnum Wolfpak '#]],Table2[Rox Wolf'#],0)))</f>
        <v>0</v>
      </c>
      <c r="T55" s="34">
        <f>rrcworking[[#This Row],[Closing Stock (Oil)]]+rrcworking[[#This Row],[Sales/Dispostion]]-rrcworking[[#This Row],[Opening Oil Stock]]</f>
        <v>0</v>
      </c>
      <c r="U55" s="108">
        <f>rrcworking[[#This Row],[Gauge Sheet Prod Volume (oil)]]-rrcworking[[#This Row],[Oil Production]]</f>
        <v>0</v>
      </c>
      <c r="V55" s="133">
        <f>IF(ISERROR(INDEX(Table2[GAS],MATCH(rrcworking[[#This Row],[Magnum Wolfpak '#]],Table2[Rox Wolf'#],0))),0,INDEX(Table2[GAS],MATCH(rrcworking[[#This Row],[Magnum Wolfpak '#]],Table2[Rox Wolf'#],0)))</f>
        <v>0</v>
      </c>
      <c r="W55" s="58"/>
      <c r="X55" s="58"/>
      <c r="Y55" s="133">
        <f>IF(ISERROR(INDEX(Table2[LEASE USE],MATCH(rrcworking[[#This Row],[Magnum Wolfpak '#]],Table2[Rox Wolf'#],0))),0,INDEX(Table2[LEASE USE],MATCH(rrcworking[[#This Row],[Magnum Wolfpak '#]],Table2[Rox Wolf'#],0)))</f>
        <v>0</v>
      </c>
      <c r="Z55" s="133"/>
      <c r="AA55" s="56">
        <f>rrcworking[[#This Row],[Gas Sales Statement Volume (MCF)]]+rrcworking[[#This Row],[Lease Use (MCF)]]+rrcworking[[#This Row],[Flared Gas]]</f>
        <v>0</v>
      </c>
      <c r="AB55" s="36"/>
      <c r="AC55" s="36"/>
      <c r="AD55" s="175">
        <f>COUNTIF(FilterList,rrcworking[[#This Row],[Magnum Wolfpak '#]])</f>
        <v>0</v>
      </c>
      <c r="AE55" s="172"/>
      <c r="AF55" s="173"/>
      <c r="AG55" s="36"/>
      <c r="AH55" s="36"/>
      <c r="AI55" s="36"/>
      <c r="AJ55" s="36"/>
      <c r="AK55" s="36"/>
      <c r="AL55" s="36"/>
      <c r="AM55" s="36"/>
      <c r="AN55" s="36"/>
      <c r="AO55" s="36"/>
      <c r="AP55" s="36"/>
    </row>
    <row r="56" spans="3:42" ht="28">
      <c r="C56" s="78">
        <v>93806</v>
      </c>
      <c r="D56" s="60" t="s">
        <v>95</v>
      </c>
      <c r="E56" s="125" t="s">
        <v>96</v>
      </c>
      <c r="F56" s="124">
        <v>0</v>
      </c>
      <c r="G56" s="115" t="s">
        <v>1090</v>
      </c>
      <c r="H56" s="18" t="s">
        <v>617</v>
      </c>
      <c r="I56" s="18" t="s">
        <v>2</v>
      </c>
      <c r="J56" s="19" t="s">
        <v>425</v>
      </c>
      <c r="K56" s="99">
        <v>5446</v>
      </c>
      <c r="L56" s="97">
        <f>INDEX(Table1[Production],MATCH(rrcworking[[#This Row],[RRC ID Number]],Table1[RRC Identifier],0))</f>
        <v>16</v>
      </c>
      <c r="M56" s="29">
        <f>INDEX(Table1[Formation Production],MATCH(rrcworking[[#This Row],[RRC ID Number]],Table1[RRC Identifier],0))</f>
        <v>0</v>
      </c>
      <c r="N56" s="30">
        <f>INDEX(Table1[On Hand End of Month],MATCH(rrcworking[[#This Row],[RRC ID Number]],Table1[RRC Identifier],0))</f>
        <v>101</v>
      </c>
      <c r="O56" s="102" t="b">
        <f t="shared" si="1"/>
        <v>0</v>
      </c>
      <c r="P56">
        <v>16</v>
      </c>
      <c r="Q56" s="122">
        <f>rrcworking[[#This Row],[Last Month Closing Stock]]</f>
        <v>101</v>
      </c>
      <c r="R56">
        <v>117</v>
      </c>
      <c r="S56" s="133">
        <f>IF(ISERROR(INDEX(Table2[OIL],MATCH(rrcworking[[#This Row],[Magnum Wolfpak '#]],Table2[Rox Wolf'#],0))),0,INDEX(Table2[OIL],MATCH(rrcworking[[#This Row],[Magnum Wolfpak '#]],Table2[Rox Wolf'#],0)))</f>
        <v>0</v>
      </c>
      <c r="T56" s="34">
        <f>rrcworking[[#This Row],[Closing Stock (Oil)]]+rrcworking[[#This Row],[Sales/Dispostion]]-rrcworking[[#This Row],[Opening Oil Stock]]</f>
        <v>16</v>
      </c>
      <c r="U56" s="108">
        <f>rrcworking[[#This Row],[Gauge Sheet Prod Volume (oil)]]-rrcworking[[#This Row],[Oil Production]]</f>
        <v>0</v>
      </c>
      <c r="V56" s="133">
        <f>IF(ISERROR(INDEX(Table2[GAS],MATCH(rrcworking[[#This Row],[Magnum Wolfpak '#]],Table2[Rox Wolf'#],0))),0,INDEX(Table2[GAS],MATCH(rrcworking[[#This Row],[Magnum Wolfpak '#]],Table2[Rox Wolf'#],0)))</f>
        <v>0</v>
      </c>
      <c r="W56" s="58"/>
      <c r="X56" s="58"/>
      <c r="Y56" s="133">
        <f>IF(ISERROR(INDEX(Table2[LEASE USE],MATCH(rrcworking[[#This Row],[Magnum Wolfpak '#]],Table2[Rox Wolf'#],0))),0,INDEX(Table2[LEASE USE],MATCH(rrcworking[[#This Row],[Magnum Wolfpak '#]],Table2[Rox Wolf'#],0)))</f>
        <v>0</v>
      </c>
      <c r="Z56" s="133"/>
      <c r="AA56" s="56">
        <f>rrcworking[[#This Row],[Gas Sales Statement Volume (MCF)]]+rrcworking[[#This Row],[Lease Use (MCF)]]+rrcworking[[#This Row],[Flared Gas]]</f>
        <v>0</v>
      </c>
      <c r="AB56" s="36"/>
      <c r="AC56" s="36"/>
      <c r="AD56" s="175">
        <f>COUNTIF(FilterList,rrcworking[[#This Row],[Magnum Wolfpak '#]])</f>
        <v>0</v>
      </c>
      <c r="AE56" s="172"/>
      <c r="AF56" s="173"/>
      <c r="AG56" s="36"/>
      <c r="AH56" s="173"/>
      <c r="AI56" s="174"/>
      <c r="AJ56" s="174"/>
      <c r="AK56" s="174"/>
      <c r="AL56" s="174"/>
      <c r="AM56" s="174"/>
      <c r="AN56" s="174"/>
      <c r="AO56" s="36" t="s">
        <v>1163</v>
      </c>
      <c r="AP56" s="36" t="s">
        <v>1169</v>
      </c>
    </row>
    <row r="57" spans="3:42" ht="14">
      <c r="C57" s="78" t="e">
        <v>#N/A</v>
      </c>
      <c r="D57" s="60" t="s">
        <v>328</v>
      </c>
      <c r="E57" s="125" t="s">
        <v>329</v>
      </c>
      <c r="F57" s="124">
        <v>0</v>
      </c>
      <c r="G57" s="115" t="s">
        <v>1090</v>
      </c>
      <c r="H57" s="18" t="s">
        <v>619</v>
      </c>
      <c r="I57" s="18" t="s">
        <v>2</v>
      </c>
      <c r="J57" s="19" t="s">
        <v>565</v>
      </c>
      <c r="K57" s="99">
        <v>12696</v>
      </c>
      <c r="L57" s="97">
        <f>INDEX(Table1[Production],MATCH(rrcworking[[#This Row],[RRC ID Number]],Table1[RRC Identifier],0))</f>
        <v>0</v>
      </c>
      <c r="M57" s="29">
        <f>INDEX(Table1[Formation Production],MATCH(rrcworking[[#This Row],[RRC ID Number]],Table1[RRC Identifier],0))</f>
        <v>0</v>
      </c>
      <c r="N57" s="30">
        <f>INDEX(Table1[On Hand End of Month],MATCH(rrcworking[[#This Row],[RRC ID Number]],Table1[RRC Identifier],0))</f>
        <v>47</v>
      </c>
      <c r="O57" s="102" t="b">
        <f t="shared" si="1"/>
        <v>1</v>
      </c>
      <c r="Q57" s="122">
        <f>rrcworking[[#This Row],[Last Month Closing Stock]]</f>
        <v>47</v>
      </c>
      <c r="R57">
        <f>rrcworking[[#This Row],[Opening Oil Stock]]</f>
        <v>47</v>
      </c>
      <c r="S57" s="133">
        <f>IF(ISERROR(INDEX(Table2[OIL],MATCH(rrcworking[[#This Row],[Magnum Wolfpak '#]],Table2[Rox Wolf'#],0))),0,INDEX(Table2[OIL],MATCH(rrcworking[[#This Row],[Magnum Wolfpak '#]],Table2[Rox Wolf'#],0)))</f>
        <v>0</v>
      </c>
      <c r="T57" s="34">
        <f>rrcworking[[#This Row],[Closing Stock (Oil)]]+rrcworking[[#This Row],[Sales/Dispostion]]-rrcworking[[#This Row],[Opening Oil Stock]]</f>
        <v>0</v>
      </c>
      <c r="U57" s="108">
        <f>rrcworking[[#This Row],[Gauge Sheet Prod Volume (oil)]]-rrcworking[[#This Row],[Oil Production]]</f>
        <v>0</v>
      </c>
      <c r="V57" s="133">
        <f>IF(ISERROR(INDEX(Table2[GAS],MATCH(rrcworking[[#This Row],[Magnum Wolfpak '#]],Table2[Rox Wolf'#],0))),0,INDEX(Table2[GAS],MATCH(rrcworking[[#This Row],[Magnum Wolfpak '#]],Table2[Rox Wolf'#],0)))</f>
        <v>0</v>
      </c>
      <c r="W57" s="58"/>
      <c r="X57" s="58"/>
      <c r="Y57" s="133">
        <f>IF(ISERROR(INDEX(Table2[LEASE USE],MATCH(rrcworking[[#This Row],[Magnum Wolfpak '#]],Table2[Rox Wolf'#],0))),0,INDEX(Table2[LEASE USE],MATCH(rrcworking[[#This Row],[Magnum Wolfpak '#]],Table2[Rox Wolf'#],0)))</f>
        <v>0</v>
      </c>
      <c r="Z57" s="133"/>
      <c r="AA57" s="56">
        <f>rrcworking[[#This Row],[Gas Sales Statement Volume (MCF)]]+rrcworking[[#This Row],[Lease Use (MCF)]]+rrcworking[[#This Row],[Flared Gas]]</f>
        <v>0</v>
      </c>
      <c r="AB57" s="36"/>
      <c r="AC57" s="36"/>
      <c r="AD57" s="175">
        <f>COUNTIF(FilterList,rrcworking[[#This Row],[Magnum Wolfpak '#]])</f>
        <v>0</v>
      </c>
      <c r="AE57" s="172"/>
      <c r="AF57" s="173"/>
      <c r="AG57" s="36"/>
      <c r="AH57" s="36"/>
      <c r="AI57" s="36"/>
      <c r="AJ57" s="36"/>
      <c r="AK57" s="36"/>
      <c r="AL57" s="36"/>
      <c r="AM57" s="36"/>
      <c r="AN57" s="36"/>
      <c r="AO57" s="36"/>
      <c r="AP57" s="36"/>
    </row>
    <row r="58" spans="3:42" ht="14">
      <c r="C58" s="78" t="e">
        <v>#N/A</v>
      </c>
      <c r="D58" s="60" t="s">
        <v>330</v>
      </c>
      <c r="E58" s="125" t="s">
        <v>331</v>
      </c>
      <c r="F58" s="124">
        <v>0</v>
      </c>
      <c r="G58" s="115" t="s">
        <v>1090</v>
      </c>
      <c r="H58" s="18" t="s">
        <v>619</v>
      </c>
      <c r="I58" s="18" t="s">
        <v>2</v>
      </c>
      <c r="J58" s="19" t="s">
        <v>566</v>
      </c>
      <c r="K58" s="99">
        <v>13742</v>
      </c>
      <c r="L58" s="97">
        <f>INDEX(Table1[Production],MATCH(rrcworking[[#This Row],[RRC ID Number]],Table1[RRC Identifier],0))</f>
        <v>0</v>
      </c>
      <c r="M58" s="29">
        <f>INDEX(Table1[Formation Production],MATCH(rrcworking[[#This Row],[RRC ID Number]],Table1[RRC Identifier],0))</f>
        <v>0</v>
      </c>
      <c r="N58" s="30">
        <f>INDEX(Table1[On Hand End of Month],MATCH(rrcworking[[#This Row],[RRC ID Number]],Table1[RRC Identifier],0))</f>
        <v>52</v>
      </c>
      <c r="O58" s="102" t="b">
        <f t="shared" si="1"/>
        <v>1</v>
      </c>
      <c r="Q58" s="122">
        <f>rrcworking[[#This Row],[Last Month Closing Stock]]</f>
        <v>52</v>
      </c>
      <c r="R58">
        <f>rrcworking[[#This Row],[Opening Oil Stock]]</f>
        <v>52</v>
      </c>
      <c r="S58" s="133">
        <f>IF(ISERROR(INDEX(Table2[OIL],MATCH(rrcworking[[#This Row],[Magnum Wolfpak '#]],Table2[Rox Wolf'#],0))),0,INDEX(Table2[OIL],MATCH(rrcworking[[#This Row],[Magnum Wolfpak '#]],Table2[Rox Wolf'#],0)))</f>
        <v>0</v>
      </c>
      <c r="T58" s="34">
        <f>rrcworking[[#This Row],[Closing Stock (Oil)]]+rrcworking[[#This Row],[Sales/Dispostion]]-rrcworking[[#This Row],[Opening Oil Stock]]</f>
        <v>0</v>
      </c>
      <c r="U58" s="108">
        <f>rrcworking[[#This Row],[Gauge Sheet Prod Volume (oil)]]-rrcworking[[#This Row],[Oil Production]]</f>
        <v>0</v>
      </c>
      <c r="V58" s="133">
        <f>IF(ISERROR(INDEX(Table2[GAS],MATCH(rrcworking[[#This Row],[Magnum Wolfpak '#]],Table2[Rox Wolf'#],0))),0,INDEX(Table2[GAS],MATCH(rrcworking[[#This Row],[Magnum Wolfpak '#]],Table2[Rox Wolf'#],0)))</f>
        <v>0</v>
      </c>
      <c r="W58" s="58"/>
      <c r="X58" s="58"/>
      <c r="Y58" s="133">
        <f>IF(ISERROR(INDEX(Table2[LEASE USE],MATCH(rrcworking[[#This Row],[Magnum Wolfpak '#]],Table2[Rox Wolf'#],0))),0,INDEX(Table2[LEASE USE],MATCH(rrcworking[[#This Row],[Magnum Wolfpak '#]],Table2[Rox Wolf'#],0)))</f>
        <v>0</v>
      </c>
      <c r="Z58" s="133"/>
      <c r="AA58" s="56">
        <f>rrcworking[[#This Row],[Gas Sales Statement Volume (MCF)]]+rrcworking[[#This Row],[Lease Use (MCF)]]+rrcworking[[#This Row],[Flared Gas]]</f>
        <v>0</v>
      </c>
      <c r="AB58" s="36"/>
      <c r="AC58" s="36"/>
      <c r="AD58" s="175">
        <f>COUNTIF(FilterList,rrcworking[[#This Row],[Magnum Wolfpak '#]])</f>
        <v>0</v>
      </c>
      <c r="AE58" s="172"/>
      <c r="AF58" s="173"/>
      <c r="AG58" s="36"/>
      <c r="AH58" s="36"/>
      <c r="AI58" s="36"/>
      <c r="AJ58" s="36"/>
      <c r="AK58" s="36"/>
      <c r="AL58" s="36"/>
      <c r="AM58" s="36"/>
      <c r="AN58" s="36"/>
      <c r="AO58" s="36"/>
      <c r="AP58" s="36"/>
    </row>
    <row r="59" spans="3:42" ht="14">
      <c r="C59" s="78" t="e">
        <v>#N/A</v>
      </c>
      <c r="D59" s="60" t="s">
        <v>317</v>
      </c>
      <c r="E59" s="125" t="s">
        <v>318</v>
      </c>
      <c r="F59" s="124">
        <v>1</v>
      </c>
      <c r="G59" s="115" t="s">
        <v>1090</v>
      </c>
      <c r="H59" s="18" t="s">
        <v>619</v>
      </c>
      <c r="I59" s="18" t="s">
        <v>59</v>
      </c>
      <c r="J59" s="19" t="s">
        <v>557</v>
      </c>
      <c r="K59" s="99">
        <v>39333</v>
      </c>
      <c r="L59" s="97">
        <f>INDEX(Table1[Production],MATCH(rrcworking[[#This Row],[RRC ID Number]],Table1[RRC Identifier],0))</f>
        <v>0</v>
      </c>
      <c r="M59" s="29">
        <f>INDEX(Table1[Formation Production],MATCH(rrcworking[[#This Row],[RRC ID Number]],Table1[RRC Identifier],0))</f>
        <v>0</v>
      </c>
      <c r="N59" s="30">
        <f>INDEX(Table1[On Hand End of Month],MATCH(rrcworking[[#This Row],[RRC ID Number]],Table1[RRC Identifier],0))</f>
        <v>0</v>
      </c>
      <c r="O59" s="102" t="b">
        <f t="shared" si="1"/>
        <v>1</v>
      </c>
      <c r="Q59" s="122">
        <f>rrcworking[[#This Row],[Last Month Closing Stock]]</f>
        <v>0</v>
      </c>
      <c r="R59">
        <f>rrcworking[[#This Row],[Opening Oil Stock]]</f>
        <v>0</v>
      </c>
      <c r="S59" s="133">
        <f>IF(ISERROR(INDEX(Table2[OIL],MATCH(rrcworking[[#This Row],[Magnum Wolfpak '#]],Table2[Rox Wolf'#],0))),0,INDEX(Table2[OIL],MATCH(rrcworking[[#This Row],[Magnum Wolfpak '#]],Table2[Rox Wolf'#],0)))</f>
        <v>0</v>
      </c>
      <c r="T59" s="34">
        <f>rrcworking[[#This Row],[Closing Stock (Oil)]]+rrcworking[[#This Row],[Sales/Dispostion]]-rrcworking[[#This Row],[Opening Oil Stock]]</f>
        <v>0</v>
      </c>
      <c r="U59" s="108">
        <f>rrcworking[[#This Row],[Gauge Sheet Prod Volume (oil)]]-rrcworking[[#This Row],[Oil Production]]</f>
        <v>0</v>
      </c>
      <c r="V59" s="133">
        <f>IF(ISERROR(INDEX(Table2[GAS],MATCH(rrcworking[[#This Row],[Magnum Wolfpak '#]],Table2[Rox Wolf'#],0))),0,INDEX(Table2[GAS],MATCH(rrcworking[[#This Row],[Magnum Wolfpak '#]],Table2[Rox Wolf'#],0)))</f>
        <v>0</v>
      </c>
      <c r="W59" s="58"/>
      <c r="X59" s="58"/>
      <c r="Y59" s="133">
        <f>IF(ISERROR(INDEX(Table2[LEASE USE],MATCH(rrcworking[[#This Row],[Magnum Wolfpak '#]],Table2[Rox Wolf'#],0))),0,INDEX(Table2[LEASE USE],MATCH(rrcworking[[#This Row],[Magnum Wolfpak '#]],Table2[Rox Wolf'#],0)))</f>
        <v>0</v>
      </c>
      <c r="Z59" s="133"/>
      <c r="AA59" s="56">
        <f>rrcworking[[#This Row],[Gas Sales Statement Volume (MCF)]]+rrcworking[[#This Row],[Lease Use (MCF)]]+rrcworking[[#This Row],[Flared Gas]]</f>
        <v>0</v>
      </c>
      <c r="AB59" s="36"/>
      <c r="AC59" s="36"/>
      <c r="AD59" s="175">
        <f>COUNTIF(FilterList,rrcworking[[#This Row],[Magnum Wolfpak '#]])</f>
        <v>0</v>
      </c>
      <c r="AE59" s="172"/>
      <c r="AF59" s="173"/>
      <c r="AG59" s="36"/>
      <c r="AH59" s="36"/>
      <c r="AI59" s="36"/>
      <c r="AJ59" s="36"/>
      <c r="AK59" s="36"/>
      <c r="AL59" s="36"/>
      <c r="AM59" s="36"/>
      <c r="AN59" s="36"/>
      <c r="AO59" s="36"/>
      <c r="AP59" s="36"/>
    </row>
    <row r="60" spans="3:42" ht="14">
      <c r="C60" s="78" t="e">
        <v>#N/A</v>
      </c>
      <c r="D60" s="60" t="s">
        <v>319</v>
      </c>
      <c r="E60" s="125" t="s">
        <v>320</v>
      </c>
      <c r="F60" s="124">
        <v>0</v>
      </c>
      <c r="G60" s="115" t="s">
        <v>1090</v>
      </c>
      <c r="H60" s="18" t="s">
        <v>619</v>
      </c>
      <c r="I60" s="18" t="s">
        <v>2</v>
      </c>
      <c r="J60" s="19" t="s">
        <v>558</v>
      </c>
      <c r="K60" s="99">
        <v>13726</v>
      </c>
      <c r="L60" s="97">
        <f>INDEX(Table1[Production],MATCH(rrcworking[[#This Row],[RRC ID Number]],Table1[RRC Identifier],0))</f>
        <v>0</v>
      </c>
      <c r="M60" s="29">
        <f>INDEX(Table1[Formation Production],MATCH(rrcworking[[#This Row],[RRC ID Number]],Table1[RRC Identifier],0))</f>
        <v>0</v>
      </c>
      <c r="N60" s="30">
        <f>INDEX(Table1[On Hand End of Month],MATCH(rrcworking[[#This Row],[RRC ID Number]],Table1[RRC Identifier],0))</f>
        <v>90</v>
      </c>
      <c r="O60" s="102" t="b">
        <f t="shared" si="1"/>
        <v>1</v>
      </c>
      <c r="Q60" s="122">
        <f>rrcworking[[#This Row],[Last Month Closing Stock]]</f>
        <v>90</v>
      </c>
      <c r="R60">
        <f>rrcworking[[#This Row],[Opening Oil Stock]]</f>
        <v>90</v>
      </c>
      <c r="S60" s="133">
        <f>IF(ISERROR(INDEX(Table2[OIL],MATCH(rrcworking[[#This Row],[Magnum Wolfpak '#]],Table2[Rox Wolf'#],0))),0,INDEX(Table2[OIL],MATCH(rrcworking[[#This Row],[Magnum Wolfpak '#]],Table2[Rox Wolf'#],0)))</f>
        <v>0</v>
      </c>
      <c r="T60" s="34">
        <f>rrcworking[[#This Row],[Closing Stock (Oil)]]+rrcworking[[#This Row],[Sales/Dispostion]]-rrcworking[[#This Row],[Opening Oil Stock]]</f>
        <v>0</v>
      </c>
      <c r="U60" s="108">
        <f>rrcworking[[#This Row],[Gauge Sheet Prod Volume (oil)]]-rrcworking[[#This Row],[Oil Production]]</f>
        <v>0</v>
      </c>
      <c r="V60" s="133">
        <f>IF(ISERROR(INDEX(Table2[GAS],MATCH(rrcworking[[#This Row],[Magnum Wolfpak '#]],Table2[Rox Wolf'#],0))),0,INDEX(Table2[GAS],MATCH(rrcworking[[#This Row],[Magnum Wolfpak '#]],Table2[Rox Wolf'#],0)))</f>
        <v>0</v>
      </c>
      <c r="W60" s="58"/>
      <c r="X60" s="58"/>
      <c r="Y60" s="133">
        <f>IF(ISERROR(INDEX(Table2[LEASE USE],MATCH(rrcworking[[#This Row],[Magnum Wolfpak '#]],Table2[Rox Wolf'#],0))),0,INDEX(Table2[LEASE USE],MATCH(rrcworking[[#This Row],[Magnum Wolfpak '#]],Table2[Rox Wolf'#],0)))</f>
        <v>0</v>
      </c>
      <c r="Z60" s="133"/>
      <c r="AA60" s="56">
        <f>rrcworking[[#This Row],[Gas Sales Statement Volume (MCF)]]+rrcworking[[#This Row],[Lease Use (MCF)]]+rrcworking[[#This Row],[Flared Gas]]</f>
        <v>0</v>
      </c>
      <c r="AB60" s="36"/>
      <c r="AC60" s="36"/>
      <c r="AD60" s="175">
        <f>COUNTIF(FilterList,rrcworking[[#This Row],[Magnum Wolfpak '#]])</f>
        <v>0</v>
      </c>
      <c r="AE60" s="172"/>
      <c r="AF60" s="173"/>
      <c r="AG60" s="36"/>
      <c r="AH60" s="36"/>
      <c r="AI60" s="36"/>
      <c r="AJ60" s="36"/>
      <c r="AK60" s="36"/>
      <c r="AL60" s="36"/>
      <c r="AM60" s="36"/>
      <c r="AN60" s="36"/>
      <c r="AO60" s="36"/>
      <c r="AP60" s="36"/>
    </row>
    <row r="61" spans="3:42" ht="14">
      <c r="C61" s="78" t="e">
        <v>#N/A</v>
      </c>
      <c r="D61" s="60" t="s">
        <v>304</v>
      </c>
      <c r="E61" s="125" t="s">
        <v>305</v>
      </c>
      <c r="F61" s="124">
        <v>1</v>
      </c>
      <c r="G61" s="115" t="s">
        <v>1090</v>
      </c>
      <c r="H61" s="18" t="s">
        <v>618</v>
      </c>
      <c r="I61" s="18" t="s">
        <v>59</v>
      </c>
      <c r="J61" s="19" t="s">
        <v>550</v>
      </c>
      <c r="K61" s="99">
        <v>200844</v>
      </c>
      <c r="L61" s="97">
        <f>INDEX(Table1[Production],MATCH(rrcworking[[#This Row],[RRC ID Number]],Table1[RRC Identifier],0))</f>
        <v>0</v>
      </c>
      <c r="M61" s="29">
        <f>INDEX(Table1[Formation Production],MATCH(rrcworking[[#This Row],[RRC ID Number]],Table1[RRC Identifier],0))</f>
        <v>0</v>
      </c>
      <c r="N61" s="30">
        <f>INDEX(Table1[On Hand End of Month],MATCH(rrcworking[[#This Row],[RRC ID Number]],Table1[RRC Identifier],0))</f>
        <v>135</v>
      </c>
      <c r="O61" s="102" t="b">
        <f t="shared" si="1"/>
        <v>1</v>
      </c>
      <c r="Q61" s="122">
        <f>rrcworking[[#This Row],[Last Month Closing Stock]]</f>
        <v>135</v>
      </c>
      <c r="R61">
        <f>rrcworking[[#This Row],[Opening Oil Stock]]</f>
        <v>135</v>
      </c>
      <c r="S61" s="133">
        <f>IF(ISERROR(INDEX(Table2[OIL],MATCH(rrcworking[[#This Row],[Magnum Wolfpak '#]],Table2[Rox Wolf'#],0))),0,INDEX(Table2[OIL],MATCH(rrcworking[[#This Row],[Magnum Wolfpak '#]],Table2[Rox Wolf'#],0)))</f>
        <v>0</v>
      </c>
      <c r="T61" s="34">
        <f>rrcworking[[#This Row],[Closing Stock (Oil)]]+rrcworking[[#This Row],[Sales/Dispostion]]-rrcworking[[#This Row],[Opening Oil Stock]]</f>
        <v>0</v>
      </c>
      <c r="U61" s="108">
        <f>rrcworking[[#This Row],[Gauge Sheet Prod Volume (oil)]]-rrcworking[[#This Row],[Oil Production]]</f>
        <v>0</v>
      </c>
      <c r="V61" s="133">
        <f>IF(ISERROR(INDEX(Table2[GAS],MATCH(rrcworking[[#This Row],[Magnum Wolfpak '#]],Table2[Rox Wolf'#],0))),0,INDEX(Table2[GAS],MATCH(rrcworking[[#This Row],[Magnum Wolfpak '#]],Table2[Rox Wolf'#],0)))</f>
        <v>0</v>
      </c>
      <c r="W61" s="58"/>
      <c r="X61" s="58"/>
      <c r="Y61" s="133">
        <f>IF(ISERROR(INDEX(Table2[LEASE USE],MATCH(rrcworking[[#This Row],[Magnum Wolfpak '#]],Table2[Rox Wolf'#],0))),0,INDEX(Table2[LEASE USE],MATCH(rrcworking[[#This Row],[Magnum Wolfpak '#]],Table2[Rox Wolf'#],0)))</f>
        <v>0</v>
      </c>
      <c r="Z61" s="133"/>
      <c r="AA61" s="56">
        <f>rrcworking[[#This Row],[Gas Sales Statement Volume (MCF)]]+rrcworking[[#This Row],[Lease Use (MCF)]]+rrcworking[[#This Row],[Flared Gas]]</f>
        <v>0</v>
      </c>
      <c r="AB61" s="36"/>
      <c r="AC61" s="36"/>
      <c r="AD61" s="175">
        <f>COUNTIF(FilterList,rrcworking[[#This Row],[Magnum Wolfpak '#]])</f>
        <v>0</v>
      </c>
      <c r="AE61" s="172"/>
      <c r="AF61" s="173"/>
      <c r="AG61" s="36"/>
      <c r="AH61" s="36"/>
      <c r="AI61" s="36"/>
      <c r="AJ61" s="36"/>
      <c r="AK61" s="36"/>
      <c r="AL61" s="36"/>
      <c r="AM61" s="36"/>
      <c r="AN61" s="36"/>
      <c r="AO61" s="36"/>
      <c r="AP61" s="36"/>
    </row>
    <row r="62" spans="3:42" ht="14">
      <c r="C62" s="78" t="e">
        <v>#N/A</v>
      </c>
      <c r="D62" s="60" t="s">
        <v>258</v>
      </c>
      <c r="E62" s="125" t="s">
        <v>259</v>
      </c>
      <c r="F62" s="124">
        <v>1</v>
      </c>
      <c r="G62" s="115" t="s">
        <v>1090</v>
      </c>
      <c r="H62" s="18" t="s">
        <v>618</v>
      </c>
      <c r="I62" s="18" t="s">
        <v>59</v>
      </c>
      <c r="J62" s="19" t="s">
        <v>518</v>
      </c>
      <c r="K62" s="99">
        <v>158027</v>
      </c>
      <c r="L62" s="97">
        <f>INDEX(Table1[Production],MATCH(rrcworking[[#This Row],[RRC ID Number]],Table1[RRC Identifier],0))</f>
        <v>0</v>
      </c>
      <c r="M62" s="29">
        <f>INDEX(Table1[Formation Production],MATCH(rrcworking[[#This Row],[RRC ID Number]],Table1[RRC Identifier],0))</f>
        <v>0</v>
      </c>
      <c r="N62" s="30">
        <f>INDEX(Table1[On Hand End of Month],MATCH(rrcworking[[#This Row],[RRC ID Number]],Table1[RRC Identifier],0))</f>
        <v>0</v>
      </c>
      <c r="O62" s="102" t="b">
        <f t="shared" si="1"/>
        <v>1</v>
      </c>
      <c r="Q62" s="122">
        <f>rrcworking[[#This Row],[Last Month Closing Stock]]</f>
        <v>0</v>
      </c>
      <c r="R62">
        <f>rrcworking[[#This Row],[Opening Oil Stock]]</f>
        <v>0</v>
      </c>
      <c r="S62" s="133">
        <f>IF(ISERROR(INDEX(Table2[OIL],MATCH(rrcworking[[#This Row],[Magnum Wolfpak '#]],Table2[Rox Wolf'#],0))),0,INDEX(Table2[OIL],MATCH(rrcworking[[#This Row],[Magnum Wolfpak '#]],Table2[Rox Wolf'#],0)))</f>
        <v>0</v>
      </c>
      <c r="T62" s="34">
        <f>rrcworking[[#This Row],[Closing Stock (Oil)]]+rrcworking[[#This Row],[Sales/Dispostion]]-rrcworking[[#This Row],[Opening Oil Stock]]</f>
        <v>0</v>
      </c>
      <c r="U62" s="108">
        <f>rrcworking[[#This Row],[Gauge Sheet Prod Volume (oil)]]-rrcworking[[#This Row],[Oil Production]]</f>
        <v>0</v>
      </c>
      <c r="V62" s="133">
        <f>IF(ISERROR(INDEX(Table2[GAS],MATCH(rrcworking[[#This Row],[Magnum Wolfpak '#]],Table2[Rox Wolf'#],0))),0,INDEX(Table2[GAS],MATCH(rrcworking[[#This Row],[Magnum Wolfpak '#]],Table2[Rox Wolf'#],0)))</f>
        <v>0</v>
      </c>
      <c r="W62" s="58"/>
      <c r="X62" s="58"/>
      <c r="Y62" s="133">
        <f>IF(ISERROR(INDEX(Table2[LEASE USE],MATCH(rrcworking[[#This Row],[Magnum Wolfpak '#]],Table2[Rox Wolf'#],0))),0,INDEX(Table2[LEASE USE],MATCH(rrcworking[[#This Row],[Magnum Wolfpak '#]],Table2[Rox Wolf'#],0)))</f>
        <v>0</v>
      </c>
      <c r="Z62" s="133"/>
      <c r="AA62" s="56">
        <f>rrcworking[[#This Row],[Gas Sales Statement Volume (MCF)]]+rrcworking[[#This Row],[Lease Use (MCF)]]+rrcworking[[#This Row],[Flared Gas]]</f>
        <v>0</v>
      </c>
      <c r="AB62" s="93"/>
      <c r="AC62" s="36"/>
      <c r="AD62" s="175">
        <f>COUNTIF(FilterList,rrcworking[[#This Row],[Magnum Wolfpak '#]])</f>
        <v>0</v>
      </c>
      <c r="AE62" s="172"/>
      <c r="AF62" s="173"/>
      <c r="AG62" s="36"/>
      <c r="AH62" s="36"/>
      <c r="AI62" s="36"/>
      <c r="AJ62" s="36"/>
      <c r="AK62" s="36"/>
      <c r="AL62" s="36"/>
      <c r="AM62" s="36"/>
      <c r="AN62" s="36"/>
      <c r="AO62" s="36"/>
      <c r="AP62" s="36"/>
    </row>
    <row r="63" spans="3:42" ht="14">
      <c r="C63" s="78">
        <v>99007</v>
      </c>
      <c r="D63" s="60" t="s">
        <v>274</v>
      </c>
      <c r="E63" s="125" t="s">
        <v>280</v>
      </c>
      <c r="F63" s="124">
        <v>6</v>
      </c>
      <c r="G63" s="115" t="s">
        <v>1090</v>
      </c>
      <c r="H63" s="18" t="s">
        <v>618</v>
      </c>
      <c r="I63" s="18" t="s">
        <v>59</v>
      </c>
      <c r="J63" s="19" t="s">
        <v>531</v>
      </c>
      <c r="K63" s="99">
        <v>210200</v>
      </c>
      <c r="L63" s="97">
        <f>INDEX(Table1[Production],MATCH(rrcworking[[#This Row],[RRC ID Number]],Table1[RRC Identifier],0))</f>
        <v>0</v>
      </c>
      <c r="M63" s="29">
        <f>INDEX(Table1[Formation Production],MATCH(rrcworking[[#This Row],[RRC ID Number]],Table1[RRC Identifier],0))</f>
        <v>32</v>
      </c>
      <c r="N63" s="30">
        <f>INDEX(Table1[On Hand End of Month],MATCH(rrcworking[[#This Row],[RRC ID Number]],Table1[RRC Identifier],0))</f>
        <v>33</v>
      </c>
      <c r="O63" s="102" t="b">
        <f t="shared" si="1"/>
        <v>0</v>
      </c>
      <c r="P63">
        <v>0</v>
      </c>
      <c r="Q63" s="122">
        <f>rrcworking[[#This Row],[Last Month Closing Stock]]</f>
        <v>33</v>
      </c>
      <c r="R63">
        <v>33</v>
      </c>
      <c r="S63" s="133">
        <f>IF(ISERROR(INDEX(Table2[OIL],MATCH(rrcworking[[#This Row],[Magnum Wolfpak '#]],Table2[Rox Wolf'#],0))),0,INDEX(Table2[OIL],MATCH(rrcworking[[#This Row],[Magnum Wolfpak '#]],Table2[Rox Wolf'#],0)))</f>
        <v>0</v>
      </c>
      <c r="T63" s="34">
        <f>rrcworking[[#This Row],[Closing Stock (Oil)]]+rrcworking[[#This Row],[Sales/Dispostion]]-rrcworking[[#This Row],[Opening Oil Stock]]</f>
        <v>0</v>
      </c>
      <c r="U63" s="108">
        <f>rrcworking[[#This Row],[Gauge Sheet Prod Volume (oil)]]-rrcworking[[#This Row],[Oil Production]]</f>
        <v>0</v>
      </c>
      <c r="V63" s="133">
        <f>IF(ISERROR(INDEX(Table2[GAS],MATCH(rrcworking[[#This Row],[Magnum Wolfpak '#]],Table2[Rox Wolf'#],0))),0,INDEX(Table2[GAS],MATCH(rrcworking[[#This Row],[Magnum Wolfpak '#]],Table2[Rox Wolf'#],0)))</f>
        <v>216</v>
      </c>
      <c r="W63" s="82"/>
      <c r="X63" s="58">
        <v>1</v>
      </c>
      <c r="Y63" s="133">
        <f>IF(ISERROR(INDEX(Table2[LEASE USE],MATCH(rrcworking[[#This Row],[Magnum Wolfpak '#]],Table2[Rox Wolf'#],0))),0,INDEX(Table2[LEASE USE],MATCH(rrcworking[[#This Row],[Magnum Wolfpak '#]],Table2[Rox Wolf'#],0)))</f>
        <v>8</v>
      </c>
      <c r="Z63" s="133"/>
      <c r="AA63" s="56">
        <f>rrcworking[[#This Row],[Gas Sales Statement Volume (MCF)]]+rrcworking[[#This Row],[Lease Use (MCF)]]+rrcworking[[#This Row],[Flared Gas]]</f>
        <v>224</v>
      </c>
      <c r="AB63" s="36"/>
      <c r="AC63" s="36"/>
      <c r="AD63" s="175">
        <f>COUNTIF(FilterList,rrcworking[[#This Row],[Magnum Wolfpak '#]])</f>
        <v>0</v>
      </c>
      <c r="AE63" s="172"/>
      <c r="AF63" s="173"/>
      <c r="AG63" s="36"/>
      <c r="AH63" s="36"/>
      <c r="AI63" s="174"/>
      <c r="AJ63" s="174"/>
      <c r="AK63" s="174"/>
      <c r="AL63" s="174"/>
      <c r="AM63" s="174"/>
      <c r="AN63" s="174"/>
      <c r="AO63" s="36" t="s">
        <v>1163</v>
      </c>
      <c r="AP63" s="36" t="s">
        <v>1198</v>
      </c>
    </row>
    <row r="64" spans="3:42" ht="28">
      <c r="C64" s="78">
        <v>98988</v>
      </c>
      <c r="D64" s="60" t="s">
        <v>274</v>
      </c>
      <c r="E64" s="125" t="s">
        <v>280</v>
      </c>
      <c r="F64" s="124">
        <v>2</v>
      </c>
      <c r="G64" s="115" t="s">
        <v>1090</v>
      </c>
      <c r="H64" s="18" t="s">
        <v>618</v>
      </c>
      <c r="I64" s="18" t="s">
        <v>59</v>
      </c>
      <c r="J64" s="19" t="s">
        <v>532</v>
      </c>
      <c r="K64" s="99">
        <v>215622</v>
      </c>
      <c r="L64" s="97">
        <f>INDEX(Table1[Production],MATCH(rrcworking[[#This Row],[RRC ID Number]],Table1[RRC Identifier],0))</f>
        <v>0</v>
      </c>
      <c r="M64" s="29">
        <f>INDEX(Table1[Formation Production],MATCH(rrcworking[[#This Row],[RRC ID Number]],Table1[RRC Identifier],0))</f>
        <v>2723</v>
      </c>
      <c r="N64" s="30">
        <f>INDEX(Table1[On Hand End of Month],MATCH(rrcworking[[#This Row],[RRC ID Number]],Table1[RRC Identifier],0))</f>
        <v>98</v>
      </c>
      <c r="O64" s="102" t="b">
        <f t="shared" si="1"/>
        <v>0</v>
      </c>
      <c r="P64">
        <v>10</v>
      </c>
      <c r="Q64" s="122">
        <f>rrcworking[[#This Row],[Last Month Closing Stock]]</f>
        <v>98</v>
      </c>
      <c r="R64">
        <v>163</v>
      </c>
      <c r="S64" s="133">
        <f>IF(ISERROR(INDEX(Table2[OIL],MATCH(rrcworking[[#This Row],[Magnum Wolfpak '#]],Table2[Rox Wolf'#],0))),0,INDEX(Table2[OIL],MATCH(rrcworking[[#This Row],[Magnum Wolfpak '#]],Table2[Rox Wolf'#],0)))</f>
        <v>0</v>
      </c>
      <c r="T64" s="34">
        <f>rrcworking[[#This Row],[Closing Stock (Oil)]]+rrcworking[[#This Row],[Sales/Dispostion]]-rrcworking[[#This Row],[Opening Oil Stock]]</f>
        <v>65</v>
      </c>
      <c r="U64" s="108">
        <f>rrcworking[[#This Row],[Gauge Sheet Prod Volume (oil)]]-rrcworking[[#This Row],[Oil Production]]</f>
        <v>-55</v>
      </c>
      <c r="V64" s="133">
        <f>IF(ISERROR(INDEX(Table2[GAS],MATCH(rrcworking[[#This Row],[Magnum Wolfpak '#]],Table2[Rox Wolf'#],0))),0,INDEX(Table2[GAS],MATCH(rrcworking[[#This Row],[Magnum Wolfpak '#]],Table2[Rox Wolf'#],0)))</f>
        <v>2078</v>
      </c>
      <c r="W64" s="82"/>
      <c r="X64" s="58">
        <v>5</v>
      </c>
      <c r="Y64" s="133">
        <f>IF(ISERROR(INDEX(Table2[LEASE USE],MATCH(rrcworking[[#This Row],[Magnum Wolfpak '#]],Table2[Rox Wolf'#],0))),0,INDEX(Table2[LEASE USE],MATCH(rrcworking[[#This Row],[Magnum Wolfpak '#]],Table2[Rox Wolf'#],0)))</f>
        <v>150</v>
      </c>
      <c r="Z64" s="133"/>
      <c r="AA64" s="56">
        <f>rrcworking[[#This Row],[Gas Sales Statement Volume (MCF)]]+rrcworking[[#This Row],[Lease Use (MCF)]]+rrcworking[[#This Row],[Flared Gas]]</f>
        <v>2228</v>
      </c>
      <c r="AB64" s="36"/>
      <c r="AC64" s="36" t="s">
        <v>1305</v>
      </c>
      <c r="AD64" s="175">
        <f>COUNTIF(FilterList,rrcworking[[#This Row],[Magnum Wolfpak '#]])</f>
        <v>0</v>
      </c>
      <c r="AE64" s="172"/>
      <c r="AF64" s="173"/>
      <c r="AG64" s="36"/>
      <c r="AH64" s="36"/>
      <c r="AI64" s="174"/>
      <c r="AJ64" s="174"/>
      <c r="AK64" s="174"/>
      <c r="AL64" s="174"/>
      <c r="AM64" s="174"/>
      <c r="AN64" s="174"/>
      <c r="AO64" s="36" t="s">
        <v>1163</v>
      </c>
      <c r="AP64" s="36" t="s">
        <v>1198</v>
      </c>
    </row>
    <row r="65" spans="3:42" ht="14">
      <c r="C65" s="78">
        <v>98987</v>
      </c>
      <c r="D65" s="60" t="s">
        <v>274</v>
      </c>
      <c r="E65" s="125" t="s">
        <v>276</v>
      </c>
      <c r="F65" s="124">
        <v>1</v>
      </c>
      <c r="G65" s="115" t="s">
        <v>1090</v>
      </c>
      <c r="H65" s="18" t="s">
        <v>618</v>
      </c>
      <c r="I65" s="18" t="s">
        <v>59</v>
      </c>
      <c r="J65" s="19" t="s">
        <v>527</v>
      </c>
      <c r="K65" s="99">
        <v>183638</v>
      </c>
      <c r="L65" s="97">
        <f>INDEX(Table1[Production],MATCH(rrcworking[[#This Row],[RRC ID Number]],Table1[RRC Identifier],0))</f>
        <v>0</v>
      </c>
      <c r="M65" s="29">
        <f>INDEX(Table1[Formation Production],MATCH(rrcworking[[#This Row],[RRC ID Number]],Table1[RRC Identifier],0))</f>
        <v>0</v>
      </c>
      <c r="N65" s="30">
        <f>INDEX(Table1[On Hand End of Month],MATCH(rrcworking[[#This Row],[RRC ID Number]],Table1[RRC Identifier],0))</f>
        <v>0</v>
      </c>
      <c r="O65" s="102" t="b">
        <f t="shared" si="1"/>
        <v>1</v>
      </c>
      <c r="Q65" s="122">
        <f>rrcworking[[#This Row],[Last Month Closing Stock]]</f>
        <v>0</v>
      </c>
      <c r="R65">
        <v>0</v>
      </c>
      <c r="S65" s="133">
        <f>IF(ISERROR(INDEX(Table2[OIL],MATCH(rrcworking[[#This Row],[Magnum Wolfpak '#]],Table2[Rox Wolf'#],0))),0,INDEX(Table2[OIL],MATCH(rrcworking[[#This Row],[Magnum Wolfpak '#]],Table2[Rox Wolf'#],0)))</f>
        <v>0</v>
      </c>
      <c r="T65" s="34">
        <f>rrcworking[[#This Row],[Closing Stock (Oil)]]+rrcworking[[#This Row],[Sales/Dispostion]]-rrcworking[[#This Row],[Opening Oil Stock]]</f>
        <v>0</v>
      </c>
      <c r="U65" s="108">
        <f>rrcworking[[#This Row],[Gauge Sheet Prod Volume (oil)]]-rrcworking[[#This Row],[Oil Production]]</f>
        <v>0</v>
      </c>
      <c r="V65" s="133">
        <f>IF(ISERROR(INDEX(Table2[GAS],MATCH(rrcworking[[#This Row],[Magnum Wolfpak '#]],Table2[Rox Wolf'#],0))),0,INDEX(Table2[GAS],MATCH(rrcworking[[#This Row],[Magnum Wolfpak '#]],Table2[Rox Wolf'#],0)))</f>
        <v>0</v>
      </c>
      <c r="W65" s="82"/>
      <c r="X65" s="58">
        <v>1</v>
      </c>
      <c r="Y65" s="133">
        <f>IF(ISERROR(INDEX(Table2[LEASE USE],MATCH(rrcworking[[#This Row],[Magnum Wolfpak '#]],Table2[Rox Wolf'#],0))),0,INDEX(Table2[LEASE USE],MATCH(rrcworking[[#This Row],[Magnum Wolfpak '#]],Table2[Rox Wolf'#],0)))</f>
        <v>0</v>
      </c>
      <c r="Z65" s="133"/>
      <c r="AA65" s="56">
        <f>rrcworking[[#This Row],[Gas Sales Statement Volume (MCF)]]+rrcworking[[#This Row],[Lease Use (MCF)]]+rrcworking[[#This Row],[Flared Gas]]</f>
        <v>0</v>
      </c>
      <c r="AB65" s="36"/>
      <c r="AC65" s="36"/>
      <c r="AD65" s="175">
        <f>COUNTIF(FilterList,rrcworking[[#This Row],[Magnum Wolfpak '#]])</f>
        <v>0</v>
      </c>
      <c r="AE65" s="172"/>
      <c r="AF65" s="173"/>
      <c r="AG65" s="36"/>
      <c r="AH65" s="36"/>
      <c r="AI65" s="174"/>
      <c r="AJ65" s="174"/>
      <c r="AK65" s="174"/>
      <c r="AL65" s="174"/>
      <c r="AM65" s="174"/>
      <c r="AN65" s="174"/>
      <c r="AO65" s="36" t="s">
        <v>1163</v>
      </c>
      <c r="AP65" s="36" t="s">
        <v>1198</v>
      </c>
    </row>
    <row r="66" spans="3:42" ht="56">
      <c r="C66" s="78">
        <v>98956</v>
      </c>
      <c r="D66" s="60" t="s">
        <v>274</v>
      </c>
      <c r="E66" s="125" t="s">
        <v>277</v>
      </c>
      <c r="F66" s="124">
        <v>1</v>
      </c>
      <c r="G66" s="115">
        <v>1988</v>
      </c>
      <c r="H66" s="18" t="s">
        <v>618</v>
      </c>
      <c r="I66" s="18" t="s">
        <v>59</v>
      </c>
      <c r="J66" s="19" t="s">
        <v>528</v>
      </c>
      <c r="K66" s="99">
        <v>199834</v>
      </c>
      <c r="L66" s="97">
        <f>INDEX(Table1[Production],MATCH(rrcworking[[#This Row],[RRC ID Number]],Table1[RRC Identifier],0))</f>
        <v>40</v>
      </c>
      <c r="M66" s="29">
        <f>INDEX(Table1[Formation Production],MATCH(rrcworking[[#This Row],[RRC ID Number]],Table1[RRC Identifier],0))</f>
        <v>851</v>
      </c>
      <c r="N66" s="30">
        <f>INDEX(Table1[On Hand End of Month],MATCH(rrcworking[[#This Row],[RRC ID Number]],Table1[RRC Identifier],0))</f>
        <v>189</v>
      </c>
      <c r="O66" s="102" t="b">
        <f t="shared" si="1"/>
        <v>0</v>
      </c>
      <c r="P66">
        <v>55</v>
      </c>
      <c r="Q66" s="122">
        <f>rrcworking[[#This Row],[Last Month Closing Stock]]</f>
        <v>189</v>
      </c>
      <c r="R66">
        <v>239</v>
      </c>
      <c r="S66" s="133">
        <f>IF(ISERROR(INDEX(Table2[OIL],MATCH(rrcworking[[#This Row],[Magnum Wolfpak '#]],Table2[Rox Wolf'#],0))),0,INDEX(Table2[OIL],MATCH(rrcworking[[#This Row],[Magnum Wolfpak '#]],Table2[Rox Wolf'#],0)))</f>
        <v>0</v>
      </c>
      <c r="T66" s="34">
        <f>rrcworking[[#This Row],[Closing Stock (Oil)]]+rrcworking[[#This Row],[Sales/Dispostion]]-rrcworking[[#This Row],[Opening Oil Stock]]</f>
        <v>50</v>
      </c>
      <c r="U66" s="108">
        <f>rrcworking[[#This Row],[Gauge Sheet Prod Volume (oil)]]-rrcworking[[#This Row],[Oil Production]]</f>
        <v>5</v>
      </c>
      <c r="V66" s="133">
        <f>IF(ISERROR(INDEX(Table2[GAS],MATCH(rrcworking[[#This Row],[Magnum Wolfpak '#]],Table2[Rox Wolf'#],0))),0,INDEX(Table2[GAS],MATCH(rrcworking[[#This Row],[Magnum Wolfpak '#]],Table2[Rox Wolf'#],0)))</f>
        <v>625</v>
      </c>
      <c r="W66" s="82"/>
      <c r="X66" s="58">
        <v>2</v>
      </c>
      <c r="Y66" s="133">
        <f>IF(ISERROR(INDEX(Table2[LEASE USE],MATCH(rrcworking[[#This Row],[Magnum Wolfpak '#]],Table2[Rox Wolf'#],0))),0,INDEX(Table2[LEASE USE],MATCH(rrcworking[[#This Row],[Magnum Wolfpak '#]],Table2[Rox Wolf'#],0)))</f>
        <v>62</v>
      </c>
      <c r="Z66" s="133"/>
      <c r="AA66" s="56">
        <f>rrcworking[[#This Row],[Gas Sales Statement Volume (MCF)]]+rrcworking[[#This Row],[Lease Use (MCF)]]+rrcworking[[#This Row],[Flared Gas]]</f>
        <v>687</v>
      </c>
      <c r="AB66" s="36"/>
      <c r="AC66" s="36" t="s">
        <v>1144</v>
      </c>
      <c r="AD66" s="175">
        <f>COUNTIF(FilterList,rrcworking[[#This Row],[Magnum Wolfpak '#]])</f>
        <v>0</v>
      </c>
      <c r="AE66" s="172"/>
      <c r="AF66" s="173"/>
      <c r="AG66" s="36"/>
      <c r="AH66" s="36"/>
      <c r="AI66" s="174"/>
      <c r="AJ66" s="174"/>
      <c r="AK66" s="174"/>
      <c r="AL66" s="174"/>
      <c r="AM66" s="174"/>
      <c r="AN66" s="174"/>
      <c r="AO66" s="36" t="s">
        <v>1163</v>
      </c>
      <c r="AP66" s="36" t="s">
        <v>1198</v>
      </c>
    </row>
    <row r="67" spans="3:42" ht="14">
      <c r="C67" s="78" t="e">
        <v>#N/A</v>
      </c>
      <c r="D67" s="60" t="s">
        <v>274</v>
      </c>
      <c r="E67" s="125" t="s">
        <v>275</v>
      </c>
      <c r="F67" s="124">
        <v>4</v>
      </c>
      <c r="G67" s="115">
        <v>1988</v>
      </c>
      <c r="H67" s="18" t="s">
        <v>618</v>
      </c>
      <c r="I67" s="18" t="s">
        <v>59</v>
      </c>
      <c r="J67" s="19" t="s">
        <v>526</v>
      </c>
      <c r="K67" s="99">
        <v>163161</v>
      </c>
      <c r="L67" s="97">
        <f>INDEX(Table1[Production],MATCH(rrcworking[[#This Row],[RRC ID Number]],Table1[RRC Identifier],0))</f>
        <v>0</v>
      </c>
      <c r="M67" s="29">
        <f>INDEX(Table1[Formation Production],MATCH(rrcworking[[#This Row],[RRC ID Number]],Table1[RRC Identifier],0))</f>
        <v>0</v>
      </c>
      <c r="N67" s="30">
        <f>INDEX(Table1[On Hand End of Month],MATCH(rrcworking[[#This Row],[RRC ID Number]],Table1[RRC Identifier],0))</f>
        <v>0</v>
      </c>
      <c r="O67" s="102" t="b">
        <f t="shared" si="1"/>
        <v>1</v>
      </c>
      <c r="Q67" s="122">
        <f>rrcworking[[#This Row],[Last Month Closing Stock]]</f>
        <v>0</v>
      </c>
      <c r="R67">
        <f>rrcworking[[#This Row],[Opening Oil Stock]]</f>
        <v>0</v>
      </c>
      <c r="S67" s="133">
        <f>IF(ISERROR(INDEX(Table2[OIL],MATCH(rrcworking[[#This Row],[Magnum Wolfpak '#]],Table2[Rox Wolf'#],0))),0,INDEX(Table2[OIL],MATCH(rrcworking[[#This Row],[Magnum Wolfpak '#]],Table2[Rox Wolf'#],0)))</f>
        <v>0</v>
      </c>
      <c r="T67" s="34">
        <f>rrcworking[[#This Row],[Closing Stock (Oil)]]+rrcworking[[#This Row],[Sales/Dispostion]]-rrcworking[[#This Row],[Opening Oil Stock]]</f>
        <v>0</v>
      </c>
      <c r="U67" s="108">
        <f>rrcworking[[#This Row],[Gauge Sheet Prod Volume (oil)]]-rrcworking[[#This Row],[Oil Production]]</f>
        <v>0</v>
      </c>
      <c r="V67" s="133">
        <f>IF(ISERROR(INDEX(Table2[GAS],MATCH(rrcworking[[#This Row],[Magnum Wolfpak '#]],Table2[Rox Wolf'#],0))),0,INDEX(Table2[GAS],MATCH(rrcworking[[#This Row],[Magnum Wolfpak '#]],Table2[Rox Wolf'#],0)))</f>
        <v>0</v>
      </c>
      <c r="W67" s="58"/>
      <c r="X67" s="58"/>
      <c r="Y67" s="133">
        <f>IF(ISERROR(INDEX(Table2[LEASE USE],MATCH(rrcworking[[#This Row],[Magnum Wolfpak '#]],Table2[Rox Wolf'#],0))),0,INDEX(Table2[LEASE USE],MATCH(rrcworking[[#This Row],[Magnum Wolfpak '#]],Table2[Rox Wolf'#],0)))</f>
        <v>0</v>
      </c>
      <c r="Z67" s="133"/>
      <c r="AA67" s="56">
        <f>rrcworking[[#This Row],[Gas Sales Statement Volume (MCF)]]+rrcworking[[#This Row],[Lease Use (MCF)]]+rrcworking[[#This Row],[Flared Gas]]</f>
        <v>0</v>
      </c>
      <c r="AB67" s="36"/>
      <c r="AC67" s="36"/>
      <c r="AD67" s="175">
        <f>COUNTIF(FilterList,rrcworking[[#This Row],[Magnum Wolfpak '#]])</f>
        <v>0</v>
      </c>
      <c r="AE67" s="172"/>
      <c r="AF67" s="173"/>
      <c r="AG67" s="36"/>
      <c r="AH67" s="36"/>
      <c r="AI67" s="36"/>
      <c r="AJ67" s="36"/>
      <c r="AK67" s="36"/>
      <c r="AL67" s="36"/>
      <c r="AM67" s="36"/>
      <c r="AN67" s="36"/>
      <c r="AO67" s="36"/>
      <c r="AP67" s="36"/>
    </row>
    <row r="68" spans="3:42" ht="14">
      <c r="C68" s="78">
        <v>98959</v>
      </c>
      <c r="D68" s="60" t="s">
        <v>274</v>
      </c>
      <c r="E68" s="125" t="s">
        <v>278</v>
      </c>
      <c r="F68" s="124">
        <v>3</v>
      </c>
      <c r="G68" s="115">
        <v>1988</v>
      </c>
      <c r="H68" s="18" t="s">
        <v>618</v>
      </c>
      <c r="I68" s="18" t="s">
        <v>59</v>
      </c>
      <c r="J68" s="19" t="s">
        <v>529</v>
      </c>
      <c r="K68" s="99">
        <v>201550</v>
      </c>
      <c r="L68" s="97">
        <f>INDEX(Table1[Production],MATCH(rrcworking[[#This Row],[RRC ID Number]],Table1[RRC Identifier],0))</f>
        <v>0</v>
      </c>
      <c r="M68" s="29">
        <f>INDEX(Table1[Formation Production],MATCH(rrcworking[[#This Row],[RRC ID Number]],Table1[RRC Identifier],0))</f>
        <v>31</v>
      </c>
      <c r="N68" s="30">
        <f>INDEX(Table1[On Hand End of Month],MATCH(rrcworking[[#This Row],[RRC ID Number]],Table1[RRC Identifier],0))</f>
        <v>0</v>
      </c>
      <c r="O68" s="102" t="b">
        <f t="shared" si="1"/>
        <v>0</v>
      </c>
      <c r="Q68" s="122">
        <f>rrcworking[[#This Row],[Last Month Closing Stock]]</f>
        <v>0</v>
      </c>
      <c r="R68">
        <v>0</v>
      </c>
      <c r="S68" s="133">
        <f>IF(ISERROR(INDEX(Table2[OIL],MATCH(rrcworking[[#This Row],[Magnum Wolfpak '#]],Table2[Rox Wolf'#],0))),0,INDEX(Table2[OIL],MATCH(rrcworking[[#This Row],[Magnum Wolfpak '#]],Table2[Rox Wolf'#],0)))</f>
        <v>0</v>
      </c>
      <c r="T68" s="34">
        <f>rrcworking[[#This Row],[Closing Stock (Oil)]]+rrcworking[[#This Row],[Sales/Dispostion]]-rrcworking[[#This Row],[Opening Oil Stock]]</f>
        <v>0</v>
      </c>
      <c r="U68" s="108">
        <f>rrcworking[[#This Row],[Gauge Sheet Prod Volume (oil)]]-rrcworking[[#This Row],[Oil Production]]</f>
        <v>0</v>
      </c>
      <c r="V68" s="133">
        <f>IF(ISERROR(INDEX(Table2[GAS],MATCH(rrcworking[[#This Row],[Magnum Wolfpak '#]],Table2[Rox Wolf'#],0))),0,INDEX(Table2[GAS],MATCH(rrcworking[[#This Row],[Magnum Wolfpak '#]],Table2[Rox Wolf'#],0)))</f>
        <v>19</v>
      </c>
      <c r="W68" s="58"/>
      <c r="X68" s="58">
        <v>0</v>
      </c>
      <c r="Y68" s="133">
        <f>IF(ISERROR(INDEX(Table2[LEASE USE],MATCH(rrcworking[[#This Row],[Magnum Wolfpak '#]],Table2[Rox Wolf'#],0))),0,INDEX(Table2[LEASE USE],MATCH(rrcworking[[#This Row],[Magnum Wolfpak '#]],Table2[Rox Wolf'#],0)))</f>
        <v>0</v>
      </c>
      <c r="Z68" s="133"/>
      <c r="AA68" s="56">
        <f>rrcworking[[#This Row],[Gas Sales Statement Volume (MCF)]]+rrcworking[[#This Row],[Lease Use (MCF)]]+rrcworking[[#This Row],[Flared Gas]]</f>
        <v>19</v>
      </c>
      <c r="AB68" s="36"/>
      <c r="AC68" s="36"/>
      <c r="AD68" s="175">
        <f>COUNTIF(FilterList,rrcworking[[#This Row],[Magnum Wolfpak '#]])</f>
        <v>0</v>
      </c>
      <c r="AE68" s="172"/>
      <c r="AF68" s="173"/>
      <c r="AG68" s="36"/>
      <c r="AH68" s="36"/>
      <c r="AI68" s="174"/>
      <c r="AJ68" s="174"/>
      <c r="AK68" s="174"/>
      <c r="AL68" s="174"/>
      <c r="AM68" s="174"/>
      <c r="AN68" s="174"/>
      <c r="AO68" s="36" t="s">
        <v>1163</v>
      </c>
      <c r="AP68" s="36" t="s">
        <v>1198</v>
      </c>
    </row>
    <row r="69" spans="3:42" ht="14">
      <c r="C69" s="78">
        <v>98958</v>
      </c>
      <c r="D69" s="60" t="s">
        <v>274</v>
      </c>
      <c r="E69" s="125" t="s">
        <v>278</v>
      </c>
      <c r="F69" s="124">
        <v>1</v>
      </c>
      <c r="G69" s="115" t="s">
        <v>1090</v>
      </c>
      <c r="H69" s="18" t="s">
        <v>618</v>
      </c>
      <c r="I69" s="18" t="s">
        <v>59</v>
      </c>
      <c r="J69" s="19" t="s">
        <v>534</v>
      </c>
      <c r="K69" s="99">
        <v>217825</v>
      </c>
      <c r="L69" s="97">
        <f>INDEX(Table1[Production],MATCH(rrcworking[[#This Row],[RRC ID Number]],Table1[RRC Identifier],0))</f>
        <v>0</v>
      </c>
      <c r="M69" s="29">
        <f>INDEX(Table1[Formation Production],MATCH(rrcworking[[#This Row],[RRC ID Number]],Table1[RRC Identifier],0))</f>
        <v>3771</v>
      </c>
      <c r="N69" s="30">
        <f>INDEX(Table1[On Hand End of Month],MATCH(rrcworking[[#This Row],[RRC ID Number]],Table1[RRC Identifier],0))</f>
        <v>0</v>
      </c>
      <c r="O69" s="102" t="b">
        <f t="shared" si="1"/>
        <v>0</v>
      </c>
      <c r="Q69" s="122">
        <f>rrcworking[[#This Row],[Last Month Closing Stock]]</f>
        <v>0</v>
      </c>
      <c r="R69">
        <v>0</v>
      </c>
      <c r="S69" s="133">
        <f>IF(ISERROR(INDEX(Table2[OIL],MATCH(rrcworking[[#This Row],[Magnum Wolfpak '#]],Table2[Rox Wolf'#],0))),0,INDEX(Table2[OIL],MATCH(rrcworking[[#This Row],[Magnum Wolfpak '#]],Table2[Rox Wolf'#],0)))</f>
        <v>0</v>
      </c>
      <c r="T69" s="34">
        <f>rrcworking[[#This Row],[Closing Stock (Oil)]]+rrcworking[[#This Row],[Sales/Dispostion]]-rrcworking[[#This Row],[Opening Oil Stock]]</f>
        <v>0</v>
      </c>
      <c r="U69" s="108">
        <f>rrcworking[[#This Row],[Gauge Sheet Prod Volume (oil)]]-rrcworking[[#This Row],[Oil Production]]</f>
        <v>0</v>
      </c>
      <c r="V69" s="133">
        <f>IF(ISERROR(INDEX(Table2[GAS],MATCH(rrcworking[[#This Row],[Magnum Wolfpak '#]],Table2[Rox Wolf'#],0))),0,INDEX(Table2[GAS],MATCH(rrcworking[[#This Row],[Magnum Wolfpak '#]],Table2[Rox Wolf'#],0)))</f>
        <v>3173</v>
      </c>
      <c r="W69" s="82"/>
      <c r="X69" s="58">
        <v>6</v>
      </c>
      <c r="Y69" s="133">
        <f>IF(ISERROR(INDEX(Table2[LEASE USE],MATCH(rrcworking[[#This Row],[Magnum Wolfpak '#]],Table2[Rox Wolf'#],0))),0,INDEX(Table2[LEASE USE],MATCH(rrcworking[[#This Row],[Magnum Wolfpak '#]],Table2[Rox Wolf'#],0)))</f>
        <v>186</v>
      </c>
      <c r="Z69" s="133"/>
      <c r="AA69" s="56">
        <f>rrcworking[[#This Row],[Gas Sales Statement Volume (MCF)]]+rrcworking[[#This Row],[Lease Use (MCF)]]+rrcworking[[#This Row],[Flared Gas]]</f>
        <v>3359</v>
      </c>
      <c r="AB69" s="36"/>
      <c r="AC69" s="36"/>
      <c r="AD69" s="175">
        <f>COUNTIF(FilterList,rrcworking[[#This Row],[Magnum Wolfpak '#]])</f>
        <v>0</v>
      </c>
      <c r="AE69" s="172"/>
      <c r="AF69" s="173"/>
      <c r="AG69" s="36"/>
      <c r="AH69" s="36"/>
      <c r="AI69" s="174"/>
      <c r="AJ69" s="174"/>
      <c r="AK69" s="174"/>
      <c r="AL69" s="174"/>
      <c r="AM69" s="174"/>
      <c r="AN69" s="174"/>
      <c r="AO69" s="36" t="s">
        <v>1163</v>
      </c>
      <c r="AP69" s="36" t="s">
        <v>1198</v>
      </c>
    </row>
    <row r="70" spans="3:42" ht="14">
      <c r="C70" s="78" t="e">
        <v>#N/A</v>
      </c>
      <c r="D70" s="60" t="s">
        <v>274</v>
      </c>
      <c r="E70" s="125" t="s">
        <v>278</v>
      </c>
      <c r="F70" s="124">
        <v>5</v>
      </c>
      <c r="G70" s="115" t="s">
        <v>1090</v>
      </c>
      <c r="H70" s="18" t="s">
        <v>618</v>
      </c>
      <c r="I70" s="18" t="s">
        <v>59</v>
      </c>
      <c r="J70" s="19" t="s">
        <v>533</v>
      </c>
      <c r="K70" s="99">
        <v>216963</v>
      </c>
      <c r="L70" s="97">
        <f>INDEX(Table1[Production],MATCH(rrcworking[[#This Row],[RRC ID Number]],Table1[RRC Identifier],0))</f>
        <v>0</v>
      </c>
      <c r="M70" s="29">
        <f>INDEX(Table1[Formation Production],MATCH(rrcworking[[#This Row],[RRC ID Number]],Table1[RRC Identifier],0))</f>
        <v>0</v>
      </c>
      <c r="N70" s="30">
        <f>INDEX(Table1[On Hand End of Month],MATCH(rrcworking[[#This Row],[RRC ID Number]],Table1[RRC Identifier],0))</f>
        <v>0</v>
      </c>
      <c r="O70" s="102" t="b">
        <f t="shared" ref="O70:O100" si="2">IF(AND(L70=0,M70=0), TRUE, FALSE)</f>
        <v>1</v>
      </c>
      <c r="Q70" s="122">
        <f>rrcworking[[#This Row],[Last Month Closing Stock]]</f>
        <v>0</v>
      </c>
      <c r="R70">
        <f>rrcworking[[#This Row],[Opening Oil Stock]]</f>
        <v>0</v>
      </c>
      <c r="S70" s="133">
        <f>IF(ISERROR(INDEX(Table2[OIL],MATCH(rrcworking[[#This Row],[Magnum Wolfpak '#]],Table2[Rox Wolf'#],0))),0,INDEX(Table2[OIL],MATCH(rrcworking[[#This Row],[Magnum Wolfpak '#]],Table2[Rox Wolf'#],0)))</f>
        <v>0</v>
      </c>
      <c r="T70" s="34">
        <f>rrcworking[[#This Row],[Closing Stock (Oil)]]+rrcworking[[#This Row],[Sales/Dispostion]]-rrcworking[[#This Row],[Opening Oil Stock]]</f>
        <v>0</v>
      </c>
      <c r="U70" s="108">
        <f>rrcworking[[#This Row],[Gauge Sheet Prod Volume (oil)]]-rrcworking[[#This Row],[Oil Production]]</f>
        <v>0</v>
      </c>
      <c r="V70" s="133">
        <f>IF(ISERROR(INDEX(Table2[GAS],MATCH(rrcworking[[#This Row],[Magnum Wolfpak '#]],Table2[Rox Wolf'#],0))),0,INDEX(Table2[GAS],MATCH(rrcworking[[#This Row],[Magnum Wolfpak '#]],Table2[Rox Wolf'#],0)))</f>
        <v>0</v>
      </c>
      <c r="W70" s="58"/>
      <c r="X70" s="58"/>
      <c r="Y70" s="133">
        <f>IF(ISERROR(INDEX(Table2[LEASE USE],MATCH(rrcworking[[#This Row],[Magnum Wolfpak '#]],Table2[Rox Wolf'#],0))),0,INDEX(Table2[LEASE USE],MATCH(rrcworking[[#This Row],[Magnum Wolfpak '#]],Table2[Rox Wolf'#],0)))</f>
        <v>0</v>
      </c>
      <c r="Z70" s="133"/>
      <c r="AA70" s="56">
        <f>rrcworking[[#This Row],[Gas Sales Statement Volume (MCF)]]+rrcworking[[#This Row],[Lease Use (MCF)]]+rrcworking[[#This Row],[Flared Gas]]</f>
        <v>0</v>
      </c>
      <c r="AB70" s="36"/>
      <c r="AC70" s="36"/>
      <c r="AD70" s="175">
        <f>COUNTIF(FilterList,rrcworking[[#This Row],[Magnum Wolfpak '#]])</f>
        <v>0</v>
      </c>
      <c r="AE70" s="172"/>
      <c r="AF70" s="173"/>
      <c r="AG70" s="36"/>
      <c r="AH70" s="36"/>
      <c r="AI70" s="36"/>
      <c r="AJ70" s="36"/>
      <c r="AK70" s="36"/>
      <c r="AL70" s="36"/>
      <c r="AM70" s="36"/>
      <c r="AN70" s="36"/>
      <c r="AO70" s="36"/>
      <c r="AP70" s="36"/>
    </row>
    <row r="71" spans="3:42" ht="14">
      <c r="C71" s="78">
        <v>99093</v>
      </c>
      <c r="D71" s="60" t="s">
        <v>337</v>
      </c>
      <c r="E71" s="125" t="s">
        <v>338</v>
      </c>
      <c r="F71" s="124">
        <v>2</v>
      </c>
      <c r="G71" s="115" t="s">
        <v>1090</v>
      </c>
      <c r="H71" s="18" t="s">
        <v>619</v>
      </c>
      <c r="I71" s="18" t="s">
        <v>59</v>
      </c>
      <c r="J71" s="19" t="s">
        <v>570</v>
      </c>
      <c r="K71" s="99">
        <v>212342</v>
      </c>
      <c r="L71" s="97">
        <f>INDEX(Table1[Production],MATCH(rrcworking[[#This Row],[RRC ID Number]],Table1[RRC Identifier],0))</f>
        <v>0</v>
      </c>
      <c r="M71" s="29">
        <f>INDEX(Table1[Formation Production],MATCH(rrcworking[[#This Row],[RRC ID Number]],Table1[RRC Identifier],0))</f>
        <v>2843</v>
      </c>
      <c r="N71" s="30">
        <f>INDEX(Table1[On Hand End of Month],MATCH(rrcworking[[#This Row],[RRC ID Number]],Table1[RRC Identifier],0))</f>
        <v>0</v>
      </c>
      <c r="O71" s="102" t="b">
        <f t="shared" si="2"/>
        <v>0</v>
      </c>
      <c r="Q71" s="122">
        <f>rrcworking[[#This Row],[Last Month Closing Stock]]</f>
        <v>0</v>
      </c>
      <c r="R71">
        <v>0</v>
      </c>
      <c r="S71" s="133">
        <f>IF(ISERROR(INDEX(Table2[OIL],MATCH(rrcworking[[#This Row],[Magnum Wolfpak '#]],Table2[Rox Wolf'#],0))),0,INDEX(Table2[OIL],MATCH(rrcworking[[#This Row],[Magnum Wolfpak '#]],Table2[Rox Wolf'#],0)))</f>
        <v>0</v>
      </c>
      <c r="T71" s="34">
        <f>rrcworking[[#This Row],[Closing Stock (Oil)]]+rrcworking[[#This Row],[Sales/Dispostion]]-rrcworking[[#This Row],[Opening Oil Stock]]</f>
        <v>0</v>
      </c>
      <c r="U71" s="108">
        <f>rrcworking[[#This Row],[Gauge Sheet Prod Volume (oil)]]-rrcworking[[#This Row],[Oil Production]]</f>
        <v>0</v>
      </c>
      <c r="V71" s="133">
        <f>IF(ISERROR(INDEX(Table2[GAS],MATCH(rrcworking[[#This Row],[Magnum Wolfpak '#]],Table2[Rox Wolf'#],0))),0,INDEX(Table2[GAS],MATCH(rrcworking[[#This Row],[Magnum Wolfpak '#]],Table2[Rox Wolf'#],0)))</f>
        <v>2893</v>
      </c>
      <c r="W71" s="82"/>
      <c r="X71" s="58">
        <v>4</v>
      </c>
      <c r="Y71" s="133">
        <f>IF(ISERROR(INDEX(Table2[LEASE USE],MATCH(rrcworking[[#This Row],[Magnum Wolfpak '#]],Table2[Rox Wolf'#],0))),0,INDEX(Table2[LEASE USE],MATCH(rrcworking[[#This Row],[Magnum Wolfpak '#]],Table2[Rox Wolf'#],0)))</f>
        <v>124</v>
      </c>
      <c r="Z71" s="133"/>
      <c r="AA71" s="56">
        <f>rrcworking[[#This Row],[Gas Sales Statement Volume (MCF)]]+rrcworking[[#This Row],[Lease Use (MCF)]]+rrcworking[[#This Row],[Flared Gas]]</f>
        <v>3017</v>
      </c>
      <c r="AB71" s="93"/>
      <c r="AC71" s="36"/>
      <c r="AD71" s="175">
        <f>COUNTIF(FilterList,rrcworking[[#This Row],[Magnum Wolfpak '#]])</f>
        <v>0</v>
      </c>
      <c r="AE71" s="172"/>
      <c r="AF71" s="173"/>
      <c r="AG71" s="36"/>
      <c r="AH71" s="36"/>
      <c r="AI71" s="174"/>
      <c r="AJ71" s="174"/>
      <c r="AK71" s="174"/>
      <c r="AL71" s="174"/>
      <c r="AM71" s="174"/>
      <c r="AN71" s="174"/>
      <c r="AO71" s="36" t="s">
        <v>1163</v>
      </c>
      <c r="AP71" s="36" t="s">
        <v>1199</v>
      </c>
    </row>
    <row r="72" spans="3:42" ht="14">
      <c r="C72" s="78">
        <v>99095</v>
      </c>
      <c r="D72" s="60" t="s">
        <v>374</v>
      </c>
      <c r="E72" s="125" t="s">
        <v>338</v>
      </c>
      <c r="F72" s="124">
        <v>5</v>
      </c>
      <c r="G72" s="115" t="s">
        <v>1090</v>
      </c>
      <c r="H72" s="18" t="s">
        <v>619</v>
      </c>
      <c r="I72" s="18" t="s">
        <v>59</v>
      </c>
      <c r="J72" s="19" t="s">
        <v>590</v>
      </c>
      <c r="K72" s="99">
        <v>226100</v>
      </c>
      <c r="L72" s="97">
        <f>INDEX(Table1[Production],MATCH(rrcworking[[#This Row],[RRC ID Number]],Table1[RRC Identifier],0))</f>
        <v>0</v>
      </c>
      <c r="M72" s="29">
        <f>INDEX(Table1[Formation Production],MATCH(rrcworking[[#This Row],[RRC ID Number]],Table1[RRC Identifier],0))</f>
        <v>1035</v>
      </c>
      <c r="N72" s="30">
        <f>INDEX(Table1[On Hand End of Month],MATCH(rrcworking[[#This Row],[RRC ID Number]],Table1[RRC Identifier],0))</f>
        <v>0</v>
      </c>
      <c r="O72" s="102" t="b">
        <f t="shared" si="2"/>
        <v>0</v>
      </c>
      <c r="Q72" s="122">
        <f>rrcworking[[#This Row],[Last Month Closing Stock]]</f>
        <v>0</v>
      </c>
      <c r="R72">
        <v>0</v>
      </c>
      <c r="S72" s="133">
        <f>IF(ISERROR(INDEX(Table2[OIL],MATCH(rrcworking[[#This Row],[Magnum Wolfpak '#]],Table2[Rox Wolf'#],0))),0,INDEX(Table2[OIL],MATCH(rrcworking[[#This Row],[Magnum Wolfpak '#]],Table2[Rox Wolf'#],0)))</f>
        <v>0</v>
      </c>
      <c r="T72" s="34">
        <f>rrcworking[[#This Row],[Closing Stock (Oil)]]+rrcworking[[#This Row],[Sales/Dispostion]]-rrcworking[[#This Row],[Opening Oil Stock]]</f>
        <v>0</v>
      </c>
      <c r="U72" s="108">
        <f>rrcworking[[#This Row],[Gauge Sheet Prod Volume (oil)]]-rrcworking[[#This Row],[Oil Production]]</f>
        <v>0</v>
      </c>
      <c r="V72" s="133">
        <f>IF(ISERROR(INDEX(Table2[GAS],MATCH(rrcworking[[#This Row],[Magnum Wolfpak '#]],Table2[Rox Wolf'#],0))),0,INDEX(Table2[GAS],MATCH(rrcworking[[#This Row],[Magnum Wolfpak '#]],Table2[Rox Wolf'#],0)))</f>
        <v>881</v>
      </c>
      <c r="W72" s="82"/>
      <c r="X72" s="58">
        <v>1</v>
      </c>
      <c r="Y72" s="133">
        <f>IF(ISERROR(INDEX(Table2[LEASE USE],MATCH(rrcworking[[#This Row],[Magnum Wolfpak '#]],Table2[Rox Wolf'#],0))),0,INDEX(Table2[LEASE USE],MATCH(rrcworking[[#This Row],[Magnum Wolfpak '#]],Table2[Rox Wolf'#],0)))</f>
        <v>31</v>
      </c>
      <c r="Z72" s="133"/>
      <c r="AA72" s="56">
        <f>rrcworking[[#This Row],[Gas Sales Statement Volume (MCF)]]+rrcworking[[#This Row],[Lease Use (MCF)]]+rrcworking[[#This Row],[Flared Gas]]</f>
        <v>912</v>
      </c>
      <c r="AB72" s="36"/>
      <c r="AC72" s="36"/>
      <c r="AD72" s="175">
        <f>COUNTIF(FilterList,rrcworking[[#This Row],[Magnum Wolfpak '#]])</f>
        <v>0</v>
      </c>
      <c r="AE72" s="172"/>
      <c r="AF72" s="173"/>
      <c r="AG72" s="36"/>
      <c r="AH72" s="36"/>
      <c r="AI72" s="174"/>
      <c r="AJ72" s="174"/>
      <c r="AK72" s="174"/>
      <c r="AL72" s="174"/>
      <c r="AM72" s="174"/>
      <c r="AN72" s="174"/>
      <c r="AO72" s="36" t="s">
        <v>1163</v>
      </c>
      <c r="AP72" s="36" t="s">
        <v>1199</v>
      </c>
    </row>
    <row r="73" spans="3:42" ht="14">
      <c r="C73" s="78">
        <v>99094</v>
      </c>
      <c r="D73" s="60" t="s">
        <v>374</v>
      </c>
      <c r="E73" s="125" t="s">
        <v>338</v>
      </c>
      <c r="F73" s="124">
        <v>3</v>
      </c>
      <c r="G73" s="115" t="s">
        <v>1090</v>
      </c>
      <c r="H73" s="18" t="s">
        <v>619</v>
      </c>
      <c r="I73" s="18" t="s">
        <v>59</v>
      </c>
      <c r="J73" s="19" t="s">
        <v>591</v>
      </c>
      <c r="K73" s="99">
        <v>233961</v>
      </c>
      <c r="L73" s="97">
        <f>INDEX(Table1[Production],MATCH(rrcworking[[#This Row],[RRC ID Number]],Table1[RRC Identifier],0))</f>
        <v>0</v>
      </c>
      <c r="M73" s="29">
        <f>INDEX(Table1[Formation Production],MATCH(rrcworking[[#This Row],[RRC ID Number]],Table1[RRC Identifier],0))</f>
        <v>2696</v>
      </c>
      <c r="N73" s="30">
        <f>INDEX(Table1[On Hand End of Month],MATCH(rrcworking[[#This Row],[RRC ID Number]],Table1[RRC Identifier],0))</f>
        <v>0</v>
      </c>
      <c r="O73" s="102" t="b">
        <f t="shared" si="2"/>
        <v>0</v>
      </c>
      <c r="Q73" s="122">
        <f>rrcworking[[#This Row],[Last Month Closing Stock]]</f>
        <v>0</v>
      </c>
      <c r="R73">
        <v>0</v>
      </c>
      <c r="S73" s="133">
        <f>IF(ISERROR(INDEX(Table2[OIL],MATCH(rrcworking[[#This Row],[Magnum Wolfpak '#]],Table2[Rox Wolf'#],0))),0,INDEX(Table2[OIL],MATCH(rrcworking[[#This Row],[Magnum Wolfpak '#]],Table2[Rox Wolf'#],0)))</f>
        <v>0</v>
      </c>
      <c r="T73" s="34">
        <f>rrcworking[[#This Row],[Closing Stock (Oil)]]+rrcworking[[#This Row],[Sales/Dispostion]]-rrcworking[[#This Row],[Opening Oil Stock]]</f>
        <v>0</v>
      </c>
      <c r="U73" s="108">
        <f>rrcworking[[#This Row],[Gauge Sheet Prod Volume (oil)]]-rrcworking[[#This Row],[Oil Production]]</f>
        <v>0</v>
      </c>
      <c r="V73" s="133">
        <f>IF(ISERROR(INDEX(Table2[GAS],MATCH(rrcworking[[#This Row],[Magnum Wolfpak '#]],Table2[Rox Wolf'#],0))),0,INDEX(Table2[GAS],MATCH(rrcworking[[#This Row],[Magnum Wolfpak '#]],Table2[Rox Wolf'#],0)))</f>
        <v>2893</v>
      </c>
      <c r="W73" s="82"/>
      <c r="X73" s="58">
        <v>4</v>
      </c>
      <c r="Y73" s="133">
        <f>IF(ISERROR(INDEX(Table2[LEASE USE],MATCH(rrcworking[[#This Row],[Magnum Wolfpak '#]],Table2[Rox Wolf'#],0))),0,INDEX(Table2[LEASE USE],MATCH(rrcworking[[#This Row],[Magnum Wolfpak '#]],Table2[Rox Wolf'#],0)))</f>
        <v>124</v>
      </c>
      <c r="Z73" s="133"/>
      <c r="AA73" s="56">
        <f>rrcworking[[#This Row],[Gas Sales Statement Volume (MCF)]]+rrcworking[[#This Row],[Lease Use (MCF)]]+rrcworking[[#This Row],[Flared Gas]]</f>
        <v>3017</v>
      </c>
      <c r="AB73" s="36"/>
      <c r="AC73" s="36"/>
      <c r="AD73" s="175">
        <f>COUNTIF(FilterList,rrcworking[[#This Row],[Magnum Wolfpak '#]])</f>
        <v>0</v>
      </c>
      <c r="AE73" s="172"/>
      <c r="AF73" s="173"/>
      <c r="AG73" s="36"/>
      <c r="AH73" s="36"/>
      <c r="AI73" s="174"/>
      <c r="AJ73" s="174"/>
      <c r="AK73" s="174"/>
      <c r="AL73" s="174"/>
      <c r="AM73" s="174"/>
      <c r="AN73" s="174"/>
      <c r="AO73" s="36" t="s">
        <v>1163</v>
      </c>
      <c r="AP73" s="36" t="s">
        <v>1199</v>
      </c>
    </row>
    <row r="74" spans="3:42" ht="14">
      <c r="C74" s="78" t="e">
        <v>#N/A</v>
      </c>
      <c r="D74" s="60" t="s">
        <v>337</v>
      </c>
      <c r="E74" s="125" t="s">
        <v>338</v>
      </c>
      <c r="F74" s="124">
        <v>1</v>
      </c>
      <c r="G74" s="115" t="s">
        <v>1090</v>
      </c>
      <c r="H74" s="18" t="s">
        <v>619</v>
      </c>
      <c r="I74" s="18" t="s">
        <v>59</v>
      </c>
      <c r="J74" s="19" t="s">
        <v>571</v>
      </c>
      <c r="K74" s="99">
        <v>213792</v>
      </c>
      <c r="L74" s="97">
        <f>INDEX(Table1[Production],MATCH(rrcworking[[#This Row],[RRC ID Number]],Table1[RRC Identifier],0))</f>
        <v>0</v>
      </c>
      <c r="M74" s="29">
        <f>INDEX(Table1[Formation Production],MATCH(rrcworking[[#This Row],[RRC ID Number]],Table1[RRC Identifier],0))</f>
        <v>0</v>
      </c>
      <c r="N74" s="30">
        <f>INDEX(Table1[On Hand End of Month],MATCH(rrcworking[[#This Row],[RRC ID Number]],Table1[RRC Identifier],0))</f>
        <v>43</v>
      </c>
      <c r="O74" s="102" t="b">
        <f t="shared" si="2"/>
        <v>1</v>
      </c>
      <c r="Q74" s="122">
        <f>rrcworking[[#This Row],[Last Month Closing Stock]]</f>
        <v>43</v>
      </c>
      <c r="R74">
        <f>rrcworking[[#This Row],[Opening Oil Stock]]</f>
        <v>43</v>
      </c>
      <c r="S74" s="133">
        <f>IF(ISERROR(INDEX(Table2[OIL],MATCH(rrcworking[[#This Row],[Magnum Wolfpak '#]],Table2[Rox Wolf'#],0))),0,INDEX(Table2[OIL],MATCH(rrcworking[[#This Row],[Magnum Wolfpak '#]],Table2[Rox Wolf'#],0)))</f>
        <v>0</v>
      </c>
      <c r="T74" s="34">
        <f>rrcworking[[#This Row],[Closing Stock (Oil)]]+rrcworking[[#This Row],[Sales/Dispostion]]-rrcworking[[#This Row],[Opening Oil Stock]]</f>
        <v>0</v>
      </c>
      <c r="U74" s="108">
        <f>rrcworking[[#This Row],[Gauge Sheet Prod Volume (oil)]]-rrcworking[[#This Row],[Oil Production]]</f>
        <v>0</v>
      </c>
      <c r="V74" s="133">
        <f>IF(ISERROR(INDEX(Table2[GAS],MATCH(rrcworking[[#This Row],[Magnum Wolfpak '#]],Table2[Rox Wolf'#],0))),0,INDEX(Table2[GAS],MATCH(rrcworking[[#This Row],[Magnum Wolfpak '#]],Table2[Rox Wolf'#],0)))</f>
        <v>0</v>
      </c>
      <c r="W74" s="58"/>
      <c r="X74" s="58"/>
      <c r="Y74" s="133">
        <f>IF(ISERROR(INDEX(Table2[LEASE USE],MATCH(rrcworking[[#This Row],[Magnum Wolfpak '#]],Table2[Rox Wolf'#],0))),0,INDEX(Table2[LEASE USE],MATCH(rrcworking[[#This Row],[Magnum Wolfpak '#]],Table2[Rox Wolf'#],0)))</f>
        <v>0</v>
      </c>
      <c r="Z74" s="133"/>
      <c r="AA74" s="56">
        <f>rrcworking[[#This Row],[Gas Sales Statement Volume (MCF)]]+rrcworking[[#This Row],[Lease Use (MCF)]]+rrcworking[[#This Row],[Flared Gas]]</f>
        <v>0</v>
      </c>
      <c r="AB74" s="36"/>
      <c r="AC74" s="36"/>
      <c r="AD74" s="175">
        <f>COUNTIF(FilterList,rrcworking[[#This Row],[Magnum Wolfpak '#]])</f>
        <v>0</v>
      </c>
      <c r="AE74" s="172"/>
      <c r="AF74" s="173"/>
      <c r="AG74" s="36"/>
      <c r="AH74" s="36"/>
      <c r="AI74" s="36"/>
      <c r="AJ74" s="36"/>
      <c r="AK74" s="36"/>
      <c r="AL74" s="36"/>
      <c r="AM74" s="36"/>
      <c r="AN74" s="36"/>
      <c r="AO74" s="36"/>
      <c r="AP74" s="36"/>
    </row>
    <row r="75" spans="3:42" ht="98">
      <c r="C75" s="78">
        <v>99158</v>
      </c>
      <c r="D75" s="60" t="s">
        <v>209</v>
      </c>
      <c r="E75" s="125" t="s">
        <v>1279</v>
      </c>
      <c r="F75" s="124">
        <v>0</v>
      </c>
      <c r="G75" s="115" t="s">
        <v>1090</v>
      </c>
      <c r="H75" s="18" t="s">
        <v>618</v>
      </c>
      <c r="I75" s="18" t="s">
        <v>2</v>
      </c>
      <c r="J75" s="19" t="s">
        <v>494</v>
      </c>
      <c r="K75" s="99">
        <v>2812</v>
      </c>
      <c r="L75" s="97">
        <f>INDEX(Table1[Production],MATCH(rrcworking[[#This Row],[RRC ID Number]],Table1[RRC Identifier],0))</f>
        <v>0</v>
      </c>
      <c r="M75" s="29">
        <f>INDEX(Table1[Formation Production],MATCH(rrcworking[[#This Row],[RRC ID Number]],Table1[RRC Identifier],0))</f>
        <v>0</v>
      </c>
      <c r="N75" s="30">
        <f>INDEX(Table1[On Hand End of Month],MATCH(rrcworking[[#This Row],[RRC ID Number]],Table1[RRC Identifier],0))</f>
        <v>18</v>
      </c>
      <c r="O75" s="102" t="b">
        <f t="shared" si="2"/>
        <v>1</v>
      </c>
      <c r="P75">
        <v>0</v>
      </c>
      <c r="Q75" s="122">
        <f>rrcworking[[#This Row],[Last Month Closing Stock]]</f>
        <v>18</v>
      </c>
      <c r="R75">
        <v>18</v>
      </c>
      <c r="S75" s="133">
        <f>IF(ISERROR(INDEX(Table2[OIL],MATCH(rrcworking[[#This Row],[Magnum Wolfpak '#]],Table2[Rox Wolf'#],0))),0,INDEX(Table2[OIL],MATCH(rrcworking[[#This Row],[Magnum Wolfpak '#]],Table2[Rox Wolf'#],0)))</f>
        <v>0</v>
      </c>
      <c r="T75" s="34">
        <f>rrcworking[[#This Row],[Closing Stock (Oil)]]+rrcworking[[#This Row],[Sales/Dispostion]]-rrcworking[[#This Row],[Opening Oil Stock]]</f>
        <v>0</v>
      </c>
      <c r="U75" s="108">
        <f>rrcworking[[#This Row],[Gauge Sheet Prod Volume (oil)]]-rrcworking[[#This Row],[Oil Production]]</f>
        <v>0</v>
      </c>
      <c r="V75" s="133">
        <f>IF(ISERROR(INDEX(Table2[GAS],MATCH(rrcworking[[#This Row],[Magnum Wolfpak '#]],Table2[Rox Wolf'#],0))),0,INDEX(Table2[GAS],MATCH(rrcworking[[#This Row],[Magnum Wolfpak '#]],Table2[Rox Wolf'#],0)))</f>
        <v>0</v>
      </c>
      <c r="W75" s="58"/>
      <c r="X75" s="58"/>
      <c r="Y75" s="133">
        <f>IF(ISERROR(INDEX(Table2[LEASE USE],MATCH(rrcworking[[#This Row],[Magnum Wolfpak '#]],Table2[Rox Wolf'#],0))),0,INDEX(Table2[LEASE USE],MATCH(rrcworking[[#This Row],[Magnum Wolfpak '#]],Table2[Rox Wolf'#],0)))</f>
        <v>0</v>
      </c>
      <c r="Z75" s="133"/>
      <c r="AA75" s="56">
        <f>rrcworking[[#This Row],[Gas Sales Statement Volume (MCF)]]+rrcworking[[#This Row],[Lease Use (MCF)]]+rrcworking[[#This Row],[Flared Gas]]</f>
        <v>0</v>
      </c>
      <c r="AB75" s="36"/>
      <c r="AC75" s="36" t="s">
        <v>1278</v>
      </c>
      <c r="AD75" s="175">
        <f>COUNTIF(FilterList,rrcworking[[#This Row],[Magnum Wolfpak '#]])</f>
        <v>0</v>
      </c>
      <c r="AE75" s="172"/>
      <c r="AF75" s="173"/>
      <c r="AG75" s="36"/>
      <c r="AH75" s="36"/>
      <c r="AI75" s="36"/>
      <c r="AJ75" s="36"/>
      <c r="AK75" s="36"/>
      <c r="AL75" s="36"/>
      <c r="AM75" s="36"/>
      <c r="AN75" s="36"/>
      <c r="AO75" s="36"/>
      <c r="AP75" s="36"/>
    </row>
    <row r="76" spans="3:42" ht="14">
      <c r="C76" s="78" t="e">
        <v>#N/A</v>
      </c>
      <c r="D76" s="60" t="s">
        <v>223</v>
      </c>
      <c r="E76" s="125" t="s">
        <v>224</v>
      </c>
      <c r="F76" s="124">
        <v>0</v>
      </c>
      <c r="G76" s="115" t="s">
        <v>1090</v>
      </c>
      <c r="H76" s="18" t="s">
        <v>618</v>
      </c>
      <c r="I76" s="18" t="s">
        <v>2</v>
      </c>
      <c r="J76" s="19" t="s">
        <v>500</v>
      </c>
      <c r="K76" s="99">
        <v>26193</v>
      </c>
      <c r="L76" s="97">
        <f>INDEX(Table1[Production],MATCH(rrcworking[[#This Row],[RRC ID Number]],Table1[RRC Identifier],0))</f>
        <v>0</v>
      </c>
      <c r="M76" s="29">
        <f>INDEX(Table1[Formation Production],MATCH(rrcworking[[#This Row],[RRC ID Number]],Table1[RRC Identifier],0))</f>
        <v>0</v>
      </c>
      <c r="N76" s="30">
        <f>INDEX(Table1[On Hand End of Month],MATCH(rrcworking[[#This Row],[RRC ID Number]],Table1[RRC Identifier],0))</f>
        <v>68</v>
      </c>
      <c r="O76" s="102" t="b">
        <f t="shared" si="2"/>
        <v>1</v>
      </c>
      <c r="Q76" s="122">
        <f>rrcworking[[#This Row],[Last Month Closing Stock]]</f>
        <v>68</v>
      </c>
      <c r="R76">
        <f>rrcworking[[#This Row],[Opening Oil Stock]]</f>
        <v>68</v>
      </c>
      <c r="S76" s="133">
        <f>IF(ISERROR(INDEX(Table2[OIL],MATCH(rrcworking[[#This Row],[Magnum Wolfpak '#]],Table2[Rox Wolf'#],0))),0,INDEX(Table2[OIL],MATCH(rrcworking[[#This Row],[Magnum Wolfpak '#]],Table2[Rox Wolf'#],0)))</f>
        <v>0</v>
      </c>
      <c r="T76" s="34">
        <f>rrcworking[[#This Row],[Closing Stock (Oil)]]+rrcworking[[#This Row],[Sales/Dispostion]]-rrcworking[[#This Row],[Opening Oil Stock]]</f>
        <v>0</v>
      </c>
      <c r="U76" s="108">
        <f>rrcworking[[#This Row],[Gauge Sheet Prod Volume (oil)]]-rrcworking[[#This Row],[Oil Production]]</f>
        <v>0</v>
      </c>
      <c r="V76" s="133">
        <f>IF(ISERROR(INDEX(Table2[GAS],MATCH(rrcworking[[#This Row],[Magnum Wolfpak '#]],Table2[Rox Wolf'#],0))),0,INDEX(Table2[GAS],MATCH(rrcworking[[#This Row],[Magnum Wolfpak '#]],Table2[Rox Wolf'#],0)))</f>
        <v>0</v>
      </c>
      <c r="W76" s="58"/>
      <c r="X76" s="58"/>
      <c r="Y76" s="133">
        <f>IF(ISERROR(INDEX(Table2[LEASE USE],MATCH(rrcworking[[#This Row],[Magnum Wolfpak '#]],Table2[Rox Wolf'#],0))),0,INDEX(Table2[LEASE USE],MATCH(rrcworking[[#This Row],[Magnum Wolfpak '#]],Table2[Rox Wolf'#],0)))</f>
        <v>0</v>
      </c>
      <c r="Z76" s="133"/>
      <c r="AA76" s="56">
        <f>rrcworking[[#This Row],[Gas Sales Statement Volume (MCF)]]+rrcworking[[#This Row],[Lease Use (MCF)]]+rrcworking[[#This Row],[Flared Gas]]</f>
        <v>0</v>
      </c>
      <c r="AB76" s="93"/>
      <c r="AC76" s="36"/>
      <c r="AD76" s="175">
        <f>COUNTIF(FilterList,rrcworking[[#This Row],[Magnum Wolfpak '#]])</f>
        <v>0</v>
      </c>
      <c r="AE76" s="172"/>
      <c r="AF76" s="173"/>
      <c r="AG76" s="36"/>
      <c r="AH76" s="36"/>
      <c r="AI76" s="36"/>
      <c r="AJ76" s="36"/>
      <c r="AK76" s="36"/>
      <c r="AL76" s="36"/>
      <c r="AM76" s="36"/>
      <c r="AN76" s="36"/>
      <c r="AO76" s="36"/>
      <c r="AP76" s="36"/>
    </row>
    <row r="77" spans="3:42" ht="14">
      <c r="C77" s="78" t="e">
        <v>#N/A</v>
      </c>
      <c r="D77" s="60" t="s">
        <v>297</v>
      </c>
      <c r="E77" s="125" t="s">
        <v>298</v>
      </c>
      <c r="F77" s="124">
        <v>0</v>
      </c>
      <c r="G77" s="115" t="s">
        <v>1090</v>
      </c>
      <c r="H77" s="18" t="s">
        <v>618</v>
      </c>
      <c r="I77" s="18" t="s">
        <v>2</v>
      </c>
      <c r="J77" s="19" t="s">
        <v>547</v>
      </c>
      <c r="K77" s="99">
        <v>24414</v>
      </c>
      <c r="L77" s="97">
        <f>INDEX(Table1[Production],MATCH(rrcworking[[#This Row],[RRC ID Number]],Table1[RRC Identifier],0))</f>
        <v>0</v>
      </c>
      <c r="M77" s="29">
        <f>INDEX(Table1[Formation Production],MATCH(rrcworking[[#This Row],[RRC ID Number]],Table1[RRC Identifier],0))</f>
        <v>0</v>
      </c>
      <c r="N77" s="30">
        <f>INDEX(Table1[On Hand End of Month],MATCH(rrcworking[[#This Row],[RRC ID Number]],Table1[RRC Identifier],0))</f>
        <v>0</v>
      </c>
      <c r="O77" s="102" t="b">
        <f t="shared" si="2"/>
        <v>1</v>
      </c>
      <c r="Q77" s="122">
        <f>rrcworking[[#This Row],[Last Month Closing Stock]]</f>
        <v>0</v>
      </c>
      <c r="R77">
        <f>rrcworking[[#This Row],[Opening Oil Stock]]</f>
        <v>0</v>
      </c>
      <c r="S77" s="133">
        <f>IF(ISERROR(INDEX(Table2[OIL],MATCH(rrcworking[[#This Row],[Magnum Wolfpak '#]],Table2[Rox Wolf'#],0))),0,INDEX(Table2[OIL],MATCH(rrcworking[[#This Row],[Magnum Wolfpak '#]],Table2[Rox Wolf'#],0)))</f>
        <v>0</v>
      </c>
      <c r="T77" s="34">
        <f>rrcworking[[#This Row],[Closing Stock (Oil)]]+rrcworking[[#This Row],[Sales/Dispostion]]-rrcworking[[#This Row],[Opening Oil Stock]]</f>
        <v>0</v>
      </c>
      <c r="U77" s="108">
        <f>rrcworking[[#This Row],[Gauge Sheet Prod Volume (oil)]]-rrcworking[[#This Row],[Oil Production]]</f>
        <v>0</v>
      </c>
      <c r="V77" s="133">
        <f>IF(ISERROR(INDEX(Table2[GAS],MATCH(rrcworking[[#This Row],[Magnum Wolfpak '#]],Table2[Rox Wolf'#],0))),0,INDEX(Table2[GAS],MATCH(rrcworking[[#This Row],[Magnum Wolfpak '#]],Table2[Rox Wolf'#],0)))</f>
        <v>0</v>
      </c>
      <c r="W77" s="58"/>
      <c r="X77" s="58"/>
      <c r="Y77" s="133">
        <f>IF(ISERROR(INDEX(Table2[LEASE USE],MATCH(rrcworking[[#This Row],[Magnum Wolfpak '#]],Table2[Rox Wolf'#],0))),0,INDEX(Table2[LEASE USE],MATCH(rrcworking[[#This Row],[Magnum Wolfpak '#]],Table2[Rox Wolf'#],0)))</f>
        <v>0</v>
      </c>
      <c r="Z77" s="133"/>
      <c r="AA77" s="56">
        <f>rrcworking[[#This Row],[Gas Sales Statement Volume (MCF)]]+rrcworking[[#This Row],[Lease Use (MCF)]]+rrcworking[[#This Row],[Flared Gas]]</f>
        <v>0</v>
      </c>
      <c r="AB77" s="36"/>
      <c r="AC77" s="36"/>
      <c r="AD77" s="175">
        <f>COUNTIF(FilterList,rrcworking[[#This Row],[Magnum Wolfpak '#]])</f>
        <v>0</v>
      </c>
      <c r="AE77" s="172"/>
      <c r="AF77" s="173"/>
      <c r="AG77" s="36"/>
      <c r="AH77" s="36"/>
      <c r="AI77" s="36"/>
      <c r="AJ77" s="36"/>
      <c r="AK77" s="36"/>
      <c r="AL77" s="36"/>
      <c r="AM77" s="36"/>
      <c r="AN77" s="36"/>
      <c r="AO77" s="36"/>
      <c r="AP77" s="36"/>
    </row>
    <row r="78" spans="3:42" ht="14">
      <c r="C78" s="78" t="e">
        <v>#N/A</v>
      </c>
      <c r="D78" s="60" t="s">
        <v>119</v>
      </c>
      <c r="E78" s="125" t="s">
        <v>120</v>
      </c>
      <c r="F78" s="124">
        <v>0</v>
      </c>
      <c r="G78" s="115" t="s">
        <v>1090</v>
      </c>
      <c r="H78" s="18" t="s">
        <v>617</v>
      </c>
      <c r="I78" s="18" t="s">
        <v>2</v>
      </c>
      <c r="J78" s="19" t="s">
        <v>440</v>
      </c>
      <c r="K78" s="99">
        <v>6739</v>
      </c>
      <c r="L78" s="97">
        <f>INDEX(Table1[Production],MATCH(rrcworking[[#This Row],[RRC ID Number]],Table1[RRC Identifier],0))</f>
        <v>0</v>
      </c>
      <c r="M78" s="29">
        <f>INDEX(Table1[Formation Production],MATCH(rrcworking[[#This Row],[RRC ID Number]],Table1[RRC Identifier],0))</f>
        <v>0</v>
      </c>
      <c r="N78" s="30">
        <f>INDEX(Table1[On Hand End of Month],MATCH(rrcworking[[#This Row],[RRC ID Number]],Table1[RRC Identifier],0))</f>
        <v>0</v>
      </c>
      <c r="O78" s="102" t="b">
        <f t="shared" si="2"/>
        <v>1</v>
      </c>
      <c r="Q78" s="122">
        <f>rrcworking[[#This Row],[Last Month Closing Stock]]</f>
        <v>0</v>
      </c>
      <c r="R78">
        <f>rrcworking[[#This Row],[Opening Oil Stock]]</f>
        <v>0</v>
      </c>
      <c r="S78" s="133">
        <f>IF(ISERROR(INDEX(Table2[OIL],MATCH(rrcworking[[#This Row],[Magnum Wolfpak '#]],Table2[Rox Wolf'#],0))),0,INDEX(Table2[OIL],MATCH(rrcworking[[#This Row],[Magnum Wolfpak '#]],Table2[Rox Wolf'#],0)))</f>
        <v>0</v>
      </c>
      <c r="T78" s="34">
        <f>rrcworking[[#This Row],[Closing Stock (Oil)]]+rrcworking[[#This Row],[Sales/Dispostion]]-rrcworking[[#This Row],[Opening Oil Stock]]</f>
        <v>0</v>
      </c>
      <c r="U78" s="108">
        <f>rrcworking[[#This Row],[Gauge Sheet Prod Volume (oil)]]-rrcworking[[#This Row],[Oil Production]]</f>
        <v>0</v>
      </c>
      <c r="V78" s="133">
        <f>IF(ISERROR(INDEX(Table2[GAS],MATCH(rrcworking[[#This Row],[Magnum Wolfpak '#]],Table2[Rox Wolf'#],0))),0,INDEX(Table2[GAS],MATCH(rrcworking[[#This Row],[Magnum Wolfpak '#]],Table2[Rox Wolf'#],0)))</f>
        <v>0</v>
      </c>
      <c r="W78" s="58"/>
      <c r="X78" s="58"/>
      <c r="Y78" s="133">
        <f>IF(ISERROR(INDEX(Table2[LEASE USE],MATCH(rrcworking[[#This Row],[Magnum Wolfpak '#]],Table2[Rox Wolf'#],0))),0,INDEX(Table2[LEASE USE],MATCH(rrcworking[[#This Row],[Magnum Wolfpak '#]],Table2[Rox Wolf'#],0)))</f>
        <v>0</v>
      </c>
      <c r="Z78" s="133"/>
      <c r="AA78" s="56">
        <f>rrcworking[[#This Row],[Gas Sales Statement Volume (MCF)]]+rrcworking[[#This Row],[Lease Use (MCF)]]+rrcworking[[#This Row],[Flared Gas]]</f>
        <v>0</v>
      </c>
      <c r="AB78" s="36"/>
      <c r="AC78" s="36"/>
      <c r="AD78" s="175">
        <f>COUNTIF(FilterList,rrcworking[[#This Row],[Magnum Wolfpak '#]])</f>
        <v>0</v>
      </c>
      <c r="AE78" s="172"/>
      <c r="AF78" s="173"/>
      <c r="AG78" s="36"/>
      <c r="AH78" s="36"/>
      <c r="AI78" s="36"/>
      <c r="AJ78" s="36"/>
      <c r="AK78" s="36"/>
      <c r="AL78" s="36"/>
      <c r="AM78" s="36"/>
      <c r="AN78" s="36"/>
      <c r="AO78" s="36"/>
      <c r="AP78" s="36"/>
    </row>
    <row r="79" spans="3:42" ht="14">
      <c r="C79" s="78" t="e">
        <v>#N/A</v>
      </c>
      <c r="D79" s="60" t="s">
        <v>121</v>
      </c>
      <c r="E79" s="125" t="s">
        <v>120</v>
      </c>
      <c r="F79" s="124">
        <v>0</v>
      </c>
      <c r="G79" s="115" t="s">
        <v>1090</v>
      </c>
      <c r="H79" s="18" t="s">
        <v>617</v>
      </c>
      <c r="I79" s="18" t="s">
        <v>2</v>
      </c>
      <c r="J79" s="19" t="s">
        <v>441</v>
      </c>
      <c r="K79" s="99">
        <v>8169</v>
      </c>
      <c r="L79" s="97">
        <f>INDEX(Table1[Production],MATCH(rrcworking[[#This Row],[RRC ID Number]],Table1[RRC Identifier],0))</f>
        <v>0</v>
      </c>
      <c r="M79" s="29">
        <f>INDEX(Table1[Formation Production],MATCH(rrcworking[[#This Row],[RRC ID Number]],Table1[RRC Identifier],0))</f>
        <v>0</v>
      </c>
      <c r="N79" s="30">
        <f>INDEX(Table1[On Hand End of Month],MATCH(rrcworking[[#This Row],[RRC ID Number]],Table1[RRC Identifier],0))</f>
        <v>0</v>
      </c>
      <c r="O79" s="102" t="b">
        <f t="shared" si="2"/>
        <v>1</v>
      </c>
      <c r="Q79" s="122">
        <f>rrcworking[[#This Row],[Last Month Closing Stock]]</f>
        <v>0</v>
      </c>
      <c r="R79">
        <f>rrcworking[[#This Row],[Opening Oil Stock]]</f>
        <v>0</v>
      </c>
      <c r="S79" s="133">
        <f>IF(ISERROR(INDEX(Table2[OIL],MATCH(rrcworking[[#This Row],[Magnum Wolfpak '#]],Table2[Rox Wolf'#],0))),0,INDEX(Table2[OIL],MATCH(rrcworking[[#This Row],[Magnum Wolfpak '#]],Table2[Rox Wolf'#],0)))</f>
        <v>0</v>
      </c>
      <c r="T79" s="34">
        <f>rrcworking[[#This Row],[Closing Stock (Oil)]]+rrcworking[[#This Row],[Sales/Dispostion]]-rrcworking[[#This Row],[Opening Oil Stock]]</f>
        <v>0</v>
      </c>
      <c r="U79" s="108">
        <f>rrcworking[[#This Row],[Gauge Sheet Prod Volume (oil)]]-rrcworking[[#This Row],[Oil Production]]</f>
        <v>0</v>
      </c>
      <c r="V79" s="133">
        <f>IF(ISERROR(INDEX(Table2[GAS],MATCH(rrcworking[[#This Row],[Magnum Wolfpak '#]],Table2[Rox Wolf'#],0))),0,INDEX(Table2[GAS],MATCH(rrcworking[[#This Row],[Magnum Wolfpak '#]],Table2[Rox Wolf'#],0)))</f>
        <v>0</v>
      </c>
      <c r="W79" s="58"/>
      <c r="X79" s="58"/>
      <c r="Y79" s="133">
        <f>IF(ISERROR(INDEX(Table2[LEASE USE],MATCH(rrcworking[[#This Row],[Magnum Wolfpak '#]],Table2[Rox Wolf'#],0))),0,INDEX(Table2[LEASE USE],MATCH(rrcworking[[#This Row],[Magnum Wolfpak '#]],Table2[Rox Wolf'#],0)))</f>
        <v>0</v>
      </c>
      <c r="Z79" s="133"/>
      <c r="AA79" s="56">
        <f>rrcworking[[#This Row],[Gas Sales Statement Volume (MCF)]]+rrcworking[[#This Row],[Lease Use (MCF)]]+rrcworking[[#This Row],[Flared Gas]]</f>
        <v>0</v>
      </c>
      <c r="AB79" s="36"/>
      <c r="AC79" s="36"/>
      <c r="AD79" s="175">
        <f>COUNTIF(FilterList,rrcworking[[#This Row],[Magnum Wolfpak '#]])</f>
        <v>0</v>
      </c>
      <c r="AE79" s="172"/>
      <c r="AF79" s="173"/>
      <c r="AG79" s="36"/>
      <c r="AH79" s="36"/>
      <c r="AI79" s="36"/>
      <c r="AJ79" s="36"/>
      <c r="AK79" s="36"/>
      <c r="AL79" s="36"/>
      <c r="AM79" s="36"/>
      <c r="AN79" s="36"/>
      <c r="AO79" s="36"/>
      <c r="AP79" s="36"/>
    </row>
    <row r="80" spans="3:42" ht="70">
      <c r="C80" s="78">
        <v>82001</v>
      </c>
      <c r="D80" s="60" t="s">
        <v>290</v>
      </c>
      <c r="E80" s="125" t="s">
        <v>291</v>
      </c>
      <c r="F80" s="124">
        <v>0</v>
      </c>
      <c r="G80" s="115" t="s">
        <v>1090</v>
      </c>
      <c r="H80" s="18" t="s">
        <v>618</v>
      </c>
      <c r="I80" s="18" t="s">
        <v>2</v>
      </c>
      <c r="J80" s="19" t="s">
        <v>540</v>
      </c>
      <c r="K80" s="99">
        <v>25782</v>
      </c>
      <c r="L80" s="97">
        <f>INDEX(Table1[Production],MATCH(rrcworking[[#This Row],[RRC ID Number]],Table1[RRC Identifier],0))</f>
        <v>171</v>
      </c>
      <c r="M80" s="29">
        <f>INDEX(Table1[Formation Production],MATCH(rrcworking[[#This Row],[RRC ID Number]],Table1[RRC Identifier],0))</f>
        <v>48</v>
      </c>
      <c r="N80" s="30">
        <f>INDEX(Table1[On Hand End of Month],MATCH(rrcworking[[#This Row],[RRC ID Number]],Table1[RRC Identifier],0))</f>
        <v>217</v>
      </c>
      <c r="O80" s="102" t="b">
        <f t="shared" si="2"/>
        <v>0</v>
      </c>
      <c r="P80">
        <v>23</v>
      </c>
      <c r="Q80" s="122">
        <f>rrcworking[[#This Row],[Last Month Closing Stock]]</f>
        <v>217</v>
      </c>
      <c r="R80">
        <v>227</v>
      </c>
      <c r="S80" s="133">
        <f>IF(ISERROR(INDEX(Table2[OIL],MATCH(rrcworking[[#This Row],[Magnum Wolfpak '#]],Table2[Rox Wolf'#],0))),0,INDEX(Table2[OIL],MATCH(rrcworking[[#This Row],[Magnum Wolfpak '#]],Table2[Rox Wolf'#],0)))</f>
        <v>0</v>
      </c>
      <c r="T80" s="34">
        <f>rrcworking[[#This Row],[Closing Stock (Oil)]]+rrcworking[[#This Row],[Sales/Dispostion]]-rrcworking[[#This Row],[Opening Oil Stock]]</f>
        <v>10</v>
      </c>
      <c r="U80" s="108">
        <f>rrcworking[[#This Row],[Gauge Sheet Prod Volume (oil)]]-rrcworking[[#This Row],[Oil Production]]</f>
        <v>13</v>
      </c>
      <c r="V80" s="133">
        <f>IF(ISERROR(INDEX(Table2[GAS],MATCH(rrcworking[[#This Row],[Magnum Wolfpak '#]],Table2[Rox Wolf'#],0))),0,INDEX(Table2[GAS],MATCH(rrcworking[[#This Row],[Magnum Wolfpak '#]],Table2[Rox Wolf'#],0)))</f>
        <v>33</v>
      </c>
      <c r="W80" s="58"/>
      <c r="X80" s="58">
        <v>0</v>
      </c>
      <c r="Y80" s="133">
        <f>IF(ISERROR(INDEX(Table2[LEASE USE],MATCH(rrcworking[[#This Row],[Magnum Wolfpak '#]],Table2[Rox Wolf'#],0))),0,INDEX(Table2[LEASE USE],MATCH(rrcworking[[#This Row],[Magnum Wolfpak '#]],Table2[Rox Wolf'#],0)))</f>
        <v>0</v>
      </c>
      <c r="Z80" s="133"/>
      <c r="AA80" s="56">
        <f>rrcworking[[#This Row],[Gas Sales Statement Volume (MCF)]]+rrcworking[[#This Row],[Lease Use (MCF)]]+rrcworking[[#This Row],[Flared Gas]]</f>
        <v>33</v>
      </c>
      <c r="AB80" s="36"/>
      <c r="AC80" s="36" t="s">
        <v>1295</v>
      </c>
      <c r="AD80" s="175">
        <f>COUNTIF(FilterList,rrcworking[[#This Row],[Magnum Wolfpak '#]])</f>
        <v>0</v>
      </c>
      <c r="AE80" s="172"/>
      <c r="AF80" s="173"/>
      <c r="AG80" s="36"/>
      <c r="AH80" s="173"/>
      <c r="AI80" s="174"/>
      <c r="AJ80" s="174"/>
      <c r="AK80" s="174"/>
      <c r="AL80" s="174"/>
      <c r="AM80" s="174"/>
      <c r="AN80" s="174"/>
      <c r="AO80" s="36" t="s">
        <v>1163</v>
      </c>
      <c r="AP80" s="36" t="s">
        <v>1198</v>
      </c>
    </row>
    <row r="81" spans="3:42" ht="28">
      <c r="C81" s="78">
        <v>96701</v>
      </c>
      <c r="D81" s="60" t="s">
        <v>284</v>
      </c>
      <c r="E81" s="125" t="s">
        <v>285</v>
      </c>
      <c r="F81" s="124">
        <v>1</v>
      </c>
      <c r="G81" s="115" t="s">
        <v>1090</v>
      </c>
      <c r="H81" s="18" t="s">
        <v>618</v>
      </c>
      <c r="I81" s="18" t="s">
        <v>59</v>
      </c>
      <c r="J81" s="19" t="s">
        <v>537</v>
      </c>
      <c r="K81" s="99">
        <v>280832</v>
      </c>
      <c r="L81" s="97">
        <f>INDEX(Table1[Production],MATCH(rrcworking[[#This Row],[RRC ID Number]],Table1[RRC Identifier],0))</f>
        <v>0</v>
      </c>
      <c r="M81" s="29">
        <f>INDEX(Table1[Formation Production],MATCH(rrcworking[[#This Row],[RRC ID Number]],Table1[RRC Identifier],0))</f>
        <v>0</v>
      </c>
      <c r="N81" s="30">
        <f>INDEX(Table1[On Hand End of Month],MATCH(rrcworking[[#This Row],[RRC ID Number]],Table1[RRC Identifier],0))</f>
        <v>48</v>
      </c>
      <c r="O81" s="102" t="b">
        <f t="shared" si="2"/>
        <v>1</v>
      </c>
      <c r="Q81" s="122">
        <f>rrcworking[[#This Row],[Last Month Closing Stock]]</f>
        <v>48</v>
      </c>
      <c r="R81">
        <v>48</v>
      </c>
      <c r="S81" s="133">
        <f>IF(ISERROR(INDEX(Table2[OIL],MATCH(rrcworking[[#This Row],[Magnum Wolfpak '#]],Table2[Rox Wolf'#],0))),0,INDEX(Table2[OIL],MATCH(rrcworking[[#This Row],[Magnum Wolfpak '#]],Table2[Rox Wolf'#],0)))</f>
        <v>0</v>
      </c>
      <c r="T81" s="34">
        <f>rrcworking[[#This Row],[Closing Stock (Oil)]]+rrcworking[[#This Row],[Sales/Dispostion]]-rrcworking[[#This Row],[Opening Oil Stock]]</f>
        <v>0</v>
      </c>
      <c r="U81" s="108">
        <f>rrcworking[[#This Row],[Gauge Sheet Prod Volume (oil)]]-rrcworking[[#This Row],[Oil Production]]</f>
        <v>0</v>
      </c>
      <c r="V81" s="133">
        <f>IF(ISERROR(INDEX(Table2[GAS],MATCH(rrcworking[[#This Row],[Magnum Wolfpak '#]],Table2[Rox Wolf'#],0))),0,INDEX(Table2[GAS],MATCH(rrcworking[[#This Row],[Magnum Wolfpak '#]],Table2[Rox Wolf'#],0)))</f>
        <v>0</v>
      </c>
      <c r="W81" s="58"/>
      <c r="X81" s="58">
        <v>0</v>
      </c>
      <c r="Y81" s="133">
        <f>IF(ISERROR(INDEX(Table2[LEASE USE],MATCH(rrcworking[[#This Row],[Magnum Wolfpak '#]],Table2[Rox Wolf'#],0))),0,INDEX(Table2[LEASE USE],MATCH(rrcworking[[#This Row],[Magnum Wolfpak '#]],Table2[Rox Wolf'#],0)))</f>
        <v>0</v>
      </c>
      <c r="Z81" s="133"/>
      <c r="AA81" s="56">
        <f>rrcworking[[#This Row],[Gas Sales Statement Volume (MCF)]]+rrcworking[[#This Row],[Lease Use (MCF)]]+rrcworking[[#This Row],[Flared Gas]]</f>
        <v>0</v>
      </c>
      <c r="AB81" s="36"/>
      <c r="AC81" s="36" t="s">
        <v>1280</v>
      </c>
      <c r="AD81" s="175">
        <f>COUNTIF(FilterList,rrcworking[[#This Row],[Magnum Wolfpak '#]])</f>
        <v>0</v>
      </c>
      <c r="AE81" s="172"/>
      <c r="AF81" s="173"/>
      <c r="AG81" s="83"/>
      <c r="AH81" s="83"/>
      <c r="AI81" s="174"/>
      <c r="AJ81" s="174"/>
      <c r="AK81" s="174"/>
      <c r="AL81" s="174"/>
      <c r="AM81" s="174"/>
      <c r="AN81" s="174"/>
      <c r="AO81" s="36" t="s">
        <v>1163</v>
      </c>
      <c r="AP81" s="36" t="s">
        <v>1198</v>
      </c>
    </row>
    <row r="82" spans="3:42" ht="14">
      <c r="C82" s="78" t="e">
        <v>#N/A</v>
      </c>
      <c r="D82" s="60" t="s">
        <v>290</v>
      </c>
      <c r="E82" s="125" t="s">
        <v>285</v>
      </c>
      <c r="F82" s="124">
        <v>0</v>
      </c>
      <c r="G82" s="115" t="s">
        <v>1090</v>
      </c>
      <c r="H82" s="18" t="s">
        <v>618</v>
      </c>
      <c r="I82" s="18" t="s">
        <v>2</v>
      </c>
      <c r="J82" s="19" t="s">
        <v>541</v>
      </c>
      <c r="K82" s="99">
        <v>25785</v>
      </c>
      <c r="L82" s="97">
        <f>INDEX(Table1[Production],MATCH(rrcworking[[#This Row],[RRC ID Number]],Table1[RRC Identifier],0))</f>
        <v>0</v>
      </c>
      <c r="M82" s="29">
        <f>INDEX(Table1[Formation Production],MATCH(rrcworking[[#This Row],[RRC ID Number]],Table1[RRC Identifier],0))</f>
        <v>0</v>
      </c>
      <c r="N82" s="30">
        <f>INDEX(Table1[On Hand End of Month],MATCH(rrcworking[[#This Row],[RRC ID Number]],Table1[RRC Identifier],0))</f>
        <v>0</v>
      </c>
      <c r="O82" s="102" t="b">
        <f t="shared" si="2"/>
        <v>1</v>
      </c>
      <c r="Q82" s="122">
        <f>rrcworking[[#This Row],[Last Month Closing Stock]]</f>
        <v>0</v>
      </c>
      <c r="R82">
        <f>rrcworking[[#This Row],[Opening Oil Stock]]</f>
        <v>0</v>
      </c>
      <c r="S82" s="133">
        <f>IF(ISERROR(INDEX(Table2[OIL],MATCH(rrcworking[[#This Row],[Magnum Wolfpak '#]],Table2[Rox Wolf'#],0))),0,INDEX(Table2[OIL],MATCH(rrcworking[[#This Row],[Magnum Wolfpak '#]],Table2[Rox Wolf'#],0)))</f>
        <v>0</v>
      </c>
      <c r="T82" s="34">
        <f>rrcworking[[#This Row],[Closing Stock (Oil)]]+rrcworking[[#This Row],[Sales/Dispostion]]-rrcworking[[#This Row],[Opening Oil Stock]]</f>
        <v>0</v>
      </c>
      <c r="U82" s="108">
        <f>rrcworking[[#This Row],[Gauge Sheet Prod Volume (oil)]]-rrcworking[[#This Row],[Oil Production]]</f>
        <v>0</v>
      </c>
      <c r="V82" s="133">
        <f>IF(ISERROR(INDEX(Table2[GAS],MATCH(rrcworking[[#This Row],[Magnum Wolfpak '#]],Table2[Rox Wolf'#],0))),0,INDEX(Table2[GAS],MATCH(rrcworking[[#This Row],[Magnum Wolfpak '#]],Table2[Rox Wolf'#],0)))</f>
        <v>0</v>
      </c>
      <c r="W82" s="58"/>
      <c r="X82" s="58"/>
      <c r="Y82" s="133">
        <f>IF(ISERROR(INDEX(Table2[LEASE USE],MATCH(rrcworking[[#This Row],[Magnum Wolfpak '#]],Table2[Rox Wolf'#],0))),0,INDEX(Table2[LEASE USE],MATCH(rrcworking[[#This Row],[Magnum Wolfpak '#]],Table2[Rox Wolf'#],0)))</f>
        <v>0</v>
      </c>
      <c r="Z82" s="133"/>
      <c r="AA82" s="56">
        <f>rrcworking[[#This Row],[Gas Sales Statement Volume (MCF)]]+rrcworking[[#This Row],[Lease Use (MCF)]]+rrcworking[[#This Row],[Flared Gas]]</f>
        <v>0</v>
      </c>
      <c r="AB82" s="36"/>
      <c r="AC82" s="36"/>
      <c r="AD82" s="175">
        <f>COUNTIF(FilterList,rrcworking[[#This Row],[Magnum Wolfpak '#]])</f>
        <v>0</v>
      </c>
      <c r="AE82" s="172"/>
      <c r="AF82" s="173"/>
      <c r="AG82" s="36"/>
      <c r="AH82" s="36"/>
      <c r="AI82" s="36"/>
      <c r="AJ82" s="36"/>
      <c r="AK82" s="36"/>
      <c r="AL82" s="36"/>
      <c r="AM82" s="36"/>
      <c r="AN82" s="36"/>
      <c r="AO82" s="36"/>
      <c r="AP82" s="36"/>
    </row>
    <row r="83" spans="3:42" ht="210">
      <c r="C83" s="78">
        <v>96501</v>
      </c>
      <c r="D83" s="60" t="s">
        <v>286</v>
      </c>
      <c r="E83" s="125" t="s">
        <v>287</v>
      </c>
      <c r="F83" s="124">
        <v>1</v>
      </c>
      <c r="G83" s="115" t="s">
        <v>1090</v>
      </c>
      <c r="H83" s="18" t="s">
        <v>618</v>
      </c>
      <c r="I83" s="18" t="s">
        <v>59</v>
      </c>
      <c r="J83" s="19" t="s">
        <v>538</v>
      </c>
      <c r="K83" s="99">
        <v>161374</v>
      </c>
      <c r="L83" s="97">
        <f>INDEX(Table1[Production],MATCH(rrcworking[[#This Row],[RRC ID Number]],Table1[RRC Identifier],0))</f>
        <v>170</v>
      </c>
      <c r="M83" s="29">
        <f>INDEX(Table1[Formation Production],MATCH(rrcworking[[#This Row],[RRC ID Number]],Table1[RRC Identifier],0))</f>
        <v>232</v>
      </c>
      <c r="N83" s="30">
        <f>INDEX(Table1[On Hand End of Month],MATCH(rrcworking[[#This Row],[RRC ID Number]],Table1[RRC Identifier],0))</f>
        <v>27</v>
      </c>
      <c r="O83" s="102" t="b">
        <f t="shared" si="2"/>
        <v>0</v>
      </c>
      <c r="P83">
        <v>16</v>
      </c>
      <c r="Q83" s="122">
        <f>rrcworking[[#This Row],[Last Month Closing Stock]]</f>
        <v>27</v>
      </c>
      <c r="R83">
        <v>43</v>
      </c>
      <c r="S83" s="133">
        <f>IF(ISERROR(INDEX(Table2[OIL],MATCH(rrcworking[[#This Row],[Magnum Wolfpak '#]],Table2[Rox Wolf'#],0))),0,INDEX(Table2[OIL],MATCH(rrcworking[[#This Row],[Magnum Wolfpak '#]],Table2[Rox Wolf'#],0)))</f>
        <v>0</v>
      </c>
      <c r="T83" s="34">
        <f>rrcworking[[#This Row],[Closing Stock (Oil)]]+rrcworking[[#This Row],[Sales/Dispostion]]-rrcworking[[#This Row],[Opening Oil Stock]]</f>
        <v>16</v>
      </c>
      <c r="U83" s="108">
        <f>rrcworking[[#This Row],[Gauge Sheet Prod Volume (oil)]]-rrcworking[[#This Row],[Oil Production]]</f>
        <v>0</v>
      </c>
      <c r="V83" s="133">
        <f>IF(ISERROR(INDEX(Table2[GAS],MATCH(rrcworking[[#This Row],[Magnum Wolfpak '#]],Table2[Rox Wolf'#],0))),0,INDEX(Table2[GAS],MATCH(rrcworking[[#This Row],[Magnum Wolfpak '#]],Table2[Rox Wolf'#],0)))</f>
        <v>2049</v>
      </c>
      <c r="W83" s="82"/>
      <c r="X83" s="58">
        <v>3</v>
      </c>
      <c r="Y83" s="133">
        <f>IF(ISERROR(INDEX(Table2[LEASE USE],MATCH(rrcworking[[#This Row],[Magnum Wolfpak '#]],Table2[Rox Wolf'#],0))),0,INDEX(Table2[LEASE USE],MATCH(rrcworking[[#This Row],[Magnum Wolfpak '#]],Table2[Rox Wolf'#],0)))</f>
        <v>93</v>
      </c>
      <c r="Z83" s="133"/>
      <c r="AA83" s="56">
        <f>rrcworking[[#This Row],[Gas Sales Statement Volume (MCF)]]+rrcworking[[#This Row],[Lease Use (MCF)]]+rrcworking[[#This Row],[Flared Gas]]</f>
        <v>2142</v>
      </c>
      <c r="AB83" s="36"/>
      <c r="AC83" s="36" t="s">
        <v>1314</v>
      </c>
      <c r="AD83" s="175">
        <f>COUNTIF(FilterList,rrcworking[[#This Row],[Magnum Wolfpak '#]])</f>
        <v>0</v>
      </c>
      <c r="AE83" s="172"/>
      <c r="AF83" s="173"/>
      <c r="AG83" s="36"/>
      <c r="AH83" s="173"/>
      <c r="AI83" s="174"/>
      <c r="AJ83" s="174"/>
      <c r="AK83" s="174"/>
      <c r="AL83" s="174"/>
      <c r="AM83" s="174"/>
      <c r="AN83" s="174"/>
      <c r="AO83" s="36" t="s">
        <v>1163</v>
      </c>
      <c r="AP83" s="36" t="s">
        <v>1198</v>
      </c>
    </row>
    <row r="84" spans="3:42" ht="14">
      <c r="C84" s="80" t="e">
        <v>#N/A</v>
      </c>
      <c r="D84" s="94" t="s">
        <v>288</v>
      </c>
      <c r="E84" s="126" t="s">
        <v>289</v>
      </c>
      <c r="F84" s="123">
        <v>0</v>
      </c>
      <c r="G84" s="116" t="s">
        <v>1090</v>
      </c>
      <c r="H84" s="18" t="s">
        <v>618</v>
      </c>
      <c r="I84" s="18" t="s">
        <v>2</v>
      </c>
      <c r="J84" s="19" t="s">
        <v>539</v>
      </c>
      <c r="K84" s="99">
        <v>19798</v>
      </c>
      <c r="L84" s="97">
        <f>INDEX(Table1[Production],MATCH(rrcworking[[#This Row],[RRC ID Number]],Table1[RRC Identifier],0))</f>
        <v>0</v>
      </c>
      <c r="M84" s="29">
        <f>INDEX(Table1[Formation Production],MATCH(rrcworking[[#This Row],[RRC ID Number]],Table1[RRC Identifier],0))</f>
        <v>0</v>
      </c>
      <c r="N84" s="30">
        <f>INDEX(Table1[On Hand End of Month],MATCH(rrcworking[[#This Row],[RRC ID Number]],Table1[RRC Identifier],0))</f>
        <v>70</v>
      </c>
      <c r="O84" s="102" t="b">
        <f t="shared" si="2"/>
        <v>1</v>
      </c>
      <c r="Q84" s="122">
        <f>rrcworking[[#This Row],[Last Month Closing Stock]]</f>
        <v>70</v>
      </c>
      <c r="R84">
        <f>rrcworking[[#This Row],[Opening Oil Stock]]</f>
        <v>70</v>
      </c>
      <c r="S84" s="134">
        <f>IF(ISERROR(INDEX(Table2[OIL],MATCH(rrcworking[[#This Row],[Magnum Wolfpak '#]],Table2[Rox Wolf'#],0))),0,INDEX(Table2[OIL],MATCH(rrcworking[[#This Row],[Magnum Wolfpak '#]],Table2[Rox Wolf'#],0)))</f>
        <v>0</v>
      </c>
      <c r="T84" s="34">
        <f>rrcworking[[#This Row],[Closing Stock (Oil)]]+rrcworking[[#This Row],[Sales/Dispostion]]-rrcworking[[#This Row],[Opening Oil Stock]]</f>
        <v>0</v>
      </c>
      <c r="U84" s="108">
        <f>rrcworking[[#This Row],[Gauge Sheet Prod Volume (oil)]]-rrcworking[[#This Row],[Oil Production]]</f>
        <v>0</v>
      </c>
      <c r="V84" s="133">
        <f>IF(ISERROR(INDEX(Table2[GAS],MATCH(rrcworking[[#This Row],[Magnum Wolfpak '#]],Table2[Rox Wolf'#],0))),0,INDEX(Table2[GAS],MATCH(rrcworking[[#This Row],[Magnum Wolfpak '#]],Table2[Rox Wolf'#],0)))</f>
        <v>0</v>
      </c>
      <c r="W84" s="58"/>
      <c r="X84" s="58"/>
      <c r="Y84" s="133">
        <f>IF(ISERROR(INDEX(Table2[LEASE USE],MATCH(rrcworking[[#This Row],[Magnum Wolfpak '#]],Table2[Rox Wolf'#],0))),0,INDEX(Table2[LEASE USE],MATCH(rrcworking[[#This Row],[Magnum Wolfpak '#]],Table2[Rox Wolf'#],0)))</f>
        <v>0</v>
      </c>
      <c r="Z84" s="133"/>
      <c r="AA84" s="56">
        <f>rrcworking[[#This Row],[Gas Sales Statement Volume (MCF)]]+rrcworking[[#This Row],[Lease Use (MCF)]]+rrcworking[[#This Row],[Flared Gas]]</f>
        <v>0</v>
      </c>
      <c r="AB84" s="36"/>
      <c r="AC84" s="36"/>
      <c r="AD84" s="175">
        <f>COUNTIF(FilterList,rrcworking[[#This Row],[Magnum Wolfpak '#]])</f>
        <v>0</v>
      </c>
      <c r="AE84" s="172"/>
      <c r="AF84" s="173"/>
      <c r="AG84" s="36"/>
      <c r="AH84" s="36"/>
      <c r="AI84" s="36"/>
      <c r="AJ84" s="36"/>
      <c r="AK84" s="36"/>
      <c r="AL84" s="36"/>
      <c r="AM84" s="36"/>
      <c r="AN84" s="36"/>
      <c r="AO84" s="36"/>
      <c r="AP84" s="36"/>
    </row>
    <row r="85" spans="3:42" ht="14">
      <c r="C85" s="78" t="e">
        <v>#N/A</v>
      </c>
      <c r="D85" s="60" t="s">
        <v>247</v>
      </c>
      <c r="E85" s="125" t="s">
        <v>248</v>
      </c>
      <c r="F85" s="124">
        <v>2</v>
      </c>
      <c r="G85" s="115" t="s">
        <v>1090</v>
      </c>
      <c r="H85" s="18" t="s">
        <v>618</v>
      </c>
      <c r="I85" s="18" t="s">
        <v>59</v>
      </c>
      <c r="J85" s="19" t="s">
        <v>512</v>
      </c>
      <c r="K85" s="99">
        <v>194105</v>
      </c>
      <c r="L85" s="97">
        <f>INDEX(Table1[Production],MATCH(rrcworking[[#This Row],[RRC ID Number]],Table1[RRC Identifier],0))</f>
        <v>0</v>
      </c>
      <c r="M85" s="29">
        <f>INDEX(Table1[Formation Production],MATCH(rrcworking[[#This Row],[RRC ID Number]],Table1[RRC Identifier],0))</f>
        <v>0</v>
      </c>
      <c r="N85" s="30">
        <f>INDEX(Table1[On Hand End of Month],MATCH(rrcworking[[#This Row],[RRC ID Number]],Table1[RRC Identifier],0))</f>
        <v>0</v>
      </c>
      <c r="O85" s="102" t="b">
        <f t="shared" si="2"/>
        <v>1</v>
      </c>
      <c r="Q85" s="122">
        <f>rrcworking[[#This Row],[Last Month Closing Stock]]</f>
        <v>0</v>
      </c>
      <c r="R85">
        <f>rrcworking[[#This Row],[Opening Oil Stock]]</f>
        <v>0</v>
      </c>
      <c r="S85" s="133">
        <f>IF(ISERROR(INDEX(Table2[OIL],MATCH(rrcworking[[#This Row],[Magnum Wolfpak '#]],Table2[Rox Wolf'#],0))),0,INDEX(Table2[OIL],MATCH(rrcworking[[#This Row],[Magnum Wolfpak '#]],Table2[Rox Wolf'#],0)))</f>
        <v>0</v>
      </c>
      <c r="T85" s="34">
        <f>rrcworking[[#This Row],[Closing Stock (Oil)]]+rrcworking[[#This Row],[Sales/Dispostion]]-rrcworking[[#This Row],[Opening Oil Stock]]</f>
        <v>0</v>
      </c>
      <c r="U85" s="108">
        <f>rrcworking[[#This Row],[Gauge Sheet Prod Volume (oil)]]-rrcworking[[#This Row],[Oil Production]]</f>
        <v>0</v>
      </c>
      <c r="V85" s="133">
        <f>IF(ISERROR(INDEX(Table2[GAS],MATCH(rrcworking[[#This Row],[Magnum Wolfpak '#]],Table2[Rox Wolf'#],0))),0,INDEX(Table2[GAS],MATCH(rrcworking[[#This Row],[Magnum Wolfpak '#]],Table2[Rox Wolf'#],0)))</f>
        <v>0</v>
      </c>
      <c r="W85" s="58"/>
      <c r="X85" s="58"/>
      <c r="Y85" s="133">
        <f>IF(ISERROR(INDEX(Table2[LEASE USE],MATCH(rrcworking[[#This Row],[Magnum Wolfpak '#]],Table2[Rox Wolf'#],0))),0,INDEX(Table2[LEASE USE],MATCH(rrcworking[[#This Row],[Magnum Wolfpak '#]],Table2[Rox Wolf'#],0)))</f>
        <v>0</v>
      </c>
      <c r="Z85" s="133"/>
      <c r="AA85" s="56">
        <f>rrcworking[[#This Row],[Gas Sales Statement Volume (MCF)]]+rrcworking[[#This Row],[Lease Use (MCF)]]+rrcworking[[#This Row],[Flared Gas]]</f>
        <v>0</v>
      </c>
      <c r="AB85" s="36"/>
      <c r="AC85" s="36"/>
      <c r="AD85" s="175">
        <f>COUNTIF(FilterList,rrcworking[[#This Row],[Magnum Wolfpak '#]])</f>
        <v>0</v>
      </c>
      <c r="AE85" s="172"/>
      <c r="AF85" s="173"/>
      <c r="AG85" s="36"/>
      <c r="AH85" s="36"/>
      <c r="AI85" s="36"/>
      <c r="AJ85" s="36"/>
      <c r="AK85" s="36"/>
      <c r="AL85" s="36"/>
      <c r="AM85" s="36"/>
      <c r="AN85" s="36"/>
      <c r="AO85" s="36"/>
      <c r="AP85" s="36"/>
    </row>
    <row r="86" spans="3:42" ht="14">
      <c r="C86" s="78" t="e">
        <v>#N/A</v>
      </c>
      <c r="D86" s="60" t="s">
        <v>249</v>
      </c>
      <c r="E86" s="125" t="s">
        <v>248</v>
      </c>
      <c r="F86" s="124">
        <v>1</v>
      </c>
      <c r="G86" s="115" t="s">
        <v>1090</v>
      </c>
      <c r="H86" s="18" t="s">
        <v>618</v>
      </c>
      <c r="I86" s="18" t="s">
        <v>59</v>
      </c>
      <c r="J86" s="19" t="s">
        <v>513</v>
      </c>
      <c r="K86" s="99">
        <v>130820</v>
      </c>
      <c r="L86" s="97">
        <f>INDEX(Table1[Production],MATCH(rrcworking[[#This Row],[RRC ID Number]],Table1[RRC Identifier],0))</f>
        <v>0</v>
      </c>
      <c r="M86" s="29">
        <f>INDEX(Table1[Formation Production],MATCH(rrcworking[[#This Row],[RRC ID Number]],Table1[RRC Identifier],0))</f>
        <v>0</v>
      </c>
      <c r="N86" s="30">
        <f>INDEX(Table1[On Hand End of Month],MATCH(rrcworking[[#This Row],[RRC ID Number]],Table1[RRC Identifier],0))</f>
        <v>0</v>
      </c>
      <c r="O86" s="102" t="b">
        <f t="shared" si="2"/>
        <v>1</v>
      </c>
      <c r="Q86" s="122">
        <f>rrcworking[[#This Row],[Last Month Closing Stock]]</f>
        <v>0</v>
      </c>
      <c r="R86">
        <f>rrcworking[[#This Row],[Opening Oil Stock]]</f>
        <v>0</v>
      </c>
      <c r="S86" s="133">
        <f>IF(ISERROR(INDEX(Table2[OIL],MATCH(rrcworking[[#This Row],[Magnum Wolfpak '#]],Table2[Rox Wolf'#],0))),0,INDEX(Table2[OIL],MATCH(rrcworking[[#This Row],[Magnum Wolfpak '#]],Table2[Rox Wolf'#],0)))</f>
        <v>0</v>
      </c>
      <c r="T86" s="34">
        <f>rrcworking[[#This Row],[Closing Stock (Oil)]]+rrcworking[[#This Row],[Sales/Dispostion]]-rrcworking[[#This Row],[Opening Oil Stock]]</f>
        <v>0</v>
      </c>
      <c r="U86" s="108">
        <f>rrcworking[[#This Row],[Gauge Sheet Prod Volume (oil)]]-rrcworking[[#This Row],[Oil Production]]</f>
        <v>0</v>
      </c>
      <c r="V86" s="133">
        <f>IF(ISERROR(INDEX(Table2[GAS],MATCH(rrcworking[[#This Row],[Magnum Wolfpak '#]],Table2[Rox Wolf'#],0))),0,INDEX(Table2[GAS],MATCH(rrcworking[[#This Row],[Magnum Wolfpak '#]],Table2[Rox Wolf'#],0)))</f>
        <v>0</v>
      </c>
      <c r="W86" s="58"/>
      <c r="X86" s="58"/>
      <c r="Y86" s="133">
        <f>IF(ISERROR(INDEX(Table2[LEASE USE],MATCH(rrcworking[[#This Row],[Magnum Wolfpak '#]],Table2[Rox Wolf'#],0))),0,INDEX(Table2[LEASE USE],MATCH(rrcworking[[#This Row],[Magnum Wolfpak '#]],Table2[Rox Wolf'#],0)))</f>
        <v>0</v>
      </c>
      <c r="Z86" s="133"/>
      <c r="AA86" s="56">
        <f>rrcworking[[#This Row],[Gas Sales Statement Volume (MCF)]]+rrcworking[[#This Row],[Lease Use (MCF)]]+rrcworking[[#This Row],[Flared Gas]]</f>
        <v>0</v>
      </c>
      <c r="AB86" s="36"/>
      <c r="AC86" s="36"/>
      <c r="AD86" s="175">
        <f>COUNTIF(FilterList,rrcworking[[#This Row],[Magnum Wolfpak '#]])</f>
        <v>0</v>
      </c>
      <c r="AE86" s="172"/>
      <c r="AF86" s="173"/>
      <c r="AG86" s="36"/>
      <c r="AH86" s="36"/>
      <c r="AI86" s="36"/>
      <c r="AJ86" s="36"/>
      <c r="AK86" s="36"/>
      <c r="AL86" s="36"/>
      <c r="AM86" s="36"/>
      <c r="AN86" s="36"/>
      <c r="AO86" s="36"/>
      <c r="AP86" s="36"/>
    </row>
    <row r="87" spans="3:42" ht="14">
      <c r="C87" s="78" t="e">
        <v>#N/A</v>
      </c>
      <c r="D87" s="60" t="s">
        <v>353</v>
      </c>
      <c r="E87" s="125" t="s">
        <v>356</v>
      </c>
      <c r="F87" s="124">
        <v>3</v>
      </c>
      <c r="G87" s="115" t="s">
        <v>1090</v>
      </c>
      <c r="H87" s="18" t="s">
        <v>619</v>
      </c>
      <c r="I87" s="18" t="s">
        <v>59</v>
      </c>
      <c r="J87" s="19" t="s">
        <v>581</v>
      </c>
      <c r="K87" s="99">
        <v>191863</v>
      </c>
      <c r="L87" s="97">
        <f>INDEX(Table1[Production],MATCH(rrcworking[[#This Row],[RRC ID Number]],Table1[RRC Identifier],0))</f>
        <v>0</v>
      </c>
      <c r="M87" s="29">
        <f>INDEX(Table1[Formation Production],MATCH(rrcworking[[#This Row],[RRC ID Number]],Table1[RRC Identifier],0))</f>
        <v>0</v>
      </c>
      <c r="N87" s="30">
        <f>INDEX(Table1[On Hand End of Month],MATCH(rrcworking[[#This Row],[RRC ID Number]],Table1[RRC Identifier],0))</f>
        <v>0</v>
      </c>
      <c r="O87" s="102" t="b">
        <f t="shared" si="2"/>
        <v>1</v>
      </c>
      <c r="Q87" s="122">
        <f>rrcworking[[#This Row],[Last Month Closing Stock]]</f>
        <v>0</v>
      </c>
      <c r="R87">
        <f>rrcworking[[#This Row],[Opening Oil Stock]]</f>
        <v>0</v>
      </c>
      <c r="S87" s="133">
        <f>IF(ISERROR(INDEX(Table2[OIL],MATCH(rrcworking[[#This Row],[Magnum Wolfpak '#]],Table2[Rox Wolf'#],0))),0,INDEX(Table2[OIL],MATCH(rrcworking[[#This Row],[Magnum Wolfpak '#]],Table2[Rox Wolf'#],0)))</f>
        <v>0</v>
      </c>
      <c r="T87" s="34">
        <f>rrcworking[[#This Row],[Closing Stock (Oil)]]+rrcworking[[#This Row],[Sales/Dispostion]]-rrcworking[[#This Row],[Opening Oil Stock]]</f>
        <v>0</v>
      </c>
      <c r="U87" s="108">
        <f>rrcworking[[#This Row],[Gauge Sheet Prod Volume (oil)]]-rrcworking[[#This Row],[Oil Production]]</f>
        <v>0</v>
      </c>
      <c r="V87" s="133">
        <f>IF(ISERROR(INDEX(Table2[GAS],MATCH(rrcworking[[#This Row],[Magnum Wolfpak '#]],Table2[Rox Wolf'#],0))),0,INDEX(Table2[GAS],MATCH(rrcworking[[#This Row],[Magnum Wolfpak '#]],Table2[Rox Wolf'#],0)))</f>
        <v>0</v>
      </c>
      <c r="W87" s="58"/>
      <c r="X87" s="58"/>
      <c r="Y87" s="133">
        <f>IF(ISERROR(INDEX(Table2[LEASE USE],MATCH(rrcworking[[#This Row],[Magnum Wolfpak '#]],Table2[Rox Wolf'#],0))),0,INDEX(Table2[LEASE USE],MATCH(rrcworking[[#This Row],[Magnum Wolfpak '#]],Table2[Rox Wolf'#],0)))</f>
        <v>0</v>
      </c>
      <c r="Z87" s="133"/>
      <c r="AA87" s="56">
        <f>rrcworking[[#This Row],[Gas Sales Statement Volume (MCF)]]+rrcworking[[#This Row],[Lease Use (MCF)]]+rrcworking[[#This Row],[Flared Gas]]</f>
        <v>0</v>
      </c>
      <c r="AB87" s="36"/>
      <c r="AC87" s="36"/>
      <c r="AD87" s="175">
        <f>COUNTIF(FilterList,rrcworking[[#This Row],[Magnum Wolfpak '#]])</f>
        <v>0</v>
      </c>
      <c r="AE87" s="172"/>
      <c r="AF87" s="173"/>
      <c r="AG87" s="36"/>
      <c r="AH87" s="36"/>
      <c r="AI87" s="36"/>
      <c r="AJ87" s="36"/>
      <c r="AK87" s="36"/>
      <c r="AL87" s="36"/>
      <c r="AM87" s="36"/>
      <c r="AN87" s="36"/>
      <c r="AO87" s="36"/>
      <c r="AP87" s="36"/>
    </row>
    <row r="88" spans="3:42" ht="14">
      <c r="C88" s="78">
        <v>99066</v>
      </c>
      <c r="D88" s="60" t="s">
        <v>353</v>
      </c>
      <c r="E88" s="125" t="s">
        <v>355</v>
      </c>
      <c r="F88" s="124">
        <v>2</v>
      </c>
      <c r="G88" s="115" t="s">
        <v>1090</v>
      </c>
      <c r="H88" s="18" t="s">
        <v>619</v>
      </c>
      <c r="I88" s="18" t="s">
        <v>59</v>
      </c>
      <c r="J88" s="19" t="s">
        <v>580</v>
      </c>
      <c r="K88" s="99">
        <v>11885</v>
      </c>
      <c r="L88" s="97">
        <f>INDEX(Table1[Production],MATCH(rrcworking[[#This Row],[RRC ID Number]],Table1[RRC Identifier],0))</f>
        <v>0</v>
      </c>
      <c r="M88" s="29">
        <f>INDEX(Table1[Formation Production],MATCH(rrcworking[[#This Row],[RRC ID Number]],Table1[RRC Identifier],0))</f>
        <v>774</v>
      </c>
      <c r="N88" s="30">
        <f>INDEX(Table1[On Hand End of Month],MATCH(rrcworking[[#This Row],[RRC ID Number]],Table1[RRC Identifier],0))</f>
        <v>0</v>
      </c>
      <c r="O88" s="102" t="b">
        <f t="shared" si="2"/>
        <v>0</v>
      </c>
      <c r="Q88" s="122">
        <f>rrcworking[[#This Row],[Last Month Closing Stock]]</f>
        <v>0</v>
      </c>
      <c r="R88">
        <v>0</v>
      </c>
      <c r="S88" s="133">
        <f>IF(ISERROR(INDEX(Table2[OIL],MATCH(rrcworking[[#This Row],[Magnum Wolfpak '#]],Table2[Rox Wolf'#],0))),0,INDEX(Table2[OIL],MATCH(rrcworking[[#This Row],[Magnum Wolfpak '#]],Table2[Rox Wolf'#],0)))</f>
        <v>0</v>
      </c>
      <c r="T88" s="34">
        <f>rrcworking[[#This Row],[Closing Stock (Oil)]]+rrcworking[[#This Row],[Sales/Dispostion]]-rrcworking[[#This Row],[Opening Oil Stock]]</f>
        <v>0</v>
      </c>
      <c r="U88" s="108">
        <f>rrcworking[[#This Row],[Gauge Sheet Prod Volume (oil)]]-rrcworking[[#This Row],[Oil Production]]</f>
        <v>0</v>
      </c>
      <c r="V88" s="133">
        <f>IF(ISERROR(INDEX(Table2[GAS],MATCH(rrcworking[[#This Row],[Magnum Wolfpak '#]],Table2[Rox Wolf'#],0))),0,INDEX(Table2[GAS],MATCH(rrcworking[[#This Row],[Magnum Wolfpak '#]],Table2[Rox Wolf'#],0)))</f>
        <v>659</v>
      </c>
      <c r="W88" s="58"/>
      <c r="X88" s="58"/>
      <c r="Y88" s="133">
        <f>IF(ISERROR(INDEX(Table2[LEASE USE],MATCH(rrcworking[[#This Row],[Magnum Wolfpak '#]],Table2[Rox Wolf'#],0))),0,INDEX(Table2[LEASE USE],MATCH(rrcworking[[#This Row],[Magnum Wolfpak '#]],Table2[Rox Wolf'#],0)))</f>
        <v>0</v>
      </c>
      <c r="Z88" s="133"/>
      <c r="AA88" s="56">
        <f>rrcworking[[#This Row],[Gas Sales Statement Volume (MCF)]]+rrcworking[[#This Row],[Lease Use (MCF)]]+rrcworking[[#This Row],[Flared Gas]]</f>
        <v>659</v>
      </c>
      <c r="AB88" s="36"/>
      <c r="AC88" s="36"/>
      <c r="AD88" s="175">
        <f>COUNTIF(FilterList,rrcworking[[#This Row],[Magnum Wolfpak '#]])</f>
        <v>0</v>
      </c>
      <c r="AE88" s="172"/>
      <c r="AF88" s="173"/>
      <c r="AG88" s="83"/>
      <c r="AH88" s="83"/>
      <c r="AI88" s="174"/>
      <c r="AJ88" s="174"/>
      <c r="AK88" s="174"/>
      <c r="AL88" s="174"/>
      <c r="AM88" s="174"/>
      <c r="AN88" s="174"/>
      <c r="AO88" s="36" t="s">
        <v>1163</v>
      </c>
      <c r="AP88" s="36" t="s">
        <v>1200</v>
      </c>
    </row>
    <row r="89" spans="3:42" ht="14">
      <c r="C89" s="78">
        <v>99113</v>
      </c>
      <c r="D89" s="60" t="s">
        <v>353</v>
      </c>
      <c r="E89" s="125" t="s">
        <v>354</v>
      </c>
      <c r="F89" s="124">
        <v>1</v>
      </c>
      <c r="G89" s="115" t="s">
        <v>1090</v>
      </c>
      <c r="H89" s="18" t="s">
        <v>619</v>
      </c>
      <c r="I89" s="18" t="s">
        <v>59</v>
      </c>
      <c r="J89" s="19" t="s">
        <v>579</v>
      </c>
      <c r="K89" s="99">
        <v>11877</v>
      </c>
      <c r="L89" s="97">
        <f>INDEX(Table1[Production],MATCH(rrcworking[[#This Row],[RRC ID Number]],Table1[RRC Identifier],0))</f>
        <v>0</v>
      </c>
      <c r="M89" s="29">
        <f>INDEX(Table1[Formation Production],MATCH(rrcworking[[#This Row],[RRC ID Number]],Table1[RRC Identifier],0))</f>
        <v>199</v>
      </c>
      <c r="N89" s="30">
        <f>INDEX(Table1[On Hand End of Month],MATCH(rrcworking[[#This Row],[RRC ID Number]],Table1[RRC Identifier],0))</f>
        <v>0</v>
      </c>
      <c r="O89" s="102" t="b">
        <f t="shared" si="2"/>
        <v>0</v>
      </c>
      <c r="Q89" s="122">
        <f>rrcworking[[#This Row],[Last Month Closing Stock]]</f>
        <v>0</v>
      </c>
      <c r="R89">
        <v>0</v>
      </c>
      <c r="S89" s="133">
        <f>IF(ISERROR(INDEX(Table2[OIL],MATCH(rrcworking[[#This Row],[Magnum Wolfpak '#]],Table2[Rox Wolf'#],0))),0,INDEX(Table2[OIL],MATCH(rrcworking[[#This Row],[Magnum Wolfpak '#]],Table2[Rox Wolf'#],0)))</f>
        <v>0</v>
      </c>
      <c r="T89" s="34">
        <f>rrcworking[[#This Row],[Closing Stock (Oil)]]+rrcworking[[#This Row],[Sales/Dispostion]]-rrcworking[[#This Row],[Opening Oil Stock]]</f>
        <v>0</v>
      </c>
      <c r="U89" s="108">
        <f>rrcworking[[#This Row],[Gauge Sheet Prod Volume (oil)]]-rrcworking[[#This Row],[Oil Production]]</f>
        <v>0</v>
      </c>
      <c r="V89" s="133">
        <f>IF(ISERROR(INDEX(Table2[GAS],MATCH(rrcworking[[#This Row],[Magnum Wolfpak '#]],Table2[Rox Wolf'#],0))),0,INDEX(Table2[GAS],MATCH(rrcworking[[#This Row],[Magnum Wolfpak '#]],Table2[Rox Wolf'#],0)))</f>
        <v>170</v>
      </c>
      <c r="W89" s="58"/>
      <c r="X89" s="58"/>
      <c r="Y89" s="133">
        <f>IF(ISERROR(INDEX(Table2[LEASE USE],MATCH(rrcworking[[#This Row],[Magnum Wolfpak '#]],Table2[Rox Wolf'#],0))),0,INDEX(Table2[LEASE USE],MATCH(rrcworking[[#This Row],[Magnum Wolfpak '#]],Table2[Rox Wolf'#],0)))</f>
        <v>0</v>
      </c>
      <c r="Z89" s="133"/>
      <c r="AA89" s="56">
        <f>rrcworking[[#This Row],[Gas Sales Statement Volume (MCF)]]+rrcworking[[#This Row],[Lease Use (MCF)]]+rrcworking[[#This Row],[Flared Gas]]</f>
        <v>170</v>
      </c>
      <c r="AB89" s="36"/>
      <c r="AC89" s="36"/>
      <c r="AD89" s="175">
        <f>COUNTIF(FilterList,rrcworking[[#This Row],[Magnum Wolfpak '#]])</f>
        <v>0</v>
      </c>
      <c r="AE89" s="172"/>
      <c r="AF89" s="173"/>
      <c r="AG89" s="83"/>
      <c r="AH89" s="83"/>
      <c r="AI89" s="174"/>
      <c r="AJ89" s="174"/>
      <c r="AK89" s="174"/>
      <c r="AL89" s="174"/>
      <c r="AM89" s="174"/>
      <c r="AN89" s="174"/>
      <c r="AO89" s="36" t="s">
        <v>1163</v>
      </c>
      <c r="AP89" s="36" t="s">
        <v>1189</v>
      </c>
    </row>
    <row r="90" spans="3:42" ht="126">
      <c r="C90" s="78">
        <v>99278</v>
      </c>
      <c r="D90" s="60" t="s">
        <v>174</v>
      </c>
      <c r="E90" s="125" t="s">
        <v>175</v>
      </c>
      <c r="F90" s="124" t="s">
        <v>176</v>
      </c>
      <c r="G90" s="115" t="s">
        <v>1090</v>
      </c>
      <c r="H90" s="18" t="s">
        <v>618</v>
      </c>
      <c r="I90" s="18" t="s">
        <v>59</v>
      </c>
      <c r="J90" s="19" t="s">
        <v>474</v>
      </c>
      <c r="K90" s="99">
        <v>206045</v>
      </c>
      <c r="L90" s="97">
        <f>INDEX(Table1[Production],MATCH(rrcworking[[#This Row],[RRC ID Number]],Table1[RRC Identifier],0))</f>
        <v>25</v>
      </c>
      <c r="M90" s="29">
        <f>INDEX(Table1[Formation Production],MATCH(rrcworking[[#This Row],[RRC ID Number]],Table1[RRC Identifier],0))</f>
        <v>7186</v>
      </c>
      <c r="N90" s="30">
        <f>INDEX(Table1[On Hand End of Month],MATCH(rrcworking[[#This Row],[RRC ID Number]],Table1[RRC Identifier],0))</f>
        <v>149</v>
      </c>
      <c r="O90" s="102" t="b">
        <f t="shared" si="2"/>
        <v>0</v>
      </c>
      <c r="P90">
        <v>24</v>
      </c>
      <c r="Q90" s="122">
        <f>rrcworking[[#This Row],[Last Month Closing Stock]]</f>
        <v>149</v>
      </c>
      <c r="R90">
        <v>174</v>
      </c>
      <c r="S90" s="133">
        <f>IF(ISERROR(INDEX(Table2[OIL],MATCH(rrcworking[[#This Row],[Magnum Wolfpak '#]],Table2[Rox Wolf'#],0))),0,INDEX(Table2[OIL],MATCH(rrcworking[[#This Row],[Magnum Wolfpak '#]],Table2[Rox Wolf'#],0)))</f>
        <v>0</v>
      </c>
      <c r="T90" s="34">
        <f>rrcworking[[#This Row],[Closing Stock (Oil)]]+rrcworking[[#This Row],[Sales/Dispostion]]-rrcworking[[#This Row],[Opening Oil Stock]]</f>
        <v>25</v>
      </c>
      <c r="U90" s="108">
        <f>rrcworking[[#This Row],[Gauge Sheet Prod Volume (oil)]]-rrcworking[[#This Row],[Oil Production]]</f>
        <v>-1</v>
      </c>
      <c r="V90" s="133">
        <f>IF(ISERROR(INDEX(Table2[GAS],MATCH(rrcworking[[#This Row],[Magnum Wolfpak '#]],Table2[Rox Wolf'#],0))),0,INDEX(Table2[GAS],MATCH(rrcworking[[#This Row],[Magnum Wolfpak '#]],Table2[Rox Wolf'#],0)))</f>
        <v>6909</v>
      </c>
      <c r="W90" s="82"/>
      <c r="X90" s="58">
        <v>13</v>
      </c>
      <c r="Y90" s="133">
        <f>IF(ISERROR(INDEX(Table2[LEASE USE],MATCH(rrcworking[[#This Row],[Magnum Wolfpak '#]],Table2[Rox Wolf'#],0))),0,INDEX(Table2[LEASE USE],MATCH(rrcworking[[#This Row],[Magnum Wolfpak '#]],Table2[Rox Wolf'#],0)))</f>
        <v>403</v>
      </c>
      <c r="Z90" s="133"/>
      <c r="AA90" s="56">
        <f>rrcworking[[#This Row],[Gas Sales Statement Volume (MCF)]]+rrcworking[[#This Row],[Lease Use (MCF)]]+rrcworking[[#This Row],[Flared Gas]]</f>
        <v>7312</v>
      </c>
      <c r="AB90" s="36"/>
      <c r="AC90" s="36" t="s">
        <v>1285</v>
      </c>
      <c r="AD90" s="175">
        <f>COUNTIF(FilterList,rrcworking[[#This Row],[Magnum Wolfpak '#]])</f>
        <v>0</v>
      </c>
      <c r="AE90" s="172"/>
      <c r="AF90" s="173"/>
      <c r="AG90" s="36"/>
      <c r="AH90" s="36"/>
      <c r="AI90" s="36">
        <v>2</v>
      </c>
      <c r="AJ90" s="36" t="s">
        <v>1139</v>
      </c>
      <c r="AK90" s="36" t="s">
        <v>1165</v>
      </c>
      <c r="AL90" s="36" t="s">
        <v>1201</v>
      </c>
      <c r="AM90" s="36" t="s">
        <v>1139</v>
      </c>
      <c r="AN90" s="36" t="s">
        <v>1171</v>
      </c>
      <c r="AO90" s="36" t="s">
        <v>1202</v>
      </c>
      <c r="AP90" s="36"/>
    </row>
    <row r="91" spans="3:42" ht="14">
      <c r="C91" s="78" t="e">
        <v>#N/A</v>
      </c>
      <c r="D91" s="60" t="s">
        <v>114</v>
      </c>
      <c r="E91" s="125" t="s">
        <v>115</v>
      </c>
      <c r="F91" s="124">
        <v>1</v>
      </c>
      <c r="G91" s="115">
        <v>5113</v>
      </c>
      <c r="H91" s="18" t="s">
        <v>617</v>
      </c>
      <c r="I91" s="18" t="s">
        <v>59</v>
      </c>
      <c r="J91" s="19" t="s">
        <v>437</v>
      </c>
      <c r="K91" s="99">
        <v>132690</v>
      </c>
      <c r="L91" s="97">
        <f>INDEX(Table1[Production],MATCH(rrcworking[[#This Row],[RRC ID Number]],Table1[RRC Identifier],0))</f>
        <v>0</v>
      </c>
      <c r="M91" s="29">
        <f>INDEX(Table1[Formation Production],MATCH(rrcworking[[#This Row],[RRC ID Number]],Table1[RRC Identifier],0))</f>
        <v>0</v>
      </c>
      <c r="N91" s="30">
        <f>INDEX(Table1[On Hand End of Month],MATCH(rrcworking[[#This Row],[RRC ID Number]],Table1[RRC Identifier],0))</f>
        <v>84</v>
      </c>
      <c r="O91" s="102" t="b">
        <f t="shared" si="2"/>
        <v>1</v>
      </c>
      <c r="Q91" s="122">
        <f>rrcworking[[#This Row],[Last Month Closing Stock]]</f>
        <v>84</v>
      </c>
      <c r="R91">
        <f>rrcworking[[#This Row],[Opening Oil Stock]]</f>
        <v>84</v>
      </c>
      <c r="S91" s="133">
        <f>IF(ISERROR(INDEX(Table2[OIL],MATCH(rrcworking[[#This Row],[Magnum Wolfpak '#]],Table2[Rox Wolf'#],0))),0,INDEX(Table2[OIL],MATCH(rrcworking[[#This Row],[Magnum Wolfpak '#]],Table2[Rox Wolf'#],0)))</f>
        <v>0</v>
      </c>
      <c r="T91" s="34">
        <f>rrcworking[[#This Row],[Closing Stock (Oil)]]+rrcworking[[#This Row],[Sales/Dispostion]]-rrcworking[[#This Row],[Opening Oil Stock]]</f>
        <v>0</v>
      </c>
      <c r="U91" s="108">
        <f>rrcworking[[#This Row],[Gauge Sheet Prod Volume (oil)]]-rrcworking[[#This Row],[Oil Production]]</f>
        <v>0</v>
      </c>
      <c r="V91" s="133">
        <f>IF(ISERROR(INDEX(Table2[GAS],MATCH(rrcworking[[#This Row],[Magnum Wolfpak '#]],Table2[Rox Wolf'#],0))),0,INDEX(Table2[GAS],MATCH(rrcworking[[#This Row],[Magnum Wolfpak '#]],Table2[Rox Wolf'#],0)))</f>
        <v>0</v>
      </c>
      <c r="W91" s="58"/>
      <c r="X91" s="58"/>
      <c r="Y91" s="133">
        <f>IF(ISERROR(INDEX(Table2[LEASE USE],MATCH(rrcworking[[#This Row],[Magnum Wolfpak '#]],Table2[Rox Wolf'#],0))),0,INDEX(Table2[LEASE USE],MATCH(rrcworking[[#This Row],[Magnum Wolfpak '#]],Table2[Rox Wolf'#],0)))</f>
        <v>0</v>
      </c>
      <c r="Z91" s="133"/>
      <c r="AA91" s="56">
        <f>rrcworking[[#This Row],[Gas Sales Statement Volume (MCF)]]+rrcworking[[#This Row],[Lease Use (MCF)]]+rrcworking[[#This Row],[Flared Gas]]</f>
        <v>0</v>
      </c>
      <c r="AB91" s="36"/>
      <c r="AC91" s="36"/>
      <c r="AD91" s="175">
        <f>COUNTIF(FilterList,rrcworking[[#This Row],[Magnum Wolfpak '#]])</f>
        <v>0</v>
      </c>
      <c r="AE91" s="172"/>
      <c r="AF91" s="173"/>
      <c r="AG91" s="36"/>
      <c r="AH91" s="36"/>
      <c r="AI91" s="36"/>
      <c r="AJ91" s="36"/>
      <c r="AK91" s="36"/>
      <c r="AL91" s="36"/>
      <c r="AM91" s="36"/>
      <c r="AN91" s="36"/>
      <c r="AO91" s="36"/>
      <c r="AP91" s="36"/>
    </row>
    <row r="92" spans="3:42" ht="14">
      <c r="C92" s="78" t="e">
        <v>#N/A</v>
      </c>
      <c r="D92" s="60" t="s">
        <v>359</v>
      </c>
      <c r="E92" s="125" t="s">
        <v>360</v>
      </c>
      <c r="F92" s="124">
        <v>1</v>
      </c>
      <c r="G92" s="115" t="s">
        <v>1090</v>
      </c>
      <c r="H92" s="18" t="s">
        <v>619</v>
      </c>
      <c r="I92" s="18" t="s">
        <v>59</v>
      </c>
      <c r="J92" s="19" t="s">
        <v>583</v>
      </c>
      <c r="K92" s="99">
        <v>127818</v>
      </c>
      <c r="L92" s="97">
        <f>INDEX(Table1[Production],MATCH(rrcworking[[#This Row],[RRC ID Number]],Table1[RRC Identifier],0))</f>
        <v>0</v>
      </c>
      <c r="M92" s="29">
        <f>INDEX(Table1[Formation Production],MATCH(rrcworking[[#This Row],[RRC ID Number]],Table1[RRC Identifier],0))</f>
        <v>0</v>
      </c>
      <c r="N92" s="30">
        <f>INDEX(Table1[On Hand End of Month],MATCH(rrcworking[[#This Row],[RRC ID Number]],Table1[RRC Identifier],0))</f>
        <v>166</v>
      </c>
      <c r="O92" s="102" t="b">
        <f t="shared" si="2"/>
        <v>1</v>
      </c>
      <c r="Q92" s="122">
        <f>rrcworking[[#This Row],[Last Month Closing Stock]]</f>
        <v>166</v>
      </c>
      <c r="R92">
        <f>rrcworking[[#This Row],[Opening Oil Stock]]</f>
        <v>166</v>
      </c>
      <c r="S92" s="133">
        <f>IF(ISERROR(INDEX(Table2[OIL],MATCH(rrcworking[[#This Row],[Magnum Wolfpak '#]],Table2[Rox Wolf'#],0))),0,INDEX(Table2[OIL],MATCH(rrcworking[[#This Row],[Magnum Wolfpak '#]],Table2[Rox Wolf'#],0)))</f>
        <v>0</v>
      </c>
      <c r="T92" s="34">
        <f>rrcworking[[#This Row],[Closing Stock (Oil)]]+rrcworking[[#This Row],[Sales/Dispostion]]-rrcworking[[#This Row],[Opening Oil Stock]]</f>
        <v>0</v>
      </c>
      <c r="U92" s="108">
        <f>rrcworking[[#This Row],[Gauge Sheet Prod Volume (oil)]]-rrcworking[[#This Row],[Oil Production]]</f>
        <v>0</v>
      </c>
      <c r="V92" s="133">
        <f>IF(ISERROR(INDEX(Table2[GAS],MATCH(rrcworking[[#This Row],[Magnum Wolfpak '#]],Table2[Rox Wolf'#],0))),0,INDEX(Table2[GAS],MATCH(rrcworking[[#This Row],[Magnum Wolfpak '#]],Table2[Rox Wolf'#],0)))</f>
        <v>0</v>
      </c>
      <c r="W92" s="58"/>
      <c r="X92" s="58"/>
      <c r="Y92" s="133">
        <f>IF(ISERROR(INDEX(Table2[LEASE USE],MATCH(rrcworking[[#This Row],[Magnum Wolfpak '#]],Table2[Rox Wolf'#],0))),0,INDEX(Table2[LEASE USE],MATCH(rrcworking[[#This Row],[Magnum Wolfpak '#]],Table2[Rox Wolf'#],0)))</f>
        <v>0</v>
      </c>
      <c r="Z92" s="133"/>
      <c r="AA92" s="56">
        <f>rrcworking[[#This Row],[Gas Sales Statement Volume (MCF)]]+rrcworking[[#This Row],[Lease Use (MCF)]]+rrcworking[[#This Row],[Flared Gas]]</f>
        <v>0</v>
      </c>
      <c r="AB92" s="36"/>
      <c r="AC92" s="36"/>
      <c r="AD92" s="175">
        <f>COUNTIF(FilterList,rrcworking[[#This Row],[Magnum Wolfpak '#]])</f>
        <v>0</v>
      </c>
      <c r="AE92" s="172"/>
      <c r="AF92" s="173"/>
      <c r="AG92" s="36"/>
      <c r="AH92" s="36"/>
      <c r="AI92" s="36"/>
      <c r="AJ92" s="36"/>
      <c r="AK92" s="36"/>
      <c r="AL92" s="36"/>
      <c r="AM92" s="36"/>
      <c r="AN92" s="36"/>
      <c r="AO92" s="36"/>
      <c r="AP92" s="36"/>
    </row>
    <row r="93" spans="3:42" ht="28">
      <c r="C93" s="78">
        <v>98990</v>
      </c>
      <c r="D93" s="60" t="s">
        <v>339</v>
      </c>
      <c r="E93" s="125" t="s">
        <v>340</v>
      </c>
      <c r="F93" s="124">
        <v>2</v>
      </c>
      <c r="G93" s="115" t="s">
        <v>1090</v>
      </c>
      <c r="H93" s="18" t="s">
        <v>619</v>
      </c>
      <c r="I93" s="18" t="s">
        <v>59</v>
      </c>
      <c r="J93" s="19" t="s">
        <v>572</v>
      </c>
      <c r="K93" s="99">
        <v>173434</v>
      </c>
      <c r="L93" s="97">
        <f>INDEX(Table1[Production],MATCH(rrcworking[[#This Row],[RRC ID Number]],Table1[RRC Identifier],0))</f>
        <v>0</v>
      </c>
      <c r="M93" s="29">
        <f>INDEX(Table1[Formation Production],MATCH(rrcworking[[#This Row],[RRC ID Number]],Table1[RRC Identifier],0))</f>
        <v>0</v>
      </c>
      <c r="N93" s="30">
        <f>INDEX(Table1[On Hand End of Month],MATCH(rrcworking[[#This Row],[RRC ID Number]],Table1[RRC Identifier],0))</f>
        <v>169</v>
      </c>
      <c r="O93" s="102" t="b">
        <f t="shared" si="2"/>
        <v>1</v>
      </c>
      <c r="P93">
        <v>0</v>
      </c>
      <c r="Q93" s="122">
        <f>rrcworking[[#This Row],[Last Month Closing Stock]]</f>
        <v>169</v>
      </c>
      <c r="R93">
        <v>169</v>
      </c>
      <c r="S93" s="133">
        <f>IF(ISERROR(INDEX(Table2[OIL],MATCH(rrcworking[[#This Row],[Magnum Wolfpak '#]],Table2[Rox Wolf'#],0))),0,INDEX(Table2[OIL],MATCH(rrcworking[[#This Row],[Magnum Wolfpak '#]],Table2[Rox Wolf'#],0)))</f>
        <v>0</v>
      </c>
      <c r="T93" s="34">
        <f>rrcworking[[#This Row],[Closing Stock (Oil)]]+rrcworking[[#This Row],[Sales/Dispostion]]-rrcworking[[#This Row],[Opening Oil Stock]]</f>
        <v>0</v>
      </c>
      <c r="U93" s="108">
        <f>rrcworking[[#This Row],[Gauge Sheet Prod Volume (oil)]]-rrcworking[[#This Row],[Oil Production]]</f>
        <v>0</v>
      </c>
      <c r="V93" s="133">
        <v>184</v>
      </c>
      <c r="W93" s="58"/>
      <c r="X93" s="58">
        <v>0</v>
      </c>
      <c r="Y93" s="133">
        <f>IF(ISERROR(INDEX(Table2[LEASE USE],MATCH(rrcworking[[#This Row],[Magnum Wolfpak '#]],Table2[Rox Wolf'#],0))),0,INDEX(Table2[LEASE USE],MATCH(rrcworking[[#This Row],[Magnum Wolfpak '#]],Table2[Rox Wolf'#],0)))</f>
        <v>0</v>
      </c>
      <c r="Z93" s="133"/>
      <c r="AA93" s="56">
        <f>rrcworking[[#This Row],[Gas Sales Statement Volume (MCF)]]+rrcworking[[#This Row],[Lease Use (MCF)]]+rrcworking[[#This Row],[Flared Gas]]</f>
        <v>184</v>
      </c>
      <c r="AB93" s="36"/>
      <c r="AC93" s="36"/>
      <c r="AD93" s="175">
        <f>COUNTIF(FilterList,rrcworking[[#This Row],[Magnum Wolfpak '#]])</f>
        <v>0</v>
      </c>
      <c r="AE93" s="172"/>
      <c r="AF93" s="173"/>
      <c r="AG93" s="36"/>
      <c r="AH93" s="36"/>
      <c r="AI93" s="36">
        <v>1</v>
      </c>
      <c r="AJ93" s="36" t="s">
        <v>1165</v>
      </c>
      <c r="AK93" s="36" t="s">
        <v>1165</v>
      </c>
      <c r="AL93" s="36" t="s">
        <v>1170</v>
      </c>
      <c r="AM93" s="36" t="s">
        <v>1139</v>
      </c>
      <c r="AN93" s="36" t="s">
        <v>1203</v>
      </c>
      <c r="AO93" s="36" t="s">
        <v>1204</v>
      </c>
      <c r="AP93" s="36"/>
    </row>
    <row r="94" spans="3:42" ht="28">
      <c r="C94" s="78">
        <v>93901</v>
      </c>
      <c r="D94" s="60" t="s">
        <v>95</v>
      </c>
      <c r="E94" s="125" t="s">
        <v>97</v>
      </c>
      <c r="F94" s="124">
        <v>0</v>
      </c>
      <c r="G94" s="115" t="s">
        <v>1090</v>
      </c>
      <c r="H94" s="18" t="s">
        <v>617</v>
      </c>
      <c r="I94" s="18" t="s">
        <v>2</v>
      </c>
      <c r="J94" s="19" t="s">
        <v>426</v>
      </c>
      <c r="K94" s="99">
        <v>6169</v>
      </c>
      <c r="L94" s="97">
        <f>INDEX(Table1[Production],MATCH(rrcworking[[#This Row],[RRC ID Number]],Table1[RRC Identifier],0))</f>
        <v>13</v>
      </c>
      <c r="M94" s="29">
        <f>INDEX(Table1[Formation Production],MATCH(rrcworking[[#This Row],[RRC ID Number]],Table1[RRC Identifier],0))</f>
        <v>0</v>
      </c>
      <c r="N94" s="30">
        <f>INDEX(Table1[On Hand End of Month],MATCH(rrcworking[[#This Row],[RRC ID Number]],Table1[RRC Identifier],0))</f>
        <v>27</v>
      </c>
      <c r="O94" s="102" t="b">
        <f t="shared" si="2"/>
        <v>0</v>
      </c>
      <c r="P94">
        <v>21</v>
      </c>
      <c r="Q94" s="122">
        <f>rrcworking[[#This Row],[Last Month Closing Stock]]</f>
        <v>27</v>
      </c>
      <c r="R94">
        <v>48</v>
      </c>
      <c r="S94" s="133">
        <f>IF(ISERROR(INDEX(Table2[OIL],MATCH(rrcworking[[#This Row],[Magnum Wolfpak '#]],Table2[Rox Wolf'#],0))),0,INDEX(Table2[OIL],MATCH(rrcworking[[#This Row],[Magnum Wolfpak '#]],Table2[Rox Wolf'#],0)))</f>
        <v>0</v>
      </c>
      <c r="T94" s="34">
        <f>rrcworking[[#This Row],[Closing Stock (Oil)]]+rrcworking[[#This Row],[Sales/Dispostion]]-rrcworking[[#This Row],[Opening Oil Stock]]</f>
        <v>21</v>
      </c>
      <c r="U94" s="108">
        <f>rrcworking[[#This Row],[Gauge Sheet Prod Volume (oil)]]-rrcworking[[#This Row],[Oil Production]]</f>
        <v>0</v>
      </c>
      <c r="V94" s="133">
        <f>IF(ISERROR(INDEX(Table2[GAS],MATCH(rrcworking[[#This Row],[Magnum Wolfpak '#]],Table2[Rox Wolf'#],0))),0,INDEX(Table2[GAS],MATCH(rrcworking[[#This Row],[Magnum Wolfpak '#]],Table2[Rox Wolf'#],0)))</f>
        <v>0</v>
      </c>
      <c r="W94" s="58"/>
      <c r="X94" s="58"/>
      <c r="Y94" s="133">
        <f>IF(ISERROR(INDEX(Table2[LEASE USE],MATCH(rrcworking[[#This Row],[Magnum Wolfpak '#]],Table2[Rox Wolf'#],0))),0,INDEX(Table2[LEASE USE],MATCH(rrcworking[[#This Row],[Magnum Wolfpak '#]],Table2[Rox Wolf'#],0)))</f>
        <v>0</v>
      </c>
      <c r="Z94" s="133"/>
      <c r="AA94" s="56">
        <f>rrcworking[[#This Row],[Gas Sales Statement Volume (MCF)]]+rrcworking[[#This Row],[Lease Use (MCF)]]+rrcworking[[#This Row],[Flared Gas]]</f>
        <v>0</v>
      </c>
      <c r="AB94" s="36"/>
      <c r="AC94" s="36"/>
      <c r="AD94" s="175">
        <f>COUNTIF(FilterList,rrcworking[[#This Row],[Magnum Wolfpak '#]])</f>
        <v>0</v>
      </c>
      <c r="AE94" s="172"/>
      <c r="AF94" s="173"/>
      <c r="AG94" s="36"/>
      <c r="AH94" s="173"/>
      <c r="AI94" s="174"/>
      <c r="AJ94" s="174"/>
      <c r="AK94" s="174"/>
      <c r="AL94" s="174"/>
      <c r="AM94" s="174"/>
      <c r="AN94" s="174"/>
      <c r="AO94" s="36" t="s">
        <v>1163</v>
      </c>
      <c r="AP94" s="36" t="s">
        <v>1169</v>
      </c>
    </row>
    <row r="95" spans="3:42" ht="14">
      <c r="C95" s="78" t="e">
        <v>#N/A</v>
      </c>
      <c r="D95" s="60" t="s">
        <v>214</v>
      </c>
      <c r="E95" s="125" t="s">
        <v>211</v>
      </c>
      <c r="F95" s="124">
        <v>7</v>
      </c>
      <c r="G95" s="115">
        <v>1471</v>
      </c>
      <c r="H95" s="18" t="s">
        <v>618</v>
      </c>
      <c r="I95" s="18" t="s">
        <v>59</v>
      </c>
      <c r="J95" s="19" t="s">
        <v>496</v>
      </c>
      <c r="K95" s="99">
        <v>133198</v>
      </c>
      <c r="L95" s="97">
        <f>INDEX(Table1[Production],MATCH(rrcworking[[#This Row],[RRC ID Number]],Table1[RRC Identifier],0))</f>
        <v>0</v>
      </c>
      <c r="M95" s="29">
        <f>INDEX(Table1[Formation Production],MATCH(rrcworking[[#This Row],[RRC ID Number]],Table1[RRC Identifier],0))</f>
        <v>0</v>
      </c>
      <c r="N95" s="30">
        <f>INDEX(Table1[On Hand End of Month],MATCH(rrcworking[[#This Row],[RRC ID Number]],Table1[RRC Identifier],0))</f>
        <v>0</v>
      </c>
      <c r="O95" s="102" t="b">
        <f t="shared" si="2"/>
        <v>1</v>
      </c>
      <c r="Q95" s="122">
        <f>rrcworking[[#This Row],[Last Month Closing Stock]]</f>
        <v>0</v>
      </c>
      <c r="R95">
        <f>rrcworking[[#This Row],[Opening Oil Stock]]</f>
        <v>0</v>
      </c>
      <c r="S95" s="133">
        <f>IF(ISERROR(INDEX(Table2[OIL],MATCH(rrcworking[[#This Row],[Magnum Wolfpak '#]],Table2[Rox Wolf'#],0))),0,INDEX(Table2[OIL],MATCH(rrcworking[[#This Row],[Magnum Wolfpak '#]],Table2[Rox Wolf'#],0)))</f>
        <v>0</v>
      </c>
      <c r="T95" s="34">
        <f>rrcworking[[#This Row],[Closing Stock (Oil)]]+rrcworking[[#This Row],[Sales/Dispostion]]-rrcworking[[#This Row],[Opening Oil Stock]]</f>
        <v>0</v>
      </c>
      <c r="U95" s="108">
        <f>rrcworking[[#This Row],[Gauge Sheet Prod Volume (oil)]]-rrcworking[[#This Row],[Oil Production]]</f>
        <v>0</v>
      </c>
      <c r="V95" s="133">
        <f>IF(ISERROR(INDEX(Table2[GAS],MATCH(rrcworking[[#This Row],[Magnum Wolfpak '#]],Table2[Rox Wolf'#],0))),0,INDEX(Table2[GAS],MATCH(rrcworking[[#This Row],[Magnum Wolfpak '#]],Table2[Rox Wolf'#],0)))</f>
        <v>0</v>
      </c>
      <c r="W95" s="58"/>
      <c r="X95" s="58"/>
      <c r="Y95" s="133">
        <f>IF(ISERROR(INDEX(Table2[LEASE USE],MATCH(rrcworking[[#This Row],[Magnum Wolfpak '#]],Table2[Rox Wolf'#],0))),0,INDEX(Table2[LEASE USE],MATCH(rrcworking[[#This Row],[Magnum Wolfpak '#]],Table2[Rox Wolf'#],0)))</f>
        <v>0</v>
      </c>
      <c r="Z95" s="133"/>
      <c r="AA95" s="56">
        <f>rrcworking[[#This Row],[Gas Sales Statement Volume (MCF)]]+rrcworking[[#This Row],[Lease Use (MCF)]]+rrcworking[[#This Row],[Flared Gas]]</f>
        <v>0</v>
      </c>
      <c r="AB95" s="36"/>
      <c r="AC95" s="36"/>
      <c r="AD95" s="175">
        <f>COUNTIF(FilterList,rrcworking[[#This Row],[Magnum Wolfpak '#]])</f>
        <v>0</v>
      </c>
      <c r="AE95" s="172"/>
      <c r="AF95" s="173"/>
      <c r="AG95" s="36"/>
      <c r="AH95" s="36"/>
      <c r="AI95" s="36"/>
      <c r="AJ95" s="36"/>
      <c r="AK95" s="36"/>
      <c r="AL95" s="36"/>
      <c r="AM95" s="36"/>
      <c r="AN95" s="36"/>
      <c r="AO95" s="36"/>
      <c r="AP95" s="36"/>
    </row>
    <row r="96" spans="3:42" ht="28">
      <c r="C96" s="78">
        <v>99159</v>
      </c>
      <c r="D96" s="60" t="s">
        <v>209</v>
      </c>
      <c r="E96" s="125" t="s">
        <v>211</v>
      </c>
      <c r="F96" s="130" t="s">
        <v>62</v>
      </c>
      <c r="G96" s="115"/>
      <c r="H96" s="18" t="s">
        <v>618</v>
      </c>
      <c r="I96" s="156" t="s">
        <v>59</v>
      </c>
      <c r="J96" s="155" t="s">
        <v>1132</v>
      </c>
      <c r="K96" s="99">
        <v>287522</v>
      </c>
      <c r="L96" s="97">
        <f>INDEX(Table1[Production],MATCH(rrcworking[[#This Row],[RRC ID Number]],Table1[RRC Identifier],0))</f>
        <v>15</v>
      </c>
      <c r="M96" s="29">
        <f>INDEX(Table1[Formation Production],MATCH(rrcworking[[#This Row],[RRC ID Number]],Table1[RRC Identifier],0))</f>
        <v>3536</v>
      </c>
      <c r="N96" s="30">
        <f>INDEX(Table1[On Hand End of Month],MATCH(rrcworking[[#This Row],[RRC ID Number]],Table1[RRC Identifier],0))</f>
        <v>81</v>
      </c>
      <c r="O96" s="102" t="b">
        <f t="shared" si="2"/>
        <v>0</v>
      </c>
      <c r="P96">
        <v>14</v>
      </c>
      <c r="Q96" s="122">
        <f>rrcworking[[#This Row],[Last Month Closing Stock]]</f>
        <v>81</v>
      </c>
      <c r="R96">
        <v>95</v>
      </c>
      <c r="S96" s="133">
        <f>IF(ISERROR(INDEX(Table2[OIL],MATCH(rrcworking[[#This Row],[Magnum Wolfpak '#]],Table2[Rox Wolf'#],0))),0,INDEX(Table2[OIL],MATCH(rrcworking[[#This Row],[Magnum Wolfpak '#]],Table2[Rox Wolf'#],0)))</f>
        <v>0</v>
      </c>
      <c r="T96" s="34">
        <f>rrcworking[[#This Row],[Closing Stock (Oil)]]+rrcworking[[#This Row],[Sales/Dispostion]]-rrcworking[[#This Row],[Opening Oil Stock]]</f>
        <v>14</v>
      </c>
      <c r="U96" s="108">
        <f>rrcworking[[#This Row],[Gauge Sheet Prod Volume (oil)]]-rrcworking[[#This Row],[Oil Production]]</f>
        <v>0</v>
      </c>
      <c r="V96" s="133">
        <f>IF(ISERROR(INDEX(Table2[GAS],MATCH(rrcworking[[#This Row],[Magnum Wolfpak '#]],Table2[Rox Wolf'#],0))),0,INDEX(Table2[GAS],MATCH(rrcworking[[#This Row],[Magnum Wolfpak '#]],Table2[Rox Wolf'#],0)))</f>
        <v>4308</v>
      </c>
      <c r="W96" s="82"/>
      <c r="X96" s="58">
        <v>6</v>
      </c>
      <c r="Y96" s="133">
        <f>IF(ISERROR(INDEX(Table2[LEASE USE],MATCH(rrcworking[[#This Row],[Magnum Wolfpak '#]],Table2[Rox Wolf'#],0))),0,INDEX(Table2[LEASE USE],MATCH(rrcworking[[#This Row],[Magnum Wolfpak '#]],Table2[Rox Wolf'#],0)))</f>
        <v>186</v>
      </c>
      <c r="Z96" s="133"/>
      <c r="AA96" s="56">
        <f>rrcworking[[#This Row],[Gas Sales Statement Volume (MCF)]]+rrcworking[[#This Row],[Lease Use (MCF)]]+rrcworking[[#This Row],[Flared Gas]]</f>
        <v>4494</v>
      </c>
      <c r="AB96" s="36"/>
      <c r="AC96" s="36" t="s">
        <v>1133</v>
      </c>
      <c r="AD96" s="175">
        <f>COUNTIF(FilterList,rrcworking[[#This Row],[Magnum Wolfpak '#]])</f>
        <v>0</v>
      </c>
      <c r="AE96" s="172"/>
      <c r="AF96" s="173"/>
      <c r="AG96" s="36"/>
      <c r="AH96" s="173"/>
      <c r="AI96" s="36">
        <v>2</v>
      </c>
      <c r="AJ96" s="36" t="s">
        <v>1165</v>
      </c>
      <c r="AK96" s="36" t="s">
        <v>1165</v>
      </c>
      <c r="AL96" s="36" t="s">
        <v>1185</v>
      </c>
      <c r="AM96" s="36" t="s">
        <v>1165</v>
      </c>
      <c r="AN96" s="36" t="s">
        <v>1186</v>
      </c>
      <c r="AO96" s="36" t="s">
        <v>1235</v>
      </c>
      <c r="AP96" s="36"/>
    </row>
    <row r="97" spans="3:42" ht="14">
      <c r="C97" s="78" t="e">
        <v>#N/A</v>
      </c>
      <c r="D97" s="60" t="s">
        <v>215</v>
      </c>
      <c r="E97" s="125" t="s">
        <v>216</v>
      </c>
      <c r="F97" s="124">
        <v>0</v>
      </c>
      <c r="G97" s="115">
        <v>1471</v>
      </c>
      <c r="H97" s="18" t="s">
        <v>618</v>
      </c>
      <c r="I97" s="18" t="s">
        <v>2</v>
      </c>
      <c r="J97" s="19" t="s">
        <v>497</v>
      </c>
      <c r="K97" s="99">
        <v>22393</v>
      </c>
      <c r="L97" s="97">
        <f>INDEX(Table1[Production],MATCH(rrcworking[[#This Row],[RRC ID Number]],Table1[RRC Identifier],0))</f>
        <v>0</v>
      </c>
      <c r="M97" s="29">
        <f>INDEX(Table1[Formation Production],MATCH(rrcworking[[#This Row],[RRC ID Number]],Table1[RRC Identifier],0))</f>
        <v>0</v>
      </c>
      <c r="N97" s="30">
        <f>INDEX(Table1[On Hand End of Month],MATCH(rrcworking[[#This Row],[RRC ID Number]],Table1[RRC Identifier],0))</f>
        <v>0</v>
      </c>
      <c r="O97" s="102" t="b">
        <f t="shared" si="2"/>
        <v>1</v>
      </c>
      <c r="Q97" s="122">
        <f>rrcworking[[#This Row],[Last Month Closing Stock]]</f>
        <v>0</v>
      </c>
      <c r="R97">
        <f>rrcworking[[#This Row],[Opening Oil Stock]]</f>
        <v>0</v>
      </c>
      <c r="S97" s="133">
        <f>IF(ISERROR(INDEX(Table2[OIL],MATCH(rrcworking[[#This Row],[Magnum Wolfpak '#]],Table2[Rox Wolf'#],0))),0,INDEX(Table2[OIL],MATCH(rrcworking[[#This Row],[Magnum Wolfpak '#]],Table2[Rox Wolf'#],0)))</f>
        <v>0</v>
      </c>
      <c r="T97" s="34">
        <f>rrcworking[[#This Row],[Closing Stock (Oil)]]+rrcworking[[#This Row],[Sales/Dispostion]]-rrcworking[[#This Row],[Opening Oil Stock]]</f>
        <v>0</v>
      </c>
      <c r="U97" s="108">
        <f>rrcworking[[#This Row],[Gauge Sheet Prod Volume (oil)]]-rrcworking[[#This Row],[Oil Production]]</f>
        <v>0</v>
      </c>
      <c r="V97" s="133">
        <f>IF(ISERROR(INDEX(Table2[GAS],MATCH(rrcworking[[#This Row],[Magnum Wolfpak '#]],Table2[Rox Wolf'#],0))),0,INDEX(Table2[GAS],MATCH(rrcworking[[#This Row],[Magnum Wolfpak '#]],Table2[Rox Wolf'#],0)))</f>
        <v>0</v>
      </c>
      <c r="W97" s="58"/>
      <c r="X97" s="58"/>
      <c r="Y97" s="133">
        <f>IF(ISERROR(INDEX(Table2[LEASE USE],MATCH(rrcworking[[#This Row],[Magnum Wolfpak '#]],Table2[Rox Wolf'#],0))),0,INDEX(Table2[LEASE USE],MATCH(rrcworking[[#This Row],[Magnum Wolfpak '#]],Table2[Rox Wolf'#],0)))</f>
        <v>0</v>
      </c>
      <c r="Z97" s="133"/>
      <c r="AA97" s="56">
        <f>rrcworking[[#This Row],[Gas Sales Statement Volume (MCF)]]+rrcworking[[#This Row],[Lease Use (MCF)]]+rrcworking[[#This Row],[Flared Gas]]</f>
        <v>0</v>
      </c>
      <c r="AB97" s="36"/>
      <c r="AC97" s="36"/>
      <c r="AD97" s="175">
        <f>COUNTIF(FilterList,rrcworking[[#This Row],[Magnum Wolfpak '#]])</f>
        <v>0</v>
      </c>
      <c r="AE97" s="172"/>
      <c r="AF97" s="173"/>
      <c r="AG97" s="36"/>
      <c r="AH97" s="36"/>
      <c r="AI97" s="36"/>
      <c r="AJ97" s="36"/>
      <c r="AK97" s="36"/>
      <c r="AL97" s="36"/>
      <c r="AM97" s="36"/>
      <c r="AN97" s="36"/>
      <c r="AO97" s="36"/>
      <c r="AP97" s="36"/>
    </row>
    <row r="98" spans="3:42" ht="28">
      <c r="C98" s="78">
        <v>98955</v>
      </c>
      <c r="D98" s="60" t="s">
        <v>274</v>
      </c>
      <c r="E98" s="125" t="s">
        <v>279</v>
      </c>
      <c r="F98" s="124">
        <v>1</v>
      </c>
      <c r="G98" s="115" t="s">
        <v>1090</v>
      </c>
      <c r="H98" s="18" t="s">
        <v>618</v>
      </c>
      <c r="I98" s="18" t="s">
        <v>59</v>
      </c>
      <c r="J98" s="19" t="s">
        <v>530</v>
      </c>
      <c r="K98" s="99">
        <v>210199</v>
      </c>
      <c r="L98" s="97">
        <f>INDEX(Table1[Production],MATCH(rrcworking[[#This Row],[RRC ID Number]],Table1[RRC Identifier],0))</f>
        <v>0</v>
      </c>
      <c r="M98" s="29">
        <f>INDEX(Table1[Formation Production],MATCH(rrcworking[[#This Row],[RRC ID Number]],Table1[RRC Identifier],0))</f>
        <v>3368</v>
      </c>
      <c r="N98" s="30">
        <f>INDEX(Table1[On Hand End of Month],MATCH(rrcworking[[#This Row],[RRC ID Number]],Table1[RRC Identifier],0))</f>
        <v>63</v>
      </c>
      <c r="O98" s="102" t="b">
        <f t="shared" si="2"/>
        <v>0</v>
      </c>
      <c r="P98">
        <v>35</v>
      </c>
      <c r="Q98" s="122">
        <f>rrcworking[[#This Row],[Last Month Closing Stock]]</f>
        <v>63</v>
      </c>
      <c r="R98">
        <v>230</v>
      </c>
      <c r="S98" s="133">
        <f>IF(ISERROR(INDEX(Table2[OIL],MATCH(rrcworking[[#This Row],[Magnum Wolfpak '#]],Table2[Rox Wolf'#],0))),0,INDEX(Table2[OIL],MATCH(rrcworking[[#This Row],[Magnum Wolfpak '#]],Table2[Rox Wolf'#],0)))</f>
        <v>0</v>
      </c>
      <c r="T98" s="34">
        <f>rrcworking[[#This Row],[Closing Stock (Oil)]]+rrcworking[[#This Row],[Sales/Dispostion]]-rrcworking[[#This Row],[Opening Oil Stock]]</f>
        <v>167</v>
      </c>
      <c r="U98" s="108">
        <f>rrcworking[[#This Row],[Gauge Sheet Prod Volume (oil)]]-rrcworking[[#This Row],[Oil Production]]</f>
        <v>-132</v>
      </c>
      <c r="V98" s="133">
        <f>IF(ISERROR(INDEX(Table2[GAS],MATCH(rrcworking[[#This Row],[Magnum Wolfpak '#]],Table2[Rox Wolf'#],0))),0,INDEX(Table2[GAS],MATCH(rrcworking[[#This Row],[Magnum Wolfpak '#]],Table2[Rox Wolf'#],0)))</f>
        <v>3888</v>
      </c>
      <c r="W98" s="82"/>
      <c r="X98" s="58">
        <v>1</v>
      </c>
      <c r="Y98" s="133">
        <f>IF(ISERROR(INDEX(Table2[LEASE USE],MATCH(rrcworking[[#This Row],[Magnum Wolfpak '#]],Table2[Rox Wolf'#],0))),0,INDEX(Table2[LEASE USE],MATCH(rrcworking[[#This Row],[Magnum Wolfpak '#]],Table2[Rox Wolf'#],0)))</f>
        <v>30</v>
      </c>
      <c r="Z98" s="133"/>
      <c r="AA98" s="56">
        <f>rrcworking[[#This Row],[Gas Sales Statement Volume (MCF)]]+rrcworking[[#This Row],[Lease Use (MCF)]]+rrcworking[[#This Row],[Flared Gas]]</f>
        <v>3918</v>
      </c>
      <c r="AB98" s="36"/>
      <c r="AC98" s="36" t="s">
        <v>1305</v>
      </c>
      <c r="AD98" s="175">
        <f>COUNTIF(FilterList,rrcworking[[#This Row],[Magnum Wolfpak '#]])</f>
        <v>0</v>
      </c>
      <c r="AE98" s="172"/>
      <c r="AF98" s="173"/>
      <c r="AG98" s="36"/>
      <c r="AH98" s="36"/>
      <c r="AI98" s="174"/>
      <c r="AJ98" s="174"/>
      <c r="AK98" s="174"/>
      <c r="AL98" s="174"/>
      <c r="AM98" s="174"/>
      <c r="AN98" s="174"/>
      <c r="AO98" s="36" t="s">
        <v>1163</v>
      </c>
      <c r="AP98" s="36" t="s">
        <v>1198</v>
      </c>
    </row>
    <row r="99" spans="3:42" ht="14">
      <c r="C99" s="78" t="e">
        <v>#N/A</v>
      </c>
      <c r="D99" s="60" t="s">
        <v>105</v>
      </c>
      <c r="E99" s="125" t="s">
        <v>106</v>
      </c>
      <c r="F99" s="124">
        <v>1</v>
      </c>
      <c r="G99" s="115" t="s">
        <v>1090</v>
      </c>
      <c r="H99" s="18" t="s">
        <v>617</v>
      </c>
      <c r="I99" s="18" t="s">
        <v>59</v>
      </c>
      <c r="J99" s="19" t="s">
        <v>431</v>
      </c>
      <c r="K99" s="99">
        <v>52283</v>
      </c>
      <c r="L99" s="97">
        <f>INDEX(Table1[Production],MATCH(rrcworking[[#This Row],[RRC ID Number]],Table1[RRC Identifier],0))</f>
        <v>0</v>
      </c>
      <c r="M99" s="29">
        <f>INDEX(Table1[Formation Production],MATCH(rrcworking[[#This Row],[RRC ID Number]],Table1[RRC Identifier],0))</f>
        <v>0</v>
      </c>
      <c r="N99" s="30">
        <f>INDEX(Table1[On Hand End of Month],MATCH(rrcworking[[#This Row],[RRC ID Number]],Table1[RRC Identifier],0))</f>
        <v>240</v>
      </c>
      <c r="O99" s="102" t="b">
        <f t="shared" si="2"/>
        <v>1</v>
      </c>
      <c r="Q99" s="122">
        <f>rrcworking[[#This Row],[Last Month Closing Stock]]</f>
        <v>240</v>
      </c>
      <c r="R99">
        <f>rrcworking[[#This Row],[Opening Oil Stock]]</f>
        <v>240</v>
      </c>
      <c r="S99" s="133">
        <f>IF(ISERROR(INDEX(Table2[OIL],MATCH(rrcworking[[#This Row],[Magnum Wolfpak '#]],Table2[Rox Wolf'#],0))),0,INDEX(Table2[OIL],MATCH(rrcworking[[#This Row],[Magnum Wolfpak '#]],Table2[Rox Wolf'#],0)))</f>
        <v>0</v>
      </c>
      <c r="T99" s="34">
        <f>rrcworking[[#This Row],[Closing Stock (Oil)]]+rrcworking[[#This Row],[Sales/Dispostion]]-rrcworking[[#This Row],[Opening Oil Stock]]</f>
        <v>0</v>
      </c>
      <c r="U99" s="108">
        <f>rrcworking[[#This Row],[Gauge Sheet Prod Volume (oil)]]-rrcworking[[#This Row],[Oil Production]]</f>
        <v>0</v>
      </c>
      <c r="V99" s="133">
        <f>IF(ISERROR(INDEX(Table2[GAS],MATCH(rrcworking[[#This Row],[Magnum Wolfpak '#]],Table2[Rox Wolf'#],0))),0,INDEX(Table2[GAS],MATCH(rrcworking[[#This Row],[Magnum Wolfpak '#]],Table2[Rox Wolf'#],0)))</f>
        <v>0</v>
      </c>
      <c r="W99" s="58"/>
      <c r="X99" s="58"/>
      <c r="Y99" s="133">
        <f>IF(ISERROR(INDEX(Table2[LEASE USE],MATCH(rrcworking[[#This Row],[Magnum Wolfpak '#]],Table2[Rox Wolf'#],0))),0,INDEX(Table2[LEASE USE],MATCH(rrcworking[[#This Row],[Magnum Wolfpak '#]],Table2[Rox Wolf'#],0)))</f>
        <v>0</v>
      </c>
      <c r="Z99" s="133"/>
      <c r="AA99" s="56">
        <f>rrcworking[[#This Row],[Gas Sales Statement Volume (MCF)]]+rrcworking[[#This Row],[Lease Use (MCF)]]+rrcworking[[#This Row],[Flared Gas]]</f>
        <v>0</v>
      </c>
      <c r="AB99" s="36"/>
      <c r="AC99" s="36"/>
      <c r="AD99" s="175">
        <f>COUNTIF(FilterList,rrcworking[[#This Row],[Magnum Wolfpak '#]])</f>
        <v>0</v>
      </c>
      <c r="AE99" s="172"/>
      <c r="AF99" s="173"/>
      <c r="AG99" s="36"/>
      <c r="AH99" s="36"/>
      <c r="AI99" s="36"/>
      <c r="AJ99" s="36"/>
      <c r="AK99" s="36"/>
      <c r="AL99" s="36"/>
      <c r="AM99" s="36"/>
      <c r="AN99" s="36"/>
      <c r="AO99" s="36"/>
      <c r="AP99" s="36"/>
    </row>
    <row r="100" spans="3:42" ht="14">
      <c r="C100" s="78" t="e">
        <v>#N/A</v>
      </c>
      <c r="D100" s="60" t="s">
        <v>366</v>
      </c>
      <c r="E100" s="125" t="s">
        <v>367</v>
      </c>
      <c r="F100" s="124">
        <v>1</v>
      </c>
      <c r="G100" s="115" t="s">
        <v>1090</v>
      </c>
      <c r="H100" s="18" t="s">
        <v>619</v>
      </c>
      <c r="I100" s="18" t="s">
        <v>59</v>
      </c>
      <c r="J100" s="19" t="s">
        <v>586</v>
      </c>
      <c r="K100" s="99">
        <v>140637</v>
      </c>
      <c r="L100" s="97">
        <f>INDEX(Table1[Production],MATCH(rrcworking[[#This Row],[RRC ID Number]],Table1[RRC Identifier],0))</f>
        <v>0</v>
      </c>
      <c r="M100" s="29">
        <f>INDEX(Table1[Formation Production],MATCH(rrcworking[[#This Row],[RRC ID Number]],Table1[RRC Identifier],0))</f>
        <v>0</v>
      </c>
      <c r="N100" s="30">
        <f>INDEX(Table1[On Hand End of Month],MATCH(rrcworking[[#This Row],[RRC ID Number]],Table1[RRC Identifier],0))</f>
        <v>92</v>
      </c>
      <c r="O100" s="102" t="b">
        <f t="shared" si="2"/>
        <v>1</v>
      </c>
      <c r="Q100" s="122">
        <f>rrcworking[[#This Row],[Last Month Closing Stock]]</f>
        <v>92</v>
      </c>
      <c r="R100">
        <f>rrcworking[[#This Row],[Opening Oil Stock]]</f>
        <v>92</v>
      </c>
      <c r="S100" s="133">
        <f>IF(ISERROR(INDEX(Table2[OIL],MATCH(rrcworking[[#This Row],[Magnum Wolfpak '#]],Table2[Rox Wolf'#],0))),0,INDEX(Table2[OIL],MATCH(rrcworking[[#This Row],[Magnum Wolfpak '#]],Table2[Rox Wolf'#],0)))</f>
        <v>0</v>
      </c>
      <c r="T100" s="34">
        <f>rrcworking[[#This Row],[Closing Stock (Oil)]]+rrcworking[[#This Row],[Sales/Dispostion]]-rrcworking[[#This Row],[Opening Oil Stock]]</f>
        <v>0</v>
      </c>
      <c r="U100" s="108">
        <f>rrcworking[[#This Row],[Gauge Sheet Prod Volume (oil)]]-rrcworking[[#This Row],[Oil Production]]</f>
        <v>0</v>
      </c>
      <c r="V100" s="133">
        <f>IF(ISERROR(INDEX(Table2[GAS],MATCH(rrcworking[[#This Row],[Magnum Wolfpak '#]],Table2[Rox Wolf'#],0))),0,INDEX(Table2[GAS],MATCH(rrcworking[[#This Row],[Magnum Wolfpak '#]],Table2[Rox Wolf'#],0)))</f>
        <v>0</v>
      </c>
      <c r="W100" s="58"/>
      <c r="X100" s="58"/>
      <c r="Y100" s="133">
        <f>IF(ISERROR(INDEX(Table2[LEASE USE],MATCH(rrcworking[[#This Row],[Magnum Wolfpak '#]],Table2[Rox Wolf'#],0))),0,INDEX(Table2[LEASE USE],MATCH(rrcworking[[#This Row],[Magnum Wolfpak '#]],Table2[Rox Wolf'#],0)))</f>
        <v>0</v>
      </c>
      <c r="Z100" s="133"/>
      <c r="AA100" s="56">
        <f>rrcworking[[#This Row],[Gas Sales Statement Volume (MCF)]]+rrcworking[[#This Row],[Lease Use (MCF)]]+rrcworking[[#This Row],[Flared Gas]]</f>
        <v>0</v>
      </c>
      <c r="AB100" s="36"/>
      <c r="AC100" s="36"/>
      <c r="AD100" s="175">
        <f>COUNTIF(FilterList,rrcworking[[#This Row],[Magnum Wolfpak '#]])</f>
        <v>0</v>
      </c>
      <c r="AE100" s="172"/>
      <c r="AF100" s="173"/>
      <c r="AG100" s="36"/>
      <c r="AH100" s="36"/>
      <c r="AI100" s="36"/>
      <c r="AJ100" s="36"/>
      <c r="AK100" s="36"/>
      <c r="AL100" s="36"/>
      <c r="AM100" s="36"/>
      <c r="AN100" s="36"/>
      <c r="AO100" s="36"/>
      <c r="AP100" s="36"/>
    </row>
    <row r="101" spans="3:42" ht="14">
      <c r="C101" s="78" t="e">
        <v>#N/A</v>
      </c>
      <c r="D101" s="60" t="s">
        <v>133</v>
      </c>
      <c r="E101" s="125" t="s">
        <v>134</v>
      </c>
      <c r="F101" s="124">
        <v>2</v>
      </c>
      <c r="G101" s="115" t="s">
        <v>1090</v>
      </c>
      <c r="H101" s="18" t="s">
        <v>617</v>
      </c>
      <c r="I101" s="18" t="s">
        <v>59</v>
      </c>
      <c r="J101" s="19" t="s">
        <v>449</v>
      </c>
      <c r="K101" s="99">
        <v>220079</v>
      </c>
      <c r="L101" s="97">
        <f>INDEX(Table1[Production],MATCH(rrcworking[[#This Row],[RRC ID Number]],Table1[RRC Identifier],0))</f>
        <v>0</v>
      </c>
      <c r="M101" s="29">
        <f>INDEX(Table1[Formation Production],MATCH(rrcworking[[#This Row],[RRC ID Number]],Table1[RRC Identifier],0))</f>
        <v>0</v>
      </c>
      <c r="N101" s="30">
        <f>INDEX(Table1[On Hand End of Month],MATCH(rrcworking[[#This Row],[RRC ID Number]],Table1[RRC Identifier],0))</f>
        <v>0</v>
      </c>
      <c r="O101" s="102" t="b">
        <f t="shared" ref="O101:O133" si="3">IF(AND(L101=0,M101=0), TRUE, FALSE)</f>
        <v>1</v>
      </c>
      <c r="Q101" s="122">
        <f>rrcworking[[#This Row],[Last Month Closing Stock]]</f>
        <v>0</v>
      </c>
      <c r="R101">
        <f>rrcworking[[#This Row],[Opening Oil Stock]]</f>
        <v>0</v>
      </c>
      <c r="S101" s="133">
        <f>IF(ISERROR(INDEX(Table2[OIL],MATCH(rrcworking[[#This Row],[Magnum Wolfpak '#]],Table2[Rox Wolf'#],0))),0,INDEX(Table2[OIL],MATCH(rrcworking[[#This Row],[Magnum Wolfpak '#]],Table2[Rox Wolf'#],0)))</f>
        <v>0</v>
      </c>
      <c r="T101" s="34">
        <f>rrcworking[[#This Row],[Closing Stock (Oil)]]+rrcworking[[#This Row],[Sales/Dispostion]]-rrcworking[[#This Row],[Opening Oil Stock]]</f>
        <v>0</v>
      </c>
      <c r="U101" s="108">
        <f>rrcworking[[#This Row],[Gauge Sheet Prod Volume (oil)]]-rrcworking[[#This Row],[Oil Production]]</f>
        <v>0</v>
      </c>
      <c r="V101" s="133">
        <f>IF(ISERROR(INDEX(Table2[GAS],MATCH(rrcworking[[#This Row],[Magnum Wolfpak '#]],Table2[Rox Wolf'#],0))),0,INDEX(Table2[GAS],MATCH(rrcworking[[#This Row],[Magnum Wolfpak '#]],Table2[Rox Wolf'#],0)))</f>
        <v>0</v>
      </c>
      <c r="W101" s="58"/>
      <c r="X101" s="58"/>
      <c r="Y101" s="133">
        <f>IF(ISERROR(INDEX(Table2[LEASE USE],MATCH(rrcworking[[#This Row],[Magnum Wolfpak '#]],Table2[Rox Wolf'#],0))),0,INDEX(Table2[LEASE USE],MATCH(rrcworking[[#This Row],[Magnum Wolfpak '#]],Table2[Rox Wolf'#],0)))</f>
        <v>0</v>
      </c>
      <c r="Z101" s="133"/>
      <c r="AA101" s="56">
        <f>rrcworking[[#This Row],[Gas Sales Statement Volume (MCF)]]+rrcworking[[#This Row],[Lease Use (MCF)]]+rrcworking[[#This Row],[Flared Gas]]</f>
        <v>0</v>
      </c>
      <c r="AB101" s="36"/>
      <c r="AC101" s="36"/>
      <c r="AD101" s="175">
        <f>COUNTIF(FilterList,rrcworking[[#This Row],[Magnum Wolfpak '#]])</f>
        <v>0</v>
      </c>
      <c r="AE101" s="172"/>
      <c r="AF101" s="173"/>
      <c r="AG101" s="36"/>
      <c r="AH101" s="36"/>
      <c r="AI101" s="36"/>
      <c r="AJ101" s="36"/>
      <c r="AK101" s="36"/>
      <c r="AL101" s="36"/>
      <c r="AM101" s="36"/>
      <c r="AN101" s="36"/>
      <c r="AO101" s="36"/>
      <c r="AP101" s="36"/>
    </row>
    <row r="102" spans="3:42" ht="14">
      <c r="C102" s="78">
        <v>99269</v>
      </c>
      <c r="D102" s="60" t="s">
        <v>315</v>
      </c>
      <c r="E102" s="125" t="s">
        <v>316</v>
      </c>
      <c r="F102" s="124">
        <v>1</v>
      </c>
      <c r="G102" s="115" t="s">
        <v>1090</v>
      </c>
      <c r="H102" s="18" t="s">
        <v>619</v>
      </c>
      <c r="I102" s="18" t="s">
        <v>59</v>
      </c>
      <c r="J102" s="19" t="s">
        <v>556</v>
      </c>
      <c r="K102" s="99">
        <v>255120</v>
      </c>
      <c r="L102" s="97">
        <f>INDEX(Table1[Production],MATCH(rrcworking[[#This Row],[RRC ID Number]],Table1[RRC Identifier],0))</f>
        <v>0</v>
      </c>
      <c r="M102" s="29">
        <f>INDEX(Table1[Formation Production],MATCH(rrcworking[[#This Row],[RRC ID Number]],Table1[RRC Identifier],0))</f>
        <v>1566</v>
      </c>
      <c r="N102" s="30">
        <f>INDEX(Table1[On Hand End of Month],MATCH(rrcworking[[#This Row],[RRC ID Number]],Table1[RRC Identifier],0))</f>
        <v>0</v>
      </c>
      <c r="O102" s="102" t="b">
        <f t="shared" si="3"/>
        <v>0</v>
      </c>
      <c r="Q102" s="122">
        <f>rrcworking[[#This Row],[Last Month Closing Stock]]</f>
        <v>0</v>
      </c>
      <c r="R102">
        <v>0</v>
      </c>
      <c r="S102" s="133">
        <f>IF(ISERROR(INDEX(Table2[OIL],MATCH(rrcworking[[#This Row],[Magnum Wolfpak '#]],Table2[Rox Wolf'#],0))),0,INDEX(Table2[OIL],MATCH(rrcworking[[#This Row],[Magnum Wolfpak '#]],Table2[Rox Wolf'#],0)))</f>
        <v>0</v>
      </c>
      <c r="T102" s="34">
        <f>rrcworking[[#This Row],[Closing Stock (Oil)]]+rrcworking[[#This Row],[Sales/Dispostion]]-rrcworking[[#This Row],[Opening Oil Stock]]</f>
        <v>0</v>
      </c>
      <c r="U102" s="108">
        <f>rrcworking[[#This Row],[Gauge Sheet Prod Volume (oil)]]-rrcworking[[#This Row],[Oil Production]]</f>
        <v>0</v>
      </c>
      <c r="V102" s="133">
        <f>IF(ISERROR(INDEX(Table2[GAS],MATCH(rrcworking[[#This Row],[Magnum Wolfpak '#]],Table2[Rox Wolf'#],0))),0,INDEX(Table2[GAS],MATCH(rrcworking[[#This Row],[Magnum Wolfpak '#]],Table2[Rox Wolf'#],0)))</f>
        <v>0</v>
      </c>
      <c r="W102" s="58"/>
      <c r="X102" s="58"/>
      <c r="Y102" s="133">
        <f>IF(ISERROR(INDEX(Table2[LEASE USE],MATCH(rrcworking[[#This Row],[Magnum Wolfpak '#]],Table2[Rox Wolf'#],0))),0,INDEX(Table2[LEASE USE],MATCH(rrcworking[[#This Row],[Magnum Wolfpak '#]],Table2[Rox Wolf'#],0)))</f>
        <v>280</v>
      </c>
      <c r="Z102" s="133"/>
      <c r="AA102" s="56">
        <f>rrcworking[[#This Row],[Gas Sales Statement Volume (MCF)]]+rrcworking[[#This Row],[Lease Use (MCF)]]+rrcworking[[#This Row],[Flared Gas]]</f>
        <v>280</v>
      </c>
      <c r="AB102" s="36" t="s">
        <v>1116</v>
      </c>
      <c r="AC102" s="36"/>
      <c r="AD102" s="175">
        <f>COUNTIF(FilterList,rrcworking[[#This Row],[Magnum Wolfpak '#]])</f>
        <v>1</v>
      </c>
      <c r="AE102" s="172"/>
      <c r="AF102" s="173"/>
      <c r="AG102" s="36"/>
      <c r="AH102" s="36"/>
      <c r="AI102" s="174"/>
      <c r="AJ102" s="174"/>
      <c r="AK102" s="174"/>
      <c r="AL102" s="174"/>
      <c r="AM102" s="174"/>
      <c r="AN102" s="174"/>
      <c r="AO102" s="36" t="s">
        <v>1163</v>
      </c>
      <c r="AP102" s="36" t="s">
        <v>1189</v>
      </c>
    </row>
    <row r="103" spans="3:42" ht="14">
      <c r="C103" s="78" t="e">
        <v>#N/A</v>
      </c>
      <c r="D103" s="60" t="s">
        <v>341</v>
      </c>
      <c r="E103" s="125" t="s">
        <v>342</v>
      </c>
      <c r="F103" s="124">
        <v>1</v>
      </c>
      <c r="G103" s="115" t="s">
        <v>1090</v>
      </c>
      <c r="H103" s="18" t="s">
        <v>619</v>
      </c>
      <c r="I103" s="18" t="s">
        <v>59</v>
      </c>
      <c r="J103" s="19" t="s">
        <v>573</v>
      </c>
      <c r="K103" s="99">
        <v>252973</v>
      </c>
      <c r="L103" s="97">
        <f>INDEX(Table1[Production],MATCH(rrcworking[[#This Row],[RRC ID Number]],Table1[RRC Identifier],0))</f>
        <v>0</v>
      </c>
      <c r="M103" s="29">
        <f>INDEX(Table1[Formation Production],MATCH(rrcworking[[#This Row],[RRC ID Number]],Table1[RRC Identifier],0))</f>
        <v>0</v>
      </c>
      <c r="N103" s="30">
        <f>INDEX(Table1[On Hand End of Month],MATCH(rrcworking[[#This Row],[RRC ID Number]],Table1[RRC Identifier],0))</f>
        <v>93</v>
      </c>
      <c r="O103" s="102" t="b">
        <f t="shared" si="3"/>
        <v>1</v>
      </c>
      <c r="Q103" s="122">
        <f>rrcworking[[#This Row],[Last Month Closing Stock]]</f>
        <v>93</v>
      </c>
      <c r="R103">
        <f>rrcworking[[#This Row],[Opening Oil Stock]]</f>
        <v>93</v>
      </c>
      <c r="S103" s="133">
        <f>IF(ISERROR(INDEX(Table2[OIL],MATCH(rrcworking[[#This Row],[Magnum Wolfpak '#]],Table2[Rox Wolf'#],0))),0,INDEX(Table2[OIL],MATCH(rrcworking[[#This Row],[Magnum Wolfpak '#]],Table2[Rox Wolf'#],0)))</f>
        <v>0</v>
      </c>
      <c r="T103" s="34">
        <f>rrcworking[[#This Row],[Closing Stock (Oil)]]+rrcworking[[#This Row],[Sales/Dispostion]]-rrcworking[[#This Row],[Opening Oil Stock]]</f>
        <v>0</v>
      </c>
      <c r="U103" s="108">
        <f>rrcworking[[#This Row],[Gauge Sheet Prod Volume (oil)]]-rrcworking[[#This Row],[Oil Production]]</f>
        <v>0</v>
      </c>
      <c r="V103" s="133">
        <f>IF(ISERROR(INDEX(Table2[GAS],MATCH(rrcworking[[#This Row],[Magnum Wolfpak '#]],Table2[Rox Wolf'#],0))),0,INDEX(Table2[GAS],MATCH(rrcworking[[#This Row],[Magnum Wolfpak '#]],Table2[Rox Wolf'#],0)))</f>
        <v>0</v>
      </c>
      <c r="W103" s="58"/>
      <c r="X103" s="58"/>
      <c r="Y103" s="133">
        <f>IF(ISERROR(INDEX(Table2[LEASE USE],MATCH(rrcworking[[#This Row],[Magnum Wolfpak '#]],Table2[Rox Wolf'#],0))),0,INDEX(Table2[LEASE USE],MATCH(rrcworking[[#This Row],[Magnum Wolfpak '#]],Table2[Rox Wolf'#],0)))</f>
        <v>0</v>
      </c>
      <c r="Z103" s="133"/>
      <c r="AA103" s="56">
        <f>rrcworking[[#This Row],[Gas Sales Statement Volume (MCF)]]+rrcworking[[#This Row],[Lease Use (MCF)]]+rrcworking[[#This Row],[Flared Gas]]</f>
        <v>0</v>
      </c>
      <c r="AB103" s="36"/>
      <c r="AC103" s="36"/>
      <c r="AD103" s="175">
        <f>COUNTIF(FilterList,rrcworking[[#This Row],[Magnum Wolfpak '#]])</f>
        <v>0</v>
      </c>
      <c r="AE103" s="172"/>
      <c r="AF103" s="173"/>
      <c r="AG103" s="36"/>
      <c r="AH103" s="36"/>
      <c r="AI103" s="36"/>
      <c r="AJ103" s="36"/>
      <c r="AK103" s="36"/>
      <c r="AL103" s="36"/>
      <c r="AM103" s="36"/>
      <c r="AN103" s="36"/>
      <c r="AO103" s="36"/>
      <c r="AP103" s="36"/>
    </row>
    <row r="104" spans="3:42" ht="56">
      <c r="C104" s="78">
        <v>92001</v>
      </c>
      <c r="D104" s="60" t="s">
        <v>230</v>
      </c>
      <c r="E104" s="125" t="s">
        <v>231</v>
      </c>
      <c r="F104" s="124">
        <v>0</v>
      </c>
      <c r="G104" s="115" t="s">
        <v>1090</v>
      </c>
      <c r="H104" s="18" t="s">
        <v>618</v>
      </c>
      <c r="I104" s="18" t="s">
        <v>2</v>
      </c>
      <c r="J104" s="19" t="s">
        <v>503</v>
      </c>
      <c r="K104" s="99">
        <v>18769</v>
      </c>
      <c r="L104" s="97">
        <f>INDEX(Table1[Production],MATCH(rrcworking[[#This Row],[RRC ID Number]],Table1[RRC Identifier],0))</f>
        <v>20</v>
      </c>
      <c r="M104" s="29">
        <f>INDEX(Table1[Formation Production],MATCH(rrcworking[[#This Row],[RRC ID Number]],Table1[RRC Identifier],0))</f>
        <v>0</v>
      </c>
      <c r="N104" s="30">
        <f>INDEX(Table1[On Hand End of Month],MATCH(rrcworking[[#This Row],[RRC ID Number]],Table1[RRC Identifier],0))</f>
        <v>147</v>
      </c>
      <c r="O104" s="102" t="b">
        <f t="shared" si="3"/>
        <v>0</v>
      </c>
      <c r="P104">
        <v>23</v>
      </c>
      <c r="Q104" s="122">
        <f>rrcworking[[#This Row],[Last Month Closing Stock]]</f>
        <v>147</v>
      </c>
      <c r="R104">
        <v>171</v>
      </c>
      <c r="S104" s="133">
        <f>IF(ISERROR(INDEX(Table2[OIL],MATCH(rrcworking[[#This Row],[Magnum Wolfpak '#]],Table2[Rox Wolf'#],0))),0,INDEX(Table2[OIL],MATCH(rrcworking[[#This Row],[Magnum Wolfpak '#]],Table2[Rox Wolf'#],0)))</f>
        <v>0</v>
      </c>
      <c r="T104" s="34">
        <f>rrcworking[[#This Row],[Closing Stock (Oil)]]+rrcworking[[#This Row],[Sales/Dispostion]]-rrcworking[[#This Row],[Opening Oil Stock]]</f>
        <v>24</v>
      </c>
      <c r="U104" s="108">
        <f>rrcworking[[#This Row],[Gauge Sheet Prod Volume (oil)]]-rrcworking[[#This Row],[Oil Production]]</f>
        <v>-1</v>
      </c>
      <c r="V104" s="133">
        <f>IF(ISERROR(INDEX(Table2[GAS],MATCH(rrcworking[[#This Row],[Magnum Wolfpak '#]],Table2[Rox Wolf'#],0))),0,INDEX(Table2[GAS],MATCH(rrcworking[[#This Row],[Magnum Wolfpak '#]],Table2[Rox Wolf'#],0)))</f>
        <v>0</v>
      </c>
      <c r="W104" s="58"/>
      <c r="X104" s="58"/>
      <c r="Y104" s="133">
        <f>IF(ISERROR(INDEX(Table2[LEASE USE],MATCH(rrcworking[[#This Row],[Magnum Wolfpak '#]],Table2[Rox Wolf'#],0))),0,INDEX(Table2[LEASE USE],MATCH(rrcworking[[#This Row],[Magnum Wolfpak '#]],Table2[Rox Wolf'#],0)))</f>
        <v>0</v>
      </c>
      <c r="Z104" s="133"/>
      <c r="AA104" s="56">
        <f>rrcworking[[#This Row],[Gas Sales Statement Volume (MCF)]]+rrcworking[[#This Row],[Lease Use (MCF)]]+rrcworking[[#This Row],[Flared Gas]]</f>
        <v>0</v>
      </c>
      <c r="AB104" s="36"/>
      <c r="AC104" s="36" t="s">
        <v>1282</v>
      </c>
      <c r="AD104" s="175">
        <f>COUNTIF(FilterList,rrcworking[[#This Row],[Magnum Wolfpak '#]])</f>
        <v>0</v>
      </c>
      <c r="AE104" s="172"/>
      <c r="AF104" s="173"/>
      <c r="AG104" s="36"/>
      <c r="AH104" s="173"/>
      <c r="AI104" s="174"/>
      <c r="AJ104" s="174"/>
      <c r="AK104" s="174"/>
      <c r="AL104" s="174"/>
      <c r="AM104" s="174"/>
      <c r="AN104" s="174"/>
      <c r="AO104" s="36" t="s">
        <v>1163</v>
      </c>
      <c r="AP104" s="36" t="s">
        <v>1198</v>
      </c>
    </row>
    <row r="105" spans="3:42" ht="84">
      <c r="C105" s="78">
        <v>99058</v>
      </c>
      <c r="D105" s="60" t="s">
        <v>343</v>
      </c>
      <c r="E105" s="125" t="s">
        <v>344</v>
      </c>
      <c r="F105" s="124" t="s">
        <v>345</v>
      </c>
      <c r="G105" s="115" t="s">
        <v>1090</v>
      </c>
      <c r="H105" s="18" t="s">
        <v>619</v>
      </c>
      <c r="I105" s="18" t="s">
        <v>59</v>
      </c>
      <c r="J105" s="19" t="s">
        <v>574</v>
      </c>
      <c r="K105" s="99">
        <v>201238</v>
      </c>
      <c r="L105" s="97">
        <f>INDEX(Table1[Production],MATCH(rrcworking[[#This Row],[RRC ID Number]],Table1[RRC Identifier],0))</f>
        <v>2</v>
      </c>
      <c r="M105" s="29">
        <f>INDEX(Table1[Formation Production],MATCH(rrcworking[[#This Row],[RRC ID Number]],Table1[RRC Identifier],0))</f>
        <v>2596</v>
      </c>
      <c r="N105" s="30">
        <f>INDEX(Table1[On Hand End of Month],MATCH(rrcworking[[#This Row],[RRC ID Number]],Table1[RRC Identifier],0))</f>
        <v>95</v>
      </c>
      <c r="O105" s="102" t="b">
        <f t="shared" si="3"/>
        <v>0</v>
      </c>
      <c r="P105">
        <v>17</v>
      </c>
      <c r="Q105" s="122">
        <f>rrcworking[[#This Row],[Last Month Closing Stock]]</f>
        <v>95</v>
      </c>
      <c r="R105">
        <v>160</v>
      </c>
      <c r="S105" s="133">
        <f>IF(ISERROR(INDEX(Table2[OIL],MATCH(rrcworking[[#This Row],[Magnum Wolfpak '#]],Table2[Rox Wolf'#],0))),0,INDEX(Table2[OIL],MATCH(rrcworking[[#This Row],[Magnum Wolfpak '#]],Table2[Rox Wolf'#],0)))</f>
        <v>0</v>
      </c>
      <c r="T105" s="34">
        <f>rrcworking[[#This Row],[Closing Stock (Oil)]]+rrcworking[[#This Row],[Sales/Dispostion]]-rrcworking[[#This Row],[Opening Oil Stock]]</f>
        <v>65</v>
      </c>
      <c r="U105" s="108">
        <f>rrcworking[[#This Row],[Gauge Sheet Prod Volume (oil)]]-rrcworking[[#This Row],[Oil Production]]</f>
        <v>-48</v>
      </c>
      <c r="V105" s="133">
        <f>IF(ISERROR(INDEX(Table2[GAS],MATCH(rrcworking[[#This Row],[Magnum Wolfpak '#]],Table2[Rox Wolf'#],0))),0,INDEX(Table2[GAS],MATCH(rrcworking[[#This Row],[Magnum Wolfpak '#]],Table2[Rox Wolf'#],0)))</f>
        <v>2211</v>
      </c>
      <c r="W105" s="58"/>
      <c r="X105" s="58"/>
      <c r="Y105" s="133">
        <f>IF(ISERROR(INDEX(Table2[LEASE USE],MATCH(rrcworking[[#This Row],[Magnum Wolfpak '#]],Table2[Rox Wolf'#],0))),0,INDEX(Table2[LEASE USE],MATCH(rrcworking[[#This Row],[Magnum Wolfpak '#]],Table2[Rox Wolf'#],0)))</f>
        <v>0</v>
      </c>
      <c r="Z105" s="133"/>
      <c r="AA105" s="56">
        <f>rrcworking[[#This Row],[Gas Sales Statement Volume (MCF)]]+rrcworking[[#This Row],[Lease Use (MCF)]]+rrcworking[[#This Row],[Flared Gas]]</f>
        <v>2211</v>
      </c>
      <c r="AB105" s="36"/>
      <c r="AC105" s="36" t="s">
        <v>1299</v>
      </c>
      <c r="AD105" s="175">
        <f>COUNTIF(FilterList,rrcworking[[#This Row],[Magnum Wolfpak '#]])</f>
        <v>0</v>
      </c>
      <c r="AE105" s="172"/>
      <c r="AF105" s="173"/>
      <c r="AG105" s="83"/>
      <c r="AH105" s="83"/>
      <c r="AI105" s="174"/>
      <c r="AJ105" s="174"/>
      <c r="AK105" s="174"/>
      <c r="AL105" s="174"/>
      <c r="AM105" s="174"/>
      <c r="AN105" s="174"/>
      <c r="AO105" s="36" t="s">
        <v>1163</v>
      </c>
      <c r="AP105" s="36" t="s">
        <v>1205</v>
      </c>
    </row>
    <row r="106" spans="3:42" ht="14">
      <c r="C106" s="78" t="e">
        <v>#N/A</v>
      </c>
      <c r="D106" s="60" t="s">
        <v>346</v>
      </c>
      <c r="E106" s="125" t="s">
        <v>344</v>
      </c>
      <c r="F106" s="124">
        <v>20</v>
      </c>
      <c r="G106" s="115" t="s">
        <v>1090</v>
      </c>
      <c r="H106" s="18" t="s">
        <v>619</v>
      </c>
      <c r="I106" s="18" t="s">
        <v>59</v>
      </c>
      <c r="J106" s="19" t="s">
        <v>575</v>
      </c>
      <c r="K106" s="99">
        <v>242290</v>
      </c>
      <c r="L106" s="97">
        <f>INDEX(Table1[Production],MATCH(rrcworking[[#This Row],[RRC ID Number]],Table1[RRC Identifier],0))</f>
        <v>0</v>
      </c>
      <c r="M106" s="29">
        <f>INDEX(Table1[Formation Production],MATCH(rrcworking[[#This Row],[RRC ID Number]],Table1[RRC Identifier],0))</f>
        <v>0</v>
      </c>
      <c r="N106" s="30">
        <f>INDEX(Table1[On Hand End of Month],MATCH(rrcworking[[#This Row],[RRC ID Number]],Table1[RRC Identifier],0))</f>
        <v>0</v>
      </c>
      <c r="O106" s="102" t="b">
        <f t="shared" si="3"/>
        <v>1</v>
      </c>
      <c r="Q106" s="122">
        <f>rrcworking[[#This Row],[Last Month Closing Stock]]</f>
        <v>0</v>
      </c>
      <c r="R106">
        <f>rrcworking[[#This Row],[Opening Oil Stock]]</f>
        <v>0</v>
      </c>
      <c r="S106" s="133">
        <f>IF(ISERROR(INDEX(Table2[OIL],MATCH(rrcworking[[#This Row],[Magnum Wolfpak '#]],Table2[Rox Wolf'#],0))),0,INDEX(Table2[OIL],MATCH(rrcworking[[#This Row],[Magnum Wolfpak '#]],Table2[Rox Wolf'#],0)))</f>
        <v>0</v>
      </c>
      <c r="T106" s="34">
        <f>rrcworking[[#This Row],[Closing Stock (Oil)]]+rrcworking[[#This Row],[Sales/Dispostion]]-rrcworking[[#This Row],[Opening Oil Stock]]</f>
        <v>0</v>
      </c>
      <c r="U106" s="108">
        <f>rrcworking[[#This Row],[Gauge Sheet Prod Volume (oil)]]-rrcworking[[#This Row],[Oil Production]]</f>
        <v>0</v>
      </c>
      <c r="V106" s="133">
        <f>IF(ISERROR(INDEX(Table2[GAS],MATCH(rrcworking[[#This Row],[Magnum Wolfpak '#]],Table2[Rox Wolf'#],0))),0,INDEX(Table2[GAS],MATCH(rrcworking[[#This Row],[Magnum Wolfpak '#]],Table2[Rox Wolf'#],0)))</f>
        <v>0</v>
      </c>
      <c r="W106" s="58"/>
      <c r="X106" s="58"/>
      <c r="Y106" s="133">
        <f>IF(ISERROR(INDEX(Table2[LEASE USE],MATCH(rrcworking[[#This Row],[Magnum Wolfpak '#]],Table2[Rox Wolf'#],0))),0,INDEX(Table2[LEASE USE],MATCH(rrcworking[[#This Row],[Magnum Wolfpak '#]],Table2[Rox Wolf'#],0)))</f>
        <v>0</v>
      </c>
      <c r="Z106" s="133"/>
      <c r="AA106" s="56">
        <f>rrcworking[[#This Row],[Gas Sales Statement Volume (MCF)]]+rrcworking[[#This Row],[Lease Use (MCF)]]+rrcworking[[#This Row],[Flared Gas]]</f>
        <v>0</v>
      </c>
      <c r="AB106" s="36"/>
      <c r="AC106" s="36"/>
      <c r="AD106" s="175">
        <f>COUNTIF(FilterList,rrcworking[[#This Row],[Magnum Wolfpak '#]])</f>
        <v>0</v>
      </c>
      <c r="AE106" s="172"/>
      <c r="AF106" s="173"/>
      <c r="AG106" s="36"/>
      <c r="AH106" s="36"/>
      <c r="AI106" s="36"/>
      <c r="AJ106" s="36"/>
      <c r="AK106" s="36"/>
      <c r="AL106" s="36"/>
      <c r="AM106" s="36"/>
      <c r="AN106" s="36"/>
      <c r="AO106" s="36"/>
      <c r="AP106" s="36"/>
    </row>
    <row r="107" spans="3:42" ht="14">
      <c r="C107" s="78" t="e">
        <v>#N/A</v>
      </c>
      <c r="D107" s="60" t="s">
        <v>347</v>
      </c>
      <c r="E107" s="125" t="s">
        <v>344</v>
      </c>
      <c r="F107" s="124" t="s">
        <v>348</v>
      </c>
      <c r="G107" s="115" t="s">
        <v>1090</v>
      </c>
      <c r="H107" s="18" t="s">
        <v>619</v>
      </c>
      <c r="I107" s="18" t="s">
        <v>59</v>
      </c>
      <c r="J107" s="19" t="s">
        <v>576</v>
      </c>
      <c r="K107" s="99">
        <v>198253</v>
      </c>
      <c r="L107" s="97">
        <f>INDEX(Table1[Production],MATCH(rrcworking[[#This Row],[RRC ID Number]],Table1[RRC Identifier],0))</f>
        <v>0</v>
      </c>
      <c r="M107" s="29">
        <f>INDEX(Table1[Formation Production],MATCH(rrcworking[[#This Row],[RRC ID Number]],Table1[RRC Identifier],0))</f>
        <v>0</v>
      </c>
      <c r="N107" s="30">
        <f>INDEX(Table1[On Hand End of Month],MATCH(rrcworking[[#This Row],[RRC ID Number]],Table1[RRC Identifier],0))</f>
        <v>0</v>
      </c>
      <c r="O107" s="102" t="b">
        <f t="shared" si="3"/>
        <v>1</v>
      </c>
      <c r="Q107" s="122">
        <f>rrcworking[[#This Row],[Last Month Closing Stock]]</f>
        <v>0</v>
      </c>
      <c r="R107">
        <f>rrcworking[[#This Row],[Opening Oil Stock]]</f>
        <v>0</v>
      </c>
      <c r="S107" s="133">
        <f>IF(ISERROR(INDEX(Table2[OIL],MATCH(rrcworking[[#This Row],[Magnum Wolfpak '#]],Table2[Rox Wolf'#],0))),0,INDEX(Table2[OIL],MATCH(rrcworking[[#This Row],[Magnum Wolfpak '#]],Table2[Rox Wolf'#],0)))</f>
        <v>0</v>
      </c>
      <c r="T107" s="34">
        <f>rrcworking[[#This Row],[Closing Stock (Oil)]]+rrcworking[[#This Row],[Sales/Dispostion]]-rrcworking[[#This Row],[Opening Oil Stock]]</f>
        <v>0</v>
      </c>
      <c r="U107" s="108">
        <f>rrcworking[[#This Row],[Gauge Sheet Prod Volume (oil)]]-rrcworking[[#This Row],[Oil Production]]</f>
        <v>0</v>
      </c>
      <c r="V107" s="133">
        <f>IF(ISERROR(INDEX(Table2[GAS],MATCH(rrcworking[[#This Row],[Magnum Wolfpak '#]],Table2[Rox Wolf'#],0))),0,INDEX(Table2[GAS],MATCH(rrcworking[[#This Row],[Magnum Wolfpak '#]],Table2[Rox Wolf'#],0)))</f>
        <v>0</v>
      </c>
      <c r="W107" s="58"/>
      <c r="X107" s="58"/>
      <c r="Y107" s="133">
        <f>IF(ISERROR(INDEX(Table2[LEASE USE],MATCH(rrcworking[[#This Row],[Magnum Wolfpak '#]],Table2[Rox Wolf'#],0))),0,INDEX(Table2[LEASE USE],MATCH(rrcworking[[#This Row],[Magnum Wolfpak '#]],Table2[Rox Wolf'#],0)))</f>
        <v>0</v>
      </c>
      <c r="Z107" s="133"/>
      <c r="AA107" s="56">
        <f>rrcworking[[#This Row],[Gas Sales Statement Volume (MCF)]]+rrcworking[[#This Row],[Lease Use (MCF)]]+rrcworking[[#This Row],[Flared Gas]]</f>
        <v>0</v>
      </c>
      <c r="AB107" s="36"/>
      <c r="AC107" s="36"/>
      <c r="AD107" s="175">
        <f>COUNTIF(FilterList,rrcworking[[#This Row],[Magnum Wolfpak '#]])</f>
        <v>0</v>
      </c>
      <c r="AE107" s="172"/>
      <c r="AF107" s="173"/>
      <c r="AG107" s="36"/>
      <c r="AH107" s="36"/>
      <c r="AI107" s="36"/>
      <c r="AJ107" s="36"/>
      <c r="AK107" s="36"/>
      <c r="AL107" s="36"/>
      <c r="AM107" s="36"/>
      <c r="AN107" s="36"/>
      <c r="AO107" s="36"/>
      <c r="AP107" s="36"/>
    </row>
    <row r="108" spans="3:42" ht="14">
      <c r="C108" s="78" t="e">
        <v>#N/A</v>
      </c>
      <c r="D108" s="60" t="s">
        <v>349</v>
      </c>
      <c r="E108" s="125" t="s">
        <v>344</v>
      </c>
      <c r="F108" s="124" t="s">
        <v>350</v>
      </c>
      <c r="G108" s="115" t="s">
        <v>1090</v>
      </c>
      <c r="H108" s="18" t="s">
        <v>619</v>
      </c>
      <c r="I108" s="18" t="s">
        <v>59</v>
      </c>
      <c r="J108" s="19" t="s">
        <v>577</v>
      </c>
      <c r="K108" s="99">
        <v>159856</v>
      </c>
      <c r="L108" s="97">
        <f>INDEX(Table1[Production],MATCH(rrcworking[[#This Row],[RRC ID Number]],Table1[RRC Identifier],0))</f>
        <v>0</v>
      </c>
      <c r="M108" s="29">
        <f>INDEX(Table1[Formation Production],MATCH(rrcworking[[#This Row],[RRC ID Number]],Table1[RRC Identifier],0))</f>
        <v>0</v>
      </c>
      <c r="N108" s="30">
        <f>INDEX(Table1[On Hand End of Month],MATCH(rrcworking[[#This Row],[RRC ID Number]],Table1[RRC Identifier],0))</f>
        <v>0</v>
      </c>
      <c r="O108" s="102" t="b">
        <f t="shared" si="3"/>
        <v>1</v>
      </c>
      <c r="Q108" s="122">
        <f>rrcworking[[#This Row],[Last Month Closing Stock]]</f>
        <v>0</v>
      </c>
      <c r="R108">
        <f>rrcworking[[#This Row],[Opening Oil Stock]]</f>
        <v>0</v>
      </c>
      <c r="S108" s="133">
        <f>IF(ISERROR(INDEX(Table2[OIL],MATCH(rrcworking[[#This Row],[Magnum Wolfpak '#]],Table2[Rox Wolf'#],0))),0,INDEX(Table2[OIL],MATCH(rrcworking[[#This Row],[Magnum Wolfpak '#]],Table2[Rox Wolf'#],0)))</f>
        <v>0</v>
      </c>
      <c r="T108" s="34">
        <f>rrcworking[[#This Row],[Closing Stock (Oil)]]+rrcworking[[#This Row],[Sales/Dispostion]]-rrcworking[[#This Row],[Opening Oil Stock]]</f>
        <v>0</v>
      </c>
      <c r="U108" s="108">
        <f>rrcworking[[#This Row],[Gauge Sheet Prod Volume (oil)]]-rrcworking[[#This Row],[Oil Production]]</f>
        <v>0</v>
      </c>
      <c r="V108" s="133">
        <f>IF(ISERROR(INDEX(Table2[GAS],MATCH(rrcworking[[#This Row],[Magnum Wolfpak '#]],Table2[Rox Wolf'#],0))),0,INDEX(Table2[GAS],MATCH(rrcworking[[#This Row],[Magnum Wolfpak '#]],Table2[Rox Wolf'#],0)))</f>
        <v>0</v>
      </c>
      <c r="W108" s="58"/>
      <c r="X108" s="58"/>
      <c r="Y108" s="133">
        <f>IF(ISERROR(INDEX(Table2[LEASE USE],MATCH(rrcworking[[#This Row],[Magnum Wolfpak '#]],Table2[Rox Wolf'#],0))),0,INDEX(Table2[LEASE USE],MATCH(rrcworking[[#This Row],[Magnum Wolfpak '#]],Table2[Rox Wolf'#],0)))</f>
        <v>0</v>
      </c>
      <c r="Z108" s="133"/>
      <c r="AA108" s="56">
        <f>rrcworking[[#This Row],[Gas Sales Statement Volume (MCF)]]+rrcworking[[#This Row],[Lease Use (MCF)]]+rrcworking[[#This Row],[Flared Gas]]</f>
        <v>0</v>
      </c>
      <c r="AB108" s="36"/>
      <c r="AC108" s="36"/>
      <c r="AD108" s="175">
        <f>COUNTIF(FilterList,rrcworking[[#This Row],[Magnum Wolfpak '#]])</f>
        <v>0</v>
      </c>
      <c r="AE108" s="172"/>
      <c r="AF108" s="173"/>
      <c r="AG108" s="36"/>
      <c r="AH108" s="36"/>
      <c r="AI108" s="36"/>
      <c r="AJ108" s="36"/>
      <c r="AK108" s="36"/>
      <c r="AL108" s="36"/>
      <c r="AM108" s="36"/>
      <c r="AN108" s="36"/>
      <c r="AO108" s="36"/>
      <c r="AP108" s="36"/>
    </row>
    <row r="109" spans="3:42" ht="14">
      <c r="C109" s="78" t="e">
        <v>#N/A</v>
      </c>
      <c r="D109" s="60" t="s">
        <v>237</v>
      </c>
      <c r="E109" s="125" t="s">
        <v>238</v>
      </c>
      <c r="F109" s="124">
        <v>0</v>
      </c>
      <c r="G109" s="115" t="s">
        <v>1090</v>
      </c>
      <c r="H109" s="18" t="s">
        <v>618</v>
      </c>
      <c r="I109" s="18" t="s">
        <v>2</v>
      </c>
      <c r="J109" s="19" t="s">
        <v>507</v>
      </c>
      <c r="K109" s="99">
        <v>12721</v>
      </c>
      <c r="L109" s="97">
        <f>INDEX(Table1[Production],MATCH(rrcworking[[#This Row],[RRC ID Number]],Table1[RRC Identifier],0))</f>
        <v>0</v>
      </c>
      <c r="M109" s="29">
        <f>INDEX(Table1[Formation Production],MATCH(rrcworking[[#This Row],[RRC ID Number]],Table1[RRC Identifier],0))</f>
        <v>0</v>
      </c>
      <c r="N109" s="30">
        <f>INDEX(Table1[On Hand End of Month],MATCH(rrcworking[[#This Row],[RRC ID Number]],Table1[RRC Identifier],0))</f>
        <v>0</v>
      </c>
      <c r="O109" s="102" t="b">
        <f t="shared" si="3"/>
        <v>1</v>
      </c>
      <c r="Q109" s="122">
        <f>rrcworking[[#This Row],[Last Month Closing Stock]]</f>
        <v>0</v>
      </c>
      <c r="R109">
        <f>rrcworking[[#This Row],[Opening Oil Stock]]</f>
        <v>0</v>
      </c>
      <c r="S109" s="133">
        <f>IF(ISERROR(INDEX(Table2[OIL],MATCH(rrcworking[[#This Row],[Magnum Wolfpak '#]],Table2[Rox Wolf'#],0))),0,INDEX(Table2[OIL],MATCH(rrcworking[[#This Row],[Magnum Wolfpak '#]],Table2[Rox Wolf'#],0)))</f>
        <v>0</v>
      </c>
      <c r="T109" s="34">
        <f>rrcworking[[#This Row],[Closing Stock (Oil)]]+rrcworking[[#This Row],[Sales/Dispostion]]-rrcworking[[#This Row],[Opening Oil Stock]]</f>
        <v>0</v>
      </c>
      <c r="U109" s="108">
        <f>rrcworking[[#This Row],[Gauge Sheet Prod Volume (oil)]]-rrcworking[[#This Row],[Oil Production]]</f>
        <v>0</v>
      </c>
      <c r="V109" s="133">
        <f>IF(ISERROR(INDEX(Table2[GAS],MATCH(rrcworking[[#This Row],[Magnum Wolfpak '#]],Table2[Rox Wolf'#],0))),0,INDEX(Table2[GAS],MATCH(rrcworking[[#This Row],[Magnum Wolfpak '#]],Table2[Rox Wolf'#],0)))</f>
        <v>0</v>
      </c>
      <c r="W109" s="58"/>
      <c r="X109" s="58"/>
      <c r="Y109" s="133">
        <f>IF(ISERROR(INDEX(Table2[LEASE USE],MATCH(rrcworking[[#This Row],[Magnum Wolfpak '#]],Table2[Rox Wolf'#],0))),0,INDEX(Table2[LEASE USE],MATCH(rrcworking[[#This Row],[Magnum Wolfpak '#]],Table2[Rox Wolf'#],0)))</f>
        <v>0</v>
      </c>
      <c r="Z109" s="133"/>
      <c r="AA109" s="56">
        <f>rrcworking[[#This Row],[Gas Sales Statement Volume (MCF)]]+rrcworking[[#This Row],[Lease Use (MCF)]]+rrcworking[[#This Row],[Flared Gas]]</f>
        <v>0</v>
      </c>
      <c r="AB109" s="36"/>
      <c r="AC109" s="36"/>
      <c r="AD109" s="175">
        <f>COUNTIF(FilterList,rrcworking[[#This Row],[Magnum Wolfpak '#]])</f>
        <v>0</v>
      </c>
      <c r="AE109" s="172"/>
      <c r="AF109" s="173"/>
      <c r="AG109" s="36"/>
      <c r="AH109" s="36"/>
      <c r="AI109" s="36"/>
      <c r="AJ109" s="36"/>
      <c r="AK109" s="36"/>
      <c r="AL109" s="36"/>
      <c r="AM109" s="36"/>
      <c r="AN109" s="36"/>
      <c r="AO109" s="36"/>
      <c r="AP109" s="36"/>
    </row>
    <row r="110" spans="3:42" ht="14">
      <c r="C110" s="78" t="e">
        <v>#N/A</v>
      </c>
      <c r="D110" s="60" t="s">
        <v>384</v>
      </c>
      <c r="E110" s="125" t="s">
        <v>385</v>
      </c>
      <c r="F110" s="124">
        <v>4</v>
      </c>
      <c r="G110" s="115" t="s">
        <v>1090</v>
      </c>
      <c r="H110" s="18" t="s">
        <v>619</v>
      </c>
      <c r="I110" s="18" t="s">
        <v>59</v>
      </c>
      <c r="J110" s="19" t="s">
        <v>597</v>
      </c>
      <c r="K110" s="99">
        <v>190124</v>
      </c>
      <c r="L110" s="97">
        <f>INDEX(Table1[Production],MATCH(rrcworking[[#This Row],[RRC ID Number]],Table1[RRC Identifier],0))</f>
        <v>0</v>
      </c>
      <c r="M110" s="29">
        <f>INDEX(Table1[Formation Production],MATCH(rrcworking[[#This Row],[RRC ID Number]],Table1[RRC Identifier],0))</f>
        <v>0</v>
      </c>
      <c r="N110" s="30">
        <f>INDEX(Table1[On Hand End of Month],MATCH(rrcworking[[#This Row],[RRC ID Number]],Table1[RRC Identifier],0))</f>
        <v>0</v>
      </c>
      <c r="O110" s="102" t="b">
        <f t="shared" si="3"/>
        <v>1</v>
      </c>
      <c r="Q110" s="122">
        <f>rrcworking[[#This Row],[Last Month Closing Stock]]</f>
        <v>0</v>
      </c>
      <c r="R110">
        <f>rrcworking[[#This Row],[Opening Oil Stock]]</f>
        <v>0</v>
      </c>
      <c r="S110" s="133">
        <f>IF(ISERROR(INDEX(Table2[OIL],MATCH(rrcworking[[#This Row],[Magnum Wolfpak '#]],Table2[Rox Wolf'#],0))),0,INDEX(Table2[OIL],MATCH(rrcworking[[#This Row],[Magnum Wolfpak '#]],Table2[Rox Wolf'#],0)))</f>
        <v>0</v>
      </c>
      <c r="T110" s="34">
        <f>rrcworking[[#This Row],[Closing Stock (Oil)]]+rrcworking[[#This Row],[Sales/Dispostion]]-rrcworking[[#This Row],[Opening Oil Stock]]</f>
        <v>0</v>
      </c>
      <c r="U110" s="108">
        <f>rrcworking[[#This Row],[Gauge Sheet Prod Volume (oil)]]-rrcworking[[#This Row],[Oil Production]]</f>
        <v>0</v>
      </c>
      <c r="V110" s="133">
        <f>IF(ISERROR(INDEX(Table2[GAS],MATCH(rrcworking[[#This Row],[Magnum Wolfpak '#]],Table2[Rox Wolf'#],0))),0,INDEX(Table2[GAS],MATCH(rrcworking[[#This Row],[Magnum Wolfpak '#]],Table2[Rox Wolf'#],0)))</f>
        <v>0</v>
      </c>
      <c r="W110" s="58"/>
      <c r="X110" s="58"/>
      <c r="Y110" s="133">
        <f>IF(ISERROR(INDEX(Table2[LEASE USE],MATCH(rrcworking[[#This Row],[Magnum Wolfpak '#]],Table2[Rox Wolf'#],0))),0,INDEX(Table2[LEASE USE],MATCH(rrcworking[[#This Row],[Magnum Wolfpak '#]],Table2[Rox Wolf'#],0)))</f>
        <v>0</v>
      </c>
      <c r="Z110" s="133"/>
      <c r="AA110" s="56">
        <f>rrcworking[[#This Row],[Gas Sales Statement Volume (MCF)]]+rrcworking[[#This Row],[Lease Use (MCF)]]+rrcworking[[#This Row],[Flared Gas]]</f>
        <v>0</v>
      </c>
      <c r="AB110" s="36"/>
      <c r="AC110" s="36"/>
      <c r="AD110" s="175">
        <f>COUNTIF(FilterList,rrcworking[[#This Row],[Magnum Wolfpak '#]])</f>
        <v>0</v>
      </c>
      <c r="AE110" s="172"/>
      <c r="AF110" s="173"/>
      <c r="AG110" s="36"/>
      <c r="AH110" s="36"/>
      <c r="AI110" s="36"/>
      <c r="AJ110" s="36"/>
      <c r="AK110" s="36"/>
      <c r="AL110" s="36"/>
      <c r="AM110" s="36"/>
      <c r="AN110" s="36"/>
      <c r="AO110" s="36"/>
      <c r="AP110" s="36"/>
    </row>
    <row r="111" spans="3:42" ht="182">
      <c r="C111" s="78">
        <v>99128</v>
      </c>
      <c r="D111" s="60" t="s">
        <v>390</v>
      </c>
      <c r="E111" s="125" t="s">
        <v>385</v>
      </c>
      <c r="F111" s="124" t="s">
        <v>391</v>
      </c>
      <c r="G111" s="115">
        <v>5050</v>
      </c>
      <c r="H111" s="21" t="s">
        <v>619</v>
      </c>
      <c r="I111" s="21" t="s">
        <v>59</v>
      </c>
      <c r="J111" s="19" t="s">
        <v>600</v>
      </c>
      <c r="K111" s="99">
        <v>66093</v>
      </c>
      <c r="L111" s="97">
        <f>INDEX(Table1[Production],MATCH(rrcworking[[#This Row],[RRC ID Number]],Table1[RRC Identifier],0))</f>
        <v>0</v>
      </c>
      <c r="M111" s="29">
        <f>INDEX(Table1[Formation Production],MATCH(rrcworking[[#This Row],[RRC ID Number]],Table1[RRC Identifier],0))</f>
        <v>605</v>
      </c>
      <c r="N111" s="30">
        <f>INDEX(Table1[On Hand End of Month],MATCH(rrcworking[[#This Row],[RRC ID Number]],Table1[RRC Identifier],0))</f>
        <v>186</v>
      </c>
      <c r="O111" s="102" t="b">
        <f t="shared" si="3"/>
        <v>0</v>
      </c>
      <c r="P111">
        <v>1</v>
      </c>
      <c r="Q111" s="122">
        <f>rrcworking[[#This Row],[Last Month Closing Stock]]</f>
        <v>186</v>
      </c>
      <c r="R111">
        <v>187</v>
      </c>
      <c r="S111" s="133">
        <f>IF(ISERROR(INDEX(Table2[OIL],MATCH(rrcworking[[#This Row],[Magnum Wolfpak '#]],Table2[Rox Wolf'#],0))),0,INDEX(Table2[OIL],MATCH(rrcworking[[#This Row],[Magnum Wolfpak '#]],Table2[Rox Wolf'#],0)))</f>
        <v>0</v>
      </c>
      <c r="T111" s="34">
        <f>rrcworking[[#This Row],[Closing Stock (Oil)]]+rrcworking[[#This Row],[Sales/Dispostion]]-rrcworking[[#This Row],[Opening Oil Stock]]</f>
        <v>1</v>
      </c>
      <c r="U111" s="108">
        <f>rrcworking[[#This Row],[Gauge Sheet Prod Volume (oil)]]-rrcworking[[#This Row],[Oil Production]]</f>
        <v>0</v>
      </c>
      <c r="V111" s="133">
        <f>IF(ISERROR(INDEX(Table2[GAS],MATCH(rrcworking[[#This Row],[Magnum Wolfpak '#]],Table2[Rox Wolf'#],0))),0,INDEX(Table2[GAS],MATCH(rrcworking[[#This Row],[Magnum Wolfpak '#]],Table2[Rox Wolf'#],0)))</f>
        <v>4849</v>
      </c>
      <c r="W111" s="82"/>
      <c r="X111" s="58">
        <v>10</v>
      </c>
      <c r="Y111" s="133">
        <f>IF(ISERROR(INDEX(Table2[LEASE USE],MATCH(rrcworking[[#This Row],[Magnum Wolfpak '#]],Table2[Rox Wolf'#],0))),0,INDEX(Table2[LEASE USE],MATCH(rrcworking[[#This Row],[Magnum Wolfpak '#]],Table2[Rox Wolf'#],0)))</f>
        <v>160</v>
      </c>
      <c r="Z111" s="133"/>
      <c r="AA111" s="56">
        <f>rrcworking[[#This Row],[Gas Sales Statement Volume (MCF)]]+rrcworking[[#This Row],[Lease Use (MCF)]]+rrcworking[[#This Row],[Flared Gas]]</f>
        <v>5009</v>
      </c>
      <c r="AB111" s="36"/>
      <c r="AC111" s="36" t="s">
        <v>1303</v>
      </c>
      <c r="AD111" s="175">
        <f>COUNTIF(FilterList,rrcworking[[#This Row],[Magnum Wolfpak '#]])</f>
        <v>0</v>
      </c>
      <c r="AE111" s="172"/>
      <c r="AF111" s="173"/>
      <c r="AG111" s="36"/>
      <c r="AH111" s="173"/>
      <c r="AI111" s="174"/>
      <c r="AJ111" s="174"/>
      <c r="AK111" s="174"/>
      <c r="AL111" s="174"/>
      <c r="AM111" s="174"/>
      <c r="AN111" s="174"/>
      <c r="AO111" s="36" t="s">
        <v>1163</v>
      </c>
      <c r="AP111" s="36" t="s">
        <v>1206</v>
      </c>
    </row>
    <row r="112" spans="3:42" ht="210">
      <c r="C112" s="78">
        <v>99134</v>
      </c>
      <c r="D112" s="60" t="s">
        <v>361</v>
      </c>
      <c r="E112" s="125" t="s">
        <v>362</v>
      </c>
      <c r="F112" s="124" t="s">
        <v>363</v>
      </c>
      <c r="G112" s="115">
        <v>5050</v>
      </c>
      <c r="H112" s="18" t="s">
        <v>619</v>
      </c>
      <c r="I112" s="18" t="s">
        <v>59</v>
      </c>
      <c r="J112" s="19" t="s">
        <v>584</v>
      </c>
      <c r="K112" s="99">
        <v>276012</v>
      </c>
      <c r="L112" s="97">
        <f>INDEX(Table1[Production],MATCH(rrcworking[[#This Row],[RRC ID Number]],Table1[RRC Identifier],0))</f>
        <v>119</v>
      </c>
      <c r="M112" s="29">
        <f>INDEX(Table1[Formation Production],MATCH(rrcworking[[#This Row],[RRC ID Number]],Table1[RRC Identifier],0))</f>
        <v>3425</v>
      </c>
      <c r="N112" s="30">
        <f>INDEX(Table1[On Hand End of Month],MATCH(rrcworking[[#This Row],[RRC ID Number]],Table1[RRC Identifier],0))</f>
        <v>15</v>
      </c>
      <c r="O112" s="102" t="b">
        <f t="shared" si="3"/>
        <v>0</v>
      </c>
      <c r="P112">
        <v>12</v>
      </c>
      <c r="Q112" s="122">
        <f>rrcworking[[#This Row],[Last Month Closing Stock]]</f>
        <v>15</v>
      </c>
      <c r="R112">
        <v>27</v>
      </c>
      <c r="S112" s="133">
        <f>IF(ISERROR(INDEX(Table2[OIL],MATCH(rrcworking[[#This Row],[Magnum Wolfpak '#]],Table2[Rox Wolf'#],0))),0,INDEX(Table2[OIL],MATCH(rrcworking[[#This Row],[Magnum Wolfpak '#]],Table2[Rox Wolf'#],0)))</f>
        <v>0</v>
      </c>
      <c r="T112" s="34">
        <f>rrcworking[[#This Row],[Closing Stock (Oil)]]+rrcworking[[#This Row],[Sales/Dispostion]]-rrcworking[[#This Row],[Opening Oil Stock]]</f>
        <v>12</v>
      </c>
      <c r="U112" s="108">
        <f>rrcworking[[#This Row],[Gauge Sheet Prod Volume (oil)]]-rrcworking[[#This Row],[Oil Production]]</f>
        <v>0</v>
      </c>
      <c r="V112" s="133">
        <f>IF(ISERROR(INDEX(Table2[GAS],MATCH(rrcworking[[#This Row],[Magnum Wolfpak '#]],Table2[Rox Wolf'#],0))),0,INDEX(Table2[GAS],MATCH(rrcworking[[#This Row],[Magnum Wolfpak '#]],Table2[Rox Wolf'#],0)))</f>
        <v>2653</v>
      </c>
      <c r="W112" s="58"/>
      <c r="X112" s="58">
        <v>0</v>
      </c>
      <c r="Y112" s="133">
        <f>IF(ISERROR(INDEX(Table2[LEASE USE],MATCH(rrcworking[[#This Row],[Magnum Wolfpak '#]],Table2[Rox Wolf'#],0))),0,INDEX(Table2[LEASE USE],MATCH(rrcworking[[#This Row],[Magnum Wolfpak '#]],Table2[Rox Wolf'#],0)))</f>
        <v>0</v>
      </c>
      <c r="Z112" s="133"/>
      <c r="AA112" s="56">
        <f>rrcworking[[#This Row],[Gas Sales Statement Volume (MCF)]]+rrcworking[[#This Row],[Lease Use (MCF)]]+rrcworking[[#This Row],[Flared Gas]]</f>
        <v>2653</v>
      </c>
      <c r="AB112" s="36"/>
      <c r="AC112" s="36" t="s">
        <v>1302</v>
      </c>
      <c r="AD112" s="175">
        <f>COUNTIF(FilterList,rrcworking[[#This Row],[Magnum Wolfpak '#]])</f>
        <v>0</v>
      </c>
      <c r="AE112" s="172"/>
      <c r="AF112" s="173"/>
      <c r="AG112" s="36"/>
      <c r="AH112" s="36"/>
      <c r="AI112" s="174"/>
      <c r="AJ112" s="174"/>
      <c r="AK112" s="174"/>
      <c r="AL112" s="174"/>
      <c r="AM112" s="174"/>
      <c r="AN112" s="174"/>
      <c r="AO112" s="36" t="s">
        <v>1163</v>
      </c>
      <c r="AP112" s="36" t="s">
        <v>1189</v>
      </c>
    </row>
    <row r="113" spans="3:42" ht="42">
      <c r="C113" s="78">
        <v>99216</v>
      </c>
      <c r="D113" s="60" t="s">
        <v>209</v>
      </c>
      <c r="E113" s="125" t="s">
        <v>212</v>
      </c>
      <c r="F113" s="130" t="s">
        <v>910</v>
      </c>
      <c r="G113" s="115" t="s">
        <v>1090</v>
      </c>
      <c r="H113" s="18" t="s">
        <v>618</v>
      </c>
      <c r="I113" s="18" t="s">
        <v>2</v>
      </c>
      <c r="J113" s="19" t="s">
        <v>495</v>
      </c>
      <c r="K113" s="99">
        <v>26743</v>
      </c>
      <c r="L113" s="97">
        <f>INDEX(Table1[Production],MATCH(rrcworking[[#This Row],[RRC ID Number]],Table1[RRC Identifier],0))</f>
        <v>0</v>
      </c>
      <c r="M113" s="29">
        <f>INDEX(Table1[Formation Production],MATCH(rrcworking[[#This Row],[RRC ID Number]],Table1[RRC Identifier],0))</f>
        <v>0</v>
      </c>
      <c r="N113" s="30">
        <f>INDEX(Table1[On Hand End of Month],MATCH(rrcworking[[#This Row],[RRC ID Number]],Table1[RRC Identifier],0))</f>
        <v>0</v>
      </c>
      <c r="O113" s="102" t="b">
        <f t="shared" si="3"/>
        <v>1</v>
      </c>
      <c r="P113">
        <v>0</v>
      </c>
      <c r="Q113" s="122">
        <f>rrcworking[[#This Row],[Last Month Closing Stock]]</f>
        <v>0</v>
      </c>
      <c r="R113">
        <v>0</v>
      </c>
      <c r="S113" s="133">
        <f>IF(ISERROR(INDEX(Table2[OIL],MATCH(rrcworking[[#This Row],[Magnum Wolfpak '#]],Table2[Rox Wolf'#],0))),0,INDEX(Table2[OIL],MATCH(rrcworking[[#This Row],[Magnum Wolfpak '#]],Table2[Rox Wolf'#],0)))</f>
        <v>0</v>
      </c>
      <c r="T113" s="34">
        <f>rrcworking[[#This Row],[Closing Stock (Oil)]]+rrcworking[[#This Row],[Sales/Dispostion]]-rrcworking[[#This Row],[Opening Oil Stock]]</f>
        <v>0</v>
      </c>
      <c r="U113" s="108">
        <f>rrcworking[[#This Row],[Gauge Sheet Prod Volume (oil)]]-rrcworking[[#This Row],[Oil Production]]</f>
        <v>0</v>
      </c>
      <c r="V113" s="133">
        <f>IF(ISERROR(INDEX(Table2[GAS],MATCH(rrcworking[[#This Row],[Magnum Wolfpak '#]],Table2[Rox Wolf'#],0))),0,INDEX(Table2[GAS],MATCH(rrcworking[[#This Row],[Magnum Wolfpak '#]],Table2[Rox Wolf'#],0)))</f>
        <v>0</v>
      </c>
      <c r="W113" s="58"/>
      <c r="X113" s="58">
        <v>2</v>
      </c>
      <c r="Y113" s="133">
        <f>IF(ISERROR(INDEX(Table2[LEASE USE],MATCH(rrcworking[[#This Row],[Magnum Wolfpak '#]],Table2[Rox Wolf'#],0))),0,INDEX(Table2[LEASE USE],MATCH(rrcworking[[#This Row],[Magnum Wolfpak '#]],Table2[Rox Wolf'#],0)))</f>
        <v>0</v>
      </c>
      <c r="Z113" s="133"/>
      <c r="AA113" s="56">
        <f>rrcworking[[#This Row],[Gas Sales Statement Volume (MCF)]]+rrcworking[[#This Row],[Lease Use (MCF)]]+rrcworking[[#This Row],[Flared Gas]]</f>
        <v>0</v>
      </c>
      <c r="AB113" s="36"/>
      <c r="AC113" s="36" t="s">
        <v>1135</v>
      </c>
      <c r="AD113" s="175">
        <f>COUNTIF(FilterList,rrcworking[[#This Row],[Magnum Wolfpak '#]])</f>
        <v>0</v>
      </c>
      <c r="AE113" s="172"/>
      <c r="AF113" s="173"/>
      <c r="AG113" s="83"/>
      <c r="AH113" s="83"/>
      <c r="AI113" s="174"/>
      <c r="AJ113" s="174"/>
      <c r="AK113" s="174"/>
      <c r="AL113" s="174"/>
      <c r="AM113" s="174"/>
      <c r="AN113" s="174"/>
      <c r="AO113" s="36" t="s">
        <v>1163</v>
      </c>
      <c r="AP113" s="36" t="s">
        <v>1189</v>
      </c>
    </row>
    <row r="114" spans="3:42" ht="42">
      <c r="C114" s="78">
        <v>99186</v>
      </c>
      <c r="D114" s="160" t="s">
        <v>209</v>
      </c>
      <c r="E114" s="3" t="s">
        <v>218</v>
      </c>
      <c r="F114" s="130" t="s">
        <v>57</v>
      </c>
      <c r="G114" s="115"/>
      <c r="H114" s="156" t="s">
        <v>618</v>
      </c>
      <c r="I114" s="156" t="s">
        <v>2</v>
      </c>
      <c r="J114" s="155" t="s">
        <v>1136</v>
      </c>
      <c r="K114" s="99">
        <v>27533</v>
      </c>
      <c r="L114" s="97">
        <f>INDEX(Table1[Production],MATCH(rrcworking[[#This Row],[RRC ID Number]],Table1[RRC Identifier],0))</f>
        <v>358</v>
      </c>
      <c r="M114" s="29">
        <f>INDEX(Table1[Formation Production],MATCH(rrcworking[[#This Row],[RRC ID Number]],Table1[RRC Identifier],0))</f>
        <v>180</v>
      </c>
      <c r="N114" s="30">
        <f>INDEX(Table1[On Hand End of Month],MATCH(rrcworking[[#This Row],[RRC ID Number]],Table1[RRC Identifier],0))</f>
        <v>92</v>
      </c>
      <c r="O114" s="102" t="b">
        <f>IF(AND(L114=0,M114=0), TRUE, FALSE)</f>
        <v>0</v>
      </c>
      <c r="P114">
        <v>288</v>
      </c>
      <c r="Q114" s="122">
        <f>rrcworking[[#This Row],[Last Month Closing Stock]]</f>
        <v>92</v>
      </c>
      <c r="R114">
        <v>366</v>
      </c>
      <c r="S114" s="133">
        <f>IF(ISERROR(INDEX(Table2[OIL],MATCH(rrcworking[[#This Row],[Magnum Wolfpak '#]],Table2[Rox Wolf'#],0))),0,INDEX(Table2[OIL],MATCH(rrcworking[[#This Row],[Magnum Wolfpak '#]],Table2[Rox Wolf'#],0)))</f>
        <v>0</v>
      </c>
      <c r="T114" s="34">
        <f>rrcworking[[#This Row],[Closing Stock (Oil)]]+rrcworking[[#This Row],[Sales/Dispostion]]-rrcworking[[#This Row],[Opening Oil Stock]]</f>
        <v>274</v>
      </c>
      <c r="U114" s="108">
        <f>rrcworking[[#This Row],[Gauge Sheet Prod Volume (oil)]]-rrcworking[[#This Row],[Oil Production]]</f>
        <v>14</v>
      </c>
      <c r="V114" s="133">
        <f>IF(ISERROR(INDEX(Table2[GAS],MATCH(rrcworking[[#This Row],[Magnum Wolfpak '#]],Table2[Rox Wolf'#],0))),0,INDEX(Table2[GAS],MATCH(rrcworking[[#This Row],[Magnum Wolfpak '#]],Table2[Rox Wolf'#],0)))</f>
        <v>0</v>
      </c>
      <c r="W114" s="58"/>
      <c r="X114" s="58"/>
      <c r="Y114" s="133">
        <f>IF(ISERROR(INDEX(Table2[LEASE USE],MATCH(rrcworking[[#This Row],[Magnum Wolfpak '#]],Table2[Rox Wolf'#],0))),0,INDEX(Table2[LEASE USE],MATCH(rrcworking[[#This Row],[Magnum Wolfpak '#]],Table2[Rox Wolf'#],0)))</f>
        <v>174</v>
      </c>
      <c r="Z114" s="133"/>
      <c r="AA114" s="56">
        <f>rrcworking[[#This Row],[Gas Sales Statement Volume (MCF)]]+rrcworking[[#This Row],[Lease Use (MCF)]]+rrcworking[[#This Row],[Flared Gas]]</f>
        <v>174</v>
      </c>
      <c r="AB114" s="36"/>
      <c r="AC114" s="36" t="s">
        <v>1137</v>
      </c>
      <c r="AD114" s="175">
        <f>COUNTIF(FilterList,rrcworking[[#This Row],[Magnum Wolfpak '#]])</f>
        <v>0</v>
      </c>
      <c r="AE114" s="172"/>
      <c r="AF114" s="173"/>
      <c r="AG114" s="83"/>
      <c r="AH114" s="83"/>
      <c r="AI114" s="174"/>
      <c r="AJ114" s="174"/>
      <c r="AK114" s="174"/>
      <c r="AL114" s="174"/>
      <c r="AM114" s="174"/>
      <c r="AN114" s="174"/>
      <c r="AO114" s="36" t="s">
        <v>1163</v>
      </c>
      <c r="AP114" s="36" t="s">
        <v>1207</v>
      </c>
    </row>
    <row r="115" spans="3:42" ht="14">
      <c r="C115" s="78" t="e">
        <v>#N/A</v>
      </c>
      <c r="D115" s="60" t="s">
        <v>217</v>
      </c>
      <c r="E115" s="125" t="s">
        <v>218</v>
      </c>
      <c r="F115" s="124">
        <v>7</v>
      </c>
      <c r="G115" s="115" t="s">
        <v>1090</v>
      </c>
      <c r="H115" s="18" t="s">
        <v>618</v>
      </c>
      <c r="I115" s="18" t="s">
        <v>59</v>
      </c>
      <c r="J115" s="19" t="s">
        <v>498</v>
      </c>
      <c r="K115" s="99">
        <v>229081</v>
      </c>
      <c r="L115" s="97">
        <f>INDEX(Table1[Production],MATCH(rrcworking[[#This Row],[RRC ID Number]],Table1[RRC Identifier],0))</f>
        <v>0</v>
      </c>
      <c r="M115" s="29">
        <f>INDEX(Table1[Formation Production],MATCH(rrcworking[[#This Row],[RRC ID Number]],Table1[RRC Identifier],0))</f>
        <v>0</v>
      </c>
      <c r="N115" s="30">
        <f>INDEX(Table1[On Hand End of Month],MATCH(rrcworking[[#This Row],[RRC ID Number]],Table1[RRC Identifier],0))</f>
        <v>0</v>
      </c>
      <c r="O115" s="102" t="b">
        <f t="shared" si="3"/>
        <v>1</v>
      </c>
      <c r="Q115" s="122">
        <f>rrcworking[[#This Row],[Last Month Closing Stock]]</f>
        <v>0</v>
      </c>
      <c r="R115">
        <f>rrcworking[[#This Row],[Opening Oil Stock]]</f>
        <v>0</v>
      </c>
      <c r="S115" s="133">
        <f>IF(ISERROR(INDEX(Table2[OIL],MATCH(rrcworking[[#This Row],[Magnum Wolfpak '#]],Table2[Rox Wolf'#],0))),0,INDEX(Table2[OIL],MATCH(rrcworking[[#This Row],[Magnum Wolfpak '#]],Table2[Rox Wolf'#],0)))</f>
        <v>0</v>
      </c>
      <c r="T115" s="34">
        <f>rrcworking[[#This Row],[Closing Stock (Oil)]]+rrcworking[[#This Row],[Sales/Dispostion]]-rrcworking[[#This Row],[Opening Oil Stock]]</f>
        <v>0</v>
      </c>
      <c r="U115" s="108">
        <f>rrcworking[[#This Row],[Gauge Sheet Prod Volume (oil)]]-rrcworking[[#This Row],[Oil Production]]</f>
        <v>0</v>
      </c>
      <c r="V115" s="133">
        <f>IF(ISERROR(INDEX(Table2[GAS],MATCH(rrcworking[[#This Row],[Magnum Wolfpak '#]],Table2[Rox Wolf'#],0))),0,INDEX(Table2[GAS],MATCH(rrcworking[[#This Row],[Magnum Wolfpak '#]],Table2[Rox Wolf'#],0)))</f>
        <v>0</v>
      </c>
      <c r="W115" s="58"/>
      <c r="X115" s="58"/>
      <c r="Y115" s="133">
        <f>IF(ISERROR(INDEX(Table2[LEASE USE],MATCH(rrcworking[[#This Row],[Magnum Wolfpak '#]],Table2[Rox Wolf'#],0))),0,INDEX(Table2[LEASE USE],MATCH(rrcworking[[#This Row],[Magnum Wolfpak '#]],Table2[Rox Wolf'#],0)))</f>
        <v>0</v>
      </c>
      <c r="Z115" s="133"/>
      <c r="AA115" s="56">
        <f>rrcworking[[#This Row],[Gas Sales Statement Volume (MCF)]]+rrcworking[[#This Row],[Lease Use (MCF)]]+rrcworking[[#This Row],[Flared Gas]]</f>
        <v>0</v>
      </c>
      <c r="AB115" s="36"/>
      <c r="AC115" s="36"/>
      <c r="AD115" s="175">
        <f>COUNTIF(FilterList,rrcworking[[#This Row],[Magnum Wolfpak '#]])</f>
        <v>0</v>
      </c>
      <c r="AE115" s="172"/>
      <c r="AF115" s="173"/>
      <c r="AG115" s="36"/>
      <c r="AH115" s="36"/>
      <c r="AI115" s="36"/>
      <c r="AJ115" s="36"/>
      <c r="AK115" s="36"/>
      <c r="AL115" s="36"/>
      <c r="AM115" s="36"/>
      <c r="AN115" s="36"/>
      <c r="AO115" s="36"/>
      <c r="AP115" s="36"/>
    </row>
    <row r="116" spans="3:42" ht="14">
      <c r="C116" s="78" t="e">
        <v>#N/A</v>
      </c>
      <c r="D116" s="60" t="s">
        <v>332</v>
      </c>
      <c r="E116" s="125" t="s">
        <v>333</v>
      </c>
      <c r="F116" s="124">
        <v>2</v>
      </c>
      <c r="G116" s="115" t="s">
        <v>1090</v>
      </c>
      <c r="H116" s="18" t="s">
        <v>619</v>
      </c>
      <c r="I116" s="18" t="s">
        <v>59</v>
      </c>
      <c r="J116" s="19" t="s">
        <v>567</v>
      </c>
      <c r="K116" s="99">
        <v>54242</v>
      </c>
      <c r="L116" s="97">
        <f>INDEX(Table1[Production],MATCH(rrcworking[[#This Row],[RRC ID Number]],Table1[RRC Identifier],0))</f>
        <v>0</v>
      </c>
      <c r="M116" s="29">
        <f>INDEX(Table1[Formation Production],MATCH(rrcworking[[#This Row],[RRC ID Number]],Table1[RRC Identifier],0))</f>
        <v>0</v>
      </c>
      <c r="N116" s="30">
        <f>INDEX(Table1[On Hand End of Month],MATCH(rrcworking[[#This Row],[RRC ID Number]],Table1[RRC Identifier],0))</f>
        <v>0</v>
      </c>
      <c r="O116" s="102" t="b">
        <f t="shared" si="3"/>
        <v>1</v>
      </c>
      <c r="Q116" s="122">
        <f>rrcworking[[#This Row],[Last Month Closing Stock]]</f>
        <v>0</v>
      </c>
      <c r="R116">
        <f>rrcworking[[#This Row],[Opening Oil Stock]]</f>
        <v>0</v>
      </c>
      <c r="S116" s="133">
        <f>IF(ISERROR(INDEX(Table2[OIL],MATCH(rrcworking[[#This Row],[Magnum Wolfpak '#]],Table2[Rox Wolf'#],0))),0,INDEX(Table2[OIL],MATCH(rrcworking[[#This Row],[Magnum Wolfpak '#]],Table2[Rox Wolf'#],0)))</f>
        <v>0</v>
      </c>
      <c r="T116" s="34">
        <f>rrcworking[[#This Row],[Closing Stock (Oil)]]+rrcworking[[#This Row],[Sales/Dispostion]]-rrcworking[[#This Row],[Opening Oil Stock]]</f>
        <v>0</v>
      </c>
      <c r="U116" s="108">
        <f>rrcworking[[#This Row],[Gauge Sheet Prod Volume (oil)]]-rrcworking[[#This Row],[Oil Production]]</f>
        <v>0</v>
      </c>
      <c r="V116" s="133">
        <f>IF(ISERROR(INDEX(Table2[GAS],MATCH(rrcworking[[#This Row],[Magnum Wolfpak '#]],Table2[Rox Wolf'#],0))),0,INDEX(Table2[GAS],MATCH(rrcworking[[#This Row],[Magnum Wolfpak '#]],Table2[Rox Wolf'#],0)))</f>
        <v>0</v>
      </c>
      <c r="W116" s="58"/>
      <c r="X116" s="58"/>
      <c r="Y116" s="133">
        <f>IF(ISERROR(INDEX(Table2[LEASE USE],MATCH(rrcworking[[#This Row],[Magnum Wolfpak '#]],Table2[Rox Wolf'#],0))),0,INDEX(Table2[LEASE USE],MATCH(rrcworking[[#This Row],[Magnum Wolfpak '#]],Table2[Rox Wolf'#],0)))</f>
        <v>0</v>
      </c>
      <c r="Z116" s="133"/>
      <c r="AA116" s="56">
        <f>rrcworking[[#This Row],[Gas Sales Statement Volume (MCF)]]+rrcworking[[#This Row],[Lease Use (MCF)]]+rrcworking[[#This Row],[Flared Gas]]</f>
        <v>0</v>
      </c>
      <c r="AB116" s="36"/>
      <c r="AC116" s="36"/>
      <c r="AD116" s="175">
        <f>COUNTIF(FilterList,rrcworking[[#This Row],[Magnum Wolfpak '#]])</f>
        <v>0</v>
      </c>
      <c r="AE116" s="172"/>
      <c r="AF116" s="173"/>
      <c r="AG116" s="36"/>
      <c r="AH116" s="36"/>
      <c r="AI116" s="36"/>
      <c r="AJ116" s="36"/>
      <c r="AK116" s="36"/>
      <c r="AL116" s="36"/>
      <c r="AM116" s="36"/>
      <c r="AN116" s="36"/>
      <c r="AO116" s="36"/>
      <c r="AP116" s="36"/>
    </row>
    <row r="117" spans="3:42" ht="14">
      <c r="C117" s="78" t="e">
        <v>#N/A</v>
      </c>
      <c r="D117" s="60" t="s">
        <v>122</v>
      </c>
      <c r="E117" s="125" t="s">
        <v>123</v>
      </c>
      <c r="F117" s="124">
        <v>0</v>
      </c>
      <c r="G117" s="115" t="s">
        <v>1090</v>
      </c>
      <c r="H117" s="18" t="s">
        <v>617</v>
      </c>
      <c r="I117" s="18" t="s">
        <v>2</v>
      </c>
      <c r="J117" s="19" t="s">
        <v>442</v>
      </c>
      <c r="K117" s="99">
        <v>8635</v>
      </c>
      <c r="L117" s="97">
        <f>INDEX(Table1[Production],MATCH(rrcworking[[#This Row],[RRC ID Number]],Table1[RRC Identifier],0))</f>
        <v>0</v>
      </c>
      <c r="M117" s="29">
        <f>INDEX(Table1[Formation Production],MATCH(rrcworking[[#This Row],[RRC ID Number]],Table1[RRC Identifier],0))</f>
        <v>0</v>
      </c>
      <c r="N117" s="30">
        <f>INDEX(Table1[On Hand End of Month],MATCH(rrcworking[[#This Row],[RRC ID Number]],Table1[RRC Identifier],0))</f>
        <v>0</v>
      </c>
      <c r="O117" s="102" t="b">
        <f t="shared" si="3"/>
        <v>1</v>
      </c>
      <c r="Q117" s="122">
        <f>rrcworking[[#This Row],[Last Month Closing Stock]]</f>
        <v>0</v>
      </c>
      <c r="R117">
        <f>rrcworking[[#This Row],[Opening Oil Stock]]</f>
        <v>0</v>
      </c>
      <c r="S117" s="133">
        <f>IF(ISERROR(INDEX(Table2[OIL],MATCH(rrcworking[[#This Row],[Magnum Wolfpak '#]],Table2[Rox Wolf'#],0))),0,INDEX(Table2[OIL],MATCH(rrcworking[[#This Row],[Magnum Wolfpak '#]],Table2[Rox Wolf'#],0)))</f>
        <v>0</v>
      </c>
      <c r="T117" s="34">
        <f>rrcworking[[#This Row],[Closing Stock (Oil)]]+rrcworking[[#This Row],[Sales/Dispostion]]-rrcworking[[#This Row],[Opening Oil Stock]]</f>
        <v>0</v>
      </c>
      <c r="U117" s="108">
        <f>rrcworking[[#This Row],[Gauge Sheet Prod Volume (oil)]]-rrcworking[[#This Row],[Oil Production]]</f>
        <v>0</v>
      </c>
      <c r="V117" s="133">
        <f>IF(ISERROR(INDEX(Table2[GAS],MATCH(rrcworking[[#This Row],[Magnum Wolfpak '#]],Table2[Rox Wolf'#],0))),0,INDEX(Table2[GAS],MATCH(rrcworking[[#This Row],[Magnum Wolfpak '#]],Table2[Rox Wolf'#],0)))</f>
        <v>0</v>
      </c>
      <c r="W117" s="58"/>
      <c r="X117" s="58"/>
      <c r="Y117" s="133">
        <f>IF(ISERROR(INDEX(Table2[LEASE USE],MATCH(rrcworking[[#This Row],[Magnum Wolfpak '#]],Table2[Rox Wolf'#],0))),0,INDEX(Table2[LEASE USE],MATCH(rrcworking[[#This Row],[Magnum Wolfpak '#]],Table2[Rox Wolf'#],0)))</f>
        <v>0</v>
      </c>
      <c r="Z117" s="133"/>
      <c r="AA117" s="56">
        <f>rrcworking[[#This Row],[Gas Sales Statement Volume (MCF)]]+rrcworking[[#This Row],[Lease Use (MCF)]]+rrcworking[[#This Row],[Flared Gas]]</f>
        <v>0</v>
      </c>
      <c r="AB117" s="36"/>
      <c r="AC117" s="36"/>
      <c r="AD117" s="175">
        <f>COUNTIF(FilterList,rrcworking[[#This Row],[Magnum Wolfpak '#]])</f>
        <v>0</v>
      </c>
      <c r="AE117" s="172"/>
      <c r="AF117" s="173"/>
      <c r="AG117" s="36"/>
      <c r="AH117" s="36"/>
      <c r="AI117" s="36"/>
      <c r="AJ117" s="36"/>
      <c r="AK117" s="36"/>
      <c r="AL117" s="36"/>
      <c r="AM117" s="36"/>
      <c r="AN117" s="36"/>
      <c r="AO117" s="36"/>
      <c r="AP117" s="36"/>
    </row>
    <row r="118" spans="3:42" ht="14">
      <c r="C118" s="78" t="e">
        <v>#N/A</v>
      </c>
      <c r="D118" s="60" t="s">
        <v>124</v>
      </c>
      <c r="E118" s="125" t="s">
        <v>123</v>
      </c>
      <c r="F118" s="124">
        <v>0</v>
      </c>
      <c r="G118" s="115" t="s">
        <v>1090</v>
      </c>
      <c r="H118" s="18" t="s">
        <v>617</v>
      </c>
      <c r="I118" s="18" t="s">
        <v>2</v>
      </c>
      <c r="J118" s="19" t="s">
        <v>443</v>
      </c>
      <c r="K118" s="99">
        <v>8247</v>
      </c>
      <c r="L118" s="97">
        <f>INDEX(Table1[Production],MATCH(rrcworking[[#This Row],[RRC ID Number]],Table1[RRC Identifier],0))</f>
        <v>0</v>
      </c>
      <c r="M118" s="29">
        <f>INDEX(Table1[Formation Production],MATCH(rrcworking[[#This Row],[RRC ID Number]],Table1[RRC Identifier],0))</f>
        <v>0</v>
      </c>
      <c r="N118" s="30">
        <f>INDEX(Table1[On Hand End of Month],MATCH(rrcworking[[#This Row],[RRC ID Number]],Table1[RRC Identifier],0))</f>
        <v>0</v>
      </c>
      <c r="O118" s="102" t="b">
        <f t="shared" si="3"/>
        <v>1</v>
      </c>
      <c r="Q118" s="122">
        <f>rrcworking[[#This Row],[Last Month Closing Stock]]</f>
        <v>0</v>
      </c>
      <c r="R118">
        <f>rrcworking[[#This Row],[Opening Oil Stock]]</f>
        <v>0</v>
      </c>
      <c r="S118" s="133">
        <f>IF(ISERROR(INDEX(Table2[OIL],MATCH(rrcworking[[#This Row],[Magnum Wolfpak '#]],Table2[Rox Wolf'#],0))),0,INDEX(Table2[OIL],MATCH(rrcworking[[#This Row],[Magnum Wolfpak '#]],Table2[Rox Wolf'#],0)))</f>
        <v>0</v>
      </c>
      <c r="T118" s="34">
        <f>rrcworking[[#This Row],[Closing Stock (Oil)]]+rrcworking[[#This Row],[Sales/Dispostion]]-rrcworking[[#This Row],[Opening Oil Stock]]</f>
        <v>0</v>
      </c>
      <c r="U118" s="108">
        <f>rrcworking[[#This Row],[Gauge Sheet Prod Volume (oil)]]-rrcworking[[#This Row],[Oil Production]]</f>
        <v>0</v>
      </c>
      <c r="V118" s="133">
        <f>IF(ISERROR(INDEX(Table2[GAS],MATCH(rrcworking[[#This Row],[Magnum Wolfpak '#]],Table2[Rox Wolf'#],0))),0,INDEX(Table2[GAS],MATCH(rrcworking[[#This Row],[Magnum Wolfpak '#]],Table2[Rox Wolf'#],0)))</f>
        <v>0</v>
      </c>
      <c r="W118" s="58"/>
      <c r="X118" s="58"/>
      <c r="Y118" s="133">
        <f>IF(ISERROR(INDEX(Table2[LEASE USE],MATCH(rrcworking[[#This Row],[Magnum Wolfpak '#]],Table2[Rox Wolf'#],0))),0,INDEX(Table2[LEASE USE],MATCH(rrcworking[[#This Row],[Magnum Wolfpak '#]],Table2[Rox Wolf'#],0)))</f>
        <v>0</v>
      </c>
      <c r="Z118" s="133"/>
      <c r="AA118" s="56">
        <f>rrcworking[[#This Row],[Gas Sales Statement Volume (MCF)]]+rrcworking[[#This Row],[Lease Use (MCF)]]+rrcworking[[#This Row],[Flared Gas]]</f>
        <v>0</v>
      </c>
      <c r="AB118" s="36"/>
      <c r="AC118" s="36"/>
      <c r="AD118" s="175">
        <f>COUNTIF(FilterList,rrcworking[[#This Row],[Magnum Wolfpak '#]])</f>
        <v>0</v>
      </c>
      <c r="AE118" s="172"/>
      <c r="AF118" s="173"/>
      <c r="AG118" s="36"/>
      <c r="AH118" s="36"/>
      <c r="AI118" s="36"/>
      <c r="AJ118" s="36"/>
      <c r="AK118" s="36"/>
      <c r="AL118" s="36"/>
      <c r="AM118" s="36"/>
      <c r="AN118" s="36"/>
      <c r="AO118" s="36"/>
      <c r="AP118" s="36"/>
    </row>
    <row r="119" spans="3:42" ht="14">
      <c r="C119" s="78" t="e">
        <v>#N/A</v>
      </c>
      <c r="D119" s="60" t="s">
        <v>125</v>
      </c>
      <c r="E119" s="125" t="s">
        <v>123</v>
      </c>
      <c r="F119" s="124">
        <v>5</v>
      </c>
      <c r="G119" s="115" t="s">
        <v>1090</v>
      </c>
      <c r="H119" s="18" t="s">
        <v>617</v>
      </c>
      <c r="I119" s="18" t="s">
        <v>59</v>
      </c>
      <c r="J119" s="19" t="s">
        <v>444</v>
      </c>
      <c r="K119" s="99">
        <v>182045</v>
      </c>
      <c r="L119" s="97">
        <f>INDEX(Table1[Production],MATCH(rrcworking[[#This Row],[RRC ID Number]],Table1[RRC Identifier],0))</f>
        <v>0</v>
      </c>
      <c r="M119" s="29">
        <f>INDEX(Table1[Formation Production],MATCH(rrcworking[[#This Row],[RRC ID Number]],Table1[RRC Identifier],0))</f>
        <v>0</v>
      </c>
      <c r="N119" s="30">
        <f>INDEX(Table1[On Hand End of Month],MATCH(rrcworking[[#This Row],[RRC ID Number]],Table1[RRC Identifier],0))</f>
        <v>0</v>
      </c>
      <c r="O119" s="102" t="b">
        <f t="shared" si="3"/>
        <v>1</v>
      </c>
      <c r="Q119" s="122">
        <f>rrcworking[[#This Row],[Last Month Closing Stock]]</f>
        <v>0</v>
      </c>
      <c r="R119">
        <f>rrcworking[[#This Row],[Opening Oil Stock]]</f>
        <v>0</v>
      </c>
      <c r="S119" s="133">
        <f>IF(ISERROR(INDEX(Table2[OIL],MATCH(rrcworking[[#This Row],[Magnum Wolfpak '#]],Table2[Rox Wolf'#],0))),0,INDEX(Table2[OIL],MATCH(rrcworking[[#This Row],[Magnum Wolfpak '#]],Table2[Rox Wolf'#],0)))</f>
        <v>0</v>
      </c>
      <c r="T119" s="34">
        <f>rrcworking[[#This Row],[Closing Stock (Oil)]]+rrcworking[[#This Row],[Sales/Dispostion]]-rrcworking[[#This Row],[Opening Oil Stock]]</f>
        <v>0</v>
      </c>
      <c r="U119" s="108">
        <f>rrcworking[[#This Row],[Gauge Sheet Prod Volume (oil)]]-rrcworking[[#This Row],[Oil Production]]</f>
        <v>0</v>
      </c>
      <c r="V119" s="133">
        <f>IF(ISERROR(INDEX(Table2[GAS],MATCH(rrcworking[[#This Row],[Magnum Wolfpak '#]],Table2[Rox Wolf'#],0))),0,INDEX(Table2[GAS],MATCH(rrcworking[[#This Row],[Magnum Wolfpak '#]],Table2[Rox Wolf'#],0)))</f>
        <v>0</v>
      </c>
      <c r="W119" s="58"/>
      <c r="X119" s="58"/>
      <c r="Y119" s="133">
        <f>IF(ISERROR(INDEX(Table2[LEASE USE],MATCH(rrcworking[[#This Row],[Magnum Wolfpak '#]],Table2[Rox Wolf'#],0))),0,INDEX(Table2[LEASE USE],MATCH(rrcworking[[#This Row],[Magnum Wolfpak '#]],Table2[Rox Wolf'#],0)))</f>
        <v>0</v>
      </c>
      <c r="Z119" s="133"/>
      <c r="AA119" s="56">
        <f>rrcworking[[#This Row],[Gas Sales Statement Volume (MCF)]]+rrcworking[[#This Row],[Lease Use (MCF)]]+rrcworking[[#This Row],[Flared Gas]]</f>
        <v>0</v>
      </c>
      <c r="AB119" s="36"/>
      <c r="AC119" s="36"/>
      <c r="AD119" s="175">
        <f>COUNTIF(FilterList,rrcworking[[#This Row],[Magnum Wolfpak '#]])</f>
        <v>0</v>
      </c>
      <c r="AE119" s="172"/>
      <c r="AF119" s="173"/>
      <c r="AG119" s="36"/>
      <c r="AH119" s="36"/>
      <c r="AI119" s="36"/>
      <c r="AJ119" s="36"/>
      <c r="AK119" s="36"/>
      <c r="AL119" s="36"/>
      <c r="AM119" s="36"/>
      <c r="AN119" s="36"/>
      <c r="AO119" s="36"/>
      <c r="AP119" s="36"/>
    </row>
    <row r="120" spans="3:42" ht="70">
      <c r="C120" s="78">
        <v>99288</v>
      </c>
      <c r="D120" s="60" t="s">
        <v>154</v>
      </c>
      <c r="E120" s="125" t="s">
        <v>155</v>
      </c>
      <c r="F120" s="124">
        <v>0</v>
      </c>
      <c r="G120" s="115" t="s">
        <v>1090</v>
      </c>
      <c r="H120" s="18" t="s">
        <v>618</v>
      </c>
      <c r="I120" s="18" t="s">
        <v>2</v>
      </c>
      <c r="J120" s="19" t="s">
        <v>463</v>
      </c>
      <c r="K120" s="99">
        <v>27348</v>
      </c>
      <c r="L120" s="97">
        <f>INDEX(Table1[Production],MATCH(rrcworking[[#This Row],[RRC ID Number]],Table1[RRC Identifier],0))</f>
        <v>0</v>
      </c>
      <c r="M120" s="29">
        <f>INDEX(Table1[Formation Production],MATCH(rrcworking[[#This Row],[RRC ID Number]],Table1[RRC Identifier],0))</f>
        <v>460</v>
      </c>
      <c r="N120" s="30">
        <f>INDEX(Table1[On Hand End of Month],MATCH(rrcworking[[#This Row],[RRC ID Number]],Table1[RRC Identifier],0))</f>
        <v>51</v>
      </c>
      <c r="O120" s="102" t="b">
        <f t="shared" si="3"/>
        <v>0</v>
      </c>
      <c r="P120">
        <v>0</v>
      </c>
      <c r="Q120" s="122">
        <f>rrcworking[[#This Row],[Last Month Closing Stock]]</f>
        <v>51</v>
      </c>
      <c r="R120">
        <v>51</v>
      </c>
      <c r="S120" s="133">
        <f>IF(ISERROR(INDEX(Table2[OIL],MATCH(rrcworking[[#This Row],[Magnum Wolfpak '#]],Table2[Rox Wolf'#],0))),0,INDEX(Table2[OIL],MATCH(rrcworking[[#This Row],[Magnum Wolfpak '#]],Table2[Rox Wolf'#],0)))</f>
        <v>0</v>
      </c>
      <c r="T120" s="34">
        <f>rrcworking[[#This Row],[Closing Stock (Oil)]]+rrcworking[[#This Row],[Sales/Dispostion]]-rrcworking[[#This Row],[Opening Oil Stock]]</f>
        <v>0</v>
      </c>
      <c r="U120" s="108">
        <f>rrcworking[[#This Row],[Gauge Sheet Prod Volume (oil)]]-rrcworking[[#This Row],[Oil Production]]</f>
        <v>0</v>
      </c>
      <c r="V120" s="133">
        <f>IF(ISERROR(INDEX(Table2[GAS],MATCH(rrcworking[[#This Row],[Magnum Wolfpak '#]],Table2[Rox Wolf'#],0))),0,INDEX(Table2[GAS],MATCH(rrcworking[[#This Row],[Magnum Wolfpak '#]],Table2[Rox Wolf'#],0)))</f>
        <v>0</v>
      </c>
      <c r="W120" s="58"/>
      <c r="X120" s="58"/>
      <c r="Y120" s="133">
        <f>IF(ISERROR(INDEX(Table2[LEASE USE],MATCH(rrcworking[[#This Row],[Magnum Wolfpak '#]],Table2[Rox Wolf'#],0))),0,INDEX(Table2[LEASE USE],MATCH(rrcworking[[#This Row],[Magnum Wolfpak '#]],Table2[Rox Wolf'#],0)))</f>
        <v>0</v>
      </c>
      <c r="Z120" s="133"/>
      <c r="AA120" s="56">
        <f>rrcworking[[#This Row],[Gas Sales Statement Volume (MCF)]]+rrcworking[[#This Row],[Lease Use (MCF)]]+rrcworking[[#This Row],[Flared Gas]]</f>
        <v>0</v>
      </c>
      <c r="AB120" s="36"/>
      <c r="AC120" s="36" t="s">
        <v>1283</v>
      </c>
      <c r="AD120" s="175">
        <f>COUNTIF(FilterList,rrcworking[[#This Row],[Magnum Wolfpak '#]])</f>
        <v>1</v>
      </c>
      <c r="AE120" s="172"/>
      <c r="AF120" s="173"/>
      <c r="AG120" s="36"/>
      <c r="AH120" s="36"/>
      <c r="AI120" s="36">
        <v>2</v>
      </c>
      <c r="AJ120" s="36" t="s">
        <v>1165</v>
      </c>
      <c r="AK120" s="36" t="s">
        <v>1165</v>
      </c>
      <c r="AL120" s="36" t="s">
        <v>1196</v>
      </c>
      <c r="AM120" s="36" t="s">
        <v>1139</v>
      </c>
      <c r="AN120" s="36" t="s">
        <v>1171</v>
      </c>
      <c r="AO120" s="36" t="s">
        <v>1163</v>
      </c>
      <c r="AP120" s="36" t="s">
        <v>1240</v>
      </c>
    </row>
    <row r="121" spans="3:42" ht="28">
      <c r="C121" s="78">
        <v>99297</v>
      </c>
      <c r="D121" s="160" t="s">
        <v>151</v>
      </c>
      <c r="E121" s="20" t="s">
        <v>794</v>
      </c>
      <c r="F121" s="21" t="s">
        <v>61</v>
      </c>
      <c r="G121" s="115"/>
      <c r="H121" s="21" t="s">
        <v>618</v>
      </c>
      <c r="I121" s="21" t="s">
        <v>2</v>
      </c>
      <c r="J121" s="188" t="s">
        <v>1251</v>
      </c>
      <c r="K121" s="99">
        <v>27617</v>
      </c>
      <c r="L121" s="97">
        <f>INDEX(Table1[Production],MATCH(rrcworking[[#This Row],[RRC ID Number]],Table1[RRC Identifier],0))</f>
        <v>1168</v>
      </c>
      <c r="M121" s="29">
        <f>INDEX(Table1[Formation Production],MATCH(rrcworking[[#This Row],[RRC ID Number]],Table1[RRC Identifier],0))</f>
        <v>18</v>
      </c>
      <c r="N121" s="30">
        <f>INDEX(Table1[On Hand End of Month],MATCH(rrcworking[[#This Row],[RRC ID Number]],Table1[RRC Identifier],0))</f>
        <v>257</v>
      </c>
      <c r="O121" s="102" t="b">
        <f t="shared" si="3"/>
        <v>0</v>
      </c>
      <c r="P121">
        <v>0</v>
      </c>
      <c r="Q121" s="122">
        <f>rrcworking[[#This Row],[Last Month Closing Stock]]</f>
        <v>257</v>
      </c>
      <c r="R121">
        <v>257</v>
      </c>
      <c r="S121" s="133">
        <f>IF(ISERROR(INDEX(Table2[OIL],MATCH(rrcworking[[#This Row],[Magnum Wolfpak '#]],Table2[Rox Wolf'#],0))),0,INDEX(Table2[OIL],MATCH(rrcworking[[#This Row],[Magnum Wolfpak '#]],Table2[Rox Wolf'#],0)))</f>
        <v>0</v>
      </c>
      <c r="T121" s="96">
        <f>rrcworking[[#This Row],[Closing Stock (Oil)]]+rrcworking[[#This Row],[Sales/Dispostion]]-rrcworking[[#This Row],[Opening Oil Stock]]</f>
        <v>0</v>
      </c>
      <c r="U121" s="109">
        <f>rrcworking[[#This Row],[Gauge Sheet Prod Volume (oil)]]-rrcworking[[#This Row],[Oil Production]]</f>
        <v>0</v>
      </c>
      <c r="V121" s="133">
        <f>IF(ISERROR(INDEX(Table2[GAS],MATCH(rrcworking[[#This Row],[Magnum Wolfpak '#]],Table2[Rox Wolf'#],0))),0,INDEX(Table2[GAS],MATCH(rrcworking[[#This Row],[Magnum Wolfpak '#]],Table2[Rox Wolf'#],0)))</f>
        <v>0</v>
      </c>
      <c r="W121" s="58"/>
      <c r="X121" s="58"/>
      <c r="Y121" s="133">
        <f>IF(ISERROR(INDEX(Table2[LEASE USE],MATCH(rrcworking[[#This Row],[Magnum Wolfpak '#]],Table2[Rox Wolf'#],0))),0,INDEX(Table2[LEASE USE],MATCH(rrcworking[[#This Row],[Magnum Wolfpak '#]],Table2[Rox Wolf'#],0)))</f>
        <v>0</v>
      </c>
      <c r="Z121" s="133"/>
      <c r="AA121" s="56">
        <f>rrcworking[[#This Row],[Gas Sales Statement Volume (MCF)]]+rrcworking[[#This Row],[Lease Use (MCF)]]+rrcworking[[#This Row],[Flared Gas]]</f>
        <v>0</v>
      </c>
      <c r="AB121" s="36"/>
      <c r="AC121" s="36" t="s">
        <v>1252</v>
      </c>
      <c r="AD121" s="175">
        <f>COUNTIF(FilterList,rrcworking[[#This Row],[Magnum Wolfpak '#]])</f>
        <v>0</v>
      </c>
      <c r="AE121" s="172"/>
      <c r="AF121" s="173"/>
      <c r="AG121" s="36"/>
      <c r="AH121" s="173"/>
      <c r="AI121" s="36">
        <v>2</v>
      </c>
      <c r="AJ121" s="36" t="s">
        <v>1165</v>
      </c>
      <c r="AK121" s="36" t="s">
        <v>1165</v>
      </c>
      <c r="AL121" s="36" t="s">
        <v>1196</v>
      </c>
      <c r="AM121" s="36" t="s">
        <v>1139</v>
      </c>
      <c r="AN121" s="36" t="s">
        <v>1171</v>
      </c>
      <c r="AO121" s="36" t="s">
        <v>1208</v>
      </c>
      <c r="AP121" s="36"/>
    </row>
    <row r="122" spans="3:42" ht="14">
      <c r="C122" s="78" t="e">
        <v>#N/A</v>
      </c>
      <c r="D122" s="60" t="s">
        <v>227</v>
      </c>
      <c r="E122" s="125" t="s">
        <v>228</v>
      </c>
      <c r="F122" s="124">
        <v>1</v>
      </c>
      <c r="G122" s="115" t="s">
        <v>1090</v>
      </c>
      <c r="H122" s="18" t="s">
        <v>618</v>
      </c>
      <c r="I122" s="18" t="s">
        <v>59</v>
      </c>
      <c r="J122" s="19" t="s">
        <v>502</v>
      </c>
      <c r="K122" s="99">
        <v>139199</v>
      </c>
      <c r="L122" s="97">
        <f>INDEX(Table1[Production],MATCH(rrcworking[[#This Row],[RRC ID Number]],Table1[RRC Identifier],0))</f>
        <v>0</v>
      </c>
      <c r="M122" s="29">
        <f>INDEX(Table1[Formation Production],MATCH(rrcworking[[#This Row],[RRC ID Number]],Table1[RRC Identifier],0))</f>
        <v>0</v>
      </c>
      <c r="N122" s="30">
        <f>INDEX(Table1[On Hand End of Month],MATCH(rrcworking[[#This Row],[RRC ID Number]],Table1[RRC Identifier],0))</f>
        <v>0</v>
      </c>
      <c r="O122" s="102" t="b">
        <f t="shared" si="3"/>
        <v>1</v>
      </c>
      <c r="Q122" s="122">
        <f>rrcworking[[#This Row],[Last Month Closing Stock]]</f>
        <v>0</v>
      </c>
      <c r="R122">
        <f>rrcworking[[#This Row],[Opening Oil Stock]]</f>
        <v>0</v>
      </c>
      <c r="S122" s="133">
        <f>IF(ISERROR(INDEX(Table2[OIL],MATCH(rrcworking[[#This Row],[Magnum Wolfpak '#]],Table2[Rox Wolf'#],0))),0,INDEX(Table2[OIL],MATCH(rrcworking[[#This Row],[Magnum Wolfpak '#]],Table2[Rox Wolf'#],0)))</f>
        <v>0</v>
      </c>
      <c r="T122" s="34">
        <f>rrcworking[[#This Row],[Closing Stock (Oil)]]+rrcworking[[#This Row],[Sales/Dispostion]]-rrcworking[[#This Row],[Opening Oil Stock]]</f>
        <v>0</v>
      </c>
      <c r="U122" s="108">
        <f>rrcworking[[#This Row],[Gauge Sheet Prod Volume (oil)]]-rrcworking[[#This Row],[Oil Production]]</f>
        <v>0</v>
      </c>
      <c r="V122" s="133">
        <f>IF(ISERROR(INDEX(Table2[GAS],MATCH(rrcworking[[#This Row],[Magnum Wolfpak '#]],Table2[Rox Wolf'#],0))),0,INDEX(Table2[GAS],MATCH(rrcworking[[#This Row],[Magnum Wolfpak '#]],Table2[Rox Wolf'#],0)))</f>
        <v>0</v>
      </c>
      <c r="W122" s="58"/>
      <c r="X122" s="58"/>
      <c r="Y122" s="133">
        <f>IF(ISERROR(INDEX(Table2[LEASE USE],MATCH(rrcworking[[#This Row],[Magnum Wolfpak '#]],Table2[Rox Wolf'#],0))),0,INDEX(Table2[LEASE USE],MATCH(rrcworking[[#This Row],[Magnum Wolfpak '#]],Table2[Rox Wolf'#],0)))</f>
        <v>0</v>
      </c>
      <c r="Z122" s="133"/>
      <c r="AA122" s="56">
        <f>rrcworking[[#This Row],[Gas Sales Statement Volume (MCF)]]+rrcworking[[#This Row],[Lease Use (MCF)]]+rrcworking[[#This Row],[Flared Gas]]</f>
        <v>0</v>
      </c>
      <c r="AB122" s="36"/>
      <c r="AC122" s="36"/>
      <c r="AD122" s="175">
        <f>COUNTIF(FilterList,rrcworking[[#This Row],[Magnum Wolfpak '#]])</f>
        <v>0</v>
      </c>
      <c r="AE122" s="172"/>
      <c r="AF122" s="173"/>
      <c r="AG122" s="36"/>
      <c r="AH122" s="36"/>
      <c r="AI122" s="36"/>
      <c r="AJ122" s="36"/>
      <c r="AK122" s="36"/>
      <c r="AL122" s="36"/>
      <c r="AM122" s="36"/>
      <c r="AN122" s="36"/>
      <c r="AO122" s="36"/>
      <c r="AP122" s="36"/>
    </row>
    <row r="123" spans="3:42" ht="14">
      <c r="C123" s="78">
        <v>99268</v>
      </c>
      <c r="D123" s="60" t="s">
        <v>325</v>
      </c>
      <c r="E123" s="125" t="s">
        <v>327</v>
      </c>
      <c r="F123" s="124">
        <v>1</v>
      </c>
      <c r="G123" s="115" t="s">
        <v>1090</v>
      </c>
      <c r="H123" s="18" t="s">
        <v>619</v>
      </c>
      <c r="I123" s="18" t="s">
        <v>59</v>
      </c>
      <c r="J123" s="19" t="s">
        <v>563</v>
      </c>
      <c r="K123" s="99">
        <v>250087</v>
      </c>
      <c r="L123" s="97">
        <f>INDEX(Table1[Production],MATCH(rrcworking[[#This Row],[RRC ID Number]],Table1[RRC Identifier],0))</f>
        <v>0</v>
      </c>
      <c r="M123" s="29">
        <f>INDEX(Table1[Formation Production],MATCH(rrcworking[[#This Row],[RRC ID Number]],Table1[RRC Identifier],0))</f>
        <v>4385</v>
      </c>
      <c r="N123" s="30">
        <f>INDEX(Table1[On Hand End of Month],MATCH(rrcworking[[#This Row],[RRC ID Number]],Table1[RRC Identifier],0))</f>
        <v>24</v>
      </c>
      <c r="O123" s="102" t="b">
        <f t="shared" si="3"/>
        <v>0</v>
      </c>
      <c r="Q123" s="122">
        <f>rrcworking[[#This Row],[Last Month Closing Stock]]</f>
        <v>24</v>
      </c>
      <c r="R123">
        <v>24</v>
      </c>
      <c r="S123" s="133">
        <f>IF(ISERROR(INDEX(Table2[OIL],MATCH(rrcworking[[#This Row],[Magnum Wolfpak '#]],Table2[Rox Wolf'#],0))),0,INDEX(Table2[OIL],MATCH(rrcworking[[#This Row],[Magnum Wolfpak '#]],Table2[Rox Wolf'#],0)))</f>
        <v>0</v>
      </c>
      <c r="T123" s="34">
        <f>rrcworking[[#This Row],[Closing Stock (Oil)]]+rrcworking[[#This Row],[Sales/Dispostion]]-rrcworking[[#This Row],[Opening Oil Stock]]</f>
        <v>0</v>
      </c>
      <c r="U123" s="108">
        <f>rrcworking[[#This Row],[Gauge Sheet Prod Volume (oil)]]-rrcworking[[#This Row],[Oil Production]]</f>
        <v>0</v>
      </c>
      <c r="V123" s="133">
        <f>IF(ISERROR(INDEX(Table2[GAS],MATCH(rrcworking[[#This Row],[Magnum Wolfpak '#]],Table2[Rox Wolf'#],0))),0,INDEX(Table2[GAS],MATCH(rrcworking[[#This Row],[Magnum Wolfpak '#]],Table2[Rox Wolf'#],0)))</f>
        <v>5720</v>
      </c>
      <c r="W123" s="58"/>
      <c r="X123" s="58"/>
      <c r="Y123" s="133">
        <f>IF(ISERROR(INDEX(Table2[LEASE USE],MATCH(rrcworking[[#This Row],[Magnum Wolfpak '#]],Table2[Rox Wolf'#],0))),0,INDEX(Table2[LEASE USE],MATCH(rrcworking[[#This Row],[Magnum Wolfpak '#]],Table2[Rox Wolf'#],0)))</f>
        <v>288</v>
      </c>
      <c r="Z123" s="133"/>
      <c r="AA123" s="56">
        <f>rrcworking[[#This Row],[Gas Sales Statement Volume (MCF)]]+rrcworking[[#This Row],[Lease Use (MCF)]]+rrcworking[[#This Row],[Flared Gas]]</f>
        <v>6008</v>
      </c>
      <c r="AB123" s="36" t="s">
        <v>1116</v>
      </c>
      <c r="AC123" s="36"/>
      <c r="AD123" s="175">
        <f>COUNTIF(FilterList,rrcworking[[#This Row],[Magnum Wolfpak '#]])</f>
        <v>0</v>
      </c>
      <c r="AE123" s="172"/>
      <c r="AF123" s="173"/>
      <c r="AG123" s="36"/>
      <c r="AH123" s="36"/>
      <c r="AI123" s="36">
        <v>1</v>
      </c>
      <c r="AJ123" s="36" t="s">
        <v>1165</v>
      </c>
      <c r="AK123" s="36" t="s">
        <v>1165</v>
      </c>
      <c r="AL123" s="36" t="s">
        <v>1209</v>
      </c>
      <c r="AM123" s="36" t="s">
        <v>1139</v>
      </c>
      <c r="AN123" s="36" t="s">
        <v>1210</v>
      </c>
      <c r="AO123" s="36" t="s">
        <v>1163</v>
      </c>
      <c r="AP123" s="36" t="s">
        <v>1211</v>
      </c>
    </row>
    <row r="124" spans="3:42" ht="98">
      <c r="C124" s="78">
        <v>99102</v>
      </c>
      <c r="D124" s="60" t="s">
        <v>101</v>
      </c>
      <c r="E124" s="125" t="s">
        <v>102</v>
      </c>
      <c r="F124" s="124">
        <v>1</v>
      </c>
      <c r="G124" s="115" t="s">
        <v>1090</v>
      </c>
      <c r="H124" s="18" t="s">
        <v>617</v>
      </c>
      <c r="I124" s="18" t="s">
        <v>59</v>
      </c>
      <c r="J124" s="19" t="s">
        <v>429</v>
      </c>
      <c r="K124" s="99">
        <v>245422</v>
      </c>
      <c r="L124" s="97">
        <f>INDEX(Table1[Production],MATCH(rrcworking[[#This Row],[RRC ID Number]],Table1[RRC Identifier],0))</f>
        <v>602</v>
      </c>
      <c r="M124" s="29">
        <f>INDEX(Table1[Formation Production],MATCH(rrcworking[[#This Row],[RRC ID Number]],Table1[RRC Identifier],0))</f>
        <v>43108</v>
      </c>
      <c r="N124" s="30">
        <f>INDEX(Table1[On Hand End of Month],MATCH(rrcworking[[#This Row],[RRC ID Number]],Table1[RRC Identifier],0))</f>
        <v>154</v>
      </c>
      <c r="O124" s="102" t="b">
        <f t="shared" si="3"/>
        <v>0</v>
      </c>
      <c r="P124">
        <v>554</v>
      </c>
      <c r="Q124" s="122">
        <f>rrcworking[[#This Row],[Last Month Closing Stock]]</f>
        <v>154</v>
      </c>
      <c r="R124">
        <v>708</v>
      </c>
      <c r="S124" s="133">
        <f>IF(ISERROR(INDEX(Table2[OIL],MATCH(rrcworking[[#This Row],[Magnum Wolfpak '#]],Table2[Rox Wolf'#],0))),0,INDEX(Table2[OIL],MATCH(rrcworking[[#This Row],[Magnum Wolfpak '#]],Table2[Rox Wolf'#],0)))</f>
        <v>0</v>
      </c>
      <c r="T124" s="34">
        <f>rrcworking[[#This Row],[Closing Stock (Oil)]]+rrcworking[[#This Row],[Sales/Dispostion]]-rrcworking[[#This Row],[Opening Oil Stock]]</f>
        <v>554</v>
      </c>
      <c r="U124" s="108">
        <f>rrcworking[[#This Row],[Gauge Sheet Prod Volume (oil)]]-rrcworking[[#This Row],[Oil Production]]</f>
        <v>0</v>
      </c>
      <c r="V124" s="133">
        <f>IF(ISERROR(INDEX(Table2[GAS],MATCH(rrcworking[[#This Row],[Magnum Wolfpak '#]],Table2[Rox Wolf'#],0))),0,INDEX(Table2[GAS],MATCH(rrcworking[[#This Row],[Magnum Wolfpak '#]],Table2[Rox Wolf'#],0)))</f>
        <v>42675</v>
      </c>
      <c r="W124" s="58"/>
      <c r="X124" s="58"/>
      <c r="Y124" s="133">
        <f>IF(ISERROR(INDEX(Table2[LEASE USE],MATCH(rrcworking[[#This Row],[Magnum Wolfpak '#]],Table2[Rox Wolf'#],0))),0,INDEX(Table2[LEASE USE],MATCH(rrcworking[[#This Row],[Magnum Wolfpak '#]],Table2[Rox Wolf'#],0)))</f>
        <v>0</v>
      </c>
      <c r="Z124" s="133"/>
      <c r="AA124" s="56">
        <f>rrcworking[[#This Row],[Gas Sales Statement Volume (MCF)]]+rrcworking[[#This Row],[Lease Use (MCF)]]+rrcworking[[#This Row],[Flared Gas]]</f>
        <v>42675</v>
      </c>
      <c r="AB124" s="83"/>
      <c r="AC124" s="83" t="s">
        <v>1292</v>
      </c>
      <c r="AD124" s="175">
        <f>COUNTIF(FilterList,rrcworking[[#This Row],[Magnum Wolfpak '#]])</f>
        <v>0</v>
      </c>
      <c r="AE124" s="172"/>
      <c r="AF124" s="173"/>
      <c r="AG124" s="36"/>
      <c r="AH124" s="173"/>
      <c r="AI124" s="36">
        <v>2</v>
      </c>
      <c r="AJ124" s="36" t="s">
        <v>1139</v>
      </c>
      <c r="AK124" s="36" t="s">
        <v>1165</v>
      </c>
      <c r="AL124" s="36" t="s">
        <v>1212</v>
      </c>
      <c r="AM124" s="36" t="s">
        <v>1165</v>
      </c>
      <c r="AN124" s="36" t="s">
        <v>1176</v>
      </c>
      <c r="AO124" s="36" t="s">
        <v>1213</v>
      </c>
      <c r="AP124" s="36"/>
    </row>
    <row r="125" spans="3:42" ht="14">
      <c r="C125" s="78" t="e">
        <v>#N/A</v>
      </c>
      <c r="D125" s="60" t="s">
        <v>131</v>
      </c>
      <c r="E125" s="125" t="s">
        <v>132</v>
      </c>
      <c r="F125" s="124">
        <v>1</v>
      </c>
      <c r="G125" s="115" t="s">
        <v>1090</v>
      </c>
      <c r="H125" s="18" t="s">
        <v>617</v>
      </c>
      <c r="I125" s="18" t="s">
        <v>59</v>
      </c>
      <c r="J125" s="19" t="s">
        <v>448</v>
      </c>
      <c r="K125" s="99">
        <v>264004</v>
      </c>
      <c r="L125" s="97">
        <f>INDEX(Table1[Production],MATCH(rrcworking[[#This Row],[RRC ID Number]],Table1[RRC Identifier],0))</f>
        <v>0</v>
      </c>
      <c r="M125" s="29">
        <f>INDEX(Table1[Formation Production],MATCH(rrcworking[[#This Row],[RRC ID Number]],Table1[RRC Identifier],0))</f>
        <v>0</v>
      </c>
      <c r="N125" s="30">
        <f>INDEX(Table1[On Hand End of Month],MATCH(rrcworking[[#This Row],[RRC ID Number]],Table1[RRC Identifier],0))</f>
        <v>0</v>
      </c>
      <c r="O125" s="102" t="b">
        <f t="shared" si="3"/>
        <v>1</v>
      </c>
      <c r="Q125" s="122">
        <f>rrcworking[[#This Row],[Last Month Closing Stock]]</f>
        <v>0</v>
      </c>
      <c r="R125">
        <f>rrcworking[[#This Row],[Opening Oil Stock]]</f>
        <v>0</v>
      </c>
      <c r="S125" s="133">
        <f>IF(ISERROR(INDEX(Table2[OIL],MATCH(rrcworking[[#This Row],[Magnum Wolfpak '#]],Table2[Rox Wolf'#],0))),0,INDEX(Table2[OIL],MATCH(rrcworking[[#This Row],[Magnum Wolfpak '#]],Table2[Rox Wolf'#],0)))</f>
        <v>0</v>
      </c>
      <c r="T125" s="34">
        <f>rrcworking[[#This Row],[Closing Stock (Oil)]]+rrcworking[[#This Row],[Sales/Dispostion]]-rrcworking[[#This Row],[Opening Oil Stock]]</f>
        <v>0</v>
      </c>
      <c r="U125" s="108">
        <f>rrcworking[[#This Row],[Gauge Sheet Prod Volume (oil)]]-rrcworking[[#This Row],[Oil Production]]</f>
        <v>0</v>
      </c>
      <c r="V125" s="133">
        <f>IF(ISERROR(INDEX(Table2[GAS],MATCH(rrcworking[[#This Row],[Magnum Wolfpak '#]],Table2[Rox Wolf'#],0))),0,INDEX(Table2[GAS],MATCH(rrcworking[[#This Row],[Magnum Wolfpak '#]],Table2[Rox Wolf'#],0)))</f>
        <v>0</v>
      </c>
      <c r="W125" s="58"/>
      <c r="X125" s="58"/>
      <c r="Y125" s="133">
        <f>IF(ISERROR(INDEX(Table2[LEASE USE],MATCH(rrcworking[[#This Row],[Magnum Wolfpak '#]],Table2[Rox Wolf'#],0))),0,INDEX(Table2[LEASE USE],MATCH(rrcworking[[#This Row],[Magnum Wolfpak '#]],Table2[Rox Wolf'#],0)))</f>
        <v>0</v>
      </c>
      <c r="Z125" s="133"/>
      <c r="AA125" s="56">
        <f>rrcworking[[#This Row],[Gas Sales Statement Volume (MCF)]]+rrcworking[[#This Row],[Lease Use (MCF)]]+rrcworking[[#This Row],[Flared Gas]]</f>
        <v>0</v>
      </c>
      <c r="AB125" s="36"/>
      <c r="AC125" s="36"/>
      <c r="AD125" s="175">
        <f>COUNTIF(FilterList,rrcworking[[#This Row],[Magnum Wolfpak '#]])</f>
        <v>0</v>
      </c>
      <c r="AE125" s="172"/>
      <c r="AF125" s="173"/>
      <c r="AG125" s="36"/>
      <c r="AH125" s="36"/>
      <c r="AI125" s="36"/>
      <c r="AJ125" s="36"/>
      <c r="AK125" s="36"/>
      <c r="AL125" s="36"/>
      <c r="AM125" s="36"/>
      <c r="AN125" s="36"/>
      <c r="AO125" s="36"/>
      <c r="AP125" s="36"/>
    </row>
    <row r="126" spans="3:42" ht="14">
      <c r="C126" s="78" t="e">
        <v>#N/A</v>
      </c>
      <c r="D126" s="60" t="s">
        <v>241</v>
      </c>
      <c r="E126" s="125" t="s">
        <v>242</v>
      </c>
      <c r="F126" s="124">
        <v>2</v>
      </c>
      <c r="G126" s="115" t="s">
        <v>1090</v>
      </c>
      <c r="H126" s="18" t="s">
        <v>618</v>
      </c>
      <c r="I126" s="18" t="s">
        <v>59</v>
      </c>
      <c r="J126" s="19" t="s">
        <v>509</v>
      </c>
      <c r="K126" s="99">
        <v>235116</v>
      </c>
      <c r="L126" s="97">
        <f>INDEX(Table1[Production],MATCH(rrcworking[[#This Row],[RRC ID Number]],Table1[RRC Identifier],0))</f>
        <v>0</v>
      </c>
      <c r="M126" s="29">
        <f>INDEX(Table1[Formation Production],MATCH(rrcworking[[#This Row],[RRC ID Number]],Table1[RRC Identifier],0))</f>
        <v>0</v>
      </c>
      <c r="N126" s="30">
        <f>INDEX(Table1[On Hand End of Month],MATCH(rrcworking[[#This Row],[RRC ID Number]],Table1[RRC Identifier],0))</f>
        <v>0</v>
      </c>
      <c r="O126" s="102" t="b">
        <f t="shared" si="3"/>
        <v>1</v>
      </c>
      <c r="Q126" s="122">
        <f>rrcworking[[#This Row],[Last Month Closing Stock]]</f>
        <v>0</v>
      </c>
      <c r="R126">
        <f>rrcworking[[#This Row],[Opening Oil Stock]]</f>
        <v>0</v>
      </c>
      <c r="S126" s="133">
        <f>IF(ISERROR(INDEX(Table2[OIL],MATCH(rrcworking[[#This Row],[Magnum Wolfpak '#]],Table2[Rox Wolf'#],0))),0,INDEX(Table2[OIL],MATCH(rrcworking[[#This Row],[Magnum Wolfpak '#]],Table2[Rox Wolf'#],0)))</f>
        <v>0</v>
      </c>
      <c r="T126" s="34">
        <f>rrcworking[[#This Row],[Closing Stock (Oil)]]+rrcworking[[#This Row],[Sales/Dispostion]]-rrcworking[[#This Row],[Opening Oil Stock]]</f>
        <v>0</v>
      </c>
      <c r="U126" s="108">
        <f>rrcworking[[#This Row],[Gauge Sheet Prod Volume (oil)]]-rrcworking[[#This Row],[Oil Production]]</f>
        <v>0</v>
      </c>
      <c r="V126" s="133">
        <f>IF(ISERROR(INDEX(Table2[GAS],MATCH(rrcworking[[#This Row],[Magnum Wolfpak '#]],Table2[Rox Wolf'#],0))),0,INDEX(Table2[GAS],MATCH(rrcworking[[#This Row],[Magnum Wolfpak '#]],Table2[Rox Wolf'#],0)))</f>
        <v>0</v>
      </c>
      <c r="W126" s="58"/>
      <c r="X126" s="58"/>
      <c r="Y126" s="133">
        <f>IF(ISERROR(INDEX(Table2[LEASE USE],MATCH(rrcworking[[#This Row],[Magnum Wolfpak '#]],Table2[Rox Wolf'#],0))),0,INDEX(Table2[LEASE USE],MATCH(rrcworking[[#This Row],[Magnum Wolfpak '#]],Table2[Rox Wolf'#],0)))</f>
        <v>0</v>
      </c>
      <c r="Z126" s="133"/>
      <c r="AA126" s="56">
        <f>rrcworking[[#This Row],[Gas Sales Statement Volume (MCF)]]+rrcworking[[#This Row],[Lease Use (MCF)]]+rrcworking[[#This Row],[Flared Gas]]</f>
        <v>0</v>
      </c>
      <c r="AB126" s="36"/>
      <c r="AC126" s="36"/>
      <c r="AD126" s="175">
        <f>COUNTIF(FilterList,rrcworking[[#This Row],[Magnum Wolfpak '#]])</f>
        <v>0</v>
      </c>
      <c r="AE126" s="172"/>
      <c r="AF126" s="173"/>
      <c r="AG126" s="36"/>
      <c r="AH126" s="36"/>
      <c r="AI126" s="36"/>
      <c r="AJ126" s="36"/>
      <c r="AK126" s="36"/>
      <c r="AL126" s="36"/>
      <c r="AM126" s="36"/>
      <c r="AN126" s="36"/>
      <c r="AO126" s="36"/>
      <c r="AP126" s="36"/>
    </row>
    <row r="127" spans="3:42" ht="112">
      <c r="C127" s="78">
        <v>98801</v>
      </c>
      <c r="D127" s="60" t="s">
        <v>243</v>
      </c>
      <c r="E127" s="125" t="s">
        <v>244</v>
      </c>
      <c r="F127" s="124">
        <v>1</v>
      </c>
      <c r="G127" s="115" t="s">
        <v>1090</v>
      </c>
      <c r="H127" s="18" t="s">
        <v>618</v>
      </c>
      <c r="I127" s="18" t="s">
        <v>59</v>
      </c>
      <c r="J127" s="19" t="s">
        <v>510</v>
      </c>
      <c r="K127" s="99">
        <v>164970</v>
      </c>
      <c r="L127" s="97">
        <f>INDEX(Table1[Production],MATCH(rrcworking[[#This Row],[RRC ID Number]],Table1[RRC Identifier],0))</f>
        <v>64</v>
      </c>
      <c r="M127" s="29">
        <f>INDEX(Table1[Formation Production],MATCH(rrcworking[[#This Row],[RRC ID Number]],Table1[RRC Identifier],0))</f>
        <v>5954</v>
      </c>
      <c r="N127" s="30">
        <f>INDEX(Table1[On Hand End of Month],MATCH(rrcworking[[#This Row],[RRC ID Number]],Table1[RRC Identifier],0))</f>
        <v>127</v>
      </c>
      <c r="O127" s="102" t="b">
        <f t="shared" si="3"/>
        <v>0</v>
      </c>
      <c r="P127">
        <v>77</v>
      </c>
      <c r="Q127" s="122">
        <f>rrcworking[[#This Row],[Last Month Closing Stock]]</f>
        <v>127</v>
      </c>
      <c r="R127">
        <v>205</v>
      </c>
      <c r="S127" s="133">
        <f>IF(ISERROR(INDEX(Table2[OIL],MATCH(rrcworking[[#This Row],[Magnum Wolfpak '#]],Table2[Rox Wolf'#],0))),0,INDEX(Table2[OIL],MATCH(rrcworking[[#This Row],[Magnum Wolfpak '#]],Table2[Rox Wolf'#],0)))</f>
        <v>0</v>
      </c>
      <c r="T127" s="34">
        <f>rrcworking[[#This Row],[Closing Stock (Oil)]]+rrcworking[[#This Row],[Sales/Dispostion]]-rrcworking[[#This Row],[Opening Oil Stock]]</f>
        <v>78</v>
      </c>
      <c r="U127" s="108">
        <f>rrcworking[[#This Row],[Gauge Sheet Prod Volume (oil)]]-rrcworking[[#This Row],[Oil Production]]</f>
        <v>-1</v>
      </c>
      <c r="V127" s="133">
        <f>IF(ISERROR(INDEX(Table2[GAS],MATCH(rrcworking[[#This Row],[Magnum Wolfpak '#]],Table2[Rox Wolf'#],0))),0,INDEX(Table2[GAS],MATCH(rrcworking[[#This Row],[Magnum Wolfpak '#]],Table2[Rox Wolf'#],0)))</f>
        <v>5340</v>
      </c>
      <c r="W127" s="82"/>
      <c r="X127" s="58">
        <v>7</v>
      </c>
      <c r="Y127" s="133">
        <f>IF(ISERROR(INDEX(Table2[LEASE USE],MATCH(rrcworking[[#This Row],[Magnum Wolfpak '#]],Table2[Rox Wolf'#],0))),0,INDEX(Table2[LEASE USE],MATCH(rrcworking[[#This Row],[Magnum Wolfpak '#]],Table2[Rox Wolf'#],0)))</f>
        <v>217</v>
      </c>
      <c r="Z127" s="133"/>
      <c r="AA127" s="56">
        <f>rrcworking[[#This Row],[Gas Sales Statement Volume (MCF)]]+rrcworking[[#This Row],[Lease Use (MCF)]]+rrcworking[[#This Row],[Flared Gas]]</f>
        <v>5557</v>
      </c>
      <c r="AB127" s="36"/>
      <c r="AC127" s="36" t="s">
        <v>1271</v>
      </c>
      <c r="AD127" s="175">
        <f>COUNTIF(FilterList,rrcworking[[#This Row],[Magnum Wolfpak '#]])</f>
        <v>0</v>
      </c>
      <c r="AE127" s="172"/>
      <c r="AF127" s="173"/>
      <c r="AG127" s="36"/>
      <c r="AH127" s="173"/>
      <c r="AI127" s="36">
        <v>1</v>
      </c>
      <c r="AJ127" s="36" t="s">
        <v>1165</v>
      </c>
      <c r="AK127" s="36" t="s">
        <v>1165</v>
      </c>
      <c r="AL127" s="36" t="s">
        <v>1265</v>
      </c>
      <c r="AM127" s="36" t="s">
        <v>1139</v>
      </c>
      <c r="AN127" s="36" t="s">
        <v>1266</v>
      </c>
      <c r="AO127" s="36" t="s">
        <v>1214</v>
      </c>
      <c r="AP127" s="36" t="s">
        <v>1267</v>
      </c>
    </row>
    <row r="128" spans="3:42" ht="98">
      <c r="C128" s="78">
        <v>99259</v>
      </c>
      <c r="D128" s="60" t="s">
        <v>370</v>
      </c>
      <c r="E128" s="125" t="s">
        <v>371</v>
      </c>
      <c r="F128" s="124">
        <v>0</v>
      </c>
      <c r="G128" s="115" t="s">
        <v>1090</v>
      </c>
      <c r="H128" s="18" t="s">
        <v>619</v>
      </c>
      <c r="I128" s="18" t="s">
        <v>2</v>
      </c>
      <c r="J128" s="19" t="s">
        <v>588</v>
      </c>
      <c r="K128" s="99">
        <v>14061</v>
      </c>
      <c r="L128" s="97">
        <f>INDEX(Table1[Production],MATCH(rrcworking[[#This Row],[RRC ID Number]],Table1[RRC Identifier],0))</f>
        <v>24</v>
      </c>
      <c r="M128" s="29">
        <f>INDEX(Table1[Formation Production],MATCH(rrcworking[[#This Row],[RRC ID Number]],Table1[RRC Identifier],0))</f>
        <v>0</v>
      </c>
      <c r="N128" s="30">
        <f>INDEX(Table1[On Hand End of Month],MATCH(rrcworking[[#This Row],[RRC ID Number]],Table1[RRC Identifier],0))</f>
        <v>117</v>
      </c>
      <c r="O128" s="102" t="b">
        <f t="shared" si="3"/>
        <v>0</v>
      </c>
      <c r="Q128" s="122">
        <f>rrcworking[[#This Row],[Last Month Closing Stock]]</f>
        <v>117</v>
      </c>
      <c r="R128">
        <v>117</v>
      </c>
      <c r="S128" s="133">
        <f>IF(ISERROR(INDEX(Table2[OIL],MATCH(rrcworking[[#This Row],[Magnum Wolfpak '#]],Table2[Rox Wolf'#],0))),0,INDEX(Table2[OIL],MATCH(rrcworking[[#This Row],[Magnum Wolfpak '#]],Table2[Rox Wolf'#],0)))</f>
        <v>0</v>
      </c>
      <c r="T128" s="34">
        <f>rrcworking[[#This Row],[Closing Stock (Oil)]]+rrcworking[[#This Row],[Sales/Dispostion]]-rrcworking[[#This Row],[Opening Oil Stock]]</f>
        <v>0</v>
      </c>
      <c r="U128" s="108">
        <f>rrcworking[[#This Row],[Gauge Sheet Prod Volume (oil)]]-rrcworking[[#This Row],[Oil Production]]</f>
        <v>0</v>
      </c>
      <c r="V128" s="133">
        <f>IF(ISERROR(INDEX(Table2[GAS],MATCH(rrcworking[[#This Row],[Magnum Wolfpak '#]],Table2[Rox Wolf'#],0))),0,INDEX(Table2[GAS],MATCH(rrcworking[[#This Row],[Magnum Wolfpak '#]],Table2[Rox Wolf'#],0)))</f>
        <v>0</v>
      </c>
      <c r="W128" s="58"/>
      <c r="X128" s="58"/>
      <c r="Y128" s="133">
        <f>IF(ISERROR(INDEX(Table2[LEASE USE],MATCH(rrcworking[[#This Row],[Magnum Wolfpak '#]],Table2[Rox Wolf'#],0))),0,INDEX(Table2[LEASE USE],MATCH(rrcworking[[#This Row],[Magnum Wolfpak '#]],Table2[Rox Wolf'#],0)))</f>
        <v>0</v>
      </c>
      <c r="Z128" s="133"/>
      <c r="AA128" s="56">
        <f>rrcworking[[#This Row],[Gas Sales Statement Volume (MCF)]]+rrcworking[[#This Row],[Lease Use (MCF)]]+rrcworking[[#This Row],[Flared Gas]]</f>
        <v>0</v>
      </c>
      <c r="AB128" s="36"/>
      <c r="AC128" s="36" t="s">
        <v>1306</v>
      </c>
      <c r="AD128" s="175">
        <f>COUNTIF(FilterList,rrcworking[[#This Row],[Magnum Wolfpak '#]])</f>
        <v>0</v>
      </c>
      <c r="AE128" s="172"/>
      <c r="AF128" s="173"/>
      <c r="AG128" s="36"/>
      <c r="AH128" s="173"/>
      <c r="AI128" s="174">
        <v>2</v>
      </c>
      <c r="AJ128" s="174" t="s">
        <v>1139</v>
      </c>
      <c r="AK128" s="174" t="s">
        <v>1139</v>
      </c>
      <c r="AL128" s="174" t="s">
        <v>1201</v>
      </c>
      <c r="AM128" s="174" t="s">
        <v>1139</v>
      </c>
      <c r="AN128" s="174" t="s">
        <v>1171</v>
      </c>
      <c r="AO128" s="36" t="s">
        <v>1163</v>
      </c>
      <c r="AP128" s="36" t="s">
        <v>1307</v>
      </c>
    </row>
    <row r="129" spans="3:42" ht="42">
      <c r="C129" s="78">
        <v>95801</v>
      </c>
      <c r="D129" s="60" t="s">
        <v>334</v>
      </c>
      <c r="E129" s="125" t="s">
        <v>335</v>
      </c>
      <c r="F129" s="124">
        <v>0</v>
      </c>
      <c r="G129" s="115" t="s">
        <v>1090</v>
      </c>
      <c r="H129" s="18" t="s">
        <v>619</v>
      </c>
      <c r="I129" s="18" t="s">
        <v>2</v>
      </c>
      <c r="J129" s="19" t="s">
        <v>568</v>
      </c>
      <c r="K129" s="99">
        <v>10325</v>
      </c>
      <c r="L129" s="97">
        <f>INDEX(Table1[Production],MATCH(rrcworking[[#This Row],[RRC ID Number]],Table1[RRC Identifier],0))</f>
        <v>0</v>
      </c>
      <c r="M129" s="29">
        <f>INDEX(Table1[Formation Production],MATCH(rrcworking[[#This Row],[RRC ID Number]],Table1[RRC Identifier],0))</f>
        <v>0</v>
      </c>
      <c r="N129" s="30">
        <f>INDEX(Table1[On Hand End of Month],MATCH(rrcworking[[#This Row],[RRC ID Number]],Table1[RRC Identifier],0))</f>
        <v>65</v>
      </c>
      <c r="O129" s="102" t="b">
        <f t="shared" si="3"/>
        <v>1</v>
      </c>
      <c r="P129">
        <v>0</v>
      </c>
      <c r="Q129" s="122">
        <f>rrcworking[[#This Row],[Last Month Closing Stock]]</f>
        <v>65</v>
      </c>
      <c r="R129">
        <v>65</v>
      </c>
      <c r="S129" s="133">
        <f>IF(ISERROR(INDEX(Table2[OIL],MATCH(rrcworking[[#This Row],[Magnum Wolfpak '#]],Table2[Rox Wolf'#],0))),0,INDEX(Table2[OIL],MATCH(rrcworking[[#This Row],[Magnum Wolfpak '#]],Table2[Rox Wolf'#],0)))</f>
        <v>0</v>
      </c>
      <c r="T129" s="34">
        <f>rrcworking[[#This Row],[Closing Stock (Oil)]]+rrcworking[[#This Row],[Sales/Dispostion]]-rrcworking[[#This Row],[Opening Oil Stock]]</f>
        <v>0</v>
      </c>
      <c r="U129" s="108">
        <f>rrcworking[[#This Row],[Gauge Sheet Prod Volume (oil)]]-rrcworking[[#This Row],[Oil Production]]</f>
        <v>0</v>
      </c>
      <c r="V129" s="133">
        <f>IF(ISERROR(INDEX(Table2[GAS],MATCH(rrcworking[[#This Row],[Magnum Wolfpak '#]],Table2[Rox Wolf'#],0))),0,INDEX(Table2[GAS],MATCH(rrcworking[[#This Row],[Magnum Wolfpak '#]],Table2[Rox Wolf'#],0)))</f>
        <v>0</v>
      </c>
      <c r="W129" s="58"/>
      <c r="X129" s="58"/>
      <c r="Y129" s="133">
        <f>IF(ISERROR(INDEX(Table2[LEASE USE],MATCH(rrcworking[[#This Row],[Magnum Wolfpak '#]],Table2[Rox Wolf'#],0))),0,INDEX(Table2[LEASE USE],MATCH(rrcworking[[#This Row],[Magnum Wolfpak '#]],Table2[Rox Wolf'#],0)))</f>
        <v>0</v>
      </c>
      <c r="Z129" s="133"/>
      <c r="AA129" s="56">
        <f>rrcworking[[#This Row],[Gas Sales Statement Volume (MCF)]]+rrcworking[[#This Row],[Lease Use (MCF)]]+rrcworking[[#This Row],[Flared Gas]]</f>
        <v>0</v>
      </c>
      <c r="AB129" s="36"/>
      <c r="AC129" s="36"/>
      <c r="AD129" s="175">
        <f>COUNTIF(FilterList,rrcworking[[#This Row],[Magnum Wolfpak '#]])</f>
        <v>0</v>
      </c>
      <c r="AE129" s="172"/>
      <c r="AF129" s="173"/>
      <c r="AG129" s="36"/>
      <c r="AH129" s="173"/>
      <c r="AI129" s="36">
        <v>2</v>
      </c>
      <c r="AJ129" s="36" t="s">
        <v>1165</v>
      </c>
      <c r="AK129" s="36" t="s">
        <v>1165</v>
      </c>
      <c r="AL129" s="36" t="s">
        <v>1196</v>
      </c>
      <c r="AM129" s="36" t="s">
        <v>1165</v>
      </c>
      <c r="AN129" s="36" t="s">
        <v>1171</v>
      </c>
      <c r="AO129" s="36" t="s">
        <v>1236</v>
      </c>
      <c r="AP129" s="36"/>
    </row>
    <row r="130" spans="3:42" ht="14">
      <c r="C130" s="78" t="e">
        <v>#N/A</v>
      </c>
      <c r="D130" s="60" t="s">
        <v>117</v>
      </c>
      <c r="E130" s="125" t="s">
        <v>118</v>
      </c>
      <c r="F130" s="124">
        <v>0</v>
      </c>
      <c r="G130" s="115" t="s">
        <v>1090</v>
      </c>
      <c r="H130" s="18" t="s">
        <v>617</v>
      </c>
      <c r="I130" s="18" t="s">
        <v>2</v>
      </c>
      <c r="J130" s="19" t="s">
        <v>439</v>
      </c>
      <c r="K130" s="99">
        <v>5086</v>
      </c>
      <c r="L130" s="97">
        <f>INDEX(Table1[Production],MATCH(rrcworking[[#This Row],[RRC ID Number]],Table1[RRC Identifier],0))</f>
        <v>0</v>
      </c>
      <c r="M130" s="29">
        <f>INDEX(Table1[Formation Production],MATCH(rrcworking[[#This Row],[RRC ID Number]],Table1[RRC Identifier],0))</f>
        <v>0</v>
      </c>
      <c r="N130" s="30">
        <f>INDEX(Table1[On Hand End of Month],MATCH(rrcworking[[#This Row],[RRC ID Number]],Table1[RRC Identifier],0))</f>
        <v>0</v>
      </c>
      <c r="O130" s="102" t="b">
        <f t="shared" si="3"/>
        <v>1</v>
      </c>
      <c r="Q130" s="122">
        <f>rrcworking[[#This Row],[Last Month Closing Stock]]</f>
        <v>0</v>
      </c>
      <c r="R130">
        <f>rrcworking[[#This Row],[Opening Oil Stock]]</f>
        <v>0</v>
      </c>
      <c r="S130" s="133">
        <f>IF(ISERROR(INDEX(Table2[OIL],MATCH(rrcworking[[#This Row],[Magnum Wolfpak '#]],Table2[Rox Wolf'#],0))),0,INDEX(Table2[OIL],MATCH(rrcworking[[#This Row],[Magnum Wolfpak '#]],Table2[Rox Wolf'#],0)))</f>
        <v>0</v>
      </c>
      <c r="T130" s="34">
        <f>rrcworking[[#This Row],[Closing Stock (Oil)]]+rrcworking[[#This Row],[Sales/Dispostion]]-rrcworking[[#This Row],[Opening Oil Stock]]</f>
        <v>0</v>
      </c>
      <c r="U130" s="108">
        <f>rrcworking[[#This Row],[Gauge Sheet Prod Volume (oil)]]-rrcworking[[#This Row],[Oil Production]]</f>
        <v>0</v>
      </c>
      <c r="V130" s="133">
        <f>IF(ISERROR(INDEX(Table2[GAS],MATCH(rrcworking[[#This Row],[Magnum Wolfpak '#]],Table2[Rox Wolf'#],0))),0,INDEX(Table2[GAS],MATCH(rrcworking[[#This Row],[Magnum Wolfpak '#]],Table2[Rox Wolf'#],0)))</f>
        <v>0</v>
      </c>
      <c r="W130" s="58"/>
      <c r="X130" s="58"/>
      <c r="Y130" s="133">
        <f>IF(ISERROR(INDEX(Table2[LEASE USE],MATCH(rrcworking[[#This Row],[Magnum Wolfpak '#]],Table2[Rox Wolf'#],0))),0,INDEX(Table2[LEASE USE],MATCH(rrcworking[[#This Row],[Magnum Wolfpak '#]],Table2[Rox Wolf'#],0)))</f>
        <v>0</v>
      </c>
      <c r="Z130" s="133"/>
      <c r="AA130" s="56">
        <f>rrcworking[[#This Row],[Gas Sales Statement Volume (MCF)]]+rrcworking[[#This Row],[Lease Use (MCF)]]+rrcworking[[#This Row],[Flared Gas]]</f>
        <v>0</v>
      </c>
      <c r="AB130" s="36"/>
      <c r="AC130" s="36"/>
      <c r="AD130" s="175">
        <f>COUNTIF(FilterList,rrcworking[[#This Row],[Magnum Wolfpak '#]])</f>
        <v>0</v>
      </c>
      <c r="AE130" s="172"/>
      <c r="AF130" s="173"/>
      <c r="AG130" s="36"/>
      <c r="AH130" s="36"/>
      <c r="AI130" s="36"/>
      <c r="AJ130" s="36"/>
      <c r="AK130" s="36"/>
      <c r="AL130" s="36"/>
      <c r="AM130" s="36"/>
      <c r="AN130" s="36"/>
      <c r="AO130" s="36"/>
      <c r="AP130" s="36"/>
    </row>
    <row r="131" spans="3:42" ht="14">
      <c r="C131" s="78" t="e">
        <v>#N/A</v>
      </c>
      <c r="D131" s="60" t="s">
        <v>311</v>
      </c>
      <c r="E131" s="125" t="s">
        <v>312</v>
      </c>
      <c r="F131" s="124">
        <v>1</v>
      </c>
      <c r="G131" s="115" t="s">
        <v>1090</v>
      </c>
      <c r="H131" s="18" t="s">
        <v>619</v>
      </c>
      <c r="I131" s="18" t="s">
        <v>59</v>
      </c>
      <c r="J131" s="19" t="s">
        <v>554</v>
      </c>
      <c r="K131" s="99">
        <v>115364</v>
      </c>
      <c r="L131" s="97">
        <f>INDEX(Table1[Production],MATCH(rrcworking[[#This Row],[RRC ID Number]],Table1[RRC Identifier],0))</f>
        <v>0</v>
      </c>
      <c r="M131" s="29">
        <f>INDEX(Table1[Formation Production],MATCH(rrcworking[[#This Row],[RRC ID Number]],Table1[RRC Identifier],0))</f>
        <v>0</v>
      </c>
      <c r="N131" s="30">
        <f>INDEX(Table1[On Hand End of Month],MATCH(rrcworking[[#This Row],[RRC ID Number]],Table1[RRC Identifier],0))</f>
        <v>0</v>
      </c>
      <c r="O131" s="102" t="b">
        <f t="shared" si="3"/>
        <v>1</v>
      </c>
      <c r="Q131" s="122">
        <f>rrcworking[[#This Row],[Last Month Closing Stock]]</f>
        <v>0</v>
      </c>
      <c r="R131">
        <f>rrcworking[[#This Row],[Opening Oil Stock]]</f>
        <v>0</v>
      </c>
      <c r="S131" s="133">
        <f>IF(ISERROR(INDEX(Table2[OIL],MATCH(rrcworking[[#This Row],[Magnum Wolfpak '#]],Table2[Rox Wolf'#],0))),0,INDEX(Table2[OIL],MATCH(rrcworking[[#This Row],[Magnum Wolfpak '#]],Table2[Rox Wolf'#],0)))</f>
        <v>0</v>
      </c>
      <c r="T131" s="34">
        <f>rrcworking[[#This Row],[Closing Stock (Oil)]]+rrcworking[[#This Row],[Sales/Dispostion]]-rrcworking[[#This Row],[Opening Oil Stock]]</f>
        <v>0</v>
      </c>
      <c r="U131" s="108">
        <f>rrcworking[[#This Row],[Gauge Sheet Prod Volume (oil)]]-rrcworking[[#This Row],[Oil Production]]</f>
        <v>0</v>
      </c>
      <c r="V131" s="133">
        <f>IF(ISERROR(INDEX(Table2[GAS],MATCH(rrcworking[[#This Row],[Magnum Wolfpak '#]],Table2[Rox Wolf'#],0))),0,INDEX(Table2[GAS],MATCH(rrcworking[[#This Row],[Magnum Wolfpak '#]],Table2[Rox Wolf'#],0)))</f>
        <v>0</v>
      </c>
      <c r="W131" s="58"/>
      <c r="X131" s="58"/>
      <c r="Y131" s="133">
        <f>IF(ISERROR(INDEX(Table2[LEASE USE],MATCH(rrcworking[[#This Row],[Magnum Wolfpak '#]],Table2[Rox Wolf'#],0))),0,INDEX(Table2[LEASE USE],MATCH(rrcworking[[#This Row],[Magnum Wolfpak '#]],Table2[Rox Wolf'#],0)))</f>
        <v>0</v>
      </c>
      <c r="Z131" s="133"/>
      <c r="AA131" s="56">
        <f>rrcworking[[#This Row],[Gas Sales Statement Volume (MCF)]]+rrcworking[[#This Row],[Lease Use (MCF)]]+rrcworking[[#This Row],[Flared Gas]]</f>
        <v>0</v>
      </c>
      <c r="AB131" s="93"/>
      <c r="AC131" s="93"/>
      <c r="AD131" s="175">
        <f>COUNTIF(FilterList,rrcworking[[#This Row],[Magnum Wolfpak '#]])</f>
        <v>0</v>
      </c>
      <c r="AE131" s="172"/>
      <c r="AF131" s="173"/>
      <c r="AG131" s="36"/>
      <c r="AH131" s="36"/>
      <c r="AI131" s="36"/>
      <c r="AJ131" s="36"/>
      <c r="AK131" s="36"/>
      <c r="AL131" s="36"/>
      <c r="AM131" s="36"/>
      <c r="AN131" s="36"/>
      <c r="AO131" s="36"/>
      <c r="AP131" s="36"/>
    </row>
    <row r="132" spans="3:42" ht="56">
      <c r="C132" s="78">
        <v>98961</v>
      </c>
      <c r="D132" s="60" t="s">
        <v>294</v>
      </c>
      <c r="E132" s="125" t="s">
        <v>295</v>
      </c>
      <c r="F132" s="124">
        <v>0</v>
      </c>
      <c r="G132" s="115" t="s">
        <v>1090</v>
      </c>
      <c r="H132" s="18" t="s">
        <v>618</v>
      </c>
      <c r="I132" s="18" t="s">
        <v>2</v>
      </c>
      <c r="J132" s="19" t="s">
        <v>544</v>
      </c>
      <c r="K132" s="99">
        <v>24644</v>
      </c>
      <c r="L132" s="97">
        <f>INDEX(Table1[Production],MATCH(rrcworking[[#This Row],[RRC ID Number]],Table1[RRC Identifier],0))</f>
        <v>457</v>
      </c>
      <c r="M132" s="29">
        <f>INDEX(Table1[Formation Production],MATCH(rrcworking[[#This Row],[RRC ID Number]],Table1[RRC Identifier],0))</f>
        <v>2141</v>
      </c>
      <c r="N132" s="30">
        <f>INDEX(Table1[On Hand End of Month],MATCH(rrcworking[[#This Row],[RRC ID Number]],Table1[RRC Identifier],0))</f>
        <v>226</v>
      </c>
      <c r="O132" s="102" t="b">
        <f t="shared" si="3"/>
        <v>0</v>
      </c>
      <c r="P132">
        <v>339</v>
      </c>
      <c r="Q132" s="122">
        <f>rrcworking[[#This Row],[Last Month Closing Stock]]</f>
        <v>226</v>
      </c>
      <c r="R132">
        <v>565</v>
      </c>
      <c r="S132" s="133">
        <f>IF(ISERROR(INDEX(Table2[OIL],MATCH(rrcworking[[#This Row],[Magnum Wolfpak '#]],Table2[Rox Wolf'#],0))),0,INDEX(Table2[OIL],MATCH(rrcworking[[#This Row],[Magnum Wolfpak '#]],Table2[Rox Wolf'#],0)))</f>
        <v>0</v>
      </c>
      <c r="T132" s="34">
        <f>rrcworking[[#This Row],[Closing Stock (Oil)]]+rrcworking[[#This Row],[Sales/Dispostion]]-rrcworking[[#This Row],[Opening Oil Stock]]</f>
        <v>339</v>
      </c>
      <c r="U132" s="108">
        <f>rrcworking[[#This Row],[Gauge Sheet Prod Volume (oil)]]-rrcworking[[#This Row],[Oil Production]]</f>
        <v>0</v>
      </c>
      <c r="V132" s="133">
        <f>IF(ISERROR(INDEX(Table2[GAS],MATCH(rrcworking[[#This Row],[Magnum Wolfpak '#]],Table2[Rox Wolf'#],0))),0,INDEX(Table2[GAS],MATCH(rrcworking[[#This Row],[Magnum Wolfpak '#]],Table2[Rox Wolf'#],0)))</f>
        <v>2273</v>
      </c>
      <c r="W132" s="58"/>
      <c r="X132" s="58">
        <v>0</v>
      </c>
      <c r="Y132" s="133">
        <f>IF(ISERROR(INDEX(Table2[LEASE USE],MATCH(rrcworking[[#This Row],[Magnum Wolfpak '#]],Table2[Rox Wolf'#],0))),0,INDEX(Table2[LEASE USE],MATCH(rrcworking[[#This Row],[Magnum Wolfpak '#]],Table2[Rox Wolf'#],0)))</f>
        <v>0</v>
      </c>
      <c r="Z132" s="133"/>
      <c r="AA132" s="56">
        <f>rrcworking[[#This Row],[Gas Sales Statement Volume (MCF)]]+rrcworking[[#This Row],[Lease Use (MCF)]]+rrcworking[[#This Row],[Flared Gas]]</f>
        <v>2273</v>
      </c>
      <c r="AB132" s="36"/>
      <c r="AC132" s="36" t="s">
        <v>1245</v>
      </c>
      <c r="AD132" s="175">
        <f>COUNTIF(FilterList,rrcworking[[#This Row],[Magnum Wolfpak '#]])</f>
        <v>0</v>
      </c>
      <c r="AE132" s="172"/>
      <c r="AF132" s="173"/>
      <c r="AG132" s="36"/>
      <c r="AH132" s="173"/>
      <c r="AI132" s="174"/>
      <c r="AJ132" s="174"/>
      <c r="AK132" s="174"/>
      <c r="AL132" s="174"/>
      <c r="AM132" s="174"/>
      <c r="AN132" s="174"/>
      <c r="AO132" s="36" t="s">
        <v>1163</v>
      </c>
      <c r="AP132" s="36" t="s">
        <v>1198</v>
      </c>
    </row>
    <row r="133" spans="3:42" ht="14">
      <c r="C133" s="78" t="e">
        <v>#N/A</v>
      </c>
      <c r="D133" s="60" t="s">
        <v>294</v>
      </c>
      <c r="E133" s="125" t="s">
        <v>295</v>
      </c>
      <c r="F133" s="124">
        <v>3</v>
      </c>
      <c r="G133" s="115" t="s">
        <v>1090</v>
      </c>
      <c r="H133" s="18" t="s">
        <v>618</v>
      </c>
      <c r="I133" s="18" t="s">
        <v>59</v>
      </c>
      <c r="J133" s="19" t="s">
        <v>543</v>
      </c>
      <c r="K133" s="99">
        <v>129832</v>
      </c>
      <c r="L133" s="97">
        <f>INDEX(Table1[Production],MATCH(rrcworking[[#This Row],[RRC ID Number]],Table1[RRC Identifier],0))</f>
        <v>0</v>
      </c>
      <c r="M133" s="29">
        <f>INDEX(Table1[Formation Production],MATCH(rrcworking[[#This Row],[RRC ID Number]],Table1[RRC Identifier],0))</f>
        <v>0</v>
      </c>
      <c r="N133" s="30">
        <f>INDEX(Table1[On Hand End of Month],MATCH(rrcworking[[#This Row],[RRC ID Number]],Table1[RRC Identifier],0))</f>
        <v>0</v>
      </c>
      <c r="O133" s="102" t="b">
        <f t="shared" si="3"/>
        <v>1</v>
      </c>
      <c r="Q133" s="122">
        <f>rrcworking[[#This Row],[Last Month Closing Stock]]</f>
        <v>0</v>
      </c>
      <c r="R133">
        <f>rrcworking[[#This Row],[Opening Oil Stock]]</f>
        <v>0</v>
      </c>
      <c r="S133" s="133">
        <f>IF(ISERROR(INDEX(Table2[OIL],MATCH(rrcworking[[#This Row],[Magnum Wolfpak '#]],Table2[Rox Wolf'#],0))),0,INDEX(Table2[OIL],MATCH(rrcworking[[#This Row],[Magnum Wolfpak '#]],Table2[Rox Wolf'#],0)))</f>
        <v>0</v>
      </c>
      <c r="T133" s="34">
        <f>rrcworking[[#This Row],[Closing Stock (Oil)]]+rrcworking[[#This Row],[Sales/Dispostion]]-rrcworking[[#This Row],[Opening Oil Stock]]</f>
        <v>0</v>
      </c>
      <c r="U133" s="108">
        <f>rrcworking[[#This Row],[Gauge Sheet Prod Volume (oil)]]-rrcworking[[#This Row],[Oil Production]]</f>
        <v>0</v>
      </c>
      <c r="V133" s="133">
        <f>IF(ISERROR(INDEX(Table2[GAS],MATCH(rrcworking[[#This Row],[Magnum Wolfpak '#]],Table2[Rox Wolf'#],0))),0,INDEX(Table2[GAS],MATCH(rrcworking[[#This Row],[Magnum Wolfpak '#]],Table2[Rox Wolf'#],0)))</f>
        <v>0</v>
      </c>
      <c r="W133" s="58"/>
      <c r="X133" s="58"/>
      <c r="Y133" s="133">
        <f>IF(ISERROR(INDEX(Table2[LEASE USE],MATCH(rrcworking[[#This Row],[Magnum Wolfpak '#]],Table2[Rox Wolf'#],0))),0,INDEX(Table2[LEASE USE],MATCH(rrcworking[[#This Row],[Magnum Wolfpak '#]],Table2[Rox Wolf'#],0)))</f>
        <v>0</v>
      </c>
      <c r="Z133" s="133"/>
      <c r="AA133" s="56">
        <f>rrcworking[[#This Row],[Gas Sales Statement Volume (MCF)]]+rrcworking[[#This Row],[Lease Use (MCF)]]+rrcworking[[#This Row],[Flared Gas]]</f>
        <v>0</v>
      </c>
      <c r="AB133" s="93"/>
      <c r="AC133" s="93"/>
      <c r="AD133" s="175">
        <f>COUNTIF(FilterList,rrcworking[[#This Row],[Magnum Wolfpak '#]])</f>
        <v>0</v>
      </c>
      <c r="AE133" s="172"/>
      <c r="AF133" s="173"/>
      <c r="AG133" s="36"/>
      <c r="AH133" s="36"/>
      <c r="AI133" s="36"/>
      <c r="AJ133" s="36"/>
      <c r="AK133" s="36"/>
      <c r="AL133" s="36"/>
      <c r="AM133" s="36"/>
      <c r="AN133" s="36"/>
      <c r="AO133" s="36"/>
      <c r="AP133" s="36"/>
    </row>
    <row r="134" spans="3:42" ht="14">
      <c r="C134" s="78" t="e">
        <v>#N/A</v>
      </c>
      <c r="D134" s="60" t="s">
        <v>296</v>
      </c>
      <c r="E134" s="125" t="s">
        <v>295</v>
      </c>
      <c r="F134" s="124">
        <v>5</v>
      </c>
      <c r="G134" s="115" t="s">
        <v>1090</v>
      </c>
      <c r="H134" s="18" t="s">
        <v>618</v>
      </c>
      <c r="I134" s="18" t="s">
        <v>59</v>
      </c>
      <c r="J134" s="19" t="s">
        <v>545</v>
      </c>
      <c r="K134" s="99">
        <v>127418</v>
      </c>
      <c r="L134" s="97">
        <f>INDEX(Table1[Production],MATCH(rrcworking[[#This Row],[RRC ID Number]],Table1[RRC Identifier],0))</f>
        <v>0</v>
      </c>
      <c r="M134" s="29">
        <f>INDEX(Table1[Formation Production],MATCH(rrcworking[[#This Row],[RRC ID Number]],Table1[RRC Identifier],0))</f>
        <v>0</v>
      </c>
      <c r="N134" s="30">
        <f>INDEX(Table1[On Hand End of Month],MATCH(rrcworking[[#This Row],[RRC ID Number]],Table1[RRC Identifier],0))</f>
        <v>0</v>
      </c>
      <c r="O134" s="102" t="b">
        <f t="shared" ref="O134:O164" si="4">IF(AND(L134=0,M134=0), TRUE, FALSE)</f>
        <v>1</v>
      </c>
      <c r="Q134" s="122">
        <f>rrcworking[[#This Row],[Last Month Closing Stock]]</f>
        <v>0</v>
      </c>
      <c r="R134">
        <f>rrcworking[[#This Row],[Opening Oil Stock]]</f>
        <v>0</v>
      </c>
      <c r="S134" s="133">
        <f>IF(ISERROR(INDEX(Table2[OIL],MATCH(rrcworking[[#This Row],[Magnum Wolfpak '#]],Table2[Rox Wolf'#],0))),0,INDEX(Table2[OIL],MATCH(rrcworking[[#This Row],[Magnum Wolfpak '#]],Table2[Rox Wolf'#],0)))</f>
        <v>0</v>
      </c>
      <c r="T134" s="34">
        <f>rrcworking[[#This Row],[Closing Stock (Oil)]]+rrcworking[[#This Row],[Sales/Dispostion]]-rrcworking[[#This Row],[Opening Oil Stock]]</f>
        <v>0</v>
      </c>
      <c r="U134" s="108">
        <f>rrcworking[[#This Row],[Gauge Sheet Prod Volume (oil)]]-rrcworking[[#This Row],[Oil Production]]</f>
        <v>0</v>
      </c>
      <c r="V134" s="133">
        <f>IF(ISERROR(INDEX(Table2[GAS],MATCH(rrcworking[[#This Row],[Magnum Wolfpak '#]],Table2[Rox Wolf'#],0))),0,INDEX(Table2[GAS],MATCH(rrcworking[[#This Row],[Magnum Wolfpak '#]],Table2[Rox Wolf'#],0)))</f>
        <v>0</v>
      </c>
      <c r="W134" s="58"/>
      <c r="X134" s="58"/>
      <c r="Y134" s="133">
        <f>IF(ISERROR(INDEX(Table2[LEASE USE],MATCH(rrcworking[[#This Row],[Magnum Wolfpak '#]],Table2[Rox Wolf'#],0))),0,INDEX(Table2[LEASE USE],MATCH(rrcworking[[#This Row],[Magnum Wolfpak '#]],Table2[Rox Wolf'#],0)))</f>
        <v>0</v>
      </c>
      <c r="Z134" s="133"/>
      <c r="AA134" s="56">
        <f>rrcworking[[#This Row],[Gas Sales Statement Volume (MCF)]]+rrcworking[[#This Row],[Lease Use (MCF)]]+rrcworking[[#This Row],[Flared Gas]]</f>
        <v>0</v>
      </c>
      <c r="AB134" s="36"/>
      <c r="AC134" s="36"/>
      <c r="AD134" s="175">
        <f>COUNTIF(FilterList,rrcworking[[#This Row],[Magnum Wolfpak '#]])</f>
        <v>0</v>
      </c>
      <c r="AE134" s="172"/>
      <c r="AF134" s="173"/>
      <c r="AG134" s="36"/>
      <c r="AH134" s="36"/>
      <c r="AI134" s="36"/>
      <c r="AJ134" s="36"/>
      <c r="AK134" s="36"/>
      <c r="AL134" s="36"/>
      <c r="AM134" s="36"/>
      <c r="AN134" s="36"/>
      <c r="AO134" s="36"/>
      <c r="AP134" s="36"/>
    </row>
    <row r="135" spans="3:42" ht="14">
      <c r="C135" s="78" t="e">
        <v>#N/A</v>
      </c>
      <c r="D135" s="60" t="s">
        <v>296</v>
      </c>
      <c r="E135" s="125" t="s">
        <v>295</v>
      </c>
      <c r="F135" s="124">
        <v>4</v>
      </c>
      <c r="G135" s="115" t="s">
        <v>1090</v>
      </c>
      <c r="H135" s="18" t="s">
        <v>618</v>
      </c>
      <c r="I135" s="18" t="s">
        <v>59</v>
      </c>
      <c r="J135" s="19" t="s">
        <v>546</v>
      </c>
      <c r="K135" s="99">
        <v>128149</v>
      </c>
      <c r="L135" s="97">
        <f>INDEX(Table1[Production],MATCH(rrcworking[[#This Row],[RRC ID Number]],Table1[RRC Identifier],0))</f>
        <v>0</v>
      </c>
      <c r="M135" s="29">
        <f>INDEX(Table1[Formation Production],MATCH(rrcworking[[#This Row],[RRC ID Number]],Table1[RRC Identifier],0))</f>
        <v>0</v>
      </c>
      <c r="N135" s="30">
        <f>INDEX(Table1[On Hand End of Month],MATCH(rrcworking[[#This Row],[RRC ID Number]],Table1[RRC Identifier],0))</f>
        <v>0</v>
      </c>
      <c r="O135" s="102" t="b">
        <f t="shared" si="4"/>
        <v>1</v>
      </c>
      <c r="Q135" s="122">
        <f>rrcworking[[#This Row],[Last Month Closing Stock]]</f>
        <v>0</v>
      </c>
      <c r="R135">
        <f>rrcworking[[#This Row],[Opening Oil Stock]]</f>
        <v>0</v>
      </c>
      <c r="S135" s="133">
        <f>IF(ISERROR(INDEX(Table2[OIL],MATCH(rrcworking[[#This Row],[Magnum Wolfpak '#]],Table2[Rox Wolf'#],0))),0,INDEX(Table2[OIL],MATCH(rrcworking[[#This Row],[Magnum Wolfpak '#]],Table2[Rox Wolf'#],0)))</f>
        <v>0</v>
      </c>
      <c r="T135" s="34">
        <f>rrcworking[[#This Row],[Closing Stock (Oil)]]+rrcworking[[#This Row],[Sales/Dispostion]]-rrcworking[[#This Row],[Opening Oil Stock]]</f>
        <v>0</v>
      </c>
      <c r="U135" s="108">
        <f>rrcworking[[#This Row],[Gauge Sheet Prod Volume (oil)]]-rrcworking[[#This Row],[Oil Production]]</f>
        <v>0</v>
      </c>
      <c r="V135" s="133">
        <f>IF(ISERROR(INDEX(Table2[GAS],MATCH(rrcworking[[#This Row],[Magnum Wolfpak '#]],Table2[Rox Wolf'#],0))),0,INDEX(Table2[GAS],MATCH(rrcworking[[#This Row],[Magnum Wolfpak '#]],Table2[Rox Wolf'#],0)))</f>
        <v>0</v>
      </c>
      <c r="W135" s="58"/>
      <c r="X135" s="58"/>
      <c r="Y135" s="133">
        <f>IF(ISERROR(INDEX(Table2[LEASE USE],MATCH(rrcworking[[#This Row],[Magnum Wolfpak '#]],Table2[Rox Wolf'#],0))),0,INDEX(Table2[LEASE USE],MATCH(rrcworking[[#This Row],[Magnum Wolfpak '#]],Table2[Rox Wolf'#],0)))</f>
        <v>0</v>
      </c>
      <c r="Z135" s="133"/>
      <c r="AA135" s="56">
        <f>rrcworking[[#This Row],[Gas Sales Statement Volume (MCF)]]+rrcworking[[#This Row],[Lease Use (MCF)]]+rrcworking[[#This Row],[Flared Gas]]</f>
        <v>0</v>
      </c>
      <c r="AB135" s="36"/>
      <c r="AC135" s="36"/>
      <c r="AD135" s="175">
        <f>COUNTIF(FilterList,rrcworking[[#This Row],[Magnum Wolfpak '#]])</f>
        <v>0</v>
      </c>
      <c r="AE135" s="172"/>
      <c r="AF135" s="173"/>
      <c r="AG135" s="36"/>
      <c r="AH135" s="36"/>
      <c r="AI135" s="36"/>
      <c r="AJ135" s="36"/>
      <c r="AK135" s="36"/>
      <c r="AL135" s="36"/>
      <c r="AM135" s="36"/>
      <c r="AN135" s="36"/>
      <c r="AO135" s="36"/>
      <c r="AP135" s="36"/>
    </row>
    <row r="136" spans="3:42" ht="210">
      <c r="C136" s="78">
        <v>99132</v>
      </c>
      <c r="D136" s="60" t="s">
        <v>381</v>
      </c>
      <c r="E136" s="125" t="s">
        <v>382</v>
      </c>
      <c r="F136" s="130" t="s">
        <v>61</v>
      </c>
      <c r="G136" s="115">
        <v>6114</v>
      </c>
      <c r="H136" s="18" t="s">
        <v>619</v>
      </c>
      <c r="I136" s="18" t="s">
        <v>2</v>
      </c>
      <c r="J136" s="19" t="s">
        <v>595</v>
      </c>
      <c r="K136" s="99">
        <v>3212</v>
      </c>
      <c r="L136" s="97">
        <f>INDEX(Table1[Production],MATCH(rrcworking[[#This Row],[RRC ID Number]],Table1[RRC Identifier],0))</f>
        <v>0</v>
      </c>
      <c r="M136" s="29">
        <f>INDEX(Table1[Formation Production],MATCH(rrcworking[[#This Row],[RRC ID Number]],Table1[RRC Identifier],0))</f>
        <v>0</v>
      </c>
      <c r="N136" s="30">
        <f>INDEX(Table1[On Hand End of Month],MATCH(rrcworking[[#This Row],[RRC ID Number]],Table1[RRC Identifier],0))</f>
        <v>72</v>
      </c>
      <c r="O136" s="102" t="b">
        <f t="shared" si="4"/>
        <v>1</v>
      </c>
      <c r="P136">
        <v>0</v>
      </c>
      <c r="Q136" s="122">
        <f>rrcworking[[#This Row],[Last Month Closing Stock]]</f>
        <v>72</v>
      </c>
      <c r="R136">
        <v>72</v>
      </c>
      <c r="S136" s="133">
        <f>IF(ISERROR(INDEX(Table2[OIL],MATCH(rrcworking[[#This Row],[Magnum Wolfpak '#]],Table2[Rox Wolf'#],0))),0,INDEX(Table2[OIL],MATCH(rrcworking[[#This Row],[Magnum Wolfpak '#]],Table2[Rox Wolf'#],0)))</f>
        <v>0</v>
      </c>
      <c r="T136" s="34">
        <f>rrcworking[[#This Row],[Closing Stock (Oil)]]+rrcworking[[#This Row],[Sales/Dispostion]]-rrcworking[[#This Row],[Opening Oil Stock]]</f>
        <v>0</v>
      </c>
      <c r="U136" s="108">
        <f>rrcworking[[#This Row],[Gauge Sheet Prod Volume (oil)]]-rrcworking[[#This Row],[Oil Production]]</f>
        <v>0</v>
      </c>
      <c r="V136" s="133">
        <f>IF(ISERROR(INDEX(Table2[GAS],MATCH(rrcworking[[#This Row],[Magnum Wolfpak '#]],Table2[Rox Wolf'#],0))),0,INDEX(Table2[GAS],MATCH(rrcworking[[#This Row],[Magnum Wolfpak '#]],Table2[Rox Wolf'#],0)))</f>
        <v>0</v>
      </c>
      <c r="W136" s="58"/>
      <c r="X136" s="58">
        <v>4</v>
      </c>
      <c r="Y136" s="133">
        <f>IF(ISERROR(INDEX(Table2[LEASE USE],MATCH(rrcworking[[#This Row],[Magnum Wolfpak '#]],Table2[Rox Wolf'#],0))),0,INDEX(Table2[LEASE USE],MATCH(rrcworking[[#This Row],[Magnum Wolfpak '#]],Table2[Rox Wolf'#],0)))</f>
        <v>0</v>
      </c>
      <c r="Z136" s="133"/>
      <c r="AA136" s="56">
        <f>rrcworking[[#This Row],[Gas Sales Statement Volume (MCF)]]+rrcworking[[#This Row],[Lease Use (MCF)]]+rrcworking[[#This Row],[Flared Gas]]</f>
        <v>0</v>
      </c>
      <c r="AB136" s="36"/>
      <c r="AC136" s="36" t="s">
        <v>1301</v>
      </c>
      <c r="AD136" s="175">
        <f>COUNTIF(FilterList,rrcworking[[#This Row],[Magnum Wolfpak '#]])</f>
        <v>1</v>
      </c>
      <c r="AE136" s="172"/>
      <c r="AF136" s="173"/>
      <c r="AG136" s="36"/>
      <c r="AH136" s="173"/>
      <c r="AI136" s="174"/>
      <c r="AJ136" s="174"/>
      <c r="AK136" s="174"/>
      <c r="AL136" s="174"/>
      <c r="AM136" s="174"/>
      <c r="AN136" s="174"/>
      <c r="AO136" s="36" t="s">
        <v>1163</v>
      </c>
      <c r="AP136" s="36" t="s">
        <v>1206</v>
      </c>
    </row>
    <row r="137" spans="3:42" ht="14">
      <c r="C137" s="78">
        <v>99133</v>
      </c>
      <c r="D137" s="60" t="s">
        <v>386</v>
      </c>
      <c r="E137" s="125" t="s">
        <v>387</v>
      </c>
      <c r="F137" s="130" t="s">
        <v>910</v>
      </c>
      <c r="G137" s="115">
        <v>6114</v>
      </c>
      <c r="H137" s="18" t="s">
        <v>619</v>
      </c>
      <c r="I137" s="18" t="s">
        <v>2</v>
      </c>
      <c r="J137" s="19" t="s">
        <v>598</v>
      </c>
      <c r="K137" s="99">
        <v>13668</v>
      </c>
      <c r="L137" s="97">
        <f>INDEX(Table1[Production],MATCH(rrcworking[[#This Row],[RRC ID Number]],Table1[RRC Identifier],0))</f>
        <v>0</v>
      </c>
      <c r="M137" s="29">
        <f>INDEX(Table1[Formation Production],MATCH(rrcworking[[#This Row],[RRC ID Number]],Table1[RRC Identifier],0))</f>
        <v>0</v>
      </c>
      <c r="N137" s="30">
        <f>INDEX(Table1[On Hand End of Month],MATCH(rrcworking[[#This Row],[RRC ID Number]],Table1[RRC Identifier],0))</f>
        <v>0</v>
      </c>
      <c r="O137" s="102" t="b">
        <f t="shared" si="4"/>
        <v>1</v>
      </c>
      <c r="P137">
        <v>0</v>
      </c>
      <c r="Q137" s="122">
        <f>rrcworking[[#This Row],[Last Month Closing Stock]]</f>
        <v>0</v>
      </c>
      <c r="R137">
        <v>0</v>
      </c>
      <c r="S137" s="134">
        <f>IF(ISERROR(INDEX(Table2[OIL],MATCH(rrcworking[[#This Row],[Magnum Wolfpak '#]],Table2[Rox Wolf'#],0))),0,INDEX(Table2[OIL],MATCH(rrcworking[[#This Row],[Magnum Wolfpak '#]],Table2[Rox Wolf'#],0)))</f>
        <v>0</v>
      </c>
      <c r="T137" s="34">
        <f>rrcworking[[#This Row],[Closing Stock (Oil)]]+rrcworking[[#This Row],[Sales/Dispostion]]-rrcworking[[#This Row],[Opening Oil Stock]]</f>
        <v>0</v>
      </c>
      <c r="U137" s="108">
        <f>rrcworking[[#This Row],[Gauge Sheet Prod Volume (oil)]]-rrcworking[[#This Row],[Oil Production]]</f>
        <v>0</v>
      </c>
      <c r="V137" s="133">
        <f>IF(ISERROR(INDEX(Table2[GAS],MATCH(rrcworking[[#This Row],[Magnum Wolfpak '#]],Table2[Rox Wolf'#],0))),0,INDEX(Table2[GAS],MATCH(rrcworking[[#This Row],[Magnum Wolfpak '#]],Table2[Rox Wolf'#],0)))</f>
        <v>0</v>
      </c>
      <c r="W137" s="58"/>
      <c r="X137" s="58"/>
      <c r="Y137" s="133">
        <f>IF(ISERROR(INDEX(Table2[LEASE USE],MATCH(rrcworking[[#This Row],[Magnum Wolfpak '#]],Table2[Rox Wolf'#],0))),0,INDEX(Table2[LEASE USE],MATCH(rrcworking[[#This Row],[Magnum Wolfpak '#]],Table2[Rox Wolf'#],0)))</f>
        <v>0</v>
      </c>
      <c r="Z137" s="133"/>
      <c r="AA137" s="56">
        <f>rrcworking[[#This Row],[Gas Sales Statement Volume (MCF)]]+rrcworking[[#This Row],[Lease Use (MCF)]]+rrcworking[[#This Row],[Flared Gas]]</f>
        <v>0</v>
      </c>
      <c r="AB137" s="61"/>
      <c r="AC137" s="36"/>
      <c r="AD137" s="175">
        <f>COUNTIF(FilterList,rrcworking[[#This Row],[Magnum Wolfpak '#]])</f>
        <v>1</v>
      </c>
      <c r="AE137" s="172"/>
      <c r="AF137" s="173"/>
      <c r="AG137" s="36"/>
      <c r="AH137" s="36"/>
      <c r="AI137" s="174"/>
      <c r="AJ137" s="174"/>
      <c r="AK137" s="174"/>
      <c r="AL137" s="174"/>
      <c r="AM137" s="174"/>
      <c r="AN137" s="174"/>
      <c r="AO137" s="36" t="s">
        <v>1163</v>
      </c>
      <c r="AP137" s="36"/>
    </row>
    <row r="138" spans="3:42" ht="14">
      <c r="C138" s="78" t="e">
        <v>#N/A</v>
      </c>
      <c r="D138" s="60" t="s">
        <v>388</v>
      </c>
      <c r="E138" s="125" t="s">
        <v>389</v>
      </c>
      <c r="F138" s="124">
        <v>0</v>
      </c>
      <c r="G138" s="115" t="s">
        <v>1090</v>
      </c>
      <c r="H138" s="18" t="s">
        <v>619</v>
      </c>
      <c r="I138" s="18" t="s">
        <v>2</v>
      </c>
      <c r="J138" s="19" t="s">
        <v>599</v>
      </c>
      <c r="K138" s="99">
        <v>13664</v>
      </c>
      <c r="L138" s="97">
        <f>INDEX(Table1[Production],MATCH(rrcworking[[#This Row],[RRC ID Number]],Table1[RRC Identifier],0))</f>
        <v>0</v>
      </c>
      <c r="M138" s="29">
        <f>INDEX(Table1[Formation Production],MATCH(rrcworking[[#This Row],[RRC ID Number]],Table1[RRC Identifier],0))</f>
        <v>0</v>
      </c>
      <c r="N138" s="30">
        <f>INDEX(Table1[On Hand End of Month],MATCH(rrcworking[[#This Row],[RRC ID Number]],Table1[RRC Identifier],0))</f>
        <v>64</v>
      </c>
      <c r="O138" s="102" t="b">
        <f t="shared" si="4"/>
        <v>1</v>
      </c>
      <c r="Q138" s="122">
        <f>rrcworking[[#This Row],[Last Month Closing Stock]]</f>
        <v>64</v>
      </c>
      <c r="R138">
        <f>rrcworking[[#This Row],[Opening Oil Stock]]</f>
        <v>64</v>
      </c>
      <c r="S138" s="133">
        <f>IF(ISERROR(INDEX(Table2[OIL],MATCH(rrcworking[[#This Row],[Magnum Wolfpak '#]],Table2[Rox Wolf'#],0))),0,INDEX(Table2[OIL],MATCH(rrcworking[[#This Row],[Magnum Wolfpak '#]],Table2[Rox Wolf'#],0)))</f>
        <v>0</v>
      </c>
      <c r="T138" s="34">
        <f>rrcworking[[#This Row],[Closing Stock (Oil)]]+rrcworking[[#This Row],[Sales/Dispostion]]-rrcworking[[#This Row],[Opening Oil Stock]]</f>
        <v>0</v>
      </c>
      <c r="U138" s="108">
        <f>rrcworking[[#This Row],[Gauge Sheet Prod Volume (oil)]]-rrcworking[[#This Row],[Oil Production]]</f>
        <v>0</v>
      </c>
      <c r="V138" s="133">
        <f>IF(ISERROR(INDEX(Table2[GAS],MATCH(rrcworking[[#This Row],[Magnum Wolfpak '#]],Table2[Rox Wolf'#],0))),0,INDEX(Table2[GAS],MATCH(rrcworking[[#This Row],[Magnum Wolfpak '#]],Table2[Rox Wolf'#],0)))</f>
        <v>0</v>
      </c>
      <c r="W138" s="58"/>
      <c r="X138" s="58"/>
      <c r="Y138" s="133">
        <f>IF(ISERROR(INDEX(Table2[LEASE USE],MATCH(rrcworking[[#This Row],[Magnum Wolfpak '#]],Table2[Rox Wolf'#],0))),0,INDEX(Table2[LEASE USE],MATCH(rrcworking[[#This Row],[Magnum Wolfpak '#]],Table2[Rox Wolf'#],0)))</f>
        <v>0</v>
      </c>
      <c r="Z138" s="133"/>
      <c r="AA138" s="56">
        <f>rrcworking[[#This Row],[Gas Sales Statement Volume (MCF)]]+rrcworking[[#This Row],[Lease Use (MCF)]]+rrcworking[[#This Row],[Flared Gas]]</f>
        <v>0</v>
      </c>
      <c r="AB138" s="36"/>
      <c r="AC138" s="36"/>
      <c r="AD138" s="175">
        <f>COUNTIF(FilterList,rrcworking[[#This Row],[Magnum Wolfpak '#]])</f>
        <v>0</v>
      </c>
      <c r="AE138" s="172"/>
      <c r="AF138" s="173"/>
      <c r="AG138" s="36"/>
      <c r="AH138" s="36"/>
      <c r="AI138" s="36"/>
      <c r="AJ138" s="36"/>
      <c r="AK138" s="36"/>
      <c r="AL138" s="36"/>
      <c r="AM138" s="36"/>
      <c r="AN138" s="36"/>
      <c r="AO138" s="36"/>
      <c r="AP138" s="36"/>
    </row>
    <row r="139" spans="3:42" ht="14">
      <c r="C139" s="78" t="e">
        <v>#N/A</v>
      </c>
      <c r="D139" s="60" t="s">
        <v>364</v>
      </c>
      <c r="E139" s="125" t="s">
        <v>365</v>
      </c>
      <c r="F139" s="124">
        <v>2</v>
      </c>
      <c r="G139" s="115" t="s">
        <v>1090</v>
      </c>
      <c r="H139" s="18" t="s">
        <v>619</v>
      </c>
      <c r="I139" s="18" t="s">
        <v>59</v>
      </c>
      <c r="J139" s="19" t="s">
        <v>585</v>
      </c>
      <c r="K139" s="99">
        <v>192315</v>
      </c>
      <c r="L139" s="97">
        <f>INDEX(Table1[Production],MATCH(rrcworking[[#This Row],[RRC ID Number]],Table1[RRC Identifier],0))</f>
        <v>0</v>
      </c>
      <c r="M139" s="29">
        <f>INDEX(Table1[Formation Production],MATCH(rrcworking[[#This Row],[RRC ID Number]],Table1[RRC Identifier],0))</f>
        <v>0</v>
      </c>
      <c r="N139" s="30">
        <f>INDEX(Table1[On Hand End of Month],MATCH(rrcworking[[#This Row],[RRC ID Number]],Table1[RRC Identifier],0))</f>
        <v>0</v>
      </c>
      <c r="O139" s="102" t="b">
        <f t="shared" si="4"/>
        <v>1</v>
      </c>
      <c r="Q139" s="122">
        <f>rrcworking[[#This Row],[Last Month Closing Stock]]</f>
        <v>0</v>
      </c>
      <c r="R139">
        <f>rrcworking[[#This Row],[Opening Oil Stock]]</f>
        <v>0</v>
      </c>
      <c r="S139" s="133">
        <f>IF(ISERROR(INDEX(Table2[OIL],MATCH(rrcworking[[#This Row],[Magnum Wolfpak '#]],Table2[Rox Wolf'#],0))),0,INDEX(Table2[OIL],MATCH(rrcworking[[#This Row],[Magnum Wolfpak '#]],Table2[Rox Wolf'#],0)))</f>
        <v>0</v>
      </c>
      <c r="T139" s="34">
        <f>rrcworking[[#This Row],[Closing Stock (Oil)]]+rrcworking[[#This Row],[Sales/Dispostion]]-rrcworking[[#This Row],[Opening Oil Stock]]</f>
        <v>0</v>
      </c>
      <c r="U139" s="108">
        <f>rrcworking[[#This Row],[Gauge Sheet Prod Volume (oil)]]-rrcworking[[#This Row],[Oil Production]]</f>
        <v>0</v>
      </c>
      <c r="V139" s="133">
        <f>IF(ISERROR(INDEX(Table2[GAS],MATCH(rrcworking[[#This Row],[Magnum Wolfpak '#]],Table2[Rox Wolf'#],0))),0,INDEX(Table2[GAS],MATCH(rrcworking[[#This Row],[Magnum Wolfpak '#]],Table2[Rox Wolf'#],0)))</f>
        <v>0</v>
      </c>
      <c r="W139" s="58"/>
      <c r="X139" s="58"/>
      <c r="Y139" s="133">
        <f>IF(ISERROR(INDEX(Table2[LEASE USE],MATCH(rrcworking[[#This Row],[Magnum Wolfpak '#]],Table2[Rox Wolf'#],0))),0,INDEX(Table2[LEASE USE],MATCH(rrcworking[[#This Row],[Magnum Wolfpak '#]],Table2[Rox Wolf'#],0)))</f>
        <v>0</v>
      </c>
      <c r="Z139" s="133"/>
      <c r="AA139" s="56">
        <f>rrcworking[[#This Row],[Gas Sales Statement Volume (MCF)]]+rrcworking[[#This Row],[Lease Use (MCF)]]+rrcworking[[#This Row],[Flared Gas]]</f>
        <v>0</v>
      </c>
      <c r="AB139" s="36"/>
      <c r="AC139" s="36"/>
      <c r="AD139" s="175">
        <f>COUNTIF(FilterList,rrcworking[[#This Row],[Magnum Wolfpak '#]])</f>
        <v>0</v>
      </c>
      <c r="AE139" s="172"/>
      <c r="AF139" s="173"/>
      <c r="AG139" s="36"/>
      <c r="AH139" s="36"/>
      <c r="AI139" s="36"/>
      <c r="AJ139" s="36"/>
      <c r="AK139" s="36"/>
      <c r="AL139" s="36"/>
      <c r="AM139" s="36"/>
      <c r="AN139" s="36"/>
      <c r="AO139" s="36"/>
      <c r="AP139" s="36"/>
    </row>
    <row r="140" spans="3:42" ht="14">
      <c r="C140" s="78" t="e">
        <v>#N/A</v>
      </c>
      <c r="D140" s="60" t="s">
        <v>126</v>
      </c>
      <c r="E140" s="125" t="s">
        <v>127</v>
      </c>
      <c r="F140" s="124">
        <v>0</v>
      </c>
      <c r="G140" s="115" t="s">
        <v>1090</v>
      </c>
      <c r="H140" s="18" t="s">
        <v>617</v>
      </c>
      <c r="I140" s="18" t="s">
        <v>2</v>
      </c>
      <c r="J140" s="19" t="s">
        <v>445</v>
      </c>
      <c r="K140" s="99">
        <v>4248</v>
      </c>
      <c r="L140" s="97">
        <f>INDEX(Table1[Production],MATCH(rrcworking[[#This Row],[RRC ID Number]],Table1[RRC Identifier],0))</f>
        <v>0</v>
      </c>
      <c r="M140" s="29">
        <f>INDEX(Table1[Formation Production],MATCH(rrcworking[[#This Row],[RRC ID Number]],Table1[RRC Identifier],0))</f>
        <v>0</v>
      </c>
      <c r="N140" s="30">
        <f>INDEX(Table1[On Hand End of Month],MATCH(rrcworking[[#This Row],[RRC ID Number]],Table1[RRC Identifier],0))</f>
        <v>213</v>
      </c>
      <c r="O140" s="102" t="b">
        <f t="shared" si="4"/>
        <v>1</v>
      </c>
      <c r="Q140" s="122">
        <f>rrcworking[[#This Row],[Last Month Closing Stock]]</f>
        <v>213</v>
      </c>
      <c r="R140">
        <f>rrcworking[[#This Row],[Opening Oil Stock]]</f>
        <v>213</v>
      </c>
      <c r="S140" s="133">
        <f>IF(ISERROR(INDEX(Table2[OIL],MATCH(rrcworking[[#This Row],[Magnum Wolfpak '#]],Table2[Rox Wolf'#],0))),0,INDEX(Table2[OIL],MATCH(rrcworking[[#This Row],[Magnum Wolfpak '#]],Table2[Rox Wolf'#],0)))</f>
        <v>0</v>
      </c>
      <c r="T140" s="34">
        <f>rrcworking[[#This Row],[Closing Stock (Oil)]]+rrcworking[[#This Row],[Sales/Dispostion]]-rrcworking[[#This Row],[Opening Oil Stock]]</f>
        <v>0</v>
      </c>
      <c r="U140" s="108">
        <f>rrcworking[[#This Row],[Gauge Sheet Prod Volume (oil)]]-rrcworking[[#This Row],[Oil Production]]</f>
        <v>0</v>
      </c>
      <c r="V140" s="133">
        <f>IF(ISERROR(INDEX(Table2[GAS],MATCH(rrcworking[[#This Row],[Magnum Wolfpak '#]],Table2[Rox Wolf'#],0))),0,INDEX(Table2[GAS],MATCH(rrcworking[[#This Row],[Magnum Wolfpak '#]],Table2[Rox Wolf'#],0)))</f>
        <v>0</v>
      </c>
      <c r="W140" s="58"/>
      <c r="X140" s="58"/>
      <c r="Y140" s="133">
        <f>IF(ISERROR(INDEX(Table2[LEASE USE],MATCH(rrcworking[[#This Row],[Magnum Wolfpak '#]],Table2[Rox Wolf'#],0))),0,INDEX(Table2[LEASE USE],MATCH(rrcworking[[#This Row],[Magnum Wolfpak '#]],Table2[Rox Wolf'#],0)))</f>
        <v>0</v>
      </c>
      <c r="Z140" s="133"/>
      <c r="AA140" s="56">
        <f>rrcworking[[#This Row],[Gas Sales Statement Volume (MCF)]]+rrcworking[[#This Row],[Lease Use (MCF)]]+rrcworking[[#This Row],[Flared Gas]]</f>
        <v>0</v>
      </c>
      <c r="AB140" s="36"/>
      <c r="AC140" s="36"/>
      <c r="AD140" s="175">
        <f>COUNTIF(FilterList,rrcworking[[#This Row],[Magnum Wolfpak '#]])</f>
        <v>0</v>
      </c>
      <c r="AE140" s="172"/>
      <c r="AF140" s="173"/>
      <c r="AG140" s="36"/>
      <c r="AH140" s="36"/>
      <c r="AI140" s="36"/>
      <c r="AJ140" s="36"/>
      <c r="AK140" s="36"/>
      <c r="AL140" s="36"/>
      <c r="AM140" s="36"/>
      <c r="AN140" s="36"/>
      <c r="AO140" s="36"/>
      <c r="AP140" s="36"/>
    </row>
    <row r="141" spans="3:42" ht="14">
      <c r="C141" s="78" t="e">
        <v>#N/A</v>
      </c>
      <c r="D141" s="60" t="s">
        <v>270</v>
      </c>
      <c r="E141" s="125" t="s">
        <v>271</v>
      </c>
      <c r="F141" s="124">
        <v>1</v>
      </c>
      <c r="G141" s="115" t="s">
        <v>1090</v>
      </c>
      <c r="H141" s="18" t="s">
        <v>618</v>
      </c>
      <c r="I141" s="18" t="s">
        <v>59</v>
      </c>
      <c r="J141" s="19" t="s">
        <v>524</v>
      </c>
      <c r="K141" s="99">
        <v>58664</v>
      </c>
      <c r="L141" s="97">
        <f>INDEX(Table1[Production],MATCH(rrcworking[[#This Row],[RRC ID Number]],Table1[RRC Identifier],0))</f>
        <v>0</v>
      </c>
      <c r="M141" s="29">
        <f>INDEX(Table1[Formation Production],MATCH(rrcworking[[#This Row],[RRC ID Number]],Table1[RRC Identifier],0))</f>
        <v>0</v>
      </c>
      <c r="N141" s="30">
        <f>INDEX(Table1[On Hand End of Month],MATCH(rrcworking[[#This Row],[RRC ID Number]],Table1[RRC Identifier],0))</f>
        <v>0</v>
      </c>
      <c r="O141" s="102" t="b">
        <f t="shared" si="4"/>
        <v>1</v>
      </c>
      <c r="Q141" s="122">
        <f>rrcworking[[#This Row],[Last Month Closing Stock]]</f>
        <v>0</v>
      </c>
      <c r="R141">
        <f>rrcworking[[#This Row],[Opening Oil Stock]]</f>
        <v>0</v>
      </c>
      <c r="S141" s="133">
        <f>IF(ISERROR(INDEX(Table2[OIL],MATCH(rrcworking[[#This Row],[Magnum Wolfpak '#]],Table2[Rox Wolf'#],0))),0,INDEX(Table2[OIL],MATCH(rrcworking[[#This Row],[Magnum Wolfpak '#]],Table2[Rox Wolf'#],0)))</f>
        <v>0</v>
      </c>
      <c r="T141" s="34">
        <f>rrcworking[[#This Row],[Closing Stock (Oil)]]+rrcworking[[#This Row],[Sales/Dispostion]]-rrcworking[[#This Row],[Opening Oil Stock]]</f>
        <v>0</v>
      </c>
      <c r="U141" s="108">
        <f>rrcworking[[#This Row],[Gauge Sheet Prod Volume (oil)]]-rrcworking[[#This Row],[Oil Production]]</f>
        <v>0</v>
      </c>
      <c r="V141" s="133">
        <f>IF(ISERROR(INDEX(Table2[GAS],MATCH(rrcworking[[#This Row],[Magnum Wolfpak '#]],Table2[Rox Wolf'#],0))),0,INDEX(Table2[GAS],MATCH(rrcworking[[#This Row],[Magnum Wolfpak '#]],Table2[Rox Wolf'#],0)))</f>
        <v>0</v>
      </c>
      <c r="W141" s="58"/>
      <c r="X141" s="58"/>
      <c r="Y141" s="133">
        <f>IF(ISERROR(INDEX(Table2[LEASE USE],MATCH(rrcworking[[#This Row],[Magnum Wolfpak '#]],Table2[Rox Wolf'#],0))),0,INDEX(Table2[LEASE USE],MATCH(rrcworking[[#This Row],[Magnum Wolfpak '#]],Table2[Rox Wolf'#],0)))</f>
        <v>0</v>
      </c>
      <c r="Z141" s="133"/>
      <c r="AA141" s="56">
        <f>rrcworking[[#This Row],[Gas Sales Statement Volume (MCF)]]+rrcworking[[#This Row],[Lease Use (MCF)]]+rrcworking[[#This Row],[Flared Gas]]</f>
        <v>0</v>
      </c>
      <c r="AB141" s="93"/>
      <c r="AC141" s="36"/>
      <c r="AD141" s="175">
        <f>COUNTIF(FilterList,rrcworking[[#This Row],[Magnum Wolfpak '#]])</f>
        <v>0</v>
      </c>
      <c r="AE141" s="172"/>
      <c r="AF141" s="173"/>
      <c r="AG141" s="36"/>
      <c r="AH141" s="36"/>
      <c r="AI141" s="36"/>
      <c r="AJ141" s="36"/>
      <c r="AK141" s="36"/>
      <c r="AL141" s="36"/>
      <c r="AM141" s="36"/>
      <c r="AN141" s="36"/>
      <c r="AO141" s="36"/>
      <c r="AP141" s="36"/>
    </row>
    <row r="142" spans="3:42" ht="14">
      <c r="C142" s="78" t="e">
        <v>#N/A</v>
      </c>
      <c r="D142" s="60" t="s">
        <v>111</v>
      </c>
      <c r="E142" s="125" t="s">
        <v>112</v>
      </c>
      <c r="F142" s="124">
        <v>5</v>
      </c>
      <c r="G142" s="115">
        <v>5048</v>
      </c>
      <c r="H142" s="18" t="s">
        <v>617</v>
      </c>
      <c r="I142" s="18" t="s">
        <v>59</v>
      </c>
      <c r="J142" s="19" t="s">
        <v>435</v>
      </c>
      <c r="K142" s="99">
        <v>198005</v>
      </c>
      <c r="L142" s="97">
        <f>INDEX(Table1[Production],MATCH(rrcworking[[#This Row],[RRC ID Number]],Table1[RRC Identifier],0))</f>
        <v>0</v>
      </c>
      <c r="M142" s="29">
        <f>INDEX(Table1[Formation Production],MATCH(rrcworking[[#This Row],[RRC ID Number]],Table1[RRC Identifier],0))</f>
        <v>0</v>
      </c>
      <c r="N142" s="30">
        <f>INDEX(Table1[On Hand End of Month],MATCH(rrcworking[[#This Row],[RRC ID Number]],Table1[RRC Identifier],0))</f>
        <v>0</v>
      </c>
      <c r="O142" s="102" t="b">
        <f t="shared" si="4"/>
        <v>1</v>
      </c>
      <c r="Q142" s="122">
        <f>rrcworking[[#This Row],[Last Month Closing Stock]]</f>
        <v>0</v>
      </c>
      <c r="R142">
        <f>rrcworking[[#This Row],[Opening Oil Stock]]</f>
        <v>0</v>
      </c>
      <c r="S142" s="133">
        <f>IF(ISERROR(INDEX(Table2[OIL],MATCH(rrcworking[[#This Row],[Magnum Wolfpak '#]],Table2[Rox Wolf'#],0))),0,INDEX(Table2[OIL],MATCH(rrcworking[[#This Row],[Magnum Wolfpak '#]],Table2[Rox Wolf'#],0)))</f>
        <v>0</v>
      </c>
      <c r="T142" s="34">
        <f>rrcworking[[#This Row],[Closing Stock (Oil)]]+rrcworking[[#This Row],[Sales/Dispostion]]-rrcworking[[#This Row],[Opening Oil Stock]]</f>
        <v>0</v>
      </c>
      <c r="U142" s="108">
        <f>rrcworking[[#This Row],[Gauge Sheet Prod Volume (oil)]]-rrcworking[[#This Row],[Oil Production]]</f>
        <v>0</v>
      </c>
      <c r="V142" s="133">
        <f>IF(ISERROR(INDEX(Table2[GAS],MATCH(rrcworking[[#This Row],[Magnum Wolfpak '#]],Table2[Rox Wolf'#],0))),0,INDEX(Table2[GAS],MATCH(rrcworking[[#This Row],[Magnum Wolfpak '#]],Table2[Rox Wolf'#],0)))</f>
        <v>0</v>
      </c>
      <c r="W142" s="58"/>
      <c r="X142" s="58"/>
      <c r="Y142" s="133">
        <f>IF(ISERROR(INDEX(Table2[LEASE USE],MATCH(rrcworking[[#This Row],[Magnum Wolfpak '#]],Table2[Rox Wolf'#],0))),0,INDEX(Table2[LEASE USE],MATCH(rrcworking[[#This Row],[Magnum Wolfpak '#]],Table2[Rox Wolf'#],0)))</f>
        <v>0</v>
      </c>
      <c r="Z142" s="133"/>
      <c r="AA142" s="56">
        <f>rrcworking[[#This Row],[Gas Sales Statement Volume (MCF)]]+rrcworking[[#This Row],[Lease Use (MCF)]]+rrcworking[[#This Row],[Flared Gas]]</f>
        <v>0</v>
      </c>
      <c r="AB142" s="93"/>
      <c r="AC142" s="36"/>
      <c r="AD142" s="175">
        <f>COUNTIF(FilterList,rrcworking[[#This Row],[Magnum Wolfpak '#]])</f>
        <v>0</v>
      </c>
      <c r="AE142" s="172"/>
      <c r="AF142" s="173"/>
      <c r="AG142" s="36"/>
      <c r="AH142" s="36"/>
      <c r="AI142" s="36"/>
      <c r="AJ142" s="36"/>
      <c r="AK142" s="36"/>
      <c r="AL142" s="36"/>
      <c r="AM142" s="36"/>
      <c r="AN142" s="36"/>
      <c r="AO142" s="36"/>
      <c r="AP142" s="36"/>
    </row>
    <row r="143" spans="3:42" ht="14">
      <c r="C143" s="78" t="e">
        <v>#N/A</v>
      </c>
      <c r="D143" s="60" t="s">
        <v>128</v>
      </c>
      <c r="E143" s="125" t="s">
        <v>112</v>
      </c>
      <c r="F143" s="124">
        <v>3</v>
      </c>
      <c r="G143" s="115">
        <v>5048</v>
      </c>
      <c r="H143" s="18" t="s">
        <v>617</v>
      </c>
      <c r="I143" s="18" t="s">
        <v>59</v>
      </c>
      <c r="J143" s="19" t="s">
        <v>446</v>
      </c>
      <c r="K143" s="99">
        <v>184558</v>
      </c>
      <c r="L143" s="97">
        <f>INDEX(Table1[Production],MATCH(rrcworking[[#This Row],[RRC ID Number]],Table1[RRC Identifier],0))</f>
        <v>0</v>
      </c>
      <c r="M143" s="29">
        <f>INDEX(Table1[Formation Production],MATCH(rrcworking[[#This Row],[RRC ID Number]],Table1[RRC Identifier],0))</f>
        <v>0</v>
      </c>
      <c r="N143" s="30">
        <f>INDEX(Table1[On Hand End of Month],MATCH(rrcworking[[#This Row],[RRC ID Number]],Table1[RRC Identifier],0))</f>
        <v>0</v>
      </c>
      <c r="O143" s="102" t="b">
        <f t="shared" si="4"/>
        <v>1</v>
      </c>
      <c r="Q143" s="122">
        <f>rrcworking[[#This Row],[Last Month Closing Stock]]</f>
        <v>0</v>
      </c>
      <c r="R143">
        <f>rrcworking[[#This Row],[Opening Oil Stock]]</f>
        <v>0</v>
      </c>
      <c r="S143" s="133">
        <f>IF(ISERROR(INDEX(Table2[OIL],MATCH(rrcworking[[#This Row],[Magnum Wolfpak '#]],Table2[Rox Wolf'#],0))),0,INDEX(Table2[OIL],MATCH(rrcworking[[#This Row],[Magnum Wolfpak '#]],Table2[Rox Wolf'#],0)))</f>
        <v>0</v>
      </c>
      <c r="T143" s="34">
        <f>rrcworking[[#This Row],[Closing Stock (Oil)]]+rrcworking[[#This Row],[Sales/Dispostion]]-rrcworking[[#This Row],[Opening Oil Stock]]</f>
        <v>0</v>
      </c>
      <c r="U143" s="108">
        <f>rrcworking[[#This Row],[Gauge Sheet Prod Volume (oil)]]-rrcworking[[#This Row],[Oil Production]]</f>
        <v>0</v>
      </c>
      <c r="V143" s="133">
        <f>IF(ISERROR(INDEX(Table2[GAS],MATCH(rrcworking[[#This Row],[Magnum Wolfpak '#]],Table2[Rox Wolf'#],0))),0,INDEX(Table2[GAS],MATCH(rrcworking[[#This Row],[Magnum Wolfpak '#]],Table2[Rox Wolf'#],0)))</f>
        <v>0</v>
      </c>
      <c r="W143" s="58"/>
      <c r="X143" s="58"/>
      <c r="Y143" s="133">
        <f>IF(ISERROR(INDEX(Table2[LEASE USE],MATCH(rrcworking[[#This Row],[Magnum Wolfpak '#]],Table2[Rox Wolf'#],0))),0,INDEX(Table2[LEASE USE],MATCH(rrcworking[[#This Row],[Magnum Wolfpak '#]],Table2[Rox Wolf'#],0)))</f>
        <v>0</v>
      </c>
      <c r="Z143" s="133"/>
      <c r="AA143" s="56">
        <f>rrcworking[[#This Row],[Gas Sales Statement Volume (MCF)]]+rrcworking[[#This Row],[Lease Use (MCF)]]+rrcworking[[#This Row],[Flared Gas]]</f>
        <v>0</v>
      </c>
      <c r="AB143" s="36"/>
      <c r="AC143" s="36"/>
      <c r="AD143" s="175">
        <f>COUNTIF(FilterList,rrcworking[[#This Row],[Magnum Wolfpak '#]])</f>
        <v>0</v>
      </c>
      <c r="AE143" s="172"/>
      <c r="AF143" s="173"/>
      <c r="AG143" s="36"/>
      <c r="AH143" s="36"/>
      <c r="AI143" s="36"/>
      <c r="AJ143" s="36"/>
      <c r="AK143" s="36"/>
      <c r="AL143" s="36"/>
      <c r="AM143" s="36"/>
      <c r="AN143" s="36"/>
      <c r="AO143" s="36"/>
      <c r="AP143" s="36"/>
    </row>
    <row r="144" spans="3:42" ht="14">
      <c r="C144" s="78" t="e">
        <v>#N/A</v>
      </c>
      <c r="D144" s="60" t="s">
        <v>109</v>
      </c>
      <c r="E144" s="125" t="s">
        <v>110</v>
      </c>
      <c r="F144" s="124">
        <v>1</v>
      </c>
      <c r="G144" s="115" t="s">
        <v>1090</v>
      </c>
      <c r="H144" s="18" t="s">
        <v>617</v>
      </c>
      <c r="I144" s="18" t="s">
        <v>59</v>
      </c>
      <c r="J144" s="19" t="s">
        <v>433</v>
      </c>
      <c r="K144" s="99">
        <v>172874</v>
      </c>
      <c r="L144" s="97">
        <f>INDEX(Table1[Production],MATCH(rrcworking[[#This Row],[RRC ID Number]],Table1[RRC Identifier],0))</f>
        <v>0</v>
      </c>
      <c r="M144" s="29">
        <f>INDEX(Table1[Formation Production],MATCH(rrcworking[[#This Row],[RRC ID Number]],Table1[RRC Identifier],0))</f>
        <v>0</v>
      </c>
      <c r="N144" s="30">
        <f>INDEX(Table1[On Hand End of Month],MATCH(rrcworking[[#This Row],[RRC ID Number]],Table1[RRC Identifier],0))</f>
        <v>0</v>
      </c>
      <c r="O144" s="102" t="b">
        <f t="shared" si="4"/>
        <v>1</v>
      </c>
      <c r="Q144" s="122">
        <f>rrcworking[[#This Row],[Last Month Closing Stock]]</f>
        <v>0</v>
      </c>
      <c r="R144">
        <f>rrcworking[[#This Row],[Opening Oil Stock]]</f>
        <v>0</v>
      </c>
      <c r="S144" s="133">
        <f>IF(ISERROR(INDEX(Table2[OIL],MATCH(rrcworking[[#This Row],[Magnum Wolfpak '#]],Table2[Rox Wolf'#],0))),0,INDEX(Table2[OIL],MATCH(rrcworking[[#This Row],[Magnum Wolfpak '#]],Table2[Rox Wolf'#],0)))</f>
        <v>0</v>
      </c>
      <c r="T144" s="34">
        <f>rrcworking[[#This Row],[Closing Stock (Oil)]]+rrcworking[[#This Row],[Sales/Dispostion]]-rrcworking[[#This Row],[Opening Oil Stock]]</f>
        <v>0</v>
      </c>
      <c r="U144" s="108">
        <f>rrcworking[[#This Row],[Gauge Sheet Prod Volume (oil)]]-rrcworking[[#This Row],[Oil Production]]</f>
        <v>0</v>
      </c>
      <c r="V144" s="133">
        <f>IF(ISERROR(INDEX(Table2[GAS],MATCH(rrcworking[[#This Row],[Magnum Wolfpak '#]],Table2[Rox Wolf'#],0))),0,INDEX(Table2[GAS],MATCH(rrcworking[[#This Row],[Magnum Wolfpak '#]],Table2[Rox Wolf'#],0)))</f>
        <v>0</v>
      </c>
      <c r="W144" s="58"/>
      <c r="X144" s="58"/>
      <c r="Y144" s="133">
        <f>IF(ISERROR(INDEX(Table2[LEASE USE],MATCH(rrcworking[[#This Row],[Magnum Wolfpak '#]],Table2[Rox Wolf'#],0))),0,INDEX(Table2[LEASE USE],MATCH(rrcworking[[#This Row],[Magnum Wolfpak '#]],Table2[Rox Wolf'#],0)))</f>
        <v>0</v>
      </c>
      <c r="Z144" s="133"/>
      <c r="AA144" s="56">
        <f>rrcworking[[#This Row],[Gas Sales Statement Volume (MCF)]]+rrcworking[[#This Row],[Lease Use (MCF)]]+rrcworking[[#This Row],[Flared Gas]]</f>
        <v>0</v>
      </c>
      <c r="AB144" s="36"/>
      <c r="AC144" s="36"/>
      <c r="AD144" s="175">
        <f>COUNTIF(FilterList,rrcworking[[#This Row],[Magnum Wolfpak '#]])</f>
        <v>0</v>
      </c>
      <c r="AE144" s="172"/>
      <c r="AF144" s="173"/>
      <c r="AG144" s="36"/>
      <c r="AH144" s="36"/>
      <c r="AI144" s="36"/>
      <c r="AJ144" s="36"/>
      <c r="AK144" s="36"/>
      <c r="AL144" s="36"/>
      <c r="AM144" s="36"/>
      <c r="AN144" s="36"/>
      <c r="AO144" s="36"/>
      <c r="AP144" s="36"/>
    </row>
    <row r="145" spans="3:42" ht="14">
      <c r="C145" s="78">
        <v>99256</v>
      </c>
      <c r="D145" s="60" t="s">
        <v>111</v>
      </c>
      <c r="E145" s="125" t="s">
        <v>110</v>
      </c>
      <c r="F145" s="124">
        <v>1</v>
      </c>
      <c r="G145" s="115">
        <v>5048</v>
      </c>
      <c r="H145" s="18" t="s">
        <v>617</v>
      </c>
      <c r="I145" s="18" t="s">
        <v>59</v>
      </c>
      <c r="J145" s="19" t="s">
        <v>434</v>
      </c>
      <c r="K145" s="99">
        <v>180461</v>
      </c>
      <c r="L145" s="97">
        <f>INDEX(Table1[Production],MATCH(rrcworking[[#This Row],[RRC ID Number]],Table1[RRC Identifier],0))</f>
        <v>36</v>
      </c>
      <c r="M145" s="29">
        <f>INDEX(Table1[Formation Production],MATCH(rrcworking[[#This Row],[RRC ID Number]],Table1[RRC Identifier],0))</f>
        <v>0</v>
      </c>
      <c r="N145" s="30">
        <f>INDEX(Table1[On Hand End of Month],MATCH(rrcworking[[#This Row],[RRC ID Number]],Table1[RRC Identifier],0))</f>
        <v>200</v>
      </c>
      <c r="O145" s="102" t="b">
        <f t="shared" si="4"/>
        <v>0</v>
      </c>
      <c r="P145">
        <v>48</v>
      </c>
      <c r="Q145" s="122">
        <f>rrcworking[[#This Row],[Last Month Closing Stock]]</f>
        <v>200</v>
      </c>
      <c r="R145">
        <v>248</v>
      </c>
      <c r="S145" s="133">
        <f>IF(ISERROR(INDEX(Table2[OIL],MATCH(rrcworking[[#This Row],[Magnum Wolfpak '#]],Table2[Rox Wolf'#],0))),0,INDEX(Table2[OIL],MATCH(rrcworking[[#This Row],[Magnum Wolfpak '#]],Table2[Rox Wolf'#],0)))</f>
        <v>0</v>
      </c>
      <c r="T145" s="34">
        <f>rrcworking[[#This Row],[Closing Stock (Oil)]]+rrcworking[[#This Row],[Sales/Dispostion]]-rrcworking[[#This Row],[Opening Oil Stock]]</f>
        <v>48</v>
      </c>
      <c r="U145" s="108">
        <f>rrcworking[[#This Row],[Gauge Sheet Prod Volume (oil)]]-rrcworking[[#This Row],[Oil Production]]</f>
        <v>0</v>
      </c>
      <c r="V145" s="133">
        <f>IF(ISERROR(INDEX(Table2[GAS],MATCH(rrcworking[[#This Row],[Magnum Wolfpak '#]],Table2[Rox Wolf'#],0))),0,INDEX(Table2[GAS],MATCH(rrcworking[[#This Row],[Magnum Wolfpak '#]],Table2[Rox Wolf'#],0)))</f>
        <v>1896</v>
      </c>
      <c r="W145" s="58"/>
      <c r="X145" s="58"/>
      <c r="Y145" s="133">
        <f>IF(ISERROR(INDEX(Table2[LEASE USE],MATCH(rrcworking[[#This Row],[Magnum Wolfpak '#]],Table2[Rox Wolf'#],0))),0,INDEX(Table2[LEASE USE],MATCH(rrcworking[[#This Row],[Magnum Wolfpak '#]],Table2[Rox Wolf'#],0)))</f>
        <v>0</v>
      </c>
      <c r="Z145" s="133"/>
      <c r="AA145" s="56">
        <f>rrcworking[[#This Row],[Gas Sales Statement Volume (MCF)]]+rrcworking[[#This Row],[Lease Use (MCF)]]+rrcworking[[#This Row],[Flared Gas]]</f>
        <v>1896</v>
      </c>
      <c r="AB145" s="36"/>
      <c r="AC145" s="36"/>
      <c r="AD145" s="175">
        <f>COUNTIF(FilterList,rrcworking[[#This Row],[Magnum Wolfpak '#]])</f>
        <v>0</v>
      </c>
      <c r="AE145" s="172"/>
      <c r="AF145" s="173"/>
      <c r="AG145" s="36"/>
      <c r="AH145" s="173"/>
      <c r="AI145" s="36">
        <v>2</v>
      </c>
      <c r="AJ145" s="36" t="s">
        <v>1165</v>
      </c>
      <c r="AK145" s="36" t="s">
        <v>1165</v>
      </c>
      <c r="AL145" s="36" t="s">
        <v>1215</v>
      </c>
      <c r="AM145" s="36" t="s">
        <v>1165</v>
      </c>
      <c r="AN145" s="36" t="s">
        <v>1284</v>
      </c>
      <c r="AO145" s="36" t="s">
        <v>1216</v>
      </c>
      <c r="AP145" s="36"/>
    </row>
    <row r="146" spans="3:42" ht="14">
      <c r="C146" s="78" t="e">
        <v>#N/A</v>
      </c>
      <c r="D146" s="60" t="s">
        <v>107</v>
      </c>
      <c r="E146" s="125" t="s">
        <v>108</v>
      </c>
      <c r="F146" s="124">
        <v>1</v>
      </c>
      <c r="G146" s="115" t="s">
        <v>1090</v>
      </c>
      <c r="H146" s="18" t="s">
        <v>617</v>
      </c>
      <c r="I146" s="18" t="s">
        <v>59</v>
      </c>
      <c r="J146" s="19" t="s">
        <v>432</v>
      </c>
      <c r="K146" s="99">
        <v>253815</v>
      </c>
      <c r="L146" s="97">
        <f>INDEX(Table1[Production],MATCH(rrcworking[[#This Row],[RRC ID Number]],Table1[RRC Identifier],0))</f>
        <v>0</v>
      </c>
      <c r="M146" s="29">
        <f>INDEX(Table1[Formation Production],MATCH(rrcworking[[#This Row],[RRC ID Number]],Table1[RRC Identifier],0))</f>
        <v>0</v>
      </c>
      <c r="N146" s="30">
        <f>INDEX(Table1[On Hand End of Month],MATCH(rrcworking[[#This Row],[RRC ID Number]],Table1[RRC Identifier],0))</f>
        <v>0</v>
      </c>
      <c r="O146" s="102" t="b">
        <f t="shared" si="4"/>
        <v>1</v>
      </c>
      <c r="Q146" s="122">
        <f>rrcworking[[#This Row],[Last Month Closing Stock]]</f>
        <v>0</v>
      </c>
      <c r="R146">
        <f>rrcworking[[#This Row],[Opening Oil Stock]]</f>
        <v>0</v>
      </c>
      <c r="S146" s="133">
        <f>IF(ISERROR(INDEX(Table2[OIL],MATCH(rrcworking[[#This Row],[Magnum Wolfpak '#]],Table2[Rox Wolf'#],0))),0,INDEX(Table2[OIL],MATCH(rrcworking[[#This Row],[Magnum Wolfpak '#]],Table2[Rox Wolf'#],0)))</f>
        <v>0</v>
      </c>
      <c r="T146" s="34">
        <f>rrcworking[[#This Row],[Closing Stock (Oil)]]+rrcworking[[#This Row],[Sales/Dispostion]]-rrcworking[[#This Row],[Opening Oil Stock]]</f>
        <v>0</v>
      </c>
      <c r="U146" s="108">
        <f>rrcworking[[#This Row],[Gauge Sheet Prod Volume (oil)]]-rrcworking[[#This Row],[Oil Production]]</f>
        <v>0</v>
      </c>
      <c r="V146" s="133">
        <f>IF(ISERROR(INDEX(Table2[GAS],MATCH(rrcworking[[#This Row],[Magnum Wolfpak '#]],Table2[Rox Wolf'#],0))),0,INDEX(Table2[GAS],MATCH(rrcworking[[#This Row],[Magnum Wolfpak '#]],Table2[Rox Wolf'#],0)))</f>
        <v>0</v>
      </c>
      <c r="W146" s="58"/>
      <c r="X146" s="58"/>
      <c r="Y146" s="133">
        <f>IF(ISERROR(INDEX(Table2[LEASE USE],MATCH(rrcworking[[#This Row],[Magnum Wolfpak '#]],Table2[Rox Wolf'#],0))),0,INDEX(Table2[LEASE USE],MATCH(rrcworking[[#This Row],[Magnum Wolfpak '#]],Table2[Rox Wolf'#],0)))</f>
        <v>0</v>
      </c>
      <c r="Z146" s="133"/>
      <c r="AA146" s="56">
        <f>rrcworking[[#This Row],[Gas Sales Statement Volume (MCF)]]+rrcworking[[#This Row],[Lease Use (MCF)]]+rrcworking[[#This Row],[Flared Gas]]</f>
        <v>0</v>
      </c>
      <c r="AB146" s="36"/>
      <c r="AC146" s="36"/>
      <c r="AD146" s="175">
        <f>COUNTIF(FilterList,rrcworking[[#This Row],[Magnum Wolfpak '#]])</f>
        <v>0</v>
      </c>
      <c r="AE146" s="172"/>
      <c r="AF146" s="173"/>
      <c r="AG146" s="36"/>
      <c r="AH146" s="36"/>
      <c r="AI146" s="36"/>
      <c r="AJ146" s="36"/>
      <c r="AK146" s="36"/>
      <c r="AL146" s="36"/>
      <c r="AM146" s="36"/>
      <c r="AN146" s="36"/>
      <c r="AO146" s="36"/>
      <c r="AP146" s="36"/>
    </row>
    <row r="147" spans="3:42" ht="14">
      <c r="C147" s="78" t="e">
        <v>#N/A</v>
      </c>
      <c r="D147" s="60" t="s">
        <v>194</v>
      </c>
      <c r="E147" s="125" t="s">
        <v>195</v>
      </c>
      <c r="F147" s="124">
        <v>0</v>
      </c>
      <c r="G147" s="115" t="s">
        <v>1090</v>
      </c>
      <c r="H147" s="18" t="s">
        <v>618</v>
      </c>
      <c r="I147" s="18" t="s">
        <v>2</v>
      </c>
      <c r="J147" s="19" t="s">
        <v>486</v>
      </c>
      <c r="K147" s="99">
        <v>24246</v>
      </c>
      <c r="L147" s="97">
        <f>INDEX(Table1[Production],MATCH(rrcworking[[#This Row],[RRC ID Number]],Table1[RRC Identifier],0))</f>
        <v>0</v>
      </c>
      <c r="M147" s="29">
        <f>INDEX(Table1[Formation Production],MATCH(rrcworking[[#This Row],[RRC ID Number]],Table1[RRC Identifier],0))</f>
        <v>0</v>
      </c>
      <c r="N147" s="30">
        <f>INDEX(Table1[On Hand End of Month],MATCH(rrcworking[[#This Row],[RRC ID Number]],Table1[RRC Identifier],0))</f>
        <v>52</v>
      </c>
      <c r="O147" s="102" t="b">
        <f t="shared" si="4"/>
        <v>1</v>
      </c>
      <c r="Q147" s="122">
        <f>rrcworking[[#This Row],[Last Month Closing Stock]]</f>
        <v>52</v>
      </c>
      <c r="R147">
        <f>rrcworking[[#This Row],[Opening Oil Stock]]</f>
        <v>52</v>
      </c>
      <c r="S147" s="133">
        <f>IF(ISERROR(INDEX(Table2[OIL],MATCH(rrcworking[[#This Row],[Magnum Wolfpak '#]],Table2[Rox Wolf'#],0))),0,INDEX(Table2[OIL],MATCH(rrcworking[[#This Row],[Magnum Wolfpak '#]],Table2[Rox Wolf'#],0)))</f>
        <v>0</v>
      </c>
      <c r="T147" s="34">
        <f>rrcworking[[#This Row],[Closing Stock (Oil)]]+rrcworking[[#This Row],[Sales/Dispostion]]-rrcworking[[#This Row],[Opening Oil Stock]]</f>
        <v>0</v>
      </c>
      <c r="U147" s="108">
        <f>rrcworking[[#This Row],[Gauge Sheet Prod Volume (oil)]]-rrcworking[[#This Row],[Oil Production]]</f>
        <v>0</v>
      </c>
      <c r="V147" s="133">
        <f>IF(ISERROR(INDEX(Table2[GAS],MATCH(rrcworking[[#This Row],[Magnum Wolfpak '#]],Table2[Rox Wolf'#],0))),0,INDEX(Table2[GAS],MATCH(rrcworking[[#This Row],[Magnum Wolfpak '#]],Table2[Rox Wolf'#],0)))</f>
        <v>0</v>
      </c>
      <c r="W147" s="58"/>
      <c r="X147" s="58"/>
      <c r="Y147" s="133">
        <f>IF(ISERROR(INDEX(Table2[LEASE USE],MATCH(rrcworking[[#This Row],[Magnum Wolfpak '#]],Table2[Rox Wolf'#],0))),0,INDEX(Table2[LEASE USE],MATCH(rrcworking[[#This Row],[Magnum Wolfpak '#]],Table2[Rox Wolf'#],0)))</f>
        <v>0</v>
      </c>
      <c r="Z147" s="133"/>
      <c r="AA147" s="56">
        <f>rrcworking[[#This Row],[Gas Sales Statement Volume (MCF)]]+rrcworking[[#This Row],[Lease Use (MCF)]]+rrcworking[[#This Row],[Flared Gas]]</f>
        <v>0</v>
      </c>
      <c r="AB147" s="61"/>
      <c r="AC147" s="36"/>
      <c r="AD147" s="175">
        <f>COUNTIF(FilterList,rrcworking[[#This Row],[Magnum Wolfpak '#]])</f>
        <v>0</v>
      </c>
      <c r="AE147" s="172"/>
      <c r="AF147" s="173"/>
      <c r="AG147" s="36"/>
      <c r="AH147" s="36"/>
      <c r="AI147" s="36"/>
      <c r="AJ147" s="36"/>
      <c r="AK147" s="36"/>
      <c r="AL147" s="36"/>
      <c r="AM147" s="36"/>
      <c r="AN147" s="36"/>
      <c r="AO147" s="36"/>
      <c r="AP147" s="36"/>
    </row>
    <row r="148" spans="3:42" ht="14">
      <c r="C148" s="78" t="e">
        <v>#N/A</v>
      </c>
      <c r="D148" s="60" t="s">
        <v>149</v>
      </c>
      <c r="E148" s="125" t="s">
        <v>150</v>
      </c>
      <c r="F148" s="124">
        <v>1</v>
      </c>
      <c r="G148" s="115" t="s">
        <v>1090</v>
      </c>
      <c r="H148" s="18" t="s">
        <v>618</v>
      </c>
      <c r="I148" s="18" t="s">
        <v>59</v>
      </c>
      <c r="J148" s="19" t="s">
        <v>459</v>
      </c>
      <c r="K148" s="99">
        <v>253385</v>
      </c>
      <c r="L148" s="97">
        <f>INDEX(Table1[Production],MATCH(rrcworking[[#This Row],[RRC ID Number]],Table1[RRC Identifier],0))</f>
        <v>0</v>
      </c>
      <c r="M148" s="29">
        <f>INDEX(Table1[Formation Production],MATCH(rrcworking[[#This Row],[RRC ID Number]],Table1[RRC Identifier],0))</f>
        <v>0</v>
      </c>
      <c r="N148" s="30">
        <f>INDEX(Table1[On Hand End of Month],MATCH(rrcworking[[#This Row],[RRC ID Number]],Table1[RRC Identifier],0))</f>
        <v>53</v>
      </c>
      <c r="O148" s="102" t="b">
        <f t="shared" si="4"/>
        <v>1</v>
      </c>
      <c r="Q148" s="122">
        <f>rrcworking[[#This Row],[Last Month Closing Stock]]</f>
        <v>53</v>
      </c>
      <c r="R148">
        <f>rrcworking[[#This Row],[Opening Oil Stock]]</f>
        <v>53</v>
      </c>
      <c r="S148" s="133">
        <f>IF(ISERROR(INDEX(Table2[OIL],MATCH(rrcworking[[#This Row],[Magnum Wolfpak '#]],Table2[Rox Wolf'#],0))),0,INDEX(Table2[OIL],MATCH(rrcworking[[#This Row],[Magnum Wolfpak '#]],Table2[Rox Wolf'#],0)))</f>
        <v>0</v>
      </c>
      <c r="T148" s="34">
        <f>rrcworking[[#This Row],[Closing Stock (Oil)]]+rrcworking[[#This Row],[Sales/Dispostion]]-rrcworking[[#This Row],[Opening Oil Stock]]</f>
        <v>0</v>
      </c>
      <c r="U148" s="108">
        <f>rrcworking[[#This Row],[Gauge Sheet Prod Volume (oil)]]-rrcworking[[#This Row],[Oil Production]]</f>
        <v>0</v>
      </c>
      <c r="V148" s="133">
        <f>IF(ISERROR(INDEX(Table2[GAS],MATCH(rrcworking[[#This Row],[Magnum Wolfpak '#]],Table2[Rox Wolf'#],0))),0,INDEX(Table2[GAS],MATCH(rrcworking[[#This Row],[Magnum Wolfpak '#]],Table2[Rox Wolf'#],0)))</f>
        <v>0</v>
      </c>
      <c r="W148" s="58"/>
      <c r="X148" s="58"/>
      <c r="Y148" s="133">
        <f>IF(ISERROR(INDEX(Table2[LEASE USE],MATCH(rrcworking[[#This Row],[Magnum Wolfpak '#]],Table2[Rox Wolf'#],0))),0,INDEX(Table2[LEASE USE],MATCH(rrcworking[[#This Row],[Magnum Wolfpak '#]],Table2[Rox Wolf'#],0)))</f>
        <v>0</v>
      </c>
      <c r="Z148" s="133"/>
      <c r="AA148" s="56">
        <f>rrcworking[[#This Row],[Gas Sales Statement Volume (MCF)]]+rrcworking[[#This Row],[Lease Use (MCF)]]+rrcworking[[#This Row],[Flared Gas]]</f>
        <v>0</v>
      </c>
      <c r="AB148" s="36"/>
      <c r="AC148" s="36"/>
      <c r="AD148" s="175">
        <f>COUNTIF(FilterList,rrcworking[[#This Row],[Magnum Wolfpak '#]])</f>
        <v>0</v>
      </c>
      <c r="AE148" s="172"/>
      <c r="AF148" s="173"/>
      <c r="AG148" s="36"/>
      <c r="AH148" s="36"/>
      <c r="AI148" s="36"/>
      <c r="AJ148" s="36"/>
      <c r="AK148" s="36"/>
      <c r="AL148" s="36"/>
      <c r="AM148" s="36"/>
      <c r="AN148" s="36"/>
      <c r="AO148" s="36"/>
      <c r="AP148" s="36"/>
    </row>
    <row r="149" spans="3:42" ht="126">
      <c r="C149" s="78">
        <v>98910</v>
      </c>
      <c r="D149" s="60" t="s">
        <v>281</v>
      </c>
      <c r="E149" s="125" t="s">
        <v>282</v>
      </c>
      <c r="F149" s="124">
        <v>0</v>
      </c>
      <c r="G149" s="115" t="s">
        <v>1090</v>
      </c>
      <c r="H149" s="18" t="s">
        <v>618</v>
      </c>
      <c r="I149" s="18" t="s">
        <v>2</v>
      </c>
      <c r="J149" s="19" t="s">
        <v>535</v>
      </c>
      <c r="K149" s="99">
        <v>11349</v>
      </c>
      <c r="L149" s="97">
        <f>INDEX(Table1[Production],MATCH(rrcworking[[#This Row],[RRC ID Number]],Table1[RRC Identifier],0))</f>
        <v>1339</v>
      </c>
      <c r="M149" s="29">
        <f>INDEX(Table1[Formation Production],MATCH(rrcworking[[#This Row],[RRC ID Number]],Table1[RRC Identifier],0))</f>
        <v>120</v>
      </c>
      <c r="N149" s="30">
        <f>INDEX(Table1[On Hand End of Month],MATCH(rrcworking[[#This Row],[RRC ID Number]],Table1[RRC Identifier],0))</f>
        <v>226</v>
      </c>
      <c r="O149" s="102" t="b">
        <f t="shared" si="4"/>
        <v>0</v>
      </c>
      <c r="P149">
        <v>1171</v>
      </c>
      <c r="Q149" s="122">
        <f>rrcworking[[#This Row],[Last Month Closing Stock]]</f>
        <v>226</v>
      </c>
      <c r="R149">
        <v>735</v>
      </c>
      <c r="S149" s="133">
        <f>IF(ISERROR(INDEX(Table2[OIL],MATCH(rrcworking[[#This Row],[Magnum Wolfpak '#]],Table2[Rox Wolf'#],0))),0,INDEX(Table2[OIL],MATCH(rrcworking[[#This Row],[Magnum Wolfpak '#]],Table2[Rox Wolf'#],0)))</f>
        <v>706</v>
      </c>
      <c r="T149" s="34">
        <f>rrcworking[[#This Row],[Closing Stock (Oil)]]+rrcworking[[#This Row],[Sales/Dispostion]]-rrcworking[[#This Row],[Opening Oil Stock]]</f>
        <v>1215</v>
      </c>
      <c r="U149" s="108">
        <f>rrcworking[[#This Row],[Gauge Sheet Prod Volume (oil)]]-rrcworking[[#This Row],[Oil Production]]</f>
        <v>-44</v>
      </c>
      <c r="V149" s="133">
        <f>IF(ISERROR(INDEX(Table2[GAS],MATCH(rrcworking[[#This Row],[Magnum Wolfpak '#]],Table2[Rox Wolf'#],0))),0,INDEX(Table2[GAS],MATCH(rrcworking[[#This Row],[Magnum Wolfpak '#]],Table2[Rox Wolf'#],0)))</f>
        <v>0</v>
      </c>
      <c r="W149" s="58"/>
      <c r="X149" s="58">
        <v>4</v>
      </c>
      <c r="Y149" s="133">
        <f>IF(ISERROR(INDEX(Table2[LEASE USE],MATCH(rrcworking[[#This Row],[Magnum Wolfpak '#]],Table2[Rox Wolf'#],0))),0,INDEX(Table2[LEASE USE],MATCH(rrcworking[[#This Row],[Magnum Wolfpak '#]],Table2[Rox Wolf'#],0)))</f>
        <v>12</v>
      </c>
      <c r="Z149" s="133"/>
      <c r="AA149" s="56">
        <f>rrcworking[[#This Row],[Gas Sales Statement Volume (MCF)]]+rrcworking[[#This Row],[Lease Use (MCF)]]+rrcworking[[#This Row],[Flared Gas]]</f>
        <v>12</v>
      </c>
      <c r="AB149" s="36"/>
      <c r="AC149" s="36" t="s">
        <v>1294</v>
      </c>
      <c r="AD149" s="175">
        <f>COUNTIF(FilterList,rrcworking[[#This Row],[Magnum Wolfpak '#]])</f>
        <v>0</v>
      </c>
      <c r="AE149" s="172"/>
      <c r="AF149" s="173"/>
      <c r="AG149" s="36"/>
      <c r="AH149" s="173"/>
      <c r="AI149" s="174"/>
      <c r="AJ149" s="174"/>
      <c r="AK149" s="174"/>
      <c r="AL149" s="174"/>
      <c r="AM149" s="174"/>
      <c r="AN149" s="174"/>
      <c r="AO149" s="36" t="s">
        <v>1163</v>
      </c>
      <c r="AP149" s="36" t="s">
        <v>1198</v>
      </c>
    </row>
    <row r="150" spans="3:42" ht="14">
      <c r="C150" s="78" t="e">
        <v>#N/A</v>
      </c>
      <c r="D150" s="60" t="s">
        <v>321</v>
      </c>
      <c r="E150" s="125" t="s">
        <v>322</v>
      </c>
      <c r="F150" s="124">
        <v>1</v>
      </c>
      <c r="G150" s="115" t="s">
        <v>1090</v>
      </c>
      <c r="H150" s="18" t="s">
        <v>619</v>
      </c>
      <c r="I150" s="18" t="s">
        <v>59</v>
      </c>
      <c r="J150" s="19" t="s">
        <v>559</v>
      </c>
      <c r="K150" s="99">
        <v>167923</v>
      </c>
      <c r="L150" s="97">
        <f>INDEX(Table1[Production],MATCH(rrcworking[[#This Row],[RRC ID Number]],Table1[RRC Identifier],0))</f>
        <v>0</v>
      </c>
      <c r="M150" s="29">
        <f>INDEX(Table1[Formation Production],MATCH(rrcworking[[#This Row],[RRC ID Number]],Table1[RRC Identifier],0))</f>
        <v>0</v>
      </c>
      <c r="N150" s="30">
        <f>INDEX(Table1[On Hand End of Month],MATCH(rrcworking[[#This Row],[RRC ID Number]],Table1[RRC Identifier],0))</f>
        <v>0</v>
      </c>
      <c r="O150" s="102" t="b">
        <f t="shared" si="4"/>
        <v>1</v>
      </c>
      <c r="Q150" s="122">
        <f>rrcworking[[#This Row],[Last Month Closing Stock]]</f>
        <v>0</v>
      </c>
      <c r="R150">
        <f>rrcworking[[#This Row],[Opening Oil Stock]]</f>
        <v>0</v>
      </c>
      <c r="S150" s="133">
        <f>IF(ISERROR(INDEX(Table2[OIL],MATCH(rrcworking[[#This Row],[Magnum Wolfpak '#]],Table2[Rox Wolf'#],0))),0,INDEX(Table2[OIL],MATCH(rrcworking[[#This Row],[Magnum Wolfpak '#]],Table2[Rox Wolf'#],0)))</f>
        <v>0</v>
      </c>
      <c r="T150" s="34">
        <f>rrcworking[[#This Row],[Closing Stock (Oil)]]+rrcworking[[#This Row],[Sales/Dispostion]]-rrcworking[[#This Row],[Opening Oil Stock]]</f>
        <v>0</v>
      </c>
      <c r="U150" s="108">
        <f>rrcworking[[#This Row],[Gauge Sheet Prod Volume (oil)]]-rrcworking[[#This Row],[Oil Production]]</f>
        <v>0</v>
      </c>
      <c r="V150" s="133">
        <f>IF(ISERROR(INDEX(Table2[GAS],MATCH(rrcworking[[#This Row],[Magnum Wolfpak '#]],Table2[Rox Wolf'#],0))),0,INDEX(Table2[GAS],MATCH(rrcworking[[#This Row],[Magnum Wolfpak '#]],Table2[Rox Wolf'#],0)))</f>
        <v>0</v>
      </c>
      <c r="W150" s="58"/>
      <c r="X150" s="58"/>
      <c r="Y150" s="133">
        <f>IF(ISERROR(INDEX(Table2[LEASE USE],MATCH(rrcworking[[#This Row],[Magnum Wolfpak '#]],Table2[Rox Wolf'#],0))),0,INDEX(Table2[LEASE USE],MATCH(rrcworking[[#This Row],[Magnum Wolfpak '#]],Table2[Rox Wolf'#],0)))</f>
        <v>0</v>
      </c>
      <c r="Z150" s="133"/>
      <c r="AA150" s="56">
        <f>rrcworking[[#This Row],[Gas Sales Statement Volume (MCF)]]+rrcworking[[#This Row],[Lease Use (MCF)]]+rrcworking[[#This Row],[Flared Gas]]</f>
        <v>0</v>
      </c>
      <c r="AB150" s="36"/>
      <c r="AC150" s="36"/>
      <c r="AD150" s="175">
        <f>COUNTIF(FilterList,rrcworking[[#This Row],[Magnum Wolfpak '#]])</f>
        <v>0</v>
      </c>
      <c r="AE150" s="172"/>
      <c r="AF150" s="173"/>
      <c r="AG150" s="36"/>
      <c r="AH150" s="36"/>
      <c r="AI150" s="36"/>
      <c r="AJ150" s="36"/>
      <c r="AK150" s="36"/>
      <c r="AL150" s="36"/>
      <c r="AM150" s="36"/>
      <c r="AN150" s="36"/>
      <c r="AO150" s="36"/>
      <c r="AP150" s="36"/>
    </row>
    <row r="151" spans="3:42" ht="14">
      <c r="C151" s="78" t="e">
        <v>#N/A</v>
      </c>
      <c r="D151" s="60" t="s">
        <v>262</v>
      </c>
      <c r="E151" s="125" t="s">
        <v>263</v>
      </c>
      <c r="F151" s="124">
        <v>1</v>
      </c>
      <c r="G151" s="115" t="s">
        <v>1090</v>
      </c>
      <c r="H151" s="18" t="s">
        <v>618</v>
      </c>
      <c r="I151" s="18" t="s">
        <v>59</v>
      </c>
      <c r="J151" s="19" t="s">
        <v>520</v>
      </c>
      <c r="K151" s="99">
        <v>47134</v>
      </c>
      <c r="L151" s="97">
        <f>INDEX(Table1[Production],MATCH(rrcworking[[#This Row],[RRC ID Number]],Table1[RRC Identifier],0))</f>
        <v>0</v>
      </c>
      <c r="M151" s="29">
        <f>INDEX(Table1[Formation Production],MATCH(rrcworking[[#This Row],[RRC ID Number]],Table1[RRC Identifier],0))</f>
        <v>0</v>
      </c>
      <c r="N151" s="30">
        <f>INDEX(Table1[On Hand End of Month],MATCH(rrcworking[[#This Row],[RRC ID Number]],Table1[RRC Identifier],0))</f>
        <v>0</v>
      </c>
      <c r="O151" s="102" t="b">
        <f t="shared" si="4"/>
        <v>1</v>
      </c>
      <c r="Q151" s="122">
        <f>rrcworking[[#This Row],[Last Month Closing Stock]]</f>
        <v>0</v>
      </c>
      <c r="R151">
        <f>rrcworking[[#This Row],[Opening Oil Stock]]</f>
        <v>0</v>
      </c>
      <c r="S151" s="133">
        <f>IF(ISERROR(INDEX(Table2[OIL],MATCH(rrcworking[[#This Row],[Magnum Wolfpak '#]],Table2[Rox Wolf'#],0))),0,INDEX(Table2[OIL],MATCH(rrcworking[[#This Row],[Magnum Wolfpak '#]],Table2[Rox Wolf'#],0)))</f>
        <v>0</v>
      </c>
      <c r="T151" s="34">
        <f>rrcworking[[#This Row],[Closing Stock (Oil)]]+rrcworking[[#This Row],[Sales/Dispostion]]-rrcworking[[#This Row],[Opening Oil Stock]]</f>
        <v>0</v>
      </c>
      <c r="U151" s="108">
        <f>rrcworking[[#This Row],[Gauge Sheet Prod Volume (oil)]]-rrcworking[[#This Row],[Oil Production]]</f>
        <v>0</v>
      </c>
      <c r="V151" s="133">
        <f>IF(ISERROR(INDEX(Table2[GAS],MATCH(rrcworking[[#This Row],[Magnum Wolfpak '#]],Table2[Rox Wolf'#],0))),0,INDEX(Table2[GAS],MATCH(rrcworking[[#This Row],[Magnum Wolfpak '#]],Table2[Rox Wolf'#],0)))</f>
        <v>0</v>
      </c>
      <c r="W151" s="58"/>
      <c r="X151" s="58"/>
      <c r="Y151" s="133">
        <f>IF(ISERROR(INDEX(Table2[LEASE USE],MATCH(rrcworking[[#This Row],[Magnum Wolfpak '#]],Table2[Rox Wolf'#],0))),0,INDEX(Table2[LEASE USE],MATCH(rrcworking[[#This Row],[Magnum Wolfpak '#]],Table2[Rox Wolf'#],0)))</f>
        <v>0</v>
      </c>
      <c r="Z151" s="133"/>
      <c r="AA151" s="56">
        <f>rrcworking[[#This Row],[Gas Sales Statement Volume (MCF)]]+rrcworking[[#This Row],[Lease Use (MCF)]]+rrcworking[[#This Row],[Flared Gas]]</f>
        <v>0</v>
      </c>
      <c r="AB151" s="36"/>
      <c r="AC151" s="36"/>
      <c r="AD151" s="175">
        <f>COUNTIF(FilterList,rrcworking[[#This Row],[Magnum Wolfpak '#]])</f>
        <v>0</v>
      </c>
      <c r="AE151" s="172"/>
      <c r="AF151" s="173"/>
      <c r="AG151" s="36"/>
      <c r="AH151" s="36"/>
      <c r="AI151" s="36"/>
      <c r="AJ151" s="36"/>
      <c r="AK151" s="36"/>
      <c r="AL151" s="36"/>
      <c r="AM151" s="36"/>
      <c r="AN151" s="36"/>
      <c r="AO151" s="36"/>
      <c r="AP151" s="36"/>
    </row>
    <row r="152" spans="3:42" ht="14">
      <c r="C152" s="78">
        <v>98401</v>
      </c>
      <c r="D152" s="60" t="s">
        <v>260</v>
      </c>
      <c r="E152" s="125" t="s">
        <v>261</v>
      </c>
      <c r="F152" s="124">
        <v>2</v>
      </c>
      <c r="G152" s="115" t="s">
        <v>1090</v>
      </c>
      <c r="H152" s="18" t="s">
        <v>618</v>
      </c>
      <c r="I152" s="18" t="s">
        <v>59</v>
      </c>
      <c r="J152" s="19" t="s">
        <v>519</v>
      </c>
      <c r="K152" s="99">
        <v>193384</v>
      </c>
      <c r="L152" s="97">
        <f>INDEX(Table1[Production],MATCH(rrcworking[[#This Row],[RRC ID Number]],Table1[RRC Identifier],0))</f>
        <v>67</v>
      </c>
      <c r="M152" s="29">
        <f>INDEX(Table1[Formation Production],MATCH(rrcworking[[#This Row],[RRC ID Number]],Table1[RRC Identifier],0))</f>
        <v>3156</v>
      </c>
      <c r="N152" s="30">
        <f>INDEX(Table1[On Hand End of Month],MATCH(rrcworking[[#This Row],[RRC ID Number]],Table1[RRC Identifier],0))</f>
        <v>196</v>
      </c>
      <c r="O152" s="102" t="b">
        <f t="shared" si="4"/>
        <v>0</v>
      </c>
      <c r="P152">
        <v>61</v>
      </c>
      <c r="Q152" s="122">
        <f>rrcworking[[#This Row],[Last Month Closing Stock]]</f>
        <v>196</v>
      </c>
      <c r="R152">
        <v>258</v>
      </c>
      <c r="S152" s="133">
        <f>IF(ISERROR(INDEX(Table2[OIL],MATCH(rrcworking[[#This Row],[Magnum Wolfpak '#]],Table2[Rox Wolf'#],0))),0,INDEX(Table2[OIL],MATCH(rrcworking[[#This Row],[Magnum Wolfpak '#]],Table2[Rox Wolf'#],0)))</f>
        <v>0</v>
      </c>
      <c r="T152" s="34">
        <f>rrcworking[[#This Row],[Closing Stock (Oil)]]+rrcworking[[#This Row],[Sales/Dispostion]]-rrcworking[[#This Row],[Opening Oil Stock]]</f>
        <v>62</v>
      </c>
      <c r="U152" s="108">
        <f>rrcworking[[#This Row],[Gauge Sheet Prod Volume (oil)]]-rrcworking[[#This Row],[Oil Production]]</f>
        <v>-1</v>
      </c>
      <c r="V152" s="133">
        <f>IF(ISERROR(INDEX(Table2[GAS],MATCH(rrcworking[[#This Row],[Magnum Wolfpak '#]],Table2[Rox Wolf'#],0))),0,INDEX(Table2[GAS],MATCH(rrcworking[[#This Row],[Magnum Wolfpak '#]],Table2[Rox Wolf'#],0)))</f>
        <v>3369</v>
      </c>
      <c r="W152" s="82"/>
      <c r="X152" s="58">
        <v>3</v>
      </c>
      <c r="Y152" s="133">
        <f>IF(ISERROR(INDEX(Table2[LEASE USE],MATCH(rrcworking[[#This Row],[Magnum Wolfpak '#]],Table2[Rox Wolf'#],0))),0,INDEX(Table2[LEASE USE],MATCH(rrcworking[[#This Row],[Magnum Wolfpak '#]],Table2[Rox Wolf'#],0)))</f>
        <v>57</v>
      </c>
      <c r="Z152" s="133"/>
      <c r="AA152" s="56">
        <f>rrcworking[[#This Row],[Gas Sales Statement Volume (MCF)]]+rrcworking[[#This Row],[Lease Use (MCF)]]+rrcworking[[#This Row],[Flared Gas]]</f>
        <v>3426</v>
      </c>
      <c r="AB152" s="36"/>
      <c r="AC152" s="36"/>
      <c r="AD152" s="175">
        <f>COUNTIF(FilterList,rrcworking[[#This Row],[Magnum Wolfpak '#]])</f>
        <v>0</v>
      </c>
      <c r="AE152" s="172"/>
      <c r="AF152" s="173"/>
      <c r="AG152" s="36"/>
      <c r="AH152" s="173"/>
      <c r="AI152" s="36">
        <v>2</v>
      </c>
      <c r="AJ152" s="36" t="s">
        <v>1165</v>
      </c>
      <c r="AK152" s="36" t="s">
        <v>1165</v>
      </c>
      <c r="AL152" s="36" t="s">
        <v>1212</v>
      </c>
      <c r="AM152" s="36" t="s">
        <v>1165</v>
      </c>
      <c r="AN152" s="36" t="s">
        <v>1176</v>
      </c>
      <c r="AO152" s="36" t="s">
        <v>1217</v>
      </c>
      <c r="AP152" s="36"/>
    </row>
    <row r="153" spans="3:42" ht="14">
      <c r="C153" s="78" t="e">
        <v>#N/A</v>
      </c>
      <c r="D153" s="60" t="s">
        <v>268</v>
      </c>
      <c r="E153" s="125" t="s">
        <v>269</v>
      </c>
      <c r="F153" s="124">
        <v>2</v>
      </c>
      <c r="G153" s="115" t="s">
        <v>1090</v>
      </c>
      <c r="H153" s="18" t="s">
        <v>618</v>
      </c>
      <c r="I153" s="18" t="s">
        <v>59</v>
      </c>
      <c r="J153" s="19" t="s">
        <v>523</v>
      </c>
      <c r="K153" s="99">
        <v>214235</v>
      </c>
      <c r="L153" s="97">
        <f>INDEX(Table1[Production],MATCH(rrcworking[[#This Row],[RRC ID Number]],Table1[RRC Identifier],0))</f>
        <v>0</v>
      </c>
      <c r="M153" s="29">
        <f>INDEX(Table1[Formation Production],MATCH(rrcworking[[#This Row],[RRC ID Number]],Table1[RRC Identifier],0))</f>
        <v>0</v>
      </c>
      <c r="N153" s="30">
        <f>INDEX(Table1[On Hand End of Month],MATCH(rrcworking[[#This Row],[RRC ID Number]],Table1[RRC Identifier],0))</f>
        <v>0</v>
      </c>
      <c r="O153" s="102" t="b">
        <f t="shared" si="4"/>
        <v>1</v>
      </c>
      <c r="Q153" s="122">
        <f>rrcworking[[#This Row],[Last Month Closing Stock]]</f>
        <v>0</v>
      </c>
      <c r="R153">
        <f>rrcworking[[#This Row],[Opening Oil Stock]]</f>
        <v>0</v>
      </c>
      <c r="S153" s="133">
        <f>IF(ISERROR(INDEX(Table2[OIL],MATCH(rrcworking[[#This Row],[Magnum Wolfpak '#]],Table2[Rox Wolf'#],0))),0,INDEX(Table2[OIL],MATCH(rrcworking[[#This Row],[Magnum Wolfpak '#]],Table2[Rox Wolf'#],0)))</f>
        <v>0</v>
      </c>
      <c r="T153" s="34">
        <f>rrcworking[[#This Row],[Closing Stock (Oil)]]+rrcworking[[#This Row],[Sales/Dispostion]]-rrcworking[[#This Row],[Opening Oil Stock]]</f>
        <v>0</v>
      </c>
      <c r="U153" s="108">
        <f>rrcworking[[#This Row],[Gauge Sheet Prod Volume (oil)]]-rrcworking[[#This Row],[Oil Production]]</f>
        <v>0</v>
      </c>
      <c r="V153" s="133">
        <f>IF(ISERROR(INDEX(Table2[GAS],MATCH(rrcworking[[#This Row],[Magnum Wolfpak '#]],Table2[Rox Wolf'#],0))),0,INDEX(Table2[GAS],MATCH(rrcworking[[#This Row],[Magnum Wolfpak '#]],Table2[Rox Wolf'#],0)))</f>
        <v>0</v>
      </c>
      <c r="W153" s="58"/>
      <c r="X153" s="58"/>
      <c r="Y153" s="133">
        <f>IF(ISERROR(INDEX(Table2[LEASE USE],MATCH(rrcworking[[#This Row],[Magnum Wolfpak '#]],Table2[Rox Wolf'#],0))),0,INDEX(Table2[LEASE USE],MATCH(rrcworking[[#This Row],[Magnum Wolfpak '#]],Table2[Rox Wolf'#],0)))</f>
        <v>0</v>
      </c>
      <c r="Z153" s="133"/>
      <c r="AA153" s="56">
        <f>rrcworking[[#This Row],[Gas Sales Statement Volume (MCF)]]+rrcworking[[#This Row],[Lease Use (MCF)]]+rrcworking[[#This Row],[Flared Gas]]</f>
        <v>0</v>
      </c>
      <c r="AB153" s="93"/>
      <c r="AC153" s="36"/>
      <c r="AD153" s="175">
        <f>COUNTIF(FilterList,rrcworking[[#This Row],[Magnum Wolfpak '#]])</f>
        <v>0</v>
      </c>
      <c r="AE153" s="172"/>
      <c r="AF153" s="173"/>
      <c r="AG153" s="36"/>
      <c r="AH153" s="36"/>
      <c r="AI153" s="36"/>
      <c r="AJ153" s="36"/>
      <c r="AK153" s="36"/>
      <c r="AL153" s="36"/>
      <c r="AM153" s="36"/>
      <c r="AN153" s="36"/>
      <c r="AO153" s="36"/>
      <c r="AP153" s="36"/>
    </row>
    <row r="154" spans="3:42" ht="154">
      <c r="C154" s="78">
        <v>96901</v>
      </c>
      <c r="D154" s="60" t="s">
        <v>264</v>
      </c>
      <c r="E154" s="125" t="s">
        <v>265</v>
      </c>
      <c r="F154" s="124">
        <v>1</v>
      </c>
      <c r="G154" s="115" t="s">
        <v>1090</v>
      </c>
      <c r="H154" s="18" t="s">
        <v>618</v>
      </c>
      <c r="I154" s="18" t="s">
        <v>59</v>
      </c>
      <c r="J154" s="19" t="s">
        <v>521</v>
      </c>
      <c r="K154" s="99">
        <v>158691</v>
      </c>
      <c r="L154" s="97">
        <f>INDEX(Table1[Production],MATCH(rrcworking[[#This Row],[RRC ID Number]],Table1[RRC Identifier],0))</f>
        <v>10</v>
      </c>
      <c r="M154" s="29">
        <f>INDEX(Table1[Formation Production],MATCH(rrcworking[[#This Row],[RRC ID Number]],Table1[RRC Identifier],0))</f>
        <v>1037</v>
      </c>
      <c r="N154" s="30">
        <f>INDEX(Table1[On Hand End of Month],MATCH(rrcworking[[#This Row],[RRC ID Number]],Table1[RRC Identifier],0))</f>
        <v>75</v>
      </c>
      <c r="O154" s="102" t="b">
        <f t="shared" si="4"/>
        <v>0</v>
      </c>
      <c r="P154">
        <v>26</v>
      </c>
      <c r="Q154" s="122">
        <f>rrcworking[[#This Row],[Last Month Closing Stock]]</f>
        <v>75</v>
      </c>
      <c r="R154">
        <v>80</v>
      </c>
      <c r="S154" s="133">
        <f>IF(ISERROR(INDEX(Table2[OIL],MATCH(rrcworking[[#This Row],[Magnum Wolfpak '#]],Table2[Rox Wolf'#],0))),0,INDEX(Table2[OIL],MATCH(rrcworking[[#This Row],[Magnum Wolfpak '#]],Table2[Rox Wolf'#],0)))</f>
        <v>0</v>
      </c>
      <c r="T154" s="34">
        <f>rrcworking[[#This Row],[Closing Stock (Oil)]]+rrcworking[[#This Row],[Sales/Dispostion]]-rrcworking[[#This Row],[Opening Oil Stock]]</f>
        <v>5</v>
      </c>
      <c r="U154" s="108">
        <f>rrcworking[[#This Row],[Gauge Sheet Prod Volume (oil)]]-rrcworking[[#This Row],[Oil Production]]</f>
        <v>21</v>
      </c>
      <c r="V154" s="133">
        <f>IF(ISERROR(INDEX(Table2[GAS],MATCH(rrcworking[[#This Row],[Magnum Wolfpak '#]],Table2[Rox Wolf'#],0))),0,INDEX(Table2[GAS],MATCH(rrcworking[[#This Row],[Magnum Wolfpak '#]],Table2[Rox Wolf'#],0)))</f>
        <v>1331</v>
      </c>
      <c r="W154" s="82"/>
      <c r="X154" s="58">
        <v>1</v>
      </c>
      <c r="Y154" s="133">
        <f>IF(ISERROR(INDEX(Table2[LEASE USE],MATCH(rrcworking[[#This Row],[Magnum Wolfpak '#]],Table2[Rox Wolf'#],0))),0,INDEX(Table2[LEASE USE],MATCH(rrcworking[[#This Row],[Magnum Wolfpak '#]],Table2[Rox Wolf'#],0)))</f>
        <v>10</v>
      </c>
      <c r="Z154" s="133"/>
      <c r="AA154" s="56">
        <f>rrcworking[[#This Row],[Gas Sales Statement Volume (MCF)]]+rrcworking[[#This Row],[Lease Use (MCF)]]+rrcworking[[#This Row],[Flared Gas]]</f>
        <v>1341</v>
      </c>
      <c r="AB154" s="36"/>
      <c r="AC154" s="36" t="s">
        <v>1293</v>
      </c>
      <c r="AD154" s="175">
        <f>COUNTIF(FilterList,rrcworking[[#This Row],[Magnum Wolfpak '#]])</f>
        <v>0</v>
      </c>
      <c r="AE154" s="172"/>
      <c r="AF154" s="173"/>
      <c r="AG154" s="36"/>
      <c r="AH154" s="173"/>
      <c r="AI154" s="36">
        <v>1</v>
      </c>
      <c r="AJ154" s="36" t="s">
        <v>1165</v>
      </c>
      <c r="AK154" s="36" t="s">
        <v>1165</v>
      </c>
      <c r="AL154" s="36" t="s">
        <v>1193</v>
      </c>
      <c r="AM154" s="36" t="s">
        <v>1165</v>
      </c>
      <c r="AN154" s="36" t="s">
        <v>1176</v>
      </c>
      <c r="AO154" s="36" t="s">
        <v>1217</v>
      </c>
      <c r="AP154" s="36"/>
    </row>
    <row r="155" spans="3:42" ht="14">
      <c r="C155" s="78" t="e">
        <v>#N/A</v>
      </c>
      <c r="D155" s="60" t="s">
        <v>239</v>
      </c>
      <c r="E155" s="125" t="s">
        <v>240</v>
      </c>
      <c r="F155" s="124">
        <v>1</v>
      </c>
      <c r="G155" s="115" t="s">
        <v>1090</v>
      </c>
      <c r="H155" s="18" t="s">
        <v>618</v>
      </c>
      <c r="I155" s="18" t="s">
        <v>59</v>
      </c>
      <c r="J155" s="19" t="s">
        <v>508</v>
      </c>
      <c r="K155" s="99">
        <v>214543</v>
      </c>
      <c r="L155" s="97">
        <f>INDEX(Table1[Production],MATCH(rrcworking[[#This Row],[RRC ID Number]],Table1[RRC Identifier],0))</f>
        <v>0</v>
      </c>
      <c r="M155" s="29">
        <f>INDEX(Table1[Formation Production],MATCH(rrcworking[[#This Row],[RRC ID Number]],Table1[RRC Identifier],0))</f>
        <v>0</v>
      </c>
      <c r="N155" s="30">
        <f>INDEX(Table1[On Hand End of Month],MATCH(rrcworking[[#This Row],[RRC ID Number]],Table1[RRC Identifier],0))</f>
        <v>0</v>
      </c>
      <c r="O155" s="102" t="b">
        <f t="shared" si="4"/>
        <v>1</v>
      </c>
      <c r="Q155" s="122">
        <f>rrcworking[[#This Row],[Last Month Closing Stock]]</f>
        <v>0</v>
      </c>
      <c r="R155">
        <f>rrcworking[[#This Row],[Opening Oil Stock]]</f>
        <v>0</v>
      </c>
      <c r="S155" s="133">
        <f>IF(ISERROR(INDEX(Table2[OIL],MATCH(rrcworking[[#This Row],[Magnum Wolfpak '#]],Table2[Rox Wolf'#],0))),0,INDEX(Table2[OIL],MATCH(rrcworking[[#This Row],[Magnum Wolfpak '#]],Table2[Rox Wolf'#],0)))</f>
        <v>0</v>
      </c>
      <c r="T155" s="34">
        <f>rrcworking[[#This Row],[Closing Stock (Oil)]]+rrcworking[[#This Row],[Sales/Dispostion]]-rrcworking[[#This Row],[Opening Oil Stock]]</f>
        <v>0</v>
      </c>
      <c r="U155" s="108">
        <f>rrcworking[[#This Row],[Gauge Sheet Prod Volume (oil)]]-rrcworking[[#This Row],[Oil Production]]</f>
        <v>0</v>
      </c>
      <c r="V155" s="133">
        <f>IF(ISERROR(INDEX(Table2[GAS],MATCH(rrcworking[[#This Row],[Magnum Wolfpak '#]],Table2[Rox Wolf'#],0))),0,INDEX(Table2[GAS],MATCH(rrcworking[[#This Row],[Magnum Wolfpak '#]],Table2[Rox Wolf'#],0)))</f>
        <v>0</v>
      </c>
      <c r="W155" s="58"/>
      <c r="X155" s="58"/>
      <c r="Y155" s="133">
        <f>IF(ISERROR(INDEX(Table2[LEASE USE],MATCH(rrcworking[[#This Row],[Magnum Wolfpak '#]],Table2[Rox Wolf'#],0))),0,INDEX(Table2[LEASE USE],MATCH(rrcworking[[#This Row],[Magnum Wolfpak '#]],Table2[Rox Wolf'#],0)))</f>
        <v>0</v>
      </c>
      <c r="Z155" s="133"/>
      <c r="AA155" s="56">
        <f>rrcworking[[#This Row],[Gas Sales Statement Volume (MCF)]]+rrcworking[[#This Row],[Lease Use (MCF)]]+rrcworking[[#This Row],[Flared Gas]]</f>
        <v>0</v>
      </c>
      <c r="AB155" s="36"/>
      <c r="AC155" s="36"/>
      <c r="AD155" s="175">
        <f>COUNTIF(FilterList,rrcworking[[#This Row],[Magnum Wolfpak '#]])</f>
        <v>0</v>
      </c>
      <c r="AE155" s="172"/>
      <c r="AF155" s="173"/>
      <c r="AG155" s="36"/>
      <c r="AH155" s="36"/>
      <c r="AI155" s="36"/>
      <c r="AJ155" s="36"/>
      <c r="AK155" s="36"/>
      <c r="AL155" s="36"/>
      <c r="AM155" s="36"/>
      <c r="AN155" s="36"/>
      <c r="AO155" s="36"/>
      <c r="AP155" s="36"/>
    </row>
    <row r="156" spans="3:42" ht="28">
      <c r="C156" s="78">
        <v>99101</v>
      </c>
      <c r="D156" s="60" t="s">
        <v>206</v>
      </c>
      <c r="E156" s="125" t="s">
        <v>207</v>
      </c>
      <c r="F156" s="124" t="s">
        <v>208</v>
      </c>
      <c r="G156" s="115" t="s">
        <v>1090</v>
      </c>
      <c r="H156" s="18" t="s">
        <v>618</v>
      </c>
      <c r="I156" s="18" t="s">
        <v>59</v>
      </c>
      <c r="J156" s="19" t="s">
        <v>492</v>
      </c>
      <c r="K156" s="99">
        <v>284976</v>
      </c>
      <c r="L156" s="97">
        <f>INDEX(Table1[Production],MATCH(rrcworking[[#This Row],[RRC ID Number]],Table1[RRC Identifier],0))</f>
        <v>0</v>
      </c>
      <c r="M156" s="29">
        <f>INDEX(Table1[Formation Production],MATCH(rrcworking[[#This Row],[RRC ID Number]],Table1[RRC Identifier],0))</f>
        <v>0</v>
      </c>
      <c r="N156" s="30">
        <f>INDEX(Table1[On Hand End of Month],MATCH(rrcworking[[#This Row],[RRC ID Number]],Table1[RRC Identifier],0))</f>
        <v>150</v>
      </c>
      <c r="O156" s="102" t="b">
        <f t="shared" si="4"/>
        <v>1</v>
      </c>
      <c r="P156">
        <v>0</v>
      </c>
      <c r="Q156" s="122">
        <f>rrcworking[[#This Row],[Last Month Closing Stock]]</f>
        <v>150</v>
      </c>
      <c r="R156">
        <v>150</v>
      </c>
      <c r="S156" s="133">
        <f>IF(ISERROR(INDEX(Table2[OIL],MATCH(rrcworking[[#This Row],[Magnum Wolfpak '#]],Table2[Rox Wolf'#],0))),0,INDEX(Table2[OIL],MATCH(rrcworking[[#This Row],[Magnum Wolfpak '#]],Table2[Rox Wolf'#],0)))</f>
        <v>0</v>
      </c>
      <c r="T156" s="34">
        <f>rrcworking[[#This Row],[Closing Stock (Oil)]]+rrcworking[[#This Row],[Sales/Dispostion]]-rrcworking[[#This Row],[Opening Oil Stock]]</f>
        <v>0</v>
      </c>
      <c r="U156" s="108">
        <f>rrcworking[[#This Row],[Gauge Sheet Prod Volume (oil)]]-rrcworking[[#This Row],[Oil Production]]</f>
        <v>0</v>
      </c>
      <c r="V156" s="133">
        <f>IF(ISERROR(INDEX(Table2[GAS],MATCH(rrcworking[[#This Row],[Magnum Wolfpak '#]],Table2[Rox Wolf'#],0))),0,INDEX(Table2[GAS],MATCH(rrcworking[[#This Row],[Magnum Wolfpak '#]],Table2[Rox Wolf'#],0)))</f>
        <v>0</v>
      </c>
      <c r="W156" s="58"/>
      <c r="X156" s="58"/>
      <c r="Y156" s="133">
        <f>IF(ISERROR(INDEX(Table2[LEASE USE],MATCH(rrcworking[[#This Row],[Magnum Wolfpak '#]],Table2[Rox Wolf'#],0))),0,INDEX(Table2[LEASE USE],MATCH(rrcworking[[#This Row],[Magnum Wolfpak '#]],Table2[Rox Wolf'#],0)))</f>
        <v>0</v>
      </c>
      <c r="Z156" s="133"/>
      <c r="AA156" s="56">
        <f>rrcworking[[#This Row],[Gas Sales Statement Volume (MCF)]]+rrcworking[[#This Row],[Lease Use (MCF)]]+rrcworking[[#This Row],[Flared Gas]]</f>
        <v>0</v>
      </c>
      <c r="AB156" s="36"/>
      <c r="AC156" s="36"/>
      <c r="AD156" s="175">
        <f>COUNTIF(FilterList,rrcworking[[#This Row],[Magnum Wolfpak '#]])</f>
        <v>0</v>
      </c>
      <c r="AE156" s="172"/>
      <c r="AF156" s="173"/>
      <c r="AG156" s="36"/>
      <c r="AH156" s="173"/>
      <c r="AI156" s="36">
        <v>3</v>
      </c>
      <c r="AJ156" s="36" t="s">
        <v>1139</v>
      </c>
      <c r="AK156" s="36" t="s">
        <v>1139</v>
      </c>
      <c r="AL156" s="36" t="s">
        <v>1179</v>
      </c>
      <c r="AM156" s="36" t="s">
        <v>1139</v>
      </c>
      <c r="AN156" s="36" t="s">
        <v>1176</v>
      </c>
      <c r="AO156" s="36" t="s">
        <v>1218</v>
      </c>
      <c r="AP156" s="36"/>
    </row>
    <row r="157" spans="3:42" ht="14">
      <c r="C157" s="78" t="e">
        <v>#N/A</v>
      </c>
      <c r="D157" s="60" t="s">
        <v>292</v>
      </c>
      <c r="E157" s="125" t="s">
        <v>293</v>
      </c>
      <c r="F157" s="124">
        <v>5</v>
      </c>
      <c r="G157" s="115" t="s">
        <v>1090</v>
      </c>
      <c r="H157" s="18" t="s">
        <v>618</v>
      </c>
      <c r="I157" s="18" t="s">
        <v>59</v>
      </c>
      <c r="J157" s="19" t="s">
        <v>542</v>
      </c>
      <c r="K157" s="99">
        <v>179674</v>
      </c>
      <c r="L157" s="97">
        <f>INDEX(Table1[Production],MATCH(rrcworking[[#This Row],[RRC ID Number]],Table1[RRC Identifier],0))</f>
        <v>0</v>
      </c>
      <c r="M157" s="29">
        <f>INDEX(Table1[Formation Production],MATCH(rrcworking[[#This Row],[RRC ID Number]],Table1[RRC Identifier],0))</f>
        <v>0</v>
      </c>
      <c r="N157" s="30">
        <f>INDEX(Table1[On Hand End of Month],MATCH(rrcworking[[#This Row],[RRC ID Number]],Table1[RRC Identifier],0))</f>
        <v>0</v>
      </c>
      <c r="O157" s="102" t="b">
        <f t="shared" si="4"/>
        <v>1</v>
      </c>
      <c r="Q157" s="122">
        <f>rrcworking[[#This Row],[Last Month Closing Stock]]</f>
        <v>0</v>
      </c>
      <c r="R157">
        <f>rrcworking[[#This Row],[Opening Oil Stock]]</f>
        <v>0</v>
      </c>
      <c r="S157" s="133">
        <f>IF(ISERROR(INDEX(Table2[OIL],MATCH(rrcworking[[#This Row],[Magnum Wolfpak '#]],Table2[Rox Wolf'#],0))),0,INDEX(Table2[OIL],MATCH(rrcworking[[#This Row],[Magnum Wolfpak '#]],Table2[Rox Wolf'#],0)))</f>
        <v>0</v>
      </c>
      <c r="T157" s="34">
        <f>rrcworking[[#This Row],[Closing Stock (Oil)]]+rrcworking[[#This Row],[Sales/Dispostion]]-rrcworking[[#This Row],[Opening Oil Stock]]</f>
        <v>0</v>
      </c>
      <c r="U157" s="108">
        <f>rrcworking[[#This Row],[Gauge Sheet Prod Volume (oil)]]-rrcworking[[#This Row],[Oil Production]]</f>
        <v>0</v>
      </c>
      <c r="V157" s="133">
        <f>IF(ISERROR(INDEX(Table2[GAS],MATCH(rrcworking[[#This Row],[Magnum Wolfpak '#]],Table2[Rox Wolf'#],0))),0,INDEX(Table2[GAS],MATCH(rrcworking[[#This Row],[Magnum Wolfpak '#]],Table2[Rox Wolf'#],0)))</f>
        <v>0</v>
      </c>
      <c r="W157" s="58"/>
      <c r="X157" s="58"/>
      <c r="Y157" s="133">
        <f>IF(ISERROR(INDEX(Table2[LEASE USE],MATCH(rrcworking[[#This Row],[Magnum Wolfpak '#]],Table2[Rox Wolf'#],0))),0,INDEX(Table2[LEASE USE],MATCH(rrcworking[[#This Row],[Magnum Wolfpak '#]],Table2[Rox Wolf'#],0)))</f>
        <v>0</v>
      </c>
      <c r="Z157" s="133"/>
      <c r="AA157" s="56">
        <f>rrcworking[[#This Row],[Gas Sales Statement Volume (MCF)]]+rrcworking[[#This Row],[Lease Use (MCF)]]+rrcworking[[#This Row],[Flared Gas]]</f>
        <v>0</v>
      </c>
      <c r="AB157" s="36"/>
      <c r="AC157" s="36"/>
      <c r="AD157" s="175">
        <f>COUNTIF(FilterList,rrcworking[[#This Row],[Magnum Wolfpak '#]])</f>
        <v>0</v>
      </c>
      <c r="AE157" s="172"/>
      <c r="AF157" s="173"/>
      <c r="AG157" s="36"/>
      <c r="AH157" s="36"/>
      <c r="AI157" s="36"/>
      <c r="AJ157" s="36"/>
      <c r="AK157" s="36"/>
      <c r="AL157" s="36"/>
      <c r="AM157" s="36"/>
      <c r="AN157" s="36"/>
      <c r="AO157" s="36"/>
      <c r="AP157" s="36"/>
    </row>
    <row r="158" spans="3:42" ht="14">
      <c r="C158" s="78" t="e">
        <v>#N/A</v>
      </c>
      <c r="D158" s="60" t="s">
        <v>375</v>
      </c>
      <c r="E158" s="125" t="s">
        <v>376</v>
      </c>
      <c r="F158" s="124">
        <v>2</v>
      </c>
      <c r="G158" s="115" t="s">
        <v>1090</v>
      </c>
      <c r="H158" s="18" t="s">
        <v>619</v>
      </c>
      <c r="I158" s="18" t="s">
        <v>59</v>
      </c>
      <c r="J158" s="19" t="s">
        <v>592</v>
      </c>
      <c r="K158" s="99">
        <v>142434</v>
      </c>
      <c r="L158" s="97">
        <f>INDEX(Table1[Production],MATCH(rrcworking[[#This Row],[RRC ID Number]],Table1[RRC Identifier],0))</f>
        <v>0</v>
      </c>
      <c r="M158" s="29">
        <f>INDEX(Table1[Formation Production],MATCH(rrcworking[[#This Row],[RRC ID Number]],Table1[RRC Identifier],0))</f>
        <v>0</v>
      </c>
      <c r="N158" s="30">
        <f>INDEX(Table1[On Hand End of Month],MATCH(rrcworking[[#This Row],[RRC ID Number]],Table1[RRC Identifier],0))</f>
        <v>49</v>
      </c>
      <c r="O158" s="102" t="b">
        <f t="shared" si="4"/>
        <v>1</v>
      </c>
      <c r="Q158" s="122">
        <f>rrcworking[[#This Row],[Last Month Closing Stock]]</f>
        <v>49</v>
      </c>
      <c r="R158">
        <f>rrcworking[[#This Row],[Opening Oil Stock]]</f>
        <v>49</v>
      </c>
      <c r="S158" s="133">
        <f>IF(ISERROR(INDEX(Table2[OIL],MATCH(rrcworking[[#This Row],[Magnum Wolfpak '#]],Table2[Rox Wolf'#],0))),0,INDEX(Table2[OIL],MATCH(rrcworking[[#This Row],[Magnum Wolfpak '#]],Table2[Rox Wolf'#],0)))</f>
        <v>0</v>
      </c>
      <c r="T158" s="34">
        <f>rrcworking[[#This Row],[Closing Stock (Oil)]]+rrcworking[[#This Row],[Sales/Dispostion]]-rrcworking[[#This Row],[Opening Oil Stock]]</f>
        <v>0</v>
      </c>
      <c r="U158" s="108">
        <f>rrcworking[[#This Row],[Gauge Sheet Prod Volume (oil)]]-rrcworking[[#This Row],[Oil Production]]</f>
        <v>0</v>
      </c>
      <c r="V158" s="133">
        <f>IF(ISERROR(INDEX(Table2[GAS],MATCH(rrcworking[[#This Row],[Magnum Wolfpak '#]],Table2[Rox Wolf'#],0))),0,INDEX(Table2[GAS],MATCH(rrcworking[[#This Row],[Magnum Wolfpak '#]],Table2[Rox Wolf'#],0)))</f>
        <v>0</v>
      </c>
      <c r="W158" s="58"/>
      <c r="X158" s="58"/>
      <c r="Y158" s="133">
        <f>IF(ISERROR(INDEX(Table2[LEASE USE],MATCH(rrcworking[[#This Row],[Magnum Wolfpak '#]],Table2[Rox Wolf'#],0))),0,INDEX(Table2[LEASE USE],MATCH(rrcworking[[#This Row],[Magnum Wolfpak '#]],Table2[Rox Wolf'#],0)))</f>
        <v>0</v>
      </c>
      <c r="Z158" s="133"/>
      <c r="AA158" s="56">
        <f>rrcworking[[#This Row],[Gas Sales Statement Volume (MCF)]]+rrcworking[[#This Row],[Lease Use (MCF)]]+rrcworking[[#This Row],[Flared Gas]]</f>
        <v>0</v>
      </c>
      <c r="AB158" s="36"/>
      <c r="AC158" s="36"/>
      <c r="AD158" s="175">
        <f>COUNTIF(FilterList,rrcworking[[#This Row],[Magnum Wolfpak '#]])</f>
        <v>0</v>
      </c>
      <c r="AE158" s="172"/>
      <c r="AF158" s="173"/>
      <c r="AG158" s="36"/>
      <c r="AH158" s="36"/>
      <c r="AI158" s="36"/>
      <c r="AJ158" s="36"/>
      <c r="AK158" s="36"/>
      <c r="AL158" s="36"/>
      <c r="AM158" s="36"/>
      <c r="AN158" s="36"/>
      <c r="AO158" s="36"/>
      <c r="AP158" s="36"/>
    </row>
    <row r="159" spans="3:42" ht="14">
      <c r="C159" s="78" t="e">
        <v>#N/A</v>
      </c>
      <c r="D159" s="60" t="s">
        <v>377</v>
      </c>
      <c r="E159" s="125" t="s">
        <v>378</v>
      </c>
      <c r="F159" s="124">
        <v>1</v>
      </c>
      <c r="G159" s="115" t="s">
        <v>1090</v>
      </c>
      <c r="H159" s="18" t="s">
        <v>619</v>
      </c>
      <c r="I159" s="18" t="s">
        <v>59</v>
      </c>
      <c r="J159" s="19" t="s">
        <v>593</v>
      </c>
      <c r="K159" s="99">
        <v>142269</v>
      </c>
      <c r="L159" s="97">
        <f>INDEX(Table1[Production],MATCH(rrcworking[[#This Row],[RRC ID Number]],Table1[RRC Identifier],0))</f>
        <v>0</v>
      </c>
      <c r="M159" s="29">
        <f>INDEX(Table1[Formation Production],MATCH(rrcworking[[#This Row],[RRC ID Number]],Table1[RRC Identifier],0))</f>
        <v>0</v>
      </c>
      <c r="N159" s="30">
        <f>INDEX(Table1[On Hand End of Month],MATCH(rrcworking[[#This Row],[RRC ID Number]],Table1[RRC Identifier],0))</f>
        <v>0</v>
      </c>
      <c r="O159" s="102" t="b">
        <f t="shared" si="4"/>
        <v>1</v>
      </c>
      <c r="Q159" s="122">
        <f>rrcworking[[#This Row],[Last Month Closing Stock]]</f>
        <v>0</v>
      </c>
      <c r="R159">
        <f>rrcworking[[#This Row],[Opening Oil Stock]]</f>
        <v>0</v>
      </c>
      <c r="S159" s="133">
        <f>IF(ISERROR(INDEX(Table2[OIL],MATCH(rrcworking[[#This Row],[Magnum Wolfpak '#]],Table2[Rox Wolf'#],0))),0,INDEX(Table2[OIL],MATCH(rrcworking[[#This Row],[Magnum Wolfpak '#]],Table2[Rox Wolf'#],0)))</f>
        <v>0</v>
      </c>
      <c r="T159" s="34">
        <f>rrcworking[[#This Row],[Closing Stock (Oil)]]+rrcworking[[#This Row],[Sales/Dispostion]]-rrcworking[[#This Row],[Opening Oil Stock]]</f>
        <v>0</v>
      </c>
      <c r="U159" s="108">
        <f>rrcworking[[#This Row],[Gauge Sheet Prod Volume (oil)]]-rrcworking[[#This Row],[Oil Production]]</f>
        <v>0</v>
      </c>
      <c r="V159" s="133">
        <f>IF(ISERROR(INDEX(Table2[GAS],MATCH(rrcworking[[#This Row],[Magnum Wolfpak '#]],Table2[Rox Wolf'#],0))),0,INDEX(Table2[GAS],MATCH(rrcworking[[#This Row],[Magnum Wolfpak '#]],Table2[Rox Wolf'#],0)))</f>
        <v>0</v>
      </c>
      <c r="W159" s="58"/>
      <c r="X159" s="58"/>
      <c r="Y159" s="133">
        <f>IF(ISERROR(INDEX(Table2[LEASE USE],MATCH(rrcworking[[#This Row],[Magnum Wolfpak '#]],Table2[Rox Wolf'#],0))),0,INDEX(Table2[LEASE USE],MATCH(rrcworking[[#This Row],[Magnum Wolfpak '#]],Table2[Rox Wolf'#],0)))</f>
        <v>0</v>
      </c>
      <c r="Z159" s="133"/>
      <c r="AA159" s="56">
        <f>rrcworking[[#This Row],[Gas Sales Statement Volume (MCF)]]+rrcworking[[#This Row],[Lease Use (MCF)]]+rrcworking[[#This Row],[Flared Gas]]</f>
        <v>0</v>
      </c>
      <c r="AB159" s="36"/>
      <c r="AC159" s="36"/>
      <c r="AD159" s="175">
        <f>COUNTIF(FilterList,rrcworking[[#This Row],[Magnum Wolfpak '#]])</f>
        <v>0</v>
      </c>
      <c r="AE159" s="172"/>
      <c r="AF159" s="173"/>
      <c r="AG159" s="36"/>
      <c r="AH159" s="36"/>
      <c r="AI159" s="36"/>
      <c r="AJ159" s="36"/>
      <c r="AK159" s="36"/>
      <c r="AL159" s="36"/>
      <c r="AM159" s="36"/>
      <c r="AN159" s="36"/>
      <c r="AO159" s="36"/>
      <c r="AP159" s="36"/>
    </row>
    <row r="160" spans="3:42" ht="14">
      <c r="C160" s="78" t="e">
        <v>#N/A</v>
      </c>
      <c r="D160" s="60" t="s">
        <v>272</v>
      </c>
      <c r="E160" s="125" t="s">
        <v>273</v>
      </c>
      <c r="F160" s="124">
        <v>1</v>
      </c>
      <c r="G160" s="115" t="s">
        <v>1090</v>
      </c>
      <c r="H160" s="18" t="s">
        <v>618</v>
      </c>
      <c r="I160" s="18" t="s">
        <v>59</v>
      </c>
      <c r="J160" s="19" t="s">
        <v>525</v>
      </c>
      <c r="K160" s="99">
        <v>238352</v>
      </c>
      <c r="L160" s="97">
        <f>INDEX(Table1[Production],MATCH(rrcworking[[#This Row],[RRC ID Number]],Table1[RRC Identifier],0))</f>
        <v>0</v>
      </c>
      <c r="M160" s="29">
        <f>INDEX(Table1[Formation Production],MATCH(rrcworking[[#This Row],[RRC ID Number]],Table1[RRC Identifier],0))</f>
        <v>0</v>
      </c>
      <c r="N160" s="30">
        <f>INDEX(Table1[On Hand End of Month],MATCH(rrcworking[[#This Row],[RRC ID Number]],Table1[RRC Identifier],0))</f>
        <v>0</v>
      </c>
      <c r="O160" s="102" t="b">
        <f t="shared" si="4"/>
        <v>1</v>
      </c>
      <c r="Q160" s="122">
        <f>rrcworking[[#This Row],[Last Month Closing Stock]]</f>
        <v>0</v>
      </c>
      <c r="R160">
        <f>rrcworking[[#This Row],[Opening Oil Stock]]</f>
        <v>0</v>
      </c>
      <c r="S160" s="133">
        <f>IF(ISERROR(INDEX(Table2[OIL],MATCH(rrcworking[[#This Row],[Magnum Wolfpak '#]],Table2[Rox Wolf'#],0))),0,INDEX(Table2[OIL],MATCH(rrcworking[[#This Row],[Magnum Wolfpak '#]],Table2[Rox Wolf'#],0)))</f>
        <v>0</v>
      </c>
      <c r="T160" s="34">
        <f>rrcworking[[#This Row],[Closing Stock (Oil)]]+rrcworking[[#This Row],[Sales/Dispostion]]-rrcworking[[#This Row],[Opening Oil Stock]]</f>
        <v>0</v>
      </c>
      <c r="U160" s="108">
        <f>rrcworking[[#This Row],[Gauge Sheet Prod Volume (oil)]]-rrcworking[[#This Row],[Oil Production]]</f>
        <v>0</v>
      </c>
      <c r="V160" s="133">
        <f>IF(ISERROR(INDEX(Table2[GAS],MATCH(rrcworking[[#This Row],[Magnum Wolfpak '#]],Table2[Rox Wolf'#],0))),0,INDEX(Table2[GAS],MATCH(rrcworking[[#This Row],[Magnum Wolfpak '#]],Table2[Rox Wolf'#],0)))</f>
        <v>0</v>
      </c>
      <c r="W160" s="58"/>
      <c r="X160" s="58"/>
      <c r="Y160" s="133">
        <f>IF(ISERROR(INDEX(Table2[LEASE USE],MATCH(rrcworking[[#This Row],[Magnum Wolfpak '#]],Table2[Rox Wolf'#],0))),0,INDEX(Table2[LEASE USE],MATCH(rrcworking[[#This Row],[Magnum Wolfpak '#]],Table2[Rox Wolf'#],0)))</f>
        <v>0</v>
      </c>
      <c r="Z160" s="133"/>
      <c r="AA160" s="56">
        <f>rrcworking[[#This Row],[Gas Sales Statement Volume (MCF)]]+rrcworking[[#This Row],[Lease Use (MCF)]]+rrcworking[[#This Row],[Flared Gas]]</f>
        <v>0</v>
      </c>
      <c r="AB160" s="36"/>
      <c r="AC160" s="36"/>
      <c r="AD160" s="175">
        <f>COUNTIF(FilterList,rrcworking[[#This Row],[Magnum Wolfpak '#]])</f>
        <v>0</v>
      </c>
      <c r="AE160" s="172"/>
      <c r="AF160" s="173"/>
      <c r="AG160" s="36"/>
      <c r="AH160" s="36"/>
      <c r="AI160" s="36"/>
      <c r="AJ160" s="36"/>
      <c r="AK160" s="36"/>
      <c r="AL160" s="36"/>
      <c r="AM160" s="36"/>
      <c r="AN160" s="36"/>
      <c r="AO160" s="36"/>
      <c r="AP160" s="36"/>
    </row>
    <row r="161" spans="3:42" ht="14">
      <c r="C161" s="78" t="e">
        <v>#N/A</v>
      </c>
      <c r="D161" s="60" t="s">
        <v>196</v>
      </c>
      <c r="E161" s="125" t="s">
        <v>197</v>
      </c>
      <c r="F161" s="124">
        <v>0</v>
      </c>
      <c r="G161" s="115" t="s">
        <v>1090</v>
      </c>
      <c r="H161" s="18" t="s">
        <v>618</v>
      </c>
      <c r="I161" s="18" t="s">
        <v>2</v>
      </c>
      <c r="J161" s="19" t="s">
        <v>487</v>
      </c>
      <c r="K161" s="99">
        <v>27279</v>
      </c>
      <c r="L161" s="97">
        <f>INDEX(Table1[Production],MATCH(rrcworking[[#This Row],[RRC ID Number]],Table1[RRC Identifier],0))</f>
        <v>0</v>
      </c>
      <c r="M161" s="29">
        <f>INDEX(Table1[Formation Production],MATCH(rrcworking[[#This Row],[RRC ID Number]],Table1[RRC Identifier],0))</f>
        <v>0</v>
      </c>
      <c r="N161" s="30">
        <f>INDEX(Table1[On Hand End of Month],MATCH(rrcworking[[#This Row],[RRC ID Number]],Table1[RRC Identifier],0))</f>
        <v>229</v>
      </c>
      <c r="O161" s="102" t="b">
        <f t="shared" si="4"/>
        <v>1</v>
      </c>
      <c r="Q161" s="122">
        <f>rrcworking[[#This Row],[Last Month Closing Stock]]</f>
        <v>229</v>
      </c>
      <c r="R161">
        <f>rrcworking[[#This Row],[Opening Oil Stock]]</f>
        <v>229</v>
      </c>
      <c r="S161" s="133">
        <f>IF(ISERROR(INDEX(Table2[OIL],MATCH(rrcworking[[#This Row],[Magnum Wolfpak '#]],Table2[Rox Wolf'#],0))),0,INDEX(Table2[OIL],MATCH(rrcworking[[#This Row],[Magnum Wolfpak '#]],Table2[Rox Wolf'#],0)))</f>
        <v>0</v>
      </c>
      <c r="T161" s="34">
        <f>rrcworking[[#This Row],[Closing Stock (Oil)]]+rrcworking[[#This Row],[Sales/Dispostion]]-rrcworking[[#This Row],[Opening Oil Stock]]</f>
        <v>0</v>
      </c>
      <c r="U161" s="108">
        <f>rrcworking[[#This Row],[Gauge Sheet Prod Volume (oil)]]-rrcworking[[#This Row],[Oil Production]]</f>
        <v>0</v>
      </c>
      <c r="V161" s="133">
        <f>IF(ISERROR(INDEX(Table2[GAS],MATCH(rrcworking[[#This Row],[Magnum Wolfpak '#]],Table2[Rox Wolf'#],0))),0,INDEX(Table2[GAS],MATCH(rrcworking[[#This Row],[Magnum Wolfpak '#]],Table2[Rox Wolf'#],0)))</f>
        <v>0</v>
      </c>
      <c r="W161" s="58"/>
      <c r="X161" s="58"/>
      <c r="Y161" s="133">
        <f>IF(ISERROR(INDEX(Table2[LEASE USE],MATCH(rrcworking[[#This Row],[Magnum Wolfpak '#]],Table2[Rox Wolf'#],0))),0,INDEX(Table2[LEASE USE],MATCH(rrcworking[[#This Row],[Magnum Wolfpak '#]],Table2[Rox Wolf'#],0)))</f>
        <v>0</v>
      </c>
      <c r="Z161" s="133"/>
      <c r="AA161" s="56">
        <f>rrcworking[[#This Row],[Gas Sales Statement Volume (MCF)]]+rrcworking[[#This Row],[Lease Use (MCF)]]+rrcworking[[#This Row],[Flared Gas]]</f>
        <v>0</v>
      </c>
      <c r="AB161" s="36"/>
      <c r="AC161" s="36"/>
      <c r="AD161" s="175">
        <f>COUNTIF(FilterList,rrcworking[[#This Row],[Magnum Wolfpak '#]])</f>
        <v>0</v>
      </c>
      <c r="AE161" s="172"/>
      <c r="AF161" s="173"/>
      <c r="AG161" s="36"/>
      <c r="AH161" s="36"/>
      <c r="AI161" s="36"/>
      <c r="AJ161" s="36"/>
      <c r="AK161" s="36"/>
      <c r="AL161" s="36"/>
      <c r="AM161" s="36"/>
      <c r="AN161" s="36"/>
      <c r="AO161" s="36"/>
      <c r="AP161" s="36"/>
    </row>
    <row r="162" spans="3:42" ht="14">
      <c r="C162" s="78" t="e">
        <v>#N/A</v>
      </c>
      <c r="D162" s="60" t="s">
        <v>99</v>
      </c>
      <c r="E162" s="125" t="s">
        <v>100</v>
      </c>
      <c r="F162" s="124">
        <v>1</v>
      </c>
      <c r="G162" s="115" t="s">
        <v>1090</v>
      </c>
      <c r="H162" s="18" t="s">
        <v>617</v>
      </c>
      <c r="I162" s="18" t="s">
        <v>59</v>
      </c>
      <c r="J162" s="19" t="s">
        <v>428</v>
      </c>
      <c r="K162" s="99">
        <v>192476</v>
      </c>
      <c r="L162" s="97">
        <f>INDEX(Table1[Production],MATCH(rrcworking[[#This Row],[RRC ID Number]],Table1[RRC Identifier],0))</f>
        <v>0</v>
      </c>
      <c r="M162" s="29">
        <f>INDEX(Table1[Formation Production],MATCH(rrcworking[[#This Row],[RRC ID Number]],Table1[RRC Identifier],0))</f>
        <v>0</v>
      </c>
      <c r="N162" s="30">
        <f>INDEX(Table1[On Hand End of Month],MATCH(rrcworking[[#This Row],[RRC ID Number]],Table1[RRC Identifier],0))</f>
        <v>116</v>
      </c>
      <c r="O162" s="102" t="b">
        <f t="shared" si="4"/>
        <v>1</v>
      </c>
      <c r="Q162" s="122">
        <f>rrcworking[[#This Row],[Last Month Closing Stock]]</f>
        <v>116</v>
      </c>
      <c r="R162">
        <f>rrcworking[[#This Row],[Opening Oil Stock]]</f>
        <v>116</v>
      </c>
      <c r="S162" s="133">
        <f>IF(ISERROR(INDEX(Table2[OIL],MATCH(rrcworking[[#This Row],[Magnum Wolfpak '#]],Table2[Rox Wolf'#],0))),0,INDEX(Table2[OIL],MATCH(rrcworking[[#This Row],[Magnum Wolfpak '#]],Table2[Rox Wolf'#],0)))</f>
        <v>0</v>
      </c>
      <c r="T162" s="34">
        <f>rrcworking[[#This Row],[Closing Stock (Oil)]]+rrcworking[[#This Row],[Sales/Dispostion]]-rrcworking[[#This Row],[Opening Oil Stock]]</f>
        <v>0</v>
      </c>
      <c r="U162" s="108">
        <f>rrcworking[[#This Row],[Gauge Sheet Prod Volume (oil)]]-rrcworking[[#This Row],[Oil Production]]</f>
        <v>0</v>
      </c>
      <c r="V162" s="133">
        <f>IF(ISERROR(INDEX(Table2[GAS],MATCH(rrcworking[[#This Row],[Magnum Wolfpak '#]],Table2[Rox Wolf'#],0))),0,INDEX(Table2[GAS],MATCH(rrcworking[[#This Row],[Magnum Wolfpak '#]],Table2[Rox Wolf'#],0)))</f>
        <v>0</v>
      </c>
      <c r="W162" s="58"/>
      <c r="X162" s="58"/>
      <c r="Y162" s="133">
        <f>IF(ISERROR(INDEX(Table2[LEASE USE],MATCH(rrcworking[[#This Row],[Magnum Wolfpak '#]],Table2[Rox Wolf'#],0))),0,INDEX(Table2[LEASE USE],MATCH(rrcworking[[#This Row],[Magnum Wolfpak '#]],Table2[Rox Wolf'#],0)))</f>
        <v>0</v>
      </c>
      <c r="Z162" s="133"/>
      <c r="AA162" s="56">
        <f>rrcworking[[#This Row],[Gas Sales Statement Volume (MCF)]]+rrcworking[[#This Row],[Lease Use (MCF)]]+rrcworking[[#This Row],[Flared Gas]]</f>
        <v>0</v>
      </c>
      <c r="AB162" s="36"/>
      <c r="AC162" s="36"/>
      <c r="AD162" s="175">
        <f>COUNTIF(FilterList,rrcworking[[#This Row],[Magnum Wolfpak '#]])</f>
        <v>0</v>
      </c>
      <c r="AE162" s="172"/>
      <c r="AF162" s="173"/>
      <c r="AG162" s="36"/>
      <c r="AH162" s="36"/>
      <c r="AI162" s="36"/>
      <c r="AJ162" s="36"/>
      <c r="AK162" s="36"/>
      <c r="AL162" s="36"/>
      <c r="AM162" s="36"/>
      <c r="AN162" s="36"/>
      <c r="AO162" s="36"/>
      <c r="AP162" s="36"/>
    </row>
    <row r="163" spans="3:42" ht="14">
      <c r="C163" s="78">
        <v>99026</v>
      </c>
      <c r="D163" s="60" t="s">
        <v>192</v>
      </c>
      <c r="E163" s="125" t="s">
        <v>193</v>
      </c>
      <c r="F163" s="124">
        <v>0</v>
      </c>
      <c r="G163" s="115" t="s">
        <v>1090</v>
      </c>
      <c r="H163" s="18" t="s">
        <v>618</v>
      </c>
      <c r="I163" s="18" t="s">
        <v>2</v>
      </c>
      <c r="J163" s="19" t="s">
        <v>485</v>
      </c>
      <c r="K163" s="99">
        <v>2099</v>
      </c>
      <c r="L163" s="97">
        <f>INDEX(Table1[Production],MATCH(rrcworking[[#This Row],[RRC ID Number]],Table1[RRC Identifier],0))</f>
        <v>366</v>
      </c>
      <c r="M163" s="29">
        <f>INDEX(Table1[Formation Production],MATCH(rrcworking[[#This Row],[RRC ID Number]],Table1[RRC Identifier],0))</f>
        <v>0</v>
      </c>
      <c r="N163" s="30">
        <f>INDEX(Table1[On Hand End of Month],MATCH(rrcworking[[#This Row],[RRC ID Number]],Table1[RRC Identifier],0))</f>
        <v>311</v>
      </c>
      <c r="O163" s="102" t="b">
        <f t="shared" si="4"/>
        <v>0</v>
      </c>
      <c r="P163">
        <v>32</v>
      </c>
      <c r="Q163" s="122">
        <f>rrcworking[[#This Row],[Last Month Closing Stock]]</f>
        <v>311</v>
      </c>
      <c r="R163">
        <v>343</v>
      </c>
      <c r="S163" s="133">
        <f>IF(ISERROR(INDEX(Table2[OIL],MATCH(rrcworking[[#This Row],[Magnum Wolfpak '#]],Table2[Rox Wolf'#],0))),0,INDEX(Table2[OIL],MATCH(rrcworking[[#This Row],[Magnum Wolfpak '#]],Table2[Rox Wolf'#],0)))</f>
        <v>0</v>
      </c>
      <c r="T163" s="34">
        <f>rrcworking[[#This Row],[Closing Stock (Oil)]]+rrcworking[[#This Row],[Sales/Dispostion]]-rrcworking[[#This Row],[Opening Oil Stock]]</f>
        <v>32</v>
      </c>
      <c r="U163" s="108">
        <f>rrcworking[[#This Row],[Gauge Sheet Prod Volume (oil)]]-rrcworking[[#This Row],[Oil Production]]</f>
        <v>0</v>
      </c>
      <c r="V163" s="133">
        <f>IF(ISERROR(INDEX(Table2[GAS],MATCH(rrcworking[[#This Row],[Magnum Wolfpak '#]],Table2[Rox Wolf'#],0))),0,INDEX(Table2[GAS],MATCH(rrcworking[[#This Row],[Magnum Wolfpak '#]],Table2[Rox Wolf'#],0)))</f>
        <v>0</v>
      </c>
      <c r="W163" s="58"/>
      <c r="X163" s="58"/>
      <c r="Y163" s="133">
        <f>IF(ISERROR(INDEX(Table2[LEASE USE],MATCH(rrcworking[[#This Row],[Magnum Wolfpak '#]],Table2[Rox Wolf'#],0))),0,INDEX(Table2[LEASE USE],MATCH(rrcworking[[#This Row],[Magnum Wolfpak '#]],Table2[Rox Wolf'#],0)))</f>
        <v>0</v>
      </c>
      <c r="Z163" s="133"/>
      <c r="AA163" s="56">
        <f>rrcworking[[#This Row],[Gas Sales Statement Volume (MCF)]]+rrcworking[[#This Row],[Lease Use (MCF)]]+rrcworking[[#This Row],[Flared Gas]]</f>
        <v>0</v>
      </c>
      <c r="AB163" s="36"/>
      <c r="AC163" s="36"/>
      <c r="AD163" s="175">
        <f>COUNTIF(FilterList,rrcworking[[#This Row],[Magnum Wolfpak '#]])</f>
        <v>0</v>
      </c>
      <c r="AE163" s="172"/>
      <c r="AF163" s="173"/>
      <c r="AG163" s="36"/>
      <c r="AH163" s="36"/>
      <c r="AI163" s="174"/>
      <c r="AJ163" s="174"/>
      <c r="AK163" s="174"/>
      <c r="AL163" s="174"/>
      <c r="AM163" s="174"/>
      <c r="AN163" s="174"/>
      <c r="AO163" s="36" t="s">
        <v>1163</v>
      </c>
      <c r="AP163" s="36" t="s">
        <v>1198</v>
      </c>
    </row>
    <row r="164" spans="3:42" ht="28">
      <c r="C164" s="78">
        <v>99312</v>
      </c>
      <c r="D164" s="60" t="s">
        <v>255</v>
      </c>
      <c r="E164" s="125" t="s">
        <v>251</v>
      </c>
      <c r="F164" s="124" t="s">
        <v>226</v>
      </c>
      <c r="G164" s="115" t="s">
        <v>1090</v>
      </c>
      <c r="H164" s="18" t="s">
        <v>618</v>
      </c>
      <c r="I164" s="18" t="s">
        <v>59</v>
      </c>
      <c r="J164" s="19" t="s">
        <v>516</v>
      </c>
      <c r="K164" s="99">
        <v>285001</v>
      </c>
      <c r="L164" s="97">
        <f>INDEX(Table1[Production],MATCH(rrcworking[[#This Row],[RRC ID Number]],Table1[RRC Identifier],0))</f>
        <v>0</v>
      </c>
      <c r="M164" s="29">
        <f>INDEX(Table1[Formation Production],MATCH(rrcworking[[#This Row],[RRC ID Number]],Table1[RRC Identifier],0))</f>
        <v>0</v>
      </c>
      <c r="N164" s="30">
        <f>INDEX(Table1[On Hand End of Month],MATCH(rrcworking[[#This Row],[RRC ID Number]],Table1[RRC Identifier],0))</f>
        <v>109</v>
      </c>
      <c r="O164" s="102" t="b">
        <f t="shared" si="4"/>
        <v>1</v>
      </c>
      <c r="P164">
        <v>0</v>
      </c>
      <c r="Q164" s="122">
        <f>rrcworking[[#This Row],[Last Month Closing Stock]]</f>
        <v>109</v>
      </c>
      <c r="R164">
        <v>109</v>
      </c>
      <c r="S164" s="133">
        <f>IF(ISERROR(INDEX(Table2[OIL],MATCH(rrcworking[[#This Row],[Magnum Wolfpak '#]],Table2[Rox Wolf'#],0))),0,INDEX(Table2[OIL],MATCH(rrcworking[[#This Row],[Magnum Wolfpak '#]],Table2[Rox Wolf'#],0)))</f>
        <v>0</v>
      </c>
      <c r="T164" s="34">
        <f>rrcworking[[#This Row],[Closing Stock (Oil)]]+rrcworking[[#This Row],[Sales/Dispostion]]-rrcworking[[#This Row],[Opening Oil Stock]]</f>
        <v>0</v>
      </c>
      <c r="U164" s="108">
        <f>rrcworking[[#This Row],[Gauge Sheet Prod Volume (oil)]]-rrcworking[[#This Row],[Oil Production]]</f>
        <v>0</v>
      </c>
      <c r="V164" s="133">
        <f>IF(ISERROR(INDEX(Table2[GAS],MATCH(rrcworking[[#This Row],[Magnum Wolfpak '#]],Table2[Rox Wolf'#],0))),0,INDEX(Table2[GAS],MATCH(rrcworking[[#This Row],[Magnum Wolfpak '#]],Table2[Rox Wolf'#],0)))</f>
        <v>0</v>
      </c>
      <c r="W164" s="82"/>
      <c r="X164" s="58">
        <v>21</v>
      </c>
      <c r="Y164" s="133">
        <f>IF(ISERROR(INDEX(Table2[LEASE USE],MATCH(rrcworking[[#This Row],[Magnum Wolfpak '#]],Table2[Rox Wolf'#],0))),0,INDEX(Table2[LEASE USE],MATCH(rrcworking[[#This Row],[Magnum Wolfpak '#]],Table2[Rox Wolf'#],0)))</f>
        <v>0</v>
      </c>
      <c r="Z164" s="133"/>
      <c r="AA164" s="56">
        <f>rrcworking[[#This Row],[Gas Sales Statement Volume (MCF)]]+rrcworking[[#This Row],[Lease Use (MCF)]]+rrcworking[[#This Row],[Flared Gas]]</f>
        <v>0</v>
      </c>
      <c r="AB164" s="36"/>
      <c r="AC164" s="36" t="s">
        <v>1242</v>
      </c>
      <c r="AD164" s="175">
        <f>COUNTIF(FilterList,rrcworking[[#This Row],[Magnum Wolfpak '#]])</f>
        <v>0</v>
      </c>
      <c r="AE164" s="172"/>
      <c r="AF164" s="173"/>
      <c r="AG164" s="36"/>
      <c r="AH164" s="173"/>
      <c r="AI164" s="36">
        <v>1</v>
      </c>
      <c r="AJ164" s="36" t="s">
        <v>1139</v>
      </c>
      <c r="AK164" s="36" t="s">
        <v>1139</v>
      </c>
      <c r="AL164" s="36" t="s">
        <v>1175</v>
      </c>
      <c r="AM164" s="36" t="s">
        <v>1139</v>
      </c>
      <c r="AN164" s="36" t="s">
        <v>1176</v>
      </c>
      <c r="AO164" s="36" t="s">
        <v>1219</v>
      </c>
      <c r="AP164" s="36"/>
    </row>
    <row r="165" spans="3:42" ht="56">
      <c r="C165" s="78">
        <v>99246</v>
      </c>
      <c r="D165" s="60" t="s">
        <v>250</v>
      </c>
      <c r="E165" s="125" t="s">
        <v>251</v>
      </c>
      <c r="F165" s="124" t="s">
        <v>252</v>
      </c>
      <c r="G165" s="115" t="s">
        <v>1090</v>
      </c>
      <c r="H165" s="18" t="s">
        <v>618</v>
      </c>
      <c r="I165" s="18" t="s">
        <v>59</v>
      </c>
      <c r="J165" s="19" t="s">
        <v>514</v>
      </c>
      <c r="K165" s="99">
        <v>284977</v>
      </c>
      <c r="L165" s="97">
        <f>INDEX(Table1[Production],MATCH(rrcworking[[#This Row],[RRC ID Number]],Table1[RRC Identifier],0))</f>
        <v>162</v>
      </c>
      <c r="M165" s="29">
        <f>INDEX(Table1[Formation Production],MATCH(rrcworking[[#This Row],[RRC ID Number]],Table1[RRC Identifier],0))</f>
        <v>19144</v>
      </c>
      <c r="N165" s="30">
        <f>INDEX(Table1[On Hand End of Month],MATCH(rrcworking[[#This Row],[RRC ID Number]],Table1[RRC Identifier],0))</f>
        <v>299</v>
      </c>
      <c r="O165" s="102" t="b">
        <f t="shared" ref="O165:O194" si="5">IF(AND(L165=0,M165=0), TRUE, FALSE)</f>
        <v>0</v>
      </c>
      <c r="P165">
        <v>42</v>
      </c>
      <c r="Q165" s="122">
        <f>rrcworking[[#This Row],[Last Month Closing Stock]]</f>
        <v>299</v>
      </c>
      <c r="R165">
        <v>341</v>
      </c>
      <c r="S165" s="133">
        <f>IF(ISERROR(INDEX(Table2[OIL],MATCH(rrcworking[[#This Row],[Magnum Wolfpak '#]],Table2[Rox Wolf'#],0))),0,INDEX(Table2[OIL],MATCH(rrcworking[[#This Row],[Magnum Wolfpak '#]],Table2[Rox Wolf'#],0)))</f>
        <v>0</v>
      </c>
      <c r="T165" s="34">
        <f>rrcworking[[#This Row],[Closing Stock (Oil)]]+rrcworking[[#This Row],[Sales/Dispostion]]-rrcworking[[#This Row],[Opening Oil Stock]]</f>
        <v>42</v>
      </c>
      <c r="U165" s="108">
        <f>rrcworking[[#This Row],[Gauge Sheet Prod Volume (oil)]]-rrcworking[[#This Row],[Oil Production]]</f>
        <v>0</v>
      </c>
      <c r="V165" s="133">
        <f>IF(ISERROR(INDEX(Table2[GAS],MATCH(rrcworking[[#This Row],[Magnum Wolfpak '#]],Table2[Rox Wolf'#],0))),0,INDEX(Table2[GAS],MATCH(rrcworking[[#This Row],[Magnum Wolfpak '#]],Table2[Rox Wolf'#],0)))</f>
        <v>17199</v>
      </c>
      <c r="W165" s="82"/>
      <c r="X165" s="58">
        <v>25</v>
      </c>
      <c r="Y165" s="133">
        <f>IF(ISERROR(INDEX(Table2[LEASE USE],MATCH(rrcworking[[#This Row],[Magnum Wolfpak '#]],Table2[Rox Wolf'#],0))),0,INDEX(Table2[LEASE USE],MATCH(rrcworking[[#This Row],[Magnum Wolfpak '#]],Table2[Rox Wolf'#],0)))</f>
        <v>775</v>
      </c>
      <c r="Z165" s="133"/>
      <c r="AA165" s="56">
        <f>rrcworking[[#This Row],[Gas Sales Statement Volume (MCF)]]+rrcworking[[#This Row],[Lease Use (MCF)]]+rrcworking[[#This Row],[Flared Gas]]</f>
        <v>17974</v>
      </c>
      <c r="AB165" s="36"/>
      <c r="AC165" s="36" t="s">
        <v>1296</v>
      </c>
      <c r="AD165" s="175">
        <f>COUNTIF(FilterList,rrcworking[[#This Row],[Magnum Wolfpak '#]])</f>
        <v>0</v>
      </c>
      <c r="AE165" s="172"/>
      <c r="AF165" s="173"/>
      <c r="AG165" s="36"/>
      <c r="AH165" s="173"/>
      <c r="AI165" s="36">
        <v>2</v>
      </c>
      <c r="AJ165" s="36" t="s">
        <v>1139</v>
      </c>
      <c r="AK165" s="36" t="s">
        <v>1139</v>
      </c>
      <c r="AL165" s="36" t="s">
        <v>1181</v>
      </c>
      <c r="AM165" s="36" t="s">
        <v>1139</v>
      </c>
      <c r="AN165" s="36" t="s">
        <v>1176</v>
      </c>
      <c r="AO165" s="36" t="s">
        <v>1220</v>
      </c>
      <c r="AP165" s="36"/>
    </row>
    <row r="166" spans="3:42" ht="14">
      <c r="C166" s="78" t="e">
        <v>#N/A</v>
      </c>
      <c r="D166" s="60" t="s">
        <v>299</v>
      </c>
      <c r="E166" s="125" t="s">
        <v>300</v>
      </c>
      <c r="F166" s="124" t="s">
        <v>301</v>
      </c>
      <c r="G166" s="115" t="s">
        <v>1090</v>
      </c>
      <c r="H166" s="18" t="s">
        <v>618</v>
      </c>
      <c r="I166" s="18" t="s">
        <v>59</v>
      </c>
      <c r="J166" s="19" t="s">
        <v>548</v>
      </c>
      <c r="K166" s="99">
        <v>201104</v>
      </c>
      <c r="L166" s="97">
        <f>INDEX(Table1[Production],MATCH(rrcworking[[#This Row],[RRC ID Number]],Table1[RRC Identifier],0))</f>
        <v>0</v>
      </c>
      <c r="M166" s="29">
        <f>INDEX(Table1[Formation Production],MATCH(rrcworking[[#This Row],[RRC ID Number]],Table1[RRC Identifier],0))</f>
        <v>0</v>
      </c>
      <c r="N166" s="30">
        <f>INDEX(Table1[On Hand End of Month],MATCH(rrcworking[[#This Row],[RRC ID Number]],Table1[RRC Identifier],0))</f>
        <v>0</v>
      </c>
      <c r="O166" s="102" t="b">
        <f t="shared" si="5"/>
        <v>1</v>
      </c>
      <c r="Q166" s="122">
        <f>rrcworking[[#This Row],[Last Month Closing Stock]]</f>
        <v>0</v>
      </c>
      <c r="R166">
        <f>rrcworking[[#This Row],[Opening Oil Stock]]</f>
        <v>0</v>
      </c>
      <c r="S166" s="133">
        <f>IF(ISERROR(INDEX(Table2[OIL],MATCH(rrcworking[[#This Row],[Magnum Wolfpak '#]],Table2[Rox Wolf'#],0))),0,INDEX(Table2[OIL],MATCH(rrcworking[[#This Row],[Magnum Wolfpak '#]],Table2[Rox Wolf'#],0)))</f>
        <v>0</v>
      </c>
      <c r="T166" s="34">
        <f>rrcworking[[#This Row],[Closing Stock (Oil)]]+rrcworking[[#This Row],[Sales/Dispostion]]-rrcworking[[#This Row],[Opening Oil Stock]]</f>
        <v>0</v>
      </c>
      <c r="U166" s="108">
        <f>rrcworking[[#This Row],[Gauge Sheet Prod Volume (oil)]]-rrcworking[[#This Row],[Oil Production]]</f>
        <v>0</v>
      </c>
      <c r="V166" s="133">
        <f>IF(ISERROR(INDEX(Table2[GAS],MATCH(rrcworking[[#This Row],[Magnum Wolfpak '#]],Table2[Rox Wolf'#],0))),0,INDEX(Table2[GAS],MATCH(rrcworking[[#This Row],[Magnum Wolfpak '#]],Table2[Rox Wolf'#],0)))</f>
        <v>0</v>
      </c>
      <c r="W166" s="58"/>
      <c r="X166" s="58"/>
      <c r="Y166" s="133">
        <f>IF(ISERROR(INDEX(Table2[LEASE USE],MATCH(rrcworking[[#This Row],[Magnum Wolfpak '#]],Table2[Rox Wolf'#],0))),0,INDEX(Table2[LEASE USE],MATCH(rrcworking[[#This Row],[Magnum Wolfpak '#]],Table2[Rox Wolf'#],0)))</f>
        <v>0</v>
      </c>
      <c r="Z166" s="133"/>
      <c r="AA166" s="56">
        <f>rrcworking[[#This Row],[Gas Sales Statement Volume (MCF)]]+rrcworking[[#This Row],[Lease Use (MCF)]]+rrcworking[[#This Row],[Flared Gas]]</f>
        <v>0</v>
      </c>
      <c r="AB166" s="36"/>
      <c r="AC166" s="36"/>
      <c r="AD166" s="175">
        <f>COUNTIF(FilterList,rrcworking[[#This Row],[Magnum Wolfpak '#]])</f>
        <v>0</v>
      </c>
      <c r="AE166" s="172"/>
      <c r="AF166" s="173"/>
      <c r="AG166" s="36"/>
      <c r="AH166" s="36"/>
      <c r="AI166" s="36"/>
      <c r="AJ166" s="36"/>
      <c r="AK166" s="36"/>
      <c r="AL166" s="36"/>
      <c r="AM166" s="36"/>
      <c r="AN166" s="36"/>
      <c r="AO166" s="36"/>
      <c r="AP166" s="36"/>
    </row>
    <row r="167" spans="3:42" ht="98">
      <c r="C167" s="78">
        <v>99140</v>
      </c>
      <c r="D167" s="60" t="s">
        <v>187</v>
      </c>
      <c r="E167" s="125" t="s">
        <v>188</v>
      </c>
      <c r="F167" s="124">
        <v>0</v>
      </c>
      <c r="G167" s="115" t="s">
        <v>1090</v>
      </c>
      <c r="H167" s="18" t="s">
        <v>618</v>
      </c>
      <c r="I167" s="18" t="s">
        <v>2</v>
      </c>
      <c r="J167" s="19" t="s">
        <v>482</v>
      </c>
      <c r="K167" s="99">
        <v>26501</v>
      </c>
      <c r="L167" s="97">
        <f>INDEX(Table1[Production],MATCH(rrcworking[[#This Row],[RRC ID Number]],Table1[RRC Identifier],0))</f>
        <v>0</v>
      </c>
      <c r="M167" s="29">
        <f>INDEX(Table1[Formation Production],MATCH(rrcworking[[#This Row],[RRC ID Number]],Table1[RRC Identifier],0))</f>
        <v>0</v>
      </c>
      <c r="N167" s="30">
        <f>INDEX(Table1[On Hand End of Month],MATCH(rrcworking[[#This Row],[RRC ID Number]],Table1[RRC Identifier],0))</f>
        <v>114</v>
      </c>
      <c r="O167" s="102" t="b">
        <f t="shared" si="5"/>
        <v>1</v>
      </c>
      <c r="P167">
        <v>0</v>
      </c>
      <c r="Q167" s="122">
        <f>rrcworking[[#This Row],[Last Month Closing Stock]]</f>
        <v>114</v>
      </c>
      <c r="R167">
        <v>114</v>
      </c>
      <c r="S167" s="133">
        <f>IF(ISERROR(INDEX(Table2[OIL],MATCH(rrcworking[[#This Row],[Magnum Wolfpak '#]],Table2[Rox Wolf'#],0))),0,INDEX(Table2[OIL],MATCH(rrcworking[[#This Row],[Magnum Wolfpak '#]],Table2[Rox Wolf'#],0)))</f>
        <v>0</v>
      </c>
      <c r="T167" s="34">
        <f>rrcworking[[#This Row],[Closing Stock (Oil)]]+rrcworking[[#This Row],[Sales/Dispostion]]-rrcworking[[#This Row],[Opening Oil Stock]]</f>
        <v>0</v>
      </c>
      <c r="U167" s="108">
        <f>rrcworking[[#This Row],[Gauge Sheet Prod Volume (oil)]]-rrcworking[[#This Row],[Oil Production]]</f>
        <v>0</v>
      </c>
      <c r="V167" s="133">
        <f>IF(ISERROR(INDEX(Table2[GAS],MATCH(rrcworking[[#This Row],[Magnum Wolfpak '#]],Table2[Rox Wolf'#],0))),0,INDEX(Table2[GAS],MATCH(rrcworking[[#This Row],[Magnum Wolfpak '#]],Table2[Rox Wolf'#],0)))</f>
        <v>0</v>
      </c>
      <c r="W167" s="58"/>
      <c r="X167" s="58"/>
      <c r="Y167" s="133">
        <f>IF(ISERROR(INDEX(Table2[LEASE USE],MATCH(rrcworking[[#This Row],[Magnum Wolfpak '#]],Table2[Rox Wolf'#],0))),0,INDEX(Table2[LEASE USE],MATCH(rrcworking[[#This Row],[Magnum Wolfpak '#]],Table2[Rox Wolf'#],0)))</f>
        <v>0</v>
      </c>
      <c r="Z167" s="133"/>
      <c r="AA167" s="56">
        <f>rrcworking[[#This Row],[Gas Sales Statement Volume (MCF)]]+rrcworking[[#This Row],[Lease Use (MCF)]]+rrcworking[[#This Row],[Flared Gas]]</f>
        <v>0</v>
      </c>
      <c r="AB167" s="36"/>
      <c r="AC167" s="36" t="s">
        <v>1145</v>
      </c>
      <c r="AD167" s="175">
        <f>COUNTIF(FilterList,rrcworking[[#This Row],[Magnum Wolfpak '#]])</f>
        <v>0</v>
      </c>
      <c r="AE167" s="172"/>
      <c r="AF167" s="173"/>
      <c r="AG167" s="36"/>
      <c r="AH167" s="36"/>
      <c r="AI167" s="36"/>
      <c r="AJ167" s="36"/>
      <c r="AK167" s="36"/>
      <c r="AL167" s="36"/>
      <c r="AM167" s="36"/>
      <c r="AN167" s="36"/>
      <c r="AO167" s="36" t="s">
        <v>1163</v>
      </c>
      <c r="AP167" s="36" t="s">
        <v>1221</v>
      </c>
    </row>
    <row r="168" spans="3:42" ht="42">
      <c r="C168" s="78">
        <v>98979</v>
      </c>
      <c r="D168" s="60" t="s">
        <v>308</v>
      </c>
      <c r="E168" s="125" t="s">
        <v>309</v>
      </c>
      <c r="F168" s="124">
        <v>0</v>
      </c>
      <c r="G168" s="115" t="s">
        <v>1090</v>
      </c>
      <c r="H168" s="18" t="s">
        <v>619</v>
      </c>
      <c r="I168" s="18" t="s">
        <v>2</v>
      </c>
      <c r="J168" s="19" t="s">
        <v>553</v>
      </c>
      <c r="K168" s="99">
        <v>13355</v>
      </c>
      <c r="L168" s="97">
        <f>INDEX(Table1[Production],MATCH(rrcworking[[#This Row],[RRC ID Number]],Table1[RRC Identifier],0))</f>
        <v>50</v>
      </c>
      <c r="M168" s="29">
        <f>INDEX(Table1[Formation Production],MATCH(rrcworking[[#This Row],[RRC ID Number]],Table1[RRC Identifier],0))</f>
        <v>242</v>
      </c>
      <c r="N168" s="30">
        <f>INDEX(Table1[On Hand End of Month],MATCH(rrcworking[[#This Row],[RRC ID Number]],Table1[RRC Identifier],0))</f>
        <v>95</v>
      </c>
      <c r="O168" s="102" t="b">
        <f t="shared" si="5"/>
        <v>0</v>
      </c>
      <c r="P168">
        <v>60</v>
      </c>
      <c r="Q168" s="122">
        <f>rrcworking[[#This Row],[Last Month Closing Stock]]</f>
        <v>95</v>
      </c>
      <c r="R168">
        <v>155</v>
      </c>
      <c r="S168" s="133">
        <f>IF(ISERROR(INDEX(Table2[OIL],MATCH(rrcworking[[#This Row],[Magnum Wolfpak '#]],Table2[Rox Wolf'#],0))),0,INDEX(Table2[OIL],MATCH(rrcworking[[#This Row],[Magnum Wolfpak '#]],Table2[Rox Wolf'#],0)))</f>
        <v>0</v>
      </c>
      <c r="T168" s="34">
        <f>rrcworking[[#This Row],[Closing Stock (Oil)]]+rrcworking[[#This Row],[Sales/Dispostion]]-rrcworking[[#This Row],[Opening Oil Stock]]</f>
        <v>60</v>
      </c>
      <c r="U168" s="108">
        <f>rrcworking[[#This Row],[Gauge Sheet Prod Volume (oil)]]-rrcworking[[#This Row],[Oil Production]]</f>
        <v>0</v>
      </c>
      <c r="V168" s="133">
        <f>IF(ISERROR(INDEX(Table2[GAS],MATCH(rrcworking[[#This Row],[Magnum Wolfpak '#]],Table2[Rox Wolf'#],0))),0,INDEX(Table2[GAS],MATCH(rrcworking[[#This Row],[Magnum Wolfpak '#]],Table2[Rox Wolf'#],0)))</f>
        <v>253</v>
      </c>
      <c r="W168" s="58"/>
      <c r="X168" s="58">
        <v>0</v>
      </c>
      <c r="Y168" s="133">
        <f>IF(ISERROR(INDEX(Table2[LEASE USE],MATCH(rrcworking[[#This Row],[Magnum Wolfpak '#]],Table2[Rox Wolf'#],0))),0,INDEX(Table2[LEASE USE],MATCH(rrcworking[[#This Row],[Magnum Wolfpak '#]],Table2[Rox Wolf'#],0)))</f>
        <v>0</v>
      </c>
      <c r="Z168" s="133"/>
      <c r="AA168" s="56">
        <f>rrcworking[[#This Row],[Gas Sales Statement Volume (MCF)]]+rrcworking[[#This Row],[Lease Use (MCF)]]+rrcworking[[#This Row],[Flared Gas]]</f>
        <v>253</v>
      </c>
      <c r="AB168" s="36"/>
      <c r="AC168" s="36"/>
      <c r="AD168" s="175">
        <f>COUNTIF(FilterList,rrcworking[[#This Row],[Magnum Wolfpak '#]])</f>
        <v>0</v>
      </c>
      <c r="AE168" s="172"/>
      <c r="AF168" s="173"/>
      <c r="AG168" s="36"/>
      <c r="AH168" s="173"/>
      <c r="AI168" s="36">
        <v>2</v>
      </c>
      <c r="AJ168" s="36" t="s">
        <v>1165</v>
      </c>
      <c r="AK168" s="36" t="s">
        <v>1165</v>
      </c>
      <c r="AL168" s="36" t="s">
        <v>1196</v>
      </c>
      <c r="AM168" s="36" t="s">
        <v>1165</v>
      </c>
      <c r="AN168" s="36" t="s">
        <v>1171</v>
      </c>
      <c r="AO168" s="36" t="s">
        <v>1236</v>
      </c>
      <c r="AP168" s="36"/>
    </row>
    <row r="169" spans="3:42" ht="14">
      <c r="C169" s="78" t="e">
        <v>#N/A</v>
      </c>
      <c r="D169" s="60" t="s">
        <v>94</v>
      </c>
      <c r="E169" s="125" t="s">
        <v>91</v>
      </c>
      <c r="F169" s="124">
        <v>5</v>
      </c>
      <c r="G169" s="115" t="s">
        <v>1090</v>
      </c>
      <c r="H169" s="18" t="s">
        <v>617</v>
      </c>
      <c r="I169" s="18" t="s">
        <v>59</v>
      </c>
      <c r="J169" s="19" t="s">
        <v>424</v>
      </c>
      <c r="K169" s="99">
        <v>145447</v>
      </c>
      <c r="L169" s="97">
        <f>INDEX(Table1[Production],MATCH(rrcworking[[#This Row],[RRC ID Number]],Table1[RRC Identifier],0))</f>
        <v>0</v>
      </c>
      <c r="M169" s="29">
        <f>INDEX(Table1[Formation Production],MATCH(rrcworking[[#This Row],[RRC ID Number]],Table1[RRC Identifier],0))</f>
        <v>0</v>
      </c>
      <c r="N169" s="30">
        <f>INDEX(Table1[On Hand End of Month],MATCH(rrcworking[[#This Row],[RRC ID Number]],Table1[RRC Identifier],0))</f>
        <v>0</v>
      </c>
      <c r="O169" s="102" t="b">
        <f t="shared" si="5"/>
        <v>1</v>
      </c>
      <c r="Q169" s="122">
        <f>rrcworking[[#This Row],[Last Month Closing Stock]]</f>
        <v>0</v>
      </c>
      <c r="R169">
        <f>rrcworking[[#This Row],[Opening Oil Stock]]</f>
        <v>0</v>
      </c>
      <c r="S169" s="133">
        <f>IF(ISERROR(INDEX(Table2[OIL],MATCH(rrcworking[[#This Row],[Magnum Wolfpak '#]],Table2[Rox Wolf'#],0))),0,INDEX(Table2[OIL],MATCH(rrcworking[[#This Row],[Magnum Wolfpak '#]],Table2[Rox Wolf'#],0)))</f>
        <v>0</v>
      </c>
      <c r="T169" s="34">
        <f>rrcworking[[#This Row],[Closing Stock (Oil)]]+rrcworking[[#This Row],[Sales/Dispostion]]-rrcworking[[#This Row],[Opening Oil Stock]]</f>
        <v>0</v>
      </c>
      <c r="U169" s="108">
        <f>rrcworking[[#This Row],[Gauge Sheet Prod Volume (oil)]]-rrcworking[[#This Row],[Oil Production]]</f>
        <v>0</v>
      </c>
      <c r="V169" s="133">
        <f>IF(ISERROR(INDEX(Table2[GAS],MATCH(rrcworking[[#This Row],[Magnum Wolfpak '#]],Table2[Rox Wolf'#],0))),0,INDEX(Table2[GAS],MATCH(rrcworking[[#This Row],[Magnum Wolfpak '#]],Table2[Rox Wolf'#],0)))</f>
        <v>0</v>
      </c>
      <c r="W169" s="58"/>
      <c r="X169" s="58"/>
      <c r="Y169" s="133">
        <f>IF(ISERROR(INDEX(Table2[LEASE USE],MATCH(rrcworking[[#This Row],[Magnum Wolfpak '#]],Table2[Rox Wolf'#],0))),0,INDEX(Table2[LEASE USE],MATCH(rrcworking[[#This Row],[Magnum Wolfpak '#]],Table2[Rox Wolf'#],0)))</f>
        <v>0</v>
      </c>
      <c r="Z169" s="133"/>
      <c r="AA169" s="56">
        <f>rrcworking[[#This Row],[Gas Sales Statement Volume (MCF)]]+rrcworking[[#This Row],[Lease Use (MCF)]]+rrcworking[[#This Row],[Flared Gas]]</f>
        <v>0</v>
      </c>
      <c r="AB169" s="36"/>
      <c r="AC169" s="36"/>
      <c r="AD169" s="175">
        <f>COUNTIF(FilterList,rrcworking[[#This Row],[Magnum Wolfpak '#]])</f>
        <v>0</v>
      </c>
      <c r="AE169" s="172"/>
      <c r="AF169" s="173"/>
      <c r="AG169" s="36"/>
      <c r="AH169" s="36"/>
      <c r="AI169" s="36"/>
      <c r="AJ169" s="36"/>
      <c r="AK169" s="36"/>
      <c r="AL169" s="36"/>
      <c r="AM169" s="36"/>
      <c r="AN169" s="36"/>
      <c r="AO169" s="36"/>
      <c r="AP169" s="36"/>
    </row>
    <row r="170" spans="3:42" ht="28">
      <c r="C170" s="78">
        <v>34001</v>
      </c>
      <c r="D170" s="60" t="s">
        <v>90</v>
      </c>
      <c r="E170" s="125" t="s">
        <v>91</v>
      </c>
      <c r="F170" s="124">
        <v>0</v>
      </c>
      <c r="G170" s="115" t="s">
        <v>1090</v>
      </c>
      <c r="H170" s="18" t="s">
        <v>617</v>
      </c>
      <c r="I170" s="18" t="s">
        <v>2</v>
      </c>
      <c r="J170" s="19" t="s">
        <v>422</v>
      </c>
      <c r="K170" s="99">
        <v>394</v>
      </c>
      <c r="L170" s="97">
        <f>INDEX(Table1[Production],MATCH(rrcworking[[#This Row],[RRC ID Number]],Table1[RRC Identifier],0))</f>
        <v>544</v>
      </c>
      <c r="M170" s="29">
        <f>INDEX(Table1[Formation Production],MATCH(rrcworking[[#This Row],[RRC ID Number]],Table1[RRC Identifier],0))</f>
        <v>0</v>
      </c>
      <c r="N170" s="30">
        <f>INDEX(Table1[On Hand End of Month],MATCH(rrcworking[[#This Row],[RRC ID Number]],Table1[RRC Identifier],0))</f>
        <v>231</v>
      </c>
      <c r="O170" s="102" t="b">
        <f t="shared" si="5"/>
        <v>0</v>
      </c>
      <c r="P170">
        <v>743</v>
      </c>
      <c r="Q170" s="122">
        <f>rrcworking[[#This Row],[Last Month Closing Stock]]</f>
        <v>231</v>
      </c>
      <c r="R170">
        <v>974</v>
      </c>
      <c r="S170" s="133">
        <f>IF(ISERROR(INDEX(Table2[OIL],MATCH(rrcworking[[#This Row],[Magnum Wolfpak '#]],Table2[Rox Wolf'#],0))),0,INDEX(Table2[OIL],MATCH(rrcworking[[#This Row],[Magnum Wolfpak '#]],Table2[Rox Wolf'#],0)))</f>
        <v>0</v>
      </c>
      <c r="T170" s="34">
        <f>rrcworking[[#This Row],[Closing Stock (Oil)]]+rrcworking[[#This Row],[Sales/Dispostion]]-rrcworking[[#This Row],[Opening Oil Stock]]</f>
        <v>743</v>
      </c>
      <c r="U170" s="108">
        <f>rrcworking[[#This Row],[Gauge Sheet Prod Volume (oil)]]-rrcworking[[#This Row],[Oil Production]]</f>
        <v>0</v>
      </c>
      <c r="V170" s="133">
        <f>IF(ISERROR(INDEX(Table2[GAS],MATCH(rrcworking[[#This Row],[Magnum Wolfpak '#]],Table2[Rox Wolf'#],0))),0,INDEX(Table2[GAS],MATCH(rrcworking[[#This Row],[Magnum Wolfpak '#]],Table2[Rox Wolf'#],0)))</f>
        <v>0</v>
      </c>
      <c r="W170" s="58"/>
      <c r="X170" s="58"/>
      <c r="Y170" s="133">
        <f>IF(ISERROR(INDEX(Table2[LEASE USE],MATCH(rrcworking[[#This Row],[Magnum Wolfpak '#]],Table2[Rox Wolf'#],0))),0,INDEX(Table2[LEASE USE],MATCH(rrcworking[[#This Row],[Magnum Wolfpak '#]],Table2[Rox Wolf'#],0)))</f>
        <v>0</v>
      </c>
      <c r="Z170" s="133"/>
      <c r="AA170" s="56">
        <f>rrcworking[[#This Row],[Gas Sales Statement Volume (MCF)]]+rrcworking[[#This Row],[Lease Use (MCF)]]+rrcworking[[#This Row],[Flared Gas]]</f>
        <v>0</v>
      </c>
      <c r="AB170" s="36"/>
      <c r="AC170" s="36"/>
      <c r="AD170" s="175">
        <f>COUNTIF(FilterList,rrcworking[[#This Row],[Magnum Wolfpak '#]])</f>
        <v>0</v>
      </c>
      <c r="AE170" s="172"/>
      <c r="AF170" s="173"/>
      <c r="AG170" s="36"/>
      <c r="AH170" s="173"/>
      <c r="AI170" s="174"/>
      <c r="AJ170" s="174"/>
      <c r="AK170" s="174"/>
      <c r="AL170" s="174"/>
      <c r="AM170" s="174"/>
      <c r="AN170" s="174"/>
      <c r="AO170" s="36" t="s">
        <v>1163</v>
      </c>
      <c r="AP170" s="36" t="s">
        <v>1169</v>
      </c>
    </row>
    <row r="171" spans="3:42" ht="14">
      <c r="C171" s="78" t="e">
        <v>#N/A</v>
      </c>
      <c r="D171" s="60" t="s">
        <v>323</v>
      </c>
      <c r="E171" s="125" t="s">
        <v>324</v>
      </c>
      <c r="F171" s="124">
        <v>0</v>
      </c>
      <c r="G171" s="115" t="s">
        <v>1090</v>
      </c>
      <c r="H171" s="18" t="s">
        <v>619</v>
      </c>
      <c r="I171" s="18" t="s">
        <v>2</v>
      </c>
      <c r="J171" s="19" t="s">
        <v>560</v>
      </c>
      <c r="K171" s="99">
        <v>12863</v>
      </c>
      <c r="L171" s="97">
        <f>INDEX(Table1[Production],MATCH(rrcworking[[#This Row],[RRC ID Number]],Table1[RRC Identifier],0))</f>
        <v>0</v>
      </c>
      <c r="M171" s="29">
        <f>INDEX(Table1[Formation Production],MATCH(rrcworking[[#This Row],[RRC ID Number]],Table1[RRC Identifier],0))</f>
        <v>0</v>
      </c>
      <c r="N171" s="30">
        <f>INDEX(Table1[On Hand End of Month],MATCH(rrcworking[[#This Row],[RRC ID Number]],Table1[RRC Identifier],0))</f>
        <v>0</v>
      </c>
      <c r="O171" s="102" t="b">
        <f t="shared" si="5"/>
        <v>1</v>
      </c>
      <c r="Q171" s="122">
        <f>rrcworking[[#This Row],[Last Month Closing Stock]]</f>
        <v>0</v>
      </c>
      <c r="R171">
        <f>rrcworking[[#This Row],[Opening Oil Stock]]</f>
        <v>0</v>
      </c>
      <c r="S171" s="133">
        <f>IF(ISERROR(INDEX(Table2[OIL],MATCH(rrcworking[[#This Row],[Magnum Wolfpak '#]],Table2[Rox Wolf'#],0))),0,INDEX(Table2[OIL],MATCH(rrcworking[[#This Row],[Magnum Wolfpak '#]],Table2[Rox Wolf'#],0)))</f>
        <v>0</v>
      </c>
      <c r="T171" s="34">
        <f>rrcworking[[#This Row],[Closing Stock (Oil)]]+rrcworking[[#This Row],[Sales/Dispostion]]-rrcworking[[#This Row],[Opening Oil Stock]]</f>
        <v>0</v>
      </c>
      <c r="U171" s="108">
        <f>rrcworking[[#This Row],[Gauge Sheet Prod Volume (oil)]]-rrcworking[[#This Row],[Oil Production]]</f>
        <v>0</v>
      </c>
      <c r="V171" s="133">
        <f>IF(ISERROR(INDEX(Table2[GAS],MATCH(rrcworking[[#This Row],[Magnum Wolfpak '#]],Table2[Rox Wolf'#],0))),0,INDEX(Table2[GAS],MATCH(rrcworking[[#This Row],[Magnum Wolfpak '#]],Table2[Rox Wolf'#],0)))</f>
        <v>0</v>
      </c>
      <c r="W171" s="58"/>
      <c r="X171" s="58"/>
      <c r="Y171" s="133">
        <f>IF(ISERROR(INDEX(Table2[LEASE USE],MATCH(rrcworking[[#This Row],[Magnum Wolfpak '#]],Table2[Rox Wolf'#],0))),0,INDEX(Table2[LEASE USE],MATCH(rrcworking[[#This Row],[Magnum Wolfpak '#]],Table2[Rox Wolf'#],0)))</f>
        <v>0</v>
      </c>
      <c r="Z171" s="133"/>
      <c r="AA171" s="56">
        <f>rrcworking[[#This Row],[Gas Sales Statement Volume (MCF)]]+rrcworking[[#This Row],[Lease Use (MCF)]]+rrcworking[[#This Row],[Flared Gas]]</f>
        <v>0</v>
      </c>
      <c r="AB171" s="36"/>
      <c r="AC171" s="36"/>
      <c r="AD171" s="175">
        <f>COUNTIF(FilterList,rrcworking[[#This Row],[Magnum Wolfpak '#]])</f>
        <v>0</v>
      </c>
      <c r="AE171" s="172"/>
      <c r="AF171" s="173"/>
      <c r="AG171" s="36"/>
      <c r="AH171" s="36"/>
      <c r="AI171" s="36"/>
      <c r="AJ171" s="36"/>
      <c r="AK171" s="36"/>
      <c r="AL171" s="36"/>
      <c r="AM171" s="36"/>
      <c r="AN171" s="36"/>
      <c r="AO171" s="36"/>
      <c r="AP171" s="36"/>
    </row>
    <row r="172" spans="3:42" ht="14">
      <c r="C172" s="78" t="e">
        <v>#N/A</v>
      </c>
      <c r="D172" s="60" t="s">
        <v>135</v>
      </c>
      <c r="E172" s="125" t="s">
        <v>136</v>
      </c>
      <c r="F172" s="124">
        <v>0</v>
      </c>
      <c r="G172" s="115" t="s">
        <v>1090</v>
      </c>
      <c r="H172" s="18" t="s">
        <v>617</v>
      </c>
      <c r="I172" s="18" t="s">
        <v>2</v>
      </c>
      <c r="J172" s="19" t="s">
        <v>451</v>
      </c>
      <c r="K172" s="99">
        <v>10778</v>
      </c>
      <c r="L172" s="97">
        <f>INDEX(Table1[Production],MATCH(rrcworking[[#This Row],[RRC ID Number]],Table1[RRC Identifier],0))</f>
        <v>0</v>
      </c>
      <c r="M172" s="29">
        <f>INDEX(Table1[Formation Production],MATCH(rrcworking[[#This Row],[RRC ID Number]],Table1[RRC Identifier],0))</f>
        <v>0</v>
      </c>
      <c r="N172" s="30">
        <f>INDEX(Table1[On Hand End of Month],MATCH(rrcworking[[#This Row],[RRC ID Number]],Table1[RRC Identifier],0))</f>
        <v>0</v>
      </c>
      <c r="O172" s="102" t="b">
        <f t="shared" si="5"/>
        <v>1</v>
      </c>
      <c r="Q172" s="122">
        <f>rrcworking[[#This Row],[Last Month Closing Stock]]</f>
        <v>0</v>
      </c>
      <c r="R172">
        <f>rrcworking[[#This Row],[Opening Oil Stock]]</f>
        <v>0</v>
      </c>
      <c r="S172" s="133">
        <f>IF(ISERROR(INDEX(Table2[OIL],MATCH(rrcworking[[#This Row],[Magnum Wolfpak '#]],Table2[Rox Wolf'#],0))),0,INDEX(Table2[OIL],MATCH(rrcworking[[#This Row],[Magnum Wolfpak '#]],Table2[Rox Wolf'#],0)))</f>
        <v>0</v>
      </c>
      <c r="T172" s="34">
        <f>rrcworking[[#This Row],[Closing Stock (Oil)]]+rrcworking[[#This Row],[Sales/Dispostion]]-rrcworking[[#This Row],[Opening Oil Stock]]</f>
        <v>0</v>
      </c>
      <c r="U172" s="108">
        <f>rrcworking[[#This Row],[Gauge Sheet Prod Volume (oil)]]-rrcworking[[#This Row],[Oil Production]]</f>
        <v>0</v>
      </c>
      <c r="V172" s="133">
        <f>IF(ISERROR(INDEX(Table2[GAS],MATCH(rrcworking[[#This Row],[Magnum Wolfpak '#]],Table2[Rox Wolf'#],0))),0,INDEX(Table2[GAS],MATCH(rrcworking[[#This Row],[Magnum Wolfpak '#]],Table2[Rox Wolf'#],0)))</f>
        <v>0</v>
      </c>
      <c r="W172" s="58"/>
      <c r="X172" s="58"/>
      <c r="Y172" s="133">
        <f>IF(ISERROR(INDEX(Table2[LEASE USE],MATCH(rrcworking[[#This Row],[Magnum Wolfpak '#]],Table2[Rox Wolf'#],0))),0,INDEX(Table2[LEASE USE],MATCH(rrcworking[[#This Row],[Magnum Wolfpak '#]],Table2[Rox Wolf'#],0)))</f>
        <v>0</v>
      </c>
      <c r="Z172" s="133"/>
      <c r="AA172" s="56">
        <f>rrcworking[[#This Row],[Gas Sales Statement Volume (MCF)]]+rrcworking[[#This Row],[Lease Use (MCF)]]+rrcworking[[#This Row],[Flared Gas]]</f>
        <v>0</v>
      </c>
      <c r="AB172" s="36"/>
      <c r="AC172" s="36"/>
      <c r="AD172" s="175">
        <f>COUNTIF(FilterList,rrcworking[[#This Row],[Magnum Wolfpak '#]])</f>
        <v>0</v>
      </c>
      <c r="AE172" s="172"/>
      <c r="AF172" s="173"/>
      <c r="AG172" s="36"/>
      <c r="AH172" s="36"/>
      <c r="AI172" s="36"/>
      <c r="AJ172" s="36"/>
      <c r="AK172" s="36"/>
      <c r="AL172" s="36"/>
      <c r="AM172" s="36"/>
      <c r="AN172" s="36"/>
      <c r="AO172" s="36"/>
      <c r="AP172" s="36"/>
    </row>
    <row r="173" spans="3:42" ht="14">
      <c r="C173" s="78" t="e">
        <v>#N/A</v>
      </c>
      <c r="D173" s="60" t="s">
        <v>135</v>
      </c>
      <c r="E173" s="125" t="s">
        <v>137</v>
      </c>
      <c r="F173" s="124">
        <v>1</v>
      </c>
      <c r="G173" s="115" t="s">
        <v>1090</v>
      </c>
      <c r="H173" s="18" t="s">
        <v>617</v>
      </c>
      <c r="I173" s="18" t="s">
        <v>59</v>
      </c>
      <c r="J173" s="19" t="s">
        <v>450</v>
      </c>
      <c r="K173" s="99">
        <v>280417</v>
      </c>
      <c r="L173" s="97">
        <f>INDEX(Table1[Production],MATCH(rrcworking[[#This Row],[RRC ID Number]],Table1[RRC Identifier],0))</f>
        <v>0</v>
      </c>
      <c r="M173" s="29">
        <f>INDEX(Table1[Formation Production],MATCH(rrcworking[[#This Row],[RRC ID Number]],Table1[RRC Identifier],0))</f>
        <v>0</v>
      </c>
      <c r="N173" s="30">
        <f>INDEX(Table1[On Hand End of Month],MATCH(rrcworking[[#This Row],[RRC ID Number]],Table1[RRC Identifier],0))</f>
        <v>0</v>
      </c>
      <c r="O173" s="102" t="b">
        <f t="shared" si="5"/>
        <v>1</v>
      </c>
      <c r="Q173" s="122">
        <f>rrcworking[[#This Row],[Last Month Closing Stock]]</f>
        <v>0</v>
      </c>
      <c r="R173">
        <f>rrcworking[[#This Row],[Opening Oil Stock]]</f>
        <v>0</v>
      </c>
      <c r="S173" s="133">
        <f>IF(ISERROR(INDEX(Table2[OIL],MATCH(rrcworking[[#This Row],[Magnum Wolfpak '#]],Table2[Rox Wolf'#],0))),0,INDEX(Table2[OIL],MATCH(rrcworking[[#This Row],[Magnum Wolfpak '#]],Table2[Rox Wolf'#],0)))</f>
        <v>0</v>
      </c>
      <c r="T173" s="34">
        <f>rrcworking[[#This Row],[Closing Stock (Oil)]]+rrcworking[[#This Row],[Sales/Dispostion]]-rrcworking[[#This Row],[Opening Oil Stock]]</f>
        <v>0</v>
      </c>
      <c r="U173" s="108">
        <f>rrcworking[[#This Row],[Gauge Sheet Prod Volume (oil)]]-rrcworking[[#This Row],[Oil Production]]</f>
        <v>0</v>
      </c>
      <c r="V173" s="133">
        <f>IF(ISERROR(INDEX(Table2[GAS],MATCH(rrcworking[[#This Row],[Magnum Wolfpak '#]],Table2[Rox Wolf'#],0))),0,INDEX(Table2[GAS],MATCH(rrcworking[[#This Row],[Magnum Wolfpak '#]],Table2[Rox Wolf'#],0)))</f>
        <v>0</v>
      </c>
      <c r="W173" s="58"/>
      <c r="X173" s="58"/>
      <c r="Y173" s="133">
        <f>IF(ISERROR(INDEX(Table2[LEASE USE],MATCH(rrcworking[[#This Row],[Magnum Wolfpak '#]],Table2[Rox Wolf'#],0))),0,INDEX(Table2[LEASE USE],MATCH(rrcworking[[#This Row],[Magnum Wolfpak '#]],Table2[Rox Wolf'#],0)))</f>
        <v>0</v>
      </c>
      <c r="Z173" s="133"/>
      <c r="AA173" s="56">
        <f>rrcworking[[#This Row],[Gas Sales Statement Volume (MCF)]]+rrcworking[[#This Row],[Lease Use (MCF)]]+rrcworking[[#This Row],[Flared Gas]]</f>
        <v>0</v>
      </c>
      <c r="AB173" s="36"/>
      <c r="AC173" s="36"/>
      <c r="AD173" s="175">
        <f>COUNTIF(FilterList,rrcworking[[#This Row],[Magnum Wolfpak '#]])</f>
        <v>0</v>
      </c>
      <c r="AE173" s="172"/>
      <c r="AF173" s="173"/>
      <c r="AG173" s="36"/>
      <c r="AH173" s="36"/>
      <c r="AI173" s="36"/>
      <c r="AJ173" s="36"/>
      <c r="AK173" s="36"/>
      <c r="AL173" s="36"/>
      <c r="AM173" s="36"/>
      <c r="AN173" s="36"/>
      <c r="AO173" s="36"/>
      <c r="AP173" s="36"/>
    </row>
    <row r="174" spans="3:42" ht="14">
      <c r="C174" s="78" t="e">
        <v>#N/A</v>
      </c>
      <c r="D174" s="60" t="s">
        <v>236</v>
      </c>
      <c r="E174" s="125" t="s">
        <v>233</v>
      </c>
      <c r="F174" s="124">
        <v>3</v>
      </c>
      <c r="G174" s="115" t="s">
        <v>1090</v>
      </c>
      <c r="H174" s="18" t="s">
        <v>618</v>
      </c>
      <c r="I174" s="18" t="s">
        <v>59</v>
      </c>
      <c r="J174" s="19" t="s">
        <v>506</v>
      </c>
      <c r="K174" s="99">
        <v>38467</v>
      </c>
      <c r="L174" s="97">
        <f>INDEX(Table1[Production],MATCH(rrcworking[[#This Row],[RRC ID Number]],Table1[RRC Identifier],0))</f>
        <v>0</v>
      </c>
      <c r="M174" s="29">
        <f>INDEX(Table1[Formation Production],MATCH(rrcworking[[#This Row],[RRC ID Number]],Table1[RRC Identifier],0))</f>
        <v>0</v>
      </c>
      <c r="N174" s="30">
        <f>INDEX(Table1[On Hand End of Month],MATCH(rrcworking[[#This Row],[RRC ID Number]],Table1[RRC Identifier],0))</f>
        <v>0</v>
      </c>
      <c r="O174" s="102" t="b">
        <f t="shared" si="5"/>
        <v>1</v>
      </c>
      <c r="Q174" s="122">
        <f>rrcworking[[#This Row],[Last Month Closing Stock]]</f>
        <v>0</v>
      </c>
      <c r="R174">
        <f>rrcworking[[#This Row],[Opening Oil Stock]]</f>
        <v>0</v>
      </c>
      <c r="S174" s="133">
        <f>IF(ISERROR(INDEX(Table2[OIL],MATCH(rrcworking[[#This Row],[Magnum Wolfpak '#]],Table2[Rox Wolf'#],0))),0,INDEX(Table2[OIL],MATCH(rrcworking[[#This Row],[Magnum Wolfpak '#]],Table2[Rox Wolf'#],0)))</f>
        <v>0</v>
      </c>
      <c r="T174" s="34">
        <f>rrcworking[[#This Row],[Closing Stock (Oil)]]+rrcworking[[#This Row],[Sales/Dispostion]]-rrcworking[[#This Row],[Opening Oil Stock]]</f>
        <v>0</v>
      </c>
      <c r="U174" s="108">
        <f>rrcworking[[#This Row],[Gauge Sheet Prod Volume (oil)]]-rrcworking[[#This Row],[Oil Production]]</f>
        <v>0</v>
      </c>
      <c r="V174" s="133">
        <f>IF(ISERROR(INDEX(Table2[GAS],MATCH(rrcworking[[#This Row],[Magnum Wolfpak '#]],Table2[Rox Wolf'#],0))),0,INDEX(Table2[GAS],MATCH(rrcworking[[#This Row],[Magnum Wolfpak '#]],Table2[Rox Wolf'#],0)))</f>
        <v>0</v>
      </c>
      <c r="W174" s="58"/>
      <c r="X174" s="58"/>
      <c r="Y174" s="133">
        <f>IF(ISERROR(INDEX(Table2[LEASE USE],MATCH(rrcworking[[#This Row],[Magnum Wolfpak '#]],Table2[Rox Wolf'#],0))),0,INDEX(Table2[LEASE USE],MATCH(rrcworking[[#This Row],[Magnum Wolfpak '#]],Table2[Rox Wolf'#],0)))</f>
        <v>0</v>
      </c>
      <c r="Z174" s="133"/>
      <c r="AA174" s="56">
        <f>rrcworking[[#This Row],[Gas Sales Statement Volume (MCF)]]+rrcworking[[#This Row],[Lease Use (MCF)]]+rrcworking[[#This Row],[Flared Gas]]</f>
        <v>0</v>
      </c>
      <c r="AB174" s="93"/>
      <c r="AC174" s="36"/>
      <c r="AD174" s="175">
        <f>COUNTIF(FilterList,rrcworking[[#This Row],[Magnum Wolfpak '#]])</f>
        <v>0</v>
      </c>
      <c r="AE174" s="172"/>
      <c r="AF174" s="173"/>
      <c r="AG174" s="36"/>
      <c r="AH174" s="36"/>
      <c r="AI174" s="36"/>
      <c r="AJ174" s="36"/>
      <c r="AK174" s="36"/>
      <c r="AL174" s="36"/>
      <c r="AM174" s="36"/>
      <c r="AN174" s="36"/>
      <c r="AO174" s="36"/>
      <c r="AP174" s="36"/>
    </row>
    <row r="175" spans="3:42" ht="14">
      <c r="C175" s="79">
        <v>599109</v>
      </c>
      <c r="D175" s="60" t="s">
        <v>232</v>
      </c>
      <c r="E175" s="125" t="s">
        <v>233</v>
      </c>
      <c r="F175" s="124">
        <v>5</v>
      </c>
      <c r="G175" s="115" t="s">
        <v>1090</v>
      </c>
      <c r="H175" s="18" t="s">
        <v>618</v>
      </c>
      <c r="I175" s="18" t="s">
        <v>59</v>
      </c>
      <c r="J175" s="19" t="s">
        <v>504</v>
      </c>
      <c r="K175" s="99">
        <v>184787</v>
      </c>
      <c r="L175" s="97">
        <f>INDEX(Table1[Production],MATCH(rrcworking[[#This Row],[RRC ID Number]],Table1[RRC Identifier],0))</f>
        <v>128</v>
      </c>
      <c r="M175" s="29">
        <f>INDEX(Table1[Formation Production],MATCH(rrcworking[[#This Row],[RRC ID Number]],Table1[RRC Identifier],0))</f>
        <v>11565</v>
      </c>
      <c r="N175" s="30">
        <f>INDEX(Table1[On Hand End of Month],MATCH(rrcworking[[#This Row],[RRC ID Number]],Table1[RRC Identifier],0))</f>
        <v>121</v>
      </c>
      <c r="O175" s="102" t="b">
        <f t="shared" si="5"/>
        <v>0</v>
      </c>
      <c r="P175">
        <v>113</v>
      </c>
      <c r="Q175" s="122">
        <f>rrcworking[[#This Row],[Last Month Closing Stock]]</f>
        <v>121</v>
      </c>
      <c r="R175">
        <v>234</v>
      </c>
      <c r="S175" s="133">
        <f>IF(ISERROR(INDEX(Table2[OIL],MATCH(rrcworking[[#This Row],[Magnum Wolfpak '#]],Table2[Rox Wolf'#],0))),0,INDEX(Table2[OIL],MATCH(rrcworking[[#This Row],[Magnum Wolfpak '#]],Table2[Rox Wolf'#],0)))</f>
        <v>0</v>
      </c>
      <c r="T175" s="34">
        <f>rrcworking[[#This Row],[Closing Stock (Oil)]]+rrcworking[[#This Row],[Sales/Dispostion]]-rrcworking[[#This Row],[Opening Oil Stock]]</f>
        <v>113</v>
      </c>
      <c r="U175" s="108">
        <f>rrcworking[[#This Row],[Gauge Sheet Prod Volume (oil)]]-rrcworking[[#This Row],[Oil Production]]</f>
        <v>0</v>
      </c>
      <c r="V175" s="133">
        <f>IF(ISERROR(INDEX(Table2[GAS],MATCH(rrcworking[[#This Row],[Magnum Wolfpak '#]],Table2[Rox Wolf'#],0))),0,INDEX(Table2[GAS],MATCH(rrcworking[[#This Row],[Magnum Wolfpak '#]],Table2[Rox Wolf'#],0)))</f>
        <v>10828</v>
      </c>
      <c r="W175" s="127"/>
      <c r="X175" s="58">
        <v>15</v>
      </c>
      <c r="Y175" s="133">
        <f>IF(ISERROR(INDEX(Table2[LEASE USE],MATCH(rrcworking[[#This Row],[Magnum Wolfpak '#]],Table2[Rox Wolf'#],0))),0,INDEX(Table2[LEASE USE],MATCH(rrcworking[[#This Row],[Magnum Wolfpak '#]],Table2[Rox Wolf'#],0)))</f>
        <v>465</v>
      </c>
      <c r="Z175" s="133"/>
      <c r="AA175" s="56">
        <f>rrcworking[[#This Row],[Gas Sales Statement Volume (MCF)]]+rrcworking[[#This Row],[Lease Use (MCF)]]+rrcworking[[#This Row],[Flared Gas]]</f>
        <v>11293</v>
      </c>
      <c r="AB175" s="36"/>
      <c r="AC175" s="36"/>
      <c r="AD175" s="175">
        <f>COUNTIF(FilterList,rrcworking[[#This Row],[Magnum Wolfpak '#]])</f>
        <v>0</v>
      </c>
      <c r="AE175" s="172"/>
      <c r="AF175" s="173"/>
      <c r="AG175" s="36"/>
      <c r="AH175" s="173"/>
      <c r="AI175" s="174"/>
      <c r="AJ175" s="174"/>
      <c r="AK175" s="174"/>
      <c r="AL175" s="174"/>
      <c r="AM175" s="174"/>
      <c r="AN175" s="174"/>
      <c r="AO175" s="36" t="s">
        <v>1163</v>
      </c>
      <c r="AP175" s="36" t="s">
        <v>1198</v>
      </c>
    </row>
    <row r="176" spans="3:42" ht="210">
      <c r="C176" s="79">
        <v>699109</v>
      </c>
      <c r="D176" s="60" t="s">
        <v>234</v>
      </c>
      <c r="E176" s="125" t="s">
        <v>235</v>
      </c>
      <c r="F176" s="124">
        <v>23</v>
      </c>
      <c r="G176" s="115" t="s">
        <v>1090</v>
      </c>
      <c r="H176" s="18" t="s">
        <v>618</v>
      </c>
      <c r="I176" s="18" t="s">
        <v>59</v>
      </c>
      <c r="J176" s="19" t="s">
        <v>505</v>
      </c>
      <c r="K176" s="99">
        <v>113719</v>
      </c>
      <c r="L176" s="97">
        <f>INDEX(Table1[Production],MATCH(rrcworking[[#This Row],[RRC ID Number]],Table1[RRC Identifier],0))</f>
        <v>12</v>
      </c>
      <c r="M176" s="29">
        <f>INDEX(Table1[Formation Production],MATCH(rrcworking[[#This Row],[RRC ID Number]],Table1[RRC Identifier],0))</f>
        <v>1726</v>
      </c>
      <c r="N176" s="30">
        <f>INDEX(Table1[On Hand End of Month],MATCH(rrcworking[[#This Row],[RRC ID Number]],Table1[RRC Identifier],0))</f>
        <v>122</v>
      </c>
      <c r="O176" s="102" t="b">
        <f t="shared" si="5"/>
        <v>0</v>
      </c>
      <c r="P176">
        <v>5</v>
      </c>
      <c r="Q176" s="122">
        <f>rrcworking[[#This Row],[Last Month Closing Stock]]</f>
        <v>122</v>
      </c>
      <c r="R176">
        <v>123</v>
      </c>
      <c r="S176" s="133">
        <f>IF(ISERROR(INDEX(Table2[OIL],MATCH(rrcworking[[#This Row],[Magnum Wolfpak '#]],Table2[Rox Wolf'#],0))),0,INDEX(Table2[OIL],MATCH(rrcworking[[#This Row],[Magnum Wolfpak '#]],Table2[Rox Wolf'#],0)))</f>
        <v>0</v>
      </c>
      <c r="T176" s="34">
        <f>rrcworking[[#This Row],[Closing Stock (Oil)]]+rrcworking[[#This Row],[Sales/Dispostion]]-rrcworking[[#This Row],[Opening Oil Stock]]</f>
        <v>1</v>
      </c>
      <c r="U176" s="108">
        <f>rrcworking[[#This Row],[Gauge Sheet Prod Volume (oil)]]-rrcworking[[#This Row],[Oil Production]]</f>
        <v>4</v>
      </c>
      <c r="V176" s="133">
        <f>IF(ISERROR(INDEX(Table2[GAS],MATCH(rrcworking[[#This Row],[Magnum Wolfpak '#]],Table2[Rox Wolf'#],0))),0,INDEX(Table2[GAS],MATCH(rrcworking[[#This Row],[Magnum Wolfpak '#]],Table2[Rox Wolf'#],0)))</f>
        <v>1745</v>
      </c>
      <c r="W176" s="58"/>
      <c r="X176" s="58"/>
      <c r="Y176" s="133">
        <f>IF(ISERROR(INDEX(Table2[LEASE USE],MATCH(rrcworking[[#This Row],[Magnum Wolfpak '#]],Table2[Rox Wolf'#],0))),0,INDEX(Table2[LEASE USE],MATCH(rrcworking[[#This Row],[Magnum Wolfpak '#]],Table2[Rox Wolf'#],0)))</f>
        <v>0</v>
      </c>
      <c r="Z176" s="133"/>
      <c r="AA176" s="56">
        <f>rrcworking[[#This Row],[Gas Sales Statement Volume (MCF)]]+rrcworking[[#This Row],[Lease Use (MCF)]]+rrcworking[[#This Row],[Flared Gas]]</f>
        <v>1745</v>
      </c>
      <c r="AB176" s="36"/>
      <c r="AC176" s="36" t="s">
        <v>1300</v>
      </c>
      <c r="AD176" s="175">
        <f>COUNTIF(FilterList,rrcworking[[#This Row],[Magnum Wolfpak '#]])</f>
        <v>0</v>
      </c>
      <c r="AE176" s="172"/>
      <c r="AF176" s="173"/>
      <c r="AG176" s="36"/>
      <c r="AH176" s="173"/>
      <c r="AI176" s="174"/>
      <c r="AJ176" s="174"/>
      <c r="AK176" s="174"/>
      <c r="AL176" s="174"/>
      <c r="AM176" s="174"/>
      <c r="AN176" s="174"/>
      <c r="AO176" s="36" t="s">
        <v>1163</v>
      </c>
      <c r="AP176" s="36" t="s">
        <v>1198</v>
      </c>
    </row>
    <row r="177" spans="3:42" ht="14">
      <c r="C177" s="78" t="e">
        <v>#N/A</v>
      </c>
      <c r="D177" s="60" t="s">
        <v>140</v>
      </c>
      <c r="E177" s="125" t="s">
        <v>141</v>
      </c>
      <c r="F177" s="124">
        <v>1</v>
      </c>
      <c r="G177" s="115" t="s">
        <v>1090</v>
      </c>
      <c r="H177" s="18" t="s">
        <v>617</v>
      </c>
      <c r="I177" s="18" t="s">
        <v>59</v>
      </c>
      <c r="J177" s="19" t="s">
        <v>453</v>
      </c>
      <c r="K177" s="99">
        <v>53255</v>
      </c>
      <c r="L177" s="97">
        <f>INDEX(Table1[Production],MATCH(rrcworking[[#This Row],[RRC ID Number]],Table1[RRC Identifier],0))</f>
        <v>0</v>
      </c>
      <c r="M177" s="29">
        <f>INDEX(Table1[Formation Production],MATCH(rrcworking[[#This Row],[RRC ID Number]],Table1[RRC Identifier],0))</f>
        <v>0</v>
      </c>
      <c r="N177" s="30">
        <f>INDEX(Table1[On Hand End of Month],MATCH(rrcworking[[#This Row],[RRC ID Number]],Table1[RRC Identifier],0))</f>
        <v>0</v>
      </c>
      <c r="O177" s="102" t="b">
        <f t="shared" si="5"/>
        <v>1</v>
      </c>
      <c r="Q177" s="122">
        <f>rrcworking[[#This Row],[Last Month Closing Stock]]</f>
        <v>0</v>
      </c>
      <c r="R177">
        <f>rrcworking[[#This Row],[Opening Oil Stock]]</f>
        <v>0</v>
      </c>
      <c r="S177" s="133">
        <f>IF(ISERROR(INDEX(Table2[OIL],MATCH(rrcworking[[#This Row],[Magnum Wolfpak '#]],Table2[Rox Wolf'#],0))),0,INDEX(Table2[OIL],MATCH(rrcworking[[#This Row],[Magnum Wolfpak '#]],Table2[Rox Wolf'#],0)))</f>
        <v>0</v>
      </c>
      <c r="T177" s="34">
        <f>rrcworking[[#This Row],[Closing Stock (Oil)]]+rrcworking[[#This Row],[Sales/Dispostion]]-rrcworking[[#This Row],[Opening Oil Stock]]</f>
        <v>0</v>
      </c>
      <c r="U177" s="108">
        <f>rrcworking[[#This Row],[Gauge Sheet Prod Volume (oil)]]-rrcworking[[#This Row],[Oil Production]]</f>
        <v>0</v>
      </c>
      <c r="V177" s="133">
        <f>IF(ISERROR(INDEX(Table2[GAS],MATCH(rrcworking[[#This Row],[Magnum Wolfpak '#]],Table2[Rox Wolf'#],0))),0,INDEX(Table2[GAS],MATCH(rrcworking[[#This Row],[Magnum Wolfpak '#]],Table2[Rox Wolf'#],0)))</f>
        <v>0</v>
      </c>
      <c r="W177" s="58"/>
      <c r="X177" s="58"/>
      <c r="Y177" s="133">
        <f>IF(ISERROR(INDEX(Table2[LEASE USE],MATCH(rrcworking[[#This Row],[Magnum Wolfpak '#]],Table2[Rox Wolf'#],0))),0,INDEX(Table2[LEASE USE],MATCH(rrcworking[[#This Row],[Magnum Wolfpak '#]],Table2[Rox Wolf'#],0)))</f>
        <v>0</v>
      </c>
      <c r="Z177" s="133"/>
      <c r="AA177" s="56">
        <f>rrcworking[[#This Row],[Gas Sales Statement Volume (MCF)]]+rrcworking[[#This Row],[Lease Use (MCF)]]+rrcworking[[#This Row],[Flared Gas]]</f>
        <v>0</v>
      </c>
      <c r="AB177" s="36"/>
      <c r="AC177" s="36"/>
      <c r="AD177" s="175">
        <f>COUNTIF(FilterList,rrcworking[[#This Row],[Magnum Wolfpak '#]])</f>
        <v>0</v>
      </c>
      <c r="AE177" s="172"/>
      <c r="AF177" s="173"/>
      <c r="AG177" s="36"/>
      <c r="AH177" s="36"/>
      <c r="AI177" s="36"/>
      <c r="AJ177" s="36"/>
      <c r="AK177" s="36"/>
      <c r="AL177" s="36"/>
      <c r="AM177" s="36"/>
      <c r="AN177" s="36"/>
      <c r="AO177" s="36"/>
      <c r="AP177" s="36"/>
    </row>
    <row r="178" spans="3:42" ht="14">
      <c r="C178" s="78" t="e">
        <v>#N/A</v>
      </c>
      <c r="D178" s="60" t="s">
        <v>140</v>
      </c>
      <c r="E178" s="125" t="s">
        <v>141</v>
      </c>
      <c r="F178" s="124">
        <v>2</v>
      </c>
      <c r="G178" s="115" t="s">
        <v>1090</v>
      </c>
      <c r="H178" s="18" t="s">
        <v>617</v>
      </c>
      <c r="I178" s="18" t="s">
        <v>59</v>
      </c>
      <c r="J178" s="19" t="s">
        <v>454</v>
      </c>
      <c r="K178" s="99">
        <v>59225</v>
      </c>
      <c r="L178" s="97">
        <f>INDEX(Table1[Production],MATCH(rrcworking[[#This Row],[RRC ID Number]],Table1[RRC Identifier],0))</f>
        <v>0</v>
      </c>
      <c r="M178" s="29">
        <f>INDEX(Table1[Formation Production],MATCH(rrcworking[[#This Row],[RRC ID Number]],Table1[RRC Identifier],0))</f>
        <v>0</v>
      </c>
      <c r="N178" s="30">
        <f>INDEX(Table1[On Hand End of Month],MATCH(rrcworking[[#This Row],[RRC ID Number]],Table1[RRC Identifier],0))</f>
        <v>0</v>
      </c>
      <c r="O178" s="102" t="b">
        <f t="shared" si="5"/>
        <v>1</v>
      </c>
      <c r="Q178" s="122">
        <f>rrcworking[[#This Row],[Last Month Closing Stock]]</f>
        <v>0</v>
      </c>
      <c r="R178">
        <f>rrcworking[[#This Row],[Opening Oil Stock]]</f>
        <v>0</v>
      </c>
      <c r="S178" s="133">
        <f>IF(ISERROR(INDEX(Table2[OIL],MATCH(rrcworking[[#This Row],[Magnum Wolfpak '#]],Table2[Rox Wolf'#],0))),0,INDEX(Table2[OIL],MATCH(rrcworking[[#This Row],[Magnum Wolfpak '#]],Table2[Rox Wolf'#],0)))</f>
        <v>0</v>
      </c>
      <c r="T178" s="34">
        <f>rrcworking[[#This Row],[Closing Stock (Oil)]]+rrcworking[[#This Row],[Sales/Dispostion]]-rrcworking[[#This Row],[Opening Oil Stock]]</f>
        <v>0</v>
      </c>
      <c r="U178" s="108">
        <f>rrcworking[[#This Row],[Gauge Sheet Prod Volume (oil)]]-rrcworking[[#This Row],[Oil Production]]</f>
        <v>0</v>
      </c>
      <c r="V178" s="133">
        <f>IF(ISERROR(INDEX(Table2[GAS],MATCH(rrcworking[[#This Row],[Magnum Wolfpak '#]],Table2[Rox Wolf'#],0))),0,INDEX(Table2[GAS],MATCH(rrcworking[[#This Row],[Magnum Wolfpak '#]],Table2[Rox Wolf'#],0)))</f>
        <v>0</v>
      </c>
      <c r="W178" s="58"/>
      <c r="X178" s="58"/>
      <c r="Y178" s="133">
        <f>IF(ISERROR(INDEX(Table2[LEASE USE],MATCH(rrcworking[[#This Row],[Magnum Wolfpak '#]],Table2[Rox Wolf'#],0))),0,INDEX(Table2[LEASE USE],MATCH(rrcworking[[#This Row],[Magnum Wolfpak '#]],Table2[Rox Wolf'#],0)))</f>
        <v>0</v>
      </c>
      <c r="Z178" s="133"/>
      <c r="AA178" s="56">
        <f>rrcworking[[#This Row],[Gas Sales Statement Volume (MCF)]]+rrcworking[[#This Row],[Lease Use (MCF)]]+rrcworking[[#This Row],[Flared Gas]]</f>
        <v>0</v>
      </c>
      <c r="AB178" s="36"/>
      <c r="AC178" s="36"/>
      <c r="AD178" s="175">
        <f>COUNTIF(FilterList,rrcworking[[#This Row],[Magnum Wolfpak '#]])</f>
        <v>0</v>
      </c>
      <c r="AE178" s="172"/>
      <c r="AF178" s="173"/>
      <c r="AG178" s="36"/>
      <c r="AH178" s="36"/>
      <c r="AI178" s="36"/>
      <c r="AJ178" s="36"/>
      <c r="AK178" s="36"/>
      <c r="AL178" s="36"/>
      <c r="AM178" s="36"/>
      <c r="AN178" s="36"/>
      <c r="AO178" s="36"/>
      <c r="AP178" s="36"/>
    </row>
    <row r="179" spans="3:42" ht="14">
      <c r="C179" s="78" t="e">
        <v>#N/A</v>
      </c>
      <c r="D179" s="60" t="s">
        <v>138</v>
      </c>
      <c r="E179" s="125" t="s">
        <v>139</v>
      </c>
      <c r="F179" s="124">
        <v>1</v>
      </c>
      <c r="G179" s="115" t="s">
        <v>1090</v>
      </c>
      <c r="H179" s="18" t="s">
        <v>617</v>
      </c>
      <c r="I179" s="18" t="s">
        <v>59</v>
      </c>
      <c r="J179" s="19" t="s">
        <v>452</v>
      </c>
      <c r="K179" s="99">
        <v>138470</v>
      </c>
      <c r="L179" s="97">
        <f>INDEX(Table1[Production],MATCH(rrcworking[[#This Row],[RRC ID Number]],Table1[RRC Identifier],0))</f>
        <v>0</v>
      </c>
      <c r="M179" s="29">
        <f>INDEX(Table1[Formation Production],MATCH(rrcworking[[#This Row],[RRC ID Number]],Table1[RRC Identifier],0))</f>
        <v>0</v>
      </c>
      <c r="N179" s="30">
        <f>INDEX(Table1[On Hand End of Month],MATCH(rrcworking[[#This Row],[RRC ID Number]],Table1[RRC Identifier],0))</f>
        <v>0</v>
      </c>
      <c r="O179" s="102" t="b">
        <f t="shared" si="5"/>
        <v>1</v>
      </c>
      <c r="Q179" s="122">
        <f>rrcworking[[#This Row],[Last Month Closing Stock]]</f>
        <v>0</v>
      </c>
      <c r="R179">
        <f>rrcworking[[#This Row],[Opening Oil Stock]]</f>
        <v>0</v>
      </c>
      <c r="S179" s="133">
        <f>IF(ISERROR(INDEX(Table2[OIL],MATCH(rrcworking[[#This Row],[Magnum Wolfpak '#]],Table2[Rox Wolf'#],0))),0,INDEX(Table2[OIL],MATCH(rrcworking[[#This Row],[Magnum Wolfpak '#]],Table2[Rox Wolf'#],0)))</f>
        <v>0</v>
      </c>
      <c r="T179" s="34">
        <f>rrcworking[[#This Row],[Closing Stock (Oil)]]+rrcworking[[#This Row],[Sales/Dispostion]]-rrcworking[[#This Row],[Opening Oil Stock]]</f>
        <v>0</v>
      </c>
      <c r="U179" s="108">
        <f>rrcworking[[#This Row],[Gauge Sheet Prod Volume (oil)]]-rrcworking[[#This Row],[Oil Production]]</f>
        <v>0</v>
      </c>
      <c r="V179" s="133">
        <f>IF(ISERROR(INDEX(Table2[GAS],MATCH(rrcworking[[#This Row],[Magnum Wolfpak '#]],Table2[Rox Wolf'#],0))),0,INDEX(Table2[GAS],MATCH(rrcworking[[#This Row],[Magnum Wolfpak '#]],Table2[Rox Wolf'#],0)))</f>
        <v>0</v>
      </c>
      <c r="W179" s="58"/>
      <c r="X179" s="58"/>
      <c r="Y179" s="133">
        <f>IF(ISERROR(INDEX(Table2[LEASE USE],MATCH(rrcworking[[#This Row],[Magnum Wolfpak '#]],Table2[Rox Wolf'#],0))),0,INDEX(Table2[LEASE USE],MATCH(rrcworking[[#This Row],[Magnum Wolfpak '#]],Table2[Rox Wolf'#],0)))</f>
        <v>0</v>
      </c>
      <c r="Z179" s="133"/>
      <c r="AA179" s="56">
        <f>rrcworking[[#This Row],[Gas Sales Statement Volume (MCF)]]+rrcworking[[#This Row],[Lease Use (MCF)]]+rrcworking[[#This Row],[Flared Gas]]</f>
        <v>0</v>
      </c>
      <c r="AB179" s="36"/>
      <c r="AC179" s="36"/>
      <c r="AD179" s="175">
        <f>COUNTIF(FilterList,rrcworking[[#This Row],[Magnum Wolfpak '#]])</f>
        <v>0</v>
      </c>
      <c r="AE179" s="172"/>
      <c r="AF179" s="173"/>
      <c r="AG179" s="36"/>
      <c r="AH179" s="36"/>
      <c r="AI179" s="36"/>
      <c r="AJ179" s="36"/>
      <c r="AK179" s="36"/>
      <c r="AL179" s="36"/>
      <c r="AM179" s="36"/>
      <c r="AN179" s="36"/>
      <c r="AO179" s="36"/>
      <c r="AP179" s="36"/>
    </row>
    <row r="180" spans="3:42" ht="112">
      <c r="C180" s="78">
        <v>99270</v>
      </c>
      <c r="D180" s="60" t="s">
        <v>147</v>
      </c>
      <c r="E180" s="125" t="s">
        <v>148</v>
      </c>
      <c r="F180" s="124">
        <v>1</v>
      </c>
      <c r="G180" s="115" t="s">
        <v>1090</v>
      </c>
      <c r="H180" s="18" t="s">
        <v>618</v>
      </c>
      <c r="I180" s="18" t="s">
        <v>59</v>
      </c>
      <c r="J180" s="19" t="s">
        <v>458</v>
      </c>
      <c r="K180" s="99">
        <v>280236</v>
      </c>
      <c r="L180" s="97">
        <f>INDEX(Table1[Production],MATCH(rrcworking[[#This Row],[RRC ID Number]],Table1[RRC Identifier],0))</f>
        <v>0</v>
      </c>
      <c r="M180" s="29">
        <f>INDEX(Table1[Formation Production],MATCH(rrcworking[[#This Row],[RRC ID Number]],Table1[RRC Identifier],0))</f>
        <v>0</v>
      </c>
      <c r="N180" s="30">
        <f>INDEX(Table1[On Hand End of Month],MATCH(rrcworking[[#This Row],[RRC ID Number]],Table1[RRC Identifier],0))</f>
        <v>218</v>
      </c>
      <c r="O180" s="102" t="b">
        <f t="shared" si="5"/>
        <v>1</v>
      </c>
      <c r="P180">
        <v>580</v>
      </c>
      <c r="Q180" s="122">
        <f>rrcworking[[#This Row],[Last Month Closing Stock]]</f>
        <v>218</v>
      </c>
      <c r="R180">
        <v>798</v>
      </c>
      <c r="S180" s="133">
        <f>IF(ISERROR(INDEX(Table2[OIL],MATCH(rrcworking[[#This Row],[Magnum Wolfpak '#]],Table2[Rox Wolf'#],0))),0,INDEX(Table2[OIL],MATCH(rrcworking[[#This Row],[Magnum Wolfpak '#]],Table2[Rox Wolf'#],0)))</f>
        <v>0</v>
      </c>
      <c r="T180" s="34">
        <f>rrcworking[[#This Row],[Closing Stock (Oil)]]+rrcworking[[#This Row],[Sales/Dispostion]]-rrcworking[[#This Row],[Opening Oil Stock]]</f>
        <v>580</v>
      </c>
      <c r="U180" s="108">
        <f>rrcworking[[#This Row],[Gauge Sheet Prod Volume (oil)]]-rrcworking[[#This Row],[Oil Production]]</f>
        <v>0</v>
      </c>
      <c r="V180" s="133">
        <f>IF(ISERROR(INDEX(Table2[GAS],MATCH(rrcworking[[#This Row],[Magnum Wolfpak '#]],Table2[Rox Wolf'#],0))),0,INDEX(Table2[GAS],MATCH(rrcworking[[#This Row],[Magnum Wolfpak '#]],Table2[Rox Wolf'#],0)))</f>
        <v>29823</v>
      </c>
      <c r="W180" s="82"/>
      <c r="X180" s="58">
        <v>21</v>
      </c>
      <c r="Y180" s="133">
        <f>IF(ISERROR(INDEX(Table2[LEASE USE],MATCH(rrcworking[[#This Row],[Magnum Wolfpak '#]],Table2[Rox Wolf'#],0))),0,INDEX(Table2[LEASE USE],MATCH(rrcworking[[#This Row],[Magnum Wolfpak '#]],Table2[Rox Wolf'#],0)))</f>
        <v>294</v>
      </c>
      <c r="Z180" s="133"/>
      <c r="AA180" s="56">
        <f>rrcworking[[#This Row],[Gas Sales Statement Volume (MCF)]]+rrcworking[[#This Row],[Lease Use (MCF)]]+rrcworking[[#This Row],[Flared Gas]]</f>
        <v>30117</v>
      </c>
      <c r="AB180" s="36" t="s">
        <v>1309</v>
      </c>
      <c r="AC180" s="36"/>
      <c r="AD180" s="175">
        <f>COUNTIF(FilterList,rrcworking[[#This Row],[Magnum Wolfpak '#]])</f>
        <v>0</v>
      </c>
      <c r="AE180" s="172"/>
      <c r="AF180" s="173"/>
      <c r="AG180" s="36"/>
      <c r="AH180" s="173"/>
      <c r="AI180" s="36">
        <v>2</v>
      </c>
      <c r="AJ180" s="36" t="s">
        <v>1139</v>
      </c>
      <c r="AK180" s="36" t="s">
        <v>1139</v>
      </c>
      <c r="AL180" s="36" t="s">
        <v>1181</v>
      </c>
      <c r="AM180" s="36" t="s">
        <v>1139</v>
      </c>
      <c r="AN180" s="36" t="s">
        <v>1176</v>
      </c>
      <c r="AO180" s="36" t="s">
        <v>1222</v>
      </c>
      <c r="AP180" s="36"/>
    </row>
    <row r="181" spans="3:42" ht="28">
      <c r="C181" s="78">
        <v>99247</v>
      </c>
      <c r="D181" s="60" t="s">
        <v>143</v>
      </c>
      <c r="E181" s="125" t="s">
        <v>144</v>
      </c>
      <c r="F181" s="124">
        <v>0</v>
      </c>
      <c r="G181" s="115" t="s">
        <v>1090</v>
      </c>
      <c r="H181" s="18" t="s">
        <v>617</v>
      </c>
      <c r="I181" s="18" t="s">
        <v>2</v>
      </c>
      <c r="J181" s="19" t="s">
        <v>456</v>
      </c>
      <c r="K181" s="99">
        <v>10230</v>
      </c>
      <c r="L181" s="97">
        <f>INDEX(Table1[Production],MATCH(rrcworking[[#This Row],[RRC ID Number]],Table1[RRC Identifier],0))</f>
        <v>74</v>
      </c>
      <c r="M181" s="29">
        <f>INDEX(Table1[Formation Production],MATCH(rrcworking[[#This Row],[RRC ID Number]],Table1[RRC Identifier],0))</f>
        <v>0</v>
      </c>
      <c r="N181" s="30">
        <f>INDEX(Table1[On Hand End of Month],MATCH(rrcworking[[#This Row],[RRC ID Number]],Table1[RRC Identifier],0))</f>
        <v>251</v>
      </c>
      <c r="O181" s="102" t="b">
        <f t="shared" si="5"/>
        <v>0</v>
      </c>
      <c r="P181">
        <v>58</v>
      </c>
      <c r="Q181" s="122">
        <f>rrcworking[[#This Row],[Last Month Closing Stock]]</f>
        <v>251</v>
      </c>
      <c r="R181">
        <v>299</v>
      </c>
      <c r="S181" s="133">
        <f>IF(ISERROR(INDEX(Table2[OIL],MATCH(rrcworking[[#This Row],[Magnum Wolfpak '#]],Table2[Rox Wolf'#],0))),0,INDEX(Table2[OIL],MATCH(rrcworking[[#This Row],[Magnum Wolfpak '#]],Table2[Rox Wolf'#],0)))</f>
        <v>0</v>
      </c>
      <c r="T181" s="34">
        <f>rrcworking[[#This Row],[Closing Stock (Oil)]]+rrcworking[[#This Row],[Sales/Dispostion]]-rrcworking[[#This Row],[Opening Oil Stock]]</f>
        <v>48</v>
      </c>
      <c r="U181" s="108">
        <f>rrcworking[[#This Row],[Gauge Sheet Prod Volume (oil)]]-rrcworking[[#This Row],[Oil Production]]</f>
        <v>10</v>
      </c>
      <c r="V181" s="133">
        <f>IF(ISERROR(INDEX(Table2[GAS],MATCH(rrcworking[[#This Row],[Magnum Wolfpak '#]],Table2[Rox Wolf'#],0))),0,INDEX(Table2[GAS],MATCH(rrcworking[[#This Row],[Magnum Wolfpak '#]],Table2[Rox Wolf'#],0)))</f>
        <v>0</v>
      </c>
      <c r="W181" s="58"/>
      <c r="X181" s="58"/>
      <c r="Y181" s="133">
        <f>IF(ISERROR(INDEX(Table2[LEASE USE],MATCH(rrcworking[[#This Row],[Magnum Wolfpak '#]],Table2[Rox Wolf'#],0))),0,INDEX(Table2[LEASE USE],MATCH(rrcworking[[#This Row],[Magnum Wolfpak '#]],Table2[Rox Wolf'#],0)))</f>
        <v>0</v>
      </c>
      <c r="Z181" s="133"/>
      <c r="AA181" s="56">
        <f>rrcworking[[#This Row],[Gas Sales Statement Volume (MCF)]]+rrcworking[[#This Row],[Lease Use (MCF)]]+rrcworking[[#This Row],[Flared Gas]]</f>
        <v>0</v>
      </c>
      <c r="AB181" s="36"/>
      <c r="AC181" s="36"/>
      <c r="AD181" s="175">
        <f>COUNTIF(FilterList,rrcworking[[#This Row],[Magnum Wolfpak '#]])</f>
        <v>1</v>
      </c>
      <c r="AE181" s="172"/>
      <c r="AF181" s="173"/>
      <c r="AG181" s="36"/>
      <c r="AH181" s="173"/>
      <c r="AI181" s="36">
        <v>2</v>
      </c>
      <c r="AJ181" s="36" t="s">
        <v>1139</v>
      </c>
      <c r="AK181" s="36" t="s">
        <v>1165</v>
      </c>
      <c r="AL181" s="36" t="s">
        <v>1196</v>
      </c>
      <c r="AM181" s="36" t="s">
        <v>1139</v>
      </c>
      <c r="AN181" s="36" t="s">
        <v>1171</v>
      </c>
      <c r="AO181" s="36" t="s">
        <v>1223</v>
      </c>
      <c r="AP181" s="36" t="s">
        <v>1244</v>
      </c>
    </row>
    <row r="182" spans="3:42" ht="56">
      <c r="C182" s="78">
        <v>98983</v>
      </c>
      <c r="D182" s="60" t="s">
        <v>392</v>
      </c>
      <c r="E182" s="125" t="s">
        <v>393</v>
      </c>
      <c r="F182" s="124">
        <v>0</v>
      </c>
      <c r="G182" s="115" t="s">
        <v>1090</v>
      </c>
      <c r="H182" s="21" t="s">
        <v>619</v>
      </c>
      <c r="I182" s="21" t="s">
        <v>2</v>
      </c>
      <c r="J182" s="19" t="s">
        <v>601</v>
      </c>
      <c r="K182" s="99">
        <v>12360</v>
      </c>
      <c r="L182" s="97">
        <f>INDEX(Table1[Production],MATCH(rrcworking[[#This Row],[RRC ID Number]],Table1[RRC Identifier],0))</f>
        <v>0</v>
      </c>
      <c r="M182" s="29">
        <f>INDEX(Table1[Formation Production],MATCH(rrcworking[[#This Row],[RRC ID Number]],Table1[RRC Identifier],0))</f>
        <v>0</v>
      </c>
      <c r="N182" s="30">
        <f>INDEX(Table1[On Hand End of Month],MATCH(rrcworking[[#This Row],[RRC ID Number]],Table1[RRC Identifier],0))</f>
        <v>63</v>
      </c>
      <c r="O182" s="102" t="b">
        <f t="shared" si="5"/>
        <v>1</v>
      </c>
      <c r="P182">
        <v>0</v>
      </c>
      <c r="Q182" s="122">
        <f>rrcworking[[#This Row],[Last Month Closing Stock]]</f>
        <v>63</v>
      </c>
      <c r="R182">
        <v>63</v>
      </c>
      <c r="S182" s="133">
        <f>IF(ISERROR(INDEX(Table2[OIL],MATCH(rrcworking[[#This Row],[Magnum Wolfpak '#]],Table2[Rox Wolf'#],0))),0,INDEX(Table2[OIL],MATCH(rrcworking[[#This Row],[Magnum Wolfpak '#]],Table2[Rox Wolf'#],0)))</f>
        <v>0</v>
      </c>
      <c r="T182" s="34">
        <f>rrcworking[[#This Row],[Closing Stock (Oil)]]+rrcworking[[#This Row],[Sales/Dispostion]]-rrcworking[[#This Row],[Opening Oil Stock]]</f>
        <v>0</v>
      </c>
      <c r="U182" s="108">
        <f>rrcworking[[#This Row],[Gauge Sheet Prod Volume (oil)]]-rrcworking[[#This Row],[Oil Production]]</f>
        <v>0</v>
      </c>
      <c r="V182" s="133">
        <f>IF(ISERROR(INDEX(Table2[GAS],MATCH(rrcworking[[#This Row],[Magnum Wolfpak '#]],Table2[Rox Wolf'#],0))),0,INDEX(Table2[GAS],MATCH(rrcworking[[#This Row],[Magnum Wolfpak '#]],Table2[Rox Wolf'#],0)))</f>
        <v>0</v>
      </c>
      <c r="W182" s="58"/>
      <c r="X182" s="58"/>
      <c r="Y182" s="133">
        <f>IF(ISERROR(INDEX(Table2[LEASE USE],MATCH(rrcworking[[#This Row],[Magnum Wolfpak '#]],Table2[Rox Wolf'#],0))),0,INDEX(Table2[LEASE USE],MATCH(rrcworking[[#This Row],[Magnum Wolfpak '#]],Table2[Rox Wolf'#],0)))</f>
        <v>0</v>
      </c>
      <c r="Z182" s="133"/>
      <c r="AA182" s="56">
        <f>rrcworking[[#This Row],[Gas Sales Statement Volume (MCF)]]+rrcworking[[#This Row],[Lease Use (MCF)]]+rrcworking[[#This Row],[Flared Gas]]</f>
        <v>0</v>
      </c>
      <c r="AB182" s="36"/>
      <c r="AC182" s="36" t="s">
        <v>1108</v>
      </c>
      <c r="AD182" s="175">
        <f>COUNTIF(FilterList,rrcworking[[#This Row],[Magnum Wolfpak '#]])</f>
        <v>0</v>
      </c>
      <c r="AE182" s="172"/>
      <c r="AF182" s="173"/>
      <c r="AG182" s="36"/>
      <c r="AH182" s="36"/>
      <c r="AI182" s="36">
        <v>2</v>
      </c>
      <c r="AJ182" s="36" t="s">
        <v>1165</v>
      </c>
      <c r="AK182" s="36" t="s">
        <v>1165</v>
      </c>
      <c r="AL182" s="36" t="s">
        <v>1196</v>
      </c>
      <c r="AM182" s="36" t="s">
        <v>1165</v>
      </c>
      <c r="AN182" s="36" t="s">
        <v>1171</v>
      </c>
      <c r="AO182" s="36" t="s">
        <v>1236</v>
      </c>
      <c r="AP182" s="36"/>
    </row>
    <row r="183" spans="3:42" ht="28">
      <c r="C183" s="78">
        <v>99161</v>
      </c>
      <c r="D183" s="60" t="s">
        <v>219</v>
      </c>
      <c r="E183" s="125" t="s">
        <v>220</v>
      </c>
      <c r="F183" s="124">
        <v>6</v>
      </c>
      <c r="G183" s="115" t="s">
        <v>1090</v>
      </c>
      <c r="H183" s="18" t="s">
        <v>618</v>
      </c>
      <c r="I183" s="202" t="s">
        <v>2</v>
      </c>
      <c r="J183" s="187" t="s">
        <v>1248</v>
      </c>
      <c r="K183" s="99">
        <v>2817</v>
      </c>
      <c r="L183" s="97">
        <f>INDEX(Table1[Production],MATCH(rrcworking[[#This Row],[RRC ID Number]],Table1[RRC Identifier],0))</f>
        <v>177</v>
      </c>
      <c r="M183" s="29">
        <f>INDEX(Table1[Formation Production],MATCH(rrcworking[[#This Row],[RRC ID Number]],Table1[RRC Identifier],0))</f>
        <v>88</v>
      </c>
      <c r="N183" s="30">
        <f>INDEX(Table1[On Hand End of Month],MATCH(rrcworking[[#This Row],[RRC ID Number]],Table1[RRC Identifier],0))</f>
        <v>167</v>
      </c>
      <c r="O183" s="102" t="b">
        <f t="shared" si="5"/>
        <v>0</v>
      </c>
      <c r="P183">
        <v>266</v>
      </c>
      <c r="Q183" s="122">
        <f>rrcworking[[#This Row],[Last Month Closing Stock]]</f>
        <v>167</v>
      </c>
      <c r="R183">
        <v>433</v>
      </c>
      <c r="S183" s="133">
        <f>IF(ISERROR(INDEX(Table2[OIL],MATCH(rrcworking[[#This Row],[Magnum Wolfpak '#]],Table2[Rox Wolf'#],0))),0,INDEX(Table2[OIL],MATCH(rrcworking[[#This Row],[Magnum Wolfpak '#]],Table2[Rox Wolf'#],0)))</f>
        <v>0</v>
      </c>
      <c r="T183" s="34">
        <f>rrcworking[[#This Row],[Closing Stock (Oil)]]+rrcworking[[#This Row],[Sales/Dispostion]]-rrcworking[[#This Row],[Opening Oil Stock]]</f>
        <v>266</v>
      </c>
      <c r="U183" s="108">
        <f>rrcworking[[#This Row],[Gauge Sheet Prod Volume (oil)]]-rrcworking[[#This Row],[Oil Production]]</f>
        <v>0</v>
      </c>
      <c r="V183" s="133">
        <f>IF(ISERROR(INDEX(Table2[GAS],MATCH(rrcworking[[#This Row],[Magnum Wolfpak '#]],Table2[Rox Wolf'#],0))),0,INDEX(Table2[GAS],MATCH(rrcworking[[#This Row],[Magnum Wolfpak '#]],Table2[Rox Wolf'#],0)))</f>
        <v>0</v>
      </c>
      <c r="W183" s="58"/>
      <c r="X183" s="58">
        <v>4</v>
      </c>
      <c r="Y183" s="133">
        <f>IF(ISERROR(INDEX(Table2[LEASE USE],MATCH(rrcworking[[#This Row],[Magnum Wolfpak '#]],Table2[Rox Wolf'#],0))),0,INDEX(Table2[LEASE USE],MATCH(rrcworking[[#This Row],[Magnum Wolfpak '#]],Table2[Rox Wolf'#],0)))</f>
        <v>124</v>
      </c>
      <c r="Z183" s="133"/>
      <c r="AA183" s="56">
        <f>rrcworking[[#This Row],[Gas Sales Statement Volume (MCF)]]+rrcworking[[#This Row],[Lease Use (MCF)]]+rrcworking[[#This Row],[Flared Gas]]</f>
        <v>124</v>
      </c>
      <c r="AB183" s="36"/>
      <c r="AC183" s="36" t="s">
        <v>1247</v>
      </c>
      <c r="AD183" s="175">
        <f>COUNTIF(FilterList,rrcworking[[#This Row],[Magnum Wolfpak '#]])</f>
        <v>0</v>
      </c>
      <c r="AE183" s="172"/>
      <c r="AF183" s="173"/>
      <c r="AG183" s="36"/>
      <c r="AH183" s="173"/>
      <c r="AI183" s="36">
        <v>2</v>
      </c>
      <c r="AJ183" s="36" t="s">
        <v>1165</v>
      </c>
      <c r="AK183" s="36" t="s">
        <v>1165</v>
      </c>
      <c r="AL183" s="36" t="s">
        <v>1224</v>
      </c>
      <c r="AM183" s="36" t="s">
        <v>1165</v>
      </c>
      <c r="AN183" s="36" t="s">
        <v>1225</v>
      </c>
      <c r="AO183" s="36" t="s">
        <v>1235</v>
      </c>
      <c r="AP183" s="36" t="s">
        <v>1226</v>
      </c>
    </row>
    <row r="184" spans="3:42" ht="98">
      <c r="C184" s="80">
        <v>48001</v>
      </c>
      <c r="D184" s="94" t="s">
        <v>245</v>
      </c>
      <c r="E184" s="126" t="s">
        <v>246</v>
      </c>
      <c r="F184" s="123">
        <v>0</v>
      </c>
      <c r="G184" s="116" t="s">
        <v>1090</v>
      </c>
      <c r="H184" s="120" t="s">
        <v>618</v>
      </c>
      <c r="I184" s="120" t="s">
        <v>2</v>
      </c>
      <c r="J184" s="81" t="s">
        <v>511</v>
      </c>
      <c r="K184" s="100">
        <v>24861</v>
      </c>
      <c r="L184" s="95">
        <f>INDEX(Table1[Production],MATCH(rrcworking[[#This Row],[RRC ID Number]],Table1[RRC Identifier],0))</f>
        <v>0</v>
      </c>
      <c r="M184" s="95">
        <f>INDEX(Table1[Formation Production],MATCH(rrcworking[[#This Row],[RRC ID Number]],Table1[RRC Identifier],0))</f>
        <v>211</v>
      </c>
      <c r="N184" s="95">
        <f>INDEX(Table1[On Hand End of Month],MATCH(rrcworking[[#This Row],[RRC ID Number]],Table1[RRC Identifier],0))</f>
        <v>45</v>
      </c>
      <c r="O184" s="103" t="b">
        <f t="shared" si="5"/>
        <v>0</v>
      </c>
      <c r="P184">
        <v>0</v>
      </c>
      <c r="Q184" s="122">
        <f>rrcworking[[#This Row],[Last Month Closing Stock]]</f>
        <v>45</v>
      </c>
      <c r="R184">
        <v>45</v>
      </c>
      <c r="S184" s="133">
        <f>IF(ISERROR(INDEX(Table2[OIL],MATCH(rrcworking[[#This Row],[Magnum Wolfpak '#]],Table2[Rox Wolf'#],0))),0,INDEX(Table2[OIL],MATCH(rrcworking[[#This Row],[Magnum Wolfpak '#]],Table2[Rox Wolf'#],0)))</f>
        <v>0</v>
      </c>
      <c r="T184" s="96">
        <f>rrcworking[[#This Row],[Closing Stock (Oil)]]+rrcworking[[#This Row],[Sales/Dispostion]]-rrcworking[[#This Row],[Opening Oil Stock]]</f>
        <v>0</v>
      </c>
      <c r="U184" s="109">
        <f>rrcworking[[#This Row],[Gauge Sheet Prod Volume (oil)]]-rrcworking[[#This Row],[Oil Production]]</f>
        <v>0</v>
      </c>
      <c r="V184" s="133">
        <f>IF(ISERROR(INDEX(Table2[GAS],MATCH(rrcworking[[#This Row],[Magnum Wolfpak '#]],Table2[Rox Wolf'#],0))),0,INDEX(Table2[GAS],MATCH(rrcworking[[#This Row],[Magnum Wolfpak '#]],Table2[Rox Wolf'#],0)))</f>
        <v>196</v>
      </c>
      <c r="W184" s="82"/>
      <c r="X184" s="82">
        <v>1</v>
      </c>
      <c r="Y184" s="133">
        <f>IF(ISERROR(INDEX(Table2[LEASE USE],MATCH(rrcworking[[#This Row],[Magnum Wolfpak '#]],Table2[Rox Wolf'#],0))),0,INDEX(Table2[LEASE USE],MATCH(rrcworking[[#This Row],[Magnum Wolfpak '#]],Table2[Rox Wolf'#],0)))</f>
        <v>31</v>
      </c>
      <c r="Z184" s="133"/>
      <c r="AA184" s="56">
        <f>rrcworking[[#This Row],[Gas Sales Statement Volume (MCF)]]+rrcworking[[#This Row],[Lease Use (MCF)]]+rrcworking[[#This Row],[Flared Gas]]</f>
        <v>227</v>
      </c>
      <c r="AB184" s="83"/>
      <c r="AC184" s="36" t="s">
        <v>1270</v>
      </c>
      <c r="AD184" s="176">
        <f>COUNTIF(FilterList,rrcworking[[#This Row],[Magnum Wolfpak '#]])</f>
        <v>0</v>
      </c>
      <c r="AE184" s="172"/>
      <c r="AF184" s="173"/>
      <c r="AG184" s="36"/>
      <c r="AH184" s="36"/>
      <c r="AI184" s="36">
        <v>1</v>
      </c>
      <c r="AJ184" s="36" t="s">
        <v>1165</v>
      </c>
      <c r="AK184" s="36" t="s">
        <v>1165</v>
      </c>
      <c r="AL184" s="36" t="s">
        <v>1265</v>
      </c>
      <c r="AM184" s="36" t="s">
        <v>1139</v>
      </c>
      <c r="AN184" s="36" t="s">
        <v>1266</v>
      </c>
      <c r="AO184" s="36" t="s">
        <v>1214</v>
      </c>
      <c r="AP184" s="36" t="s">
        <v>1267</v>
      </c>
    </row>
    <row r="185" spans="3:42" ht="14">
      <c r="C185" s="78" t="e">
        <v>#N/A</v>
      </c>
      <c r="D185" s="60" t="s">
        <v>172</v>
      </c>
      <c r="E185" s="125" t="s">
        <v>173</v>
      </c>
      <c r="F185" s="124">
        <v>0</v>
      </c>
      <c r="G185" s="115" t="s">
        <v>1090</v>
      </c>
      <c r="H185" s="18" t="s">
        <v>618</v>
      </c>
      <c r="I185" s="18" t="s">
        <v>2</v>
      </c>
      <c r="J185" s="19" t="s">
        <v>473</v>
      </c>
      <c r="K185" s="99">
        <v>15252</v>
      </c>
      <c r="L185" s="97">
        <f>INDEX(Table1[Production],MATCH(rrcworking[[#This Row],[RRC ID Number]],Table1[RRC Identifier],0))</f>
        <v>0</v>
      </c>
      <c r="M185" s="29">
        <f>INDEX(Table1[Formation Production],MATCH(rrcworking[[#This Row],[RRC ID Number]],Table1[RRC Identifier],0))</f>
        <v>0</v>
      </c>
      <c r="N185" s="30">
        <f>INDEX(Table1[On Hand End of Month],MATCH(rrcworking[[#This Row],[RRC ID Number]],Table1[RRC Identifier],0))</f>
        <v>0</v>
      </c>
      <c r="O185" s="102" t="b">
        <f t="shared" si="5"/>
        <v>1</v>
      </c>
      <c r="Q185" s="122">
        <f>rrcworking[[#This Row],[Last Month Closing Stock]]</f>
        <v>0</v>
      </c>
      <c r="R185">
        <f>rrcworking[[#This Row],[Opening Oil Stock]]</f>
        <v>0</v>
      </c>
      <c r="S185" s="133">
        <f>IF(ISERROR(INDEX(Table2[OIL],MATCH(rrcworking[[#This Row],[Magnum Wolfpak '#]],Table2[Rox Wolf'#],0))),0,INDEX(Table2[OIL],MATCH(rrcworking[[#This Row],[Magnum Wolfpak '#]],Table2[Rox Wolf'#],0)))</f>
        <v>0</v>
      </c>
      <c r="T185" s="34">
        <f>rrcworking[[#This Row],[Closing Stock (Oil)]]+rrcworking[[#This Row],[Sales/Dispostion]]-rrcworking[[#This Row],[Opening Oil Stock]]</f>
        <v>0</v>
      </c>
      <c r="U185" s="108">
        <f>rrcworking[[#This Row],[Gauge Sheet Prod Volume (oil)]]-rrcworking[[#This Row],[Oil Production]]</f>
        <v>0</v>
      </c>
      <c r="V185" s="133">
        <f>IF(ISERROR(INDEX(Table2[GAS],MATCH(rrcworking[[#This Row],[Magnum Wolfpak '#]],Table2[Rox Wolf'#],0))),0,INDEX(Table2[GAS],MATCH(rrcworking[[#This Row],[Magnum Wolfpak '#]],Table2[Rox Wolf'#],0)))</f>
        <v>0</v>
      </c>
      <c r="W185" s="58"/>
      <c r="X185" s="58"/>
      <c r="Y185" s="133">
        <f>IF(ISERROR(INDEX(Table2[LEASE USE],MATCH(rrcworking[[#This Row],[Magnum Wolfpak '#]],Table2[Rox Wolf'#],0))),0,INDEX(Table2[LEASE USE],MATCH(rrcworking[[#This Row],[Magnum Wolfpak '#]],Table2[Rox Wolf'#],0)))</f>
        <v>0</v>
      </c>
      <c r="Z185" s="133"/>
      <c r="AA185" s="56">
        <f>rrcworking[[#This Row],[Gas Sales Statement Volume (MCF)]]+rrcworking[[#This Row],[Lease Use (MCF)]]+rrcworking[[#This Row],[Flared Gas]]</f>
        <v>0</v>
      </c>
      <c r="AB185" s="36"/>
      <c r="AC185" s="36"/>
      <c r="AD185" s="175">
        <f>COUNTIF(FilterList,rrcworking[[#This Row],[Magnum Wolfpak '#]])</f>
        <v>0</v>
      </c>
      <c r="AE185" s="172"/>
      <c r="AF185" s="173"/>
      <c r="AG185" s="36"/>
      <c r="AH185" s="36"/>
      <c r="AI185" s="36"/>
      <c r="AJ185" s="36"/>
      <c r="AK185" s="36"/>
      <c r="AL185" s="36"/>
      <c r="AM185" s="36"/>
      <c r="AN185" s="36"/>
      <c r="AO185" s="36"/>
      <c r="AP185" s="36"/>
    </row>
    <row r="186" spans="3:42" ht="14">
      <c r="C186" s="78" t="e">
        <v>#N/A</v>
      </c>
      <c r="D186" s="60" t="s">
        <v>368</v>
      </c>
      <c r="E186" s="125" t="s">
        <v>369</v>
      </c>
      <c r="F186" s="124">
        <v>1</v>
      </c>
      <c r="G186" s="115" t="s">
        <v>1090</v>
      </c>
      <c r="H186" s="18" t="s">
        <v>619</v>
      </c>
      <c r="I186" s="18" t="s">
        <v>59</v>
      </c>
      <c r="J186" s="19" t="s">
        <v>587</v>
      </c>
      <c r="K186" s="99">
        <v>120373</v>
      </c>
      <c r="L186" s="97">
        <f>INDEX(Table1[Production],MATCH(rrcworking[[#This Row],[RRC ID Number]],Table1[RRC Identifier],0))</f>
        <v>0</v>
      </c>
      <c r="M186" s="29">
        <f>INDEX(Table1[Formation Production],MATCH(rrcworking[[#This Row],[RRC ID Number]],Table1[RRC Identifier],0))</f>
        <v>0</v>
      </c>
      <c r="N186" s="30">
        <f>INDEX(Table1[On Hand End of Month],MATCH(rrcworking[[#This Row],[RRC ID Number]],Table1[RRC Identifier],0))</f>
        <v>0</v>
      </c>
      <c r="O186" s="102" t="b">
        <f t="shared" si="5"/>
        <v>1</v>
      </c>
      <c r="Q186" s="122">
        <f>rrcworking[[#This Row],[Last Month Closing Stock]]</f>
        <v>0</v>
      </c>
      <c r="R186">
        <f>rrcworking[[#This Row],[Opening Oil Stock]]</f>
        <v>0</v>
      </c>
      <c r="S186" s="133">
        <f>IF(ISERROR(INDEX(Table2[OIL],MATCH(rrcworking[[#This Row],[Magnum Wolfpak '#]],Table2[Rox Wolf'#],0))),0,INDEX(Table2[OIL],MATCH(rrcworking[[#This Row],[Magnum Wolfpak '#]],Table2[Rox Wolf'#],0)))</f>
        <v>0</v>
      </c>
      <c r="T186" s="34">
        <f>rrcworking[[#This Row],[Closing Stock (Oil)]]+rrcworking[[#This Row],[Sales/Dispostion]]-rrcworking[[#This Row],[Opening Oil Stock]]</f>
        <v>0</v>
      </c>
      <c r="U186" s="108">
        <f>rrcworking[[#This Row],[Gauge Sheet Prod Volume (oil)]]-rrcworking[[#This Row],[Oil Production]]</f>
        <v>0</v>
      </c>
      <c r="V186" s="133">
        <f>IF(ISERROR(INDEX(Table2[GAS],MATCH(rrcworking[[#This Row],[Magnum Wolfpak '#]],Table2[Rox Wolf'#],0))),0,INDEX(Table2[GAS],MATCH(rrcworking[[#This Row],[Magnum Wolfpak '#]],Table2[Rox Wolf'#],0)))</f>
        <v>0</v>
      </c>
      <c r="W186" s="58"/>
      <c r="X186" s="58"/>
      <c r="Y186" s="133">
        <f>IF(ISERROR(INDEX(Table2[LEASE USE],MATCH(rrcworking[[#This Row],[Magnum Wolfpak '#]],Table2[Rox Wolf'#],0))),0,INDEX(Table2[LEASE USE],MATCH(rrcworking[[#This Row],[Magnum Wolfpak '#]],Table2[Rox Wolf'#],0)))</f>
        <v>0</v>
      </c>
      <c r="Z186" s="133"/>
      <c r="AA186" s="56">
        <f>rrcworking[[#This Row],[Gas Sales Statement Volume (MCF)]]+rrcworking[[#This Row],[Lease Use (MCF)]]+rrcworking[[#This Row],[Flared Gas]]</f>
        <v>0</v>
      </c>
      <c r="AB186" s="36"/>
      <c r="AC186" s="36"/>
      <c r="AD186" s="175">
        <f>COUNTIF(FilterList,rrcworking[[#This Row],[Magnum Wolfpak '#]])</f>
        <v>0</v>
      </c>
      <c r="AE186" s="172"/>
      <c r="AF186" s="173"/>
      <c r="AG186" s="36"/>
      <c r="AH186" s="36"/>
      <c r="AI186" s="36"/>
      <c r="AJ186" s="36"/>
      <c r="AK186" s="36"/>
      <c r="AL186" s="36"/>
      <c r="AM186" s="36"/>
      <c r="AN186" s="36"/>
      <c r="AO186" s="36"/>
      <c r="AP186" s="36"/>
    </row>
    <row r="187" spans="3:42" ht="56">
      <c r="C187" s="78">
        <v>99305</v>
      </c>
      <c r="D187" s="60" t="s">
        <v>201</v>
      </c>
      <c r="E187" s="125" t="s">
        <v>202</v>
      </c>
      <c r="F187" s="124">
        <v>0</v>
      </c>
      <c r="G187" s="115" t="s">
        <v>1090</v>
      </c>
      <c r="H187" s="18" t="s">
        <v>618</v>
      </c>
      <c r="I187" s="18" t="s">
        <v>2</v>
      </c>
      <c r="J187" s="19" t="s">
        <v>490</v>
      </c>
      <c r="K187" s="99">
        <v>27401</v>
      </c>
      <c r="L187" s="97">
        <f>INDEX(Table1[Production],MATCH(rrcworking[[#This Row],[RRC ID Number]],Table1[RRC Identifier],0))</f>
        <v>0</v>
      </c>
      <c r="M187" s="29">
        <f>INDEX(Table1[Formation Production],MATCH(rrcworking[[#This Row],[RRC ID Number]],Table1[RRC Identifier],0))</f>
        <v>0</v>
      </c>
      <c r="N187" s="30">
        <f>INDEX(Table1[On Hand End of Month],MATCH(rrcworking[[#This Row],[RRC ID Number]],Table1[RRC Identifier],0))</f>
        <v>410</v>
      </c>
      <c r="O187" s="102" t="b">
        <f t="shared" si="5"/>
        <v>1</v>
      </c>
      <c r="P187">
        <v>17</v>
      </c>
      <c r="Q187" s="122">
        <f>rrcworking[[#This Row],[Last Month Closing Stock]]</f>
        <v>410</v>
      </c>
      <c r="R187">
        <v>428</v>
      </c>
      <c r="S187" s="133">
        <f>IF(ISERROR(INDEX(Table2[OIL],MATCH(rrcworking[[#This Row],[Magnum Wolfpak '#]],Table2[Rox Wolf'#],0))),0,INDEX(Table2[OIL],MATCH(rrcworking[[#This Row],[Magnum Wolfpak '#]],Table2[Rox Wolf'#],0)))</f>
        <v>0</v>
      </c>
      <c r="T187" s="34">
        <f>rrcworking[[#This Row],[Closing Stock (Oil)]]+rrcworking[[#This Row],[Sales/Dispostion]]-rrcworking[[#This Row],[Opening Oil Stock]]</f>
        <v>18</v>
      </c>
      <c r="U187" s="108">
        <f>rrcworking[[#This Row],[Gauge Sheet Prod Volume (oil)]]-rrcworking[[#This Row],[Oil Production]]</f>
        <v>-1</v>
      </c>
      <c r="V187" s="133">
        <f>IF(ISERROR(INDEX(Table2[GAS],MATCH(rrcworking[[#This Row],[Magnum Wolfpak '#]],Table2[Rox Wolf'#],0))),0,INDEX(Table2[GAS],MATCH(rrcworking[[#This Row],[Magnum Wolfpak '#]],Table2[Rox Wolf'#],0)))</f>
        <v>0</v>
      </c>
      <c r="W187" s="58"/>
      <c r="X187" s="58"/>
      <c r="Y187" s="133">
        <f>IF(ISERROR(INDEX(Table2[LEASE USE],MATCH(rrcworking[[#This Row],[Magnum Wolfpak '#]],Table2[Rox Wolf'#],0))),0,INDEX(Table2[LEASE USE],MATCH(rrcworking[[#This Row],[Magnum Wolfpak '#]],Table2[Rox Wolf'#],0)))</f>
        <v>0</v>
      </c>
      <c r="Z187" s="133"/>
      <c r="AA187" s="56">
        <f>rrcworking[[#This Row],[Gas Sales Statement Volume (MCF)]]+rrcworking[[#This Row],[Lease Use (MCF)]]+rrcworking[[#This Row],[Flared Gas]]</f>
        <v>0</v>
      </c>
      <c r="AB187" s="36"/>
      <c r="AC187" s="36" t="s">
        <v>1254</v>
      </c>
      <c r="AD187" s="175">
        <f>COUNTIF(FilterList,rrcworking[[#This Row],[Magnum Wolfpak '#]])</f>
        <v>0</v>
      </c>
      <c r="AE187" s="172"/>
      <c r="AF187" s="173"/>
      <c r="AG187" s="36"/>
      <c r="AH187" s="173"/>
      <c r="AI187" s="36">
        <v>3</v>
      </c>
      <c r="AJ187" s="36" t="s">
        <v>1139</v>
      </c>
      <c r="AK187" s="36" t="s">
        <v>1165</v>
      </c>
      <c r="AL187" s="36" t="s">
        <v>1253</v>
      </c>
      <c r="AM187" s="36" t="s">
        <v>1165</v>
      </c>
      <c r="AN187" s="36" t="s">
        <v>1176</v>
      </c>
      <c r="AO187" s="36" t="s">
        <v>1237</v>
      </c>
      <c r="AP187" s="36"/>
    </row>
    <row r="188" spans="3:42" ht="28">
      <c r="C188" s="78">
        <v>99302</v>
      </c>
      <c r="D188" s="60" t="s">
        <v>198</v>
      </c>
      <c r="E188" s="125" t="s">
        <v>199</v>
      </c>
      <c r="F188" s="124">
        <v>0</v>
      </c>
      <c r="G188" s="115" t="s">
        <v>1090</v>
      </c>
      <c r="H188" s="18" t="s">
        <v>618</v>
      </c>
      <c r="I188" s="18" t="s">
        <v>2</v>
      </c>
      <c r="J188" s="19" t="s">
        <v>488</v>
      </c>
      <c r="K188" s="99">
        <v>27495</v>
      </c>
      <c r="L188" s="97">
        <f>INDEX(Table1[Production],MATCH(rrcworking[[#This Row],[RRC ID Number]],Table1[RRC Identifier],0))</f>
        <v>0</v>
      </c>
      <c r="M188" s="29">
        <f>INDEX(Table1[Formation Production],MATCH(rrcworking[[#This Row],[RRC ID Number]],Table1[RRC Identifier],0))</f>
        <v>0</v>
      </c>
      <c r="N188" s="30">
        <f>INDEX(Table1[On Hand End of Month],MATCH(rrcworking[[#This Row],[RRC ID Number]],Table1[RRC Identifier],0))</f>
        <v>250</v>
      </c>
      <c r="O188" s="102" t="b">
        <f t="shared" si="5"/>
        <v>1</v>
      </c>
      <c r="P188">
        <v>2</v>
      </c>
      <c r="Q188" s="122">
        <f>rrcworking[[#This Row],[Last Month Closing Stock]]</f>
        <v>250</v>
      </c>
      <c r="R188">
        <v>252</v>
      </c>
      <c r="S188" s="133">
        <f>IF(ISERROR(INDEX(Table2[OIL],MATCH(rrcworking[[#This Row],[Magnum Wolfpak '#]],Table2[Rox Wolf'#],0))),0,INDEX(Table2[OIL],MATCH(rrcworking[[#This Row],[Magnum Wolfpak '#]],Table2[Rox Wolf'#],0)))</f>
        <v>0</v>
      </c>
      <c r="T188" s="34">
        <f>rrcworking[[#This Row],[Closing Stock (Oil)]]+rrcworking[[#This Row],[Sales/Dispostion]]-rrcworking[[#This Row],[Opening Oil Stock]]</f>
        <v>2</v>
      </c>
      <c r="U188" s="108">
        <f>rrcworking[[#This Row],[Gauge Sheet Prod Volume (oil)]]-rrcworking[[#This Row],[Oil Production]]</f>
        <v>0</v>
      </c>
      <c r="V188" s="133">
        <f>IF(ISERROR(INDEX(Table2[GAS],MATCH(rrcworking[[#This Row],[Magnum Wolfpak '#]],Table2[Rox Wolf'#],0))),0,INDEX(Table2[GAS],MATCH(rrcworking[[#This Row],[Magnum Wolfpak '#]],Table2[Rox Wolf'#],0)))</f>
        <v>0</v>
      </c>
      <c r="W188" s="58"/>
      <c r="X188" s="58"/>
      <c r="Y188" s="133">
        <f>IF(ISERROR(INDEX(Table2[LEASE USE],MATCH(rrcworking[[#This Row],[Magnum Wolfpak '#]],Table2[Rox Wolf'#],0))),0,INDEX(Table2[LEASE USE],MATCH(rrcworking[[#This Row],[Magnum Wolfpak '#]],Table2[Rox Wolf'#],0)))</f>
        <v>0</v>
      </c>
      <c r="Z188" s="133"/>
      <c r="AA188" s="56">
        <f>rrcworking[[#This Row],[Gas Sales Statement Volume (MCF)]]+rrcworking[[#This Row],[Lease Use (MCF)]]+rrcworking[[#This Row],[Flared Gas]]</f>
        <v>0</v>
      </c>
      <c r="AB188" s="36"/>
      <c r="AC188" s="36"/>
      <c r="AD188" s="175">
        <f>COUNTIF(FilterList,rrcworking[[#This Row],[Magnum Wolfpak '#]])</f>
        <v>0</v>
      </c>
      <c r="AE188" s="172"/>
      <c r="AF188" s="173"/>
      <c r="AG188" s="36"/>
      <c r="AH188" s="36"/>
      <c r="AI188" s="36">
        <v>1</v>
      </c>
      <c r="AJ188" s="36" t="s">
        <v>1139</v>
      </c>
      <c r="AK188" s="36" t="s">
        <v>1165</v>
      </c>
      <c r="AL188" s="36" t="s">
        <v>1175</v>
      </c>
      <c r="AM188" s="36" t="s">
        <v>1165</v>
      </c>
      <c r="AN188" s="36" t="s">
        <v>1176</v>
      </c>
      <c r="AO188" s="36" t="s">
        <v>1238</v>
      </c>
      <c r="AP188" s="36" t="s">
        <v>1178</v>
      </c>
    </row>
    <row r="189" spans="3:42" ht="112">
      <c r="C189" s="78">
        <v>99296</v>
      </c>
      <c r="D189" s="60" t="s">
        <v>198</v>
      </c>
      <c r="E189" s="125" t="s">
        <v>200</v>
      </c>
      <c r="F189" s="124">
        <v>0</v>
      </c>
      <c r="G189" s="115" t="s">
        <v>1090</v>
      </c>
      <c r="H189" s="18" t="s">
        <v>618</v>
      </c>
      <c r="I189" s="18" t="s">
        <v>2</v>
      </c>
      <c r="J189" s="19" t="s">
        <v>489</v>
      </c>
      <c r="K189" s="99">
        <v>27499</v>
      </c>
      <c r="L189" s="97">
        <f>INDEX(Table1[Production],MATCH(rrcworking[[#This Row],[RRC ID Number]],Table1[RRC Identifier],0))</f>
        <v>0</v>
      </c>
      <c r="M189" s="29">
        <f>INDEX(Table1[Formation Production],MATCH(rrcworking[[#This Row],[RRC ID Number]],Table1[RRC Identifier],0))</f>
        <v>0</v>
      </c>
      <c r="N189" s="30">
        <f>INDEX(Table1[On Hand End of Month],MATCH(rrcworking[[#This Row],[RRC ID Number]],Table1[RRC Identifier],0))</f>
        <v>297</v>
      </c>
      <c r="O189" s="102" t="b">
        <f t="shared" si="5"/>
        <v>1</v>
      </c>
      <c r="P189">
        <v>15</v>
      </c>
      <c r="Q189" s="122">
        <f>rrcworking[[#This Row],[Last Month Closing Stock]]</f>
        <v>297</v>
      </c>
      <c r="R189">
        <v>312</v>
      </c>
      <c r="S189" s="133">
        <f>IF(ISERROR(INDEX(Table2[OIL],MATCH(rrcworking[[#This Row],[Magnum Wolfpak '#]],Table2[Rox Wolf'#],0))),0,INDEX(Table2[OIL],MATCH(rrcworking[[#This Row],[Magnum Wolfpak '#]],Table2[Rox Wolf'#],0)))</f>
        <v>0</v>
      </c>
      <c r="T189" s="34">
        <f>rrcworking[[#This Row],[Closing Stock (Oil)]]+rrcworking[[#This Row],[Sales/Dispostion]]-rrcworking[[#This Row],[Opening Oil Stock]]</f>
        <v>15</v>
      </c>
      <c r="U189" s="108">
        <f>rrcworking[[#This Row],[Gauge Sheet Prod Volume (oil)]]-rrcworking[[#This Row],[Oil Production]]</f>
        <v>0</v>
      </c>
      <c r="V189" s="133">
        <f>IF(ISERROR(INDEX(Table2[GAS],MATCH(rrcworking[[#This Row],[Magnum Wolfpak '#]],Table2[Rox Wolf'#],0))),0,INDEX(Table2[GAS],MATCH(rrcworking[[#This Row],[Magnum Wolfpak '#]],Table2[Rox Wolf'#],0)))</f>
        <v>0</v>
      </c>
      <c r="W189" s="58"/>
      <c r="X189" s="58"/>
      <c r="Y189" s="133">
        <f>IF(ISERROR(INDEX(Table2[LEASE USE],MATCH(rrcworking[[#This Row],[Magnum Wolfpak '#]],Table2[Rox Wolf'#],0))),0,INDEX(Table2[LEASE USE],MATCH(rrcworking[[#This Row],[Magnum Wolfpak '#]],Table2[Rox Wolf'#],0)))</f>
        <v>0</v>
      </c>
      <c r="Z189" s="133"/>
      <c r="AA189" s="56">
        <f>rrcworking[[#This Row],[Gas Sales Statement Volume (MCF)]]+rrcworking[[#This Row],[Lease Use (MCF)]]+rrcworking[[#This Row],[Flared Gas]]</f>
        <v>0</v>
      </c>
      <c r="AB189" s="36"/>
      <c r="AC189" s="36" t="s">
        <v>1246</v>
      </c>
      <c r="AD189" s="175">
        <f>COUNTIF(FilterList,rrcworking[[#This Row],[Magnum Wolfpak '#]])</f>
        <v>0</v>
      </c>
      <c r="AE189" s="172"/>
      <c r="AF189" s="173"/>
      <c r="AG189" s="36"/>
      <c r="AH189" s="173"/>
      <c r="AI189" s="36">
        <v>3</v>
      </c>
      <c r="AJ189" s="36" t="s">
        <v>1139</v>
      </c>
      <c r="AK189" s="36" t="s">
        <v>1165</v>
      </c>
      <c r="AL189" s="36" t="s">
        <v>1179</v>
      </c>
      <c r="AM189" s="36" t="s">
        <v>1165</v>
      </c>
      <c r="AN189" s="36" t="s">
        <v>1176</v>
      </c>
      <c r="AO189" s="36" t="s">
        <v>1239</v>
      </c>
      <c r="AP189" s="36"/>
    </row>
    <row r="190" spans="3:42" ht="14">
      <c r="C190" s="78" t="e">
        <v>#N/A</v>
      </c>
      <c r="D190" s="60" t="s">
        <v>114</v>
      </c>
      <c r="E190" s="125" t="s">
        <v>116</v>
      </c>
      <c r="F190" s="124">
        <v>2</v>
      </c>
      <c r="G190" s="115">
        <v>5113</v>
      </c>
      <c r="H190" s="18" t="s">
        <v>617</v>
      </c>
      <c r="I190" s="18" t="s">
        <v>59</v>
      </c>
      <c r="J190" s="19" t="s">
        <v>438</v>
      </c>
      <c r="K190" s="99">
        <v>189915</v>
      </c>
      <c r="L190" s="97">
        <f>INDEX(Table1[Production],MATCH(rrcworking[[#This Row],[RRC ID Number]],Table1[RRC Identifier],0))</f>
        <v>0</v>
      </c>
      <c r="M190" s="29">
        <f>INDEX(Table1[Formation Production],MATCH(rrcworking[[#This Row],[RRC ID Number]],Table1[RRC Identifier],0))</f>
        <v>0</v>
      </c>
      <c r="N190" s="30">
        <f>INDEX(Table1[On Hand End of Month],MATCH(rrcworking[[#This Row],[RRC ID Number]],Table1[RRC Identifier],0))</f>
        <v>0</v>
      </c>
      <c r="O190" s="102" t="b">
        <f t="shared" si="5"/>
        <v>1</v>
      </c>
      <c r="Q190" s="122">
        <f>rrcworking[[#This Row],[Last Month Closing Stock]]</f>
        <v>0</v>
      </c>
      <c r="R190">
        <f>rrcworking[[#This Row],[Opening Oil Stock]]</f>
        <v>0</v>
      </c>
      <c r="S190" s="133">
        <f>IF(ISERROR(INDEX(Table2[OIL],MATCH(rrcworking[[#This Row],[Magnum Wolfpak '#]],Table2[Rox Wolf'#],0))),0,INDEX(Table2[OIL],MATCH(rrcworking[[#This Row],[Magnum Wolfpak '#]],Table2[Rox Wolf'#],0)))</f>
        <v>0</v>
      </c>
      <c r="T190" s="34">
        <f>rrcworking[[#This Row],[Closing Stock (Oil)]]+rrcworking[[#This Row],[Sales/Dispostion]]-rrcworking[[#This Row],[Opening Oil Stock]]</f>
        <v>0</v>
      </c>
      <c r="U190" s="108">
        <f>rrcworking[[#This Row],[Gauge Sheet Prod Volume (oil)]]-rrcworking[[#This Row],[Oil Production]]</f>
        <v>0</v>
      </c>
      <c r="V190" s="133">
        <f>IF(ISERROR(INDEX(Table2[GAS],MATCH(rrcworking[[#This Row],[Magnum Wolfpak '#]],Table2[Rox Wolf'#],0))),0,INDEX(Table2[GAS],MATCH(rrcworking[[#This Row],[Magnum Wolfpak '#]],Table2[Rox Wolf'#],0)))</f>
        <v>0</v>
      </c>
      <c r="W190" s="58"/>
      <c r="X190" s="58"/>
      <c r="Y190" s="133">
        <f>IF(ISERROR(INDEX(Table2[LEASE USE],MATCH(rrcworking[[#This Row],[Magnum Wolfpak '#]],Table2[Rox Wolf'#],0))),0,INDEX(Table2[LEASE USE],MATCH(rrcworking[[#This Row],[Magnum Wolfpak '#]],Table2[Rox Wolf'#],0)))</f>
        <v>0</v>
      </c>
      <c r="Z190" s="133"/>
      <c r="AA190" s="56">
        <f>rrcworking[[#This Row],[Gas Sales Statement Volume (MCF)]]+rrcworking[[#This Row],[Lease Use (MCF)]]+rrcworking[[#This Row],[Flared Gas]]</f>
        <v>0</v>
      </c>
      <c r="AB190" s="36"/>
      <c r="AC190" s="36"/>
      <c r="AD190" s="175">
        <f>COUNTIF(FilterList,rrcworking[[#This Row],[Magnum Wolfpak '#]])</f>
        <v>0</v>
      </c>
      <c r="AE190" s="172"/>
      <c r="AF190" s="173"/>
      <c r="AG190" s="36"/>
      <c r="AH190" s="36"/>
      <c r="AI190" s="36"/>
      <c r="AJ190" s="36"/>
      <c r="AK190" s="36"/>
      <c r="AL190" s="36"/>
      <c r="AM190" s="36"/>
      <c r="AN190" s="36"/>
      <c r="AO190" s="36"/>
      <c r="AP190" s="36"/>
    </row>
    <row r="191" spans="3:42" ht="14">
      <c r="C191" s="78" t="e">
        <v>#N/A</v>
      </c>
      <c r="D191" s="60" t="s">
        <v>165</v>
      </c>
      <c r="E191" s="125" t="s">
        <v>166</v>
      </c>
      <c r="F191" s="124">
        <v>1</v>
      </c>
      <c r="G191" s="115" t="s">
        <v>1090</v>
      </c>
      <c r="H191" s="18" t="s">
        <v>618</v>
      </c>
      <c r="I191" s="18" t="s">
        <v>59</v>
      </c>
      <c r="J191" s="19" t="s">
        <v>469</v>
      </c>
      <c r="K191" s="99">
        <v>192497</v>
      </c>
      <c r="L191" s="97">
        <f>INDEX(Table1[Production],MATCH(rrcworking[[#This Row],[RRC ID Number]],Table1[RRC Identifier],0))</f>
        <v>0</v>
      </c>
      <c r="M191" s="29">
        <f>INDEX(Table1[Formation Production],MATCH(rrcworking[[#This Row],[RRC ID Number]],Table1[RRC Identifier],0))</f>
        <v>0</v>
      </c>
      <c r="N191" s="30">
        <f>INDEX(Table1[On Hand End of Month],MATCH(rrcworking[[#This Row],[RRC ID Number]],Table1[RRC Identifier],0))</f>
        <v>0</v>
      </c>
      <c r="O191" s="102" t="b">
        <f t="shared" si="5"/>
        <v>1</v>
      </c>
      <c r="Q191" s="122">
        <f>rrcworking[[#This Row],[Last Month Closing Stock]]</f>
        <v>0</v>
      </c>
      <c r="R191">
        <f>rrcworking[[#This Row],[Opening Oil Stock]]</f>
        <v>0</v>
      </c>
      <c r="S191" s="133">
        <f>IF(ISERROR(INDEX(Table2[OIL],MATCH(rrcworking[[#This Row],[Magnum Wolfpak '#]],Table2[Rox Wolf'#],0))),0,INDEX(Table2[OIL],MATCH(rrcworking[[#This Row],[Magnum Wolfpak '#]],Table2[Rox Wolf'#],0)))</f>
        <v>0</v>
      </c>
      <c r="T191" s="34">
        <f>rrcworking[[#This Row],[Closing Stock (Oil)]]+rrcworking[[#This Row],[Sales/Dispostion]]-rrcworking[[#This Row],[Opening Oil Stock]]</f>
        <v>0</v>
      </c>
      <c r="U191" s="108">
        <f>rrcworking[[#This Row],[Gauge Sheet Prod Volume (oil)]]-rrcworking[[#This Row],[Oil Production]]</f>
        <v>0</v>
      </c>
      <c r="V191" s="133">
        <f>IF(ISERROR(INDEX(Table2[GAS],MATCH(rrcworking[[#This Row],[Magnum Wolfpak '#]],Table2[Rox Wolf'#],0))),0,INDEX(Table2[GAS],MATCH(rrcworking[[#This Row],[Magnum Wolfpak '#]],Table2[Rox Wolf'#],0)))</f>
        <v>0</v>
      </c>
      <c r="W191" s="58"/>
      <c r="X191" s="58"/>
      <c r="Y191" s="133">
        <f>IF(ISERROR(INDEX(Table2[LEASE USE],MATCH(rrcworking[[#This Row],[Magnum Wolfpak '#]],Table2[Rox Wolf'#],0))),0,INDEX(Table2[LEASE USE],MATCH(rrcworking[[#This Row],[Magnum Wolfpak '#]],Table2[Rox Wolf'#],0)))</f>
        <v>0</v>
      </c>
      <c r="Z191" s="133"/>
      <c r="AA191" s="56">
        <f>rrcworking[[#This Row],[Gas Sales Statement Volume (MCF)]]+rrcworking[[#This Row],[Lease Use (MCF)]]+rrcworking[[#This Row],[Flared Gas]]</f>
        <v>0</v>
      </c>
      <c r="AB191" s="36"/>
      <c r="AC191" s="36"/>
      <c r="AD191" s="175">
        <f>COUNTIF(FilterList,rrcworking[[#This Row],[Magnum Wolfpak '#]])</f>
        <v>0</v>
      </c>
      <c r="AE191" s="172"/>
      <c r="AF191" s="173"/>
      <c r="AG191" s="36"/>
      <c r="AH191" s="36"/>
      <c r="AI191" s="36"/>
      <c r="AJ191" s="36"/>
      <c r="AK191" s="36"/>
      <c r="AL191" s="36"/>
      <c r="AM191" s="36"/>
      <c r="AN191" s="36"/>
      <c r="AO191" s="36"/>
      <c r="AP191" s="36"/>
    </row>
    <row r="192" spans="3:42" ht="28">
      <c r="C192" s="78">
        <v>99194</v>
      </c>
      <c r="D192" s="60" t="s">
        <v>167</v>
      </c>
      <c r="E192" s="125" t="s">
        <v>168</v>
      </c>
      <c r="F192" s="124">
        <v>0</v>
      </c>
      <c r="G192" s="115" t="s">
        <v>1090</v>
      </c>
      <c r="H192" s="18" t="s">
        <v>618</v>
      </c>
      <c r="I192" s="18" t="s">
        <v>2</v>
      </c>
      <c r="J192" s="19" t="s">
        <v>470</v>
      </c>
      <c r="K192" s="99">
        <v>21610</v>
      </c>
      <c r="L192" s="97">
        <f>INDEX(Table1[Production],MATCH(rrcworking[[#This Row],[RRC ID Number]],Table1[RRC Identifier],0))</f>
        <v>5</v>
      </c>
      <c r="M192" s="29">
        <f>INDEX(Table1[Formation Production],MATCH(rrcworking[[#This Row],[RRC ID Number]],Table1[RRC Identifier],0))</f>
        <v>0</v>
      </c>
      <c r="N192" s="30">
        <f>INDEX(Table1[On Hand End of Month],MATCH(rrcworking[[#This Row],[RRC ID Number]],Table1[RRC Identifier],0))</f>
        <v>154</v>
      </c>
      <c r="O192" s="102" t="b">
        <f t="shared" si="5"/>
        <v>0</v>
      </c>
      <c r="P192">
        <v>0</v>
      </c>
      <c r="Q192" s="122">
        <f>rrcworking[[#This Row],[Last Month Closing Stock]]</f>
        <v>154</v>
      </c>
      <c r="R192">
        <v>154</v>
      </c>
      <c r="S192" s="133">
        <f>IF(ISERROR(INDEX(Table2[OIL],MATCH(rrcworking[[#This Row],[Magnum Wolfpak '#]],Table2[Rox Wolf'#],0))),0,INDEX(Table2[OIL],MATCH(rrcworking[[#This Row],[Magnum Wolfpak '#]],Table2[Rox Wolf'#],0)))</f>
        <v>0</v>
      </c>
      <c r="T192" s="34">
        <f>rrcworking[[#This Row],[Closing Stock (Oil)]]+rrcworking[[#This Row],[Sales/Dispostion]]-rrcworking[[#This Row],[Opening Oil Stock]]</f>
        <v>0</v>
      </c>
      <c r="U192" s="108">
        <f>rrcworking[[#This Row],[Gauge Sheet Prod Volume (oil)]]-rrcworking[[#This Row],[Oil Production]]</f>
        <v>0</v>
      </c>
      <c r="V192" s="133">
        <f>IF(ISERROR(INDEX(Table2[GAS],MATCH(rrcworking[[#This Row],[Magnum Wolfpak '#]],Table2[Rox Wolf'#],0))),0,INDEX(Table2[GAS],MATCH(rrcworking[[#This Row],[Magnum Wolfpak '#]],Table2[Rox Wolf'#],0)))</f>
        <v>0</v>
      </c>
      <c r="W192" s="58"/>
      <c r="X192" s="58"/>
      <c r="Y192" s="133">
        <f>IF(ISERROR(INDEX(Table2[LEASE USE],MATCH(rrcworking[[#This Row],[Magnum Wolfpak '#]],Table2[Rox Wolf'#],0))),0,INDEX(Table2[LEASE USE],MATCH(rrcworking[[#This Row],[Magnum Wolfpak '#]],Table2[Rox Wolf'#],0)))</f>
        <v>0</v>
      </c>
      <c r="Z192" s="133"/>
      <c r="AA192" s="56">
        <f>rrcworking[[#This Row],[Gas Sales Statement Volume (MCF)]]+rrcworking[[#This Row],[Lease Use (MCF)]]+rrcworking[[#This Row],[Flared Gas]]</f>
        <v>0</v>
      </c>
      <c r="AB192" s="36"/>
      <c r="AC192" s="36" t="s">
        <v>1269</v>
      </c>
      <c r="AD192" s="175">
        <f>COUNTIF(FilterList,rrcworking[[#This Row],[Magnum Wolfpak '#]])</f>
        <v>0</v>
      </c>
      <c r="AE192" s="172"/>
      <c r="AF192" s="173"/>
      <c r="AG192" s="36"/>
      <c r="AH192" s="173"/>
      <c r="AI192" s="36">
        <v>2</v>
      </c>
      <c r="AJ192" s="36" t="s">
        <v>1165</v>
      </c>
      <c r="AK192" s="36" t="s">
        <v>1165</v>
      </c>
      <c r="AL192" s="36" t="s">
        <v>1227</v>
      </c>
      <c r="AM192" s="36" t="s">
        <v>1165</v>
      </c>
      <c r="AN192" s="36" t="s">
        <v>1228</v>
      </c>
      <c r="AO192" s="36" t="s">
        <v>1229</v>
      </c>
      <c r="AP192" s="36" t="s">
        <v>1195</v>
      </c>
    </row>
    <row r="193" spans="3:42" ht="14">
      <c r="C193" s="78">
        <v>80001</v>
      </c>
      <c r="D193" s="60" t="s">
        <v>266</v>
      </c>
      <c r="E193" s="125" t="s">
        <v>267</v>
      </c>
      <c r="F193" s="124">
        <v>1</v>
      </c>
      <c r="G193" s="115" t="s">
        <v>1090</v>
      </c>
      <c r="H193" s="18" t="s">
        <v>618</v>
      </c>
      <c r="I193" s="18" t="s">
        <v>59</v>
      </c>
      <c r="J193" s="19" t="s">
        <v>522</v>
      </c>
      <c r="K193" s="99">
        <v>91859</v>
      </c>
      <c r="L193" s="98">
        <f>INDEX(Table1[Production],MATCH(rrcworking[[#This Row],[RRC ID Number]],Table1[RRC Identifier],0))</f>
        <v>16</v>
      </c>
      <c r="M193" s="31">
        <f>INDEX(Table1[Formation Production],MATCH(rrcworking[[#This Row],[RRC ID Number]],Table1[RRC Identifier],0))</f>
        <v>1707</v>
      </c>
      <c r="N193" s="32">
        <f>INDEX(Table1[On Hand End of Month],MATCH(rrcworking[[#This Row],[RRC ID Number]],Table1[RRC Identifier],0))</f>
        <v>115</v>
      </c>
      <c r="O193" s="104" t="b">
        <f t="shared" si="5"/>
        <v>0</v>
      </c>
      <c r="P193">
        <v>30</v>
      </c>
      <c r="Q193" s="122">
        <f>rrcworking[[#This Row],[Last Month Closing Stock]]</f>
        <v>115</v>
      </c>
      <c r="R193">
        <v>145</v>
      </c>
      <c r="S193" s="133">
        <f>IF(ISERROR(INDEX(Table2[OIL],MATCH(rrcworking[[#This Row],[Magnum Wolfpak '#]],Table2[Rox Wolf'#],0))),0,INDEX(Table2[OIL],MATCH(rrcworking[[#This Row],[Magnum Wolfpak '#]],Table2[Rox Wolf'#],0)))</f>
        <v>0</v>
      </c>
      <c r="T193" s="34">
        <f>rrcworking[[#This Row],[Closing Stock (Oil)]]+rrcworking[[#This Row],[Sales/Dispostion]]-rrcworking[[#This Row],[Opening Oil Stock]]</f>
        <v>30</v>
      </c>
      <c r="U193" s="108">
        <f>rrcworking[[#This Row],[Gauge Sheet Prod Volume (oil)]]-rrcworking[[#This Row],[Oil Production]]</f>
        <v>0</v>
      </c>
      <c r="V193" s="133">
        <f>IF(ISERROR(INDEX(Table2[GAS],MATCH(rrcworking[[#This Row],[Magnum Wolfpak '#]],Table2[Rox Wolf'#],0))),0,INDEX(Table2[GAS],MATCH(rrcworking[[#This Row],[Magnum Wolfpak '#]],Table2[Rox Wolf'#],0)))</f>
        <v>1443</v>
      </c>
      <c r="W193" s="137"/>
      <c r="X193" s="59">
        <v>4</v>
      </c>
      <c r="Y193" s="133">
        <f>IF(ISERROR(INDEX(Table2[LEASE USE],MATCH(rrcworking[[#This Row],[Magnum Wolfpak '#]],Table2[Rox Wolf'#],0))),0,INDEX(Table2[LEASE USE],MATCH(rrcworking[[#This Row],[Magnum Wolfpak '#]],Table2[Rox Wolf'#],0)))</f>
        <v>76</v>
      </c>
      <c r="Z193" s="133"/>
      <c r="AA193" s="56">
        <f>rrcworking[[#This Row],[Gas Sales Statement Volume (MCF)]]+rrcworking[[#This Row],[Lease Use (MCF)]]+rrcworking[[#This Row],[Flared Gas]]</f>
        <v>1519</v>
      </c>
      <c r="AB193" s="36"/>
      <c r="AC193" s="36"/>
      <c r="AD193" s="175">
        <f>COUNTIF(FilterList,rrcworking[[#This Row],[Magnum Wolfpak '#]])</f>
        <v>0</v>
      </c>
      <c r="AE193" s="172"/>
      <c r="AF193" s="173"/>
      <c r="AG193" s="36"/>
      <c r="AH193" s="173"/>
      <c r="AI193" s="36">
        <v>2</v>
      </c>
      <c r="AJ193" s="36" t="s">
        <v>1165</v>
      </c>
      <c r="AK193" s="36" t="s">
        <v>1165</v>
      </c>
      <c r="AL193" s="36" t="s">
        <v>1212</v>
      </c>
      <c r="AM193" s="36" t="s">
        <v>1165</v>
      </c>
      <c r="AN193" s="36" t="s">
        <v>1176</v>
      </c>
      <c r="AO193" s="36" t="s">
        <v>1217</v>
      </c>
      <c r="AP193" s="36"/>
    </row>
    <row r="194" spans="3:42" ht="15" thickBot="1">
      <c r="C194" s="78" t="e">
        <v>#N/A</v>
      </c>
      <c r="D194" s="60" t="s">
        <v>84</v>
      </c>
      <c r="E194" s="125" t="s">
        <v>85</v>
      </c>
      <c r="F194" s="124">
        <v>1</v>
      </c>
      <c r="G194" s="115" t="s">
        <v>1090</v>
      </c>
      <c r="H194" s="18" t="s">
        <v>617</v>
      </c>
      <c r="I194" s="18" t="s">
        <v>59</v>
      </c>
      <c r="J194" s="19" t="s">
        <v>419</v>
      </c>
      <c r="K194" s="99">
        <v>200152</v>
      </c>
      <c r="L194" s="97">
        <f>INDEX(Table1[Production],MATCH(rrcworking[[#This Row],[RRC ID Number]],Table1[RRC Identifier],0))</f>
        <v>0</v>
      </c>
      <c r="M194" s="29">
        <f>INDEX(Table1[Formation Production],MATCH(rrcworking[[#This Row],[RRC ID Number]],Table1[RRC Identifier],0))</f>
        <v>0</v>
      </c>
      <c r="N194" s="30">
        <f>INDEX(Table1[On Hand End of Month],MATCH(rrcworking[[#This Row],[RRC ID Number]],Table1[RRC Identifier],0))</f>
        <v>0</v>
      </c>
      <c r="O194" s="102" t="b">
        <f t="shared" si="5"/>
        <v>1</v>
      </c>
      <c r="Q194" s="122">
        <f>rrcworking[[#This Row],[Last Month Closing Stock]]</f>
        <v>0</v>
      </c>
      <c r="R194">
        <f>rrcworking[[#This Row],[Opening Oil Stock]]</f>
        <v>0</v>
      </c>
      <c r="S194" s="133">
        <f>IF(ISERROR(INDEX(Table2[OIL],MATCH(rrcworking[[#This Row],[Magnum Wolfpak '#]],Table2[Rox Wolf'#],0))),0,INDEX(Table2[OIL],MATCH(rrcworking[[#This Row],[Magnum Wolfpak '#]],Table2[Rox Wolf'#],0)))</f>
        <v>0</v>
      </c>
      <c r="T194" s="35">
        <f>rrcworking[[#This Row],[Closing Stock (Oil)]]+rrcworking[[#This Row],[Sales/Dispostion]]-rrcworking[[#This Row],[Opening Oil Stock]]</f>
        <v>0</v>
      </c>
      <c r="U194" s="108">
        <f>rrcworking[[#This Row],[Gauge Sheet Prod Volume (oil)]]-rrcworking[[#This Row],[Oil Production]]</f>
        <v>0</v>
      </c>
      <c r="V194" s="133">
        <f>IF(ISERROR(INDEX(Table2[GAS],MATCH(rrcworking[[#This Row],[Magnum Wolfpak '#]],Table2[Rox Wolf'#],0))),0,INDEX(Table2[GAS],MATCH(rrcworking[[#This Row],[Magnum Wolfpak '#]],Table2[Rox Wolf'#],0)))</f>
        <v>0</v>
      </c>
      <c r="W194" s="58"/>
      <c r="X194" s="58"/>
      <c r="Y194" s="133">
        <f>IF(ISERROR(INDEX(Table2[LEASE USE],MATCH(rrcworking[[#This Row],[Magnum Wolfpak '#]],Table2[Rox Wolf'#],0))),0,INDEX(Table2[LEASE USE],MATCH(rrcworking[[#This Row],[Magnum Wolfpak '#]],Table2[Rox Wolf'#],0)))</f>
        <v>0</v>
      </c>
      <c r="Z194" s="133"/>
      <c r="AA194" s="56">
        <f>rrcworking[[#This Row],[Gas Sales Statement Volume (MCF)]]+rrcworking[[#This Row],[Lease Use (MCF)]]+rrcworking[[#This Row],[Flared Gas]]</f>
        <v>0</v>
      </c>
      <c r="AB194" s="36"/>
      <c r="AC194" s="36"/>
      <c r="AD194" s="175">
        <f>COUNTIF(FilterList,rrcworking[[#This Row],[Magnum Wolfpak '#]])</f>
        <v>0</v>
      </c>
      <c r="AE194" s="172"/>
      <c r="AF194" s="173"/>
      <c r="AG194" s="36"/>
      <c r="AH194" s="36"/>
      <c r="AI194" s="36"/>
      <c r="AJ194" s="36"/>
      <c r="AK194" s="36"/>
      <c r="AL194" s="36"/>
      <c r="AM194" s="36"/>
      <c r="AN194" s="36"/>
      <c r="AO194" s="36"/>
      <c r="AP194" s="36"/>
    </row>
    <row r="195" spans="3:42" ht="15" thickTop="1">
      <c r="C195" s="220">
        <f>SUBTOTAL(103,rrcworking[Magnum Wolfpak '#])</f>
        <v>189</v>
      </c>
      <c r="D195" s="221"/>
      <c r="E195" s="221" t="s">
        <v>625</v>
      </c>
      <c r="F195" s="222">
        <f>SUBTOTAL(103,rrcworking[Well Number])</f>
        <v>189</v>
      </c>
      <c r="G195" s="222"/>
      <c r="H195" s="222"/>
      <c r="I195" s="222"/>
      <c r="J195" s="223"/>
      <c r="K195" s="224"/>
      <c r="L195" s="225">
        <f>SUBTOTAL(109,rrcworking[[ Last Month Oil Production]])</f>
        <v>9131</v>
      </c>
      <c r="M195" s="221">
        <f>SUBTOTAL(109,rrcworking[Last Month Gas Prod])</f>
        <v>160814</v>
      </c>
      <c r="N195" s="221">
        <f>SUBTOTAL(109,rrcworking[Last Month Closing Stock])</f>
        <v>13359</v>
      </c>
      <c r="O195" s="226"/>
      <c r="P195" s="226"/>
      <c r="Q195" s="225">
        <f>SUBTOTAL(109,rrcworking[Opening Oil Stock])</f>
        <v>13359</v>
      </c>
      <c r="R195" s="221">
        <f>SUBTOTAL(109,rrcworking[Closing Stock (Oil)])</f>
        <v>18794</v>
      </c>
      <c r="S195" s="221">
        <f>SUBTOTAL(109,rrcworking[Sales/Dispostion])</f>
        <v>706</v>
      </c>
      <c r="T195" s="221">
        <f>SUBTOTAL(109,rrcworking[Oil Production])</f>
        <v>6141</v>
      </c>
      <c r="U195" s="221"/>
      <c r="V195" s="227">
        <f>SUBTOTAL(109,rrcworking[Gas Sales Statement Volume (MCF)])</f>
        <v>183363</v>
      </c>
      <c r="W195" s="221"/>
      <c r="X195" s="221"/>
      <c r="Y195" s="221">
        <f>SUBTOTAL(109,rrcworking[Lease Use (MCF)])</f>
        <v>5015</v>
      </c>
      <c r="Z195" s="221"/>
      <c r="AA195" s="228">
        <f>SUBTOTAL(109,rrcworking[Formation Production (MCF) @ 14.65 psi])</f>
        <v>188378</v>
      </c>
      <c r="AB195" s="229">
        <f>SUBTOTAL(103,rrcworking[Gas Comments])</f>
        <v>4</v>
      </c>
      <c r="AC195" s="229"/>
      <c r="AD195" s="221"/>
      <c r="AE195" s="229"/>
      <c r="AF195" s="229"/>
      <c r="AG195" s="229"/>
      <c r="AH195" s="229"/>
      <c r="AI195" s="229"/>
      <c r="AJ195" s="229"/>
      <c r="AK195" s="229"/>
      <c r="AL195" s="229"/>
      <c r="AM195" s="229"/>
      <c r="AN195" s="229"/>
      <c r="AO195" s="229"/>
      <c r="AP195" s="230"/>
    </row>
    <row r="196" spans="3:42" ht="36">
      <c r="AB196" s="201" t="s">
        <v>1262</v>
      </c>
    </row>
  </sheetData>
  <mergeCells count="8">
    <mergeCell ref="AC4:AD4"/>
    <mergeCell ref="AH3:AQ3"/>
    <mergeCell ref="C2:G2"/>
    <mergeCell ref="V4:AB4"/>
    <mergeCell ref="P4:U4"/>
    <mergeCell ref="L4:O4"/>
    <mergeCell ref="C4:K4"/>
    <mergeCell ref="Z3:AB3"/>
  </mergeCells>
  <phoneticPr fontId="70" type="noConversion"/>
  <conditionalFormatting sqref="U6:U194">
    <cfRule type="expression" dxfId="12" priority="2">
      <formula>ABS($U6)&gt;20</formula>
    </cfRule>
  </conditionalFormatting>
  <conditionalFormatting sqref="T6:T194">
    <cfRule type="cellIs" dxfId="11" priority="1" operator="lessThan">
      <formula>0</formula>
    </cfRule>
  </conditionalFormatting>
  <pageMargins left="0.25" right="0.25" top="0.75" bottom="0.75" header="0.3" footer="0.3"/>
  <pageSetup scale="10" orientation="landscape" horizontalDpi="1200" verticalDpi="1200"/>
  <ignoredErrors>
    <ignoredError sqref="F45:F49" numberStoredAsText="1"/>
  </ignoredErrors>
  <tableParts count="1">
    <tablePart r:id="rId1"/>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F192"/>
  <sheetViews>
    <sheetView workbookViewId="0"/>
  </sheetViews>
  <sheetFormatPr baseColWidth="10" defaultColWidth="8.83203125" defaultRowHeight="12" x14ac:dyDescent="0"/>
  <sheetData>
    <row r="1" spans="1:6">
      <c r="A1" t="s">
        <v>1096</v>
      </c>
      <c r="E1" t="s">
        <v>1094</v>
      </c>
      <c r="F1" t="s">
        <v>1095</v>
      </c>
    </row>
    <row r="2" spans="1:6" ht="21">
      <c r="A2" s="44" t="s">
        <v>657</v>
      </c>
      <c r="E2" t="s">
        <v>74</v>
      </c>
    </row>
    <row r="3" spans="1:6" ht="21">
      <c r="A3" s="44" t="s">
        <v>676</v>
      </c>
      <c r="E3" t="s">
        <v>77</v>
      </c>
      <c r="F3">
        <v>99228</v>
      </c>
    </row>
    <row r="4" spans="1:6" ht="21">
      <c r="A4" s="44" t="s">
        <v>711</v>
      </c>
      <c r="E4" t="s">
        <v>80</v>
      </c>
      <c r="F4">
        <v>99017</v>
      </c>
    </row>
    <row r="5" spans="1:6" ht="21">
      <c r="A5" s="44" t="s">
        <v>713</v>
      </c>
      <c r="E5" t="s">
        <v>82</v>
      </c>
    </row>
    <row r="6" spans="1:6" ht="21">
      <c r="A6" s="44" t="s">
        <v>719</v>
      </c>
      <c r="E6" t="s">
        <v>85</v>
      </c>
    </row>
    <row r="7" spans="1:6" ht="21">
      <c r="A7" s="44" t="s">
        <v>721</v>
      </c>
      <c r="E7" t="s">
        <v>86</v>
      </c>
    </row>
    <row r="8" spans="1:6" ht="21">
      <c r="A8" s="44" t="s">
        <v>723</v>
      </c>
      <c r="E8" t="s">
        <v>88</v>
      </c>
    </row>
    <row r="9" spans="1:6" ht="21">
      <c r="A9" s="44" t="s">
        <v>725</v>
      </c>
      <c r="E9" t="s">
        <v>91</v>
      </c>
      <c r="F9">
        <v>34001</v>
      </c>
    </row>
    <row r="10" spans="1:6" ht="21">
      <c r="A10" s="44" t="s">
        <v>729</v>
      </c>
      <c r="E10" t="s">
        <v>93</v>
      </c>
      <c r="F10">
        <v>93701</v>
      </c>
    </row>
    <row r="11" spans="1:6" ht="21">
      <c r="A11" s="44" t="s">
        <v>738</v>
      </c>
      <c r="E11" t="s">
        <v>91</v>
      </c>
    </row>
    <row r="12" spans="1:6" ht="21">
      <c r="A12" s="121" t="s">
        <v>739</v>
      </c>
      <c r="E12" t="s">
        <v>96</v>
      </c>
      <c r="F12">
        <v>93806</v>
      </c>
    </row>
    <row r="13" spans="1:6">
      <c r="E13" t="s">
        <v>97</v>
      </c>
    </row>
    <row r="14" spans="1:6">
      <c r="E14" t="s">
        <v>96</v>
      </c>
    </row>
    <row r="15" spans="1:6">
      <c r="E15" t="s">
        <v>100</v>
      </c>
    </row>
    <row r="16" spans="1:6">
      <c r="E16" t="s">
        <v>102</v>
      </c>
      <c r="F16">
        <v>99102</v>
      </c>
    </row>
    <row r="17" spans="5:6">
      <c r="E17" t="s">
        <v>104</v>
      </c>
      <c r="F17">
        <v>98921</v>
      </c>
    </row>
    <row r="18" spans="5:6">
      <c r="E18" t="s">
        <v>106</v>
      </c>
    </row>
    <row r="19" spans="5:6">
      <c r="E19" t="s">
        <v>108</v>
      </c>
    </row>
    <row r="20" spans="5:6">
      <c r="E20" t="s">
        <v>110</v>
      </c>
    </row>
    <row r="21" spans="5:6">
      <c r="E21" t="s">
        <v>110</v>
      </c>
      <c r="F21">
        <v>99256</v>
      </c>
    </row>
    <row r="22" spans="5:6">
      <c r="E22" t="s">
        <v>112</v>
      </c>
    </row>
    <row r="23" spans="5:6">
      <c r="E23" t="s">
        <v>88</v>
      </c>
      <c r="F23">
        <v>99255</v>
      </c>
    </row>
    <row r="24" spans="5:6">
      <c r="E24" t="s">
        <v>115</v>
      </c>
    </row>
    <row r="25" spans="5:6">
      <c r="E25" t="s">
        <v>116</v>
      </c>
    </row>
    <row r="26" spans="5:6">
      <c r="E26" t="s">
        <v>118</v>
      </c>
    </row>
    <row r="27" spans="5:6">
      <c r="E27" t="s">
        <v>120</v>
      </c>
    </row>
    <row r="28" spans="5:6">
      <c r="E28" t="s">
        <v>120</v>
      </c>
    </row>
    <row r="29" spans="5:6">
      <c r="E29" t="s">
        <v>123</v>
      </c>
    </row>
    <row r="30" spans="5:6">
      <c r="E30" t="s">
        <v>123</v>
      </c>
    </row>
    <row r="31" spans="5:6">
      <c r="E31" t="s">
        <v>123</v>
      </c>
    </row>
    <row r="32" spans="5:6">
      <c r="E32" t="s">
        <v>127</v>
      </c>
    </row>
    <row r="33" spans="5:6">
      <c r="E33" t="s">
        <v>112</v>
      </c>
    </row>
    <row r="34" spans="5:6">
      <c r="E34" t="s">
        <v>130</v>
      </c>
      <c r="F34">
        <v>98201</v>
      </c>
    </row>
    <row r="35" spans="5:6">
      <c r="E35" t="s">
        <v>132</v>
      </c>
    </row>
    <row r="36" spans="5:6">
      <c r="E36" t="s">
        <v>134</v>
      </c>
    </row>
    <row r="37" spans="5:6">
      <c r="E37" t="s">
        <v>137</v>
      </c>
    </row>
    <row r="38" spans="5:6">
      <c r="E38" t="s">
        <v>136</v>
      </c>
    </row>
    <row r="39" spans="5:6">
      <c r="E39" t="s">
        <v>139</v>
      </c>
    </row>
    <row r="40" spans="5:6">
      <c r="E40" t="s">
        <v>141</v>
      </c>
    </row>
    <row r="41" spans="5:6">
      <c r="E41" t="s">
        <v>141</v>
      </c>
    </row>
    <row r="42" spans="5:6">
      <c r="E42" t="s">
        <v>142</v>
      </c>
      <c r="F42">
        <v>98915</v>
      </c>
    </row>
    <row r="43" spans="5:6">
      <c r="E43" t="s">
        <v>144</v>
      </c>
    </row>
    <row r="44" spans="5:6">
      <c r="E44" t="s">
        <v>146</v>
      </c>
    </row>
    <row r="45" spans="5:6">
      <c r="E45" t="s">
        <v>148</v>
      </c>
      <c r="F45">
        <v>99270</v>
      </c>
    </row>
    <row r="46" spans="5:6">
      <c r="E46" t="s">
        <v>150</v>
      </c>
    </row>
    <row r="47" spans="5:6">
      <c r="E47" t="s">
        <v>152</v>
      </c>
    </row>
    <row r="48" spans="5:6">
      <c r="E48" t="s">
        <v>153</v>
      </c>
    </row>
    <row r="49" spans="5:6">
      <c r="E49" t="s">
        <v>152</v>
      </c>
    </row>
    <row r="50" spans="5:6">
      <c r="E50" t="s">
        <v>155</v>
      </c>
      <c r="F50">
        <v>99288</v>
      </c>
    </row>
    <row r="51" spans="5:6">
      <c r="E51" t="s">
        <v>157</v>
      </c>
    </row>
    <row r="52" spans="5:6">
      <c r="E52" t="s">
        <v>152</v>
      </c>
    </row>
    <row r="53" spans="5:6">
      <c r="E53" t="s">
        <v>160</v>
      </c>
    </row>
    <row r="54" spans="5:6">
      <c r="E54" t="s">
        <v>162</v>
      </c>
    </row>
    <row r="55" spans="5:6">
      <c r="E55" t="s">
        <v>164</v>
      </c>
    </row>
    <row r="56" spans="5:6">
      <c r="E56" t="s">
        <v>166</v>
      </c>
    </row>
    <row r="57" spans="5:6">
      <c r="E57" t="s">
        <v>168</v>
      </c>
      <c r="F57">
        <v>99194</v>
      </c>
    </row>
    <row r="58" spans="5:6">
      <c r="E58" t="s">
        <v>170</v>
      </c>
    </row>
    <row r="59" spans="5:6">
      <c r="E59" t="s">
        <v>170</v>
      </c>
      <c r="F59">
        <v>99230</v>
      </c>
    </row>
    <row r="60" spans="5:6">
      <c r="E60" t="s">
        <v>173</v>
      </c>
    </row>
    <row r="61" spans="5:6">
      <c r="E61" t="s">
        <v>175</v>
      </c>
      <c r="F61">
        <v>99278</v>
      </c>
    </row>
    <row r="62" spans="5:6">
      <c r="E62" t="s">
        <v>157</v>
      </c>
    </row>
    <row r="63" spans="5:6">
      <c r="E63" t="s">
        <v>179</v>
      </c>
    </row>
    <row r="64" spans="5:6">
      <c r="E64" t="s">
        <v>181</v>
      </c>
      <c r="F64">
        <v>99293</v>
      </c>
    </row>
    <row r="65" spans="5:6">
      <c r="E65" t="s">
        <v>181</v>
      </c>
      <c r="F65">
        <v>99286</v>
      </c>
    </row>
    <row r="66" spans="5:6">
      <c r="E66" t="s">
        <v>181</v>
      </c>
      <c r="F66">
        <v>99295</v>
      </c>
    </row>
    <row r="67" spans="5:6">
      <c r="E67" t="s">
        <v>181</v>
      </c>
      <c r="F67">
        <v>99294</v>
      </c>
    </row>
    <row r="68" spans="5:6">
      <c r="E68" t="s">
        <v>186</v>
      </c>
    </row>
    <row r="69" spans="5:6">
      <c r="E69" t="s">
        <v>188</v>
      </c>
      <c r="F69">
        <v>99140</v>
      </c>
    </row>
    <row r="70" spans="5:6">
      <c r="E70" t="s">
        <v>191</v>
      </c>
      <c r="F70">
        <v>98965</v>
      </c>
    </row>
    <row r="71" spans="5:6">
      <c r="E71" t="s">
        <v>190</v>
      </c>
    </row>
    <row r="72" spans="5:6">
      <c r="E72" t="s">
        <v>193</v>
      </c>
      <c r="F72" t="s">
        <v>811</v>
      </c>
    </row>
    <row r="73" spans="5:6">
      <c r="E73" t="s">
        <v>195</v>
      </c>
    </row>
    <row r="74" spans="5:6">
      <c r="E74" t="s">
        <v>197</v>
      </c>
    </row>
    <row r="75" spans="5:6">
      <c r="E75" t="s">
        <v>199</v>
      </c>
      <c r="F75">
        <v>99302</v>
      </c>
    </row>
    <row r="76" spans="5:6">
      <c r="E76" t="s">
        <v>200</v>
      </c>
      <c r="F76">
        <v>99296</v>
      </c>
    </row>
    <row r="77" spans="5:6">
      <c r="E77" t="s">
        <v>202</v>
      </c>
      <c r="F77">
        <v>99305</v>
      </c>
    </row>
    <row r="78" spans="5:6">
      <c r="E78" t="s">
        <v>204</v>
      </c>
    </row>
    <row r="79" spans="5:6">
      <c r="E79" t="s">
        <v>207</v>
      </c>
      <c r="F79">
        <v>99101</v>
      </c>
    </row>
    <row r="80" spans="5:6">
      <c r="E80" t="s">
        <v>213</v>
      </c>
    </row>
    <row r="81" spans="5:6">
      <c r="E81" t="s">
        <v>210</v>
      </c>
    </row>
    <row r="82" spans="5:6">
      <c r="E82" t="s">
        <v>211</v>
      </c>
      <c r="F82">
        <v>99159</v>
      </c>
    </row>
    <row r="83" spans="5:6">
      <c r="E83" t="s">
        <v>212</v>
      </c>
      <c r="F83">
        <v>99186</v>
      </c>
    </row>
    <row r="84" spans="5:6">
      <c r="E84" t="s">
        <v>211</v>
      </c>
    </row>
    <row r="85" spans="5:6">
      <c r="E85" t="s">
        <v>216</v>
      </c>
    </row>
    <row r="86" spans="5:6">
      <c r="E86" t="s">
        <v>218</v>
      </c>
    </row>
    <row r="87" spans="5:6">
      <c r="E87" t="s">
        <v>220</v>
      </c>
      <c r="F87">
        <v>99161</v>
      </c>
    </row>
    <row r="88" spans="5:6">
      <c r="E88" t="s">
        <v>222</v>
      </c>
      <c r="F88">
        <v>99229</v>
      </c>
    </row>
    <row r="89" spans="5:6">
      <c r="E89" t="s">
        <v>224</v>
      </c>
    </row>
    <row r="90" spans="5:6">
      <c r="E90" t="s">
        <v>222</v>
      </c>
    </row>
    <row r="91" spans="5:6">
      <c r="E91" t="s">
        <v>228</v>
      </c>
    </row>
    <row r="92" spans="5:6">
      <c r="E92" t="s">
        <v>229</v>
      </c>
    </row>
    <row r="93" spans="5:6">
      <c r="E93" t="s">
        <v>231</v>
      </c>
    </row>
    <row r="94" spans="5:6">
      <c r="E94" t="s">
        <v>233</v>
      </c>
      <c r="F94">
        <v>599109</v>
      </c>
    </row>
    <row r="95" spans="5:6">
      <c r="E95" t="s">
        <v>235</v>
      </c>
      <c r="F95" t="s">
        <v>816</v>
      </c>
    </row>
    <row r="96" spans="5:6">
      <c r="E96" t="s">
        <v>233</v>
      </c>
    </row>
    <row r="97" spans="5:6">
      <c r="E97" t="s">
        <v>238</v>
      </c>
    </row>
    <row r="98" spans="5:6">
      <c r="E98" t="s">
        <v>240</v>
      </c>
    </row>
    <row r="99" spans="5:6">
      <c r="E99" t="s">
        <v>242</v>
      </c>
    </row>
    <row r="100" spans="5:6">
      <c r="E100" t="s">
        <v>244</v>
      </c>
      <c r="F100">
        <v>98801</v>
      </c>
    </row>
    <row r="101" spans="5:6">
      <c r="E101" t="s">
        <v>246</v>
      </c>
      <c r="F101">
        <v>48001</v>
      </c>
    </row>
    <row r="102" spans="5:6">
      <c r="E102" t="s">
        <v>248</v>
      </c>
    </row>
    <row r="103" spans="5:6">
      <c r="E103" t="s">
        <v>248</v>
      </c>
    </row>
    <row r="104" spans="5:6">
      <c r="E104" t="s">
        <v>251</v>
      </c>
      <c r="F104">
        <v>99246</v>
      </c>
    </row>
    <row r="105" spans="5:6">
      <c r="E105" t="s">
        <v>254</v>
      </c>
      <c r="F105">
        <v>99307</v>
      </c>
    </row>
    <row r="106" spans="5:6">
      <c r="E106" t="s">
        <v>251</v>
      </c>
      <c r="F106">
        <v>99312</v>
      </c>
    </row>
    <row r="107" spans="5:6">
      <c r="E107" t="s">
        <v>257</v>
      </c>
    </row>
    <row r="108" spans="5:6">
      <c r="E108" t="s">
        <v>259</v>
      </c>
    </row>
    <row r="109" spans="5:6">
      <c r="E109" t="s">
        <v>261</v>
      </c>
      <c r="F109">
        <v>98401</v>
      </c>
    </row>
    <row r="110" spans="5:6">
      <c r="E110" t="s">
        <v>263</v>
      </c>
    </row>
    <row r="111" spans="5:6">
      <c r="E111" t="s">
        <v>265</v>
      </c>
      <c r="F111">
        <v>96901</v>
      </c>
    </row>
    <row r="112" spans="5:6">
      <c r="E112" t="s">
        <v>267</v>
      </c>
      <c r="F112">
        <v>80001</v>
      </c>
    </row>
    <row r="113" spans="5:6">
      <c r="E113" t="s">
        <v>269</v>
      </c>
    </row>
    <row r="114" spans="5:6">
      <c r="E114" t="s">
        <v>271</v>
      </c>
    </row>
    <row r="115" spans="5:6">
      <c r="E115" t="s">
        <v>273</v>
      </c>
    </row>
    <row r="116" spans="5:6">
      <c r="E116" t="s">
        <v>275</v>
      </c>
    </row>
    <row r="117" spans="5:6">
      <c r="E117" t="s">
        <v>276</v>
      </c>
      <c r="F117">
        <v>98987</v>
      </c>
    </row>
    <row r="118" spans="5:6">
      <c r="E118" t="s">
        <v>277</v>
      </c>
      <c r="F118">
        <v>98956</v>
      </c>
    </row>
    <row r="119" spans="5:6">
      <c r="E119" t="s">
        <v>278</v>
      </c>
      <c r="F119">
        <v>98959</v>
      </c>
    </row>
    <row r="120" spans="5:6">
      <c r="E120" t="s">
        <v>279</v>
      </c>
      <c r="F120">
        <v>98955</v>
      </c>
    </row>
    <row r="121" spans="5:6">
      <c r="E121" t="s">
        <v>280</v>
      </c>
      <c r="F121">
        <v>99007</v>
      </c>
    </row>
    <row r="122" spans="5:6">
      <c r="E122" t="s">
        <v>280</v>
      </c>
      <c r="F122">
        <v>98988</v>
      </c>
    </row>
    <row r="123" spans="5:6">
      <c r="E123" t="s">
        <v>278</v>
      </c>
    </row>
    <row r="124" spans="5:6">
      <c r="E124" t="s">
        <v>278</v>
      </c>
      <c r="F124">
        <v>98958</v>
      </c>
    </row>
    <row r="125" spans="5:6">
      <c r="E125" t="s">
        <v>282</v>
      </c>
      <c r="F125">
        <v>98910</v>
      </c>
    </row>
    <row r="126" spans="5:6">
      <c r="E126" t="s">
        <v>283</v>
      </c>
    </row>
    <row r="127" spans="5:6">
      <c r="E127" t="s">
        <v>285</v>
      </c>
      <c r="F127">
        <v>96701</v>
      </c>
    </row>
    <row r="128" spans="5:6">
      <c r="E128" t="s">
        <v>287</v>
      </c>
      <c r="F128">
        <v>96501</v>
      </c>
    </row>
    <row r="129" spans="5:6">
      <c r="E129" t="s">
        <v>289</v>
      </c>
    </row>
    <row r="130" spans="5:6">
      <c r="E130" t="s">
        <v>291</v>
      </c>
      <c r="F130">
        <v>82001</v>
      </c>
    </row>
    <row r="131" spans="5:6">
      <c r="E131" t="s">
        <v>285</v>
      </c>
    </row>
    <row r="132" spans="5:6">
      <c r="E132" t="s">
        <v>293</v>
      </c>
    </row>
    <row r="133" spans="5:6">
      <c r="E133" t="s">
        <v>295</v>
      </c>
    </row>
    <row r="134" spans="5:6">
      <c r="E134" t="s">
        <v>295</v>
      </c>
      <c r="F134">
        <v>98961</v>
      </c>
    </row>
    <row r="135" spans="5:6">
      <c r="E135" t="s">
        <v>295</v>
      </c>
    </row>
    <row r="136" spans="5:6">
      <c r="E136" t="s">
        <v>295</v>
      </c>
    </row>
    <row r="137" spans="5:6">
      <c r="E137" t="s">
        <v>298</v>
      </c>
    </row>
    <row r="138" spans="5:6">
      <c r="E138" t="s">
        <v>300</v>
      </c>
    </row>
    <row r="139" spans="5:6">
      <c r="E139" t="s">
        <v>303</v>
      </c>
    </row>
    <row r="140" spans="5:6">
      <c r="E140" t="s">
        <v>305</v>
      </c>
    </row>
    <row r="141" spans="5:6">
      <c r="E141" t="s">
        <v>181</v>
      </c>
    </row>
    <row r="142" spans="5:6">
      <c r="E142" t="s">
        <v>310</v>
      </c>
    </row>
    <row r="143" spans="5:6">
      <c r="E143" t="s">
        <v>309</v>
      </c>
      <c r="F143">
        <v>98979</v>
      </c>
    </row>
    <row r="144" spans="5:6">
      <c r="E144" t="s">
        <v>312</v>
      </c>
    </row>
    <row r="145" spans="5:6">
      <c r="E145" t="s">
        <v>314</v>
      </c>
    </row>
    <row r="146" spans="5:6">
      <c r="E146" t="s">
        <v>316</v>
      </c>
    </row>
    <row r="147" spans="5:6">
      <c r="E147" t="s">
        <v>318</v>
      </c>
    </row>
    <row r="148" spans="5:6">
      <c r="E148" t="s">
        <v>320</v>
      </c>
    </row>
    <row r="149" spans="5:6">
      <c r="E149" t="s">
        <v>322</v>
      </c>
    </row>
    <row r="150" spans="5:6">
      <c r="E150" t="s">
        <v>324</v>
      </c>
    </row>
    <row r="151" spans="5:6">
      <c r="E151" t="s">
        <v>326</v>
      </c>
    </row>
    <row r="152" spans="5:6">
      <c r="E152" t="s">
        <v>326</v>
      </c>
    </row>
    <row r="153" spans="5:6">
      <c r="E153" t="s">
        <v>327</v>
      </c>
    </row>
    <row r="154" spans="5:6">
      <c r="E154" t="s">
        <v>326</v>
      </c>
    </row>
    <row r="155" spans="5:6">
      <c r="E155" t="s">
        <v>329</v>
      </c>
    </row>
    <row r="156" spans="5:6">
      <c r="E156" t="s">
        <v>331</v>
      </c>
    </row>
    <row r="157" spans="5:6">
      <c r="E157" t="s">
        <v>333</v>
      </c>
    </row>
    <row r="158" spans="5:6">
      <c r="E158" t="s">
        <v>335</v>
      </c>
    </row>
    <row r="159" spans="5:6">
      <c r="E159" t="s">
        <v>336</v>
      </c>
    </row>
    <row r="160" spans="5:6">
      <c r="E160" t="s">
        <v>338</v>
      </c>
      <c r="F160">
        <v>99093</v>
      </c>
    </row>
    <row r="161" spans="5:6">
      <c r="E161" t="s">
        <v>338</v>
      </c>
    </row>
    <row r="162" spans="5:6">
      <c r="E162" t="s">
        <v>340</v>
      </c>
      <c r="F162">
        <v>98990</v>
      </c>
    </row>
    <row r="163" spans="5:6">
      <c r="E163" t="s">
        <v>342</v>
      </c>
    </row>
    <row r="164" spans="5:6">
      <c r="E164" t="s">
        <v>344</v>
      </c>
      <c r="F164">
        <v>99058</v>
      </c>
    </row>
    <row r="165" spans="5:6">
      <c r="E165" t="s">
        <v>344</v>
      </c>
    </row>
    <row r="166" spans="5:6">
      <c r="E166" t="s">
        <v>344</v>
      </c>
    </row>
    <row r="167" spans="5:6">
      <c r="E167" t="s">
        <v>344</v>
      </c>
    </row>
    <row r="168" spans="5:6">
      <c r="E168" t="s">
        <v>352</v>
      </c>
      <c r="F168">
        <v>99067</v>
      </c>
    </row>
    <row r="169" spans="5:6">
      <c r="E169" t="s">
        <v>354</v>
      </c>
      <c r="F169">
        <v>99113</v>
      </c>
    </row>
    <row r="170" spans="5:6">
      <c r="E170" t="s">
        <v>355</v>
      </c>
      <c r="F170">
        <v>99065</v>
      </c>
    </row>
    <row r="171" spans="5:6">
      <c r="E171" t="s">
        <v>356</v>
      </c>
    </row>
    <row r="172" spans="5:6">
      <c r="E172" t="s">
        <v>358</v>
      </c>
      <c r="F172">
        <v>99069</v>
      </c>
    </row>
    <row r="173" spans="5:6">
      <c r="E173" t="s">
        <v>360</v>
      </c>
    </row>
    <row r="174" spans="5:6">
      <c r="E174" t="s">
        <v>362</v>
      </c>
      <c r="F174">
        <v>99134</v>
      </c>
    </row>
    <row r="175" spans="5:6">
      <c r="E175" t="s">
        <v>365</v>
      </c>
    </row>
    <row r="176" spans="5:6">
      <c r="E176" t="s">
        <v>367</v>
      </c>
    </row>
    <row r="177" spans="5:6">
      <c r="E177" t="s">
        <v>369</v>
      </c>
    </row>
    <row r="178" spans="5:6">
      <c r="E178" t="s">
        <v>371</v>
      </c>
    </row>
    <row r="179" spans="5:6">
      <c r="E179" t="s">
        <v>373</v>
      </c>
    </row>
    <row r="180" spans="5:6">
      <c r="E180" t="s">
        <v>338</v>
      </c>
      <c r="F180">
        <v>99095</v>
      </c>
    </row>
    <row r="181" spans="5:6">
      <c r="E181" t="s">
        <v>338</v>
      </c>
      <c r="F181">
        <v>99094</v>
      </c>
    </row>
    <row r="182" spans="5:6">
      <c r="E182" t="s">
        <v>376</v>
      </c>
    </row>
    <row r="183" spans="5:6">
      <c r="E183" t="s">
        <v>378</v>
      </c>
    </row>
    <row r="184" spans="5:6">
      <c r="E184" t="s">
        <v>380</v>
      </c>
    </row>
    <row r="185" spans="5:6">
      <c r="E185" t="s">
        <v>382</v>
      </c>
      <c r="F185">
        <v>99132</v>
      </c>
    </row>
    <row r="186" spans="5:6">
      <c r="E186" t="s">
        <v>383</v>
      </c>
    </row>
    <row r="187" spans="5:6">
      <c r="E187" t="s">
        <v>385</v>
      </c>
    </row>
    <row r="188" spans="5:6">
      <c r="E188" t="s">
        <v>387</v>
      </c>
    </row>
    <row r="189" spans="5:6">
      <c r="E189" t="s">
        <v>389</v>
      </c>
    </row>
    <row r="190" spans="5:6">
      <c r="E190" t="s">
        <v>385</v>
      </c>
      <c r="F190">
        <v>99128</v>
      </c>
    </row>
    <row r="191" spans="5:6">
      <c r="E191" t="s">
        <v>393</v>
      </c>
    </row>
    <row r="192" spans="5:6">
      <c r="E192" t="s">
        <v>794</v>
      </c>
      <c r="F192">
        <v>99297</v>
      </c>
    </row>
  </sheetData>
  <pageMargins left="0.7" right="0.7" top="0.75" bottom="0.75" header="0.3" footer="0.3"/>
  <tableParts count="2">
    <tablePart r:id="rId1"/>
    <tablePart r:id="rId2"/>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pageSetUpPr fitToPage="1"/>
  </sheetPr>
  <dimension ref="A1:AC96"/>
  <sheetViews>
    <sheetView topLeftCell="A18" workbookViewId="0">
      <selection activeCell="D49" sqref="D49:D50"/>
    </sheetView>
  </sheetViews>
  <sheetFormatPr baseColWidth="10" defaultColWidth="8.83203125" defaultRowHeight="12" x14ac:dyDescent="0"/>
  <cols>
    <col min="1" max="1" width="16.6640625" style="24" customWidth="1"/>
    <col min="2" max="2" width="30.83203125" style="17" bestFit="1" customWidth="1"/>
    <col min="3" max="3" width="8.83203125" style="146"/>
    <col min="4" max="4" width="22.33203125" style="146" customWidth="1"/>
    <col min="5" max="5" width="14.1640625" style="17" customWidth="1"/>
    <col min="6" max="6" width="15.6640625" style="24" customWidth="1"/>
    <col min="7" max="7" width="13" style="24" hidden="1" customWidth="1"/>
    <col min="8" max="8" width="15.6640625" style="24" hidden="1" customWidth="1"/>
    <col min="9" max="9" width="10" style="24" hidden="1" customWidth="1"/>
    <col min="10" max="10" width="0" style="24" hidden="1" customWidth="1"/>
    <col min="11" max="13" width="8.83203125" style="24"/>
    <col min="14" max="14" width="24.5" style="24" bestFit="1" customWidth="1"/>
    <col min="15" max="16384" width="8.83203125" style="24"/>
  </cols>
  <sheetData>
    <row r="1" spans="1:29" s="139" customFormat="1" ht="20">
      <c r="A1" s="261"/>
      <c r="B1" s="261"/>
      <c r="C1" s="261"/>
      <c r="D1" s="261"/>
      <c r="E1" s="261"/>
    </row>
    <row r="2" spans="1:29" s="139" customFormat="1" ht="20">
      <c r="A2" s="262"/>
      <c r="B2" s="262"/>
      <c r="C2" s="262"/>
      <c r="D2" s="262"/>
      <c r="E2" s="262"/>
      <c r="F2" s="184" t="s">
        <v>1143</v>
      </c>
      <c r="G2" s="185"/>
      <c r="H2" s="185"/>
      <c r="I2" s="185"/>
      <c r="J2" s="185"/>
      <c r="K2" s="185"/>
      <c r="L2" s="185"/>
      <c r="M2" s="185"/>
      <c r="N2" s="185"/>
      <c r="O2" s="185"/>
      <c r="P2" s="185"/>
      <c r="Q2" s="185"/>
      <c r="R2" s="185"/>
      <c r="S2" s="185"/>
      <c r="T2" s="185"/>
      <c r="U2" s="185"/>
      <c r="V2" s="185"/>
      <c r="W2" s="185"/>
      <c r="X2" s="185"/>
      <c r="Y2" s="185"/>
      <c r="Z2" s="185"/>
      <c r="AA2" s="185"/>
      <c r="AB2" s="185"/>
      <c r="AC2" s="185"/>
    </row>
    <row r="3" spans="1:29" s="139" customFormat="1" ht="20">
      <c r="B3" s="140"/>
      <c r="C3" s="141"/>
      <c r="D3" s="141"/>
      <c r="E3" s="140"/>
    </row>
    <row r="4" spans="1:29" ht="48.75" customHeight="1">
      <c r="A4" s="142" t="s">
        <v>1114</v>
      </c>
      <c r="B4" s="143" t="s">
        <v>824</v>
      </c>
      <c r="C4" s="144" t="s">
        <v>745</v>
      </c>
      <c r="D4" s="145" t="s">
        <v>746</v>
      </c>
      <c r="E4" s="144" t="s">
        <v>747</v>
      </c>
      <c r="F4" s="24" t="s">
        <v>1109</v>
      </c>
      <c r="G4" s="24" t="s">
        <v>1110</v>
      </c>
      <c r="H4" s="24" t="s">
        <v>1111</v>
      </c>
      <c r="I4" s="24" t="s">
        <v>1112</v>
      </c>
      <c r="J4" s="24" t="s">
        <v>1113</v>
      </c>
      <c r="K4" s="142" t="s">
        <v>1128</v>
      </c>
      <c r="M4"/>
      <c r="N4" t="s">
        <v>1276</v>
      </c>
    </row>
    <row r="5" spans="1:29" s="139" customFormat="1" ht="20">
      <c r="A5">
        <v>99265</v>
      </c>
      <c r="B5" t="s">
        <v>1118</v>
      </c>
      <c r="C5" s="151">
        <f>ROUND(INDEX(Table4[OIL],MATCH(Table2[[#This Row],[Rox Wolf'#]],Table4[Wolf],0)),0)</f>
        <v>0</v>
      </c>
      <c r="D5" s="151">
        <f>INDEX(Table4[GAS],MATCH(Table2[[#This Row],[Rox Wolf'#]],Table4[Wolf],0))</f>
        <v>6063</v>
      </c>
      <c r="E5" s="151">
        <f>INDEX(Table4[LEASE USE],MATCH(Table2[[#This Row],[Rox Wolf'#]],Table4[Wolf],0))</f>
        <v>219</v>
      </c>
      <c r="F5" s="153"/>
      <c r="G5" s="153"/>
      <c r="H5" s="153"/>
      <c r="I5" s="153"/>
      <c r="J5" s="149">
        <f>COUNTIF(FilterList,#REF!)</f>
        <v>0</v>
      </c>
      <c r="K5" s="153"/>
      <c r="M5" s="24"/>
      <c r="N5" s="233">
        <v>99265</v>
      </c>
    </row>
    <row r="6" spans="1:29" ht="14">
      <c r="A6">
        <v>99266</v>
      </c>
      <c r="B6" t="s">
        <v>1119</v>
      </c>
      <c r="C6" s="151">
        <f>ROUND(INDEX(Table4[OIL],MATCH(Table2[[#This Row],[Rox Wolf'#]],Table4[Wolf],0)),0)</f>
        <v>0</v>
      </c>
      <c r="D6" s="159">
        <f>INDEX(Table4[GAS],MATCH(Table2[[#This Row],[Rox Wolf'#]],Table4[Wolf],0))</f>
        <v>2464</v>
      </c>
      <c r="E6" s="159">
        <f>INDEX(Table4[LEASE USE],MATCH(Table2[[#This Row],[Rox Wolf'#]],Table4[Wolf],0))</f>
        <v>89</v>
      </c>
      <c r="F6" s="153"/>
      <c r="G6" s="153"/>
      <c r="H6" s="153"/>
      <c r="I6" s="153"/>
      <c r="J6" s="149">
        <f>COUNTIF(FilterList,#REF!)</f>
        <v>0</v>
      </c>
      <c r="K6" s="153"/>
      <c r="N6" s="234">
        <v>99266</v>
      </c>
    </row>
    <row r="7" spans="1:29" ht="14">
      <c r="A7">
        <v>99267</v>
      </c>
      <c r="B7" t="s">
        <v>1120</v>
      </c>
      <c r="C7" s="151">
        <f>ROUND(INDEX(Table4[OIL],MATCH(Table2[[#This Row],[Rox Wolf'#]],Table4[Wolf],0)),0)</f>
        <v>0</v>
      </c>
      <c r="D7" s="159">
        <f>INDEX(Table4[GAS],MATCH(Table2[[#This Row],[Rox Wolf'#]],Table4[Wolf],0))</f>
        <v>96</v>
      </c>
      <c r="E7" s="159">
        <f>INDEX(Table4[LEASE USE],MATCH(Table2[[#This Row],[Rox Wolf'#]],Table4[Wolf],0))</f>
        <v>5</v>
      </c>
      <c r="F7" s="153"/>
      <c r="G7" s="153"/>
      <c r="H7" s="153"/>
      <c r="I7" s="153"/>
      <c r="J7" s="149">
        <f>COUNTIF(FilterList,#REF!)</f>
        <v>0</v>
      </c>
      <c r="K7" s="153"/>
      <c r="N7" s="233">
        <v>99267</v>
      </c>
    </row>
    <row r="8" spans="1:29" ht="14">
      <c r="A8">
        <v>99229</v>
      </c>
      <c r="B8" t="s">
        <v>748</v>
      </c>
      <c r="C8" s="152">
        <f>ROUND(INDEX(Table4[OIL],MATCH(Table2[[#This Row],[Rox Wolf'#]],Table4[Wolf],0)),0)</f>
        <v>0</v>
      </c>
      <c r="D8" s="158">
        <f>INDEX(Table4[GAS],MATCH(Table2[[#This Row],[Rox Wolf'#]],Table4[Wolf],0))</f>
        <v>0</v>
      </c>
      <c r="E8" s="152">
        <f>INDEX(Table4[LEASE USE],MATCH(Table2[[#This Row],[Rox Wolf'#]],Table4[Wolf],0))</f>
        <v>0</v>
      </c>
      <c r="F8" s="153"/>
      <c r="G8" s="153"/>
      <c r="H8" s="153"/>
      <c r="I8" s="153"/>
      <c r="J8" s="149">
        <f>COUNTIF(FilterList,#REF!)</f>
        <v>0</v>
      </c>
      <c r="K8" s="153"/>
      <c r="N8" s="234">
        <v>99229</v>
      </c>
    </row>
    <row r="9" spans="1:29" ht="14">
      <c r="A9" s="183">
        <v>99282</v>
      </c>
      <c r="B9" s="183" t="s">
        <v>1263</v>
      </c>
      <c r="C9" s="152">
        <f>ROUND(INDEX(Table4[OIL],MATCH(Table2[[#This Row],[Rox Wolf'#]],Table4[Wolf],0)),0)</f>
        <v>0</v>
      </c>
      <c r="D9" s="158">
        <f>INDEX(Table4[GAS],MATCH(Table2[[#This Row],[Rox Wolf'#]],Table4[Wolf],0))</f>
        <v>0</v>
      </c>
      <c r="E9" s="152">
        <f>INDEX(Table4[LEASE USE],MATCH(Table2[[#This Row],[Rox Wolf'#]],Table4[Wolf],0))</f>
        <v>0</v>
      </c>
      <c r="F9" s="153"/>
      <c r="G9" s="153"/>
      <c r="H9" s="153"/>
      <c r="I9" s="153"/>
      <c r="J9" s="149">
        <f>COUNTIF(FilterList,#REF!)</f>
        <v>0</v>
      </c>
      <c r="K9" s="153"/>
      <c r="N9" s="233">
        <v>99282</v>
      </c>
    </row>
    <row r="10" spans="1:29" ht="14">
      <c r="A10">
        <v>93701</v>
      </c>
      <c r="B10" t="s">
        <v>795</v>
      </c>
      <c r="C10" s="152">
        <f>ROUND(INDEX(Table4[OIL],MATCH(Table2[[#This Row],[Rox Wolf'#]],Table4[Wolf],0)),0)</f>
        <v>0</v>
      </c>
      <c r="D10" s="158">
        <f>INDEX(Table4[GAS],MATCH(Table2[[#This Row],[Rox Wolf'#]],Table4[Wolf],0))</f>
        <v>0</v>
      </c>
      <c r="E10" s="152">
        <f>INDEX(Table4[LEASE USE],MATCH(Table2[[#This Row],[Rox Wolf'#]],Table4[Wolf],0))</f>
        <v>0</v>
      </c>
      <c r="F10" s="153"/>
      <c r="G10" s="153"/>
      <c r="H10" s="153"/>
      <c r="I10" s="153"/>
      <c r="J10" s="149">
        <f>COUNTIF(FilterList,#REF!)</f>
        <v>0</v>
      </c>
      <c r="K10" s="153"/>
      <c r="N10" s="234">
        <v>93701</v>
      </c>
    </row>
    <row r="11" spans="1:29" ht="14" hidden="1">
      <c r="A11">
        <v>99170</v>
      </c>
      <c r="B11" t="s">
        <v>797</v>
      </c>
      <c r="C11" s="152">
        <f>ROUND(INDEX(Table4[OIL],MATCH(Table2[[#This Row],[Rox Wolf'#]],Table4[Wolf],0)),0)</f>
        <v>0</v>
      </c>
      <c r="D11" s="158">
        <f>INDEX(Table4[GAS],MATCH(Table2[[#This Row],[Rox Wolf'#]],Table4[Wolf],0))</f>
        <v>0</v>
      </c>
      <c r="E11" s="152">
        <f>INDEX(Table4[LEASE USE],MATCH(Table2[[#This Row],[Rox Wolf'#]],Table4[Wolf],0))</f>
        <v>0</v>
      </c>
      <c r="F11" s="153"/>
      <c r="G11" s="153"/>
      <c r="H11" s="153"/>
      <c r="I11" s="153"/>
      <c r="J11" s="149">
        <f>COUNTIF(FilterList,#REF!)</f>
        <v>0</v>
      </c>
      <c r="K11" s="154" t="s">
        <v>1129</v>
      </c>
      <c r="M11"/>
      <c r="N11" s="233">
        <v>99170</v>
      </c>
    </row>
    <row r="12" spans="1:29" ht="14">
      <c r="A12">
        <v>96701</v>
      </c>
      <c r="B12" t="s">
        <v>749</v>
      </c>
      <c r="C12" s="152">
        <f>ROUND(INDEX(Table4[OIL],MATCH(Table2[[#This Row],[Rox Wolf'#]],Table4[Wolf],0)),0)</f>
        <v>0</v>
      </c>
      <c r="D12" s="158">
        <f>INDEX(Table4[GAS],MATCH(Table2[[#This Row],[Rox Wolf'#]],Table4[Wolf],0))</f>
        <v>0</v>
      </c>
      <c r="E12" s="152">
        <f>INDEX(Table4[LEASE USE],MATCH(Table2[[#This Row],[Rox Wolf'#]],Table4[Wolf],0))</f>
        <v>0</v>
      </c>
      <c r="F12" s="153"/>
      <c r="G12" s="153"/>
      <c r="H12" s="153"/>
      <c r="I12" s="153"/>
      <c r="J12" s="149">
        <f>COUNTIF(FilterList,#REF!)</f>
        <v>0</v>
      </c>
      <c r="K12" s="153"/>
      <c r="M12"/>
      <c r="N12" s="234">
        <v>96701</v>
      </c>
    </row>
    <row r="13" spans="1:29" ht="14">
      <c r="A13">
        <v>82001</v>
      </c>
      <c r="B13" t="s">
        <v>750</v>
      </c>
      <c r="C13" s="152">
        <f>ROUND(INDEX(Table4[OIL],MATCH(Table2[[#This Row],[Rox Wolf'#]],Table4[Wolf],0)),0)</f>
        <v>0</v>
      </c>
      <c r="D13" s="158">
        <f>INDEX(Table4[GAS],MATCH(Table2[[#This Row],[Rox Wolf'#]],Table4[Wolf],0))</f>
        <v>33</v>
      </c>
      <c r="E13" s="152">
        <f>INDEX(Table4[LEASE USE],MATCH(Table2[[#This Row],[Rox Wolf'#]],Table4[Wolf],0))</f>
        <v>0</v>
      </c>
      <c r="F13" s="153"/>
      <c r="G13" s="153"/>
      <c r="H13" s="153"/>
      <c r="I13" s="153"/>
      <c r="J13" s="149">
        <f>COUNTIF(FilterList,#REF!)</f>
        <v>0</v>
      </c>
      <c r="K13" s="153"/>
      <c r="M13"/>
      <c r="N13" s="233">
        <v>82001</v>
      </c>
    </row>
    <row r="14" spans="1:29" ht="14">
      <c r="A14">
        <v>96501</v>
      </c>
      <c r="B14" t="s">
        <v>751</v>
      </c>
      <c r="C14" s="152">
        <f>ROUND(INDEX(Table4[OIL],MATCH(Table2[[#This Row],[Rox Wolf'#]],Table4[Wolf],0)),0)</f>
        <v>0</v>
      </c>
      <c r="D14" s="158">
        <f>INDEX(Table4[GAS],MATCH(Table2[[#This Row],[Rox Wolf'#]],Table4[Wolf],0))</f>
        <v>2049</v>
      </c>
      <c r="E14" s="152">
        <f>INDEX(Table4[LEASE USE],MATCH(Table2[[#This Row],[Rox Wolf'#]],Table4[Wolf],0))</f>
        <v>93</v>
      </c>
      <c r="F14" s="153"/>
      <c r="G14" s="153"/>
      <c r="H14" s="153"/>
      <c r="I14" s="153"/>
      <c r="J14" s="149">
        <f>COUNTIF(FilterList,#REF!)</f>
        <v>0</v>
      </c>
      <c r="K14" s="153"/>
      <c r="L14"/>
      <c r="M14"/>
      <c r="N14" s="234">
        <v>96501</v>
      </c>
      <c r="O14"/>
    </row>
    <row r="15" spans="1:29" ht="14">
      <c r="A15">
        <v>99230</v>
      </c>
      <c r="B15" t="s">
        <v>752</v>
      </c>
      <c r="C15" s="152">
        <f>ROUND(INDEX(Table4[OIL],MATCH(Table2[[#This Row],[Rox Wolf'#]],Table4[Wolf],0)),0)</f>
        <v>0</v>
      </c>
      <c r="D15" s="158">
        <f>INDEX(Table4[GAS],MATCH(Table2[[#This Row],[Rox Wolf'#]],Table4[Wolf],0))</f>
        <v>1969</v>
      </c>
      <c r="E15" s="152">
        <f>INDEX(Table4[LEASE USE],MATCH(Table2[[#This Row],[Rox Wolf'#]],Table4[Wolf],0))</f>
        <v>0</v>
      </c>
      <c r="F15" s="153"/>
      <c r="G15" s="153"/>
      <c r="H15" s="153"/>
      <c r="I15" s="153"/>
      <c r="J15" s="149">
        <f>COUNTIF(FilterList,#REF!)</f>
        <v>0</v>
      </c>
      <c r="K15" s="153"/>
      <c r="L15"/>
      <c r="M15"/>
      <c r="N15" s="233">
        <v>99230</v>
      </c>
      <c r="O15"/>
    </row>
    <row r="16" spans="1:29" ht="14">
      <c r="A16">
        <v>99286</v>
      </c>
      <c r="B16" t="s">
        <v>753</v>
      </c>
      <c r="C16" s="152">
        <f>ROUND(INDEX(Table4[OIL],MATCH(Table2[[#This Row],[Rox Wolf'#]],Table4[Wolf],0)),0)</f>
        <v>0</v>
      </c>
      <c r="D16" s="158">
        <f>INDEX(Table4[GAS],MATCH(Table2[[#This Row],[Rox Wolf'#]],Table4[Wolf],0))</f>
        <v>795</v>
      </c>
      <c r="E16" s="152">
        <f>INDEX(Table4[LEASE USE],MATCH(Table2[[#This Row],[Rox Wolf'#]],Table4[Wolf],0))</f>
        <v>62</v>
      </c>
      <c r="F16" s="153"/>
      <c r="G16" s="153"/>
      <c r="H16" s="153"/>
      <c r="I16" s="153"/>
      <c r="J16" s="149">
        <f>COUNTIF(FilterList,#REF!)</f>
        <v>0</v>
      </c>
      <c r="K16" s="153"/>
      <c r="L16"/>
      <c r="M16"/>
      <c r="N16" s="234">
        <v>99286</v>
      </c>
      <c r="O16"/>
    </row>
    <row r="17" spans="1:15" ht="14">
      <c r="A17">
        <v>99294</v>
      </c>
      <c r="B17" t="s">
        <v>754</v>
      </c>
      <c r="C17" s="152">
        <f>ROUND(INDEX(Table4[OIL],MATCH(Table2[[#This Row],[Rox Wolf'#]],Table4[Wolf],0)),0)</f>
        <v>0</v>
      </c>
      <c r="D17" s="158">
        <f>INDEX(Table4[GAS],MATCH(Table2[[#This Row],[Rox Wolf'#]],Table4[Wolf],0))</f>
        <v>1141</v>
      </c>
      <c r="E17" s="152">
        <f>INDEX(Table4[LEASE USE],MATCH(Table2[[#This Row],[Rox Wolf'#]],Table4[Wolf],0))</f>
        <v>31</v>
      </c>
      <c r="F17" s="153"/>
      <c r="G17" s="153"/>
      <c r="H17" s="153"/>
      <c r="I17" s="153"/>
      <c r="J17" s="149">
        <f>COUNTIF(FilterList,#REF!)</f>
        <v>0</v>
      </c>
      <c r="K17" s="153"/>
      <c r="L17"/>
      <c r="M17"/>
      <c r="N17" s="233">
        <v>99294</v>
      </c>
      <c r="O17"/>
    </row>
    <row r="18" spans="1:15" ht="14">
      <c r="A18">
        <v>99293</v>
      </c>
      <c r="B18" t="s">
        <v>755</v>
      </c>
      <c r="C18" s="152">
        <f>ROUND(INDEX(Table4[OIL],MATCH(Table2[[#This Row],[Rox Wolf'#]],Table4[Wolf],0)),0)</f>
        <v>0</v>
      </c>
      <c r="D18" s="158">
        <f>INDEX(Table4[GAS],MATCH(Table2[[#This Row],[Rox Wolf'#]],Table4[Wolf],0))</f>
        <v>0</v>
      </c>
      <c r="E18" s="152">
        <f>INDEX(Table4[LEASE USE],MATCH(Table2[[#This Row],[Rox Wolf'#]],Table4[Wolf],0))</f>
        <v>1</v>
      </c>
      <c r="F18" s="153"/>
      <c r="G18" s="153"/>
      <c r="H18" s="153"/>
      <c r="I18" s="153"/>
      <c r="J18" s="149">
        <f>COUNTIF(FilterList,#REF!)</f>
        <v>0</v>
      </c>
      <c r="K18" s="153"/>
      <c r="L18"/>
      <c r="M18"/>
      <c r="N18" s="234">
        <v>99293</v>
      </c>
      <c r="O18"/>
    </row>
    <row r="19" spans="1:15" ht="14">
      <c r="A19">
        <v>99295</v>
      </c>
      <c r="B19" t="s">
        <v>756</v>
      </c>
      <c r="C19" s="152">
        <f>ROUND(INDEX(Table4[OIL],MATCH(Table2[[#This Row],[Rox Wolf'#]],Table4[Wolf],0)),0)</f>
        <v>0</v>
      </c>
      <c r="D19" s="158">
        <f>INDEX(Table4[GAS],MATCH(Table2[[#This Row],[Rox Wolf'#]],Table4[Wolf],0))</f>
        <v>0</v>
      </c>
      <c r="E19" s="152">
        <f>INDEX(Table4[LEASE USE],MATCH(Table2[[#This Row],[Rox Wolf'#]],Table4[Wolf],0))</f>
        <v>0</v>
      </c>
      <c r="F19" s="153"/>
      <c r="G19" s="153"/>
      <c r="H19" s="153"/>
      <c r="I19" s="153"/>
      <c r="J19" s="149">
        <f>COUNTIF(FilterList,#REF!)</f>
        <v>0</v>
      </c>
      <c r="K19" s="153"/>
      <c r="L19"/>
      <c r="N19" s="233">
        <v>99295</v>
      </c>
      <c r="O19"/>
    </row>
    <row r="20" spans="1:15" ht="14">
      <c r="A20">
        <v>99228</v>
      </c>
      <c r="B20" t="s">
        <v>77</v>
      </c>
      <c r="C20" s="152">
        <f>ROUND(INDEX(Table4[OIL],MATCH(Table2[[#This Row],[Rox Wolf'#]],Table4[Wolf],0)),0)</f>
        <v>0</v>
      </c>
      <c r="D20" s="157">
        <f>INDEX(Table4[GAS],MATCH(Table2[[#This Row],[Rox Wolf'#]],Table4[Wolf],0))</f>
        <v>0</v>
      </c>
      <c r="E20" s="152">
        <f>INDEX(Table4[LEASE USE],MATCH(Table2[[#This Row],[Rox Wolf'#]],Table4[Wolf],0))</f>
        <v>0</v>
      </c>
      <c r="F20" s="153"/>
      <c r="G20" s="153"/>
      <c r="H20" s="153"/>
      <c r="I20" s="153"/>
      <c r="J20" s="149">
        <f>COUNTIF(FilterList,#REF!)</f>
        <v>0</v>
      </c>
      <c r="K20" s="153"/>
      <c r="L20"/>
      <c r="N20" s="234">
        <v>99228</v>
      </c>
      <c r="O20"/>
    </row>
    <row r="21" spans="1:15" ht="14" hidden="1">
      <c r="A21">
        <v>99200</v>
      </c>
      <c r="B21" t="s">
        <v>799</v>
      </c>
      <c r="C21" s="152">
        <f>ROUND(INDEX(Table4[OIL],MATCH(Table2[[#This Row],[Rox Wolf'#]],Table4[Wolf],0)),0)</f>
        <v>0</v>
      </c>
      <c r="D21" s="158">
        <f>INDEX(Table4[GAS],MATCH(Table2[[#This Row],[Rox Wolf'#]],Table4[Wolf],0))</f>
        <v>0</v>
      </c>
      <c r="E21" s="152">
        <f>INDEX(Table4[LEASE USE],MATCH(Table2[[#This Row],[Rox Wolf'#]],Table4[Wolf],0))</f>
        <v>0</v>
      </c>
      <c r="F21" s="153"/>
      <c r="G21" s="153"/>
      <c r="H21" s="153"/>
      <c r="I21" s="153"/>
      <c r="J21" s="149">
        <f>COUNTIF(FilterList,#REF!)</f>
        <v>0</v>
      </c>
      <c r="K21" s="154" t="s">
        <v>1130</v>
      </c>
      <c r="L21"/>
      <c r="N21" s="233">
        <v>99200</v>
      </c>
      <c r="O21"/>
    </row>
    <row r="22" spans="1:15" ht="14">
      <c r="A22">
        <v>99255</v>
      </c>
      <c r="B22" t="s">
        <v>757</v>
      </c>
      <c r="C22" s="152">
        <f>ROUND(INDEX(Table4[OIL],MATCH(Table2[[#This Row],[Rox Wolf'#]],Table4[Wolf],0)),0)</f>
        <v>0</v>
      </c>
      <c r="D22" s="158">
        <f>INDEX(Table4[GAS],MATCH(Table2[[#This Row],[Rox Wolf'#]],Table4[Wolf],0))</f>
        <v>0</v>
      </c>
      <c r="E22" s="152">
        <f>INDEX(Table4[LEASE USE],MATCH(Table2[[#This Row],[Rox Wolf'#]],Table4[Wolf],0))</f>
        <v>0</v>
      </c>
      <c r="F22" s="153"/>
      <c r="G22" s="153"/>
      <c r="H22" s="153"/>
      <c r="I22" s="153"/>
      <c r="J22" s="149">
        <f>COUNTIF(FilterList,#REF!)</f>
        <v>0</v>
      </c>
      <c r="K22" s="153"/>
      <c r="N22" s="234">
        <v>99255</v>
      </c>
    </row>
    <row r="23" spans="1:15" ht="14">
      <c r="A23">
        <v>98921</v>
      </c>
      <c r="B23" t="s">
        <v>800</v>
      </c>
      <c r="C23" s="152">
        <f>ROUND(INDEX(Table4[OIL],MATCH(Table2[[#This Row],[Rox Wolf'#]],Table4[Wolf],0)),0)</f>
        <v>0</v>
      </c>
      <c r="D23" s="158">
        <f>INDEX(Table4[GAS],MATCH(Table2[[#This Row],[Rox Wolf'#]],Table4[Wolf],0))</f>
        <v>0</v>
      </c>
      <c r="E23" s="152">
        <f>INDEX(Table4[LEASE USE],MATCH(Table2[[#This Row],[Rox Wolf'#]],Table4[Wolf],0))</f>
        <v>0</v>
      </c>
      <c r="F23" s="153"/>
      <c r="G23" s="153"/>
      <c r="H23" s="153"/>
      <c r="I23" s="153"/>
      <c r="J23" s="149">
        <f>COUNTIF(FilterList,#REF!)</f>
        <v>0</v>
      </c>
      <c r="K23" s="153"/>
      <c r="N23" s="233">
        <v>98921</v>
      </c>
    </row>
    <row r="24" spans="1:15" ht="14">
      <c r="A24">
        <v>99017</v>
      </c>
      <c r="B24" t="s">
        <v>758</v>
      </c>
      <c r="C24" s="152">
        <f>ROUND(INDEX(Table4[OIL],MATCH(Table2[[#This Row],[Rox Wolf'#]],Table4[Wolf],0)),0)</f>
        <v>0</v>
      </c>
      <c r="D24" s="158">
        <f>INDEX(Table4[GAS],MATCH(Table2[[#This Row],[Rox Wolf'#]],Table4[Wolf],0))</f>
        <v>4443</v>
      </c>
      <c r="E24" s="152">
        <f>INDEX(Table4[LEASE USE],MATCH(Table2[[#This Row],[Rox Wolf'#]],Table4[Wolf],0))</f>
        <v>217</v>
      </c>
      <c r="F24" s="153"/>
      <c r="G24" s="153"/>
      <c r="H24" s="153"/>
      <c r="I24" s="153"/>
      <c r="J24" s="149">
        <f>COUNTIF(FilterList,#REF!)</f>
        <v>0</v>
      </c>
      <c r="K24" s="153"/>
      <c r="N24" s="234">
        <v>99017</v>
      </c>
    </row>
    <row r="25" spans="1:15" ht="14">
      <c r="A25">
        <v>99067</v>
      </c>
      <c r="B25" t="s">
        <v>759</v>
      </c>
      <c r="C25" s="152">
        <f>ROUND(INDEX(Table4[OIL],MATCH(Table2[[#This Row],[Rox Wolf'#]],Table4[Wolf],0)),0)</f>
        <v>0</v>
      </c>
      <c r="D25" s="158">
        <f>INDEX(Table4[GAS],MATCH(Table2[[#This Row],[Rox Wolf'#]],Table4[Wolf],0))</f>
        <v>182</v>
      </c>
      <c r="E25" s="152">
        <f>INDEX(Table4[LEASE USE],MATCH(Table2[[#This Row],[Rox Wolf'#]],Table4[Wolf],0))</f>
        <v>0</v>
      </c>
      <c r="F25" s="153"/>
      <c r="G25" s="153"/>
      <c r="H25" s="153"/>
      <c r="I25" s="153"/>
      <c r="J25" s="149">
        <f>COUNTIF(FilterList,#REF!)</f>
        <v>0</v>
      </c>
      <c r="K25" s="153"/>
      <c r="N25" s="233">
        <v>99067</v>
      </c>
    </row>
    <row r="26" spans="1:15" ht="14">
      <c r="A26">
        <v>99169</v>
      </c>
      <c r="B26" t="s">
        <v>801</v>
      </c>
      <c r="C26" s="152">
        <f>ROUND(INDEX(Table4[OIL],MATCH(Table2[[#This Row],[Rox Wolf'#]],Table4[Wolf],0)),0)</f>
        <v>0</v>
      </c>
      <c r="D26" s="158">
        <f>INDEX(Table4[GAS],MATCH(Table2[[#This Row],[Rox Wolf'#]],Table4[Wolf],0))</f>
        <v>0</v>
      </c>
      <c r="E26" s="152">
        <f>INDEX(Table4[LEASE USE],MATCH(Table2[[#This Row],[Rox Wolf'#]],Table4[Wolf],0))</f>
        <v>0</v>
      </c>
      <c r="F26" s="153"/>
      <c r="G26" s="153"/>
      <c r="H26" s="153"/>
      <c r="I26" s="153"/>
      <c r="J26" s="149">
        <f>COUNTIF(FilterList,#REF!)</f>
        <v>0</v>
      </c>
      <c r="K26" s="153"/>
      <c r="N26" s="234">
        <v>99169</v>
      </c>
    </row>
    <row r="27" spans="1:15" ht="14">
      <c r="A27">
        <v>99069</v>
      </c>
      <c r="B27" t="s">
        <v>760</v>
      </c>
      <c r="C27" s="152">
        <f>ROUND(INDEX(Table4[OIL],MATCH(Table2[[#This Row],[Rox Wolf'#]],Table4[Wolf],0)),0)</f>
        <v>0</v>
      </c>
      <c r="D27" s="158">
        <f>INDEX(Table4[GAS],MATCH(Table2[[#This Row],[Rox Wolf'#]],Table4[Wolf],0))</f>
        <v>0</v>
      </c>
      <c r="E27" s="152">
        <f>INDEX(Table4[LEASE USE],MATCH(Table2[[#This Row],[Rox Wolf'#]],Table4[Wolf],0))</f>
        <v>0</v>
      </c>
      <c r="F27" s="153"/>
      <c r="G27" s="153"/>
      <c r="H27" s="153"/>
      <c r="I27" s="153"/>
      <c r="J27" s="149">
        <f>COUNTIF(FilterList,#REF!)</f>
        <v>0</v>
      </c>
      <c r="K27" s="153"/>
      <c r="N27" s="233">
        <v>99069</v>
      </c>
    </row>
    <row r="28" spans="1:15" ht="14">
      <c r="A28">
        <v>98965</v>
      </c>
      <c r="B28" t="s">
        <v>761</v>
      </c>
      <c r="C28" s="152">
        <f>ROUND(INDEX(Table4[OIL],MATCH(Table2[[#This Row],[Rox Wolf'#]],Table4[Wolf],0)),0)</f>
        <v>0</v>
      </c>
      <c r="D28" s="158">
        <f>INDEX(Table4[GAS],MATCH(Table2[[#This Row],[Rox Wolf'#]],Table4[Wolf],0))</f>
        <v>898</v>
      </c>
      <c r="E28" s="152">
        <f>INDEX(Table4[LEASE USE],MATCH(Table2[[#This Row],[Rox Wolf'#]],Table4[Wolf],0))</f>
        <v>31</v>
      </c>
      <c r="F28" s="153"/>
      <c r="G28" s="153"/>
      <c r="H28" s="153"/>
      <c r="I28" s="153"/>
      <c r="J28" s="149">
        <f>COUNTIF(FilterList,#REF!)</f>
        <v>0</v>
      </c>
      <c r="K28" s="153"/>
      <c r="N28" s="234">
        <v>98965</v>
      </c>
    </row>
    <row r="29" spans="1:15" ht="14">
      <c r="A29">
        <v>99225</v>
      </c>
      <c r="B29" t="s">
        <v>1121</v>
      </c>
      <c r="C29" s="152">
        <f>ROUND(INDEX(Table4[OIL],MATCH(Table2[[#This Row],[Rox Wolf'#]],Table4[Wolf],0)),0)</f>
        <v>0</v>
      </c>
      <c r="D29" s="158">
        <f>INDEX(Table4[GAS],MATCH(Table2[[#This Row],[Rox Wolf'#]],Table4[Wolf],0))</f>
        <v>0</v>
      </c>
      <c r="E29" s="152">
        <f>INDEX(Table4[LEASE USE],MATCH(Table2[[#This Row],[Rox Wolf'#]],Table4[Wolf],0))</f>
        <v>0</v>
      </c>
      <c r="F29" s="153"/>
      <c r="G29" s="153"/>
      <c r="H29" s="153"/>
      <c r="I29" s="153"/>
      <c r="J29" s="149">
        <f>COUNTIF(FilterList,#REF!)</f>
        <v>0</v>
      </c>
      <c r="K29" s="153"/>
      <c r="N29" s="233">
        <v>99225</v>
      </c>
    </row>
    <row r="30" spans="1:15" ht="14">
      <c r="A30">
        <v>48001</v>
      </c>
      <c r="B30" t="s">
        <v>762</v>
      </c>
      <c r="C30" s="152">
        <f>ROUND(INDEX(Table4[OIL],MATCH(Table2[[#This Row],[Rox Wolf'#]],Table4[Wolf],0)),0)</f>
        <v>0</v>
      </c>
      <c r="D30" s="158">
        <f>INDEX(Table4[GAS],MATCH(Table2[[#This Row],[Rox Wolf'#]],Table4[Wolf],0))</f>
        <v>196</v>
      </c>
      <c r="E30" s="152">
        <f>INDEX(Table4[LEASE USE],MATCH(Table2[[#This Row],[Rox Wolf'#]],Table4[Wolf],0))</f>
        <v>31</v>
      </c>
      <c r="F30" s="153"/>
      <c r="G30" s="153"/>
      <c r="H30" s="153"/>
      <c r="I30" s="153"/>
      <c r="J30" s="149">
        <f>COUNTIF(FilterList,#REF!)</f>
        <v>0</v>
      </c>
      <c r="K30" s="153"/>
      <c r="N30" s="234">
        <v>48001</v>
      </c>
    </row>
    <row r="31" spans="1:15" ht="14">
      <c r="A31">
        <v>93806</v>
      </c>
      <c r="B31" t="s">
        <v>802</v>
      </c>
      <c r="C31" s="152">
        <f>ROUND(INDEX(Table4[OIL],MATCH(Table2[[#This Row],[Rox Wolf'#]],Table4[Wolf],0)),0)</f>
        <v>0</v>
      </c>
      <c r="D31" s="158">
        <f>INDEX(Table4[GAS],MATCH(Table2[[#This Row],[Rox Wolf'#]],Table4[Wolf],0))</f>
        <v>0</v>
      </c>
      <c r="E31" s="152">
        <f>INDEX(Table4[LEASE USE],MATCH(Table2[[#This Row],[Rox Wolf'#]],Table4[Wolf],0))</f>
        <v>0</v>
      </c>
      <c r="F31" s="153"/>
      <c r="G31" s="153"/>
      <c r="H31" s="153"/>
      <c r="I31" s="153"/>
      <c r="J31" s="149">
        <f>COUNTIF(FilterList,#REF!)</f>
        <v>0</v>
      </c>
      <c r="K31" s="153"/>
      <c r="N31" s="233">
        <v>93806</v>
      </c>
    </row>
    <row r="32" spans="1:15" ht="14">
      <c r="A32">
        <v>98961</v>
      </c>
      <c r="B32" t="s">
        <v>803</v>
      </c>
      <c r="C32" s="152">
        <f>ROUND(INDEX(Table4[OIL],MATCH(Table2[[#This Row],[Rox Wolf'#]],Table4[Wolf],0)),0)</f>
        <v>0</v>
      </c>
      <c r="D32" s="158">
        <f>INDEX(Table4[GAS],MATCH(Table2[[#This Row],[Rox Wolf'#]],Table4[Wolf],0))</f>
        <v>2273</v>
      </c>
      <c r="E32" s="152">
        <f>INDEX(Table4[LEASE USE],MATCH(Table2[[#This Row],[Rox Wolf'#]],Table4[Wolf],0))</f>
        <v>0</v>
      </c>
      <c r="F32" s="153"/>
      <c r="G32" s="153"/>
      <c r="H32" s="153"/>
      <c r="I32" s="153"/>
      <c r="J32" s="149">
        <f>COUNTIF(FilterList,#REF!)</f>
        <v>0</v>
      </c>
      <c r="K32" s="153"/>
      <c r="N32" s="234">
        <v>98961</v>
      </c>
    </row>
    <row r="33" spans="1:14" ht="14">
      <c r="A33">
        <v>99307</v>
      </c>
      <c r="B33" t="s">
        <v>763</v>
      </c>
      <c r="C33" s="152">
        <f>ROUND(INDEX(Table4[OIL],MATCH(Table2[[#This Row],[Rox Wolf'#]],Table4[Wolf],0)),0)</f>
        <v>0</v>
      </c>
      <c r="D33" s="158">
        <f>INDEX(Table4[GAS],MATCH(Table2[[#This Row],[Rox Wolf'#]],Table4[Wolf],0))</f>
        <v>530</v>
      </c>
      <c r="E33" s="152">
        <f>INDEX(Table4[LEASE USE],MATCH(Table2[[#This Row],[Rox Wolf'#]],Table4[Wolf],0))</f>
        <v>0</v>
      </c>
      <c r="F33" s="153"/>
      <c r="G33" s="153"/>
      <c r="H33" s="153"/>
      <c r="I33" s="153"/>
      <c r="J33" s="149">
        <f>COUNTIF(FilterList,#REF!)</f>
        <v>0</v>
      </c>
      <c r="K33" s="153"/>
      <c r="N33" s="233">
        <v>99307</v>
      </c>
    </row>
    <row r="34" spans="1:14" ht="14">
      <c r="A34">
        <v>98987</v>
      </c>
      <c r="B34" t="s">
        <v>764</v>
      </c>
      <c r="C34" s="152">
        <f>ROUND(INDEX(Table4[OIL],MATCH(Table2[[#This Row],[Rox Wolf'#]],Table4[Wolf],0)),0)</f>
        <v>0</v>
      </c>
      <c r="D34" s="158">
        <f>INDEX(Table4[GAS],MATCH(Table2[[#This Row],[Rox Wolf'#]],Table4[Wolf],0))</f>
        <v>0</v>
      </c>
      <c r="E34" s="152">
        <f>INDEX(Table4[LEASE USE],MATCH(Table2[[#This Row],[Rox Wolf'#]],Table4[Wolf],0))</f>
        <v>0</v>
      </c>
      <c r="F34" s="153"/>
      <c r="G34" s="153"/>
      <c r="H34" s="153"/>
      <c r="I34" s="153"/>
      <c r="J34" s="149">
        <f>COUNTIF(FilterList,#REF!)</f>
        <v>0</v>
      </c>
      <c r="K34" s="153"/>
      <c r="N34" s="234">
        <v>98987</v>
      </c>
    </row>
    <row r="35" spans="1:14" ht="14">
      <c r="A35">
        <v>98988</v>
      </c>
      <c r="B35" t="s">
        <v>765</v>
      </c>
      <c r="C35" s="152">
        <f>ROUND(INDEX(Table4[OIL],MATCH(Table2[[#This Row],[Rox Wolf'#]],Table4[Wolf],0)),0)</f>
        <v>0</v>
      </c>
      <c r="D35" s="158">
        <f>INDEX(Table4[GAS],MATCH(Table2[[#This Row],[Rox Wolf'#]],Table4[Wolf],0))</f>
        <v>2078</v>
      </c>
      <c r="E35" s="152">
        <f>INDEX(Table4[LEASE USE],MATCH(Table2[[#This Row],[Rox Wolf'#]],Table4[Wolf],0))</f>
        <v>150</v>
      </c>
      <c r="F35" s="153"/>
      <c r="G35" s="153"/>
      <c r="H35" s="153"/>
      <c r="I35" s="153"/>
      <c r="J35" s="149">
        <f>COUNTIF(FilterList,#REF!)</f>
        <v>0</v>
      </c>
      <c r="K35" s="153"/>
      <c r="N35" s="233">
        <v>98988</v>
      </c>
    </row>
    <row r="36" spans="1:14" ht="14">
      <c r="A36">
        <v>99007</v>
      </c>
      <c r="B36" t="s">
        <v>766</v>
      </c>
      <c r="C36" s="152">
        <f>ROUND(INDEX(Table4[OIL],MATCH(Table2[[#This Row],[Rox Wolf'#]],Table4[Wolf],0)),0)</f>
        <v>0</v>
      </c>
      <c r="D36" s="158">
        <f>INDEX(Table4[GAS],MATCH(Table2[[#This Row],[Rox Wolf'#]],Table4[Wolf],0))</f>
        <v>216</v>
      </c>
      <c r="E36" s="152">
        <f>INDEX(Table4[LEASE USE],MATCH(Table2[[#This Row],[Rox Wolf'#]],Table4[Wolf],0))</f>
        <v>8</v>
      </c>
      <c r="F36" s="153"/>
      <c r="G36" s="153"/>
      <c r="H36" s="153"/>
      <c r="I36" s="153"/>
      <c r="J36" s="149">
        <f>COUNTIF(FilterList,#REF!)</f>
        <v>0</v>
      </c>
      <c r="K36" s="153"/>
      <c r="N36" s="234">
        <v>99007</v>
      </c>
    </row>
    <row r="37" spans="1:14" ht="14">
      <c r="A37">
        <v>98956</v>
      </c>
      <c r="B37" t="s">
        <v>767</v>
      </c>
      <c r="C37" s="152">
        <f>ROUND(INDEX(Table4[OIL],MATCH(Table2[[#This Row],[Rox Wolf'#]],Table4[Wolf],0)),0)</f>
        <v>0</v>
      </c>
      <c r="D37" s="158">
        <f>INDEX(Table4[GAS],MATCH(Table2[[#This Row],[Rox Wolf'#]],Table4[Wolf],0))</f>
        <v>625</v>
      </c>
      <c r="E37" s="152">
        <f>INDEX(Table4[LEASE USE],MATCH(Table2[[#This Row],[Rox Wolf'#]],Table4[Wolf],0))</f>
        <v>62</v>
      </c>
      <c r="F37" s="153"/>
      <c r="G37" s="153"/>
      <c r="H37" s="153"/>
      <c r="I37" s="153"/>
      <c r="J37" s="149">
        <f>COUNTIF(FilterList,#REF!)</f>
        <v>0</v>
      </c>
      <c r="K37" s="153"/>
      <c r="N37" s="233">
        <v>98956</v>
      </c>
    </row>
    <row r="38" spans="1:14" ht="14">
      <c r="A38">
        <v>98958</v>
      </c>
      <c r="B38" t="s">
        <v>768</v>
      </c>
      <c r="C38" s="152">
        <f>ROUND(INDEX(Table4[OIL],MATCH(Table2[[#This Row],[Rox Wolf'#]],Table4[Wolf],0)),0)</f>
        <v>0</v>
      </c>
      <c r="D38" s="158">
        <f>INDEX(Table4[GAS],MATCH(Table2[[#This Row],[Rox Wolf'#]],Table4[Wolf],0))</f>
        <v>3173</v>
      </c>
      <c r="E38" s="152">
        <f>INDEX(Table4[LEASE USE],MATCH(Table2[[#This Row],[Rox Wolf'#]],Table4[Wolf],0))</f>
        <v>186</v>
      </c>
      <c r="F38" s="153"/>
      <c r="G38" s="153"/>
      <c r="H38" s="153"/>
      <c r="I38" s="153"/>
      <c r="J38" s="149">
        <f>COUNTIF(FilterList,#REF!)</f>
        <v>0</v>
      </c>
      <c r="K38" s="153"/>
      <c r="N38" s="234">
        <v>98958</v>
      </c>
    </row>
    <row r="39" spans="1:14" ht="14">
      <c r="A39">
        <v>98959</v>
      </c>
      <c r="B39" t="s">
        <v>769</v>
      </c>
      <c r="C39" s="152">
        <f>ROUND(INDEX(Table4[OIL],MATCH(Table2[[#This Row],[Rox Wolf'#]],Table4[Wolf],0)),0)</f>
        <v>0</v>
      </c>
      <c r="D39" s="158">
        <f>INDEX(Table4[GAS],MATCH(Table2[[#This Row],[Rox Wolf'#]],Table4[Wolf],0))</f>
        <v>19</v>
      </c>
      <c r="E39" s="152">
        <f>INDEX(Table4[LEASE USE],MATCH(Table2[[#This Row],[Rox Wolf'#]],Table4[Wolf],0))</f>
        <v>0</v>
      </c>
      <c r="F39" s="153"/>
      <c r="G39" s="153"/>
      <c r="H39" s="153"/>
      <c r="I39" s="153"/>
      <c r="J39" s="149">
        <f>COUNTIF(FilterList,#REF!)</f>
        <v>0</v>
      </c>
      <c r="K39" s="153"/>
      <c r="N39" s="233">
        <v>98959</v>
      </c>
    </row>
    <row r="40" spans="1:14" ht="14">
      <c r="A40">
        <v>99093</v>
      </c>
      <c r="B40" t="s">
        <v>770</v>
      </c>
      <c r="C40" s="152">
        <f>ROUND(INDEX(Table4[OIL],MATCH(Table2[[#This Row],[Rox Wolf'#]],Table4[Wolf],0)),0)</f>
        <v>0</v>
      </c>
      <c r="D40" s="158">
        <f>INDEX(Table4[GAS],MATCH(Table2[[#This Row],[Rox Wolf'#]],Table4[Wolf],0))</f>
        <v>2893</v>
      </c>
      <c r="E40" s="152">
        <f>INDEX(Table4[LEASE USE],MATCH(Table2[[#This Row],[Rox Wolf'#]],Table4[Wolf],0))</f>
        <v>124</v>
      </c>
      <c r="F40" s="153"/>
      <c r="G40" s="153"/>
      <c r="H40" s="153"/>
      <c r="I40" s="153"/>
      <c r="J40" s="149">
        <f>COUNTIF(FilterList,#REF!)</f>
        <v>0</v>
      </c>
      <c r="K40" s="153"/>
      <c r="N40" s="234">
        <v>99093</v>
      </c>
    </row>
    <row r="41" spans="1:14" ht="14">
      <c r="A41">
        <v>99094</v>
      </c>
      <c r="B41" t="s">
        <v>771</v>
      </c>
      <c r="C41" s="152">
        <f>ROUND(INDEX(Table4[OIL],MATCH(Table2[[#This Row],[Rox Wolf'#]],Table4[Wolf],0)),0)</f>
        <v>0</v>
      </c>
      <c r="D41" s="158">
        <f>INDEX(Table4[GAS],MATCH(Table2[[#This Row],[Rox Wolf'#]],Table4[Wolf],0))</f>
        <v>2893</v>
      </c>
      <c r="E41" s="152">
        <f>INDEX(Table4[LEASE USE],MATCH(Table2[[#This Row],[Rox Wolf'#]],Table4[Wolf],0))</f>
        <v>124</v>
      </c>
      <c r="F41" s="153"/>
      <c r="G41" s="153"/>
      <c r="H41" s="153"/>
      <c r="I41" s="153"/>
      <c r="J41" s="149">
        <f>COUNTIF(FilterList,#REF!)</f>
        <v>0</v>
      </c>
      <c r="K41" s="153"/>
      <c r="N41" s="233">
        <v>99094</v>
      </c>
    </row>
    <row r="42" spans="1:14" ht="14">
      <c r="A42">
        <v>99095</v>
      </c>
      <c r="B42" t="s">
        <v>772</v>
      </c>
      <c r="C42" s="152">
        <f>ROUND(INDEX(Table4[OIL],MATCH(Table2[[#This Row],[Rox Wolf'#]],Table4[Wolf],0)),0)</f>
        <v>0</v>
      </c>
      <c r="D42" s="158">
        <f>INDEX(Table4[GAS],MATCH(Table2[[#This Row],[Rox Wolf'#]],Table4[Wolf],0))</f>
        <v>881</v>
      </c>
      <c r="E42" s="152">
        <f>INDEX(Table4[LEASE USE],MATCH(Table2[[#This Row],[Rox Wolf'#]],Table4[Wolf],0))</f>
        <v>31</v>
      </c>
      <c r="F42" s="153"/>
      <c r="G42" s="153"/>
      <c r="H42" s="153"/>
      <c r="I42" s="153"/>
      <c r="J42" s="149">
        <f>COUNTIF(FilterList,#REF!)</f>
        <v>0</v>
      </c>
      <c r="K42" s="153"/>
      <c r="N42" s="234">
        <v>99095</v>
      </c>
    </row>
    <row r="43" spans="1:14" ht="14">
      <c r="A43">
        <v>98801</v>
      </c>
      <c r="B43" t="s">
        <v>773</v>
      </c>
      <c r="C43" s="152">
        <f>ROUND(INDEX(Table4[OIL],MATCH(Table2[[#This Row],[Rox Wolf'#]],Table4[Wolf],0)),0)</f>
        <v>0</v>
      </c>
      <c r="D43" s="158">
        <f>INDEX(Table4[GAS],MATCH(Table2[[#This Row],[Rox Wolf'#]],Table4[Wolf],0))</f>
        <v>5340</v>
      </c>
      <c r="E43" s="152">
        <f>INDEX(Table4[LEASE USE],MATCH(Table2[[#This Row],[Rox Wolf'#]],Table4[Wolf],0))</f>
        <v>217</v>
      </c>
      <c r="F43" s="153"/>
      <c r="G43" s="153"/>
      <c r="H43" s="153"/>
      <c r="I43" s="153"/>
      <c r="J43" s="149">
        <f>COUNTIF(FilterList,#REF!)</f>
        <v>0</v>
      </c>
      <c r="K43" s="153"/>
      <c r="N43" s="233">
        <v>98801</v>
      </c>
    </row>
    <row r="44" spans="1:14" ht="14" hidden="1">
      <c r="A44">
        <v>94601</v>
      </c>
      <c r="B44" t="s">
        <v>804</v>
      </c>
      <c r="C44" s="152">
        <f>ROUND(INDEX(Table4[OIL],MATCH(Table2[[#This Row],[Rox Wolf'#]],Table4[Wolf],0)),0)</f>
        <v>0</v>
      </c>
      <c r="D44" s="158">
        <f>INDEX(Table4[GAS],MATCH(Table2[[#This Row],[Rox Wolf'#]],Table4[Wolf],0))</f>
        <v>0</v>
      </c>
      <c r="E44" s="152">
        <f>INDEX(Table4[LEASE USE],MATCH(Table2[[#This Row],[Rox Wolf'#]],Table4[Wolf],0))</f>
        <v>0</v>
      </c>
      <c r="F44" s="153"/>
      <c r="G44" s="153"/>
      <c r="H44" s="153"/>
      <c r="I44" s="153"/>
      <c r="J44" s="149">
        <f>COUNTIF(FilterList,#REF!)</f>
        <v>0</v>
      </c>
      <c r="K44" s="154" t="s">
        <v>1130</v>
      </c>
      <c r="N44" s="234">
        <v>94601</v>
      </c>
    </row>
    <row r="45" spans="1:14" ht="14">
      <c r="A45">
        <v>99113</v>
      </c>
      <c r="B45" t="s">
        <v>774</v>
      </c>
      <c r="C45" s="152">
        <f>ROUND(INDEX(Table4[OIL],MATCH(Table2[[#This Row],[Rox Wolf'#]],Table4[Wolf],0)),0)</f>
        <v>0</v>
      </c>
      <c r="D45" s="158">
        <f>INDEX(Table4[GAS],MATCH(Table2[[#This Row],[Rox Wolf'#]],Table4[Wolf],0))</f>
        <v>170</v>
      </c>
      <c r="E45" s="152">
        <f>INDEX(Table4[LEASE USE],MATCH(Table2[[#This Row],[Rox Wolf'#]],Table4[Wolf],0))</f>
        <v>0</v>
      </c>
      <c r="F45" s="153"/>
      <c r="G45" s="153"/>
      <c r="H45" s="153"/>
      <c r="I45" s="153"/>
      <c r="J45" s="149">
        <f>COUNTIF(FilterList,#REF!)</f>
        <v>0</v>
      </c>
      <c r="K45" s="153"/>
      <c r="N45" s="233">
        <v>99113</v>
      </c>
    </row>
    <row r="46" spans="1:14" ht="14">
      <c r="A46">
        <v>99066</v>
      </c>
      <c r="B46" t="s">
        <v>775</v>
      </c>
      <c r="C46" s="152">
        <f>ROUND(INDEX(Table4[OIL],MATCH(Table2[[#This Row],[Rox Wolf'#]],Table4[Wolf],0)),0)</f>
        <v>0</v>
      </c>
      <c r="D46" s="158">
        <f>INDEX(Table4[GAS],MATCH(Table2[[#This Row],[Rox Wolf'#]],Table4[Wolf],0))</f>
        <v>659</v>
      </c>
      <c r="E46" s="152">
        <f>INDEX(Table4[LEASE USE],MATCH(Table2[[#This Row],[Rox Wolf'#]],Table4[Wolf],0))</f>
        <v>0</v>
      </c>
      <c r="F46" s="153"/>
      <c r="G46" s="153"/>
      <c r="H46" s="153"/>
      <c r="I46" s="153"/>
      <c r="J46" s="149">
        <f>COUNTIF(FilterList,#REF!)</f>
        <v>0</v>
      </c>
      <c r="K46" s="153"/>
      <c r="N46" s="234">
        <v>99066</v>
      </c>
    </row>
    <row r="47" spans="1:14" ht="14">
      <c r="A47">
        <v>99065</v>
      </c>
      <c r="B47" t="s">
        <v>776</v>
      </c>
      <c r="C47" s="152">
        <f>ROUND(INDEX(Table4[OIL],MATCH(Table2[[#This Row],[Rox Wolf'#]],Table4[Wolf],0)),0)</f>
        <v>0</v>
      </c>
      <c r="D47" s="158">
        <f>INDEX(Table4[GAS],MATCH(Table2[[#This Row],[Rox Wolf'#]],Table4[Wolf],0))</f>
        <v>0</v>
      </c>
      <c r="E47" s="152">
        <f>INDEX(Table4[LEASE USE],MATCH(Table2[[#This Row],[Rox Wolf'#]],Table4[Wolf],0))</f>
        <v>0</v>
      </c>
      <c r="F47" s="153"/>
      <c r="G47" s="153"/>
      <c r="H47" s="153"/>
      <c r="I47" s="153"/>
      <c r="J47" s="149">
        <f>COUNTIF(FilterList,#REF!)</f>
        <v>0</v>
      </c>
      <c r="K47" s="153"/>
      <c r="N47" s="233">
        <v>99065</v>
      </c>
    </row>
    <row r="48" spans="1:14" ht="14">
      <c r="A48">
        <v>99278</v>
      </c>
      <c r="B48" t="s">
        <v>777</v>
      </c>
      <c r="C48" s="152">
        <f>ROUND(INDEX(Table4[OIL],MATCH(Table2[[#This Row],[Rox Wolf'#]],Table4[Wolf],0)),0)</f>
        <v>0</v>
      </c>
      <c r="D48" s="158">
        <f>INDEX(Table4[GAS],MATCH(Table2[[#This Row],[Rox Wolf'#]],Table4[Wolf],0))</f>
        <v>6909</v>
      </c>
      <c r="E48" s="152">
        <f>INDEX(Table4[LEASE USE],MATCH(Table2[[#This Row],[Rox Wolf'#]],Table4[Wolf],0))</f>
        <v>403</v>
      </c>
      <c r="F48" s="153"/>
      <c r="G48" s="153"/>
      <c r="H48" s="153"/>
      <c r="I48" s="153"/>
      <c r="J48" s="149">
        <f>COUNTIF(FilterList,#REF!)</f>
        <v>0</v>
      </c>
      <c r="K48" s="153"/>
      <c r="N48" s="234">
        <v>99278</v>
      </c>
    </row>
    <row r="49" spans="1:14" ht="14">
      <c r="A49">
        <v>98990</v>
      </c>
      <c r="B49" t="s">
        <v>778</v>
      </c>
      <c r="C49" s="152">
        <f>ROUND(INDEX(Table4[OIL],MATCH(Table2[[#This Row],[Rox Wolf'#]],Table4[Wolf],0)),0)</f>
        <v>0</v>
      </c>
      <c r="D49" s="158">
        <f>INDEX(Table4[GAS],MATCH(Table2[[#This Row],[Rox Wolf'#]],Table4[Wolf],0))</f>
        <v>130</v>
      </c>
      <c r="E49" s="152">
        <f>INDEX(Table4[LEASE USE],MATCH(Table2[[#This Row],[Rox Wolf'#]],Table4[Wolf],0))</f>
        <v>0</v>
      </c>
      <c r="F49" s="153"/>
      <c r="G49" s="153"/>
      <c r="H49" s="153"/>
      <c r="I49" s="153"/>
      <c r="J49" s="149">
        <f>COUNTIF(FilterList,#REF!)</f>
        <v>0</v>
      </c>
      <c r="K49" s="153"/>
      <c r="N49" s="233">
        <v>98990</v>
      </c>
    </row>
    <row r="50" spans="1:14" ht="14">
      <c r="A50">
        <v>98976</v>
      </c>
      <c r="B50" t="s">
        <v>779</v>
      </c>
      <c r="C50" s="152">
        <f>ROUND(INDEX(Table4[OIL],MATCH(Table2[[#This Row],[Rox Wolf'#]],Table4[Wolf],0)),0)</f>
        <v>0</v>
      </c>
      <c r="D50" s="158">
        <f>INDEX(Table4[GAS],MATCH(Table2[[#This Row],[Rox Wolf'#]],Table4[Wolf],0))</f>
        <v>54</v>
      </c>
      <c r="E50" s="152">
        <f>INDEX(Table4[LEASE USE],MATCH(Table2[[#This Row],[Rox Wolf'#]],Table4[Wolf],0))</f>
        <v>0</v>
      </c>
      <c r="F50" s="153"/>
      <c r="G50" s="153"/>
      <c r="H50" s="153"/>
      <c r="I50" s="153"/>
      <c r="J50" s="149">
        <f>COUNTIF(FilterList,#REF!)</f>
        <v>0</v>
      </c>
      <c r="K50" s="153"/>
      <c r="N50" s="234">
        <v>98976</v>
      </c>
    </row>
    <row r="51" spans="1:14" ht="14">
      <c r="A51">
        <v>93901</v>
      </c>
      <c r="B51" t="s">
        <v>1122</v>
      </c>
      <c r="C51" s="152">
        <f>ROUND(INDEX(Table4[OIL],MATCH(Table2[[#This Row],[Rox Wolf'#]],Table4[Wolf],0)),0)</f>
        <v>0</v>
      </c>
      <c r="D51" s="158">
        <f>INDEX(Table4[GAS],MATCH(Table2[[#This Row],[Rox Wolf'#]],Table4[Wolf],0))</f>
        <v>0</v>
      </c>
      <c r="E51" s="152">
        <f>INDEX(Table4[LEASE USE],MATCH(Table2[[#This Row],[Rox Wolf'#]],Table4[Wolf],0))</f>
        <v>0</v>
      </c>
      <c r="F51" s="153"/>
      <c r="G51" s="153"/>
      <c r="H51" s="153"/>
      <c r="I51" s="153"/>
      <c r="J51" s="149">
        <f>COUNTIF(FilterList,#REF!)</f>
        <v>0</v>
      </c>
      <c r="K51" s="153"/>
      <c r="N51" s="233">
        <v>93901</v>
      </c>
    </row>
    <row r="52" spans="1:14" ht="14">
      <c r="A52">
        <v>99159</v>
      </c>
      <c r="B52" t="s">
        <v>780</v>
      </c>
      <c r="C52" s="152">
        <f>ROUND(INDEX(Table4[OIL],MATCH(Table2[[#This Row],[Rox Wolf'#]],Table4[Wolf],0)),0)</f>
        <v>0</v>
      </c>
      <c r="D52" s="158">
        <f>INDEX(Table4[GAS],MATCH(Table2[[#This Row],[Rox Wolf'#]],Table4[Wolf],0))</f>
        <v>4308</v>
      </c>
      <c r="E52" s="152">
        <f>INDEX(Table4[LEASE USE],MATCH(Table2[[#This Row],[Rox Wolf'#]],Table4[Wolf],0))</f>
        <v>186</v>
      </c>
      <c r="F52" s="153"/>
      <c r="G52" s="153"/>
      <c r="H52" s="153"/>
      <c r="I52" s="153"/>
      <c r="J52" s="149">
        <f>COUNTIF(FilterList,#REF!)</f>
        <v>0</v>
      </c>
      <c r="K52" s="153"/>
      <c r="N52" s="234">
        <v>99159</v>
      </c>
    </row>
    <row r="53" spans="1:14" ht="14">
      <c r="A53">
        <v>98955</v>
      </c>
      <c r="B53" t="s">
        <v>279</v>
      </c>
      <c r="C53" s="152">
        <f>ROUND(INDEX(Table4[OIL],MATCH(Table2[[#This Row],[Rox Wolf'#]],Table4[Wolf],0)),0)</f>
        <v>0</v>
      </c>
      <c r="D53" s="158">
        <f>INDEX(Table4[GAS],MATCH(Table2[[#This Row],[Rox Wolf'#]],Table4[Wolf],0))</f>
        <v>3888</v>
      </c>
      <c r="E53" s="152">
        <f>INDEX(Table4[LEASE USE],MATCH(Table2[[#This Row],[Rox Wolf'#]],Table4[Wolf],0))</f>
        <v>30</v>
      </c>
      <c r="F53" s="153"/>
      <c r="G53" s="153"/>
      <c r="H53" s="153"/>
      <c r="I53" s="153"/>
      <c r="J53" s="149">
        <f>COUNTIF(FilterList,#REF!)</f>
        <v>0</v>
      </c>
      <c r="K53" s="153"/>
      <c r="N53" s="233">
        <v>98955</v>
      </c>
    </row>
    <row r="54" spans="1:14" ht="14">
      <c r="A54">
        <v>99269</v>
      </c>
      <c r="B54" t="s">
        <v>1123</v>
      </c>
      <c r="C54" s="151">
        <f>ROUND(INDEX(Table4[OIL],MATCH(Table2[[#This Row],[Rox Wolf'#]],Table4[Wolf],0)),0)</f>
        <v>0</v>
      </c>
      <c r="D54" s="159">
        <f>INDEX(Table4[GAS],MATCH(Table2[[#This Row],[Rox Wolf'#]],Table4[Wolf],0))</f>
        <v>0</v>
      </c>
      <c r="E54" s="159">
        <f>INDEX(Table4[LEASE USE],MATCH(Table2[[#This Row],[Rox Wolf'#]],Table4[Wolf],0))</f>
        <v>280</v>
      </c>
      <c r="F54" s="153"/>
      <c r="G54" s="153"/>
      <c r="H54" s="153"/>
      <c r="I54" s="153"/>
      <c r="J54" s="149">
        <f>COUNTIF(FilterList,#REF!)</f>
        <v>0</v>
      </c>
      <c r="K54" s="153"/>
      <c r="N54" s="234">
        <v>99269</v>
      </c>
    </row>
    <row r="55" spans="1:14" ht="14">
      <c r="A55">
        <v>92001</v>
      </c>
      <c r="B55" t="s">
        <v>231</v>
      </c>
      <c r="C55" s="152">
        <f>ROUND(INDEX(Table4[OIL],MATCH(Table2[[#This Row],[Rox Wolf'#]],Table4[Wolf],0)),0)</f>
        <v>0</v>
      </c>
      <c r="D55" s="158">
        <f>INDEX(Table4[GAS],MATCH(Table2[[#This Row],[Rox Wolf'#]],Table4[Wolf],0))</f>
        <v>0</v>
      </c>
      <c r="E55" s="152">
        <f>INDEX(Table4[LEASE USE],MATCH(Table2[[#This Row],[Rox Wolf'#]],Table4[Wolf],0))</f>
        <v>0</v>
      </c>
      <c r="F55" s="153"/>
      <c r="G55" s="153"/>
      <c r="H55" s="153"/>
      <c r="I55" s="153"/>
      <c r="J55" s="149">
        <f>COUNTIF(FilterList,#REF!)</f>
        <v>0</v>
      </c>
      <c r="K55" s="153"/>
      <c r="N55" s="233">
        <v>92001</v>
      </c>
    </row>
    <row r="56" spans="1:14" ht="14">
      <c r="A56">
        <v>99058</v>
      </c>
      <c r="B56" t="s">
        <v>781</v>
      </c>
      <c r="C56" s="152">
        <f>ROUND(INDEX(Table4[OIL],MATCH(Table2[[#This Row],[Rox Wolf'#]],Table4[Wolf],0)),0)</f>
        <v>0</v>
      </c>
      <c r="D56" s="158">
        <f>INDEX(Table4[GAS],MATCH(Table2[[#This Row],[Rox Wolf'#]],Table4[Wolf],0))</f>
        <v>2211</v>
      </c>
      <c r="E56" s="152">
        <f>INDEX(Table4[LEASE USE],MATCH(Table2[[#This Row],[Rox Wolf'#]],Table4[Wolf],0))</f>
        <v>0</v>
      </c>
      <c r="F56" s="153"/>
      <c r="G56" s="153"/>
      <c r="H56" s="153"/>
      <c r="I56" s="153"/>
      <c r="J56" s="149">
        <f>COUNTIF(FilterList,#REF!)</f>
        <v>0</v>
      </c>
      <c r="K56" s="153"/>
      <c r="N56" s="234">
        <v>99058</v>
      </c>
    </row>
    <row r="57" spans="1:14" ht="14">
      <c r="A57">
        <v>99186</v>
      </c>
      <c r="B57" t="s">
        <v>806</v>
      </c>
      <c r="C57" s="152">
        <f>ROUND(INDEX(Table4[OIL],MATCH(Table2[[#This Row],[Rox Wolf'#]],Table4[Wolf],0)),0)</f>
        <v>0</v>
      </c>
      <c r="D57" s="158">
        <f>INDEX(Table4[GAS],MATCH(Table2[[#This Row],[Rox Wolf'#]],Table4[Wolf],0))</f>
        <v>0</v>
      </c>
      <c r="E57" s="152">
        <f>INDEX(Table4[LEASE USE],MATCH(Table2[[#This Row],[Rox Wolf'#]],Table4[Wolf],0))</f>
        <v>174</v>
      </c>
      <c r="F57" s="153"/>
      <c r="G57" s="153"/>
      <c r="H57" s="153"/>
      <c r="I57" s="153"/>
      <c r="J57" s="149">
        <f>COUNTIF(FilterList,#REF!)</f>
        <v>0</v>
      </c>
      <c r="K57" s="153"/>
      <c r="N57" s="233">
        <v>99186</v>
      </c>
    </row>
    <row r="58" spans="1:14" ht="14">
      <c r="A58">
        <v>99288</v>
      </c>
      <c r="B58" t="s">
        <v>1117</v>
      </c>
      <c r="C58" s="152">
        <f>ROUND(INDEX(Table4[OIL],MATCH(Table2[[#This Row],[Rox Wolf'#]],Table4[Wolf],0)),0)</f>
        <v>0</v>
      </c>
      <c r="D58" s="158">
        <f>INDEX(Table4[GAS],MATCH(Table2[[#This Row],[Rox Wolf'#]],Table4[Wolf],0))</f>
        <v>0</v>
      </c>
      <c r="E58" s="152">
        <f>INDEX(Table4[LEASE USE],MATCH(Table2[[#This Row],[Rox Wolf'#]],Table4[Wolf],0))</f>
        <v>0</v>
      </c>
      <c r="F58" s="153"/>
      <c r="G58" s="153"/>
      <c r="H58" s="153"/>
      <c r="I58" s="153"/>
      <c r="J58" s="149">
        <f>COUNTIF(FilterList,#REF!)</f>
        <v>0</v>
      </c>
      <c r="K58" s="153"/>
      <c r="N58" s="234">
        <v>99288</v>
      </c>
    </row>
    <row r="59" spans="1:14" ht="14">
      <c r="A59">
        <v>99297</v>
      </c>
      <c r="B59" t="s">
        <v>782</v>
      </c>
      <c r="C59" s="152">
        <f>ROUND(INDEX(Table4[OIL],MATCH(Table2[[#This Row],[Rox Wolf'#]],Table4[Wolf],0)),0)</f>
        <v>0</v>
      </c>
      <c r="D59" s="158">
        <f>INDEX(Table4[GAS],MATCH(Table2[[#This Row],[Rox Wolf'#]],Table4[Wolf],0))</f>
        <v>0</v>
      </c>
      <c r="E59" s="152">
        <f>INDEX(Table4[LEASE USE],MATCH(Table2[[#This Row],[Rox Wolf'#]],Table4[Wolf],0))</f>
        <v>0</v>
      </c>
      <c r="F59" s="153"/>
      <c r="G59" s="153"/>
      <c r="H59" s="153"/>
      <c r="I59" s="153"/>
      <c r="J59" s="149">
        <f>COUNTIF(FilterList,#REF!)</f>
        <v>0</v>
      </c>
      <c r="K59" s="153"/>
      <c r="N59" s="233">
        <v>99297</v>
      </c>
    </row>
    <row r="60" spans="1:14" ht="14" hidden="1">
      <c r="A60">
        <v>99122</v>
      </c>
      <c r="B60" s="3" t="s">
        <v>1241</v>
      </c>
      <c r="C60" s="151">
        <f>ROUND(INDEX(Table4[OIL],MATCH(Table2[[#This Row],[Rox Wolf'#]],Table4[Wolf],0)),0)</f>
        <v>0</v>
      </c>
      <c r="D60" s="159">
        <f>INDEX(Table4[GAS],MATCH(Table2[[#This Row],[Rox Wolf'#]],Table4[Wolf],0))</f>
        <v>0</v>
      </c>
      <c r="E60" s="159">
        <f>INDEX(Table4[LEASE USE],MATCH(Table2[[#This Row],[Rox Wolf'#]],Table4[Wolf],0))</f>
        <v>0</v>
      </c>
      <c r="F60" s="153"/>
      <c r="G60" s="153"/>
      <c r="H60" s="153"/>
      <c r="I60" s="153"/>
      <c r="J60" s="149">
        <f>COUNTIF(FilterList,#REF!)</f>
        <v>0</v>
      </c>
      <c r="K60" s="186" t="s">
        <v>1130</v>
      </c>
      <c r="N60" s="234">
        <v>99122</v>
      </c>
    </row>
    <row r="61" spans="1:14" ht="14">
      <c r="A61">
        <v>99268</v>
      </c>
      <c r="B61" t="s">
        <v>1124</v>
      </c>
      <c r="C61" s="151">
        <f>ROUND(INDEX(Table4[OIL],MATCH(Table2[[#This Row],[Rox Wolf'#]],Table4[Wolf],0)),0)</f>
        <v>0</v>
      </c>
      <c r="D61" s="159">
        <f>INDEX(Table4[GAS],MATCH(Table2[[#This Row],[Rox Wolf'#]],Table4[Wolf],0))</f>
        <v>5720</v>
      </c>
      <c r="E61" s="159">
        <f>INDEX(Table4[LEASE USE],MATCH(Table2[[#This Row],[Rox Wolf'#]],Table4[Wolf],0))</f>
        <v>288</v>
      </c>
      <c r="F61" s="153"/>
      <c r="G61" s="153"/>
      <c r="H61" s="153"/>
      <c r="I61" s="153"/>
      <c r="J61" s="149">
        <f>COUNTIF(FilterList,#REF!)</f>
        <v>0</v>
      </c>
      <c r="K61" s="153"/>
      <c r="N61" s="233">
        <v>99268</v>
      </c>
    </row>
    <row r="62" spans="1:14" ht="14">
      <c r="A62">
        <v>99102</v>
      </c>
      <c r="B62" t="s">
        <v>783</v>
      </c>
      <c r="C62" s="152">
        <f>ROUND(INDEX(Table4[OIL],MATCH(Table2[[#This Row],[Rox Wolf'#]],Table4[Wolf],0)),0)</f>
        <v>0</v>
      </c>
      <c r="D62" s="158">
        <f>INDEX(Table4[GAS],MATCH(Table2[[#This Row],[Rox Wolf'#]],Table4[Wolf],0))</f>
        <v>42675</v>
      </c>
      <c r="E62" s="152">
        <f>INDEX(Table4[LEASE USE],MATCH(Table2[[#This Row],[Rox Wolf'#]],Table4[Wolf],0))</f>
        <v>0</v>
      </c>
      <c r="F62" s="153"/>
      <c r="G62" s="153"/>
      <c r="H62" s="153"/>
      <c r="I62" s="153"/>
      <c r="J62" s="149">
        <f>COUNTIF(FilterList,#REF!)</f>
        <v>0</v>
      </c>
      <c r="K62" s="153"/>
      <c r="N62" s="234">
        <v>99102</v>
      </c>
    </row>
    <row r="63" spans="1:14" ht="14">
      <c r="A63">
        <v>99259</v>
      </c>
      <c r="B63" t="s">
        <v>1101</v>
      </c>
      <c r="C63" s="152">
        <f>ROUND(INDEX(Table4[OIL],MATCH(Table2[[#This Row],[Rox Wolf'#]],Table4[Wolf],0)),0)</f>
        <v>0</v>
      </c>
      <c r="D63" s="158">
        <f>INDEX(Table4[GAS],MATCH(Table2[[#This Row],[Rox Wolf'#]],Table4[Wolf],0))</f>
        <v>0</v>
      </c>
      <c r="E63" s="152">
        <f>INDEX(Table4[LEASE USE],MATCH(Table2[[#This Row],[Rox Wolf'#]],Table4[Wolf],0))</f>
        <v>0</v>
      </c>
      <c r="F63" s="153"/>
      <c r="G63" s="153"/>
      <c r="H63" s="153"/>
      <c r="I63" s="153"/>
      <c r="J63" s="149">
        <f>COUNTIF(FilterList,#REF!)</f>
        <v>0</v>
      </c>
      <c r="K63" s="153"/>
      <c r="N63" s="233">
        <v>99259</v>
      </c>
    </row>
    <row r="64" spans="1:14" ht="14">
      <c r="A64">
        <v>95801</v>
      </c>
      <c r="B64" t="s">
        <v>1125</v>
      </c>
      <c r="C64" s="152">
        <f>ROUND(INDEX(Table4[OIL],MATCH(Table2[[#This Row],[Rox Wolf'#]],Table4[Wolf],0)),0)</f>
        <v>0</v>
      </c>
      <c r="D64" s="158">
        <f>INDEX(Table4[GAS],MATCH(Table2[[#This Row],[Rox Wolf'#]],Table4[Wolf],0))</f>
        <v>0</v>
      </c>
      <c r="E64" s="152">
        <f>INDEX(Table4[LEASE USE],MATCH(Table2[[#This Row],[Rox Wolf'#]],Table4[Wolf],0))</f>
        <v>0</v>
      </c>
      <c r="F64" s="153"/>
      <c r="G64" s="153"/>
      <c r="H64" s="153"/>
      <c r="I64" s="153"/>
      <c r="J64" s="149">
        <f>COUNTIF(FilterList,#REF!)</f>
        <v>0</v>
      </c>
      <c r="K64" s="153"/>
      <c r="N64" s="234">
        <v>95801</v>
      </c>
    </row>
    <row r="65" spans="1:14" ht="14">
      <c r="A65">
        <v>99132</v>
      </c>
      <c r="B65" t="s">
        <v>1102</v>
      </c>
      <c r="C65" s="152">
        <f>ROUND(INDEX(Table4[OIL],MATCH(Table2[[#This Row],[Rox Wolf'#]],Table4[Wolf],0)),0)</f>
        <v>0</v>
      </c>
      <c r="D65" s="158">
        <f>INDEX(Table4[GAS],MATCH(Table2[[#This Row],[Rox Wolf'#]],Table4[Wolf],0))</f>
        <v>0</v>
      </c>
      <c r="E65" s="152">
        <f>INDEX(Table4[LEASE USE],MATCH(Table2[[#This Row],[Rox Wolf'#]],Table4[Wolf],0))</f>
        <v>0</v>
      </c>
      <c r="F65" s="153"/>
      <c r="G65" s="153"/>
      <c r="H65" s="153"/>
      <c r="I65" s="153"/>
      <c r="J65" s="149">
        <f>COUNTIF(FilterList,#REF!)</f>
        <v>0</v>
      </c>
      <c r="K65" s="153"/>
      <c r="N65" s="233">
        <v>99132</v>
      </c>
    </row>
    <row r="66" spans="1:14" ht="14">
      <c r="A66">
        <v>99133</v>
      </c>
      <c r="B66" t="s">
        <v>1103</v>
      </c>
      <c r="C66" s="152">
        <f>ROUND(INDEX(Table4[OIL],MATCH(Table2[[#This Row],[Rox Wolf'#]],Table4[Wolf],0)),0)</f>
        <v>0</v>
      </c>
      <c r="D66" s="158">
        <f>INDEX(Table4[GAS],MATCH(Table2[[#This Row],[Rox Wolf'#]],Table4[Wolf],0))</f>
        <v>0</v>
      </c>
      <c r="E66" s="152">
        <f>INDEX(Table4[LEASE USE],MATCH(Table2[[#This Row],[Rox Wolf'#]],Table4[Wolf],0))</f>
        <v>0</v>
      </c>
      <c r="F66" s="153"/>
      <c r="G66" s="153"/>
      <c r="H66" s="153"/>
      <c r="I66" s="153"/>
      <c r="J66" s="149">
        <f>COUNTIF(FilterList,#REF!)</f>
        <v>0</v>
      </c>
      <c r="K66" s="153"/>
      <c r="N66" s="234">
        <v>99133</v>
      </c>
    </row>
    <row r="67" spans="1:14" ht="14">
      <c r="A67">
        <v>99128</v>
      </c>
      <c r="B67" t="s">
        <v>807</v>
      </c>
      <c r="C67" s="152">
        <f>ROUND(INDEX(Table4[OIL],MATCH(Table2[[#This Row],[Rox Wolf'#]],Table4[Wolf],0)),0)</f>
        <v>0</v>
      </c>
      <c r="D67" s="158">
        <f>INDEX(Table4[GAS],MATCH(Table2[[#This Row],[Rox Wolf'#]],Table4[Wolf],0))</f>
        <v>4849</v>
      </c>
      <c r="E67" s="152">
        <f>INDEX(Table4[LEASE USE],MATCH(Table2[[#This Row],[Rox Wolf'#]],Table4[Wolf],0))</f>
        <v>160</v>
      </c>
      <c r="F67" s="153"/>
      <c r="G67" s="153"/>
      <c r="H67" s="153"/>
      <c r="I67" s="153"/>
      <c r="J67" s="149">
        <f>COUNTIF(FilterList,#REF!)</f>
        <v>0</v>
      </c>
      <c r="K67" s="153"/>
      <c r="N67" s="233">
        <v>99128</v>
      </c>
    </row>
    <row r="68" spans="1:14" ht="14">
      <c r="A68">
        <v>99134</v>
      </c>
      <c r="B68" t="s">
        <v>808</v>
      </c>
      <c r="C68" s="152">
        <f>ROUND(INDEX(Table4[OIL],MATCH(Table2[[#This Row],[Rox Wolf'#]],Table4[Wolf],0)),0)</f>
        <v>0</v>
      </c>
      <c r="D68" s="158">
        <f>INDEX(Table4[GAS],MATCH(Table2[[#This Row],[Rox Wolf'#]],Table4[Wolf],0))</f>
        <v>2653</v>
      </c>
      <c r="E68" s="152">
        <f>INDEX(Table4[LEASE USE],MATCH(Table2[[#This Row],[Rox Wolf'#]],Table4[Wolf],0))</f>
        <v>0</v>
      </c>
      <c r="F68" s="153"/>
      <c r="G68" s="153"/>
      <c r="H68" s="153"/>
      <c r="I68" s="153"/>
      <c r="J68" s="149">
        <f>COUNTIF(FilterList,#REF!)</f>
        <v>0</v>
      </c>
      <c r="K68" s="153"/>
      <c r="N68" s="234">
        <v>99134</v>
      </c>
    </row>
    <row r="69" spans="1:14" ht="14">
      <c r="A69">
        <v>99256</v>
      </c>
      <c r="B69" t="s">
        <v>112</v>
      </c>
      <c r="C69" s="152">
        <f>ROUND(INDEX(Table4[OIL],MATCH(Table2[[#This Row],[Rox Wolf'#]],Table4[Wolf],0)),0)</f>
        <v>0</v>
      </c>
      <c r="D69" s="158">
        <f>INDEX(Table4[GAS],MATCH(Table2[[#This Row],[Rox Wolf'#]],Table4[Wolf],0))</f>
        <v>1896</v>
      </c>
      <c r="E69" s="152">
        <f>INDEX(Table4[LEASE USE],MATCH(Table2[[#This Row],[Rox Wolf'#]],Table4[Wolf],0))</f>
        <v>0</v>
      </c>
      <c r="F69" s="153"/>
      <c r="G69" s="153"/>
      <c r="H69" s="153"/>
      <c r="I69" s="153"/>
      <c r="J69" s="149">
        <f>COUNTIF(FilterList,#REF!)</f>
        <v>0</v>
      </c>
      <c r="K69" s="153"/>
      <c r="N69" s="233">
        <v>99256</v>
      </c>
    </row>
    <row r="70" spans="1:14" ht="14">
      <c r="A70">
        <v>98910</v>
      </c>
      <c r="B70" t="s">
        <v>809</v>
      </c>
      <c r="C70" s="152">
        <f>ROUND(INDEX(Table4[OIL],MATCH(Table2[[#This Row],[Rox Wolf'#]],Table4[Wolf],0)),0)</f>
        <v>706</v>
      </c>
      <c r="D70" s="158">
        <f>INDEX(Table4[GAS],MATCH(Table2[[#This Row],[Rox Wolf'#]],Table4[Wolf],0))</f>
        <v>0</v>
      </c>
      <c r="E70" s="152">
        <f>INDEX(Table4[LEASE USE],MATCH(Table2[[#This Row],[Rox Wolf'#]],Table4[Wolf],0))</f>
        <v>12</v>
      </c>
      <c r="F70" s="153"/>
      <c r="G70" s="153"/>
      <c r="H70" s="153"/>
      <c r="I70" s="153"/>
      <c r="J70" s="149">
        <f>COUNTIF(FilterList,#REF!)</f>
        <v>0</v>
      </c>
      <c r="K70" s="153"/>
      <c r="N70" s="234">
        <v>98910</v>
      </c>
    </row>
    <row r="71" spans="1:14" ht="14">
      <c r="A71">
        <v>98401</v>
      </c>
      <c r="B71" t="s">
        <v>784</v>
      </c>
      <c r="C71" s="152">
        <f>ROUND(INDEX(Table4[OIL],MATCH(Table2[[#This Row],[Rox Wolf'#]],Table4[Wolf],0)),0)</f>
        <v>0</v>
      </c>
      <c r="D71" s="158">
        <f>INDEX(Table4[GAS],MATCH(Table2[[#This Row],[Rox Wolf'#]],Table4[Wolf],0))</f>
        <v>3369</v>
      </c>
      <c r="E71" s="152">
        <f>INDEX(Table4[LEASE USE],MATCH(Table2[[#This Row],[Rox Wolf'#]],Table4[Wolf],0))</f>
        <v>57</v>
      </c>
      <c r="F71" s="153"/>
      <c r="G71" s="153"/>
      <c r="H71" s="153"/>
      <c r="I71" s="153"/>
      <c r="J71" s="149">
        <f>COUNTIF(FilterList,#REF!)</f>
        <v>0</v>
      </c>
      <c r="K71" s="153"/>
      <c r="N71" s="233">
        <v>98401</v>
      </c>
    </row>
    <row r="72" spans="1:14" ht="14">
      <c r="A72">
        <v>96901</v>
      </c>
      <c r="B72" t="s">
        <v>785</v>
      </c>
      <c r="C72" s="152">
        <f>ROUND(INDEX(Table4[OIL],MATCH(Table2[[#This Row],[Rox Wolf'#]],Table4[Wolf],0)),0)</f>
        <v>0</v>
      </c>
      <c r="D72" s="158">
        <f>INDEX(Table4[GAS],MATCH(Table2[[#This Row],[Rox Wolf'#]],Table4[Wolf],0))</f>
        <v>1331</v>
      </c>
      <c r="E72" s="152">
        <f>INDEX(Table4[LEASE USE],MATCH(Table2[[#This Row],[Rox Wolf'#]],Table4[Wolf],0))</f>
        <v>10</v>
      </c>
      <c r="F72" s="153"/>
      <c r="G72" s="153"/>
      <c r="H72" s="153"/>
      <c r="I72" s="153"/>
      <c r="J72" s="149">
        <f>COUNTIF(FilterList,#REF!)</f>
        <v>0</v>
      </c>
      <c r="K72" s="153"/>
      <c r="N72" s="234">
        <v>96901</v>
      </c>
    </row>
    <row r="73" spans="1:14" ht="14">
      <c r="A73">
        <v>99101</v>
      </c>
      <c r="B73" t="s">
        <v>810</v>
      </c>
      <c r="C73" s="152">
        <f>ROUND(INDEX(Table4[OIL],MATCH(Table2[[#This Row],[Rox Wolf'#]],Table4[Wolf],0)),0)</f>
        <v>0</v>
      </c>
      <c r="D73" s="158">
        <f>INDEX(Table4[GAS],MATCH(Table2[[#This Row],[Rox Wolf'#]],Table4[Wolf],0))</f>
        <v>0</v>
      </c>
      <c r="E73" s="152">
        <f>INDEX(Table4[LEASE USE],MATCH(Table2[[#This Row],[Rox Wolf'#]],Table4[Wolf],0))</f>
        <v>0</v>
      </c>
      <c r="F73" s="153"/>
      <c r="G73" s="153"/>
      <c r="H73" s="153"/>
      <c r="I73" s="153"/>
      <c r="J73" s="149">
        <f>COUNTIF(FilterList,#REF!)</f>
        <v>0</v>
      </c>
      <c r="K73" s="153"/>
      <c r="N73" s="233">
        <v>99101</v>
      </c>
    </row>
    <row r="74" spans="1:14" ht="14">
      <c r="A74">
        <v>99026</v>
      </c>
      <c r="B74" t="s">
        <v>812</v>
      </c>
      <c r="C74" s="152">
        <f>ROUND(INDEX(Table4[OIL],MATCH(Table2[[#This Row],[Rox Wolf'#]],Table4[Wolf],0)),0)</f>
        <v>0</v>
      </c>
      <c r="D74" s="158">
        <f>INDEX(Table4[GAS],MATCH(Table2[[#This Row],[Rox Wolf'#]],Table4[Wolf],0))</f>
        <v>0</v>
      </c>
      <c r="E74" s="152">
        <f>INDEX(Table4[LEASE USE],MATCH(Table2[[#This Row],[Rox Wolf'#]],Table4[Wolf],0))</f>
        <v>0</v>
      </c>
      <c r="F74" s="153"/>
      <c r="G74" s="153"/>
      <c r="H74" s="153"/>
      <c r="I74" s="153"/>
      <c r="J74" s="149">
        <f>COUNTIF(FilterList,#REF!)</f>
        <v>0</v>
      </c>
      <c r="K74" s="153"/>
      <c r="N74" s="234">
        <v>99026</v>
      </c>
    </row>
    <row r="75" spans="1:14" ht="14">
      <c r="A75">
        <v>99246</v>
      </c>
      <c r="B75" t="s">
        <v>786</v>
      </c>
      <c r="C75" s="152">
        <f>ROUND(INDEX(Table4[OIL],MATCH(Table2[[#This Row],[Rox Wolf'#]],Table4[Wolf],0)),0)</f>
        <v>0</v>
      </c>
      <c r="D75" s="158">
        <f>INDEX(Table4[GAS],MATCH(Table2[[#This Row],[Rox Wolf'#]],Table4[Wolf],0))</f>
        <v>17199</v>
      </c>
      <c r="E75" s="152">
        <f>INDEX(Table4[LEASE USE],MATCH(Table2[[#This Row],[Rox Wolf'#]],Table4[Wolf],0))</f>
        <v>775</v>
      </c>
      <c r="F75" s="153"/>
      <c r="G75" s="153"/>
      <c r="H75" s="153"/>
      <c r="I75" s="153"/>
      <c r="J75" s="149">
        <f>COUNTIF(FilterList,#REF!)</f>
        <v>0</v>
      </c>
      <c r="K75" s="153"/>
      <c r="N75" s="233">
        <v>99246</v>
      </c>
    </row>
    <row r="76" spans="1:14" ht="14">
      <c r="A76">
        <v>99312</v>
      </c>
      <c r="B76" t="s">
        <v>787</v>
      </c>
      <c r="C76" s="152">
        <f>ROUND(INDEX(Table4[OIL],MATCH(Table2[[#This Row],[Rox Wolf'#]],Table4[Wolf],0)),0)</f>
        <v>0</v>
      </c>
      <c r="D76" s="158">
        <f>INDEX(Table4[GAS],MATCH(Table2[[#This Row],[Rox Wolf'#]],Table4[Wolf],0))</f>
        <v>0</v>
      </c>
      <c r="E76" s="152">
        <f>INDEX(Table4[LEASE USE],MATCH(Table2[[#This Row],[Rox Wolf'#]],Table4[Wolf],0))</f>
        <v>0</v>
      </c>
      <c r="F76" s="153"/>
      <c r="G76" s="153"/>
      <c r="H76" s="153"/>
      <c r="I76" s="153"/>
      <c r="J76" s="149">
        <f>COUNTIF(FilterList,#REF!)</f>
        <v>0</v>
      </c>
      <c r="K76" s="153"/>
      <c r="N76" s="234">
        <v>99312</v>
      </c>
    </row>
    <row r="77" spans="1:14" ht="14">
      <c r="A77">
        <v>99140</v>
      </c>
      <c r="B77" t="s">
        <v>813</v>
      </c>
      <c r="C77" s="152">
        <f>ROUND(INDEX(Table4[OIL],MATCH(Table2[[#This Row],[Rox Wolf'#]],Table4[Wolf],0)),0)</f>
        <v>0</v>
      </c>
      <c r="D77" s="158">
        <f>INDEX(Table4[GAS],MATCH(Table2[[#This Row],[Rox Wolf'#]],Table4[Wolf],0))</f>
        <v>0</v>
      </c>
      <c r="E77" s="152">
        <f>INDEX(Table4[LEASE USE],MATCH(Table2[[#This Row],[Rox Wolf'#]],Table4[Wolf],0))</f>
        <v>0</v>
      </c>
      <c r="F77" s="153"/>
      <c r="G77" s="153"/>
      <c r="H77" s="153"/>
      <c r="I77" s="153"/>
      <c r="J77" s="149">
        <f>COUNTIF(FilterList,#REF!)</f>
        <v>0</v>
      </c>
      <c r="K77" s="153"/>
      <c r="N77" s="233">
        <v>99140</v>
      </c>
    </row>
    <row r="78" spans="1:14" ht="14">
      <c r="A78">
        <v>98979</v>
      </c>
      <c r="B78" t="s">
        <v>309</v>
      </c>
      <c r="C78" s="152">
        <f>ROUND(INDEX(Table4[OIL],MATCH(Table2[[#This Row],[Rox Wolf'#]],Table4[Wolf],0)),0)</f>
        <v>0</v>
      </c>
      <c r="D78" s="158">
        <f>INDEX(Table4[GAS],MATCH(Table2[[#This Row],[Rox Wolf'#]],Table4[Wolf],0))</f>
        <v>253</v>
      </c>
      <c r="E78" s="152">
        <f>INDEX(Table4[LEASE USE],MATCH(Table2[[#This Row],[Rox Wolf'#]],Table4[Wolf],0))</f>
        <v>0</v>
      </c>
      <c r="F78" s="153"/>
      <c r="G78" s="153"/>
      <c r="H78" s="153"/>
      <c r="I78" s="153"/>
      <c r="J78" s="149">
        <f>COUNTIF(FilterList,#REF!)</f>
        <v>0</v>
      </c>
      <c r="K78" s="153"/>
      <c r="N78" s="234">
        <v>98979</v>
      </c>
    </row>
    <row r="79" spans="1:14" ht="14">
      <c r="A79">
        <v>34001</v>
      </c>
      <c r="B79" t="s">
        <v>814</v>
      </c>
      <c r="C79" s="152">
        <f>ROUND(INDEX(Table4[OIL],MATCH(Table2[[#This Row],[Rox Wolf'#]],Table4[Wolf],0)),0)</f>
        <v>0</v>
      </c>
      <c r="D79" s="158">
        <f>INDEX(Table4[GAS],MATCH(Table2[[#This Row],[Rox Wolf'#]],Table4[Wolf],0))</f>
        <v>0</v>
      </c>
      <c r="E79" s="152">
        <f>INDEX(Table4[LEASE USE],MATCH(Table2[[#This Row],[Rox Wolf'#]],Table4[Wolf],0))</f>
        <v>0</v>
      </c>
      <c r="F79" s="153"/>
      <c r="G79" s="153"/>
      <c r="H79" s="153"/>
      <c r="I79" s="153"/>
      <c r="J79" s="149">
        <f>COUNTIF(FilterList,#REF!)</f>
        <v>0</v>
      </c>
      <c r="K79" s="153"/>
      <c r="N79" s="233">
        <v>34001</v>
      </c>
    </row>
    <row r="80" spans="1:14" ht="14">
      <c r="A80">
        <v>599109</v>
      </c>
      <c r="B80" t="s">
        <v>788</v>
      </c>
      <c r="C80" s="152">
        <f>ROUND(INDEX(Table4[OIL],MATCH(Table2[[#This Row],[Rox Wolf'#]],Table4[Wolf],0)),0)</f>
        <v>0</v>
      </c>
      <c r="D80" s="158">
        <f>INDEX(Table4[GAS],MATCH(Table2[[#This Row],[Rox Wolf'#]],Table4[Wolf],0))</f>
        <v>10828</v>
      </c>
      <c r="E80" s="152">
        <f>INDEX(Table4[LEASE USE],MATCH(Table2[[#This Row],[Rox Wolf'#]],Table4[Wolf],0))</f>
        <v>465</v>
      </c>
      <c r="F80" s="153"/>
      <c r="G80" s="153"/>
      <c r="H80" s="153"/>
      <c r="I80" s="153"/>
      <c r="J80" s="149">
        <f>COUNTIF(FilterList,#REF!)</f>
        <v>0</v>
      </c>
      <c r="K80" s="153"/>
      <c r="N80" s="234">
        <v>599109</v>
      </c>
    </row>
    <row r="81" spans="1:14" ht="14">
      <c r="A81">
        <v>699109</v>
      </c>
      <c r="B81" t="s">
        <v>789</v>
      </c>
      <c r="C81" s="152">
        <f>ROUND(INDEX(Table4[OIL],MATCH(Table2[[#This Row],[Rox Wolf'#]],Table4[Wolf],0)),0)</f>
        <v>0</v>
      </c>
      <c r="D81" s="158">
        <f>INDEX(Table4[GAS],MATCH(Table2[[#This Row],[Rox Wolf'#]],Table4[Wolf],0))</f>
        <v>1745</v>
      </c>
      <c r="E81" s="152">
        <f>INDEX(Table4[LEASE USE],MATCH(Table2[[#This Row],[Rox Wolf'#]],Table4[Wolf],0))</f>
        <v>0</v>
      </c>
      <c r="F81" s="153"/>
      <c r="G81" s="153"/>
      <c r="H81" s="153"/>
      <c r="I81" s="153"/>
      <c r="J81" s="149">
        <f>COUNTIF(FilterList,#REF!)</f>
        <v>0</v>
      </c>
      <c r="K81" s="153"/>
      <c r="N81" s="233">
        <v>699109</v>
      </c>
    </row>
    <row r="82" spans="1:14" ht="14">
      <c r="A82">
        <v>98915</v>
      </c>
      <c r="B82" t="s">
        <v>790</v>
      </c>
      <c r="C82" s="152">
        <f>ROUND(INDEX(Table4[OIL],MATCH(Table2[[#This Row],[Rox Wolf'#]],Table4[Wolf],0)),0)</f>
        <v>0</v>
      </c>
      <c r="D82" s="158">
        <f>INDEX(Table4[GAS],MATCH(Table2[[#This Row],[Rox Wolf'#]],Table4[Wolf],0))</f>
        <v>0</v>
      </c>
      <c r="E82" s="152">
        <f>INDEX(Table4[LEASE USE],MATCH(Table2[[#This Row],[Rox Wolf'#]],Table4[Wolf],0))</f>
        <v>0</v>
      </c>
      <c r="F82" s="153"/>
      <c r="G82" s="153"/>
      <c r="H82" s="153"/>
      <c r="I82" s="153"/>
      <c r="J82" s="149">
        <f>COUNTIF(FilterList,#REF!)</f>
        <v>0</v>
      </c>
      <c r="K82" s="153"/>
      <c r="N82" s="234">
        <v>98915</v>
      </c>
    </row>
    <row r="83" spans="1:14" ht="14">
      <c r="A83">
        <v>99270</v>
      </c>
      <c r="B83" t="s">
        <v>148</v>
      </c>
      <c r="C83" s="152">
        <f>ROUND(INDEX(Table4[OIL],MATCH(Table2[[#This Row],[Rox Wolf'#]],Table4[Wolf],0)),0)</f>
        <v>0</v>
      </c>
      <c r="D83" s="158">
        <f>INDEX(Table4[GAS],MATCH(Table2[[#This Row],[Rox Wolf'#]],Table4[Wolf],0))</f>
        <v>29823</v>
      </c>
      <c r="E83" s="152">
        <f>INDEX(Table4[LEASE USE],MATCH(Table2[[#This Row],[Rox Wolf'#]],Table4[Wolf],0))</f>
        <v>294</v>
      </c>
      <c r="F83" s="153"/>
      <c r="G83" s="153"/>
      <c r="H83" s="153"/>
      <c r="I83" s="153"/>
      <c r="J83" s="149">
        <f>COUNTIF(FilterList,#REF!)</f>
        <v>0</v>
      </c>
      <c r="K83" s="153"/>
      <c r="N83" s="233">
        <v>99270</v>
      </c>
    </row>
    <row r="84" spans="1:14" ht="14">
      <c r="A84">
        <v>99247</v>
      </c>
      <c r="B84" t="s">
        <v>1126</v>
      </c>
      <c r="C84" s="152">
        <f>ROUND(INDEX(Table4[OIL],MATCH(Table2[[#This Row],[Rox Wolf'#]],Table4[Wolf],0)),0)</f>
        <v>0</v>
      </c>
      <c r="D84" s="158">
        <f>INDEX(Table4[GAS],MATCH(Table2[[#This Row],[Rox Wolf'#]],Table4[Wolf],0))</f>
        <v>0</v>
      </c>
      <c r="E84" s="152">
        <f>INDEX(Table4[LEASE USE],MATCH(Table2[[#This Row],[Rox Wolf'#]],Table4[Wolf],0))</f>
        <v>0</v>
      </c>
      <c r="F84" s="153"/>
      <c r="G84" s="153"/>
      <c r="H84" s="153"/>
      <c r="I84" s="153"/>
      <c r="J84" s="149">
        <f>COUNTIF(FilterList,#REF!)</f>
        <v>0</v>
      </c>
      <c r="K84" s="153"/>
      <c r="N84" s="234">
        <v>99247</v>
      </c>
    </row>
    <row r="85" spans="1:14" ht="14">
      <c r="A85">
        <v>98983</v>
      </c>
      <c r="B85" t="s">
        <v>1104</v>
      </c>
      <c r="C85" s="152">
        <f>ROUND(INDEX(Table4[OIL],MATCH(Table2[[#This Row],[Rox Wolf'#]],Table4[Wolf],0)),0)</f>
        <v>0</v>
      </c>
      <c r="D85" s="158">
        <f>INDEX(Table4[GAS],MATCH(Table2[[#This Row],[Rox Wolf'#]],Table4[Wolf],0))</f>
        <v>0</v>
      </c>
      <c r="E85" s="152">
        <f>INDEX(Table4[LEASE USE],MATCH(Table2[[#This Row],[Rox Wolf'#]],Table4[Wolf],0))</f>
        <v>0</v>
      </c>
      <c r="F85" s="153"/>
      <c r="G85" s="153"/>
      <c r="H85" s="153"/>
      <c r="I85" s="153"/>
      <c r="J85" s="149">
        <f>COUNTIF(FilterList,#REF!)</f>
        <v>0</v>
      </c>
      <c r="K85" s="153"/>
      <c r="N85" s="233">
        <v>98983</v>
      </c>
    </row>
    <row r="86" spans="1:14" ht="14">
      <c r="A86">
        <v>99161</v>
      </c>
      <c r="B86" t="s">
        <v>817</v>
      </c>
      <c r="C86" s="152">
        <f>ROUND(INDEX(Table4[OIL],MATCH(Table2[[#This Row],[Rox Wolf'#]],Table4[Wolf],0)),0)</f>
        <v>0</v>
      </c>
      <c r="D86" s="158">
        <f>INDEX(Table4[GAS],MATCH(Table2[[#This Row],[Rox Wolf'#]],Table4[Wolf],0))</f>
        <v>0</v>
      </c>
      <c r="E86" s="152">
        <f>INDEX(Table4[LEASE USE],MATCH(Table2[[#This Row],[Rox Wolf'#]],Table4[Wolf],0))</f>
        <v>124</v>
      </c>
      <c r="F86" s="153"/>
      <c r="G86" s="153"/>
      <c r="H86" s="153"/>
      <c r="I86" s="153"/>
      <c r="J86" s="149">
        <f>COUNTIF(FilterList,#REF!)</f>
        <v>0</v>
      </c>
      <c r="K86" s="153"/>
      <c r="N86" s="234">
        <v>99161</v>
      </c>
    </row>
    <row r="87" spans="1:14" ht="14">
      <c r="A87">
        <v>99305</v>
      </c>
      <c r="B87" t="s">
        <v>818</v>
      </c>
      <c r="C87" s="152">
        <f>ROUND(INDEX(Table4[OIL],MATCH(Table2[[#This Row],[Rox Wolf'#]],Table4[Wolf],0)),0)</f>
        <v>0</v>
      </c>
      <c r="D87" s="158">
        <f>INDEX(Table4[GAS],MATCH(Table2[[#This Row],[Rox Wolf'#]],Table4[Wolf],0))</f>
        <v>0</v>
      </c>
      <c r="E87" s="152">
        <f>INDEX(Table4[LEASE USE],MATCH(Table2[[#This Row],[Rox Wolf'#]],Table4[Wolf],0))</f>
        <v>0</v>
      </c>
      <c r="F87" s="153"/>
      <c r="G87" s="153"/>
      <c r="H87" s="153"/>
      <c r="I87" s="153"/>
      <c r="J87" s="149">
        <f>COUNTIF(FilterList,#REF!)</f>
        <v>0</v>
      </c>
      <c r="K87" s="153"/>
      <c r="N87" s="233">
        <v>99305</v>
      </c>
    </row>
    <row r="88" spans="1:14" ht="14">
      <c r="A88">
        <v>99302</v>
      </c>
      <c r="B88" t="s">
        <v>819</v>
      </c>
      <c r="C88" s="152">
        <f>ROUND(INDEX(Table4[OIL],MATCH(Table2[[#This Row],[Rox Wolf'#]],Table4[Wolf],0)),0)</f>
        <v>0</v>
      </c>
      <c r="D88" s="158">
        <f>INDEX(Table4[GAS],MATCH(Table2[[#This Row],[Rox Wolf'#]],Table4[Wolf],0))</f>
        <v>0</v>
      </c>
      <c r="E88" s="152">
        <f>INDEX(Table4[LEASE USE],MATCH(Table2[[#This Row],[Rox Wolf'#]],Table4[Wolf],0))</f>
        <v>0</v>
      </c>
      <c r="F88" s="153"/>
      <c r="G88" s="153"/>
      <c r="H88" s="153"/>
      <c r="I88" s="153"/>
      <c r="J88" s="149">
        <f>COUNTIF(FilterList,#REF!)</f>
        <v>0</v>
      </c>
      <c r="K88" s="153"/>
      <c r="N88" s="234">
        <v>99302</v>
      </c>
    </row>
    <row r="89" spans="1:14" ht="14">
      <c r="A89">
        <v>99296</v>
      </c>
      <c r="B89" t="s">
        <v>820</v>
      </c>
      <c r="C89" s="152">
        <f>ROUND(INDEX(Table4[OIL],MATCH(Table2[[#This Row],[Rox Wolf'#]],Table4[Wolf],0)),0)</f>
        <v>0</v>
      </c>
      <c r="D89" s="158">
        <f>INDEX(Table4[GAS],MATCH(Table2[[#This Row],[Rox Wolf'#]],Table4[Wolf],0))</f>
        <v>0</v>
      </c>
      <c r="E89" s="152">
        <f>INDEX(Table4[LEASE USE],MATCH(Table2[[#This Row],[Rox Wolf'#]],Table4[Wolf],0))</f>
        <v>0</v>
      </c>
      <c r="F89" s="153"/>
      <c r="G89" s="153"/>
      <c r="H89" s="153"/>
      <c r="I89" s="153"/>
      <c r="J89" s="149">
        <f>COUNTIF(FilterList,#REF!)</f>
        <v>0</v>
      </c>
      <c r="K89" s="153"/>
      <c r="N89" s="233">
        <v>99296</v>
      </c>
    </row>
    <row r="90" spans="1:14" ht="14">
      <c r="A90">
        <v>99194</v>
      </c>
      <c r="B90" t="s">
        <v>1105</v>
      </c>
      <c r="C90" s="152">
        <f>ROUND(INDEX(Table4[OIL],MATCH(Table2[[#This Row],[Rox Wolf'#]],Table4[Wolf],0)),0)</f>
        <v>0</v>
      </c>
      <c r="D90" s="158">
        <f>INDEX(Table4[GAS],MATCH(Table2[[#This Row],[Rox Wolf'#]],Table4[Wolf],0))</f>
        <v>0</v>
      </c>
      <c r="E90" s="152">
        <f>INDEX(Table4[LEASE USE],MATCH(Table2[[#This Row],[Rox Wolf'#]],Table4[Wolf],0))</f>
        <v>0</v>
      </c>
      <c r="F90" s="153"/>
      <c r="G90" s="153"/>
      <c r="H90" s="153"/>
      <c r="I90" s="153"/>
      <c r="J90" s="149">
        <f>COUNTIF(FilterList,#REF!)</f>
        <v>0</v>
      </c>
      <c r="K90" s="153"/>
      <c r="N90" s="234">
        <v>99194</v>
      </c>
    </row>
    <row r="91" spans="1:14" ht="14" hidden="1">
      <c r="A91">
        <v>99171</v>
      </c>
      <c r="B91" t="s">
        <v>821</v>
      </c>
      <c r="C91" s="152">
        <f>ROUND(INDEX(Table4[OIL],MATCH(Table2[[#This Row],[Rox Wolf'#]],Table4[Wolf],0)),0)</f>
        <v>0</v>
      </c>
      <c r="D91" s="158">
        <f>INDEX(Table4[GAS],MATCH(Table2[[#This Row],[Rox Wolf'#]],Table4[Wolf],0))</f>
        <v>0</v>
      </c>
      <c r="E91" s="152">
        <f>INDEX(Table4[LEASE USE],MATCH(Table2[[#This Row],[Rox Wolf'#]],Table4[Wolf],0))</f>
        <v>0</v>
      </c>
      <c r="F91" s="153"/>
      <c r="G91" s="153"/>
      <c r="H91" s="153"/>
      <c r="I91" s="153"/>
      <c r="J91" s="149">
        <f>COUNTIF(FilterList,#REF!)</f>
        <v>0</v>
      </c>
      <c r="K91" s="154" t="s">
        <v>1129</v>
      </c>
      <c r="N91" s="233">
        <v>99158</v>
      </c>
    </row>
    <row r="92" spans="1:14" ht="14" hidden="1">
      <c r="A92">
        <v>99172</v>
      </c>
      <c r="B92" t="s">
        <v>1127</v>
      </c>
      <c r="C92" s="152">
        <f>ROUND(INDEX(Table4[OIL],MATCH(Table2[[#This Row],[Rox Wolf'#]],Table4[Wolf],0)),0)</f>
        <v>0</v>
      </c>
      <c r="D92" s="158">
        <f>INDEX(Table4[GAS],MATCH(Table2[[#This Row],[Rox Wolf'#]],Table4[Wolf],0))</f>
        <v>0</v>
      </c>
      <c r="E92" s="152">
        <f>INDEX(Table4[LEASE USE],MATCH(Table2[[#This Row],[Rox Wolf'#]],Table4[Wolf],0))</f>
        <v>0</v>
      </c>
      <c r="F92" s="153"/>
      <c r="G92" s="153"/>
      <c r="H92" s="153"/>
      <c r="I92" s="153"/>
      <c r="J92" s="149">
        <f>COUNTIF(FilterList,#REF!)</f>
        <v>0</v>
      </c>
      <c r="K92" s="154" t="s">
        <v>1129</v>
      </c>
      <c r="N92" s="234">
        <v>99171</v>
      </c>
    </row>
    <row r="93" spans="1:14" ht="14" hidden="1">
      <c r="A93">
        <v>99173</v>
      </c>
      <c r="B93" t="s">
        <v>822</v>
      </c>
      <c r="C93" s="152">
        <f>ROUND(INDEX(Table4[OIL],MATCH(Table2[[#This Row],[Rox Wolf'#]],Table4[Wolf],0)),0)</f>
        <v>0</v>
      </c>
      <c r="D93" s="158">
        <f>INDEX(Table4[GAS],MATCH(Table2[[#This Row],[Rox Wolf'#]],Table4[Wolf],0))</f>
        <v>0</v>
      </c>
      <c r="E93" s="152">
        <f>INDEX(Table4[LEASE USE],MATCH(Table2[[#This Row],[Rox Wolf'#]],Table4[Wolf],0))</f>
        <v>0</v>
      </c>
      <c r="F93" s="153"/>
      <c r="G93" s="153"/>
      <c r="H93" s="153"/>
      <c r="I93" s="153"/>
      <c r="J93" s="149">
        <f>COUNTIF(FilterList,#REF!)</f>
        <v>0</v>
      </c>
      <c r="K93" s="154" t="s">
        <v>1129</v>
      </c>
      <c r="N93" s="233">
        <v>99172</v>
      </c>
    </row>
    <row r="94" spans="1:14" ht="14">
      <c r="A94">
        <v>80001</v>
      </c>
      <c r="B94" t="s">
        <v>791</v>
      </c>
      <c r="C94" s="152">
        <f>ROUND(INDEX(Table4[OIL],MATCH(Table2[[#This Row],[Rox Wolf'#]],Table4[Wolf],0)),0)</f>
        <v>0</v>
      </c>
      <c r="D94" s="158">
        <f>INDEX(Table4[GAS],MATCH(Table2[[#This Row],[Rox Wolf'#]],Table4[Wolf],0))</f>
        <v>1443</v>
      </c>
      <c r="E94" s="152">
        <f>INDEX(Table4[LEASE USE],MATCH(Table2[[#This Row],[Rox Wolf'#]],Table4[Wolf],0))</f>
        <v>76</v>
      </c>
      <c r="F94" s="153"/>
      <c r="G94" s="153"/>
      <c r="H94" s="153"/>
      <c r="I94" s="153"/>
      <c r="J94" s="149">
        <f>COUNTIF(FilterList,#REF!)</f>
        <v>0</v>
      </c>
      <c r="K94" s="153"/>
      <c r="N94" s="234">
        <v>99173</v>
      </c>
    </row>
    <row r="95" spans="1:14" ht="14">
      <c r="A95">
        <v>99158</v>
      </c>
      <c r="B95" t="s">
        <v>1277</v>
      </c>
      <c r="C95" s="152">
        <f>ROUND(INDEX(Table4[OIL],MATCH(Table2[[#This Row],[Rox Wolf'#]],Table4[Wolf],0)),0)</f>
        <v>0</v>
      </c>
      <c r="D95" s="158">
        <f>INDEX(Table4[GAS],MATCH(Table2[[#This Row],[Rox Wolf'#]],Table4[Wolf],0))</f>
        <v>0</v>
      </c>
      <c r="E95" s="152">
        <f>INDEX(Table4[LEASE USE],MATCH(Table2[[#This Row],[Rox Wolf'#]],Table4[Wolf],0))</f>
        <v>0</v>
      </c>
      <c r="F95" s="153"/>
      <c r="G95" s="153"/>
      <c r="H95" s="153"/>
      <c r="I95" s="153"/>
      <c r="J95" s="149">
        <f>COUNTIF(FilterList,#REF!)</f>
        <v>0</v>
      </c>
      <c r="K95" s="153"/>
      <c r="N95" s="234"/>
    </row>
    <row r="96" spans="1:14" ht="14">
      <c r="A96">
        <f>SUBTOTAL(103,Table2[Rox Wolf'#])</f>
        <v>84</v>
      </c>
      <c r="B96"/>
      <c r="C96">
        <f>SUBTOTAL(109,Table2[OIL])</f>
        <v>706</v>
      </c>
      <c r="D96" s="5">
        <f>SUBTOTAL(109,Table2[GAS])</f>
        <v>183363</v>
      </c>
      <c r="E96">
        <f>SUBTOTAL(109,Table2[LEASE USE])</f>
        <v>5015</v>
      </c>
      <c r="F96"/>
      <c r="G96"/>
      <c r="H96"/>
      <c r="I96"/>
      <c r="J96">
        <f>SUBTOTAL(109,Table2[Filter])</f>
        <v>0</v>
      </c>
      <c r="N96" s="233">
        <v>80001</v>
      </c>
    </row>
  </sheetData>
  <mergeCells count="2">
    <mergeCell ref="A1:E1"/>
    <mergeCell ref="A2:E2"/>
  </mergeCells>
  <phoneticPr fontId="70" type="noConversion"/>
  <conditionalFormatting sqref="A5:A95">
    <cfRule type="duplicateValues" dxfId="10" priority="29"/>
  </conditionalFormatting>
  <conditionalFormatting sqref="B4:B95">
    <cfRule type="duplicateValues" dxfId="9" priority="31"/>
  </conditionalFormatting>
  <conditionalFormatting sqref="N5:N96 A5:A95">
    <cfRule type="duplicateValues" dxfId="8" priority="1"/>
  </conditionalFormatting>
  <pageMargins left="0.25" right="0.25" top="0.75" bottom="0.75" header="0.3" footer="0.3"/>
  <pageSetup scale="36" orientation="landscape"/>
  <tableParts count="1">
    <tablePart r:id="rId1"/>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96"/>
  <sheetViews>
    <sheetView workbookViewId="0">
      <selection activeCell="I15" sqref="I15"/>
    </sheetView>
  </sheetViews>
  <sheetFormatPr baseColWidth="10" defaultColWidth="8.83203125" defaultRowHeight="14" x14ac:dyDescent="0"/>
  <cols>
    <col min="1" max="1" width="12.83203125" style="164" customWidth="1"/>
    <col min="2" max="2" width="30" style="164" bestFit="1" customWidth="1"/>
    <col min="3" max="3" width="8.83203125" style="168"/>
    <col min="4" max="4" width="8.83203125" style="169"/>
    <col min="5" max="5" width="14.1640625" style="168" customWidth="1"/>
    <col min="6" max="16384" width="8.83203125" style="164"/>
  </cols>
  <sheetData>
    <row r="1" spans="1:5" s="162" customFormat="1" ht="20">
      <c r="A1" s="263" t="s">
        <v>627</v>
      </c>
      <c r="B1" s="263"/>
      <c r="C1" s="263"/>
      <c r="D1" s="263"/>
      <c r="E1" s="263"/>
    </row>
    <row r="2" spans="1:5" s="162" customFormat="1" ht="20">
      <c r="A2" s="264">
        <v>43952</v>
      </c>
      <c r="B2" s="264"/>
      <c r="C2" s="264"/>
      <c r="D2" s="264"/>
      <c r="E2" s="264"/>
    </row>
    <row r="3" spans="1:5" s="162" customFormat="1" ht="20">
      <c r="C3" s="182"/>
      <c r="D3" s="163"/>
      <c r="E3" s="182"/>
    </row>
    <row r="4" spans="1:5">
      <c r="A4" s="170" t="s">
        <v>1141</v>
      </c>
      <c r="B4" s="165" t="s">
        <v>1142</v>
      </c>
      <c r="C4" s="166" t="s">
        <v>745</v>
      </c>
      <c r="D4" s="167" t="s">
        <v>746</v>
      </c>
      <c r="E4" s="168" t="s">
        <v>747</v>
      </c>
    </row>
    <row r="5" spans="1:5">
      <c r="A5" s="189">
        <v>99265</v>
      </c>
      <c r="B5" s="189" t="s">
        <v>1118</v>
      </c>
      <c r="C5" s="190"/>
      <c r="D5" s="191">
        <v>6063</v>
      </c>
      <c r="E5" s="191">
        <v>219</v>
      </c>
    </row>
    <row r="6" spans="1:5">
      <c r="A6" s="189">
        <v>99266</v>
      </c>
      <c r="B6" s="189" t="s">
        <v>1119</v>
      </c>
      <c r="C6" s="190"/>
      <c r="D6" s="191">
        <v>2464</v>
      </c>
      <c r="E6" s="191">
        <v>89</v>
      </c>
    </row>
    <row r="7" spans="1:5">
      <c r="A7" s="189">
        <v>99267</v>
      </c>
      <c r="B7" s="189" t="s">
        <v>1120</v>
      </c>
      <c r="C7" s="190"/>
      <c r="D7" s="191">
        <v>96</v>
      </c>
      <c r="E7" s="191">
        <v>5</v>
      </c>
    </row>
    <row r="8" spans="1:5">
      <c r="A8" s="189">
        <v>99229</v>
      </c>
      <c r="B8" s="189" t="s">
        <v>748</v>
      </c>
      <c r="C8" s="190"/>
      <c r="D8" s="191"/>
      <c r="E8" s="192">
        <v>0</v>
      </c>
    </row>
    <row r="9" spans="1:5">
      <c r="A9" s="189">
        <v>99282</v>
      </c>
      <c r="B9" s="189" t="s">
        <v>1263</v>
      </c>
      <c r="C9" s="190"/>
      <c r="D9" s="191"/>
      <c r="E9" s="192"/>
    </row>
    <row r="10" spans="1:5">
      <c r="A10" s="189">
        <v>93701</v>
      </c>
      <c r="B10" s="189" t="s">
        <v>795</v>
      </c>
      <c r="C10" s="190"/>
      <c r="D10" s="191"/>
      <c r="E10" s="192">
        <v>0</v>
      </c>
    </row>
    <row r="11" spans="1:5">
      <c r="A11" s="189">
        <v>99170</v>
      </c>
      <c r="B11" s="189" t="s">
        <v>797</v>
      </c>
      <c r="C11" s="190"/>
      <c r="D11" s="191"/>
      <c r="E11" s="192">
        <v>0</v>
      </c>
    </row>
    <row r="12" spans="1:5">
      <c r="A12" s="189">
        <v>96701</v>
      </c>
      <c r="B12" s="189" t="s">
        <v>749</v>
      </c>
      <c r="C12" s="190"/>
      <c r="D12" s="191"/>
      <c r="E12" s="192">
        <v>0</v>
      </c>
    </row>
    <row r="13" spans="1:5">
      <c r="A13" s="189">
        <v>82001</v>
      </c>
      <c r="B13" s="189" t="s">
        <v>750</v>
      </c>
      <c r="C13" s="190"/>
      <c r="D13" s="191">
        <v>33</v>
      </c>
      <c r="E13" s="192">
        <v>0</v>
      </c>
    </row>
    <row r="14" spans="1:5">
      <c r="A14" s="189">
        <v>96501</v>
      </c>
      <c r="B14" s="189" t="s">
        <v>751</v>
      </c>
      <c r="C14" s="190"/>
      <c r="D14" s="191">
        <v>2049</v>
      </c>
      <c r="E14" s="192">
        <v>93</v>
      </c>
    </row>
    <row r="15" spans="1:5">
      <c r="A15" s="189">
        <v>99230</v>
      </c>
      <c r="B15" s="189" t="s">
        <v>752</v>
      </c>
      <c r="C15" s="190"/>
      <c r="D15" s="191">
        <v>1969</v>
      </c>
      <c r="E15" s="192">
        <v>0</v>
      </c>
    </row>
    <row r="16" spans="1:5">
      <c r="A16" s="189">
        <v>99286</v>
      </c>
      <c r="B16" s="189" t="s">
        <v>753</v>
      </c>
      <c r="C16" s="190"/>
      <c r="D16" s="191">
        <v>795</v>
      </c>
      <c r="E16" s="192">
        <v>62</v>
      </c>
    </row>
    <row r="17" spans="1:5">
      <c r="A17" s="189">
        <v>99294</v>
      </c>
      <c r="B17" s="189" t="s">
        <v>754</v>
      </c>
      <c r="C17" s="190"/>
      <c r="D17" s="191">
        <v>1141</v>
      </c>
      <c r="E17" s="192">
        <v>31</v>
      </c>
    </row>
    <row r="18" spans="1:5">
      <c r="A18" s="189">
        <v>99293</v>
      </c>
      <c r="B18" s="189" t="s">
        <v>755</v>
      </c>
      <c r="C18" s="190"/>
      <c r="D18" s="191"/>
      <c r="E18" s="192">
        <v>1</v>
      </c>
    </row>
    <row r="19" spans="1:5">
      <c r="A19" s="189">
        <v>99295</v>
      </c>
      <c r="B19" s="189" t="s">
        <v>756</v>
      </c>
      <c r="C19" s="190"/>
      <c r="D19" s="191"/>
      <c r="E19" s="192">
        <v>0</v>
      </c>
    </row>
    <row r="20" spans="1:5">
      <c r="A20" s="189">
        <v>99228</v>
      </c>
      <c r="B20" s="189" t="s">
        <v>77</v>
      </c>
      <c r="C20" s="190"/>
      <c r="D20" s="192"/>
      <c r="E20" s="192">
        <v>0</v>
      </c>
    </row>
    <row r="21" spans="1:5">
      <c r="A21" s="189">
        <v>99200</v>
      </c>
      <c r="B21" s="189" t="s">
        <v>799</v>
      </c>
      <c r="C21" s="190"/>
      <c r="D21" s="191"/>
      <c r="E21" s="192">
        <v>0</v>
      </c>
    </row>
    <row r="22" spans="1:5">
      <c r="A22" s="189">
        <v>99255</v>
      </c>
      <c r="B22" s="189" t="s">
        <v>757</v>
      </c>
      <c r="C22" s="190"/>
      <c r="D22" s="191"/>
      <c r="E22" s="192">
        <v>0</v>
      </c>
    </row>
    <row r="23" spans="1:5">
      <c r="A23" s="189">
        <v>98921</v>
      </c>
      <c r="B23" s="189" t="s">
        <v>800</v>
      </c>
      <c r="C23" s="190"/>
      <c r="D23" s="191"/>
      <c r="E23" s="192">
        <v>0</v>
      </c>
    </row>
    <row r="24" spans="1:5">
      <c r="A24" s="189">
        <v>99017</v>
      </c>
      <c r="B24" s="189" t="s">
        <v>758</v>
      </c>
      <c r="C24" s="190"/>
      <c r="D24" s="191">
        <v>4443</v>
      </c>
      <c r="E24" s="192">
        <v>217</v>
      </c>
    </row>
    <row r="25" spans="1:5">
      <c r="A25" s="189">
        <v>99067</v>
      </c>
      <c r="B25" s="189" t="s">
        <v>759</v>
      </c>
      <c r="C25" s="190"/>
      <c r="D25" s="191">
        <v>182</v>
      </c>
      <c r="E25" s="192">
        <v>0</v>
      </c>
    </row>
    <row r="26" spans="1:5">
      <c r="A26" s="189">
        <v>99169</v>
      </c>
      <c r="B26" s="189" t="s">
        <v>801</v>
      </c>
      <c r="C26" s="190"/>
      <c r="D26" s="191"/>
      <c r="E26" s="192">
        <v>0</v>
      </c>
    </row>
    <row r="27" spans="1:5">
      <c r="A27" s="189">
        <v>99069</v>
      </c>
      <c r="B27" s="189" t="s">
        <v>760</v>
      </c>
      <c r="C27" s="190"/>
      <c r="D27" s="191"/>
      <c r="E27" s="192">
        <v>0</v>
      </c>
    </row>
    <row r="28" spans="1:5">
      <c r="A28" s="189">
        <v>98965</v>
      </c>
      <c r="B28" s="189" t="s">
        <v>761</v>
      </c>
      <c r="C28" s="190"/>
      <c r="D28" s="191">
        <v>898</v>
      </c>
      <c r="E28" s="192">
        <v>31</v>
      </c>
    </row>
    <row r="29" spans="1:5">
      <c r="A29" s="189">
        <v>99225</v>
      </c>
      <c r="B29" s="189" t="s">
        <v>1121</v>
      </c>
      <c r="C29" s="190"/>
      <c r="D29" s="191"/>
      <c r="E29" s="192"/>
    </row>
    <row r="30" spans="1:5">
      <c r="A30" s="189">
        <v>48001</v>
      </c>
      <c r="B30" s="189" t="s">
        <v>762</v>
      </c>
      <c r="C30" s="190"/>
      <c r="D30" s="191">
        <v>196</v>
      </c>
      <c r="E30" s="192">
        <v>31</v>
      </c>
    </row>
    <row r="31" spans="1:5">
      <c r="A31" s="189">
        <v>93806</v>
      </c>
      <c r="B31" s="189" t="s">
        <v>802</v>
      </c>
      <c r="C31" s="190"/>
      <c r="D31" s="191"/>
      <c r="E31" s="192">
        <v>0</v>
      </c>
    </row>
    <row r="32" spans="1:5" ht="15.75" customHeight="1">
      <c r="A32" s="189">
        <v>98961</v>
      </c>
      <c r="B32" s="189" t="s">
        <v>803</v>
      </c>
      <c r="C32" s="190"/>
      <c r="D32" s="191">
        <v>2273</v>
      </c>
      <c r="E32" s="192">
        <v>0</v>
      </c>
    </row>
    <row r="33" spans="1:5">
      <c r="A33" s="189">
        <v>99307</v>
      </c>
      <c r="B33" s="189" t="s">
        <v>763</v>
      </c>
      <c r="C33" s="190"/>
      <c r="D33" s="191">
        <v>530</v>
      </c>
      <c r="E33" s="192">
        <v>0</v>
      </c>
    </row>
    <row r="34" spans="1:5">
      <c r="A34" s="189">
        <v>98987</v>
      </c>
      <c r="B34" s="189" t="s">
        <v>764</v>
      </c>
      <c r="C34" s="190"/>
      <c r="D34" s="191">
        <v>0</v>
      </c>
      <c r="E34" s="192">
        <v>0</v>
      </c>
    </row>
    <row r="35" spans="1:5">
      <c r="A35" s="189">
        <v>98988</v>
      </c>
      <c r="B35" s="189" t="s">
        <v>765</v>
      </c>
      <c r="C35" s="190"/>
      <c r="D35" s="191">
        <v>2078</v>
      </c>
      <c r="E35" s="192">
        <v>150</v>
      </c>
    </row>
    <row r="36" spans="1:5">
      <c r="A36" s="189">
        <v>99007</v>
      </c>
      <c r="B36" s="189" t="s">
        <v>766</v>
      </c>
      <c r="C36" s="190"/>
      <c r="D36" s="191">
        <v>216</v>
      </c>
      <c r="E36" s="192">
        <v>8</v>
      </c>
    </row>
    <row r="37" spans="1:5">
      <c r="A37" s="189">
        <v>98956</v>
      </c>
      <c r="B37" s="189" t="s">
        <v>767</v>
      </c>
      <c r="C37" s="190"/>
      <c r="D37" s="191">
        <v>625</v>
      </c>
      <c r="E37" s="192">
        <v>62</v>
      </c>
    </row>
    <row r="38" spans="1:5">
      <c r="A38" s="189">
        <v>98958</v>
      </c>
      <c r="B38" s="189" t="s">
        <v>768</v>
      </c>
      <c r="C38" s="190"/>
      <c r="D38" s="191">
        <v>3173</v>
      </c>
      <c r="E38" s="192">
        <v>186</v>
      </c>
    </row>
    <row r="39" spans="1:5">
      <c r="A39" s="189">
        <v>98959</v>
      </c>
      <c r="B39" s="189" t="s">
        <v>769</v>
      </c>
      <c r="C39" s="190"/>
      <c r="D39" s="191">
        <v>19</v>
      </c>
      <c r="E39" s="192">
        <v>0</v>
      </c>
    </row>
    <row r="40" spans="1:5">
      <c r="A40" s="189">
        <v>99093</v>
      </c>
      <c r="B40" s="189" t="s">
        <v>770</v>
      </c>
      <c r="C40" s="190"/>
      <c r="D40" s="191">
        <v>2893</v>
      </c>
      <c r="E40" s="192">
        <v>124</v>
      </c>
    </row>
    <row r="41" spans="1:5">
      <c r="A41" s="189">
        <v>99094</v>
      </c>
      <c r="B41" s="189" t="s">
        <v>771</v>
      </c>
      <c r="C41" s="190"/>
      <c r="D41" s="191">
        <v>2893</v>
      </c>
      <c r="E41" s="192">
        <v>124</v>
      </c>
    </row>
    <row r="42" spans="1:5">
      <c r="A42" s="189">
        <v>99095</v>
      </c>
      <c r="B42" s="189" t="s">
        <v>772</v>
      </c>
      <c r="C42" s="190"/>
      <c r="D42" s="191">
        <v>881</v>
      </c>
      <c r="E42" s="192">
        <v>31</v>
      </c>
    </row>
    <row r="43" spans="1:5">
      <c r="A43" s="189">
        <v>98801</v>
      </c>
      <c r="B43" s="189" t="s">
        <v>773</v>
      </c>
      <c r="C43" s="190"/>
      <c r="D43" s="191">
        <v>5340</v>
      </c>
      <c r="E43" s="192">
        <v>217</v>
      </c>
    </row>
    <row r="44" spans="1:5">
      <c r="A44" s="189">
        <v>94601</v>
      </c>
      <c r="B44" s="189" t="s">
        <v>804</v>
      </c>
      <c r="C44" s="190"/>
      <c r="D44" s="191"/>
      <c r="E44" s="192">
        <v>0</v>
      </c>
    </row>
    <row r="45" spans="1:5">
      <c r="A45" s="189">
        <v>99113</v>
      </c>
      <c r="B45" s="189" t="s">
        <v>774</v>
      </c>
      <c r="C45" s="190"/>
      <c r="D45" s="191">
        <v>170</v>
      </c>
      <c r="E45" s="192">
        <v>0</v>
      </c>
    </row>
    <row r="46" spans="1:5">
      <c r="A46" s="189">
        <v>99066</v>
      </c>
      <c r="B46" s="189" t="s">
        <v>775</v>
      </c>
      <c r="C46" s="190"/>
      <c r="D46" s="191">
        <v>659</v>
      </c>
      <c r="E46" s="192">
        <v>0</v>
      </c>
    </row>
    <row r="47" spans="1:5">
      <c r="A47" s="189">
        <v>99065</v>
      </c>
      <c r="B47" s="189" t="s">
        <v>776</v>
      </c>
      <c r="C47" s="190"/>
      <c r="D47" s="191"/>
      <c r="E47" s="192">
        <v>0</v>
      </c>
    </row>
    <row r="48" spans="1:5">
      <c r="A48" s="189">
        <v>99278</v>
      </c>
      <c r="B48" s="189" t="s">
        <v>777</v>
      </c>
      <c r="C48" s="190"/>
      <c r="D48" s="191">
        <v>6909</v>
      </c>
      <c r="E48" s="192">
        <v>403</v>
      </c>
    </row>
    <row r="49" spans="1:5">
      <c r="A49" s="189">
        <v>98990</v>
      </c>
      <c r="B49" s="189" t="s">
        <v>778</v>
      </c>
      <c r="C49" s="190"/>
      <c r="D49" s="191">
        <v>130</v>
      </c>
      <c r="E49" s="192">
        <v>0</v>
      </c>
    </row>
    <row r="50" spans="1:5">
      <c r="A50" s="189">
        <v>98976</v>
      </c>
      <c r="B50" s="189" t="s">
        <v>779</v>
      </c>
      <c r="C50" s="190"/>
      <c r="D50" s="191">
        <v>54</v>
      </c>
      <c r="E50" s="192">
        <v>0</v>
      </c>
    </row>
    <row r="51" spans="1:5">
      <c r="A51" s="189">
        <v>93901</v>
      </c>
      <c r="B51" s="189" t="s">
        <v>1122</v>
      </c>
      <c r="C51" s="190"/>
      <c r="D51" s="191"/>
      <c r="E51" s="192"/>
    </row>
    <row r="52" spans="1:5">
      <c r="A52" s="189">
        <v>99159</v>
      </c>
      <c r="B52" s="189" t="s">
        <v>780</v>
      </c>
      <c r="C52" s="190"/>
      <c r="D52" s="191">
        <v>4308</v>
      </c>
      <c r="E52" s="192">
        <v>186</v>
      </c>
    </row>
    <row r="53" spans="1:5">
      <c r="A53" s="189">
        <v>98955</v>
      </c>
      <c r="B53" s="189" t="s">
        <v>279</v>
      </c>
      <c r="C53" s="190"/>
      <c r="D53" s="191">
        <v>3888</v>
      </c>
      <c r="E53" s="192">
        <v>30</v>
      </c>
    </row>
    <row r="54" spans="1:5">
      <c r="A54" s="189">
        <v>99269</v>
      </c>
      <c r="B54" s="189" t="s">
        <v>1123</v>
      </c>
      <c r="C54" s="190"/>
      <c r="D54" s="191"/>
      <c r="E54" s="191">
        <v>280</v>
      </c>
    </row>
    <row r="55" spans="1:5">
      <c r="A55" s="189">
        <v>92001</v>
      </c>
      <c r="B55" s="189" t="s">
        <v>231</v>
      </c>
      <c r="C55" s="190"/>
      <c r="D55" s="191"/>
      <c r="E55" s="192">
        <v>0</v>
      </c>
    </row>
    <row r="56" spans="1:5">
      <c r="A56" s="189">
        <v>99058</v>
      </c>
      <c r="B56" s="189" t="s">
        <v>781</v>
      </c>
      <c r="C56" s="190"/>
      <c r="D56" s="191">
        <v>2211</v>
      </c>
      <c r="E56" s="192">
        <v>0</v>
      </c>
    </row>
    <row r="57" spans="1:5">
      <c r="A57" s="189">
        <v>99186</v>
      </c>
      <c r="B57" s="189" t="s">
        <v>806</v>
      </c>
      <c r="C57" s="190"/>
      <c r="D57" s="191"/>
      <c r="E57" s="192">
        <v>174</v>
      </c>
    </row>
    <row r="58" spans="1:5">
      <c r="A58" s="189">
        <v>99288</v>
      </c>
      <c r="B58" s="189" t="s">
        <v>1117</v>
      </c>
      <c r="C58" s="190"/>
      <c r="D58" s="191"/>
      <c r="E58" s="192">
        <v>0</v>
      </c>
    </row>
    <row r="59" spans="1:5">
      <c r="A59" s="189">
        <v>99297</v>
      </c>
      <c r="B59" s="189" t="s">
        <v>782</v>
      </c>
      <c r="C59" s="190"/>
      <c r="D59" s="191"/>
      <c r="E59" s="192">
        <v>0</v>
      </c>
    </row>
    <row r="60" spans="1:5">
      <c r="A60" s="189">
        <v>99122</v>
      </c>
      <c r="B60" s="189" t="s">
        <v>1241</v>
      </c>
      <c r="C60" s="190"/>
      <c r="D60" s="191"/>
      <c r="E60" s="192"/>
    </row>
    <row r="61" spans="1:5">
      <c r="A61" s="189">
        <v>99268</v>
      </c>
      <c r="B61" s="189" t="s">
        <v>1124</v>
      </c>
      <c r="C61" s="190"/>
      <c r="D61" s="191">
        <v>5720</v>
      </c>
      <c r="E61" s="191">
        <v>288</v>
      </c>
    </row>
    <row r="62" spans="1:5">
      <c r="A62" s="189">
        <v>99102</v>
      </c>
      <c r="B62" s="189" t="s">
        <v>783</v>
      </c>
      <c r="C62" s="190"/>
      <c r="D62" s="191">
        <v>42675</v>
      </c>
      <c r="E62" s="192">
        <v>0</v>
      </c>
    </row>
    <row r="63" spans="1:5">
      <c r="A63" s="189">
        <v>99259</v>
      </c>
      <c r="B63" s="189" t="s">
        <v>1101</v>
      </c>
      <c r="C63" s="190"/>
      <c r="D63" s="191"/>
      <c r="E63" s="192"/>
    </row>
    <row r="64" spans="1:5">
      <c r="A64" s="189">
        <v>95801</v>
      </c>
      <c r="B64" s="189" t="s">
        <v>1125</v>
      </c>
      <c r="C64" s="190"/>
      <c r="D64" s="191"/>
      <c r="E64" s="192"/>
    </row>
    <row r="65" spans="1:5">
      <c r="A65" s="189">
        <v>99132</v>
      </c>
      <c r="B65" s="189" t="s">
        <v>1102</v>
      </c>
      <c r="C65" s="190"/>
      <c r="D65" s="191"/>
      <c r="E65" s="192">
        <v>0</v>
      </c>
    </row>
    <row r="66" spans="1:5">
      <c r="A66" s="189">
        <v>99133</v>
      </c>
      <c r="B66" s="189" t="s">
        <v>1103</v>
      </c>
      <c r="C66" s="190"/>
      <c r="D66" s="191"/>
      <c r="E66" s="192">
        <v>0</v>
      </c>
    </row>
    <row r="67" spans="1:5">
      <c r="A67" s="189">
        <v>99128</v>
      </c>
      <c r="B67" s="189" t="s">
        <v>807</v>
      </c>
      <c r="C67" s="190"/>
      <c r="D67" s="191">
        <v>4849</v>
      </c>
      <c r="E67" s="192">
        <v>160</v>
      </c>
    </row>
    <row r="68" spans="1:5">
      <c r="A68" s="189">
        <v>99134</v>
      </c>
      <c r="B68" s="189" t="s">
        <v>808</v>
      </c>
      <c r="C68" s="190"/>
      <c r="D68" s="191">
        <v>2653</v>
      </c>
      <c r="E68" s="192">
        <v>0</v>
      </c>
    </row>
    <row r="69" spans="1:5">
      <c r="A69" s="189">
        <v>99256</v>
      </c>
      <c r="B69" s="189" t="s">
        <v>112</v>
      </c>
      <c r="C69" s="190"/>
      <c r="D69" s="191">
        <v>1896</v>
      </c>
      <c r="E69" s="192">
        <v>0</v>
      </c>
    </row>
    <row r="70" spans="1:5">
      <c r="A70" s="189">
        <v>98910</v>
      </c>
      <c r="B70" s="189" t="s">
        <v>809</v>
      </c>
      <c r="C70" s="190">
        <v>706.04</v>
      </c>
      <c r="D70" s="191"/>
      <c r="E70" s="192">
        <v>12</v>
      </c>
    </row>
    <row r="71" spans="1:5">
      <c r="A71" s="189">
        <v>98401</v>
      </c>
      <c r="B71" s="189" t="s">
        <v>784</v>
      </c>
      <c r="C71" s="190"/>
      <c r="D71" s="191">
        <v>3369</v>
      </c>
      <c r="E71" s="192">
        <v>57</v>
      </c>
    </row>
    <row r="72" spans="1:5">
      <c r="A72" s="189">
        <v>96901</v>
      </c>
      <c r="B72" s="189" t="s">
        <v>785</v>
      </c>
      <c r="C72" s="190"/>
      <c r="D72" s="191">
        <v>1331</v>
      </c>
      <c r="E72" s="192">
        <v>10</v>
      </c>
    </row>
    <row r="73" spans="1:5">
      <c r="A73" s="189">
        <v>99101</v>
      </c>
      <c r="B73" s="189" t="s">
        <v>810</v>
      </c>
      <c r="C73" s="190"/>
      <c r="D73" s="191"/>
      <c r="E73" s="192">
        <v>0</v>
      </c>
    </row>
    <row r="74" spans="1:5">
      <c r="A74" s="189">
        <v>99026</v>
      </c>
      <c r="B74" s="189" t="s">
        <v>812</v>
      </c>
      <c r="C74" s="190"/>
      <c r="D74" s="191"/>
      <c r="E74" s="192">
        <v>0</v>
      </c>
    </row>
    <row r="75" spans="1:5">
      <c r="A75" s="189">
        <v>99246</v>
      </c>
      <c r="B75" s="189" t="s">
        <v>786</v>
      </c>
      <c r="C75" s="190"/>
      <c r="D75" s="191">
        <v>17199</v>
      </c>
      <c r="E75" s="192">
        <v>775</v>
      </c>
    </row>
    <row r="76" spans="1:5">
      <c r="A76" s="189">
        <v>99312</v>
      </c>
      <c r="B76" s="189" t="s">
        <v>787</v>
      </c>
      <c r="C76" s="190"/>
      <c r="D76" s="191">
        <v>0</v>
      </c>
      <c r="E76" s="192">
        <v>0</v>
      </c>
    </row>
    <row r="77" spans="1:5">
      <c r="A77" s="189">
        <v>99140</v>
      </c>
      <c r="B77" s="189" t="s">
        <v>813</v>
      </c>
      <c r="C77" s="190"/>
      <c r="D77" s="191"/>
      <c r="E77" s="192">
        <v>0</v>
      </c>
    </row>
    <row r="78" spans="1:5">
      <c r="A78" s="189">
        <v>98979</v>
      </c>
      <c r="B78" s="189" t="s">
        <v>309</v>
      </c>
      <c r="C78" s="190"/>
      <c r="D78" s="191">
        <v>253</v>
      </c>
      <c r="E78" s="192">
        <v>0</v>
      </c>
    </row>
    <row r="79" spans="1:5">
      <c r="A79" s="189">
        <v>34001</v>
      </c>
      <c r="B79" s="189" t="s">
        <v>814</v>
      </c>
      <c r="C79" s="190"/>
      <c r="D79" s="191"/>
      <c r="E79" s="192">
        <v>0</v>
      </c>
    </row>
    <row r="80" spans="1:5">
      <c r="A80" s="189">
        <v>599109</v>
      </c>
      <c r="B80" s="189" t="s">
        <v>788</v>
      </c>
      <c r="C80" s="190"/>
      <c r="D80" s="191">
        <v>10828</v>
      </c>
      <c r="E80" s="192">
        <v>465</v>
      </c>
    </row>
    <row r="81" spans="1:5">
      <c r="A81" s="189">
        <v>699109</v>
      </c>
      <c r="B81" s="189" t="s">
        <v>789</v>
      </c>
      <c r="C81" s="190"/>
      <c r="D81" s="191">
        <v>1745</v>
      </c>
      <c r="E81" s="192">
        <v>0</v>
      </c>
    </row>
    <row r="82" spans="1:5">
      <c r="A82" s="189">
        <v>98915</v>
      </c>
      <c r="B82" s="189" t="s">
        <v>790</v>
      </c>
      <c r="C82" s="190"/>
      <c r="D82" s="191"/>
      <c r="E82" s="192">
        <v>0</v>
      </c>
    </row>
    <row r="83" spans="1:5">
      <c r="A83" s="189">
        <v>99270</v>
      </c>
      <c r="B83" s="189" t="s">
        <v>148</v>
      </c>
      <c r="C83" s="190"/>
      <c r="D83" s="191">
        <v>29823</v>
      </c>
      <c r="E83" s="192">
        <v>294</v>
      </c>
    </row>
    <row r="84" spans="1:5">
      <c r="A84" s="189">
        <v>99247</v>
      </c>
      <c r="B84" s="189" t="s">
        <v>1126</v>
      </c>
      <c r="C84" s="190"/>
      <c r="D84" s="191"/>
      <c r="E84" s="192">
        <v>0</v>
      </c>
    </row>
    <row r="85" spans="1:5">
      <c r="A85" s="189">
        <v>98983</v>
      </c>
      <c r="B85" s="189" t="s">
        <v>1104</v>
      </c>
      <c r="C85" s="190"/>
      <c r="D85" s="191"/>
      <c r="E85" s="192">
        <v>0</v>
      </c>
    </row>
    <row r="86" spans="1:5">
      <c r="A86" s="189">
        <v>99161</v>
      </c>
      <c r="B86" s="189" t="s">
        <v>817</v>
      </c>
      <c r="C86" s="190"/>
      <c r="D86" s="191"/>
      <c r="E86" s="192">
        <v>124</v>
      </c>
    </row>
    <row r="87" spans="1:5">
      <c r="A87" s="189">
        <v>99305</v>
      </c>
      <c r="B87" s="189" t="s">
        <v>818</v>
      </c>
      <c r="C87" s="190"/>
      <c r="D87" s="191"/>
      <c r="E87" s="192">
        <v>0</v>
      </c>
    </row>
    <row r="88" spans="1:5">
      <c r="A88" s="189">
        <v>99302</v>
      </c>
      <c r="B88" s="189" t="s">
        <v>819</v>
      </c>
      <c r="C88" s="190"/>
      <c r="D88" s="191"/>
      <c r="E88" s="192">
        <v>0</v>
      </c>
    </row>
    <row r="89" spans="1:5">
      <c r="A89" s="189">
        <v>99296</v>
      </c>
      <c r="B89" s="189" t="s">
        <v>820</v>
      </c>
      <c r="C89" s="190"/>
      <c r="D89" s="191"/>
      <c r="E89" s="192">
        <v>0</v>
      </c>
    </row>
    <row r="90" spans="1:5">
      <c r="A90" s="189">
        <v>99194</v>
      </c>
      <c r="B90" s="189" t="s">
        <v>1105</v>
      </c>
      <c r="C90" s="190"/>
      <c r="D90" s="191"/>
      <c r="E90" s="192">
        <v>0</v>
      </c>
    </row>
    <row r="91" spans="1:5">
      <c r="A91" s="189">
        <v>99158</v>
      </c>
      <c r="B91" s="189" t="s">
        <v>1298</v>
      </c>
      <c r="C91" s="190"/>
      <c r="D91" s="191"/>
      <c r="E91" s="192"/>
    </row>
    <row r="92" spans="1:5">
      <c r="A92" s="189">
        <v>99171</v>
      </c>
      <c r="B92" s="189" t="s">
        <v>821</v>
      </c>
      <c r="C92" s="190"/>
      <c r="D92" s="191"/>
      <c r="E92" s="192">
        <v>0</v>
      </c>
    </row>
    <row r="93" spans="1:5">
      <c r="A93" s="189">
        <v>99172</v>
      </c>
      <c r="B93" s="189" t="s">
        <v>1127</v>
      </c>
      <c r="C93" s="190"/>
      <c r="D93" s="191"/>
      <c r="E93" s="192">
        <v>0</v>
      </c>
    </row>
    <row r="94" spans="1:5" s="162" customFormat="1" ht="20">
      <c r="A94" s="189">
        <v>99173</v>
      </c>
      <c r="B94" s="189" t="s">
        <v>822</v>
      </c>
      <c r="C94" s="190"/>
      <c r="D94" s="191"/>
      <c r="E94" s="192">
        <v>0</v>
      </c>
    </row>
    <row r="95" spans="1:5">
      <c r="A95" s="189">
        <v>80001</v>
      </c>
      <c r="B95" s="189" t="s">
        <v>791</v>
      </c>
      <c r="C95" s="190"/>
      <c r="D95" s="191">
        <v>1443</v>
      </c>
      <c r="E95" s="192">
        <v>76</v>
      </c>
    </row>
    <row r="96" spans="1:5">
      <c r="A96" s="241" t="s">
        <v>625</v>
      </c>
      <c r="B96" s="241">
        <f>SUBTOTAL(103,Table4[Lease])</f>
        <v>91</v>
      </c>
      <c r="C96" s="242">
        <f>SUBTOTAL(109,Table4[OIL])</f>
        <v>706.04</v>
      </c>
      <c r="D96" s="243">
        <f>SUBTOTAL(109,Table4[GAS])</f>
        <v>183363</v>
      </c>
      <c r="E96" s="244">
        <f>SUBTOTAL(109,Table4[LEASE USE])</f>
        <v>5015</v>
      </c>
    </row>
  </sheetData>
  <mergeCells count="2">
    <mergeCell ref="A1:E1"/>
    <mergeCell ref="A2:E2"/>
  </mergeCells>
  <pageMargins left="0.7" right="0.7" top="0.75" bottom="0.75" header="0.3" footer="0.3"/>
  <pageSetup scale="68" orientation="portrait"/>
  <tableParts count="1">
    <tablePart r:id="rId1"/>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Q230"/>
  <sheetViews>
    <sheetView topLeftCell="C1" workbookViewId="0">
      <pane ySplit="8" topLeftCell="A39" activePane="bottomLeft" state="frozen"/>
      <selection pane="bottomLeft" activeCell="O155" sqref="O155"/>
    </sheetView>
  </sheetViews>
  <sheetFormatPr baseColWidth="10" defaultColWidth="8.83203125" defaultRowHeight="12" x14ac:dyDescent="0"/>
  <cols>
    <col min="1" max="1" width="21.1640625" customWidth="1"/>
    <col min="2" max="2" width="15" customWidth="1"/>
    <col min="3" max="3" width="11" customWidth="1"/>
    <col min="4" max="4" width="18" customWidth="1"/>
    <col min="5" max="5" width="42.1640625" bestFit="1" customWidth="1"/>
    <col min="6" max="6" width="53.6640625" customWidth="1"/>
    <col min="7" max="7" width="15.6640625" customWidth="1"/>
    <col min="8" max="8" width="15.1640625" customWidth="1"/>
    <col min="9" max="9" width="27.1640625" customWidth="1"/>
    <col min="10" max="10" width="33.5" customWidth="1"/>
    <col min="11" max="11" width="15" customWidth="1"/>
    <col min="12" max="12" width="11.83203125" customWidth="1"/>
    <col min="14" max="14" width="27" customWidth="1"/>
    <col min="15" max="15" width="26.1640625" customWidth="1"/>
    <col min="16" max="16" width="13" customWidth="1"/>
    <col min="17" max="17" width="10.1640625" customWidth="1"/>
  </cols>
  <sheetData>
    <row r="1" spans="1:17" ht="14">
      <c r="A1" s="13" t="s">
        <v>394</v>
      </c>
      <c r="B1" s="13"/>
      <c r="C1" s="13"/>
      <c r="D1" s="13"/>
      <c r="E1" s="13"/>
      <c r="F1" s="13"/>
      <c r="G1" s="13"/>
      <c r="H1" s="13"/>
      <c r="I1" s="13"/>
      <c r="J1" s="13"/>
      <c r="K1" s="13"/>
      <c r="L1" s="13"/>
      <c r="M1" s="13"/>
      <c r="N1" s="13"/>
      <c r="O1" s="13"/>
      <c r="P1" s="13"/>
      <c r="Q1" s="13"/>
    </row>
    <row r="2" spans="1:17" ht="14">
      <c r="A2" s="13"/>
      <c r="B2" s="13"/>
      <c r="C2" s="13"/>
      <c r="D2" s="13"/>
      <c r="E2" s="13"/>
      <c r="F2" s="13"/>
      <c r="G2" s="13"/>
      <c r="H2" s="13"/>
      <c r="I2" s="13"/>
      <c r="J2" s="13"/>
      <c r="K2" s="13"/>
      <c r="L2" s="13"/>
      <c r="M2" s="13"/>
      <c r="N2" s="13"/>
      <c r="O2" s="15"/>
      <c r="P2" s="13"/>
      <c r="Q2" s="13"/>
    </row>
    <row r="3" spans="1:17" ht="14">
      <c r="A3" s="13" t="s">
        <v>395</v>
      </c>
      <c r="B3" s="13"/>
      <c r="C3" s="13"/>
      <c r="D3" s="13" t="s">
        <v>69</v>
      </c>
      <c r="E3" s="13"/>
      <c r="F3" s="13"/>
      <c r="G3" s="13"/>
      <c r="H3" s="13"/>
      <c r="I3" s="13"/>
      <c r="J3" s="14" t="s">
        <v>396</v>
      </c>
      <c r="K3" s="13"/>
      <c r="L3" s="13" t="s">
        <v>397</v>
      </c>
      <c r="M3" s="13"/>
      <c r="N3" s="13"/>
      <c r="O3" s="13"/>
      <c r="P3" s="13"/>
      <c r="Q3" s="13"/>
    </row>
    <row r="4" spans="1:17" ht="14">
      <c r="A4" s="13" t="s">
        <v>398</v>
      </c>
      <c r="B4" s="13"/>
      <c r="C4" s="13"/>
      <c r="D4" s="250" t="s">
        <v>1297</v>
      </c>
      <c r="E4" s="13"/>
      <c r="G4" s="13"/>
      <c r="H4" s="13"/>
      <c r="I4" s="13"/>
      <c r="J4" s="14" t="s">
        <v>399</v>
      </c>
      <c r="K4" s="13"/>
      <c r="L4" s="13" t="s">
        <v>400</v>
      </c>
      <c r="M4" s="13"/>
      <c r="N4" s="13"/>
      <c r="O4" s="13"/>
      <c r="P4" s="13"/>
      <c r="Q4" s="13"/>
    </row>
    <row r="6" spans="1:17" ht="14">
      <c r="A6" s="13"/>
      <c r="B6" s="13"/>
      <c r="C6" s="13"/>
      <c r="D6" s="13"/>
      <c r="E6" s="13"/>
      <c r="F6" s="13"/>
      <c r="G6" s="13"/>
      <c r="H6" s="13"/>
      <c r="I6" s="13"/>
      <c r="J6" s="14" t="s">
        <v>401</v>
      </c>
      <c r="K6" s="13"/>
      <c r="L6" s="13"/>
      <c r="M6" s="13"/>
      <c r="N6" s="13"/>
      <c r="O6" s="14" t="s">
        <v>402</v>
      </c>
      <c r="P6" s="13"/>
      <c r="Q6" s="13"/>
    </row>
    <row r="7" spans="1:17" ht="14">
      <c r="A7" s="13"/>
      <c r="B7" s="13"/>
      <c r="C7" s="13"/>
      <c r="D7" s="13"/>
      <c r="E7" s="13"/>
      <c r="F7" s="13"/>
      <c r="G7" s="13"/>
      <c r="H7" s="13"/>
      <c r="I7" s="13"/>
      <c r="J7" s="13"/>
      <c r="K7" s="13"/>
      <c r="L7" s="13" t="s">
        <v>403</v>
      </c>
      <c r="M7" s="13"/>
      <c r="N7" s="13"/>
      <c r="O7" s="13"/>
      <c r="P7" s="13" t="s">
        <v>403</v>
      </c>
      <c r="Q7" s="13"/>
    </row>
    <row r="8" spans="1:17" ht="14">
      <c r="A8" s="136" t="s">
        <v>404</v>
      </c>
      <c r="B8" s="136" t="s">
        <v>8</v>
      </c>
      <c r="C8" s="136" t="s">
        <v>7</v>
      </c>
      <c r="D8" s="136" t="s">
        <v>70</v>
      </c>
      <c r="E8" s="136" t="s">
        <v>47</v>
      </c>
      <c r="F8" s="136" t="s">
        <v>48</v>
      </c>
      <c r="G8" s="136" t="s">
        <v>71</v>
      </c>
      <c r="H8" s="136" t="s">
        <v>405</v>
      </c>
      <c r="I8" s="136" t="s">
        <v>406</v>
      </c>
      <c r="J8" s="136" t="s">
        <v>407</v>
      </c>
      <c r="K8" s="136" t="s">
        <v>408</v>
      </c>
      <c r="L8" s="136" t="s">
        <v>409</v>
      </c>
      <c r="M8" s="136" t="s">
        <v>410</v>
      </c>
      <c r="N8" s="136" t="s">
        <v>411</v>
      </c>
      <c r="O8" s="136" t="s">
        <v>412</v>
      </c>
      <c r="P8" s="136" t="s">
        <v>413</v>
      </c>
      <c r="Q8" s="136" t="s">
        <v>414</v>
      </c>
    </row>
    <row r="9" spans="1:17" s="199" customFormat="1" hidden="1">
      <c r="A9"/>
      <c r="B9" t="s">
        <v>72</v>
      </c>
      <c r="C9">
        <v>2</v>
      </c>
      <c r="D9">
        <v>127436</v>
      </c>
      <c r="E9" t="s">
        <v>73</v>
      </c>
      <c r="F9" t="s">
        <v>74</v>
      </c>
      <c r="G9" t="s">
        <v>75</v>
      </c>
      <c r="H9"/>
      <c r="I9"/>
      <c r="J9">
        <v>0</v>
      </c>
      <c r="K9">
        <v>0</v>
      </c>
      <c r="L9"/>
      <c r="M9"/>
      <c r="N9">
        <v>0</v>
      </c>
      <c r="O9">
        <v>0</v>
      </c>
      <c r="P9"/>
      <c r="Q9"/>
    </row>
    <row r="10" spans="1:17" hidden="1">
      <c r="B10" t="s">
        <v>72</v>
      </c>
      <c r="C10">
        <v>2</v>
      </c>
      <c r="D10">
        <v>272206</v>
      </c>
      <c r="E10" t="s">
        <v>76</v>
      </c>
      <c r="F10" t="s">
        <v>77</v>
      </c>
      <c r="G10" t="s">
        <v>78</v>
      </c>
      <c r="J10">
        <v>149</v>
      </c>
      <c r="K10">
        <v>0</v>
      </c>
      <c r="N10">
        <v>149</v>
      </c>
      <c r="O10">
        <v>0</v>
      </c>
    </row>
    <row r="11" spans="1:17" hidden="1">
      <c r="B11" t="s">
        <v>72</v>
      </c>
      <c r="C11">
        <v>2</v>
      </c>
      <c r="D11">
        <v>250887</v>
      </c>
      <c r="E11" t="s">
        <v>79</v>
      </c>
      <c r="F11" t="s">
        <v>80</v>
      </c>
      <c r="G11">
        <v>1</v>
      </c>
      <c r="J11">
        <v>0</v>
      </c>
      <c r="K11">
        <v>0</v>
      </c>
      <c r="N11">
        <v>0</v>
      </c>
      <c r="O11" s="150">
        <v>4634</v>
      </c>
      <c r="P11">
        <v>210</v>
      </c>
      <c r="Q11">
        <v>1</v>
      </c>
    </row>
    <row r="12" spans="1:17" hidden="1">
      <c r="P12" s="150">
        <v>4424</v>
      </c>
      <c r="Q12">
        <v>2</v>
      </c>
    </row>
    <row r="13" spans="1:17" hidden="1">
      <c r="B13" t="s">
        <v>72</v>
      </c>
      <c r="C13">
        <v>2</v>
      </c>
      <c r="D13">
        <v>270531</v>
      </c>
      <c r="E13" t="s">
        <v>81</v>
      </c>
      <c r="F13" t="s">
        <v>82</v>
      </c>
      <c r="G13" t="s">
        <v>83</v>
      </c>
      <c r="J13">
        <v>26</v>
      </c>
      <c r="K13">
        <v>0</v>
      </c>
      <c r="N13">
        <v>26</v>
      </c>
      <c r="O13">
        <v>0</v>
      </c>
    </row>
    <row r="14" spans="1:17" hidden="1">
      <c r="B14" t="s">
        <v>72</v>
      </c>
      <c r="C14">
        <v>2</v>
      </c>
      <c r="D14">
        <v>200152</v>
      </c>
      <c r="E14" t="s">
        <v>84</v>
      </c>
      <c r="F14" t="s">
        <v>85</v>
      </c>
      <c r="G14">
        <v>1</v>
      </c>
      <c r="J14">
        <v>0</v>
      </c>
      <c r="K14">
        <v>0</v>
      </c>
      <c r="N14">
        <v>0</v>
      </c>
      <c r="O14">
        <v>0</v>
      </c>
    </row>
    <row r="15" spans="1:17" hidden="1">
      <c r="B15" t="s">
        <v>72</v>
      </c>
      <c r="C15">
        <v>2</v>
      </c>
      <c r="D15">
        <v>258014</v>
      </c>
      <c r="E15" t="s">
        <v>87</v>
      </c>
      <c r="F15" t="s">
        <v>88</v>
      </c>
      <c r="G15">
        <v>1</v>
      </c>
      <c r="J15">
        <v>132</v>
      </c>
      <c r="K15">
        <v>0</v>
      </c>
      <c r="N15">
        <v>132</v>
      </c>
      <c r="O15">
        <v>0</v>
      </c>
    </row>
    <row r="16" spans="1:17" hidden="1">
      <c r="B16" t="s">
        <v>89</v>
      </c>
      <c r="C16">
        <v>2</v>
      </c>
      <c r="D16">
        <v>394</v>
      </c>
      <c r="E16" t="s">
        <v>90</v>
      </c>
      <c r="F16" t="s">
        <v>91</v>
      </c>
      <c r="J16">
        <v>406</v>
      </c>
      <c r="K16">
        <v>544</v>
      </c>
      <c r="L16">
        <v>719</v>
      </c>
      <c r="M16">
        <v>1</v>
      </c>
      <c r="N16">
        <v>231</v>
      </c>
      <c r="O16">
        <v>0</v>
      </c>
    </row>
    <row r="17" spans="2:17" hidden="1">
      <c r="B17" t="s">
        <v>72</v>
      </c>
      <c r="C17">
        <v>2</v>
      </c>
      <c r="D17">
        <v>207897</v>
      </c>
      <c r="E17" t="s">
        <v>92</v>
      </c>
      <c r="F17" t="s">
        <v>93</v>
      </c>
      <c r="G17">
        <v>1</v>
      </c>
      <c r="J17">
        <v>0</v>
      </c>
      <c r="K17">
        <v>0</v>
      </c>
      <c r="N17">
        <v>0</v>
      </c>
      <c r="O17">
        <v>6</v>
      </c>
      <c r="P17">
        <v>6</v>
      </c>
      <c r="Q17">
        <v>2</v>
      </c>
    </row>
    <row r="18" spans="2:17" hidden="1">
      <c r="B18" t="s">
        <v>72</v>
      </c>
      <c r="C18">
        <v>2</v>
      </c>
      <c r="D18">
        <v>145447</v>
      </c>
      <c r="E18" t="s">
        <v>94</v>
      </c>
      <c r="F18" t="s">
        <v>91</v>
      </c>
      <c r="G18">
        <v>5</v>
      </c>
      <c r="J18">
        <v>0</v>
      </c>
      <c r="K18">
        <v>0</v>
      </c>
      <c r="N18">
        <v>0</v>
      </c>
      <c r="O18">
        <v>0</v>
      </c>
    </row>
    <row r="19" spans="2:17" hidden="1">
      <c r="B19" t="s">
        <v>89</v>
      </c>
      <c r="C19">
        <v>2</v>
      </c>
      <c r="D19">
        <v>5446</v>
      </c>
      <c r="E19" t="s">
        <v>95</v>
      </c>
      <c r="F19" t="s">
        <v>96</v>
      </c>
      <c r="J19">
        <v>85</v>
      </c>
      <c r="K19">
        <v>16</v>
      </c>
      <c r="N19">
        <v>101</v>
      </c>
      <c r="O19">
        <v>0</v>
      </c>
    </row>
    <row r="20" spans="2:17" hidden="1">
      <c r="B20" t="s">
        <v>89</v>
      </c>
      <c r="C20">
        <v>2</v>
      </c>
      <c r="D20">
        <v>6169</v>
      </c>
      <c r="E20" t="s">
        <v>95</v>
      </c>
      <c r="F20" t="s">
        <v>97</v>
      </c>
      <c r="J20">
        <v>140</v>
      </c>
      <c r="K20">
        <v>13</v>
      </c>
      <c r="L20">
        <v>126</v>
      </c>
      <c r="M20">
        <v>1</v>
      </c>
      <c r="N20">
        <v>27</v>
      </c>
      <c r="O20">
        <v>0</v>
      </c>
    </row>
    <row r="21" spans="2:17" hidden="1">
      <c r="B21" t="s">
        <v>89</v>
      </c>
      <c r="C21">
        <v>2</v>
      </c>
      <c r="D21">
        <v>8462</v>
      </c>
      <c r="E21" t="s">
        <v>98</v>
      </c>
      <c r="F21" t="s">
        <v>96</v>
      </c>
      <c r="J21">
        <v>0</v>
      </c>
      <c r="K21">
        <v>0</v>
      </c>
      <c r="N21">
        <v>0</v>
      </c>
      <c r="O21">
        <v>0</v>
      </c>
    </row>
    <row r="22" spans="2:17" hidden="1">
      <c r="B22" t="s">
        <v>72</v>
      </c>
      <c r="C22">
        <v>2</v>
      </c>
      <c r="D22">
        <v>192476</v>
      </c>
      <c r="E22" t="s">
        <v>99</v>
      </c>
      <c r="F22" t="s">
        <v>100</v>
      </c>
      <c r="G22">
        <v>1</v>
      </c>
      <c r="J22">
        <v>116</v>
      </c>
      <c r="K22">
        <v>0</v>
      </c>
      <c r="N22">
        <v>116</v>
      </c>
      <c r="O22">
        <v>0</v>
      </c>
    </row>
    <row r="23" spans="2:17" hidden="1">
      <c r="B23" t="s">
        <v>72</v>
      </c>
      <c r="C23">
        <v>2</v>
      </c>
      <c r="D23">
        <v>245422</v>
      </c>
      <c r="E23" t="s">
        <v>101</v>
      </c>
      <c r="F23" t="s">
        <v>102</v>
      </c>
      <c r="G23">
        <v>1</v>
      </c>
      <c r="J23">
        <v>316</v>
      </c>
      <c r="K23">
        <v>602</v>
      </c>
      <c r="L23">
        <v>764</v>
      </c>
      <c r="M23">
        <v>1</v>
      </c>
      <c r="N23">
        <v>154</v>
      </c>
      <c r="O23" s="150">
        <v>43108</v>
      </c>
      <c r="P23" s="150">
        <v>43108</v>
      </c>
      <c r="Q23">
        <v>2</v>
      </c>
    </row>
    <row r="24" spans="2:17" hidden="1">
      <c r="B24" t="s">
        <v>89</v>
      </c>
      <c r="C24">
        <v>2</v>
      </c>
      <c r="D24">
        <v>8646</v>
      </c>
      <c r="E24" t="s">
        <v>103</v>
      </c>
      <c r="F24" t="s">
        <v>104</v>
      </c>
      <c r="J24">
        <v>116</v>
      </c>
      <c r="K24">
        <v>7</v>
      </c>
      <c r="N24">
        <v>123</v>
      </c>
      <c r="O24">
        <v>0</v>
      </c>
    </row>
    <row r="25" spans="2:17" hidden="1">
      <c r="B25" t="s">
        <v>72</v>
      </c>
      <c r="C25">
        <v>2</v>
      </c>
      <c r="D25">
        <v>52283</v>
      </c>
      <c r="E25" t="s">
        <v>105</v>
      </c>
      <c r="F25" t="s">
        <v>106</v>
      </c>
      <c r="G25">
        <v>1</v>
      </c>
      <c r="J25">
        <v>240</v>
      </c>
      <c r="K25">
        <v>0</v>
      </c>
      <c r="N25">
        <v>240</v>
      </c>
      <c r="O25">
        <v>0</v>
      </c>
    </row>
    <row r="26" spans="2:17" hidden="1">
      <c r="B26" t="s">
        <v>72</v>
      </c>
      <c r="C26">
        <v>2</v>
      </c>
      <c r="D26">
        <v>253815</v>
      </c>
      <c r="E26" t="s">
        <v>107</v>
      </c>
      <c r="F26" t="s">
        <v>108</v>
      </c>
      <c r="G26">
        <v>1</v>
      </c>
      <c r="J26">
        <v>0</v>
      </c>
      <c r="K26">
        <v>0</v>
      </c>
      <c r="N26">
        <v>0</v>
      </c>
      <c r="O26">
        <v>0</v>
      </c>
    </row>
    <row r="27" spans="2:17" hidden="1">
      <c r="B27" t="s">
        <v>72</v>
      </c>
      <c r="C27">
        <v>2</v>
      </c>
      <c r="D27">
        <v>172874</v>
      </c>
      <c r="E27" t="s">
        <v>109</v>
      </c>
      <c r="F27" t="s">
        <v>110</v>
      </c>
      <c r="G27">
        <v>1</v>
      </c>
      <c r="J27">
        <v>0</v>
      </c>
      <c r="K27">
        <v>0</v>
      </c>
      <c r="N27">
        <v>0</v>
      </c>
      <c r="O27">
        <v>0</v>
      </c>
    </row>
    <row r="28" spans="2:17" hidden="1">
      <c r="B28" t="s">
        <v>72</v>
      </c>
      <c r="C28">
        <v>2</v>
      </c>
      <c r="D28">
        <v>180461</v>
      </c>
      <c r="E28" t="s">
        <v>111</v>
      </c>
      <c r="F28" t="s">
        <v>110</v>
      </c>
      <c r="G28">
        <v>1</v>
      </c>
      <c r="I28">
        <v>5048</v>
      </c>
      <c r="J28">
        <v>164</v>
      </c>
      <c r="K28">
        <v>36</v>
      </c>
      <c r="N28">
        <v>200</v>
      </c>
      <c r="O28">
        <v>0</v>
      </c>
    </row>
    <row r="29" spans="2:17" hidden="1">
      <c r="B29" t="s">
        <v>72</v>
      </c>
      <c r="C29">
        <v>2</v>
      </c>
      <c r="D29">
        <v>198005</v>
      </c>
      <c r="E29" t="s">
        <v>111</v>
      </c>
      <c r="F29" t="s">
        <v>112</v>
      </c>
      <c r="G29">
        <v>5</v>
      </c>
      <c r="I29">
        <v>5048</v>
      </c>
      <c r="J29">
        <v>0</v>
      </c>
      <c r="K29">
        <v>0</v>
      </c>
      <c r="N29">
        <v>0</v>
      </c>
      <c r="O29">
        <v>0</v>
      </c>
    </row>
    <row r="30" spans="2:17" hidden="1">
      <c r="B30" t="s">
        <v>72</v>
      </c>
      <c r="C30">
        <v>2</v>
      </c>
      <c r="D30">
        <v>286124</v>
      </c>
      <c r="E30" t="s">
        <v>113</v>
      </c>
      <c r="F30" t="s">
        <v>88</v>
      </c>
      <c r="G30">
        <v>1</v>
      </c>
      <c r="J30">
        <v>80</v>
      </c>
      <c r="K30">
        <v>0</v>
      </c>
      <c r="N30">
        <v>80</v>
      </c>
      <c r="O30">
        <v>0</v>
      </c>
    </row>
    <row r="31" spans="2:17" hidden="1">
      <c r="B31" t="s">
        <v>72</v>
      </c>
      <c r="C31">
        <v>2</v>
      </c>
      <c r="D31">
        <v>132690</v>
      </c>
      <c r="E31" t="s">
        <v>114</v>
      </c>
      <c r="F31" t="s">
        <v>115</v>
      </c>
      <c r="G31">
        <v>1</v>
      </c>
      <c r="I31">
        <v>5113</v>
      </c>
      <c r="J31">
        <v>84</v>
      </c>
      <c r="K31">
        <v>0</v>
      </c>
      <c r="N31">
        <v>84</v>
      </c>
      <c r="O31">
        <v>0</v>
      </c>
    </row>
    <row r="32" spans="2:17" hidden="1">
      <c r="B32" t="s">
        <v>72</v>
      </c>
      <c r="C32">
        <v>2</v>
      </c>
      <c r="D32">
        <v>189915</v>
      </c>
      <c r="E32" t="s">
        <v>114</v>
      </c>
      <c r="F32" t="s">
        <v>116</v>
      </c>
      <c r="G32">
        <v>2</v>
      </c>
      <c r="I32">
        <v>5113</v>
      </c>
      <c r="J32">
        <v>0</v>
      </c>
      <c r="K32">
        <v>0</v>
      </c>
      <c r="N32">
        <v>0</v>
      </c>
      <c r="O32">
        <v>0</v>
      </c>
    </row>
    <row r="33" spans="2:15" hidden="1">
      <c r="B33" t="s">
        <v>89</v>
      </c>
      <c r="C33">
        <v>2</v>
      </c>
      <c r="D33">
        <v>5086</v>
      </c>
      <c r="E33" t="s">
        <v>117</v>
      </c>
      <c r="F33" t="s">
        <v>118</v>
      </c>
      <c r="J33">
        <v>0</v>
      </c>
      <c r="K33">
        <v>0</v>
      </c>
      <c r="N33">
        <v>0</v>
      </c>
      <c r="O33">
        <v>0</v>
      </c>
    </row>
    <row r="34" spans="2:15" hidden="1">
      <c r="B34" t="s">
        <v>89</v>
      </c>
      <c r="C34">
        <v>2</v>
      </c>
      <c r="D34">
        <v>6739</v>
      </c>
      <c r="E34" t="s">
        <v>119</v>
      </c>
      <c r="F34" t="s">
        <v>120</v>
      </c>
      <c r="J34">
        <v>0</v>
      </c>
      <c r="K34">
        <v>0</v>
      </c>
      <c r="N34">
        <v>0</v>
      </c>
      <c r="O34">
        <v>0</v>
      </c>
    </row>
    <row r="35" spans="2:15" hidden="1">
      <c r="B35" t="s">
        <v>89</v>
      </c>
      <c r="C35">
        <v>2</v>
      </c>
      <c r="D35">
        <v>8169</v>
      </c>
      <c r="E35" t="s">
        <v>121</v>
      </c>
      <c r="F35" t="s">
        <v>120</v>
      </c>
      <c r="J35">
        <v>0</v>
      </c>
      <c r="K35">
        <v>0</v>
      </c>
      <c r="N35">
        <v>0</v>
      </c>
      <c r="O35">
        <v>0</v>
      </c>
    </row>
    <row r="36" spans="2:15" hidden="1">
      <c r="B36" t="s">
        <v>89</v>
      </c>
      <c r="C36">
        <v>2</v>
      </c>
      <c r="D36">
        <v>8635</v>
      </c>
      <c r="E36" t="s">
        <v>122</v>
      </c>
      <c r="F36" t="s">
        <v>123</v>
      </c>
      <c r="J36">
        <v>0</v>
      </c>
      <c r="K36">
        <v>0</v>
      </c>
      <c r="N36">
        <v>0</v>
      </c>
      <c r="O36">
        <v>0</v>
      </c>
    </row>
    <row r="37" spans="2:15" hidden="1">
      <c r="B37" t="s">
        <v>89</v>
      </c>
      <c r="C37">
        <v>2</v>
      </c>
      <c r="D37">
        <v>8247</v>
      </c>
      <c r="E37" t="s">
        <v>124</v>
      </c>
      <c r="F37" t="s">
        <v>123</v>
      </c>
      <c r="J37">
        <v>0</v>
      </c>
      <c r="K37">
        <v>0</v>
      </c>
      <c r="N37">
        <v>0</v>
      </c>
      <c r="O37">
        <v>0</v>
      </c>
    </row>
    <row r="38" spans="2:15" hidden="1">
      <c r="B38" t="s">
        <v>72</v>
      </c>
      <c r="C38">
        <v>2</v>
      </c>
      <c r="D38">
        <v>182045</v>
      </c>
      <c r="E38" t="s">
        <v>125</v>
      </c>
      <c r="F38" t="s">
        <v>123</v>
      </c>
      <c r="G38">
        <v>5</v>
      </c>
      <c r="J38">
        <v>0</v>
      </c>
      <c r="K38">
        <v>0</v>
      </c>
      <c r="N38">
        <v>0</v>
      </c>
      <c r="O38">
        <v>0</v>
      </c>
    </row>
    <row r="39" spans="2:15" hidden="1">
      <c r="B39" t="s">
        <v>89</v>
      </c>
      <c r="C39">
        <v>2</v>
      </c>
      <c r="D39">
        <v>4248</v>
      </c>
      <c r="E39" t="s">
        <v>126</v>
      </c>
      <c r="F39" t="s">
        <v>127</v>
      </c>
      <c r="J39">
        <v>213</v>
      </c>
      <c r="K39">
        <v>0</v>
      </c>
      <c r="N39">
        <v>213</v>
      </c>
      <c r="O39">
        <v>0</v>
      </c>
    </row>
    <row r="40" spans="2:15" hidden="1">
      <c r="B40" t="s">
        <v>72</v>
      </c>
      <c r="C40">
        <v>2</v>
      </c>
      <c r="D40">
        <v>184558</v>
      </c>
      <c r="E40" t="s">
        <v>128</v>
      </c>
      <c r="F40" t="s">
        <v>112</v>
      </c>
      <c r="G40">
        <v>3</v>
      </c>
      <c r="I40">
        <v>5048</v>
      </c>
      <c r="J40">
        <v>0</v>
      </c>
      <c r="K40">
        <v>0</v>
      </c>
      <c r="N40">
        <v>0</v>
      </c>
      <c r="O40">
        <v>0</v>
      </c>
    </row>
    <row r="41" spans="2:15" hidden="1">
      <c r="B41" t="s">
        <v>72</v>
      </c>
      <c r="C41">
        <v>2</v>
      </c>
      <c r="D41">
        <v>133437</v>
      </c>
      <c r="E41" t="s">
        <v>129</v>
      </c>
      <c r="F41" t="s">
        <v>130</v>
      </c>
      <c r="G41">
        <v>1</v>
      </c>
      <c r="J41">
        <v>166</v>
      </c>
      <c r="K41">
        <v>0</v>
      </c>
      <c r="N41">
        <v>166</v>
      </c>
      <c r="O41">
        <v>0</v>
      </c>
    </row>
    <row r="42" spans="2:15" hidden="1">
      <c r="B42" t="s">
        <v>72</v>
      </c>
      <c r="C42">
        <v>2</v>
      </c>
      <c r="D42">
        <v>264004</v>
      </c>
      <c r="E42" t="s">
        <v>131</v>
      </c>
      <c r="F42" t="s">
        <v>132</v>
      </c>
      <c r="G42">
        <v>1</v>
      </c>
      <c r="J42">
        <v>0</v>
      </c>
      <c r="K42">
        <v>0</v>
      </c>
      <c r="N42">
        <v>0</v>
      </c>
      <c r="O42">
        <v>0</v>
      </c>
    </row>
    <row r="43" spans="2:15" hidden="1">
      <c r="B43" t="s">
        <v>72</v>
      </c>
      <c r="C43">
        <v>2</v>
      </c>
      <c r="D43">
        <v>220079</v>
      </c>
      <c r="E43" t="s">
        <v>133</v>
      </c>
      <c r="F43" t="s">
        <v>134</v>
      </c>
      <c r="G43">
        <v>2</v>
      </c>
      <c r="J43">
        <v>0</v>
      </c>
      <c r="K43">
        <v>0</v>
      </c>
      <c r="N43">
        <v>0</v>
      </c>
      <c r="O43">
        <v>0</v>
      </c>
    </row>
    <row r="44" spans="2:15" hidden="1">
      <c r="B44" t="s">
        <v>89</v>
      </c>
      <c r="C44">
        <v>2</v>
      </c>
      <c r="D44">
        <v>10778</v>
      </c>
      <c r="E44" t="s">
        <v>135</v>
      </c>
      <c r="F44" t="s">
        <v>136</v>
      </c>
      <c r="J44">
        <v>0</v>
      </c>
      <c r="K44">
        <v>0</v>
      </c>
      <c r="N44">
        <v>0</v>
      </c>
      <c r="O44">
        <v>0</v>
      </c>
    </row>
    <row r="45" spans="2:15" hidden="1">
      <c r="B45" t="s">
        <v>72</v>
      </c>
      <c r="C45">
        <v>2</v>
      </c>
      <c r="D45">
        <v>280417</v>
      </c>
      <c r="E45" t="s">
        <v>135</v>
      </c>
      <c r="F45" t="s">
        <v>137</v>
      </c>
      <c r="G45">
        <v>1</v>
      </c>
      <c r="J45">
        <v>0</v>
      </c>
      <c r="K45">
        <v>0</v>
      </c>
      <c r="N45">
        <v>0</v>
      </c>
      <c r="O45">
        <v>0</v>
      </c>
    </row>
    <row r="46" spans="2:15" hidden="1">
      <c r="B46" t="s">
        <v>72</v>
      </c>
      <c r="C46">
        <v>2</v>
      </c>
      <c r="D46">
        <v>138470</v>
      </c>
      <c r="E46" t="s">
        <v>138</v>
      </c>
      <c r="F46" t="s">
        <v>139</v>
      </c>
      <c r="G46">
        <v>1</v>
      </c>
      <c r="J46">
        <v>0</v>
      </c>
      <c r="K46">
        <v>0</v>
      </c>
      <c r="N46">
        <v>0</v>
      </c>
      <c r="O46">
        <v>0</v>
      </c>
    </row>
    <row r="47" spans="2:15" hidden="1">
      <c r="B47" t="s">
        <v>72</v>
      </c>
      <c r="C47">
        <v>2</v>
      </c>
      <c r="D47">
        <v>53255</v>
      </c>
      <c r="E47" t="s">
        <v>140</v>
      </c>
      <c r="F47" t="s">
        <v>141</v>
      </c>
      <c r="G47">
        <v>1</v>
      </c>
      <c r="J47">
        <v>0</v>
      </c>
      <c r="K47">
        <v>0</v>
      </c>
      <c r="N47">
        <v>0</v>
      </c>
      <c r="O47">
        <v>0</v>
      </c>
    </row>
    <row r="48" spans="2:15" hidden="1">
      <c r="B48" t="s">
        <v>72</v>
      </c>
      <c r="C48">
        <v>2</v>
      </c>
      <c r="D48">
        <v>59225</v>
      </c>
      <c r="E48" t="s">
        <v>140</v>
      </c>
      <c r="F48" t="s">
        <v>141</v>
      </c>
      <c r="G48">
        <v>2</v>
      </c>
      <c r="J48">
        <v>0</v>
      </c>
      <c r="K48">
        <v>0</v>
      </c>
      <c r="N48">
        <v>0</v>
      </c>
      <c r="O48">
        <v>0</v>
      </c>
    </row>
    <row r="49" spans="2:17" hidden="1">
      <c r="B49" t="s">
        <v>72</v>
      </c>
      <c r="C49">
        <v>2</v>
      </c>
      <c r="D49">
        <v>174916</v>
      </c>
      <c r="E49" t="s">
        <v>140</v>
      </c>
      <c r="F49" t="s">
        <v>142</v>
      </c>
      <c r="G49">
        <v>4</v>
      </c>
      <c r="J49">
        <v>0</v>
      </c>
      <c r="K49">
        <v>0</v>
      </c>
      <c r="N49">
        <v>0</v>
      </c>
      <c r="O49">
        <v>52</v>
      </c>
      <c r="P49">
        <v>52</v>
      </c>
      <c r="Q49">
        <v>2</v>
      </c>
    </row>
    <row r="50" spans="2:17" hidden="1">
      <c r="B50" t="s">
        <v>89</v>
      </c>
      <c r="C50">
        <v>2</v>
      </c>
      <c r="D50">
        <v>10230</v>
      </c>
      <c r="E50" t="s">
        <v>143</v>
      </c>
      <c r="F50" t="s">
        <v>144</v>
      </c>
      <c r="J50">
        <v>177</v>
      </c>
      <c r="K50">
        <v>74</v>
      </c>
      <c r="N50">
        <v>251</v>
      </c>
      <c r="O50">
        <v>0</v>
      </c>
    </row>
    <row r="51" spans="2:17" hidden="1">
      <c r="B51" t="s">
        <v>89</v>
      </c>
      <c r="C51">
        <v>3</v>
      </c>
      <c r="D51">
        <v>27142</v>
      </c>
      <c r="E51" t="s">
        <v>145</v>
      </c>
      <c r="F51" t="s">
        <v>146</v>
      </c>
      <c r="J51">
        <v>0</v>
      </c>
      <c r="K51">
        <v>0</v>
      </c>
      <c r="N51">
        <v>0</v>
      </c>
      <c r="O51">
        <v>0</v>
      </c>
    </row>
    <row r="52" spans="2:17" hidden="1">
      <c r="B52" t="s">
        <v>72</v>
      </c>
      <c r="C52">
        <v>3</v>
      </c>
      <c r="D52">
        <v>280236</v>
      </c>
      <c r="E52" t="s">
        <v>147</v>
      </c>
      <c r="F52" t="s">
        <v>148</v>
      </c>
      <c r="G52">
        <v>1</v>
      </c>
      <c r="J52">
        <v>218</v>
      </c>
      <c r="K52">
        <v>0</v>
      </c>
      <c r="N52">
        <v>218</v>
      </c>
      <c r="O52">
        <v>0</v>
      </c>
    </row>
    <row r="53" spans="2:17" hidden="1">
      <c r="B53" t="s">
        <v>72</v>
      </c>
      <c r="C53">
        <v>3</v>
      </c>
      <c r="D53">
        <v>253385</v>
      </c>
      <c r="E53" t="s">
        <v>149</v>
      </c>
      <c r="F53" t="s">
        <v>150</v>
      </c>
      <c r="G53">
        <v>1</v>
      </c>
      <c r="J53">
        <v>53</v>
      </c>
      <c r="K53">
        <v>0</v>
      </c>
      <c r="N53">
        <v>53</v>
      </c>
      <c r="O53">
        <v>0</v>
      </c>
    </row>
    <row r="54" spans="2:17" hidden="1">
      <c r="B54" t="s">
        <v>89</v>
      </c>
      <c r="C54">
        <v>3</v>
      </c>
      <c r="D54">
        <v>26482</v>
      </c>
      <c r="E54" t="s">
        <v>151</v>
      </c>
      <c r="F54" t="s">
        <v>152</v>
      </c>
      <c r="J54">
        <v>139</v>
      </c>
      <c r="K54">
        <v>0</v>
      </c>
      <c r="N54">
        <v>139</v>
      </c>
      <c r="O54">
        <v>0</v>
      </c>
    </row>
    <row r="55" spans="2:17" hidden="1">
      <c r="B55" t="s">
        <v>89</v>
      </c>
      <c r="C55">
        <v>3</v>
      </c>
      <c r="D55">
        <v>27150</v>
      </c>
      <c r="E55" t="s">
        <v>151</v>
      </c>
      <c r="F55" t="s">
        <v>153</v>
      </c>
      <c r="J55">
        <v>0</v>
      </c>
      <c r="K55">
        <v>0</v>
      </c>
      <c r="N55">
        <v>0</v>
      </c>
      <c r="O55">
        <v>0</v>
      </c>
    </row>
    <row r="56" spans="2:17" hidden="1">
      <c r="B56" t="s">
        <v>89</v>
      </c>
      <c r="C56">
        <v>3</v>
      </c>
      <c r="D56">
        <v>26262</v>
      </c>
      <c r="E56" t="s">
        <v>154</v>
      </c>
      <c r="F56" t="s">
        <v>152</v>
      </c>
      <c r="J56">
        <v>28</v>
      </c>
      <c r="K56">
        <v>0</v>
      </c>
      <c r="N56">
        <v>28</v>
      </c>
      <c r="O56">
        <v>0</v>
      </c>
    </row>
    <row r="57" spans="2:17" hidden="1">
      <c r="B57" t="s">
        <v>89</v>
      </c>
      <c r="C57">
        <v>3</v>
      </c>
      <c r="D57">
        <v>27348</v>
      </c>
      <c r="E57" t="s">
        <v>154</v>
      </c>
      <c r="F57" t="s">
        <v>155</v>
      </c>
      <c r="J57">
        <v>51</v>
      </c>
      <c r="K57">
        <v>0</v>
      </c>
      <c r="N57">
        <v>51</v>
      </c>
      <c r="O57">
        <v>460</v>
      </c>
      <c r="P57">
        <v>460</v>
      </c>
      <c r="Q57">
        <v>2</v>
      </c>
    </row>
    <row r="58" spans="2:17" hidden="1">
      <c r="B58" t="s">
        <v>72</v>
      </c>
      <c r="C58">
        <v>3</v>
      </c>
      <c r="D58">
        <v>223401</v>
      </c>
      <c r="E58" t="s">
        <v>156</v>
      </c>
      <c r="F58" t="s">
        <v>157</v>
      </c>
      <c r="G58">
        <v>5</v>
      </c>
      <c r="J58">
        <v>0</v>
      </c>
      <c r="K58">
        <v>0</v>
      </c>
      <c r="N58">
        <v>0</v>
      </c>
      <c r="O58">
        <v>0</v>
      </c>
    </row>
    <row r="59" spans="2:17" hidden="1">
      <c r="B59" t="s">
        <v>89</v>
      </c>
      <c r="C59">
        <v>3</v>
      </c>
      <c r="D59">
        <v>27617</v>
      </c>
      <c r="E59" t="s">
        <v>1249</v>
      </c>
      <c r="F59" t="s">
        <v>1250</v>
      </c>
      <c r="J59">
        <v>230</v>
      </c>
      <c r="K59" s="150">
        <v>1168</v>
      </c>
      <c r="L59" s="150">
        <v>1141</v>
      </c>
      <c r="M59">
        <v>1</v>
      </c>
      <c r="N59">
        <v>257</v>
      </c>
      <c r="O59">
        <v>18</v>
      </c>
      <c r="P59">
        <v>18</v>
      </c>
      <c r="Q59">
        <v>2</v>
      </c>
    </row>
    <row r="60" spans="2:17" hidden="1">
      <c r="B60" t="s">
        <v>89</v>
      </c>
      <c r="C60">
        <v>3</v>
      </c>
      <c r="D60">
        <v>26909</v>
      </c>
      <c r="E60" t="s">
        <v>158</v>
      </c>
      <c r="F60" t="s">
        <v>152</v>
      </c>
      <c r="J60">
        <v>32</v>
      </c>
      <c r="K60">
        <v>0</v>
      </c>
      <c r="N60">
        <v>32</v>
      </c>
      <c r="O60">
        <v>0</v>
      </c>
    </row>
    <row r="61" spans="2:17" hidden="1">
      <c r="B61" t="s">
        <v>72</v>
      </c>
      <c r="C61">
        <v>3</v>
      </c>
      <c r="D61">
        <v>233975</v>
      </c>
      <c r="E61" t="s">
        <v>159</v>
      </c>
      <c r="F61" t="s">
        <v>160</v>
      </c>
      <c r="G61">
        <v>1</v>
      </c>
      <c r="J61">
        <v>0</v>
      </c>
      <c r="K61">
        <v>0</v>
      </c>
      <c r="N61">
        <v>0</v>
      </c>
      <c r="O61">
        <v>0</v>
      </c>
    </row>
    <row r="62" spans="2:17" hidden="1">
      <c r="B62" t="s">
        <v>72</v>
      </c>
      <c r="C62">
        <v>3</v>
      </c>
      <c r="D62">
        <v>250605</v>
      </c>
      <c r="E62" t="s">
        <v>161</v>
      </c>
      <c r="F62" t="s">
        <v>162</v>
      </c>
      <c r="G62">
        <v>7</v>
      </c>
      <c r="J62">
        <v>0</v>
      </c>
      <c r="K62">
        <v>0</v>
      </c>
      <c r="N62">
        <v>0</v>
      </c>
      <c r="O62">
        <v>0</v>
      </c>
    </row>
    <row r="63" spans="2:17" hidden="1">
      <c r="B63" t="s">
        <v>89</v>
      </c>
      <c r="C63">
        <v>3</v>
      </c>
      <c r="D63">
        <v>27151</v>
      </c>
      <c r="E63" t="s">
        <v>163</v>
      </c>
      <c r="F63" t="s">
        <v>164</v>
      </c>
      <c r="J63">
        <v>108</v>
      </c>
      <c r="K63">
        <v>0</v>
      </c>
      <c r="N63">
        <v>108</v>
      </c>
      <c r="O63">
        <v>0</v>
      </c>
    </row>
    <row r="64" spans="2:17" hidden="1">
      <c r="B64" t="s">
        <v>72</v>
      </c>
      <c r="C64">
        <v>3</v>
      </c>
      <c r="D64">
        <v>192497</v>
      </c>
      <c r="E64" t="s">
        <v>165</v>
      </c>
      <c r="F64" t="s">
        <v>166</v>
      </c>
      <c r="G64">
        <v>1</v>
      </c>
      <c r="J64">
        <v>0</v>
      </c>
      <c r="K64">
        <v>0</v>
      </c>
      <c r="N64">
        <v>0</v>
      </c>
      <c r="O64">
        <v>0</v>
      </c>
    </row>
    <row r="65" spans="2:17" hidden="1">
      <c r="B65" t="s">
        <v>89</v>
      </c>
      <c r="C65">
        <v>3</v>
      </c>
      <c r="D65">
        <v>21610</v>
      </c>
      <c r="E65" t="s">
        <v>167</v>
      </c>
      <c r="F65" t="s">
        <v>168</v>
      </c>
      <c r="J65">
        <v>149</v>
      </c>
      <c r="K65">
        <v>5</v>
      </c>
      <c r="N65">
        <v>154</v>
      </c>
      <c r="O65">
        <v>0</v>
      </c>
    </row>
    <row r="66" spans="2:17" hidden="1">
      <c r="B66" t="s">
        <v>72</v>
      </c>
      <c r="C66">
        <v>3</v>
      </c>
      <c r="D66">
        <v>272614</v>
      </c>
      <c r="E66" t="s">
        <v>169</v>
      </c>
      <c r="F66" t="s">
        <v>170</v>
      </c>
      <c r="G66">
        <v>1</v>
      </c>
      <c r="J66">
        <v>0</v>
      </c>
      <c r="K66">
        <v>0</v>
      </c>
      <c r="N66">
        <v>0</v>
      </c>
      <c r="O66">
        <v>0</v>
      </c>
    </row>
    <row r="67" spans="2:17" hidden="1">
      <c r="B67" t="s">
        <v>72</v>
      </c>
      <c r="C67">
        <v>3</v>
      </c>
      <c r="D67">
        <v>279199</v>
      </c>
      <c r="E67" t="s">
        <v>171</v>
      </c>
      <c r="F67" t="s">
        <v>170</v>
      </c>
      <c r="G67">
        <v>2</v>
      </c>
      <c r="J67">
        <v>48</v>
      </c>
      <c r="K67">
        <v>402</v>
      </c>
      <c r="L67">
        <v>350</v>
      </c>
      <c r="M67">
        <v>1</v>
      </c>
      <c r="N67">
        <v>100</v>
      </c>
      <c r="O67" s="150">
        <v>1905</v>
      </c>
      <c r="P67" s="150">
        <v>1905</v>
      </c>
      <c r="Q67">
        <v>2</v>
      </c>
    </row>
    <row r="68" spans="2:17" hidden="1">
      <c r="B68" t="s">
        <v>89</v>
      </c>
      <c r="C68">
        <v>3</v>
      </c>
      <c r="D68">
        <v>15252</v>
      </c>
      <c r="E68" t="s">
        <v>172</v>
      </c>
      <c r="F68" t="s">
        <v>173</v>
      </c>
      <c r="J68">
        <v>0</v>
      </c>
      <c r="K68">
        <v>0</v>
      </c>
      <c r="N68">
        <v>0</v>
      </c>
      <c r="O68">
        <v>0</v>
      </c>
    </row>
    <row r="69" spans="2:17" hidden="1">
      <c r="B69" t="s">
        <v>72</v>
      </c>
      <c r="C69">
        <v>3</v>
      </c>
      <c r="D69">
        <v>206045</v>
      </c>
      <c r="E69" t="s">
        <v>174</v>
      </c>
      <c r="F69" t="s">
        <v>175</v>
      </c>
      <c r="G69" t="s">
        <v>176</v>
      </c>
      <c r="J69">
        <v>124</v>
      </c>
      <c r="K69">
        <v>25</v>
      </c>
      <c r="N69">
        <v>149</v>
      </c>
      <c r="O69" s="150">
        <v>7186</v>
      </c>
      <c r="P69">
        <v>390</v>
      </c>
      <c r="Q69">
        <v>1</v>
      </c>
    </row>
    <row r="70" spans="2:17" hidden="1">
      <c r="P70" s="150">
        <v>6796</v>
      </c>
      <c r="Q70">
        <v>2</v>
      </c>
    </row>
    <row r="71" spans="2:17" hidden="1">
      <c r="B71" t="s">
        <v>72</v>
      </c>
      <c r="C71">
        <v>3</v>
      </c>
      <c r="D71">
        <v>188081</v>
      </c>
      <c r="E71" t="s">
        <v>177</v>
      </c>
      <c r="F71" t="s">
        <v>157</v>
      </c>
      <c r="G71">
        <v>1</v>
      </c>
      <c r="J71">
        <v>0</v>
      </c>
      <c r="K71">
        <v>0</v>
      </c>
      <c r="N71">
        <v>0</v>
      </c>
      <c r="O71">
        <v>0</v>
      </c>
    </row>
    <row r="72" spans="2:17" hidden="1">
      <c r="B72" t="s">
        <v>72</v>
      </c>
      <c r="C72">
        <v>3</v>
      </c>
      <c r="D72">
        <v>160307</v>
      </c>
      <c r="E72" t="s">
        <v>178</v>
      </c>
      <c r="F72" t="s">
        <v>179</v>
      </c>
      <c r="G72">
        <v>1</v>
      </c>
      <c r="J72">
        <v>173</v>
      </c>
      <c r="K72">
        <v>0</v>
      </c>
      <c r="N72">
        <v>173</v>
      </c>
      <c r="O72">
        <v>0</v>
      </c>
    </row>
    <row r="73" spans="2:17" hidden="1">
      <c r="B73" t="s">
        <v>89</v>
      </c>
      <c r="C73">
        <v>3</v>
      </c>
      <c r="D73">
        <v>27285</v>
      </c>
      <c r="E73" t="s">
        <v>180</v>
      </c>
      <c r="F73" t="s">
        <v>181</v>
      </c>
      <c r="J73">
        <v>374</v>
      </c>
      <c r="K73">
        <v>58</v>
      </c>
      <c r="N73">
        <v>432</v>
      </c>
      <c r="O73">
        <v>169</v>
      </c>
      <c r="P73">
        <v>30</v>
      </c>
      <c r="Q73">
        <v>1</v>
      </c>
    </row>
    <row r="74" spans="2:17" hidden="1">
      <c r="P74">
        <v>139</v>
      </c>
      <c r="Q74">
        <v>2</v>
      </c>
    </row>
    <row r="75" spans="2:17" hidden="1">
      <c r="B75" t="s">
        <v>89</v>
      </c>
      <c r="C75">
        <v>3</v>
      </c>
      <c r="D75">
        <v>27418</v>
      </c>
      <c r="E75" t="s">
        <v>182</v>
      </c>
      <c r="F75" t="s">
        <v>181</v>
      </c>
      <c r="J75">
        <v>606</v>
      </c>
      <c r="K75">
        <v>667</v>
      </c>
      <c r="L75" s="150">
        <v>1091</v>
      </c>
      <c r="M75">
        <v>1</v>
      </c>
      <c r="N75">
        <v>182</v>
      </c>
      <c r="O75" s="150">
        <v>1038</v>
      </c>
      <c r="P75">
        <v>210</v>
      </c>
      <c r="Q75">
        <v>1</v>
      </c>
    </row>
    <row r="76" spans="2:17" hidden="1">
      <c r="P76">
        <v>828</v>
      </c>
      <c r="Q76">
        <v>2</v>
      </c>
    </row>
    <row r="77" spans="2:17" hidden="1">
      <c r="B77" t="s">
        <v>72</v>
      </c>
      <c r="C77">
        <v>3</v>
      </c>
      <c r="D77">
        <v>282350</v>
      </c>
      <c r="E77" t="s">
        <v>182</v>
      </c>
      <c r="F77" t="s">
        <v>181</v>
      </c>
      <c r="G77" t="s">
        <v>183</v>
      </c>
      <c r="J77">
        <v>384</v>
      </c>
      <c r="K77">
        <v>0</v>
      </c>
      <c r="N77">
        <v>384</v>
      </c>
      <c r="O77">
        <v>822</v>
      </c>
      <c r="P77">
        <v>60</v>
      </c>
      <c r="Q77">
        <v>1</v>
      </c>
    </row>
    <row r="78" spans="2:17" hidden="1">
      <c r="P78">
        <v>762</v>
      </c>
      <c r="Q78">
        <v>2</v>
      </c>
    </row>
    <row r="79" spans="2:17" hidden="1">
      <c r="B79" t="s">
        <v>89</v>
      </c>
      <c r="C79">
        <v>3</v>
      </c>
      <c r="D79">
        <v>27236</v>
      </c>
      <c r="E79" t="s">
        <v>184</v>
      </c>
      <c r="F79" t="s">
        <v>181</v>
      </c>
      <c r="J79">
        <v>224</v>
      </c>
      <c r="K79">
        <v>1459</v>
      </c>
      <c r="L79">
        <v>718</v>
      </c>
      <c r="M79">
        <v>1</v>
      </c>
      <c r="N79">
        <v>965</v>
      </c>
      <c r="O79" s="150">
        <v>1242</v>
      </c>
      <c r="P79">
        <v>30</v>
      </c>
      <c r="Q79">
        <v>1</v>
      </c>
    </row>
    <row r="80" spans="2:17" hidden="1">
      <c r="P80" s="150">
        <v>1212</v>
      </c>
      <c r="Q80">
        <v>2</v>
      </c>
    </row>
    <row r="81" spans="2:17" hidden="1">
      <c r="B81" t="s">
        <v>89</v>
      </c>
      <c r="C81">
        <v>3</v>
      </c>
      <c r="D81">
        <v>26501</v>
      </c>
      <c r="E81" t="s">
        <v>187</v>
      </c>
      <c r="F81" t="s">
        <v>188</v>
      </c>
      <c r="J81">
        <v>114</v>
      </c>
      <c r="K81">
        <v>0</v>
      </c>
      <c r="N81">
        <v>114</v>
      </c>
      <c r="O81">
        <v>0</v>
      </c>
    </row>
    <row r="82" spans="2:17" hidden="1">
      <c r="B82" t="s">
        <v>89</v>
      </c>
      <c r="C82">
        <v>3</v>
      </c>
      <c r="D82">
        <v>24455</v>
      </c>
      <c r="E82" t="s">
        <v>189</v>
      </c>
      <c r="F82" t="s">
        <v>190</v>
      </c>
      <c r="J82">
        <v>0</v>
      </c>
      <c r="K82">
        <v>0</v>
      </c>
      <c r="N82">
        <v>0</v>
      </c>
      <c r="O82">
        <v>0</v>
      </c>
    </row>
    <row r="83" spans="2:17" hidden="1">
      <c r="B83" t="s">
        <v>72</v>
      </c>
      <c r="C83">
        <v>3</v>
      </c>
      <c r="D83">
        <v>278004</v>
      </c>
      <c r="E83" t="s">
        <v>189</v>
      </c>
      <c r="F83" t="s">
        <v>191</v>
      </c>
      <c r="G83">
        <v>3</v>
      </c>
      <c r="J83">
        <v>73</v>
      </c>
      <c r="K83">
        <v>31</v>
      </c>
      <c r="N83">
        <v>104</v>
      </c>
      <c r="O83" s="150">
        <v>1078</v>
      </c>
      <c r="P83">
        <v>30</v>
      </c>
      <c r="Q83">
        <v>1</v>
      </c>
    </row>
    <row r="84" spans="2:17" hidden="1">
      <c r="P84" s="150">
        <v>1048</v>
      </c>
      <c r="Q84">
        <v>2</v>
      </c>
    </row>
    <row r="85" spans="2:17" hidden="1">
      <c r="B85" t="s">
        <v>89</v>
      </c>
      <c r="C85">
        <v>3</v>
      </c>
      <c r="D85">
        <v>2099</v>
      </c>
      <c r="E85" t="s">
        <v>192</v>
      </c>
      <c r="F85" t="s">
        <v>193</v>
      </c>
      <c r="J85">
        <v>282</v>
      </c>
      <c r="K85">
        <v>366</v>
      </c>
      <c r="L85">
        <v>337</v>
      </c>
      <c r="M85">
        <v>1</v>
      </c>
      <c r="N85">
        <v>311</v>
      </c>
      <c r="O85">
        <v>0</v>
      </c>
    </row>
    <row r="86" spans="2:17" hidden="1">
      <c r="B86" t="s">
        <v>89</v>
      </c>
      <c r="C86">
        <v>3</v>
      </c>
      <c r="D86">
        <v>24246</v>
      </c>
      <c r="E86" t="s">
        <v>194</v>
      </c>
      <c r="F86" t="s">
        <v>195</v>
      </c>
      <c r="J86">
        <v>52</v>
      </c>
      <c r="K86">
        <v>0</v>
      </c>
      <c r="N86">
        <v>52</v>
      </c>
      <c r="O86">
        <v>0</v>
      </c>
    </row>
    <row r="87" spans="2:17" hidden="1">
      <c r="B87" t="s">
        <v>89</v>
      </c>
      <c r="C87">
        <v>3</v>
      </c>
      <c r="D87">
        <v>27279</v>
      </c>
      <c r="E87" t="s">
        <v>196</v>
      </c>
      <c r="F87" t="s">
        <v>197</v>
      </c>
      <c r="J87">
        <v>229</v>
      </c>
      <c r="K87">
        <v>0</v>
      </c>
      <c r="N87">
        <v>229</v>
      </c>
      <c r="O87">
        <v>0</v>
      </c>
    </row>
    <row r="88" spans="2:17" hidden="1">
      <c r="B88" t="s">
        <v>89</v>
      </c>
      <c r="C88">
        <v>3</v>
      </c>
      <c r="D88">
        <v>27495</v>
      </c>
      <c r="E88" t="s">
        <v>198</v>
      </c>
      <c r="F88" t="s">
        <v>199</v>
      </c>
      <c r="J88">
        <v>250</v>
      </c>
      <c r="K88">
        <v>0</v>
      </c>
      <c r="N88">
        <v>250</v>
      </c>
      <c r="O88">
        <v>0</v>
      </c>
    </row>
    <row r="89" spans="2:17" hidden="1">
      <c r="B89" t="s">
        <v>89</v>
      </c>
      <c r="C89">
        <v>3</v>
      </c>
      <c r="D89">
        <v>27499</v>
      </c>
      <c r="E89" t="s">
        <v>198</v>
      </c>
      <c r="F89" t="s">
        <v>200</v>
      </c>
      <c r="J89">
        <v>297</v>
      </c>
      <c r="K89">
        <v>0</v>
      </c>
      <c r="N89">
        <v>297</v>
      </c>
      <c r="O89">
        <v>0</v>
      </c>
    </row>
    <row r="90" spans="2:17" hidden="1">
      <c r="B90" t="s">
        <v>89</v>
      </c>
      <c r="C90">
        <v>3</v>
      </c>
      <c r="D90">
        <v>27401</v>
      </c>
      <c r="E90" t="s">
        <v>201</v>
      </c>
      <c r="F90" t="s">
        <v>202</v>
      </c>
      <c r="J90">
        <v>410</v>
      </c>
      <c r="K90">
        <v>0</v>
      </c>
      <c r="N90">
        <v>410</v>
      </c>
      <c r="O90">
        <v>0</v>
      </c>
    </row>
    <row r="91" spans="2:17" hidden="1">
      <c r="B91" t="s">
        <v>72</v>
      </c>
      <c r="C91">
        <v>3</v>
      </c>
      <c r="D91">
        <v>177442</v>
      </c>
      <c r="E91" t="s">
        <v>203</v>
      </c>
      <c r="F91" t="s">
        <v>204</v>
      </c>
      <c r="G91" t="s">
        <v>205</v>
      </c>
      <c r="J91">
        <v>0</v>
      </c>
      <c r="K91">
        <v>0</v>
      </c>
      <c r="N91">
        <v>0</v>
      </c>
      <c r="O91">
        <v>0</v>
      </c>
    </row>
    <row r="92" spans="2:17" hidden="1">
      <c r="B92" t="s">
        <v>72</v>
      </c>
      <c r="C92">
        <v>3</v>
      </c>
      <c r="D92">
        <v>284976</v>
      </c>
      <c r="E92" t="s">
        <v>206</v>
      </c>
      <c r="F92" t="s">
        <v>207</v>
      </c>
      <c r="G92" t="s">
        <v>208</v>
      </c>
      <c r="J92">
        <v>150</v>
      </c>
      <c r="K92">
        <v>0</v>
      </c>
      <c r="N92">
        <v>150</v>
      </c>
      <c r="O92">
        <v>0</v>
      </c>
    </row>
    <row r="93" spans="2:17" hidden="1">
      <c r="B93" t="s">
        <v>89</v>
      </c>
      <c r="C93">
        <v>3</v>
      </c>
      <c r="D93">
        <v>2812</v>
      </c>
      <c r="E93" t="s">
        <v>209</v>
      </c>
      <c r="F93" t="s">
        <v>210</v>
      </c>
      <c r="J93">
        <v>18</v>
      </c>
      <c r="K93">
        <v>0</v>
      </c>
      <c r="N93">
        <v>18</v>
      </c>
      <c r="O93">
        <v>0</v>
      </c>
    </row>
    <row r="94" spans="2:17" hidden="1">
      <c r="B94" t="s">
        <v>89</v>
      </c>
      <c r="C94">
        <v>3</v>
      </c>
      <c r="D94">
        <v>2817</v>
      </c>
      <c r="E94" t="s">
        <v>209</v>
      </c>
      <c r="F94" t="s">
        <v>220</v>
      </c>
      <c r="J94">
        <v>159</v>
      </c>
      <c r="K94">
        <v>177</v>
      </c>
      <c r="L94">
        <v>169</v>
      </c>
      <c r="M94">
        <v>1</v>
      </c>
      <c r="N94">
        <v>167</v>
      </c>
      <c r="O94">
        <v>88</v>
      </c>
      <c r="P94">
        <v>88</v>
      </c>
      <c r="Q94">
        <v>1</v>
      </c>
    </row>
    <row r="95" spans="2:17" hidden="1">
      <c r="B95" t="s">
        <v>89</v>
      </c>
      <c r="C95">
        <v>3</v>
      </c>
      <c r="D95">
        <v>26743</v>
      </c>
      <c r="E95" t="s">
        <v>209</v>
      </c>
      <c r="F95" t="s">
        <v>212</v>
      </c>
      <c r="J95">
        <v>0</v>
      </c>
      <c r="K95">
        <v>0</v>
      </c>
      <c r="N95">
        <v>0</v>
      </c>
      <c r="O95">
        <v>0</v>
      </c>
    </row>
    <row r="96" spans="2:17" hidden="1">
      <c r="B96" t="s">
        <v>89</v>
      </c>
      <c r="C96">
        <v>3</v>
      </c>
      <c r="D96">
        <v>27533</v>
      </c>
      <c r="E96" t="s">
        <v>209</v>
      </c>
      <c r="F96" t="s">
        <v>218</v>
      </c>
      <c r="J96">
        <v>76</v>
      </c>
      <c r="K96">
        <v>358</v>
      </c>
      <c r="L96">
        <v>342</v>
      </c>
      <c r="M96">
        <v>1</v>
      </c>
      <c r="N96">
        <v>92</v>
      </c>
      <c r="O96">
        <v>180</v>
      </c>
      <c r="P96">
        <v>180</v>
      </c>
      <c r="Q96">
        <v>1</v>
      </c>
    </row>
    <row r="97" spans="2:17" hidden="1">
      <c r="B97" t="s">
        <v>72</v>
      </c>
      <c r="C97">
        <v>3</v>
      </c>
      <c r="D97">
        <v>287522</v>
      </c>
      <c r="E97" t="s">
        <v>209</v>
      </c>
      <c r="F97" t="s">
        <v>211</v>
      </c>
      <c r="G97">
        <v>5</v>
      </c>
      <c r="J97">
        <v>66</v>
      </c>
      <c r="K97">
        <v>15</v>
      </c>
      <c r="N97">
        <v>81</v>
      </c>
      <c r="O97" s="150">
        <v>3536</v>
      </c>
      <c r="P97">
        <v>168</v>
      </c>
      <c r="Q97">
        <v>1</v>
      </c>
    </row>
    <row r="98" spans="2:17" hidden="1">
      <c r="P98" s="150">
        <v>3368</v>
      </c>
      <c r="Q98">
        <v>2</v>
      </c>
    </row>
    <row r="99" spans="2:17" hidden="1">
      <c r="B99" t="s">
        <v>72</v>
      </c>
      <c r="C99">
        <v>3</v>
      </c>
      <c r="D99">
        <v>133198</v>
      </c>
      <c r="E99" t="s">
        <v>214</v>
      </c>
      <c r="F99" t="s">
        <v>211</v>
      </c>
      <c r="G99">
        <v>7</v>
      </c>
      <c r="I99">
        <v>1471</v>
      </c>
      <c r="J99">
        <v>0</v>
      </c>
      <c r="K99">
        <v>0</v>
      </c>
      <c r="N99">
        <v>0</v>
      </c>
      <c r="O99">
        <v>0</v>
      </c>
    </row>
    <row r="100" spans="2:17" hidden="1">
      <c r="B100" t="s">
        <v>89</v>
      </c>
      <c r="C100">
        <v>3</v>
      </c>
      <c r="D100">
        <v>22393</v>
      </c>
      <c r="E100" t="s">
        <v>215</v>
      </c>
      <c r="F100" t="s">
        <v>216</v>
      </c>
      <c r="I100">
        <v>1471</v>
      </c>
      <c r="J100">
        <v>0</v>
      </c>
      <c r="K100">
        <v>0</v>
      </c>
      <c r="N100">
        <v>0</v>
      </c>
      <c r="O100">
        <v>0</v>
      </c>
    </row>
    <row r="101" spans="2:17" hidden="1">
      <c r="B101" t="s">
        <v>72</v>
      </c>
      <c r="C101">
        <v>3</v>
      </c>
      <c r="D101">
        <v>229081</v>
      </c>
      <c r="E101" t="s">
        <v>217</v>
      </c>
      <c r="F101" t="s">
        <v>218</v>
      </c>
      <c r="G101">
        <v>7</v>
      </c>
      <c r="J101">
        <v>0</v>
      </c>
      <c r="K101">
        <v>0</v>
      </c>
      <c r="N101">
        <v>0</v>
      </c>
      <c r="O101">
        <v>0</v>
      </c>
    </row>
    <row r="102" spans="2:17" hidden="1">
      <c r="B102" t="s">
        <v>89</v>
      </c>
      <c r="C102">
        <v>3</v>
      </c>
      <c r="D102">
        <v>26834</v>
      </c>
      <c r="E102" t="s">
        <v>221</v>
      </c>
      <c r="F102" t="s">
        <v>222</v>
      </c>
      <c r="J102">
        <v>262</v>
      </c>
      <c r="K102">
        <v>0</v>
      </c>
      <c r="L102">
        <v>176</v>
      </c>
      <c r="M102">
        <v>1</v>
      </c>
      <c r="N102">
        <v>86</v>
      </c>
      <c r="O102">
        <v>0</v>
      </c>
    </row>
    <row r="103" spans="2:17" hidden="1">
      <c r="B103" t="s">
        <v>89</v>
      </c>
      <c r="C103">
        <v>3</v>
      </c>
      <c r="D103">
        <v>26193</v>
      </c>
      <c r="E103" t="s">
        <v>223</v>
      </c>
      <c r="F103" t="s">
        <v>224</v>
      </c>
      <c r="J103">
        <v>68</v>
      </c>
      <c r="K103">
        <v>0</v>
      </c>
      <c r="N103">
        <v>68</v>
      </c>
      <c r="O103">
        <v>0</v>
      </c>
    </row>
    <row r="104" spans="2:17" hidden="1">
      <c r="B104" t="s">
        <v>72</v>
      </c>
      <c r="C104">
        <v>3</v>
      </c>
      <c r="D104">
        <v>275419</v>
      </c>
      <c r="E104" t="s">
        <v>225</v>
      </c>
      <c r="F104" t="s">
        <v>222</v>
      </c>
      <c r="G104" t="s">
        <v>226</v>
      </c>
      <c r="J104">
        <v>0</v>
      </c>
      <c r="K104">
        <v>0</v>
      </c>
      <c r="N104">
        <v>0</v>
      </c>
      <c r="O104">
        <v>0</v>
      </c>
    </row>
    <row r="105" spans="2:17" hidden="1">
      <c r="B105" t="s">
        <v>89</v>
      </c>
      <c r="C105">
        <v>3</v>
      </c>
      <c r="D105">
        <v>27736</v>
      </c>
      <c r="E105" t="s">
        <v>1286</v>
      </c>
      <c r="F105" t="s">
        <v>222</v>
      </c>
      <c r="J105">
        <v>362</v>
      </c>
      <c r="K105">
        <v>154</v>
      </c>
      <c r="L105">
        <v>179</v>
      </c>
      <c r="M105">
        <v>1</v>
      </c>
      <c r="N105">
        <v>147</v>
      </c>
      <c r="O105" s="150">
        <v>6151</v>
      </c>
      <c r="P105" s="150">
        <v>6151</v>
      </c>
      <c r="Q105">
        <v>4</v>
      </c>
    </row>
    <row r="106" spans="2:17" hidden="1">
      <c r="J106" t="s">
        <v>1287</v>
      </c>
    </row>
    <row r="107" spans="2:17" hidden="1">
      <c r="B107" t="s">
        <v>72</v>
      </c>
      <c r="C107">
        <v>3</v>
      </c>
      <c r="D107">
        <v>139199</v>
      </c>
      <c r="E107" t="s">
        <v>227</v>
      </c>
      <c r="F107" t="s">
        <v>228</v>
      </c>
      <c r="G107">
        <v>1</v>
      </c>
      <c r="J107">
        <v>0</v>
      </c>
      <c r="K107">
        <v>0</v>
      </c>
      <c r="N107">
        <v>0</v>
      </c>
      <c r="O107">
        <v>0</v>
      </c>
    </row>
    <row r="108" spans="2:17" hidden="1">
      <c r="B108" t="s">
        <v>89</v>
      </c>
      <c r="C108">
        <v>3</v>
      </c>
      <c r="D108">
        <v>18769</v>
      </c>
      <c r="E108" t="s">
        <v>230</v>
      </c>
      <c r="F108" t="s">
        <v>231</v>
      </c>
      <c r="J108">
        <v>127</v>
      </c>
      <c r="K108">
        <v>20</v>
      </c>
      <c r="N108">
        <v>147</v>
      </c>
      <c r="O108">
        <v>0</v>
      </c>
    </row>
    <row r="109" spans="2:17" hidden="1">
      <c r="B109" t="s">
        <v>72</v>
      </c>
      <c r="C109">
        <v>3</v>
      </c>
      <c r="D109">
        <v>184787</v>
      </c>
      <c r="E109" t="s">
        <v>232</v>
      </c>
      <c r="F109" t="s">
        <v>233</v>
      </c>
      <c r="G109">
        <v>5</v>
      </c>
      <c r="J109">
        <v>172</v>
      </c>
      <c r="K109">
        <v>128</v>
      </c>
      <c r="L109">
        <v>179</v>
      </c>
      <c r="M109">
        <v>1</v>
      </c>
      <c r="N109">
        <v>121</v>
      </c>
      <c r="O109" s="150">
        <v>11565</v>
      </c>
      <c r="P109">
        <v>450</v>
      </c>
      <c r="Q109">
        <v>1</v>
      </c>
    </row>
    <row r="110" spans="2:17" hidden="1">
      <c r="P110" s="150">
        <v>11115</v>
      </c>
      <c r="Q110">
        <v>2</v>
      </c>
    </row>
    <row r="111" spans="2:17" hidden="1">
      <c r="B111" t="s">
        <v>72</v>
      </c>
      <c r="C111">
        <v>3</v>
      </c>
      <c r="D111">
        <v>113719</v>
      </c>
      <c r="E111" t="s">
        <v>234</v>
      </c>
      <c r="F111" t="s">
        <v>235</v>
      </c>
      <c r="G111">
        <v>23</v>
      </c>
      <c r="J111">
        <v>110</v>
      </c>
      <c r="K111">
        <v>12</v>
      </c>
      <c r="N111">
        <v>122</v>
      </c>
      <c r="O111" s="150">
        <v>1726</v>
      </c>
      <c r="P111" s="150">
        <v>1726</v>
      </c>
      <c r="Q111">
        <v>2</v>
      </c>
    </row>
    <row r="112" spans="2:17" hidden="1">
      <c r="B112" t="s">
        <v>72</v>
      </c>
      <c r="C112">
        <v>3</v>
      </c>
      <c r="D112">
        <v>38467</v>
      </c>
      <c r="E112" t="s">
        <v>236</v>
      </c>
      <c r="F112" t="s">
        <v>233</v>
      </c>
      <c r="G112">
        <v>3</v>
      </c>
      <c r="J112">
        <v>0</v>
      </c>
      <c r="K112">
        <v>0</v>
      </c>
      <c r="N112">
        <v>0</v>
      </c>
      <c r="O112">
        <v>0</v>
      </c>
    </row>
    <row r="113" spans="2:17" hidden="1">
      <c r="B113" t="s">
        <v>89</v>
      </c>
      <c r="C113">
        <v>3</v>
      </c>
      <c r="D113">
        <v>12721</v>
      </c>
      <c r="E113" t="s">
        <v>237</v>
      </c>
      <c r="F113" t="s">
        <v>238</v>
      </c>
      <c r="J113">
        <v>0</v>
      </c>
      <c r="K113">
        <v>0</v>
      </c>
      <c r="N113">
        <v>0</v>
      </c>
      <c r="O113">
        <v>0</v>
      </c>
    </row>
    <row r="114" spans="2:17" hidden="1">
      <c r="B114" t="s">
        <v>72</v>
      </c>
      <c r="C114">
        <v>3</v>
      </c>
      <c r="D114">
        <v>214543</v>
      </c>
      <c r="E114" t="s">
        <v>239</v>
      </c>
      <c r="F114" t="s">
        <v>240</v>
      </c>
      <c r="G114">
        <v>1</v>
      </c>
      <c r="J114">
        <v>0</v>
      </c>
      <c r="K114">
        <v>0</v>
      </c>
      <c r="N114">
        <v>0</v>
      </c>
      <c r="O114">
        <v>0</v>
      </c>
    </row>
    <row r="115" spans="2:17" hidden="1">
      <c r="B115" t="s">
        <v>72</v>
      </c>
      <c r="C115">
        <v>3</v>
      </c>
      <c r="D115">
        <v>235116</v>
      </c>
      <c r="E115" t="s">
        <v>241</v>
      </c>
      <c r="F115" t="s">
        <v>242</v>
      </c>
      <c r="G115">
        <v>2</v>
      </c>
      <c r="J115">
        <v>0</v>
      </c>
      <c r="K115">
        <v>0</v>
      </c>
      <c r="N115">
        <v>0</v>
      </c>
      <c r="O115">
        <v>0</v>
      </c>
    </row>
    <row r="116" spans="2:17" hidden="1">
      <c r="B116" t="s">
        <v>72</v>
      </c>
      <c r="C116">
        <v>3</v>
      </c>
      <c r="D116">
        <v>164970</v>
      </c>
      <c r="E116" t="s">
        <v>243</v>
      </c>
      <c r="F116" t="s">
        <v>244</v>
      </c>
      <c r="G116">
        <v>1</v>
      </c>
      <c r="J116">
        <v>63</v>
      </c>
      <c r="K116">
        <v>64</v>
      </c>
      <c r="N116">
        <v>127</v>
      </c>
      <c r="O116" s="150">
        <v>5954</v>
      </c>
      <c r="P116">
        <v>210</v>
      </c>
      <c r="Q116">
        <v>1</v>
      </c>
    </row>
    <row r="117" spans="2:17" hidden="1">
      <c r="P117" s="150">
        <v>5744</v>
      </c>
      <c r="Q117">
        <v>2</v>
      </c>
    </row>
    <row r="118" spans="2:17" hidden="1">
      <c r="B118" t="s">
        <v>89</v>
      </c>
      <c r="C118">
        <v>3</v>
      </c>
      <c r="D118">
        <v>24861</v>
      </c>
      <c r="E118" t="s">
        <v>245</v>
      </c>
      <c r="F118" t="s">
        <v>246</v>
      </c>
      <c r="J118">
        <v>45</v>
      </c>
      <c r="K118">
        <v>0</v>
      </c>
      <c r="N118">
        <v>45</v>
      </c>
      <c r="O118">
        <v>211</v>
      </c>
      <c r="P118">
        <v>30</v>
      </c>
      <c r="Q118">
        <v>1</v>
      </c>
    </row>
    <row r="119" spans="2:17" hidden="1">
      <c r="P119">
        <v>181</v>
      </c>
      <c r="Q119">
        <v>2</v>
      </c>
    </row>
    <row r="120" spans="2:17" hidden="1">
      <c r="B120" t="s">
        <v>72</v>
      </c>
      <c r="C120">
        <v>3</v>
      </c>
      <c r="D120">
        <v>194105</v>
      </c>
      <c r="E120" t="s">
        <v>247</v>
      </c>
      <c r="F120" t="s">
        <v>248</v>
      </c>
      <c r="G120">
        <v>2</v>
      </c>
      <c r="J120">
        <v>0</v>
      </c>
      <c r="K120">
        <v>0</v>
      </c>
      <c r="N120">
        <v>0</v>
      </c>
      <c r="O120">
        <v>0</v>
      </c>
    </row>
    <row r="121" spans="2:17" hidden="1">
      <c r="B121" t="s">
        <v>72</v>
      </c>
      <c r="C121">
        <v>3</v>
      </c>
      <c r="D121">
        <v>130820</v>
      </c>
      <c r="E121" t="s">
        <v>249</v>
      </c>
      <c r="F121" t="s">
        <v>248</v>
      </c>
      <c r="G121">
        <v>1</v>
      </c>
      <c r="J121">
        <v>0</v>
      </c>
      <c r="K121">
        <v>0</v>
      </c>
      <c r="N121">
        <v>0</v>
      </c>
      <c r="O121">
        <v>0</v>
      </c>
    </row>
    <row r="122" spans="2:17" hidden="1">
      <c r="B122" t="s">
        <v>72</v>
      </c>
      <c r="C122">
        <v>3</v>
      </c>
      <c r="D122">
        <v>284977</v>
      </c>
      <c r="E122" t="s">
        <v>250</v>
      </c>
      <c r="F122" t="s">
        <v>251</v>
      </c>
      <c r="G122" t="s">
        <v>252</v>
      </c>
      <c r="J122">
        <v>137</v>
      </c>
      <c r="K122">
        <v>162</v>
      </c>
      <c r="N122">
        <v>299</v>
      </c>
      <c r="O122" s="150">
        <v>19144</v>
      </c>
      <c r="P122">
        <v>750</v>
      </c>
      <c r="Q122">
        <v>1</v>
      </c>
    </row>
    <row r="123" spans="2:17" hidden="1">
      <c r="P123" s="150">
        <v>18394</v>
      </c>
      <c r="Q123">
        <v>2</v>
      </c>
    </row>
    <row r="124" spans="2:17" hidden="1">
      <c r="B124" t="s">
        <v>72</v>
      </c>
      <c r="C124">
        <v>3</v>
      </c>
      <c r="D124">
        <v>247945</v>
      </c>
      <c r="E124" t="s">
        <v>253</v>
      </c>
      <c r="F124" t="s">
        <v>254</v>
      </c>
      <c r="G124">
        <v>2</v>
      </c>
      <c r="J124">
        <v>125</v>
      </c>
      <c r="K124">
        <v>25</v>
      </c>
      <c r="N124">
        <v>150</v>
      </c>
      <c r="O124">
        <v>510</v>
      </c>
      <c r="P124">
        <v>510</v>
      </c>
      <c r="Q124">
        <v>2</v>
      </c>
    </row>
    <row r="125" spans="2:17" hidden="1">
      <c r="B125" t="s">
        <v>72</v>
      </c>
      <c r="C125">
        <v>3</v>
      </c>
      <c r="D125">
        <v>285001</v>
      </c>
      <c r="E125" t="s">
        <v>255</v>
      </c>
      <c r="F125" t="s">
        <v>251</v>
      </c>
      <c r="G125" t="s">
        <v>226</v>
      </c>
      <c r="J125">
        <v>109</v>
      </c>
      <c r="K125">
        <v>0</v>
      </c>
      <c r="N125">
        <v>109</v>
      </c>
      <c r="O125">
        <v>0</v>
      </c>
    </row>
    <row r="126" spans="2:17" hidden="1">
      <c r="B126" t="s">
        <v>89</v>
      </c>
      <c r="C126">
        <v>3</v>
      </c>
      <c r="D126">
        <v>21879</v>
      </c>
      <c r="E126" t="s">
        <v>256</v>
      </c>
      <c r="F126" t="s">
        <v>257</v>
      </c>
      <c r="J126">
        <v>0</v>
      </c>
      <c r="K126">
        <v>0</v>
      </c>
      <c r="N126">
        <v>0</v>
      </c>
      <c r="O126">
        <v>0</v>
      </c>
    </row>
    <row r="127" spans="2:17" hidden="1">
      <c r="B127" t="s">
        <v>72</v>
      </c>
      <c r="C127">
        <v>3</v>
      </c>
      <c r="D127">
        <v>158027</v>
      </c>
      <c r="E127" t="s">
        <v>258</v>
      </c>
      <c r="F127" t="s">
        <v>259</v>
      </c>
      <c r="G127">
        <v>1</v>
      </c>
      <c r="J127">
        <v>0</v>
      </c>
      <c r="K127">
        <v>0</v>
      </c>
      <c r="N127">
        <v>0</v>
      </c>
      <c r="O127">
        <v>0</v>
      </c>
    </row>
    <row r="128" spans="2:17" hidden="1">
      <c r="B128" t="s">
        <v>72</v>
      </c>
      <c r="C128">
        <v>3</v>
      </c>
      <c r="D128">
        <v>193384</v>
      </c>
      <c r="E128" t="s">
        <v>260</v>
      </c>
      <c r="F128" t="s">
        <v>261</v>
      </c>
      <c r="G128">
        <v>2</v>
      </c>
      <c r="J128">
        <v>129</v>
      </c>
      <c r="K128">
        <v>67</v>
      </c>
      <c r="N128">
        <v>196</v>
      </c>
      <c r="O128" s="150">
        <v>3156</v>
      </c>
      <c r="P128">
        <v>63</v>
      </c>
      <c r="Q128">
        <v>1</v>
      </c>
    </row>
    <row r="129" spans="2:17" hidden="1">
      <c r="P129" s="150">
        <v>3093</v>
      </c>
      <c r="Q129">
        <v>2</v>
      </c>
    </row>
    <row r="130" spans="2:17" hidden="1">
      <c r="B130" t="s">
        <v>72</v>
      </c>
      <c r="C130">
        <v>3</v>
      </c>
      <c r="D130">
        <v>47134</v>
      </c>
      <c r="E130" t="s">
        <v>262</v>
      </c>
      <c r="F130" t="s">
        <v>263</v>
      </c>
      <c r="G130">
        <v>1</v>
      </c>
      <c r="J130">
        <v>0</v>
      </c>
      <c r="K130">
        <v>0</v>
      </c>
      <c r="N130">
        <v>0</v>
      </c>
      <c r="O130">
        <v>0</v>
      </c>
    </row>
    <row r="131" spans="2:17" hidden="1">
      <c r="B131" t="s">
        <v>72</v>
      </c>
      <c r="C131">
        <v>3</v>
      </c>
      <c r="D131">
        <v>158691</v>
      </c>
      <c r="E131" t="s">
        <v>264</v>
      </c>
      <c r="F131" t="s">
        <v>265</v>
      </c>
      <c r="G131">
        <v>1</v>
      </c>
      <c r="J131">
        <v>65</v>
      </c>
      <c r="K131">
        <v>10</v>
      </c>
      <c r="N131">
        <v>75</v>
      </c>
      <c r="O131" s="150">
        <v>1037</v>
      </c>
      <c r="P131">
        <v>21</v>
      </c>
      <c r="Q131">
        <v>1</v>
      </c>
    </row>
    <row r="132" spans="2:17" hidden="1">
      <c r="P132" s="150">
        <v>1016</v>
      </c>
      <c r="Q132">
        <v>2</v>
      </c>
    </row>
    <row r="133" spans="2:17" hidden="1">
      <c r="B133" t="s">
        <v>72</v>
      </c>
      <c r="C133">
        <v>3</v>
      </c>
      <c r="D133">
        <v>91859</v>
      </c>
      <c r="E133" t="s">
        <v>266</v>
      </c>
      <c r="F133" t="s">
        <v>267</v>
      </c>
      <c r="G133">
        <v>1</v>
      </c>
      <c r="J133">
        <v>99</v>
      </c>
      <c r="K133">
        <v>16</v>
      </c>
      <c r="N133">
        <v>115</v>
      </c>
      <c r="O133" s="150">
        <v>1707</v>
      </c>
      <c r="P133">
        <v>84</v>
      </c>
      <c r="Q133">
        <v>1</v>
      </c>
    </row>
    <row r="134" spans="2:17" hidden="1">
      <c r="P134" s="150">
        <v>1623</v>
      </c>
      <c r="Q134">
        <v>2</v>
      </c>
    </row>
    <row r="135" spans="2:17" hidden="1">
      <c r="B135" t="s">
        <v>72</v>
      </c>
      <c r="C135">
        <v>3</v>
      </c>
      <c r="D135">
        <v>214235</v>
      </c>
      <c r="E135" t="s">
        <v>268</v>
      </c>
      <c r="F135" t="s">
        <v>269</v>
      </c>
      <c r="G135">
        <v>2</v>
      </c>
      <c r="J135">
        <v>0</v>
      </c>
      <c r="K135">
        <v>0</v>
      </c>
      <c r="N135">
        <v>0</v>
      </c>
      <c r="O135">
        <v>0</v>
      </c>
    </row>
    <row r="136" spans="2:17">
      <c r="B136" t="s">
        <v>72</v>
      </c>
      <c r="C136">
        <v>3</v>
      </c>
      <c r="D136">
        <v>58664</v>
      </c>
      <c r="E136" t="s">
        <v>270</v>
      </c>
      <c r="F136" t="s">
        <v>271</v>
      </c>
      <c r="G136">
        <v>1</v>
      </c>
      <c r="J136">
        <v>0</v>
      </c>
      <c r="K136">
        <v>0</v>
      </c>
      <c r="N136">
        <v>0</v>
      </c>
      <c r="O136">
        <v>0</v>
      </c>
    </row>
    <row r="137" spans="2:17" hidden="1">
      <c r="B137" t="s">
        <v>72</v>
      </c>
      <c r="C137">
        <v>3</v>
      </c>
      <c r="D137">
        <v>238352</v>
      </c>
      <c r="E137" t="s">
        <v>272</v>
      </c>
      <c r="F137" t="s">
        <v>273</v>
      </c>
      <c r="G137">
        <v>1</v>
      </c>
      <c r="J137">
        <v>0</v>
      </c>
      <c r="K137">
        <v>0</v>
      </c>
      <c r="N137">
        <v>0</v>
      </c>
      <c r="O137">
        <v>0</v>
      </c>
    </row>
    <row r="138" spans="2:17" hidden="1">
      <c r="B138" t="s">
        <v>72</v>
      </c>
      <c r="C138">
        <v>3</v>
      </c>
      <c r="D138">
        <v>163161</v>
      </c>
      <c r="E138" t="s">
        <v>274</v>
      </c>
      <c r="F138" t="s">
        <v>275</v>
      </c>
      <c r="G138">
        <v>4</v>
      </c>
      <c r="I138">
        <v>1988</v>
      </c>
      <c r="J138">
        <v>0</v>
      </c>
      <c r="K138">
        <v>0</v>
      </c>
      <c r="N138">
        <v>0</v>
      </c>
      <c r="O138">
        <v>0</v>
      </c>
    </row>
    <row r="139" spans="2:17" hidden="1">
      <c r="B139" t="s">
        <v>72</v>
      </c>
      <c r="C139">
        <v>3</v>
      </c>
      <c r="D139">
        <v>183638</v>
      </c>
      <c r="E139" t="s">
        <v>274</v>
      </c>
      <c r="F139" t="s">
        <v>276</v>
      </c>
      <c r="G139">
        <v>1</v>
      </c>
      <c r="J139">
        <v>0</v>
      </c>
      <c r="K139">
        <v>0</v>
      </c>
      <c r="N139">
        <v>0</v>
      </c>
      <c r="O139">
        <v>0</v>
      </c>
    </row>
    <row r="140" spans="2:17" hidden="1">
      <c r="B140" t="s">
        <v>72</v>
      </c>
      <c r="C140">
        <v>3</v>
      </c>
      <c r="D140">
        <v>199834</v>
      </c>
      <c r="E140" t="s">
        <v>274</v>
      </c>
      <c r="F140" t="s">
        <v>277</v>
      </c>
      <c r="G140">
        <v>1</v>
      </c>
      <c r="I140">
        <v>1988</v>
      </c>
      <c r="J140">
        <v>149</v>
      </c>
      <c r="K140">
        <v>40</v>
      </c>
      <c r="N140">
        <v>189</v>
      </c>
      <c r="O140">
        <v>851</v>
      </c>
      <c r="P140">
        <v>56</v>
      </c>
      <c r="Q140">
        <v>1</v>
      </c>
    </row>
    <row r="141" spans="2:17" hidden="1">
      <c r="P141">
        <v>795</v>
      </c>
      <c r="Q141">
        <v>2</v>
      </c>
    </row>
    <row r="142" spans="2:17" hidden="1">
      <c r="B142" t="s">
        <v>72</v>
      </c>
      <c r="C142">
        <v>3</v>
      </c>
      <c r="D142">
        <v>201550</v>
      </c>
      <c r="E142" t="s">
        <v>274</v>
      </c>
      <c r="F142" t="s">
        <v>278</v>
      </c>
      <c r="G142">
        <v>3</v>
      </c>
      <c r="I142">
        <v>1988</v>
      </c>
      <c r="J142">
        <v>0</v>
      </c>
      <c r="K142">
        <v>0</v>
      </c>
      <c r="N142">
        <v>0</v>
      </c>
      <c r="O142">
        <v>31</v>
      </c>
      <c r="P142">
        <v>31</v>
      </c>
      <c r="Q142">
        <v>2</v>
      </c>
    </row>
    <row r="143" spans="2:17" hidden="1">
      <c r="B143" t="s">
        <v>72</v>
      </c>
      <c r="C143">
        <v>3</v>
      </c>
      <c r="D143">
        <v>210199</v>
      </c>
      <c r="E143" t="s">
        <v>274</v>
      </c>
      <c r="F143" t="s">
        <v>279</v>
      </c>
      <c r="G143">
        <v>1</v>
      </c>
      <c r="J143">
        <v>63</v>
      </c>
      <c r="K143">
        <v>0</v>
      </c>
      <c r="N143">
        <v>63</v>
      </c>
      <c r="O143" s="150">
        <v>3368</v>
      </c>
      <c r="P143">
        <v>28</v>
      </c>
      <c r="Q143">
        <v>1</v>
      </c>
    </row>
    <row r="144" spans="2:17" hidden="1">
      <c r="P144" s="150">
        <v>3340</v>
      </c>
      <c r="Q144">
        <v>2</v>
      </c>
    </row>
    <row r="145" spans="2:17" hidden="1">
      <c r="B145" t="s">
        <v>72</v>
      </c>
      <c r="C145">
        <v>3</v>
      </c>
      <c r="D145">
        <v>210200</v>
      </c>
      <c r="E145" t="s">
        <v>274</v>
      </c>
      <c r="F145" t="s">
        <v>280</v>
      </c>
      <c r="G145">
        <v>6</v>
      </c>
      <c r="J145">
        <v>33</v>
      </c>
      <c r="K145">
        <v>0</v>
      </c>
      <c r="N145">
        <v>33</v>
      </c>
      <c r="O145">
        <v>32</v>
      </c>
      <c r="P145">
        <v>1</v>
      </c>
      <c r="Q145">
        <v>1</v>
      </c>
    </row>
    <row r="146" spans="2:17" hidden="1">
      <c r="P146">
        <v>31</v>
      </c>
      <c r="Q146">
        <v>2</v>
      </c>
    </row>
    <row r="147" spans="2:17" hidden="1">
      <c r="B147" t="s">
        <v>72</v>
      </c>
      <c r="C147">
        <v>3</v>
      </c>
      <c r="D147">
        <v>215622</v>
      </c>
      <c r="E147" t="s">
        <v>274</v>
      </c>
      <c r="F147" t="s">
        <v>280</v>
      </c>
      <c r="G147">
        <v>2</v>
      </c>
      <c r="J147">
        <v>98</v>
      </c>
      <c r="K147">
        <v>0</v>
      </c>
      <c r="N147">
        <v>98</v>
      </c>
      <c r="O147" s="150">
        <v>2723</v>
      </c>
      <c r="P147">
        <v>140</v>
      </c>
      <c r="Q147">
        <v>1</v>
      </c>
    </row>
    <row r="148" spans="2:17" hidden="1">
      <c r="P148" s="150">
        <v>2583</v>
      </c>
      <c r="Q148">
        <v>2</v>
      </c>
    </row>
    <row r="149" spans="2:17" hidden="1">
      <c r="B149" t="s">
        <v>72</v>
      </c>
      <c r="C149">
        <v>3</v>
      </c>
      <c r="D149">
        <v>216963</v>
      </c>
      <c r="E149" t="s">
        <v>274</v>
      </c>
      <c r="F149" t="s">
        <v>278</v>
      </c>
      <c r="G149">
        <v>5</v>
      </c>
      <c r="J149">
        <v>0</v>
      </c>
      <c r="K149">
        <v>0</v>
      </c>
      <c r="N149">
        <v>0</v>
      </c>
      <c r="O149">
        <v>0</v>
      </c>
    </row>
    <row r="150" spans="2:17" hidden="1">
      <c r="B150" t="s">
        <v>72</v>
      </c>
      <c r="C150">
        <v>3</v>
      </c>
      <c r="D150">
        <v>217825</v>
      </c>
      <c r="E150" t="s">
        <v>274</v>
      </c>
      <c r="F150" t="s">
        <v>278</v>
      </c>
      <c r="G150">
        <v>1</v>
      </c>
      <c r="J150">
        <v>0</v>
      </c>
      <c r="K150">
        <v>0</v>
      </c>
      <c r="N150">
        <v>0</v>
      </c>
      <c r="O150" s="150">
        <v>3771</v>
      </c>
      <c r="P150">
        <v>168</v>
      </c>
      <c r="Q150">
        <v>1</v>
      </c>
    </row>
    <row r="151" spans="2:17" hidden="1">
      <c r="P151" s="150">
        <v>3603</v>
      </c>
      <c r="Q151">
        <v>2</v>
      </c>
    </row>
    <row r="152" spans="2:17" hidden="1">
      <c r="B152" t="s">
        <v>89</v>
      </c>
      <c r="C152">
        <v>3</v>
      </c>
      <c r="D152">
        <v>11349</v>
      </c>
      <c r="E152" t="s">
        <v>281</v>
      </c>
      <c r="F152" t="s">
        <v>282</v>
      </c>
      <c r="J152">
        <v>208</v>
      </c>
      <c r="K152" s="150">
        <v>1339</v>
      </c>
      <c r="L152" s="150">
        <v>1321</v>
      </c>
      <c r="M152">
        <v>1</v>
      </c>
      <c r="N152">
        <v>226</v>
      </c>
      <c r="O152">
        <v>120</v>
      </c>
      <c r="P152">
        <v>120</v>
      </c>
      <c r="Q152">
        <v>1</v>
      </c>
    </row>
    <row r="153" spans="2:17" hidden="1">
      <c r="B153" t="s">
        <v>89</v>
      </c>
      <c r="C153">
        <v>3</v>
      </c>
      <c r="D153">
        <v>27162</v>
      </c>
      <c r="E153" t="s">
        <v>281</v>
      </c>
      <c r="F153" t="s">
        <v>283</v>
      </c>
      <c r="J153">
        <v>0</v>
      </c>
      <c r="K153">
        <v>0</v>
      </c>
      <c r="N153">
        <v>0</v>
      </c>
      <c r="O153">
        <v>0</v>
      </c>
    </row>
    <row r="154" spans="2:17">
      <c r="B154" t="s">
        <v>72</v>
      </c>
      <c r="C154">
        <v>3</v>
      </c>
      <c r="D154">
        <v>280832</v>
      </c>
      <c r="E154" t="s">
        <v>284</v>
      </c>
      <c r="F154" t="s">
        <v>285</v>
      </c>
      <c r="G154">
        <v>1</v>
      </c>
      <c r="J154">
        <v>48</v>
      </c>
      <c r="K154">
        <v>0</v>
      </c>
      <c r="N154">
        <v>48</v>
      </c>
      <c r="O154">
        <v>0</v>
      </c>
    </row>
    <row r="155" spans="2:17">
      <c r="B155" t="s">
        <v>72</v>
      </c>
      <c r="C155">
        <v>3</v>
      </c>
      <c r="D155">
        <v>161374</v>
      </c>
      <c r="E155" t="s">
        <v>286</v>
      </c>
      <c r="F155" t="s">
        <v>287</v>
      </c>
      <c r="G155">
        <v>1</v>
      </c>
      <c r="J155">
        <v>238</v>
      </c>
      <c r="K155">
        <v>170</v>
      </c>
      <c r="L155">
        <v>381</v>
      </c>
      <c r="M155">
        <v>1</v>
      </c>
      <c r="N155">
        <v>27</v>
      </c>
      <c r="O155">
        <v>232</v>
      </c>
      <c r="P155">
        <v>12</v>
      </c>
      <c r="Q155">
        <v>1</v>
      </c>
    </row>
    <row r="156" spans="2:17" hidden="1">
      <c r="P156">
        <v>220</v>
      </c>
      <c r="Q156">
        <v>2</v>
      </c>
    </row>
    <row r="157" spans="2:17">
      <c r="B157" t="s">
        <v>89</v>
      </c>
      <c r="C157">
        <v>3</v>
      </c>
      <c r="D157">
        <v>19798</v>
      </c>
      <c r="E157" t="s">
        <v>288</v>
      </c>
      <c r="F157" t="s">
        <v>289</v>
      </c>
      <c r="J157">
        <v>70</v>
      </c>
      <c r="K157">
        <v>0</v>
      </c>
      <c r="N157">
        <v>70</v>
      </c>
      <c r="O157">
        <v>0</v>
      </c>
    </row>
    <row r="158" spans="2:17">
      <c r="B158" t="s">
        <v>89</v>
      </c>
      <c r="C158">
        <v>3</v>
      </c>
      <c r="D158">
        <v>25782</v>
      </c>
      <c r="E158" t="s">
        <v>290</v>
      </c>
      <c r="F158" t="s">
        <v>291</v>
      </c>
      <c r="J158">
        <v>235</v>
      </c>
      <c r="K158">
        <v>171</v>
      </c>
      <c r="L158">
        <v>189</v>
      </c>
      <c r="M158">
        <v>1</v>
      </c>
      <c r="N158">
        <v>217</v>
      </c>
      <c r="O158">
        <v>48</v>
      </c>
      <c r="P158">
        <v>48</v>
      </c>
      <c r="Q158">
        <v>2</v>
      </c>
    </row>
    <row r="159" spans="2:17" ht="13" thickBot="1">
      <c r="B159" t="s">
        <v>89</v>
      </c>
      <c r="C159">
        <v>3</v>
      </c>
      <c r="D159">
        <v>25785</v>
      </c>
      <c r="E159" t="s">
        <v>290</v>
      </c>
      <c r="F159" t="s">
        <v>285</v>
      </c>
      <c r="J159">
        <v>0</v>
      </c>
      <c r="K159">
        <v>0</v>
      </c>
      <c r="N159">
        <v>0</v>
      </c>
      <c r="O159">
        <v>0</v>
      </c>
    </row>
    <row r="160" spans="2:17" hidden="1">
      <c r="B160" t="s">
        <v>72</v>
      </c>
      <c r="C160">
        <v>3</v>
      </c>
      <c r="D160">
        <v>179674</v>
      </c>
      <c r="E160" t="s">
        <v>292</v>
      </c>
      <c r="F160" t="s">
        <v>293</v>
      </c>
      <c r="G160">
        <v>5</v>
      </c>
      <c r="J160">
        <v>0</v>
      </c>
      <c r="K160">
        <v>0</v>
      </c>
      <c r="N160">
        <v>0</v>
      </c>
      <c r="O160">
        <v>0</v>
      </c>
    </row>
    <row r="161" spans="1:17" hidden="1">
      <c r="B161" t="s">
        <v>89</v>
      </c>
      <c r="C161">
        <v>3</v>
      </c>
      <c r="D161">
        <v>24644</v>
      </c>
      <c r="E161" t="s">
        <v>294</v>
      </c>
      <c r="F161" t="s">
        <v>295</v>
      </c>
      <c r="J161">
        <v>105</v>
      </c>
      <c r="K161">
        <v>457</v>
      </c>
      <c r="L161">
        <v>336</v>
      </c>
      <c r="M161">
        <v>1</v>
      </c>
      <c r="N161">
        <v>226</v>
      </c>
      <c r="O161" s="150">
        <v>2141</v>
      </c>
      <c r="P161" s="150">
        <v>2141</v>
      </c>
      <c r="Q161">
        <v>2</v>
      </c>
    </row>
    <row r="162" spans="1:17" hidden="1">
      <c r="B162" t="s">
        <v>72</v>
      </c>
      <c r="C162">
        <v>3</v>
      </c>
      <c r="D162">
        <v>129832</v>
      </c>
      <c r="E162" t="s">
        <v>294</v>
      </c>
      <c r="F162" t="s">
        <v>295</v>
      </c>
      <c r="G162">
        <v>3</v>
      </c>
      <c r="J162">
        <v>0</v>
      </c>
      <c r="K162">
        <v>0</v>
      </c>
      <c r="N162">
        <v>0</v>
      </c>
      <c r="O162">
        <v>0</v>
      </c>
    </row>
    <row r="163" spans="1:17" hidden="1">
      <c r="B163" t="s">
        <v>72</v>
      </c>
      <c r="C163">
        <v>3</v>
      </c>
      <c r="D163">
        <v>127418</v>
      </c>
      <c r="E163" t="s">
        <v>296</v>
      </c>
      <c r="F163" t="s">
        <v>295</v>
      </c>
      <c r="G163">
        <v>5</v>
      </c>
      <c r="J163">
        <v>0</v>
      </c>
      <c r="K163">
        <v>0</v>
      </c>
      <c r="N163">
        <v>0</v>
      </c>
      <c r="O163">
        <v>0</v>
      </c>
    </row>
    <row r="164" spans="1:17" hidden="1">
      <c r="B164" t="s">
        <v>72</v>
      </c>
      <c r="C164">
        <v>3</v>
      </c>
      <c r="D164">
        <v>128149</v>
      </c>
      <c r="E164" t="s">
        <v>296</v>
      </c>
      <c r="F164" t="s">
        <v>295</v>
      </c>
      <c r="G164">
        <v>4</v>
      </c>
      <c r="J164">
        <v>0</v>
      </c>
      <c r="K164">
        <v>0</v>
      </c>
      <c r="N164">
        <v>0</v>
      </c>
      <c r="O164">
        <v>0</v>
      </c>
    </row>
    <row r="165" spans="1:17" hidden="1">
      <c r="B165" t="s">
        <v>89</v>
      </c>
      <c r="C165">
        <v>3</v>
      </c>
      <c r="D165">
        <v>24414</v>
      </c>
      <c r="E165" t="s">
        <v>297</v>
      </c>
      <c r="F165" t="s">
        <v>298</v>
      </c>
      <c r="J165">
        <v>0</v>
      </c>
      <c r="K165">
        <v>0</v>
      </c>
      <c r="N165">
        <v>0</v>
      </c>
      <c r="O165">
        <v>0</v>
      </c>
    </row>
    <row r="166" spans="1:17" hidden="1">
      <c r="B166" t="s">
        <v>72</v>
      </c>
      <c r="C166">
        <v>3</v>
      </c>
      <c r="D166">
        <v>201104</v>
      </c>
      <c r="E166" t="s">
        <v>299</v>
      </c>
      <c r="F166" t="s">
        <v>300</v>
      </c>
      <c r="G166" t="s">
        <v>301</v>
      </c>
      <c r="J166">
        <v>0</v>
      </c>
      <c r="K166">
        <v>0</v>
      </c>
      <c r="N166">
        <v>0</v>
      </c>
      <c r="O166">
        <v>0</v>
      </c>
    </row>
    <row r="167" spans="1:17" hidden="1">
      <c r="B167" t="s">
        <v>89</v>
      </c>
      <c r="C167">
        <v>3</v>
      </c>
      <c r="D167">
        <v>22499</v>
      </c>
      <c r="E167" t="s">
        <v>302</v>
      </c>
      <c r="F167" t="s">
        <v>303</v>
      </c>
      <c r="J167">
        <v>0</v>
      </c>
      <c r="K167">
        <v>0</v>
      </c>
      <c r="N167">
        <v>0</v>
      </c>
      <c r="O167">
        <v>0</v>
      </c>
    </row>
    <row r="168" spans="1:17" hidden="1">
      <c r="B168" t="s">
        <v>72</v>
      </c>
      <c r="C168">
        <v>3</v>
      </c>
      <c r="D168">
        <v>200844</v>
      </c>
      <c r="E168" t="s">
        <v>304</v>
      </c>
      <c r="F168" t="s">
        <v>305</v>
      </c>
      <c r="G168">
        <v>1</v>
      </c>
      <c r="J168">
        <v>135</v>
      </c>
      <c r="K168">
        <v>0</v>
      </c>
      <c r="N168">
        <v>135</v>
      </c>
      <c r="O168">
        <v>0</v>
      </c>
    </row>
    <row r="169" spans="1:17" hidden="1">
      <c r="B169" t="s">
        <v>72</v>
      </c>
      <c r="C169">
        <v>3</v>
      </c>
      <c r="D169">
        <v>283360</v>
      </c>
      <c r="E169" t="s">
        <v>306</v>
      </c>
      <c r="F169" t="s">
        <v>181</v>
      </c>
      <c r="G169" t="s">
        <v>307</v>
      </c>
      <c r="J169">
        <v>134</v>
      </c>
      <c r="K169">
        <v>0</v>
      </c>
      <c r="N169">
        <v>134</v>
      </c>
      <c r="O169">
        <v>0</v>
      </c>
    </row>
    <row r="170" spans="1:17" hidden="1">
      <c r="B170" t="s">
        <v>89</v>
      </c>
      <c r="C170">
        <v>4</v>
      </c>
      <c r="D170">
        <v>13355</v>
      </c>
      <c r="E170" t="s">
        <v>308</v>
      </c>
      <c r="F170" t="s">
        <v>309</v>
      </c>
      <c r="J170">
        <v>45</v>
      </c>
      <c r="K170">
        <v>50</v>
      </c>
      <c r="N170">
        <v>95</v>
      </c>
      <c r="O170">
        <v>242</v>
      </c>
      <c r="P170">
        <v>242</v>
      </c>
      <c r="Q170">
        <v>2</v>
      </c>
    </row>
    <row r="171" spans="1:17" hidden="1">
      <c r="B171" t="s">
        <v>72</v>
      </c>
      <c r="C171">
        <v>4</v>
      </c>
      <c r="D171">
        <v>225615</v>
      </c>
      <c r="E171" t="s">
        <v>308</v>
      </c>
      <c r="F171" t="s">
        <v>310</v>
      </c>
      <c r="G171">
        <v>1</v>
      </c>
      <c r="J171">
        <v>0</v>
      </c>
      <c r="K171">
        <v>0</v>
      </c>
      <c r="N171">
        <v>0</v>
      </c>
      <c r="O171">
        <v>0</v>
      </c>
    </row>
    <row r="172" spans="1:17" hidden="1">
      <c r="B172" t="s">
        <v>72</v>
      </c>
      <c r="C172">
        <v>4</v>
      </c>
      <c r="D172">
        <v>115364</v>
      </c>
      <c r="E172" t="s">
        <v>311</v>
      </c>
      <c r="F172" t="s">
        <v>312</v>
      </c>
      <c r="G172">
        <v>1</v>
      </c>
      <c r="J172">
        <v>0</v>
      </c>
      <c r="K172">
        <v>0</v>
      </c>
      <c r="N172">
        <v>0</v>
      </c>
      <c r="O172">
        <v>0</v>
      </c>
    </row>
    <row r="173" spans="1:17" hidden="1">
      <c r="A173" t="s">
        <v>1139</v>
      </c>
      <c r="B173" t="s">
        <v>89</v>
      </c>
      <c r="C173">
        <v>4</v>
      </c>
      <c r="D173">
        <v>13410</v>
      </c>
      <c r="E173" t="s">
        <v>313</v>
      </c>
      <c r="F173" t="s">
        <v>314</v>
      </c>
      <c r="J173">
        <v>105</v>
      </c>
      <c r="K173">
        <v>0</v>
      </c>
      <c r="N173">
        <v>235</v>
      </c>
      <c r="O173">
        <v>0</v>
      </c>
    </row>
    <row r="174" spans="1:17" hidden="1">
      <c r="B174" t="s">
        <v>72</v>
      </c>
      <c r="C174">
        <v>4</v>
      </c>
      <c r="D174">
        <v>255120</v>
      </c>
      <c r="E174" t="s">
        <v>315</v>
      </c>
      <c r="F174" t="s">
        <v>316</v>
      </c>
      <c r="G174">
        <v>1</v>
      </c>
      <c r="J174">
        <v>0</v>
      </c>
      <c r="K174">
        <v>0</v>
      </c>
      <c r="N174">
        <v>0</v>
      </c>
      <c r="O174" s="150">
        <v>1566</v>
      </c>
      <c r="P174">
        <v>280</v>
      </c>
      <c r="Q174">
        <v>1</v>
      </c>
    </row>
    <row r="175" spans="1:17" hidden="1">
      <c r="P175" s="150">
        <v>1286</v>
      </c>
      <c r="Q175">
        <v>2</v>
      </c>
    </row>
    <row r="176" spans="1:17" hidden="1">
      <c r="B176" t="s">
        <v>72</v>
      </c>
      <c r="C176">
        <v>4</v>
      </c>
      <c r="D176">
        <v>39333</v>
      </c>
      <c r="E176" t="s">
        <v>317</v>
      </c>
      <c r="F176" t="s">
        <v>318</v>
      </c>
      <c r="G176">
        <v>1</v>
      </c>
      <c r="J176">
        <v>0</v>
      </c>
      <c r="K176">
        <v>0</v>
      </c>
      <c r="N176">
        <v>0</v>
      </c>
      <c r="O176">
        <v>0</v>
      </c>
    </row>
    <row r="177" spans="2:17" hidden="1">
      <c r="B177" t="s">
        <v>89</v>
      </c>
      <c r="C177">
        <v>4</v>
      </c>
      <c r="D177">
        <v>13726</v>
      </c>
      <c r="E177" t="s">
        <v>319</v>
      </c>
      <c r="F177" t="s">
        <v>320</v>
      </c>
      <c r="J177">
        <v>90</v>
      </c>
      <c r="K177">
        <v>0</v>
      </c>
      <c r="N177">
        <v>90</v>
      </c>
      <c r="O177">
        <v>0</v>
      </c>
    </row>
    <row r="178" spans="2:17" hidden="1">
      <c r="B178" t="s">
        <v>72</v>
      </c>
      <c r="C178">
        <v>4</v>
      </c>
      <c r="D178">
        <v>167923</v>
      </c>
      <c r="E178" t="s">
        <v>321</v>
      </c>
      <c r="F178" t="s">
        <v>322</v>
      </c>
      <c r="G178">
        <v>1</v>
      </c>
      <c r="J178">
        <v>0</v>
      </c>
      <c r="K178">
        <v>0</v>
      </c>
      <c r="N178">
        <v>0</v>
      </c>
      <c r="O178">
        <v>0</v>
      </c>
    </row>
    <row r="179" spans="2:17" hidden="1">
      <c r="B179" t="s">
        <v>89</v>
      </c>
      <c r="C179">
        <v>4</v>
      </c>
      <c r="D179">
        <v>12863</v>
      </c>
      <c r="E179" t="s">
        <v>323</v>
      </c>
      <c r="F179" t="s">
        <v>324</v>
      </c>
      <c r="J179">
        <v>0</v>
      </c>
      <c r="K179">
        <v>0</v>
      </c>
      <c r="N179">
        <v>0</v>
      </c>
      <c r="O179">
        <v>0</v>
      </c>
    </row>
    <row r="180" spans="2:17" hidden="1">
      <c r="B180" t="s">
        <v>72</v>
      </c>
      <c r="C180">
        <v>4</v>
      </c>
      <c r="D180">
        <v>244496</v>
      </c>
      <c r="E180" t="s">
        <v>325</v>
      </c>
      <c r="F180" t="s">
        <v>326</v>
      </c>
      <c r="G180">
        <v>1</v>
      </c>
      <c r="J180">
        <v>162</v>
      </c>
      <c r="K180">
        <v>0</v>
      </c>
      <c r="N180">
        <v>162</v>
      </c>
      <c r="O180" s="150">
        <v>6442</v>
      </c>
      <c r="P180">
        <v>216</v>
      </c>
      <c r="Q180">
        <v>1</v>
      </c>
    </row>
    <row r="181" spans="2:17" hidden="1">
      <c r="P181" s="150">
        <v>6226</v>
      </c>
      <c r="Q181">
        <v>2</v>
      </c>
    </row>
    <row r="182" spans="2:17" hidden="1">
      <c r="B182" t="s">
        <v>72</v>
      </c>
      <c r="C182">
        <v>4</v>
      </c>
      <c r="D182">
        <v>248176</v>
      </c>
      <c r="E182" t="s">
        <v>325</v>
      </c>
      <c r="F182" t="s">
        <v>326</v>
      </c>
      <c r="G182">
        <v>2</v>
      </c>
      <c r="J182">
        <v>0</v>
      </c>
      <c r="K182">
        <v>0</v>
      </c>
      <c r="N182">
        <v>0</v>
      </c>
      <c r="O182" s="150">
        <v>2418</v>
      </c>
      <c r="P182">
        <v>81</v>
      </c>
      <c r="Q182">
        <v>1</v>
      </c>
    </row>
    <row r="183" spans="2:17" hidden="1">
      <c r="P183" s="150">
        <v>2337</v>
      </c>
      <c r="Q183">
        <v>2</v>
      </c>
    </row>
    <row r="184" spans="2:17" hidden="1">
      <c r="B184" t="s">
        <v>72</v>
      </c>
      <c r="C184">
        <v>4</v>
      </c>
      <c r="D184">
        <v>250087</v>
      </c>
      <c r="E184" t="s">
        <v>325</v>
      </c>
      <c r="F184" t="s">
        <v>327</v>
      </c>
      <c r="G184">
        <v>1</v>
      </c>
      <c r="J184">
        <v>24</v>
      </c>
      <c r="K184">
        <v>0</v>
      </c>
      <c r="N184">
        <v>24</v>
      </c>
      <c r="O184" s="150">
        <v>4385</v>
      </c>
      <c r="P184">
        <v>295</v>
      </c>
      <c r="Q184">
        <v>1</v>
      </c>
    </row>
    <row r="185" spans="2:17" hidden="1">
      <c r="P185" s="150">
        <v>4090</v>
      </c>
      <c r="Q185">
        <v>2</v>
      </c>
    </row>
    <row r="186" spans="2:17" hidden="1">
      <c r="B186" t="s">
        <v>72</v>
      </c>
      <c r="C186">
        <v>4</v>
      </c>
      <c r="D186">
        <v>255119</v>
      </c>
      <c r="E186" t="s">
        <v>325</v>
      </c>
      <c r="F186" t="s">
        <v>326</v>
      </c>
      <c r="G186">
        <v>3</v>
      </c>
      <c r="J186">
        <v>0</v>
      </c>
      <c r="K186">
        <v>0</v>
      </c>
      <c r="N186">
        <v>0</v>
      </c>
      <c r="O186">
        <v>325</v>
      </c>
      <c r="P186">
        <v>22</v>
      </c>
      <c r="Q186">
        <v>1</v>
      </c>
    </row>
    <row r="187" spans="2:17" hidden="1">
      <c r="P187">
        <v>303</v>
      </c>
      <c r="Q187">
        <v>2</v>
      </c>
    </row>
    <row r="188" spans="2:17" hidden="1">
      <c r="B188" t="s">
        <v>89</v>
      </c>
      <c r="C188">
        <v>4</v>
      </c>
      <c r="D188">
        <v>12696</v>
      </c>
      <c r="E188" t="s">
        <v>328</v>
      </c>
      <c r="F188" t="s">
        <v>329</v>
      </c>
      <c r="J188">
        <v>47</v>
      </c>
      <c r="K188">
        <v>0</v>
      </c>
      <c r="N188">
        <v>47</v>
      </c>
      <c r="O188">
        <v>0</v>
      </c>
    </row>
    <row r="189" spans="2:17" ht="13" hidden="1" thickBot="1">
      <c r="B189" t="s">
        <v>89</v>
      </c>
      <c r="C189">
        <v>4</v>
      </c>
      <c r="D189">
        <v>13742</v>
      </c>
      <c r="E189" t="s">
        <v>330</v>
      </c>
      <c r="F189" t="s">
        <v>331</v>
      </c>
      <c r="J189">
        <v>52</v>
      </c>
      <c r="K189">
        <v>0</v>
      </c>
      <c r="N189">
        <v>52</v>
      </c>
      <c r="O189">
        <v>0</v>
      </c>
    </row>
    <row r="190" spans="2:17" ht="13" hidden="1" thickBot="1">
      <c r="B190" t="s">
        <v>72</v>
      </c>
      <c r="C190">
        <v>4</v>
      </c>
      <c r="D190">
        <v>54242</v>
      </c>
      <c r="E190" t="s">
        <v>332</v>
      </c>
      <c r="F190" t="s">
        <v>333</v>
      </c>
      <c r="G190">
        <v>2</v>
      </c>
      <c r="J190">
        <v>0</v>
      </c>
      <c r="K190">
        <v>0</v>
      </c>
      <c r="N190">
        <v>0</v>
      </c>
      <c r="O190">
        <v>0</v>
      </c>
    </row>
    <row r="191" spans="2:17" ht="13" hidden="1" thickBot="1">
      <c r="B191" t="s">
        <v>89</v>
      </c>
      <c r="C191">
        <v>4</v>
      </c>
      <c r="D191">
        <v>10325</v>
      </c>
      <c r="E191" t="s">
        <v>334</v>
      </c>
      <c r="F191" t="s">
        <v>335</v>
      </c>
      <c r="J191">
        <v>65</v>
      </c>
      <c r="K191">
        <v>0</v>
      </c>
      <c r="N191">
        <v>65</v>
      </c>
      <c r="O191">
        <v>0</v>
      </c>
    </row>
    <row r="192" spans="2:17" ht="13" hidden="1" thickBot="1">
      <c r="B192" t="s">
        <v>89</v>
      </c>
      <c r="C192">
        <v>4</v>
      </c>
      <c r="D192">
        <v>10563</v>
      </c>
      <c r="E192" t="s">
        <v>334</v>
      </c>
      <c r="F192" t="s">
        <v>336</v>
      </c>
      <c r="J192">
        <v>69</v>
      </c>
      <c r="K192">
        <v>0</v>
      </c>
      <c r="N192">
        <v>69</v>
      </c>
      <c r="O192">
        <v>0</v>
      </c>
    </row>
    <row r="193" spans="2:17" ht="13" hidden="1" thickBot="1">
      <c r="B193" t="s">
        <v>72</v>
      </c>
      <c r="C193">
        <v>4</v>
      </c>
      <c r="D193">
        <v>212342</v>
      </c>
      <c r="E193" t="s">
        <v>337</v>
      </c>
      <c r="F193" t="s">
        <v>338</v>
      </c>
      <c r="G193">
        <v>2</v>
      </c>
      <c r="J193">
        <v>0</v>
      </c>
      <c r="K193">
        <v>0</v>
      </c>
      <c r="N193">
        <v>0</v>
      </c>
      <c r="O193" s="150">
        <v>2843</v>
      </c>
      <c r="P193">
        <v>120</v>
      </c>
      <c r="Q193">
        <v>1</v>
      </c>
    </row>
    <row r="194" spans="2:17" ht="13" hidden="1" thickBot="1">
      <c r="P194" s="150">
        <v>2723</v>
      </c>
      <c r="Q194">
        <v>2</v>
      </c>
    </row>
    <row r="195" spans="2:17" ht="13" hidden="1" thickBot="1">
      <c r="B195" t="s">
        <v>72</v>
      </c>
      <c r="C195">
        <v>4</v>
      </c>
      <c r="D195">
        <v>213792</v>
      </c>
      <c r="E195" t="s">
        <v>337</v>
      </c>
      <c r="F195" t="s">
        <v>338</v>
      </c>
      <c r="G195">
        <v>1</v>
      </c>
      <c r="J195">
        <v>43</v>
      </c>
      <c r="K195">
        <v>0</v>
      </c>
      <c r="N195">
        <v>43</v>
      </c>
      <c r="O195">
        <v>0</v>
      </c>
    </row>
    <row r="196" spans="2:17" ht="13" hidden="1" thickBot="1">
      <c r="B196" t="s">
        <v>72</v>
      </c>
      <c r="C196">
        <v>4</v>
      </c>
      <c r="D196">
        <v>173434</v>
      </c>
      <c r="E196" t="s">
        <v>339</v>
      </c>
      <c r="F196" t="s">
        <v>340</v>
      </c>
      <c r="G196">
        <v>2</v>
      </c>
      <c r="J196">
        <v>169</v>
      </c>
      <c r="K196">
        <v>0</v>
      </c>
      <c r="N196">
        <v>169</v>
      </c>
      <c r="O196">
        <v>0</v>
      </c>
    </row>
    <row r="197" spans="2:17" ht="13" hidden="1" thickBot="1">
      <c r="B197" t="s">
        <v>72</v>
      </c>
      <c r="C197">
        <v>4</v>
      </c>
      <c r="D197">
        <v>252973</v>
      </c>
      <c r="E197" t="s">
        <v>341</v>
      </c>
      <c r="F197" t="s">
        <v>342</v>
      </c>
      <c r="G197">
        <v>1</v>
      </c>
      <c r="J197">
        <v>93</v>
      </c>
      <c r="K197">
        <v>0</v>
      </c>
      <c r="N197">
        <v>93</v>
      </c>
      <c r="O197">
        <v>0</v>
      </c>
    </row>
    <row r="198" spans="2:17" ht="13" hidden="1" thickBot="1">
      <c r="B198" t="s">
        <v>72</v>
      </c>
      <c r="C198">
        <v>4</v>
      </c>
      <c r="D198">
        <v>201238</v>
      </c>
      <c r="E198" t="s">
        <v>343</v>
      </c>
      <c r="F198" t="s">
        <v>344</v>
      </c>
      <c r="G198" t="s">
        <v>345</v>
      </c>
      <c r="J198">
        <v>93</v>
      </c>
      <c r="K198">
        <v>2</v>
      </c>
      <c r="N198">
        <v>95</v>
      </c>
      <c r="O198" s="150">
        <v>2596</v>
      </c>
      <c r="P198" s="150">
        <v>2596</v>
      </c>
      <c r="Q198">
        <v>2</v>
      </c>
    </row>
    <row r="199" spans="2:17" ht="13" hidden="1" thickBot="1">
      <c r="B199" t="s">
        <v>72</v>
      </c>
      <c r="C199">
        <v>4</v>
      </c>
      <c r="D199">
        <v>242290</v>
      </c>
      <c r="E199" t="s">
        <v>346</v>
      </c>
      <c r="F199" t="s">
        <v>344</v>
      </c>
      <c r="G199">
        <v>20</v>
      </c>
      <c r="J199">
        <v>0</v>
      </c>
      <c r="K199">
        <v>0</v>
      </c>
      <c r="N199">
        <v>0</v>
      </c>
      <c r="O199">
        <v>0</v>
      </c>
    </row>
    <row r="200" spans="2:17" ht="13" hidden="1" thickBot="1">
      <c r="B200" t="s">
        <v>72</v>
      </c>
      <c r="C200">
        <v>4</v>
      </c>
      <c r="D200">
        <v>198253</v>
      </c>
      <c r="E200" t="s">
        <v>347</v>
      </c>
      <c r="F200" t="s">
        <v>344</v>
      </c>
      <c r="G200" t="s">
        <v>348</v>
      </c>
      <c r="J200">
        <v>0</v>
      </c>
      <c r="K200">
        <v>0</v>
      </c>
      <c r="N200">
        <v>0</v>
      </c>
      <c r="O200">
        <v>0</v>
      </c>
    </row>
    <row r="201" spans="2:17" ht="13" hidden="1" thickBot="1">
      <c r="B201" t="s">
        <v>72</v>
      </c>
      <c r="C201">
        <v>4</v>
      </c>
      <c r="D201">
        <v>159856</v>
      </c>
      <c r="E201" t="s">
        <v>349</v>
      </c>
      <c r="F201" t="s">
        <v>344</v>
      </c>
      <c r="G201" t="s">
        <v>350</v>
      </c>
      <c r="J201">
        <v>0</v>
      </c>
      <c r="K201">
        <v>0</v>
      </c>
      <c r="N201">
        <v>0</v>
      </c>
      <c r="O201">
        <v>0</v>
      </c>
    </row>
    <row r="202" spans="2:17" ht="13" hidden="1" thickBot="1">
      <c r="B202" t="s">
        <v>72</v>
      </c>
      <c r="C202">
        <v>4</v>
      </c>
      <c r="D202">
        <v>162080</v>
      </c>
      <c r="E202" t="s">
        <v>351</v>
      </c>
      <c r="F202" t="s">
        <v>352</v>
      </c>
      <c r="G202">
        <v>14</v>
      </c>
      <c r="J202">
        <v>3</v>
      </c>
      <c r="K202">
        <v>0</v>
      </c>
      <c r="N202">
        <v>3</v>
      </c>
      <c r="O202">
        <v>214</v>
      </c>
      <c r="P202">
        <v>214</v>
      </c>
      <c r="Q202">
        <v>2</v>
      </c>
    </row>
    <row r="203" spans="2:17" ht="13" hidden="1" thickBot="1">
      <c r="B203" t="s">
        <v>72</v>
      </c>
      <c r="C203">
        <v>4</v>
      </c>
      <c r="D203">
        <v>11877</v>
      </c>
      <c r="E203" t="s">
        <v>353</v>
      </c>
      <c r="F203" t="s">
        <v>354</v>
      </c>
      <c r="G203">
        <v>1</v>
      </c>
      <c r="J203">
        <v>0</v>
      </c>
      <c r="K203">
        <v>0</v>
      </c>
      <c r="N203">
        <v>0</v>
      </c>
      <c r="O203">
        <v>199</v>
      </c>
      <c r="P203">
        <v>199</v>
      </c>
      <c r="Q203">
        <v>2</v>
      </c>
    </row>
    <row r="204" spans="2:17" ht="13" hidden="1" thickBot="1">
      <c r="B204" t="s">
        <v>72</v>
      </c>
      <c r="C204">
        <v>4</v>
      </c>
      <c r="D204">
        <v>11885</v>
      </c>
      <c r="E204" t="s">
        <v>353</v>
      </c>
      <c r="F204" t="s">
        <v>355</v>
      </c>
      <c r="G204">
        <v>2</v>
      </c>
      <c r="J204">
        <v>0</v>
      </c>
      <c r="K204">
        <v>0</v>
      </c>
      <c r="N204">
        <v>0</v>
      </c>
      <c r="O204">
        <v>774</v>
      </c>
      <c r="P204">
        <v>774</v>
      </c>
      <c r="Q204">
        <v>2</v>
      </c>
    </row>
    <row r="205" spans="2:17" ht="13" hidden="1" thickBot="1">
      <c r="B205" t="s">
        <v>72</v>
      </c>
      <c r="C205">
        <v>4</v>
      </c>
      <c r="D205">
        <v>191863</v>
      </c>
      <c r="E205" t="s">
        <v>353</v>
      </c>
      <c r="F205" t="s">
        <v>356</v>
      </c>
      <c r="G205">
        <v>3</v>
      </c>
      <c r="J205">
        <v>0</v>
      </c>
      <c r="K205">
        <v>0</v>
      </c>
      <c r="N205">
        <v>0</v>
      </c>
      <c r="O205">
        <v>0</v>
      </c>
    </row>
    <row r="206" spans="2:17" ht="13" hidden="1" thickBot="1">
      <c r="B206" t="s">
        <v>72</v>
      </c>
      <c r="C206">
        <v>4</v>
      </c>
      <c r="D206">
        <v>194224</v>
      </c>
      <c r="E206" t="s">
        <v>357</v>
      </c>
      <c r="F206" t="s">
        <v>358</v>
      </c>
      <c r="G206">
        <v>2</v>
      </c>
      <c r="J206">
        <v>294</v>
      </c>
      <c r="K206">
        <v>78</v>
      </c>
      <c r="L206">
        <v>345</v>
      </c>
      <c r="M206">
        <v>1</v>
      </c>
      <c r="N206">
        <v>27</v>
      </c>
      <c r="O206" s="150">
        <v>1049</v>
      </c>
      <c r="P206">
        <v>60</v>
      </c>
      <c r="Q206">
        <v>1</v>
      </c>
    </row>
    <row r="207" spans="2:17" ht="13" hidden="1" thickBot="1">
      <c r="P207">
        <v>989</v>
      </c>
      <c r="Q207">
        <v>2</v>
      </c>
    </row>
    <row r="208" spans="2:17" ht="13" hidden="1" thickBot="1">
      <c r="B208" t="s">
        <v>72</v>
      </c>
      <c r="C208">
        <v>4</v>
      </c>
      <c r="D208">
        <v>127818</v>
      </c>
      <c r="E208" t="s">
        <v>359</v>
      </c>
      <c r="F208" t="s">
        <v>360</v>
      </c>
      <c r="G208">
        <v>1</v>
      </c>
      <c r="J208">
        <v>166</v>
      </c>
      <c r="K208">
        <v>0</v>
      </c>
      <c r="N208">
        <v>166</v>
      </c>
      <c r="O208">
        <v>0</v>
      </c>
    </row>
    <row r="209" spans="2:17" ht="13" hidden="1" thickBot="1">
      <c r="B209" t="s">
        <v>72</v>
      </c>
      <c r="C209">
        <v>4</v>
      </c>
      <c r="D209">
        <v>276012</v>
      </c>
      <c r="E209" t="s">
        <v>361</v>
      </c>
      <c r="F209" t="s">
        <v>362</v>
      </c>
      <c r="G209" t="s">
        <v>363</v>
      </c>
      <c r="I209">
        <v>5050</v>
      </c>
      <c r="J209">
        <v>36</v>
      </c>
      <c r="K209">
        <v>119</v>
      </c>
      <c r="L209">
        <v>140</v>
      </c>
      <c r="M209">
        <v>1</v>
      </c>
      <c r="N209">
        <v>15</v>
      </c>
      <c r="O209" s="150">
        <v>3425</v>
      </c>
      <c r="P209" s="150">
        <v>3425</v>
      </c>
      <c r="Q209">
        <v>2</v>
      </c>
    </row>
    <row r="210" spans="2:17" ht="13" hidden="1" thickBot="1">
      <c r="B210" t="s">
        <v>72</v>
      </c>
      <c r="C210">
        <v>4</v>
      </c>
      <c r="D210">
        <v>192315</v>
      </c>
      <c r="E210" t="s">
        <v>364</v>
      </c>
      <c r="F210" t="s">
        <v>365</v>
      </c>
      <c r="G210">
        <v>2</v>
      </c>
      <c r="J210">
        <v>0</v>
      </c>
      <c r="K210">
        <v>0</v>
      </c>
      <c r="N210">
        <v>0</v>
      </c>
      <c r="O210">
        <v>0</v>
      </c>
    </row>
    <row r="211" spans="2:17" ht="13" hidden="1" thickBot="1">
      <c r="B211" t="s">
        <v>72</v>
      </c>
      <c r="C211">
        <v>4</v>
      </c>
      <c r="D211">
        <v>140637</v>
      </c>
      <c r="E211" t="s">
        <v>366</v>
      </c>
      <c r="F211" t="s">
        <v>367</v>
      </c>
      <c r="G211">
        <v>1</v>
      </c>
      <c r="J211">
        <v>92</v>
      </c>
      <c r="K211">
        <v>0</v>
      </c>
      <c r="N211">
        <v>92</v>
      </c>
      <c r="O211">
        <v>0</v>
      </c>
    </row>
    <row r="212" spans="2:17" ht="13" hidden="1" thickBot="1">
      <c r="B212" t="s">
        <v>72</v>
      </c>
      <c r="C212">
        <v>4</v>
      </c>
      <c r="D212">
        <v>120373</v>
      </c>
      <c r="E212" t="s">
        <v>368</v>
      </c>
      <c r="F212" t="s">
        <v>369</v>
      </c>
      <c r="G212">
        <v>1</v>
      </c>
      <c r="J212">
        <v>0</v>
      </c>
      <c r="K212">
        <v>0</v>
      </c>
      <c r="N212">
        <v>0</v>
      </c>
      <c r="O212">
        <v>0</v>
      </c>
    </row>
    <row r="213" spans="2:17" ht="13" hidden="1" thickBot="1">
      <c r="B213" t="s">
        <v>89</v>
      </c>
      <c r="C213">
        <v>4</v>
      </c>
      <c r="D213">
        <v>14061</v>
      </c>
      <c r="E213" t="s">
        <v>370</v>
      </c>
      <c r="F213" t="s">
        <v>371</v>
      </c>
      <c r="J213">
        <v>254</v>
      </c>
      <c r="K213">
        <v>24</v>
      </c>
      <c r="L213">
        <v>161</v>
      </c>
      <c r="M213">
        <v>1</v>
      </c>
      <c r="N213">
        <v>117</v>
      </c>
      <c r="O213">
        <v>0</v>
      </c>
    </row>
    <row r="214" spans="2:17" ht="13" hidden="1" thickBot="1">
      <c r="B214" t="s">
        <v>72</v>
      </c>
      <c r="C214">
        <v>4</v>
      </c>
      <c r="D214">
        <v>195786</v>
      </c>
      <c r="E214" t="s">
        <v>372</v>
      </c>
      <c r="F214" t="s">
        <v>373</v>
      </c>
      <c r="G214">
        <v>2</v>
      </c>
      <c r="J214">
        <v>0</v>
      </c>
      <c r="K214">
        <v>0</v>
      </c>
      <c r="N214">
        <v>0</v>
      </c>
      <c r="O214">
        <v>0</v>
      </c>
    </row>
    <row r="215" spans="2:17" ht="13" hidden="1" thickBot="1">
      <c r="B215" t="s">
        <v>72</v>
      </c>
      <c r="C215">
        <v>4</v>
      </c>
      <c r="D215">
        <v>226100</v>
      </c>
      <c r="E215" t="s">
        <v>374</v>
      </c>
      <c r="F215" t="s">
        <v>338</v>
      </c>
      <c r="G215">
        <v>5</v>
      </c>
      <c r="J215">
        <v>0</v>
      </c>
      <c r="K215">
        <v>0</v>
      </c>
      <c r="N215">
        <v>0</v>
      </c>
      <c r="O215" s="150">
        <v>1035</v>
      </c>
      <c r="P215">
        <v>30</v>
      </c>
      <c r="Q215">
        <v>1</v>
      </c>
    </row>
    <row r="216" spans="2:17" ht="13" hidden="1" thickBot="1">
      <c r="P216" s="150">
        <v>1005</v>
      </c>
      <c r="Q216">
        <v>2</v>
      </c>
    </row>
    <row r="217" spans="2:17" ht="13" hidden="1" thickBot="1">
      <c r="B217" t="s">
        <v>72</v>
      </c>
      <c r="C217">
        <v>4</v>
      </c>
      <c r="D217">
        <v>233961</v>
      </c>
      <c r="E217" t="s">
        <v>374</v>
      </c>
      <c r="F217" t="s">
        <v>338</v>
      </c>
      <c r="G217">
        <v>3</v>
      </c>
      <c r="J217">
        <v>0</v>
      </c>
      <c r="K217">
        <v>0</v>
      </c>
      <c r="N217">
        <v>0</v>
      </c>
      <c r="O217" s="150">
        <v>2696</v>
      </c>
      <c r="P217">
        <v>120</v>
      </c>
      <c r="Q217">
        <v>1</v>
      </c>
    </row>
    <row r="218" spans="2:17" ht="13" hidden="1" thickBot="1">
      <c r="P218" s="150">
        <v>2576</v>
      </c>
      <c r="Q218">
        <v>2</v>
      </c>
    </row>
    <row r="219" spans="2:17" ht="13" hidden="1" thickBot="1">
      <c r="B219" t="s">
        <v>72</v>
      </c>
      <c r="C219">
        <v>4</v>
      </c>
      <c r="D219">
        <v>142434</v>
      </c>
      <c r="E219" t="s">
        <v>375</v>
      </c>
      <c r="F219" t="s">
        <v>376</v>
      </c>
      <c r="G219">
        <v>2</v>
      </c>
      <c r="J219">
        <v>49</v>
      </c>
      <c r="K219">
        <v>0</v>
      </c>
      <c r="N219">
        <v>49</v>
      </c>
      <c r="O219">
        <v>0</v>
      </c>
    </row>
    <row r="220" spans="2:17" ht="13" hidden="1" thickBot="1">
      <c r="B220" t="s">
        <v>72</v>
      </c>
      <c r="C220">
        <v>4</v>
      </c>
      <c r="D220">
        <v>142269</v>
      </c>
      <c r="E220" t="s">
        <v>377</v>
      </c>
      <c r="F220" t="s">
        <v>378</v>
      </c>
      <c r="G220">
        <v>1</v>
      </c>
      <c r="J220">
        <v>0</v>
      </c>
      <c r="K220">
        <v>0</v>
      </c>
      <c r="N220">
        <v>0</v>
      </c>
      <c r="O220">
        <v>0</v>
      </c>
    </row>
    <row r="221" spans="2:17" ht="13" hidden="1" thickBot="1">
      <c r="B221" t="s">
        <v>89</v>
      </c>
      <c r="C221">
        <v>4</v>
      </c>
      <c r="D221">
        <v>12803</v>
      </c>
      <c r="E221" t="s">
        <v>379</v>
      </c>
      <c r="F221" t="s">
        <v>380</v>
      </c>
      <c r="J221">
        <v>0</v>
      </c>
      <c r="K221">
        <v>0</v>
      </c>
      <c r="N221">
        <v>0</v>
      </c>
      <c r="O221">
        <v>0</v>
      </c>
    </row>
    <row r="222" spans="2:17" ht="13" hidden="1" thickBot="1">
      <c r="B222" t="s">
        <v>89</v>
      </c>
      <c r="C222">
        <v>4</v>
      </c>
      <c r="D222">
        <v>3212</v>
      </c>
      <c r="E222" t="s">
        <v>381</v>
      </c>
      <c r="F222" t="s">
        <v>382</v>
      </c>
      <c r="I222">
        <v>6114</v>
      </c>
      <c r="J222">
        <v>232</v>
      </c>
      <c r="K222">
        <v>0</v>
      </c>
      <c r="L222">
        <v>160</v>
      </c>
      <c r="M222">
        <v>1</v>
      </c>
      <c r="N222">
        <v>72</v>
      </c>
      <c r="O222">
        <v>0</v>
      </c>
    </row>
    <row r="223" spans="2:17" ht="13" hidden="1" thickBot="1">
      <c r="B223" t="s">
        <v>89</v>
      </c>
      <c r="C223">
        <v>4</v>
      </c>
      <c r="D223">
        <v>8717</v>
      </c>
      <c r="E223" t="s">
        <v>381</v>
      </c>
      <c r="F223" t="s">
        <v>383</v>
      </c>
      <c r="J223">
        <v>0</v>
      </c>
      <c r="K223">
        <v>0</v>
      </c>
      <c r="N223">
        <v>0</v>
      </c>
      <c r="O223">
        <v>0</v>
      </c>
    </row>
    <row r="224" spans="2:17" ht="13" hidden="1" thickBot="1">
      <c r="B224" t="s">
        <v>72</v>
      </c>
      <c r="C224">
        <v>4</v>
      </c>
      <c r="D224">
        <v>190124</v>
      </c>
      <c r="E224" t="s">
        <v>384</v>
      </c>
      <c r="F224" t="s">
        <v>385</v>
      </c>
      <c r="G224">
        <v>4</v>
      </c>
      <c r="J224">
        <v>0</v>
      </c>
      <c r="K224">
        <v>0</v>
      </c>
      <c r="N224">
        <v>0</v>
      </c>
      <c r="O224">
        <v>0</v>
      </c>
    </row>
    <row r="225" spans="1:17" ht="13" hidden="1" thickBot="1">
      <c r="B225" t="s">
        <v>89</v>
      </c>
      <c r="C225">
        <v>4</v>
      </c>
      <c r="D225">
        <v>13668</v>
      </c>
      <c r="E225" t="s">
        <v>386</v>
      </c>
      <c r="F225" t="s">
        <v>387</v>
      </c>
      <c r="I225">
        <v>6114</v>
      </c>
      <c r="J225">
        <v>0</v>
      </c>
      <c r="K225">
        <v>0</v>
      </c>
      <c r="N225">
        <v>0</v>
      </c>
      <c r="O225">
        <v>0</v>
      </c>
    </row>
    <row r="226" spans="1:17" ht="13" hidden="1" thickBot="1">
      <c r="B226" t="s">
        <v>89</v>
      </c>
      <c r="C226">
        <v>4</v>
      </c>
      <c r="D226">
        <v>13664</v>
      </c>
      <c r="E226" t="s">
        <v>388</v>
      </c>
      <c r="F226" t="s">
        <v>389</v>
      </c>
      <c r="J226">
        <v>64</v>
      </c>
      <c r="K226">
        <v>0</v>
      </c>
      <c r="N226">
        <v>64</v>
      </c>
      <c r="O226">
        <v>0</v>
      </c>
    </row>
    <row r="227" spans="1:17" ht="13" hidden="1" thickBot="1">
      <c r="B227" t="s">
        <v>72</v>
      </c>
      <c r="C227">
        <v>4</v>
      </c>
      <c r="D227">
        <v>66093</v>
      </c>
      <c r="E227" t="s">
        <v>390</v>
      </c>
      <c r="F227" t="s">
        <v>385</v>
      </c>
      <c r="G227" t="s">
        <v>391</v>
      </c>
      <c r="I227">
        <v>5050</v>
      </c>
      <c r="J227">
        <v>204</v>
      </c>
      <c r="K227">
        <v>0</v>
      </c>
      <c r="L227">
        <v>18</v>
      </c>
      <c r="M227">
        <v>1</v>
      </c>
      <c r="N227">
        <v>186</v>
      </c>
      <c r="O227">
        <v>605</v>
      </c>
      <c r="P227">
        <v>20</v>
      </c>
      <c r="Q227">
        <v>1</v>
      </c>
    </row>
    <row r="228" spans="1:17" ht="13" hidden="1" thickBot="1">
      <c r="P228">
        <v>585</v>
      </c>
      <c r="Q228">
        <v>2</v>
      </c>
    </row>
    <row r="229" spans="1:17" ht="13" hidden="1" thickBot="1">
      <c r="B229" t="s">
        <v>89</v>
      </c>
      <c r="C229">
        <v>4</v>
      </c>
      <c r="D229">
        <v>12360</v>
      </c>
      <c r="E229" t="s">
        <v>392</v>
      </c>
      <c r="F229" t="s">
        <v>393</v>
      </c>
      <c r="J229">
        <v>63</v>
      </c>
      <c r="K229">
        <v>0</v>
      </c>
      <c r="N229">
        <v>63</v>
      </c>
      <c r="O229">
        <v>0</v>
      </c>
    </row>
    <row r="230" spans="1:17" ht="15" thickTop="1">
      <c r="A230" s="237" t="s">
        <v>625</v>
      </c>
      <c r="B230" s="223"/>
      <c r="C230" s="223"/>
      <c r="D230" s="223"/>
      <c r="E230" s="223">
        <f>SUBTOTAL(103,Table1[Field Name])</f>
        <v>6</v>
      </c>
      <c r="F230" s="223">
        <f>SUBTOTAL(103,Table1[Lease Name])</f>
        <v>6</v>
      </c>
      <c r="G230" s="223"/>
      <c r="H230" s="223"/>
      <c r="I230" s="223"/>
      <c r="J230" s="238">
        <f>SUBTOTAL(109,Table1[On Hand Beginning of Month])</f>
        <v>591</v>
      </c>
      <c r="K230" s="223">
        <f>SUBTOTAL(109,Table1[Production])</f>
        <v>341</v>
      </c>
      <c r="L230" s="223">
        <f>SUBTOTAL(109,Table1[Volume])</f>
        <v>570</v>
      </c>
      <c r="M230" s="223"/>
      <c r="N230" s="223">
        <f>SUBTOTAL(109,Table1[On Hand End of Month])</f>
        <v>362</v>
      </c>
      <c r="O230" s="238">
        <f>SUBTOTAL(109,Table1[Formation Production])</f>
        <v>280</v>
      </c>
      <c r="P230" s="223">
        <f>SUBTOTAL(109,Table1[Volume2])</f>
        <v>60</v>
      </c>
      <c r="Q230" s="239"/>
    </row>
  </sheetData>
  <pageMargins left="0.7" right="0.7" top="0.75" bottom="0.75" header="0.3" footer="0.3"/>
  <pageSetup orientation="portrait" horizontalDpi="1200" verticalDpi="1200"/>
  <tableParts count="1">
    <tablePart r:id="rId1"/>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4:J7"/>
  <sheetViews>
    <sheetView workbookViewId="0">
      <selection activeCell="J16" sqref="J16"/>
    </sheetView>
  </sheetViews>
  <sheetFormatPr baseColWidth="10" defaultColWidth="12" defaultRowHeight="12" x14ac:dyDescent="0"/>
  <cols>
    <col min="3" max="3" width="21.33203125" customWidth="1"/>
    <col min="4" max="4" width="14.6640625" bestFit="1" customWidth="1"/>
    <col min="9" max="9" width="36.83203125" customWidth="1"/>
  </cols>
  <sheetData>
    <row r="4" spans="2:10" ht="36">
      <c r="B4" s="203" t="s">
        <v>1115</v>
      </c>
      <c r="C4" s="204" t="s">
        <v>47</v>
      </c>
      <c r="D4" s="204" t="s">
        <v>48</v>
      </c>
      <c r="E4" s="204" t="s">
        <v>604</v>
      </c>
      <c r="F4" s="204" t="s">
        <v>7</v>
      </c>
      <c r="G4" s="204" t="s">
        <v>8</v>
      </c>
      <c r="H4" s="215" t="s">
        <v>602</v>
      </c>
      <c r="I4" s="204" t="s">
        <v>1274</v>
      </c>
      <c r="J4" s="231" t="s">
        <v>1275</v>
      </c>
    </row>
    <row r="5" spans="2:10" ht="28">
      <c r="B5" s="209" t="e">
        <v>#N/A</v>
      </c>
      <c r="C5" s="210" t="s">
        <v>84</v>
      </c>
      <c r="D5" s="211" t="s">
        <v>86</v>
      </c>
      <c r="E5" s="212">
        <v>1</v>
      </c>
      <c r="F5" s="216" t="s">
        <v>617</v>
      </c>
      <c r="G5" s="216" t="s">
        <v>59</v>
      </c>
      <c r="H5" s="217" t="s">
        <v>420</v>
      </c>
      <c r="I5" s="214" t="s">
        <v>1272</v>
      </c>
      <c r="J5" s="232">
        <v>43862</v>
      </c>
    </row>
    <row r="6" spans="2:10" ht="28">
      <c r="B6" s="208" t="e">
        <v>#N/A</v>
      </c>
      <c r="C6" s="205" t="s">
        <v>185</v>
      </c>
      <c r="D6" s="206" t="s">
        <v>186</v>
      </c>
      <c r="E6" s="207">
        <v>1</v>
      </c>
      <c r="F6" s="218" t="s">
        <v>618</v>
      </c>
      <c r="G6" s="218" t="s">
        <v>59</v>
      </c>
      <c r="H6" s="219" t="s">
        <v>481</v>
      </c>
      <c r="I6" s="213" t="s">
        <v>1272</v>
      </c>
      <c r="J6" s="232">
        <v>43862</v>
      </c>
    </row>
    <row r="7" spans="2:10" ht="28">
      <c r="B7" s="209" t="e">
        <v>#N/A</v>
      </c>
      <c r="C7" s="210" t="s">
        <v>209</v>
      </c>
      <c r="D7" s="211" t="s">
        <v>213</v>
      </c>
      <c r="E7" s="212">
        <v>1</v>
      </c>
      <c r="F7" s="216" t="s">
        <v>618</v>
      </c>
      <c r="G7" s="216" t="s">
        <v>59</v>
      </c>
      <c r="H7" s="217" t="s">
        <v>493</v>
      </c>
      <c r="I7" s="214" t="s">
        <v>1272</v>
      </c>
      <c r="J7" s="232">
        <v>43862</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6" filterMode="1" enableFormatConditionsCalculation="0">
    <pageSetUpPr fitToPage="1"/>
  </sheetPr>
  <dimension ref="A1:O78"/>
  <sheetViews>
    <sheetView showGridLines="0" topLeftCell="A4" zoomScale="70" zoomScaleNormal="70" zoomScalePageLayoutView="70" workbookViewId="0">
      <selection activeCell="C79" sqref="C79"/>
    </sheetView>
  </sheetViews>
  <sheetFormatPr baseColWidth="10" defaultColWidth="8.83203125" defaultRowHeight="21" x14ac:dyDescent="0"/>
  <cols>
    <col min="1" max="1" width="32.6640625" style="38" customWidth="1"/>
    <col min="2" max="2" width="13.6640625" style="38" customWidth="1"/>
    <col min="3" max="3" width="64.5" style="38" customWidth="1"/>
    <col min="4" max="4" width="16.1640625" style="38" customWidth="1"/>
    <col min="5" max="7" width="14.6640625" style="38" customWidth="1"/>
    <col min="8" max="9" width="17.33203125" style="39" customWidth="1"/>
    <col min="10" max="10" width="15" style="38" customWidth="1"/>
    <col min="11" max="11" width="16.6640625" style="40" customWidth="1"/>
    <col min="12" max="14" width="15.83203125" style="40" customWidth="1"/>
    <col min="15" max="15" width="26.5" style="40" bestFit="1" customWidth="1"/>
    <col min="16" max="18" width="8.83203125" style="40"/>
    <col min="19" max="19" width="34.6640625" style="40" customWidth="1"/>
    <col min="20" max="254" width="8.83203125" style="40"/>
    <col min="255" max="255" width="32.6640625" style="40" customWidth="1"/>
    <col min="256" max="256" width="13.6640625" style="40" customWidth="1"/>
    <col min="257" max="257" width="64.5" style="40" customWidth="1"/>
    <col min="258" max="258" width="16.1640625" style="40" customWidth="1"/>
    <col min="259" max="261" width="14.6640625" style="40" customWidth="1"/>
    <col min="262" max="263" width="17.33203125" style="40" customWidth="1"/>
    <col min="264" max="264" width="15" style="40" customWidth="1"/>
    <col min="265" max="265" width="16.6640625" style="40" customWidth="1"/>
    <col min="266" max="268" width="15.83203125" style="40" customWidth="1"/>
    <col min="269" max="274" width="8.83203125" style="40"/>
    <col min="275" max="275" width="34.6640625" style="40" customWidth="1"/>
    <col min="276" max="510" width="8.83203125" style="40"/>
    <col min="511" max="511" width="32.6640625" style="40" customWidth="1"/>
    <col min="512" max="512" width="13.6640625" style="40" customWidth="1"/>
    <col min="513" max="513" width="64.5" style="40" customWidth="1"/>
    <col min="514" max="514" width="16.1640625" style="40" customWidth="1"/>
    <col min="515" max="517" width="14.6640625" style="40" customWidth="1"/>
    <col min="518" max="519" width="17.33203125" style="40" customWidth="1"/>
    <col min="520" max="520" width="15" style="40" customWidth="1"/>
    <col min="521" max="521" width="16.6640625" style="40" customWidth="1"/>
    <col min="522" max="524" width="15.83203125" style="40" customWidth="1"/>
    <col min="525" max="530" width="8.83203125" style="40"/>
    <col min="531" max="531" width="34.6640625" style="40" customWidth="1"/>
    <col min="532" max="766" width="8.83203125" style="40"/>
    <col min="767" max="767" width="32.6640625" style="40" customWidth="1"/>
    <col min="768" max="768" width="13.6640625" style="40" customWidth="1"/>
    <col min="769" max="769" width="64.5" style="40" customWidth="1"/>
    <col min="770" max="770" width="16.1640625" style="40" customWidth="1"/>
    <col min="771" max="773" width="14.6640625" style="40" customWidth="1"/>
    <col min="774" max="775" width="17.33203125" style="40" customWidth="1"/>
    <col min="776" max="776" width="15" style="40" customWidth="1"/>
    <col min="777" max="777" width="16.6640625" style="40" customWidth="1"/>
    <col min="778" max="780" width="15.83203125" style="40" customWidth="1"/>
    <col min="781" max="786" width="8.83203125" style="40"/>
    <col min="787" max="787" width="34.6640625" style="40" customWidth="1"/>
    <col min="788" max="1022" width="8.83203125" style="40"/>
    <col min="1023" max="1023" width="32.6640625" style="40" customWidth="1"/>
    <col min="1024" max="1024" width="13.6640625" style="40" customWidth="1"/>
    <col min="1025" max="1025" width="64.5" style="40" customWidth="1"/>
    <col min="1026" max="1026" width="16.1640625" style="40" customWidth="1"/>
    <col min="1027" max="1029" width="14.6640625" style="40" customWidth="1"/>
    <col min="1030" max="1031" width="17.33203125" style="40" customWidth="1"/>
    <col min="1032" max="1032" width="15" style="40" customWidth="1"/>
    <col min="1033" max="1033" width="16.6640625" style="40" customWidth="1"/>
    <col min="1034" max="1036" width="15.83203125" style="40" customWidth="1"/>
    <col min="1037" max="1042" width="8.83203125" style="40"/>
    <col min="1043" max="1043" width="34.6640625" style="40" customWidth="1"/>
    <col min="1044" max="1278" width="8.83203125" style="40"/>
    <col min="1279" max="1279" width="32.6640625" style="40" customWidth="1"/>
    <col min="1280" max="1280" width="13.6640625" style="40" customWidth="1"/>
    <col min="1281" max="1281" width="64.5" style="40" customWidth="1"/>
    <col min="1282" max="1282" width="16.1640625" style="40" customWidth="1"/>
    <col min="1283" max="1285" width="14.6640625" style="40" customWidth="1"/>
    <col min="1286" max="1287" width="17.33203125" style="40" customWidth="1"/>
    <col min="1288" max="1288" width="15" style="40" customWidth="1"/>
    <col min="1289" max="1289" width="16.6640625" style="40" customWidth="1"/>
    <col min="1290" max="1292" width="15.83203125" style="40" customWidth="1"/>
    <col min="1293" max="1298" width="8.83203125" style="40"/>
    <col min="1299" max="1299" width="34.6640625" style="40" customWidth="1"/>
    <col min="1300" max="1534" width="8.83203125" style="40"/>
    <col min="1535" max="1535" width="32.6640625" style="40" customWidth="1"/>
    <col min="1536" max="1536" width="13.6640625" style="40" customWidth="1"/>
    <col min="1537" max="1537" width="64.5" style="40" customWidth="1"/>
    <col min="1538" max="1538" width="16.1640625" style="40" customWidth="1"/>
    <col min="1539" max="1541" width="14.6640625" style="40" customWidth="1"/>
    <col min="1542" max="1543" width="17.33203125" style="40" customWidth="1"/>
    <col min="1544" max="1544" width="15" style="40" customWidth="1"/>
    <col min="1545" max="1545" width="16.6640625" style="40" customWidth="1"/>
    <col min="1546" max="1548" width="15.83203125" style="40" customWidth="1"/>
    <col min="1549" max="1554" width="8.83203125" style="40"/>
    <col min="1555" max="1555" width="34.6640625" style="40" customWidth="1"/>
    <col min="1556" max="1790" width="8.83203125" style="40"/>
    <col min="1791" max="1791" width="32.6640625" style="40" customWidth="1"/>
    <col min="1792" max="1792" width="13.6640625" style="40" customWidth="1"/>
    <col min="1793" max="1793" width="64.5" style="40" customWidth="1"/>
    <col min="1794" max="1794" width="16.1640625" style="40" customWidth="1"/>
    <col min="1795" max="1797" width="14.6640625" style="40" customWidth="1"/>
    <col min="1798" max="1799" width="17.33203125" style="40" customWidth="1"/>
    <col min="1800" max="1800" width="15" style="40" customWidth="1"/>
    <col min="1801" max="1801" width="16.6640625" style="40" customWidth="1"/>
    <col min="1802" max="1804" width="15.83203125" style="40" customWidth="1"/>
    <col min="1805" max="1810" width="8.83203125" style="40"/>
    <col min="1811" max="1811" width="34.6640625" style="40" customWidth="1"/>
    <col min="1812" max="2046" width="8.83203125" style="40"/>
    <col min="2047" max="2047" width="32.6640625" style="40" customWidth="1"/>
    <col min="2048" max="2048" width="13.6640625" style="40" customWidth="1"/>
    <col min="2049" max="2049" width="64.5" style="40" customWidth="1"/>
    <col min="2050" max="2050" width="16.1640625" style="40" customWidth="1"/>
    <col min="2051" max="2053" width="14.6640625" style="40" customWidth="1"/>
    <col min="2054" max="2055" width="17.33203125" style="40" customWidth="1"/>
    <col min="2056" max="2056" width="15" style="40" customWidth="1"/>
    <col min="2057" max="2057" width="16.6640625" style="40" customWidth="1"/>
    <col min="2058" max="2060" width="15.83203125" style="40" customWidth="1"/>
    <col min="2061" max="2066" width="8.83203125" style="40"/>
    <col min="2067" max="2067" width="34.6640625" style="40" customWidth="1"/>
    <col min="2068" max="2302" width="8.83203125" style="40"/>
    <col min="2303" max="2303" width="32.6640625" style="40" customWidth="1"/>
    <col min="2304" max="2304" width="13.6640625" style="40" customWidth="1"/>
    <col min="2305" max="2305" width="64.5" style="40" customWidth="1"/>
    <col min="2306" max="2306" width="16.1640625" style="40" customWidth="1"/>
    <col min="2307" max="2309" width="14.6640625" style="40" customWidth="1"/>
    <col min="2310" max="2311" width="17.33203125" style="40" customWidth="1"/>
    <col min="2312" max="2312" width="15" style="40" customWidth="1"/>
    <col min="2313" max="2313" width="16.6640625" style="40" customWidth="1"/>
    <col min="2314" max="2316" width="15.83203125" style="40" customWidth="1"/>
    <col min="2317" max="2322" width="8.83203125" style="40"/>
    <col min="2323" max="2323" width="34.6640625" style="40" customWidth="1"/>
    <col min="2324" max="2558" width="8.83203125" style="40"/>
    <col min="2559" max="2559" width="32.6640625" style="40" customWidth="1"/>
    <col min="2560" max="2560" width="13.6640625" style="40" customWidth="1"/>
    <col min="2561" max="2561" width="64.5" style="40" customWidth="1"/>
    <col min="2562" max="2562" width="16.1640625" style="40" customWidth="1"/>
    <col min="2563" max="2565" width="14.6640625" style="40" customWidth="1"/>
    <col min="2566" max="2567" width="17.33203125" style="40" customWidth="1"/>
    <col min="2568" max="2568" width="15" style="40" customWidth="1"/>
    <col min="2569" max="2569" width="16.6640625" style="40" customWidth="1"/>
    <col min="2570" max="2572" width="15.83203125" style="40" customWidth="1"/>
    <col min="2573" max="2578" width="8.83203125" style="40"/>
    <col min="2579" max="2579" width="34.6640625" style="40" customWidth="1"/>
    <col min="2580" max="2814" width="8.83203125" style="40"/>
    <col min="2815" max="2815" width="32.6640625" style="40" customWidth="1"/>
    <col min="2816" max="2816" width="13.6640625" style="40" customWidth="1"/>
    <col min="2817" max="2817" width="64.5" style="40" customWidth="1"/>
    <col min="2818" max="2818" width="16.1640625" style="40" customWidth="1"/>
    <col min="2819" max="2821" width="14.6640625" style="40" customWidth="1"/>
    <col min="2822" max="2823" width="17.33203125" style="40" customWidth="1"/>
    <col min="2824" max="2824" width="15" style="40" customWidth="1"/>
    <col min="2825" max="2825" width="16.6640625" style="40" customWidth="1"/>
    <col min="2826" max="2828" width="15.83203125" style="40" customWidth="1"/>
    <col min="2829" max="2834" width="8.83203125" style="40"/>
    <col min="2835" max="2835" width="34.6640625" style="40" customWidth="1"/>
    <col min="2836" max="3070" width="8.83203125" style="40"/>
    <col min="3071" max="3071" width="32.6640625" style="40" customWidth="1"/>
    <col min="3072" max="3072" width="13.6640625" style="40" customWidth="1"/>
    <col min="3073" max="3073" width="64.5" style="40" customWidth="1"/>
    <col min="3074" max="3074" width="16.1640625" style="40" customWidth="1"/>
    <col min="3075" max="3077" width="14.6640625" style="40" customWidth="1"/>
    <col min="3078" max="3079" width="17.33203125" style="40" customWidth="1"/>
    <col min="3080" max="3080" width="15" style="40" customWidth="1"/>
    <col min="3081" max="3081" width="16.6640625" style="40" customWidth="1"/>
    <col min="3082" max="3084" width="15.83203125" style="40" customWidth="1"/>
    <col min="3085" max="3090" width="8.83203125" style="40"/>
    <col min="3091" max="3091" width="34.6640625" style="40" customWidth="1"/>
    <col min="3092" max="3326" width="8.83203125" style="40"/>
    <col min="3327" max="3327" width="32.6640625" style="40" customWidth="1"/>
    <col min="3328" max="3328" width="13.6640625" style="40" customWidth="1"/>
    <col min="3329" max="3329" width="64.5" style="40" customWidth="1"/>
    <col min="3330" max="3330" width="16.1640625" style="40" customWidth="1"/>
    <col min="3331" max="3333" width="14.6640625" style="40" customWidth="1"/>
    <col min="3334" max="3335" width="17.33203125" style="40" customWidth="1"/>
    <col min="3336" max="3336" width="15" style="40" customWidth="1"/>
    <col min="3337" max="3337" width="16.6640625" style="40" customWidth="1"/>
    <col min="3338" max="3340" width="15.83203125" style="40" customWidth="1"/>
    <col min="3341" max="3346" width="8.83203125" style="40"/>
    <col min="3347" max="3347" width="34.6640625" style="40" customWidth="1"/>
    <col min="3348" max="3582" width="8.83203125" style="40"/>
    <col min="3583" max="3583" width="32.6640625" style="40" customWidth="1"/>
    <col min="3584" max="3584" width="13.6640625" style="40" customWidth="1"/>
    <col min="3585" max="3585" width="64.5" style="40" customWidth="1"/>
    <col min="3586" max="3586" width="16.1640625" style="40" customWidth="1"/>
    <col min="3587" max="3589" width="14.6640625" style="40" customWidth="1"/>
    <col min="3590" max="3591" width="17.33203125" style="40" customWidth="1"/>
    <col min="3592" max="3592" width="15" style="40" customWidth="1"/>
    <col min="3593" max="3593" width="16.6640625" style="40" customWidth="1"/>
    <col min="3594" max="3596" width="15.83203125" style="40" customWidth="1"/>
    <col min="3597" max="3602" width="8.83203125" style="40"/>
    <col min="3603" max="3603" width="34.6640625" style="40" customWidth="1"/>
    <col min="3604" max="3838" width="8.83203125" style="40"/>
    <col min="3839" max="3839" width="32.6640625" style="40" customWidth="1"/>
    <col min="3840" max="3840" width="13.6640625" style="40" customWidth="1"/>
    <col min="3841" max="3841" width="64.5" style="40" customWidth="1"/>
    <col min="3842" max="3842" width="16.1640625" style="40" customWidth="1"/>
    <col min="3843" max="3845" width="14.6640625" style="40" customWidth="1"/>
    <col min="3846" max="3847" width="17.33203125" style="40" customWidth="1"/>
    <col min="3848" max="3848" width="15" style="40" customWidth="1"/>
    <col min="3849" max="3849" width="16.6640625" style="40" customWidth="1"/>
    <col min="3850" max="3852" width="15.83203125" style="40" customWidth="1"/>
    <col min="3853" max="3858" width="8.83203125" style="40"/>
    <col min="3859" max="3859" width="34.6640625" style="40" customWidth="1"/>
    <col min="3860" max="4094" width="8.83203125" style="40"/>
    <col min="4095" max="4095" width="32.6640625" style="40" customWidth="1"/>
    <col min="4096" max="4096" width="13.6640625" style="40" customWidth="1"/>
    <col min="4097" max="4097" width="64.5" style="40" customWidth="1"/>
    <col min="4098" max="4098" width="16.1640625" style="40" customWidth="1"/>
    <col min="4099" max="4101" width="14.6640625" style="40" customWidth="1"/>
    <col min="4102" max="4103" width="17.33203125" style="40" customWidth="1"/>
    <col min="4104" max="4104" width="15" style="40" customWidth="1"/>
    <col min="4105" max="4105" width="16.6640625" style="40" customWidth="1"/>
    <col min="4106" max="4108" width="15.83203125" style="40" customWidth="1"/>
    <col min="4109" max="4114" width="8.83203125" style="40"/>
    <col min="4115" max="4115" width="34.6640625" style="40" customWidth="1"/>
    <col min="4116" max="4350" width="8.83203125" style="40"/>
    <col min="4351" max="4351" width="32.6640625" style="40" customWidth="1"/>
    <col min="4352" max="4352" width="13.6640625" style="40" customWidth="1"/>
    <col min="4353" max="4353" width="64.5" style="40" customWidth="1"/>
    <col min="4354" max="4354" width="16.1640625" style="40" customWidth="1"/>
    <col min="4355" max="4357" width="14.6640625" style="40" customWidth="1"/>
    <col min="4358" max="4359" width="17.33203125" style="40" customWidth="1"/>
    <col min="4360" max="4360" width="15" style="40" customWidth="1"/>
    <col min="4361" max="4361" width="16.6640625" style="40" customWidth="1"/>
    <col min="4362" max="4364" width="15.83203125" style="40" customWidth="1"/>
    <col min="4365" max="4370" width="8.83203125" style="40"/>
    <col min="4371" max="4371" width="34.6640625" style="40" customWidth="1"/>
    <col min="4372" max="4606" width="8.83203125" style="40"/>
    <col min="4607" max="4607" width="32.6640625" style="40" customWidth="1"/>
    <col min="4608" max="4608" width="13.6640625" style="40" customWidth="1"/>
    <col min="4609" max="4609" width="64.5" style="40" customWidth="1"/>
    <col min="4610" max="4610" width="16.1640625" style="40" customWidth="1"/>
    <col min="4611" max="4613" width="14.6640625" style="40" customWidth="1"/>
    <col min="4614" max="4615" width="17.33203125" style="40" customWidth="1"/>
    <col min="4616" max="4616" width="15" style="40" customWidth="1"/>
    <col min="4617" max="4617" width="16.6640625" style="40" customWidth="1"/>
    <col min="4618" max="4620" width="15.83203125" style="40" customWidth="1"/>
    <col min="4621" max="4626" width="8.83203125" style="40"/>
    <col min="4627" max="4627" width="34.6640625" style="40" customWidth="1"/>
    <col min="4628" max="4862" width="8.83203125" style="40"/>
    <col min="4863" max="4863" width="32.6640625" style="40" customWidth="1"/>
    <col min="4864" max="4864" width="13.6640625" style="40" customWidth="1"/>
    <col min="4865" max="4865" width="64.5" style="40" customWidth="1"/>
    <col min="4866" max="4866" width="16.1640625" style="40" customWidth="1"/>
    <col min="4867" max="4869" width="14.6640625" style="40" customWidth="1"/>
    <col min="4870" max="4871" width="17.33203125" style="40" customWidth="1"/>
    <col min="4872" max="4872" width="15" style="40" customWidth="1"/>
    <col min="4873" max="4873" width="16.6640625" style="40" customWidth="1"/>
    <col min="4874" max="4876" width="15.83203125" style="40" customWidth="1"/>
    <col min="4877" max="4882" width="8.83203125" style="40"/>
    <col min="4883" max="4883" width="34.6640625" style="40" customWidth="1"/>
    <col min="4884" max="5118" width="8.83203125" style="40"/>
    <col min="5119" max="5119" width="32.6640625" style="40" customWidth="1"/>
    <col min="5120" max="5120" width="13.6640625" style="40" customWidth="1"/>
    <col min="5121" max="5121" width="64.5" style="40" customWidth="1"/>
    <col min="5122" max="5122" width="16.1640625" style="40" customWidth="1"/>
    <col min="5123" max="5125" width="14.6640625" style="40" customWidth="1"/>
    <col min="5126" max="5127" width="17.33203125" style="40" customWidth="1"/>
    <col min="5128" max="5128" width="15" style="40" customWidth="1"/>
    <col min="5129" max="5129" width="16.6640625" style="40" customWidth="1"/>
    <col min="5130" max="5132" width="15.83203125" style="40" customWidth="1"/>
    <col min="5133" max="5138" width="8.83203125" style="40"/>
    <col min="5139" max="5139" width="34.6640625" style="40" customWidth="1"/>
    <col min="5140" max="5374" width="8.83203125" style="40"/>
    <col min="5375" max="5375" width="32.6640625" style="40" customWidth="1"/>
    <col min="5376" max="5376" width="13.6640625" style="40" customWidth="1"/>
    <col min="5377" max="5377" width="64.5" style="40" customWidth="1"/>
    <col min="5378" max="5378" width="16.1640625" style="40" customWidth="1"/>
    <col min="5379" max="5381" width="14.6640625" style="40" customWidth="1"/>
    <col min="5382" max="5383" width="17.33203125" style="40" customWidth="1"/>
    <col min="5384" max="5384" width="15" style="40" customWidth="1"/>
    <col min="5385" max="5385" width="16.6640625" style="40" customWidth="1"/>
    <col min="5386" max="5388" width="15.83203125" style="40" customWidth="1"/>
    <col min="5389" max="5394" width="8.83203125" style="40"/>
    <col min="5395" max="5395" width="34.6640625" style="40" customWidth="1"/>
    <col min="5396" max="5630" width="8.83203125" style="40"/>
    <col min="5631" max="5631" width="32.6640625" style="40" customWidth="1"/>
    <col min="5632" max="5632" width="13.6640625" style="40" customWidth="1"/>
    <col min="5633" max="5633" width="64.5" style="40" customWidth="1"/>
    <col min="5634" max="5634" width="16.1640625" style="40" customWidth="1"/>
    <col min="5635" max="5637" width="14.6640625" style="40" customWidth="1"/>
    <col min="5638" max="5639" width="17.33203125" style="40" customWidth="1"/>
    <col min="5640" max="5640" width="15" style="40" customWidth="1"/>
    <col min="5641" max="5641" width="16.6640625" style="40" customWidth="1"/>
    <col min="5642" max="5644" width="15.83203125" style="40" customWidth="1"/>
    <col min="5645" max="5650" width="8.83203125" style="40"/>
    <col min="5651" max="5651" width="34.6640625" style="40" customWidth="1"/>
    <col min="5652" max="5886" width="8.83203125" style="40"/>
    <col min="5887" max="5887" width="32.6640625" style="40" customWidth="1"/>
    <col min="5888" max="5888" width="13.6640625" style="40" customWidth="1"/>
    <col min="5889" max="5889" width="64.5" style="40" customWidth="1"/>
    <col min="5890" max="5890" width="16.1640625" style="40" customWidth="1"/>
    <col min="5891" max="5893" width="14.6640625" style="40" customWidth="1"/>
    <col min="5894" max="5895" width="17.33203125" style="40" customWidth="1"/>
    <col min="5896" max="5896" width="15" style="40" customWidth="1"/>
    <col min="5897" max="5897" width="16.6640625" style="40" customWidth="1"/>
    <col min="5898" max="5900" width="15.83203125" style="40" customWidth="1"/>
    <col min="5901" max="5906" width="8.83203125" style="40"/>
    <col min="5907" max="5907" width="34.6640625" style="40" customWidth="1"/>
    <col min="5908" max="6142" width="8.83203125" style="40"/>
    <col min="6143" max="6143" width="32.6640625" style="40" customWidth="1"/>
    <col min="6144" max="6144" width="13.6640625" style="40" customWidth="1"/>
    <col min="6145" max="6145" width="64.5" style="40" customWidth="1"/>
    <col min="6146" max="6146" width="16.1640625" style="40" customWidth="1"/>
    <col min="6147" max="6149" width="14.6640625" style="40" customWidth="1"/>
    <col min="6150" max="6151" width="17.33203125" style="40" customWidth="1"/>
    <col min="6152" max="6152" width="15" style="40" customWidth="1"/>
    <col min="6153" max="6153" width="16.6640625" style="40" customWidth="1"/>
    <col min="6154" max="6156" width="15.83203125" style="40" customWidth="1"/>
    <col min="6157" max="6162" width="8.83203125" style="40"/>
    <col min="6163" max="6163" width="34.6640625" style="40" customWidth="1"/>
    <col min="6164" max="6398" width="8.83203125" style="40"/>
    <col min="6399" max="6399" width="32.6640625" style="40" customWidth="1"/>
    <col min="6400" max="6400" width="13.6640625" style="40" customWidth="1"/>
    <col min="6401" max="6401" width="64.5" style="40" customWidth="1"/>
    <col min="6402" max="6402" width="16.1640625" style="40" customWidth="1"/>
    <col min="6403" max="6405" width="14.6640625" style="40" customWidth="1"/>
    <col min="6406" max="6407" width="17.33203125" style="40" customWidth="1"/>
    <col min="6408" max="6408" width="15" style="40" customWidth="1"/>
    <col min="6409" max="6409" width="16.6640625" style="40" customWidth="1"/>
    <col min="6410" max="6412" width="15.83203125" style="40" customWidth="1"/>
    <col min="6413" max="6418" width="8.83203125" style="40"/>
    <col min="6419" max="6419" width="34.6640625" style="40" customWidth="1"/>
    <col min="6420" max="6654" width="8.83203125" style="40"/>
    <col min="6655" max="6655" width="32.6640625" style="40" customWidth="1"/>
    <col min="6656" max="6656" width="13.6640625" style="40" customWidth="1"/>
    <col min="6657" max="6657" width="64.5" style="40" customWidth="1"/>
    <col min="6658" max="6658" width="16.1640625" style="40" customWidth="1"/>
    <col min="6659" max="6661" width="14.6640625" style="40" customWidth="1"/>
    <col min="6662" max="6663" width="17.33203125" style="40" customWidth="1"/>
    <col min="6664" max="6664" width="15" style="40" customWidth="1"/>
    <col min="6665" max="6665" width="16.6640625" style="40" customWidth="1"/>
    <col min="6666" max="6668" width="15.83203125" style="40" customWidth="1"/>
    <col min="6669" max="6674" width="8.83203125" style="40"/>
    <col min="6675" max="6675" width="34.6640625" style="40" customWidth="1"/>
    <col min="6676" max="6910" width="8.83203125" style="40"/>
    <col min="6911" max="6911" width="32.6640625" style="40" customWidth="1"/>
    <col min="6912" max="6912" width="13.6640625" style="40" customWidth="1"/>
    <col min="6913" max="6913" width="64.5" style="40" customWidth="1"/>
    <col min="6914" max="6914" width="16.1640625" style="40" customWidth="1"/>
    <col min="6915" max="6917" width="14.6640625" style="40" customWidth="1"/>
    <col min="6918" max="6919" width="17.33203125" style="40" customWidth="1"/>
    <col min="6920" max="6920" width="15" style="40" customWidth="1"/>
    <col min="6921" max="6921" width="16.6640625" style="40" customWidth="1"/>
    <col min="6922" max="6924" width="15.83203125" style="40" customWidth="1"/>
    <col min="6925" max="6930" width="8.83203125" style="40"/>
    <col min="6931" max="6931" width="34.6640625" style="40" customWidth="1"/>
    <col min="6932" max="7166" width="8.83203125" style="40"/>
    <col min="7167" max="7167" width="32.6640625" style="40" customWidth="1"/>
    <col min="7168" max="7168" width="13.6640625" style="40" customWidth="1"/>
    <col min="7169" max="7169" width="64.5" style="40" customWidth="1"/>
    <col min="7170" max="7170" width="16.1640625" style="40" customWidth="1"/>
    <col min="7171" max="7173" width="14.6640625" style="40" customWidth="1"/>
    <col min="7174" max="7175" width="17.33203125" style="40" customWidth="1"/>
    <col min="7176" max="7176" width="15" style="40" customWidth="1"/>
    <col min="7177" max="7177" width="16.6640625" style="40" customWidth="1"/>
    <col min="7178" max="7180" width="15.83203125" style="40" customWidth="1"/>
    <col min="7181" max="7186" width="8.83203125" style="40"/>
    <col min="7187" max="7187" width="34.6640625" style="40" customWidth="1"/>
    <col min="7188" max="7422" width="8.83203125" style="40"/>
    <col min="7423" max="7423" width="32.6640625" style="40" customWidth="1"/>
    <col min="7424" max="7424" width="13.6640625" style="40" customWidth="1"/>
    <col min="7425" max="7425" width="64.5" style="40" customWidth="1"/>
    <col min="7426" max="7426" width="16.1640625" style="40" customWidth="1"/>
    <col min="7427" max="7429" width="14.6640625" style="40" customWidth="1"/>
    <col min="7430" max="7431" width="17.33203125" style="40" customWidth="1"/>
    <col min="7432" max="7432" width="15" style="40" customWidth="1"/>
    <col min="7433" max="7433" width="16.6640625" style="40" customWidth="1"/>
    <col min="7434" max="7436" width="15.83203125" style="40" customWidth="1"/>
    <col min="7437" max="7442" width="8.83203125" style="40"/>
    <col min="7443" max="7443" width="34.6640625" style="40" customWidth="1"/>
    <col min="7444" max="7678" width="8.83203125" style="40"/>
    <col min="7679" max="7679" width="32.6640625" style="40" customWidth="1"/>
    <col min="7680" max="7680" width="13.6640625" style="40" customWidth="1"/>
    <col min="7681" max="7681" width="64.5" style="40" customWidth="1"/>
    <col min="7682" max="7682" width="16.1640625" style="40" customWidth="1"/>
    <col min="7683" max="7685" width="14.6640625" style="40" customWidth="1"/>
    <col min="7686" max="7687" width="17.33203125" style="40" customWidth="1"/>
    <col min="7688" max="7688" width="15" style="40" customWidth="1"/>
    <col min="7689" max="7689" width="16.6640625" style="40" customWidth="1"/>
    <col min="7690" max="7692" width="15.83203125" style="40" customWidth="1"/>
    <col min="7693" max="7698" width="8.83203125" style="40"/>
    <col min="7699" max="7699" width="34.6640625" style="40" customWidth="1"/>
    <col min="7700" max="7934" width="8.83203125" style="40"/>
    <col min="7935" max="7935" width="32.6640625" style="40" customWidth="1"/>
    <col min="7936" max="7936" width="13.6640625" style="40" customWidth="1"/>
    <col min="7937" max="7937" width="64.5" style="40" customWidth="1"/>
    <col min="7938" max="7938" width="16.1640625" style="40" customWidth="1"/>
    <col min="7939" max="7941" width="14.6640625" style="40" customWidth="1"/>
    <col min="7942" max="7943" width="17.33203125" style="40" customWidth="1"/>
    <col min="7944" max="7944" width="15" style="40" customWidth="1"/>
    <col min="7945" max="7945" width="16.6640625" style="40" customWidth="1"/>
    <col min="7946" max="7948" width="15.83203125" style="40" customWidth="1"/>
    <col min="7949" max="7954" width="8.83203125" style="40"/>
    <col min="7955" max="7955" width="34.6640625" style="40" customWidth="1"/>
    <col min="7956" max="8190" width="8.83203125" style="40"/>
    <col min="8191" max="8191" width="32.6640625" style="40" customWidth="1"/>
    <col min="8192" max="8192" width="13.6640625" style="40" customWidth="1"/>
    <col min="8193" max="8193" width="64.5" style="40" customWidth="1"/>
    <col min="8194" max="8194" width="16.1640625" style="40" customWidth="1"/>
    <col min="8195" max="8197" width="14.6640625" style="40" customWidth="1"/>
    <col min="8198" max="8199" width="17.33203125" style="40" customWidth="1"/>
    <col min="8200" max="8200" width="15" style="40" customWidth="1"/>
    <col min="8201" max="8201" width="16.6640625" style="40" customWidth="1"/>
    <col min="8202" max="8204" width="15.83203125" style="40" customWidth="1"/>
    <col min="8205" max="8210" width="8.83203125" style="40"/>
    <col min="8211" max="8211" width="34.6640625" style="40" customWidth="1"/>
    <col min="8212" max="8446" width="8.83203125" style="40"/>
    <col min="8447" max="8447" width="32.6640625" style="40" customWidth="1"/>
    <col min="8448" max="8448" width="13.6640625" style="40" customWidth="1"/>
    <col min="8449" max="8449" width="64.5" style="40" customWidth="1"/>
    <col min="8450" max="8450" width="16.1640625" style="40" customWidth="1"/>
    <col min="8451" max="8453" width="14.6640625" style="40" customWidth="1"/>
    <col min="8454" max="8455" width="17.33203125" style="40" customWidth="1"/>
    <col min="8456" max="8456" width="15" style="40" customWidth="1"/>
    <col min="8457" max="8457" width="16.6640625" style="40" customWidth="1"/>
    <col min="8458" max="8460" width="15.83203125" style="40" customWidth="1"/>
    <col min="8461" max="8466" width="8.83203125" style="40"/>
    <col min="8467" max="8467" width="34.6640625" style="40" customWidth="1"/>
    <col min="8468" max="8702" width="8.83203125" style="40"/>
    <col min="8703" max="8703" width="32.6640625" style="40" customWidth="1"/>
    <col min="8704" max="8704" width="13.6640625" style="40" customWidth="1"/>
    <col min="8705" max="8705" width="64.5" style="40" customWidth="1"/>
    <col min="8706" max="8706" width="16.1640625" style="40" customWidth="1"/>
    <col min="8707" max="8709" width="14.6640625" style="40" customWidth="1"/>
    <col min="8710" max="8711" width="17.33203125" style="40" customWidth="1"/>
    <col min="8712" max="8712" width="15" style="40" customWidth="1"/>
    <col min="8713" max="8713" width="16.6640625" style="40" customWidth="1"/>
    <col min="8714" max="8716" width="15.83203125" style="40" customWidth="1"/>
    <col min="8717" max="8722" width="8.83203125" style="40"/>
    <col min="8723" max="8723" width="34.6640625" style="40" customWidth="1"/>
    <col min="8724" max="8958" width="8.83203125" style="40"/>
    <col min="8959" max="8959" width="32.6640625" style="40" customWidth="1"/>
    <col min="8960" max="8960" width="13.6640625" style="40" customWidth="1"/>
    <col min="8961" max="8961" width="64.5" style="40" customWidth="1"/>
    <col min="8962" max="8962" width="16.1640625" style="40" customWidth="1"/>
    <col min="8963" max="8965" width="14.6640625" style="40" customWidth="1"/>
    <col min="8966" max="8967" width="17.33203125" style="40" customWidth="1"/>
    <col min="8968" max="8968" width="15" style="40" customWidth="1"/>
    <col min="8969" max="8969" width="16.6640625" style="40" customWidth="1"/>
    <col min="8970" max="8972" width="15.83203125" style="40" customWidth="1"/>
    <col min="8973" max="8978" width="8.83203125" style="40"/>
    <col min="8979" max="8979" width="34.6640625" style="40" customWidth="1"/>
    <col min="8980" max="9214" width="8.83203125" style="40"/>
    <col min="9215" max="9215" width="32.6640625" style="40" customWidth="1"/>
    <col min="9216" max="9216" width="13.6640625" style="40" customWidth="1"/>
    <col min="9217" max="9217" width="64.5" style="40" customWidth="1"/>
    <col min="9218" max="9218" width="16.1640625" style="40" customWidth="1"/>
    <col min="9219" max="9221" width="14.6640625" style="40" customWidth="1"/>
    <col min="9222" max="9223" width="17.33203125" style="40" customWidth="1"/>
    <col min="9224" max="9224" width="15" style="40" customWidth="1"/>
    <col min="9225" max="9225" width="16.6640625" style="40" customWidth="1"/>
    <col min="9226" max="9228" width="15.83203125" style="40" customWidth="1"/>
    <col min="9229" max="9234" width="8.83203125" style="40"/>
    <col min="9235" max="9235" width="34.6640625" style="40" customWidth="1"/>
    <col min="9236" max="9470" width="8.83203125" style="40"/>
    <col min="9471" max="9471" width="32.6640625" style="40" customWidth="1"/>
    <col min="9472" max="9472" width="13.6640625" style="40" customWidth="1"/>
    <col min="9473" max="9473" width="64.5" style="40" customWidth="1"/>
    <col min="9474" max="9474" width="16.1640625" style="40" customWidth="1"/>
    <col min="9475" max="9477" width="14.6640625" style="40" customWidth="1"/>
    <col min="9478" max="9479" width="17.33203125" style="40" customWidth="1"/>
    <col min="9480" max="9480" width="15" style="40" customWidth="1"/>
    <col min="9481" max="9481" width="16.6640625" style="40" customWidth="1"/>
    <col min="9482" max="9484" width="15.83203125" style="40" customWidth="1"/>
    <col min="9485" max="9490" width="8.83203125" style="40"/>
    <col min="9491" max="9491" width="34.6640625" style="40" customWidth="1"/>
    <col min="9492" max="9726" width="8.83203125" style="40"/>
    <col min="9727" max="9727" width="32.6640625" style="40" customWidth="1"/>
    <col min="9728" max="9728" width="13.6640625" style="40" customWidth="1"/>
    <col min="9729" max="9729" width="64.5" style="40" customWidth="1"/>
    <col min="9730" max="9730" width="16.1640625" style="40" customWidth="1"/>
    <col min="9731" max="9733" width="14.6640625" style="40" customWidth="1"/>
    <col min="9734" max="9735" width="17.33203125" style="40" customWidth="1"/>
    <col min="9736" max="9736" width="15" style="40" customWidth="1"/>
    <col min="9737" max="9737" width="16.6640625" style="40" customWidth="1"/>
    <col min="9738" max="9740" width="15.83203125" style="40" customWidth="1"/>
    <col min="9741" max="9746" width="8.83203125" style="40"/>
    <col min="9747" max="9747" width="34.6640625" style="40" customWidth="1"/>
    <col min="9748" max="9982" width="8.83203125" style="40"/>
    <col min="9983" max="9983" width="32.6640625" style="40" customWidth="1"/>
    <col min="9984" max="9984" width="13.6640625" style="40" customWidth="1"/>
    <col min="9985" max="9985" width="64.5" style="40" customWidth="1"/>
    <col min="9986" max="9986" width="16.1640625" style="40" customWidth="1"/>
    <col min="9987" max="9989" width="14.6640625" style="40" customWidth="1"/>
    <col min="9990" max="9991" width="17.33203125" style="40" customWidth="1"/>
    <col min="9992" max="9992" width="15" style="40" customWidth="1"/>
    <col min="9993" max="9993" width="16.6640625" style="40" customWidth="1"/>
    <col min="9994" max="9996" width="15.83203125" style="40" customWidth="1"/>
    <col min="9997" max="10002" width="8.83203125" style="40"/>
    <col min="10003" max="10003" width="34.6640625" style="40" customWidth="1"/>
    <col min="10004" max="10238" width="8.83203125" style="40"/>
    <col min="10239" max="10239" width="32.6640625" style="40" customWidth="1"/>
    <col min="10240" max="10240" width="13.6640625" style="40" customWidth="1"/>
    <col min="10241" max="10241" width="64.5" style="40" customWidth="1"/>
    <col min="10242" max="10242" width="16.1640625" style="40" customWidth="1"/>
    <col min="10243" max="10245" width="14.6640625" style="40" customWidth="1"/>
    <col min="10246" max="10247" width="17.33203125" style="40" customWidth="1"/>
    <col min="10248" max="10248" width="15" style="40" customWidth="1"/>
    <col min="10249" max="10249" width="16.6640625" style="40" customWidth="1"/>
    <col min="10250" max="10252" width="15.83203125" style="40" customWidth="1"/>
    <col min="10253" max="10258" width="8.83203125" style="40"/>
    <col min="10259" max="10259" width="34.6640625" style="40" customWidth="1"/>
    <col min="10260" max="10494" width="8.83203125" style="40"/>
    <col min="10495" max="10495" width="32.6640625" style="40" customWidth="1"/>
    <col min="10496" max="10496" width="13.6640625" style="40" customWidth="1"/>
    <col min="10497" max="10497" width="64.5" style="40" customWidth="1"/>
    <col min="10498" max="10498" width="16.1640625" style="40" customWidth="1"/>
    <col min="10499" max="10501" width="14.6640625" style="40" customWidth="1"/>
    <col min="10502" max="10503" width="17.33203125" style="40" customWidth="1"/>
    <col min="10504" max="10504" width="15" style="40" customWidth="1"/>
    <col min="10505" max="10505" width="16.6640625" style="40" customWidth="1"/>
    <col min="10506" max="10508" width="15.83203125" style="40" customWidth="1"/>
    <col min="10509" max="10514" width="8.83203125" style="40"/>
    <col min="10515" max="10515" width="34.6640625" style="40" customWidth="1"/>
    <col min="10516" max="10750" width="8.83203125" style="40"/>
    <col min="10751" max="10751" width="32.6640625" style="40" customWidth="1"/>
    <col min="10752" max="10752" width="13.6640625" style="40" customWidth="1"/>
    <col min="10753" max="10753" width="64.5" style="40" customWidth="1"/>
    <col min="10754" max="10754" width="16.1640625" style="40" customWidth="1"/>
    <col min="10755" max="10757" width="14.6640625" style="40" customWidth="1"/>
    <col min="10758" max="10759" width="17.33203125" style="40" customWidth="1"/>
    <col min="10760" max="10760" width="15" style="40" customWidth="1"/>
    <col min="10761" max="10761" width="16.6640625" style="40" customWidth="1"/>
    <col min="10762" max="10764" width="15.83203125" style="40" customWidth="1"/>
    <col min="10765" max="10770" width="8.83203125" style="40"/>
    <col min="10771" max="10771" width="34.6640625" style="40" customWidth="1"/>
    <col min="10772" max="11006" width="8.83203125" style="40"/>
    <col min="11007" max="11007" width="32.6640625" style="40" customWidth="1"/>
    <col min="11008" max="11008" width="13.6640625" style="40" customWidth="1"/>
    <col min="11009" max="11009" width="64.5" style="40" customWidth="1"/>
    <col min="11010" max="11010" width="16.1640625" style="40" customWidth="1"/>
    <col min="11011" max="11013" width="14.6640625" style="40" customWidth="1"/>
    <col min="11014" max="11015" width="17.33203125" style="40" customWidth="1"/>
    <col min="11016" max="11016" width="15" style="40" customWidth="1"/>
    <col min="11017" max="11017" width="16.6640625" style="40" customWidth="1"/>
    <col min="11018" max="11020" width="15.83203125" style="40" customWidth="1"/>
    <col min="11021" max="11026" width="8.83203125" style="40"/>
    <col min="11027" max="11027" width="34.6640625" style="40" customWidth="1"/>
    <col min="11028" max="11262" width="8.83203125" style="40"/>
    <col min="11263" max="11263" width="32.6640625" style="40" customWidth="1"/>
    <col min="11264" max="11264" width="13.6640625" style="40" customWidth="1"/>
    <col min="11265" max="11265" width="64.5" style="40" customWidth="1"/>
    <col min="11266" max="11266" width="16.1640625" style="40" customWidth="1"/>
    <col min="11267" max="11269" width="14.6640625" style="40" customWidth="1"/>
    <col min="11270" max="11271" width="17.33203125" style="40" customWidth="1"/>
    <col min="11272" max="11272" width="15" style="40" customWidth="1"/>
    <col min="11273" max="11273" width="16.6640625" style="40" customWidth="1"/>
    <col min="11274" max="11276" width="15.83203125" style="40" customWidth="1"/>
    <col min="11277" max="11282" width="8.83203125" style="40"/>
    <col min="11283" max="11283" width="34.6640625" style="40" customWidth="1"/>
    <col min="11284" max="11518" width="8.83203125" style="40"/>
    <col min="11519" max="11519" width="32.6640625" style="40" customWidth="1"/>
    <col min="11520" max="11520" width="13.6640625" style="40" customWidth="1"/>
    <col min="11521" max="11521" width="64.5" style="40" customWidth="1"/>
    <col min="11522" max="11522" width="16.1640625" style="40" customWidth="1"/>
    <col min="11523" max="11525" width="14.6640625" style="40" customWidth="1"/>
    <col min="11526" max="11527" width="17.33203125" style="40" customWidth="1"/>
    <col min="11528" max="11528" width="15" style="40" customWidth="1"/>
    <col min="11529" max="11529" width="16.6640625" style="40" customWidth="1"/>
    <col min="11530" max="11532" width="15.83203125" style="40" customWidth="1"/>
    <col min="11533" max="11538" width="8.83203125" style="40"/>
    <col min="11539" max="11539" width="34.6640625" style="40" customWidth="1"/>
    <col min="11540" max="11774" width="8.83203125" style="40"/>
    <col min="11775" max="11775" width="32.6640625" style="40" customWidth="1"/>
    <col min="11776" max="11776" width="13.6640625" style="40" customWidth="1"/>
    <col min="11777" max="11777" width="64.5" style="40" customWidth="1"/>
    <col min="11778" max="11778" width="16.1640625" style="40" customWidth="1"/>
    <col min="11779" max="11781" width="14.6640625" style="40" customWidth="1"/>
    <col min="11782" max="11783" width="17.33203125" style="40" customWidth="1"/>
    <col min="11784" max="11784" width="15" style="40" customWidth="1"/>
    <col min="11785" max="11785" width="16.6640625" style="40" customWidth="1"/>
    <col min="11786" max="11788" width="15.83203125" style="40" customWidth="1"/>
    <col min="11789" max="11794" width="8.83203125" style="40"/>
    <col min="11795" max="11795" width="34.6640625" style="40" customWidth="1"/>
    <col min="11796" max="12030" width="8.83203125" style="40"/>
    <col min="12031" max="12031" width="32.6640625" style="40" customWidth="1"/>
    <col min="12032" max="12032" width="13.6640625" style="40" customWidth="1"/>
    <col min="12033" max="12033" width="64.5" style="40" customWidth="1"/>
    <col min="12034" max="12034" width="16.1640625" style="40" customWidth="1"/>
    <col min="12035" max="12037" width="14.6640625" style="40" customWidth="1"/>
    <col min="12038" max="12039" width="17.33203125" style="40" customWidth="1"/>
    <col min="12040" max="12040" width="15" style="40" customWidth="1"/>
    <col min="12041" max="12041" width="16.6640625" style="40" customWidth="1"/>
    <col min="12042" max="12044" width="15.83203125" style="40" customWidth="1"/>
    <col min="12045" max="12050" width="8.83203125" style="40"/>
    <col min="12051" max="12051" width="34.6640625" style="40" customWidth="1"/>
    <col min="12052" max="12286" width="8.83203125" style="40"/>
    <col min="12287" max="12287" width="32.6640625" style="40" customWidth="1"/>
    <col min="12288" max="12288" width="13.6640625" style="40" customWidth="1"/>
    <col min="12289" max="12289" width="64.5" style="40" customWidth="1"/>
    <col min="12290" max="12290" width="16.1640625" style="40" customWidth="1"/>
    <col min="12291" max="12293" width="14.6640625" style="40" customWidth="1"/>
    <col min="12294" max="12295" width="17.33203125" style="40" customWidth="1"/>
    <col min="12296" max="12296" width="15" style="40" customWidth="1"/>
    <col min="12297" max="12297" width="16.6640625" style="40" customWidth="1"/>
    <col min="12298" max="12300" width="15.83203125" style="40" customWidth="1"/>
    <col min="12301" max="12306" width="8.83203125" style="40"/>
    <col min="12307" max="12307" width="34.6640625" style="40" customWidth="1"/>
    <col min="12308" max="12542" width="8.83203125" style="40"/>
    <col min="12543" max="12543" width="32.6640625" style="40" customWidth="1"/>
    <col min="12544" max="12544" width="13.6640625" style="40" customWidth="1"/>
    <col min="12545" max="12545" width="64.5" style="40" customWidth="1"/>
    <col min="12546" max="12546" width="16.1640625" style="40" customWidth="1"/>
    <col min="12547" max="12549" width="14.6640625" style="40" customWidth="1"/>
    <col min="12550" max="12551" width="17.33203125" style="40" customWidth="1"/>
    <col min="12552" max="12552" width="15" style="40" customWidth="1"/>
    <col min="12553" max="12553" width="16.6640625" style="40" customWidth="1"/>
    <col min="12554" max="12556" width="15.83203125" style="40" customWidth="1"/>
    <col min="12557" max="12562" width="8.83203125" style="40"/>
    <col min="12563" max="12563" width="34.6640625" style="40" customWidth="1"/>
    <col min="12564" max="12798" width="8.83203125" style="40"/>
    <col min="12799" max="12799" width="32.6640625" style="40" customWidth="1"/>
    <col min="12800" max="12800" width="13.6640625" style="40" customWidth="1"/>
    <col min="12801" max="12801" width="64.5" style="40" customWidth="1"/>
    <col min="12802" max="12802" width="16.1640625" style="40" customWidth="1"/>
    <col min="12803" max="12805" width="14.6640625" style="40" customWidth="1"/>
    <col min="12806" max="12807" width="17.33203125" style="40" customWidth="1"/>
    <col min="12808" max="12808" width="15" style="40" customWidth="1"/>
    <col min="12809" max="12809" width="16.6640625" style="40" customWidth="1"/>
    <col min="12810" max="12812" width="15.83203125" style="40" customWidth="1"/>
    <col min="12813" max="12818" width="8.83203125" style="40"/>
    <col min="12819" max="12819" width="34.6640625" style="40" customWidth="1"/>
    <col min="12820" max="13054" width="8.83203125" style="40"/>
    <col min="13055" max="13055" width="32.6640625" style="40" customWidth="1"/>
    <col min="13056" max="13056" width="13.6640625" style="40" customWidth="1"/>
    <col min="13057" max="13057" width="64.5" style="40" customWidth="1"/>
    <col min="13058" max="13058" width="16.1640625" style="40" customWidth="1"/>
    <col min="13059" max="13061" width="14.6640625" style="40" customWidth="1"/>
    <col min="13062" max="13063" width="17.33203125" style="40" customWidth="1"/>
    <col min="13064" max="13064" width="15" style="40" customWidth="1"/>
    <col min="13065" max="13065" width="16.6640625" style="40" customWidth="1"/>
    <col min="13066" max="13068" width="15.83203125" style="40" customWidth="1"/>
    <col min="13069" max="13074" width="8.83203125" style="40"/>
    <col min="13075" max="13075" width="34.6640625" style="40" customWidth="1"/>
    <col min="13076" max="13310" width="8.83203125" style="40"/>
    <col min="13311" max="13311" width="32.6640625" style="40" customWidth="1"/>
    <col min="13312" max="13312" width="13.6640625" style="40" customWidth="1"/>
    <col min="13313" max="13313" width="64.5" style="40" customWidth="1"/>
    <col min="13314" max="13314" width="16.1640625" style="40" customWidth="1"/>
    <col min="13315" max="13317" width="14.6640625" style="40" customWidth="1"/>
    <col min="13318" max="13319" width="17.33203125" style="40" customWidth="1"/>
    <col min="13320" max="13320" width="15" style="40" customWidth="1"/>
    <col min="13321" max="13321" width="16.6640625" style="40" customWidth="1"/>
    <col min="13322" max="13324" width="15.83203125" style="40" customWidth="1"/>
    <col min="13325" max="13330" width="8.83203125" style="40"/>
    <col min="13331" max="13331" width="34.6640625" style="40" customWidth="1"/>
    <col min="13332" max="13566" width="8.83203125" style="40"/>
    <col min="13567" max="13567" width="32.6640625" style="40" customWidth="1"/>
    <col min="13568" max="13568" width="13.6640625" style="40" customWidth="1"/>
    <col min="13569" max="13569" width="64.5" style="40" customWidth="1"/>
    <col min="13570" max="13570" width="16.1640625" style="40" customWidth="1"/>
    <col min="13571" max="13573" width="14.6640625" style="40" customWidth="1"/>
    <col min="13574" max="13575" width="17.33203125" style="40" customWidth="1"/>
    <col min="13576" max="13576" width="15" style="40" customWidth="1"/>
    <col min="13577" max="13577" width="16.6640625" style="40" customWidth="1"/>
    <col min="13578" max="13580" width="15.83203125" style="40" customWidth="1"/>
    <col min="13581" max="13586" width="8.83203125" style="40"/>
    <col min="13587" max="13587" width="34.6640625" style="40" customWidth="1"/>
    <col min="13588" max="13822" width="8.83203125" style="40"/>
    <col min="13823" max="13823" width="32.6640625" style="40" customWidth="1"/>
    <col min="13824" max="13824" width="13.6640625" style="40" customWidth="1"/>
    <col min="13825" max="13825" width="64.5" style="40" customWidth="1"/>
    <col min="13826" max="13826" width="16.1640625" style="40" customWidth="1"/>
    <col min="13827" max="13829" width="14.6640625" style="40" customWidth="1"/>
    <col min="13830" max="13831" width="17.33203125" style="40" customWidth="1"/>
    <col min="13832" max="13832" width="15" style="40" customWidth="1"/>
    <col min="13833" max="13833" width="16.6640625" style="40" customWidth="1"/>
    <col min="13834" max="13836" width="15.83203125" style="40" customWidth="1"/>
    <col min="13837" max="13842" width="8.83203125" style="40"/>
    <col min="13843" max="13843" width="34.6640625" style="40" customWidth="1"/>
    <col min="13844" max="14078" width="8.83203125" style="40"/>
    <col min="14079" max="14079" width="32.6640625" style="40" customWidth="1"/>
    <col min="14080" max="14080" width="13.6640625" style="40" customWidth="1"/>
    <col min="14081" max="14081" width="64.5" style="40" customWidth="1"/>
    <col min="14082" max="14082" width="16.1640625" style="40" customWidth="1"/>
    <col min="14083" max="14085" width="14.6640625" style="40" customWidth="1"/>
    <col min="14086" max="14087" width="17.33203125" style="40" customWidth="1"/>
    <col min="14088" max="14088" width="15" style="40" customWidth="1"/>
    <col min="14089" max="14089" width="16.6640625" style="40" customWidth="1"/>
    <col min="14090" max="14092" width="15.83203125" style="40" customWidth="1"/>
    <col min="14093" max="14098" width="8.83203125" style="40"/>
    <col min="14099" max="14099" width="34.6640625" style="40" customWidth="1"/>
    <col min="14100" max="14334" width="8.83203125" style="40"/>
    <col min="14335" max="14335" width="32.6640625" style="40" customWidth="1"/>
    <col min="14336" max="14336" width="13.6640625" style="40" customWidth="1"/>
    <col min="14337" max="14337" width="64.5" style="40" customWidth="1"/>
    <col min="14338" max="14338" width="16.1640625" style="40" customWidth="1"/>
    <col min="14339" max="14341" width="14.6640625" style="40" customWidth="1"/>
    <col min="14342" max="14343" width="17.33203125" style="40" customWidth="1"/>
    <col min="14344" max="14344" width="15" style="40" customWidth="1"/>
    <col min="14345" max="14345" width="16.6640625" style="40" customWidth="1"/>
    <col min="14346" max="14348" width="15.83203125" style="40" customWidth="1"/>
    <col min="14349" max="14354" width="8.83203125" style="40"/>
    <col min="14355" max="14355" width="34.6640625" style="40" customWidth="1"/>
    <col min="14356" max="14590" width="8.83203125" style="40"/>
    <col min="14591" max="14591" width="32.6640625" style="40" customWidth="1"/>
    <col min="14592" max="14592" width="13.6640625" style="40" customWidth="1"/>
    <col min="14593" max="14593" width="64.5" style="40" customWidth="1"/>
    <col min="14594" max="14594" width="16.1640625" style="40" customWidth="1"/>
    <col min="14595" max="14597" width="14.6640625" style="40" customWidth="1"/>
    <col min="14598" max="14599" width="17.33203125" style="40" customWidth="1"/>
    <col min="14600" max="14600" width="15" style="40" customWidth="1"/>
    <col min="14601" max="14601" width="16.6640625" style="40" customWidth="1"/>
    <col min="14602" max="14604" width="15.83203125" style="40" customWidth="1"/>
    <col min="14605" max="14610" width="8.83203125" style="40"/>
    <col min="14611" max="14611" width="34.6640625" style="40" customWidth="1"/>
    <col min="14612" max="14846" width="8.83203125" style="40"/>
    <col min="14847" max="14847" width="32.6640625" style="40" customWidth="1"/>
    <col min="14848" max="14848" width="13.6640625" style="40" customWidth="1"/>
    <col min="14849" max="14849" width="64.5" style="40" customWidth="1"/>
    <col min="14850" max="14850" width="16.1640625" style="40" customWidth="1"/>
    <col min="14851" max="14853" width="14.6640625" style="40" customWidth="1"/>
    <col min="14854" max="14855" width="17.33203125" style="40" customWidth="1"/>
    <col min="14856" max="14856" width="15" style="40" customWidth="1"/>
    <col min="14857" max="14857" width="16.6640625" style="40" customWidth="1"/>
    <col min="14858" max="14860" width="15.83203125" style="40" customWidth="1"/>
    <col min="14861" max="14866" width="8.83203125" style="40"/>
    <col min="14867" max="14867" width="34.6640625" style="40" customWidth="1"/>
    <col min="14868" max="15102" width="8.83203125" style="40"/>
    <col min="15103" max="15103" width="32.6640625" style="40" customWidth="1"/>
    <col min="15104" max="15104" width="13.6640625" style="40" customWidth="1"/>
    <col min="15105" max="15105" width="64.5" style="40" customWidth="1"/>
    <col min="15106" max="15106" width="16.1640625" style="40" customWidth="1"/>
    <col min="15107" max="15109" width="14.6640625" style="40" customWidth="1"/>
    <col min="15110" max="15111" width="17.33203125" style="40" customWidth="1"/>
    <col min="15112" max="15112" width="15" style="40" customWidth="1"/>
    <col min="15113" max="15113" width="16.6640625" style="40" customWidth="1"/>
    <col min="15114" max="15116" width="15.83203125" style="40" customWidth="1"/>
    <col min="15117" max="15122" width="8.83203125" style="40"/>
    <col min="15123" max="15123" width="34.6640625" style="40" customWidth="1"/>
    <col min="15124" max="15358" width="8.83203125" style="40"/>
    <col min="15359" max="15359" width="32.6640625" style="40" customWidth="1"/>
    <col min="15360" max="15360" width="13.6640625" style="40" customWidth="1"/>
    <col min="15361" max="15361" width="64.5" style="40" customWidth="1"/>
    <col min="15362" max="15362" width="16.1640625" style="40" customWidth="1"/>
    <col min="15363" max="15365" width="14.6640625" style="40" customWidth="1"/>
    <col min="15366" max="15367" width="17.33203125" style="40" customWidth="1"/>
    <col min="15368" max="15368" width="15" style="40" customWidth="1"/>
    <col min="15369" max="15369" width="16.6640625" style="40" customWidth="1"/>
    <col min="15370" max="15372" width="15.83203125" style="40" customWidth="1"/>
    <col min="15373" max="15378" width="8.83203125" style="40"/>
    <col min="15379" max="15379" width="34.6640625" style="40" customWidth="1"/>
    <col min="15380" max="15614" width="8.83203125" style="40"/>
    <col min="15615" max="15615" width="32.6640625" style="40" customWidth="1"/>
    <col min="15616" max="15616" width="13.6640625" style="40" customWidth="1"/>
    <col min="15617" max="15617" width="64.5" style="40" customWidth="1"/>
    <col min="15618" max="15618" width="16.1640625" style="40" customWidth="1"/>
    <col min="15619" max="15621" width="14.6640625" style="40" customWidth="1"/>
    <col min="15622" max="15623" width="17.33203125" style="40" customWidth="1"/>
    <col min="15624" max="15624" width="15" style="40" customWidth="1"/>
    <col min="15625" max="15625" width="16.6640625" style="40" customWidth="1"/>
    <col min="15626" max="15628" width="15.83203125" style="40" customWidth="1"/>
    <col min="15629" max="15634" width="8.83203125" style="40"/>
    <col min="15635" max="15635" width="34.6640625" style="40" customWidth="1"/>
    <col min="15636" max="15870" width="8.83203125" style="40"/>
    <col min="15871" max="15871" width="32.6640625" style="40" customWidth="1"/>
    <col min="15872" max="15872" width="13.6640625" style="40" customWidth="1"/>
    <col min="15873" max="15873" width="64.5" style="40" customWidth="1"/>
    <col min="15874" max="15874" width="16.1640625" style="40" customWidth="1"/>
    <col min="15875" max="15877" width="14.6640625" style="40" customWidth="1"/>
    <col min="15878" max="15879" width="17.33203125" style="40" customWidth="1"/>
    <col min="15880" max="15880" width="15" style="40" customWidth="1"/>
    <col min="15881" max="15881" width="16.6640625" style="40" customWidth="1"/>
    <col min="15882" max="15884" width="15.83203125" style="40" customWidth="1"/>
    <col min="15885" max="15890" width="8.83203125" style="40"/>
    <col min="15891" max="15891" width="34.6640625" style="40" customWidth="1"/>
    <col min="15892" max="16126" width="8.83203125" style="40"/>
    <col min="16127" max="16127" width="32.6640625" style="40" customWidth="1"/>
    <col min="16128" max="16128" width="13.6640625" style="40" customWidth="1"/>
    <col min="16129" max="16129" width="64.5" style="40" customWidth="1"/>
    <col min="16130" max="16130" width="16.1640625" style="40" customWidth="1"/>
    <col min="16131" max="16133" width="14.6640625" style="40" customWidth="1"/>
    <col min="16134" max="16135" width="17.33203125" style="40" customWidth="1"/>
    <col min="16136" max="16136" width="15" style="40" customWidth="1"/>
    <col min="16137" max="16137" width="16.6640625" style="40" customWidth="1"/>
    <col min="16138" max="16140" width="15.83203125" style="40" customWidth="1"/>
    <col min="16141" max="16146" width="8.83203125" style="40"/>
    <col min="16147" max="16147" width="34.6640625" style="40" customWidth="1"/>
    <col min="16148" max="16384" width="8.83203125" style="40"/>
  </cols>
  <sheetData>
    <row r="1" spans="1:15">
      <c r="A1" s="37" t="s">
        <v>627</v>
      </c>
    </row>
    <row r="2" spans="1:15" ht="33">
      <c r="A2" s="37" t="s">
        <v>628</v>
      </c>
      <c r="E2" s="41" t="s">
        <v>629</v>
      </c>
      <c r="F2" s="41"/>
    </row>
    <row r="3" spans="1:15">
      <c r="A3" s="37" t="s">
        <v>630</v>
      </c>
    </row>
    <row r="4" spans="1:15">
      <c r="A4" s="37" t="s">
        <v>631</v>
      </c>
    </row>
    <row r="5" spans="1:15">
      <c r="G5" s="42" t="s">
        <v>632</v>
      </c>
    </row>
    <row r="6" spans="1:15">
      <c r="B6" s="43"/>
      <c r="C6" s="43"/>
      <c r="D6" s="43"/>
    </row>
    <row r="8" spans="1:15" ht="30" customHeight="1">
      <c r="A8" s="44" t="s">
        <v>632</v>
      </c>
      <c r="B8" s="44" t="s">
        <v>633</v>
      </c>
      <c r="C8" s="44" t="s">
        <v>634</v>
      </c>
      <c r="D8" s="44" t="s">
        <v>635</v>
      </c>
      <c r="E8" s="44" t="s">
        <v>636</v>
      </c>
      <c r="F8" s="45" t="s">
        <v>637</v>
      </c>
      <c r="G8" s="44" t="s">
        <v>638</v>
      </c>
      <c r="H8" s="46" t="s">
        <v>633</v>
      </c>
      <c r="I8" s="46" t="s">
        <v>639</v>
      </c>
      <c r="J8" s="44" t="s">
        <v>640</v>
      </c>
      <c r="K8" s="44" t="s">
        <v>641</v>
      </c>
      <c r="L8" s="44" t="s">
        <v>642</v>
      </c>
      <c r="M8" s="44" t="s">
        <v>643</v>
      </c>
      <c r="N8" s="44" t="s">
        <v>642</v>
      </c>
    </row>
    <row r="9" spans="1:15" ht="30" customHeight="1">
      <c r="A9" s="44" t="s">
        <v>639</v>
      </c>
      <c r="B9" s="44" t="s">
        <v>644</v>
      </c>
      <c r="C9" s="44" t="s">
        <v>645</v>
      </c>
      <c r="D9" s="44" t="s">
        <v>646</v>
      </c>
      <c r="E9" s="44" t="s">
        <v>647</v>
      </c>
      <c r="F9" s="44" t="s">
        <v>647</v>
      </c>
      <c r="G9" s="44" t="s">
        <v>648</v>
      </c>
      <c r="H9" s="46" t="s">
        <v>649</v>
      </c>
      <c r="I9" s="46" t="s">
        <v>649</v>
      </c>
      <c r="J9" s="44" t="s">
        <v>650</v>
      </c>
      <c r="K9" s="44" t="s">
        <v>650</v>
      </c>
      <c r="L9" s="44" t="s">
        <v>647</v>
      </c>
      <c r="M9" s="44" t="s">
        <v>651</v>
      </c>
      <c r="N9" s="44" t="s">
        <v>652</v>
      </c>
      <c r="O9" s="40" t="s">
        <v>1097</v>
      </c>
    </row>
    <row r="10" spans="1:15" s="47" customFormat="1" ht="30" hidden="1" customHeight="1">
      <c r="A10" s="44"/>
      <c r="B10" s="44"/>
      <c r="C10" s="44"/>
      <c r="D10" s="44"/>
      <c r="E10" s="44"/>
      <c r="F10" s="44"/>
      <c r="G10" s="44"/>
      <c r="H10" s="46"/>
      <c r="I10" s="46"/>
      <c r="J10" s="44"/>
      <c r="K10" s="44"/>
      <c r="L10" s="44"/>
      <c r="M10" s="44"/>
      <c r="N10" s="44"/>
    </row>
    <row r="11" spans="1:15" ht="30" hidden="1" customHeight="1">
      <c r="A11" s="44" t="s">
        <v>653</v>
      </c>
      <c r="B11" s="44" t="s">
        <v>654</v>
      </c>
      <c r="C11" s="48" t="s">
        <v>655</v>
      </c>
      <c r="D11" s="49" t="s">
        <v>656</v>
      </c>
      <c r="E11" s="50">
        <v>200</v>
      </c>
      <c r="F11" s="50">
        <v>40</v>
      </c>
      <c r="G11" s="50">
        <v>50</v>
      </c>
      <c r="H11" s="51" t="e">
        <f>(F11+#REF!)/E11</f>
        <v>#REF!</v>
      </c>
      <c r="I11" s="51">
        <f>F11/E11</f>
        <v>0.2</v>
      </c>
      <c r="J11" s="52">
        <v>40</v>
      </c>
      <c r="K11" s="50">
        <v>800</v>
      </c>
      <c r="L11" s="50">
        <v>0</v>
      </c>
      <c r="M11" s="50"/>
      <c r="N11" s="50"/>
    </row>
    <row r="12" spans="1:15" ht="30" hidden="1" customHeight="1">
      <c r="A12" s="44" t="s">
        <v>657</v>
      </c>
      <c r="B12" s="44" t="s">
        <v>654</v>
      </c>
      <c r="C12" s="48" t="s">
        <v>658</v>
      </c>
      <c r="D12" s="49" t="s">
        <v>659</v>
      </c>
      <c r="E12" s="50">
        <v>100</v>
      </c>
      <c r="F12" s="50">
        <v>20</v>
      </c>
      <c r="G12" s="50">
        <v>35</v>
      </c>
      <c r="H12" s="51">
        <f>F12/E12</f>
        <v>0.2</v>
      </c>
      <c r="I12" s="51">
        <f>F12/E12</f>
        <v>0.2</v>
      </c>
      <c r="J12" s="52">
        <v>60</v>
      </c>
      <c r="K12" s="50">
        <v>650</v>
      </c>
      <c r="L12" s="50">
        <f>I12*G12*8*24*0.001</f>
        <v>1.3440000000000001</v>
      </c>
      <c r="M12" s="50"/>
      <c r="N12" s="50"/>
    </row>
    <row r="13" spans="1:15" ht="30" customHeight="1">
      <c r="A13" s="44" t="s">
        <v>657</v>
      </c>
      <c r="B13" s="44" t="s">
        <v>660</v>
      </c>
      <c r="C13" s="48" t="s">
        <v>661</v>
      </c>
      <c r="D13" s="49"/>
      <c r="E13" s="50"/>
      <c r="F13" s="50"/>
      <c r="G13" s="50"/>
      <c r="H13" s="51"/>
      <c r="I13" s="51"/>
      <c r="J13" s="52"/>
      <c r="K13" s="50"/>
      <c r="L13" s="50">
        <v>4</v>
      </c>
      <c r="M13" s="50"/>
      <c r="N13" s="50" t="s">
        <v>662</v>
      </c>
      <c r="O13" s="40" t="s">
        <v>1098</v>
      </c>
    </row>
    <row r="14" spans="1:15" ht="30" hidden="1" customHeight="1">
      <c r="A14" s="44" t="s">
        <v>663</v>
      </c>
      <c r="B14" s="44" t="s">
        <v>654</v>
      </c>
      <c r="C14" s="53" t="s">
        <v>664</v>
      </c>
      <c r="D14" s="49" t="s">
        <v>659</v>
      </c>
      <c r="E14" s="50">
        <v>600</v>
      </c>
      <c r="F14" s="50">
        <v>300</v>
      </c>
      <c r="G14" s="50">
        <v>125</v>
      </c>
      <c r="H14" s="51">
        <f>(F14+F15)/E14</f>
        <v>0.66666666666666663</v>
      </c>
      <c r="I14" s="51">
        <f>F14/E14</f>
        <v>0.5</v>
      </c>
      <c r="J14" s="52">
        <v>35</v>
      </c>
      <c r="K14" s="50">
        <v>800</v>
      </c>
      <c r="L14" s="50">
        <f>I14*G14*8*24*0.001</f>
        <v>12</v>
      </c>
      <c r="M14" s="50"/>
      <c r="N14" s="50"/>
    </row>
    <row r="15" spans="1:15" ht="30" hidden="1" customHeight="1">
      <c r="A15" s="44" t="s">
        <v>665</v>
      </c>
      <c r="B15" s="44" t="s">
        <v>654</v>
      </c>
      <c r="C15" s="53" t="s">
        <v>664</v>
      </c>
      <c r="D15" s="49" t="s">
        <v>659</v>
      </c>
      <c r="E15" s="50">
        <v>600</v>
      </c>
      <c r="F15" s="50">
        <v>100</v>
      </c>
      <c r="G15" s="50">
        <v>125</v>
      </c>
      <c r="H15" s="51">
        <f>(F15+F14)/E15</f>
        <v>0.66666666666666663</v>
      </c>
      <c r="I15" s="51">
        <f>F15/E15</f>
        <v>0.16666666666666666</v>
      </c>
      <c r="J15" s="52">
        <v>35</v>
      </c>
      <c r="K15" s="50">
        <v>800</v>
      </c>
      <c r="L15" s="50">
        <f>I15*G15*8*24*0.001</f>
        <v>4</v>
      </c>
      <c r="M15" s="50"/>
      <c r="N15" s="50"/>
    </row>
    <row r="16" spans="1:15" ht="30" hidden="1" customHeight="1">
      <c r="A16" s="44" t="s">
        <v>666</v>
      </c>
      <c r="B16" s="44" t="s">
        <v>654</v>
      </c>
      <c r="C16" s="53" t="s">
        <v>667</v>
      </c>
      <c r="D16" s="49" t="s">
        <v>659</v>
      </c>
      <c r="E16" s="50">
        <v>400</v>
      </c>
      <c r="F16" s="50">
        <v>5</v>
      </c>
      <c r="G16" s="50">
        <v>80</v>
      </c>
      <c r="H16" s="51">
        <f>(F16+F57)/E16</f>
        <v>0.38750000000000001</v>
      </c>
      <c r="I16" s="51">
        <f>F16/E16</f>
        <v>1.2500000000000001E-2</v>
      </c>
      <c r="J16" s="52">
        <v>60</v>
      </c>
      <c r="K16" s="50">
        <v>750</v>
      </c>
      <c r="L16" s="50">
        <f>I16*G16*10*24*0.001</f>
        <v>0.24</v>
      </c>
      <c r="M16" s="50"/>
      <c r="N16" s="50"/>
    </row>
    <row r="17" spans="1:15" ht="30" hidden="1" customHeight="1">
      <c r="A17" s="44" t="s">
        <v>668</v>
      </c>
      <c r="B17" s="44" t="s">
        <v>654</v>
      </c>
      <c r="C17" s="53" t="s">
        <v>669</v>
      </c>
      <c r="D17" s="49" t="s">
        <v>656</v>
      </c>
      <c r="E17" s="50"/>
      <c r="F17" s="50"/>
      <c r="G17" s="50"/>
      <c r="H17" s="51"/>
      <c r="I17" s="51"/>
      <c r="J17" s="52"/>
      <c r="K17" s="50"/>
      <c r="L17" s="50"/>
      <c r="M17" s="50"/>
      <c r="N17" s="50"/>
    </row>
    <row r="18" spans="1:15" ht="30" hidden="1" customHeight="1">
      <c r="A18" s="44" t="s">
        <v>670</v>
      </c>
      <c r="B18" s="44" t="s">
        <v>654</v>
      </c>
      <c r="C18" s="53" t="s">
        <v>671</v>
      </c>
      <c r="D18" s="49" t="s">
        <v>659</v>
      </c>
      <c r="E18" s="50">
        <v>1000</v>
      </c>
      <c r="F18" s="50">
        <v>40</v>
      </c>
      <c r="G18" s="50">
        <v>185</v>
      </c>
      <c r="H18" s="51">
        <f>(F18+F19+F20+F21)/E18</f>
        <v>0.34</v>
      </c>
      <c r="I18" s="51">
        <f>F18/E18</f>
        <v>0.04</v>
      </c>
      <c r="J18" s="52">
        <v>40</v>
      </c>
      <c r="K18" s="50">
        <v>650</v>
      </c>
      <c r="L18" s="50">
        <f>I18*G18*8*24*0.001</f>
        <v>1.4208000000000003</v>
      </c>
      <c r="M18" s="50"/>
      <c r="N18" s="50"/>
    </row>
    <row r="19" spans="1:15" ht="30" hidden="1" customHeight="1">
      <c r="A19" s="44" t="s">
        <v>672</v>
      </c>
      <c r="B19" s="44" t="s">
        <v>654</v>
      </c>
      <c r="C19" s="53" t="s">
        <v>671</v>
      </c>
      <c r="D19" s="49" t="s">
        <v>659</v>
      </c>
      <c r="E19" s="50">
        <v>1000</v>
      </c>
      <c r="F19" s="50">
        <v>60</v>
      </c>
      <c r="G19" s="50">
        <v>185</v>
      </c>
      <c r="H19" s="51">
        <f>(F19+F20+F21+F18)/E19</f>
        <v>0.34</v>
      </c>
      <c r="I19" s="51">
        <f>F19/E19</f>
        <v>0.06</v>
      </c>
      <c r="J19" s="52">
        <v>40</v>
      </c>
      <c r="K19" s="50">
        <v>650</v>
      </c>
      <c r="L19" s="50">
        <f>I19*G19*8*24*0.001</f>
        <v>2.1311999999999998</v>
      </c>
      <c r="M19" s="50"/>
      <c r="N19" s="50"/>
    </row>
    <row r="20" spans="1:15" ht="30" hidden="1" customHeight="1">
      <c r="A20" s="44" t="s">
        <v>673</v>
      </c>
      <c r="B20" s="44" t="s">
        <v>654</v>
      </c>
      <c r="C20" s="53" t="s">
        <v>671</v>
      </c>
      <c r="D20" s="49" t="s">
        <v>659</v>
      </c>
      <c r="E20" s="50">
        <v>1000</v>
      </c>
      <c r="F20" s="50">
        <v>40</v>
      </c>
      <c r="G20" s="50">
        <v>185</v>
      </c>
      <c r="H20" s="51">
        <f>(F20+F21+F18+F19)/E20</f>
        <v>0.34</v>
      </c>
      <c r="I20" s="51">
        <f>F20/E20</f>
        <v>0.04</v>
      </c>
      <c r="J20" s="52">
        <v>40</v>
      </c>
      <c r="K20" s="50">
        <v>650</v>
      </c>
      <c r="L20" s="50">
        <f>I20*G20*8*24*0.001</f>
        <v>1.4208000000000003</v>
      </c>
      <c r="M20" s="50"/>
      <c r="N20" s="50"/>
    </row>
    <row r="21" spans="1:15" ht="30" hidden="1" customHeight="1">
      <c r="A21" s="44" t="s">
        <v>674</v>
      </c>
      <c r="B21" s="44" t="s">
        <v>654</v>
      </c>
      <c r="C21" s="53" t="s">
        <v>671</v>
      </c>
      <c r="D21" s="49" t="s">
        <v>659</v>
      </c>
      <c r="E21" s="50">
        <v>1000</v>
      </c>
      <c r="F21" s="50">
        <v>200</v>
      </c>
      <c r="G21" s="50">
        <v>185</v>
      </c>
      <c r="H21" s="51">
        <f>(F21+F18+F19+F20)/E21</f>
        <v>0.34</v>
      </c>
      <c r="I21" s="51">
        <f>F21/E21</f>
        <v>0.2</v>
      </c>
      <c r="J21" s="52">
        <v>40</v>
      </c>
      <c r="K21" s="50">
        <v>650</v>
      </c>
      <c r="L21" s="50">
        <f>I21*G21*8*24*0.001</f>
        <v>7.1040000000000001</v>
      </c>
      <c r="M21" s="50"/>
      <c r="N21" s="50"/>
    </row>
    <row r="22" spans="1:15" ht="30" hidden="1" customHeight="1">
      <c r="A22" s="44" t="s">
        <v>675</v>
      </c>
      <c r="B22" s="44" t="s">
        <v>654</v>
      </c>
      <c r="C22" s="53" t="s">
        <v>669</v>
      </c>
      <c r="D22" s="49" t="s">
        <v>659</v>
      </c>
      <c r="E22" s="50">
        <v>120</v>
      </c>
      <c r="F22" s="50">
        <v>25</v>
      </c>
      <c r="G22" s="50">
        <v>18</v>
      </c>
      <c r="H22" s="51">
        <f>F22/E22</f>
        <v>0.20833333333333334</v>
      </c>
      <c r="I22" s="51">
        <f>F22/E22</f>
        <v>0.20833333333333334</v>
      </c>
      <c r="J22" s="52">
        <v>35</v>
      </c>
      <c r="K22" s="50">
        <v>650</v>
      </c>
      <c r="L22" s="50">
        <f>I22*G22*10*24*0.001*1.5</f>
        <v>1.35</v>
      </c>
      <c r="M22" s="50"/>
      <c r="N22" s="50"/>
    </row>
    <row r="23" spans="1:15" ht="30" customHeight="1">
      <c r="A23" s="44" t="s">
        <v>676</v>
      </c>
      <c r="B23" s="44" t="s">
        <v>660</v>
      </c>
      <c r="C23" s="53" t="s">
        <v>677</v>
      </c>
      <c r="D23" s="49" t="s">
        <v>656</v>
      </c>
      <c r="E23" s="50"/>
      <c r="F23" s="50"/>
      <c r="G23" s="50"/>
      <c r="H23" s="51"/>
      <c r="I23" s="51"/>
      <c r="J23" s="52"/>
      <c r="K23" s="50"/>
      <c r="L23" s="50">
        <v>4</v>
      </c>
      <c r="M23" s="50"/>
      <c r="N23" s="50" t="s">
        <v>662</v>
      </c>
      <c r="O23" s="40" t="s">
        <v>1098</v>
      </c>
    </row>
    <row r="24" spans="1:15" ht="30" hidden="1" customHeight="1">
      <c r="A24" s="44" t="s">
        <v>678</v>
      </c>
      <c r="B24" s="44" t="s">
        <v>654</v>
      </c>
      <c r="C24" s="53" t="s">
        <v>667</v>
      </c>
      <c r="D24" s="49" t="s">
        <v>659</v>
      </c>
      <c r="E24" s="50">
        <v>350</v>
      </c>
      <c r="F24" s="50">
        <v>20</v>
      </c>
      <c r="G24" s="50">
        <v>87</v>
      </c>
      <c r="H24" s="51">
        <f>(F24+F26)/E24</f>
        <v>0.45714285714285713</v>
      </c>
      <c r="I24" s="51">
        <f>F24/E24</f>
        <v>5.7142857142857141E-2</v>
      </c>
      <c r="J24" s="52">
        <v>100</v>
      </c>
      <c r="K24" s="50">
        <v>1075</v>
      </c>
      <c r="L24" s="50">
        <f>I24*G24*8*24*0.001</f>
        <v>0.95451428571428576</v>
      </c>
      <c r="M24" s="50"/>
      <c r="N24" s="50"/>
    </row>
    <row r="25" spans="1:15" ht="30" hidden="1" customHeight="1">
      <c r="A25" s="44" t="s">
        <v>679</v>
      </c>
      <c r="B25" s="44" t="s">
        <v>654</v>
      </c>
      <c r="C25" s="53" t="s">
        <v>664</v>
      </c>
      <c r="D25" s="49" t="s">
        <v>659</v>
      </c>
      <c r="E25" s="50">
        <v>600</v>
      </c>
      <c r="F25" s="50">
        <v>350</v>
      </c>
      <c r="G25" s="50">
        <v>125</v>
      </c>
      <c r="H25" s="51">
        <f>F25/E25</f>
        <v>0.58333333333333337</v>
      </c>
      <c r="I25" s="51">
        <f>F25/E25</f>
        <v>0.58333333333333337</v>
      </c>
      <c r="J25" s="52">
        <v>90</v>
      </c>
      <c r="K25" s="50">
        <v>800</v>
      </c>
      <c r="L25" s="50">
        <f>I25*G25*8*24*0.001</f>
        <v>14</v>
      </c>
      <c r="M25" s="50"/>
      <c r="N25" s="50"/>
    </row>
    <row r="26" spans="1:15" ht="30" hidden="1" customHeight="1">
      <c r="A26" s="44" t="s">
        <v>680</v>
      </c>
      <c r="B26" s="44" t="s">
        <v>654</v>
      </c>
      <c r="C26" s="53" t="s">
        <v>667</v>
      </c>
      <c r="D26" s="49" t="s">
        <v>659</v>
      </c>
      <c r="E26" s="50">
        <v>350</v>
      </c>
      <c r="F26" s="50">
        <v>140</v>
      </c>
      <c r="G26" s="50">
        <v>87</v>
      </c>
      <c r="H26" s="51">
        <f>(F26+F24)/E26</f>
        <v>0.45714285714285713</v>
      </c>
      <c r="I26" s="51">
        <f>F26/E26</f>
        <v>0.4</v>
      </c>
      <c r="J26" s="52">
        <v>100</v>
      </c>
      <c r="K26" s="50">
        <v>1075</v>
      </c>
      <c r="L26" s="50">
        <f>I26*G26*8*24*0.001</f>
        <v>6.6816000000000004</v>
      </c>
      <c r="M26" s="50"/>
      <c r="N26" s="50" t="s">
        <v>632</v>
      </c>
    </row>
    <row r="27" spans="1:15" ht="30" hidden="1" customHeight="1">
      <c r="A27" s="44" t="s">
        <v>681</v>
      </c>
      <c r="B27" s="44" t="s">
        <v>654</v>
      </c>
      <c r="C27" s="48" t="s">
        <v>682</v>
      </c>
      <c r="D27" s="49" t="s">
        <v>659</v>
      </c>
      <c r="E27" s="50"/>
      <c r="F27" s="50"/>
      <c r="G27" s="50"/>
      <c r="H27" s="51"/>
      <c r="I27" s="51"/>
      <c r="J27" s="52"/>
      <c r="K27" s="50"/>
      <c r="L27" s="50"/>
      <c r="M27" s="50"/>
      <c r="N27" s="50" t="s">
        <v>683</v>
      </c>
    </row>
    <row r="28" spans="1:15" ht="30" hidden="1" customHeight="1">
      <c r="A28" s="44" t="s">
        <v>684</v>
      </c>
      <c r="B28" s="44" t="s">
        <v>654</v>
      </c>
      <c r="C28" s="48" t="s">
        <v>655</v>
      </c>
      <c r="D28" s="49" t="s">
        <v>659</v>
      </c>
      <c r="E28" s="50">
        <v>150</v>
      </c>
      <c r="F28" s="50">
        <v>50</v>
      </c>
      <c r="G28" s="50">
        <v>50</v>
      </c>
      <c r="H28" s="51">
        <f>(F28)/E28</f>
        <v>0.33333333333333331</v>
      </c>
      <c r="I28" s="51">
        <f>F28/E28</f>
        <v>0.33333333333333331</v>
      </c>
      <c r="J28" s="52">
        <v>20</v>
      </c>
      <c r="K28" s="50">
        <v>850</v>
      </c>
      <c r="L28" s="50">
        <f>I28*G28*8*24*0.001</f>
        <v>3.1999999999999997</v>
      </c>
      <c r="M28" s="50"/>
      <c r="N28" s="50"/>
    </row>
    <row r="29" spans="1:15" ht="30" hidden="1" customHeight="1">
      <c r="A29" s="44" t="s">
        <v>685</v>
      </c>
      <c r="B29" s="44" t="s">
        <v>654</v>
      </c>
      <c r="C29" s="53" t="s">
        <v>669</v>
      </c>
      <c r="D29" s="49" t="s">
        <v>659</v>
      </c>
      <c r="E29" s="50">
        <v>120</v>
      </c>
      <c r="F29" s="50">
        <v>20</v>
      </c>
      <c r="G29" s="50">
        <v>18</v>
      </c>
      <c r="H29" s="51">
        <f>(F29)/E29</f>
        <v>0.16666666666666666</v>
      </c>
      <c r="I29" s="51">
        <f>F29/E29</f>
        <v>0.16666666666666666</v>
      </c>
      <c r="J29" s="52">
        <v>20</v>
      </c>
      <c r="K29" s="50">
        <v>620</v>
      </c>
      <c r="L29" s="50">
        <f>I29*G29*8*24*0.001</f>
        <v>0.57600000000000007</v>
      </c>
      <c r="M29" s="50"/>
      <c r="N29" s="50"/>
    </row>
    <row r="30" spans="1:15" ht="30" hidden="1" customHeight="1">
      <c r="A30" s="44" t="s">
        <v>686</v>
      </c>
      <c r="B30" s="44" t="s">
        <v>654</v>
      </c>
      <c r="C30" s="53" t="s">
        <v>687</v>
      </c>
      <c r="D30" s="49" t="s">
        <v>659</v>
      </c>
      <c r="E30" s="50">
        <v>400</v>
      </c>
      <c r="F30" s="50">
        <v>105</v>
      </c>
      <c r="G30" s="50">
        <v>75</v>
      </c>
      <c r="H30" s="51">
        <f>(F30+F32+F31)/E30</f>
        <v>0.625</v>
      </c>
      <c r="I30" s="51">
        <f t="shared" ref="I30:I39" si="0">F30/E30</f>
        <v>0.26250000000000001</v>
      </c>
      <c r="J30" s="52">
        <v>200</v>
      </c>
      <c r="K30" s="50">
        <v>850</v>
      </c>
      <c r="L30" s="50">
        <f>I30*G30*8*24*0.001</f>
        <v>3.7800000000000002</v>
      </c>
      <c r="M30" s="50"/>
      <c r="N30" s="50"/>
    </row>
    <row r="31" spans="1:15" ht="30" hidden="1" customHeight="1">
      <c r="A31" s="44" t="s">
        <v>688</v>
      </c>
      <c r="B31" s="44" t="s">
        <v>654</v>
      </c>
      <c r="C31" s="53" t="s">
        <v>687</v>
      </c>
      <c r="D31" s="49" t="s">
        <v>659</v>
      </c>
      <c r="E31" s="50">
        <v>400</v>
      </c>
      <c r="F31" s="50">
        <v>105</v>
      </c>
      <c r="G31" s="50">
        <v>75</v>
      </c>
      <c r="H31" s="51">
        <f>(F31+F30+F32)/E31</f>
        <v>0.625</v>
      </c>
      <c r="I31" s="51">
        <f t="shared" si="0"/>
        <v>0.26250000000000001</v>
      </c>
      <c r="J31" s="52">
        <v>200</v>
      </c>
      <c r="K31" s="50">
        <v>850</v>
      </c>
      <c r="L31" s="50">
        <f>I31*G31*8*24*0.001</f>
        <v>3.7800000000000002</v>
      </c>
      <c r="M31" s="50"/>
      <c r="N31" s="50"/>
    </row>
    <row r="32" spans="1:15" ht="30" hidden="1" customHeight="1">
      <c r="A32" s="44" t="s">
        <v>689</v>
      </c>
      <c r="B32" s="44" t="s">
        <v>654</v>
      </c>
      <c r="C32" s="53" t="s">
        <v>687</v>
      </c>
      <c r="D32" s="49" t="s">
        <v>659</v>
      </c>
      <c r="E32" s="50">
        <v>400</v>
      </c>
      <c r="F32" s="50">
        <v>40</v>
      </c>
      <c r="G32" s="50">
        <v>75</v>
      </c>
      <c r="H32" s="51">
        <f>(F32+F31+F30)/E32</f>
        <v>0.625</v>
      </c>
      <c r="I32" s="51">
        <f t="shared" si="0"/>
        <v>0.1</v>
      </c>
      <c r="J32" s="52">
        <v>20</v>
      </c>
      <c r="K32" s="50">
        <v>700</v>
      </c>
      <c r="L32" s="50">
        <f t="shared" ref="L32:L40" si="1">I32*G32*8*24*0.001</f>
        <v>1.44</v>
      </c>
      <c r="M32" s="50"/>
      <c r="N32" s="50"/>
    </row>
    <row r="33" spans="1:14" ht="30" hidden="1" customHeight="1">
      <c r="A33" s="44" t="s">
        <v>690</v>
      </c>
      <c r="B33" s="44" t="s">
        <v>654</v>
      </c>
      <c r="C33" s="53" t="s">
        <v>667</v>
      </c>
      <c r="D33" s="49" t="s">
        <v>659</v>
      </c>
      <c r="E33" s="50">
        <v>350</v>
      </c>
      <c r="F33" s="50">
        <v>20</v>
      </c>
      <c r="G33" s="50">
        <v>87</v>
      </c>
      <c r="H33" s="51">
        <f>(F37+F38+F33+F35+F36+F48+F66+F34)/E33</f>
        <v>2.7857142857142856</v>
      </c>
      <c r="I33" s="51">
        <f>F33/E33</f>
        <v>5.7142857142857141E-2</v>
      </c>
      <c r="J33" s="52">
        <v>60</v>
      </c>
      <c r="K33" s="50">
        <v>850</v>
      </c>
      <c r="L33" s="50">
        <f>I33*G33*8*24*0.001</f>
        <v>0.95451428571428576</v>
      </c>
      <c r="M33" s="50"/>
      <c r="N33" s="50" t="s">
        <v>683</v>
      </c>
    </row>
    <row r="34" spans="1:14" ht="30" hidden="1" customHeight="1">
      <c r="A34" s="44" t="s">
        <v>691</v>
      </c>
      <c r="B34" s="44" t="s">
        <v>654</v>
      </c>
      <c r="C34" s="53" t="s">
        <v>667</v>
      </c>
      <c r="D34" s="49" t="s">
        <v>659</v>
      </c>
      <c r="E34" s="50">
        <v>350</v>
      </c>
      <c r="F34" s="50">
        <v>100</v>
      </c>
      <c r="G34" s="50">
        <v>87</v>
      </c>
      <c r="H34" s="51">
        <f>(F37+F38+F34+F35+F36+F48+F66+F33)/E34</f>
        <v>2.7857142857142856</v>
      </c>
      <c r="I34" s="51">
        <f t="shared" si="0"/>
        <v>0.2857142857142857</v>
      </c>
      <c r="J34" s="52">
        <v>60</v>
      </c>
      <c r="K34" s="50">
        <v>850</v>
      </c>
      <c r="L34" s="50">
        <f t="shared" si="1"/>
        <v>4.7725714285714274</v>
      </c>
      <c r="M34" s="50"/>
      <c r="N34" s="50" t="s">
        <v>683</v>
      </c>
    </row>
    <row r="35" spans="1:14" ht="30" hidden="1" customHeight="1">
      <c r="A35" s="44" t="s">
        <v>692</v>
      </c>
      <c r="B35" s="44" t="s">
        <v>654</v>
      </c>
      <c r="C35" s="53" t="s">
        <v>667</v>
      </c>
      <c r="D35" s="49" t="s">
        <v>659</v>
      </c>
      <c r="E35" s="50">
        <v>350</v>
      </c>
      <c r="F35" s="50">
        <v>20</v>
      </c>
      <c r="G35" s="50">
        <v>87</v>
      </c>
      <c r="H35" s="51">
        <f>(F38+F34+F35+F36+F37+F48+F66+F33)/E35</f>
        <v>2.7857142857142856</v>
      </c>
      <c r="I35" s="51">
        <f t="shared" si="0"/>
        <v>5.7142857142857141E-2</v>
      </c>
      <c r="J35" s="52">
        <v>60</v>
      </c>
      <c r="K35" s="50">
        <v>850</v>
      </c>
      <c r="L35" s="50">
        <f t="shared" si="1"/>
        <v>0.95451428571428576</v>
      </c>
      <c r="M35" s="50"/>
      <c r="N35" s="50" t="s">
        <v>683</v>
      </c>
    </row>
    <row r="36" spans="1:14" ht="30" hidden="1" customHeight="1">
      <c r="A36" s="44" t="s">
        <v>693</v>
      </c>
      <c r="B36" s="44" t="s">
        <v>654</v>
      </c>
      <c r="C36" s="53" t="s">
        <v>667</v>
      </c>
      <c r="D36" s="49" t="s">
        <v>659</v>
      </c>
      <c r="E36" s="50">
        <v>350</v>
      </c>
      <c r="F36" s="50">
        <v>50</v>
      </c>
      <c r="G36" s="50">
        <v>87</v>
      </c>
      <c r="H36" s="51">
        <f>(F34+F35+F36+F37+F38+F48+F66+F33)/E36</f>
        <v>2.7857142857142856</v>
      </c>
      <c r="I36" s="51">
        <f t="shared" si="0"/>
        <v>0.14285714285714285</v>
      </c>
      <c r="J36" s="52">
        <v>35</v>
      </c>
      <c r="K36" s="50">
        <v>900</v>
      </c>
      <c r="L36" s="50">
        <f t="shared" si="1"/>
        <v>2.3862857142857137</v>
      </c>
      <c r="M36" s="50"/>
      <c r="N36" s="50" t="s">
        <v>683</v>
      </c>
    </row>
    <row r="37" spans="1:14" ht="30" hidden="1" customHeight="1">
      <c r="A37" s="44" t="s">
        <v>694</v>
      </c>
      <c r="B37" s="44" t="s">
        <v>654</v>
      </c>
      <c r="C37" s="53" t="s">
        <v>667</v>
      </c>
      <c r="D37" s="49" t="s">
        <v>659</v>
      </c>
      <c r="E37" s="50">
        <v>350</v>
      </c>
      <c r="F37" s="50">
        <v>125</v>
      </c>
      <c r="G37" s="50">
        <v>87</v>
      </c>
      <c r="H37" s="51">
        <f>(F34+F35+F37+F38+F36+F48+F66+F33)/E37</f>
        <v>2.7857142857142856</v>
      </c>
      <c r="I37" s="51">
        <f t="shared" si="0"/>
        <v>0.35714285714285715</v>
      </c>
      <c r="J37" s="52">
        <v>35</v>
      </c>
      <c r="K37" s="50">
        <v>900</v>
      </c>
      <c r="L37" s="50">
        <f t="shared" si="1"/>
        <v>5.9657142857142862</v>
      </c>
      <c r="M37" s="50"/>
      <c r="N37" s="50" t="s">
        <v>683</v>
      </c>
    </row>
    <row r="38" spans="1:14" ht="30" hidden="1" customHeight="1">
      <c r="A38" s="44" t="s">
        <v>695</v>
      </c>
      <c r="B38" s="44" t="s">
        <v>654</v>
      </c>
      <c r="C38" s="53" t="s">
        <v>667</v>
      </c>
      <c r="D38" s="49" t="s">
        <v>659</v>
      </c>
      <c r="E38" s="50">
        <v>350</v>
      </c>
      <c r="F38" s="50">
        <v>5</v>
      </c>
      <c r="G38" s="50">
        <v>87</v>
      </c>
      <c r="H38" s="51">
        <f>(F34+F35+F38+F36+F37+F48+F66+F33)/E38</f>
        <v>2.7857142857142856</v>
      </c>
      <c r="I38" s="51">
        <f t="shared" si="0"/>
        <v>1.4285714285714285E-2</v>
      </c>
      <c r="J38" s="52">
        <v>35</v>
      </c>
      <c r="K38" s="50">
        <v>900</v>
      </c>
      <c r="L38" s="50">
        <f t="shared" si="1"/>
        <v>0.23862857142857144</v>
      </c>
      <c r="M38" s="50"/>
      <c r="N38" s="50" t="s">
        <v>683</v>
      </c>
    </row>
    <row r="39" spans="1:14" ht="30" hidden="1" customHeight="1">
      <c r="A39" s="44" t="s">
        <v>696</v>
      </c>
      <c r="B39" s="44" t="s">
        <v>654</v>
      </c>
      <c r="C39" s="48" t="s">
        <v>655</v>
      </c>
      <c r="D39" s="49" t="s">
        <v>656</v>
      </c>
      <c r="E39" s="50">
        <v>400</v>
      </c>
      <c r="F39" s="50">
        <v>0</v>
      </c>
      <c r="G39" s="50">
        <v>55</v>
      </c>
      <c r="H39" s="51">
        <f>(F39+F41+F40+F42)/E39</f>
        <v>0.27500000000000002</v>
      </c>
      <c r="I39" s="51">
        <f t="shared" si="0"/>
        <v>0</v>
      </c>
      <c r="J39" s="52">
        <v>60</v>
      </c>
      <c r="K39" s="50">
        <v>650</v>
      </c>
      <c r="L39" s="50">
        <f t="shared" si="1"/>
        <v>0</v>
      </c>
      <c r="M39" s="50"/>
      <c r="N39" s="50"/>
    </row>
    <row r="40" spans="1:14" ht="30" hidden="1" customHeight="1">
      <c r="A40" s="44" t="s">
        <v>697</v>
      </c>
      <c r="B40" s="44" t="s">
        <v>654</v>
      </c>
      <c r="C40" s="48" t="s">
        <v>655</v>
      </c>
      <c r="D40" s="49" t="s">
        <v>659</v>
      </c>
      <c r="E40" s="50">
        <v>400</v>
      </c>
      <c r="F40" s="50">
        <v>5</v>
      </c>
      <c r="G40" s="50">
        <v>55</v>
      </c>
      <c r="H40" s="51">
        <f>(F40+F39+F41+F42)/E40</f>
        <v>0.27500000000000002</v>
      </c>
      <c r="I40" s="51">
        <f>F40/E40</f>
        <v>1.2500000000000001E-2</v>
      </c>
      <c r="J40" s="52">
        <v>60</v>
      </c>
      <c r="K40" s="50">
        <v>650</v>
      </c>
      <c r="L40" s="50">
        <f t="shared" si="1"/>
        <v>0.13200000000000001</v>
      </c>
      <c r="M40" s="50"/>
      <c r="N40" s="50"/>
    </row>
    <row r="41" spans="1:14" ht="30" hidden="1" customHeight="1">
      <c r="A41" s="44" t="s">
        <v>698</v>
      </c>
      <c r="B41" s="44" t="s">
        <v>654</v>
      </c>
      <c r="C41" s="48" t="s">
        <v>655</v>
      </c>
      <c r="D41" s="49" t="s">
        <v>659</v>
      </c>
      <c r="E41" s="50">
        <v>400</v>
      </c>
      <c r="F41" s="50">
        <v>100</v>
      </c>
      <c r="G41" s="50">
        <v>55</v>
      </c>
      <c r="H41" s="51">
        <f>(F41+F39+F40+F42)/E41</f>
        <v>0.27500000000000002</v>
      </c>
      <c r="I41" s="51">
        <f>F41/E41</f>
        <v>0.25</v>
      </c>
      <c r="J41" s="52">
        <v>60</v>
      </c>
      <c r="K41" s="50">
        <v>650</v>
      </c>
      <c r="L41" s="50">
        <f>I41*G41*8*24*0.001</f>
        <v>2.64</v>
      </c>
      <c r="M41" s="50"/>
      <c r="N41" s="50"/>
    </row>
    <row r="42" spans="1:14" ht="30" hidden="1" customHeight="1">
      <c r="A42" s="44" t="s">
        <v>699</v>
      </c>
      <c r="B42" s="44" t="s">
        <v>654</v>
      </c>
      <c r="C42" s="48" t="s">
        <v>655</v>
      </c>
      <c r="D42" s="49" t="s">
        <v>659</v>
      </c>
      <c r="E42" s="50">
        <v>400</v>
      </c>
      <c r="F42" s="50">
        <v>5</v>
      </c>
      <c r="G42" s="50">
        <v>55</v>
      </c>
      <c r="H42" s="51">
        <f>(F42+F39+F40+F41)/E42</f>
        <v>0.27500000000000002</v>
      </c>
      <c r="I42" s="51">
        <f>F42/E42</f>
        <v>1.2500000000000001E-2</v>
      </c>
      <c r="J42" s="52">
        <v>60</v>
      </c>
      <c r="K42" s="50">
        <v>650</v>
      </c>
      <c r="L42" s="50">
        <f>I42*G42*8*24*0.001</f>
        <v>0.13200000000000001</v>
      </c>
      <c r="M42" s="50"/>
      <c r="N42" s="50"/>
    </row>
    <row r="43" spans="1:14" ht="30" hidden="1" customHeight="1">
      <c r="A43" s="44" t="s">
        <v>700</v>
      </c>
      <c r="B43" s="44" t="s">
        <v>654</v>
      </c>
      <c r="C43" s="48" t="s">
        <v>682</v>
      </c>
      <c r="D43" s="49" t="s">
        <v>659</v>
      </c>
      <c r="E43" s="50" t="s">
        <v>632</v>
      </c>
      <c r="F43" s="50" t="s">
        <v>632</v>
      </c>
      <c r="G43" s="50" t="s">
        <v>632</v>
      </c>
      <c r="H43" s="51" t="s">
        <v>632</v>
      </c>
      <c r="I43" s="51" t="s">
        <v>632</v>
      </c>
      <c r="J43" s="52" t="s">
        <v>632</v>
      </c>
      <c r="K43" s="50" t="s">
        <v>632</v>
      </c>
      <c r="L43" s="50" t="s">
        <v>632</v>
      </c>
      <c r="M43" s="50"/>
      <c r="N43" s="50" t="s">
        <v>683</v>
      </c>
    </row>
    <row r="44" spans="1:14" ht="30" hidden="1" customHeight="1">
      <c r="A44" s="44" t="s">
        <v>701</v>
      </c>
      <c r="B44" s="44" t="s">
        <v>654</v>
      </c>
      <c r="C44" s="48" t="s">
        <v>682</v>
      </c>
      <c r="D44" s="49" t="s">
        <v>659</v>
      </c>
      <c r="E44" s="50"/>
      <c r="F44" s="50"/>
      <c r="G44" s="50"/>
      <c r="H44" s="51"/>
      <c r="I44" s="51"/>
      <c r="J44" s="52"/>
      <c r="K44" s="50"/>
      <c r="L44" s="50"/>
      <c r="M44" s="50"/>
      <c r="N44" s="50" t="s">
        <v>683</v>
      </c>
    </row>
    <row r="45" spans="1:14" ht="30" hidden="1" customHeight="1">
      <c r="A45" s="44" t="s">
        <v>702</v>
      </c>
      <c r="B45" s="44" t="s">
        <v>654</v>
      </c>
      <c r="C45" s="48" t="s">
        <v>682</v>
      </c>
      <c r="D45" s="49" t="s">
        <v>659</v>
      </c>
      <c r="E45" s="50"/>
      <c r="F45" s="50"/>
      <c r="G45" s="50"/>
      <c r="H45" s="51"/>
      <c r="I45" s="51"/>
      <c r="J45" s="52"/>
      <c r="K45" s="50"/>
      <c r="L45" s="50"/>
      <c r="M45" s="50"/>
      <c r="N45" s="50" t="s">
        <v>683</v>
      </c>
    </row>
    <row r="46" spans="1:14" ht="30" hidden="1" customHeight="1">
      <c r="A46" s="44" t="s">
        <v>703</v>
      </c>
      <c r="B46" s="44" t="s">
        <v>654</v>
      </c>
      <c r="C46" s="53" t="s">
        <v>667</v>
      </c>
      <c r="D46" s="49" t="s">
        <v>659</v>
      </c>
      <c r="E46" s="50">
        <v>400</v>
      </c>
      <c r="F46" s="50">
        <v>300</v>
      </c>
      <c r="G46" s="50">
        <v>87</v>
      </c>
      <c r="H46" s="51">
        <f>(F46)/E46</f>
        <v>0.75</v>
      </c>
      <c r="I46" s="51">
        <f>F46/E46</f>
        <v>0.75</v>
      </c>
      <c r="J46" s="52">
        <v>50</v>
      </c>
      <c r="K46" s="50">
        <v>600</v>
      </c>
      <c r="L46" s="50">
        <f>I46*G46*8*24*0.001</f>
        <v>12.528</v>
      </c>
      <c r="M46" s="50"/>
      <c r="N46" s="50"/>
    </row>
    <row r="47" spans="1:14" ht="30" hidden="1" customHeight="1">
      <c r="A47" s="44" t="s">
        <v>704</v>
      </c>
      <c r="B47" s="44" t="s">
        <v>654</v>
      </c>
      <c r="C47" s="48" t="s">
        <v>655</v>
      </c>
      <c r="D47" s="49" t="s">
        <v>659</v>
      </c>
      <c r="E47" s="50">
        <v>200</v>
      </c>
      <c r="F47" s="50">
        <v>130</v>
      </c>
      <c r="G47" s="50">
        <v>50</v>
      </c>
      <c r="H47" s="51">
        <f>(F47+F54)/E47</f>
        <v>0.9</v>
      </c>
      <c r="I47" s="51">
        <f>F47/E47</f>
        <v>0.65</v>
      </c>
      <c r="J47" s="52">
        <v>50</v>
      </c>
      <c r="K47" s="50">
        <v>700</v>
      </c>
      <c r="L47" s="50">
        <f>I47*G47*8*24*0.001</f>
        <v>6.24</v>
      </c>
      <c r="M47" s="50"/>
      <c r="N47" s="50"/>
    </row>
    <row r="48" spans="1:14" ht="30" hidden="1" customHeight="1">
      <c r="A48" s="44" t="s">
        <v>705</v>
      </c>
      <c r="B48" s="44" t="s">
        <v>654</v>
      </c>
      <c r="C48" s="53" t="s">
        <v>667</v>
      </c>
      <c r="D48" s="49" t="s">
        <v>659</v>
      </c>
      <c r="E48" s="50">
        <v>350</v>
      </c>
      <c r="F48" s="50">
        <v>30</v>
      </c>
      <c r="G48" s="50">
        <v>87</v>
      </c>
      <c r="H48" s="51">
        <f>(F34+F35+F48+F36+F37+F38+F66+F33)/E48</f>
        <v>2.7857142857142856</v>
      </c>
      <c r="I48" s="51">
        <f>F48/E48</f>
        <v>8.5714285714285715E-2</v>
      </c>
      <c r="J48" s="52">
        <v>35</v>
      </c>
      <c r="K48" s="50">
        <v>900</v>
      </c>
      <c r="L48" s="50">
        <f>I48*G48*8*24*0.001</f>
        <v>1.4317714285714287</v>
      </c>
      <c r="M48" s="50"/>
      <c r="N48" s="50" t="s">
        <v>683</v>
      </c>
    </row>
    <row r="49" spans="1:15" ht="30" hidden="1" customHeight="1">
      <c r="A49" s="44" t="s">
        <v>706</v>
      </c>
      <c r="B49" s="44" t="s">
        <v>654</v>
      </c>
      <c r="C49" s="48" t="s">
        <v>707</v>
      </c>
      <c r="D49" s="49" t="s">
        <v>659</v>
      </c>
      <c r="E49" s="50">
        <v>200</v>
      </c>
      <c r="F49" s="50">
        <v>60</v>
      </c>
      <c r="G49" s="50">
        <v>40</v>
      </c>
      <c r="H49" s="51">
        <f>(F49)/E49</f>
        <v>0.3</v>
      </c>
      <c r="I49" s="51">
        <f>F49/E49</f>
        <v>0.3</v>
      </c>
      <c r="J49" s="52">
        <v>60</v>
      </c>
      <c r="K49" s="50">
        <v>650</v>
      </c>
      <c r="L49" s="50">
        <f>I49*G49*8*24*0.001</f>
        <v>2.3040000000000003</v>
      </c>
      <c r="M49" s="50"/>
      <c r="N49" s="50"/>
    </row>
    <row r="50" spans="1:15" ht="30" hidden="1" customHeight="1">
      <c r="A50" s="44" t="s">
        <v>708</v>
      </c>
      <c r="B50" s="44" t="s">
        <v>654</v>
      </c>
      <c r="C50" s="48" t="s">
        <v>682</v>
      </c>
      <c r="D50" s="49" t="s">
        <v>659</v>
      </c>
      <c r="E50" s="50"/>
      <c r="F50" s="50"/>
      <c r="G50" s="50" t="s">
        <v>632</v>
      </c>
      <c r="H50" s="51"/>
      <c r="I50" s="51"/>
      <c r="J50" s="52"/>
      <c r="K50" s="50"/>
      <c r="L50" s="50"/>
      <c r="M50" s="50"/>
      <c r="N50" s="50" t="s">
        <v>683</v>
      </c>
    </row>
    <row r="51" spans="1:15" ht="30" hidden="1" customHeight="1">
      <c r="A51" s="44" t="s">
        <v>709</v>
      </c>
      <c r="B51" s="44" t="s">
        <v>654</v>
      </c>
      <c r="C51" s="53" t="s">
        <v>667</v>
      </c>
      <c r="D51" s="49" t="s">
        <v>659</v>
      </c>
      <c r="E51" s="50">
        <v>300</v>
      </c>
      <c r="F51" s="50">
        <v>200</v>
      </c>
      <c r="G51" s="50">
        <v>80</v>
      </c>
      <c r="H51" s="51">
        <f>(F51+F53)/E51</f>
        <v>0.66666666666666663</v>
      </c>
      <c r="I51" s="51">
        <f>F51/E51</f>
        <v>0.66666666666666663</v>
      </c>
      <c r="J51" s="52">
        <v>35</v>
      </c>
      <c r="K51" s="50">
        <v>750</v>
      </c>
      <c r="L51" s="50">
        <f>I51*G51*8*24*0.001</f>
        <v>10.24</v>
      </c>
      <c r="M51" s="50"/>
      <c r="N51" s="50"/>
    </row>
    <row r="52" spans="1:15" ht="30" hidden="1" customHeight="1">
      <c r="A52" s="44" t="s">
        <v>710</v>
      </c>
      <c r="B52" s="44" t="s">
        <v>654</v>
      </c>
      <c r="C52" s="53" t="s">
        <v>667</v>
      </c>
      <c r="D52" s="49" t="s">
        <v>656</v>
      </c>
      <c r="E52" s="50">
        <v>300</v>
      </c>
      <c r="F52" s="50">
        <v>0</v>
      </c>
      <c r="G52" s="50">
        <v>80</v>
      </c>
      <c r="H52" s="51">
        <f>(F52+F51)/E52</f>
        <v>0.66666666666666663</v>
      </c>
      <c r="I52" s="51">
        <f>F52/E52</f>
        <v>0</v>
      </c>
      <c r="J52" s="52">
        <v>100</v>
      </c>
      <c r="K52" s="50">
        <v>750</v>
      </c>
      <c r="L52" s="50">
        <f>I52*G52*8*24*0.001</f>
        <v>0</v>
      </c>
      <c r="M52" s="50"/>
      <c r="N52" s="50"/>
    </row>
    <row r="53" spans="1:15" ht="30" customHeight="1">
      <c r="A53" s="44" t="s">
        <v>711</v>
      </c>
      <c r="B53" s="44" t="s">
        <v>660</v>
      </c>
      <c r="C53" s="53" t="s">
        <v>712</v>
      </c>
      <c r="D53" s="49" t="s">
        <v>656</v>
      </c>
      <c r="E53" s="50"/>
      <c r="F53" s="50"/>
      <c r="G53" s="50"/>
      <c r="H53" s="51"/>
      <c r="I53" s="51"/>
      <c r="J53" s="52"/>
      <c r="K53" s="50"/>
      <c r="L53" s="50">
        <v>4</v>
      </c>
      <c r="M53" s="50"/>
      <c r="N53" s="50" t="s">
        <v>662</v>
      </c>
      <c r="O53" s="40" t="s">
        <v>1098</v>
      </c>
    </row>
    <row r="54" spans="1:15" ht="30" hidden="1" customHeight="1">
      <c r="A54" s="44" t="s">
        <v>713</v>
      </c>
      <c r="B54" s="44" t="s">
        <v>654</v>
      </c>
      <c r="C54" s="53" t="s">
        <v>714</v>
      </c>
      <c r="D54" s="49" t="s">
        <v>659</v>
      </c>
      <c r="E54" s="50">
        <v>200</v>
      </c>
      <c r="F54" s="50">
        <v>50</v>
      </c>
      <c r="G54" s="50">
        <v>50</v>
      </c>
      <c r="H54" s="51">
        <f>(F54+F47)/E54</f>
        <v>0.9</v>
      </c>
      <c r="I54" s="51">
        <f>F54/E54</f>
        <v>0.25</v>
      </c>
      <c r="J54" s="52">
        <v>50</v>
      </c>
      <c r="K54" s="50">
        <v>700</v>
      </c>
      <c r="L54" s="50">
        <f>I54*G54*8*24*0.001</f>
        <v>2.4</v>
      </c>
      <c r="M54" s="50"/>
      <c r="N54" s="50"/>
    </row>
    <row r="55" spans="1:15" ht="30" customHeight="1">
      <c r="A55" s="44" t="s">
        <v>713</v>
      </c>
      <c r="B55" s="44" t="s">
        <v>660</v>
      </c>
      <c r="C55" s="53" t="s">
        <v>715</v>
      </c>
      <c r="D55" s="49" t="s">
        <v>656</v>
      </c>
      <c r="E55" s="50"/>
      <c r="F55" s="50"/>
      <c r="G55" s="50"/>
      <c r="H55" s="51"/>
      <c r="I55" s="51"/>
      <c r="J55" s="52"/>
      <c r="K55" s="50"/>
      <c r="L55" s="50">
        <v>4</v>
      </c>
      <c r="M55" s="50"/>
      <c r="N55" s="50" t="s">
        <v>662</v>
      </c>
      <c r="O55" s="40">
        <v>99186</v>
      </c>
    </row>
    <row r="56" spans="1:15" ht="30" hidden="1" customHeight="1">
      <c r="A56" s="44" t="s">
        <v>716</v>
      </c>
      <c r="B56" s="44" t="s">
        <v>654</v>
      </c>
      <c r="C56" s="53" t="s">
        <v>667</v>
      </c>
      <c r="D56" s="49" t="s">
        <v>659</v>
      </c>
      <c r="E56" s="50">
        <v>350</v>
      </c>
      <c r="F56" s="50">
        <v>150</v>
      </c>
      <c r="G56" s="50">
        <v>80</v>
      </c>
      <c r="H56" s="51">
        <f>(F56+F74)/E56</f>
        <v>0.47142857142857142</v>
      </c>
      <c r="I56" s="51">
        <f>F56/E56</f>
        <v>0.42857142857142855</v>
      </c>
      <c r="J56" s="52">
        <v>30</v>
      </c>
      <c r="K56" s="50">
        <v>900</v>
      </c>
      <c r="L56" s="50">
        <f>I56*G56*8*24*0.001</f>
        <v>6.5828571428571436</v>
      </c>
      <c r="M56" s="50"/>
      <c r="N56" s="50" t="s">
        <v>683</v>
      </c>
    </row>
    <row r="57" spans="1:15" ht="30" hidden="1" customHeight="1">
      <c r="A57" s="44" t="s">
        <v>717</v>
      </c>
      <c r="B57" s="44" t="s">
        <v>654</v>
      </c>
      <c r="C57" s="53" t="s">
        <v>667</v>
      </c>
      <c r="D57" s="49" t="s">
        <v>659</v>
      </c>
      <c r="E57" s="50">
        <v>400</v>
      </c>
      <c r="F57" s="50">
        <v>150</v>
      </c>
      <c r="G57" s="50">
        <v>80</v>
      </c>
      <c r="H57" s="51">
        <f>(F57+F16)/E57</f>
        <v>0.38750000000000001</v>
      </c>
      <c r="I57" s="51">
        <f>F57/E57</f>
        <v>0.375</v>
      </c>
      <c r="J57" s="52">
        <v>60</v>
      </c>
      <c r="K57" s="50">
        <v>750</v>
      </c>
      <c r="L57" s="50">
        <f>I57*G57*8*24*0.001</f>
        <v>5.76</v>
      </c>
      <c r="M57" s="50"/>
      <c r="N57" s="50"/>
    </row>
    <row r="58" spans="1:15" ht="30" hidden="1" customHeight="1">
      <c r="A58" s="44" t="s">
        <v>718</v>
      </c>
      <c r="B58" s="44" t="s">
        <v>654</v>
      </c>
      <c r="C58" s="48" t="s">
        <v>682</v>
      </c>
      <c r="D58" s="49" t="s">
        <v>656</v>
      </c>
      <c r="E58" s="50">
        <v>700</v>
      </c>
      <c r="F58" s="50" t="s">
        <v>632</v>
      </c>
      <c r="G58" s="50">
        <v>125</v>
      </c>
      <c r="H58" s="51">
        <f>(F58)/E58</f>
        <v>0</v>
      </c>
      <c r="I58" s="51">
        <f>F58/E58</f>
        <v>0</v>
      </c>
      <c r="J58" s="52">
        <v>100</v>
      </c>
      <c r="K58" s="50">
        <v>600</v>
      </c>
      <c r="L58" s="50">
        <f>I58*G58*8*24*0.001</f>
        <v>0</v>
      </c>
      <c r="M58" s="50"/>
      <c r="N58" s="50"/>
    </row>
    <row r="59" spans="1:15" ht="30" customHeight="1">
      <c r="A59" s="44" t="s">
        <v>719</v>
      </c>
      <c r="B59" s="44" t="s">
        <v>660</v>
      </c>
      <c r="C59" s="44" t="s">
        <v>720</v>
      </c>
      <c r="D59" s="49" t="s">
        <v>632</v>
      </c>
      <c r="E59" s="50"/>
      <c r="F59" s="50"/>
      <c r="G59" s="50"/>
      <c r="H59" s="51"/>
      <c r="I59" s="51"/>
      <c r="J59" s="52"/>
      <c r="K59" s="50"/>
      <c r="L59" s="50">
        <v>0</v>
      </c>
      <c r="M59" s="50" t="s">
        <v>632</v>
      </c>
      <c r="N59" s="50" t="s">
        <v>632</v>
      </c>
      <c r="O59" s="40" t="s">
        <v>1098</v>
      </c>
    </row>
    <row r="60" spans="1:15" ht="30" customHeight="1">
      <c r="A60" s="44" t="s">
        <v>721</v>
      </c>
      <c r="B60" s="44" t="s">
        <v>660</v>
      </c>
      <c r="C60" s="53" t="s">
        <v>722</v>
      </c>
      <c r="D60" s="49" t="s">
        <v>659</v>
      </c>
      <c r="E60" s="50" t="s">
        <v>632</v>
      </c>
      <c r="F60" s="50" t="s">
        <v>632</v>
      </c>
      <c r="G60" s="50" t="s">
        <v>632</v>
      </c>
      <c r="H60" s="51" t="s">
        <v>632</v>
      </c>
      <c r="I60" s="51" t="s">
        <v>632</v>
      </c>
      <c r="J60" s="52" t="s">
        <v>632</v>
      </c>
      <c r="K60" s="50" t="s">
        <v>632</v>
      </c>
      <c r="L60" s="50">
        <v>4</v>
      </c>
      <c r="M60" s="50"/>
      <c r="N60" s="50" t="s">
        <v>662</v>
      </c>
      <c r="O60" s="40" t="s">
        <v>1098</v>
      </c>
    </row>
    <row r="61" spans="1:15" ht="30" customHeight="1">
      <c r="A61" s="44" t="s">
        <v>723</v>
      </c>
      <c r="B61" s="44" t="s">
        <v>660</v>
      </c>
      <c r="C61" s="53" t="s">
        <v>724</v>
      </c>
      <c r="D61" s="49" t="s">
        <v>659</v>
      </c>
      <c r="E61" s="50">
        <v>400</v>
      </c>
      <c r="F61" s="50">
        <v>0</v>
      </c>
      <c r="G61" s="50">
        <v>85</v>
      </c>
      <c r="H61" s="51" t="e">
        <f>(F61+#REF!)/E61</f>
        <v>#REF!</v>
      </c>
      <c r="I61" s="51">
        <f>F61/E61</f>
        <v>0</v>
      </c>
      <c r="J61" s="52">
        <v>30</v>
      </c>
      <c r="K61" s="50">
        <v>420</v>
      </c>
      <c r="L61" s="50">
        <v>4</v>
      </c>
      <c r="M61" s="50"/>
      <c r="N61" s="50" t="s">
        <v>662</v>
      </c>
      <c r="O61" s="40">
        <v>99132</v>
      </c>
    </row>
    <row r="62" spans="1:15" ht="30" customHeight="1">
      <c r="A62" s="44" t="s">
        <v>725</v>
      </c>
      <c r="B62" s="44" t="s">
        <v>660</v>
      </c>
      <c r="C62" s="44" t="s">
        <v>632</v>
      </c>
      <c r="D62" s="49" t="s">
        <v>659</v>
      </c>
      <c r="E62" s="50"/>
      <c r="F62" s="50"/>
      <c r="G62" s="50"/>
      <c r="H62" s="51" t="s">
        <v>632</v>
      </c>
      <c r="I62" s="51"/>
      <c r="J62" s="52"/>
      <c r="K62" s="50"/>
      <c r="L62" s="50">
        <v>4</v>
      </c>
      <c r="M62" s="50"/>
      <c r="N62" s="50" t="s">
        <v>662</v>
      </c>
      <c r="O62" s="40">
        <v>98910</v>
      </c>
    </row>
    <row r="63" spans="1:15" ht="30" hidden="1" customHeight="1">
      <c r="A63" s="44" t="s">
        <v>726</v>
      </c>
      <c r="B63" s="44" t="s">
        <v>654</v>
      </c>
      <c r="C63" s="48" t="s">
        <v>727</v>
      </c>
      <c r="D63" s="49" t="s">
        <v>659</v>
      </c>
      <c r="E63" s="50">
        <v>300</v>
      </c>
      <c r="F63" s="50">
        <v>90</v>
      </c>
      <c r="G63" s="50">
        <v>55</v>
      </c>
      <c r="H63" s="51">
        <f>(F63+F76+F64)/E63</f>
        <v>0.6166666666666667</v>
      </c>
      <c r="I63" s="51">
        <f>F63/E63</f>
        <v>0.3</v>
      </c>
      <c r="J63" s="52">
        <v>30</v>
      </c>
      <c r="K63" s="50">
        <v>700</v>
      </c>
      <c r="L63" s="50">
        <f>I63*G63*8*24*0.001</f>
        <v>3.1680000000000001</v>
      </c>
      <c r="M63" s="50"/>
      <c r="N63" s="50"/>
    </row>
    <row r="64" spans="1:15" ht="30" hidden="1" customHeight="1">
      <c r="A64" s="44" t="s">
        <v>728</v>
      </c>
      <c r="B64" s="44" t="s">
        <v>654</v>
      </c>
      <c r="C64" s="48" t="s">
        <v>727</v>
      </c>
      <c r="D64" s="49" t="s">
        <v>659</v>
      </c>
      <c r="E64" s="50">
        <v>300</v>
      </c>
      <c r="F64" s="50">
        <v>15</v>
      </c>
      <c r="G64" s="50">
        <v>55</v>
      </c>
      <c r="H64" s="51">
        <f>(F64+F63+F76)/E64</f>
        <v>0.6166666666666667</v>
      </c>
      <c r="I64" s="51">
        <f>F64/E64</f>
        <v>0.05</v>
      </c>
      <c r="J64" s="52">
        <v>20</v>
      </c>
      <c r="K64" s="50">
        <v>700</v>
      </c>
      <c r="L64" s="50">
        <f>I64*G64*8*24*0.001</f>
        <v>0.52800000000000002</v>
      </c>
      <c r="M64" s="50"/>
      <c r="N64" s="50"/>
    </row>
    <row r="65" spans="1:15" ht="30" customHeight="1">
      <c r="A65" s="44" t="s">
        <v>729</v>
      </c>
      <c r="B65" s="44" t="s">
        <v>660</v>
      </c>
      <c r="C65" s="44" t="s">
        <v>720</v>
      </c>
      <c r="D65" s="49"/>
      <c r="E65" s="50"/>
      <c r="F65" s="50"/>
      <c r="G65" s="50"/>
      <c r="H65" s="51"/>
      <c r="I65" s="51"/>
      <c r="J65" s="52"/>
      <c r="K65" s="50"/>
      <c r="L65" s="50">
        <v>0</v>
      </c>
      <c r="M65" s="50"/>
      <c r="N65" s="50"/>
    </row>
    <row r="66" spans="1:15" ht="30" hidden="1" customHeight="1">
      <c r="A66" s="44" t="s">
        <v>730</v>
      </c>
      <c r="B66" s="44" t="s">
        <v>654</v>
      </c>
      <c r="C66" s="48" t="s">
        <v>731</v>
      </c>
      <c r="D66" s="49" t="s">
        <v>659</v>
      </c>
      <c r="E66" s="50">
        <v>700</v>
      </c>
      <c r="F66" s="50">
        <v>625</v>
      </c>
      <c r="G66" s="50">
        <v>125</v>
      </c>
      <c r="H66" s="51">
        <f>(F66)/E66</f>
        <v>0.8928571428571429</v>
      </c>
      <c r="I66" s="51">
        <f>F66/E66</f>
        <v>0.8928571428571429</v>
      </c>
      <c r="J66" s="52">
        <v>100</v>
      </c>
      <c r="K66" s="50">
        <v>700</v>
      </c>
      <c r="L66" s="50">
        <f>I66*G66*8*24*0.001</f>
        <v>21.428571428571427</v>
      </c>
      <c r="M66" s="50"/>
      <c r="N66" s="50"/>
    </row>
    <row r="67" spans="1:15" ht="30" hidden="1" customHeight="1">
      <c r="A67" s="44" t="s">
        <v>732</v>
      </c>
      <c r="B67" s="44" t="s">
        <v>654</v>
      </c>
      <c r="C67" s="53" t="s">
        <v>671</v>
      </c>
      <c r="D67" s="49" t="s">
        <v>659</v>
      </c>
      <c r="E67" s="50">
        <v>1300</v>
      </c>
      <c r="F67" s="50">
        <v>900</v>
      </c>
      <c r="G67" s="50">
        <v>185</v>
      </c>
      <c r="H67" s="51">
        <f>(F67)/E67</f>
        <v>0.69230769230769229</v>
      </c>
      <c r="I67" s="51">
        <f>F67/E67</f>
        <v>0.69230769230769229</v>
      </c>
      <c r="J67" s="52">
        <v>225</v>
      </c>
      <c r="K67" s="50">
        <v>700</v>
      </c>
      <c r="L67" s="50">
        <f>I67*G67*8*24*0.001</f>
        <v>24.590769230769226</v>
      </c>
      <c r="M67" s="50"/>
      <c r="N67" s="50"/>
    </row>
    <row r="68" spans="1:15" ht="30" hidden="1" customHeight="1">
      <c r="A68" s="44" t="s">
        <v>733</v>
      </c>
      <c r="B68" s="44" t="s">
        <v>654</v>
      </c>
      <c r="C68" s="54" t="s">
        <v>734</v>
      </c>
      <c r="D68" s="49" t="s">
        <v>659</v>
      </c>
      <c r="E68" s="50">
        <v>1250</v>
      </c>
      <c r="F68" s="50"/>
      <c r="G68" s="50">
        <v>275</v>
      </c>
      <c r="H68" s="51"/>
      <c r="I68" s="51"/>
      <c r="J68" s="52">
        <v>45</v>
      </c>
      <c r="K68" s="50">
        <v>800</v>
      </c>
      <c r="L68" s="50"/>
      <c r="M68" s="50"/>
      <c r="N68" s="50" t="s">
        <v>662</v>
      </c>
    </row>
    <row r="69" spans="1:15" ht="30" hidden="1" customHeight="1">
      <c r="A69" s="44" t="s">
        <v>735</v>
      </c>
      <c r="B69" s="44" t="s">
        <v>654</v>
      </c>
      <c r="C69" s="53" t="s">
        <v>736</v>
      </c>
      <c r="D69" s="50" t="s">
        <v>659</v>
      </c>
      <c r="E69" s="50">
        <v>700</v>
      </c>
      <c r="F69" s="50">
        <v>640</v>
      </c>
      <c r="G69" s="50">
        <v>87</v>
      </c>
      <c r="H69" s="51">
        <f>(F69+F70)/E69</f>
        <v>0.91428571428571426</v>
      </c>
      <c r="I69" s="51">
        <f>F69/E69</f>
        <v>0.91428571428571426</v>
      </c>
      <c r="J69" s="52">
        <v>30</v>
      </c>
      <c r="K69" s="50">
        <v>600</v>
      </c>
      <c r="L69" s="50">
        <f>I69*G69*8*24*0.001</f>
        <v>15.272228571428572</v>
      </c>
      <c r="M69" s="50"/>
      <c r="N69" s="50" t="s">
        <v>683</v>
      </c>
    </row>
    <row r="70" spans="1:15" ht="30" hidden="1" customHeight="1">
      <c r="A70" s="44" t="s">
        <v>737</v>
      </c>
      <c r="B70" s="44" t="s">
        <v>654</v>
      </c>
      <c r="C70" s="53" t="s">
        <v>736</v>
      </c>
      <c r="D70" s="49" t="s">
        <v>656</v>
      </c>
      <c r="E70" s="50">
        <v>700</v>
      </c>
      <c r="F70" s="50">
        <v>0</v>
      </c>
      <c r="G70" s="50">
        <v>87</v>
      </c>
      <c r="H70" s="51">
        <f>(F70+F69)/E70</f>
        <v>0.91428571428571426</v>
      </c>
      <c r="I70" s="51">
        <f>F70/E70</f>
        <v>0</v>
      </c>
      <c r="J70" s="52">
        <v>30</v>
      </c>
      <c r="K70" s="50">
        <v>600</v>
      </c>
      <c r="L70" s="50">
        <f>I70*G70*8*24*0.001</f>
        <v>0</v>
      </c>
      <c r="M70" s="50"/>
      <c r="N70" s="50" t="s">
        <v>683</v>
      </c>
    </row>
    <row r="71" spans="1:15" ht="30" customHeight="1">
      <c r="A71" s="44" t="s">
        <v>738</v>
      </c>
      <c r="B71" s="44" t="s">
        <v>660</v>
      </c>
      <c r="C71" s="44" t="s">
        <v>720</v>
      </c>
      <c r="D71" s="49" t="s">
        <v>632</v>
      </c>
      <c r="E71" s="50"/>
      <c r="F71" s="50"/>
      <c r="G71" s="50"/>
      <c r="H71" s="51"/>
      <c r="I71" s="51"/>
      <c r="J71" s="52"/>
      <c r="K71" s="50"/>
      <c r="L71" s="50">
        <v>0</v>
      </c>
      <c r="M71" s="50"/>
      <c r="N71" s="50" t="s">
        <v>632</v>
      </c>
    </row>
    <row r="72" spans="1:15" ht="30" customHeight="1">
      <c r="A72" s="44" t="s">
        <v>739</v>
      </c>
      <c r="B72" s="44" t="s">
        <v>660</v>
      </c>
      <c r="C72" s="53" t="s">
        <v>740</v>
      </c>
      <c r="D72" s="49" t="s">
        <v>659</v>
      </c>
      <c r="E72" s="50" t="s">
        <v>632</v>
      </c>
      <c r="F72" s="50" t="s">
        <v>632</v>
      </c>
      <c r="G72" s="50" t="s">
        <v>632</v>
      </c>
      <c r="H72" s="51" t="s">
        <v>632</v>
      </c>
      <c r="I72" s="51" t="s">
        <v>632</v>
      </c>
      <c r="J72" s="52" t="s">
        <v>632</v>
      </c>
      <c r="K72" s="50" t="s">
        <v>632</v>
      </c>
      <c r="L72" s="50">
        <v>4</v>
      </c>
      <c r="M72" s="50"/>
      <c r="N72" s="50" t="s">
        <v>662</v>
      </c>
      <c r="O72" s="40">
        <v>99161</v>
      </c>
    </row>
    <row r="73" spans="1:15" ht="30" hidden="1" customHeight="1">
      <c r="A73" s="44" t="s">
        <v>741</v>
      </c>
      <c r="B73" s="44" t="s">
        <v>654</v>
      </c>
      <c r="C73" s="48" t="s">
        <v>731</v>
      </c>
      <c r="D73" s="49" t="s">
        <v>659</v>
      </c>
      <c r="E73" s="50">
        <v>450</v>
      </c>
      <c r="F73" s="50">
        <v>400</v>
      </c>
      <c r="G73" s="50">
        <v>125</v>
      </c>
      <c r="H73" s="51">
        <f>F73/E73</f>
        <v>0.88888888888888884</v>
      </c>
      <c r="I73" s="51">
        <f>F73/E73</f>
        <v>0.88888888888888884</v>
      </c>
      <c r="J73" s="52">
        <v>25</v>
      </c>
      <c r="K73" s="50">
        <v>1300</v>
      </c>
      <c r="L73" s="50">
        <f>I73*G73*8*24*0.001</f>
        <v>21.333333333333332</v>
      </c>
      <c r="M73" s="50"/>
      <c r="N73" s="50" t="s">
        <v>683</v>
      </c>
    </row>
    <row r="74" spans="1:15" ht="30" hidden="1" customHeight="1">
      <c r="A74" s="44" t="s">
        <v>742</v>
      </c>
      <c r="B74" s="44" t="s">
        <v>654</v>
      </c>
      <c r="C74" s="53" t="s">
        <v>667</v>
      </c>
      <c r="D74" s="49" t="s">
        <v>659</v>
      </c>
      <c r="E74" s="50">
        <v>350</v>
      </c>
      <c r="F74" s="50">
        <v>15</v>
      </c>
      <c r="G74" s="50">
        <v>80</v>
      </c>
      <c r="H74" s="51">
        <f>(F74+F56)/E74</f>
        <v>0.47142857142857142</v>
      </c>
      <c r="I74" s="51">
        <f>F74/E74</f>
        <v>4.2857142857142858E-2</v>
      </c>
      <c r="J74" s="52">
        <v>30</v>
      </c>
      <c r="K74" s="50">
        <v>900</v>
      </c>
      <c r="L74" s="50">
        <f>I74*G74*8*24*0.001</f>
        <v>0.65828571428571436</v>
      </c>
      <c r="M74" s="50"/>
      <c r="N74" s="50" t="s">
        <v>683</v>
      </c>
    </row>
    <row r="75" spans="1:15" ht="30" hidden="1" customHeight="1">
      <c r="A75" s="44" t="s">
        <v>743</v>
      </c>
      <c r="B75" s="44" t="s">
        <v>654</v>
      </c>
      <c r="C75" s="53" t="s">
        <v>667</v>
      </c>
      <c r="D75" s="49" t="s">
        <v>656</v>
      </c>
      <c r="E75" s="50">
        <v>350</v>
      </c>
      <c r="F75" s="50">
        <v>0</v>
      </c>
      <c r="G75" s="50">
        <v>80</v>
      </c>
      <c r="H75" s="51">
        <f>F75/E75</f>
        <v>0</v>
      </c>
      <c r="I75" s="51">
        <f>F75/E75</f>
        <v>0</v>
      </c>
      <c r="J75" s="52">
        <v>40</v>
      </c>
      <c r="K75" s="50">
        <v>850</v>
      </c>
      <c r="L75" s="50">
        <f>I75*G75*8*24*0.001</f>
        <v>0</v>
      </c>
      <c r="M75" s="50"/>
      <c r="N75" s="50"/>
    </row>
    <row r="76" spans="1:15" ht="30" hidden="1" customHeight="1">
      <c r="A76" s="44" t="s">
        <v>744</v>
      </c>
      <c r="B76" s="44" t="s">
        <v>654</v>
      </c>
      <c r="C76" s="48" t="s">
        <v>727</v>
      </c>
      <c r="D76" s="49" t="s">
        <v>659</v>
      </c>
      <c r="E76" s="50">
        <v>300</v>
      </c>
      <c r="F76" s="50">
        <v>80</v>
      </c>
      <c r="G76" s="50">
        <v>85</v>
      </c>
      <c r="H76" s="51">
        <f>(F76+F63+F64)/E76</f>
        <v>0.6166666666666667</v>
      </c>
      <c r="I76" s="51">
        <f>F76/E76</f>
        <v>0.26666666666666666</v>
      </c>
      <c r="J76" s="52">
        <v>30</v>
      </c>
      <c r="K76" s="50">
        <v>700</v>
      </c>
      <c r="L76" s="50">
        <f>I76*G76*8*24*0.001</f>
        <v>4.3520000000000003</v>
      </c>
      <c r="M76" s="50"/>
      <c r="N76" s="50"/>
    </row>
    <row r="78" spans="1:15" s="39" customFormat="1">
      <c r="A78" s="38"/>
      <c r="B78" s="38"/>
      <c r="C78" s="38"/>
      <c r="D78" s="38"/>
      <c r="E78" s="38"/>
      <c r="F78" s="38"/>
      <c r="G78" s="42" t="s">
        <v>632</v>
      </c>
      <c r="J78" s="38"/>
      <c r="K78" s="40"/>
      <c r="L78" s="40"/>
      <c r="M78" s="40"/>
      <c r="N78" s="40"/>
      <c r="O78" s="40"/>
    </row>
  </sheetData>
  <autoFilter ref="A9:O76">
    <filterColumn colId="1">
      <filters>
        <filter val="PU"/>
      </filters>
    </filterColumn>
  </autoFilter>
  <pageMargins left="0.3" right="0.3" top="0.28000000000000003" bottom="0.4" header="0.5" footer="0.25"/>
  <pageSetup scale="38" fitToHeight="2" orientation="portrait"/>
  <headerFooter alignWithMargins="0">
    <oddFooter>&amp;L&amp;Z&amp;F</oddFooter>
  </headerFooter>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2:Y77"/>
  <sheetViews>
    <sheetView topLeftCell="A10" workbookViewId="0">
      <selection activeCell="O21" sqref="O21"/>
    </sheetView>
  </sheetViews>
  <sheetFormatPr baseColWidth="10" defaultColWidth="8.83203125" defaultRowHeight="12" x14ac:dyDescent="0"/>
  <cols>
    <col min="1" max="1" width="14.1640625" customWidth="1"/>
    <col min="2" max="2" width="32.5" customWidth="1"/>
    <col min="3" max="3" width="20.83203125" customWidth="1"/>
    <col min="6" max="6" width="11.5" customWidth="1"/>
    <col min="7" max="7" width="10.33203125" customWidth="1"/>
    <col min="8" max="8" width="13.6640625" customWidth="1"/>
    <col min="10" max="10" width="13" customWidth="1"/>
    <col min="11" max="11" width="11" customWidth="1"/>
    <col min="13" max="13" width="14.5" customWidth="1"/>
    <col min="14" max="14" width="10.1640625" bestFit="1" customWidth="1"/>
    <col min="15" max="15" width="39.83203125" bestFit="1" customWidth="1"/>
  </cols>
  <sheetData>
    <row r="2" spans="1:25" ht="18">
      <c r="B2" s="75" t="s">
        <v>897</v>
      </c>
    </row>
    <row r="3" spans="1:25" ht="13">
      <c r="A3" s="65" t="s">
        <v>886</v>
      </c>
      <c r="B3" s="64" t="s">
        <v>895</v>
      </c>
      <c r="C3" s="64" t="s">
        <v>896</v>
      </c>
      <c r="D3" s="64" t="s">
        <v>887</v>
      </c>
      <c r="E3" s="64" t="s">
        <v>888</v>
      </c>
      <c r="F3" s="64" t="s">
        <v>889</v>
      </c>
      <c r="G3" s="64" t="s">
        <v>890</v>
      </c>
      <c r="H3" s="64" t="s">
        <v>891</v>
      </c>
      <c r="I3" s="64" t="s">
        <v>892</v>
      </c>
      <c r="J3" s="64" t="s">
        <v>893</v>
      </c>
      <c r="K3" t="s">
        <v>894</v>
      </c>
    </row>
    <row r="4" spans="1:25" ht="14">
      <c r="A4" s="66">
        <v>560101</v>
      </c>
      <c r="B4" s="67" t="s">
        <v>826</v>
      </c>
      <c r="C4" s="67" t="s">
        <v>827</v>
      </c>
      <c r="D4" s="68">
        <v>2.355</v>
      </c>
      <c r="E4" s="66">
        <v>67</v>
      </c>
      <c r="F4" s="66">
        <v>76</v>
      </c>
      <c r="G4" s="66">
        <v>172</v>
      </c>
      <c r="H4" s="68">
        <v>0.70399999999999996</v>
      </c>
      <c r="J4" s="64"/>
      <c r="K4" s="76">
        <v>743.9</v>
      </c>
      <c r="M4" s="62" t="s">
        <v>823</v>
      </c>
      <c r="N4" s="62" t="s">
        <v>886</v>
      </c>
      <c r="O4" s="62" t="s">
        <v>895</v>
      </c>
      <c r="P4" s="62" t="s">
        <v>896</v>
      </c>
      <c r="Q4" s="62" t="s">
        <v>887</v>
      </c>
      <c r="R4" s="62" t="s">
        <v>888</v>
      </c>
      <c r="S4" s="62" t="s">
        <v>889</v>
      </c>
      <c r="T4" s="62" t="s">
        <v>890</v>
      </c>
      <c r="U4" s="62" t="s">
        <v>891</v>
      </c>
      <c r="V4" s="62" t="s">
        <v>892</v>
      </c>
      <c r="W4" s="62" t="s">
        <v>893</v>
      </c>
      <c r="X4" s="62" t="s">
        <v>894</v>
      </c>
      <c r="Y4" s="62" t="s">
        <v>825</v>
      </c>
    </row>
    <row r="5" spans="1:25" ht="13">
      <c r="A5" s="66">
        <v>561100</v>
      </c>
      <c r="B5" s="67" t="s">
        <v>828</v>
      </c>
      <c r="C5" s="67" t="s">
        <v>829</v>
      </c>
      <c r="D5" s="69">
        <v>0</v>
      </c>
      <c r="E5" s="66">
        <v>120</v>
      </c>
      <c r="F5" s="69">
        <v>0</v>
      </c>
      <c r="G5" s="66">
        <v>776</v>
      </c>
      <c r="H5" s="68">
        <v>0.64</v>
      </c>
      <c r="J5" s="64"/>
      <c r="K5" s="76">
        <v>19.8</v>
      </c>
      <c r="M5">
        <v>99229</v>
      </c>
      <c r="Q5" s="63"/>
      <c r="Y5" s="63">
        <v>0</v>
      </c>
    </row>
    <row r="6" spans="1:25" ht="13">
      <c r="A6" s="66">
        <v>561105</v>
      </c>
      <c r="B6" s="67" t="s">
        <v>830</v>
      </c>
      <c r="C6" s="67" t="s">
        <v>831</v>
      </c>
      <c r="D6" s="69">
        <v>0</v>
      </c>
      <c r="E6" s="66">
        <v>216</v>
      </c>
      <c r="F6" s="69">
        <v>0</v>
      </c>
      <c r="G6" s="66">
        <v>700</v>
      </c>
      <c r="H6" s="68">
        <v>0.64</v>
      </c>
      <c r="J6" s="64"/>
      <c r="K6" s="76">
        <v>27.4</v>
      </c>
      <c r="M6">
        <v>93701</v>
      </c>
      <c r="N6">
        <v>567105</v>
      </c>
      <c r="O6" t="s">
        <v>855</v>
      </c>
      <c r="P6" t="s">
        <v>856</v>
      </c>
      <c r="Q6" s="63">
        <v>62</v>
      </c>
      <c r="R6">
        <v>4</v>
      </c>
      <c r="S6">
        <v>4</v>
      </c>
      <c r="T6">
        <v>64</v>
      </c>
      <c r="U6">
        <v>0.56000000000000005</v>
      </c>
      <c r="X6">
        <v>420.3</v>
      </c>
      <c r="Y6" s="63">
        <v>0.8496428925630084</v>
      </c>
    </row>
    <row r="7" spans="1:25" ht="13">
      <c r="A7" s="66">
        <v>562100</v>
      </c>
      <c r="B7" s="67" t="s">
        <v>832</v>
      </c>
      <c r="C7" s="67" t="s">
        <v>833</v>
      </c>
      <c r="D7" s="69">
        <v>0</v>
      </c>
      <c r="E7" s="66">
        <v>14</v>
      </c>
      <c r="F7" s="69">
        <v>0</v>
      </c>
      <c r="G7" s="66">
        <v>73</v>
      </c>
      <c r="H7" s="68">
        <v>0.64</v>
      </c>
      <c r="J7" s="64"/>
      <c r="K7" s="76">
        <v>142.80000000000001</v>
      </c>
      <c r="M7" t="s">
        <v>796</v>
      </c>
      <c r="Q7" s="63"/>
      <c r="Y7" s="63">
        <v>0</v>
      </c>
    </row>
    <row r="8" spans="1:25" ht="13">
      <c r="A8" s="66">
        <v>565100</v>
      </c>
      <c r="B8" s="67" t="s">
        <v>749</v>
      </c>
      <c r="C8" s="67" t="s">
        <v>834</v>
      </c>
      <c r="D8" s="69">
        <v>0</v>
      </c>
      <c r="E8" s="66">
        <v>0</v>
      </c>
      <c r="F8" s="69">
        <v>0</v>
      </c>
      <c r="G8" s="66">
        <v>0</v>
      </c>
      <c r="H8" s="68">
        <v>0.66</v>
      </c>
      <c r="J8" s="64"/>
      <c r="K8" s="76">
        <v>0</v>
      </c>
      <c r="M8">
        <v>96701</v>
      </c>
      <c r="N8">
        <v>565100</v>
      </c>
      <c r="O8" t="s">
        <v>749</v>
      </c>
      <c r="P8" t="s">
        <v>834</v>
      </c>
      <c r="Q8" s="63">
        <v>0</v>
      </c>
      <c r="R8">
        <v>0</v>
      </c>
      <c r="S8">
        <v>0</v>
      </c>
      <c r="T8">
        <v>0</v>
      </c>
      <c r="U8">
        <v>0.66</v>
      </c>
      <c r="X8">
        <v>0</v>
      </c>
      <c r="Y8" s="63">
        <v>1</v>
      </c>
    </row>
    <row r="9" spans="1:25" ht="13">
      <c r="A9" s="66">
        <v>565105</v>
      </c>
      <c r="B9" s="67" t="s">
        <v>750</v>
      </c>
      <c r="C9" s="67" t="s">
        <v>835</v>
      </c>
      <c r="D9" s="66">
        <v>412</v>
      </c>
      <c r="E9" s="66">
        <v>17</v>
      </c>
      <c r="F9" s="66">
        <v>19</v>
      </c>
      <c r="G9" s="66">
        <v>57</v>
      </c>
      <c r="H9" s="68">
        <v>0.69599999999999995</v>
      </c>
      <c r="J9" s="64"/>
      <c r="K9" s="76">
        <v>528</v>
      </c>
      <c r="M9">
        <v>82001</v>
      </c>
      <c r="N9">
        <v>565105</v>
      </c>
      <c r="O9" t="s">
        <v>750</v>
      </c>
      <c r="P9" t="s">
        <v>835</v>
      </c>
      <c r="Q9" s="63">
        <v>412</v>
      </c>
      <c r="R9">
        <v>17</v>
      </c>
      <c r="S9">
        <v>19</v>
      </c>
      <c r="T9">
        <v>57</v>
      </c>
      <c r="U9">
        <v>0.69599999999999995</v>
      </c>
      <c r="X9">
        <v>528</v>
      </c>
      <c r="Y9" s="63">
        <v>1</v>
      </c>
    </row>
    <row r="10" spans="1:25" ht="13">
      <c r="A10" s="66">
        <v>565110</v>
      </c>
      <c r="B10" s="67" t="s">
        <v>751</v>
      </c>
      <c r="C10" s="67" t="s">
        <v>836</v>
      </c>
      <c r="D10" s="68">
        <v>3.77</v>
      </c>
      <c r="E10" s="66">
        <v>105</v>
      </c>
      <c r="F10" s="66">
        <v>122</v>
      </c>
      <c r="G10" s="66">
        <v>60</v>
      </c>
      <c r="H10" s="68">
        <v>0.73199999999999998</v>
      </c>
      <c r="J10" s="64"/>
      <c r="K10" s="76">
        <v>743.2</v>
      </c>
      <c r="M10">
        <v>96501</v>
      </c>
      <c r="N10">
        <v>565110</v>
      </c>
      <c r="O10" t="s">
        <v>751</v>
      </c>
      <c r="P10" t="s">
        <v>836</v>
      </c>
      <c r="Q10" s="63">
        <v>3.77</v>
      </c>
      <c r="R10">
        <v>105</v>
      </c>
      <c r="S10">
        <v>122</v>
      </c>
      <c r="T10">
        <v>60</v>
      </c>
      <c r="U10">
        <v>0.73199999999999998</v>
      </c>
      <c r="X10">
        <v>743.2</v>
      </c>
      <c r="Y10" s="63">
        <v>1</v>
      </c>
    </row>
    <row r="11" spans="1:25" ht="13">
      <c r="A11" s="66">
        <v>565115</v>
      </c>
      <c r="B11" s="67" t="s">
        <v>837</v>
      </c>
      <c r="C11" s="67" t="s">
        <v>838</v>
      </c>
      <c r="D11" s="70">
        <v>3067</v>
      </c>
      <c r="E11" s="66">
        <v>89</v>
      </c>
      <c r="F11" s="66">
        <v>99</v>
      </c>
      <c r="G11" s="66">
        <v>544</v>
      </c>
      <c r="H11" s="68">
        <v>0.70299999999999996</v>
      </c>
      <c r="J11" s="64"/>
      <c r="K11" s="76">
        <v>744.1</v>
      </c>
      <c r="M11">
        <v>99230</v>
      </c>
      <c r="Q11" s="63"/>
      <c r="Y11" s="63">
        <v>0</v>
      </c>
    </row>
    <row r="12" spans="1:25" ht="13">
      <c r="A12" s="66">
        <v>566100</v>
      </c>
      <c r="B12" s="67" t="s">
        <v>839</v>
      </c>
      <c r="C12" s="67" t="s">
        <v>840</v>
      </c>
      <c r="D12" s="68">
        <v>5.78</v>
      </c>
      <c r="E12" s="66">
        <v>171</v>
      </c>
      <c r="F12" s="66">
        <v>186</v>
      </c>
      <c r="G12" s="66">
        <v>696</v>
      </c>
      <c r="H12" s="68">
        <v>0.66300000000000003</v>
      </c>
      <c r="J12" s="64"/>
      <c r="K12" s="76">
        <v>744.4</v>
      </c>
      <c r="M12">
        <v>99286</v>
      </c>
      <c r="Q12" s="63"/>
      <c r="Y12" s="63">
        <v>0</v>
      </c>
    </row>
    <row r="13" spans="1:25" ht="13">
      <c r="A13" s="66">
        <v>566105</v>
      </c>
      <c r="B13" s="67" t="s">
        <v>841</v>
      </c>
      <c r="C13" s="67" t="s">
        <v>842</v>
      </c>
      <c r="D13" s="68">
        <v>6.9969999999999999</v>
      </c>
      <c r="E13" s="66">
        <v>315</v>
      </c>
      <c r="F13" s="66">
        <v>370</v>
      </c>
      <c r="G13" s="66">
        <v>65</v>
      </c>
      <c r="H13" s="68">
        <v>0.73199999999999998</v>
      </c>
      <c r="J13" s="64"/>
      <c r="K13" s="76">
        <v>454.4</v>
      </c>
      <c r="M13">
        <v>99294</v>
      </c>
      <c r="Q13" s="63"/>
      <c r="Y13" s="63">
        <v>0</v>
      </c>
    </row>
    <row r="14" spans="1:25" ht="13">
      <c r="A14" s="66">
        <v>566110</v>
      </c>
      <c r="B14" s="67" t="s">
        <v>843</v>
      </c>
      <c r="C14" s="67" t="s">
        <v>844</v>
      </c>
      <c r="D14" s="69">
        <v>0</v>
      </c>
      <c r="E14" s="66">
        <v>8</v>
      </c>
      <c r="F14" s="69">
        <v>0</v>
      </c>
      <c r="G14" s="66">
        <v>49</v>
      </c>
      <c r="H14" s="68">
        <v>0.74399999999999999</v>
      </c>
      <c r="J14" s="64"/>
      <c r="K14" s="76">
        <v>33.9</v>
      </c>
      <c r="M14">
        <v>99293</v>
      </c>
      <c r="Q14" s="63"/>
      <c r="Y14" s="63">
        <v>0</v>
      </c>
    </row>
    <row r="15" spans="1:25" ht="26">
      <c r="A15" s="66">
        <v>566115</v>
      </c>
      <c r="B15" s="67" t="s">
        <v>845</v>
      </c>
      <c r="C15" s="67" t="s">
        <v>846</v>
      </c>
      <c r="D15" s="68">
        <v>4.069</v>
      </c>
      <c r="E15" s="66">
        <v>184</v>
      </c>
      <c r="F15" s="66">
        <v>213</v>
      </c>
      <c r="G15" s="66">
        <v>739</v>
      </c>
      <c r="H15" s="68">
        <v>0.72799999999999998</v>
      </c>
      <c r="J15" s="64"/>
      <c r="K15" s="76">
        <v>458.6</v>
      </c>
      <c r="M15">
        <v>99295</v>
      </c>
      <c r="Q15" s="63"/>
      <c r="Y15" s="63">
        <v>0</v>
      </c>
    </row>
    <row r="16" spans="1:25" ht="13">
      <c r="A16" s="66">
        <v>566120</v>
      </c>
      <c r="B16" s="67" t="s">
        <v>847</v>
      </c>
      <c r="C16" s="67" t="s">
        <v>848</v>
      </c>
      <c r="D16" s="68">
        <v>5.0759999999999996</v>
      </c>
      <c r="E16" s="66">
        <v>232</v>
      </c>
      <c r="F16" s="66">
        <v>269</v>
      </c>
      <c r="G16" s="66">
        <v>63</v>
      </c>
      <c r="H16" s="68">
        <v>0.72799999999999998</v>
      </c>
      <c r="J16" s="64"/>
      <c r="K16" s="76">
        <v>452.8</v>
      </c>
      <c r="M16">
        <v>99228</v>
      </c>
      <c r="N16">
        <v>585100</v>
      </c>
      <c r="O16" t="s">
        <v>878</v>
      </c>
      <c r="P16" t="s">
        <v>879</v>
      </c>
      <c r="Q16" s="63">
        <v>0</v>
      </c>
      <c r="R16">
        <v>0</v>
      </c>
      <c r="S16">
        <v>0</v>
      </c>
      <c r="T16">
        <v>0</v>
      </c>
      <c r="U16">
        <v>0.69399999999999995</v>
      </c>
      <c r="X16">
        <v>0</v>
      </c>
      <c r="Y16" s="63">
        <v>0.96389264549316622</v>
      </c>
    </row>
    <row r="17" spans="1:25" ht="13">
      <c r="A17" s="66">
        <v>566125</v>
      </c>
      <c r="B17" s="67" t="s">
        <v>849</v>
      </c>
      <c r="C17" s="67" t="s">
        <v>850</v>
      </c>
      <c r="D17" s="68">
        <v>3.6240000000000001</v>
      </c>
      <c r="E17" s="66">
        <v>168</v>
      </c>
      <c r="F17" s="66">
        <v>195</v>
      </c>
      <c r="G17" s="66">
        <v>763</v>
      </c>
      <c r="H17" s="68">
        <v>0.72799999999999998</v>
      </c>
      <c r="J17" s="64"/>
      <c r="K17" s="76">
        <v>447</v>
      </c>
      <c r="M17" t="s">
        <v>798</v>
      </c>
      <c r="Q17" s="63"/>
      <c r="Y17" s="63">
        <v>0</v>
      </c>
    </row>
    <row r="18" spans="1:25" ht="13">
      <c r="A18" s="66">
        <v>566130</v>
      </c>
      <c r="B18" s="67" t="s">
        <v>851</v>
      </c>
      <c r="C18" s="67" t="s">
        <v>852</v>
      </c>
      <c r="D18" s="68">
        <v>4.3499999999999996</v>
      </c>
      <c r="E18" s="66">
        <v>198</v>
      </c>
      <c r="F18" s="66">
        <v>230</v>
      </c>
      <c r="G18" s="66">
        <v>62</v>
      </c>
      <c r="H18" s="68">
        <v>0.72799999999999998</v>
      </c>
      <c r="J18" s="64"/>
      <c r="K18" s="76">
        <v>454.3</v>
      </c>
      <c r="M18">
        <v>99255</v>
      </c>
      <c r="N18">
        <v>595101</v>
      </c>
      <c r="O18" t="s">
        <v>881</v>
      </c>
      <c r="P18" t="s">
        <v>882</v>
      </c>
      <c r="Q18" s="63">
        <v>788</v>
      </c>
      <c r="R18">
        <v>56</v>
      </c>
      <c r="S18">
        <v>62</v>
      </c>
      <c r="T18">
        <v>125</v>
      </c>
      <c r="U18">
        <v>0.622</v>
      </c>
      <c r="X18">
        <v>306.8</v>
      </c>
      <c r="Y18" s="63">
        <v>1</v>
      </c>
    </row>
    <row r="19" spans="1:25" ht="13">
      <c r="A19" s="66">
        <v>567100</v>
      </c>
      <c r="B19" s="67" t="s">
        <v>853</v>
      </c>
      <c r="C19" s="67" t="s">
        <v>854</v>
      </c>
      <c r="D19" s="69">
        <v>0</v>
      </c>
      <c r="E19" s="66">
        <v>315</v>
      </c>
      <c r="F19" s="69">
        <v>0</v>
      </c>
      <c r="G19" s="66">
        <v>180</v>
      </c>
      <c r="H19" s="68">
        <v>0.65</v>
      </c>
      <c r="J19" s="64"/>
      <c r="K19" s="76">
        <v>744</v>
      </c>
      <c r="Q19" s="63"/>
      <c r="Y19" s="63">
        <v>0</v>
      </c>
    </row>
    <row r="20" spans="1:25" ht="26">
      <c r="A20" s="66">
        <v>567105</v>
      </c>
      <c r="B20" s="67" t="s">
        <v>855</v>
      </c>
      <c r="C20" s="67" t="s">
        <v>856</v>
      </c>
      <c r="D20" s="66">
        <v>62</v>
      </c>
      <c r="E20" s="66">
        <v>4</v>
      </c>
      <c r="F20" s="69">
        <v>4</v>
      </c>
      <c r="G20" s="66">
        <v>64</v>
      </c>
      <c r="H20" s="68">
        <v>0.56000000000000005</v>
      </c>
      <c r="J20" s="64"/>
      <c r="K20" s="76">
        <v>420.3</v>
      </c>
      <c r="M20">
        <v>98921</v>
      </c>
      <c r="Q20" s="63"/>
      <c r="Y20" s="63">
        <v>0</v>
      </c>
    </row>
    <row r="21" spans="1:25" ht="26">
      <c r="A21" s="66">
        <v>567110</v>
      </c>
      <c r="B21" s="67" t="s">
        <v>857</v>
      </c>
      <c r="C21" s="71" t="s">
        <v>858</v>
      </c>
      <c r="D21" s="68">
        <v>1.48</v>
      </c>
      <c r="E21" s="66">
        <v>44</v>
      </c>
      <c r="F21" s="66">
        <v>48</v>
      </c>
      <c r="G21" s="66">
        <v>51</v>
      </c>
      <c r="H21" s="68">
        <v>0.65400000000000003</v>
      </c>
      <c r="J21" s="64"/>
      <c r="K21" s="76">
        <v>744.4</v>
      </c>
      <c r="M21">
        <v>99017</v>
      </c>
      <c r="N21">
        <v>575100</v>
      </c>
      <c r="O21" t="s">
        <v>873</v>
      </c>
      <c r="P21" t="s">
        <v>874</v>
      </c>
      <c r="Q21" s="63">
        <v>4.4630000000000001</v>
      </c>
      <c r="R21">
        <v>143</v>
      </c>
      <c r="S21">
        <v>144</v>
      </c>
      <c r="T21">
        <v>83</v>
      </c>
      <c r="U21">
        <v>0.55700000000000005</v>
      </c>
      <c r="X21">
        <v>743.9</v>
      </c>
      <c r="Y21" s="63">
        <v>0.961741324690499</v>
      </c>
    </row>
    <row r="22" spans="1:25" ht="13">
      <c r="A22" s="66">
        <v>568115</v>
      </c>
      <c r="B22" s="67" t="s">
        <v>859</v>
      </c>
      <c r="C22" s="67" t="s">
        <v>860</v>
      </c>
      <c r="D22" s="69">
        <v>0</v>
      </c>
      <c r="E22" s="66">
        <v>292</v>
      </c>
      <c r="F22" s="69">
        <v>0</v>
      </c>
      <c r="G22" s="66">
        <v>53</v>
      </c>
      <c r="H22" s="68">
        <v>0.6</v>
      </c>
      <c r="J22" s="64"/>
      <c r="K22" s="77">
        <v>508</v>
      </c>
      <c r="M22">
        <v>99067</v>
      </c>
      <c r="Q22" s="63"/>
      <c r="Y22" s="63">
        <v>0</v>
      </c>
    </row>
    <row r="23" spans="1:25" ht="13">
      <c r="A23" s="66">
        <v>568120</v>
      </c>
      <c r="B23" s="67" t="s">
        <v>862</v>
      </c>
      <c r="C23" s="67" t="s">
        <v>863</v>
      </c>
      <c r="D23" s="69">
        <v>0</v>
      </c>
      <c r="E23" s="66">
        <v>115</v>
      </c>
      <c r="F23" s="69">
        <v>0</v>
      </c>
      <c r="G23" s="66">
        <v>830</v>
      </c>
      <c r="H23" s="68">
        <v>0.6</v>
      </c>
      <c r="J23" s="64"/>
      <c r="K23" s="76">
        <v>743.8</v>
      </c>
      <c r="M23" t="s">
        <v>796</v>
      </c>
      <c r="Q23" s="63"/>
      <c r="Y23" s="63">
        <v>0</v>
      </c>
    </row>
    <row r="24" spans="1:25" ht="13">
      <c r="A24" s="66">
        <v>568125</v>
      </c>
      <c r="B24" s="67" t="s">
        <v>864</v>
      </c>
      <c r="C24" s="67" t="s">
        <v>865</v>
      </c>
      <c r="D24" s="69">
        <v>0</v>
      </c>
      <c r="E24" s="66">
        <v>6</v>
      </c>
      <c r="F24" s="69">
        <v>0</v>
      </c>
      <c r="G24" s="66">
        <v>45</v>
      </c>
      <c r="H24" s="68">
        <v>0.6</v>
      </c>
      <c r="J24" s="64"/>
      <c r="K24" s="76">
        <v>743.8</v>
      </c>
      <c r="M24">
        <v>99069</v>
      </c>
      <c r="Q24" s="63"/>
      <c r="Y24" s="63">
        <v>0</v>
      </c>
    </row>
    <row r="25" spans="1:25" ht="29">
      <c r="A25" s="66">
        <v>570100</v>
      </c>
      <c r="B25" s="67" t="s">
        <v>866</v>
      </c>
      <c r="C25" s="67" t="s">
        <v>867</v>
      </c>
      <c r="D25" s="68">
        <v>2.0169999999999999</v>
      </c>
      <c r="E25" s="66">
        <v>59</v>
      </c>
      <c r="F25" s="66">
        <v>65</v>
      </c>
      <c r="G25" s="66">
        <v>58</v>
      </c>
      <c r="H25" s="68">
        <v>0.67800000000000005</v>
      </c>
      <c r="J25" s="64"/>
      <c r="K25" s="76">
        <v>743.9</v>
      </c>
      <c r="M25">
        <v>98965</v>
      </c>
      <c r="Q25" s="63"/>
      <c r="Y25" s="63">
        <v>0</v>
      </c>
    </row>
    <row r="26" spans="1:25" ht="26">
      <c r="A26" s="66">
        <v>570105</v>
      </c>
      <c r="B26" s="67" t="s">
        <v>868</v>
      </c>
      <c r="C26" s="67" t="s">
        <v>869</v>
      </c>
      <c r="D26" s="68">
        <v>1.278</v>
      </c>
      <c r="E26" s="66">
        <v>43</v>
      </c>
      <c r="F26" s="66">
        <v>47</v>
      </c>
      <c r="G26" s="66">
        <v>59</v>
      </c>
      <c r="H26" s="68">
        <v>0.66100000000000003</v>
      </c>
      <c r="J26" s="64"/>
      <c r="K26" s="76">
        <v>656.4</v>
      </c>
      <c r="M26">
        <v>48001</v>
      </c>
      <c r="N26">
        <v>566110</v>
      </c>
      <c r="O26" t="s">
        <v>843</v>
      </c>
      <c r="P26" t="s">
        <v>844</v>
      </c>
      <c r="Q26" s="63">
        <v>0</v>
      </c>
      <c r="R26">
        <v>8</v>
      </c>
      <c r="S26">
        <v>0</v>
      </c>
      <c r="T26">
        <v>49</v>
      </c>
      <c r="U26">
        <v>0.74399999999999999</v>
      </c>
      <c r="X26">
        <v>33.9</v>
      </c>
      <c r="Y26" s="63">
        <v>0.95248731265651232</v>
      </c>
    </row>
    <row r="27" spans="1:25" ht="13">
      <c r="A27" s="66">
        <v>570110</v>
      </c>
      <c r="B27" s="67" t="s">
        <v>870</v>
      </c>
      <c r="C27" s="67" t="s">
        <v>871</v>
      </c>
      <c r="D27" s="68">
        <v>2.1080000000000001</v>
      </c>
      <c r="E27" s="66">
        <v>97</v>
      </c>
      <c r="F27" s="66">
        <v>107</v>
      </c>
      <c r="G27" s="66">
        <v>97</v>
      </c>
      <c r="H27" s="68">
        <v>0.68600000000000005</v>
      </c>
      <c r="J27" s="64"/>
      <c r="K27" s="76">
        <v>470.7</v>
      </c>
      <c r="M27">
        <v>93806</v>
      </c>
      <c r="Q27" s="63"/>
      <c r="Y27" s="63">
        <v>0</v>
      </c>
    </row>
    <row r="28" spans="1:25" ht="13">
      <c r="A28" s="66">
        <v>570115</v>
      </c>
      <c r="B28" s="67" t="s">
        <v>791</v>
      </c>
      <c r="C28" s="67" t="s">
        <v>872</v>
      </c>
      <c r="D28" s="68">
        <v>1.3480000000000001</v>
      </c>
      <c r="E28" s="66">
        <v>50</v>
      </c>
      <c r="F28" s="66">
        <v>54</v>
      </c>
      <c r="G28" s="66">
        <v>98</v>
      </c>
      <c r="H28" s="68">
        <v>0.70199999999999996</v>
      </c>
      <c r="J28" s="64"/>
      <c r="K28" s="76">
        <v>595.4</v>
      </c>
      <c r="M28">
        <v>98961</v>
      </c>
      <c r="Q28" s="63"/>
      <c r="Y28" s="63">
        <v>0</v>
      </c>
    </row>
    <row r="29" spans="1:25" ht="13">
      <c r="A29" s="66">
        <v>575100</v>
      </c>
      <c r="B29" s="67" t="s">
        <v>873</v>
      </c>
      <c r="C29" s="67" t="s">
        <v>874</v>
      </c>
      <c r="D29" s="68">
        <v>4.4630000000000001</v>
      </c>
      <c r="E29" s="66">
        <v>143</v>
      </c>
      <c r="F29" s="66">
        <v>144</v>
      </c>
      <c r="G29" s="66">
        <v>83</v>
      </c>
      <c r="H29" s="68">
        <v>0.55700000000000005</v>
      </c>
      <c r="J29" s="64"/>
      <c r="K29" s="76">
        <v>743.9</v>
      </c>
      <c r="M29">
        <v>99307</v>
      </c>
      <c r="Q29" s="63"/>
      <c r="Y29" s="63">
        <v>0</v>
      </c>
    </row>
    <row r="30" spans="1:25" ht="13">
      <c r="A30" s="66">
        <v>575105</v>
      </c>
      <c r="B30" s="67" t="s">
        <v>875</v>
      </c>
      <c r="C30" s="67" t="s">
        <v>876</v>
      </c>
      <c r="D30" s="69">
        <v>0</v>
      </c>
      <c r="E30" s="66">
        <v>206</v>
      </c>
      <c r="F30" s="69">
        <v>0</v>
      </c>
      <c r="G30" s="66">
        <v>1032</v>
      </c>
      <c r="H30" s="68">
        <v>0.65</v>
      </c>
      <c r="J30" s="64"/>
      <c r="K30" s="76">
        <v>744.1</v>
      </c>
      <c r="M30">
        <v>98987</v>
      </c>
      <c r="Q30" s="63"/>
      <c r="Y30" s="63">
        <v>0</v>
      </c>
    </row>
    <row r="31" spans="1:25" ht="13">
      <c r="A31" s="66">
        <v>580100</v>
      </c>
      <c r="B31" s="67" t="s">
        <v>783</v>
      </c>
      <c r="C31" s="67" t="s">
        <v>877</v>
      </c>
      <c r="D31" s="68">
        <v>69.777000000000001</v>
      </c>
      <c r="E31" s="68">
        <v>2.1080000000000001</v>
      </c>
      <c r="F31" s="68">
        <v>2.2509999999999999</v>
      </c>
      <c r="G31" s="66">
        <v>640</v>
      </c>
      <c r="H31" s="68">
        <v>0.65300000000000002</v>
      </c>
      <c r="J31" s="64"/>
      <c r="K31" s="76">
        <v>743.9</v>
      </c>
      <c r="M31">
        <v>98988</v>
      </c>
      <c r="Q31" s="63"/>
      <c r="Y31" s="63">
        <v>0</v>
      </c>
    </row>
    <row r="32" spans="1:25" ht="13">
      <c r="A32" s="66">
        <v>585100</v>
      </c>
      <c r="B32" s="67" t="s">
        <v>878</v>
      </c>
      <c r="C32" s="67" t="s">
        <v>879</v>
      </c>
      <c r="D32" s="69">
        <v>0</v>
      </c>
      <c r="E32" s="66">
        <v>0</v>
      </c>
      <c r="F32" s="69">
        <v>0</v>
      </c>
      <c r="G32" s="66">
        <v>0</v>
      </c>
      <c r="H32" s="68">
        <v>0.69399999999999995</v>
      </c>
      <c r="J32" s="64"/>
      <c r="K32" s="76">
        <v>0</v>
      </c>
      <c r="M32">
        <v>99007</v>
      </c>
      <c r="Q32" s="63"/>
      <c r="Y32" s="63">
        <v>0</v>
      </c>
    </row>
    <row r="33" spans="1:25" ht="13">
      <c r="A33" s="66">
        <v>585105</v>
      </c>
      <c r="B33" s="67" t="s">
        <v>880</v>
      </c>
      <c r="C33" s="67" t="s">
        <v>879</v>
      </c>
      <c r="D33" s="69">
        <v>0</v>
      </c>
      <c r="E33" s="66">
        <v>0</v>
      </c>
      <c r="F33" s="69">
        <v>0</v>
      </c>
      <c r="G33" s="66">
        <v>0</v>
      </c>
      <c r="H33" s="68">
        <v>0.69399999999999995</v>
      </c>
      <c r="J33" s="64"/>
      <c r="K33" s="76">
        <v>0</v>
      </c>
      <c r="M33">
        <v>98956</v>
      </c>
      <c r="Q33" s="63"/>
      <c r="Y33" s="63">
        <v>0</v>
      </c>
    </row>
    <row r="34" spans="1:25" ht="13">
      <c r="A34" s="66">
        <v>595101</v>
      </c>
      <c r="B34" s="67" t="s">
        <v>881</v>
      </c>
      <c r="C34" s="67" t="s">
        <v>882</v>
      </c>
      <c r="D34" s="66">
        <v>788</v>
      </c>
      <c r="E34" s="66">
        <v>56</v>
      </c>
      <c r="F34" s="66">
        <v>62</v>
      </c>
      <c r="G34" s="66">
        <v>125</v>
      </c>
      <c r="H34" s="68">
        <v>0.622</v>
      </c>
      <c r="J34" s="64"/>
      <c r="K34" s="76">
        <v>306.8</v>
      </c>
      <c r="M34">
        <v>89858</v>
      </c>
      <c r="Q34" s="63"/>
      <c r="Y34" s="63">
        <v>0</v>
      </c>
    </row>
    <row r="35" spans="1:25" ht="30">
      <c r="A35" s="72"/>
      <c r="B35" s="72"/>
      <c r="C35" s="73" t="s">
        <v>883</v>
      </c>
      <c r="D35" s="74" t="s">
        <v>884</v>
      </c>
      <c r="E35" s="72"/>
      <c r="F35" s="72"/>
      <c r="G35" s="72"/>
      <c r="H35" s="72"/>
      <c r="I35" s="72"/>
      <c r="J35" s="64"/>
      <c r="M35">
        <v>98959</v>
      </c>
      <c r="Q35" s="63"/>
      <c r="Y35" s="63">
        <v>0</v>
      </c>
    </row>
    <row r="36" spans="1:25" ht="13">
      <c r="A36" s="72"/>
      <c r="B36" s="67" t="s">
        <v>885</v>
      </c>
      <c r="C36" s="68">
        <v>139.07599999999999</v>
      </c>
      <c r="D36" s="68">
        <v>122.821</v>
      </c>
      <c r="E36" s="72"/>
      <c r="F36" s="72"/>
      <c r="G36" s="72"/>
      <c r="H36" s="72"/>
      <c r="I36" s="72"/>
      <c r="J36" s="64"/>
      <c r="M36">
        <v>99093</v>
      </c>
      <c r="Q36" s="63"/>
      <c r="Y36" s="63">
        <v>0</v>
      </c>
    </row>
    <row r="37" spans="1:25">
      <c r="M37">
        <v>99094</v>
      </c>
      <c r="Q37" s="63"/>
      <c r="Y37" s="63">
        <v>0</v>
      </c>
    </row>
    <row r="38" spans="1:25">
      <c r="M38">
        <v>99095</v>
      </c>
      <c r="Q38" s="63"/>
      <c r="Y38" s="63">
        <v>0</v>
      </c>
    </row>
    <row r="39" spans="1:25">
      <c r="M39">
        <v>98801</v>
      </c>
      <c r="Q39" s="63"/>
      <c r="Y39" s="63">
        <v>0</v>
      </c>
    </row>
    <row r="40" spans="1:25">
      <c r="M40" t="s">
        <v>798</v>
      </c>
      <c r="Q40" s="63"/>
      <c r="Y40" s="63">
        <v>0</v>
      </c>
    </row>
    <row r="41" spans="1:25">
      <c r="M41">
        <v>99113</v>
      </c>
      <c r="Q41" s="63"/>
      <c r="Y41" s="63">
        <v>0</v>
      </c>
    </row>
    <row r="42" spans="1:25">
      <c r="M42">
        <v>99066</v>
      </c>
      <c r="Q42" s="63"/>
      <c r="Y42" s="63">
        <v>0</v>
      </c>
    </row>
    <row r="43" spans="1:25">
      <c r="M43">
        <v>99065</v>
      </c>
      <c r="Q43" s="63"/>
      <c r="Y43" s="63">
        <v>0</v>
      </c>
    </row>
    <row r="44" spans="1:25">
      <c r="M44">
        <v>99278</v>
      </c>
      <c r="N44">
        <v>567100</v>
      </c>
      <c r="O44" t="s">
        <v>853</v>
      </c>
      <c r="P44" t="s">
        <v>854</v>
      </c>
      <c r="Q44" s="63">
        <v>0</v>
      </c>
      <c r="R44">
        <v>315</v>
      </c>
      <c r="S44">
        <v>0</v>
      </c>
      <c r="T44">
        <v>180</v>
      </c>
      <c r="U44">
        <v>0.65</v>
      </c>
      <c r="X44">
        <v>744</v>
      </c>
      <c r="Y44" s="63">
        <v>1</v>
      </c>
    </row>
    <row r="45" spans="1:25">
      <c r="M45">
        <v>98990</v>
      </c>
      <c r="Q45" s="63"/>
      <c r="Y45" s="63">
        <v>0</v>
      </c>
    </row>
    <row r="46" spans="1:25">
      <c r="M46">
        <v>98976</v>
      </c>
      <c r="Q46" s="63"/>
      <c r="Y46" s="63">
        <v>0</v>
      </c>
    </row>
    <row r="47" spans="1:25">
      <c r="M47">
        <v>99159</v>
      </c>
      <c r="Q47" s="63"/>
      <c r="Y47" s="63">
        <v>0</v>
      </c>
    </row>
    <row r="48" spans="1:25">
      <c r="M48" t="s">
        <v>805</v>
      </c>
      <c r="Q48" s="63"/>
      <c r="Y48" s="63">
        <v>0</v>
      </c>
    </row>
    <row r="49" spans="13:25">
      <c r="M49">
        <v>99058</v>
      </c>
      <c r="Q49" s="63"/>
      <c r="Y49" s="63">
        <v>0</v>
      </c>
    </row>
    <row r="50" spans="13:25">
      <c r="Q50" s="63"/>
      <c r="Y50" s="63">
        <v>0</v>
      </c>
    </row>
    <row r="51" spans="13:25">
      <c r="M51">
        <v>99297</v>
      </c>
      <c r="Q51" s="63"/>
      <c r="Y51" s="63">
        <v>0</v>
      </c>
    </row>
    <row r="52" spans="13:25">
      <c r="M52">
        <v>99102</v>
      </c>
      <c r="N52">
        <v>580100</v>
      </c>
      <c r="O52" t="s">
        <v>783</v>
      </c>
      <c r="P52" t="s">
        <v>877</v>
      </c>
      <c r="Q52" s="63">
        <v>69.777000000000001</v>
      </c>
      <c r="R52">
        <v>2.1080000000000001</v>
      </c>
      <c r="S52">
        <v>2.2509999999999999</v>
      </c>
      <c r="T52">
        <v>640</v>
      </c>
      <c r="U52">
        <v>0.65300000000000002</v>
      </c>
      <c r="X52">
        <v>743.9</v>
      </c>
      <c r="Y52" s="63">
        <v>1</v>
      </c>
    </row>
    <row r="53" spans="13:25">
      <c r="M53">
        <v>99128</v>
      </c>
      <c r="N53">
        <v>568115</v>
      </c>
      <c r="O53" t="s">
        <v>859</v>
      </c>
      <c r="P53" t="s">
        <v>860</v>
      </c>
      <c r="Q53" s="63">
        <v>0</v>
      </c>
      <c r="R53">
        <v>292</v>
      </c>
      <c r="S53">
        <v>0</v>
      </c>
      <c r="T53">
        <v>53</v>
      </c>
      <c r="U53">
        <v>0.6</v>
      </c>
      <c r="X53" t="s">
        <v>861</v>
      </c>
      <c r="Y53" s="63">
        <v>0.61904761904761907</v>
      </c>
    </row>
    <row r="54" spans="13:25">
      <c r="M54">
        <v>99134</v>
      </c>
      <c r="N54">
        <v>568120</v>
      </c>
      <c r="O54" t="s">
        <v>862</v>
      </c>
      <c r="P54" t="s">
        <v>863</v>
      </c>
      <c r="Q54" s="63">
        <v>0</v>
      </c>
      <c r="R54">
        <v>115</v>
      </c>
      <c r="S54">
        <v>0</v>
      </c>
      <c r="T54">
        <v>830</v>
      </c>
      <c r="U54">
        <v>0.6</v>
      </c>
      <c r="X54">
        <v>743.8</v>
      </c>
      <c r="Y54" s="63">
        <v>0.98654708520179368</v>
      </c>
    </row>
    <row r="55" spans="13:25">
      <c r="M55">
        <v>99256</v>
      </c>
      <c r="N55">
        <v>560101</v>
      </c>
      <c r="O55" t="s">
        <v>826</v>
      </c>
      <c r="P55" t="s">
        <v>827</v>
      </c>
      <c r="Q55" s="63">
        <v>2.355</v>
      </c>
      <c r="R55">
        <v>67</v>
      </c>
      <c r="S55">
        <v>76</v>
      </c>
      <c r="T55">
        <v>172</v>
      </c>
      <c r="U55">
        <v>0.70399999999999996</v>
      </c>
      <c r="X55">
        <v>743.9</v>
      </c>
      <c r="Y55" s="63">
        <v>0.89230769230769236</v>
      </c>
    </row>
    <row r="56" spans="13:25">
      <c r="M56">
        <v>98910</v>
      </c>
      <c r="Q56" s="63"/>
      <c r="Y56" s="63">
        <v>0</v>
      </c>
    </row>
    <row r="57" spans="13:25">
      <c r="M57">
        <v>98401</v>
      </c>
      <c r="N57">
        <v>570110</v>
      </c>
      <c r="O57" t="s">
        <v>870</v>
      </c>
      <c r="P57" t="s">
        <v>871</v>
      </c>
      <c r="Q57" s="63">
        <v>2.1080000000000001</v>
      </c>
      <c r="R57">
        <v>97</v>
      </c>
      <c r="S57">
        <v>107</v>
      </c>
      <c r="T57">
        <v>97</v>
      </c>
      <c r="U57">
        <v>0.68600000000000005</v>
      </c>
      <c r="X57">
        <v>470.7</v>
      </c>
      <c r="Y57" s="63">
        <v>1</v>
      </c>
    </row>
    <row r="58" spans="13:25">
      <c r="M58">
        <v>96901</v>
      </c>
      <c r="N58">
        <v>570100</v>
      </c>
      <c r="O58" t="s">
        <v>898</v>
      </c>
      <c r="P58" t="s">
        <v>867</v>
      </c>
      <c r="Q58" s="63">
        <v>2.0169999999999999</v>
      </c>
      <c r="R58">
        <v>59</v>
      </c>
      <c r="S58">
        <v>65</v>
      </c>
      <c r="T58">
        <v>58</v>
      </c>
      <c r="U58">
        <v>0.67800000000000005</v>
      </c>
      <c r="X58">
        <v>743.9</v>
      </c>
      <c r="Y58" s="63">
        <v>0.88888888888888895</v>
      </c>
    </row>
    <row r="59" spans="13:25">
      <c r="M59">
        <v>99101</v>
      </c>
      <c r="Q59" s="63"/>
      <c r="Y59" s="63">
        <v>0</v>
      </c>
    </row>
    <row r="60" spans="13:25">
      <c r="M60" t="s">
        <v>811</v>
      </c>
      <c r="Q60" s="63"/>
      <c r="Y60" s="63">
        <v>0</v>
      </c>
    </row>
    <row r="61" spans="13:25">
      <c r="M61">
        <v>99246</v>
      </c>
      <c r="Q61" s="63"/>
      <c r="Y61" s="63">
        <v>0</v>
      </c>
    </row>
    <row r="62" spans="13:25">
      <c r="M62">
        <v>99312</v>
      </c>
      <c r="Q62" s="63"/>
      <c r="Y62" s="63">
        <v>0</v>
      </c>
    </row>
    <row r="63" spans="13:25">
      <c r="M63">
        <v>99140</v>
      </c>
      <c r="Q63" s="63"/>
      <c r="Y63" s="63">
        <v>0</v>
      </c>
    </row>
    <row r="64" spans="13:25">
      <c r="M64">
        <v>98979</v>
      </c>
      <c r="N64">
        <v>562100</v>
      </c>
      <c r="O64" t="s">
        <v>832</v>
      </c>
      <c r="P64" t="s">
        <v>833</v>
      </c>
      <c r="Q64" s="63">
        <v>0</v>
      </c>
      <c r="R64">
        <v>14</v>
      </c>
      <c r="S64">
        <v>0</v>
      </c>
      <c r="T64">
        <v>73</v>
      </c>
      <c r="U64">
        <v>0.64</v>
      </c>
      <c r="X64">
        <v>142.80000000000001</v>
      </c>
      <c r="Y64" s="63">
        <v>0.95</v>
      </c>
    </row>
    <row r="65" spans="13:25">
      <c r="M65">
        <v>34001</v>
      </c>
      <c r="N65">
        <v>567110</v>
      </c>
      <c r="O65" t="s">
        <v>857</v>
      </c>
      <c r="P65" t="s">
        <v>899</v>
      </c>
      <c r="Q65" s="63">
        <v>1.48</v>
      </c>
      <c r="R65">
        <v>44</v>
      </c>
      <c r="S65">
        <v>48</v>
      </c>
      <c r="T65">
        <v>51</v>
      </c>
      <c r="U65">
        <v>0.65400000000000003</v>
      </c>
      <c r="X65">
        <v>744.4</v>
      </c>
      <c r="Y65" s="63">
        <v>0.84174725847204079</v>
      </c>
    </row>
    <row r="66" spans="13:25">
      <c r="M66" t="s">
        <v>815</v>
      </c>
      <c r="Q66" s="63"/>
      <c r="Y66" s="63">
        <v>0</v>
      </c>
    </row>
    <row r="67" spans="13:25">
      <c r="M67" t="s">
        <v>816</v>
      </c>
      <c r="Q67" s="63"/>
      <c r="Y67" s="63">
        <v>0</v>
      </c>
    </row>
    <row r="68" spans="13:25">
      <c r="M68">
        <v>98915</v>
      </c>
      <c r="N68">
        <v>561105</v>
      </c>
      <c r="O68" t="s">
        <v>830</v>
      </c>
      <c r="P68" t="s">
        <v>831</v>
      </c>
      <c r="Q68" s="63">
        <v>0</v>
      </c>
      <c r="R68">
        <v>216</v>
      </c>
      <c r="S68">
        <v>0</v>
      </c>
      <c r="T68">
        <v>700</v>
      </c>
      <c r="U68">
        <v>0.64</v>
      </c>
      <c r="X68">
        <v>27.4</v>
      </c>
      <c r="Y68" s="63">
        <v>1</v>
      </c>
    </row>
    <row r="69" spans="13:25">
      <c r="M69">
        <v>99270</v>
      </c>
      <c r="Q69" s="63"/>
      <c r="Y69" s="63">
        <v>0</v>
      </c>
    </row>
    <row r="70" spans="13:25">
      <c r="M70">
        <v>99161</v>
      </c>
      <c r="Q70" s="63"/>
      <c r="Y70" s="63">
        <v>0</v>
      </c>
    </row>
    <row r="71" spans="13:25">
      <c r="M71">
        <v>99305</v>
      </c>
      <c r="Q71" s="63"/>
      <c r="Y71" s="63">
        <v>0</v>
      </c>
    </row>
    <row r="72" spans="13:25">
      <c r="M72">
        <v>99302</v>
      </c>
      <c r="Q72" s="63"/>
      <c r="Y72" s="63">
        <v>0</v>
      </c>
    </row>
    <row r="73" spans="13:25">
      <c r="M73">
        <v>99296</v>
      </c>
      <c r="Q73" s="63"/>
      <c r="Y73" s="63">
        <v>0</v>
      </c>
    </row>
    <row r="74" spans="13:25">
      <c r="M74" t="s">
        <v>796</v>
      </c>
      <c r="Q74" s="63"/>
      <c r="Y74" s="63">
        <v>0</v>
      </c>
    </row>
    <row r="75" spans="13:25">
      <c r="M75" t="s">
        <v>796</v>
      </c>
      <c r="Q75" s="63"/>
      <c r="Y75" s="63">
        <v>0</v>
      </c>
    </row>
    <row r="76" spans="13:25">
      <c r="M76">
        <v>80001</v>
      </c>
      <c r="N76">
        <v>570115</v>
      </c>
      <c r="O76" t="s">
        <v>791</v>
      </c>
      <c r="P76" t="s">
        <v>872</v>
      </c>
      <c r="Q76" s="63">
        <v>1.3480000000000001</v>
      </c>
      <c r="R76">
        <v>50</v>
      </c>
      <c r="S76">
        <v>54</v>
      </c>
      <c r="T76">
        <v>98</v>
      </c>
      <c r="U76">
        <v>0.70199999999999996</v>
      </c>
      <c r="X76">
        <v>595.4</v>
      </c>
      <c r="Y76" s="63">
        <v>1</v>
      </c>
    </row>
    <row r="77" spans="13:25">
      <c r="M77">
        <v>64</v>
      </c>
      <c r="Q77" s="63"/>
      <c r="Y77" s="63">
        <v>0</v>
      </c>
    </row>
  </sheetData>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E156"/>
  <sheetViews>
    <sheetView workbookViewId="0">
      <selection activeCell="B4" sqref="B4"/>
    </sheetView>
  </sheetViews>
  <sheetFormatPr baseColWidth="10" defaultColWidth="8.83203125" defaultRowHeight="12" x14ac:dyDescent="0"/>
  <cols>
    <col min="2" max="2" width="37.1640625" bestFit="1" customWidth="1"/>
    <col min="3" max="3" width="17.5" customWidth="1"/>
    <col min="4" max="4" width="15.33203125" bestFit="1" customWidth="1"/>
    <col min="5" max="5" width="16" bestFit="1" customWidth="1"/>
    <col min="6" max="6" width="18.6640625" customWidth="1"/>
  </cols>
  <sheetData>
    <row r="2" spans="2:5" s="24" customFormat="1" ht="60" customHeight="1">
      <c r="B2"/>
      <c r="C2"/>
      <c r="D2"/>
      <c r="E2"/>
    </row>
    <row r="3" spans="2:5" ht="36">
      <c r="B3" s="87" t="s">
        <v>615</v>
      </c>
      <c r="C3" s="88" t="s">
        <v>900</v>
      </c>
      <c r="D3" s="90" t="s">
        <v>903</v>
      </c>
      <c r="E3" s="24" t="s">
        <v>904</v>
      </c>
    </row>
    <row r="4" spans="2:5">
      <c r="B4" s="22" t="s">
        <v>164</v>
      </c>
      <c r="C4" s="89"/>
      <c r="D4" s="91">
        <v>0</v>
      </c>
      <c r="E4" s="92">
        <v>0</v>
      </c>
    </row>
    <row r="5" spans="2:5">
      <c r="B5" s="22" t="s">
        <v>326</v>
      </c>
      <c r="C5" s="89"/>
      <c r="D5" s="91">
        <v>5619</v>
      </c>
      <c r="E5" s="92">
        <v>9658</v>
      </c>
    </row>
    <row r="6" spans="2:5">
      <c r="B6" s="22" t="s">
        <v>222</v>
      </c>
      <c r="C6" s="89">
        <v>14</v>
      </c>
      <c r="D6" s="91">
        <v>475</v>
      </c>
      <c r="E6" s="92">
        <v>422</v>
      </c>
    </row>
    <row r="7" spans="2:5">
      <c r="B7" s="22" t="s">
        <v>146</v>
      </c>
      <c r="C7" s="89"/>
      <c r="D7" s="91">
        <v>0</v>
      </c>
      <c r="E7" s="92">
        <v>0</v>
      </c>
    </row>
    <row r="8" spans="2:5">
      <c r="B8" s="22" t="s">
        <v>93</v>
      </c>
      <c r="C8" s="89">
        <v>0</v>
      </c>
      <c r="D8" s="91">
        <v>34</v>
      </c>
      <c r="E8" s="92">
        <v>23</v>
      </c>
    </row>
    <row r="9" spans="2:5">
      <c r="B9" s="22" t="s">
        <v>303</v>
      </c>
      <c r="C9" s="89"/>
      <c r="D9" s="91">
        <v>0</v>
      </c>
      <c r="E9" s="92">
        <v>0</v>
      </c>
    </row>
    <row r="10" spans="2:5">
      <c r="B10" s="22" t="s">
        <v>74</v>
      </c>
      <c r="C10" s="89"/>
      <c r="D10" s="91">
        <v>0</v>
      </c>
      <c r="E10" s="92">
        <v>0</v>
      </c>
    </row>
    <row r="11" spans="2:5">
      <c r="B11" s="22" t="s">
        <v>170</v>
      </c>
      <c r="C11" s="89">
        <v>0</v>
      </c>
      <c r="D11" s="91">
        <v>539</v>
      </c>
      <c r="E11" s="92">
        <v>636</v>
      </c>
    </row>
    <row r="12" spans="2:5">
      <c r="B12" s="22" t="s">
        <v>86</v>
      </c>
      <c r="C12" s="89"/>
      <c r="D12" s="91">
        <v>0</v>
      </c>
      <c r="E12" s="92">
        <v>0</v>
      </c>
    </row>
    <row r="13" spans="2:5">
      <c r="B13" s="22" t="s">
        <v>380</v>
      </c>
      <c r="C13" s="89"/>
      <c r="D13" s="91">
        <v>0</v>
      </c>
      <c r="E13" s="92">
        <v>0</v>
      </c>
    </row>
    <row r="14" spans="2:5">
      <c r="B14" s="22" t="s">
        <v>383</v>
      </c>
      <c r="C14" s="89"/>
      <c r="D14" s="91">
        <v>0</v>
      </c>
      <c r="E14" s="92">
        <v>0</v>
      </c>
    </row>
    <row r="15" spans="2:5">
      <c r="B15" s="22" t="s">
        <v>130</v>
      </c>
      <c r="C15" s="89"/>
      <c r="D15" s="91">
        <v>0</v>
      </c>
      <c r="E15" s="92">
        <v>0</v>
      </c>
    </row>
    <row r="16" spans="2:5">
      <c r="B16" s="22" t="s">
        <v>181</v>
      </c>
      <c r="C16" s="89">
        <v>277</v>
      </c>
      <c r="D16" s="91">
        <v>4680</v>
      </c>
      <c r="E16" s="92">
        <v>6553</v>
      </c>
    </row>
    <row r="17" spans="2:5">
      <c r="B17" s="22" t="s">
        <v>77</v>
      </c>
      <c r="C17" s="89">
        <v>0</v>
      </c>
      <c r="D17" s="91">
        <v>0</v>
      </c>
      <c r="E17" s="92">
        <v>108</v>
      </c>
    </row>
    <row r="18" spans="2:5">
      <c r="B18" s="22" t="s">
        <v>88</v>
      </c>
      <c r="C18" s="89">
        <v>13</v>
      </c>
      <c r="D18" s="91">
        <v>322</v>
      </c>
      <c r="E18" s="92">
        <v>393</v>
      </c>
    </row>
    <row r="19" spans="2:5">
      <c r="B19" s="22" t="s">
        <v>283</v>
      </c>
      <c r="C19" s="89"/>
      <c r="D19" s="91">
        <v>0</v>
      </c>
      <c r="E19" s="92">
        <v>0</v>
      </c>
    </row>
    <row r="20" spans="2:5">
      <c r="B20" s="22" t="s">
        <v>257</v>
      </c>
      <c r="C20" s="89"/>
      <c r="D20" s="91">
        <v>0</v>
      </c>
      <c r="E20" s="92">
        <v>0</v>
      </c>
    </row>
    <row r="21" spans="2:5">
      <c r="B21" s="22" t="s">
        <v>104</v>
      </c>
      <c r="C21" s="89">
        <v>0</v>
      </c>
      <c r="D21" s="91">
        <v>0</v>
      </c>
      <c r="E21" s="92">
        <v>0</v>
      </c>
    </row>
    <row r="22" spans="2:5">
      <c r="B22" s="22" t="s">
        <v>373</v>
      </c>
      <c r="C22" s="89"/>
      <c r="D22" s="91">
        <v>0</v>
      </c>
      <c r="E22" s="92">
        <v>0</v>
      </c>
    </row>
    <row r="23" spans="2:5">
      <c r="B23" s="22" t="s">
        <v>314</v>
      </c>
      <c r="C23" s="89"/>
      <c r="D23" s="91">
        <v>0</v>
      </c>
      <c r="E23" s="92">
        <v>0</v>
      </c>
    </row>
    <row r="24" spans="2:5">
      <c r="B24" s="22" t="s">
        <v>80</v>
      </c>
      <c r="C24" s="89">
        <v>210</v>
      </c>
      <c r="D24" s="91">
        <v>4939</v>
      </c>
      <c r="E24" s="92">
        <v>5182</v>
      </c>
    </row>
    <row r="25" spans="2:5">
      <c r="B25" s="22" t="s">
        <v>352</v>
      </c>
      <c r="C25" s="89">
        <v>0</v>
      </c>
      <c r="D25" s="91">
        <v>460</v>
      </c>
      <c r="E25" s="92">
        <v>469</v>
      </c>
    </row>
    <row r="26" spans="2:5">
      <c r="B26" s="22" t="s">
        <v>142</v>
      </c>
      <c r="C26" s="89">
        <v>0</v>
      </c>
      <c r="D26" s="91">
        <v>74</v>
      </c>
      <c r="E26" s="92">
        <v>0</v>
      </c>
    </row>
    <row r="27" spans="2:5">
      <c r="B27" s="22" t="s">
        <v>358</v>
      </c>
      <c r="C27" s="89">
        <v>90</v>
      </c>
      <c r="D27" s="91">
        <v>1792</v>
      </c>
      <c r="E27" s="92">
        <v>1937</v>
      </c>
    </row>
    <row r="28" spans="2:5">
      <c r="B28" s="22" t="s">
        <v>336</v>
      </c>
      <c r="C28" s="89"/>
      <c r="D28" s="91">
        <v>0</v>
      </c>
      <c r="E28" s="92">
        <v>0</v>
      </c>
    </row>
    <row r="29" spans="2:5">
      <c r="B29" s="22" t="s">
        <v>82</v>
      </c>
      <c r="C29" s="89"/>
      <c r="D29" s="91">
        <v>0</v>
      </c>
      <c r="E29" s="92">
        <v>0</v>
      </c>
    </row>
    <row r="30" spans="2:5">
      <c r="B30" s="22" t="s">
        <v>179</v>
      </c>
      <c r="C30" s="89"/>
      <c r="D30" s="91">
        <v>0</v>
      </c>
      <c r="E30" s="92">
        <v>0</v>
      </c>
    </row>
    <row r="31" spans="2:5">
      <c r="B31" s="22" t="s">
        <v>191</v>
      </c>
      <c r="C31" s="89">
        <v>25</v>
      </c>
      <c r="D31" s="91">
        <v>888</v>
      </c>
      <c r="E31" s="92">
        <v>350</v>
      </c>
    </row>
    <row r="32" spans="2:5">
      <c r="B32" s="22" t="s">
        <v>190</v>
      </c>
      <c r="C32" s="89"/>
      <c r="D32" s="91">
        <v>0</v>
      </c>
      <c r="E32" s="92">
        <v>0</v>
      </c>
    </row>
    <row r="33" spans="2:5">
      <c r="B33" s="22" t="s">
        <v>204</v>
      </c>
      <c r="C33" s="89"/>
      <c r="D33" s="91">
        <v>0</v>
      </c>
      <c r="E33" s="92">
        <v>0</v>
      </c>
    </row>
    <row r="34" spans="2:5">
      <c r="B34" s="22" t="s">
        <v>152</v>
      </c>
      <c r="C34" s="89"/>
      <c r="D34" s="91">
        <v>0</v>
      </c>
      <c r="E34" s="92">
        <v>0</v>
      </c>
    </row>
    <row r="35" spans="2:5">
      <c r="B35" s="22" t="s">
        <v>153</v>
      </c>
      <c r="C35" s="89"/>
      <c r="D35" s="91">
        <v>0</v>
      </c>
      <c r="E35" s="92">
        <v>0</v>
      </c>
    </row>
    <row r="36" spans="2:5">
      <c r="B36" s="22" t="s">
        <v>157</v>
      </c>
      <c r="C36" s="89"/>
      <c r="D36" s="91">
        <v>0</v>
      </c>
      <c r="E36" s="92">
        <v>0</v>
      </c>
    </row>
    <row r="37" spans="2:5">
      <c r="B37" s="22" t="s">
        <v>162</v>
      </c>
      <c r="C37" s="89"/>
      <c r="D37" s="91">
        <v>0</v>
      </c>
      <c r="E37" s="92">
        <v>0</v>
      </c>
    </row>
    <row r="38" spans="2:5">
      <c r="B38" s="22" t="s">
        <v>160</v>
      </c>
      <c r="C38" s="89"/>
      <c r="D38" s="91">
        <v>0</v>
      </c>
      <c r="E38" s="92">
        <v>0</v>
      </c>
    </row>
    <row r="39" spans="2:5">
      <c r="B39" s="22" t="s">
        <v>310</v>
      </c>
      <c r="C39" s="89"/>
      <c r="D39" s="91">
        <v>0</v>
      </c>
      <c r="E39" s="92">
        <v>0</v>
      </c>
    </row>
    <row r="40" spans="2:5">
      <c r="B40" s="22" t="s">
        <v>254</v>
      </c>
      <c r="C40" s="89">
        <v>0</v>
      </c>
      <c r="D40" s="91">
        <v>542</v>
      </c>
      <c r="E40" s="92">
        <v>564</v>
      </c>
    </row>
    <row r="41" spans="2:5">
      <c r="B41" s="22" t="s">
        <v>96</v>
      </c>
      <c r="C41" s="89">
        <v>0</v>
      </c>
      <c r="D41" s="91">
        <v>0</v>
      </c>
      <c r="E41" s="92">
        <v>0</v>
      </c>
    </row>
    <row r="42" spans="2:5">
      <c r="B42" s="22" t="s">
        <v>329</v>
      </c>
      <c r="C42" s="89"/>
      <c r="D42" s="91">
        <v>0</v>
      </c>
      <c r="E42" s="92">
        <v>0</v>
      </c>
    </row>
    <row r="43" spans="2:5">
      <c r="B43" s="22" t="s">
        <v>331</v>
      </c>
      <c r="C43" s="89"/>
      <c r="D43" s="91">
        <v>0</v>
      </c>
      <c r="E43" s="92">
        <v>0</v>
      </c>
    </row>
    <row r="44" spans="2:5">
      <c r="B44" s="22" t="s">
        <v>318</v>
      </c>
      <c r="C44" s="89"/>
      <c r="D44" s="91">
        <v>0</v>
      </c>
      <c r="E44" s="92">
        <v>0</v>
      </c>
    </row>
    <row r="45" spans="2:5">
      <c r="B45" s="22" t="s">
        <v>320</v>
      </c>
      <c r="C45" s="89"/>
      <c r="D45" s="91">
        <v>0</v>
      </c>
      <c r="E45" s="92">
        <v>0</v>
      </c>
    </row>
    <row r="46" spans="2:5">
      <c r="B46" s="22" t="s">
        <v>305</v>
      </c>
      <c r="C46" s="89"/>
      <c r="D46" s="91">
        <v>0</v>
      </c>
      <c r="E46" s="92">
        <v>0</v>
      </c>
    </row>
    <row r="47" spans="2:5">
      <c r="B47" s="22" t="s">
        <v>259</v>
      </c>
      <c r="C47" s="89"/>
      <c r="D47" s="91">
        <v>0</v>
      </c>
      <c r="E47" s="92">
        <v>0</v>
      </c>
    </row>
    <row r="48" spans="2:5">
      <c r="B48" s="22" t="s">
        <v>280</v>
      </c>
      <c r="C48" s="89">
        <v>46</v>
      </c>
      <c r="D48" s="91">
        <v>577</v>
      </c>
      <c r="E48" s="92">
        <v>146</v>
      </c>
    </row>
    <row r="49" spans="2:5">
      <c r="B49" s="22" t="s">
        <v>276</v>
      </c>
      <c r="C49" s="89">
        <v>16</v>
      </c>
      <c r="D49" s="91">
        <v>270</v>
      </c>
      <c r="E49" s="92">
        <v>128</v>
      </c>
    </row>
    <row r="50" spans="2:5">
      <c r="B50" s="22" t="s">
        <v>277</v>
      </c>
      <c r="C50" s="89">
        <v>54</v>
      </c>
      <c r="D50" s="91">
        <v>1457</v>
      </c>
      <c r="E50" s="92">
        <v>1092</v>
      </c>
    </row>
    <row r="51" spans="2:5">
      <c r="B51" s="22" t="s">
        <v>275</v>
      </c>
      <c r="C51" s="89"/>
      <c r="D51" s="91">
        <v>0</v>
      </c>
      <c r="E51" s="92">
        <v>0</v>
      </c>
    </row>
    <row r="52" spans="2:5">
      <c r="B52" s="22" t="s">
        <v>278</v>
      </c>
      <c r="C52" s="89">
        <v>72</v>
      </c>
      <c r="D52" s="91">
        <v>1122</v>
      </c>
      <c r="E52" s="92">
        <v>1075</v>
      </c>
    </row>
    <row r="53" spans="2:5">
      <c r="B53" s="22" t="s">
        <v>338</v>
      </c>
      <c r="C53" s="89">
        <v>252</v>
      </c>
      <c r="D53" s="91">
        <v>7591</v>
      </c>
      <c r="E53" s="92">
        <v>5235</v>
      </c>
    </row>
    <row r="54" spans="2:5">
      <c r="B54" s="22" t="s">
        <v>210</v>
      </c>
      <c r="C54" s="89"/>
      <c r="D54" s="91">
        <v>0</v>
      </c>
      <c r="E54" s="92">
        <v>0</v>
      </c>
    </row>
    <row r="55" spans="2:5">
      <c r="B55" s="22" t="s">
        <v>224</v>
      </c>
      <c r="C55" s="89"/>
      <c r="D55" s="91">
        <v>0</v>
      </c>
      <c r="E55" s="92">
        <v>0</v>
      </c>
    </row>
    <row r="56" spans="2:5">
      <c r="B56" s="22" t="s">
        <v>298</v>
      </c>
      <c r="C56" s="89"/>
      <c r="D56" s="91">
        <v>0</v>
      </c>
      <c r="E56" s="92">
        <v>0</v>
      </c>
    </row>
    <row r="57" spans="2:5">
      <c r="B57" s="22" t="s">
        <v>120</v>
      </c>
      <c r="C57" s="89"/>
      <c r="D57" s="91">
        <v>0</v>
      </c>
      <c r="E57" s="92">
        <v>0</v>
      </c>
    </row>
    <row r="58" spans="2:5">
      <c r="B58" s="22" t="s">
        <v>291</v>
      </c>
      <c r="C58" s="89">
        <v>0</v>
      </c>
      <c r="D58" s="91">
        <v>47</v>
      </c>
      <c r="E58" s="92">
        <v>140</v>
      </c>
    </row>
    <row r="59" spans="2:5">
      <c r="B59" s="22" t="s">
        <v>285</v>
      </c>
      <c r="C59" s="89">
        <v>0</v>
      </c>
      <c r="D59" s="91">
        <v>71</v>
      </c>
      <c r="E59" s="92">
        <v>10</v>
      </c>
    </row>
    <row r="60" spans="2:5">
      <c r="B60" s="22" t="s">
        <v>287</v>
      </c>
      <c r="C60" s="89">
        <v>90</v>
      </c>
      <c r="D60" s="91">
        <v>2645</v>
      </c>
      <c r="E60" s="92">
        <v>1287</v>
      </c>
    </row>
    <row r="61" spans="2:5">
      <c r="B61" s="22" t="s">
        <v>289</v>
      </c>
      <c r="C61" s="89"/>
      <c r="D61" s="91">
        <v>0</v>
      </c>
      <c r="E61" s="92">
        <v>0</v>
      </c>
    </row>
    <row r="62" spans="2:5">
      <c r="B62" s="22" t="s">
        <v>248</v>
      </c>
      <c r="C62" s="89"/>
      <c r="D62" s="91">
        <v>0</v>
      </c>
      <c r="E62" s="92">
        <v>0</v>
      </c>
    </row>
    <row r="63" spans="2:5">
      <c r="B63" s="22" t="s">
        <v>356</v>
      </c>
      <c r="C63" s="89"/>
      <c r="D63" s="91">
        <v>0</v>
      </c>
      <c r="E63" s="92">
        <v>0</v>
      </c>
    </row>
    <row r="64" spans="2:5">
      <c r="B64" s="22" t="s">
        <v>355</v>
      </c>
      <c r="C64" s="89">
        <v>0</v>
      </c>
      <c r="D64" s="91">
        <v>1015</v>
      </c>
      <c r="E64" s="92">
        <v>1602</v>
      </c>
    </row>
    <row r="65" spans="2:5">
      <c r="B65" s="22" t="s">
        <v>354</v>
      </c>
      <c r="C65" s="89">
        <v>0</v>
      </c>
      <c r="D65" s="91">
        <v>284</v>
      </c>
      <c r="E65" s="92">
        <v>312</v>
      </c>
    </row>
    <row r="66" spans="2:5">
      <c r="B66" s="22" t="s">
        <v>175</v>
      </c>
      <c r="C66" s="89">
        <v>377</v>
      </c>
      <c r="D66" s="91">
        <v>8183</v>
      </c>
      <c r="E66" s="92">
        <v>8593</v>
      </c>
    </row>
    <row r="67" spans="2:5">
      <c r="B67" s="22" t="s">
        <v>115</v>
      </c>
      <c r="C67" s="89"/>
      <c r="D67" s="91">
        <v>0</v>
      </c>
      <c r="E67" s="92">
        <v>0</v>
      </c>
    </row>
    <row r="68" spans="2:5">
      <c r="B68" s="22" t="s">
        <v>360</v>
      </c>
      <c r="C68" s="89"/>
      <c r="D68" s="91">
        <v>0</v>
      </c>
      <c r="E68" s="92">
        <v>0</v>
      </c>
    </row>
    <row r="69" spans="2:5">
      <c r="B69" s="22" t="s">
        <v>340</v>
      </c>
      <c r="C69" s="89"/>
      <c r="D69" s="91">
        <v>2854</v>
      </c>
      <c r="E69" s="92">
        <v>142</v>
      </c>
    </row>
    <row r="70" spans="2:5">
      <c r="B70" s="22" t="s">
        <v>97</v>
      </c>
      <c r="C70" s="89"/>
      <c r="D70" s="91">
        <v>0</v>
      </c>
      <c r="E70" s="92">
        <v>0</v>
      </c>
    </row>
    <row r="71" spans="2:5">
      <c r="B71" s="22" t="s">
        <v>211</v>
      </c>
      <c r="C71" s="89">
        <v>174</v>
      </c>
      <c r="D71" s="91">
        <v>393</v>
      </c>
      <c r="E71" s="92">
        <v>2537</v>
      </c>
    </row>
    <row r="72" spans="2:5">
      <c r="B72" s="22" t="s">
        <v>216</v>
      </c>
      <c r="C72" s="89"/>
      <c r="D72" s="91">
        <v>0</v>
      </c>
      <c r="E72" s="92">
        <v>0</v>
      </c>
    </row>
    <row r="73" spans="2:5">
      <c r="B73" s="22" t="s">
        <v>186</v>
      </c>
      <c r="C73" s="89"/>
      <c r="D73" s="91">
        <v>0</v>
      </c>
      <c r="E73" s="92">
        <v>0</v>
      </c>
    </row>
    <row r="74" spans="2:5">
      <c r="B74" s="22" t="s">
        <v>279</v>
      </c>
      <c r="C74" s="89">
        <v>27</v>
      </c>
      <c r="D74" s="91">
        <v>934</v>
      </c>
      <c r="E74" s="92">
        <v>655</v>
      </c>
    </row>
    <row r="75" spans="2:5">
      <c r="B75" s="22" t="s">
        <v>106</v>
      </c>
      <c r="C75" s="89"/>
      <c r="D75" s="91">
        <v>0</v>
      </c>
      <c r="E75" s="92">
        <v>0</v>
      </c>
    </row>
    <row r="76" spans="2:5">
      <c r="B76" s="22" t="s">
        <v>367</v>
      </c>
      <c r="C76" s="89"/>
      <c r="D76" s="91">
        <v>0</v>
      </c>
      <c r="E76" s="92">
        <v>0</v>
      </c>
    </row>
    <row r="77" spans="2:5">
      <c r="B77" s="22" t="s">
        <v>134</v>
      </c>
      <c r="C77" s="89"/>
      <c r="D77" s="91">
        <v>0</v>
      </c>
      <c r="E77" s="92">
        <v>0</v>
      </c>
    </row>
    <row r="78" spans="2:5">
      <c r="B78" s="22" t="s">
        <v>316</v>
      </c>
      <c r="C78" s="89"/>
      <c r="D78" s="91">
        <v>1385</v>
      </c>
      <c r="E78" s="92">
        <v>1016</v>
      </c>
    </row>
    <row r="79" spans="2:5">
      <c r="B79" s="22" t="s">
        <v>342</v>
      </c>
      <c r="C79" s="89"/>
      <c r="D79" s="91">
        <v>0</v>
      </c>
      <c r="E79" s="92">
        <v>0</v>
      </c>
    </row>
    <row r="80" spans="2:5">
      <c r="B80" s="22" t="s">
        <v>231</v>
      </c>
      <c r="C80" s="89">
        <v>0</v>
      </c>
      <c r="D80" s="91">
        <v>0</v>
      </c>
      <c r="E80" s="92">
        <v>0</v>
      </c>
    </row>
    <row r="81" spans="2:5">
      <c r="B81" s="22" t="s">
        <v>344</v>
      </c>
      <c r="C81" s="89">
        <v>0</v>
      </c>
      <c r="D81" s="91">
        <v>5442</v>
      </c>
      <c r="E81" s="92">
        <v>5459</v>
      </c>
    </row>
    <row r="82" spans="2:5">
      <c r="B82" s="22" t="s">
        <v>238</v>
      </c>
      <c r="C82" s="89"/>
      <c r="D82" s="91">
        <v>0</v>
      </c>
      <c r="E82" s="92">
        <v>0</v>
      </c>
    </row>
    <row r="83" spans="2:5">
      <c r="B83" s="22" t="s">
        <v>385</v>
      </c>
      <c r="C83" s="89">
        <v>150</v>
      </c>
      <c r="D83" s="91">
        <v>199</v>
      </c>
      <c r="E83" s="92">
        <v>4284</v>
      </c>
    </row>
    <row r="84" spans="2:5">
      <c r="B84" s="22" t="s">
        <v>362</v>
      </c>
      <c r="C84" s="89">
        <v>0</v>
      </c>
      <c r="D84" s="91">
        <v>8144</v>
      </c>
      <c r="E84" s="92">
        <v>2361</v>
      </c>
    </row>
    <row r="85" spans="2:5">
      <c r="B85" s="22" t="s">
        <v>212</v>
      </c>
      <c r="C85" s="89">
        <v>0</v>
      </c>
      <c r="D85" s="91">
        <v>0</v>
      </c>
      <c r="E85" s="92">
        <v>8</v>
      </c>
    </row>
    <row r="86" spans="2:5">
      <c r="B86" s="22" t="s">
        <v>218</v>
      </c>
      <c r="C86" s="89"/>
      <c r="D86" s="91">
        <v>0</v>
      </c>
      <c r="E86" s="92">
        <v>0</v>
      </c>
    </row>
    <row r="87" spans="2:5">
      <c r="B87" s="22" t="s">
        <v>333</v>
      </c>
      <c r="C87" s="89"/>
      <c r="D87" s="91">
        <v>0</v>
      </c>
      <c r="E87" s="92">
        <v>0</v>
      </c>
    </row>
    <row r="88" spans="2:5">
      <c r="B88" s="22" t="s">
        <v>123</v>
      </c>
      <c r="C88" s="89"/>
      <c r="D88" s="91">
        <v>0</v>
      </c>
      <c r="E88" s="92">
        <v>0</v>
      </c>
    </row>
    <row r="89" spans="2:5">
      <c r="B89" s="22" t="s">
        <v>155</v>
      </c>
      <c r="C89" s="89"/>
      <c r="D89" s="91">
        <v>0</v>
      </c>
      <c r="E89" s="92">
        <v>0</v>
      </c>
    </row>
    <row r="90" spans="2:5">
      <c r="B90" s="22" t="s">
        <v>794</v>
      </c>
      <c r="C90" s="89">
        <v>0</v>
      </c>
      <c r="D90" s="91">
        <v>664</v>
      </c>
      <c r="E90" s="92"/>
    </row>
    <row r="91" spans="2:5">
      <c r="B91" s="22" t="s">
        <v>228</v>
      </c>
      <c r="C91" s="89"/>
      <c r="D91" s="91">
        <v>0</v>
      </c>
      <c r="E91" s="92">
        <v>0</v>
      </c>
    </row>
    <row r="92" spans="2:5">
      <c r="B92" s="22" t="s">
        <v>327</v>
      </c>
      <c r="C92" s="89"/>
      <c r="D92" s="91">
        <v>3273</v>
      </c>
      <c r="E92" s="92">
        <v>3302</v>
      </c>
    </row>
    <row r="93" spans="2:5">
      <c r="B93" s="22" t="s">
        <v>102</v>
      </c>
      <c r="C93" s="89">
        <v>0</v>
      </c>
      <c r="D93" s="91">
        <v>56716</v>
      </c>
      <c r="E93" s="92">
        <v>61197</v>
      </c>
    </row>
    <row r="94" spans="2:5">
      <c r="B94" s="22" t="s">
        <v>132</v>
      </c>
      <c r="C94" s="89"/>
      <c r="D94" s="91">
        <v>0</v>
      </c>
      <c r="E94" s="92">
        <v>0</v>
      </c>
    </row>
    <row r="95" spans="2:5">
      <c r="B95" s="22" t="s">
        <v>242</v>
      </c>
      <c r="C95" s="89"/>
      <c r="D95" s="91">
        <v>0</v>
      </c>
      <c r="E95" s="92">
        <v>0</v>
      </c>
    </row>
    <row r="96" spans="2:5">
      <c r="B96" s="22" t="s">
        <v>244</v>
      </c>
      <c r="C96" s="89">
        <v>91</v>
      </c>
      <c r="D96" s="91">
        <v>2046</v>
      </c>
      <c r="E96" s="92">
        <v>3118</v>
      </c>
    </row>
    <row r="97" spans="2:5">
      <c r="B97" s="22" t="s">
        <v>371</v>
      </c>
      <c r="C97" s="89">
        <v>0</v>
      </c>
      <c r="D97" s="91">
        <v>0</v>
      </c>
      <c r="E97" s="92">
        <v>0</v>
      </c>
    </row>
    <row r="98" spans="2:5">
      <c r="B98" s="22" t="s">
        <v>335</v>
      </c>
      <c r="C98" s="89"/>
      <c r="D98" s="91">
        <v>0</v>
      </c>
      <c r="E98" s="92">
        <v>0</v>
      </c>
    </row>
    <row r="99" spans="2:5">
      <c r="B99" s="22" t="s">
        <v>118</v>
      </c>
      <c r="C99" s="89"/>
      <c r="D99" s="91">
        <v>0</v>
      </c>
      <c r="E99" s="92">
        <v>0</v>
      </c>
    </row>
    <row r="100" spans="2:5">
      <c r="B100" s="22" t="s">
        <v>312</v>
      </c>
      <c r="C100" s="89"/>
      <c r="D100" s="91">
        <v>0</v>
      </c>
      <c r="E100" s="92">
        <v>0</v>
      </c>
    </row>
    <row r="101" spans="2:5">
      <c r="B101" s="22" t="s">
        <v>295</v>
      </c>
      <c r="C101" s="89">
        <v>0</v>
      </c>
      <c r="D101" s="91">
        <v>2003</v>
      </c>
      <c r="E101" s="92">
        <v>2213</v>
      </c>
    </row>
    <row r="102" spans="2:5">
      <c r="B102" s="22" t="s">
        <v>382</v>
      </c>
      <c r="C102" s="89">
        <v>72</v>
      </c>
      <c r="D102" s="91">
        <v>72</v>
      </c>
      <c r="E102" s="92">
        <v>72</v>
      </c>
    </row>
    <row r="103" spans="2:5">
      <c r="B103" s="22" t="s">
        <v>387</v>
      </c>
      <c r="C103" s="89"/>
      <c r="D103" s="91">
        <v>0</v>
      </c>
      <c r="E103" s="92">
        <v>0</v>
      </c>
    </row>
    <row r="104" spans="2:5">
      <c r="B104" s="22" t="s">
        <v>389</v>
      </c>
      <c r="C104" s="89"/>
      <c r="D104" s="91">
        <v>0</v>
      </c>
      <c r="E104" s="92">
        <v>0</v>
      </c>
    </row>
    <row r="105" spans="2:5">
      <c r="B105" s="22" t="s">
        <v>365</v>
      </c>
      <c r="C105" s="89"/>
      <c r="D105" s="91">
        <v>0</v>
      </c>
      <c r="E105" s="92">
        <v>0</v>
      </c>
    </row>
    <row r="106" spans="2:5">
      <c r="B106" s="22" t="s">
        <v>213</v>
      </c>
      <c r="C106" s="89"/>
      <c r="D106" s="91">
        <v>0</v>
      </c>
      <c r="E106" s="92">
        <v>0</v>
      </c>
    </row>
    <row r="107" spans="2:5">
      <c r="B107" s="22" t="s">
        <v>127</v>
      </c>
      <c r="C107" s="89"/>
      <c r="D107" s="91">
        <v>0</v>
      </c>
      <c r="E107" s="92">
        <v>0</v>
      </c>
    </row>
    <row r="108" spans="2:5">
      <c r="B108" s="22" t="s">
        <v>271</v>
      </c>
      <c r="C108" s="89"/>
      <c r="D108" s="91">
        <v>0</v>
      </c>
      <c r="E108" s="92">
        <v>0</v>
      </c>
    </row>
    <row r="109" spans="2:5">
      <c r="B109" s="22" t="s">
        <v>112</v>
      </c>
      <c r="C109" s="89"/>
      <c r="D109" s="91">
        <v>0</v>
      </c>
      <c r="E109" s="92">
        <v>0</v>
      </c>
    </row>
    <row r="110" spans="2:5">
      <c r="B110" s="22" t="s">
        <v>110</v>
      </c>
      <c r="C110" s="89">
        <v>0</v>
      </c>
      <c r="D110" s="91">
        <v>2269</v>
      </c>
      <c r="E110" s="92">
        <v>2020</v>
      </c>
    </row>
    <row r="111" spans="2:5">
      <c r="B111" s="22" t="s">
        <v>108</v>
      </c>
      <c r="C111" s="89"/>
      <c r="D111" s="91">
        <v>0</v>
      </c>
      <c r="E111" s="92">
        <v>0</v>
      </c>
    </row>
    <row r="112" spans="2:5">
      <c r="B112" s="22" t="s">
        <v>195</v>
      </c>
      <c r="C112" s="89"/>
      <c r="D112" s="91">
        <v>0</v>
      </c>
      <c r="E112" s="92">
        <v>0</v>
      </c>
    </row>
    <row r="113" spans="2:5">
      <c r="B113" s="22" t="s">
        <v>150</v>
      </c>
      <c r="C113" s="89"/>
      <c r="D113" s="91">
        <v>0</v>
      </c>
      <c r="E113" s="92">
        <v>0</v>
      </c>
    </row>
    <row r="114" spans="2:5">
      <c r="B114" s="22" t="s">
        <v>282</v>
      </c>
      <c r="C114" s="89">
        <v>120</v>
      </c>
      <c r="D114" s="91">
        <v>120</v>
      </c>
      <c r="E114" s="92">
        <v>124</v>
      </c>
    </row>
    <row r="115" spans="2:5">
      <c r="B115" s="22" t="s">
        <v>322</v>
      </c>
      <c r="C115" s="89"/>
      <c r="D115" s="91">
        <v>0</v>
      </c>
      <c r="E115" s="92">
        <v>0</v>
      </c>
    </row>
    <row r="116" spans="2:5">
      <c r="B116" s="22" t="s">
        <v>263</v>
      </c>
      <c r="C116" s="89"/>
      <c r="D116" s="91">
        <v>0</v>
      </c>
      <c r="E116" s="92">
        <v>0</v>
      </c>
    </row>
    <row r="117" spans="2:5">
      <c r="B117" s="22" t="s">
        <v>261</v>
      </c>
      <c r="C117" s="89">
        <v>42</v>
      </c>
      <c r="D117" s="91">
        <v>985</v>
      </c>
      <c r="E117" s="92">
        <v>201</v>
      </c>
    </row>
    <row r="118" spans="2:5">
      <c r="B118" s="22" t="s">
        <v>269</v>
      </c>
      <c r="C118" s="89"/>
      <c r="D118" s="91">
        <v>0</v>
      </c>
      <c r="E118" s="92">
        <v>0</v>
      </c>
    </row>
    <row r="119" spans="2:5">
      <c r="B119" s="22" t="s">
        <v>265</v>
      </c>
      <c r="C119" s="89">
        <v>23</v>
      </c>
      <c r="D119" s="91">
        <v>818</v>
      </c>
      <c r="E119" s="92">
        <v>1217</v>
      </c>
    </row>
    <row r="120" spans="2:5">
      <c r="B120" s="22" t="s">
        <v>240</v>
      </c>
      <c r="C120" s="89"/>
      <c r="D120" s="91">
        <v>0</v>
      </c>
      <c r="E120" s="92">
        <v>0</v>
      </c>
    </row>
    <row r="121" spans="2:5">
      <c r="B121" s="22" t="s">
        <v>207</v>
      </c>
      <c r="C121" s="89">
        <v>0</v>
      </c>
      <c r="D121" s="91">
        <v>22145</v>
      </c>
      <c r="E121" s="92">
        <v>23157</v>
      </c>
    </row>
    <row r="122" spans="2:5">
      <c r="B122" s="22" t="s">
        <v>293</v>
      </c>
      <c r="C122" s="89"/>
      <c r="D122" s="91">
        <v>0</v>
      </c>
      <c r="E122" s="92">
        <v>0</v>
      </c>
    </row>
    <row r="123" spans="2:5">
      <c r="B123" s="22" t="s">
        <v>376</v>
      </c>
      <c r="C123" s="89"/>
      <c r="D123" s="91">
        <v>0</v>
      </c>
      <c r="E123" s="92">
        <v>0</v>
      </c>
    </row>
    <row r="124" spans="2:5">
      <c r="B124" s="22" t="s">
        <v>378</v>
      </c>
      <c r="C124" s="89"/>
      <c r="D124" s="91">
        <v>0</v>
      </c>
      <c r="E124" s="92">
        <v>0</v>
      </c>
    </row>
    <row r="125" spans="2:5">
      <c r="B125" s="22" t="s">
        <v>273</v>
      </c>
      <c r="C125" s="89"/>
      <c r="D125" s="91">
        <v>0</v>
      </c>
      <c r="E125" s="92">
        <v>0</v>
      </c>
    </row>
    <row r="126" spans="2:5">
      <c r="B126" s="22" t="s">
        <v>197</v>
      </c>
      <c r="C126" s="89"/>
      <c r="D126" s="91">
        <v>0</v>
      </c>
      <c r="E126" s="92">
        <v>0</v>
      </c>
    </row>
    <row r="127" spans="2:5">
      <c r="B127" s="22" t="s">
        <v>100</v>
      </c>
      <c r="C127" s="89"/>
      <c r="D127" s="91">
        <v>0</v>
      </c>
      <c r="E127" s="92">
        <v>0</v>
      </c>
    </row>
    <row r="128" spans="2:5">
      <c r="B128" s="22" t="s">
        <v>193</v>
      </c>
      <c r="C128" s="89">
        <v>0</v>
      </c>
      <c r="D128" s="91">
        <v>0</v>
      </c>
      <c r="E128" s="92">
        <v>0</v>
      </c>
    </row>
    <row r="129" spans="2:5">
      <c r="B129" s="22" t="s">
        <v>251</v>
      </c>
      <c r="C129" s="89">
        <v>1380</v>
      </c>
      <c r="D129" s="91">
        <v>33760</v>
      </c>
      <c r="E129" s="92">
        <v>38262</v>
      </c>
    </row>
    <row r="130" spans="2:5">
      <c r="B130" s="22" t="s">
        <v>300</v>
      </c>
      <c r="C130" s="89"/>
      <c r="D130" s="91">
        <v>0</v>
      </c>
      <c r="E130" s="92">
        <v>0</v>
      </c>
    </row>
    <row r="131" spans="2:5">
      <c r="B131" s="22" t="s">
        <v>188</v>
      </c>
      <c r="C131" s="89">
        <v>0</v>
      </c>
      <c r="D131" s="91">
        <v>1926</v>
      </c>
      <c r="E131" s="92">
        <v>2259</v>
      </c>
    </row>
    <row r="132" spans="2:5">
      <c r="B132" s="22" t="s">
        <v>309</v>
      </c>
      <c r="C132" s="89">
        <v>0</v>
      </c>
      <c r="D132" s="91">
        <v>265</v>
      </c>
      <c r="E132" s="92">
        <v>271</v>
      </c>
    </row>
    <row r="133" spans="2:5">
      <c r="B133" s="22" t="s">
        <v>91</v>
      </c>
      <c r="C133" s="89">
        <v>0</v>
      </c>
      <c r="D133" s="91">
        <v>0</v>
      </c>
      <c r="E133" s="92">
        <v>0</v>
      </c>
    </row>
    <row r="134" spans="2:5">
      <c r="B134" s="22" t="s">
        <v>324</v>
      </c>
      <c r="C134" s="89"/>
      <c r="D134" s="91">
        <v>0</v>
      </c>
      <c r="E134" s="92">
        <v>0</v>
      </c>
    </row>
    <row r="135" spans="2:5">
      <c r="B135" s="22" t="s">
        <v>136</v>
      </c>
      <c r="C135" s="89"/>
      <c r="D135" s="91">
        <v>0</v>
      </c>
      <c r="E135" s="92">
        <v>0</v>
      </c>
    </row>
    <row r="136" spans="2:5">
      <c r="B136" s="22" t="s">
        <v>137</v>
      </c>
      <c r="C136" s="89"/>
      <c r="D136" s="91">
        <v>0</v>
      </c>
      <c r="E136" s="92">
        <v>0</v>
      </c>
    </row>
    <row r="137" spans="2:5">
      <c r="B137" s="22" t="s">
        <v>233</v>
      </c>
      <c r="C137" s="89">
        <v>450</v>
      </c>
      <c r="D137" s="91">
        <v>18738</v>
      </c>
      <c r="E137" s="92">
        <v>19307</v>
      </c>
    </row>
    <row r="138" spans="2:5">
      <c r="B138" s="22" t="s">
        <v>235</v>
      </c>
      <c r="C138" s="89">
        <v>0</v>
      </c>
      <c r="D138" s="91">
        <v>1681</v>
      </c>
      <c r="E138" s="92">
        <v>2323</v>
      </c>
    </row>
    <row r="139" spans="2:5">
      <c r="B139" s="22" t="s">
        <v>141</v>
      </c>
      <c r="C139" s="89"/>
      <c r="D139" s="91">
        <v>0</v>
      </c>
      <c r="E139" s="92">
        <v>0</v>
      </c>
    </row>
    <row r="140" spans="2:5">
      <c r="B140" s="22" t="s">
        <v>139</v>
      </c>
      <c r="C140" s="89"/>
      <c r="D140" s="91">
        <v>0</v>
      </c>
      <c r="E140" s="92">
        <v>0</v>
      </c>
    </row>
    <row r="141" spans="2:5">
      <c r="B141" s="22" t="s">
        <v>148</v>
      </c>
      <c r="C141" s="89">
        <v>630</v>
      </c>
      <c r="D141" s="91">
        <v>120029</v>
      </c>
      <c r="E141" s="92">
        <v>127072</v>
      </c>
    </row>
    <row r="142" spans="2:5">
      <c r="B142" s="22" t="s">
        <v>144</v>
      </c>
      <c r="C142" s="89"/>
      <c r="D142" s="91">
        <v>0</v>
      </c>
      <c r="E142" s="92">
        <v>0</v>
      </c>
    </row>
    <row r="143" spans="2:5">
      <c r="B143" s="22" t="s">
        <v>393</v>
      </c>
      <c r="C143" s="89"/>
      <c r="D143" s="91">
        <v>0</v>
      </c>
      <c r="E143" s="92">
        <v>0</v>
      </c>
    </row>
    <row r="144" spans="2:5">
      <c r="B144" s="22" t="s">
        <v>220</v>
      </c>
      <c r="C144" s="89">
        <v>0</v>
      </c>
      <c r="D144" s="91">
        <v>0</v>
      </c>
      <c r="E144" s="92">
        <v>52</v>
      </c>
    </row>
    <row r="145" spans="2:5">
      <c r="B145" s="22" t="s">
        <v>246</v>
      </c>
      <c r="C145" s="89">
        <v>5</v>
      </c>
      <c r="D145" s="91">
        <v>18</v>
      </c>
      <c r="E145" s="92">
        <v>36</v>
      </c>
    </row>
    <row r="146" spans="2:5">
      <c r="B146" s="22" t="s">
        <v>173</v>
      </c>
      <c r="C146" s="89"/>
      <c r="D146" s="91">
        <v>0</v>
      </c>
      <c r="E146" s="92">
        <v>0</v>
      </c>
    </row>
    <row r="147" spans="2:5">
      <c r="B147" s="22" t="s">
        <v>369</v>
      </c>
      <c r="C147" s="89"/>
      <c r="D147" s="91">
        <v>0</v>
      </c>
      <c r="E147" s="92">
        <v>0</v>
      </c>
    </row>
    <row r="148" spans="2:5">
      <c r="B148" s="22" t="s">
        <v>202</v>
      </c>
      <c r="C148" s="89">
        <v>0</v>
      </c>
      <c r="D148" s="91">
        <v>0</v>
      </c>
      <c r="E148" s="92">
        <v>0</v>
      </c>
    </row>
    <row r="149" spans="2:5">
      <c r="B149" s="22" t="s">
        <v>199</v>
      </c>
      <c r="C149" s="89">
        <v>0</v>
      </c>
      <c r="D149" s="91">
        <v>0</v>
      </c>
      <c r="E149" s="92">
        <v>211</v>
      </c>
    </row>
    <row r="150" spans="2:5">
      <c r="B150" s="22" t="s">
        <v>200</v>
      </c>
      <c r="C150" s="89">
        <v>0</v>
      </c>
      <c r="D150" s="91">
        <v>0</v>
      </c>
      <c r="E150" s="92">
        <v>0</v>
      </c>
    </row>
    <row r="151" spans="2:5">
      <c r="B151" s="22" t="s">
        <v>116</v>
      </c>
      <c r="C151" s="89"/>
      <c r="D151" s="91">
        <v>0</v>
      </c>
      <c r="E151" s="92">
        <v>0</v>
      </c>
    </row>
    <row r="152" spans="2:5">
      <c r="B152" s="22" t="s">
        <v>166</v>
      </c>
      <c r="C152" s="89"/>
      <c r="D152" s="91">
        <v>0</v>
      </c>
      <c r="E152" s="92">
        <v>0</v>
      </c>
    </row>
    <row r="153" spans="2:5">
      <c r="B153" s="22" t="s">
        <v>168</v>
      </c>
      <c r="C153" s="89">
        <v>0</v>
      </c>
      <c r="D153" s="91">
        <v>0</v>
      </c>
      <c r="E153" s="92">
        <v>0</v>
      </c>
    </row>
    <row r="154" spans="2:5">
      <c r="B154" s="22" t="s">
        <v>267</v>
      </c>
      <c r="C154" s="89">
        <v>20</v>
      </c>
      <c r="D154" s="91">
        <v>170</v>
      </c>
      <c r="E154" s="92">
        <v>513</v>
      </c>
    </row>
    <row r="155" spans="2:5">
      <c r="B155" s="22" t="s">
        <v>85</v>
      </c>
      <c r="C155" s="89"/>
      <c r="D155" s="91">
        <v>0</v>
      </c>
      <c r="E155" s="92">
        <v>0</v>
      </c>
    </row>
    <row r="156" spans="2:5">
      <c r="B156" s="22" t="s">
        <v>616</v>
      </c>
      <c r="C156" s="89">
        <v>4720</v>
      </c>
      <c r="D156" s="91">
        <v>330675</v>
      </c>
      <c r="E156" s="92">
        <v>349304</v>
      </c>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C3:C5"/>
  <sheetViews>
    <sheetView workbookViewId="0">
      <selection activeCell="C6" sqref="C6"/>
    </sheetView>
  </sheetViews>
  <sheetFormatPr baseColWidth="10" defaultColWidth="8.83203125" defaultRowHeight="12" x14ac:dyDescent="0"/>
  <cols>
    <col min="3" max="3" width="13.83203125" bestFit="1" customWidth="1"/>
  </cols>
  <sheetData>
    <row r="3" spans="3:3">
      <c r="C3" t="s">
        <v>621</v>
      </c>
    </row>
    <row r="4" spans="3:3">
      <c r="C4">
        <v>14.65</v>
      </c>
    </row>
    <row r="5" spans="3:3">
      <c r="C5">
        <v>14.73</v>
      </c>
    </row>
  </sheetData>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C2:C68"/>
  <sheetViews>
    <sheetView workbookViewId="0">
      <selection activeCell="F4" sqref="F4"/>
    </sheetView>
  </sheetViews>
  <sheetFormatPr baseColWidth="10" defaultColWidth="8.83203125" defaultRowHeight="12" x14ac:dyDescent="0"/>
  <sheetData>
    <row r="2" spans="3:3">
      <c r="C2" t="s">
        <v>902</v>
      </c>
    </row>
    <row r="3" spans="3:3">
      <c r="C3" t="s">
        <v>901</v>
      </c>
    </row>
    <row r="4" spans="3:3" ht="14">
      <c r="C4" s="147">
        <v>98201</v>
      </c>
    </row>
    <row r="5" spans="3:3" ht="14">
      <c r="C5" s="148">
        <v>99269</v>
      </c>
    </row>
    <row r="6" spans="3:3" ht="14">
      <c r="C6" s="147">
        <v>99288</v>
      </c>
    </row>
    <row r="7" spans="3:3" ht="14">
      <c r="C7" s="148">
        <v>99132</v>
      </c>
    </row>
    <row r="8" spans="3:3" ht="14">
      <c r="C8" s="147">
        <v>99133</v>
      </c>
    </row>
    <row r="9" spans="3:3" ht="14">
      <c r="C9" s="148">
        <v>99247</v>
      </c>
    </row>
    <row r="10" spans="3:3">
      <c r="C10" s="138"/>
    </row>
    <row r="11" spans="3:3">
      <c r="C11" s="138"/>
    </row>
    <row r="12" spans="3:3">
      <c r="C12" s="138"/>
    </row>
    <row r="13" spans="3:3" ht="14">
      <c r="C13" s="129"/>
    </row>
    <row r="14" spans="3:3" ht="14">
      <c r="C14" s="128"/>
    </row>
    <row r="15" spans="3:3" ht="14">
      <c r="C15" s="129"/>
    </row>
    <row r="16" spans="3:3" ht="14">
      <c r="C16" s="128"/>
    </row>
    <row r="17" spans="3:3" ht="14">
      <c r="C17" s="129"/>
    </row>
    <row r="18" spans="3:3" ht="14">
      <c r="C18" s="128"/>
    </row>
    <row r="19" spans="3:3" ht="14">
      <c r="C19" s="129"/>
    </row>
    <row r="20" spans="3:3" ht="14">
      <c r="C20" s="128"/>
    </row>
    <row r="21" spans="3:3" ht="14">
      <c r="C21" s="129"/>
    </row>
    <row r="22" spans="3:3" ht="14">
      <c r="C22" s="128"/>
    </row>
    <row r="23" spans="3:3" ht="14">
      <c r="C23" s="129"/>
    </row>
    <row r="24" spans="3:3" ht="14">
      <c r="C24" s="128"/>
    </row>
    <row r="25" spans="3:3" ht="14">
      <c r="C25" s="84"/>
    </row>
    <row r="26" spans="3:3" ht="14">
      <c r="C26" s="85"/>
    </row>
    <row r="27" spans="3:3" ht="14">
      <c r="C27" s="84"/>
    </row>
    <row r="28" spans="3:3" ht="14">
      <c r="C28" s="85"/>
    </row>
    <row r="29" spans="3:3" ht="14">
      <c r="C29" s="84"/>
    </row>
    <row r="30" spans="3:3" ht="14">
      <c r="C30" s="85"/>
    </row>
    <row r="31" spans="3:3" ht="14">
      <c r="C31" s="84"/>
    </row>
    <row r="32" spans="3:3" ht="14">
      <c r="C32" s="85"/>
    </row>
    <row r="33" spans="3:3" ht="14">
      <c r="C33" s="84"/>
    </row>
    <row r="34" spans="3:3" ht="14">
      <c r="C34" s="85"/>
    </row>
    <row r="35" spans="3:3" ht="14">
      <c r="C35" s="84"/>
    </row>
    <row r="36" spans="3:3" ht="14">
      <c r="C36" s="85"/>
    </row>
    <row r="37" spans="3:3" ht="14">
      <c r="C37" s="84"/>
    </row>
    <row r="38" spans="3:3" ht="14">
      <c r="C38" s="85"/>
    </row>
    <row r="39" spans="3:3" ht="14">
      <c r="C39" s="84"/>
    </row>
    <row r="40" spans="3:3" ht="14">
      <c r="C40" s="85"/>
    </row>
    <row r="41" spans="3:3" ht="14">
      <c r="C41" s="84"/>
    </row>
    <row r="42" spans="3:3" ht="14">
      <c r="C42" s="85"/>
    </row>
    <row r="43" spans="3:3" ht="14">
      <c r="C43" s="84"/>
    </row>
    <row r="44" spans="3:3" ht="14">
      <c r="C44" s="85"/>
    </row>
    <row r="45" spans="3:3" ht="14">
      <c r="C45" s="86"/>
    </row>
    <row r="46" spans="3:3" ht="14">
      <c r="C46" s="85"/>
    </row>
    <row r="47" spans="3:3" ht="14">
      <c r="C47" s="84"/>
    </row>
    <row r="48" spans="3:3" ht="14">
      <c r="C48" s="85"/>
    </row>
    <row r="49" spans="3:3" ht="14">
      <c r="C49" s="84"/>
    </row>
    <row r="50" spans="3:3" ht="14">
      <c r="C50" s="85"/>
    </row>
    <row r="51" spans="3:3" ht="14">
      <c r="C51" s="84"/>
    </row>
    <row r="52" spans="3:3" ht="14">
      <c r="C52" s="85"/>
    </row>
    <row r="53" spans="3:3" ht="14">
      <c r="C53" s="84"/>
    </row>
    <row r="54" spans="3:3" ht="14">
      <c r="C54" s="85"/>
    </row>
    <row r="55" spans="3:3" ht="14">
      <c r="C55" s="84"/>
    </row>
    <row r="56" spans="3:3" ht="14">
      <c r="C56" s="85"/>
    </row>
    <row r="57" spans="3:3" ht="14">
      <c r="C57" s="84"/>
    </row>
    <row r="58" spans="3:3" ht="14">
      <c r="C58" s="85"/>
    </row>
    <row r="59" spans="3:3" ht="14">
      <c r="C59" s="84"/>
    </row>
    <row r="60" spans="3:3" ht="14">
      <c r="C60" s="85"/>
    </row>
    <row r="61" spans="3:3" ht="14">
      <c r="C61" s="84"/>
    </row>
    <row r="62" spans="3:3" ht="14">
      <c r="C62" s="85"/>
    </row>
    <row r="63" spans="3:3" ht="14">
      <c r="C63" s="84"/>
    </row>
    <row r="64" spans="3:3" ht="14">
      <c r="C64" s="85"/>
    </row>
    <row r="65" spans="3:3" ht="14">
      <c r="C65" s="84"/>
    </row>
    <row r="66" spans="3:3" ht="14">
      <c r="C66" s="85"/>
    </row>
    <row r="67" spans="3:3" ht="14">
      <c r="C67" s="84"/>
    </row>
    <row r="68" spans="3:3" ht="14">
      <c r="C68" s="85"/>
    </row>
  </sheetData>
  <conditionalFormatting sqref="C25:C67">
    <cfRule type="duplicateValues" dxfId="7" priority="25"/>
  </conditionalFormatting>
  <conditionalFormatting sqref="C17:C24">
    <cfRule type="duplicateValues" dxfId="6" priority="22"/>
  </conditionalFormatting>
  <conditionalFormatting sqref="C17:C23">
    <cfRule type="duplicateValues" dxfId="5" priority="21"/>
  </conditionalFormatting>
  <conditionalFormatting sqref="C13:C16">
    <cfRule type="duplicateValues" dxfId="4" priority="14"/>
  </conditionalFormatting>
  <conditionalFormatting sqref="C13:C16">
    <cfRule type="duplicateValues" dxfId="3" priority="13"/>
  </conditionalFormatting>
  <conditionalFormatting sqref="C10:C12">
    <cfRule type="duplicateValues" dxfId="2" priority="8"/>
  </conditionalFormatting>
  <conditionalFormatting sqref="C4:C9">
    <cfRule type="duplicateValues" dxfId="1" priority="1"/>
  </conditionalFormatting>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91"/>
  <sheetViews>
    <sheetView workbookViewId="0">
      <selection activeCell="D1" sqref="D1:D191"/>
    </sheetView>
  </sheetViews>
  <sheetFormatPr baseColWidth="10" defaultColWidth="12" defaultRowHeight="12" x14ac:dyDescent="0"/>
  <sheetData>
    <row r="1" spans="1:4">
      <c r="A1">
        <v>0</v>
      </c>
      <c r="C1">
        <v>0</v>
      </c>
    </row>
    <row r="2" spans="1:4">
      <c r="A2">
        <v>1</v>
      </c>
      <c r="C2">
        <v>1</v>
      </c>
    </row>
    <row r="3" spans="1:4">
      <c r="A3">
        <v>2</v>
      </c>
      <c r="C3">
        <v>2</v>
      </c>
    </row>
    <row r="4" spans="1:4">
      <c r="A4">
        <v>3</v>
      </c>
      <c r="C4">
        <v>3</v>
      </c>
    </row>
    <row r="5" spans="1:4">
      <c r="A5">
        <v>4</v>
      </c>
      <c r="C5">
        <v>4</v>
      </c>
    </row>
    <row r="6" spans="1:4">
      <c r="A6">
        <v>5</v>
      </c>
      <c r="C6">
        <v>5</v>
      </c>
    </row>
    <row r="7" spans="1:4">
      <c r="A7">
        <v>6</v>
      </c>
      <c r="C7">
        <v>6</v>
      </c>
    </row>
    <row r="8" spans="1:4">
      <c r="A8">
        <v>7</v>
      </c>
      <c r="B8">
        <v>147</v>
      </c>
      <c r="C8">
        <v>7</v>
      </c>
      <c r="D8">
        <v>154</v>
      </c>
    </row>
    <row r="9" spans="1:4">
      <c r="A9">
        <v>8</v>
      </c>
      <c r="C9">
        <v>8</v>
      </c>
    </row>
    <row r="10" spans="1:4">
      <c r="A10">
        <v>9</v>
      </c>
      <c r="C10">
        <v>9</v>
      </c>
    </row>
    <row r="11" spans="1:4">
      <c r="A11">
        <v>10</v>
      </c>
      <c r="C11">
        <v>10</v>
      </c>
    </row>
    <row r="12" spans="1:4">
      <c r="A12">
        <v>11</v>
      </c>
      <c r="B12">
        <v>100</v>
      </c>
      <c r="C12">
        <v>11</v>
      </c>
      <c r="D12">
        <v>224</v>
      </c>
    </row>
    <row r="13" spans="1:4">
      <c r="A13">
        <v>12</v>
      </c>
      <c r="C13">
        <v>12</v>
      </c>
    </row>
    <row r="14" spans="1:4">
      <c r="A14">
        <v>13</v>
      </c>
      <c r="C14">
        <v>13</v>
      </c>
    </row>
    <row r="15" spans="1:4">
      <c r="A15">
        <v>14</v>
      </c>
      <c r="C15">
        <v>14</v>
      </c>
    </row>
    <row r="16" spans="1:4">
      <c r="A16">
        <v>15</v>
      </c>
      <c r="C16">
        <v>15</v>
      </c>
    </row>
    <row r="17" spans="1:4">
      <c r="A17">
        <v>16</v>
      </c>
      <c r="B17">
        <v>384</v>
      </c>
      <c r="C17">
        <v>16</v>
      </c>
      <c r="D17">
        <v>1361</v>
      </c>
    </row>
    <row r="18" spans="1:4">
      <c r="A18">
        <v>17</v>
      </c>
      <c r="C18">
        <v>17</v>
      </c>
    </row>
    <row r="19" spans="1:4">
      <c r="A19">
        <v>18</v>
      </c>
      <c r="B19">
        <v>701</v>
      </c>
      <c r="C19">
        <v>18</v>
      </c>
      <c r="D19">
        <v>58</v>
      </c>
    </row>
    <row r="20" spans="1:4">
      <c r="A20">
        <v>19</v>
      </c>
      <c r="B20">
        <v>384</v>
      </c>
      <c r="C20">
        <v>19</v>
      </c>
      <c r="D20">
        <v>0</v>
      </c>
    </row>
    <row r="21" spans="1:4">
      <c r="A21">
        <v>20</v>
      </c>
      <c r="B21">
        <v>182</v>
      </c>
      <c r="C21">
        <v>20</v>
      </c>
      <c r="D21">
        <v>686</v>
      </c>
    </row>
    <row r="22" spans="1:4">
      <c r="A22">
        <v>21</v>
      </c>
      <c r="B22">
        <v>112</v>
      </c>
      <c r="C22">
        <v>21</v>
      </c>
      <c r="D22">
        <v>0</v>
      </c>
    </row>
    <row r="23" spans="1:4">
      <c r="A23">
        <v>22</v>
      </c>
      <c r="C23">
        <v>22</v>
      </c>
    </row>
    <row r="24" spans="1:4">
      <c r="A24">
        <v>23</v>
      </c>
      <c r="C24">
        <v>23</v>
      </c>
    </row>
    <row r="25" spans="1:4">
      <c r="A25">
        <v>24</v>
      </c>
      <c r="C25">
        <v>24</v>
      </c>
    </row>
    <row r="26" spans="1:4">
      <c r="A26">
        <v>25</v>
      </c>
      <c r="C26">
        <v>25</v>
      </c>
    </row>
    <row r="27" spans="1:4">
      <c r="A27">
        <v>26</v>
      </c>
      <c r="B27">
        <v>123</v>
      </c>
      <c r="C27">
        <v>26</v>
      </c>
      <c r="D27">
        <v>7</v>
      </c>
    </row>
    <row r="28" spans="1:4">
      <c r="A28">
        <v>27</v>
      </c>
      <c r="C28">
        <v>27</v>
      </c>
    </row>
    <row r="29" spans="1:4">
      <c r="A29">
        <v>28</v>
      </c>
      <c r="C29">
        <v>28</v>
      </c>
    </row>
    <row r="30" spans="1:4">
      <c r="A30">
        <v>29</v>
      </c>
      <c r="B30">
        <v>0</v>
      </c>
      <c r="C30">
        <v>29</v>
      </c>
      <c r="D30">
        <v>0</v>
      </c>
    </row>
    <row r="31" spans="1:4">
      <c r="A31">
        <v>30</v>
      </c>
      <c r="C31">
        <v>30</v>
      </c>
    </row>
    <row r="32" spans="1:4">
      <c r="A32">
        <v>31</v>
      </c>
      <c r="C32">
        <v>31</v>
      </c>
    </row>
    <row r="33" spans="1:4">
      <c r="A33">
        <v>32</v>
      </c>
      <c r="B33">
        <v>27</v>
      </c>
      <c r="C33">
        <v>32</v>
      </c>
      <c r="D33">
        <v>78</v>
      </c>
    </row>
    <row r="34" spans="1:4">
      <c r="A34">
        <v>33</v>
      </c>
      <c r="C34">
        <v>33</v>
      </c>
    </row>
    <row r="35" spans="1:4">
      <c r="A35">
        <v>34</v>
      </c>
      <c r="C35">
        <v>34</v>
      </c>
    </row>
    <row r="36" spans="1:4">
      <c r="A36">
        <v>35</v>
      </c>
      <c r="C36">
        <v>35</v>
      </c>
    </row>
    <row r="37" spans="1:4">
      <c r="A37">
        <v>36</v>
      </c>
      <c r="B37">
        <v>104</v>
      </c>
      <c r="C37">
        <v>36</v>
      </c>
      <c r="D37">
        <v>30</v>
      </c>
    </row>
    <row r="38" spans="1:4">
      <c r="A38">
        <v>37</v>
      </c>
      <c r="C38">
        <v>37</v>
      </c>
    </row>
    <row r="39" spans="1:4">
      <c r="A39">
        <v>38</v>
      </c>
      <c r="C39">
        <v>38</v>
      </c>
    </row>
    <row r="40" spans="1:4">
      <c r="A40">
        <v>39</v>
      </c>
      <c r="C40">
        <v>39</v>
      </c>
    </row>
    <row r="41" spans="1:4">
      <c r="A41">
        <v>40</v>
      </c>
      <c r="C41">
        <v>40</v>
      </c>
    </row>
    <row r="42" spans="1:4">
      <c r="A42">
        <v>41</v>
      </c>
      <c r="C42">
        <v>41</v>
      </c>
    </row>
    <row r="43" spans="1:4">
      <c r="A43">
        <v>42</v>
      </c>
      <c r="C43">
        <v>42</v>
      </c>
    </row>
    <row r="44" spans="1:4">
      <c r="A44">
        <v>43</v>
      </c>
      <c r="C44">
        <v>43</v>
      </c>
    </row>
    <row r="45" spans="1:4">
      <c r="A45">
        <v>44</v>
      </c>
      <c r="C45">
        <v>44</v>
      </c>
    </row>
    <row r="46" spans="1:4">
      <c r="A46">
        <v>45</v>
      </c>
      <c r="C46">
        <v>45</v>
      </c>
    </row>
    <row r="47" spans="1:4">
      <c r="A47">
        <v>46</v>
      </c>
      <c r="C47">
        <v>46</v>
      </c>
    </row>
    <row r="48" spans="1:4">
      <c r="A48">
        <v>47</v>
      </c>
      <c r="C48">
        <v>47</v>
      </c>
    </row>
    <row r="49" spans="1:4">
      <c r="A49">
        <v>48</v>
      </c>
      <c r="B49">
        <v>150</v>
      </c>
      <c r="C49">
        <v>48</v>
      </c>
      <c r="D49">
        <v>25</v>
      </c>
    </row>
    <row r="50" spans="1:4">
      <c r="A50">
        <v>49</v>
      </c>
      <c r="C50">
        <v>49</v>
      </c>
    </row>
    <row r="51" spans="1:4">
      <c r="A51">
        <v>50</v>
      </c>
      <c r="C51">
        <v>50</v>
      </c>
    </row>
    <row r="52" spans="1:4">
      <c r="A52">
        <v>51</v>
      </c>
      <c r="C52">
        <v>51</v>
      </c>
    </row>
    <row r="53" spans="1:4">
      <c r="A53">
        <v>52</v>
      </c>
      <c r="C53">
        <v>52</v>
      </c>
    </row>
    <row r="54" spans="1:4">
      <c r="A54">
        <v>53</v>
      </c>
      <c r="C54">
        <v>53</v>
      </c>
    </row>
    <row r="55" spans="1:4">
      <c r="A55">
        <v>54</v>
      </c>
      <c r="C55">
        <v>54</v>
      </c>
    </row>
    <row r="56" spans="1:4">
      <c r="A56">
        <v>55</v>
      </c>
      <c r="C56">
        <v>55</v>
      </c>
    </row>
    <row r="57" spans="1:4">
      <c r="A57">
        <v>56</v>
      </c>
      <c r="C57">
        <v>56</v>
      </c>
    </row>
    <row r="58" spans="1:4">
      <c r="A58">
        <v>57</v>
      </c>
      <c r="C58">
        <v>57</v>
      </c>
    </row>
    <row r="59" spans="1:4">
      <c r="A59">
        <v>58</v>
      </c>
      <c r="C59">
        <v>58</v>
      </c>
    </row>
    <row r="60" spans="1:4">
      <c r="A60">
        <v>59</v>
      </c>
      <c r="C60">
        <v>59</v>
      </c>
    </row>
    <row r="61" spans="1:4">
      <c r="A61">
        <v>60</v>
      </c>
      <c r="C61">
        <v>60</v>
      </c>
    </row>
    <row r="62" spans="1:4">
      <c r="A62">
        <v>61</v>
      </c>
      <c r="C62">
        <v>61</v>
      </c>
    </row>
    <row r="63" spans="1:4">
      <c r="A63">
        <v>62</v>
      </c>
      <c r="C63">
        <v>62</v>
      </c>
    </row>
    <row r="64" spans="1:4">
      <c r="A64">
        <v>63</v>
      </c>
      <c r="C64">
        <v>63</v>
      </c>
    </row>
    <row r="65" spans="1:3">
      <c r="A65">
        <v>64</v>
      </c>
      <c r="C65">
        <v>64</v>
      </c>
    </row>
    <row r="66" spans="1:3">
      <c r="A66">
        <v>65</v>
      </c>
      <c r="C66">
        <v>65</v>
      </c>
    </row>
    <row r="67" spans="1:3">
      <c r="A67">
        <v>66</v>
      </c>
      <c r="C67">
        <v>66</v>
      </c>
    </row>
    <row r="68" spans="1:3">
      <c r="A68">
        <v>67</v>
      </c>
      <c r="C68">
        <v>67</v>
      </c>
    </row>
    <row r="69" spans="1:3">
      <c r="A69">
        <v>68</v>
      </c>
      <c r="C69">
        <v>68</v>
      </c>
    </row>
    <row r="70" spans="1:3">
      <c r="A70">
        <v>69</v>
      </c>
      <c r="C70">
        <v>69</v>
      </c>
    </row>
    <row r="71" spans="1:3">
      <c r="A71">
        <v>70</v>
      </c>
      <c r="C71">
        <v>70</v>
      </c>
    </row>
    <row r="72" spans="1:3">
      <c r="A72">
        <v>71</v>
      </c>
      <c r="C72">
        <v>71</v>
      </c>
    </row>
    <row r="73" spans="1:3">
      <c r="A73">
        <v>72</v>
      </c>
      <c r="C73">
        <v>72</v>
      </c>
    </row>
    <row r="74" spans="1:3">
      <c r="A74">
        <v>73</v>
      </c>
      <c r="C74">
        <v>73</v>
      </c>
    </row>
    <row r="75" spans="1:3">
      <c r="A75">
        <v>74</v>
      </c>
      <c r="C75">
        <v>74</v>
      </c>
    </row>
    <row r="76" spans="1:3">
      <c r="A76">
        <v>75</v>
      </c>
      <c r="C76">
        <v>75</v>
      </c>
    </row>
    <row r="77" spans="1:3">
      <c r="A77">
        <v>76</v>
      </c>
      <c r="C77">
        <v>76</v>
      </c>
    </row>
    <row r="78" spans="1:3">
      <c r="A78">
        <v>77</v>
      </c>
      <c r="C78">
        <v>77</v>
      </c>
    </row>
    <row r="79" spans="1:3">
      <c r="A79">
        <v>78</v>
      </c>
      <c r="C79">
        <v>78</v>
      </c>
    </row>
    <row r="80" spans="1:3">
      <c r="A80">
        <v>79</v>
      </c>
      <c r="C80">
        <v>79</v>
      </c>
    </row>
    <row r="81" spans="1:4">
      <c r="A81">
        <v>80</v>
      </c>
      <c r="C81">
        <v>80</v>
      </c>
    </row>
    <row r="82" spans="1:4">
      <c r="A82">
        <v>81</v>
      </c>
      <c r="C82">
        <v>81</v>
      </c>
    </row>
    <row r="83" spans="1:4">
      <c r="A83">
        <v>82</v>
      </c>
      <c r="C83">
        <v>82</v>
      </c>
    </row>
    <row r="84" spans="1:4">
      <c r="A84">
        <v>83</v>
      </c>
      <c r="C84">
        <v>83</v>
      </c>
    </row>
    <row r="85" spans="1:4">
      <c r="A85">
        <v>84</v>
      </c>
      <c r="C85">
        <v>84</v>
      </c>
    </row>
    <row r="86" spans="1:4">
      <c r="A86">
        <v>85</v>
      </c>
      <c r="C86">
        <v>85</v>
      </c>
    </row>
    <row r="87" spans="1:4">
      <c r="A87">
        <v>86</v>
      </c>
      <c r="C87">
        <v>86</v>
      </c>
    </row>
    <row r="88" spans="1:4">
      <c r="A88">
        <v>87</v>
      </c>
      <c r="B88">
        <v>169</v>
      </c>
      <c r="C88">
        <v>87</v>
      </c>
      <c r="D88">
        <v>-169</v>
      </c>
    </row>
    <row r="89" spans="1:4">
      <c r="A89">
        <v>88</v>
      </c>
      <c r="C89">
        <v>88</v>
      </c>
    </row>
    <row r="90" spans="1:4">
      <c r="A90">
        <v>89</v>
      </c>
      <c r="C90">
        <v>89</v>
      </c>
    </row>
    <row r="91" spans="1:4">
      <c r="A91">
        <v>90</v>
      </c>
      <c r="B91">
        <v>81</v>
      </c>
      <c r="C91">
        <v>90</v>
      </c>
      <c r="D91">
        <v>15</v>
      </c>
    </row>
    <row r="92" spans="1:4">
      <c r="A92">
        <v>91</v>
      </c>
      <c r="C92">
        <v>91</v>
      </c>
    </row>
    <row r="93" spans="1:4">
      <c r="A93">
        <v>92</v>
      </c>
      <c r="C93">
        <v>92</v>
      </c>
    </row>
    <row r="94" spans="1:4">
      <c r="A94">
        <v>93</v>
      </c>
      <c r="C94">
        <v>93</v>
      </c>
    </row>
    <row r="95" spans="1:4">
      <c r="A95">
        <v>94</v>
      </c>
      <c r="C95">
        <v>94</v>
      </c>
    </row>
    <row r="96" spans="1:4">
      <c r="A96">
        <v>95</v>
      </c>
      <c r="C96">
        <v>95</v>
      </c>
    </row>
    <row r="97" spans="1:3">
      <c r="A97">
        <v>96</v>
      </c>
      <c r="C97">
        <v>96</v>
      </c>
    </row>
    <row r="98" spans="1:3">
      <c r="A98">
        <v>97</v>
      </c>
      <c r="C98">
        <v>97</v>
      </c>
    </row>
    <row r="99" spans="1:3">
      <c r="A99">
        <v>98</v>
      </c>
      <c r="C99">
        <v>98</v>
      </c>
    </row>
    <row r="100" spans="1:3">
      <c r="A100">
        <v>99</v>
      </c>
      <c r="C100">
        <v>99</v>
      </c>
    </row>
    <row r="101" spans="1:3">
      <c r="A101">
        <v>100</v>
      </c>
      <c r="C101">
        <v>100</v>
      </c>
    </row>
    <row r="102" spans="1:3">
      <c r="A102">
        <v>101</v>
      </c>
      <c r="C102">
        <v>101</v>
      </c>
    </row>
    <row r="103" spans="1:3">
      <c r="A103">
        <v>102</v>
      </c>
      <c r="C103">
        <v>102</v>
      </c>
    </row>
    <row r="104" spans="1:3">
      <c r="A104">
        <v>103</v>
      </c>
      <c r="C104">
        <v>103</v>
      </c>
    </row>
    <row r="105" spans="1:3">
      <c r="A105">
        <v>104</v>
      </c>
      <c r="C105">
        <v>104</v>
      </c>
    </row>
    <row r="106" spans="1:3">
      <c r="A106">
        <v>105</v>
      </c>
      <c r="C106">
        <v>105</v>
      </c>
    </row>
    <row r="107" spans="1:3">
      <c r="A107">
        <v>106</v>
      </c>
      <c r="C107">
        <v>106</v>
      </c>
    </row>
    <row r="108" spans="1:3">
      <c r="A108">
        <v>107</v>
      </c>
      <c r="C108">
        <v>107</v>
      </c>
    </row>
    <row r="109" spans="1:3">
      <c r="A109">
        <v>108</v>
      </c>
      <c r="C109">
        <v>108</v>
      </c>
    </row>
    <row r="110" spans="1:3">
      <c r="A110">
        <v>109</v>
      </c>
      <c r="C110">
        <v>109</v>
      </c>
    </row>
    <row r="111" spans="1:3">
      <c r="A111">
        <v>110</v>
      </c>
      <c r="C111">
        <v>110</v>
      </c>
    </row>
    <row r="112" spans="1:3">
      <c r="A112">
        <v>111</v>
      </c>
      <c r="C112">
        <v>111</v>
      </c>
    </row>
    <row r="113" spans="1:4">
      <c r="A113">
        <v>112</v>
      </c>
      <c r="C113">
        <v>112</v>
      </c>
    </row>
    <row r="114" spans="1:4">
      <c r="A114">
        <v>113</v>
      </c>
      <c r="C114">
        <v>113</v>
      </c>
    </row>
    <row r="115" spans="1:4">
      <c r="A115">
        <v>114</v>
      </c>
      <c r="C115">
        <v>114</v>
      </c>
    </row>
    <row r="116" spans="1:4">
      <c r="A116">
        <v>115</v>
      </c>
      <c r="B116">
        <v>257</v>
      </c>
      <c r="C116">
        <v>115</v>
      </c>
      <c r="D116">
        <v>1180</v>
      </c>
    </row>
    <row r="117" spans="1:4">
      <c r="A117">
        <v>116</v>
      </c>
      <c r="C117">
        <v>116</v>
      </c>
    </row>
    <row r="118" spans="1:4">
      <c r="A118">
        <v>117</v>
      </c>
      <c r="C118">
        <v>117</v>
      </c>
    </row>
    <row r="119" spans="1:4">
      <c r="A119">
        <v>118</v>
      </c>
      <c r="B119">
        <v>154</v>
      </c>
      <c r="C119">
        <v>118</v>
      </c>
      <c r="D119">
        <v>631</v>
      </c>
    </row>
    <row r="120" spans="1:4">
      <c r="A120">
        <v>119</v>
      </c>
      <c r="C120">
        <v>119</v>
      </c>
    </row>
    <row r="121" spans="1:4">
      <c r="A121">
        <v>120</v>
      </c>
      <c r="C121">
        <v>120</v>
      </c>
    </row>
    <row r="122" spans="1:4">
      <c r="A122">
        <v>121</v>
      </c>
      <c r="B122">
        <v>127</v>
      </c>
      <c r="C122">
        <v>121</v>
      </c>
      <c r="D122">
        <v>65</v>
      </c>
    </row>
    <row r="123" spans="1:4">
      <c r="A123">
        <v>122</v>
      </c>
      <c r="C123">
        <v>122</v>
      </c>
    </row>
    <row r="124" spans="1:4">
      <c r="A124">
        <v>123</v>
      </c>
      <c r="B124">
        <v>65</v>
      </c>
      <c r="C124">
        <v>123</v>
      </c>
      <c r="D124">
        <v>0</v>
      </c>
    </row>
    <row r="125" spans="1:4">
      <c r="A125">
        <v>124</v>
      </c>
      <c r="C125">
        <v>124</v>
      </c>
    </row>
    <row r="126" spans="1:4">
      <c r="A126">
        <v>125</v>
      </c>
      <c r="C126">
        <v>125</v>
      </c>
    </row>
    <row r="127" spans="1:4">
      <c r="A127">
        <v>126</v>
      </c>
      <c r="C127">
        <v>126</v>
      </c>
    </row>
    <row r="128" spans="1:4">
      <c r="A128">
        <v>127</v>
      </c>
      <c r="C128">
        <v>127</v>
      </c>
    </row>
    <row r="129" spans="1:4">
      <c r="A129">
        <v>128</v>
      </c>
      <c r="C129">
        <v>128</v>
      </c>
    </row>
    <row r="130" spans="1:4">
      <c r="A130">
        <v>129</v>
      </c>
      <c r="C130">
        <v>129</v>
      </c>
    </row>
    <row r="131" spans="1:4">
      <c r="A131">
        <v>130</v>
      </c>
      <c r="C131">
        <v>130</v>
      </c>
    </row>
    <row r="132" spans="1:4">
      <c r="A132">
        <v>131</v>
      </c>
      <c r="C132">
        <v>131</v>
      </c>
    </row>
    <row r="133" spans="1:4">
      <c r="A133">
        <v>132</v>
      </c>
      <c r="C133">
        <v>132</v>
      </c>
    </row>
    <row r="134" spans="1:4">
      <c r="A134">
        <v>133</v>
      </c>
      <c r="C134">
        <v>133</v>
      </c>
    </row>
    <row r="135" spans="1:4">
      <c r="A135">
        <v>134</v>
      </c>
      <c r="C135">
        <v>134</v>
      </c>
    </row>
    <row r="136" spans="1:4">
      <c r="A136">
        <v>135</v>
      </c>
      <c r="C136">
        <v>135</v>
      </c>
    </row>
    <row r="137" spans="1:4">
      <c r="A137">
        <v>136</v>
      </c>
      <c r="C137">
        <v>136</v>
      </c>
    </row>
    <row r="138" spans="1:4">
      <c r="A138">
        <v>137</v>
      </c>
      <c r="C138">
        <v>137</v>
      </c>
    </row>
    <row r="139" spans="1:4">
      <c r="A139">
        <v>138</v>
      </c>
      <c r="C139">
        <v>138</v>
      </c>
    </row>
    <row r="140" spans="1:4">
      <c r="A140">
        <v>139</v>
      </c>
      <c r="B140">
        <v>0</v>
      </c>
      <c r="C140">
        <v>139</v>
      </c>
      <c r="D140">
        <v>38</v>
      </c>
    </row>
    <row r="141" spans="1:4">
      <c r="A141">
        <v>140</v>
      </c>
      <c r="C141">
        <v>140</v>
      </c>
    </row>
    <row r="142" spans="1:4">
      <c r="A142">
        <v>141</v>
      </c>
      <c r="C142">
        <v>141</v>
      </c>
    </row>
    <row r="143" spans="1:4">
      <c r="A143">
        <v>142</v>
      </c>
      <c r="C143">
        <v>142</v>
      </c>
    </row>
    <row r="144" spans="1:4">
      <c r="A144">
        <v>143</v>
      </c>
      <c r="C144">
        <v>143</v>
      </c>
    </row>
    <row r="145" spans="1:4">
      <c r="A145">
        <v>144</v>
      </c>
      <c r="C145">
        <v>144</v>
      </c>
    </row>
    <row r="146" spans="1:4">
      <c r="A146">
        <v>145</v>
      </c>
      <c r="C146">
        <v>145</v>
      </c>
    </row>
    <row r="147" spans="1:4">
      <c r="A147">
        <v>146</v>
      </c>
      <c r="B147">
        <v>196</v>
      </c>
      <c r="C147">
        <v>146</v>
      </c>
      <c r="D147">
        <v>67</v>
      </c>
    </row>
    <row r="148" spans="1:4">
      <c r="A148">
        <v>147</v>
      </c>
      <c r="C148">
        <v>147</v>
      </c>
    </row>
    <row r="149" spans="1:4">
      <c r="A149">
        <v>148</v>
      </c>
      <c r="B149">
        <v>55</v>
      </c>
      <c r="C149">
        <v>148</v>
      </c>
      <c r="D149">
        <v>24</v>
      </c>
    </row>
    <row r="150" spans="1:4">
      <c r="A150">
        <v>149</v>
      </c>
      <c r="C150">
        <v>149</v>
      </c>
    </row>
    <row r="151" spans="1:4">
      <c r="A151">
        <v>150</v>
      </c>
      <c r="B151">
        <v>0</v>
      </c>
      <c r="C151">
        <v>150</v>
      </c>
      <c r="D151">
        <v>0</v>
      </c>
    </row>
    <row r="152" spans="1:4">
      <c r="A152">
        <v>151</v>
      </c>
      <c r="C152">
        <v>151</v>
      </c>
    </row>
    <row r="153" spans="1:4">
      <c r="A153">
        <v>152</v>
      </c>
      <c r="C153">
        <v>152</v>
      </c>
    </row>
    <row r="154" spans="1:4">
      <c r="A154">
        <v>153</v>
      </c>
      <c r="C154">
        <v>153</v>
      </c>
    </row>
    <row r="155" spans="1:4">
      <c r="A155">
        <v>154</v>
      </c>
      <c r="C155">
        <v>154</v>
      </c>
    </row>
    <row r="156" spans="1:4">
      <c r="A156">
        <v>155</v>
      </c>
      <c r="C156">
        <v>155</v>
      </c>
    </row>
    <row r="157" spans="1:4">
      <c r="A157">
        <v>156</v>
      </c>
      <c r="C157">
        <v>156</v>
      </c>
    </row>
    <row r="158" spans="1:4">
      <c r="A158">
        <v>157</v>
      </c>
      <c r="C158">
        <v>157</v>
      </c>
    </row>
    <row r="159" spans="1:4">
      <c r="A159">
        <v>158</v>
      </c>
      <c r="B159">
        <v>109</v>
      </c>
      <c r="C159">
        <v>158</v>
      </c>
      <c r="D159">
        <v>0</v>
      </c>
    </row>
    <row r="160" spans="1:4">
      <c r="A160">
        <v>159</v>
      </c>
      <c r="B160">
        <v>299</v>
      </c>
      <c r="C160">
        <v>159</v>
      </c>
      <c r="D160">
        <v>50</v>
      </c>
    </row>
    <row r="161" spans="1:4">
      <c r="A161">
        <v>160</v>
      </c>
      <c r="C161">
        <v>160</v>
      </c>
    </row>
    <row r="162" spans="1:4">
      <c r="A162">
        <v>161</v>
      </c>
      <c r="C162">
        <v>161</v>
      </c>
    </row>
    <row r="163" spans="1:4">
      <c r="A163">
        <v>162</v>
      </c>
      <c r="B163">
        <v>95</v>
      </c>
      <c r="C163">
        <v>162</v>
      </c>
      <c r="D163">
        <v>50</v>
      </c>
    </row>
    <row r="164" spans="1:4">
      <c r="A164">
        <v>163</v>
      </c>
      <c r="C164">
        <v>163</v>
      </c>
    </row>
    <row r="165" spans="1:4">
      <c r="A165">
        <v>164</v>
      </c>
      <c r="C165">
        <v>164</v>
      </c>
    </row>
    <row r="166" spans="1:4">
      <c r="A166">
        <v>165</v>
      </c>
      <c r="C166">
        <v>165</v>
      </c>
    </row>
    <row r="167" spans="1:4">
      <c r="A167">
        <v>166</v>
      </c>
      <c r="C167">
        <v>166</v>
      </c>
    </row>
    <row r="168" spans="1:4">
      <c r="A168">
        <v>167</v>
      </c>
      <c r="C168">
        <v>167</v>
      </c>
    </row>
    <row r="169" spans="1:4">
      <c r="A169">
        <v>168</v>
      </c>
      <c r="C169">
        <v>168</v>
      </c>
    </row>
    <row r="170" spans="1:4">
      <c r="A170">
        <v>169</v>
      </c>
      <c r="C170">
        <v>169</v>
      </c>
    </row>
    <row r="171" spans="1:4">
      <c r="A171">
        <v>170</v>
      </c>
      <c r="C171">
        <v>170</v>
      </c>
    </row>
    <row r="172" spans="1:4">
      <c r="A172">
        <v>171</v>
      </c>
      <c r="C172">
        <v>171</v>
      </c>
    </row>
    <row r="173" spans="1:4">
      <c r="A173">
        <v>172</v>
      </c>
      <c r="C173">
        <v>172</v>
      </c>
    </row>
    <row r="174" spans="1:4">
      <c r="A174">
        <v>173</v>
      </c>
      <c r="C174">
        <v>173</v>
      </c>
    </row>
    <row r="175" spans="1:4">
      <c r="A175">
        <v>174</v>
      </c>
      <c r="B175">
        <v>218</v>
      </c>
      <c r="C175">
        <v>174</v>
      </c>
      <c r="D175">
        <v>0</v>
      </c>
    </row>
    <row r="176" spans="1:4">
      <c r="A176">
        <v>175</v>
      </c>
      <c r="B176">
        <v>0</v>
      </c>
      <c r="C176">
        <v>175</v>
      </c>
      <c r="D176">
        <v>73</v>
      </c>
    </row>
    <row r="177" spans="1:4">
      <c r="A177">
        <v>176</v>
      </c>
      <c r="B177">
        <v>63</v>
      </c>
      <c r="C177">
        <v>176</v>
      </c>
      <c r="D177">
        <v>0</v>
      </c>
    </row>
    <row r="178" spans="1:4">
      <c r="A178">
        <v>177</v>
      </c>
      <c r="B178">
        <v>167</v>
      </c>
      <c r="C178">
        <v>177</v>
      </c>
      <c r="D178">
        <v>189</v>
      </c>
    </row>
    <row r="179" spans="1:4">
      <c r="A179">
        <v>178</v>
      </c>
      <c r="B179">
        <v>45</v>
      </c>
      <c r="C179">
        <v>178</v>
      </c>
      <c r="D179">
        <v>0</v>
      </c>
    </row>
    <row r="180" spans="1:4">
      <c r="A180">
        <v>179</v>
      </c>
      <c r="C180">
        <v>179</v>
      </c>
    </row>
    <row r="181" spans="1:4">
      <c r="A181">
        <v>180</v>
      </c>
      <c r="C181">
        <v>180</v>
      </c>
    </row>
    <row r="182" spans="1:4">
      <c r="A182">
        <v>181</v>
      </c>
      <c r="B182">
        <v>410</v>
      </c>
      <c r="C182">
        <v>181</v>
      </c>
      <c r="D182">
        <v>0</v>
      </c>
    </row>
    <row r="183" spans="1:4">
      <c r="A183">
        <v>182</v>
      </c>
      <c r="B183">
        <v>250</v>
      </c>
      <c r="C183">
        <v>182</v>
      </c>
      <c r="D183">
        <v>0</v>
      </c>
    </row>
    <row r="184" spans="1:4">
      <c r="A184">
        <v>183</v>
      </c>
      <c r="B184">
        <v>297</v>
      </c>
      <c r="C184">
        <v>183</v>
      </c>
      <c r="D184">
        <v>0</v>
      </c>
    </row>
    <row r="185" spans="1:4">
      <c r="A185">
        <v>184</v>
      </c>
      <c r="C185">
        <v>184</v>
      </c>
    </row>
    <row r="186" spans="1:4">
      <c r="A186">
        <v>185</v>
      </c>
      <c r="C186">
        <v>185</v>
      </c>
    </row>
    <row r="187" spans="1:4">
      <c r="A187">
        <v>186</v>
      </c>
      <c r="B187">
        <v>154</v>
      </c>
      <c r="C187">
        <v>186</v>
      </c>
      <c r="D187">
        <v>5</v>
      </c>
    </row>
    <row r="188" spans="1:4">
      <c r="A188">
        <v>187</v>
      </c>
      <c r="B188">
        <v>115</v>
      </c>
      <c r="C188">
        <v>187</v>
      </c>
      <c r="D188">
        <v>16</v>
      </c>
    </row>
    <row r="189" spans="1:4">
      <c r="A189">
        <v>188</v>
      </c>
      <c r="C189">
        <v>188</v>
      </c>
    </row>
    <row r="190" spans="1:4">
      <c r="A190">
        <v>189</v>
      </c>
      <c r="C190">
        <v>189</v>
      </c>
    </row>
    <row r="191" spans="1:4">
      <c r="A191">
        <v>190</v>
      </c>
      <c r="C191">
        <v>190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13</vt:i4>
      </vt:variant>
    </vt:vector>
  </HeadingPairs>
  <TitlesOfParts>
    <vt:vector size="13" baseType="lpstr">
      <vt:lpstr>May 2020 EDI</vt:lpstr>
      <vt:lpstr>Working Spreadsheet May 20</vt:lpstr>
      <vt:lpstr>FuzzyLookup_AddIn_Undo_Sheet</vt:lpstr>
      <vt:lpstr>Pulled &amp; Formatted Allocations</vt:lpstr>
      <vt:lpstr>Raw Copy Allocations</vt:lpstr>
      <vt:lpstr>Apr 2020 RRC Export</vt:lpstr>
      <vt:lpstr>Removed RRC ID</vt:lpstr>
      <vt:lpstr>2019 Fuel May</vt:lpstr>
      <vt:lpstr>South Texas Meter Statement</vt:lpstr>
      <vt:lpstr>SummaryTable</vt:lpstr>
      <vt:lpstr>Dropdown Controller</vt:lpstr>
      <vt:lpstr>FilterList</vt:lpstr>
      <vt:lpstr>Sheet1</vt:lpstr>
    </vt:vector>
  </TitlesOfParts>
  <Company>State of Texas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Railroad Commission</dc:creator>
  <cp:lastModifiedBy>Mishaun Bhakta</cp:lastModifiedBy>
  <cp:lastPrinted>2019-10-15T16:11:26Z</cp:lastPrinted>
  <dcterms:created xsi:type="dcterms:W3CDTF">2004-06-23T14:48:05Z</dcterms:created>
  <dcterms:modified xsi:type="dcterms:W3CDTF">2020-08-12T15:17:20Z</dcterms:modified>
</cp:coreProperties>
</file>