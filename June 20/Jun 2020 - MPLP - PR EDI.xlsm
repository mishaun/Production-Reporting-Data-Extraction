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4470D2CD-2249-CD33-4A35-6F278624656F}"/>
  <workbookPr codeName="ThisWorkbook" autoCompressPictures="0"/>
  <bookViews>
    <workbookView xWindow="38400" yWindow="3020" windowWidth="38400" windowHeight="21140" tabRatio="898" activeTab="1"/>
  </bookViews>
  <sheets>
    <sheet name="June 2020 EDI" sheetId="4" r:id="rId1"/>
    <sheet name="Working Spreadsheet Jun 20" sheetId="8" r:id="rId2"/>
    <sheet name="FuzzyLookup_AddIn_Undo_Sheet" sheetId="14" state="hidden" r:id="rId3"/>
    <sheet name="Pulled &amp; Formatted Allocations" sheetId="13" r:id="rId4"/>
    <sheet name="Raw Copy Allocations" sheetId="17" r:id="rId5"/>
    <sheet name="May 2020 RRC Export" sheetId="6" r:id="rId6"/>
    <sheet name="Removed RRC ID" sheetId="18" r:id="rId7"/>
    <sheet name="2019 Fuel May" sheetId="11" r:id="rId8"/>
    <sheet name="South Texas Meter Statement" sheetId="15" r:id="rId9"/>
    <sheet name="SummaryTable" sheetId="9" r:id="rId10"/>
    <sheet name="Dropdown Controller" sheetId="10" r:id="rId11"/>
    <sheet name="FilterList" sheetId="16" r:id="rId12"/>
    <sheet name="Sheet1" sheetId="19" r:id="rId13"/>
  </sheets>
  <externalReferences>
    <externalReference r:id="rId14"/>
  </externalReferences>
  <definedNames>
    <definedName name="_Fill" localSheetId="7" hidden="1">'2019 Fuel May'!#REF!</definedName>
    <definedName name="_Fill" hidden="1">#REF!</definedName>
    <definedName name="_xlnm._FilterDatabase" localSheetId="7" hidden="1">'2019 Fuel May'!$A$9:$O$76</definedName>
    <definedName name="_xlnm._FilterDatabase" localSheetId="0" hidden="1">'June 2020 EDI'!$A$3:$AT$190</definedName>
    <definedName name="_Key1" localSheetId="7" hidden="1">'2019 Fuel May'!#REF!</definedName>
    <definedName name="_Key1" hidden="1">#REF!</definedName>
    <definedName name="_Key2" localSheetId="7" hidden="1">'2019 Fuel May'!#REF!</definedName>
    <definedName name="_Key2" hidden="1">#REF!</definedName>
    <definedName name="_Order1" hidden="1">255</definedName>
    <definedName name="_Order2" hidden="1">255</definedName>
    <definedName name="_Sort" localSheetId="7" hidden="1">'2019 Fuel May'!$A$29:$H$29</definedName>
    <definedName name="_Sort" hidden="1">#REF!</definedName>
    <definedName name="aa" localSheetId="7" hidden="1">#REF!</definedName>
    <definedName name="aa" hidden="1">#REF!</definedName>
    <definedName name="aaa" localSheetId="7" hidden="1">#REF!</definedName>
    <definedName name="aaa" hidden="1">#REF!</definedName>
    <definedName name="aab" localSheetId="7" hidden="1">#REF!</definedName>
    <definedName name="aab" hidden="1">#REF!</definedName>
    <definedName name="aac" localSheetId="7" hidden="1">#REF!</definedName>
    <definedName name="aac" hidden="1">#REF!</definedName>
    <definedName name="aad" localSheetId="7" hidden="1">#REF!</definedName>
    <definedName name="aad" hidden="1">#REF!</definedName>
    <definedName name="aae" localSheetId="7" hidden="1">#REF!</definedName>
    <definedName name="aae" hidden="1">#REF!</definedName>
    <definedName name="aaf" localSheetId="7" hidden="1">#REF!</definedName>
    <definedName name="aaf" hidden="1">#REF!</definedName>
    <definedName name="aah" localSheetId="7" hidden="1">#REF!</definedName>
    <definedName name="aah" hidden="1">#REF!</definedName>
    <definedName name="aai" localSheetId="7" hidden="1">#REF!</definedName>
    <definedName name="aai" hidden="1">#REF!</definedName>
    <definedName name="abc" localSheetId="7" hidden="1">#REF!</definedName>
    <definedName name="abc" hidden="1">#REF!</definedName>
    <definedName name="bb" localSheetId="7" hidden="1">#REF!</definedName>
    <definedName name="bb" hidden="1">#REF!</definedName>
    <definedName name="cc" localSheetId="7" hidden="1">#REF!</definedName>
    <definedName name="cc" hidden="1">#REF!</definedName>
    <definedName name="dd" localSheetId="7" hidden="1">#REF!</definedName>
    <definedName name="dd" hidden="1">#REF!</definedName>
    <definedName name="ee" localSheetId="7" hidden="1">#REF!</definedName>
    <definedName name="ee" hidden="1">#REF!</definedName>
    <definedName name="eee" localSheetId="7" hidden="1">#REF!</definedName>
    <definedName name="eee" hidden="1">#REF!</definedName>
    <definedName name="eqr" localSheetId="7" hidden="1">#REF!</definedName>
    <definedName name="eqr" hidden="1">#REF!</definedName>
    <definedName name="eqw" localSheetId="7" hidden="1">#REF!</definedName>
    <definedName name="eqw" hidden="1">#REF!</definedName>
    <definedName name="ewq" localSheetId="7" hidden="1">#REF!</definedName>
    <definedName name="ewq" hidden="1">#REF!</definedName>
    <definedName name="ff" localSheetId="7" hidden="1">#REF!</definedName>
    <definedName name="ff" hidden="1">#REF!</definedName>
    <definedName name="filteridlist">[1]FilterList!$B:$B</definedName>
    <definedName name="FilterList">FilterList!$C:$C</definedName>
    <definedName name="gg" localSheetId="7" hidden="1">#REF!</definedName>
    <definedName name="gg" hidden="1">#REF!</definedName>
    <definedName name="ghe" localSheetId="7" hidden="1">#REF!</definedName>
    <definedName name="ghe" hidden="1">#REF!</definedName>
    <definedName name="ghr" localSheetId="7" hidden="1">#REF!</definedName>
    <definedName name="ghr" hidden="1">#REF!</definedName>
    <definedName name="ght" localSheetId="7" hidden="1">#REF!</definedName>
    <definedName name="ght" hidden="1">#REF!</definedName>
    <definedName name="ghy" localSheetId="7" hidden="1">#REF!</definedName>
    <definedName name="ghy" hidden="1">#REF!</definedName>
    <definedName name="hat" localSheetId="7" hidden="1">#REF!</definedName>
    <definedName name="hat" hidden="1">#REF!</definedName>
    <definedName name="help" localSheetId="7" hidden="1">#REF!</definedName>
    <definedName name="help" hidden="1">#REF!</definedName>
    <definedName name="hh" localSheetId="7" hidden="1">#REF!</definedName>
    <definedName name="hh" hidden="1">#REF!</definedName>
    <definedName name="January2011Compressors" localSheetId="7" hidden="1">#REF!</definedName>
    <definedName name="January2011Compressors" hidden="1">#REF!</definedName>
    <definedName name="jj" localSheetId="7" hidden="1">#REF!</definedName>
    <definedName name="jj" hidden="1">#REF!</definedName>
    <definedName name="jk" localSheetId="7" hidden="1">#REF!</definedName>
    <definedName name="jk" hidden="1">#REF!</definedName>
    <definedName name="Key" localSheetId="7" hidden="1">#REF!</definedName>
    <definedName name="Key" hidden="1">#REF!</definedName>
    <definedName name="kk" localSheetId="7" hidden="1">#REF!</definedName>
    <definedName name="kk" hidden="1">#REF!</definedName>
    <definedName name="ll" localSheetId="7" hidden="1">#REF!</definedName>
    <definedName name="ll" hidden="1">#REF!</definedName>
    <definedName name="mm" localSheetId="7" hidden="1">#REF!</definedName>
    <definedName name="mm" hidden="1">#REF!</definedName>
    <definedName name="numb" localSheetId="7" hidden="1">#REF!</definedName>
    <definedName name="numb" hidden="1">#REF!</definedName>
    <definedName name="_xlnm.Print_Area" localSheetId="7">'2019 Fuel May'!$A$1:$N$76</definedName>
    <definedName name="Print_Area_MI" localSheetId="7">'2019 Fuel May'!$A$1:$E$194</definedName>
    <definedName name="_xlnm.Print_Titles" localSheetId="4">'Raw Copy Allocations'!$4:$4</definedName>
    <definedName name="qq" localSheetId="7" hidden="1">#REF!</definedName>
    <definedName name="qq" hidden="1">#REF!</definedName>
    <definedName name="qqe" localSheetId="7" hidden="1">#REF!</definedName>
    <definedName name="qqe" hidden="1">#REF!</definedName>
    <definedName name="qqi" localSheetId="7" hidden="1">#REF!</definedName>
    <definedName name="qqi" hidden="1">#REF!</definedName>
    <definedName name="qqo" localSheetId="7" hidden="1">#REF!</definedName>
    <definedName name="qqo" hidden="1">#REF!</definedName>
    <definedName name="qqp" localSheetId="7" hidden="1">#REF!</definedName>
    <definedName name="qqp" hidden="1">#REF!</definedName>
    <definedName name="qqq" localSheetId="7" hidden="1">#REF!</definedName>
    <definedName name="qqq" hidden="1">#REF!</definedName>
    <definedName name="qqr" localSheetId="7" hidden="1">#REF!</definedName>
    <definedName name="qqr" hidden="1">#REF!</definedName>
    <definedName name="qqt" localSheetId="7" hidden="1">#REF!</definedName>
    <definedName name="qqt" hidden="1">#REF!</definedName>
    <definedName name="qqu" localSheetId="7" hidden="1">#REF!</definedName>
    <definedName name="qqu" hidden="1">#REF!</definedName>
    <definedName name="qqy" localSheetId="7" hidden="1">#REF!</definedName>
    <definedName name="qqy" hidden="1">#REF!</definedName>
    <definedName name="qw" localSheetId="7" hidden="1">#REF!</definedName>
    <definedName name="qw" hidden="1">#REF!</definedName>
    <definedName name="qwe" localSheetId="7" hidden="1">#REF!</definedName>
    <definedName name="qwe" hidden="1">#REF!</definedName>
    <definedName name="qwr" localSheetId="7" hidden="1">#REF!</definedName>
    <definedName name="qwr" hidden="1">#REF!</definedName>
    <definedName name="qww" localSheetId="7" hidden="1">#REF!</definedName>
    <definedName name="qww" hidden="1">#REF!</definedName>
    <definedName name="rrr" localSheetId="7" hidden="1">#REF!</definedName>
    <definedName name="rrr" hidden="1">#REF!</definedName>
    <definedName name="sl" localSheetId="7" hidden="1">#REF!</definedName>
    <definedName name="sl" hidden="1">#REF!</definedName>
    <definedName name="wer" localSheetId="7" hidden="1">#REF!</definedName>
    <definedName name="wer" hidden="1">#REF!</definedName>
    <definedName name="wqe" localSheetId="7" hidden="1">#REF!</definedName>
    <definedName name="wqe" hidden="1">#REF!</definedName>
    <definedName name="wqi" localSheetId="7" hidden="1">#REF!</definedName>
    <definedName name="wqi" hidden="1">#REF!</definedName>
    <definedName name="wqo" localSheetId="7" hidden="1">#REF!</definedName>
    <definedName name="wqo" hidden="1">#REF!</definedName>
    <definedName name="wqp" localSheetId="7" hidden="1">#REF!</definedName>
    <definedName name="wqp" hidden="1">#REF!</definedName>
    <definedName name="wqt" localSheetId="7" hidden="1">#REF!</definedName>
    <definedName name="wqt" hidden="1">#REF!</definedName>
    <definedName name="wqu" localSheetId="7" hidden="1">#REF!</definedName>
    <definedName name="wqu" hidden="1">#REF!</definedName>
    <definedName name="wqy" localSheetId="7" hidden="1">#REF!</definedName>
    <definedName name="wqy" hidden="1">#REF!</definedName>
    <definedName name="wwe" localSheetId="7" hidden="1">#REF!</definedName>
    <definedName name="wwe" hidden="1">#REF!</definedName>
    <definedName name="wwi" localSheetId="7" hidden="1">#REF!</definedName>
    <definedName name="wwi" hidden="1">#REF!</definedName>
    <definedName name="wwo" localSheetId="7" hidden="1">#REF!</definedName>
    <definedName name="wwo" hidden="1">#REF!</definedName>
    <definedName name="wwp" localSheetId="7" hidden="1">#REF!</definedName>
    <definedName name="wwp" hidden="1">#REF!</definedName>
    <definedName name="wwq" localSheetId="7" hidden="1">#REF!</definedName>
    <definedName name="wwq" hidden="1">#REF!</definedName>
    <definedName name="wwr" localSheetId="7" hidden="1">#REF!</definedName>
    <definedName name="wwr" hidden="1">#REF!</definedName>
    <definedName name="wwt" localSheetId="7" hidden="1">#REF!</definedName>
    <definedName name="wwt" hidden="1">#REF!</definedName>
    <definedName name="wwu" localSheetId="7" hidden="1">#REF!</definedName>
    <definedName name="wwu" hidden="1">#REF!</definedName>
    <definedName name="www" localSheetId="7" hidden="1">#REF!</definedName>
    <definedName name="www" hidden="1">#REF!</definedName>
    <definedName name="wwy" localSheetId="7" hidden="1">#REF!</definedName>
    <definedName name="wwy" hidden="1">#REF!</definedName>
    <definedName name="y" localSheetId="7" hidden="1">#REF!</definedName>
    <definedName name="y" hidden="1">#REF!</definedName>
    <definedName name="yy" localSheetId="7" hidden="1">#REF!</definedName>
    <definedName name="yy" hidden="1">#REF!</definedName>
  </definedNames>
  <calcPr calcId="140001" concurrentCalc="0"/>
  <pivotCaches>
    <pivotCache cacheId="0" r:id="rId15"/>
  </pivotCaches>
  <extLst>
    <ext xmlns:mx="http://schemas.microsoft.com/office/mac/excel/2008/main" uri="{7523E5D3-25F3-A5E0-1632-64F254C22452}">
      <mx:ArchID Flags="2"/>
    </ext>
  </extLst>
</workbook>
</file>

<file path=xl/calcChain.xml><?xml version="1.0" encoding="utf-8"?>
<calcChain xmlns="http://schemas.openxmlformats.org/spreadsheetml/2006/main">
  <c r="V13" i="8" l="1"/>
  <c r="N194" i="8"/>
  <c r="Q194" i="8"/>
  <c r="R194" i="8"/>
  <c r="N191" i="8"/>
  <c r="Q191" i="8"/>
  <c r="R191" i="8"/>
  <c r="N190" i="8"/>
  <c r="Q190" i="8"/>
  <c r="R190" i="8"/>
  <c r="N186" i="8"/>
  <c r="Q186" i="8"/>
  <c r="R186" i="8"/>
  <c r="N185" i="8"/>
  <c r="Q185" i="8"/>
  <c r="R185" i="8"/>
  <c r="N179" i="8"/>
  <c r="Q179" i="8"/>
  <c r="R179" i="8"/>
  <c r="N178" i="8"/>
  <c r="Q178" i="8"/>
  <c r="R178" i="8"/>
  <c r="N177" i="8"/>
  <c r="Q177" i="8"/>
  <c r="R177" i="8"/>
  <c r="N174" i="8"/>
  <c r="Q174" i="8"/>
  <c r="R174" i="8"/>
  <c r="N173" i="8"/>
  <c r="Q173" i="8"/>
  <c r="R173" i="8"/>
  <c r="N172" i="8"/>
  <c r="Q172" i="8"/>
  <c r="R172" i="8"/>
  <c r="N171" i="8"/>
  <c r="Q171" i="8"/>
  <c r="R171" i="8"/>
  <c r="N169" i="8"/>
  <c r="Q169" i="8"/>
  <c r="R169" i="8"/>
  <c r="N166" i="8"/>
  <c r="Q166" i="8"/>
  <c r="R166" i="8"/>
  <c r="N162" i="8"/>
  <c r="Q162" i="8"/>
  <c r="R162" i="8"/>
  <c r="N161" i="8"/>
  <c r="Q161" i="8"/>
  <c r="R161" i="8"/>
  <c r="N160" i="8"/>
  <c r="Q160" i="8"/>
  <c r="R160" i="8"/>
  <c r="N159" i="8"/>
  <c r="Q159" i="8"/>
  <c r="R159" i="8"/>
  <c r="N158" i="8"/>
  <c r="Q158" i="8"/>
  <c r="R158" i="8"/>
  <c r="N157" i="8"/>
  <c r="Q157" i="8"/>
  <c r="R157" i="8"/>
  <c r="N155" i="8"/>
  <c r="Q155" i="8"/>
  <c r="R155" i="8"/>
  <c r="N153" i="8"/>
  <c r="Q153" i="8"/>
  <c r="R153" i="8"/>
  <c r="N151" i="8"/>
  <c r="Q151" i="8"/>
  <c r="R151" i="8"/>
  <c r="N150" i="8"/>
  <c r="Q150" i="8"/>
  <c r="R150" i="8"/>
  <c r="N148" i="8"/>
  <c r="Q148" i="8"/>
  <c r="R148" i="8"/>
  <c r="N147" i="8"/>
  <c r="Q147" i="8"/>
  <c r="R147" i="8"/>
  <c r="N146" i="8"/>
  <c r="Q146" i="8"/>
  <c r="R146" i="8"/>
  <c r="N144" i="8"/>
  <c r="Q144" i="8"/>
  <c r="R144" i="8"/>
  <c r="N143" i="8"/>
  <c r="Q143" i="8"/>
  <c r="R143" i="8"/>
  <c r="N142" i="8"/>
  <c r="Q142" i="8"/>
  <c r="R142" i="8"/>
  <c r="N141" i="8"/>
  <c r="Q141" i="8"/>
  <c r="R141" i="8"/>
  <c r="N140" i="8"/>
  <c r="Q140" i="8"/>
  <c r="R140" i="8"/>
  <c r="N139" i="8"/>
  <c r="Q139" i="8"/>
  <c r="R139" i="8"/>
  <c r="N135" i="8"/>
  <c r="Q135" i="8"/>
  <c r="R135" i="8"/>
  <c r="N134" i="8"/>
  <c r="Q134" i="8"/>
  <c r="R134" i="8"/>
  <c r="N133" i="8"/>
  <c r="Q133" i="8"/>
  <c r="R133" i="8"/>
  <c r="N131" i="8"/>
  <c r="Q131" i="8"/>
  <c r="R131" i="8"/>
  <c r="N130" i="8"/>
  <c r="Q130" i="8"/>
  <c r="R130" i="8"/>
  <c r="N126" i="8"/>
  <c r="Q126" i="8"/>
  <c r="R126" i="8"/>
  <c r="N125" i="8"/>
  <c r="Q125" i="8"/>
  <c r="R125" i="8"/>
  <c r="N122" i="8"/>
  <c r="Q122" i="8"/>
  <c r="R122" i="8"/>
  <c r="N119" i="8"/>
  <c r="Q119" i="8"/>
  <c r="R119" i="8"/>
  <c r="N118" i="8"/>
  <c r="Q118" i="8"/>
  <c r="R118" i="8"/>
  <c r="N117" i="8"/>
  <c r="Q117" i="8"/>
  <c r="R117" i="8"/>
  <c r="N116" i="8"/>
  <c r="Q116" i="8"/>
  <c r="R116" i="8"/>
  <c r="N115" i="8"/>
  <c r="Q115" i="8"/>
  <c r="R115" i="8"/>
  <c r="N110" i="8"/>
  <c r="Q110" i="8"/>
  <c r="R110" i="8"/>
  <c r="N109" i="8"/>
  <c r="Q109" i="8"/>
  <c r="R109" i="8"/>
  <c r="N108" i="8"/>
  <c r="Q108" i="8"/>
  <c r="R108" i="8"/>
  <c r="N107" i="8"/>
  <c r="Q107" i="8"/>
  <c r="R107" i="8"/>
  <c r="N106" i="8"/>
  <c r="Q106" i="8"/>
  <c r="R106" i="8"/>
  <c r="N103" i="8"/>
  <c r="Q103" i="8"/>
  <c r="R103" i="8"/>
  <c r="N101" i="8"/>
  <c r="Q101" i="8"/>
  <c r="R101" i="8"/>
  <c r="N100" i="8"/>
  <c r="Q100" i="8"/>
  <c r="R100" i="8"/>
  <c r="N99" i="8"/>
  <c r="Q99" i="8"/>
  <c r="R99" i="8"/>
  <c r="N97" i="8"/>
  <c r="Q97" i="8"/>
  <c r="R97" i="8"/>
  <c r="N95" i="8"/>
  <c r="Q95" i="8"/>
  <c r="R95" i="8"/>
  <c r="N92" i="8"/>
  <c r="Q92" i="8"/>
  <c r="R92" i="8"/>
  <c r="N91" i="8"/>
  <c r="Q91" i="8"/>
  <c r="R91" i="8"/>
  <c r="N87" i="8"/>
  <c r="Q87" i="8"/>
  <c r="R87" i="8"/>
  <c r="N86" i="8"/>
  <c r="Q86" i="8"/>
  <c r="R86" i="8"/>
  <c r="N85" i="8"/>
  <c r="Q85" i="8"/>
  <c r="R85" i="8"/>
  <c r="N84" i="8"/>
  <c r="Q84" i="8"/>
  <c r="R84" i="8"/>
  <c r="N82" i="8"/>
  <c r="Q82" i="8"/>
  <c r="R82" i="8"/>
  <c r="N79" i="8"/>
  <c r="Q79" i="8"/>
  <c r="R79" i="8"/>
  <c r="N78" i="8"/>
  <c r="Q78" i="8"/>
  <c r="R78" i="8"/>
  <c r="N77" i="8"/>
  <c r="Q77" i="8"/>
  <c r="R77" i="8"/>
  <c r="N76" i="8"/>
  <c r="Q76" i="8"/>
  <c r="R76" i="8"/>
  <c r="N74" i="8"/>
  <c r="Q74" i="8"/>
  <c r="R74" i="8"/>
  <c r="N70" i="8"/>
  <c r="Q70" i="8"/>
  <c r="R70" i="8"/>
  <c r="N67" i="8"/>
  <c r="Q67" i="8"/>
  <c r="R67" i="8"/>
  <c r="N62" i="8"/>
  <c r="Q62" i="8"/>
  <c r="R62" i="8"/>
  <c r="N61" i="8"/>
  <c r="Q61" i="8"/>
  <c r="R61" i="8"/>
  <c r="N60" i="8"/>
  <c r="Q60" i="8"/>
  <c r="R60" i="8"/>
  <c r="N59" i="8"/>
  <c r="Q59" i="8"/>
  <c r="R59" i="8"/>
  <c r="N58" i="8"/>
  <c r="Q58" i="8"/>
  <c r="R58" i="8"/>
  <c r="N57" i="8"/>
  <c r="Q57" i="8"/>
  <c r="R57" i="8"/>
  <c r="N55" i="8"/>
  <c r="Q55" i="8"/>
  <c r="R55" i="8"/>
  <c r="N53" i="8"/>
  <c r="Q53" i="8"/>
  <c r="R53" i="8"/>
  <c r="N52" i="8"/>
  <c r="Q52" i="8"/>
  <c r="R52" i="8"/>
  <c r="N51" i="8"/>
  <c r="Q51" i="8"/>
  <c r="R51" i="8"/>
  <c r="N50" i="8"/>
  <c r="Q50" i="8"/>
  <c r="R50" i="8"/>
  <c r="N49" i="8"/>
  <c r="Q49" i="8"/>
  <c r="R49" i="8"/>
  <c r="N48" i="8"/>
  <c r="Q48" i="8"/>
  <c r="R48" i="8"/>
  <c r="N47" i="8"/>
  <c r="Q47" i="8"/>
  <c r="R47" i="8"/>
  <c r="N45" i="8"/>
  <c r="Q45" i="8"/>
  <c r="R45" i="8"/>
  <c r="N44" i="8"/>
  <c r="Q44" i="8"/>
  <c r="R44" i="8"/>
  <c r="N43" i="8"/>
  <c r="Q43" i="8"/>
  <c r="R43" i="8"/>
  <c r="N41" i="8"/>
  <c r="Q41" i="8"/>
  <c r="R41" i="8"/>
  <c r="N40" i="8"/>
  <c r="Q40" i="8"/>
  <c r="R40" i="8"/>
  <c r="N39" i="8"/>
  <c r="Q39" i="8"/>
  <c r="R39" i="8"/>
  <c r="N34" i="8"/>
  <c r="Q34" i="8"/>
  <c r="R34" i="8"/>
  <c r="N33" i="8"/>
  <c r="Q33" i="8"/>
  <c r="R33" i="8"/>
  <c r="N31" i="8"/>
  <c r="Q31" i="8"/>
  <c r="R31" i="8"/>
  <c r="N30" i="8"/>
  <c r="Q30" i="8"/>
  <c r="R30" i="8"/>
  <c r="N28" i="8"/>
  <c r="Q28" i="8"/>
  <c r="R28" i="8"/>
  <c r="N23" i="8"/>
  <c r="Q23" i="8"/>
  <c r="R23" i="8"/>
  <c r="N20" i="8"/>
  <c r="Q20" i="8"/>
  <c r="R20" i="8"/>
  <c r="N19" i="8"/>
  <c r="Q19" i="8"/>
  <c r="R19" i="8"/>
  <c r="N18" i="8"/>
  <c r="Q18" i="8"/>
  <c r="R18" i="8"/>
  <c r="N16" i="8"/>
  <c r="Q16" i="8"/>
  <c r="R16" i="8"/>
  <c r="N15" i="8"/>
  <c r="Q15" i="8"/>
  <c r="R15" i="8"/>
  <c r="N12" i="8"/>
  <c r="Q12" i="8"/>
  <c r="R12" i="8"/>
  <c r="N11" i="8"/>
  <c r="Q11" i="8"/>
  <c r="R11" i="8"/>
  <c r="N6" i="8"/>
  <c r="Q6" i="8"/>
  <c r="R6" i="8"/>
  <c r="N123" i="8"/>
  <c r="Q123" i="8"/>
  <c r="R123" i="8"/>
  <c r="N113" i="8"/>
  <c r="Q113" i="8"/>
  <c r="R113" i="8"/>
  <c r="N112" i="8"/>
  <c r="Q112" i="8"/>
  <c r="R112" i="8"/>
  <c r="N102" i="8"/>
  <c r="Q102" i="8"/>
  <c r="R102" i="8"/>
  <c r="N89" i="8"/>
  <c r="Q89" i="8"/>
  <c r="R89" i="8"/>
  <c r="N73" i="8"/>
  <c r="Q73" i="8"/>
  <c r="R73" i="8"/>
  <c r="N72" i="8"/>
  <c r="Q72" i="8"/>
  <c r="R72" i="8"/>
  <c r="N71" i="8"/>
  <c r="Q71" i="8"/>
  <c r="R71" i="8"/>
  <c r="N46" i="8"/>
  <c r="Q46" i="8"/>
  <c r="R46" i="8"/>
  <c r="N36" i="8"/>
  <c r="Q36" i="8"/>
  <c r="R36" i="8"/>
  <c r="N29" i="8"/>
  <c r="Q29" i="8"/>
  <c r="R29" i="8"/>
  <c r="N9" i="8"/>
  <c r="Q9" i="8"/>
  <c r="R9" i="8"/>
  <c r="N8" i="8"/>
  <c r="Q8" i="8"/>
  <c r="R8" i="8"/>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4" i="4"/>
  <c r="V11" i="8"/>
  <c r="Y11" i="8"/>
  <c r="V12" i="8"/>
  <c r="Y12" i="8"/>
  <c r="AA13" i="8"/>
  <c r="V15" i="8"/>
  <c r="P137" i="4"/>
  <c r="Y15" i="8"/>
  <c r="V16" i="8"/>
  <c r="Y16" i="8"/>
  <c r="O4" i="4"/>
  <c r="V18" i="8"/>
  <c r="Y18" i="8"/>
  <c r="V19" i="8"/>
  <c r="P182" i="4"/>
  <c r="Y19" i="8"/>
  <c r="V20" i="8"/>
  <c r="P184" i="4"/>
  <c r="Y20" i="8"/>
  <c r="O184" i="4"/>
  <c r="V21" i="8"/>
  <c r="P35" i="4"/>
  <c r="Y21" i="8"/>
  <c r="V23" i="8"/>
  <c r="P139" i="4"/>
  <c r="Y23" i="8"/>
  <c r="V28" i="8"/>
  <c r="Y28" i="8"/>
  <c r="O9" i="4"/>
  <c r="V30" i="8"/>
  <c r="Y30" i="8"/>
  <c r="V31" i="8"/>
  <c r="P105" i="4"/>
  <c r="Y31" i="8"/>
  <c r="V33" i="8"/>
  <c r="Y33" i="8"/>
  <c r="O177" i="4"/>
  <c r="V34" i="8"/>
  <c r="P143" i="4"/>
  <c r="Y34" i="8"/>
  <c r="V39" i="8"/>
  <c r="P157" i="4"/>
  <c r="Y39" i="8"/>
  <c r="V40" i="8"/>
  <c r="Y40" i="8"/>
  <c r="O7" i="4"/>
  <c r="V41" i="8"/>
  <c r="Y41" i="8"/>
  <c r="AA41" i="8"/>
  <c r="N64" i="4"/>
  <c r="V43" i="8"/>
  <c r="P71" i="4"/>
  <c r="Y43" i="8"/>
  <c r="V44" i="8"/>
  <c r="Y44" i="8"/>
  <c r="O78" i="4"/>
  <c r="V45" i="8"/>
  <c r="Y45" i="8"/>
  <c r="AA45" i="8"/>
  <c r="V47" i="8"/>
  <c r="P53" i="4"/>
  <c r="Y47" i="8"/>
  <c r="V48" i="8"/>
  <c r="Y48" i="8"/>
  <c r="O49" i="4"/>
  <c r="V49" i="8"/>
  <c r="Y49" i="8"/>
  <c r="AA49" i="8"/>
  <c r="N52" i="4"/>
  <c r="V50" i="8"/>
  <c r="P63" i="4"/>
  <c r="Y50" i="8"/>
  <c r="V51" i="8"/>
  <c r="P55" i="4"/>
  <c r="Y51" i="8"/>
  <c r="O55" i="4"/>
  <c r="V52" i="8"/>
  <c r="Y52" i="8"/>
  <c r="AA52" i="8"/>
  <c r="N54" i="4"/>
  <c r="V53" i="8"/>
  <c r="P140" i="4"/>
  <c r="Y53" i="8"/>
  <c r="V55" i="8"/>
  <c r="P15" i="4"/>
  <c r="Y55" i="8"/>
  <c r="O15" i="4"/>
  <c r="V57" i="8"/>
  <c r="Y57" i="8"/>
  <c r="AA57" i="8"/>
  <c r="N153" i="4"/>
  <c r="V58" i="8"/>
  <c r="P154" i="4"/>
  <c r="Y58" i="8"/>
  <c r="V59" i="8"/>
  <c r="P145" i="4"/>
  <c r="Y59" i="8"/>
  <c r="O145" i="4"/>
  <c r="V60" i="8"/>
  <c r="Y60" i="8"/>
  <c r="AA60" i="8"/>
  <c r="N146" i="4"/>
  <c r="V61" i="8"/>
  <c r="P138" i="4"/>
  <c r="Y61" i="8"/>
  <c r="V62" i="8"/>
  <c r="Y62" i="8"/>
  <c r="O106" i="4"/>
  <c r="V67" i="8"/>
  <c r="P114" i="4"/>
  <c r="Y67" i="8"/>
  <c r="V70" i="8"/>
  <c r="P121" i="4"/>
  <c r="Y70" i="8"/>
  <c r="V74" i="8"/>
  <c r="Y74" i="8"/>
  <c r="O159" i="4"/>
  <c r="V76" i="8"/>
  <c r="Y76" i="8"/>
  <c r="AA76" i="8"/>
  <c r="N88" i="4"/>
  <c r="V77" i="8"/>
  <c r="P135" i="4"/>
  <c r="Y77" i="8"/>
  <c r="V78" i="8"/>
  <c r="Y78" i="8"/>
  <c r="O28" i="4"/>
  <c r="V79" i="8"/>
  <c r="Y79" i="8"/>
  <c r="AA79" i="8"/>
  <c r="N29" i="4"/>
  <c r="V82" i="8"/>
  <c r="P129" i="4"/>
  <c r="Y82" i="8"/>
  <c r="V84" i="8"/>
  <c r="Y84" i="8"/>
  <c r="O127" i="4"/>
  <c r="V85" i="8"/>
  <c r="Y85" i="8"/>
  <c r="V86" i="8"/>
  <c r="P101" i="4"/>
  <c r="Y86" i="8"/>
  <c r="V87" i="8"/>
  <c r="Y87" i="8"/>
  <c r="O169" i="4"/>
  <c r="V91" i="8"/>
  <c r="Y91" i="8"/>
  <c r="AA91" i="8"/>
  <c r="N25" i="4"/>
  <c r="V92" i="8"/>
  <c r="P171" i="4"/>
  <c r="Y92" i="8"/>
  <c r="V95" i="8"/>
  <c r="P83" i="4"/>
  <c r="Y95" i="8"/>
  <c r="O83" i="4"/>
  <c r="V97" i="8"/>
  <c r="Y97" i="8"/>
  <c r="AA97" i="8"/>
  <c r="N84" i="4"/>
  <c r="V99" i="8"/>
  <c r="Y99" i="8"/>
  <c r="V100" i="8"/>
  <c r="P174" i="4"/>
  <c r="Y100" i="8"/>
  <c r="AA100" i="8"/>
  <c r="N174" i="4"/>
  <c r="V101" i="8"/>
  <c r="Y101" i="8"/>
  <c r="V103" i="8"/>
  <c r="Y103" i="8"/>
  <c r="AA103" i="8"/>
  <c r="N161" i="4"/>
  <c r="V106" i="8"/>
  <c r="Y106" i="8"/>
  <c r="O163" i="4"/>
  <c r="V107" i="8"/>
  <c r="Y107" i="8"/>
  <c r="AA107" i="8"/>
  <c r="N164" i="4"/>
  <c r="V108" i="8"/>
  <c r="Y108" i="8"/>
  <c r="AA108" i="8"/>
  <c r="N165" i="4"/>
  <c r="V109" i="8"/>
  <c r="Y109" i="8"/>
  <c r="AA109" i="8"/>
  <c r="N95" i="4"/>
  <c r="V110" i="8"/>
  <c r="P185" i="4"/>
  <c r="Y110" i="8"/>
  <c r="V113" i="8"/>
  <c r="P82" i="4"/>
  <c r="Y113" i="8"/>
  <c r="V115" i="8"/>
  <c r="P85" i="4"/>
  <c r="Y115" i="8"/>
  <c r="O85" i="4"/>
  <c r="V116" i="8"/>
  <c r="P155" i="4"/>
  <c r="Y116" i="8"/>
  <c r="V117" i="8"/>
  <c r="P30" i="4"/>
  <c r="Y117" i="8"/>
  <c r="V118" i="8"/>
  <c r="P31" i="4"/>
  <c r="Y118" i="8"/>
  <c r="O31" i="4"/>
  <c r="V119" i="8"/>
  <c r="P32" i="4"/>
  <c r="Y119" i="8"/>
  <c r="V122" i="8"/>
  <c r="P90" i="4"/>
  <c r="Y122" i="8"/>
  <c r="V125" i="8"/>
  <c r="P36" i="4"/>
  <c r="Y125" i="8"/>
  <c r="O36" i="4"/>
  <c r="V126" i="8"/>
  <c r="P97" i="4"/>
  <c r="Y126" i="8"/>
  <c r="V130" i="8"/>
  <c r="P27" i="4"/>
  <c r="Y130" i="8"/>
  <c r="V131" i="8"/>
  <c r="P142" i="4"/>
  <c r="Y131" i="8"/>
  <c r="O142" i="4"/>
  <c r="V133" i="8"/>
  <c r="Y133" i="8"/>
  <c r="O131" i="4"/>
  <c r="V134" i="8"/>
  <c r="P133" i="4"/>
  <c r="Y134" i="8"/>
  <c r="V135" i="8"/>
  <c r="P134" i="4"/>
  <c r="Y135" i="8"/>
  <c r="O134" i="4"/>
  <c r="V138" i="8"/>
  <c r="P187" i="4"/>
  <c r="Y138" i="8"/>
  <c r="O187" i="4"/>
  <c r="V139" i="8"/>
  <c r="Y139" i="8"/>
  <c r="V140" i="8"/>
  <c r="P33" i="4"/>
  <c r="Y140" i="8"/>
  <c r="O33" i="4"/>
  <c r="V141" i="8"/>
  <c r="P112" i="4"/>
  <c r="Y141" i="8"/>
  <c r="V142" i="8"/>
  <c r="P23" i="4"/>
  <c r="Y142" i="8"/>
  <c r="O23" i="4"/>
  <c r="V143" i="8"/>
  <c r="Y143" i="8"/>
  <c r="O34" i="4"/>
  <c r="V144" i="8"/>
  <c r="P21" i="4"/>
  <c r="Y144" i="8"/>
  <c r="V146" i="8"/>
  <c r="P20" i="4"/>
  <c r="Y146" i="8"/>
  <c r="V147" i="8"/>
  <c r="P73" i="4"/>
  <c r="Y147" i="8"/>
  <c r="O73" i="4"/>
  <c r="V148" i="8"/>
  <c r="P47" i="4"/>
  <c r="Y148" i="8"/>
  <c r="V150" i="8"/>
  <c r="P147" i="4"/>
  <c r="Y150" i="8"/>
  <c r="V151" i="8"/>
  <c r="P108" i="4"/>
  <c r="Y151" i="8"/>
  <c r="O108" i="4"/>
  <c r="V153" i="8"/>
  <c r="P111" i="4"/>
  <c r="Y153" i="8"/>
  <c r="V155" i="8"/>
  <c r="P96" i="4"/>
  <c r="Y155" i="8"/>
  <c r="V157" i="8"/>
  <c r="P130" i="4"/>
  <c r="Y157" i="8"/>
  <c r="O130" i="4"/>
  <c r="V158" i="8"/>
  <c r="Y158" i="8"/>
  <c r="AA158" i="8"/>
  <c r="N180" i="4"/>
  <c r="V159" i="8"/>
  <c r="P181" i="4"/>
  <c r="Y159" i="8"/>
  <c r="O181" i="4"/>
  <c r="V160" i="8"/>
  <c r="P113" i="4"/>
  <c r="Y160" i="8"/>
  <c r="O113" i="4"/>
  <c r="V161" i="8"/>
  <c r="P74" i="4"/>
  <c r="Y161" i="8"/>
  <c r="V162" i="8"/>
  <c r="P16" i="4"/>
  <c r="Y162" i="8"/>
  <c r="V166" i="8"/>
  <c r="P136" i="4"/>
  <c r="Y166" i="8"/>
  <c r="O136" i="4"/>
  <c r="V169" i="8"/>
  <c r="P12" i="4"/>
  <c r="Y169" i="8"/>
  <c r="V171" i="8"/>
  <c r="P148" i="4"/>
  <c r="Y171" i="8"/>
  <c r="V172" i="8"/>
  <c r="Y172" i="8"/>
  <c r="O39" i="4"/>
  <c r="V173" i="8"/>
  <c r="P38" i="4"/>
  <c r="Y173" i="8"/>
  <c r="V174" i="8"/>
  <c r="P94" i="4"/>
  <c r="Y174" i="8"/>
  <c r="O94" i="4"/>
  <c r="V177" i="8"/>
  <c r="Y177" i="8"/>
  <c r="O41" i="4"/>
  <c r="V178" i="8"/>
  <c r="Y178" i="8"/>
  <c r="AA178" i="8"/>
  <c r="N42" i="4"/>
  <c r="V179" i="8"/>
  <c r="P40" i="4"/>
  <c r="Y179" i="8"/>
  <c r="O40" i="4"/>
  <c r="V185" i="8"/>
  <c r="P61" i="4"/>
  <c r="Y185" i="8"/>
  <c r="O61" i="4"/>
  <c r="V186" i="8"/>
  <c r="P175" i="4"/>
  <c r="Y186" i="8"/>
  <c r="V190" i="8"/>
  <c r="P26" i="4"/>
  <c r="Y190" i="8"/>
  <c r="O26" i="4"/>
  <c r="V191" i="8"/>
  <c r="P57" i="4"/>
  <c r="Y191" i="8"/>
  <c r="O57" i="4"/>
  <c r="V194" i="8"/>
  <c r="P8" i="4"/>
  <c r="Y194" i="8"/>
  <c r="V6" i="8"/>
  <c r="P56" i="4"/>
  <c r="Y6" i="8"/>
  <c r="P9" i="4"/>
  <c r="P41" i="4"/>
  <c r="P84" i="4"/>
  <c r="P89" i="4"/>
  <c r="P95" i="4"/>
  <c r="P100" i="4"/>
  <c r="P160" i="4"/>
  <c r="P163" i="4"/>
  <c r="P173" i="4"/>
  <c r="AQ8" i="4"/>
  <c r="AQ26" i="4"/>
  <c r="AQ175" i="4"/>
  <c r="AQ61" i="4"/>
  <c r="AQ40" i="4"/>
  <c r="AQ42" i="4"/>
  <c r="AQ41" i="4"/>
  <c r="AQ94" i="4"/>
  <c r="AQ39" i="4"/>
  <c r="AQ148" i="4"/>
  <c r="AQ136" i="4"/>
  <c r="AQ16" i="4"/>
  <c r="AQ113" i="4"/>
  <c r="AQ181" i="4"/>
  <c r="AQ180" i="4"/>
  <c r="AQ130" i="4"/>
  <c r="AQ96" i="4"/>
  <c r="AQ108" i="4"/>
  <c r="AQ147" i="4"/>
  <c r="AQ47" i="4"/>
  <c r="AQ73" i="4"/>
  <c r="AQ20" i="4"/>
  <c r="AQ34" i="4"/>
  <c r="AQ23" i="4"/>
  <c r="S141" i="8"/>
  <c r="T141" i="8"/>
  <c r="U141" i="8"/>
  <c r="AQ33" i="4"/>
  <c r="AQ173" i="4"/>
  <c r="N138" i="8"/>
  <c r="Q138" i="8"/>
  <c r="AQ134" i="4"/>
  <c r="AQ131" i="4"/>
  <c r="AQ142" i="4"/>
  <c r="AQ36" i="4"/>
  <c r="AQ90" i="4"/>
  <c r="AQ32" i="4"/>
  <c r="AQ31" i="4"/>
  <c r="AQ30" i="4"/>
  <c r="AQ85" i="4"/>
  <c r="AQ95" i="4"/>
  <c r="AQ165" i="4"/>
  <c r="AQ164" i="4"/>
  <c r="AQ161" i="4"/>
  <c r="AQ37" i="4"/>
  <c r="AQ174" i="4"/>
  <c r="AQ19" i="4"/>
  <c r="AQ84" i="4"/>
  <c r="AQ83" i="4"/>
  <c r="AQ25" i="4"/>
  <c r="AQ169" i="4"/>
  <c r="AQ101" i="4"/>
  <c r="AQ100" i="4"/>
  <c r="AQ129" i="4"/>
  <c r="AQ28" i="4"/>
  <c r="AQ135" i="4"/>
  <c r="AQ88" i="4"/>
  <c r="AQ114" i="4"/>
  <c r="AQ106" i="4"/>
  <c r="AQ138" i="4"/>
  <c r="AQ146" i="4"/>
  <c r="AQ154" i="4"/>
  <c r="AQ153" i="4"/>
  <c r="AQ15" i="4"/>
  <c r="AQ140" i="4"/>
  <c r="AQ54" i="4"/>
  <c r="AQ55" i="4"/>
  <c r="AQ63" i="4"/>
  <c r="AQ52" i="4"/>
  <c r="AQ49" i="4"/>
  <c r="AQ53" i="4"/>
  <c r="AQ48" i="4"/>
  <c r="AQ71" i="4"/>
  <c r="AQ64" i="4"/>
  <c r="AQ7" i="4"/>
  <c r="AQ157" i="4"/>
  <c r="AQ143" i="4"/>
  <c r="AQ105" i="4"/>
  <c r="AQ124" i="4"/>
  <c r="AQ9" i="4"/>
  <c r="AQ182" i="4"/>
  <c r="AQ59" i="4"/>
  <c r="AQ4" i="4"/>
  <c r="AQ137" i="4"/>
  <c r="AQ45" i="4"/>
  <c r="AQ89" i="4"/>
  <c r="S113" i="8"/>
  <c r="T113" i="8"/>
  <c r="Y82" i="4"/>
  <c r="N7" i="8"/>
  <c r="Q7" i="8"/>
  <c r="C95" i="13"/>
  <c r="S75" i="8"/>
  <c r="D95" i="13"/>
  <c r="V75" i="8"/>
  <c r="E95" i="13"/>
  <c r="Y75" i="8"/>
  <c r="O80" i="4"/>
  <c r="J95" i="13"/>
  <c r="C9" i="13"/>
  <c r="S13" i="8"/>
  <c r="D9" i="13"/>
  <c r="E9" i="13"/>
  <c r="J9" i="13"/>
  <c r="N13" i="8"/>
  <c r="Q13" i="8"/>
  <c r="N75" i="8"/>
  <c r="Q75" i="8"/>
  <c r="N114" i="8"/>
  <c r="Q114" i="8"/>
  <c r="N64" i="8"/>
  <c r="Q64" i="8"/>
  <c r="N65" i="8"/>
  <c r="Q65" i="8"/>
  <c r="N63" i="8"/>
  <c r="Q63" i="8"/>
  <c r="N37" i="8"/>
  <c r="Q37" i="8"/>
  <c r="N21" i="8"/>
  <c r="Q21" i="8"/>
  <c r="N14" i="8"/>
  <c r="Q14" i="8"/>
  <c r="N10" i="8"/>
  <c r="Q10"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C65" i="13"/>
  <c r="S136" i="8"/>
  <c r="N137" i="8"/>
  <c r="Q137" i="8"/>
  <c r="C66" i="13"/>
  <c r="S137" i="8"/>
  <c r="N145" i="8"/>
  <c r="Q145" i="8"/>
  <c r="N149" i="8"/>
  <c r="Q149" i="8"/>
  <c r="N152" i="8"/>
  <c r="Q152" i="8"/>
  <c r="N154" i="8"/>
  <c r="Q154" i="8"/>
  <c r="N156" i="8"/>
  <c r="Q156" i="8"/>
  <c r="N163" i="8"/>
  <c r="Q163" i="8"/>
  <c r="N164" i="8"/>
  <c r="Q164" i="8"/>
  <c r="N165" i="8"/>
  <c r="Q165" i="8"/>
  <c r="S165" i="8"/>
  <c r="T165" i="8"/>
  <c r="U165" i="8"/>
  <c r="N167" i="8"/>
  <c r="Q167" i="8"/>
  <c r="N168" i="8"/>
  <c r="Q168" i="8"/>
  <c r="N170" i="8"/>
  <c r="Q170" i="8"/>
  <c r="N175" i="8"/>
  <c r="Q175" i="8"/>
  <c r="N176" i="8"/>
  <c r="Q176" i="8"/>
  <c r="N180" i="8"/>
  <c r="Q180" i="8"/>
  <c r="N181" i="8"/>
  <c r="Q181" i="8"/>
  <c r="C84" i="13"/>
  <c r="S181" i="8"/>
  <c r="N182" i="8"/>
  <c r="Q182" i="8"/>
  <c r="N183" i="8"/>
  <c r="Q183" i="8"/>
  <c r="N184" i="8"/>
  <c r="Q184" i="8"/>
  <c r="N187" i="8"/>
  <c r="Q187" i="8"/>
  <c r="S187" i="8"/>
  <c r="T187" i="8"/>
  <c r="N188" i="8"/>
  <c r="Q188" i="8"/>
  <c r="N189" i="8"/>
  <c r="Q189" i="8"/>
  <c r="N192" i="8"/>
  <c r="Q192" i="8"/>
  <c r="N193" i="8"/>
  <c r="Q193" i="8"/>
  <c r="AQ192" i="4"/>
  <c r="L13" i="8"/>
  <c r="M13" i="8"/>
  <c r="N192" i="4"/>
  <c r="AD13" i="8"/>
  <c r="N230" i="6"/>
  <c r="C60" i="13"/>
  <c r="D60" i="13"/>
  <c r="E60" i="13"/>
  <c r="J60" i="13"/>
  <c r="B96" i="17"/>
  <c r="E96" i="17"/>
  <c r="C96" i="17"/>
  <c r="D96" i="17"/>
  <c r="C5" i="13"/>
  <c r="S7" i="8"/>
  <c r="AA149" i="4"/>
  <c r="C6" i="13"/>
  <c r="S8" i="8"/>
  <c r="AA150" i="4"/>
  <c r="C7" i="13"/>
  <c r="C8" i="13"/>
  <c r="S10" i="8"/>
  <c r="C10" i="13"/>
  <c r="S14" i="8"/>
  <c r="C11" i="13"/>
  <c r="C12" i="13"/>
  <c r="S81" i="8"/>
  <c r="AA125" i="4"/>
  <c r="C13" i="13"/>
  <c r="S80" i="8"/>
  <c r="C14" i="13"/>
  <c r="S83" i="8"/>
  <c r="AA126" i="4"/>
  <c r="C15" i="13"/>
  <c r="S17" i="8"/>
  <c r="C16" i="13"/>
  <c r="S25" i="8"/>
  <c r="AA66" i="4"/>
  <c r="C17" i="13"/>
  <c r="C18" i="13"/>
  <c r="C19" i="13"/>
  <c r="S26" i="8"/>
  <c r="C20" i="13"/>
  <c r="S27" i="8"/>
  <c r="C21" i="13"/>
  <c r="C22" i="13"/>
  <c r="S29" i="8"/>
  <c r="C23" i="13"/>
  <c r="C24" i="13"/>
  <c r="C25" i="13"/>
  <c r="S36" i="8"/>
  <c r="C26" i="13"/>
  <c r="C27" i="13"/>
  <c r="S38" i="8"/>
  <c r="C28" i="13"/>
  <c r="S42" i="8"/>
  <c r="AA70" i="4"/>
  <c r="C29" i="13"/>
  <c r="C30" i="13"/>
  <c r="S184" i="8"/>
  <c r="C31" i="13"/>
  <c r="S56" i="8"/>
  <c r="AA13" i="4"/>
  <c r="C32" i="13"/>
  <c r="S132" i="8"/>
  <c r="C33" i="13"/>
  <c r="S54" i="8"/>
  <c r="AA103" i="4"/>
  <c r="C34" i="13"/>
  <c r="S65" i="8"/>
  <c r="AA115" i="4"/>
  <c r="C35" i="13"/>
  <c r="C36" i="13"/>
  <c r="S63" i="8"/>
  <c r="C37" i="13"/>
  <c r="S66" i="8"/>
  <c r="C38" i="13"/>
  <c r="S69" i="8"/>
  <c r="AA122" i="4"/>
  <c r="C39" i="13"/>
  <c r="S68" i="8"/>
  <c r="C40" i="13"/>
  <c r="S71" i="8"/>
  <c r="C41" i="13"/>
  <c r="C42" i="13"/>
  <c r="C43" i="13"/>
  <c r="S127" i="8"/>
  <c r="C44" i="13"/>
  <c r="C45" i="13"/>
  <c r="S89" i="8"/>
  <c r="AA167" i="4"/>
  <c r="C46" i="13"/>
  <c r="S88" i="8"/>
  <c r="C47" i="13"/>
  <c r="C48" i="13"/>
  <c r="S90" i="8"/>
  <c r="C49" i="13"/>
  <c r="S93" i="8"/>
  <c r="C50" i="13"/>
  <c r="C51" i="13"/>
  <c r="S94" i="8"/>
  <c r="C52" i="13"/>
  <c r="S96" i="8"/>
  <c r="AA81" i="4"/>
  <c r="C53" i="13"/>
  <c r="C54" i="13"/>
  <c r="C55" i="13"/>
  <c r="S104" i="8"/>
  <c r="C56" i="13"/>
  <c r="S105" i="8"/>
  <c r="C57" i="13"/>
  <c r="S114" i="8"/>
  <c r="AA191" i="4"/>
  <c r="C58" i="13"/>
  <c r="C59" i="13"/>
  <c r="C61" i="13"/>
  <c r="C62" i="13"/>
  <c r="S124" i="8"/>
  <c r="AA17" i="4"/>
  <c r="C64" i="13"/>
  <c r="C63" i="13"/>
  <c r="S128" i="8"/>
  <c r="C67" i="13"/>
  <c r="S111" i="8"/>
  <c r="C68" i="13"/>
  <c r="C69" i="13"/>
  <c r="C70" i="13"/>
  <c r="S149" i="8"/>
  <c r="C71" i="13"/>
  <c r="S152" i="8"/>
  <c r="C72" i="13"/>
  <c r="S154" i="8"/>
  <c r="C73" i="13"/>
  <c r="C74" i="13"/>
  <c r="C75" i="13"/>
  <c r="C76" i="13"/>
  <c r="S164" i="8"/>
  <c r="AA104" i="4"/>
  <c r="C77" i="13"/>
  <c r="C78" i="13"/>
  <c r="S168" i="8"/>
  <c r="C79" i="13"/>
  <c r="S170" i="8"/>
  <c r="C80" i="13"/>
  <c r="C81" i="13"/>
  <c r="C82" i="13"/>
  <c r="S37" i="8"/>
  <c r="C83" i="13"/>
  <c r="S180" i="8"/>
  <c r="C85" i="13"/>
  <c r="S182" i="8"/>
  <c r="C86" i="13"/>
  <c r="C87" i="13"/>
  <c r="AA77" i="4"/>
  <c r="C88" i="13"/>
  <c r="S188" i="8"/>
  <c r="C89" i="13"/>
  <c r="S189" i="8"/>
  <c r="C90" i="13"/>
  <c r="S192" i="8"/>
  <c r="C91" i="13"/>
  <c r="C92" i="13"/>
  <c r="C93" i="13"/>
  <c r="C94" i="13"/>
  <c r="S193" i="8"/>
  <c r="AA110" i="4"/>
  <c r="E5" i="13"/>
  <c r="Y7" i="8"/>
  <c r="E6" i="13"/>
  <c r="Y8" i="8"/>
  <c r="E7" i="13"/>
  <c r="Y9" i="8"/>
  <c r="O152" i="4"/>
  <c r="E29" i="13"/>
  <c r="Y46" i="8"/>
  <c r="O50" i="4"/>
  <c r="E51" i="13"/>
  <c r="Y94" i="8"/>
  <c r="E54" i="13"/>
  <c r="Y102" i="8"/>
  <c r="E61" i="13"/>
  <c r="Y123" i="8"/>
  <c r="O151" i="4"/>
  <c r="E64" i="13"/>
  <c r="Y129" i="8"/>
  <c r="O156" i="4"/>
  <c r="E84" i="13"/>
  <c r="Y181" i="8"/>
  <c r="O44" i="4"/>
  <c r="E92" i="13"/>
  <c r="D5" i="13"/>
  <c r="V7" i="8"/>
  <c r="D6" i="13"/>
  <c r="V8" i="8"/>
  <c r="D7" i="13"/>
  <c r="V9" i="8"/>
  <c r="D8" i="13"/>
  <c r="V10" i="8"/>
  <c r="D10" i="13"/>
  <c r="V14" i="8"/>
  <c r="D11" i="13"/>
  <c r="D12" i="13"/>
  <c r="V81" i="8"/>
  <c r="D13" i="13"/>
  <c r="V80" i="8"/>
  <c r="D14" i="13"/>
  <c r="V83" i="8"/>
  <c r="D15" i="13"/>
  <c r="V17" i="8"/>
  <c r="D16" i="13"/>
  <c r="V25" i="8"/>
  <c r="D17" i="13"/>
  <c r="V22" i="8"/>
  <c r="D18" i="13"/>
  <c r="V24" i="8"/>
  <c r="D19" i="13"/>
  <c r="V26" i="8"/>
  <c r="D20" i="13"/>
  <c r="V27" i="8"/>
  <c r="D21" i="13"/>
  <c r="D22" i="13"/>
  <c r="V29" i="8"/>
  <c r="D23" i="13"/>
  <c r="V32" i="8"/>
  <c r="D24" i="13"/>
  <c r="V35" i="8"/>
  <c r="D25" i="13"/>
  <c r="V36" i="8"/>
  <c r="D26" i="13"/>
  <c r="D27" i="13"/>
  <c r="V38" i="8"/>
  <c r="D28" i="13"/>
  <c r="V42" i="8"/>
  <c r="D29" i="13"/>
  <c r="V46" i="8"/>
  <c r="D30" i="13"/>
  <c r="V184" i="8"/>
  <c r="D31" i="13"/>
  <c r="V56" i="8"/>
  <c r="D32" i="13"/>
  <c r="V132" i="8"/>
  <c r="D33" i="13"/>
  <c r="V54" i="8"/>
  <c r="D34" i="13"/>
  <c r="V65" i="8"/>
  <c r="D35" i="13"/>
  <c r="V64" i="8"/>
  <c r="D36" i="13"/>
  <c r="V63" i="8"/>
  <c r="D37" i="13"/>
  <c r="V66" i="8"/>
  <c r="D38" i="13"/>
  <c r="V69" i="8"/>
  <c r="D39" i="13"/>
  <c r="V68" i="8"/>
  <c r="D40" i="13"/>
  <c r="V71" i="8"/>
  <c r="D41" i="13"/>
  <c r="V73" i="8"/>
  <c r="D42" i="13"/>
  <c r="V72" i="8"/>
  <c r="D43" i="13"/>
  <c r="V127" i="8"/>
  <c r="P98" i="4"/>
  <c r="D44" i="13"/>
  <c r="D45" i="13"/>
  <c r="V89" i="8"/>
  <c r="D46" i="13"/>
  <c r="V88" i="8"/>
  <c r="D47" i="13"/>
  <c r="D48" i="13"/>
  <c r="V90" i="8"/>
  <c r="D49" i="13"/>
  <c r="D50" i="13"/>
  <c r="D51" i="13"/>
  <c r="V94" i="8"/>
  <c r="D52" i="13"/>
  <c r="V96" i="8"/>
  <c r="D53" i="13"/>
  <c r="V98" i="8"/>
  <c r="D54" i="13"/>
  <c r="V102" i="8"/>
  <c r="D55" i="13"/>
  <c r="V104" i="8"/>
  <c r="D56" i="13"/>
  <c r="V105" i="8"/>
  <c r="P162" i="4"/>
  <c r="D57" i="13"/>
  <c r="V114" i="8"/>
  <c r="D58" i="13"/>
  <c r="V120" i="8"/>
  <c r="D59" i="13"/>
  <c r="V121" i="8"/>
  <c r="D61" i="13"/>
  <c r="V123" i="8"/>
  <c r="P151" i="4"/>
  <c r="D62" i="13"/>
  <c r="V124" i="8"/>
  <c r="D64" i="13"/>
  <c r="V129" i="8"/>
  <c r="P156" i="4"/>
  <c r="D63" i="13"/>
  <c r="V128" i="8"/>
  <c r="D65" i="13"/>
  <c r="V136" i="8"/>
  <c r="P183" i="4"/>
  <c r="D66" i="13"/>
  <c r="V137" i="8"/>
  <c r="P186" i="4"/>
  <c r="D67" i="13"/>
  <c r="V111" i="8"/>
  <c r="P188" i="4"/>
  <c r="D68" i="13"/>
  <c r="V112" i="8"/>
  <c r="D69" i="13"/>
  <c r="V145" i="8"/>
  <c r="P22" i="4"/>
  <c r="D70" i="13"/>
  <c r="V149" i="8"/>
  <c r="P123" i="4"/>
  <c r="D71" i="13"/>
  <c r="V152" i="8"/>
  <c r="D72" i="13"/>
  <c r="V154" i="8"/>
  <c r="D73" i="13"/>
  <c r="V156" i="8"/>
  <c r="D74" i="13"/>
  <c r="V163" i="8"/>
  <c r="P72" i="4"/>
  <c r="D75" i="13"/>
  <c r="V165" i="8"/>
  <c r="P102" i="4"/>
  <c r="D76" i="13"/>
  <c r="V164" i="8"/>
  <c r="D77" i="13"/>
  <c r="V167" i="8"/>
  <c r="P69" i="4"/>
  <c r="D78" i="13"/>
  <c r="V168" i="8"/>
  <c r="D79" i="13"/>
  <c r="V170" i="8"/>
  <c r="D80" i="13"/>
  <c r="V175" i="8"/>
  <c r="P92" i="4"/>
  <c r="D81" i="13"/>
  <c r="V176" i="8"/>
  <c r="D82" i="13"/>
  <c r="V37" i="8"/>
  <c r="D83" i="13"/>
  <c r="V180" i="8"/>
  <c r="P46" i="4"/>
  <c r="D84" i="13"/>
  <c r="V181" i="8"/>
  <c r="P44" i="4"/>
  <c r="D85" i="13"/>
  <c r="V182" i="8"/>
  <c r="D86" i="13"/>
  <c r="V183" i="8"/>
  <c r="P86" i="4"/>
  <c r="D87" i="13"/>
  <c r="V187" i="8"/>
  <c r="P77" i="4"/>
  <c r="D88" i="13"/>
  <c r="V188" i="8"/>
  <c r="D89" i="13"/>
  <c r="V189" i="8"/>
  <c r="D90" i="13"/>
  <c r="V192" i="8"/>
  <c r="D91" i="13"/>
  <c r="D92" i="13"/>
  <c r="D93" i="13"/>
  <c r="D94" i="13"/>
  <c r="V193" i="8"/>
  <c r="P110" i="4"/>
  <c r="E81" i="13"/>
  <c r="Y176" i="8"/>
  <c r="O93" i="4"/>
  <c r="E80" i="13"/>
  <c r="Y175" i="8"/>
  <c r="E76" i="13"/>
  <c r="Y164" i="8"/>
  <c r="E33" i="13"/>
  <c r="Y54" i="8"/>
  <c r="O103" i="4"/>
  <c r="E87" i="13"/>
  <c r="Y187" i="8"/>
  <c r="O77" i="4"/>
  <c r="E88" i="13"/>
  <c r="Y188" i="8"/>
  <c r="O75" i="4"/>
  <c r="E59" i="13"/>
  <c r="Y121" i="8"/>
  <c r="O190" i="4"/>
  <c r="E89" i="13"/>
  <c r="Y189" i="8"/>
  <c r="O76" i="4"/>
  <c r="E19" i="13"/>
  <c r="Y26" i="8"/>
  <c r="E17" i="13"/>
  <c r="Y22" i="8"/>
  <c r="E18" i="13"/>
  <c r="Y24" i="8"/>
  <c r="O65" i="4"/>
  <c r="E58" i="13"/>
  <c r="Y120" i="8"/>
  <c r="O51" i="4"/>
  <c r="E16" i="13"/>
  <c r="Y25" i="8"/>
  <c r="O66" i="4"/>
  <c r="E48" i="13"/>
  <c r="Y90" i="8"/>
  <c r="O62" i="4"/>
  <c r="E83" i="13"/>
  <c r="Y180" i="8"/>
  <c r="O46" i="4"/>
  <c r="E63" i="13"/>
  <c r="Y128" i="8"/>
  <c r="E69" i="13"/>
  <c r="Y145" i="8"/>
  <c r="O22" i="4"/>
  <c r="E22" i="13"/>
  <c r="Y29" i="8"/>
  <c r="O24" i="4"/>
  <c r="E75" i="13"/>
  <c r="Y165" i="8"/>
  <c r="O102" i="4"/>
  <c r="E15" i="13"/>
  <c r="Y17" i="8"/>
  <c r="O60" i="4"/>
  <c r="E8" i="13"/>
  <c r="Y10" i="8"/>
  <c r="O87" i="4"/>
  <c r="E20" i="13"/>
  <c r="Y27" i="8"/>
  <c r="O5" i="4"/>
  <c r="E21" i="13"/>
  <c r="E90" i="13"/>
  <c r="Y192" i="8"/>
  <c r="O58" i="4"/>
  <c r="E57" i="13"/>
  <c r="Y114" i="8"/>
  <c r="O191" i="4"/>
  <c r="E93" i="13"/>
  <c r="E91" i="13"/>
  <c r="E11" i="13"/>
  <c r="E26" i="13"/>
  <c r="E86" i="13"/>
  <c r="Y183" i="8"/>
  <c r="O86" i="4"/>
  <c r="E52" i="13"/>
  <c r="Y96" i="8"/>
  <c r="O81" i="4"/>
  <c r="E77" i="13"/>
  <c r="Y167" i="8"/>
  <c r="E68" i="13"/>
  <c r="Y112" i="8"/>
  <c r="O172" i="4"/>
  <c r="E66" i="13"/>
  <c r="Y137" i="8"/>
  <c r="O186" i="4"/>
  <c r="E65" i="13"/>
  <c r="Y136" i="8"/>
  <c r="O183" i="4"/>
  <c r="E67" i="13"/>
  <c r="Y111" i="8"/>
  <c r="E45" i="13"/>
  <c r="Y89" i="8"/>
  <c r="O167" i="4"/>
  <c r="E62" i="13"/>
  <c r="Y124" i="8"/>
  <c r="E73" i="13"/>
  <c r="Y156" i="8"/>
  <c r="O79" i="4"/>
  <c r="E42" i="13"/>
  <c r="Y72" i="8"/>
  <c r="E41" i="13"/>
  <c r="Y73" i="8"/>
  <c r="O179" i="4"/>
  <c r="E40" i="13"/>
  <c r="Y71" i="8"/>
  <c r="O158" i="4"/>
  <c r="E27" i="13"/>
  <c r="Y38" i="8"/>
  <c r="O170" i="4"/>
  <c r="E25" i="13"/>
  <c r="Y36" i="8"/>
  <c r="O166" i="4"/>
  <c r="E46" i="13"/>
  <c r="Y88" i="8"/>
  <c r="O168" i="4"/>
  <c r="E47" i="13"/>
  <c r="E56" i="13"/>
  <c r="Y105" i="8"/>
  <c r="O162" i="4"/>
  <c r="E74" i="13"/>
  <c r="Y163" i="8"/>
  <c r="E24" i="13"/>
  <c r="Y35" i="8"/>
  <c r="O6" i="4"/>
  <c r="E36" i="13"/>
  <c r="Y63" i="8"/>
  <c r="O119" i="4"/>
  <c r="E49" i="13"/>
  <c r="Y93" i="8"/>
  <c r="AA93" i="8"/>
  <c r="N160" i="4"/>
  <c r="E35" i="13"/>
  <c r="Y64" i="8"/>
  <c r="E34" i="13"/>
  <c r="Y65" i="8"/>
  <c r="O115" i="4"/>
  <c r="E85" i="13"/>
  <c r="Y182" i="8"/>
  <c r="O189" i="4"/>
  <c r="E78" i="13"/>
  <c r="Y168" i="8"/>
  <c r="O141" i="4"/>
  <c r="E28" i="13"/>
  <c r="Y42" i="8"/>
  <c r="E32" i="13"/>
  <c r="Y132" i="8"/>
  <c r="E39" i="13"/>
  <c r="Y68" i="8"/>
  <c r="O117" i="4"/>
  <c r="E38" i="13"/>
  <c r="Y69" i="8"/>
  <c r="O122" i="4"/>
  <c r="E37" i="13"/>
  <c r="Y66" i="8"/>
  <c r="E53" i="13"/>
  <c r="Y98" i="8"/>
  <c r="O118" i="4"/>
  <c r="E23" i="13"/>
  <c r="Y32" i="8"/>
  <c r="E82" i="13"/>
  <c r="Y37" i="8"/>
  <c r="O43" i="4"/>
  <c r="E70" i="13"/>
  <c r="Y149" i="8"/>
  <c r="E43" i="13"/>
  <c r="Y127" i="8"/>
  <c r="O98" i="4"/>
  <c r="E71" i="13"/>
  <c r="Y152" i="8"/>
  <c r="O107" i="4"/>
  <c r="E72" i="13"/>
  <c r="Y154" i="8"/>
  <c r="O109" i="4"/>
  <c r="E12" i="13"/>
  <c r="Y81" i="8"/>
  <c r="O125" i="4"/>
  <c r="E14" i="13"/>
  <c r="Y83" i="8"/>
  <c r="O126" i="4"/>
  <c r="E44" i="13"/>
  <c r="E31" i="13"/>
  <c r="Y56" i="8"/>
  <c r="O13" i="4"/>
  <c r="E10" i="13"/>
  <c r="Y14" i="8"/>
  <c r="O11" i="4"/>
  <c r="E55" i="13"/>
  <c r="Y104" i="8"/>
  <c r="O91" i="4"/>
  <c r="E13" i="13"/>
  <c r="Y80" i="8"/>
  <c r="E94" i="13"/>
  <c r="Y193" i="8"/>
  <c r="O110" i="4"/>
  <c r="E30" i="13"/>
  <c r="Y184" i="8"/>
  <c r="O99" i="4"/>
  <c r="E79" i="13"/>
  <c r="Y170" i="8"/>
  <c r="O10" i="4"/>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L39" i="8"/>
  <c r="O39" i="8"/>
  <c r="M40" i="8"/>
  <c r="M41" i="8"/>
  <c r="M42" i="8"/>
  <c r="M43" i="8"/>
  <c r="M44" i="8"/>
  <c r="M45" i="8"/>
  <c r="L45" i="8"/>
  <c r="O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B195" i="8"/>
  <c r="F195" i="8"/>
  <c r="C195" i="8"/>
  <c r="AD194" i="8"/>
  <c r="S194" i="8"/>
  <c r="M194" i="8"/>
  <c r="L194" i="8"/>
  <c r="AD193" i="8"/>
  <c r="M193" i="8"/>
  <c r="L193" i="8"/>
  <c r="AD192" i="8"/>
  <c r="M192" i="8"/>
  <c r="L192" i="8"/>
  <c r="AD191" i="8"/>
  <c r="S191" i="8"/>
  <c r="T191" i="8"/>
  <c r="Y57" i="4"/>
  <c r="M191" i="8"/>
  <c r="L191" i="8"/>
  <c r="AD190" i="8"/>
  <c r="S190" i="8"/>
  <c r="AA26" i="4"/>
  <c r="M190" i="8"/>
  <c r="L190" i="8"/>
  <c r="AD189" i="8"/>
  <c r="M189" i="8"/>
  <c r="L189" i="8"/>
  <c r="AD188" i="8"/>
  <c r="M188" i="8"/>
  <c r="L188" i="8"/>
  <c r="AD187" i="8"/>
  <c r="M187" i="8"/>
  <c r="L187" i="8"/>
  <c r="AD186" i="8"/>
  <c r="S186" i="8"/>
  <c r="AA175" i="4"/>
  <c r="M186" i="8"/>
  <c r="L186" i="8"/>
  <c r="AD185" i="8"/>
  <c r="S185" i="8"/>
  <c r="M185" i="8"/>
  <c r="L185" i="8"/>
  <c r="AD184" i="8"/>
  <c r="M184" i="8"/>
  <c r="L184" i="8"/>
  <c r="AD183" i="8"/>
  <c r="S183" i="8"/>
  <c r="AA86" i="4"/>
  <c r="M183" i="8"/>
  <c r="L183" i="8"/>
  <c r="AD182" i="8"/>
  <c r="M182" i="8"/>
  <c r="L182" i="8"/>
  <c r="AD181" i="8"/>
  <c r="M181" i="8"/>
  <c r="L181" i="8"/>
  <c r="AD180" i="8"/>
  <c r="M180" i="8"/>
  <c r="L180" i="8"/>
  <c r="O180" i="8"/>
  <c r="AD179" i="8"/>
  <c r="S179" i="8"/>
  <c r="AA40" i="4"/>
  <c r="M179" i="8"/>
  <c r="L179" i="8"/>
  <c r="AD178" i="8"/>
  <c r="S178" i="8"/>
  <c r="AA42" i="4"/>
  <c r="M178" i="8"/>
  <c r="L178" i="8"/>
  <c r="AD177" i="8"/>
  <c r="S177" i="8"/>
  <c r="M177" i="8"/>
  <c r="L177" i="8"/>
  <c r="AD176" i="8"/>
  <c r="S176" i="8"/>
  <c r="M176" i="8"/>
  <c r="L176" i="8"/>
  <c r="O176" i="8"/>
  <c r="AD175" i="8"/>
  <c r="S175" i="8"/>
  <c r="AA92" i="4"/>
  <c r="M175" i="8"/>
  <c r="L175" i="8"/>
  <c r="O175" i="8"/>
  <c r="AD174" i="8"/>
  <c r="S174" i="8"/>
  <c r="M174" i="8"/>
  <c r="L174" i="8"/>
  <c r="AD173" i="8"/>
  <c r="S173" i="8"/>
  <c r="AA38" i="4"/>
  <c r="M173" i="8"/>
  <c r="L173" i="8"/>
  <c r="AD172" i="8"/>
  <c r="S172" i="8"/>
  <c r="AA39" i="4"/>
  <c r="M172" i="8"/>
  <c r="L172" i="8"/>
  <c r="O172" i="8"/>
  <c r="AD171" i="8"/>
  <c r="S171" i="8"/>
  <c r="M171" i="8"/>
  <c r="L171" i="8"/>
  <c r="AD170" i="8"/>
  <c r="M170" i="8"/>
  <c r="L170" i="8"/>
  <c r="AD169" i="8"/>
  <c r="S169" i="8"/>
  <c r="AA12" i="4"/>
  <c r="M169" i="8"/>
  <c r="L169" i="8"/>
  <c r="AD168" i="8"/>
  <c r="M168" i="8"/>
  <c r="L168" i="8"/>
  <c r="AD167" i="8"/>
  <c r="S167" i="8"/>
  <c r="AA69" i="4"/>
  <c r="M167" i="8"/>
  <c r="L167" i="8"/>
  <c r="O167" i="8"/>
  <c r="AD166" i="8"/>
  <c r="S166" i="8"/>
  <c r="AA136" i="4"/>
  <c r="M166" i="8"/>
  <c r="L166" i="8"/>
  <c r="AD165" i="8"/>
  <c r="AA102" i="4"/>
  <c r="M165" i="8"/>
  <c r="L165" i="8"/>
  <c r="AD164" i="8"/>
  <c r="M164" i="8"/>
  <c r="L164" i="8"/>
  <c r="AD163" i="8"/>
  <c r="S163" i="8"/>
  <c r="AA72" i="4"/>
  <c r="M163" i="8"/>
  <c r="L163" i="8"/>
  <c r="AD162" i="8"/>
  <c r="S162" i="8"/>
  <c r="AA16" i="4"/>
  <c r="M162" i="8"/>
  <c r="L162" i="8"/>
  <c r="AD161" i="8"/>
  <c r="S161" i="8"/>
  <c r="T161" i="8"/>
  <c r="M161" i="8"/>
  <c r="L161" i="8"/>
  <c r="AD160" i="8"/>
  <c r="S160" i="8"/>
  <c r="AA113" i="4"/>
  <c r="M160" i="8"/>
  <c r="L160" i="8"/>
  <c r="AD159" i="8"/>
  <c r="S159" i="8"/>
  <c r="AA181" i="4"/>
  <c r="M159" i="8"/>
  <c r="L159" i="8"/>
  <c r="AD158" i="8"/>
  <c r="S158" i="8"/>
  <c r="M158" i="8"/>
  <c r="L158" i="8"/>
  <c r="AD157" i="8"/>
  <c r="S157" i="8"/>
  <c r="M157" i="8"/>
  <c r="L157" i="8"/>
  <c r="AD156" i="8"/>
  <c r="S156" i="8"/>
  <c r="AA79" i="4"/>
  <c r="M156" i="8"/>
  <c r="L156" i="8"/>
  <c r="AD155" i="8"/>
  <c r="S155" i="8"/>
  <c r="T155" i="8"/>
  <c r="U155" i="8"/>
  <c r="M155" i="8"/>
  <c r="L155" i="8"/>
  <c r="AD154" i="8"/>
  <c r="M154" i="8"/>
  <c r="L154" i="8"/>
  <c r="O154" i="8"/>
  <c r="AD153" i="8"/>
  <c r="S153" i="8"/>
  <c r="T153" i="8"/>
  <c r="U153" i="8"/>
  <c r="M153" i="8"/>
  <c r="L153" i="8"/>
  <c r="AD152" i="8"/>
  <c r="M152" i="8"/>
  <c r="L152" i="8"/>
  <c r="AD151" i="8"/>
  <c r="S151" i="8"/>
  <c r="AA108" i="4"/>
  <c r="M151" i="8"/>
  <c r="L151" i="8"/>
  <c r="AD150" i="8"/>
  <c r="S150" i="8"/>
  <c r="M150" i="8"/>
  <c r="L150" i="8"/>
  <c r="AD149" i="8"/>
  <c r="M149" i="8"/>
  <c r="L149" i="8"/>
  <c r="AD148" i="8"/>
  <c r="S148" i="8"/>
  <c r="AA47" i="4"/>
  <c r="M148" i="8"/>
  <c r="L148" i="8"/>
  <c r="O148" i="8"/>
  <c r="AD147" i="8"/>
  <c r="S147" i="8"/>
  <c r="AA73" i="4"/>
  <c r="M147" i="8"/>
  <c r="L147" i="8"/>
  <c r="AD146" i="8"/>
  <c r="S146" i="8"/>
  <c r="M146" i="8"/>
  <c r="L146" i="8"/>
  <c r="AD145" i="8"/>
  <c r="S145" i="8"/>
  <c r="M145" i="8"/>
  <c r="L145" i="8"/>
  <c r="AD144" i="8"/>
  <c r="S144" i="8"/>
  <c r="AA21" i="4"/>
  <c r="M144" i="8"/>
  <c r="L144" i="8"/>
  <c r="AD143" i="8"/>
  <c r="S143" i="8"/>
  <c r="AA34" i="4"/>
  <c r="M143" i="8"/>
  <c r="L143" i="8"/>
  <c r="AD142" i="8"/>
  <c r="S142" i="8"/>
  <c r="AA23" i="4"/>
  <c r="M142" i="8"/>
  <c r="L142" i="8"/>
  <c r="AD141" i="8"/>
  <c r="AA112" i="4"/>
  <c r="M141" i="8"/>
  <c r="L141" i="8"/>
  <c r="AD140" i="8"/>
  <c r="S140" i="8"/>
  <c r="AA33" i="4"/>
  <c r="M140" i="8"/>
  <c r="L140" i="8"/>
  <c r="AD139" i="8"/>
  <c r="S139" i="8"/>
  <c r="AA173" i="4"/>
  <c r="M139" i="8"/>
  <c r="L139" i="8"/>
  <c r="AD138" i="8"/>
  <c r="S138" i="8"/>
  <c r="AA187" i="4"/>
  <c r="M138" i="8"/>
  <c r="L138" i="8"/>
  <c r="AD137" i="8"/>
  <c r="M137" i="8"/>
  <c r="L137" i="8"/>
  <c r="AD136" i="8"/>
  <c r="M136" i="8"/>
  <c r="L136" i="8"/>
  <c r="AD135" i="8"/>
  <c r="S135" i="8"/>
  <c r="AA134" i="4"/>
  <c r="M135" i="8"/>
  <c r="L135" i="8"/>
  <c r="AD134" i="8"/>
  <c r="S134" i="8"/>
  <c r="M134" i="8"/>
  <c r="L134" i="8"/>
  <c r="AD133" i="8"/>
  <c r="S133" i="8"/>
  <c r="M133" i="8"/>
  <c r="L133" i="8"/>
  <c r="AD132" i="8"/>
  <c r="M132" i="8"/>
  <c r="L132" i="8"/>
  <c r="AD131" i="8"/>
  <c r="S131" i="8"/>
  <c r="AA142" i="4"/>
  <c r="M131" i="8"/>
  <c r="L131" i="8"/>
  <c r="AD130" i="8"/>
  <c r="S130" i="8"/>
  <c r="AA27" i="4"/>
  <c r="M130" i="8"/>
  <c r="L130" i="8"/>
  <c r="AD129" i="8"/>
  <c r="S129" i="8"/>
  <c r="AA156" i="4"/>
  <c r="M129" i="8"/>
  <c r="L129" i="8"/>
  <c r="AD128" i="8"/>
  <c r="O176" i="4"/>
  <c r="M128" i="8"/>
  <c r="L128" i="8"/>
  <c r="AD127" i="8"/>
  <c r="M127" i="8"/>
  <c r="L127" i="8"/>
  <c r="AD126" i="8"/>
  <c r="S126" i="8"/>
  <c r="AA97" i="4"/>
  <c r="M126" i="8"/>
  <c r="L126" i="8"/>
  <c r="AD125" i="8"/>
  <c r="S125" i="8"/>
  <c r="M125" i="8"/>
  <c r="L125" i="8"/>
  <c r="AD124" i="8"/>
  <c r="M124" i="8"/>
  <c r="L124" i="8"/>
  <c r="AD123" i="8"/>
  <c r="S123" i="8"/>
  <c r="M123" i="8"/>
  <c r="L123" i="8"/>
  <c r="AD122" i="8"/>
  <c r="O90" i="4"/>
  <c r="S122" i="8"/>
  <c r="AA90" i="4"/>
  <c r="M122" i="8"/>
  <c r="L122" i="8"/>
  <c r="O122" i="8"/>
  <c r="AD121" i="8"/>
  <c r="S121" i="8"/>
  <c r="AD120" i="8"/>
  <c r="S120" i="8"/>
  <c r="AA51" i="4"/>
  <c r="L120" i="8"/>
  <c r="O120" i="8"/>
  <c r="AD119" i="8"/>
  <c r="S119" i="8"/>
  <c r="AA32" i="4"/>
  <c r="L119" i="8"/>
  <c r="AD118" i="8"/>
  <c r="S118" i="8"/>
  <c r="AA31" i="4"/>
  <c r="L118" i="8"/>
  <c r="AD117" i="8"/>
  <c r="S117" i="8"/>
  <c r="AA30" i="4"/>
  <c r="L117" i="8"/>
  <c r="AD116" i="8"/>
  <c r="S116" i="8"/>
  <c r="AA155" i="4"/>
  <c r="L116" i="8"/>
  <c r="O116" i="8"/>
  <c r="AD115" i="8"/>
  <c r="S115" i="8"/>
  <c r="AA85" i="4"/>
  <c r="L115" i="8"/>
  <c r="AD114" i="8"/>
  <c r="L114" i="8"/>
  <c r="O114" i="8"/>
  <c r="AD113" i="8"/>
  <c r="AA82" i="4"/>
  <c r="L113" i="8"/>
  <c r="AD112" i="8"/>
  <c r="S112" i="8"/>
  <c r="T112" i="8"/>
  <c r="U112" i="8"/>
  <c r="L112" i="8"/>
  <c r="O112" i="8"/>
  <c r="AD111" i="8"/>
  <c r="L111" i="8"/>
  <c r="AD110" i="8"/>
  <c r="S110" i="8"/>
  <c r="AA185" i="4"/>
  <c r="L110" i="8"/>
  <c r="AD109" i="8"/>
  <c r="S109" i="8"/>
  <c r="L109" i="8"/>
  <c r="AD108" i="8"/>
  <c r="S108" i="8"/>
  <c r="L108" i="8"/>
  <c r="O108" i="8"/>
  <c r="AD107" i="8"/>
  <c r="S107" i="8"/>
  <c r="L107" i="8"/>
  <c r="AD106" i="8"/>
  <c r="S106" i="8"/>
  <c r="AA163" i="4"/>
  <c r="L106" i="8"/>
  <c r="AD105" i="8"/>
  <c r="L105" i="8"/>
  <c r="AD104" i="8"/>
  <c r="L104" i="8"/>
  <c r="AD103" i="8"/>
  <c r="O161" i="4"/>
  <c r="S103" i="8"/>
  <c r="AA161" i="4"/>
  <c r="L103" i="8"/>
  <c r="AD102" i="8"/>
  <c r="S102" i="8"/>
  <c r="AA144" i="4"/>
  <c r="L102" i="8"/>
  <c r="O102" i="8"/>
  <c r="AD101" i="8"/>
  <c r="S101" i="8"/>
  <c r="AA37" i="4"/>
  <c r="L101" i="8"/>
  <c r="AD100" i="8"/>
  <c r="S100" i="8"/>
  <c r="L100" i="8"/>
  <c r="AD99" i="8"/>
  <c r="O19" i="4"/>
  <c r="S99" i="8"/>
  <c r="AA19" i="4"/>
  <c r="L99" i="8"/>
  <c r="AD98" i="8"/>
  <c r="S98" i="8"/>
  <c r="L98" i="8"/>
  <c r="AD97" i="8"/>
  <c r="S97" i="8"/>
  <c r="AA84" i="4"/>
  <c r="L97" i="8"/>
  <c r="AD96" i="8"/>
  <c r="L96" i="8"/>
  <c r="O96" i="8"/>
  <c r="AD95" i="8"/>
  <c r="S95" i="8"/>
  <c r="AA83" i="4"/>
  <c r="L95" i="8"/>
  <c r="AD94" i="8"/>
  <c r="L94" i="8"/>
  <c r="O94" i="8"/>
  <c r="AD93" i="8"/>
  <c r="L93" i="8"/>
  <c r="AD92" i="8"/>
  <c r="S92" i="8"/>
  <c r="L92" i="8"/>
  <c r="AD91" i="8"/>
  <c r="S91" i="8"/>
  <c r="AA25" i="4"/>
  <c r="L91" i="8"/>
  <c r="O91" i="8"/>
  <c r="AD90" i="8"/>
  <c r="L90" i="8"/>
  <c r="AD89" i="8"/>
  <c r="L89" i="8"/>
  <c r="AD88" i="8"/>
  <c r="L88" i="8"/>
  <c r="O88" i="8"/>
  <c r="AD87" i="8"/>
  <c r="S87" i="8"/>
  <c r="L87" i="8"/>
  <c r="AD86" i="8"/>
  <c r="O101" i="4"/>
  <c r="S86" i="8"/>
  <c r="L86" i="8"/>
  <c r="AD85" i="8"/>
  <c r="S85" i="8"/>
  <c r="L85" i="8"/>
  <c r="AD84" i="8"/>
  <c r="S84" i="8"/>
  <c r="AA127" i="4"/>
  <c r="L84" i="8"/>
  <c r="AD83" i="8"/>
  <c r="L83" i="8"/>
  <c r="AD82" i="8"/>
  <c r="S82" i="8"/>
  <c r="L82" i="8"/>
  <c r="O82" i="8"/>
  <c r="AD81" i="8"/>
  <c r="L81" i="8"/>
  <c r="AD80" i="8"/>
  <c r="L80" i="8"/>
  <c r="AD79" i="8"/>
  <c r="S79" i="8"/>
  <c r="AA29" i="4"/>
  <c r="L79" i="8"/>
  <c r="AD78" i="8"/>
  <c r="S78" i="8"/>
  <c r="AA28" i="4"/>
  <c r="L78" i="8"/>
  <c r="O78" i="8"/>
  <c r="AD77" i="8"/>
  <c r="O135" i="4"/>
  <c r="S77" i="8"/>
  <c r="L77" i="8"/>
  <c r="AD76" i="8"/>
  <c r="S76" i="8"/>
  <c r="AA88" i="4"/>
  <c r="L76" i="8"/>
  <c r="O76" i="8"/>
  <c r="AD75" i="8"/>
  <c r="L75" i="8"/>
  <c r="AD74" i="8"/>
  <c r="S74" i="8"/>
  <c r="AA159" i="4"/>
  <c r="L74" i="8"/>
  <c r="AD73" i="8"/>
  <c r="S73" i="8"/>
  <c r="L73" i="8"/>
  <c r="AD72" i="8"/>
  <c r="S72" i="8"/>
  <c r="AA178" i="4"/>
  <c r="L72" i="8"/>
  <c r="O72" i="8"/>
  <c r="AD71" i="8"/>
  <c r="L71" i="8"/>
  <c r="AD70" i="8"/>
  <c r="S70" i="8"/>
  <c r="L70" i="8"/>
  <c r="O70" i="8"/>
  <c r="AD69" i="8"/>
  <c r="L69" i="8"/>
  <c r="AD68" i="8"/>
  <c r="L68" i="8"/>
  <c r="AD67" i="8"/>
  <c r="S67" i="8"/>
  <c r="AA114" i="4"/>
  <c r="L67" i="8"/>
  <c r="AD66" i="8"/>
  <c r="L66" i="8"/>
  <c r="O66" i="8"/>
  <c r="AD65" i="8"/>
  <c r="L65" i="8"/>
  <c r="AD64" i="8"/>
  <c r="S64" i="8"/>
  <c r="AA120" i="4"/>
  <c r="L64" i="8"/>
  <c r="O64" i="8"/>
  <c r="AD63" i="8"/>
  <c r="L63" i="8"/>
  <c r="AD62" i="8"/>
  <c r="S62" i="8"/>
  <c r="AA106" i="4"/>
  <c r="L62" i="8"/>
  <c r="O62" i="8"/>
  <c r="AD61" i="8"/>
  <c r="S61" i="8"/>
  <c r="AA138" i="4"/>
  <c r="L61" i="8"/>
  <c r="AD60" i="8"/>
  <c r="S60" i="8"/>
  <c r="AA146" i="4"/>
  <c r="L60" i="8"/>
  <c r="O60" i="8"/>
  <c r="AD59" i="8"/>
  <c r="S59" i="8"/>
  <c r="AA145" i="4"/>
  <c r="L59" i="8"/>
  <c r="AD58" i="8"/>
  <c r="S58" i="8"/>
  <c r="AA154" i="4"/>
  <c r="L58" i="8"/>
  <c r="O58" i="8"/>
  <c r="AD57" i="8"/>
  <c r="S57" i="8"/>
  <c r="AA153" i="4"/>
  <c r="L57" i="8"/>
  <c r="AD56" i="8"/>
  <c r="L56" i="8"/>
  <c r="AD55" i="8"/>
  <c r="S55" i="8"/>
  <c r="AA15" i="4"/>
  <c r="L55" i="8"/>
  <c r="O55" i="8"/>
  <c r="AD54" i="8"/>
  <c r="L54" i="8"/>
  <c r="AD53" i="8"/>
  <c r="S53" i="8"/>
  <c r="AA140" i="4"/>
  <c r="L53" i="8"/>
  <c r="AD52" i="8"/>
  <c r="S52" i="8"/>
  <c r="L52" i="8"/>
  <c r="AD51" i="8"/>
  <c r="S51" i="8"/>
  <c r="AA55" i="4"/>
  <c r="L51" i="8"/>
  <c r="AD50" i="8"/>
  <c r="O63" i="4"/>
  <c r="S50" i="8"/>
  <c r="AA63" i="4"/>
  <c r="L50" i="8"/>
  <c r="AD49" i="8"/>
  <c r="O52" i="4"/>
  <c r="S49" i="8"/>
  <c r="T49" i="8"/>
  <c r="L49" i="8"/>
  <c r="AD48" i="8"/>
  <c r="S48" i="8"/>
  <c r="L48" i="8"/>
  <c r="O48" i="8"/>
  <c r="AD47" i="8"/>
  <c r="S47" i="8"/>
  <c r="AA53" i="4"/>
  <c r="L47" i="8"/>
  <c r="AD46" i="8"/>
  <c r="S46" i="8"/>
  <c r="L46" i="8"/>
  <c r="O46" i="8"/>
  <c r="AD45" i="8"/>
  <c r="S45" i="8"/>
  <c r="AA48" i="4"/>
  <c r="AD44" i="8"/>
  <c r="S44" i="8"/>
  <c r="T44" i="8"/>
  <c r="L44" i="8"/>
  <c r="AD43" i="8"/>
  <c r="S43" i="8"/>
  <c r="AA71" i="4"/>
  <c r="L43" i="8"/>
  <c r="AD42" i="8"/>
  <c r="L42" i="8"/>
  <c r="O42" i="8"/>
  <c r="AD41" i="8"/>
  <c r="O64" i="4"/>
  <c r="S41" i="8"/>
  <c r="L41" i="8"/>
  <c r="AD40" i="8"/>
  <c r="S40" i="8"/>
  <c r="AA7" i="4"/>
  <c r="L40" i="8"/>
  <c r="O40" i="8"/>
  <c r="AD39" i="8"/>
  <c r="S39" i="8"/>
  <c r="AA157" i="4"/>
  <c r="AD38" i="8"/>
  <c r="L38" i="8"/>
  <c r="AD37" i="8"/>
  <c r="L37" i="8"/>
  <c r="AD36" i="8"/>
  <c r="L36" i="8"/>
  <c r="AD35" i="8"/>
  <c r="S35" i="8"/>
  <c r="AA6" i="4"/>
  <c r="L35" i="8"/>
  <c r="AD34" i="8"/>
  <c r="O143" i="4"/>
  <c r="S34" i="8"/>
  <c r="AA143" i="4"/>
  <c r="L34" i="8"/>
  <c r="O34" i="8"/>
  <c r="AD33" i="8"/>
  <c r="S33" i="8"/>
  <c r="T33" i="8"/>
  <c r="L33" i="8"/>
  <c r="AD32" i="8"/>
  <c r="O18" i="4"/>
  <c r="S32" i="8"/>
  <c r="L32" i="8"/>
  <c r="AD31" i="8"/>
  <c r="O105" i="4"/>
  <c r="S31" i="8"/>
  <c r="AA105" i="4"/>
  <c r="L31" i="8"/>
  <c r="AD30" i="8"/>
  <c r="S30" i="8"/>
  <c r="AA124" i="4"/>
  <c r="L30" i="8"/>
  <c r="O30" i="8"/>
  <c r="AD29" i="8"/>
  <c r="L29" i="8"/>
  <c r="AD28" i="8"/>
  <c r="S28" i="8"/>
  <c r="AA9" i="4"/>
  <c r="L28" i="8"/>
  <c r="O28" i="8"/>
  <c r="AD27" i="8"/>
  <c r="L27" i="8"/>
  <c r="AD26" i="8"/>
  <c r="O67" i="4"/>
  <c r="L26" i="8"/>
  <c r="AD25" i="8"/>
  <c r="L25" i="8"/>
  <c r="AD24" i="8"/>
  <c r="S24" i="8"/>
  <c r="AA65" i="4"/>
  <c r="L24" i="8"/>
  <c r="O24" i="8"/>
  <c r="AD23" i="8"/>
  <c r="O139" i="4"/>
  <c r="S23" i="8"/>
  <c r="AA139" i="4"/>
  <c r="L23" i="8"/>
  <c r="AD22" i="8"/>
  <c r="O68" i="4"/>
  <c r="S22" i="8"/>
  <c r="AA68" i="4"/>
  <c r="L22" i="8"/>
  <c r="AD21" i="8"/>
  <c r="S21" i="8"/>
  <c r="AA35" i="4"/>
  <c r="L21" i="8"/>
  <c r="AD20" i="8"/>
  <c r="S20" i="8"/>
  <c r="L20" i="8"/>
  <c r="AD19" i="8"/>
  <c r="S19" i="8"/>
  <c r="AA182" i="4"/>
  <c r="L19" i="8"/>
  <c r="AD18" i="8"/>
  <c r="O59" i="4"/>
  <c r="S18" i="8"/>
  <c r="AA59" i="4"/>
  <c r="L18" i="8"/>
  <c r="O18" i="8"/>
  <c r="AD17" i="8"/>
  <c r="L17" i="8"/>
  <c r="AD16" i="8"/>
  <c r="S16" i="8"/>
  <c r="L16" i="8"/>
  <c r="AD15" i="8"/>
  <c r="O137" i="4"/>
  <c r="S15" i="8"/>
  <c r="AA137" i="4"/>
  <c r="L15" i="8"/>
  <c r="AD14" i="8"/>
  <c r="L14" i="8"/>
  <c r="AD12" i="8"/>
  <c r="S12" i="8"/>
  <c r="AA45" i="4"/>
  <c r="L12" i="8"/>
  <c r="AD11" i="8"/>
  <c r="S11" i="8"/>
  <c r="AA89" i="4"/>
  <c r="L11" i="8"/>
  <c r="O11" i="8"/>
  <c r="AD10" i="8"/>
  <c r="L10" i="8"/>
  <c r="AD9" i="8"/>
  <c r="S9" i="8"/>
  <c r="AA152" i="4"/>
  <c r="L9" i="8"/>
  <c r="AD8" i="8"/>
  <c r="L8" i="8"/>
  <c r="O8" i="8"/>
  <c r="AD7" i="8"/>
  <c r="L7" i="8"/>
  <c r="AD6" i="8"/>
  <c r="S6" i="8"/>
  <c r="AA56" i="4"/>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AQ69" i="4"/>
  <c r="AQ57" i="4"/>
  <c r="AQ97" i="4"/>
  <c r="AQ118" i="4"/>
  <c r="AQ162" i="4"/>
  <c r="AQ191" i="4"/>
  <c r="AQ51" i="4"/>
  <c r="AQ50" i="4"/>
  <c r="AQ158" i="4"/>
  <c r="AQ128" i="4"/>
  <c r="AQ125" i="4"/>
  <c r="AQ126" i="4"/>
  <c r="AQ168" i="4"/>
  <c r="AQ160" i="4"/>
  <c r="AQ187" i="4"/>
  <c r="AQ177" i="4"/>
  <c r="AQ78" i="4"/>
  <c r="AQ29" i="4"/>
  <c r="AQ163" i="4"/>
  <c r="O157" i="4"/>
  <c r="O138" i="4"/>
  <c r="O178" i="4"/>
  <c r="O133" i="4"/>
  <c r="O72" i="4"/>
  <c r="O12" i="4"/>
  <c r="O92" i="4"/>
  <c r="O45" i="4"/>
  <c r="O70" i="4"/>
  <c r="O154" i="4"/>
  <c r="AA36" i="4"/>
  <c r="O180" i="4"/>
  <c r="O104" i="4"/>
  <c r="O8" i="4"/>
  <c r="O182" i="4"/>
  <c r="O112" i="4"/>
  <c r="AA96" i="4"/>
  <c r="O148" i="4"/>
  <c r="AA101" i="4"/>
  <c r="O47" i="4"/>
  <c r="AA147" i="4"/>
  <c r="O42" i="4"/>
  <c r="O132" i="4"/>
  <c r="O123" i="4"/>
  <c r="AA130" i="4"/>
  <c r="O69" i="4"/>
  <c r="O38" i="4"/>
  <c r="AA44" i="4"/>
  <c r="O150" i="4"/>
  <c r="O89" i="4"/>
  <c r="O35" i="4"/>
  <c r="O124" i="4"/>
  <c r="O71" i="4"/>
  <c r="O48" i="4"/>
  <c r="O53" i="4"/>
  <c r="O153" i="4"/>
  <c r="O146" i="4"/>
  <c r="O116" i="4"/>
  <c r="O114" i="4"/>
  <c r="O29" i="4"/>
  <c r="O128" i="4"/>
  <c r="O100" i="4"/>
  <c r="O25" i="4"/>
  <c r="O171" i="4"/>
  <c r="O84" i="4"/>
  <c r="O37" i="4"/>
  <c r="O144" i="4"/>
  <c r="O164" i="4"/>
  <c r="O165" i="4"/>
  <c r="O185" i="4"/>
  <c r="O82" i="4"/>
  <c r="O155" i="4"/>
  <c r="O30" i="4"/>
  <c r="O32" i="4"/>
  <c r="O173" i="4"/>
  <c r="AA20" i="4"/>
  <c r="O16" i="4"/>
  <c r="AQ24" i="4"/>
  <c r="AQ166" i="4"/>
  <c r="AQ172" i="4"/>
  <c r="AQ56" i="4"/>
  <c r="J96" i="13"/>
  <c r="O54" i="8"/>
  <c r="O51" i="8"/>
  <c r="AQ35" i="4"/>
  <c r="O36" i="8"/>
  <c r="O90" i="8"/>
  <c r="O84" i="8"/>
  <c r="O93" i="8"/>
  <c r="AQ149" i="4"/>
  <c r="AQ119" i="4"/>
  <c r="AQ116" i="4"/>
  <c r="AQ120" i="4"/>
  <c r="O139" i="8"/>
  <c r="AQ117" i="4"/>
  <c r="AQ159" i="4"/>
  <c r="AQ80" i="4"/>
  <c r="AQ178" i="4"/>
  <c r="AQ115" i="4"/>
  <c r="AQ127" i="4"/>
  <c r="AQ43" i="4"/>
  <c r="AQ6" i="4"/>
  <c r="AQ74" i="4"/>
  <c r="AQ167" i="4"/>
  <c r="AQ150" i="4"/>
  <c r="AQ144" i="4"/>
  <c r="AQ122" i="4"/>
  <c r="AQ152" i="4"/>
  <c r="AQ179" i="4"/>
  <c r="AQ11" i="4"/>
  <c r="T95" i="8"/>
  <c r="Y83" i="4"/>
  <c r="AQ186" i="4"/>
  <c r="AQ82" i="4"/>
  <c r="AQ38" i="4"/>
  <c r="AQ185" i="4"/>
  <c r="AQ184" i="4"/>
  <c r="AQ21" i="4"/>
  <c r="AQ145" i="4"/>
  <c r="AQ27" i="4"/>
  <c r="AQ155" i="4"/>
  <c r="AQ133" i="4"/>
  <c r="AQ111" i="4"/>
  <c r="AQ112" i="4"/>
  <c r="T6" i="8"/>
  <c r="U6" i="8"/>
  <c r="T116" i="8"/>
  <c r="U116" i="8"/>
  <c r="O188" i="4"/>
  <c r="O140" i="4"/>
  <c r="T129" i="8"/>
  <c r="Y156" i="4"/>
  <c r="O111" i="4"/>
  <c r="T74" i="8"/>
  <c r="AA131" i="4"/>
  <c r="O17" i="4"/>
  <c r="O27" i="4"/>
  <c r="O54" i="4"/>
  <c r="O120" i="4"/>
  <c r="O121" i="4"/>
  <c r="O88" i="4"/>
  <c r="O129" i="4"/>
  <c r="O14" i="4"/>
  <c r="AA165" i="4"/>
  <c r="AQ121" i="4"/>
  <c r="AQ171" i="4"/>
  <c r="N48" i="4"/>
  <c r="O99" i="8"/>
  <c r="O111" i="8"/>
  <c r="T185" i="8"/>
  <c r="U185" i="8"/>
  <c r="T18" i="8"/>
  <c r="Y59" i="4"/>
  <c r="N195" i="8"/>
  <c r="T70" i="8"/>
  <c r="U70" i="8"/>
  <c r="O81" i="8"/>
  <c r="O15" i="8"/>
  <c r="O57" i="8"/>
  <c r="O63" i="8"/>
  <c r="O21" i="8"/>
  <c r="O137" i="8"/>
  <c r="T82" i="8"/>
  <c r="Y129" i="4"/>
  <c r="Q195" i="8"/>
  <c r="O47" i="8"/>
  <c r="O65" i="8"/>
  <c r="O105" i="8"/>
  <c r="O131" i="8"/>
  <c r="O150" i="8"/>
  <c r="O155" i="8"/>
  <c r="O192" i="8"/>
  <c r="O194" i="8"/>
  <c r="O130" i="8"/>
  <c r="O152" i="8"/>
  <c r="O157" i="8"/>
  <c r="O160" i="8"/>
  <c r="O163" i="8"/>
  <c r="O184" i="8"/>
  <c r="O189" i="8"/>
  <c r="O191" i="8"/>
  <c r="O115" i="8"/>
  <c r="O67" i="8"/>
  <c r="O31" i="8"/>
  <c r="O119" i="8"/>
  <c r="O126" i="8"/>
  <c r="O134" i="8"/>
  <c r="O142" i="8"/>
  <c r="O145" i="8"/>
  <c r="O153" i="8"/>
  <c r="O178" i="8"/>
  <c r="O185" i="8"/>
  <c r="O37" i="8"/>
  <c r="O25" i="8"/>
  <c r="T85" i="8"/>
  <c r="T146" i="8"/>
  <c r="U146" i="8"/>
  <c r="O52" i="8"/>
  <c r="T20" i="8"/>
  <c r="O49" i="8"/>
  <c r="O61" i="8"/>
  <c r="O73" i="8"/>
  <c r="T107" i="8"/>
  <c r="U107" i="8"/>
  <c r="O125" i="8"/>
  <c r="O128" i="8"/>
  <c r="O133" i="8"/>
  <c r="O136" i="8"/>
  <c r="O138" i="8"/>
  <c r="O141" i="8"/>
  <c r="O144" i="8"/>
  <c r="O147" i="8"/>
  <c r="O166" i="8"/>
  <c r="O171" i="8"/>
  <c r="O174" i="8"/>
  <c r="O177" i="8"/>
  <c r="O182" i="8"/>
  <c r="O187" i="8"/>
  <c r="O104" i="8"/>
  <c r="O74" i="8"/>
  <c r="O68" i="8"/>
  <c r="O50" i="8"/>
  <c r="O26" i="8"/>
  <c r="O20" i="8"/>
  <c r="O110" i="8"/>
  <c r="O44" i="8"/>
  <c r="O80" i="8"/>
  <c r="O85" i="8"/>
  <c r="T108" i="8"/>
  <c r="Y165" i="4"/>
  <c r="T181" i="8"/>
  <c r="U181" i="8"/>
  <c r="O98" i="8"/>
  <c r="O32" i="8"/>
  <c r="O38" i="8"/>
  <c r="O124" i="8"/>
  <c r="O127" i="8"/>
  <c r="O129" i="8"/>
  <c r="O132" i="8"/>
  <c r="O135" i="8"/>
  <c r="O140" i="8"/>
  <c r="O143" i="8"/>
  <c r="O146" i="8"/>
  <c r="O149" i="8"/>
  <c r="O151" i="8"/>
  <c r="O156" i="8"/>
  <c r="T157" i="8"/>
  <c r="U157" i="8"/>
  <c r="O159" i="8"/>
  <c r="O162" i="8"/>
  <c r="O165" i="8"/>
  <c r="O168" i="8"/>
  <c r="O170" i="8"/>
  <c r="O173" i="8"/>
  <c r="O179" i="8"/>
  <c r="O181" i="8"/>
  <c r="O183" i="8"/>
  <c r="O186" i="8"/>
  <c r="O188" i="8"/>
  <c r="O190" i="8"/>
  <c r="O193" i="8"/>
  <c r="O113" i="8"/>
  <c r="O83" i="8"/>
  <c r="O77" i="8"/>
  <c r="O71" i="8"/>
  <c r="O59" i="8"/>
  <c r="O41" i="8"/>
  <c r="O23" i="8"/>
  <c r="O17" i="8"/>
  <c r="O13" i="8"/>
  <c r="O7" i="8"/>
  <c r="O97" i="8"/>
  <c r="T121" i="8"/>
  <c r="Y190" i="4"/>
  <c r="O118" i="8"/>
  <c r="O106" i="8"/>
  <c r="O100" i="8"/>
  <c r="O16" i="8"/>
  <c r="O9" i="8"/>
  <c r="T111" i="8"/>
  <c r="U111" i="8"/>
  <c r="T190" i="8"/>
  <c r="U190" i="8"/>
  <c r="O12" i="8"/>
  <c r="O19" i="8"/>
  <c r="O56" i="8"/>
  <c r="O109" i="8"/>
  <c r="O43" i="8"/>
  <c r="T77" i="8"/>
  <c r="U77" i="8"/>
  <c r="O79" i="8"/>
  <c r="O86" i="8"/>
  <c r="O103" i="8"/>
  <c r="O123" i="8"/>
  <c r="O158" i="8"/>
  <c r="O161" i="8"/>
  <c r="O164" i="8"/>
  <c r="O169" i="8"/>
  <c r="O117" i="8"/>
  <c r="O87" i="8"/>
  <c r="O75" i="8"/>
  <c r="O69" i="8"/>
  <c r="O33" i="8"/>
  <c r="O27" i="8"/>
  <c r="T128" i="8"/>
  <c r="U128" i="8"/>
  <c r="T169" i="8"/>
  <c r="U169" i="8"/>
  <c r="AQ12" i="4"/>
  <c r="O35" i="8"/>
  <c r="O53" i="8"/>
  <c r="O107" i="8"/>
  <c r="O95" i="8"/>
  <c r="O101" i="8"/>
  <c r="M195" i="8"/>
  <c r="T109" i="8"/>
  <c r="U109" i="8"/>
  <c r="O29" i="8"/>
  <c r="O89" i="8"/>
  <c r="T145" i="8"/>
  <c r="T152" i="8"/>
  <c r="Y107" i="4"/>
  <c r="T168" i="8"/>
  <c r="U168" i="8"/>
  <c r="T135" i="8"/>
  <c r="U135" i="8"/>
  <c r="O6" i="8"/>
  <c r="O14" i="8"/>
  <c r="T98" i="8"/>
  <c r="U98" i="8"/>
  <c r="T123" i="8"/>
  <c r="Y151" i="4"/>
  <c r="T150" i="8"/>
  <c r="Y147" i="4"/>
  <c r="T26" i="8"/>
  <c r="U26" i="8"/>
  <c r="T136" i="8"/>
  <c r="T176" i="8"/>
  <c r="O10" i="8"/>
  <c r="T32" i="8"/>
  <c r="Y18" i="4"/>
  <c r="T48" i="8"/>
  <c r="U48" i="8"/>
  <c r="L195" i="8"/>
  <c r="O22" i="8"/>
  <c r="T73" i="8"/>
  <c r="U73" i="8"/>
  <c r="O92" i="8"/>
  <c r="T125" i="8"/>
  <c r="U125" i="8"/>
  <c r="T133" i="8"/>
  <c r="Y131" i="4"/>
  <c r="T171" i="8"/>
  <c r="U171" i="8"/>
  <c r="T62" i="8"/>
  <c r="T45" i="8"/>
  <c r="U45" i="8"/>
  <c r="AA135" i="4"/>
  <c r="T122" i="8"/>
  <c r="U122" i="8"/>
  <c r="AA179" i="4"/>
  <c r="AA117" i="4"/>
  <c r="T68" i="8"/>
  <c r="AA170" i="4"/>
  <c r="T38" i="8"/>
  <c r="Y170" i="4"/>
  <c r="AA60" i="4"/>
  <c r="T17" i="8"/>
  <c r="Y60" i="4"/>
  <c r="T184" i="8"/>
  <c r="U184" i="8"/>
  <c r="AA99" i="4"/>
  <c r="AA119" i="4"/>
  <c r="T63" i="8"/>
  <c r="T188" i="8"/>
  <c r="AA75" i="4"/>
  <c r="AA176" i="4"/>
  <c r="T12" i="8"/>
  <c r="U12" i="8"/>
  <c r="T103" i="8"/>
  <c r="Y161" i="4"/>
  <c r="AA93" i="4"/>
  <c r="T143" i="8"/>
  <c r="Y34" i="4"/>
  <c r="T102" i="8"/>
  <c r="Y144" i="4"/>
  <c r="AA18" i="4"/>
  <c r="AA151" i="4"/>
  <c r="T148" i="8"/>
  <c r="Y47" i="4"/>
  <c r="D96" i="13"/>
  <c r="T114" i="8"/>
  <c r="Y191" i="4"/>
  <c r="T156" i="8"/>
  <c r="AA111" i="4"/>
  <c r="P164" i="4"/>
  <c r="T192" i="8"/>
  <c r="AA58" i="4"/>
  <c r="AA132" i="4"/>
  <c r="T132" i="8"/>
  <c r="U132" i="8"/>
  <c r="AA5" i="4"/>
  <c r="T27" i="8"/>
  <c r="Y5" i="4"/>
  <c r="Y172" i="4"/>
  <c r="T164" i="8"/>
  <c r="U164" i="8"/>
  <c r="AA184" i="4"/>
  <c r="Y49" i="4"/>
  <c r="T64" i="8"/>
  <c r="Y120" i="4"/>
  <c r="T159" i="8"/>
  <c r="Y181" i="4"/>
  <c r="T147" i="8"/>
  <c r="Y73" i="4"/>
  <c r="T84" i="8"/>
  <c r="T22" i="8"/>
  <c r="U22" i="8"/>
  <c r="AA121" i="4"/>
  <c r="T179" i="8"/>
  <c r="U179" i="8"/>
  <c r="AA151" i="8"/>
  <c r="N108" i="4"/>
  <c r="AA143" i="8"/>
  <c r="N34" i="4"/>
  <c r="AA49" i="4"/>
  <c r="T59" i="8"/>
  <c r="Y145" i="4"/>
  <c r="AA6" i="8"/>
  <c r="N56" i="4"/>
  <c r="AA155" i="8"/>
  <c r="N96" i="4"/>
  <c r="AA150" i="8"/>
  <c r="N147" i="4"/>
  <c r="AA146" i="8"/>
  <c r="N20" i="4"/>
  <c r="AA134" i="8"/>
  <c r="N133" i="4"/>
  <c r="AA130" i="8"/>
  <c r="N27" i="4"/>
  <c r="C96" i="13"/>
  <c r="AA118" i="4"/>
  <c r="T138" i="8"/>
  <c r="U138" i="8"/>
  <c r="T7" i="8"/>
  <c r="U7" i="8"/>
  <c r="AA172" i="4"/>
  <c r="T9" i="8"/>
  <c r="Y152" i="4"/>
  <c r="T30" i="8"/>
  <c r="U30" i="8"/>
  <c r="T35" i="8"/>
  <c r="Y6" i="4"/>
  <c r="AA141" i="8"/>
  <c r="N112" i="4"/>
  <c r="U145" i="8"/>
  <c r="Y22" i="4"/>
  <c r="Y111" i="4"/>
  <c r="T69" i="8"/>
  <c r="Y122" i="4"/>
  <c r="AA177" i="4"/>
  <c r="T142" i="8"/>
  <c r="U142" i="8"/>
  <c r="T126" i="8"/>
  <c r="U126" i="8"/>
  <c r="T25" i="8"/>
  <c r="U25" i="8"/>
  <c r="AA107" i="4"/>
  <c r="O95" i="4"/>
  <c r="AA129" i="4"/>
  <c r="T139" i="8"/>
  <c r="U139" i="8"/>
  <c r="O174" i="4"/>
  <c r="P180" i="4"/>
  <c r="AA174" i="8"/>
  <c r="N94" i="4"/>
  <c r="AA106" i="8"/>
  <c r="N163" i="4"/>
  <c r="AA87" i="8"/>
  <c r="N169" i="4"/>
  <c r="AA84" i="8"/>
  <c r="N127" i="4"/>
  <c r="AA78" i="8"/>
  <c r="N28" i="4"/>
  <c r="AA74" i="8"/>
  <c r="N159" i="4"/>
  <c r="AA62" i="8"/>
  <c r="N106" i="4"/>
  <c r="AA48" i="8"/>
  <c r="N49" i="4"/>
  <c r="AA44" i="8"/>
  <c r="N78" i="4"/>
  <c r="AA40" i="8"/>
  <c r="N7" i="4"/>
  <c r="AA33" i="8"/>
  <c r="N177" i="4"/>
  <c r="AA28" i="8"/>
  <c r="N9" i="4"/>
  <c r="AA20" i="8"/>
  <c r="N184" i="4"/>
  <c r="AA16" i="8"/>
  <c r="N4" i="4"/>
  <c r="T57" i="8"/>
  <c r="U57" i="8"/>
  <c r="AA78" i="4"/>
  <c r="T42" i="8"/>
  <c r="T51" i="8"/>
  <c r="Y55" i="4"/>
  <c r="T120" i="8"/>
  <c r="Y51" i="4"/>
  <c r="T118" i="8"/>
  <c r="Y31" i="4"/>
  <c r="T78" i="8"/>
  <c r="O147" i="4"/>
  <c r="O96" i="4"/>
  <c r="AA183" i="4"/>
  <c r="P161" i="4"/>
  <c r="P34" i="4"/>
  <c r="AA161" i="8"/>
  <c r="N74" i="4"/>
  <c r="AA144" i="8"/>
  <c r="N21" i="4"/>
  <c r="AA139" i="8"/>
  <c r="N173" i="4"/>
  <c r="AA117" i="8"/>
  <c r="N30" i="4"/>
  <c r="AA23" i="8"/>
  <c r="N139" i="4"/>
  <c r="AA19" i="8"/>
  <c r="N182" i="4"/>
  <c r="AA15" i="8"/>
  <c r="N137" i="4"/>
  <c r="Y96" i="4"/>
  <c r="T72" i="8"/>
  <c r="AA22" i="4"/>
  <c r="AA164" i="4"/>
  <c r="P42" i="4"/>
  <c r="AA191" i="8"/>
  <c r="N57" i="4"/>
  <c r="AA166" i="8"/>
  <c r="N136" i="4"/>
  <c r="AA157" i="8"/>
  <c r="N130" i="4"/>
  <c r="AA133" i="8"/>
  <c r="N131" i="4"/>
  <c r="AA119" i="8"/>
  <c r="N32" i="4"/>
  <c r="T43" i="8"/>
  <c r="T55" i="8"/>
  <c r="U55" i="8"/>
  <c r="T28" i="8"/>
  <c r="U28" i="8"/>
  <c r="O20" i="4"/>
  <c r="O56" i="4"/>
  <c r="AA131" i="8"/>
  <c r="N142" i="4"/>
  <c r="U33" i="8"/>
  <c r="Y177" i="4"/>
  <c r="Y118" i="4"/>
  <c r="T160" i="8"/>
  <c r="T151" i="8"/>
  <c r="AA188" i="4"/>
  <c r="AA61" i="4"/>
  <c r="AA185" i="8"/>
  <c r="N61" i="4"/>
  <c r="AA177" i="8"/>
  <c r="N41" i="4"/>
  <c r="AA135" i="8"/>
  <c r="N134" i="4"/>
  <c r="AA125" i="8"/>
  <c r="N36" i="4"/>
  <c r="AA118" i="8"/>
  <c r="N31" i="4"/>
  <c r="AA12" i="8"/>
  <c r="N45" i="4"/>
  <c r="U113" i="8"/>
  <c r="T50" i="8"/>
  <c r="Y63" i="4"/>
  <c r="AA95" i="4"/>
  <c r="T97" i="8"/>
  <c r="U97" i="8"/>
  <c r="T117" i="8"/>
  <c r="AA11" i="8"/>
  <c r="N89" i="4"/>
  <c r="T106" i="8"/>
  <c r="U106" i="8"/>
  <c r="T115" i="8"/>
  <c r="Y85" i="4"/>
  <c r="T163" i="8"/>
  <c r="T21" i="8"/>
  <c r="U21" i="8"/>
  <c r="T19" i="8"/>
  <c r="U19" i="8"/>
  <c r="AA190" i="8"/>
  <c r="N26" i="4"/>
  <c r="AA172" i="8"/>
  <c r="N39" i="4"/>
  <c r="AA160" i="8"/>
  <c r="N113" i="4"/>
  <c r="AA148" i="8"/>
  <c r="N47" i="4"/>
  <c r="AA115" i="8"/>
  <c r="N85" i="4"/>
  <c r="AA99" i="8"/>
  <c r="N19" i="4"/>
  <c r="T193" i="8"/>
  <c r="O160" i="4"/>
  <c r="AA186" i="8"/>
  <c r="N175" i="4"/>
  <c r="AA171" i="8"/>
  <c r="N148" i="4"/>
  <c r="AA162" i="8"/>
  <c r="N16" i="4"/>
  <c r="AA147" i="8"/>
  <c r="N73" i="4"/>
  <c r="AA126" i="8"/>
  <c r="N97" i="4"/>
  <c r="AA113" i="8"/>
  <c r="N82" i="4"/>
  <c r="AA101" i="8"/>
  <c r="N37" i="4"/>
  <c r="T79" i="8"/>
  <c r="Y29" i="4"/>
  <c r="T67" i="8"/>
  <c r="Y114" i="4"/>
  <c r="AA148" i="4"/>
  <c r="AA140" i="8"/>
  <c r="N33" i="4"/>
  <c r="AA34" i="8"/>
  <c r="N143" i="4"/>
  <c r="AA30" i="8"/>
  <c r="N124" i="4"/>
  <c r="AA18" i="8"/>
  <c r="N59" i="4"/>
  <c r="Y78" i="4"/>
  <c r="U44" i="8"/>
  <c r="Y74" i="4"/>
  <c r="U161" i="8"/>
  <c r="AA43" i="4"/>
  <c r="T37" i="8"/>
  <c r="U37" i="8"/>
  <c r="T104" i="8"/>
  <c r="AA91" i="4"/>
  <c r="AA160" i="4"/>
  <c r="T93" i="8"/>
  <c r="Y160" i="4"/>
  <c r="AA98" i="4"/>
  <c r="T127" i="8"/>
  <c r="AA116" i="4"/>
  <c r="T66" i="8"/>
  <c r="AA166" i="4"/>
  <c r="T36" i="8"/>
  <c r="Y166" i="4"/>
  <c r="T137" i="8"/>
  <c r="AA186" i="4"/>
  <c r="AA192" i="4"/>
  <c r="T13" i="8"/>
  <c r="T183" i="8"/>
  <c r="U183" i="8"/>
  <c r="T81" i="8"/>
  <c r="U81" i="8"/>
  <c r="T83" i="8"/>
  <c r="Y126" i="4"/>
  <c r="T167" i="8"/>
  <c r="T175" i="8"/>
  <c r="Y92" i="4"/>
  <c r="AA100" i="4"/>
  <c r="P78" i="4"/>
  <c r="P45" i="4"/>
  <c r="P37" i="4"/>
  <c r="P7" i="4"/>
  <c r="U191" i="8"/>
  <c r="T54" i="8"/>
  <c r="U54" i="8"/>
  <c r="T96" i="8"/>
  <c r="U96" i="8"/>
  <c r="AA190" i="4"/>
  <c r="AA182" i="8"/>
  <c r="N189" i="4"/>
  <c r="AA72" i="8"/>
  <c r="N178" i="4"/>
  <c r="P131" i="4"/>
  <c r="P28" i="4"/>
  <c r="P19" i="4"/>
  <c r="U18" i="8"/>
  <c r="T172" i="8"/>
  <c r="Y39" i="4"/>
  <c r="T178" i="8"/>
  <c r="Y42" i="4"/>
  <c r="O21" i="4"/>
  <c r="O74" i="4"/>
  <c r="P4" i="4"/>
  <c r="P169" i="4"/>
  <c r="P159" i="4"/>
  <c r="AA173" i="8"/>
  <c r="N38" i="4"/>
  <c r="AA153" i="8"/>
  <c r="N111" i="4"/>
  <c r="AA138" i="8"/>
  <c r="N187" i="4"/>
  <c r="AA116" i="8"/>
  <c r="N155" i="4"/>
  <c r="T58" i="8"/>
  <c r="U58" i="8"/>
  <c r="AA74" i="4"/>
  <c r="T56" i="8"/>
  <c r="U56" i="8"/>
  <c r="AA67" i="4"/>
  <c r="T119" i="8"/>
  <c r="Y32" i="4"/>
  <c r="T60" i="8"/>
  <c r="T31" i="8"/>
  <c r="U31" i="8"/>
  <c r="T34" i="8"/>
  <c r="P177" i="4"/>
  <c r="P165" i="4"/>
  <c r="AA194" i="8"/>
  <c r="N8" i="4"/>
  <c r="AA169" i="8"/>
  <c r="N12" i="4"/>
  <c r="AA110" i="8"/>
  <c r="N185" i="4"/>
  <c r="AA95" i="8"/>
  <c r="N83" i="4"/>
  <c r="E96" i="13"/>
  <c r="O175" i="4"/>
  <c r="O97" i="4"/>
  <c r="P127" i="4"/>
  <c r="P106" i="4"/>
  <c r="P49" i="4"/>
  <c r="P39" i="4"/>
  <c r="AA179" i="8"/>
  <c r="N40" i="4"/>
  <c r="AA159" i="8"/>
  <c r="N181" i="4"/>
  <c r="AA142" i="8"/>
  <c r="N23" i="4"/>
  <c r="AA122" i="8"/>
  <c r="N90" i="4"/>
  <c r="AA123" i="4"/>
  <c r="T149" i="8"/>
  <c r="Y123" i="4"/>
  <c r="AA62" i="4"/>
  <c r="T90" i="8"/>
  <c r="T170" i="8"/>
  <c r="AA10" i="4"/>
  <c r="T182" i="8"/>
  <c r="Y189" i="4"/>
  <c r="AA189" i="4"/>
  <c r="Y104" i="4"/>
  <c r="Y155" i="4"/>
  <c r="U95" i="8"/>
  <c r="AA192" i="8"/>
  <c r="N58" i="4"/>
  <c r="AA121" i="8"/>
  <c r="N190" i="4"/>
  <c r="AA46" i="4"/>
  <c r="T180" i="8"/>
  <c r="U180" i="8"/>
  <c r="T16" i="8"/>
  <c r="AA4" i="4"/>
  <c r="V195" i="8"/>
  <c r="Y195" i="8"/>
  <c r="O149" i="4"/>
  <c r="AA76" i="4"/>
  <c r="T189" i="8"/>
  <c r="T154" i="8"/>
  <c r="AA109" i="4"/>
  <c r="AA14" i="4"/>
  <c r="T94" i="8"/>
  <c r="AA168" i="4"/>
  <c r="T88" i="8"/>
  <c r="AA158" i="4"/>
  <c r="T71" i="8"/>
  <c r="Y158" i="4"/>
  <c r="AA24" i="4"/>
  <c r="T29" i="8"/>
  <c r="AA11" i="4"/>
  <c r="T14" i="8"/>
  <c r="T194" i="8"/>
  <c r="U194" i="8"/>
  <c r="AA8" i="4"/>
  <c r="AA57" i="4"/>
  <c r="Y100" i="4"/>
  <c r="U85" i="8"/>
  <c r="U84" i="8"/>
  <c r="Y127" i="4"/>
  <c r="AA87" i="4"/>
  <c r="T10" i="8"/>
  <c r="AA64" i="4"/>
  <c r="T41" i="8"/>
  <c r="AA171" i="4"/>
  <c r="T92" i="8"/>
  <c r="AA94" i="4"/>
  <c r="T174" i="8"/>
  <c r="T177" i="8"/>
  <c r="U177" i="8"/>
  <c r="AA41" i="4"/>
  <c r="Y77" i="4"/>
  <c r="U187" i="8"/>
  <c r="AA141" i="4"/>
  <c r="U121" i="8"/>
  <c r="AA169" i="4"/>
  <c r="T87" i="8"/>
  <c r="T158" i="8"/>
  <c r="AA180" i="4"/>
  <c r="U114" i="8"/>
  <c r="AA54" i="4"/>
  <c r="T52" i="8"/>
  <c r="T80" i="8"/>
  <c r="U80" i="8"/>
  <c r="AA128" i="4"/>
  <c r="AA174" i="4"/>
  <c r="T100" i="8"/>
  <c r="T105" i="8"/>
  <c r="AA162" i="4"/>
  <c r="Y164" i="4"/>
  <c r="Y159" i="4"/>
  <c r="U74" i="8"/>
  <c r="U120" i="8"/>
  <c r="T130" i="8"/>
  <c r="Y184" i="4"/>
  <c r="U20" i="8"/>
  <c r="T46" i="8"/>
  <c r="AA50" i="4"/>
  <c r="AA80" i="4"/>
  <c r="T75" i="8"/>
  <c r="AA133" i="4"/>
  <c r="T134" i="8"/>
  <c r="AA98" i="8"/>
  <c r="N118" i="4"/>
  <c r="T124" i="8"/>
  <c r="U124" i="8"/>
  <c r="T24" i="8"/>
  <c r="Y65" i="4"/>
  <c r="T65" i="8"/>
  <c r="U65" i="8"/>
  <c r="T89" i="8"/>
  <c r="Y167" i="4"/>
  <c r="T23" i="8"/>
  <c r="U23" i="8"/>
  <c r="T86" i="8"/>
  <c r="U86" i="8"/>
  <c r="T99" i="8"/>
  <c r="U99" i="8"/>
  <c r="T140" i="8"/>
  <c r="Y33" i="4"/>
  <c r="P48" i="4"/>
  <c r="T173" i="8"/>
  <c r="AA189" i="8"/>
  <c r="N76" i="4"/>
  <c r="P146" i="4"/>
  <c r="P64" i="4"/>
  <c r="AA92" i="8"/>
  <c r="N171" i="4"/>
  <c r="AA86" i="8"/>
  <c r="N101" i="4"/>
  <c r="AA82" i="8"/>
  <c r="N129" i="4"/>
  <c r="AA70" i="8"/>
  <c r="N121" i="4"/>
  <c r="AA58" i="8"/>
  <c r="N154" i="4"/>
  <c r="AA50" i="8"/>
  <c r="N63" i="4"/>
  <c r="AA31" i="8"/>
  <c r="N105" i="4"/>
  <c r="T91" i="8"/>
  <c r="P54" i="4"/>
  <c r="P25" i="4"/>
  <c r="AA21" i="8"/>
  <c r="N35" i="4"/>
  <c r="T144" i="8"/>
  <c r="P153" i="4"/>
  <c r="P88" i="4"/>
  <c r="P59" i="4"/>
  <c r="P52" i="4"/>
  <c r="P29" i="4"/>
  <c r="AA170" i="8"/>
  <c r="N10" i="4"/>
  <c r="T162" i="8"/>
  <c r="P124" i="4"/>
  <c r="U49" i="8"/>
  <c r="Y52" i="4"/>
  <c r="T131" i="8"/>
  <c r="T166" i="8"/>
  <c r="U82" i="8"/>
  <c r="T186" i="8"/>
  <c r="T61" i="8"/>
  <c r="T53" i="8"/>
  <c r="Y130" i="4"/>
  <c r="Y105" i="4"/>
  <c r="U129" i="8"/>
  <c r="T39" i="8"/>
  <c r="Y12" i="4"/>
  <c r="Y56" i="4"/>
  <c r="T76" i="8"/>
  <c r="T110" i="8"/>
  <c r="Y102" i="4"/>
  <c r="T40" i="8"/>
  <c r="T8" i="8"/>
  <c r="Y176" i="4"/>
  <c r="T15" i="8"/>
  <c r="T101" i="8"/>
  <c r="AQ139" i="4"/>
  <c r="T47" i="8"/>
  <c r="T11" i="8"/>
  <c r="R195" i="8"/>
  <c r="Y112" i="4"/>
  <c r="S195" i="8"/>
  <c r="AA52" i="4"/>
  <c r="AA112" i="8"/>
  <c r="N172" i="4"/>
  <c r="AA124" i="8"/>
  <c r="N17" i="4"/>
  <c r="P17" i="4"/>
  <c r="AA104" i="8"/>
  <c r="N91" i="4"/>
  <c r="P91" i="4"/>
  <c r="AA66" i="8"/>
  <c r="N116" i="4"/>
  <c r="P116" i="4"/>
  <c r="P13" i="4"/>
  <c r="AA56" i="8"/>
  <c r="N13" i="4"/>
  <c r="AA36" i="8"/>
  <c r="N166" i="4"/>
  <c r="P67" i="4"/>
  <c r="AA26" i="8"/>
  <c r="N67" i="4"/>
  <c r="AA80" i="8"/>
  <c r="N128" i="4"/>
  <c r="P128" i="4"/>
  <c r="AA8" i="8"/>
  <c r="N150" i="4"/>
  <c r="P150" i="4"/>
  <c r="P166" i="4"/>
  <c r="P76" i="4"/>
  <c r="AA181" i="8"/>
  <c r="N44" i="4"/>
  <c r="AA165" i="8"/>
  <c r="N102" i="4"/>
  <c r="AA145" i="8"/>
  <c r="N22" i="4"/>
  <c r="AA156" i="8"/>
  <c r="N79" i="4"/>
  <c r="P79" i="4"/>
  <c r="AA102" i="8"/>
  <c r="N144" i="4"/>
  <c r="P144" i="4"/>
  <c r="AA90" i="8"/>
  <c r="N62" i="4"/>
  <c r="P62" i="4"/>
  <c r="AA63" i="8"/>
  <c r="N119" i="4"/>
  <c r="P119" i="4"/>
  <c r="AA184" i="8"/>
  <c r="N99" i="4"/>
  <c r="P99" i="4"/>
  <c r="AA35" i="8"/>
  <c r="N6" i="4"/>
  <c r="P6" i="4"/>
  <c r="AA24" i="8"/>
  <c r="N65" i="4"/>
  <c r="P65" i="4"/>
  <c r="AA81" i="8"/>
  <c r="N125" i="4"/>
  <c r="P125" i="4"/>
  <c r="AA7" i="8"/>
  <c r="P149" i="4"/>
  <c r="P80" i="4"/>
  <c r="AA75" i="8"/>
  <c r="N80" i="4"/>
  <c r="P190" i="4"/>
  <c r="AA163" i="8"/>
  <c r="N72" i="4"/>
  <c r="AA105" i="8"/>
  <c r="N162" i="4"/>
  <c r="AA85" i="8"/>
  <c r="N100" i="4"/>
  <c r="AA77" i="8"/>
  <c r="N135" i="4"/>
  <c r="AA67" i="8"/>
  <c r="N114" i="4"/>
  <c r="AA61" i="8"/>
  <c r="N138" i="4"/>
  <c r="AA53" i="8"/>
  <c r="N140" i="4"/>
  <c r="AA47" i="8"/>
  <c r="N53" i="4"/>
  <c r="AA43" i="8"/>
  <c r="N71" i="4"/>
  <c r="AA39" i="8"/>
  <c r="N157" i="4"/>
  <c r="AA168" i="8"/>
  <c r="N141" i="4"/>
  <c r="P141" i="4"/>
  <c r="AA154" i="8"/>
  <c r="N109" i="4"/>
  <c r="P109" i="4"/>
  <c r="AA73" i="8"/>
  <c r="N179" i="4"/>
  <c r="P179" i="4"/>
  <c r="AA64" i="8"/>
  <c r="N120" i="4"/>
  <c r="P120" i="4"/>
  <c r="AA46" i="8"/>
  <c r="N50" i="4"/>
  <c r="P50" i="4"/>
  <c r="AA32" i="8"/>
  <c r="N18" i="4"/>
  <c r="P18" i="4"/>
  <c r="AA22" i="8"/>
  <c r="N68" i="4"/>
  <c r="P68" i="4"/>
  <c r="P189" i="4"/>
  <c r="P118" i="4"/>
  <c r="AA193" i="8"/>
  <c r="N110" i="4"/>
  <c r="AA167" i="8"/>
  <c r="N69" i="4"/>
  <c r="AA149" i="8"/>
  <c r="N123" i="4"/>
  <c r="AA129" i="8"/>
  <c r="N156" i="4"/>
  <c r="AA180" i="8"/>
  <c r="N46" i="4"/>
  <c r="AA152" i="8"/>
  <c r="N107" i="4"/>
  <c r="P107" i="4"/>
  <c r="AA136" i="8"/>
  <c r="N183" i="4"/>
  <c r="AA120" i="8"/>
  <c r="N51" i="4"/>
  <c r="P51" i="4"/>
  <c r="AA96" i="8"/>
  <c r="N81" i="4"/>
  <c r="P81" i="4"/>
  <c r="AA88" i="8"/>
  <c r="N168" i="4"/>
  <c r="P168" i="4"/>
  <c r="P158" i="4"/>
  <c r="AA71" i="8"/>
  <c r="N158" i="4"/>
  <c r="P115" i="4"/>
  <c r="AA65" i="8"/>
  <c r="N115" i="4"/>
  <c r="AA42" i="8"/>
  <c r="N70" i="4"/>
  <c r="AA29" i="8"/>
  <c r="N24" i="4"/>
  <c r="P24" i="4"/>
  <c r="AA25" i="8"/>
  <c r="N66" i="4"/>
  <c r="P66" i="4"/>
  <c r="AA14" i="8"/>
  <c r="N11" i="4"/>
  <c r="P11" i="4"/>
  <c r="P172" i="4"/>
  <c r="P58" i="4"/>
  <c r="AA127" i="8"/>
  <c r="N98" i="4"/>
  <c r="AA111" i="8"/>
  <c r="N188" i="4"/>
  <c r="AA188" i="8"/>
  <c r="N75" i="4"/>
  <c r="P75" i="4"/>
  <c r="P43" i="4"/>
  <c r="AA37" i="8"/>
  <c r="N43" i="4"/>
  <c r="AA164" i="8"/>
  <c r="N104" i="4"/>
  <c r="P104" i="4"/>
  <c r="AA128" i="8"/>
  <c r="N176" i="4"/>
  <c r="P176" i="4"/>
  <c r="AA114" i="8"/>
  <c r="N191" i="4"/>
  <c r="P191" i="4"/>
  <c r="AA94" i="8"/>
  <c r="N14" i="4"/>
  <c r="P14" i="4"/>
  <c r="AA89" i="8"/>
  <c r="N167" i="4"/>
  <c r="P167" i="4"/>
  <c r="AA68" i="8"/>
  <c r="N117" i="4"/>
  <c r="P117" i="4"/>
  <c r="P103" i="4"/>
  <c r="AA54" i="8"/>
  <c r="N103" i="4"/>
  <c r="AA38" i="8"/>
  <c r="N170" i="4"/>
  <c r="P170" i="4"/>
  <c r="AA17" i="8"/>
  <c r="N60" i="4"/>
  <c r="P60" i="4"/>
  <c r="P87" i="4"/>
  <c r="AA10" i="8"/>
  <c r="N87" i="4"/>
  <c r="P178" i="4"/>
  <c r="P70" i="4"/>
  <c r="AA187" i="8"/>
  <c r="N77" i="4"/>
  <c r="AA175" i="8"/>
  <c r="N92" i="4"/>
  <c r="AA137" i="8"/>
  <c r="N186" i="4"/>
  <c r="AA123" i="8"/>
  <c r="N151" i="4"/>
  <c r="AA176" i="8"/>
  <c r="N93" i="4"/>
  <c r="P93" i="4"/>
  <c r="P122" i="4"/>
  <c r="AA69" i="8"/>
  <c r="N122" i="4"/>
  <c r="AA132" i="8"/>
  <c r="N132" i="4"/>
  <c r="P132" i="4"/>
  <c r="AA27" i="8"/>
  <c r="N5" i="4"/>
  <c r="P5" i="4"/>
  <c r="AA83" i="8"/>
  <c r="N126" i="4"/>
  <c r="P126" i="4"/>
  <c r="AA9" i="8"/>
  <c r="N152" i="4"/>
  <c r="P152" i="4"/>
  <c r="P10" i="4"/>
  <c r="AA183" i="8"/>
  <c r="N86" i="4"/>
  <c r="AA59" i="8"/>
  <c r="N145" i="4"/>
  <c r="AA55" i="8"/>
  <c r="N15" i="4"/>
  <c r="AA51" i="8"/>
  <c r="N55" i="4"/>
  <c r="Y61" i="4"/>
  <c r="Y188" i="4"/>
  <c r="Y45" i="4"/>
  <c r="U178" i="8"/>
  <c r="Y97" i="4"/>
  <c r="U36" i="8"/>
  <c r="U93" i="8"/>
  <c r="Y121" i="4"/>
  <c r="Y13" i="4"/>
  <c r="U147" i="8"/>
  <c r="Y68" i="4"/>
  <c r="U115" i="8"/>
  <c r="Y148" i="4"/>
  <c r="Y95" i="4"/>
  <c r="Y135" i="4"/>
  <c r="U108" i="8"/>
  <c r="Y67" i="4"/>
  <c r="Y134" i="4"/>
  <c r="U9" i="8"/>
  <c r="U32" i="8"/>
  <c r="Y36" i="4"/>
  <c r="Y20" i="4"/>
  <c r="Y26" i="4"/>
  <c r="Y124" i="4"/>
  <c r="Y86" i="4"/>
  <c r="Y179" i="4"/>
  <c r="U150" i="8"/>
  <c r="U149" i="8"/>
  <c r="Y44" i="4"/>
  <c r="U59" i="8"/>
  <c r="U102" i="8"/>
  <c r="Y141" i="4"/>
  <c r="U17" i="8"/>
  <c r="U133" i="8"/>
  <c r="U136" i="8"/>
  <c r="Y183" i="4"/>
  <c r="Y15" i="4"/>
  <c r="Y90" i="4"/>
  <c r="Y149" i="4"/>
  <c r="U83" i="8"/>
  <c r="Y23" i="4"/>
  <c r="Y66" i="4"/>
  <c r="Y163" i="4"/>
  <c r="U51" i="8"/>
  <c r="U143" i="8"/>
  <c r="Y81" i="4"/>
  <c r="U123" i="8"/>
  <c r="U152" i="8"/>
  <c r="Y99" i="4"/>
  <c r="U182" i="8"/>
  <c r="Y93" i="4"/>
  <c r="U176" i="8"/>
  <c r="U71" i="8"/>
  <c r="U24" i="8"/>
  <c r="U159" i="8"/>
  <c r="U118" i="8"/>
  <c r="U140" i="8"/>
  <c r="Y187" i="4"/>
  <c r="Y182" i="4"/>
  <c r="U175" i="8"/>
  <c r="Y48" i="4"/>
  <c r="U27" i="8"/>
  <c r="U38" i="8"/>
  <c r="Y106" i="4"/>
  <c r="U62" i="8"/>
  <c r="Y43" i="4"/>
  <c r="U64" i="8"/>
  <c r="Y79" i="4"/>
  <c r="U156" i="8"/>
  <c r="Y35" i="4"/>
  <c r="U188" i="8"/>
  <c r="Y75" i="4"/>
  <c r="U63" i="8"/>
  <c r="Y119" i="4"/>
  <c r="Y40" i="4"/>
  <c r="U103" i="8"/>
  <c r="U35" i="8"/>
  <c r="U68" i="8"/>
  <c r="Y117" i="4"/>
  <c r="U79" i="8"/>
  <c r="U69" i="8"/>
  <c r="U148" i="8"/>
  <c r="Y132" i="4"/>
  <c r="U192" i="8"/>
  <c r="Y58" i="4"/>
  <c r="Y84" i="4"/>
  <c r="Y9" i="4"/>
  <c r="Y71" i="4"/>
  <c r="U43" i="8"/>
  <c r="U67" i="8"/>
  <c r="U172" i="8"/>
  <c r="Y103" i="4"/>
  <c r="Y173" i="4"/>
  <c r="Y153" i="4"/>
  <c r="U72" i="8"/>
  <c r="Y178" i="4"/>
  <c r="Y70" i="4"/>
  <c r="U42" i="8"/>
  <c r="Y28" i="4"/>
  <c r="U78" i="8"/>
  <c r="U119" i="8"/>
  <c r="U117" i="8"/>
  <c r="Y30" i="4"/>
  <c r="Y46" i="4"/>
  <c r="Y72" i="4"/>
  <c r="U163" i="8"/>
  <c r="U151" i="8"/>
  <c r="Y108" i="4"/>
  <c r="Y154" i="4"/>
  <c r="Y19" i="4"/>
  <c r="U50" i="8"/>
  <c r="Y110" i="4"/>
  <c r="U193" i="8"/>
  <c r="U160" i="8"/>
  <c r="Y113" i="4"/>
  <c r="U34" i="8"/>
  <c r="Y143" i="4"/>
  <c r="Y98" i="4"/>
  <c r="U127" i="8"/>
  <c r="Y41" i="4"/>
  <c r="U137" i="8"/>
  <c r="Y186" i="4"/>
  <c r="U60" i="8"/>
  <c r="Y146" i="4"/>
  <c r="U13" i="8"/>
  <c r="Y192" i="4"/>
  <c r="Y8" i="4"/>
  <c r="Y115" i="4"/>
  <c r="U66" i="8"/>
  <c r="Y116" i="4"/>
  <c r="Y125" i="4"/>
  <c r="U167" i="8"/>
  <c r="Y69" i="4"/>
  <c r="U104" i="8"/>
  <c r="Y91" i="4"/>
  <c r="U170" i="8"/>
  <c r="Y10" i="4"/>
  <c r="Y17" i="4"/>
  <c r="Y62" i="4"/>
  <c r="U90" i="8"/>
  <c r="Y171" i="4"/>
  <c r="U92" i="8"/>
  <c r="Y139" i="4"/>
  <c r="Y101" i="4"/>
  <c r="U144" i="8"/>
  <c r="Y21" i="4"/>
  <c r="U75" i="8"/>
  <c r="Y80" i="4"/>
  <c r="U105" i="8"/>
  <c r="Y162" i="4"/>
  <c r="U52" i="8"/>
  <c r="Y54" i="4"/>
  <c r="Y25" i="4"/>
  <c r="U91" i="8"/>
  <c r="U100" i="8"/>
  <c r="Y174" i="4"/>
  <c r="Y94" i="4"/>
  <c r="U174" i="8"/>
  <c r="U41" i="8"/>
  <c r="Y64" i="4"/>
  <c r="U154" i="8"/>
  <c r="Y109" i="4"/>
  <c r="Y128" i="4"/>
  <c r="U89" i="8"/>
  <c r="U130" i="8"/>
  <c r="Y27" i="4"/>
  <c r="U14" i="8"/>
  <c r="Y11" i="4"/>
  <c r="Y168" i="4"/>
  <c r="U88" i="8"/>
  <c r="Y16" i="4"/>
  <c r="U162" i="8"/>
  <c r="Y169" i="4"/>
  <c r="U87" i="8"/>
  <c r="Y38" i="4"/>
  <c r="U173" i="8"/>
  <c r="U46" i="8"/>
  <c r="Y50" i="4"/>
  <c r="U10" i="8"/>
  <c r="Y87" i="4"/>
  <c r="U134" i="8"/>
  <c r="Y133" i="4"/>
  <c r="U158" i="8"/>
  <c r="Y180" i="4"/>
  <c r="U29" i="8"/>
  <c r="Y24" i="4"/>
  <c r="Y14" i="4"/>
  <c r="U94" i="8"/>
  <c r="Y76" i="4"/>
  <c r="U189" i="8"/>
  <c r="Y4" i="4"/>
  <c r="U16" i="8"/>
  <c r="N149" i="4"/>
  <c r="AA195" i="8"/>
  <c r="U101" i="8"/>
  <c r="Y37" i="4"/>
  <c r="Y150" i="4"/>
  <c r="U8" i="8"/>
  <c r="U15" i="8"/>
  <c r="Y137" i="4"/>
  <c r="Y7" i="4"/>
  <c r="U40" i="8"/>
  <c r="T195" i="8"/>
  <c r="Y136" i="4"/>
  <c r="U166" i="8"/>
  <c r="Y140" i="4"/>
  <c r="U53" i="8"/>
  <c r="U131" i="8"/>
  <c r="Y142" i="4"/>
  <c r="Y89" i="4"/>
  <c r="U11" i="8"/>
  <c r="Y185" i="4"/>
  <c r="U110" i="8"/>
  <c r="U61" i="8"/>
  <c r="Y138" i="4"/>
  <c r="U47" i="8"/>
  <c r="Y53" i="4"/>
  <c r="Y88" i="4"/>
  <c r="U76" i="8"/>
  <c r="Y157" i="4"/>
  <c r="U39" i="8"/>
  <c r="Y175" i="4"/>
  <c r="U186" i="8"/>
</calcChain>
</file>

<file path=xl/sharedStrings.xml><?xml version="1.0" encoding="utf-8"?>
<sst xmlns="http://schemas.openxmlformats.org/spreadsheetml/2006/main" count="5056" uniqueCount="1315">
  <si>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</si>
  <si>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</si>
  <si>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</si>
  <si>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</si>
  <si>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</si>
  <si>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</si>
  <si>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</si>
  <si>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</si>
  <si>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</si>
  <si>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</si>
  <si>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</si>
  <si>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</si>
  <si>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</si>
  <si>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</si>
  <si>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</si>
  <si>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</si>
  <si>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</si>
  <si>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</si>
  <si>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</si>
  <si>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</si>
  <si>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</si>
  <si>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</si>
  <si>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</si>
  <si>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</si>
  <si>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</si>
  <si>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</si>
  <si>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</si>
  <si>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</si>
  <si>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</si>
  <si>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</si>
  <si>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</si>
  <si>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</si>
  <si>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</si>
  <si>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</si>
  <si>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</si>
  <si>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</si>
  <si>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</si>
  <si>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</si>
  <si>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</si>
  <si>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</si>
  <si>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</si>
  <si>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</si>
  <si>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</si>
  <si>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</si>
  <si>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</si>
  <si>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</si>
  <si>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</si>
  <si>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</si>
  <si>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</si>
  <si>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</si>
  <si>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</si>
  <si>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</si>
  <si>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</si>
  <si>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</si>
  <si>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</si>
  <si>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</si>
  <si>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</si>
  <si>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</si>
  <si>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</si>
  <si>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</si>
  <si>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</si>
  <si>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</si>
  <si>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</si>
  <si>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</si>
  <si>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</si>
  <si>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</si>
  <si>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</si>
  <si>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</si>
  <si>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</si>
  <si>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</si>
  <si>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</si>
  <si>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</si>
  <si>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</si>
  <si>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</si>
  <si>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</si>
  <si>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</si>
  <si>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</si>
  <si>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</si>
  <si>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</si>
  <si>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</si>
  <si>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</si>
  <si>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</si>
  <si>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</si>
  <si>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</si>
  <si>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</si>
  <si>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</si>
  <si>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</si>
  <si>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</si>
  <si>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</si>
  <si>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</si>
  <si>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</si>
  <si>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</si>
  <si>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</si>
  <si>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</si>
  <si>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</si>
  <si>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</si>
  <si>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</si>
  <si>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</si>
  <si>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</si>
  <si>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</si>
  <si>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</si>
  <si>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</si>
  <si>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</si>
  <si>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</si>
  <si>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</si>
  <si>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</si>
  <si>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</si>
  <si>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</si>
  <si>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</si>
  <si>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</si>
  <si>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</si>
  <si>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</si>
  <si>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</si>
  <si>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</si>
  <si>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</si>
  <si>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</si>
  <si>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</si>
  <si>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</si>
  <si>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</si>
  <si>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</si>
  <si>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</si>
  <si>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</si>
  <si>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</si>
  <si>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</si>
  <si>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</si>
  <si>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</si>
  <si>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</si>
  <si>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</si>
  <si>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</si>
  <si>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</si>
  <si>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</si>
  <si>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</si>
  <si>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</si>
  <si>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</si>
  <si>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</si>
  <si>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</si>
  <si>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</si>
  <si>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</si>
  <si>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</si>
  <si>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</si>
  <si>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</si>
  <si>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</si>
  <si>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</si>
  <si>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</si>
  <si>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</si>
  <si>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</si>
  <si>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</si>
  <si>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</si>
  <si>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</si>
  <si>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</si>
  <si>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</si>
  <si>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</si>
  <si>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</si>
  <si>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</si>
  <si>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</si>
  <si>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</si>
  <si>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</si>
  <si>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</si>
  <si>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</si>
  <si>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</si>
  <si>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</si>
  <si>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</si>
  <si>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</si>
  <si>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</si>
  <si>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</si>
  <si>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</si>
  <si>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</si>
  <si>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</si>
  <si>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</si>
  <si>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</si>
  <si>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</si>
  <si>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</si>
  <si>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</si>
  <si>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</si>
  <si>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</si>
  <si>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</si>
  <si>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</si>
  <si>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</si>
  <si>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</si>
  <si>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</si>
  <si>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</si>
  <si>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</si>
  <si>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</si>
  <si>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</si>
  <si>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</si>
  <si>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</si>
  <si>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</si>
  <si>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</si>
  <si>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</si>
  <si>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</si>
  <si>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</si>
  <si>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</si>
  <si>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</si>
  <si>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</si>
  <si>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</si>
  <si>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</si>
  <si>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</si>
  <si>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</si>
  <si>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</si>
  <si>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</si>
  <si>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</si>
  <si>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</si>
  <si>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</si>
  <si>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</si>
  <si>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</si>
  <si>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</si>
  <si>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</si>
  <si>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</si>
  <si>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</si>
  <si>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</si>
  <si>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</si>
  <si>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</si>
  <si>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</si>
  <si>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</si>
  <si>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</si>
  <si>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</si>
  <si>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</si>
  <si>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</si>
  <si>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</si>
  <si>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</si>
  <si>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</si>
  <si>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</si>
  <si>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</si>
  <si>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</si>
  <si>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</si>
  <si>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</si>
  <si>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</si>
  <si>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</si>
  <si>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</si>
  <si>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</si>
  <si>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</si>
  <si>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</si>
  <si>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</si>
  <si>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</si>
  <si>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</si>
  <si>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</si>
  <si>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</si>
  <si>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</si>
  <si>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</si>
  <si>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</si>
  <si>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</si>
  <si>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</si>
  <si>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</si>
  <si>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</si>
  <si>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</si>
  <si>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</si>
  <si>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</si>
  <si>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</si>
  <si>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</si>
  <si>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</si>
  <si>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</si>
  <si>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</si>
  <si>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</si>
  <si>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</si>
  <si>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</si>
  <si>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</si>
  <si>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</si>
  <si>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</si>
  <si>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</si>
  <si>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</si>
  <si>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</si>
  <si>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</si>
  <si>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</si>
  <si>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</si>
  <si>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</si>
  <si>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</si>
  <si>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</si>
  <si>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</si>
  <si>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</si>
  <si>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</si>
  <si>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</si>
  <si>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</si>
  <si>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</si>
  <si>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</si>
  <si>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</si>
  <si>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</si>
  <si>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</si>
  <si>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</si>
  <si>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</si>
  <si>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</si>
  <si>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</si>
  <si>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</si>
  <si>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</si>
  <si>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</si>
  <si>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</si>
  <si>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</si>
  <si>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</si>
  <si>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</si>
  <si>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</si>
  <si>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</si>
  <si>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</si>
  <si>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</si>
  <si>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</si>
  <si>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</si>
  <si>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</si>
  <si>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</si>
  <si>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</si>
  <si>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</si>
  <si>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</si>
  <si>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</si>
  <si>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</si>
  <si>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</si>
  <si>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</si>
  <si>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</si>
  <si>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</si>
  <si>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</si>
  <si>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</si>
  <si>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</si>
  <si>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</si>
  <si>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</si>
  <si>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</si>
  <si>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</si>
  <si>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</si>
  <si>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</si>
  <si>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</si>
  <si>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</si>
  <si>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</si>
  <si>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</si>
  <si>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</si>
  <si>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</si>
  <si>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</si>
  <si>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</si>
  <si>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</si>
  <si>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</si>
  <si>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</si>
  <si>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</si>
  <si>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</si>
  <si>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</si>
  <si>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</si>
  <si>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</si>
  <si>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</si>
  <si>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</si>
  <si>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</si>
  <si>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</si>
  <si>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</si>
  <si>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</si>
  <si>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</si>
  <si>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</si>
  <si>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</si>
  <si>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</si>
  <si>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</si>
  <si>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</si>
  <si>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</si>
  <si>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</si>
  <si>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</si>
  <si>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</si>
  <si>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</si>
  <si>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</si>
  <si>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</si>
  <si>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</si>
  <si>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</si>
  <si>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</si>
  <si>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</si>
  <si>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</si>
  <si>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</si>
  <si>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</si>
  <si>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</si>
  <si>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</si>
  <si>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</si>
  <si>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</si>
  <si>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</si>
  <si>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</si>
  <si>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</si>
  <si>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</si>
  <si>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</si>
  <si>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</si>
  <si>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</si>
  <si>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</si>
  <si>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</si>
  <si>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</si>
  <si>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</si>
  <si>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</si>
  <si>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</si>
  <si>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</si>
  <si>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</si>
  <si>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</si>
  <si>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</si>
  <si>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</si>
  <si>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</si>
  <si>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</si>
  <si>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</si>
  <si>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</si>
  <si>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</si>
  <si>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</si>
  <si>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</si>
  <si>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</si>
  <si>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</si>
  <si>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</si>
  <si>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</si>
  <si>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</si>
  <si>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</si>
  <si>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</si>
  <si>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</si>
  <si>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</si>
  <si>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</si>
  <si>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</si>
  <si>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</si>
  <si>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</si>
  <si>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</si>
  <si>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</si>
  <si>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</si>
  <si>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</si>
  <si>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</si>
  <si>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</si>
  <si>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</si>
  <si>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</si>
  <si>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</si>
  <si>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</si>
  <si>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</si>
  <si>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</si>
  <si>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</si>
  <si>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</si>
  <si>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</si>
  <si>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</si>
  <si>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</si>
  <si>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</si>
  <si>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</si>
  <si>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</si>
  <si>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</si>
  <si>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</si>
  <si>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</si>
  <si>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</si>
  <si>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</si>
  <si>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</si>
  <si>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</si>
  <si>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</si>
  <si>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</si>
  <si>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</si>
  <si>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</si>
  <si>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</si>
  <si>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</si>
  <si>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</si>
  <si>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</si>
  <si>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</si>
  <si>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</si>
  <si>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</si>
  <si>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</si>
  <si>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</si>
  <si>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</si>
  <si>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</si>
  <si>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</si>
  <si>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</si>
  <si>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</si>
  <si>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</si>
  <si>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</si>
  <si>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</si>
  <si>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</si>
  <si>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</si>
  <si>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</si>
  <si>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</si>
  <si>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</si>
  <si>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</si>
  <si>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</si>
  <si>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</si>
  <si>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</si>
  <si>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</si>
  <si>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</si>
  <si>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</si>
  <si>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</si>
  <si>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</si>
  <si>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</si>
  <si>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</si>
  <si>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</si>
  <si>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</si>
  <si>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</si>
  <si>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</si>
  <si>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</si>
  <si>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</si>
  <si>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</si>
  <si>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</si>
  <si>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</si>
  <si>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</si>
  <si>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</si>
  <si>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</si>
  <si>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</si>
  <si>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</si>
  <si>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</si>
  <si>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</si>
  <si>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</si>
  <si>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</si>
  <si>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</si>
  <si>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</si>
  <si>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</si>
  <si>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</si>
  <si>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</si>
  <si>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</si>
  <si>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</si>
  <si>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</si>
  <si>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</si>
  <si>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</si>
  <si>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</si>
  <si>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</si>
  <si>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</si>
  <si>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</si>
  <si>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</si>
  <si>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</si>
  <si>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</si>
  <si>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</si>
  <si>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</si>
  <si>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</si>
  <si>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</si>
  <si>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</si>
  <si>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</si>
  <si>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</si>
  <si>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</si>
  <si>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</si>
  <si>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</si>
  <si>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</si>
  <si>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</si>
  <si>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</si>
  <si>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</si>
  <si>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</si>
  <si>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</si>
  <si>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</si>
  <si>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</si>
  <si>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</si>
  <si>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</si>
  <si>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</si>
  <si>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</si>
  <si>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</si>
  <si>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</si>
  <si>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</si>
  <si>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</si>
  <si>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</si>
  <si>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</si>
  <si>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</si>
  <si>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</si>
  <si>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</si>
  <si>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</si>
  <si>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</si>
  <si>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</si>
  <si>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</si>
  <si>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</si>
  <si>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</si>
  <si>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</si>
  <si>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</si>
  <si>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</si>
  <si>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</si>
  <si>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</si>
  <si>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</si>
  <si>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</si>
  <si>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</si>
  <si>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</si>
  <si>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</si>
  <si>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</si>
  <si>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</si>
  <si>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</si>
  <si>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</si>
  <si>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</si>
  <si>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</si>
  <si>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</si>
  <si>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</si>
  <si>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</si>
  <si>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</si>
  <si>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</si>
  <si>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</si>
  <si>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</si>
  <si>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</si>
  <si>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</si>
  <si>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</si>
  <si>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</si>
  <si>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</si>
  <si>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</si>
  <si>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</si>
  <si>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</si>
  <si>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</si>
  <si>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</si>
  <si>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</si>
  <si>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</si>
  <si>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</si>
  <si>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</si>
  <si>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</si>
  <si>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</si>
  <si>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</si>
  <si>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</si>
  <si>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</si>
  <si>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</si>
  <si>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</si>
  <si>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</si>
  <si>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</si>
  <si>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</si>
  <si>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</si>
  <si>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</si>
  <si>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</si>
  <si>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</si>
  <si>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</si>
  <si>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</si>
  <si>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</si>
  <si>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</si>
  <si>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</si>
  <si>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</si>
  <si>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</si>
  <si>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</si>
  <si>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</si>
  <si>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</si>
  <si>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</si>
  <si>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</si>
  <si>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</si>
  <si>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</si>
  <si>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</si>
  <si>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</si>
  <si>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</si>
  <si>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</si>
  <si>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</si>
  <si>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</si>
  <si>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</si>
  <si>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</si>
  <si>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</si>
  <si>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</si>
  <si>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</si>
  <si>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</si>
  <si>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</si>
  <si>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</si>
  <si>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</si>
  <si>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</si>
  <si>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</si>
  <si>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</si>
  <si>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</si>
  <si>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</si>
  <si>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</si>
  <si>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</si>
  <si>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</si>
  <si>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</si>
  <si>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</si>
  <si>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</si>
  <si>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</si>
  <si>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</si>
  <si>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</si>
  <si>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</si>
  <si>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</si>
  <si>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</si>
  <si>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</si>
  <si>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</si>
  <si>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</si>
  <si>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</si>
  <si>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</si>
  <si>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</si>
  <si>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</si>
  <si>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</si>
  <si>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</si>
  <si>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</si>
  <si>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</si>
  <si>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</si>
  <si>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</si>
  <si>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</si>
  <si>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</si>
  <si>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</si>
  <si>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</si>
  <si>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</si>
  <si>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</si>
  <si>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</si>
  <si>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</si>
  <si>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</si>
  <si>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</si>
  <si>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</si>
  <si>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</si>
  <si>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</si>
  <si>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</si>
  <si>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</si>
  <si>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</si>
  <si>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</si>
  <si>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</si>
  <si>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</si>
  <si>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</si>
  <si>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</si>
  <si>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</si>
  <si>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</si>
  <si>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</si>
  <si>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</si>
  <si>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</si>
  <si>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</si>
  <si>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</si>
  <si>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</si>
  <si>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</si>
  <si>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</si>
  <si>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</si>
  <si>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</si>
  <si>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</si>
  <si>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</si>
  <si>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</si>
  <si>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</si>
  <si>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</si>
  <si>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</si>
  <si>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</si>
  <si>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</si>
  <si>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</si>
  <si>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</si>
  <si>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</si>
  <si>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</si>
  <si>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</si>
  <si>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</si>
  <si>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</si>
  <si>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</si>
  <si>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</si>
  <si>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</si>
  <si>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</si>
  <si>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</si>
  <si>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</si>
  <si>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</si>
  <si>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</si>
  <si>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</si>
  <si>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</si>
  <si>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</si>
  <si>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</si>
  <si>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</si>
  <si>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</si>
  <si>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</si>
  <si>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</si>
  <si>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</si>
  <si>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</si>
  <si>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</si>
  <si>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</si>
  <si>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</si>
  <si>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</si>
  <si>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</si>
  <si>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</si>
  <si>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</si>
  <si>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</si>
  <si>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</si>
  <si>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</si>
  <si>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</si>
  <si>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</si>
  <si>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</si>
  <si>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</si>
  <si>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</si>
  <si>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</si>
  <si>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</si>
  <si>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</si>
  <si>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</si>
  <si>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</si>
  <si>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</si>
  <si>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</si>
  <si>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</si>
  <si>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</si>
  <si>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</si>
  <si>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</si>
  <si>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</si>
  <si>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</si>
  <si>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</si>
  <si>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</si>
  <si>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</si>
  <si>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</si>
  <si>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</si>
  <si>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</si>
  <si>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</si>
  <si>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</si>
  <si>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</si>
  <si>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</si>
  <si>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</si>
  <si>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</si>
  <si>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</si>
  <si>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</si>
  <si>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</si>
  <si>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</si>
  <si>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</si>
  <si>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</si>
  <si>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</si>
  <si>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</si>
  <si>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</si>
  <si>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</si>
  <si>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</si>
  <si>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</si>
  <si>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</si>
  <si>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</si>
  <si>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</si>
  <si>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</si>
  <si>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</si>
  <si>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</si>
  <si>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</si>
  <si>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</si>
  <si>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</si>
  <si>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</si>
  <si>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</si>
  <si>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</si>
  <si>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</si>
  <si>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</si>
  <si>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</si>
  <si>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</si>
  <si>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</si>
  <si>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</si>
  <si>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</si>
  <si>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</si>
  <si>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</si>
  <si>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</si>
  <si>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</si>
  <si>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</si>
  <si>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</si>
  <si>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</si>
  <si>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</si>
  <si>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</si>
  <si>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</si>
  <si>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</si>
  <si>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</si>
  <si>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</si>
  <si>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</si>
  <si>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</si>
  <si>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</si>
  <si>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</si>
  <si>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</si>
  <si>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</si>
  <si>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</si>
  <si>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</si>
  <si>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</si>
  <si>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</si>
  <si>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</si>
  <si>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</si>
  <si>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</si>
  <si>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</si>
  <si>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</si>
  <si>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</si>
  <si>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</si>
  <si>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</si>
  <si>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</si>
  <si>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</si>
  <si>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</si>
  <si>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</si>
  <si>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</si>
  <si>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</si>
  <si>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</si>
  <si>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</si>
  <si>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</si>
  <si>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</si>
  <si>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</si>
  <si>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</si>
  <si>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</si>
  <si>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</si>
  <si>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</si>
  <si>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</si>
  <si>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</si>
  <si>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</si>
  <si>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</si>
  <si>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</si>
  <si>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</si>
  <si>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</si>
  <si>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</si>
  <si>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</si>
  <si>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</si>
  <si>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</si>
  <si>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</si>
  <si>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</si>
  <si>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</si>
  <si>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</si>
  <si>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</si>
  <si>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</si>
  <si>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</si>
  <si>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</si>
  <si>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</si>
  <si>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</si>
  <si>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</si>
  <si>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</si>
  <si>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</si>
  <si>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</si>
  <si>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</si>
  <si>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</si>
  <si>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</si>
  <si>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</si>
  <si>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</si>
  <si>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</si>
  <si>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</si>
  <si>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</si>
  <si>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</si>
  <si>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</si>
  <si>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</si>
  <si>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</si>
  <si>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</si>
  <si>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</si>
  <si>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</si>
  <si>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</si>
  <si>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</si>
  <si>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</si>
  <si>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</si>
  <si>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</si>
  <si>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</si>
  <si>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</si>
  <si>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</si>
  <si>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</si>
  <si>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</si>
  <si>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</si>
  <si>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</si>
  <si>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</si>
  <si>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</si>
  <si>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</si>
  <si>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</si>
  <si>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</si>
  <si>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</si>
  <si>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</si>
  <si>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</si>
  <si>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</si>
  <si>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</si>
  <si>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</si>
  <si>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</si>
  <si>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</si>
  <si>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</si>
  <si>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</si>
  <si>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</si>
  <si>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</si>
  <si>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</si>
  <si>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</si>
  <si>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</si>
  <si>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</si>
  <si>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</si>
  <si>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</si>
  <si>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</si>
  <si>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</si>
  <si>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</si>
  <si>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</si>
  <si>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</si>
  <si>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</si>
  <si>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</si>
  <si>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</si>
  <si>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</si>
  <si>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</si>
  <si>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</si>
  <si>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</si>
  <si>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</si>
  <si>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</si>
  <si>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</si>
  <si>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</si>
  <si>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</si>
  <si>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</si>
  <si>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</si>
  <si>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</si>
  <si>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</si>
  <si>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</si>
  <si>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</si>
  <si>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</si>
  <si>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</si>
  <si>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</si>
  <si>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</si>
  <si>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</si>
  <si>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</si>
  <si>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</si>
  <si>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</si>
  <si>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</si>
  <si>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</si>
  <si>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</si>
  <si>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</si>
  <si>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</si>
  <si>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</si>
  <si>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</si>
  <si>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</si>
  <si>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</si>
  <si>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</si>
  <si>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</si>
  <si>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</si>
  <si>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</si>
  <si>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</si>
  <si>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</si>
  <si>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</si>
  <si>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</si>
  <si>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</si>
  <si>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</si>
  <si>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</si>
  <si>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</si>
  <si>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</si>
  <si>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</si>
  <si>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</si>
  <si>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</si>
  <si>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</si>
  <si>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</si>
  <si>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</si>
  <si>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</si>
  <si>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</si>
  <si>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</si>
  <si>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</si>
  <si>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</si>
  <si>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</si>
  <si>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</si>
  <si>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</si>
  <si>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</si>
  <si>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</si>
  <si>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</si>
  <si>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</si>
  <si>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</si>
  <si>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</si>
  <si>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</si>
  <si>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</si>
  <si>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</si>
  <si>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</si>
  <si>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</si>
  <si>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</si>
  <si>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</si>
  <si>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</si>
  <si>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</si>
  <si>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</si>
  <si>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</si>
  <si>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</si>
  <si>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</si>
  <si>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</si>
  <si>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</si>
  <si>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</si>
  <si>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</si>
  <si>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</si>
  <si>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</si>
  <si>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</si>
  <si>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</si>
  <si>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</si>
  <si>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</si>
  <si>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</si>
  <si>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</si>
  <si>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</si>
  <si>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</si>
  <si>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</si>
  <si>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</si>
  <si>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</si>
  <si>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</si>
  <si>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</si>
  <si>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</si>
  <si>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</si>
  <si>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</si>
  <si>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</si>
  <si>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</si>
  <si>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</si>
  <si>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</si>
  <si>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</si>
  <si>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</si>
  <si>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</si>
  <si>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</si>
  <si>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</si>
  <si>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</si>
  <si>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</si>
  <si>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</si>
  <si>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</si>
  <si>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</si>
  <si>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</si>
  <si>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</si>
  <si>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</si>
  <si>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</si>
  <si>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</si>
  <si>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</si>
  <si>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</si>
  <si>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</si>
  <si>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</si>
  <si>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</si>
  <si>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</si>
  <si>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</si>
  <si>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</si>
  <si>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</si>
  <si>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</si>
  <si>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</si>
  <si>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</si>
  <si>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</si>
  <si>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</si>
  <si>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</si>
  <si>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</si>
  <si>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</si>
  <si>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</si>
  <si>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</si>
  <si>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</si>
  <si>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</si>
  <si>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</si>
  <si>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</si>
  <si>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</si>
  <si>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</si>
  <si>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</si>
  <si>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</si>
  <si>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</si>
  <si>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</si>
  <si>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</si>
  <si>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</si>
  <si>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</si>
  <si>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</si>
  <si>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</si>
  <si>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</si>
  <si>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</si>
  <si>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</si>
  <si>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</si>
  <si>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</si>
  <si>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</si>
  <si>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</si>
  <si>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</si>
  <si>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</si>
  <si>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</si>
  <si>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</si>
  <si>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</si>
  <si>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</si>
  <si>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</si>
  <si>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</si>
  <si>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</si>
  <si>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</si>
  <si>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</si>
  <si>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</si>
  <si>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</si>
  <si>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</si>
  <si>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</si>
  <si>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</si>
  <si>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</si>
  <si>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</si>
  <si>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</si>
  <si>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</si>
  <si>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</si>
  <si>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</si>
  <si>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</si>
  <si>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</si>
  <si>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</si>
  <si>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</si>
  <si>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</si>
  <si>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</si>
  <si>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</si>
  <si>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</si>
  <si>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</si>
  <si>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</si>
  <si>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</si>
  <si>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</si>
  <si>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</si>
  <si>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</si>
  <si>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</si>
  <si>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</si>
  <si>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</si>
  <si>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</si>
  <si>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</si>
  <si>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</si>
  <si>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</si>
  <si>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</si>
  <si>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</si>
  <si>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</si>
  <si>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</si>
  <si>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</si>
  <si>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</si>
  <si>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</si>
  <si>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</si>
  <si>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</si>
  <si>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</si>
  <si>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</si>
  <si>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</si>
  <si>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</si>
  <si>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</si>
  <si>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</si>
  <si>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</si>
  <si>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</si>
  <si>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</si>
  <si>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</si>
  <si>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</si>
  <si>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</si>
  <si>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</si>
  <si>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</si>
  <si>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</si>
  <si>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</si>
  <si>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</si>
  <si>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</si>
  <si>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</si>
  <si>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</si>
  <si>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</si>
  <si>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</si>
  <si>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</si>
  <si>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</si>
  <si>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</si>
  <si>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</si>
  <si>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</si>
  <si>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</si>
  <si>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</si>
  <si>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</si>
  <si>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</si>
  <si>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</si>
  <si>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</si>
  <si>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</si>
  <si>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</si>
  <si>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</si>
  <si>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</si>
  <si>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</si>
  <si>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</si>
  <si>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</si>
  <si>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</si>
  <si>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</si>
  <si>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</si>
  <si>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</si>
  <si>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</si>
  <si>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</si>
  <si>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</si>
  <si>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</si>
  <si>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</si>
  <si>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</si>
  <si>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</si>
  <si>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</si>
  <si>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</si>
  <si>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</si>
  <si>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</si>
  <si>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</si>
  <si>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</si>
  <si>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</si>
  <si>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</si>
  <si>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</si>
  <si>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</si>
  <si>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</si>
  <si>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</si>
  <si>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</si>
  <si>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</si>
  <si>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</si>
  <si>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</si>
  <si>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</si>
  <si>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</si>
  <si>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</si>
  <si>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</si>
  <si>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</si>
  <si>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</si>
  <si>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</si>
  <si>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</si>
  <si>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</si>
  <si>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</si>
  <si>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</si>
  <si>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</si>
  <si>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</si>
  <si>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</si>
  <si>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</si>
  <si>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</si>
  <si>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</si>
  <si>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</si>
  <si>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</si>
  <si>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</si>
  <si>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</si>
  <si>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</si>
  <si>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</si>
  <si>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</si>
  <si>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</si>
  <si>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</si>
  <si>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</si>
  <si>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</si>
  <si>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</si>
  <si>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</si>
  <si>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</si>
  <si>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</si>
  <si>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</si>
  <si>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</si>
  <si>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</si>
  <si>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</si>
  <si>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</si>
  <si>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</si>
  <si>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</si>
  <si>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</si>
  <si>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</si>
  <si>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</si>
  <si>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</si>
  <si>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</si>
  <si>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</si>
  <si>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</si>
  <si>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</si>
  <si>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</si>
  <si>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</si>
  <si>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</si>
  <si>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</si>
  <si>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</si>
  <si>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</si>
  <si>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</si>
  <si>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</si>
  <si>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</si>
  <si>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</si>
  <si>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</si>
  <si>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</si>
  <si>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</si>
  <si>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</si>
  <si>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</si>
  <si>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</si>
  <si>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D39,G39,J39,M39</t>
  </si>
  <si>
    <t>January 2020: gauger uses 4th tank which was not previously accounted for.  Will add starting 2020 as part of closing stock and count production all in one month. Will use this stock going forward</t>
  </si>
  <si>
    <t>LUCKY, WEST (FRIO 8100)</t>
  </si>
  <si>
    <t>Anderson #3.xlsx</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</si>
  <si>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</si>
  <si>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</si>
  <si>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</si>
  <si>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</si>
  <si>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</si>
  <si>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</si>
  <si>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</si>
  <si>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</si>
  <si>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</si>
  <si>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</si>
  <si>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</si>
  <si>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</si>
  <si>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</si>
  <si>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</si>
  <si>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Record was dropped in Jan 2020 - removing it from pr edi</t>
  </si>
  <si>
    <t>91</t>
  </si>
  <si>
    <t xml:space="preserve"> Comments</t>
  </si>
  <si>
    <t>Repoprt Month Removed</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</si>
  <si>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</si>
  <si>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</si>
  <si>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</si>
  <si>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</si>
  <si>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</si>
  <si>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Closing Stock (Oil)</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</si>
  <si>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</si>
  <si>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N8,NL38</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</si>
  <si>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</si>
  <si>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LUCKY, EAST (HUEBNER)</t>
  </si>
  <si>
    <t>27736</t>
  </si>
  <si>
    <t>Gauge Sheet Prod Volume (oil)</t>
  </si>
  <si>
    <t>Gauge Sheet Prod Vol</t>
  </si>
  <si>
    <t>March 2020: sale occurred 4/1/20 - accounted for on gauge sheet but not in accounting sales - no error; April 2020: no error - evens out from march;</t>
  </si>
  <si>
    <t>November 2019 comment: appears load from october was put on november sales ticket and is why we are off 185 bbls  - no error.  December 2019:  -189 is from November's ticket - no error.  Feb 2020: no error; Mar 2020 - no error, sale from 2/29 was placed in march in accounting;  April 2020: 10 bbls of the error occur from sales purchase statement being 10 less bbls than gauger reported pulled</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</si>
  <si>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april 2020: forcing closing stock to prevent negative production - showing half the prod that of gauger; </t>
  </si>
  <si>
    <t>December 2019: between the two tanks 1C and 1T is a 21 bbl difference - should work itself out; April 2020: gauger moved 110 bbs from drip tank which is why there is 110 bbl difference in production</t>
  </si>
  <si>
    <t>WALLACE HOUSTON</t>
  </si>
  <si>
    <t>November 2019: Missed reporting oil for this well over previous months - making up for it this month.   March 2020: may plant tab on gauge sheet has 70 more bbls than on pr records - will have to file correction if stock is sold and theree isn't enough to cover it; April 2020: same as march comment; May 2020 - forcing stock to may plant tab's closing stock</t>
  </si>
  <si>
    <t xml:space="preserve">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  April 2020:  appears stocks for ola mcann 2A and #1L were flip flopped based on allocation of disposition - there was 104 bbls transfered from a water tank to an oil tank that justifies olamcann 2A reporting production - forcing stock to have 15 bbls remaining in case there is another disposition in the future; may 2020 commignled tank shows 13 bbls of production - adding it to lower stock to prevent negative stock in the future if dispostion; </t>
  </si>
  <si>
    <t xml:space="preserve">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  April 2020:  appears stocks for ola mcann 2A and #1L were flip flopped based on allocation of disposition - there was 104 bbls transfered from a water tank to an oil tank that justifies olamcann 2A reporting production - ola mcann 2A and 1L will have 50 bbls in excess stock from here on out from gaug sheet;  may 2020 commignled tank shows 13 bbls of production - adding 12 bbl to lower stock to prevent negative stock in the future if dispostion, adding 1 bbl to this well; </t>
  </si>
  <si>
    <t>May 2020: msssed april's 2020 gauge sheet, making up for it in may by using closing stock on gauge sheet</t>
  </si>
  <si>
    <t>Flared Gas</t>
  </si>
  <si>
    <t>May 2020 - initially thought we woud need to report the flared tank vapor gas to RRC - however, after reading Statewide rule 32 - tank vapors are exempt and do not require reporting/metering</t>
  </si>
  <si>
    <t>March 2020: sale took place 3/28 - not in accounting system - therefore will force closing stock to keep the 180 bbl sale to match gauge sheet prod.  In april I will have to force the stock;  April 2020: forcing closing stock to match gauge sheet prod - another 170 bbl sale in april was not recorded on purchase statement for accounting to input  May 2020:  noticed that sale that occured in march was not put in the allocation spreadsheet, which caused me not to report it - after checking wolfpak, it was inputted later - will file correction;</t>
  </si>
  <si>
    <t>April 2020:  bsm #2T was put in BSM #3C tank - subracted added stock in tank #1 from BSM #3 stock, and added it to BSM #2T stock;    May 2020 - filed correction for april - typo occurred when manually adding stock to bsm 2T from 3C gauge sheet;  May 2020: tanks are all shuffled - talked to Jeff - he says only 2T is prod after April - therefore to find stocks take difference in tank levels from previous levels on all 3 wells in order to determine 2T's stock</t>
  </si>
  <si>
    <t>April 2020:  bsm #2T was put in BSM #3C tank - subracted added stock in tank #1 from BSM #3 stock, and added it to BSM #2T stock; May 2020: forcing stock to match gauge sheet prod - tanks have been shuffled and only 2T is significantly prod - therefore all  differences in levels account for 2T</t>
  </si>
  <si>
    <t>May 2020: forcing stock to match gauge sheet prod - tanks have been shuffled and only 2T is significantly prod - therefore all  differences in levels account for 2T</t>
  </si>
  <si>
    <t xml:space="preserve">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  april 2020: additional 190 bbls from accounting included in april not on gaugers sheet-will take accountings number for sale as usual;  May 2020: filed correction to reduce stock from april by 190 bbls to account for sale - gauger did not mark the correct closing stock in april - in may's gauge sheet- the opening stock was ~190 bbls less than april's closing stock - fixes water pull discrepancy as well; </t>
  </si>
  <si>
    <t>May</t>
  </si>
  <si>
    <t>May 2020: msssed april's 2020 gauge sheet, making up for it in may by using closing stock on gauge sheet; Gauger claims 35 bpd but shows 0 production by day and has same closing stock as may - using may's closing stock and keeping prod 0</t>
  </si>
  <si>
    <t>Feb 2020: gauger had put sale of oil picked up on 3/1/2020 on feb gauge sheet- accounting has put sale for march.  Therefore, I will carry the stock as if there were no sale, and place the sale in march pr; June 2020 - iol sale occurred 7/1 and not in accounting - forcing stock to include sale volume...july will even out when sale is inputted into accounting</t>
  </si>
  <si>
    <t>November 2019: Gauger drained 43 bbls of water from oil tank - this is why 45 bbl difference- no error - gauger didn't account for this in his prod column.  Feb 2020: drained water that is why there is 26 bbl difference - no error; April 2020: not worrying about 30 bbl diff because under production evens out from water being pulled from tanks;  May 2020: well shut in - we sold to another operator effective June 2020</t>
  </si>
  <si>
    <t>May 2020: well shut in - we sold to another operator effective June 2020</t>
  </si>
  <si>
    <t xml:space="preserve">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  April 2020: forcing stock to be less than gauge sheet - well did not produce but had a sale of 160 bbls - if well produces in the future can maniuplate month's production to make up for the 26 bbl difference;; May 2020: same as apr comment;  June 2020 - forcing closing stock to show 0 prod; </t>
  </si>
  <si>
    <t xml:space="preserve">may 2020 commignled tank shows 13 bbls of production - adding 12 bbl to lower stock to prevent negative stock in the future if dispostion, June 2020: commignled tank showed 35 bbls of prod - giving 32 bbls to this well and 3 to ola 1L to account for potential dispositions; </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</si>
  <si>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April 2020: forcing stock - will correct when their is a disposition; May 2020 forcing stock will correct when dispositon; June 2020 - same as may</t>
  </si>
  <si>
    <t xml:space="preserve">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april 2020 - -194 bbls is b/c sale was put on this month for accounting and gauger showed stock dorp last month; June 2020 - accounting missing sale of 183 bbls which accounts for half of 343 bbl error from gauge sheet prod - also, guager transfered oil which may be another reason - no error, should work itself out in the future; </t>
  </si>
  <si>
    <t>Feb 2020: no gauge sheet - will have to correct if necessary - using last month prod;  Mar 2020: noticed pr reports have excess stock - will have to manipulate prod until sale;  April 2020 - sale was missing on allocation sheet - visible in wolfpak - manually entered sale;  June 2020 - excess stock on PR - manipulating prod by 10 bbls to get it closer to gauger's stock</t>
  </si>
  <si>
    <t xml:space="preserve">June 2020: forcing stock - sale occurred on 6/30 that was not accounted for in accounting  - next month with the sale inputted and using gauger's closing stock it should balance out; </t>
  </si>
  <si>
    <t>April 2020: pulled 36 bbls of bottom's of oil tank..forcing stock to keep stock - alternative is to go back to 2019 and reduce production to account for these 36 bbls; may 2020 - same as apr comment; june 2020: same - forcing stock - will correct in future upon producign again or sale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</si>
</sst>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1"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amily val="1"/>
    </font>
    <font>
      <u/>
      <sz val="10"/>
      <color theme="11"/>
      <name val="Times New Roman"/>
      <family val="1"/>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theme="4"/>
        <bgColor theme="4"/>
      </patternFill>
    </fill>
    <fill>
      <patternFill patternType="solid">
        <fgColor rgb="FFDCE6F1"/>
        <bgColor rgb="FFDCE6F1"/>
      </patternFill>
    </fill>
  </fills>
  <borders count="41">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25">
    <xf numFmtId="0" fontId="0" fillId="0" borderId="0"/>
    <xf numFmtId="0" fontId="28" fillId="2"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5" borderId="0" applyNumberFormat="0" applyBorder="0" applyAlignment="0" applyProtection="0"/>
    <xf numFmtId="0" fontId="28" fillId="6" borderId="0" applyNumberFormat="0" applyBorder="0" applyAlignment="0" applyProtection="0"/>
    <xf numFmtId="0" fontId="28"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xf numFmtId="0" fontId="28" fillId="10" borderId="0" applyNumberFormat="0" applyBorder="0" applyAlignment="0" applyProtection="0"/>
    <xf numFmtId="0" fontId="28"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29" fillId="14" borderId="0" applyNumberFormat="0" applyBorder="0" applyAlignment="0" applyProtection="0"/>
    <xf numFmtId="0" fontId="29" fillId="15" borderId="0" applyNumberFormat="0" applyBorder="0" applyAlignment="0" applyProtection="0"/>
    <xf numFmtId="0" fontId="29" fillId="16" borderId="0" applyNumberFormat="0" applyBorder="0" applyAlignment="0" applyProtection="0"/>
    <xf numFmtId="0" fontId="29" fillId="17" borderId="0" applyNumberFormat="0" applyBorder="0" applyAlignment="0" applyProtection="0"/>
    <xf numFmtId="0" fontId="29" fillId="18" borderId="0" applyNumberFormat="0" applyBorder="0" applyAlignment="0" applyProtection="0"/>
    <xf numFmtId="0" fontId="29" fillId="19"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29" fillId="22" borderId="0" applyNumberFormat="0" applyBorder="0" applyAlignment="0" applyProtection="0"/>
    <xf numFmtId="0" fontId="29" fillId="23" borderId="0" applyNumberFormat="0" applyBorder="0" applyAlignment="0" applyProtection="0"/>
    <xf numFmtId="0" fontId="29" fillId="24" borderId="0" applyNumberFormat="0" applyBorder="0" applyAlignment="0" applyProtection="0"/>
    <xf numFmtId="0" fontId="29" fillId="25" borderId="0" applyNumberFormat="0" applyBorder="0" applyAlignment="0" applyProtection="0"/>
    <xf numFmtId="0" fontId="30" fillId="26" borderId="0" applyNumberFormat="0" applyBorder="0" applyAlignment="0" applyProtection="0"/>
    <xf numFmtId="0" fontId="31" fillId="27" borderId="2" applyNumberFormat="0" applyAlignment="0" applyProtection="0"/>
    <xf numFmtId="0" fontId="32" fillId="28" borderId="3" applyNumberFormat="0" applyAlignment="0" applyProtection="0"/>
    <xf numFmtId="0" fontId="33" fillId="0" borderId="0" applyNumberFormat="0" applyFill="0" applyBorder="0" applyAlignment="0" applyProtection="0"/>
    <xf numFmtId="0" fontId="34" fillId="29" borderId="0" applyNumberFormat="0" applyBorder="0" applyAlignment="0" applyProtection="0"/>
    <xf numFmtId="0" fontId="35" fillId="0" borderId="4" applyNumberFormat="0" applyFill="0" applyAlignment="0" applyProtection="0"/>
    <xf numFmtId="0" fontId="36" fillId="0" borderId="5" applyNumberFormat="0" applyFill="0" applyAlignment="0" applyProtection="0"/>
    <xf numFmtId="0" fontId="37" fillId="0" borderId="6" applyNumberFormat="0" applyFill="0" applyAlignment="0" applyProtection="0"/>
    <xf numFmtId="0" fontId="37" fillId="0" borderId="0" applyNumberFormat="0" applyFill="0" applyBorder="0" applyAlignment="0" applyProtection="0"/>
    <xf numFmtId="0" fontId="25" fillId="0" borderId="0" applyNumberFormat="0" applyFill="0" applyBorder="0" applyAlignment="0" applyProtection="0">
      <alignment vertical="top"/>
      <protection locked="0"/>
    </xf>
    <xf numFmtId="0" fontId="38" fillId="30" borderId="2" applyNumberFormat="0" applyAlignment="0" applyProtection="0"/>
    <xf numFmtId="0" fontId="39" fillId="0" borderId="7" applyNumberFormat="0" applyFill="0" applyAlignment="0" applyProtection="0"/>
    <xf numFmtId="0" fontId="40" fillId="31" borderId="0" applyNumberFormat="0" applyBorder="0" applyAlignment="0" applyProtection="0"/>
    <xf numFmtId="0" fontId="28" fillId="0" borderId="0"/>
    <xf numFmtId="0" fontId="28" fillId="32" borderId="8" applyNumberFormat="0" applyFont="0" applyAlignment="0" applyProtection="0"/>
    <xf numFmtId="0" fontId="41" fillId="27" borderId="9" applyNumberFormat="0" applyAlignment="0" applyProtection="0"/>
    <xf numFmtId="0" fontId="42" fillId="0" borderId="0" applyNumberFormat="0" applyFill="0" applyBorder="0" applyAlignment="0" applyProtection="0"/>
    <xf numFmtId="0" fontId="43" fillId="0" borderId="10" applyNumberFormat="0" applyFill="0" applyAlignment="0" applyProtection="0"/>
    <xf numFmtId="0" fontId="44" fillId="0" borderId="0" applyNumberFormat="0" applyFill="0" applyBorder="0" applyAlignment="0" applyProtection="0"/>
    <xf numFmtId="0" fontId="48" fillId="0" borderId="0"/>
    <xf numFmtId="0" fontId="53" fillId="0" borderId="0"/>
    <xf numFmtId="0" fontId="24" fillId="0" borderId="0"/>
    <xf numFmtId="0" fontId="23" fillId="0" borderId="0"/>
    <xf numFmtId="0" fontId="21" fillId="0" borderId="0"/>
    <xf numFmtId="0" fontId="21" fillId="32" borderId="8" applyNumberFormat="0" applyFont="0" applyAlignment="0" applyProtection="0"/>
    <xf numFmtId="0" fontId="21" fillId="2" borderId="0" applyNumberFormat="0" applyBorder="0" applyAlignment="0" applyProtection="0"/>
    <xf numFmtId="0" fontId="21" fillId="8" borderId="0" applyNumberFormat="0" applyBorder="0" applyAlignment="0" applyProtection="0"/>
    <xf numFmtId="0" fontId="21" fillId="3" borderId="0" applyNumberFormat="0" applyBorder="0" applyAlignment="0" applyProtection="0"/>
    <xf numFmtId="0" fontId="21" fillId="9" borderId="0" applyNumberFormat="0" applyBorder="0" applyAlignment="0" applyProtection="0"/>
    <xf numFmtId="0" fontId="21" fillId="4"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11" borderId="0" applyNumberFormat="0" applyBorder="0" applyAlignment="0" applyProtection="0"/>
    <xf numFmtId="0" fontId="21" fillId="6" borderId="0" applyNumberFormat="0" applyBorder="0" applyAlignment="0" applyProtection="0"/>
    <xf numFmtId="0" fontId="21" fillId="12" borderId="0" applyNumberFormat="0" applyBorder="0" applyAlignment="0" applyProtection="0"/>
    <xf numFmtId="0" fontId="21" fillId="7" borderId="0" applyNumberFormat="0" applyBorder="0" applyAlignment="0" applyProtection="0"/>
    <xf numFmtId="0" fontId="21" fillId="13" borderId="0" applyNumberFormat="0" applyBorder="0" applyAlignment="0" applyProtection="0"/>
    <xf numFmtId="0" fontId="20" fillId="0" borderId="0"/>
    <xf numFmtId="0" fontId="18" fillId="0" borderId="0"/>
    <xf numFmtId="0" fontId="26" fillId="0" borderId="0"/>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0" borderId="0"/>
    <xf numFmtId="0" fontId="17" fillId="32" borderId="8" applyNumberFormat="0" applyFont="0" applyAlignment="0" applyProtection="0"/>
    <xf numFmtId="0" fontId="17" fillId="0" borderId="0"/>
    <xf numFmtId="0" fontId="17" fillId="0" borderId="0"/>
    <xf numFmtId="0" fontId="16" fillId="0" borderId="0"/>
    <xf numFmtId="0" fontId="16" fillId="32" borderId="8" applyNumberFormat="0" applyFont="0" applyAlignment="0" applyProtection="0"/>
    <xf numFmtId="0" fontId="16" fillId="2" borderId="0" applyNumberFormat="0" applyBorder="0" applyAlignment="0" applyProtection="0"/>
    <xf numFmtId="0" fontId="16" fillId="8" borderId="0" applyNumberFormat="0" applyBorder="0" applyAlignment="0" applyProtection="0"/>
    <xf numFmtId="0" fontId="16" fillId="3" borderId="0" applyNumberFormat="0" applyBorder="0" applyAlignment="0" applyProtection="0"/>
    <xf numFmtId="0" fontId="16" fillId="9" borderId="0" applyNumberFormat="0" applyBorder="0" applyAlignment="0" applyProtection="0"/>
    <xf numFmtId="0" fontId="16" fillId="4" borderId="0" applyNumberFormat="0" applyBorder="0" applyAlignment="0" applyProtection="0"/>
    <xf numFmtId="0" fontId="16" fillId="10" borderId="0" applyNumberFormat="0" applyBorder="0" applyAlignment="0" applyProtection="0"/>
    <xf numFmtId="0" fontId="16" fillId="5" borderId="0" applyNumberFormat="0" applyBorder="0" applyAlignment="0" applyProtection="0"/>
    <xf numFmtId="0" fontId="16" fillId="11" borderId="0" applyNumberFormat="0" applyBorder="0" applyAlignment="0" applyProtection="0"/>
    <xf numFmtId="0" fontId="16" fillId="6" borderId="0" applyNumberFormat="0" applyBorder="0" applyAlignment="0" applyProtection="0"/>
    <xf numFmtId="0" fontId="16" fillId="12" borderId="0" applyNumberFormat="0" applyBorder="0" applyAlignment="0" applyProtection="0"/>
    <xf numFmtId="0" fontId="16" fillId="7" borderId="0" applyNumberFormat="0" applyBorder="0" applyAlignment="0" applyProtection="0"/>
    <xf numFmtId="0" fontId="16" fillId="13" borderId="0" applyNumberFormat="0" applyBorder="0" applyAlignment="0" applyProtection="0"/>
    <xf numFmtId="0" fontId="14" fillId="0" borderId="0"/>
    <xf numFmtId="0" fontId="13" fillId="0" borderId="0"/>
    <xf numFmtId="0" fontId="11" fillId="0" borderId="0"/>
    <xf numFmtId="0" fontId="10" fillId="0" borderId="0"/>
    <xf numFmtId="0" fontId="9" fillId="0" borderId="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cellStyleXfs>
  <cellXfs count="265">
    <xf numFmtId="0" fontId="0" fillId="0" borderId="0" xfId="0"/>
    <xf numFmtId="49" fontId="0" fillId="0" borderId="0" xfId="0" applyNumberFormat="1"/>
    <xf numFmtId="49" fontId="25" fillId="0" borderId="0" xfId="34" applyNumberFormat="1" applyAlignment="1" applyProtection="1"/>
    <xf numFmtId="0" fontId="26" fillId="0" borderId="0" xfId="0" applyFont="1"/>
    <xf numFmtId="49" fontId="26" fillId="0" borderId="0" xfId="0" applyNumberFormat="1" applyFont="1" applyBorder="1"/>
    <xf numFmtId="1" fontId="0" fillId="0" borderId="0" xfId="0" applyNumberFormat="1"/>
    <xf numFmtId="49" fontId="26" fillId="0" borderId="0" xfId="0" applyNumberFormat="1" applyFont="1" applyBorder="1" applyAlignment="1">
      <alignment horizontal="center" wrapText="1"/>
    </xf>
    <xf numFmtId="1" fontId="26" fillId="0" borderId="0" xfId="0" applyNumberFormat="1" applyFont="1" applyBorder="1" applyAlignment="1">
      <alignment horizontal="center" wrapText="1"/>
    </xf>
    <xf numFmtId="0" fontId="26" fillId="0" borderId="0" xfId="0" applyFont="1" applyAlignment="1">
      <alignment horizontal="center" wrapText="1"/>
    </xf>
    <xf numFmtId="49" fontId="26" fillId="0" borderId="0" xfId="0" applyNumberFormat="1" applyFont="1" applyAlignment="1">
      <alignment horizontal="center" wrapText="1"/>
    </xf>
    <xf numFmtId="49" fontId="26" fillId="0" borderId="0" xfId="0" applyNumberFormat="1" applyFont="1"/>
    <xf numFmtId="1" fontId="26" fillId="0" borderId="0" xfId="0" applyNumberFormat="1" applyFont="1"/>
    <xf numFmtId="49" fontId="0" fillId="0" borderId="0" xfId="0" applyNumberFormat="1" applyAlignment="1">
      <alignment horizontal="right"/>
    </xf>
    <xf numFmtId="0" fontId="28" fillId="0" borderId="0" xfId="38"/>
    <xf numFmtId="0" fontId="28" fillId="0" borderId="1" xfId="38" applyBorder="1"/>
    <xf numFmtId="3" fontId="28" fillId="0" borderId="1" xfId="38" applyNumberFormat="1" applyBorder="1"/>
    <xf numFmtId="0" fontId="27" fillId="0" borderId="0" xfId="0" applyFont="1" applyAlignment="1">
      <alignment horizontal="center" wrapText="1"/>
    </xf>
    <xf numFmtId="0" fontId="0" fillId="0" borderId="0" xfId="0" applyAlignment="1">
      <alignment horizontal="center" wrapText="1"/>
    </xf>
    <xf numFmtId="49" fontId="24" fillId="0" borderId="0" xfId="38" applyNumberFormat="1" applyFont="1" applyAlignment="1">
      <alignment horizontal="center"/>
    </xf>
    <xf numFmtId="49" fontId="24" fillId="0" borderId="0" xfId="38" applyNumberFormat="1" applyFont="1"/>
    <xf numFmtId="0" fontId="46" fillId="0" borderId="0" xfId="0" applyFont="1"/>
    <xf numFmtId="49" fontId="46" fillId="0" borderId="0" xfId="0" applyNumberFormat="1" applyFont="1" applyAlignment="1">
      <alignment horizontal="center"/>
    </xf>
    <xf numFmtId="0" fontId="0" fillId="0" borderId="0" xfId="0" applyAlignment="1">
      <alignment horizontal="left"/>
    </xf>
    <xf numFmtId="0" fontId="26" fillId="0" borderId="11" xfId="0" applyFont="1" applyBorder="1" applyAlignment="1">
      <alignment horizontal="center" wrapText="1"/>
    </xf>
    <xf numFmtId="0" fontId="0" fillId="0" borderId="0" xfId="0" applyAlignment="1">
      <alignment wrapText="1"/>
    </xf>
    <xf numFmtId="0" fontId="0" fillId="0" borderId="13" xfId="0" applyBorder="1" applyAlignment="1">
      <alignment wrapText="1"/>
    </xf>
    <xf numFmtId="0" fontId="0" fillId="0" borderId="18" xfId="0" applyBorder="1"/>
    <xf numFmtId="0" fontId="46" fillId="33" borderId="16" xfId="0" applyFont="1" applyFill="1" applyBorder="1" applyAlignment="1">
      <alignment horizontal="center"/>
    </xf>
    <xf numFmtId="0" fontId="46" fillId="0" borderId="16" xfId="0" applyFont="1" applyBorder="1" applyAlignment="1">
      <alignment horizontal="center"/>
    </xf>
    <xf numFmtId="0" fontId="46" fillId="33" borderId="0" xfId="0" applyFont="1" applyFill="1" applyBorder="1" applyAlignment="1">
      <alignment horizontal="center"/>
    </xf>
    <xf numFmtId="0" fontId="46" fillId="0" borderId="0" xfId="0" applyFont="1" applyBorder="1" applyAlignment="1">
      <alignment horizontal="center"/>
    </xf>
    <xf numFmtId="0" fontId="46" fillId="33" borderId="17" xfId="0" applyFont="1" applyFill="1" applyBorder="1" applyAlignment="1">
      <alignment horizontal="center"/>
    </xf>
    <xf numFmtId="0" fontId="46" fillId="0" borderId="17" xfId="0" applyFont="1" applyBorder="1" applyAlignment="1">
      <alignment horizontal="center"/>
    </xf>
    <xf numFmtId="0" fontId="46" fillId="0" borderId="21" xfId="0" applyFont="1" applyBorder="1"/>
    <xf numFmtId="0" fontId="46" fillId="0" borderId="22" xfId="0" applyFont="1" applyBorder="1"/>
    <xf numFmtId="0" fontId="46" fillId="0" borderId="23" xfId="0" applyFont="1" applyBorder="1"/>
    <xf numFmtId="0" fontId="46" fillId="0" borderId="0" xfId="0" applyFont="1" applyAlignment="1">
      <alignment wrapText="1"/>
    </xf>
    <xf numFmtId="0" fontId="49" fillId="0" borderId="0" xfId="44" applyFont="1" applyAlignment="1">
      <alignment horizontal="left"/>
    </xf>
    <xf numFmtId="0" fontId="49" fillId="0" borderId="0" xfId="44" applyFont="1" applyAlignment="1">
      <alignment horizontal="center"/>
    </xf>
    <xf numFmtId="10" fontId="49" fillId="0" borderId="0" xfId="44" applyNumberFormat="1" applyFont="1" applyAlignment="1">
      <alignment horizontal="center"/>
    </xf>
    <xf numFmtId="0" fontId="49" fillId="0" borderId="0" xfId="44" applyFont="1"/>
    <xf numFmtId="0" fontId="50" fillId="0" borderId="0" xfId="44" applyFont="1"/>
    <xf numFmtId="0" fontId="51" fillId="0" borderId="0" xfId="44" applyFont="1" applyAlignment="1">
      <alignment horizontal="center"/>
    </xf>
    <xf numFmtId="0" fontId="52" fillId="0" borderId="0" xfId="44" applyFont="1" applyAlignment="1">
      <alignment horizontal="center"/>
    </xf>
    <xf numFmtId="0" fontId="49" fillId="0" borderId="18" xfId="44" applyFont="1" applyBorder="1" applyAlignment="1">
      <alignment horizontal="center"/>
    </xf>
    <xf numFmtId="16" fontId="49" fillId="0" borderId="18" xfId="44" quotePrefix="1" applyNumberFormat="1" applyFont="1" applyBorder="1" applyAlignment="1">
      <alignment horizontal="center"/>
    </xf>
    <xf numFmtId="10" fontId="49" fillId="0" borderId="18" xfId="44" applyNumberFormat="1" applyFont="1" applyBorder="1" applyAlignment="1">
      <alignment horizontal="center"/>
    </xf>
    <xf numFmtId="0" fontId="49" fillId="0" borderId="0" xfId="44" applyFont="1" applyBorder="1"/>
    <xf numFmtId="0" fontId="54" fillId="0" borderId="0" xfId="45" applyFont="1" applyAlignment="1">
      <alignment horizontal="left"/>
    </xf>
    <xf numFmtId="164" fontId="49" fillId="0" borderId="18" xfId="44" applyNumberFormat="1" applyFont="1" applyBorder="1" applyAlignment="1" applyProtection="1">
      <alignment horizontal="center"/>
    </xf>
    <xf numFmtId="1" fontId="49" fillId="0" borderId="18" xfId="44" applyNumberFormat="1" applyFont="1" applyBorder="1" applyAlignment="1">
      <alignment horizontal="center"/>
    </xf>
    <xf numFmtId="10" fontId="49" fillId="0" borderId="18" xfId="44" applyNumberFormat="1" applyFont="1" applyBorder="1" applyAlignment="1" applyProtection="1">
      <alignment horizontal="center"/>
    </xf>
    <xf numFmtId="1" fontId="49" fillId="0" borderId="18" xfId="44" applyNumberFormat="1" applyFont="1" applyBorder="1" applyAlignment="1" applyProtection="1">
      <alignment horizontal="center"/>
    </xf>
    <xf numFmtId="0" fontId="48" fillId="0" borderId="18" xfId="44" applyFont="1" applyBorder="1"/>
    <xf numFmtId="0" fontId="55" fillId="0" borderId="0" xfId="44" applyFont="1" applyAlignment="1">
      <alignment horizontal="left"/>
    </xf>
    <xf numFmtId="1" fontId="47" fillId="0" borderId="19" xfId="0" applyNumberFormat="1" applyFont="1" applyBorder="1"/>
    <xf numFmtId="1" fontId="47" fillId="0" borderId="20" xfId="0" applyNumberFormat="1" applyFont="1" applyBorder="1"/>
    <xf numFmtId="1" fontId="47" fillId="0" borderId="16" xfId="0" applyNumberFormat="1" applyFont="1" applyBorder="1"/>
    <xf numFmtId="1" fontId="47" fillId="0" borderId="0" xfId="0" applyNumberFormat="1" applyFont="1" applyBorder="1"/>
    <xf numFmtId="1" fontId="47" fillId="0" borderId="17" xfId="0" applyNumberFormat="1" applyFont="1" applyBorder="1"/>
    <xf numFmtId="0" fontId="47" fillId="0" borderId="0" xfId="0" applyNumberFormat="1" applyFont="1"/>
    <xf numFmtId="0" fontId="46" fillId="0" borderId="24" xfId="0" applyFont="1" applyBorder="1" applyAlignment="1">
      <alignment wrapText="1"/>
    </xf>
    <xf numFmtId="0" fontId="37" fillId="0" borderId="0" xfId="33"/>
    <xf numFmtId="165" fontId="0" fillId="0" borderId="0" xfId="0" applyNumberFormat="1"/>
    <xf numFmtId="0" fontId="58" fillId="0" borderId="0" xfId="0" applyFont="1" applyAlignment="1">
      <alignment vertical="top" wrapText="1"/>
    </xf>
    <xf numFmtId="0" fontId="60" fillId="0" borderId="0" xfId="0" applyFont="1" applyAlignment="1">
      <alignment horizontal="left" vertical="top"/>
    </xf>
    <xf numFmtId="166" fontId="59" fillId="0" borderId="0" xfId="0" applyNumberFormat="1" applyFont="1" applyAlignment="1">
      <alignment horizontal="left" vertical="top" wrapText="1"/>
    </xf>
    <xf numFmtId="0" fontId="60" fillId="0" borderId="0" xfId="0" applyFont="1" applyAlignment="1">
      <alignment horizontal="left" vertical="top" wrapText="1"/>
    </xf>
    <xf numFmtId="167" fontId="59" fillId="0" borderId="0" xfId="0" applyNumberFormat="1" applyFont="1" applyAlignment="1">
      <alignment horizontal="left" vertical="top" wrapText="1"/>
    </xf>
    <xf numFmtId="166" fontId="59" fillId="0" borderId="0" xfId="0" applyNumberFormat="1" applyFont="1" applyAlignment="1">
      <alignment horizontal="right" vertical="top" wrapText="1"/>
    </xf>
    <xf numFmtId="169" fontId="59" fillId="0" borderId="0" xfId="0" applyNumberFormat="1" applyFont="1" applyAlignment="1">
      <alignment horizontal="left" vertical="top" wrapText="1"/>
    </xf>
    <xf numFmtId="0" fontId="61" fillId="0" borderId="0" xfId="0" applyFont="1" applyAlignment="1">
      <alignment horizontal="left" vertical="top" wrapText="1"/>
    </xf>
    <xf numFmtId="0" fontId="58"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applyAlignment="1">
      <alignment horizontal="left" vertical="top" wrapText="1"/>
    </xf>
    <xf numFmtId="0" fontId="65" fillId="0" borderId="0" xfId="0" applyFont="1"/>
    <xf numFmtId="168" fontId="59" fillId="36" borderId="0" xfId="0" applyNumberFormat="1" applyFont="1" applyFill="1" applyAlignment="1">
      <alignment horizontal="left" vertical="top" wrapText="1"/>
    </xf>
    <xf numFmtId="0" fontId="60" fillId="36" borderId="0" xfId="0" applyFont="1" applyFill="1" applyAlignment="1">
      <alignment horizontal="left" vertical="top" wrapText="1"/>
    </xf>
    <xf numFmtId="0" fontId="66" fillId="0" borderId="0" xfId="0" applyNumberFormat="1" applyFont="1"/>
    <xf numFmtId="0" fontId="66" fillId="0" borderId="0" xfId="0" applyNumberFormat="1" applyFont="1" applyAlignment="1">
      <alignment horizontal="right"/>
    </xf>
    <xf numFmtId="0" fontId="66" fillId="0" borderId="0" xfId="0" applyNumberFormat="1" applyFont="1" applyFill="1"/>
    <xf numFmtId="49" fontId="24" fillId="0" borderId="0" xfId="38" applyNumberFormat="1" applyFont="1" applyFill="1"/>
    <xf numFmtId="1" fontId="47" fillId="0" borderId="0" xfId="0" applyNumberFormat="1" applyFont="1" applyFill="1" applyBorder="1"/>
    <xf numFmtId="0" fontId="46" fillId="0" borderId="0" xfId="0" applyFont="1" applyFill="1" applyAlignment="1">
      <alignment wrapText="1"/>
    </xf>
    <xf numFmtId="0" fontId="22" fillId="0" borderId="25" xfId="47" applyNumberFormat="1" applyFont="1" applyBorder="1" applyAlignment="1"/>
    <xf numFmtId="0" fontId="22" fillId="37" borderId="25" xfId="47" applyNumberFormat="1" applyFont="1" applyFill="1" applyBorder="1" applyAlignment="1"/>
    <xf numFmtId="0" fontId="22" fillId="35" borderId="25"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6" fillId="0" borderId="0" xfId="0" applyFont="1" applyBorder="1" applyAlignment="1">
      <alignment wrapText="1"/>
    </xf>
    <xf numFmtId="0" fontId="47" fillId="0" borderId="0" xfId="0" applyNumberFormat="1" applyFont="1" applyFill="1"/>
    <xf numFmtId="0" fontId="46" fillId="0" borderId="0" xfId="0" applyFont="1" applyFill="1" applyBorder="1" applyAlignment="1">
      <alignment horizontal="center"/>
    </xf>
    <xf numFmtId="0" fontId="46" fillId="0" borderId="22" xfId="0" applyFont="1" applyFill="1" applyBorder="1"/>
    <xf numFmtId="0" fontId="46" fillId="34" borderId="0" xfId="0" applyFont="1" applyFill="1" applyBorder="1" applyAlignment="1">
      <alignment horizontal="center"/>
    </xf>
    <xf numFmtId="0" fontId="46" fillId="34" borderId="17" xfId="0" applyFont="1" applyFill="1" applyBorder="1" applyAlignment="1">
      <alignment horizontal="center"/>
    </xf>
    <xf numFmtId="0" fontId="24" fillId="0" borderId="27" xfId="38" applyNumberFormat="1" applyFont="1" applyBorder="1"/>
    <xf numFmtId="0" fontId="24" fillId="0" borderId="27" xfId="38" applyNumberFormat="1" applyFont="1" applyFill="1" applyBorder="1"/>
    <xf numFmtId="0" fontId="46" fillId="0" borderId="28" xfId="0" applyFont="1" applyBorder="1" applyAlignment="1">
      <alignment horizontal="center"/>
    </xf>
    <xf numFmtId="0" fontId="46" fillId="0" borderId="27" xfId="0" applyFont="1" applyBorder="1" applyAlignment="1">
      <alignment horizontal="center"/>
    </xf>
    <xf numFmtId="0" fontId="46" fillId="0" borderId="27" xfId="0" applyFont="1" applyFill="1" applyBorder="1" applyAlignment="1">
      <alignment horizontal="center"/>
    </xf>
    <xf numFmtId="0" fontId="46" fillId="0" borderId="29" xfId="0" applyFont="1" applyBorder="1" applyAlignment="1">
      <alignment horizontal="center"/>
    </xf>
    <xf numFmtId="0" fontId="26" fillId="0" borderId="30" xfId="0" applyFont="1" applyBorder="1" applyAlignment="1">
      <alignment horizontal="center" wrapText="1"/>
    </xf>
    <xf numFmtId="0" fontId="26" fillId="0" borderId="17" xfId="0" applyFont="1" applyBorder="1" applyAlignment="1">
      <alignment horizontal="center" wrapText="1"/>
    </xf>
    <xf numFmtId="0" fontId="26" fillId="0" borderId="29" xfId="0" applyFont="1" applyBorder="1" applyAlignment="1">
      <alignment horizontal="center" wrapText="1"/>
    </xf>
    <xf numFmtId="0" fontId="46" fillId="0" borderId="27" xfId="0" applyFont="1" applyBorder="1"/>
    <xf numFmtId="0" fontId="46" fillId="0" borderId="27" xfId="0" applyFont="1" applyFill="1" applyBorder="1"/>
    <xf numFmtId="0" fontId="26" fillId="0" borderId="0" xfId="0" applyFont="1" applyBorder="1" applyAlignment="1">
      <alignment horizontal="center" wrapText="1"/>
    </xf>
    <xf numFmtId="0" fontId="26" fillId="0" borderId="27" xfId="0" applyFont="1" applyBorder="1" applyAlignment="1">
      <alignment horizontal="center" wrapText="1"/>
    </xf>
    <xf numFmtId="0" fontId="45" fillId="0" borderId="0" xfId="0" applyFont="1" applyAlignment="1">
      <alignment wrapText="1"/>
    </xf>
    <xf numFmtId="17" fontId="45" fillId="0" borderId="0" xfId="0" applyNumberFormat="1" applyFont="1" applyAlignment="1">
      <alignment wrapText="1"/>
    </xf>
    <xf numFmtId="0" fontId="68" fillId="0" borderId="0" xfId="0" applyFont="1" applyAlignment="1">
      <alignment wrapText="1"/>
    </xf>
    <xf numFmtId="0" fontId="46" fillId="0" borderId="0" xfId="0" applyNumberFormat="1" applyFont="1" applyAlignment="1">
      <alignment horizontal="center"/>
    </xf>
    <xf numFmtId="0" fontId="46" fillId="0" borderId="0" xfId="0" applyNumberFormat="1" applyFont="1" applyFill="1" applyAlignment="1">
      <alignment horizontal="center"/>
    </xf>
    <xf numFmtId="49" fontId="26" fillId="0" borderId="0" xfId="0" applyNumberFormat="1" applyFont="1" applyFill="1"/>
    <xf numFmtId="49" fontId="0" fillId="0" borderId="0" xfId="0" applyNumberFormat="1" applyFill="1"/>
    <xf numFmtId="49" fontId="26" fillId="0" borderId="0" xfId="0" applyNumberFormat="1" applyFont="1" applyFill="1" applyBorder="1" applyAlignment="1">
      <alignment horizontal="center" wrapText="1"/>
    </xf>
    <xf numFmtId="49" fontId="24" fillId="0" borderId="0" xfId="38" applyNumberFormat="1" applyFont="1" applyFill="1" applyAlignment="1">
      <alignment horizontal="center"/>
    </xf>
    <xf numFmtId="0" fontId="49" fillId="0" borderId="31" xfId="44" applyFont="1" applyBorder="1" applyAlignment="1">
      <alignment horizontal="center"/>
    </xf>
    <xf numFmtId="0" fontId="46"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0" fontId="0" fillId="0" borderId="0" xfId="0" applyFont="1"/>
    <xf numFmtId="0" fontId="0" fillId="0" borderId="0" xfId="0" applyFont="1" applyFill="1"/>
    <xf numFmtId="1" fontId="46" fillId="0" borderId="0" xfId="0" applyNumberFormat="1" applyFont="1" applyFill="1" applyBorder="1"/>
    <xf numFmtId="0" fontId="19" fillId="37" borderId="25" xfId="62" applyNumberFormat="1" applyFont="1" applyFill="1" applyBorder="1" applyAlignment="1"/>
    <xf numFmtId="0" fontId="19" fillId="0" borderId="25" xfId="62" applyNumberFormat="1" applyFont="1" applyBorder="1" applyAlignment="1"/>
    <xf numFmtId="49" fontId="26" fillId="0" borderId="0" xfId="0" applyNumberFormat="1" applyFont="1" applyAlignment="1">
      <alignment horizontal="center"/>
    </xf>
    <xf numFmtId="0" fontId="46" fillId="34" borderId="16" xfId="0" applyFont="1" applyFill="1" applyBorder="1" applyAlignment="1">
      <alignment horizontal="center"/>
    </xf>
    <xf numFmtId="0" fontId="46" fillId="34" borderId="0" xfId="0" applyFont="1" applyFill="1" applyBorder="1" applyAlignment="1">
      <alignment horizontal="center" wrapText="1"/>
    </xf>
    <xf numFmtId="1" fontId="46" fillId="0" borderId="0" xfId="0" applyNumberFormat="1" applyFont="1"/>
    <xf numFmtId="1" fontId="46" fillId="0" borderId="0" xfId="0" applyNumberFormat="1" applyFont="1" applyFill="1"/>
    <xf numFmtId="49" fontId="26" fillId="0" borderId="0" xfId="64" applyNumberFormat="1" applyFont="1"/>
    <xf numFmtId="0" fontId="16" fillId="0" borderId="0" xfId="81"/>
    <xf numFmtId="1" fontId="47" fillId="0" borderId="17" xfId="0" applyNumberFormat="1" applyFont="1" applyFill="1" applyBorder="1"/>
    <xf numFmtId="0" fontId="69" fillId="0" borderId="25" xfId="0" applyFont="1" applyBorder="1"/>
    <xf numFmtId="0" fontId="57" fillId="0" borderId="0" xfId="0" applyFont="1" applyAlignment="1">
      <alignment wrapText="1"/>
    </xf>
    <xf numFmtId="0" fontId="57" fillId="0" borderId="0" xfId="0" applyFont="1" applyAlignment="1">
      <alignment horizontal="center" wrapText="1"/>
    </xf>
    <xf numFmtId="1" fontId="57" fillId="0" borderId="0" xfId="0" applyNumberFormat="1" applyFont="1" applyAlignment="1">
      <alignment horizontal="center" wrapText="1"/>
    </xf>
    <xf numFmtId="0" fontId="26" fillId="0" borderId="0" xfId="0" applyFont="1" applyAlignment="1">
      <alignment wrapText="1"/>
    </xf>
    <xf numFmtId="0" fontId="43" fillId="0" borderId="0" xfId="0" applyFont="1" applyAlignment="1">
      <alignment wrapText="1"/>
    </xf>
    <xf numFmtId="0" fontId="43" fillId="0" borderId="0" xfId="0" applyFont="1" applyAlignment="1">
      <alignment horizontal="center" wrapText="1"/>
    </xf>
    <xf numFmtId="1" fontId="43" fillId="0" borderId="0" xfId="0" applyNumberFormat="1" applyFont="1" applyAlignment="1">
      <alignment horizontal="center" wrapText="1"/>
    </xf>
    <xf numFmtId="1" fontId="0" fillId="0" borderId="0" xfId="0" applyNumberFormat="1" applyAlignment="1">
      <alignment horizontal="center" wrapText="1"/>
    </xf>
    <xf numFmtId="0" fontId="15" fillId="37" borderId="32" xfId="0" applyNumberFormat="1" applyFont="1" applyFill="1" applyBorder="1"/>
    <xf numFmtId="0" fontId="15" fillId="0" borderId="32"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3" fillId="0" borderId="0" xfId="96" applyFill="1" applyAlignment="1">
      <alignment wrapText="1"/>
    </xf>
    <xf numFmtId="0" fontId="12" fillId="0" borderId="0" xfId="96" applyFont="1" applyFill="1" applyAlignment="1">
      <alignment wrapText="1"/>
    </xf>
    <xf numFmtId="49" fontId="11" fillId="0" borderId="0" xfId="38" applyNumberFormat="1" applyFont="1"/>
    <xf numFmtId="49" fontId="11" fillId="0" borderId="0" xfId="38" applyNumberFormat="1" applyFont="1" applyAlignment="1">
      <alignment horizontal="center"/>
    </xf>
    <xf numFmtId="0" fontId="11" fillId="0" borderId="0" xfId="97" applyAlignment="1">
      <alignment horizontal="center"/>
    </xf>
    <xf numFmtId="1" fontId="11" fillId="0" borderId="0" xfId="97" applyNumberFormat="1" applyAlignment="1">
      <alignment horizontal="center"/>
    </xf>
    <xf numFmtId="1" fontId="11" fillId="33" borderId="0" xfId="97" applyNumberFormat="1" applyFill="1" applyAlignment="1">
      <alignment horizontal="center"/>
    </xf>
    <xf numFmtId="0" fontId="46" fillId="0" borderId="0" xfId="0" applyNumberFormat="1" applyFont="1"/>
    <xf numFmtId="49" fontId="10" fillId="0" borderId="0" xfId="38" applyNumberFormat="1" applyFont="1" applyAlignment="1">
      <alignment horizontal="center"/>
    </xf>
    <xf numFmtId="0" fontId="57" fillId="0" borderId="0" xfId="98" applyFont="1"/>
    <xf numFmtId="1" fontId="57" fillId="0" borderId="0" xfId="98" applyNumberFormat="1" applyFont="1" applyAlignment="1">
      <alignment horizontal="center"/>
    </xf>
    <xf numFmtId="0" fontId="10" fillId="0" borderId="0" xfId="98"/>
    <xf numFmtId="0" fontId="43" fillId="0" borderId="0" xfId="98" applyFont="1"/>
    <xf numFmtId="0" fontId="43" fillId="0" borderId="0" xfId="98" applyFont="1" applyAlignment="1">
      <alignment horizontal="center"/>
    </xf>
    <xf numFmtId="1" fontId="43" fillId="0" borderId="0" xfId="98" applyNumberFormat="1" applyFont="1" applyAlignment="1">
      <alignment horizontal="center"/>
    </xf>
    <xf numFmtId="0" fontId="10" fillId="0" borderId="0" xfId="98" applyAlignment="1">
      <alignment horizontal="center"/>
    </xf>
    <xf numFmtId="1" fontId="10" fillId="0" borderId="0" xfId="98" applyNumberFormat="1" applyAlignment="1">
      <alignment horizontal="center"/>
    </xf>
    <xf numFmtId="0" fontId="9" fillId="0" borderId="0" xfId="98" applyFont="1"/>
    <xf numFmtId="0" fontId="72" fillId="0" borderId="0" xfId="0" applyFont="1" applyAlignment="1">
      <alignment horizontal="center" wrapText="1"/>
    </xf>
    <xf numFmtId="0" fontId="46" fillId="0" borderId="0" xfId="0" applyFont="1" applyAlignment="1">
      <alignment horizontal="center" wrapText="1"/>
    </xf>
    <xf numFmtId="0" fontId="46" fillId="0" borderId="12" xfId="0" applyFont="1" applyBorder="1" applyAlignment="1">
      <alignment wrapText="1"/>
    </xf>
    <xf numFmtId="0" fontId="46" fillId="42" borderId="0" xfId="0" applyFont="1" applyFill="1" applyAlignment="1">
      <alignment wrapText="1"/>
    </xf>
    <xf numFmtId="0" fontId="66" fillId="0" borderId="33" xfId="0" applyFont="1" applyBorder="1"/>
    <xf numFmtId="0" fontId="66" fillId="0" borderId="33" xfId="0" applyFont="1" applyFill="1" applyBorder="1"/>
    <xf numFmtId="0" fontId="0" fillId="0" borderId="33" xfId="0" applyBorder="1" applyAlignment="1">
      <alignment horizontal="center" wrapText="1"/>
    </xf>
    <xf numFmtId="0" fontId="45" fillId="0" borderId="18" xfId="0" applyFont="1" applyBorder="1" applyAlignment="1">
      <alignment wrapText="1"/>
    </xf>
    <xf numFmtId="0" fontId="72" fillId="0" borderId="13" xfId="0" applyFont="1" applyBorder="1" applyAlignment="1">
      <alignment horizontal="center" wrapText="1"/>
    </xf>
    <xf numFmtId="0" fontId="72" fillId="0" borderId="14" xfId="0" applyFont="1" applyBorder="1" applyAlignment="1">
      <alignment horizontal="center" wrapText="1"/>
    </xf>
    <xf numFmtId="0" fontId="72" fillId="0" borderId="15" xfId="0" applyFont="1" applyBorder="1" applyAlignment="1">
      <alignment horizontal="center" wrapText="1"/>
    </xf>
    <xf numFmtId="0" fontId="57" fillId="0" borderId="0" xfId="98" applyFont="1" applyAlignment="1">
      <alignment horizontal="center"/>
    </xf>
    <xf numFmtId="0" fontId="74" fillId="0" borderId="0" xfId="0" applyFont="1"/>
    <xf numFmtId="0" fontId="75" fillId="36" borderId="0" xfId="0" applyFont="1" applyFill="1" applyAlignment="1"/>
    <xf numFmtId="0" fontId="57" fillId="36" borderId="0" xfId="0" applyFont="1" applyFill="1" applyAlignment="1">
      <alignment wrapText="1"/>
    </xf>
    <xf numFmtId="0" fontId="8" fillId="0" borderId="0" xfId="96" applyFont="1" applyFill="1" applyAlignment="1">
      <alignment wrapText="1"/>
    </xf>
    <xf numFmtId="49" fontId="7" fillId="0" borderId="0" xfId="38" applyNumberFormat="1" applyFont="1"/>
    <xf numFmtId="49" fontId="6" fillId="0" borderId="0" xfId="38" applyNumberFormat="1" applyFont="1"/>
    <xf numFmtId="0" fontId="74" fillId="0" borderId="0" xfId="98" applyFont="1" applyFill="1"/>
    <xf numFmtId="0" fontId="76" fillId="43" borderId="0" xfId="98" applyFont="1" applyFill="1" applyAlignment="1">
      <alignment horizontal="center"/>
    </xf>
    <xf numFmtId="1" fontId="76" fillId="0" borderId="0" xfId="98" applyNumberFormat="1" applyFont="1" applyFill="1" applyAlignment="1">
      <alignment horizontal="center"/>
    </xf>
    <xf numFmtId="0" fontId="76" fillId="0" borderId="0" xfId="98" applyFont="1" applyFill="1" applyAlignment="1">
      <alignment horizontal="center"/>
    </xf>
    <xf numFmtId="0" fontId="66" fillId="36" borderId="0" xfId="0" applyNumberFormat="1" applyFont="1" applyFill="1"/>
    <xf numFmtId="0" fontId="46"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6" fillId="36" borderId="0" xfId="0" applyNumberFormat="1" applyFont="1" applyFill="1" applyAlignment="1">
      <alignment horizontal="center"/>
    </xf>
    <xf numFmtId="49" fontId="24" fillId="36" borderId="0" xfId="38" applyNumberFormat="1" applyFont="1" applyFill="1" applyAlignment="1">
      <alignment horizontal="center"/>
    </xf>
    <xf numFmtId="0" fontId="0" fillId="36" borderId="0" xfId="0" applyFill="1"/>
    <xf numFmtId="49" fontId="5" fillId="36" borderId="0" xfId="38" applyNumberFormat="1" applyFont="1" applyFill="1"/>
    <xf numFmtId="0" fontId="0" fillId="36" borderId="0" xfId="0" applyFill="1" applyAlignment="1">
      <alignment wrapText="1"/>
    </xf>
    <xf numFmtId="49" fontId="4" fillId="0" borderId="0" xfId="38" applyNumberFormat="1" applyFont="1" applyAlignment="1">
      <alignment horizontal="center"/>
    </xf>
    <xf numFmtId="0" fontId="77" fillId="44" borderId="25" xfId="0" applyFont="1" applyFill="1" applyBorder="1" applyAlignment="1">
      <alignment horizontal="center" wrapText="1"/>
    </xf>
    <xf numFmtId="0" fontId="77" fillId="44" borderId="34" xfId="0" applyFont="1" applyFill="1" applyBorder="1" applyAlignment="1">
      <alignment horizontal="center" wrapText="1"/>
    </xf>
    <xf numFmtId="0" fontId="3" fillId="0" borderId="34" xfId="0" applyNumberFormat="1" applyFont="1" applyBorder="1"/>
    <xf numFmtId="0" fontId="69" fillId="0" borderId="34" xfId="0" applyFont="1" applyBorder="1"/>
    <xf numFmtId="49" fontId="69" fillId="0" borderId="34" xfId="0" applyNumberFormat="1" applyFont="1" applyBorder="1" applyAlignment="1">
      <alignment horizontal="center"/>
    </xf>
    <xf numFmtId="0" fontId="3" fillId="0" borderId="25" xfId="0" applyNumberFormat="1" applyFont="1" applyBorder="1"/>
    <xf numFmtId="0" fontId="3" fillId="37" borderId="25" xfId="0" applyNumberFormat="1" applyFont="1" applyFill="1" applyBorder="1"/>
    <xf numFmtId="0" fontId="3" fillId="37" borderId="34" xfId="0" applyNumberFormat="1" applyFont="1" applyFill="1" applyBorder="1"/>
    <xf numFmtId="0" fontId="69" fillId="37" borderId="34" xfId="0" applyFont="1" applyFill="1" applyBorder="1"/>
    <xf numFmtId="49" fontId="69" fillId="37" borderId="34" xfId="0" applyNumberFormat="1" applyFont="1" applyFill="1" applyBorder="1" applyAlignment="1">
      <alignment horizontal="center"/>
    </xf>
    <xf numFmtId="0" fontId="3" fillId="0" borderId="34" xfId="0" applyFont="1" applyBorder="1" applyAlignment="1">
      <alignment wrapText="1"/>
    </xf>
    <xf numFmtId="0" fontId="3" fillId="37" borderId="34" xfId="0" applyFont="1" applyFill="1" applyBorder="1" applyAlignment="1">
      <alignment wrapText="1"/>
    </xf>
    <xf numFmtId="0" fontId="78" fillId="44" borderId="34" xfId="0" applyFont="1" applyFill="1" applyBorder="1" applyAlignment="1">
      <alignment horizontal="center" wrapText="1"/>
    </xf>
    <xf numFmtId="49" fontId="3" fillId="37" borderId="34" xfId="38" applyNumberFormat="1" applyFont="1" applyFill="1" applyBorder="1" applyAlignment="1">
      <alignment horizontal="center"/>
    </xf>
    <xf numFmtId="49" fontId="3" fillId="37" borderId="34" xfId="38" applyNumberFormat="1" applyFont="1" applyFill="1" applyBorder="1" applyAlignment="1"/>
    <xf numFmtId="49" fontId="3" fillId="0" borderId="34" xfId="38" applyNumberFormat="1" applyFont="1" applyBorder="1" applyAlignment="1">
      <alignment horizontal="center"/>
    </xf>
    <xf numFmtId="49" fontId="3" fillId="0" borderId="34" xfId="38" applyNumberFormat="1" applyFont="1" applyBorder="1" applyAlignment="1"/>
    <xf numFmtId="0" fontId="43" fillId="0" borderId="35" xfId="0" applyFont="1" applyBorder="1"/>
    <xf numFmtId="0" fontId="43" fillId="0" borderId="36" xfId="0" applyFont="1" applyBorder="1"/>
    <xf numFmtId="0" fontId="43" fillId="0" borderId="36" xfId="0" applyFont="1" applyBorder="1" applyAlignment="1">
      <alignment horizontal="center"/>
    </xf>
    <xf numFmtId="0" fontId="43" fillId="0" borderId="36" xfId="0" applyNumberFormat="1" applyFont="1" applyBorder="1" applyAlignment="1"/>
    <xf numFmtId="0" fontId="43" fillId="0" borderId="37" xfId="0" applyNumberFormat="1" applyFont="1" applyBorder="1" applyAlignment="1"/>
    <xf numFmtId="0" fontId="43" fillId="0" borderId="38" xfId="0" applyFont="1" applyBorder="1"/>
    <xf numFmtId="0" fontId="43" fillId="0" borderId="37" xfId="0" applyFont="1" applyBorder="1"/>
    <xf numFmtId="1" fontId="43" fillId="0" borderId="38" xfId="0" applyNumberFormat="1" applyFont="1" applyBorder="1"/>
    <xf numFmtId="1" fontId="43" fillId="0" borderId="36" xfId="0" applyNumberFormat="1" applyFont="1" applyBorder="1"/>
    <xf numFmtId="0" fontId="79" fillId="0" borderId="36" xfId="0" applyFont="1" applyBorder="1"/>
    <xf numFmtId="0" fontId="79" fillId="0" borderId="39" xfId="0" applyFont="1" applyBorder="1"/>
    <xf numFmtId="0" fontId="77" fillId="44" borderId="0" xfId="0" applyFont="1" applyFill="1" applyBorder="1" applyAlignment="1">
      <alignment horizontal="center" wrapText="1"/>
    </xf>
    <xf numFmtId="17" fontId="0" fillId="0" borderId="0" xfId="0" applyNumberFormat="1"/>
    <xf numFmtId="0" fontId="74" fillId="45" borderId="40" xfId="0" applyFont="1" applyFill="1" applyBorder="1"/>
    <xf numFmtId="0" fontId="74" fillId="0" borderId="40" xfId="0" applyFont="1" applyBorder="1"/>
    <xf numFmtId="0" fontId="0" fillId="0" borderId="26" xfId="0" applyFont="1" applyBorder="1" applyAlignment="1">
      <alignment horizontal="center" wrapText="1"/>
    </xf>
    <xf numFmtId="0" fontId="0" fillId="0" borderId="0" xfId="0" applyFont="1" applyBorder="1" applyAlignment="1">
      <alignment horizontal="center" wrapText="1"/>
    </xf>
    <xf numFmtId="0" fontId="43" fillId="0" borderId="35" xfId="0" applyNumberFormat="1" applyFont="1" applyBorder="1" applyAlignment="1"/>
    <xf numFmtId="0" fontId="43" fillId="0" borderId="38" xfId="0" applyNumberFormat="1" applyFont="1" applyBorder="1" applyAlignment="1"/>
    <xf numFmtId="0" fontId="43" fillId="0" borderId="39" xfId="0" applyNumberFormat="1" applyFont="1" applyBorder="1" applyAlignment="1"/>
    <xf numFmtId="1" fontId="46" fillId="36" borderId="0" xfId="0" applyNumberFormat="1" applyFont="1" applyFill="1"/>
    <xf numFmtId="49" fontId="26" fillId="0" borderId="0" xfId="0" applyNumberFormat="1" applyFont="1" applyFill="1" applyBorder="1"/>
    <xf numFmtId="1" fontId="0" fillId="0" borderId="0" xfId="0" applyNumberFormat="1" applyFill="1"/>
    <xf numFmtId="49" fontId="26" fillId="0" borderId="0" xfId="64" applyNumberFormat="1" applyFont="1" applyFill="1"/>
    <xf numFmtId="0" fontId="0" fillId="0" borderId="0" xfId="0" applyFill="1"/>
    <xf numFmtId="49" fontId="2" fillId="36" borderId="0" xfId="38" applyNumberFormat="1" applyFont="1" applyFill="1" applyAlignment="1">
      <alignment horizontal="center"/>
    </xf>
    <xf numFmtId="49" fontId="2" fillId="0" borderId="0" xfId="38" applyNumberFormat="1" applyFont="1"/>
    <xf numFmtId="0" fontId="1" fillId="0" borderId="0" xfId="0" applyNumberFormat="1" applyFont="1" applyFill="1" applyBorder="1" applyAlignment="1" applyProtection="1"/>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17" fontId="1" fillId="0" borderId="0" xfId="38" applyNumberFormat="1" applyFont="1"/>
    <xf numFmtId="0" fontId="45" fillId="0" borderId="13" xfId="0" applyFont="1" applyBorder="1" applyAlignment="1">
      <alignment horizontal="center" wrapText="1"/>
    </xf>
    <xf numFmtId="0" fontId="45" fillId="0" borderId="15" xfId="0" applyFont="1" applyBorder="1" applyAlignment="1">
      <alignment horizontal="center" wrapText="1"/>
    </xf>
    <xf numFmtId="0" fontId="73" fillId="0" borderId="13" xfId="0" applyFont="1" applyBorder="1" applyAlignment="1">
      <alignment horizontal="center"/>
    </xf>
    <xf numFmtId="0" fontId="73" fillId="0" borderId="14" xfId="0" applyFont="1" applyBorder="1" applyAlignment="1">
      <alignment horizontal="center"/>
    </xf>
    <xf numFmtId="0" fontId="73" fillId="0" borderId="15" xfId="0" applyFont="1" applyBorder="1" applyAlignment="1">
      <alignment horizontal="center"/>
    </xf>
    <xf numFmtId="0" fontId="56" fillId="0" borderId="0" xfId="0" applyFont="1" applyFill="1" applyAlignment="1">
      <alignment horizontal="center" wrapText="1"/>
    </xf>
    <xf numFmtId="0" fontId="67" fillId="0" borderId="0" xfId="0" applyFont="1" applyFill="1" applyAlignment="1">
      <alignment horizontal="center" wrapText="1"/>
    </xf>
    <xf numFmtId="0" fontId="45" fillId="0" borderId="14" xfId="0" applyFont="1" applyBorder="1" applyAlignment="1">
      <alignment horizontal="center" wrapText="1"/>
    </xf>
    <xf numFmtId="0" fontId="70" fillId="0" borderId="17" xfId="0" applyFont="1" applyBorder="1" applyAlignment="1">
      <alignment horizontal="left" wrapText="1"/>
    </xf>
    <xf numFmtId="0" fontId="57" fillId="0" borderId="0" xfId="0" applyFont="1" applyAlignment="1">
      <alignment horizontal="center" wrapText="1"/>
    </xf>
    <xf numFmtId="17" fontId="57" fillId="0" borderId="0" xfId="0" applyNumberFormat="1" applyFont="1" applyAlignment="1">
      <alignment horizontal="center" wrapText="1"/>
    </xf>
    <xf numFmtId="0" fontId="57" fillId="0" borderId="0" xfId="98" applyFont="1" applyAlignment="1">
      <alignment horizontal="center"/>
    </xf>
    <xf numFmtId="17" fontId="57" fillId="0" borderId="0" xfId="98" applyNumberFormat="1" applyFont="1" applyAlignment="1">
      <alignment horizontal="center"/>
    </xf>
  </cellXfs>
  <cellStyles count="125">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scheme val="minor"/>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strike val="0"/>
        <outline val="0"/>
        <shadow val="0"/>
        <u val="none"/>
        <vertAlign val="baseline"/>
        <sz val="1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1" formatCode="0"/>
      <border diagonalUp="0" diagonalDown="0">
        <left style="thick">
          <color rgb="FFFF0000"/>
        </left>
        <right style="thick">
          <color rgb="FFFF0000"/>
        </right>
        <top/>
        <bottom/>
        <vertical/>
        <horizontal/>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1" formatCode="0"/>
      <border diagonalUp="0" diagonalDown="0">
        <left/>
        <right style="thin">
          <color indexed="64"/>
        </right>
        <top/>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0" formatCode="General"/>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1" formatCode="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sz val="11"/>
        <name val="Calibri"/>
        <scheme val="minor"/>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30" formatCode="@"/>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externalLink" Target="externalLinks/externalLink1.xml"/><Relationship Id="rId15" Type="http://schemas.openxmlformats.org/officeDocument/2006/relationships/pivotCacheDefinition" Target="pivotCache/pivotCacheDefinition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5">
      <pivotArea field="2" type="button" dataOnly="0" labelOnly="1" outline="0" axis="axisRow" fieldPosition="0"/>
    </format>
    <format dxfId="14">
      <pivotArea dataOnly="0" labelOnly="1" outline="0" fieldPosition="0">
        <references count="1">
          <reference field="4294967294" count="2">
            <x v="0"/>
            <x v="1"/>
          </reference>
        </references>
      </pivotArea>
    </format>
    <format dxfId="13">
      <pivotArea dataOnly="0" outline="0" fieldPosition="0">
        <references count="1">
          <reference field="4294967294" count="2">
            <x v="0"/>
            <x v="1"/>
          </reference>
        </references>
      </pivotArea>
    </format>
    <format dxfId="12">
      <pivotArea dataOnly="0" outline="0" fieldPosition="0">
        <references count="1">
          <reference field="4294967294" count="1">
            <x v="0"/>
          </reference>
        </references>
      </pivotArea>
    </format>
    <format dxfId="11">
      <pivotArea dataOnly="0" outline="0" fieldPosition="0">
        <references count="1">
          <reference field="4294967294" count="1">
            <x v="1"/>
          </reference>
        </references>
      </pivotArea>
    </format>
    <format dxfId="10">
      <pivotArea dataOnly="0" outline="0" fieldPosition="0">
        <references count="1">
          <reference field="4294967294" count="1">
            <x v="0"/>
          </reference>
        </references>
      </pivotArea>
    </format>
    <format dxfId="9">
      <pivotArea dataOnly="0" outline="0" fieldPosition="0">
        <references count="1">
          <reference field="4294967294" count="1">
            <x v="1"/>
          </reference>
        </references>
      </pivotArea>
    </format>
    <format dxfId="8">
      <pivotArea outline="0" fieldPosition="0">
        <references count="1">
          <reference field="4294967294" count="1">
            <x v="2"/>
          </reference>
        </references>
      </pivotArea>
    </format>
    <format dxfId="7">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6" name="rrcworking" displayName="rrcworking" ref="C5:AP195" totalsRowCount="1" headerRowDxfId="160" dataDxfId="159">
  <autoFilter ref="C5:AP194"/>
  <sortState ref="C6:AE197">
    <sortCondition ref="E5:E197"/>
  </sortState>
  <tableColumns count="40">
    <tableColumn id="14" name="Magnum Wolfpak #" totalsRowFunction="count" dataDxfId="158" totalsRowDxfId="157"/>
    <tableColumn id="28" name="Field Name" dataDxfId="156" totalsRowDxfId="155"/>
    <tableColumn id="1" name="Lease Name" totalsRowLabel="Total" dataDxfId="154" totalsRowDxfId="153"/>
    <tableColumn id="4" name="Well Number" totalsRowFunction="count" dataDxfId="152" totalsRowDxfId="151"/>
    <tableColumn id="29" name="Commingle Permit Number" dataDxfId="150" totalsRowDxfId="149"/>
    <tableColumn id="16" name="District" dataDxfId="148" totalsRowDxfId="147"/>
    <tableColumn id="30" name="Lease Type" dataDxfId="146" totalsRowDxfId="145"/>
    <tableColumn id="2" name="RRC ID" dataDxfId="144" totalsRowDxfId="143" dataCellStyle="Normal 2"/>
    <tableColumn id="3" name="RRC ID Number" dataDxfId="142" totalsRowDxfId="141" dataCellStyle="Normal 2"/>
    <tableColumn id="5" name=" Last Month Oil Production" totalsRowFunction="sum" dataDxfId="140" totalsRowDxfId="139">
      <calculatedColumnFormula>INDEX(Table1[Production],MATCH(rrcworking[[#This Row],[RRC ID Number]],Table1[RRC Identifier],0))</calculatedColumnFormula>
    </tableColumn>
    <tableColumn id="6" name="Last Month Gas Prod" totalsRowFunction="sum" dataDxfId="138" totalsRowDxfId="137">
      <calculatedColumnFormula>INDEX(Table1[Formation Production],MATCH(rrcworking[[#This Row],[RRC ID Number]],Table1[RRC Identifier],0))</calculatedColumnFormula>
    </tableColumn>
    <tableColumn id="7" name="Last Month Closing Stock" totalsRowFunction="sum" dataDxfId="136" totalsRowDxfId="135">
      <calculatedColumnFormula>INDEX(Table1[On Hand End of Month],MATCH(rrcworking[[#This Row],[RRC ID Number]],Table1[RRC Identifier],0))</calculatedColumnFormula>
    </tableColumn>
    <tableColumn id="8" name="No activity?" dataDxfId="134" totalsRowDxfId="133">
      <calculatedColumnFormula>IF(AND(L6=0,M6=0), TRUE, FALSE)</calculatedColumnFormula>
    </tableColumn>
    <tableColumn id="23" name="Gauge Sheet Prod Volume (oil)" dataDxfId="132" totalsRowDxfId="131" dataCellStyle="Normal 9"/>
    <tableColumn id="9" name="Opening Oil Stock" totalsRowFunction="sum" dataDxfId="130" totalsRowDxfId="129">
      <calculatedColumnFormula>rrcworking[[#This Row],[Last Month Closing Stock]]</calculatedColumnFormula>
    </tableColumn>
    <tableColumn id="10" name="Closing Stock (Oil)" totalsRowFunction="sum" dataDxfId="128" totalsRowDxfId="127" dataCellStyle="Normal 9"/>
    <tableColumn id="11" name="Sales/Dispostion" totalsRowFunction="sum" dataDxfId="126" totalsRowDxfId="125">
      <calculatedColumnFormula>IF(ISERROR(INDEX(Table2[OIL],MATCH(rrcworking[[#This Row],[Magnum Wolfpak '#]],Table2[Rox Wolf'#],0))),0,INDEX(Table2[OIL],MATCH(rrcworking[[#This Row],[Magnum Wolfpak '#]],Table2[Rox Wolf'#],0)))</calculatedColumnFormula>
    </tableColumn>
    <tableColumn id="12" name="Oil Production" totalsRowFunction="sum" dataDxfId="124" totalsRowDxfId="123">
      <calculatedColumnFormula>rrcworking[[#This Row],[Closing Stock (Oil)]]+rrcworking[[#This Row],[Sales/Dispostion]]-rrcworking[[#This Row],[Opening Oil Stock]]</calculatedColumnFormula>
    </tableColumn>
    <tableColumn id="26" name="Prod Calc vs Gauge Sheet" dataDxfId="122" totalsRowDxfId="121">
      <calculatedColumnFormula>rrcworking[[#This Row],[Gauge Sheet Prod Volume (oil)]]-rrcworking[[#This Row],[Oil Production]]</calculatedColumnFormula>
    </tableColumn>
    <tableColumn id="17" name="Gas Sales Statement Volume (MCF)" totalsRowFunction="sum" dataDxfId="120" totalsRowDxfId="119">
      <calculatedColumnFormula>IF(ISERROR(INDEX(Table2[GAS],MATCH(rrcworking[[#This Row],[Magnum Wolfpak '#]],Table2[Rox Wolf'#],0))),0,INDEX(Table2[GAS],MATCH(rrcworking[[#This Row],[Magnum Wolfpak '#]],Table2[Rox Wolf'#],0)))</calculatedColumnFormula>
    </tableColumn>
    <tableColumn id="25" name="Hours Operated" dataDxfId="118" totalsRowDxfId="117"/>
    <tableColumn id="27" name="Compressor Fuel Rate MCFD" dataDxfId="116" totalsRowDxfId="115"/>
    <tableColumn id="19" name="Lease Use (MCF)" totalsRowFunction="sum" dataDxfId="114" totalsRowDxfId="113">
      <calculatedColumnFormula>IF(ISERROR(INDEX(Table2[LEASE USE],MATCH(rrcworking[[#This Row],[Magnum Wolfpak '#]],Table2[Rox Wolf'#],0))),0,INDEX(Table2[LEASE USE],MATCH(rrcworking[[#This Row],[Magnum Wolfpak '#]],Table2[Rox Wolf'#],0)))</calculatedColumnFormula>
    </tableColumn>
    <tableColumn id="37" name="Flared Gas" dataDxfId="112" totalsRowDxfId="111"/>
    <tableColumn id="20" name="Formation Production (MCF) @ 14.65 psi" totalsRowFunction="sum" dataDxfId="110" totalsRowDxfId="109">
      <calculatedColumnFormula>rrcworking[[#This Row],[Gas Sales Statement Volume (MCF)]]+rrcworking[[#This Row],[Lease Use (MCF)]]+rrcworking[[#This Row],[Flared Gas]]</calculatedColumnFormula>
    </tableColumn>
    <tableColumn id="24" name="Gas Comments" totalsRowFunction="count" dataDxfId="108" totalsRowDxfId="107"/>
    <tableColumn id="22" name="Oil Comments" dataDxfId="106" totalsRowDxfId="105"/>
    <tableColumn id="15" name="FilterList" dataDxfId="104" totalsRowDxfId="103">
      <calculatedColumnFormula>COUNTIF(FilterList,rrcworking[[#This Row],[Magnum Wolfpak '#]])</calculatedColumnFormula>
    </tableColumn>
    <tableColumn id="13" name="Gauge Sheet Prod Vol" dataDxfId="102" totalsRowDxfId="101"/>
    <tableColumn id="31" name="Closing Oil Stock" dataDxfId="100" totalsRowDxfId="99"/>
    <tableColumn id="32" name="Manual Extraction Gauge Sheet Prod" dataDxfId="98" totalsRowDxfId="97"/>
    <tableColumn id="33" name="Manual Extraction Closing Stock" dataDxfId="96" totalsRowDxfId="95"/>
    <tableColumn id="34" name="Number of Oil Tanks" dataDxfId="94" totalsRowDxfId="93"/>
    <tableColumn id="35" name="Monthly Tabs" dataDxfId="92" totalsRowDxfId="91"/>
    <tableColumn id="36" name="Multiple Years" dataDxfId="90" totalsRowDxfId="89"/>
    <tableColumn id="39" name="Oil Stock Cell" dataDxfId="88" totalsRowDxfId="87"/>
    <tableColumn id="40" name="Shift Up Required" dataDxfId="86" totalsRowDxfId="85"/>
    <tableColumn id="41" name="Gauge Sheet Oil Production" dataDxfId="84" totalsRowDxfId="83"/>
    <tableColumn id="42" name="Filename" dataDxfId="82" totalsRowDxfId="81"/>
    <tableColumn id="43" name="Comments" dataDxfId="80" totalsRowDxfId="79"/>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78" tableBorderDxfId="77" dataCellStyle="Normal 3">
  <autoFilter ref="A1:A12"/>
  <tableColumns count="1">
    <tableColumn id="1" name="well" dataDxfId="76"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72" dataDxfId="71" totalsRowDxfId="70">
  <autoFilter ref="A4:K95">
    <filterColumn colId="10">
      <filters blank="1"/>
    </filterColumn>
  </autoFilter>
  <sortState ref="A5:K93">
    <sortCondition ref="B4:B93"/>
  </sortState>
  <tableColumns count="11">
    <tableColumn id="11" name="Rox Wolf#" totalsRowFunction="count" dataDxfId="69" dataCellStyle="Normal 12"/>
    <tableColumn id="2" name="Well Name" dataDxfId="68" dataCellStyle="Normal 12"/>
    <tableColumn id="3" name="OIL" totalsRowFunction="sum" dataDxfId="67" dataCellStyle="Normal 12">
      <calculatedColumnFormula>ROUND(INDEX(Table4[OIL],MATCH(Table2[[#This Row],[Rox Wolf'#]],Table4[Wolf],0)),0)</calculatedColumnFormula>
    </tableColumn>
    <tableColumn id="4" name="GAS" totalsRowFunction="sum" dataDxfId="66" totalsRowDxfId="65" dataCellStyle="Normal 13">
      <calculatedColumnFormula>INDEX(Table4[GAS],MATCH(Table2[[#This Row],[Rox Wolf'#]],Table4[Wolf],0))</calculatedColumnFormula>
    </tableColumn>
    <tableColumn id="5" name="LEASE USE" totalsRowFunction="sum" dataDxfId="64" dataCellStyle="Normal 12">
      <calculatedColumnFormula>INDEX(Table4[LEASE USE],MATCH(Table2[[#This Row],[Rox Wolf'#]],Table4[Wolf],0))</calculatedColumnFormula>
    </tableColumn>
    <tableColumn id="6" name="LU PER DAY" dataDxfId="63" dataCellStyle="Normal 12"/>
    <tableColumn id="7" name="DAYS ON" dataDxfId="62" dataCellStyle="Normal 12"/>
    <tableColumn id="8" name="PU PER DAY" dataDxfId="61" dataCellStyle="Normal 12"/>
    <tableColumn id="9" name="PU ON" dataDxfId="60" dataCellStyle="Normal 12"/>
    <tableColumn id="10" name="Filter" totalsRowFunction="sum" dataDxfId="59">
      <calculatedColumnFormula>COUNTIF(FilterList,#REF!)</calculatedColumnFormula>
    </tableColumn>
    <tableColumn id="12" name="state" dataDxfId="58" totalsRowDxfId="57"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5">
    <sortCondition ref="B4"/>
  </sortState>
  <tableColumns count="5">
    <tableColumn id="1" name="Wolf" totalsRowLabel="Total" dataDxfId="56" totalsRowDxfId="55" dataCellStyle="Normal 14"/>
    <tableColumn id="2" name="Lease" totalsRowFunction="count" dataDxfId="54" totalsRowDxfId="53" dataCellStyle="Normal 14"/>
    <tableColumn id="3" name="OIL" totalsRowFunction="sum" dataDxfId="52" totalsRowDxfId="51" dataCellStyle="Normal 14"/>
    <tableColumn id="4" name="GAS" totalsRowFunction="sum" dataDxfId="50" totalsRowDxfId="49" dataCellStyle="Normal 14"/>
    <tableColumn id="5" name="LEASE USE" totalsRowFunction="sum" dataDxfId="48" totalsRowDxfId="47"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30" totalsRowCount="1" dataCellStyle="Normal 2">
  <autoFilter ref="A8:Q229"/>
  <tableColumns count="17">
    <tableColumn id="1" name="Multiple Reports" totalsRowLabel="Total" totalsRowDxfId="46" dataCellStyle="Normal 2"/>
    <tableColumn id="2" name="Lease Type" totalsRowDxfId="45" dataCellStyle="Normal 2"/>
    <tableColumn id="3" name="District" totalsRowDxfId="44" dataCellStyle="Normal 2"/>
    <tableColumn id="4" name="RRC Identifier" totalsRowDxfId="43" dataCellStyle="Normal 2"/>
    <tableColumn id="5" name="Field Name" totalsRowFunction="count" totalsRowDxfId="42" dataCellStyle="Normal 2"/>
    <tableColumn id="6" name="Lease Name" totalsRowFunction="count" totalsRowDxfId="41" dataCellStyle="Normal 2"/>
    <tableColumn id="7" name="Gas Well ID" totalsRowDxfId="40" dataCellStyle="Normal 2"/>
    <tableColumn id="8" name="Lease Total" totalsRowDxfId="39" dataCellStyle="Normal 2"/>
    <tableColumn id="9" name="Commingle Permit No." totalsRowDxfId="38" dataCellStyle="Normal 2"/>
    <tableColumn id="10" name="On Hand Beginning of Month" totalsRowFunction="sum" dataDxfId="37" totalsRowDxfId="36" dataCellStyle="Normal 2"/>
    <tableColumn id="11" name="Production" totalsRowFunction="sum" totalsRowDxfId="35" dataCellStyle="Normal 2"/>
    <tableColumn id="12" name="Volume" totalsRowFunction="sum" totalsRowDxfId="34" dataCellStyle="Normal 2"/>
    <tableColumn id="13" name="Code" totalsRowDxfId="33" dataCellStyle="Normal 2"/>
    <tableColumn id="14" name="On Hand End of Month" totalsRowFunction="sum" totalsRowDxfId="32" dataCellStyle="Normal 2"/>
    <tableColumn id="17" name="Formation Production" totalsRowFunction="sum" dataDxfId="31" totalsRowDxfId="30" dataCellStyle="Normal 2"/>
    <tableColumn id="18" name="Volume2" totalsRowFunction="sum" totalsRowDxfId="29" dataCellStyle="Normal 2"/>
    <tableColumn id="19" name="Code3" totalsRowDxfId="28"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27" dataDxfId="26">
  <autoFilter ref="A3:K34"/>
  <tableColumns count="11">
    <tableColumn id="1" name="STATION" dataDxfId="25"/>
    <tableColumn id="2" name="STATION NAME" dataDxfId="24"/>
    <tableColumn id="3" name="Column1" dataDxfId="23"/>
    <tableColumn id="4" name="MCF" dataDxfId="22"/>
    <tableColumn id="5" name="BTU" dataDxfId="21"/>
    <tableColumn id="6" name="MMBTU" dataDxfId="20"/>
    <tableColumn id="7" name="MCF/D" dataDxfId="19"/>
    <tableColumn id="8" name="MMBTU/D" dataDxfId="18"/>
    <tableColumn id="9" name="PSIG"/>
    <tableColumn id="10" name="GRAVITY" dataDxfId="17"/>
    <tableColumn id="11" name="HOURS"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topLeftCell="K1" zoomScale="115" zoomScaleNormal="115" zoomScalePageLayoutView="115" workbookViewId="0">
      <pane ySplit="3" topLeftCell="A4" activePane="bottomLeft" state="frozen"/>
      <selection pane="bottomLeft" activeCell="Y1" sqref="Y1:Y1048576"/>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18"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17"/>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65</v>
      </c>
      <c r="C2" s="10" t="s">
        <v>66</v>
      </c>
      <c r="D2" s="2" t="s">
        <v>67</v>
      </c>
      <c r="E2" s="10" t="s">
        <v>68</v>
      </c>
      <c r="F2" s="5">
        <v>189</v>
      </c>
      <c r="G2" s="12" t="s">
        <v>3</v>
      </c>
    </row>
    <row r="3" spans="1:250" s="3" customFormat="1" ht="54.75" customHeight="1">
      <c r="A3" s="6" t="s">
        <v>4</v>
      </c>
      <c r="B3" s="6" t="s">
        <v>5</v>
      </c>
      <c r="C3" s="6" t="s">
        <v>6</v>
      </c>
      <c r="D3" s="6" t="s">
        <v>7</v>
      </c>
      <c r="E3" s="6" t="s">
        <v>8</v>
      </c>
      <c r="F3" s="6" t="s">
        <v>9</v>
      </c>
      <c r="G3" s="6" t="s">
        <v>10</v>
      </c>
      <c r="H3" s="6" t="s">
        <v>11</v>
      </c>
      <c r="I3" s="6" t="s">
        <v>12</v>
      </c>
      <c r="J3" s="119"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909</v>
      </c>
      <c r="D4" s="10" t="s">
        <v>617</v>
      </c>
      <c r="E4" s="1" t="s">
        <v>59</v>
      </c>
      <c r="F4" s="1" t="s">
        <v>415</v>
      </c>
      <c r="I4" s="1" t="s">
        <v>3</v>
      </c>
      <c r="J4" s="118" t="s">
        <v>3</v>
      </c>
      <c r="K4" s="1" t="s">
        <v>1090</v>
      </c>
      <c r="M4" s="5">
        <v>202006</v>
      </c>
      <c r="N4" s="5">
        <f>INDEX(rrcworking[Formation Production (MCF) @ 14.65 psi],MATCH('June 2020 EDI'!F4,rrcworking[RRC ID],0))</f>
        <v>0</v>
      </c>
      <c r="O4" s="5">
        <f>INDEX(rrcworking[Lease Use (MCF)],MATCH('June 2020 EDI'!F4,rrcworking[RRC ID],0))</f>
        <v>0</v>
      </c>
      <c r="P4" s="5">
        <f>INDEX(rrcworking[Gas Sales Statement Volume (MCF)],MATCH('June 2020 EDI'!F4,rrcworking[RRC ID],0))</f>
        <v>0</v>
      </c>
      <c r="R4" s="242">
        <f>INDEX(rrcworking[Flared Gas],MATCH('June 2020 EDI'!F4,rrcworking[RRC ID],0))</f>
        <v>0</v>
      </c>
      <c r="Y4" s="5">
        <f>INDEX(rrcworking[Oil Production],MATCH('June 2020 EDI'!F4,rrcworking[RRC ID],0))</f>
        <v>0</v>
      </c>
      <c r="AA4" s="5">
        <f>INDEX(rrcworking[Sales/Dispostion],MATCH('June 2020 EDI'!F4,rrcworking[RRC ID],0))</f>
        <v>0</v>
      </c>
      <c r="AQ4" s="5">
        <f>INDEX(rrcworking[Closing Stock (Oil)],MATCH('June 2020 EDI'!F4,rrcworking[RRC ID],0))</f>
        <v>0</v>
      </c>
    </row>
    <row r="5" spans="1:250">
      <c r="A5" s="4" t="s">
        <v>1</v>
      </c>
      <c r="B5" s="1" t="s">
        <v>1131</v>
      </c>
      <c r="C5" s="10" t="s">
        <v>909</v>
      </c>
      <c r="D5" s="1" t="s">
        <v>617</v>
      </c>
      <c r="E5" s="1" t="s">
        <v>59</v>
      </c>
      <c r="F5" s="1" t="s">
        <v>416</v>
      </c>
      <c r="I5" s="1" t="s">
        <v>3</v>
      </c>
      <c r="J5" s="118" t="s">
        <v>3</v>
      </c>
      <c r="K5" s="1" t="s">
        <v>1090</v>
      </c>
      <c r="M5" s="5">
        <v>202006</v>
      </c>
      <c r="N5" s="5">
        <f>INDEX(rrcworking[Formation Production (MCF) @ 14.65 psi],MATCH('June 2020 EDI'!F5,rrcworking[RRC ID],0))</f>
        <v>0</v>
      </c>
      <c r="O5" s="5">
        <f>INDEX(rrcworking[Lease Use (MCF)],MATCH('June 2020 EDI'!F5,rrcworking[RRC ID],0))</f>
        <v>0</v>
      </c>
      <c r="P5" s="5">
        <f>INDEX(rrcworking[Gas Sales Statement Volume (MCF)],MATCH('June 2020 EDI'!F5,rrcworking[RRC ID],0))</f>
        <v>0</v>
      </c>
      <c r="R5" s="242">
        <f>INDEX(rrcworking[Flared Gas],MATCH('June 2020 EDI'!F5,rrcworking[RRC ID],0))</f>
        <v>0</v>
      </c>
      <c r="Y5" s="5">
        <f>INDEX(rrcworking[Oil Production],MATCH('June 2020 EDI'!F5,rrcworking[RRC ID],0))</f>
        <v>0</v>
      </c>
      <c r="AA5" s="5">
        <f>INDEX(rrcworking[Sales/Dispostion],MATCH('June 2020 EDI'!F5,rrcworking[RRC ID],0))</f>
        <v>0</v>
      </c>
      <c r="AQ5" s="5">
        <f>INDEX(rrcworking[Closing Stock (Oil)],MATCH('June 2020 EDI'!F5,rrcworking[RRC ID],0))</f>
        <v>149</v>
      </c>
    </row>
    <row r="6" spans="1:250">
      <c r="A6" s="4" t="s">
        <v>1</v>
      </c>
      <c r="B6" s="1" t="s">
        <v>58</v>
      </c>
      <c r="C6" s="10" t="s">
        <v>909</v>
      </c>
      <c r="D6" s="1" t="s">
        <v>617</v>
      </c>
      <c r="E6" s="1" t="s">
        <v>59</v>
      </c>
      <c r="F6" s="1" t="s">
        <v>417</v>
      </c>
      <c r="I6" s="1" t="s">
        <v>3</v>
      </c>
      <c r="J6" s="118" t="s">
        <v>3</v>
      </c>
      <c r="K6" s="1" t="s">
        <v>1090</v>
      </c>
      <c r="M6" s="5">
        <v>202006</v>
      </c>
      <c r="N6" s="5">
        <f>INDEX(rrcworking[Formation Production (MCF) @ 14.65 psi],MATCH('June 2020 EDI'!F6,rrcworking[RRC ID],0))</f>
        <v>4412</v>
      </c>
      <c r="O6" s="5">
        <f>INDEX(rrcworking[Lease Use (MCF)],MATCH('June 2020 EDI'!F6,rrcworking[RRC ID],0))</f>
        <v>210</v>
      </c>
      <c r="P6" s="5">
        <f>INDEX(rrcworking[Gas Sales Statement Volume (MCF)],MATCH('June 2020 EDI'!F6,rrcworking[RRC ID],0))</f>
        <v>4202</v>
      </c>
      <c r="R6" s="242">
        <f>INDEX(rrcworking[Flared Gas],MATCH('June 2020 EDI'!F6,rrcworking[RRC ID],0))</f>
        <v>0</v>
      </c>
      <c r="Y6" s="5">
        <f>INDEX(rrcworking[Oil Production],MATCH('June 2020 EDI'!F6,rrcworking[RRC ID],0))</f>
        <v>0</v>
      </c>
      <c r="AA6" s="5">
        <f>INDEX(rrcworking[Sales/Dispostion],MATCH('June 2020 EDI'!F6,rrcworking[RRC ID],0))</f>
        <v>0</v>
      </c>
      <c r="AQ6" s="5">
        <f>INDEX(rrcworking[Closing Stock (Oil)],MATCH('June 2020 EDI'!F6,rrcworking[RRC ID],0))</f>
        <v>0</v>
      </c>
    </row>
    <row r="7" spans="1:250">
      <c r="A7" s="4" t="s">
        <v>1</v>
      </c>
      <c r="B7" s="1" t="s">
        <v>61</v>
      </c>
      <c r="C7" s="10" t="s">
        <v>909</v>
      </c>
      <c r="D7" s="1" t="s">
        <v>617</v>
      </c>
      <c r="E7" s="1" t="s">
        <v>59</v>
      </c>
      <c r="F7" s="1" t="s">
        <v>418</v>
      </c>
      <c r="I7" s="1" t="s">
        <v>3</v>
      </c>
      <c r="J7" s="118" t="s">
        <v>3</v>
      </c>
      <c r="K7" s="1" t="s">
        <v>1090</v>
      </c>
      <c r="M7" s="5">
        <v>202006</v>
      </c>
      <c r="N7" s="5">
        <f>INDEX(rrcworking[Formation Production (MCF) @ 14.65 psi],MATCH('June 2020 EDI'!F7,rrcworking[RRC ID],0))</f>
        <v>0</v>
      </c>
      <c r="O7" s="5">
        <f>INDEX(rrcworking[Lease Use (MCF)],MATCH('June 2020 EDI'!F7,rrcworking[RRC ID],0))</f>
        <v>0</v>
      </c>
      <c r="P7" s="5">
        <f>INDEX(rrcworking[Gas Sales Statement Volume (MCF)],MATCH('June 2020 EDI'!F7,rrcworking[RRC ID],0))</f>
        <v>0</v>
      </c>
      <c r="R7" s="242">
        <f>INDEX(rrcworking[Flared Gas],MATCH('June 2020 EDI'!F7,rrcworking[RRC ID],0))</f>
        <v>0</v>
      </c>
      <c r="Y7" s="5">
        <f>INDEX(rrcworking[Oil Production],MATCH('June 2020 EDI'!F7,rrcworking[RRC ID],0))</f>
        <v>0</v>
      </c>
      <c r="AA7" s="5">
        <f>INDEX(rrcworking[Sales/Dispostion],MATCH('June 2020 EDI'!F7,rrcworking[RRC ID],0))</f>
        <v>0</v>
      </c>
      <c r="AQ7" s="5">
        <f>INDEX(rrcworking[Closing Stock (Oil)],MATCH('June 2020 EDI'!F7,rrcworking[RRC ID],0))</f>
        <v>26</v>
      </c>
    </row>
    <row r="8" spans="1:250">
      <c r="A8" s="4" t="s">
        <v>1</v>
      </c>
      <c r="B8" s="1" t="s">
        <v>62</v>
      </c>
      <c r="C8" s="10" t="s">
        <v>909</v>
      </c>
      <c r="D8" s="1" t="s">
        <v>617</v>
      </c>
      <c r="E8" s="1" t="s">
        <v>59</v>
      </c>
      <c r="F8" s="1" t="s">
        <v>419</v>
      </c>
      <c r="I8" s="1" t="s">
        <v>3</v>
      </c>
      <c r="J8" s="117" t="s">
        <v>3</v>
      </c>
      <c r="K8" s="1" t="s">
        <v>1090</v>
      </c>
      <c r="M8" s="5">
        <v>202006</v>
      </c>
      <c r="N8" s="5">
        <f>INDEX(rrcworking[Formation Production (MCF) @ 14.65 psi],MATCH('June 2020 EDI'!F8,rrcworking[RRC ID],0))</f>
        <v>0</v>
      </c>
      <c r="O8" s="5">
        <f>INDEX(rrcworking[Lease Use (MCF)],MATCH('June 2020 EDI'!F8,rrcworking[RRC ID],0))</f>
        <v>0</v>
      </c>
      <c r="P8" s="5">
        <f>INDEX(rrcworking[Gas Sales Statement Volume (MCF)],MATCH('June 2020 EDI'!F8,rrcworking[RRC ID],0))</f>
        <v>0</v>
      </c>
      <c r="R8" s="242">
        <f>INDEX(rrcworking[Flared Gas],MATCH('June 2020 EDI'!F8,rrcworking[RRC ID],0))</f>
        <v>0</v>
      </c>
      <c r="Y8" s="5">
        <f>INDEX(rrcworking[Oil Production],MATCH('June 2020 EDI'!F8,rrcworking[RRC ID],0))</f>
        <v>0</v>
      </c>
      <c r="AA8" s="5">
        <f>INDEX(rrcworking[Sales/Dispostion],MATCH('June 2020 EDI'!F8,rrcworking[RRC ID],0))</f>
        <v>0</v>
      </c>
      <c r="AQ8" s="5">
        <f>INDEX(rrcworking[Closing Stock (Oil)],MATCH('June 2020 EDI'!F8,rrcworking[RRC ID],0))</f>
        <v>0</v>
      </c>
    </row>
    <row r="9" spans="1:250">
      <c r="A9" s="4" t="s">
        <v>1</v>
      </c>
      <c r="B9" s="1" t="s">
        <v>63</v>
      </c>
      <c r="C9" s="10" t="s">
        <v>909</v>
      </c>
      <c r="D9" s="1" t="s">
        <v>617</v>
      </c>
      <c r="E9" s="1" t="s">
        <v>59</v>
      </c>
      <c r="F9" s="1" t="s">
        <v>421</v>
      </c>
      <c r="I9" s="10" t="s">
        <v>3</v>
      </c>
      <c r="J9" s="118" t="s">
        <v>3</v>
      </c>
      <c r="K9" s="1" t="s">
        <v>1090</v>
      </c>
      <c r="M9" s="5">
        <v>202006</v>
      </c>
      <c r="N9" s="5">
        <f>INDEX(rrcworking[Formation Production (MCF) @ 14.65 psi],MATCH('June 2020 EDI'!F9,rrcworking[RRC ID],0))</f>
        <v>0</v>
      </c>
      <c r="O9" s="5">
        <f>INDEX(rrcworking[Lease Use (MCF)],MATCH('June 2020 EDI'!F9,rrcworking[RRC ID],0))</f>
        <v>0</v>
      </c>
      <c r="P9" s="5">
        <f>INDEX(rrcworking[Gas Sales Statement Volume (MCF)],MATCH('June 2020 EDI'!F9,rrcworking[RRC ID],0))</f>
        <v>0</v>
      </c>
      <c r="R9" s="242">
        <f>INDEX(rrcworking[Flared Gas],MATCH('June 2020 EDI'!F9,rrcworking[RRC ID],0))</f>
        <v>0</v>
      </c>
      <c r="Y9" s="5">
        <f>INDEX(rrcworking[Oil Production],MATCH('June 2020 EDI'!F9,rrcworking[RRC ID],0))</f>
        <v>0</v>
      </c>
      <c r="AA9" s="5">
        <f>INDEX(rrcworking[Sales/Dispostion],MATCH('June 2020 EDI'!F9,rrcworking[RRC ID],0))</f>
        <v>0</v>
      </c>
      <c r="AQ9" s="5">
        <f>INDEX(rrcworking[Closing Stock (Oil)],MATCH('June 2020 EDI'!F9,rrcworking[RRC ID],0))</f>
        <v>132</v>
      </c>
    </row>
    <row r="10" spans="1:250">
      <c r="A10" s="4" t="s">
        <v>1</v>
      </c>
      <c r="B10" s="1" t="s">
        <v>64</v>
      </c>
      <c r="C10" s="10" t="s">
        <v>909</v>
      </c>
      <c r="D10" s="1" t="s">
        <v>617</v>
      </c>
      <c r="E10" s="1" t="s">
        <v>2</v>
      </c>
      <c r="F10" s="1" t="s">
        <v>422</v>
      </c>
      <c r="I10" s="10" t="s">
        <v>3</v>
      </c>
      <c r="J10" s="118" t="s">
        <v>3</v>
      </c>
      <c r="K10" s="1" t="s">
        <v>1090</v>
      </c>
      <c r="M10" s="5">
        <v>202006</v>
      </c>
      <c r="N10" s="5">
        <f>INDEX(rrcworking[Formation Production (MCF) @ 14.65 psi],MATCH('June 2020 EDI'!F10,rrcworking[RRC ID],0))</f>
        <v>0</v>
      </c>
      <c r="O10" s="5">
        <f>INDEX(rrcworking[Lease Use (MCF)],MATCH('June 2020 EDI'!F10,rrcworking[RRC ID],0))</f>
        <v>0</v>
      </c>
      <c r="P10" s="5">
        <f>INDEX(rrcworking[Gas Sales Statement Volume (MCF)],MATCH('June 2020 EDI'!F10,rrcworking[RRC ID],0))</f>
        <v>0</v>
      </c>
      <c r="R10" s="242">
        <f>INDEX(rrcworking[Flared Gas],MATCH('June 2020 EDI'!F10,rrcworking[RRC ID],0))</f>
        <v>0</v>
      </c>
      <c r="Y10" s="5">
        <f>INDEX(rrcworking[Oil Production],MATCH('June 2020 EDI'!F10,rrcworking[RRC ID],0))</f>
        <v>717</v>
      </c>
      <c r="AA10" s="5">
        <f>INDEX(rrcworking[Sales/Dispostion],MATCH('June 2020 EDI'!F10,rrcworking[RRC ID],0))</f>
        <v>1177</v>
      </c>
      <c r="AQ10" s="5">
        <f>INDEX(rrcworking[Closing Stock (Oil)],MATCH('June 2020 EDI'!F10,rrcworking[RRC ID],0))</f>
        <v>514</v>
      </c>
    </row>
    <row r="11" spans="1:250">
      <c r="A11" s="4" t="s">
        <v>1</v>
      </c>
      <c r="B11" s="1" t="s">
        <v>910</v>
      </c>
      <c r="C11" s="10" t="s">
        <v>909</v>
      </c>
      <c r="D11" s="1" t="s">
        <v>617</v>
      </c>
      <c r="E11" s="1" t="s">
        <v>59</v>
      </c>
      <c r="F11" s="1" t="s">
        <v>423</v>
      </c>
      <c r="I11" s="10" t="s">
        <v>3</v>
      </c>
      <c r="J11" s="118" t="s">
        <v>3</v>
      </c>
      <c r="K11" s="1" t="s">
        <v>1090</v>
      </c>
      <c r="M11" s="5">
        <v>202006</v>
      </c>
      <c r="N11" s="5">
        <f>INDEX(rrcworking[Formation Production (MCF) @ 14.65 psi],MATCH('June 2020 EDI'!F11,rrcworking[RRC ID],0))</f>
        <v>15</v>
      </c>
      <c r="O11" s="5">
        <f>INDEX(rrcworking[Lease Use (MCF)],MATCH('June 2020 EDI'!F11,rrcworking[RRC ID],0))</f>
        <v>0</v>
      </c>
      <c r="P11" s="5">
        <f>INDEX(rrcworking[Gas Sales Statement Volume (MCF)],MATCH('June 2020 EDI'!F11,rrcworking[RRC ID],0))</f>
        <v>15</v>
      </c>
      <c r="R11" s="242">
        <f>INDEX(rrcworking[Flared Gas],MATCH('June 2020 EDI'!F11,rrcworking[RRC ID],0))</f>
        <v>0</v>
      </c>
      <c r="Y11" s="5">
        <f>INDEX(rrcworking[Oil Production],MATCH('June 2020 EDI'!F11,rrcworking[RRC ID],0))</f>
        <v>0</v>
      </c>
      <c r="AA11" s="5">
        <f>INDEX(rrcworking[Sales/Dispostion],MATCH('June 2020 EDI'!F11,rrcworking[RRC ID],0))</f>
        <v>0</v>
      </c>
      <c r="AQ11" s="5">
        <f>INDEX(rrcworking[Closing Stock (Oil)],MATCH('June 2020 EDI'!F11,rrcworking[RRC ID],0))</f>
        <v>0</v>
      </c>
    </row>
    <row r="12" spans="1:250">
      <c r="A12" s="4" t="s">
        <v>1</v>
      </c>
      <c r="B12" s="1" t="s">
        <v>911</v>
      </c>
      <c r="C12" s="10" t="s">
        <v>909</v>
      </c>
      <c r="D12" s="1" t="s">
        <v>617</v>
      </c>
      <c r="E12" s="1" t="s">
        <v>59</v>
      </c>
      <c r="F12" s="1" t="s">
        <v>424</v>
      </c>
      <c r="I12" s="10" t="s">
        <v>3</v>
      </c>
      <c r="J12" s="118" t="s">
        <v>3</v>
      </c>
      <c r="K12" s="1" t="s">
        <v>1090</v>
      </c>
      <c r="M12" s="5">
        <v>202006</v>
      </c>
      <c r="N12" s="5">
        <f>INDEX(rrcworking[Formation Production (MCF) @ 14.65 psi],MATCH('June 2020 EDI'!F12,rrcworking[RRC ID],0))</f>
        <v>0</v>
      </c>
      <c r="O12" s="5">
        <f>INDEX(rrcworking[Lease Use (MCF)],MATCH('June 2020 EDI'!F12,rrcworking[RRC ID],0))</f>
        <v>0</v>
      </c>
      <c r="P12" s="5">
        <f>INDEX(rrcworking[Gas Sales Statement Volume (MCF)],MATCH('June 2020 EDI'!F12,rrcworking[RRC ID],0))</f>
        <v>0</v>
      </c>
      <c r="R12" s="242">
        <f>INDEX(rrcworking[Flared Gas],MATCH('June 2020 EDI'!F12,rrcworking[RRC ID],0))</f>
        <v>0</v>
      </c>
      <c r="Y12" s="5">
        <f>INDEX(rrcworking[Oil Production],MATCH('June 2020 EDI'!F12,rrcworking[RRC ID],0))</f>
        <v>0</v>
      </c>
      <c r="AA12" s="5">
        <f>INDEX(rrcworking[Sales/Dispostion],MATCH('June 2020 EDI'!F12,rrcworking[RRC ID],0))</f>
        <v>0</v>
      </c>
      <c r="AQ12" s="5">
        <f>INDEX(rrcworking[Closing Stock (Oil)],MATCH('June 2020 EDI'!F12,rrcworking[RRC ID],0))</f>
        <v>0</v>
      </c>
    </row>
    <row r="13" spans="1:250">
      <c r="A13" s="4" t="s">
        <v>1</v>
      </c>
      <c r="B13" s="1" t="s">
        <v>60</v>
      </c>
      <c r="C13" s="10" t="s">
        <v>909</v>
      </c>
      <c r="D13" s="1" t="s">
        <v>617</v>
      </c>
      <c r="E13" s="1" t="s">
        <v>2</v>
      </c>
      <c r="F13" s="1" t="s">
        <v>425</v>
      </c>
      <c r="I13" s="10" t="s">
        <v>3</v>
      </c>
      <c r="J13" s="118" t="s">
        <v>3</v>
      </c>
      <c r="K13" s="1" t="s">
        <v>1090</v>
      </c>
      <c r="M13" s="5">
        <v>202006</v>
      </c>
      <c r="N13" s="5">
        <f>INDEX(rrcworking[Formation Production (MCF) @ 14.65 psi],MATCH('June 2020 EDI'!F13,rrcworking[RRC ID],0))</f>
        <v>0</v>
      </c>
      <c r="O13" s="5">
        <f>INDEX(rrcworking[Lease Use (MCF)],MATCH('June 2020 EDI'!F13,rrcworking[RRC ID],0))</f>
        <v>0</v>
      </c>
      <c r="P13" s="5">
        <f>INDEX(rrcworking[Gas Sales Statement Volume (MCF)],MATCH('June 2020 EDI'!F13,rrcworking[RRC ID],0))</f>
        <v>0</v>
      </c>
      <c r="R13" s="242">
        <f>INDEX(rrcworking[Flared Gas],MATCH('June 2020 EDI'!F13,rrcworking[RRC ID],0))</f>
        <v>0</v>
      </c>
      <c r="Y13" s="5">
        <f>INDEX(rrcworking[Oil Production],MATCH('June 2020 EDI'!F13,rrcworking[RRC ID],0))</f>
        <v>18</v>
      </c>
      <c r="AA13" s="5">
        <f>INDEX(rrcworking[Sales/Dispostion],MATCH('June 2020 EDI'!F13,rrcworking[RRC ID],0))</f>
        <v>0</v>
      </c>
      <c r="AQ13" s="5">
        <f>INDEX(rrcworking[Closing Stock (Oil)],MATCH('June 2020 EDI'!F13,rrcworking[RRC ID],0))</f>
        <v>135</v>
      </c>
    </row>
    <row r="14" spans="1:250">
      <c r="A14" s="4" t="s">
        <v>1</v>
      </c>
      <c r="B14" s="1" t="s">
        <v>912</v>
      </c>
      <c r="C14" s="10" t="s">
        <v>909</v>
      </c>
      <c r="D14" s="1" t="s">
        <v>617</v>
      </c>
      <c r="E14" s="1" t="s">
        <v>2</v>
      </c>
      <c r="F14" s="1" t="s">
        <v>426</v>
      </c>
      <c r="I14" s="10" t="s">
        <v>3</v>
      </c>
      <c r="J14" s="118" t="s">
        <v>3</v>
      </c>
      <c r="K14" s="1" t="s">
        <v>1090</v>
      </c>
      <c r="M14" s="5">
        <v>202006</v>
      </c>
      <c r="N14" s="5">
        <f>INDEX(rrcworking[Formation Production (MCF) @ 14.65 psi],MATCH('June 2020 EDI'!F14,rrcworking[RRC ID],0))</f>
        <v>0</v>
      </c>
      <c r="O14" s="5">
        <f>INDEX(rrcworking[Lease Use (MCF)],MATCH('June 2020 EDI'!F14,rrcworking[RRC ID],0))</f>
        <v>0</v>
      </c>
      <c r="P14" s="5">
        <f>INDEX(rrcworking[Gas Sales Statement Volume (MCF)],MATCH('June 2020 EDI'!F14,rrcworking[RRC ID],0))</f>
        <v>0</v>
      </c>
      <c r="R14" s="242">
        <f>INDEX(rrcworking[Flared Gas],MATCH('June 2020 EDI'!F14,rrcworking[RRC ID],0))</f>
        <v>0</v>
      </c>
      <c r="Y14" s="5">
        <f>INDEX(rrcworking[Oil Production],MATCH('June 2020 EDI'!F14,rrcworking[RRC ID],0))</f>
        <v>21</v>
      </c>
      <c r="AA14" s="5">
        <f>INDEX(rrcworking[Sales/Dispostion],MATCH('June 2020 EDI'!F14,rrcworking[RRC ID],0))</f>
        <v>0</v>
      </c>
      <c r="AQ14" s="5">
        <f>INDEX(rrcworking[Closing Stock (Oil)],MATCH('June 2020 EDI'!F14,rrcworking[RRC ID],0))</f>
        <v>69</v>
      </c>
    </row>
    <row r="15" spans="1:250">
      <c r="A15" s="4" t="s">
        <v>1</v>
      </c>
      <c r="B15" s="1" t="s">
        <v>913</v>
      </c>
      <c r="C15" s="10" t="s">
        <v>909</v>
      </c>
      <c r="D15" s="1" t="s">
        <v>617</v>
      </c>
      <c r="E15" s="1" t="s">
        <v>2</v>
      </c>
      <c r="F15" s="1" t="s">
        <v>427</v>
      </c>
      <c r="I15" s="10" t="s">
        <v>3</v>
      </c>
      <c r="J15" s="118" t="s">
        <v>3</v>
      </c>
      <c r="K15" s="1" t="s">
        <v>1090</v>
      </c>
      <c r="M15" s="5">
        <v>202006</v>
      </c>
      <c r="N15" s="5">
        <f>INDEX(rrcworking[Formation Production (MCF) @ 14.65 psi],MATCH('June 2020 EDI'!F15,rrcworking[RRC ID],0))</f>
        <v>0</v>
      </c>
      <c r="O15" s="5">
        <f>INDEX(rrcworking[Lease Use (MCF)],MATCH('June 2020 EDI'!F15,rrcworking[RRC ID],0))</f>
        <v>0</v>
      </c>
      <c r="P15" s="5">
        <f>INDEX(rrcworking[Gas Sales Statement Volume (MCF)],MATCH('June 2020 EDI'!F15,rrcworking[RRC ID],0))</f>
        <v>0</v>
      </c>
      <c r="R15" s="242">
        <f>INDEX(rrcworking[Flared Gas],MATCH('June 2020 EDI'!F15,rrcworking[RRC ID],0))</f>
        <v>0</v>
      </c>
      <c r="Y15" s="5">
        <f>INDEX(rrcworking[Oil Production],MATCH('June 2020 EDI'!F15,rrcworking[RRC ID],0))</f>
        <v>0</v>
      </c>
      <c r="AA15" s="5">
        <f>INDEX(rrcworking[Sales/Dispostion],MATCH('June 2020 EDI'!F15,rrcworking[RRC ID],0))</f>
        <v>0</v>
      </c>
      <c r="AQ15" s="5">
        <f>INDEX(rrcworking[Closing Stock (Oil)],MATCH('June 2020 EDI'!F15,rrcworking[RRC ID],0))</f>
        <v>0</v>
      </c>
    </row>
    <row r="16" spans="1:250">
      <c r="A16" s="4" t="s">
        <v>1</v>
      </c>
      <c r="B16" s="1" t="s">
        <v>914</v>
      </c>
      <c r="C16" s="10" t="s">
        <v>909</v>
      </c>
      <c r="D16" s="1" t="s">
        <v>617</v>
      </c>
      <c r="E16" s="1" t="s">
        <v>59</v>
      </c>
      <c r="F16" s="1" t="s">
        <v>428</v>
      </c>
      <c r="I16" s="10" t="s">
        <v>3</v>
      </c>
      <c r="J16" s="118" t="s">
        <v>3</v>
      </c>
      <c r="K16" s="1" t="s">
        <v>1090</v>
      </c>
      <c r="M16" s="5">
        <v>202006</v>
      </c>
      <c r="N16" s="5">
        <f>INDEX(rrcworking[Formation Production (MCF) @ 14.65 psi],MATCH('June 2020 EDI'!F16,rrcworking[RRC ID],0))</f>
        <v>0</v>
      </c>
      <c r="O16" s="5">
        <f>INDEX(rrcworking[Lease Use (MCF)],MATCH('June 2020 EDI'!F16,rrcworking[RRC ID],0))</f>
        <v>0</v>
      </c>
      <c r="P16" s="5">
        <f>INDEX(rrcworking[Gas Sales Statement Volume (MCF)],MATCH('June 2020 EDI'!F16,rrcworking[RRC ID],0))</f>
        <v>0</v>
      </c>
      <c r="R16" s="242">
        <f>INDEX(rrcworking[Flared Gas],MATCH('June 2020 EDI'!F16,rrcworking[RRC ID],0))</f>
        <v>0</v>
      </c>
      <c r="Y16" s="5">
        <f>INDEX(rrcworking[Oil Production],MATCH('June 2020 EDI'!F16,rrcworking[RRC ID],0))</f>
        <v>0</v>
      </c>
      <c r="AA16" s="5">
        <f>INDEX(rrcworking[Sales/Dispostion],MATCH('June 2020 EDI'!F16,rrcworking[RRC ID],0))</f>
        <v>0</v>
      </c>
      <c r="AQ16" s="5">
        <f>INDEX(rrcworking[Closing Stock (Oil)],MATCH('June 2020 EDI'!F16,rrcworking[RRC ID],0))</f>
        <v>116</v>
      </c>
    </row>
    <row r="17" spans="1:43">
      <c r="A17" s="4" t="s">
        <v>1</v>
      </c>
      <c r="B17" s="1" t="s">
        <v>915</v>
      </c>
      <c r="C17" s="10" t="s">
        <v>909</v>
      </c>
      <c r="D17" s="1" t="s">
        <v>617</v>
      </c>
      <c r="E17" s="1" t="s">
        <v>59</v>
      </c>
      <c r="F17" s="1" t="s">
        <v>429</v>
      </c>
      <c r="I17" s="10" t="s">
        <v>3</v>
      </c>
      <c r="J17" s="118" t="s">
        <v>3</v>
      </c>
      <c r="K17" s="1" t="s">
        <v>1090</v>
      </c>
      <c r="M17" s="5">
        <v>202006</v>
      </c>
      <c r="N17" s="5">
        <f>INDEX(rrcworking[Formation Production (MCF) @ 14.65 psi],MATCH('June 2020 EDI'!F17,rrcworking[RRC ID],0))</f>
        <v>38495</v>
      </c>
      <c r="O17" s="5">
        <f>INDEX(rrcworking[Lease Use (MCF)],MATCH('June 2020 EDI'!F17,rrcworking[RRC ID],0))</f>
        <v>0</v>
      </c>
      <c r="P17" s="5">
        <f>INDEX(rrcworking[Gas Sales Statement Volume (MCF)],MATCH('June 2020 EDI'!F17,rrcworking[RRC ID],0))</f>
        <v>38495</v>
      </c>
      <c r="R17" s="242">
        <f>INDEX(rrcworking[Flared Gas],MATCH('June 2020 EDI'!F17,rrcworking[RRC ID],0))</f>
        <v>0</v>
      </c>
      <c r="Y17" s="5">
        <f>INDEX(rrcworking[Oil Production],MATCH('June 2020 EDI'!F17,rrcworking[RRC ID],0))</f>
        <v>437</v>
      </c>
      <c r="AA17" s="5">
        <f>INDEX(rrcworking[Sales/Dispostion],MATCH('June 2020 EDI'!F17,rrcworking[RRC ID],0))</f>
        <v>943</v>
      </c>
      <c r="AQ17" s="5">
        <f>INDEX(rrcworking[Closing Stock (Oil)],MATCH('June 2020 EDI'!F17,rrcworking[RRC ID],0))</f>
        <v>202</v>
      </c>
    </row>
    <row r="18" spans="1:43">
      <c r="A18" s="4" t="s">
        <v>1</v>
      </c>
      <c r="B18" s="1" t="s">
        <v>916</v>
      </c>
      <c r="C18" s="10" t="s">
        <v>909</v>
      </c>
      <c r="D18" s="1" t="s">
        <v>617</v>
      </c>
      <c r="E18" s="1" t="s">
        <v>2</v>
      </c>
      <c r="F18" s="1" t="s">
        <v>430</v>
      </c>
      <c r="I18" s="10" t="s">
        <v>3</v>
      </c>
      <c r="J18" s="118" t="s">
        <v>3</v>
      </c>
      <c r="K18" s="1" t="s">
        <v>1090</v>
      </c>
      <c r="M18" s="5">
        <v>202006</v>
      </c>
      <c r="N18" s="5">
        <f>INDEX(rrcworking[Formation Production (MCF) @ 14.65 psi],MATCH('June 2020 EDI'!F18,rrcworking[RRC ID],0))</f>
        <v>0</v>
      </c>
      <c r="O18" s="5">
        <f>INDEX(rrcworking[Lease Use (MCF)],MATCH('June 2020 EDI'!F18,rrcworking[RRC ID],0))</f>
        <v>0</v>
      </c>
      <c r="P18" s="5">
        <f>INDEX(rrcworking[Gas Sales Statement Volume (MCF)],MATCH('June 2020 EDI'!F18,rrcworking[RRC ID],0))</f>
        <v>0</v>
      </c>
      <c r="R18" s="242">
        <f>INDEX(rrcworking[Flared Gas],MATCH('June 2020 EDI'!F18,rrcworking[RRC ID],0))</f>
        <v>0</v>
      </c>
      <c r="Y18" s="5">
        <f>INDEX(rrcworking[Oil Production],MATCH('June 2020 EDI'!F18,rrcworking[RRC ID],0))</f>
        <v>0</v>
      </c>
      <c r="AA18" s="5">
        <f>INDEX(rrcworking[Sales/Dispostion],MATCH('June 2020 EDI'!F18,rrcworking[RRC ID],0))</f>
        <v>0</v>
      </c>
      <c r="AQ18" s="5">
        <f>INDEX(rrcworking[Closing Stock (Oil)],MATCH('June 2020 EDI'!F18,rrcworking[RRC ID],0))</f>
        <v>123</v>
      </c>
    </row>
    <row r="19" spans="1:43">
      <c r="A19" s="4" t="s">
        <v>1</v>
      </c>
      <c r="B19" s="1" t="s">
        <v>917</v>
      </c>
      <c r="C19" s="10" t="s">
        <v>909</v>
      </c>
      <c r="D19" s="1" t="s">
        <v>617</v>
      </c>
      <c r="E19" s="1" t="s">
        <v>59</v>
      </c>
      <c r="F19" s="1" t="s">
        <v>431</v>
      </c>
      <c r="I19" s="10" t="s">
        <v>3</v>
      </c>
      <c r="J19" s="118" t="s">
        <v>3</v>
      </c>
      <c r="K19" s="1" t="s">
        <v>1090</v>
      </c>
      <c r="M19" s="5">
        <v>202006</v>
      </c>
      <c r="N19" s="5">
        <f>INDEX(rrcworking[Formation Production (MCF) @ 14.65 psi],MATCH('June 2020 EDI'!F19,rrcworking[RRC ID],0))</f>
        <v>0</v>
      </c>
      <c r="O19" s="5">
        <f>INDEX(rrcworking[Lease Use (MCF)],MATCH('June 2020 EDI'!F19,rrcworking[RRC ID],0))</f>
        <v>0</v>
      </c>
      <c r="P19" s="5">
        <f>INDEX(rrcworking[Gas Sales Statement Volume (MCF)],MATCH('June 2020 EDI'!F19,rrcworking[RRC ID],0))</f>
        <v>0</v>
      </c>
      <c r="R19" s="242">
        <f>INDEX(rrcworking[Flared Gas],MATCH('June 2020 EDI'!F19,rrcworking[RRC ID],0))</f>
        <v>0</v>
      </c>
      <c r="Y19" s="5">
        <f>INDEX(rrcworking[Oil Production],MATCH('June 2020 EDI'!F19,rrcworking[RRC ID],0))</f>
        <v>0</v>
      </c>
      <c r="AA19" s="5">
        <f>INDEX(rrcworking[Sales/Dispostion],MATCH('June 2020 EDI'!F19,rrcworking[RRC ID],0))</f>
        <v>0</v>
      </c>
      <c r="AQ19" s="5">
        <f>INDEX(rrcworking[Closing Stock (Oil)],MATCH('June 2020 EDI'!F19,rrcworking[RRC ID],0))</f>
        <v>240</v>
      </c>
    </row>
    <row r="20" spans="1:43">
      <c r="A20" s="4" t="s">
        <v>1</v>
      </c>
      <c r="B20" s="1" t="s">
        <v>918</v>
      </c>
      <c r="C20" s="10" t="s">
        <v>909</v>
      </c>
      <c r="D20" s="1" t="s">
        <v>617</v>
      </c>
      <c r="E20" s="1" t="s">
        <v>59</v>
      </c>
      <c r="F20" s="1" t="s">
        <v>432</v>
      </c>
      <c r="I20" s="10" t="s">
        <v>3</v>
      </c>
      <c r="J20" s="118" t="s">
        <v>3</v>
      </c>
      <c r="K20" s="1" t="s">
        <v>1090</v>
      </c>
      <c r="M20" s="5">
        <v>202006</v>
      </c>
      <c r="N20" s="5">
        <f>INDEX(rrcworking[Formation Production (MCF) @ 14.65 psi],MATCH('June 2020 EDI'!F20,rrcworking[RRC ID],0))</f>
        <v>0</v>
      </c>
      <c r="O20" s="5">
        <f>INDEX(rrcworking[Lease Use (MCF)],MATCH('June 2020 EDI'!F20,rrcworking[RRC ID],0))</f>
        <v>0</v>
      </c>
      <c r="P20" s="5">
        <f>INDEX(rrcworking[Gas Sales Statement Volume (MCF)],MATCH('June 2020 EDI'!F20,rrcworking[RRC ID],0))</f>
        <v>0</v>
      </c>
      <c r="R20" s="242">
        <f>INDEX(rrcworking[Flared Gas],MATCH('June 2020 EDI'!F20,rrcworking[RRC ID],0))</f>
        <v>0</v>
      </c>
      <c r="Y20" s="5">
        <f>INDEX(rrcworking[Oil Production],MATCH('June 2020 EDI'!F20,rrcworking[RRC ID],0))</f>
        <v>0</v>
      </c>
      <c r="AA20" s="5">
        <f>INDEX(rrcworking[Sales/Dispostion],MATCH('June 2020 EDI'!F20,rrcworking[RRC ID],0))</f>
        <v>0</v>
      </c>
      <c r="AQ20" s="5">
        <f>INDEX(rrcworking[Closing Stock (Oil)],MATCH('June 2020 EDI'!F20,rrcworking[RRC ID],0))</f>
        <v>0</v>
      </c>
    </row>
    <row r="21" spans="1:43">
      <c r="A21" s="4" t="s">
        <v>1</v>
      </c>
      <c r="B21" s="1" t="s">
        <v>919</v>
      </c>
      <c r="C21" s="10" t="s">
        <v>909</v>
      </c>
      <c r="D21" s="1" t="s">
        <v>617</v>
      </c>
      <c r="E21" s="1" t="s">
        <v>59</v>
      </c>
      <c r="F21" s="1" t="s">
        <v>433</v>
      </c>
      <c r="I21" s="10" t="s">
        <v>3</v>
      </c>
      <c r="J21" s="118" t="s">
        <v>3</v>
      </c>
      <c r="K21" s="1" t="s">
        <v>1090</v>
      </c>
      <c r="M21" s="5">
        <v>202006</v>
      </c>
      <c r="N21" s="5">
        <f>INDEX(rrcworking[Formation Production (MCF) @ 14.65 psi],MATCH('June 2020 EDI'!F21,rrcworking[RRC ID],0))</f>
        <v>0</v>
      </c>
      <c r="O21" s="5">
        <f>INDEX(rrcworking[Lease Use (MCF)],MATCH('June 2020 EDI'!F21,rrcworking[RRC ID],0))</f>
        <v>0</v>
      </c>
      <c r="P21" s="5">
        <f>INDEX(rrcworking[Gas Sales Statement Volume (MCF)],MATCH('June 2020 EDI'!F21,rrcworking[RRC ID],0))</f>
        <v>0</v>
      </c>
      <c r="R21" s="242">
        <f>INDEX(rrcworking[Flared Gas],MATCH('June 2020 EDI'!F21,rrcworking[RRC ID],0))</f>
        <v>0</v>
      </c>
      <c r="Y21" s="5">
        <f>INDEX(rrcworking[Oil Production],MATCH('June 2020 EDI'!F21,rrcworking[RRC ID],0))</f>
        <v>0</v>
      </c>
      <c r="AA21" s="5">
        <f>INDEX(rrcworking[Sales/Dispostion],MATCH('June 2020 EDI'!F21,rrcworking[RRC ID],0))</f>
        <v>0</v>
      </c>
      <c r="AQ21" s="5">
        <f>INDEX(rrcworking[Closing Stock (Oil)],MATCH('June 2020 EDI'!F21,rrcworking[RRC ID],0))</f>
        <v>0</v>
      </c>
    </row>
    <row r="22" spans="1:43">
      <c r="A22" s="4" t="s">
        <v>1</v>
      </c>
      <c r="B22" s="1" t="s">
        <v>920</v>
      </c>
      <c r="C22" s="10" t="s">
        <v>909</v>
      </c>
      <c r="D22" s="1" t="s">
        <v>617</v>
      </c>
      <c r="E22" s="1" t="s">
        <v>59</v>
      </c>
      <c r="F22" s="1" t="s">
        <v>434</v>
      </c>
      <c r="I22" s="10" t="s">
        <v>3</v>
      </c>
      <c r="J22" s="118" t="s">
        <v>3</v>
      </c>
      <c r="K22" s="1">
        <v>5048</v>
      </c>
      <c r="M22" s="5">
        <v>202006</v>
      </c>
      <c r="N22" s="5">
        <f>INDEX(rrcworking[Formation Production (MCF) @ 14.65 psi],MATCH('June 2020 EDI'!F22,rrcworking[RRC ID],0))</f>
        <v>1846</v>
      </c>
      <c r="O22" s="5">
        <f>INDEX(rrcworking[Lease Use (MCF)],MATCH('June 2020 EDI'!F22,rrcworking[RRC ID],0))</f>
        <v>0</v>
      </c>
      <c r="P22" s="5">
        <f>INDEX(rrcworking[Gas Sales Statement Volume (MCF)],MATCH('June 2020 EDI'!F22,rrcworking[RRC ID],0))</f>
        <v>1846</v>
      </c>
      <c r="R22" s="242">
        <f>INDEX(rrcworking[Flared Gas],MATCH('June 2020 EDI'!F22,rrcworking[RRC ID],0))</f>
        <v>0</v>
      </c>
      <c r="Y22" s="5">
        <f>INDEX(rrcworking[Oil Production],MATCH('June 2020 EDI'!F22,rrcworking[RRC ID],0))</f>
        <v>37</v>
      </c>
      <c r="AA22" s="5">
        <f>INDEX(rrcworking[Sales/Dispostion],MATCH('June 2020 EDI'!F22,rrcworking[RRC ID],0))</f>
        <v>178</v>
      </c>
      <c r="AQ22" s="5">
        <f>INDEX(rrcworking[Closing Stock (Oil)],MATCH('June 2020 EDI'!F22,rrcworking[RRC ID],0))</f>
        <v>107</v>
      </c>
    </row>
    <row r="23" spans="1:43">
      <c r="A23" s="4" t="s">
        <v>1</v>
      </c>
      <c r="B23" s="1" t="s">
        <v>921</v>
      </c>
      <c r="C23" s="10" t="s">
        <v>909</v>
      </c>
      <c r="D23" s="1" t="s">
        <v>617</v>
      </c>
      <c r="E23" s="1" t="s">
        <v>59</v>
      </c>
      <c r="F23" s="1" t="s">
        <v>435</v>
      </c>
      <c r="I23" s="10" t="s">
        <v>3</v>
      </c>
      <c r="J23" s="118" t="s">
        <v>3</v>
      </c>
      <c r="K23" s="1">
        <v>5048</v>
      </c>
      <c r="M23" s="5">
        <v>202006</v>
      </c>
      <c r="N23" s="5">
        <f>INDEX(rrcworking[Formation Production (MCF) @ 14.65 psi],MATCH('June 2020 EDI'!F23,rrcworking[RRC ID],0))</f>
        <v>0</v>
      </c>
      <c r="O23" s="5">
        <f>INDEX(rrcworking[Lease Use (MCF)],MATCH('June 2020 EDI'!F23,rrcworking[RRC ID],0))</f>
        <v>0</v>
      </c>
      <c r="P23" s="5">
        <f>INDEX(rrcworking[Gas Sales Statement Volume (MCF)],MATCH('June 2020 EDI'!F23,rrcworking[RRC ID],0))</f>
        <v>0</v>
      </c>
      <c r="R23" s="242">
        <f>INDEX(rrcworking[Flared Gas],MATCH('June 2020 EDI'!F23,rrcworking[RRC ID],0))</f>
        <v>0</v>
      </c>
      <c r="Y23" s="5">
        <f>INDEX(rrcworking[Oil Production],MATCH('June 2020 EDI'!F23,rrcworking[RRC ID],0))</f>
        <v>0</v>
      </c>
      <c r="AA23" s="5">
        <f>INDEX(rrcworking[Sales/Dispostion],MATCH('June 2020 EDI'!F23,rrcworking[RRC ID],0))</f>
        <v>0</v>
      </c>
      <c r="AQ23" s="5">
        <f>INDEX(rrcworking[Closing Stock (Oil)],MATCH('June 2020 EDI'!F23,rrcworking[RRC ID],0))</f>
        <v>0</v>
      </c>
    </row>
    <row r="24" spans="1:43">
      <c r="A24" s="4" t="s">
        <v>1</v>
      </c>
      <c r="B24" s="1" t="s">
        <v>922</v>
      </c>
      <c r="C24" s="10" t="s">
        <v>909</v>
      </c>
      <c r="D24" s="1" t="s">
        <v>617</v>
      </c>
      <c r="E24" s="1" t="s">
        <v>59</v>
      </c>
      <c r="F24" s="1" t="s">
        <v>436</v>
      </c>
      <c r="I24" s="10" t="s">
        <v>3</v>
      </c>
      <c r="J24" s="118" t="s">
        <v>3</v>
      </c>
      <c r="K24" s="1" t="s">
        <v>1090</v>
      </c>
      <c r="M24" s="5">
        <v>202006</v>
      </c>
      <c r="N24" s="5">
        <f>INDEX(rrcworking[Formation Production (MCF) @ 14.65 psi],MATCH('June 2020 EDI'!F24,rrcworking[RRC ID],0))</f>
        <v>0</v>
      </c>
      <c r="O24" s="5">
        <f>INDEX(rrcworking[Lease Use (MCF)],MATCH('June 2020 EDI'!F24,rrcworking[RRC ID],0))</f>
        <v>0</v>
      </c>
      <c r="P24" s="5">
        <f>INDEX(rrcworking[Gas Sales Statement Volume (MCF)],MATCH('June 2020 EDI'!F24,rrcworking[RRC ID],0))</f>
        <v>0</v>
      </c>
      <c r="R24" s="242">
        <f>INDEX(rrcworking[Flared Gas],MATCH('June 2020 EDI'!F24,rrcworking[RRC ID],0))</f>
        <v>0</v>
      </c>
      <c r="Y24" s="5">
        <f>INDEX(rrcworking[Oil Production],MATCH('June 2020 EDI'!F24,rrcworking[RRC ID],0))</f>
        <v>0</v>
      </c>
      <c r="AA24" s="5">
        <f>INDEX(rrcworking[Sales/Dispostion],MATCH('June 2020 EDI'!F24,rrcworking[RRC ID],0))</f>
        <v>0</v>
      </c>
      <c r="AQ24" s="5">
        <f>INDEX(rrcworking[Closing Stock (Oil)],MATCH('June 2020 EDI'!F24,rrcworking[RRC ID],0))</f>
        <v>80</v>
      </c>
    </row>
    <row r="25" spans="1:43">
      <c r="A25" s="4" t="s">
        <v>1</v>
      </c>
      <c r="B25" s="1" t="s">
        <v>923</v>
      </c>
      <c r="C25" s="10" t="s">
        <v>909</v>
      </c>
      <c r="D25" s="1" t="s">
        <v>617</v>
      </c>
      <c r="E25" s="1" t="s">
        <v>59</v>
      </c>
      <c r="F25" s="1" t="s">
        <v>437</v>
      </c>
      <c r="I25" s="10" t="s">
        <v>3</v>
      </c>
      <c r="J25" s="118" t="s">
        <v>3</v>
      </c>
      <c r="K25" s="1">
        <v>5113</v>
      </c>
      <c r="M25" s="5">
        <v>202006</v>
      </c>
      <c r="N25" s="5">
        <f>INDEX(rrcworking[Formation Production (MCF) @ 14.65 psi],MATCH('June 2020 EDI'!F25,rrcworking[RRC ID],0))</f>
        <v>0</v>
      </c>
      <c r="O25" s="5">
        <f>INDEX(rrcworking[Lease Use (MCF)],MATCH('June 2020 EDI'!F25,rrcworking[RRC ID],0))</f>
        <v>0</v>
      </c>
      <c r="P25" s="5">
        <f>INDEX(rrcworking[Gas Sales Statement Volume (MCF)],MATCH('June 2020 EDI'!F25,rrcworking[RRC ID],0))</f>
        <v>0</v>
      </c>
      <c r="R25" s="242">
        <f>INDEX(rrcworking[Flared Gas],MATCH('June 2020 EDI'!F25,rrcworking[RRC ID],0))</f>
        <v>0</v>
      </c>
      <c r="Y25" s="5">
        <f>INDEX(rrcworking[Oil Production],MATCH('June 2020 EDI'!F25,rrcworking[RRC ID],0))</f>
        <v>0</v>
      </c>
      <c r="AA25" s="5">
        <f>INDEX(rrcworking[Sales/Dispostion],MATCH('June 2020 EDI'!F25,rrcworking[RRC ID],0))</f>
        <v>0</v>
      </c>
      <c r="AQ25" s="5">
        <f>INDEX(rrcworking[Closing Stock (Oil)],MATCH('June 2020 EDI'!F25,rrcworking[RRC ID],0))</f>
        <v>84</v>
      </c>
    </row>
    <row r="26" spans="1:43">
      <c r="A26" s="4" t="s">
        <v>1</v>
      </c>
      <c r="B26" s="1" t="s">
        <v>924</v>
      </c>
      <c r="C26" s="10" t="s">
        <v>909</v>
      </c>
      <c r="D26" s="1" t="s">
        <v>617</v>
      </c>
      <c r="E26" s="1" t="s">
        <v>59</v>
      </c>
      <c r="F26" s="1" t="s">
        <v>438</v>
      </c>
      <c r="I26" s="10" t="s">
        <v>3</v>
      </c>
      <c r="J26" s="118" t="s">
        <v>3</v>
      </c>
      <c r="K26" s="1">
        <v>5113</v>
      </c>
      <c r="M26" s="5">
        <v>202006</v>
      </c>
      <c r="N26" s="5">
        <f>INDEX(rrcworking[Formation Production (MCF) @ 14.65 psi],MATCH('June 2020 EDI'!F26,rrcworking[RRC ID],0))</f>
        <v>0</v>
      </c>
      <c r="O26" s="5">
        <f>INDEX(rrcworking[Lease Use (MCF)],MATCH('June 2020 EDI'!F26,rrcworking[RRC ID],0))</f>
        <v>0</v>
      </c>
      <c r="P26" s="5">
        <f>INDEX(rrcworking[Gas Sales Statement Volume (MCF)],MATCH('June 2020 EDI'!F26,rrcworking[RRC ID],0))</f>
        <v>0</v>
      </c>
      <c r="R26" s="242">
        <f>INDEX(rrcworking[Flared Gas],MATCH('June 2020 EDI'!F26,rrcworking[RRC ID],0))</f>
        <v>0</v>
      </c>
      <c r="Y26" s="5">
        <f>INDEX(rrcworking[Oil Production],MATCH('June 2020 EDI'!F26,rrcworking[RRC ID],0))</f>
        <v>0</v>
      </c>
      <c r="AA26" s="5">
        <f>INDEX(rrcworking[Sales/Dispostion],MATCH('June 2020 EDI'!F26,rrcworking[RRC ID],0))</f>
        <v>0</v>
      </c>
      <c r="AQ26" s="5">
        <f>INDEX(rrcworking[Closing Stock (Oil)],MATCH('June 2020 EDI'!F26,rrcworking[RRC ID],0))</f>
        <v>0</v>
      </c>
    </row>
    <row r="27" spans="1:43">
      <c r="A27" s="4" t="s">
        <v>1</v>
      </c>
      <c r="B27" s="1" t="s">
        <v>925</v>
      </c>
      <c r="C27" s="10" t="s">
        <v>909</v>
      </c>
      <c r="D27" s="1" t="s">
        <v>617</v>
      </c>
      <c r="E27" s="1" t="s">
        <v>2</v>
      </c>
      <c r="F27" s="1" t="s">
        <v>439</v>
      </c>
      <c r="I27" s="10" t="s">
        <v>3</v>
      </c>
      <c r="J27" s="118" t="s">
        <v>3</v>
      </c>
      <c r="K27" s="1" t="s">
        <v>1090</v>
      </c>
      <c r="M27" s="5">
        <v>202006</v>
      </c>
      <c r="N27" s="5">
        <f>INDEX(rrcworking[Formation Production (MCF) @ 14.65 psi],MATCH('June 2020 EDI'!F27,rrcworking[RRC ID],0))</f>
        <v>0</v>
      </c>
      <c r="O27" s="5">
        <f>INDEX(rrcworking[Lease Use (MCF)],MATCH('June 2020 EDI'!F27,rrcworking[RRC ID],0))</f>
        <v>0</v>
      </c>
      <c r="P27" s="5">
        <f>INDEX(rrcworking[Gas Sales Statement Volume (MCF)],MATCH('June 2020 EDI'!F27,rrcworking[RRC ID],0))</f>
        <v>0</v>
      </c>
      <c r="R27" s="242">
        <f>INDEX(rrcworking[Flared Gas],MATCH('June 2020 EDI'!F27,rrcworking[RRC ID],0))</f>
        <v>0</v>
      </c>
      <c r="Y27" s="5">
        <f>INDEX(rrcworking[Oil Production],MATCH('June 2020 EDI'!F27,rrcworking[RRC ID],0))</f>
        <v>0</v>
      </c>
      <c r="AA27" s="5">
        <f>INDEX(rrcworking[Sales/Dispostion],MATCH('June 2020 EDI'!F27,rrcworking[RRC ID],0))</f>
        <v>0</v>
      </c>
      <c r="AQ27" s="5">
        <f>INDEX(rrcworking[Closing Stock (Oil)],MATCH('June 2020 EDI'!F27,rrcworking[RRC ID],0))</f>
        <v>0</v>
      </c>
    </row>
    <row r="28" spans="1:43">
      <c r="A28" s="4" t="s">
        <v>1</v>
      </c>
      <c r="B28" s="1" t="s">
        <v>926</v>
      </c>
      <c r="C28" s="10" t="s">
        <v>909</v>
      </c>
      <c r="D28" s="1" t="s">
        <v>617</v>
      </c>
      <c r="E28" s="1" t="s">
        <v>2</v>
      </c>
      <c r="F28" s="1" t="s">
        <v>440</v>
      </c>
      <c r="I28" s="10" t="s">
        <v>3</v>
      </c>
      <c r="J28" s="118" t="s">
        <v>3</v>
      </c>
      <c r="K28" s="1" t="s">
        <v>1090</v>
      </c>
      <c r="M28" s="5">
        <v>202006</v>
      </c>
      <c r="N28" s="5">
        <f>INDEX(rrcworking[Formation Production (MCF) @ 14.65 psi],MATCH('June 2020 EDI'!F28,rrcworking[RRC ID],0))</f>
        <v>0</v>
      </c>
      <c r="O28" s="5">
        <f>INDEX(rrcworking[Lease Use (MCF)],MATCH('June 2020 EDI'!F28,rrcworking[RRC ID],0))</f>
        <v>0</v>
      </c>
      <c r="P28" s="5">
        <f>INDEX(rrcworking[Gas Sales Statement Volume (MCF)],MATCH('June 2020 EDI'!F28,rrcworking[RRC ID],0))</f>
        <v>0</v>
      </c>
      <c r="R28" s="242">
        <f>INDEX(rrcworking[Flared Gas],MATCH('June 2020 EDI'!F28,rrcworking[RRC ID],0))</f>
        <v>0</v>
      </c>
      <c r="Y28" s="5">
        <f>INDEX(rrcworking[Oil Production],MATCH('June 2020 EDI'!F28,rrcworking[RRC ID],0))</f>
        <v>0</v>
      </c>
      <c r="AA28" s="5">
        <f>INDEX(rrcworking[Sales/Dispostion],MATCH('June 2020 EDI'!F28,rrcworking[RRC ID],0))</f>
        <v>0</v>
      </c>
      <c r="AQ28" s="5">
        <f>INDEX(rrcworking[Closing Stock (Oil)],MATCH('June 2020 EDI'!F28,rrcworking[RRC ID],0))</f>
        <v>0</v>
      </c>
    </row>
    <row r="29" spans="1:43">
      <c r="A29" s="4" t="s">
        <v>1</v>
      </c>
      <c r="B29" s="1" t="s">
        <v>927</v>
      </c>
      <c r="C29" s="10" t="s">
        <v>909</v>
      </c>
      <c r="D29" s="1" t="s">
        <v>617</v>
      </c>
      <c r="E29" s="1" t="s">
        <v>2</v>
      </c>
      <c r="F29" s="1" t="s">
        <v>441</v>
      </c>
      <c r="I29" s="10" t="s">
        <v>3</v>
      </c>
      <c r="J29" s="118" t="s">
        <v>3</v>
      </c>
      <c r="K29" s="1" t="s">
        <v>1090</v>
      </c>
      <c r="M29" s="5">
        <v>202006</v>
      </c>
      <c r="N29" s="5">
        <f>INDEX(rrcworking[Formation Production (MCF) @ 14.65 psi],MATCH('June 2020 EDI'!F29,rrcworking[RRC ID],0))</f>
        <v>0</v>
      </c>
      <c r="O29" s="5">
        <f>INDEX(rrcworking[Lease Use (MCF)],MATCH('June 2020 EDI'!F29,rrcworking[RRC ID],0))</f>
        <v>0</v>
      </c>
      <c r="P29" s="5">
        <f>INDEX(rrcworking[Gas Sales Statement Volume (MCF)],MATCH('June 2020 EDI'!F29,rrcworking[RRC ID],0))</f>
        <v>0</v>
      </c>
      <c r="R29" s="242">
        <f>INDEX(rrcworking[Flared Gas],MATCH('June 2020 EDI'!F29,rrcworking[RRC ID],0))</f>
        <v>0</v>
      </c>
      <c r="Y29" s="5">
        <f>INDEX(rrcworking[Oil Production],MATCH('June 2020 EDI'!F29,rrcworking[RRC ID],0))</f>
        <v>0</v>
      </c>
      <c r="AA29" s="5">
        <f>INDEX(rrcworking[Sales/Dispostion],MATCH('June 2020 EDI'!F29,rrcworking[RRC ID],0))</f>
        <v>0</v>
      </c>
      <c r="AQ29" s="5">
        <f>INDEX(rrcworking[Closing Stock (Oil)],MATCH('June 2020 EDI'!F29,rrcworking[RRC ID],0))</f>
        <v>0</v>
      </c>
    </row>
    <row r="30" spans="1:43">
      <c r="A30" s="4" t="s">
        <v>1</v>
      </c>
      <c r="B30" s="1" t="s">
        <v>928</v>
      </c>
      <c r="C30" s="10" t="s">
        <v>909</v>
      </c>
      <c r="D30" s="1" t="s">
        <v>617</v>
      </c>
      <c r="E30" s="1" t="s">
        <v>2</v>
      </c>
      <c r="F30" s="1" t="s">
        <v>442</v>
      </c>
      <c r="I30" s="10" t="s">
        <v>3</v>
      </c>
      <c r="J30" s="118" t="s">
        <v>3</v>
      </c>
      <c r="K30" s="1" t="s">
        <v>1090</v>
      </c>
      <c r="M30" s="5">
        <v>202006</v>
      </c>
      <c r="N30" s="5">
        <f>INDEX(rrcworking[Formation Production (MCF) @ 14.65 psi],MATCH('June 2020 EDI'!F30,rrcworking[RRC ID],0))</f>
        <v>0</v>
      </c>
      <c r="O30" s="5">
        <f>INDEX(rrcworking[Lease Use (MCF)],MATCH('June 2020 EDI'!F30,rrcworking[RRC ID],0))</f>
        <v>0</v>
      </c>
      <c r="P30" s="5">
        <f>INDEX(rrcworking[Gas Sales Statement Volume (MCF)],MATCH('June 2020 EDI'!F30,rrcworking[RRC ID],0))</f>
        <v>0</v>
      </c>
      <c r="R30" s="242">
        <f>INDEX(rrcworking[Flared Gas],MATCH('June 2020 EDI'!F30,rrcworking[RRC ID],0))</f>
        <v>0</v>
      </c>
      <c r="Y30" s="5">
        <f>INDEX(rrcworking[Oil Production],MATCH('June 2020 EDI'!F30,rrcworking[RRC ID],0))</f>
        <v>0</v>
      </c>
      <c r="AA30" s="5">
        <f>INDEX(rrcworking[Sales/Dispostion],MATCH('June 2020 EDI'!F30,rrcworking[RRC ID],0))</f>
        <v>0</v>
      </c>
      <c r="AQ30" s="5">
        <f>INDEX(rrcworking[Closing Stock (Oil)],MATCH('June 2020 EDI'!F30,rrcworking[RRC ID],0))</f>
        <v>0</v>
      </c>
    </row>
    <row r="31" spans="1:43">
      <c r="A31" s="4" t="s">
        <v>1</v>
      </c>
      <c r="B31" s="1" t="s">
        <v>929</v>
      </c>
      <c r="C31" s="10" t="s">
        <v>909</v>
      </c>
      <c r="D31" s="1" t="s">
        <v>617</v>
      </c>
      <c r="E31" s="1" t="s">
        <v>2</v>
      </c>
      <c r="F31" s="1" t="s">
        <v>443</v>
      </c>
      <c r="I31" s="10" t="s">
        <v>3</v>
      </c>
      <c r="J31" s="118" t="s">
        <v>3</v>
      </c>
      <c r="K31" s="1" t="s">
        <v>1090</v>
      </c>
      <c r="M31" s="5">
        <v>202006</v>
      </c>
      <c r="N31" s="5">
        <f>INDEX(rrcworking[Formation Production (MCF) @ 14.65 psi],MATCH('June 2020 EDI'!F31,rrcworking[RRC ID],0))</f>
        <v>0</v>
      </c>
      <c r="O31" s="5">
        <f>INDEX(rrcworking[Lease Use (MCF)],MATCH('June 2020 EDI'!F31,rrcworking[RRC ID],0))</f>
        <v>0</v>
      </c>
      <c r="P31" s="5">
        <f>INDEX(rrcworking[Gas Sales Statement Volume (MCF)],MATCH('June 2020 EDI'!F31,rrcworking[RRC ID],0))</f>
        <v>0</v>
      </c>
      <c r="R31" s="242">
        <f>INDEX(rrcworking[Flared Gas],MATCH('June 2020 EDI'!F31,rrcworking[RRC ID],0))</f>
        <v>0</v>
      </c>
      <c r="Y31" s="5">
        <f>INDEX(rrcworking[Oil Production],MATCH('June 2020 EDI'!F31,rrcworking[RRC ID],0))</f>
        <v>0</v>
      </c>
      <c r="AA31" s="5">
        <f>INDEX(rrcworking[Sales/Dispostion],MATCH('June 2020 EDI'!F31,rrcworking[RRC ID],0))</f>
        <v>0</v>
      </c>
      <c r="AQ31" s="5">
        <f>INDEX(rrcworking[Closing Stock (Oil)],MATCH('June 2020 EDI'!F31,rrcworking[RRC ID],0))</f>
        <v>0</v>
      </c>
    </row>
    <row r="32" spans="1:43">
      <c r="A32" s="4" t="s">
        <v>1</v>
      </c>
      <c r="B32" s="1" t="s">
        <v>930</v>
      </c>
      <c r="C32" s="10" t="s">
        <v>909</v>
      </c>
      <c r="D32" s="1" t="s">
        <v>617</v>
      </c>
      <c r="E32" s="1" t="s">
        <v>59</v>
      </c>
      <c r="F32" s="1" t="s">
        <v>444</v>
      </c>
      <c r="I32" s="10" t="s">
        <v>3</v>
      </c>
      <c r="J32" s="118" t="s">
        <v>3</v>
      </c>
      <c r="K32" s="1" t="s">
        <v>1090</v>
      </c>
      <c r="M32" s="5">
        <v>202006</v>
      </c>
      <c r="N32" s="5">
        <f>INDEX(rrcworking[Formation Production (MCF) @ 14.65 psi],MATCH('June 2020 EDI'!F32,rrcworking[RRC ID],0))</f>
        <v>0</v>
      </c>
      <c r="O32" s="5">
        <f>INDEX(rrcworking[Lease Use (MCF)],MATCH('June 2020 EDI'!F32,rrcworking[RRC ID],0))</f>
        <v>0</v>
      </c>
      <c r="P32" s="5">
        <f>INDEX(rrcworking[Gas Sales Statement Volume (MCF)],MATCH('June 2020 EDI'!F32,rrcworking[RRC ID],0))</f>
        <v>0</v>
      </c>
      <c r="R32" s="242">
        <f>INDEX(rrcworking[Flared Gas],MATCH('June 2020 EDI'!F32,rrcworking[RRC ID],0))</f>
        <v>0</v>
      </c>
      <c r="Y32" s="5">
        <f>INDEX(rrcworking[Oil Production],MATCH('June 2020 EDI'!F32,rrcworking[RRC ID],0))</f>
        <v>0</v>
      </c>
      <c r="AA32" s="5">
        <f>INDEX(rrcworking[Sales/Dispostion],MATCH('June 2020 EDI'!F32,rrcworking[RRC ID],0))</f>
        <v>0</v>
      </c>
      <c r="AQ32" s="5">
        <f>INDEX(rrcworking[Closing Stock (Oil)],MATCH('June 2020 EDI'!F32,rrcworking[RRC ID],0))</f>
        <v>0</v>
      </c>
    </row>
    <row r="33" spans="1:43">
      <c r="A33" s="4" t="s">
        <v>1</v>
      </c>
      <c r="B33" s="1" t="s">
        <v>931</v>
      </c>
      <c r="C33" s="10" t="s">
        <v>909</v>
      </c>
      <c r="D33" s="1" t="s">
        <v>617</v>
      </c>
      <c r="E33" s="1" t="s">
        <v>2</v>
      </c>
      <c r="F33" s="1" t="s">
        <v>445</v>
      </c>
      <c r="I33" s="10" t="s">
        <v>3</v>
      </c>
      <c r="J33" s="118" t="s">
        <v>3</v>
      </c>
      <c r="K33" s="1" t="s">
        <v>1090</v>
      </c>
      <c r="M33" s="5">
        <v>202006</v>
      </c>
      <c r="N33" s="5">
        <f>INDEX(rrcworking[Formation Production (MCF) @ 14.65 psi],MATCH('June 2020 EDI'!F33,rrcworking[RRC ID],0))</f>
        <v>0</v>
      </c>
      <c r="O33" s="5">
        <f>INDEX(rrcworking[Lease Use (MCF)],MATCH('June 2020 EDI'!F33,rrcworking[RRC ID],0))</f>
        <v>0</v>
      </c>
      <c r="P33" s="5">
        <f>INDEX(rrcworking[Gas Sales Statement Volume (MCF)],MATCH('June 2020 EDI'!F33,rrcworking[RRC ID],0))</f>
        <v>0</v>
      </c>
      <c r="R33" s="242">
        <f>INDEX(rrcworking[Flared Gas],MATCH('June 2020 EDI'!F33,rrcworking[RRC ID],0))</f>
        <v>0</v>
      </c>
      <c r="Y33" s="5">
        <f>INDEX(rrcworking[Oil Production],MATCH('June 2020 EDI'!F33,rrcworking[RRC ID],0))</f>
        <v>0</v>
      </c>
      <c r="AA33" s="5">
        <f>INDEX(rrcworking[Sales/Dispostion],MATCH('June 2020 EDI'!F33,rrcworking[RRC ID],0))</f>
        <v>0</v>
      </c>
      <c r="AQ33" s="5">
        <f>INDEX(rrcworking[Closing Stock (Oil)],MATCH('June 2020 EDI'!F33,rrcworking[RRC ID],0))</f>
        <v>213</v>
      </c>
    </row>
    <row r="34" spans="1:43">
      <c r="A34" s="4" t="s">
        <v>1</v>
      </c>
      <c r="B34" s="1" t="s">
        <v>932</v>
      </c>
      <c r="C34" s="10" t="s">
        <v>909</v>
      </c>
      <c r="D34" s="1" t="s">
        <v>617</v>
      </c>
      <c r="E34" s="1" t="s">
        <v>59</v>
      </c>
      <c r="F34" s="1" t="s">
        <v>446</v>
      </c>
      <c r="I34" s="10" t="s">
        <v>3</v>
      </c>
      <c r="J34" s="118" t="s">
        <v>3</v>
      </c>
      <c r="K34" s="1">
        <v>5048</v>
      </c>
      <c r="M34" s="5">
        <v>202006</v>
      </c>
      <c r="N34" s="5">
        <f>INDEX(rrcworking[Formation Production (MCF) @ 14.65 psi],MATCH('June 2020 EDI'!F34,rrcworking[RRC ID],0))</f>
        <v>0</v>
      </c>
      <c r="O34" s="5">
        <f>INDEX(rrcworking[Lease Use (MCF)],MATCH('June 2020 EDI'!F34,rrcworking[RRC ID],0))</f>
        <v>0</v>
      </c>
      <c r="P34" s="5">
        <f>INDEX(rrcworking[Gas Sales Statement Volume (MCF)],MATCH('June 2020 EDI'!F34,rrcworking[RRC ID],0))</f>
        <v>0</v>
      </c>
      <c r="R34" s="242">
        <f>INDEX(rrcworking[Flared Gas],MATCH('June 2020 EDI'!F34,rrcworking[RRC ID],0))</f>
        <v>0</v>
      </c>
      <c r="Y34" s="5">
        <f>INDEX(rrcworking[Oil Production],MATCH('June 2020 EDI'!F34,rrcworking[RRC ID],0))</f>
        <v>0</v>
      </c>
      <c r="AA34" s="5">
        <f>INDEX(rrcworking[Sales/Dispostion],MATCH('June 2020 EDI'!F34,rrcworking[RRC ID],0))</f>
        <v>0</v>
      </c>
      <c r="AQ34" s="5">
        <f>INDEX(rrcworking[Closing Stock (Oil)],MATCH('June 2020 EDI'!F34,rrcworking[RRC ID],0))</f>
        <v>0</v>
      </c>
    </row>
    <row r="35" spans="1:43">
      <c r="A35" s="4" t="s">
        <v>1</v>
      </c>
      <c r="B35" s="1" t="s">
        <v>933</v>
      </c>
      <c r="C35" s="10" t="s">
        <v>909</v>
      </c>
      <c r="D35" s="1" t="s">
        <v>617</v>
      </c>
      <c r="E35" s="1" t="s">
        <v>59</v>
      </c>
      <c r="F35" s="1" t="s">
        <v>447</v>
      </c>
      <c r="I35" s="10" t="s">
        <v>3</v>
      </c>
      <c r="J35" s="118" t="s">
        <v>3</v>
      </c>
      <c r="K35" s="1" t="s">
        <v>1090</v>
      </c>
      <c r="M35" s="5">
        <v>202006</v>
      </c>
      <c r="N35" s="5">
        <f>INDEX(rrcworking[Formation Production (MCF) @ 14.65 psi],MATCH('June 2020 EDI'!F35,rrcworking[RRC ID],0))</f>
        <v>0</v>
      </c>
      <c r="O35" s="5">
        <f>INDEX(rrcworking[Lease Use (MCF)],MATCH('June 2020 EDI'!F35,rrcworking[RRC ID],0))</f>
        <v>0</v>
      </c>
      <c r="P35" s="5">
        <f>INDEX(rrcworking[Gas Sales Statement Volume (MCF)],MATCH('June 2020 EDI'!F35,rrcworking[RRC ID],0))</f>
        <v>0</v>
      </c>
      <c r="R35" s="242">
        <f>INDEX(rrcworking[Flared Gas],MATCH('June 2020 EDI'!F35,rrcworking[RRC ID],0))</f>
        <v>0</v>
      </c>
      <c r="Y35" s="5">
        <f>INDEX(rrcworking[Oil Production],MATCH('June 2020 EDI'!F35,rrcworking[RRC ID],0))</f>
        <v>0</v>
      </c>
      <c r="AA35" s="5">
        <f>INDEX(rrcworking[Sales/Dispostion],MATCH('June 2020 EDI'!F35,rrcworking[RRC ID],0))</f>
        <v>0</v>
      </c>
      <c r="AQ35" s="5">
        <f>INDEX(rrcworking[Closing Stock (Oil)],MATCH('June 2020 EDI'!F35,rrcworking[RRC ID],0))</f>
        <v>166</v>
      </c>
    </row>
    <row r="36" spans="1:43">
      <c r="A36" s="4" t="s">
        <v>1</v>
      </c>
      <c r="B36" s="1" t="s">
        <v>934</v>
      </c>
      <c r="C36" s="10" t="s">
        <v>909</v>
      </c>
      <c r="D36" s="1" t="s">
        <v>617</v>
      </c>
      <c r="E36" s="1" t="s">
        <v>59</v>
      </c>
      <c r="F36" s="1" t="s">
        <v>448</v>
      </c>
      <c r="I36" s="10" t="s">
        <v>3</v>
      </c>
      <c r="J36" s="118" t="s">
        <v>3</v>
      </c>
      <c r="K36" s="1" t="s">
        <v>1090</v>
      </c>
      <c r="M36" s="5">
        <v>202006</v>
      </c>
      <c r="N36" s="5">
        <f>INDEX(rrcworking[Formation Production (MCF) @ 14.65 psi],MATCH('June 2020 EDI'!F36,rrcworking[RRC ID],0))</f>
        <v>0</v>
      </c>
      <c r="O36" s="5">
        <f>INDEX(rrcworking[Lease Use (MCF)],MATCH('June 2020 EDI'!F36,rrcworking[RRC ID],0))</f>
        <v>0</v>
      </c>
      <c r="P36" s="5">
        <f>INDEX(rrcworking[Gas Sales Statement Volume (MCF)],MATCH('June 2020 EDI'!F36,rrcworking[RRC ID],0))</f>
        <v>0</v>
      </c>
      <c r="R36" s="242">
        <f>INDEX(rrcworking[Flared Gas],MATCH('June 2020 EDI'!F36,rrcworking[RRC ID],0))</f>
        <v>0</v>
      </c>
      <c r="Y36" s="5">
        <f>INDEX(rrcworking[Oil Production],MATCH('June 2020 EDI'!F36,rrcworking[RRC ID],0))</f>
        <v>0</v>
      </c>
      <c r="AA36" s="5">
        <f>INDEX(rrcworking[Sales/Dispostion],MATCH('June 2020 EDI'!F36,rrcworking[RRC ID],0))</f>
        <v>0</v>
      </c>
      <c r="AQ36" s="5">
        <f>INDEX(rrcworking[Closing Stock (Oil)],MATCH('June 2020 EDI'!F36,rrcworking[RRC ID],0))</f>
        <v>0</v>
      </c>
    </row>
    <row r="37" spans="1:43">
      <c r="A37" s="4" t="s">
        <v>1</v>
      </c>
      <c r="B37" s="1" t="s">
        <v>935</v>
      </c>
      <c r="C37" s="10" t="s">
        <v>909</v>
      </c>
      <c r="D37" s="1" t="s">
        <v>617</v>
      </c>
      <c r="E37" s="1" t="s">
        <v>59</v>
      </c>
      <c r="F37" s="1" t="s">
        <v>449</v>
      </c>
      <c r="I37" s="10" t="s">
        <v>3</v>
      </c>
      <c r="J37" s="118" t="s">
        <v>3</v>
      </c>
      <c r="K37" s="1" t="s">
        <v>1090</v>
      </c>
      <c r="M37" s="5">
        <v>202006</v>
      </c>
      <c r="N37" s="5">
        <f>INDEX(rrcworking[Formation Production (MCF) @ 14.65 psi],MATCH('June 2020 EDI'!F37,rrcworking[RRC ID],0))</f>
        <v>0</v>
      </c>
      <c r="O37" s="5">
        <f>INDEX(rrcworking[Lease Use (MCF)],MATCH('June 2020 EDI'!F37,rrcworking[RRC ID],0))</f>
        <v>0</v>
      </c>
      <c r="P37" s="5">
        <f>INDEX(rrcworking[Gas Sales Statement Volume (MCF)],MATCH('June 2020 EDI'!F37,rrcworking[RRC ID],0))</f>
        <v>0</v>
      </c>
      <c r="R37" s="242">
        <f>INDEX(rrcworking[Flared Gas],MATCH('June 2020 EDI'!F37,rrcworking[RRC ID],0))</f>
        <v>0</v>
      </c>
      <c r="Y37" s="5">
        <f>INDEX(rrcworking[Oil Production],MATCH('June 2020 EDI'!F37,rrcworking[RRC ID],0))</f>
        <v>0</v>
      </c>
      <c r="AA37" s="5">
        <f>INDEX(rrcworking[Sales/Dispostion],MATCH('June 2020 EDI'!F37,rrcworking[RRC ID],0))</f>
        <v>0</v>
      </c>
      <c r="AQ37" s="5">
        <f>INDEX(rrcworking[Closing Stock (Oil)],MATCH('June 2020 EDI'!F37,rrcworking[RRC ID],0))</f>
        <v>0</v>
      </c>
    </row>
    <row r="38" spans="1:43">
      <c r="A38" s="4" t="s">
        <v>1</v>
      </c>
      <c r="B38" s="1" t="s">
        <v>936</v>
      </c>
      <c r="C38" s="10" t="s">
        <v>909</v>
      </c>
      <c r="D38" s="1" t="s">
        <v>617</v>
      </c>
      <c r="E38" s="1" t="s">
        <v>59</v>
      </c>
      <c r="F38" s="1" t="s">
        <v>450</v>
      </c>
      <c r="I38" s="10" t="s">
        <v>3</v>
      </c>
      <c r="J38" s="118" t="s">
        <v>3</v>
      </c>
      <c r="K38" s="1" t="s">
        <v>1090</v>
      </c>
      <c r="M38" s="5">
        <v>202006</v>
      </c>
      <c r="N38" s="5">
        <f>INDEX(rrcworking[Formation Production (MCF) @ 14.65 psi],MATCH('June 2020 EDI'!F38,rrcworking[RRC ID],0))</f>
        <v>0</v>
      </c>
      <c r="O38" s="5">
        <f>INDEX(rrcworking[Lease Use (MCF)],MATCH('June 2020 EDI'!F38,rrcworking[RRC ID],0))</f>
        <v>0</v>
      </c>
      <c r="P38" s="5">
        <f>INDEX(rrcworking[Gas Sales Statement Volume (MCF)],MATCH('June 2020 EDI'!F38,rrcworking[RRC ID],0))</f>
        <v>0</v>
      </c>
      <c r="R38" s="242">
        <f>INDEX(rrcworking[Flared Gas],MATCH('June 2020 EDI'!F38,rrcworking[RRC ID],0))</f>
        <v>0</v>
      </c>
      <c r="Y38" s="5">
        <f>INDEX(rrcworking[Oil Production],MATCH('June 2020 EDI'!F38,rrcworking[RRC ID],0))</f>
        <v>0</v>
      </c>
      <c r="AA38" s="5">
        <f>INDEX(rrcworking[Sales/Dispostion],MATCH('June 2020 EDI'!F38,rrcworking[RRC ID],0))</f>
        <v>0</v>
      </c>
      <c r="AQ38" s="5">
        <f>INDEX(rrcworking[Closing Stock (Oil)],MATCH('June 2020 EDI'!F38,rrcworking[RRC ID],0))</f>
        <v>0</v>
      </c>
    </row>
    <row r="39" spans="1:43">
      <c r="A39" s="4" t="s">
        <v>1</v>
      </c>
      <c r="B39" s="1" t="s">
        <v>937</v>
      </c>
      <c r="C39" s="10" t="s">
        <v>909</v>
      </c>
      <c r="D39" s="1" t="s">
        <v>617</v>
      </c>
      <c r="E39" s="1" t="s">
        <v>2</v>
      </c>
      <c r="F39" s="1" t="s">
        <v>451</v>
      </c>
      <c r="I39" s="10" t="s">
        <v>3</v>
      </c>
      <c r="J39" s="118" t="s">
        <v>3</v>
      </c>
      <c r="K39" s="1" t="s">
        <v>1090</v>
      </c>
      <c r="M39" s="5">
        <v>202006</v>
      </c>
      <c r="N39" s="5">
        <f>INDEX(rrcworking[Formation Production (MCF) @ 14.65 psi],MATCH('June 2020 EDI'!F39,rrcworking[RRC ID],0))</f>
        <v>0</v>
      </c>
      <c r="O39" s="5">
        <f>INDEX(rrcworking[Lease Use (MCF)],MATCH('June 2020 EDI'!F39,rrcworking[RRC ID],0))</f>
        <v>0</v>
      </c>
      <c r="P39" s="5">
        <f>INDEX(rrcworking[Gas Sales Statement Volume (MCF)],MATCH('June 2020 EDI'!F39,rrcworking[RRC ID],0))</f>
        <v>0</v>
      </c>
      <c r="R39" s="242">
        <f>INDEX(rrcworking[Flared Gas],MATCH('June 2020 EDI'!F39,rrcworking[RRC ID],0))</f>
        <v>0</v>
      </c>
      <c r="Y39" s="5">
        <f>INDEX(rrcworking[Oil Production],MATCH('June 2020 EDI'!F39,rrcworking[RRC ID],0))</f>
        <v>0</v>
      </c>
      <c r="AA39" s="5">
        <f>INDEX(rrcworking[Sales/Dispostion],MATCH('June 2020 EDI'!F39,rrcworking[RRC ID],0))</f>
        <v>0</v>
      </c>
      <c r="AQ39" s="5">
        <f>INDEX(rrcworking[Closing Stock (Oil)],MATCH('June 2020 EDI'!F39,rrcworking[RRC ID],0))</f>
        <v>0</v>
      </c>
    </row>
    <row r="40" spans="1:43">
      <c r="A40" s="4" t="s">
        <v>1</v>
      </c>
      <c r="B40" s="1" t="s">
        <v>938</v>
      </c>
      <c r="C40" s="10" t="s">
        <v>909</v>
      </c>
      <c r="D40" s="1" t="s">
        <v>617</v>
      </c>
      <c r="E40" s="1" t="s">
        <v>59</v>
      </c>
      <c r="F40" s="1" t="s">
        <v>452</v>
      </c>
      <c r="I40" s="10" t="s">
        <v>3</v>
      </c>
      <c r="J40" s="118" t="s">
        <v>3</v>
      </c>
      <c r="K40" s="1" t="s">
        <v>1090</v>
      </c>
      <c r="M40" s="5">
        <v>202006</v>
      </c>
      <c r="N40" s="5">
        <f>INDEX(rrcworking[Formation Production (MCF) @ 14.65 psi],MATCH('June 2020 EDI'!F40,rrcworking[RRC ID],0))</f>
        <v>0</v>
      </c>
      <c r="O40" s="5">
        <f>INDEX(rrcworking[Lease Use (MCF)],MATCH('June 2020 EDI'!F40,rrcworking[RRC ID],0))</f>
        <v>0</v>
      </c>
      <c r="P40" s="5">
        <f>INDEX(rrcworking[Gas Sales Statement Volume (MCF)],MATCH('June 2020 EDI'!F40,rrcworking[RRC ID],0))</f>
        <v>0</v>
      </c>
      <c r="R40" s="242">
        <f>INDEX(rrcworking[Flared Gas],MATCH('June 2020 EDI'!F40,rrcworking[RRC ID],0))</f>
        <v>0</v>
      </c>
      <c r="Y40" s="5">
        <f>INDEX(rrcworking[Oil Production],MATCH('June 2020 EDI'!F40,rrcworking[RRC ID],0))</f>
        <v>0</v>
      </c>
      <c r="AA40" s="5">
        <f>INDEX(rrcworking[Sales/Dispostion],MATCH('June 2020 EDI'!F40,rrcworking[RRC ID],0))</f>
        <v>0</v>
      </c>
      <c r="AQ40" s="5">
        <f>INDEX(rrcworking[Closing Stock (Oil)],MATCH('June 2020 EDI'!F40,rrcworking[RRC ID],0))</f>
        <v>0</v>
      </c>
    </row>
    <row r="41" spans="1:43">
      <c r="A41" s="4" t="s">
        <v>1</v>
      </c>
      <c r="B41" s="1" t="s">
        <v>939</v>
      </c>
      <c r="C41" s="10" t="s">
        <v>909</v>
      </c>
      <c r="D41" s="1" t="s">
        <v>617</v>
      </c>
      <c r="E41" s="1" t="s">
        <v>59</v>
      </c>
      <c r="F41" s="1" t="s">
        <v>453</v>
      </c>
      <c r="I41" s="10" t="s">
        <v>3</v>
      </c>
      <c r="J41" s="118" t="s">
        <v>3</v>
      </c>
      <c r="K41" s="1" t="s">
        <v>1090</v>
      </c>
      <c r="M41" s="5">
        <v>202006</v>
      </c>
      <c r="N41" s="5">
        <f>INDEX(rrcworking[Formation Production (MCF) @ 14.65 psi],MATCH('June 2020 EDI'!F41,rrcworking[RRC ID],0))</f>
        <v>0</v>
      </c>
      <c r="O41" s="5">
        <f>INDEX(rrcworking[Lease Use (MCF)],MATCH('June 2020 EDI'!F41,rrcworking[RRC ID],0))</f>
        <v>0</v>
      </c>
      <c r="P41" s="5">
        <f>INDEX(rrcworking[Gas Sales Statement Volume (MCF)],MATCH('June 2020 EDI'!F41,rrcworking[RRC ID],0))</f>
        <v>0</v>
      </c>
      <c r="R41" s="242">
        <f>INDEX(rrcworking[Flared Gas],MATCH('June 2020 EDI'!F41,rrcworking[RRC ID],0))</f>
        <v>0</v>
      </c>
      <c r="Y41" s="5">
        <f>INDEX(rrcworking[Oil Production],MATCH('June 2020 EDI'!F41,rrcworking[RRC ID],0))</f>
        <v>0</v>
      </c>
      <c r="AA41" s="5">
        <f>INDEX(rrcworking[Sales/Dispostion],MATCH('June 2020 EDI'!F41,rrcworking[RRC ID],0))</f>
        <v>0</v>
      </c>
      <c r="AQ41" s="5">
        <f>INDEX(rrcworking[Closing Stock (Oil)],MATCH('June 2020 EDI'!F41,rrcworking[RRC ID],0))</f>
        <v>0</v>
      </c>
    </row>
    <row r="42" spans="1:43">
      <c r="A42" s="4" t="s">
        <v>1</v>
      </c>
      <c r="B42" s="1" t="s">
        <v>940</v>
      </c>
      <c r="C42" s="10" t="s">
        <v>909</v>
      </c>
      <c r="D42" s="1" t="s">
        <v>617</v>
      </c>
      <c r="E42" s="1" t="s">
        <v>59</v>
      </c>
      <c r="F42" s="1" t="s">
        <v>454</v>
      </c>
      <c r="I42" s="10" t="s">
        <v>3</v>
      </c>
      <c r="J42" s="118" t="s">
        <v>3</v>
      </c>
      <c r="K42" s="1" t="s">
        <v>1090</v>
      </c>
      <c r="M42" s="5">
        <v>202006</v>
      </c>
      <c r="N42" s="5">
        <f>INDEX(rrcworking[Formation Production (MCF) @ 14.65 psi],MATCH('June 2020 EDI'!F42,rrcworking[RRC ID],0))</f>
        <v>0</v>
      </c>
      <c r="O42" s="5">
        <f>INDEX(rrcworking[Lease Use (MCF)],MATCH('June 2020 EDI'!F42,rrcworking[RRC ID],0))</f>
        <v>0</v>
      </c>
      <c r="P42" s="5">
        <f>INDEX(rrcworking[Gas Sales Statement Volume (MCF)],MATCH('June 2020 EDI'!F42,rrcworking[RRC ID],0))</f>
        <v>0</v>
      </c>
      <c r="R42" s="242">
        <f>INDEX(rrcworking[Flared Gas],MATCH('June 2020 EDI'!F42,rrcworking[RRC ID],0))</f>
        <v>0</v>
      </c>
      <c r="Y42" s="5">
        <f>INDEX(rrcworking[Oil Production],MATCH('June 2020 EDI'!F42,rrcworking[RRC ID],0))</f>
        <v>0</v>
      </c>
      <c r="AA42" s="5">
        <f>INDEX(rrcworking[Sales/Dispostion],MATCH('June 2020 EDI'!F42,rrcworking[RRC ID],0))</f>
        <v>0</v>
      </c>
      <c r="AQ42" s="5">
        <f>INDEX(rrcworking[Closing Stock (Oil)],MATCH('June 2020 EDI'!F42,rrcworking[RRC ID],0))</f>
        <v>0</v>
      </c>
    </row>
    <row r="43" spans="1:43">
      <c r="A43" s="4" t="s">
        <v>1</v>
      </c>
      <c r="B43" s="1" t="s">
        <v>941</v>
      </c>
      <c r="C43" s="10" t="s">
        <v>909</v>
      </c>
      <c r="D43" s="1" t="s">
        <v>617</v>
      </c>
      <c r="E43" s="1" t="s">
        <v>59</v>
      </c>
      <c r="F43" s="1" t="s">
        <v>455</v>
      </c>
      <c r="I43" s="10" t="s">
        <v>3</v>
      </c>
      <c r="J43" s="118" t="s">
        <v>3</v>
      </c>
      <c r="K43" s="1" t="s">
        <v>1090</v>
      </c>
      <c r="M43" s="5">
        <v>202006</v>
      </c>
      <c r="N43" s="5">
        <f>INDEX(rrcworking[Formation Production (MCF) @ 14.65 psi],MATCH('June 2020 EDI'!F43,rrcworking[RRC ID],0))</f>
        <v>54</v>
      </c>
      <c r="O43" s="5">
        <f>INDEX(rrcworking[Lease Use (MCF)],MATCH('June 2020 EDI'!F43,rrcworking[RRC ID],0))</f>
        <v>0</v>
      </c>
      <c r="P43" s="5">
        <f>INDEX(rrcworking[Gas Sales Statement Volume (MCF)],MATCH('June 2020 EDI'!F43,rrcworking[RRC ID],0))</f>
        <v>54</v>
      </c>
      <c r="R43" s="242">
        <f>INDEX(rrcworking[Flared Gas],MATCH('June 2020 EDI'!F43,rrcworking[RRC ID],0))</f>
        <v>0</v>
      </c>
      <c r="Y43" s="5">
        <f>INDEX(rrcworking[Oil Production],MATCH('June 2020 EDI'!F43,rrcworking[RRC ID],0))</f>
        <v>0</v>
      </c>
      <c r="AA43" s="5">
        <f>INDEX(rrcworking[Sales/Dispostion],MATCH('June 2020 EDI'!F43,rrcworking[RRC ID],0))</f>
        <v>0</v>
      </c>
      <c r="AQ43" s="5">
        <f>INDEX(rrcworking[Closing Stock (Oil)],MATCH('June 2020 EDI'!F43,rrcworking[RRC ID],0))</f>
        <v>0</v>
      </c>
    </row>
    <row r="44" spans="1:43">
      <c r="A44" s="4" t="s">
        <v>1</v>
      </c>
      <c r="B44" s="1" t="s">
        <v>942</v>
      </c>
      <c r="C44" s="10" t="s">
        <v>909</v>
      </c>
      <c r="D44" s="1" t="s">
        <v>617</v>
      </c>
      <c r="E44" s="1" t="s">
        <v>2</v>
      </c>
      <c r="F44" s="1" t="s">
        <v>456</v>
      </c>
      <c r="I44" s="10" t="s">
        <v>3</v>
      </c>
      <c r="J44" s="118" t="s">
        <v>3</v>
      </c>
      <c r="K44" s="1" t="s">
        <v>1090</v>
      </c>
      <c r="M44" s="5">
        <v>202006</v>
      </c>
      <c r="N44" s="5">
        <f>INDEX(rrcworking[Formation Production (MCF) @ 14.65 psi],MATCH('June 2020 EDI'!F44,rrcworking[RRC ID],0))</f>
        <v>0</v>
      </c>
      <c r="O44" s="5">
        <f>INDEX(rrcworking[Lease Use (MCF)],MATCH('June 2020 EDI'!F44,rrcworking[RRC ID],0))</f>
        <v>0</v>
      </c>
      <c r="P44" s="5">
        <f>INDEX(rrcworking[Gas Sales Statement Volume (MCF)],MATCH('June 2020 EDI'!F44,rrcworking[RRC ID],0))</f>
        <v>0</v>
      </c>
      <c r="R44" s="242">
        <f>INDEX(rrcworking[Flared Gas],MATCH('June 2020 EDI'!F44,rrcworking[RRC ID],0))</f>
        <v>0</v>
      </c>
      <c r="Y44" s="5">
        <f>INDEX(rrcworking[Oil Production],MATCH('June 2020 EDI'!F44,rrcworking[RRC ID],0))</f>
        <v>90</v>
      </c>
      <c r="AA44" s="5">
        <f>INDEX(rrcworking[Sales/Dispostion],MATCH('June 2020 EDI'!F44,rrcworking[RRC ID],0))</f>
        <v>0</v>
      </c>
      <c r="AQ44" s="5">
        <f>INDEX(rrcworking[Closing Stock (Oil)],MATCH('June 2020 EDI'!F44,rrcworking[RRC ID],0))</f>
        <v>389</v>
      </c>
    </row>
    <row r="45" spans="1:43">
      <c r="A45" s="4" t="s">
        <v>1</v>
      </c>
      <c r="B45" s="1" t="s">
        <v>943</v>
      </c>
      <c r="C45" s="10" t="s">
        <v>909</v>
      </c>
      <c r="D45" s="1" t="s">
        <v>618</v>
      </c>
      <c r="E45" s="1" t="s">
        <v>2</v>
      </c>
      <c r="F45" s="1" t="s">
        <v>457</v>
      </c>
      <c r="I45" s="10" t="s">
        <v>3</v>
      </c>
      <c r="J45" s="118" t="s">
        <v>3</v>
      </c>
      <c r="K45" s="1" t="s">
        <v>1090</v>
      </c>
      <c r="M45" s="5">
        <v>202006</v>
      </c>
      <c r="N45" s="5">
        <f>INDEX(rrcworking[Formation Production (MCF) @ 14.65 psi],MATCH('June 2020 EDI'!F45,rrcworking[RRC ID],0))</f>
        <v>0</v>
      </c>
      <c r="O45" s="5">
        <f>INDEX(rrcworking[Lease Use (MCF)],MATCH('June 2020 EDI'!F45,rrcworking[RRC ID],0))</f>
        <v>0</v>
      </c>
      <c r="P45" s="5">
        <f>INDEX(rrcworking[Gas Sales Statement Volume (MCF)],MATCH('June 2020 EDI'!F45,rrcworking[RRC ID],0))</f>
        <v>0</v>
      </c>
      <c r="R45" s="242">
        <f>INDEX(rrcworking[Flared Gas],MATCH('June 2020 EDI'!F45,rrcworking[RRC ID],0))</f>
        <v>0</v>
      </c>
      <c r="Y45" s="5">
        <f>INDEX(rrcworking[Oil Production],MATCH('June 2020 EDI'!F45,rrcworking[RRC ID],0))</f>
        <v>0</v>
      </c>
      <c r="AA45" s="5">
        <f>INDEX(rrcworking[Sales/Dispostion],MATCH('June 2020 EDI'!F45,rrcworking[RRC ID],0))</f>
        <v>0</v>
      </c>
      <c r="AQ45" s="5">
        <f>INDEX(rrcworking[Closing Stock (Oil)],MATCH('June 2020 EDI'!F45,rrcworking[RRC ID],0))</f>
        <v>0</v>
      </c>
    </row>
    <row r="46" spans="1:43">
      <c r="A46" s="4" t="s">
        <v>1</v>
      </c>
      <c r="B46" s="1" t="s">
        <v>944</v>
      </c>
      <c r="C46" s="10" t="s">
        <v>909</v>
      </c>
      <c r="D46" s="1" t="s">
        <v>618</v>
      </c>
      <c r="E46" s="1" t="s">
        <v>59</v>
      </c>
      <c r="F46" s="1" t="s">
        <v>458</v>
      </c>
      <c r="I46" s="10" t="s">
        <v>3</v>
      </c>
      <c r="J46" s="118" t="s">
        <v>3</v>
      </c>
      <c r="K46" s="1" t="s">
        <v>1090</v>
      </c>
      <c r="M46" s="5">
        <v>202006</v>
      </c>
      <c r="N46" s="5">
        <f>INDEX(rrcworking[Formation Production (MCF) @ 14.65 psi],MATCH('June 2020 EDI'!F46,rrcworking[RRC ID],0))</f>
        <v>50709</v>
      </c>
      <c r="O46" s="5">
        <f>INDEX(rrcworking[Lease Use (MCF)],MATCH('June 2020 EDI'!F46,rrcworking[RRC ID],0))</f>
        <v>630</v>
      </c>
      <c r="P46" s="5">
        <f>INDEX(rrcworking[Gas Sales Statement Volume (MCF)],MATCH('June 2020 EDI'!F46,rrcworking[RRC ID],0))</f>
        <v>50079</v>
      </c>
      <c r="R46" s="242">
        <f>INDEX(rrcworking[Flared Gas],MATCH('June 2020 EDI'!F46,rrcworking[RRC ID],0))</f>
        <v>0</v>
      </c>
      <c r="Y46" s="5">
        <f>INDEX(rrcworking[Oil Production],MATCH('June 2020 EDI'!F46,rrcworking[RRC ID],0))</f>
        <v>873</v>
      </c>
      <c r="AA46" s="5">
        <f>INDEX(rrcworking[Sales/Dispostion],MATCH('June 2020 EDI'!F46,rrcworking[RRC ID],0))</f>
        <v>1334</v>
      </c>
      <c r="AQ46" s="5">
        <f>INDEX(rrcworking[Closing Stock (Oil)],MATCH('June 2020 EDI'!F46,rrcworking[RRC ID],0))</f>
        <v>337</v>
      </c>
    </row>
    <row r="47" spans="1:43">
      <c r="A47" s="4" t="s">
        <v>1</v>
      </c>
      <c r="B47" s="1" t="s">
        <v>945</v>
      </c>
      <c r="C47" s="10" t="s">
        <v>909</v>
      </c>
      <c r="D47" s="1" t="s">
        <v>618</v>
      </c>
      <c r="E47" s="1" t="s">
        <v>59</v>
      </c>
      <c r="F47" s="1" t="s">
        <v>459</v>
      </c>
      <c r="I47" s="10" t="s">
        <v>3</v>
      </c>
      <c r="J47" s="118" t="s">
        <v>3</v>
      </c>
      <c r="K47" s="1" t="s">
        <v>1090</v>
      </c>
      <c r="M47" s="5">
        <v>202006</v>
      </c>
      <c r="N47" s="5">
        <f>INDEX(rrcworking[Formation Production (MCF) @ 14.65 psi],MATCH('June 2020 EDI'!F47,rrcworking[RRC ID],0))</f>
        <v>0</v>
      </c>
      <c r="O47" s="5">
        <f>INDEX(rrcworking[Lease Use (MCF)],MATCH('June 2020 EDI'!F47,rrcworking[RRC ID],0))</f>
        <v>0</v>
      </c>
      <c r="P47" s="5">
        <f>INDEX(rrcworking[Gas Sales Statement Volume (MCF)],MATCH('June 2020 EDI'!F47,rrcworking[RRC ID],0))</f>
        <v>0</v>
      </c>
      <c r="R47" s="242">
        <f>INDEX(rrcworking[Flared Gas],MATCH('June 2020 EDI'!F47,rrcworking[RRC ID],0))</f>
        <v>0</v>
      </c>
      <c r="Y47" s="5">
        <f>INDEX(rrcworking[Oil Production],MATCH('June 2020 EDI'!F47,rrcworking[RRC ID],0))</f>
        <v>0</v>
      </c>
      <c r="AA47" s="5">
        <f>INDEX(rrcworking[Sales/Dispostion],MATCH('June 2020 EDI'!F47,rrcworking[RRC ID],0))</f>
        <v>0</v>
      </c>
      <c r="AQ47" s="5">
        <f>INDEX(rrcworking[Closing Stock (Oil)],MATCH('June 2020 EDI'!F47,rrcworking[RRC ID],0))</f>
        <v>53</v>
      </c>
    </row>
    <row r="48" spans="1:43">
      <c r="A48" s="4" t="s">
        <v>1</v>
      </c>
      <c r="B48" s="1" t="s">
        <v>946</v>
      </c>
      <c r="C48" s="10" t="s">
        <v>909</v>
      </c>
      <c r="D48" s="1" t="s">
        <v>618</v>
      </c>
      <c r="E48" s="1" t="s">
        <v>2</v>
      </c>
      <c r="F48" s="1" t="s">
        <v>460</v>
      </c>
      <c r="I48" s="10" t="s">
        <v>3</v>
      </c>
      <c r="J48" s="118" t="s">
        <v>3</v>
      </c>
      <c r="K48" s="1" t="s">
        <v>1090</v>
      </c>
      <c r="M48" s="5">
        <v>202006</v>
      </c>
      <c r="N48" s="5">
        <f>INDEX(rrcworking[Formation Production (MCF) @ 14.65 psi],MATCH('June 2020 EDI'!F48,rrcworking[RRC ID],0))</f>
        <v>0</v>
      </c>
      <c r="O48" s="5">
        <f>INDEX(rrcworking[Lease Use (MCF)],MATCH('June 2020 EDI'!F48,rrcworking[RRC ID],0))</f>
        <v>0</v>
      </c>
      <c r="P48" s="5">
        <f>INDEX(rrcworking[Gas Sales Statement Volume (MCF)],MATCH('June 2020 EDI'!F48,rrcworking[RRC ID],0))</f>
        <v>0</v>
      </c>
      <c r="R48" s="242">
        <f>INDEX(rrcworking[Flared Gas],MATCH('June 2020 EDI'!F48,rrcworking[RRC ID],0))</f>
        <v>0</v>
      </c>
      <c r="Y48" s="5">
        <f>INDEX(rrcworking[Oil Production],MATCH('June 2020 EDI'!F48,rrcworking[RRC ID],0))</f>
        <v>0</v>
      </c>
      <c r="AA48" s="5">
        <f>INDEX(rrcworking[Sales/Dispostion],MATCH('June 2020 EDI'!F48,rrcworking[RRC ID],0))</f>
        <v>0</v>
      </c>
      <c r="AQ48" s="5">
        <f>INDEX(rrcworking[Closing Stock (Oil)],MATCH('June 2020 EDI'!F48,rrcworking[RRC ID],0))</f>
        <v>139</v>
      </c>
    </row>
    <row r="49" spans="1:43">
      <c r="A49" s="4" t="s">
        <v>1</v>
      </c>
      <c r="B49" s="1" t="s">
        <v>947</v>
      </c>
      <c r="C49" s="10" t="s">
        <v>909</v>
      </c>
      <c r="D49" s="1" t="s">
        <v>618</v>
      </c>
      <c r="E49" s="1" t="s">
        <v>2</v>
      </c>
      <c r="F49" s="1" t="s">
        <v>461</v>
      </c>
      <c r="I49" s="10" t="s">
        <v>3</v>
      </c>
      <c r="J49" s="118" t="s">
        <v>3</v>
      </c>
      <c r="K49" s="1" t="s">
        <v>1090</v>
      </c>
      <c r="M49" s="5">
        <v>202006</v>
      </c>
      <c r="N49" s="5">
        <f>INDEX(rrcworking[Formation Production (MCF) @ 14.65 psi],MATCH('June 2020 EDI'!F49,rrcworking[RRC ID],0))</f>
        <v>0</v>
      </c>
      <c r="O49" s="5">
        <f>INDEX(rrcworking[Lease Use (MCF)],MATCH('June 2020 EDI'!F49,rrcworking[RRC ID],0))</f>
        <v>0</v>
      </c>
      <c r="P49" s="5">
        <f>INDEX(rrcworking[Gas Sales Statement Volume (MCF)],MATCH('June 2020 EDI'!F49,rrcworking[RRC ID],0))</f>
        <v>0</v>
      </c>
      <c r="R49" s="242">
        <f>INDEX(rrcworking[Flared Gas],MATCH('June 2020 EDI'!F49,rrcworking[RRC ID],0))</f>
        <v>0</v>
      </c>
      <c r="Y49" s="5">
        <f>INDEX(rrcworking[Oil Production],MATCH('June 2020 EDI'!F49,rrcworking[RRC ID],0))</f>
        <v>0</v>
      </c>
      <c r="AA49" s="5">
        <f>INDEX(rrcworking[Sales/Dispostion],MATCH('June 2020 EDI'!F49,rrcworking[RRC ID],0))</f>
        <v>0</v>
      </c>
      <c r="AQ49" s="5">
        <f>INDEX(rrcworking[Closing Stock (Oil)],MATCH('June 2020 EDI'!F49,rrcworking[RRC ID],0))</f>
        <v>0</v>
      </c>
    </row>
    <row r="50" spans="1:43">
      <c r="A50" s="4" t="s">
        <v>1</v>
      </c>
      <c r="B50" s="1" t="s">
        <v>948</v>
      </c>
      <c r="C50" s="10" t="s">
        <v>909</v>
      </c>
      <c r="D50" s="1" t="s">
        <v>618</v>
      </c>
      <c r="E50" s="1" t="s">
        <v>2</v>
      </c>
      <c r="F50" s="1" t="s">
        <v>462</v>
      </c>
      <c r="I50" s="10" t="s">
        <v>3</v>
      </c>
      <c r="J50" s="118" t="s">
        <v>3</v>
      </c>
      <c r="K50" s="1" t="s">
        <v>1090</v>
      </c>
      <c r="M50" s="5">
        <v>202006</v>
      </c>
      <c r="N50" s="5">
        <f>INDEX(rrcworking[Formation Production (MCF) @ 14.65 psi],MATCH('June 2020 EDI'!F50,rrcworking[RRC ID],0))</f>
        <v>0</v>
      </c>
      <c r="O50" s="5">
        <f>INDEX(rrcworking[Lease Use (MCF)],MATCH('June 2020 EDI'!F50,rrcworking[RRC ID],0))</f>
        <v>0</v>
      </c>
      <c r="P50" s="5">
        <f>INDEX(rrcworking[Gas Sales Statement Volume (MCF)],MATCH('June 2020 EDI'!F50,rrcworking[RRC ID],0))</f>
        <v>0</v>
      </c>
      <c r="R50" s="242">
        <f>INDEX(rrcworking[Flared Gas],MATCH('June 2020 EDI'!F50,rrcworking[RRC ID],0))</f>
        <v>0</v>
      </c>
      <c r="Y50" s="5">
        <f>INDEX(rrcworking[Oil Production],MATCH('June 2020 EDI'!F50,rrcworking[RRC ID],0))</f>
        <v>0</v>
      </c>
      <c r="AA50" s="5">
        <f>INDEX(rrcworking[Sales/Dispostion],MATCH('June 2020 EDI'!F50,rrcworking[RRC ID],0))</f>
        <v>0</v>
      </c>
      <c r="AQ50" s="5">
        <f>INDEX(rrcworking[Closing Stock (Oil)],MATCH('June 2020 EDI'!F50,rrcworking[RRC ID],0))</f>
        <v>28</v>
      </c>
    </row>
    <row r="51" spans="1:43">
      <c r="A51" s="4" t="s">
        <v>1</v>
      </c>
      <c r="B51" s="1" t="s">
        <v>949</v>
      </c>
      <c r="C51" s="10" t="s">
        <v>909</v>
      </c>
      <c r="D51" s="1" t="s">
        <v>618</v>
      </c>
      <c r="E51" s="1" t="s">
        <v>2</v>
      </c>
      <c r="F51" s="1" t="s">
        <v>463</v>
      </c>
      <c r="I51" s="10" t="s">
        <v>3</v>
      </c>
      <c r="J51" s="118" t="s">
        <v>3</v>
      </c>
      <c r="K51" s="1" t="s">
        <v>1090</v>
      </c>
      <c r="M51" s="5">
        <v>202006</v>
      </c>
      <c r="N51" s="5">
        <f>INDEX(rrcworking[Formation Production (MCF) @ 14.65 psi],MATCH('June 2020 EDI'!F51,rrcworking[RRC ID],0))</f>
        <v>0</v>
      </c>
      <c r="O51" s="5">
        <f>INDEX(rrcworking[Lease Use (MCF)],MATCH('June 2020 EDI'!F51,rrcworking[RRC ID],0))</f>
        <v>0</v>
      </c>
      <c r="P51" s="5">
        <f>INDEX(rrcworking[Gas Sales Statement Volume (MCF)],MATCH('June 2020 EDI'!F51,rrcworking[RRC ID],0))</f>
        <v>0</v>
      </c>
      <c r="R51" s="242">
        <f>INDEX(rrcworking[Flared Gas],MATCH('June 2020 EDI'!F51,rrcworking[RRC ID],0))</f>
        <v>0</v>
      </c>
      <c r="Y51" s="5">
        <f>INDEX(rrcworking[Oil Production],MATCH('June 2020 EDI'!F51,rrcworking[RRC ID],0))</f>
        <v>0</v>
      </c>
      <c r="AA51" s="5">
        <f>INDEX(rrcworking[Sales/Dispostion],MATCH('June 2020 EDI'!F51,rrcworking[RRC ID],0))</f>
        <v>0</v>
      </c>
      <c r="AQ51" s="5">
        <f>INDEX(rrcworking[Closing Stock (Oil)],MATCH('June 2020 EDI'!F51,rrcworking[RRC ID],0))</f>
        <v>51</v>
      </c>
    </row>
    <row r="52" spans="1:43">
      <c r="A52" s="4" t="s">
        <v>1</v>
      </c>
      <c r="B52" s="1" t="s">
        <v>950</v>
      </c>
      <c r="C52" s="10" t="s">
        <v>909</v>
      </c>
      <c r="D52" s="1" t="s">
        <v>618</v>
      </c>
      <c r="E52" s="1" t="s">
        <v>59</v>
      </c>
      <c r="F52" s="1" t="s">
        <v>464</v>
      </c>
      <c r="I52" s="10" t="s">
        <v>3</v>
      </c>
      <c r="J52" s="118" t="s">
        <v>3</v>
      </c>
      <c r="K52" s="1" t="s">
        <v>1090</v>
      </c>
      <c r="M52" s="5">
        <v>202006</v>
      </c>
      <c r="N52" s="5">
        <f>INDEX(rrcworking[Formation Production (MCF) @ 14.65 psi],MATCH('June 2020 EDI'!F52,rrcworking[RRC ID],0))</f>
        <v>0</v>
      </c>
      <c r="O52" s="5">
        <f>INDEX(rrcworking[Lease Use (MCF)],MATCH('June 2020 EDI'!F52,rrcworking[RRC ID],0))</f>
        <v>0</v>
      </c>
      <c r="P52" s="5">
        <f>INDEX(rrcworking[Gas Sales Statement Volume (MCF)],MATCH('June 2020 EDI'!F52,rrcworking[RRC ID],0))</f>
        <v>0</v>
      </c>
      <c r="R52" s="242">
        <f>INDEX(rrcworking[Flared Gas],MATCH('June 2020 EDI'!F52,rrcworking[RRC ID],0))</f>
        <v>0</v>
      </c>
      <c r="Y52" s="5">
        <f>INDEX(rrcworking[Oil Production],MATCH('June 2020 EDI'!F52,rrcworking[RRC ID],0))</f>
        <v>0</v>
      </c>
      <c r="AA52" s="5">
        <f>INDEX(rrcworking[Sales/Dispostion],MATCH('June 2020 EDI'!F52,rrcworking[RRC ID],0))</f>
        <v>0</v>
      </c>
      <c r="AQ52" s="5">
        <f>INDEX(rrcworking[Closing Stock (Oil)],MATCH('June 2020 EDI'!F52,rrcworking[RRC ID],0))</f>
        <v>0</v>
      </c>
    </row>
    <row r="53" spans="1:43">
      <c r="A53" s="4" t="s">
        <v>1</v>
      </c>
      <c r="B53" s="1" t="s">
        <v>951</v>
      </c>
      <c r="C53" s="10" t="s">
        <v>909</v>
      </c>
      <c r="D53" s="1" t="s">
        <v>618</v>
      </c>
      <c r="E53" s="1" t="s">
        <v>2</v>
      </c>
      <c r="F53" s="1" t="s">
        <v>465</v>
      </c>
      <c r="I53" s="10" t="s">
        <v>3</v>
      </c>
      <c r="J53" s="118" t="s">
        <v>3</v>
      </c>
      <c r="K53" s="1" t="s">
        <v>1090</v>
      </c>
      <c r="M53" s="5">
        <v>202006</v>
      </c>
      <c r="N53" s="5">
        <f>INDEX(rrcworking[Formation Production (MCF) @ 14.65 psi],MATCH('June 2020 EDI'!F53,rrcworking[RRC ID],0))</f>
        <v>0</v>
      </c>
      <c r="O53" s="5">
        <f>INDEX(rrcworking[Lease Use (MCF)],MATCH('June 2020 EDI'!F53,rrcworking[RRC ID],0))</f>
        <v>0</v>
      </c>
      <c r="P53" s="5">
        <f>INDEX(rrcworking[Gas Sales Statement Volume (MCF)],MATCH('June 2020 EDI'!F53,rrcworking[RRC ID],0))</f>
        <v>0</v>
      </c>
      <c r="R53" s="242">
        <f>INDEX(rrcworking[Flared Gas],MATCH('June 2020 EDI'!F53,rrcworking[RRC ID],0))</f>
        <v>0</v>
      </c>
      <c r="Y53" s="5">
        <f>INDEX(rrcworking[Oil Production],MATCH('June 2020 EDI'!F53,rrcworking[RRC ID],0))</f>
        <v>0</v>
      </c>
      <c r="AA53" s="5">
        <f>INDEX(rrcworking[Sales/Dispostion],MATCH('June 2020 EDI'!F53,rrcworking[RRC ID],0))</f>
        <v>0</v>
      </c>
      <c r="AQ53" s="5">
        <f>INDEX(rrcworking[Closing Stock (Oil)],MATCH('June 2020 EDI'!F53,rrcworking[RRC ID],0))</f>
        <v>32</v>
      </c>
    </row>
    <row r="54" spans="1:43">
      <c r="A54" s="4" t="s">
        <v>1</v>
      </c>
      <c r="B54" s="1" t="s">
        <v>952</v>
      </c>
      <c r="C54" s="10" t="s">
        <v>909</v>
      </c>
      <c r="D54" s="1" t="s">
        <v>618</v>
      </c>
      <c r="E54" s="1" t="s">
        <v>59</v>
      </c>
      <c r="F54" s="1" t="s">
        <v>466</v>
      </c>
      <c r="I54" s="10" t="s">
        <v>3</v>
      </c>
      <c r="J54" s="118" t="s">
        <v>3</v>
      </c>
      <c r="K54" s="1" t="s">
        <v>1090</v>
      </c>
      <c r="M54" s="5">
        <v>202006</v>
      </c>
      <c r="N54" s="5">
        <f>INDEX(rrcworking[Formation Production (MCF) @ 14.65 psi],MATCH('June 2020 EDI'!F54,rrcworking[RRC ID],0))</f>
        <v>0</v>
      </c>
      <c r="O54" s="5">
        <f>INDEX(rrcworking[Lease Use (MCF)],MATCH('June 2020 EDI'!F54,rrcworking[RRC ID],0))</f>
        <v>0</v>
      </c>
      <c r="P54" s="5">
        <f>INDEX(rrcworking[Gas Sales Statement Volume (MCF)],MATCH('June 2020 EDI'!F54,rrcworking[RRC ID],0))</f>
        <v>0</v>
      </c>
      <c r="R54" s="242">
        <f>INDEX(rrcworking[Flared Gas],MATCH('June 2020 EDI'!F54,rrcworking[RRC ID],0))</f>
        <v>0</v>
      </c>
      <c r="Y54" s="5">
        <f>INDEX(rrcworking[Oil Production],MATCH('June 2020 EDI'!F54,rrcworking[RRC ID],0))</f>
        <v>0</v>
      </c>
      <c r="AA54" s="5">
        <f>INDEX(rrcworking[Sales/Dispostion],MATCH('June 2020 EDI'!F54,rrcworking[RRC ID],0))</f>
        <v>0</v>
      </c>
      <c r="AQ54" s="5">
        <f>INDEX(rrcworking[Closing Stock (Oil)],MATCH('June 2020 EDI'!F54,rrcworking[RRC ID],0))</f>
        <v>0</v>
      </c>
    </row>
    <row r="55" spans="1:43">
      <c r="A55" s="4" t="s">
        <v>1</v>
      </c>
      <c r="B55" s="1" t="s">
        <v>953</v>
      </c>
      <c r="C55" s="10" t="s">
        <v>909</v>
      </c>
      <c r="D55" s="1" t="s">
        <v>618</v>
      </c>
      <c r="E55" s="1" t="s">
        <v>59</v>
      </c>
      <c r="F55" s="1" t="s">
        <v>467</v>
      </c>
      <c r="I55" s="10" t="s">
        <v>3</v>
      </c>
      <c r="J55" s="118" t="s">
        <v>3</v>
      </c>
      <c r="K55" s="1" t="s">
        <v>1090</v>
      </c>
      <c r="M55" s="5">
        <v>202006</v>
      </c>
      <c r="N55" s="5">
        <f>INDEX(rrcworking[Formation Production (MCF) @ 14.65 psi],MATCH('June 2020 EDI'!F55,rrcworking[RRC ID],0))</f>
        <v>0</v>
      </c>
      <c r="O55" s="5">
        <f>INDEX(rrcworking[Lease Use (MCF)],MATCH('June 2020 EDI'!F55,rrcworking[RRC ID],0))</f>
        <v>0</v>
      </c>
      <c r="P55" s="5">
        <f>INDEX(rrcworking[Gas Sales Statement Volume (MCF)],MATCH('June 2020 EDI'!F55,rrcworking[RRC ID],0))</f>
        <v>0</v>
      </c>
      <c r="R55" s="242">
        <f>INDEX(rrcworking[Flared Gas],MATCH('June 2020 EDI'!F55,rrcworking[RRC ID],0))</f>
        <v>0</v>
      </c>
      <c r="Y55" s="5">
        <f>INDEX(rrcworking[Oil Production],MATCH('June 2020 EDI'!F55,rrcworking[RRC ID],0))</f>
        <v>0</v>
      </c>
      <c r="AA55" s="5">
        <f>INDEX(rrcworking[Sales/Dispostion],MATCH('June 2020 EDI'!F55,rrcworking[RRC ID],0))</f>
        <v>0</v>
      </c>
      <c r="AQ55" s="5">
        <f>INDEX(rrcworking[Closing Stock (Oil)],MATCH('June 2020 EDI'!F55,rrcworking[RRC ID],0))</f>
        <v>0</v>
      </c>
    </row>
    <row r="56" spans="1:43">
      <c r="A56" s="4" t="s">
        <v>1</v>
      </c>
      <c r="B56" s="1" t="s">
        <v>954</v>
      </c>
      <c r="C56" s="10" t="s">
        <v>909</v>
      </c>
      <c r="D56" s="1" t="s">
        <v>618</v>
      </c>
      <c r="E56" s="1" t="s">
        <v>2</v>
      </c>
      <c r="F56" s="1" t="s">
        <v>468</v>
      </c>
      <c r="I56" s="10" t="s">
        <v>3</v>
      </c>
      <c r="J56" s="118" t="s">
        <v>3</v>
      </c>
      <c r="K56" s="1" t="s">
        <v>1090</v>
      </c>
      <c r="M56" s="5">
        <v>202006</v>
      </c>
      <c r="N56" s="5">
        <f>INDEX(rrcworking[Formation Production (MCF) @ 14.65 psi],MATCH('June 2020 EDI'!F56,rrcworking[RRC ID],0))</f>
        <v>0</v>
      </c>
      <c r="O56" s="5">
        <f>INDEX(rrcworking[Lease Use (MCF)],MATCH('June 2020 EDI'!F56,rrcworking[RRC ID],0))</f>
        <v>0</v>
      </c>
      <c r="P56" s="5">
        <f>INDEX(rrcworking[Gas Sales Statement Volume (MCF)],MATCH('June 2020 EDI'!F56,rrcworking[RRC ID],0))</f>
        <v>0</v>
      </c>
      <c r="R56" s="242">
        <f>INDEX(rrcworking[Flared Gas],MATCH('June 2020 EDI'!F56,rrcworking[RRC ID],0))</f>
        <v>0</v>
      </c>
      <c r="Y56" s="5">
        <f>INDEX(rrcworking[Oil Production],MATCH('June 2020 EDI'!F56,rrcworking[RRC ID],0))</f>
        <v>0</v>
      </c>
      <c r="AA56" s="5">
        <f>INDEX(rrcworking[Sales/Dispostion],MATCH('June 2020 EDI'!F56,rrcworking[RRC ID],0))</f>
        <v>0</v>
      </c>
      <c r="AQ56" s="5">
        <f>INDEX(rrcworking[Closing Stock (Oil)],MATCH('June 2020 EDI'!F56,rrcworking[RRC ID],0))</f>
        <v>108</v>
      </c>
    </row>
    <row r="57" spans="1:43">
      <c r="A57" s="4" t="s">
        <v>1</v>
      </c>
      <c r="B57" s="1" t="s">
        <v>955</v>
      </c>
      <c r="C57" s="10" t="s">
        <v>909</v>
      </c>
      <c r="D57" s="1" t="s">
        <v>618</v>
      </c>
      <c r="E57" s="1" t="s">
        <v>59</v>
      </c>
      <c r="F57" s="1" t="s">
        <v>469</v>
      </c>
      <c r="I57" s="10" t="s">
        <v>3</v>
      </c>
      <c r="J57" s="118" t="s">
        <v>3</v>
      </c>
      <c r="K57" s="1" t="s">
        <v>1090</v>
      </c>
      <c r="M57" s="5">
        <v>202006</v>
      </c>
      <c r="N57" s="5">
        <f>INDEX(rrcworking[Formation Production (MCF) @ 14.65 psi],MATCH('June 2020 EDI'!F57,rrcworking[RRC ID],0))</f>
        <v>0</v>
      </c>
      <c r="O57" s="5">
        <f>INDEX(rrcworking[Lease Use (MCF)],MATCH('June 2020 EDI'!F57,rrcworking[RRC ID],0))</f>
        <v>0</v>
      </c>
      <c r="P57" s="5">
        <f>INDEX(rrcworking[Gas Sales Statement Volume (MCF)],MATCH('June 2020 EDI'!F57,rrcworking[RRC ID],0))</f>
        <v>0</v>
      </c>
      <c r="R57" s="242">
        <f>INDEX(rrcworking[Flared Gas],MATCH('June 2020 EDI'!F57,rrcworking[RRC ID],0))</f>
        <v>0</v>
      </c>
      <c r="Y57" s="5">
        <f>INDEX(rrcworking[Oil Production],MATCH('June 2020 EDI'!F57,rrcworking[RRC ID],0))</f>
        <v>0</v>
      </c>
      <c r="AA57" s="5">
        <f>INDEX(rrcworking[Sales/Dispostion],MATCH('June 2020 EDI'!F57,rrcworking[RRC ID],0))</f>
        <v>0</v>
      </c>
      <c r="AQ57" s="5">
        <f>INDEX(rrcworking[Closing Stock (Oil)],MATCH('June 2020 EDI'!F57,rrcworking[RRC ID],0))</f>
        <v>0</v>
      </c>
    </row>
    <row r="58" spans="1:43">
      <c r="A58" s="4" t="s">
        <v>1</v>
      </c>
      <c r="B58" s="1" t="s">
        <v>956</v>
      </c>
      <c r="C58" s="10" t="s">
        <v>909</v>
      </c>
      <c r="D58" s="1" t="s">
        <v>618</v>
      </c>
      <c r="E58" s="1" t="s">
        <v>2</v>
      </c>
      <c r="F58" s="1" t="s">
        <v>470</v>
      </c>
      <c r="I58" s="10" t="s">
        <v>3</v>
      </c>
      <c r="J58" s="118" t="s">
        <v>3</v>
      </c>
      <c r="K58" s="1" t="s">
        <v>1090</v>
      </c>
      <c r="M58" s="5">
        <v>202006</v>
      </c>
      <c r="N58" s="5">
        <f>INDEX(rrcworking[Formation Production (MCF) @ 14.65 psi],MATCH('June 2020 EDI'!F58,rrcworking[RRC ID],0))</f>
        <v>0</v>
      </c>
      <c r="O58" s="5">
        <f>INDEX(rrcworking[Lease Use (MCF)],MATCH('June 2020 EDI'!F58,rrcworking[RRC ID],0))</f>
        <v>0</v>
      </c>
      <c r="P58" s="5">
        <f>INDEX(rrcworking[Gas Sales Statement Volume (MCF)],MATCH('June 2020 EDI'!F58,rrcworking[RRC ID],0))</f>
        <v>0</v>
      </c>
      <c r="R58" s="242">
        <f>INDEX(rrcworking[Flared Gas],MATCH('June 2020 EDI'!F58,rrcworking[RRC ID],0))</f>
        <v>0</v>
      </c>
      <c r="Y58" s="5">
        <f>INDEX(rrcworking[Oil Production],MATCH('June 2020 EDI'!F58,rrcworking[RRC ID],0))</f>
        <v>4</v>
      </c>
      <c r="AA58" s="5">
        <f>INDEX(rrcworking[Sales/Dispostion],MATCH('June 2020 EDI'!F58,rrcworking[RRC ID],0))</f>
        <v>0</v>
      </c>
      <c r="AQ58" s="5">
        <f>INDEX(rrcworking[Closing Stock (Oil)],MATCH('June 2020 EDI'!F58,rrcworking[RRC ID],0))</f>
        <v>158</v>
      </c>
    </row>
    <row r="59" spans="1:43">
      <c r="A59" s="4" t="s">
        <v>1</v>
      </c>
      <c r="B59" s="1" t="s">
        <v>957</v>
      </c>
      <c r="C59" s="10" t="s">
        <v>909</v>
      </c>
      <c r="D59" s="1" t="s">
        <v>618</v>
      </c>
      <c r="E59" s="1" t="s">
        <v>59</v>
      </c>
      <c r="F59" s="1" t="s">
        <v>471</v>
      </c>
      <c r="I59" s="10" t="s">
        <v>3</v>
      </c>
      <c r="J59" s="118" t="s">
        <v>3</v>
      </c>
      <c r="K59" s="1" t="s">
        <v>1090</v>
      </c>
      <c r="M59" s="5">
        <v>202006</v>
      </c>
      <c r="N59" s="5">
        <f>INDEX(rrcworking[Formation Production (MCF) @ 14.65 psi],MATCH('June 2020 EDI'!F59,rrcworking[RRC ID],0))</f>
        <v>0</v>
      </c>
      <c r="O59" s="5">
        <f>INDEX(rrcworking[Lease Use (MCF)],MATCH('June 2020 EDI'!F59,rrcworking[RRC ID],0))</f>
        <v>0</v>
      </c>
      <c r="P59" s="5">
        <f>INDEX(rrcworking[Gas Sales Statement Volume (MCF)],MATCH('June 2020 EDI'!F59,rrcworking[RRC ID],0))</f>
        <v>0</v>
      </c>
      <c r="R59" s="242">
        <f>INDEX(rrcworking[Flared Gas],MATCH('June 2020 EDI'!F59,rrcworking[RRC ID],0))</f>
        <v>0</v>
      </c>
      <c r="Y59" s="5">
        <f>INDEX(rrcworking[Oil Production],MATCH('June 2020 EDI'!F59,rrcworking[RRC ID],0))</f>
        <v>0</v>
      </c>
      <c r="AA59" s="5">
        <f>INDEX(rrcworking[Sales/Dispostion],MATCH('June 2020 EDI'!F59,rrcworking[RRC ID],0))</f>
        <v>0</v>
      </c>
      <c r="AQ59" s="5">
        <f>INDEX(rrcworking[Closing Stock (Oil)],MATCH('June 2020 EDI'!F59,rrcworking[RRC ID],0))</f>
        <v>0</v>
      </c>
    </row>
    <row r="60" spans="1:43">
      <c r="A60" s="4" t="s">
        <v>1</v>
      </c>
      <c r="B60" s="1" t="s">
        <v>958</v>
      </c>
      <c r="C60" s="10" t="s">
        <v>909</v>
      </c>
      <c r="D60" s="1" t="s">
        <v>618</v>
      </c>
      <c r="E60" s="1" t="s">
        <v>59</v>
      </c>
      <c r="F60" s="1" t="s">
        <v>472</v>
      </c>
      <c r="I60" s="10" t="s">
        <v>3</v>
      </c>
      <c r="J60" s="118" t="s">
        <v>3</v>
      </c>
      <c r="K60" s="1" t="s">
        <v>1090</v>
      </c>
      <c r="M60" s="5">
        <v>202006</v>
      </c>
      <c r="N60" s="5">
        <f>INDEX(rrcworking[Formation Production (MCF) @ 14.65 psi],MATCH('June 2020 EDI'!F60,rrcworking[RRC ID],0))</f>
        <v>1891</v>
      </c>
      <c r="O60" s="5">
        <f>INDEX(rrcworking[Lease Use (MCF)],MATCH('June 2020 EDI'!F60,rrcworking[RRC ID],0))</f>
        <v>0</v>
      </c>
      <c r="P60" s="5">
        <f>INDEX(rrcworking[Gas Sales Statement Volume (MCF)],MATCH('June 2020 EDI'!F60,rrcworking[RRC ID],0))</f>
        <v>1891</v>
      </c>
      <c r="R60" s="242">
        <f>INDEX(rrcworking[Flared Gas],MATCH('June 2020 EDI'!F60,rrcworking[RRC ID],0))</f>
        <v>0</v>
      </c>
      <c r="Y60" s="5">
        <f>INDEX(rrcworking[Oil Production],MATCH('June 2020 EDI'!F60,rrcworking[RRC ID],0))</f>
        <v>213</v>
      </c>
      <c r="AA60" s="5">
        <f>INDEX(rrcworking[Sales/Dispostion],MATCH('June 2020 EDI'!F60,rrcworking[RRC ID],0))</f>
        <v>365</v>
      </c>
      <c r="AQ60" s="5">
        <f>INDEX(rrcworking[Closing Stock (Oil)],MATCH('June 2020 EDI'!F60,rrcworking[RRC ID],0))</f>
        <v>165</v>
      </c>
    </row>
    <row r="61" spans="1:43">
      <c r="A61" s="4" t="s">
        <v>1</v>
      </c>
      <c r="B61" s="1" t="s">
        <v>959</v>
      </c>
      <c r="C61" s="10" t="s">
        <v>909</v>
      </c>
      <c r="D61" s="1" t="s">
        <v>618</v>
      </c>
      <c r="E61" s="1" t="s">
        <v>2</v>
      </c>
      <c r="F61" s="1" t="s">
        <v>473</v>
      </c>
      <c r="I61" s="10" t="s">
        <v>3</v>
      </c>
      <c r="J61" s="118" t="s">
        <v>3</v>
      </c>
      <c r="K61" s="1" t="s">
        <v>1090</v>
      </c>
      <c r="M61" s="5">
        <v>202006</v>
      </c>
      <c r="N61" s="5">
        <f>INDEX(rrcworking[Formation Production (MCF) @ 14.65 psi],MATCH('June 2020 EDI'!F61,rrcworking[RRC ID],0))</f>
        <v>0</v>
      </c>
      <c r="O61" s="5">
        <f>INDEX(rrcworking[Lease Use (MCF)],MATCH('June 2020 EDI'!F61,rrcworking[RRC ID],0))</f>
        <v>0</v>
      </c>
      <c r="P61" s="5">
        <f>INDEX(rrcworking[Gas Sales Statement Volume (MCF)],MATCH('June 2020 EDI'!F61,rrcworking[RRC ID],0))</f>
        <v>0</v>
      </c>
      <c r="R61" s="242">
        <f>INDEX(rrcworking[Flared Gas],MATCH('June 2020 EDI'!F61,rrcworking[RRC ID],0))</f>
        <v>0</v>
      </c>
      <c r="Y61" s="5">
        <f>INDEX(rrcworking[Oil Production],MATCH('June 2020 EDI'!F61,rrcworking[RRC ID],0))</f>
        <v>0</v>
      </c>
      <c r="AA61" s="5">
        <f>INDEX(rrcworking[Sales/Dispostion],MATCH('June 2020 EDI'!F61,rrcworking[RRC ID],0))</f>
        <v>0</v>
      </c>
      <c r="AQ61" s="5">
        <f>INDEX(rrcworking[Closing Stock (Oil)],MATCH('June 2020 EDI'!F61,rrcworking[RRC ID],0))</f>
        <v>0</v>
      </c>
    </row>
    <row r="62" spans="1:43">
      <c r="A62" s="4" t="s">
        <v>1</v>
      </c>
      <c r="B62" s="1" t="s">
        <v>960</v>
      </c>
      <c r="C62" s="10" t="s">
        <v>909</v>
      </c>
      <c r="D62" s="1" t="s">
        <v>618</v>
      </c>
      <c r="E62" s="1" t="s">
        <v>59</v>
      </c>
      <c r="F62" s="1" t="s">
        <v>474</v>
      </c>
      <c r="I62" s="10" t="s">
        <v>3</v>
      </c>
      <c r="J62" s="118" t="s">
        <v>3</v>
      </c>
      <c r="K62" s="1" t="s">
        <v>1090</v>
      </c>
      <c r="M62" s="5">
        <v>202006</v>
      </c>
      <c r="N62" s="5">
        <f>INDEX(rrcworking[Formation Production (MCF) @ 14.65 psi],MATCH('June 2020 EDI'!F62,rrcworking[RRC ID],0))</f>
        <v>6649</v>
      </c>
      <c r="O62" s="5">
        <f>INDEX(rrcworking[Lease Use (MCF)],MATCH('June 2020 EDI'!F62,rrcworking[RRC ID],0))</f>
        <v>390</v>
      </c>
      <c r="P62" s="5">
        <f>INDEX(rrcworking[Gas Sales Statement Volume (MCF)],MATCH('June 2020 EDI'!F62,rrcworking[RRC ID],0))</f>
        <v>6259</v>
      </c>
      <c r="R62" s="242">
        <f>INDEX(rrcworking[Flared Gas],MATCH('June 2020 EDI'!F62,rrcworking[RRC ID],0))</f>
        <v>0</v>
      </c>
      <c r="Y62" s="5">
        <f>INDEX(rrcworking[Oil Production],MATCH('June 2020 EDI'!F62,rrcworking[RRC ID],0))</f>
        <v>23</v>
      </c>
      <c r="AA62" s="5">
        <f>INDEX(rrcworking[Sales/Dispostion],MATCH('June 2020 EDI'!F62,rrcworking[RRC ID],0))</f>
        <v>0</v>
      </c>
      <c r="AQ62" s="5">
        <f>INDEX(rrcworking[Closing Stock (Oil)],MATCH('June 2020 EDI'!F62,rrcworking[RRC ID],0))</f>
        <v>197</v>
      </c>
    </row>
    <row r="63" spans="1:43">
      <c r="A63" s="4" t="s">
        <v>1</v>
      </c>
      <c r="B63" s="1" t="s">
        <v>961</v>
      </c>
      <c r="C63" s="10" t="s">
        <v>909</v>
      </c>
      <c r="D63" s="1" t="s">
        <v>618</v>
      </c>
      <c r="E63" s="1" t="s">
        <v>59</v>
      </c>
      <c r="F63" s="1" t="s">
        <v>475</v>
      </c>
      <c r="I63" s="10" t="s">
        <v>3</v>
      </c>
      <c r="J63" s="118" t="s">
        <v>3</v>
      </c>
      <c r="K63" s="1" t="s">
        <v>1090</v>
      </c>
      <c r="M63" s="5">
        <v>202006</v>
      </c>
      <c r="N63" s="5">
        <f>INDEX(rrcworking[Formation Production (MCF) @ 14.65 psi],MATCH('June 2020 EDI'!F63,rrcworking[RRC ID],0))</f>
        <v>0</v>
      </c>
      <c r="O63" s="5">
        <f>INDEX(rrcworking[Lease Use (MCF)],MATCH('June 2020 EDI'!F63,rrcworking[RRC ID],0))</f>
        <v>0</v>
      </c>
      <c r="P63" s="5">
        <f>INDEX(rrcworking[Gas Sales Statement Volume (MCF)],MATCH('June 2020 EDI'!F63,rrcworking[RRC ID],0))</f>
        <v>0</v>
      </c>
      <c r="R63" s="242">
        <f>INDEX(rrcworking[Flared Gas],MATCH('June 2020 EDI'!F63,rrcworking[RRC ID],0))</f>
        <v>0</v>
      </c>
      <c r="Y63" s="5">
        <f>INDEX(rrcworking[Oil Production],MATCH('June 2020 EDI'!F63,rrcworking[RRC ID],0))</f>
        <v>0</v>
      </c>
      <c r="AA63" s="5">
        <f>INDEX(rrcworking[Sales/Dispostion],MATCH('June 2020 EDI'!F63,rrcworking[RRC ID],0))</f>
        <v>0</v>
      </c>
      <c r="AQ63" s="5">
        <f>INDEX(rrcworking[Closing Stock (Oil)],MATCH('June 2020 EDI'!F63,rrcworking[RRC ID],0))</f>
        <v>0</v>
      </c>
    </row>
    <row r="64" spans="1:43">
      <c r="A64" s="4" t="s">
        <v>1</v>
      </c>
      <c r="B64" s="1" t="s">
        <v>962</v>
      </c>
      <c r="C64" s="10" t="s">
        <v>909</v>
      </c>
      <c r="D64" s="1" t="s">
        <v>618</v>
      </c>
      <c r="E64" s="1" t="s">
        <v>59</v>
      </c>
      <c r="F64" s="1" t="s">
        <v>476</v>
      </c>
      <c r="I64" s="10" t="s">
        <v>3</v>
      </c>
      <c r="J64" s="118" t="s">
        <v>3</v>
      </c>
      <c r="K64" s="1" t="s">
        <v>1090</v>
      </c>
      <c r="M64" s="5">
        <v>202006</v>
      </c>
      <c r="N64" s="5">
        <f>INDEX(rrcworking[Formation Production (MCF) @ 14.65 psi],MATCH('June 2020 EDI'!F64,rrcworking[RRC ID],0))</f>
        <v>0</v>
      </c>
      <c r="O64" s="5">
        <f>INDEX(rrcworking[Lease Use (MCF)],MATCH('June 2020 EDI'!F64,rrcworking[RRC ID],0))</f>
        <v>0</v>
      </c>
      <c r="P64" s="5">
        <f>INDEX(rrcworking[Gas Sales Statement Volume (MCF)],MATCH('June 2020 EDI'!F64,rrcworking[RRC ID],0))</f>
        <v>0</v>
      </c>
      <c r="R64" s="242">
        <f>INDEX(rrcworking[Flared Gas],MATCH('June 2020 EDI'!F64,rrcworking[RRC ID],0))</f>
        <v>0</v>
      </c>
      <c r="Y64" s="5">
        <f>INDEX(rrcworking[Oil Production],MATCH('June 2020 EDI'!F64,rrcworking[RRC ID],0))</f>
        <v>0</v>
      </c>
      <c r="AA64" s="5">
        <f>INDEX(rrcworking[Sales/Dispostion],MATCH('June 2020 EDI'!F64,rrcworking[RRC ID],0))</f>
        <v>0</v>
      </c>
      <c r="AQ64" s="5">
        <f>INDEX(rrcworking[Closing Stock (Oil)],MATCH('June 2020 EDI'!F64,rrcworking[RRC ID],0))</f>
        <v>173</v>
      </c>
    </row>
    <row r="65" spans="1:46">
      <c r="A65" s="4" t="s">
        <v>1</v>
      </c>
      <c r="B65" s="1" t="s">
        <v>963</v>
      </c>
      <c r="C65" s="10" t="s">
        <v>909</v>
      </c>
      <c r="D65" s="1" t="s">
        <v>618</v>
      </c>
      <c r="E65" s="1" t="s">
        <v>2</v>
      </c>
      <c r="F65" s="1" t="s">
        <v>477</v>
      </c>
      <c r="I65" s="10" t="s">
        <v>3</v>
      </c>
      <c r="J65" s="118" t="s">
        <v>3</v>
      </c>
      <c r="K65" s="1" t="s">
        <v>1090</v>
      </c>
      <c r="M65" s="5">
        <v>202006</v>
      </c>
      <c r="N65" s="5">
        <f>INDEX(rrcworking[Formation Production (MCF) @ 14.65 psi],MATCH('June 2020 EDI'!F65,rrcworking[RRC ID],0))</f>
        <v>0</v>
      </c>
      <c r="O65" s="5">
        <f>INDEX(rrcworking[Lease Use (MCF)],MATCH('June 2020 EDI'!F65,rrcworking[RRC ID],0))</f>
        <v>0</v>
      </c>
      <c r="P65" s="5">
        <f>INDEX(rrcworking[Gas Sales Statement Volume (MCF)],MATCH('June 2020 EDI'!F65,rrcworking[RRC ID],0))</f>
        <v>0</v>
      </c>
      <c r="R65" s="242">
        <f>INDEX(rrcworking[Flared Gas],MATCH('June 2020 EDI'!F65,rrcworking[RRC ID],0))</f>
        <v>0</v>
      </c>
      <c r="Y65" s="5">
        <f>INDEX(rrcworking[Oil Production],MATCH('June 2020 EDI'!F65,rrcworking[RRC ID],0))</f>
        <v>0</v>
      </c>
      <c r="AA65" s="5">
        <f>INDEX(rrcworking[Sales/Dispostion],MATCH('June 2020 EDI'!F65,rrcworking[RRC ID],0))</f>
        <v>181</v>
      </c>
      <c r="AQ65" s="5">
        <f>INDEX(rrcworking[Closing Stock (Oil)],MATCH('June 2020 EDI'!F65,rrcworking[RRC ID],0))</f>
        <v>254</v>
      </c>
      <c r="AT65" s="10"/>
    </row>
    <row r="66" spans="1:46">
      <c r="A66" s="4" t="s">
        <v>1</v>
      </c>
      <c r="B66" s="1" t="s">
        <v>964</v>
      </c>
      <c r="C66" s="10" t="s">
        <v>909</v>
      </c>
      <c r="D66" s="1" t="s">
        <v>618</v>
      </c>
      <c r="E66" s="1" t="s">
        <v>59</v>
      </c>
      <c r="F66" s="1" t="s">
        <v>478</v>
      </c>
      <c r="I66" s="10" t="s">
        <v>3</v>
      </c>
      <c r="J66" s="118" t="s">
        <v>3</v>
      </c>
      <c r="K66" s="1" t="s">
        <v>1090</v>
      </c>
      <c r="M66" s="5">
        <v>202006</v>
      </c>
      <c r="N66" s="5">
        <f>INDEX(rrcworking[Formation Production (MCF) @ 14.65 psi],MATCH('June 2020 EDI'!F66,rrcworking[RRC ID],0))</f>
        <v>1116</v>
      </c>
      <c r="O66" s="5">
        <f>INDEX(rrcworking[Lease Use (MCF)],MATCH('June 2020 EDI'!F66,rrcworking[RRC ID],0))</f>
        <v>60</v>
      </c>
      <c r="P66" s="5">
        <f>INDEX(rrcworking[Gas Sales Statement Volume (MCF)],MATCH('June 2020 EDI'!F66,rrcworking[RRC ID],0))</f>
        <v>1056</v>
      </c>
      <c r="R66" s="242">
        <f>INDEX(rrcworking[Flared Gas],MATCH('June 2020 EDI'!F66,rrcworking[RRC ID],0))</f>
        <v>0</v>
      </c>
      <c r="Y66" s="5">
        <f>INDEX(rrcworking[Oil Production],MATCH('June 2020 EDI'!F66,rrcworking[RRC ID],0))</f>
        <v>0</v>
      </c>
      <c r="AA66" s="5">
        <f>INDEX(rrcworking[Sales/Dispostion],MATCH('June 2020 EDI'!F66,rrcworking[RRC ID],0))</f>
        <v>0</v>
      </c>
      <c r="AQ66" s="5">
        <f>INDEX(rrcworking[Closing Stock (Oil)],MATCH('June 2020 EDI'!F66,rrcworking[RRC ID],0))</f>
        <v>384</v>
      </c>
    </row>
    <row r="67" spans="1:46">
      <c r="A67" s="4" t="s">
        <v>1</v>
      </c>
      <c r="B67" s="1" t="s">
        <v>965</v>
      </c>
      <c r="C67" s="10" t="s">
        <v>909</v>
      </c>
      <c r="D67" s="1" t="s">
        <v>618</v>
      </c>
      <c r="E67" s="1" t="s">
        <v>2</v>
      </c>
      <c r="F67" s="1" t="s">
        <v>479</v>
      </c>
      <c r="I67" s="10" t="s">
        <v>3</v>
      </c>
      <c r="J67" s="118" t="s">
        <v>3</v>
      </c>
      <c r="K67" s="1" t="s">
        <v>1090</v>
      </c>
      <c r="M67" s="5">
        <v>202006</v>
      </c>
      <c r="N67" s="5">
        <f>INDEX(rrcworking[Formation Production (MCF) @ 14.65 psi],MATCH('June 2020 EDI'!F67,rrcworking[RRC ID],0))</f>
        <v>0</v>
      </c>
      <c r="O67" s="5">
        <f>INDEX(rrcworking[Lease Use (MCF)],MATCH('June 2020 EDI'!F67,rrcworking[RRC ID],0))</f>
        <v>0</v>
      </c>
      <c r="P67" s="5">
        <f>INDEX(rrcworking[Gas Sales Statement Volume (MCF)],MATCH('June 2020 EDI'!F67,rrcworking[RRC ID],0))</f>
        <v>0</v>
      </c>
      <c r="R67" s="242">
        <f>INDEX(rrcworking[Flared Gas],MATCH('June 2020 EDI'!F67,rrcworking[RRC ID],0))</f>
        <v>0</v>
      </c>
      <c r="Y67" s="5">
        <f>INDEX(rrcworking[Oil Production],MATCH('June 2020 EDI'!F67,rrcworking[RRC ID],0))</f>
        <v>0</v>
      </c>
      <c r="AA67" s="5">
        <f>INDEX(rrcworking[Sales/Dispostion],MATCH('June 2020 EDI'!F67,rrcworking[RRC ID],0))</f>
        <v>0</v>
      </c>
      <c r="AQ67" s="5">
        <f>INDEX(rrcworking[Closing Stock (Oil)],MATCH('June 2020 EDI'!F67,rrcworking[RRC ID],0))</f>
        <v>182</v>
      </c>
      <c r="AT67" s="10"/>
    </row>
    <row r="68" spans="1:46">
      <c r="A68" s="4" t="s">
        <v>1</v>
      </c>
      <c r="B68" s="1" t="s">
        <v>966</v>
      </c>
      <c r="C68" s="10" t="s">
        <v>909</v>
      </c>
      <c r="D68" s="1" t="s">
        <v>618</v>
      </c>
      <c r="E68" s="1" t="s">
        <v>2</v>
      </c>
      <c r="F68" s="1" t="s">
        <v>480</v>
      </c>
      <c r="I68" s="10" t="s">
        <v>3</v>
      </c>
      <c r="J68" s="118" t="s">
        <v>3</v>
      </c>
      <c r="K68" s="1" t="s">
        <v>1090</v>
      </c>
      <c r="M68" s="5">
        <v>202006</v>
      </c>
      <c r="N68" s="5">
        <f>INDEX(rrcworking[Formation Production (MCF) @ 14.65 psi],MATCH('June 2020 EDI'!F68,rrcworking[RRC ID],0))</f>
        <v>1227</v>
      </c>
      <c r="O68" s="5">
        <f>INDEX(rrcworking[Lease Use (MCF)],MATCH('June 2020 EDI'!F68,rrcworking[RRC ID],0))</f>
        <v>30</v>
      </c>
      <c r="P68" s="5">
        <f>INDEX(rrcworking[Gas Sales Statement Volume (MCF)],MATCH('June 2020 EDI'!F68,rrcworking[RRC ID],0))</f>
        <v>1197</v>
      </c>
      <c r="R68" s="242">
        <f>INDEX(rrcworking[Flared Gas],MATCH('June 2020 EDI'!F68,rrcworking[RRC ID],0))</f>
        <v>0</v>
      </c>
      <c r="Y68" s="5">
        <f>INDEX(rrcworking[Oil Production],MATCH('June 2020 EDI'!F68,rrcworking[RRC ID],0))</f>
        <v>1348</v>
      </c>
      <c r="AA68" s="5">
        <f>INDEX(rrcworking[Sales/Dispostion],MATCH('June 2020 EDI'!F68,rrcworking[RRC ID],0))</f>
        <v>2698</v>
      </c>
      <c r="AQ68" s="5">
        <f>INDEX(rrcworking[Closing Stock (Oil)],MATCH('June 2020 EDI'!F68,rrcworking[RRC ID],0))</f>
        <v>483</v>
      </c>
      <c r="AT68" s="10"/>
    </row>
    <row r="69" spans="1:46">
      <c r="A69" s="4" t="s">
        <v>1</v>
      </c>
      <c r="B69" s="1" t="s">
        <v>967</v>
      </c>
      <c r="C69" s="10" t="s">
        <v>909</v>
      </c>
      <c r="D69" s="1" t="s">
        <v>618</v>
      </c>
      <c r="E69" s="1" t="s">
        <v>2</v>
      </c>
      <c r="F69" s="1" t="s">
        <v>482</v>
      </c>
      <c r="I69" s="10" t="s">
        <v>3</v>
      </c>
      <c r="J69" s="118" t="s">
        <v>3</v>
      </c>
      <c r="K69" s="1" t="s">
        <v>1090</v>
      </c>
      <c r="M69" s="5">
        <v>202006</v>
      </c>
      <c r="N69" s="5">
        <f>INDEX(rrcworking[Formation Production (MCF) @ 14.65 psi],MATCH('June 2020 EDI'!F69,rrcworking[RRC ID],0))</f>
        <v>0</v>
      </c>
      <c r="O69" s="5">
        <f>INDEX(rrcworking[Lease Use (MCF)],MATCH('June 2020 EDI'!F69,rrcworking[RRC ID],0))</f>
        <v>0</v>
      </c>
      <c r="P69" s="5">
        <f>INDEX(rrcworking[Gas Sales Statement Volume (MCF)],MATCH('June 2020 EDI'!F69,rrcworking[RRC ID],0))</f>
        <v>0</v>
      </c>
      <c r="R69" s="242">
        <f>INDEX(rrcworking[Flared Gas],MATCH('June 2020 EDI'!F69,rrcworking[RRC ID],0))</f>
        <v>0</v>
      </c>
      <c r="Y69" s="5">
        <f>INDEX(rrcworking[Oil Production],MATCH('June 2020 EDI'!F69,rrcworking[RRC ID],0))</f>
        <v>0</v>
      </c>
      <c r="AA69" s="5">
        <f>INDEX(rrcworking[Sales/Dispostion],MATCH('June 2020 EDI'!F69,rrcworking[RRC ID],0))</f>
        <v>0</v>
      </c>
      <c r="AQ69" s="5">
        <f>INDEX(rrcworking[Closing Stock (Oil)],MATCH('June 2020 EDI'!F69,rrcworking[RRC ID],0))</f>
        <v>114</v>
      </c>
    </row>
    <row r="70" spans="1:46">
      <c r="A70" s="4" t="s">
        <v>1</v>
      </c>
      <c r="B70" s="1" t="s">
        <v>968</v>
      </c>
      <c r="C70" s="10" t="s">
        <v>909</v>
      </c>
      <c r="D70" s="1" t="s">
        <v>618</v>
      </c>
      <c r="E70" s="1" t="s">
        <v>59</v>
      </c>
      <c r="F70" s="1" t="s">
        <v>483</v>
      </c>
      <c r="I70" s="10" t="s">
        <v>3</v>
      </c>
      <c r="J70" s="118" t="s">
        <v>3</v>
      </c>
      <c r="K70" s="1" t="s">
        <v>1090</v>
      </c>
      <c r="M70" s="5">
        <v>202006</v>
      </c>
      <c r="N70" s="5">
        <f>INDEX(rrcworking[Formation Production (MCF) @ 14.65 psi],MATCH('June 2020 EDI'!F70,rrcworking[RRC ID],0))</f>
        <v>747</v>
      </c>
      <c r="O70" s="5">
        <f>INDEX(rrcworking[Lease Use (MCF)],MATCH('June 2020 EDI'!F70,rrcworking[RRC ID],0))</f>
        <v>27</v>
      </c>
      <c r="P70" s="5">
        <f>INDEX(rrcworking[Gas Sales Statement Volume (MCF)],MATCH('June 2020 EDI'!F70,rrcworking[RRC ID],0))</f>
        <v>720</v>
      </c>
      <c r="R70" s="242">
        <f>INDEX(rrcworking[Flared Gas],MATCH('June 2020 EDI'!F70,rrcworking[RRC ID],0))</f>
        <v>0</v>
      </c>
      <c r="Y70" s="5">
        <f>INDEX(rrcworking[Oil Production],MATCH('June 2020 EDI'!F70,rrcworking[RRC ID],0))</f>
        <v>17</v>
      </c>
      <c r="AA70" s="5">
        <f>INDEX(rrcworking[Sales/Dispostion],MATCH('June 2020 EDI'!F70,rrcworking[RRC ID],0))</f>
        <v>0</v>
      </c>
      <c r="AQ70" s="5">
        <f>INDEX(rrcworking[Closing Stock (Oil)],MATCH('June 2020 EDI'!F70,rrcworking[RRC ID],0))</f>
        <v>144</v>
      </c>
    </row>
    <row r="71" spans="1:46">
      <c r="A71" s="4" t="s">
        <v>1</v>
      </c>
      <c r="B71" s="1" t="s">
        <v>969</v>
      </c>
      <c r="C71" s="10" t="s">
        <v>909</v>
      </c>
      <c r="D71" s="1" t="s">
        <v>618</v>
      </c>
      <c r="E71" s="1" t="s">
        <v>2</v>
      </c>
      <c r="F71" s="1" t="s">
        <v>484</v>
      </c>
      <c r="I71" s="10" t="s">
        <v>3</v>
      </c>
      <c r="J71" s="118" t="s">
        <v>3</v>
      </c>
      <c r="K71" s="1" t="s">
        <v>1090</v>
      </c>
      <c r="M71" s="5">
        <v>202006</v>
      </c>
      <c r="N71" s="5">
        <f>INDEX(rrcworking[Formation Production (MCF) @ 14.65 psi],MATCH('June 2020 EDI'!F71,rrcworking[RRC ID],0))</f>
        <v>0</v>
      </c>
      <c r="O71" s="5">
        <f>INDEX(rrcworking[Lease Use (MCF)],MATCH('June 2020 EDI'!F71,rrcworking[RRC ID],0))</f>
        <v>0</v>
      </c>
      <c r="P71" s="5">
        <f>INDEX(rrcworking[Gas Sales Statement Volume (MCF)],MATCH('June 2020 EDI'!F71,rrcworking[RRC ID],0))</f>
        <v>0</v>
      </c>
      <c r="R71" s="242">
        <f>INDEX(rrcworking[Flared Gas],MATCH('June 2020 EDI'!F71,rrcworking[RRC ID],0))</f>
        <v>0</v>
      </c>
      <c r="Y71" s="5">
        <f>INDEX(rrcworking[Oil Production],MATCH('June 2020 EDI'!F71,rrcworking[RRC ID],0))</f>
        <v>0</v>
      </c>
      <c r="AA71" s="5">
        <f>INDEX(rrcworking[Sales/Dispostion],MATCH('June 2020 EDI'!F71,rrcworking[RRC ID],0))</f>
        <v>0</v>
      </c>
      <c r="AQ71" s="5">
        <f>INDEX(rrcworking[Closing Stock (Oil)],MATCH('June 2020 EDI'!F71,rrcworking[RRC ID],0))</f>
        <v>0</v>
      </c>
    </row>
    <row r="72" spans="1:46">
      <c r="A72" s="4" t="s">
        <v>1</v>
      </c>
      <c r="B72" s="1" t="s">
        <v>970</v>
      </c>
      <c r="C72" s="10" t="s">
        <v>909</v>
      </c>
      <c r="D72" s="1" t="s">
        <v>618</v>
      </c>
      <c r="E72" s="1" t="s">
        <v>2</v>
      </c>
      <c r="F72" s="1" t="s">
        <v>485</v>
      </c>
      <c r="I72" s="10" t="s">
        <v>3</v>
      </c>
      <c r="J72" s="118" t="s">
        <v>3</v>
      </c>
      <c r="K72" s="1" t="s">
        <v>1090</v>
      </c>
      <c r="M72" s="5">
        <v>202006</v>
      </c>
      <c r="N72" s="5">
        <f>INDEX(rrcworking[Formation Production (MCF) @ 14.65 psi],MATCH('June 2020 EDI'!F72,rrcworking[RRC ID],0))</f>
        <v>0</v>
      </c>
      <c r="O72" s="5">
        <f>INDEX(rrcworking[Lease Use (MCF)],MATCH('June 2020 EDI'!F72,rrcworking[RRC ID],0))</f>
        <v>0</v>
      </c>
      <c r="P72" s="5">
        <f>INDEX(rrcworking[Gas Sales Statement Volume (MCF)],MATCH('June 2020 EDI'!F72,rrcworking[RRC ID],0))</f>
        <v>0</v>
      </c>
      <c r="R72" s="242">
        <f>INDEX(rrcworking[Flared Gas],MATCH('June 2020 EDI'!F72,rrcworking[RRC ID],0))</f>
        <v>0</v>
      </c>
      <c r="Y72" s="5">
        <f>INDEX(rrcworking[Oil Production],MATCH('June 2020 EDI'!F72,rrcworking[RRC ID],0))</f>
        <v>23</v>
      </c>
      <c r="AA72" s="5">
        <f>INDEX(rrcworking[Sales/Dispostion],MATCH('June 2020 EDI'!F72,rrcworking[RRC ID],0))</f>
        <v>160</v>
      </c>
      <c r="AQ72" s="5">
        <f>INDEX(rrcworking[Closing Stock (Oil)],MATCH('June 2020 EDI'!F72,rrcworking[RRC ID],0))</f>
        <v>206</v>
      </c>
    </row>
    <row r="73" spans="1:46">
      <c r="A73" s="4" t="s">
        <v>1</v>
      </c>
      <c r="B73" s="1" t="s">
        <v>971</v>
      </c>
      <c r="C73" s="10" t="s">
        <v>909</v>
      </c>
      <c r="D73" s="1" t="s">
        <v>618</v>
      </c>
      <c r="E73" s="1" t="s">
        <v>2</v>
      </c>
      <c r="F73" s="1" t="s">
        <v>486</v>
      </c>
      <c r="I73" s="10" t="s">
        <v>3</v>
      </c>
      <c r="J73" s="118" t="s">
        <v>3</v>
      </c>
      <c r="K73" s="1" t="s">
        <v>1090</v>
      </c>
      <c r="M73" s="5">
        <v>202006</v>
      </c>
      <c r="N73" s="5">
        <f>INDEX(rrcworking[Formation Production (MCF) @ 14.65 psi],MATCH('June 2020 EDI'!F73,rrcworking[RRC ID],0))</f>
        <v>0</v>
      </c>
      <c r="O73" s="5">
        <f>INDEX(rrcworking[Lease Use (MCF)],MATCH('June 2020 EDI'!F73,rrcworking[RRC ID],0))</f>
        <v>0</v>
      </c>
      <c r="P73" s="5">
        <f>INDEX(rrcworking[Gas Sales Statement Volume (MCF)],MATCH('June 2020 EDI'!F73,rrcworking[RRC ID],0))</f>
        <v>0</v>
      </c>
      <c r="R73" s="242">
        <f>INDEX(rrcworking[Flared Gas],MATCH('June 2020 EDI'!F73,rrcworking[RRC ID],0))</f>
        <v>0</v>
      </c>
      <c r="Y73" s="5">
        <f>INDEX(rrcworking[Oil Production],MATCH('June 2020 EDI'!F73,rrcworking[RRC ID],0))</f>
        <v>0</v>
      </c>
      <c r="AA73" s="5">
        <f>INDEX(rrcworking[Sales/Dispostion],MATCH('June 2020 EDI'!F73,rrcworking[RRC ID],0))</f>
        <v>0</v>
      </c>
      <c r="AQ73" s="5">
        <f>INDEX(rrcworking[Closing Stock (Oil)],MATCH('June 2020 EDI'!F73,rrcworking[RRC ID],0))</f>
        <v>52</v>
      </c>
    </row>
    <row r="74" spans="1:46">
      <c r="A74" s="4" t="s">
        <v>1</v>
      </c>
      <c r="B74" s="1" t="s">
        <v>972</v>
      </c>
      <c r="C74" s="10" t="s">
        <v>909</v>
      </c>
      <c r="D74" s="1" t="s">
        <v>618</v>
      </c>
      <c r="E74" s="1" t="s">
        <v>2</v>
      </c>
      <c r="F74" s="1" t="s">
        <v>487</v>
      </c>
      <c r="I74" s="10" t="s">
        <v>3</v>
      </c>
      <c r="J74" s="118" t="s">
        <v>3</v>
      </c>
      <c r="K74" s="1" t="s">
        <v>1090</v>
      </c>
      <c r="M74" s="5">
        <v>202006</v>
      </c>
      <c r="N74" s="5">
        <f>INDEX(rrcworking[Formation Production (MCF) @ 14.65 psi],MATCH('June 2020 EDI'!F74,rrcworking[RRC ID],0))</f>
        <v>0</v>
      </c>
      <c r="O74" s="5">
        <f>INDEX(rrcworking[Lease Use (MCF)],MATCH('June 2020 EDI'!F74,rrcworking[RRC ID],0))</f>
        <v>0</v>
      </c>
      <c r="P74" s="5">
        <f>INDEX(rrcworking[Gas Sales Statement Volume (MCF)],MATCH('June 2020 EDI'!F74,rrcworking[RRC ID],0))</f>
        <v>0</v>
      </c>
      <c r="R74" s="242">
        <f>INDEX(rrcworking[Flared Gas],MATCH('June 2020 EDI'!F74,rrcworking[RRC ID],0))</f>
        <v>0</v>
      </c>
      <c r="Y74" s="5">
        <f>INDEX(rrcworking[Oil Production],MATCH('June 2020 EDI'!F74,rrcworking[RRC ID],0))</f>
        <v>0</v>
      </c>
      <c r="AA74" s="5">
        <f>INDEX(rrcworking[Sales/Dispostion],MATCH('June 2020 EDI'!F74,rrcworking[RRC ID],0))</f>
        <v>0</v>
      </c>
      <c r="AQ74" s="5">
        <f>INDEX(rrcworking[Closing Stock (Oil)],MATCH('June 2020 EDI'!F74,rrcworking[RRC ID],0))</f>
        <v>229</v>
      </c>
    </row>
    <row r="75" spans="1:46">
      <c r="A75" s="4" t="s">
        <v>1</v>
      </c>
      <c r="B75" s="1" t="s">
        <v>973</v>
      </c>
      <c r="C75" s="10" t="s">
        <v>909</v>
      </c>
      <c r="D75" s="1" t="s">
        <v>618</v>
      </c>
      <c r="E75" s="1" t="s">
        <v>2</v>
      </c>
      <c r="F75" s="1" t="s">
        <v>488</v>
      </c>
      <c r="I75" s="10" t="s">
        <v>3</v>
      </c>
      <c r="J75" s="118" t="s">
        <v>3</v>
      </c>
      <c r="K75" s="1" t="s">
        <v>1090</v>
      </c>
      <c r="M75" s="5">
        <v>202006</v>
      </c>
      <c r="N75" s="5">
        <f>INDEX(rrcworking[Formation Production (MCF) @ 14.65 psi],MATCH('June 2020 EDI'!F75,rrcworking[RRC ID],0))</f>
        <v>0</v>
      </c>
      <c r="O75" s="5">
        <f>INDEX(rrcworking[Lease Use (MCF)],MATCH('June 2020 EDI'!F75,rrcworking[RRC ID],0))</f>
        <v>0</v>
      </c>
      <c r="P75" s="5">
        <f>INDEX(rrcworking[Gas Sales Statement Volume (MCF)],MATCH('June 2020 EDI'!F75,rrcworking[RRC ID],0))</f>
        <v>0</v>
      </c>
      <c r="R75" s="242">
        <f>INDEX(rrcworking[Flared Gas],MATCH('June 2020 EDI'!F75,rrcworking[RRC ID],0))</f>
        <v>0</v>
      </c>
      <c r="Y75" s="5">
        <f>INDEX(rrcworking[Oil Production],MATCH('June 2020 EDI'!F75,rrcworking[RRC ID],0))</f>
        <v>4</v>
      </c>
      <c r="AA75" s="5">
        <f>INDEX(rrcworking[Sales/Dispostion],MATCH('June 2020 EDI'!F75,rrcworking[RRC ID],0))</f>
        <v>0</v>
      </c>
      <c r="AQ75" s="5">
        <f>INDEX(rrcworking[Closing Stock (Oil)],MATCH('June 2020 EDI'!F75,rrcworking[RRC ID],0))</f>
        <v>256</v>
      </c>
    </row>
    <row r="76" spans="1:46">
      <c r="A76" s="4" t="s">
        <v>1</v>
      </c>
      <c r="B76" s="1" t="s">
        <v>974</v>
      </c>
      <c r="C76" s="10" t="s">
        <v>909</v>
      </c>
      <c r="D76" s="1" t="s">
        <v>618</v>
      </c>
      <c r="E76" s="1" t="s">
        <v>2</v>
      </c>
      <c r="F76" s="1" t="s">
        <v>489</v>
      </c>
      <c r="I76" s="10" t="s">
        <v>3</v>
      </c>
      <c r="J76" s="118" t="s">
        <v>3</v>
      </c>
      <c r="K76" s="1" t="s">
        <v>1090</v>
      </c>
      <c r="M76" s="5">
        <v>202006</v>
      </c>
      <c r="N76" s="5">
        <f>INDEX(rrcworking[Formation Production (MCF) @ 14.65 psi],MATCH('June 2020 EDI'!F76,rrcworking[RRC ID],0))</f>
        <v>0</v>
      </c>
      <c r="O76" s="5">
        <f>INDEX(rrcworking[Lease Use (MCF)],MATCH('June 2020 EDI'!F76,rrcworking[RRC ID],0))</f>
        <v>0</v>
      </c>
      <c r="P76" s="5">
        <f>INDEX(rrcworking[Gas Sales Statement Volume (MCF)],MATCH('June 2020 EDI'!F76,rrcworking[RRC ID],0))</f>
        <v>0</v>
      </c>
      <c r="R76" s="242">
        <f>INDEX(rrcworking[Flared Gas],MATCH('June 2020 EDI'!F76,rrcworking[RRC ID],0))</f>
        <v>0</v>
      </c>
      <c r="Y76" s="5">
        <f>INDEX(rrcworking[Oil Production],MATCH('June 2020 EDI'!F76,rrcworking[RRC ID],0))</f>
        <v>4</v>
      </c>
      <c r="AA76" s="5">
        <f>INDEX(rrcworking[Sales/Dispostion],MATCH('June 2020 EDI'!F76,rrcworking[RRC ID],0))</f>
        <v>0</v>
      </c>
      <c r="AQ76" s="5">
        <f>INDEX(rrcworking[Closing Stock (Oil)],MATCH('June 2020 EDI'!F76,rrcworking[RRC ID],0))</f>
        <v>316</v>
      </c>
    </row>
    <row r="77" spans="1:46">
      <c r="A77" s="4" t="s">
        <v>1</v>
      </c>
      <c r="B77" s="1" t="s">
        <v>975</v>
      </c>
      <c r="C77" s="10" t="s">
        <v>909</v>
      </c>
      <c r="D77" s="1" t="s">
        <v>618</v>
      </c>
      <c r="E77" s="1" t="s">
        <v>2</v>
      </c>
      <c r="F77" s="1" t="s">
        <v>490</v>
      </c>
      <c r="I77" s="10" t="s">
        <v>3</v>
      </c>
      <c r="J77" s="118" t="s">
        <v>3</v>
      </c>
      <c r="K77" s="1" t="s">
        <v>1090</v>
      </c>
      <c r="M77" s="5">
        <v>202006</v>
      </c>
      <c r="N77" s="5">
        <f>INDEX(rrcworking[Formation Production (MCF) @ 14.65 psi],MATCH('June 2020 EDI'!F77,rrcworking[RRC ID],0))</f>
        <v>0</v>
      </c>
      <c r="O77" s="5">
        <f>INDEX(rrcworking[Lease Use (MCF)],MATCH('June 2020 EDI'!F77,rrcworking[RRC ID],0))</f>
        <v>0</v>
      </c>
      <c r="P77" s="5">
        <f>INDEX(rrcworking[Gas Sales Statement Volume (MCF)],MATCH('June 2020 EDI'!F77,rrcworking[RRC ID],0))</f>
        <v>0</v>
      </c>
      <c r="R77" s="242">
        <f>INDEX(rrcworking[Flared Gas],MATCH('June 2020 EDI'!F77,rrcworking[RRC ID],0))</f>
        <v>0</v>
      </c>
      <c r="Y77" s="5">
        <f>INDEX(rrcworking[Oil Production],MATCH('June 2020 EDI'!F77,rrcworking[RRC ID],0))</f>
        <v>5</v>
      </c>
      <c r="AA77" s="5">
        <f>INDEX(rrcworking[Sales/Dispostion],MATCH('June 2020 EDI'!F77,rrcworking[RRC ID],0))</f>
        <v>0</v>
      </c>
      <c r="AQ77" s="5">
        <f>INDEX(rrcworking[Closing Stock (Oil)],MATCH('June 2020 EDI'!F77,rrcworking[RRC ID],0))</f>
        <v>433</v>
      </c>
    </row>
    <row r="78" spans="1:46">
      <c r="A78" s="4" t="s">
        <v>1</v>
      </c>
      <c r="B78" s="1" t="s">
        <v>976</v>
      </c>
      <c r="C78" s="10" t="s">
        <v>909</v>
      </c>
      <c r="D78" s="1" t="s">
        <v>618</v>
      </c>
      <c r="E78" s="1" t="s">
        <v>59</v>
      </c>
      <c r="F78" s="1" t="s">
        <v>491</v>
      </c>
      <c r="I78" s="10" t="s">
        <v>3</v>
      </c>
      <c r="J78" s="118" t="s">
        <v>3</v>
      </c>
      <c r="K78" s="1" t="s">
        <v>1090</v>
      </c>
      <c r="M78" s="5">
        <v>202006</v>
      </c>
      <c r="N78" s="5">
        <f>INDEX(rrcworking[Formation Production (MCF) @ 14.65 psi],MATCH('June 2020 EDI'!F78,rrcworking[RRC ID],0))</f>
        <v>0</v>
      </c>
      <c r="O78" s="5">
        <f>INDEX(rrcworking[Lease Use (MCF)],MATCH('June 2020 EDI'!F78,rrcworking[RRC ID],0))</f>
        <v>0</v>
      </c>
      <c r="P78" s="5">
        <f>INDEX(rrcworking[Gas Sales Statement Volume (MCF)],MATCH('June 2020 EDI'!F78,rrcworking[RRC ID],0))</f>
        <v>0</v>
      </c>
      <c r="R78" s="242">
        <f>INDEX(rrcworking[Flared Gas],MATCH('June 2020 EDI'!F78,rrcworking[RRC ID],0))</f>
        <v>0</v>
      </c>
      <c r="Y78" s="5">
        <f>INDEX(rrcworking[Oil Production],MATCH('June 2020 EDI'!F78,rrcworking[RRC ID],0))</f>
        <v>0</v>
      </c>
      <c r="AA78" s="5">
        <f>INDEX(rrcworking[Sales/Dispostion],MATCH('June 2020 EDI'!F78,rrcworking[RRC ID],0))</f>
        <v>0</v>
      </c>
      <c r="AQ78" s="5">
        <f>INDEX(rrcworking[Closing Stock (Oil)],MATCH('June 2020 EDI'!F78,rrcworking[RRC ID],0))</f>
        <v>0</v>
      </c>
    </row>
    <row r="79" spans="1:46">
      <c r="A79" s="4" t="s">
        <v>1</v>
      </c>
      <c r="B79" s="1" t="s">
        <v>977</v>
      </c>
      <c r="C79" s="10" t="s">
        <v>909</v>
      </c>
      <c r="D79" s="1" t="s">
        <v>618</v>
      </c>
      <c r="E79" s="1" t="s">
        <v>59</v>
      </c>
      <c r="F79" s="1" t="s">
        <v>492</v>
      </c>
      <c r="I79" s="10" t="s">
        <v>3</v>
      </c>
      <c r="J79" s="118" t="s">
        <v>3</v>
      </c>
      <c r="K79" s="1" t="s">
        <v>1090</v>
      </c>
      <c r="M79" s="5">
        <v>202006</v>
      </c>
      <c r="N79" s="5">
        <f>INDEX(rrcworking[Formation Production (MCF) @ 14.65 psi],MATCH('June 2020 EDI'!F79,rrcworking[RRC ID],0))</f>
        <v>0</v>
      </c>
      <c r="O79" s="5">
        <f>INDEX(rrcworking[Lease Use (MCF)],MATCH('June 2020 EDI'!F79,rrcworking[RRC ID],0))</f>
        <v>0</v>
      </c>
      <c r="P79" s="5">
        <f>INDEX(rrcworking[Gas Sales Statement Volume (MCF)],MATCH('June 2020 EDI'!F79,rrcworking[RRC ID],0))</f>
        <v>0</v>
      </c>
      <c r="R79" s="242">
        <f>INDEX(rrcworking[Flared Gas],MATCH('June 2020 EDI'!F79,rrcworking[RRC ID],0))</f>
        <v>0</v>
      </c>
      <c r="Y79" s="5">
        <f>INDEX(rrcworking[Oil Production],MATCH('June 2020 EDI'!F79,rrcworking[RRC ID],0))</f>
        <v>0</v>
      </c>
      <c r="AA79" s="5">
        <f>INDEX(rrcworking[Sales/Dispostion],MATCH('June 2020 EDI'!F79,rrcworking[RRC ID],0))</f>
        <v>0</v>
      </c>
      <c r="AQ79" s="5">
        <f>INDEX(rrcworking[Closing Stock (Oil)],MATCH('June 2020 EDI'!F79,rrcworking[RRC ID],0))</f>
        <v>150</v>
      </c>
    </row>
    <row r="80" spans="1:46">
      <c r="A80" s="4" t="s">
        <v>1</v>
      </c>
      <c r="B80" s="1" t="s">
        <v>978</v>
      </c>
      <c r="C80" s="10" t="s">
        <v>909</v>
      </c>
      <c r="D80" s="1" t="s">
        <v>618</v>
      </c>
      <c r="E80" s="1" t="s">
        <v>2</v>
      </c>
      <c r="F80" s="1" t="s">
        <v>494</v>
      </c>
      <c r="I80" s="10" t="s">
        <v>3</v>
      </c>
      <c r="J80" s="118" t="s">
        <v>3</v>
      </c>
      <c r="K80" s="1" t="s">
        <v>1090</v>
      </c>
      <c r="M80" s="5">
        <v>202006</v>
      </c>
      <c r="N80" s="5">
        <f>INDEX(rrcworking[Formation Production (MCF) @ 14.65 psi],MATCH('June 2020 EDI'!F80,rrcworking[RRC ID],0))</f>
        <v>0</v>
      </c>
      <c r="O80" s="5">
        <f>INDEX(rrcworking[Lease Use (MCF)],MATCH('June 2020 EDI'!F80,rrcworking[RRC ID],0))</f>
        <v>0</v>
      </c>
      <c r="P80" s="5">
        <f>INDEX(rrcworking[Gas Sales Statement Volume (MCF)],MATCH('June 2020 EDI'!F80,rrcworking[RRC ID],0))</f>
        <v>0</v>
      </c>
      <c r="R80" s="242">
        <f>INDEX(rrcworking[Flared Gas],MATCH('June 2020 EDI'!F80,rrcworking[RRC ID],0))</f>
        <v>0</v>
      </c>
      <c r="Y80" s="5">
        <f>INDEX(rrcworking[Oil Production],MATCH('June 2020 EDI'!F80,rrcworking[RRC ID],0))</f>
        <v>0</v>
      </c>
      <c r="AA80" s="5">
        <f>INDEX(rrcworking[Sales/Dispostion],MATCH('June 2020 EDI'!F80,rrcworking[RRC ID],0))</f>
        <v>0</v>
      </c>
      <c r="AQ80" s="5">
        <f>INDEX(rrcworking[Closing Stock (Oil)],MATCH('June 2020 EDI'!F80,rrcworking[RRC ID],0))</f>
        <v>18</v>
      </c>
    </row>
    <row r="81" spans="1:43">
      <c r="A81" s="4" t="s">
        <v>1</v>
      </c>
      <c r="B81" s="1" t="s">
        <v>979</v>
      </c>
      <c r="C81" s="10" t="s">
        <v>909</v>
      </c>
      <c r="D81" s="1" t="s">
        <v>618</v>
      </c>
      <c r="E81" s="1" t="s">
        <v>59</v>
      </c>
      <c r="F81" s="1" t="s">
        <v>1132</v>
      </c>
      <c r="I81" s="10" t="s">
        <v>3</v>
      </c>
      <c r="J81" s="118" t="s">
        <v>3</v>
      </c>
      <c r="M81" s="5">
        <v>202006</v>
      </c>
      <c r="N81" s="5">
        <f>INDEX(rrcworking[Formation Production (MCF) @ 14.65 psi],MATCH('June 2020 EDI'!F81,rrcworking[RRC ID],0))</f>
        <v>4223</v>
      </c>
      <c r="O81" s="5">
        <f>INDEX(rrcworking[Lease Use (MCF)],MATCH('June 2020 EDI'!F81,rrcworking[RRC ID],0))</f>
        <v>180</v>
      </c>
      <c r="P81" s="5">
        <f>INDEX(rrcworking[Gas Sales Statement Volume (MCF)],MATCH('June 2020 EDI'!F81,rrcworking[RRC ID],0))</f>
        <v>4043</v>
      </c>
      <c r="R81" s="242">
        <f>INDEX(rrcworking[Flared Gas],MATCH('June 2020 EDI'!F81,rrcworking[RRC ID],0))</f>
        <v>0</v>
      </c>
      <c r="Y81" s="5">
        <f>INDEX(rrcworking[Oil Production],MATCH('June 2020 EDI'!F81,rrcworking[RRC ID],0))</f>
        <v>15</v>
      </c>
      <c r="AA81" s="5">
        <f>INDEX(rrcworking[Sales/Dispostion],MATCH('June 2020 EDI'!F81,rrcworking[RRC ID],0))</f>
        <v>0</v>
      </c>
      <c r="AQ81" s="5">
        <f>INDEX(rrcworking[Closing Stock (Oil)],MATCH('June 2020 EDI'!F81,rrcworking[RRC ID],0))</f>
        <v>110</v>
      </c>
    </row>
    <row r="82" spans="1:43">
      <c r="A82" s="4" t="s">
        <v>1</v>
      </c>
      <c r="B82" s="1" t="s">
        <v>980</v>
      </c>
      <c r="C82" s="10" t="s">
        <v>909</v>
      </c>
      <c r="D82" s="1" t="s">
        <v>618</v>
      </c>
      <c r="E82" s="1" t="s">
        <v>2</v>
      </c>
      <c r="F82" s="1" t="s">
        <v>495</v>
      </c>
      <c r="I82" s="10" t="s">
        <v>3</v>
      </c>
      <c r="J82" s="118" t="s">
        <v>3</v>
      </c>
      <c r="K82" s="1" t="s">
        <v>1090</v>
      </c>
      <c r="M82" s="5">
        <v>202006</v>
      </c>
      <c r="N82" s="5">
        <f>INDEX(rrcworking[Formation Production (MCF) @ 14.65 psi],MATCH('June 2020 EDI'!F82,rrcworking[RRC ID],0))</f>
        <v>0</v>
      </c>
      <c r="O82" s="5">
        <f>INDEX(rrcworking[Lease Use (MCF)],MATCH('June 2020 EDI'!F82,rrcworking[RRC ID],0))</f>
        <v>0</v>
      </c>
      <c r="P82" s="5">
        <f>INDEX(rrcworking[Gas Sales Statement Volume (MCF)],MATCH('June 2020 EDI'!F82,rrcworking[RRC ID],0))</f>
        <v>0</v>
      </c>
      <c r="R82" s="242">
        <f>INDEX(rrcworking[Flared Gas],MATCH('June 2020 EDI'!F82,rrcworking[RRC ID],0))</f>
        <v>0</v>
      </c>
      <c r="Y82" s="5">
        <f>INDEX(rrcworking[Oil Production],MATCH('June 2020 EDI'!F82,rrcworking[RRC ID],0))</f>
        <v>0</v>
      </c>
      <c r="AA82" s="5">
        <f>INDEX(rrcworking[Sales/Dispostion],MATCH('June 2020 EDI'!F82,rrcworking[RRC ID],0))</f>
        <v>0</v>
      </c>
      <c r="AQ82" s="5">
        <f>INDEX(rrcworking[Closing Stock (Oil)],MATCH('June 2020 EDI'!F82,rrcworking[RRC ID],0))</f>
        <v>0</v>
      </c>
    </row>
    <row r="83" spans="1:43">
      <c r="A83" s="4" t="s">
        <v>1</v>
      </c>
      <c r="B83" s="1" t="s">
        <v>981</v>
      </c>
      <c r="C83" s="10" t="s">
        <v>909</v>
      </c>
      <c r="D83" s="1" t="s">
        <v>618</v>
      </c>
      <c r="E83" s="1" t="s">
        <v>59</v>
      </c>
      <c r="F83" s="1" t="s">
        <v>496</v>
      </c>
      <c r="I83" s="10" t="s">
        <v>3</v>
      </c>
      <c r="J83" s="118" t="s">
        <v>3</v>
      </c>
      <c r="K83" s="1">
        <v>1471</v>
      </c>
      <c r="M83" s="5">
        <v>202006</v>
      </c>
      <c r="N83" s="5">
        <f>INDEX(rrcworking[Formation Production (MCF) @ 14.65 psi],MATCH('June 2020 EDI'!F83,rrcworking[RRC ID],0))</f>
        <v>0</v>
      </c>
      <c r="O83" s="5">
        <f>INDEX(rrcworking[Lease Use (MCF)],MATCH('June 2020 EDI'!F83,rrcworking[RRC ID],0))</f>
        <v>0</v>
      </c>
      <c r="P83" s="5">
        <f>INDEX(rrcworking[Gas Sales Statement Volume (MCF)],MATCH('June 2020 EDI'!F83,rrcworking[RRC ID],0))</f>
        <v>0</v>
      </c>
      <c r="R83" s="242">
        <f>INDEX(rrcworking[Flared Gas],MATCH('June 2020 EDI'!F83,rrcworking[RRC ID],0))</f>
        <v>0</v>
      </c>
      <c r="Y83" s="5">
        <f>INDEX(rrcworking[Oil Production],MATCH('June 2020 EDI'!F83,rrcworking[RRC ID],0))</f>
        <v>0</v>
      </c>
      <c r="AA83" s="5">
        <f>INDEX(rrcworking[Sales/Dispostion],MATCH('June 2020 EDI'!F83,rrcworking[RRC ID],0))</f>
        <v>0</v>
      </c>
      <c r="AQ83" s="5">
        <f>INDEX(rrcworking[Closing Stock (Oil)],MATCH('June 2020 EDI'!F83,rrcworking[RRC ID],0))</f>
        <v>0</v>
      </c>
    </row>
    <row r="84" spans="1:43">
      <c r="A84" s="4" t="s">
        <v>1</v>
      </c>
      <c r="B84" s="1" t="s">
        <v>982</v>
      </c>
      <c r="C84" s="10" t="s">
        <v>909</v>
      </c>
      <c r="D84" s="1" t="s">
        <v>618</v>
      </c>
      <c r="E84" s="1" t="s">
        <v>2</v>
      </c>
      <c r="F84" s="1" t="s">
        <v>497</v>
      </c>
      <c r="I84" s="10" t="s">
        <v>3</v>
      </c>
      <c r="J84" s="118" t="s">
        <v>3</v>
      </c>
      <c r="K84" s="1">
        <v>1471</v>
      </c>
      <c r="M84" s="5">
        <v>202006</v>
      </c>
      <c r="N84" s="5">
        <f>INDEX(rrcworking[Formation Production (MCF) @ 14.65 psi],MATCH('June 2020 EDI'!F84,rrcworking[RRC ID],0))</f>
        <v>0</v>
      </c>
      <c r="O84" s="5">
        <f>INDEX(rrcworking[Lease Use (MCF)],MATCH('June 2020 EDI'!F84,rrcworking[RRC ID],0))</f>
        <v>0</v>
      </c>
      <c r="P84" s="5">
        <f>INDEX(rrcworking[Gas Sales Statement Volume (MCF)],MATCH('June 2020 EDI'!F84,rrcworking[RRC ID],0))</f>
        <v>0</v>
      </c>
      <c r="R84" s="242">
        <f>INDEX(rrcworking[Flared Gas],MATCH('June 2020 EDI'!F84,rrcworking[RRC ID],0))</f>
        <v>0</v>
      </c>
      <c r="Y84" s="5">
        <f>INDEX(rrcworking[Oil Production],MATCH('June 2020 EDI'!F84,rrcworking[RRC ID],0))</f>
        <v>0</v>
      </c>
      <c r="AA84" s="5">
        <f>INDEX(rrcworking[Sales/Dispostion],MATCH('June 2020 EDI'!F84,rrcworking[RRC ID],0))</f>
        <v>0</v>
      </c>
      <c r="AQ84" s="5">
        <f>INDEX(rrcworking[Closing Stock (Oil)],MATCH('June 2020 EDI'!F84,rrcworking[RRC ID],0))</f>
        <v>0</v>
      </c>
    </row>
    <row r="85" spans="1:43">
      <c r="A85" s="4" t="s">
        <v>1</v>
      </c>
      <c r="B85" s="1" t="s">
        <v>983</v>
      </c>
      <c r="C85" s="10" t="s">
        <v>909</v>
      </c>
      <c r="D85" s="1" t="s">
        <v>618</v>
      </c>
      <c r="E85" s="1" t="s">
        <v>59</v>
      </c>
      <c r="F85" s="1" t="s">
        <v>498</v>
      </c>
      <c r="I85" s="10" t="s">
        <v>3</v>
      </c>
      <c r="J85" s="118" t="s">
        <v>3</v>
      </c>
      <c r="K85" s="1" t="s">
        <v>1090</v>
      </c>
      <c r="M85" s="5">
        <v>202006</v>
      </c>
      <c r="N85" s="5">
        <f>INDEX(rrcworking[Formation Production (MCF) @ 14.65 psi],MATCH('June 2020 EDI'!F85,rrcworking[RRC ID],0))</f>
        <v>0</v>
      </c>
      <c r="O85" s="5">
        <f>INDEX(rrcworking[Lease Use (MCF)],MATCH('June 2020 EDI'!F85,rrcworking[RRC ID],0))</f>
        <v>0</v>
      </c>
      <c r="P85" s="5">
        <f>INDEX(rrcworking[Gas Sales Statement Volume (MCF)],MATCH('June 2020 EDI'!F85,rrcworking[RRC ID],0))</f>
        <v>0</v>
      </c>
      <c r="R85" s="242">
        <f>INDEX(rrcworking[Flared Gas],MATCH('June 2020 EDI'!F85,rrcworking[RRC ID],0))</f>
        <v>0</v>
      </c>
      <c r="Y85" s="5">
        <f>INDEX(rrcworking[Oil Production],MATCH('June 2020 EDI'!F85,rrcworking[RRC ID],0))</f>
        <v>0</v>
      </c>
      <c r="AA85" s="5">
        <f>INDEX(rrcworking[Sales/Dispostion],MATCH('June 2020 EDI'!F85,rrcworking[RRC ID],0))</f>
        <v>0</v>
      </c>
      <c r="AQ85" s="5">
        <f>INDEX(rrcworking[Closing Stock (Oil)],MATCH('June 2020 EDI'!F85,rrcworking[RRC ID],0))</f>
        <v>0</v>
      </c>
    </row>
    <row r="86" spans="1:43">
      <c r="A86" s="4" t="s">
        <v>1</v>
      </c>
      <c r="B86" s="1" t="s">
        <v>984</v>
      </c>
      <c r="C86" s="10" t="s">
        <v>909</v>
      </c>
      <c r="D86" s="1" t="s">
        <v>618</v>
      </c>
      <c r="E86" s="1" t="s">
        <v>2</v>
      </c>
      <c r="F86" s="10" t="s">
        <v>1247</v>
      </c>
      <c r="I86" s="10" t="s">
        <v>3</v>
      </c>
      <c r="J86" s="118" t="s">
        <v>3</v>
      </c>
      <c r="K86" s="1" t="s">
        <v>1090</v>
      </c>
      <c r="M86" s="5">
        <v>202006</v>
      </c>
      <c r="N86" s="5">
        <f>INDEX(rrcworking[Formation Production (MCF) @ 14.65 psi],MATCH('June 2020 EDI'!F86,rrcworking[RRC ID],0))</f>
        <v>52</v>
      </c>
      <c r="O86" s="5">
        <f>INDEX(rrcworking[Lease Use (MCF)],MATCH('June 2020 EDI'!F86,rrcworking[RRC ID],0))</f>
        <v>52</v>
      </c>
      <c r="P86" s="5">
        <f>INDEX(rrcworking[Gas Sales Statement Volume (MCF)],MATCH('June 2020 EDI'!F86,rrcworking[RRC ID],0))</f>
        <v>0</v>
      </c>
      <c r="R86" s="242">
        <f>INDEX(rrcworking[Flared Gas],MATCH('June 2020 EDI'!F86,rrcworking[RRC ID],0))</f>
        <v>0</v>
      </c>
      <c r="Y86" s="5">
        <f>INDEX(rrcworking[Oil Production],MATCH('June 2020 EDI'!F86,rrcworking[RRC ID],0))</f>
        <v>95</v>
      </c>
      <c r="AA86" s="5">
        <f>INDEX(rrcworking[Sales/Dispostion],MATCH('June 2020 EDI'!F86,rrcworking[RRC ID],0))</f>
        <v>333</v>
      </c>
      <c r="AQ86" s="5">
        <f>INDEX(rrcworking[Closing Stock (Oil)],MATCH('June 2020 EDI'!F86,rrcworking[RRC ID],0))</f>
        <v>195</v>
      </c>
    </row>
    <row r="87" spans="1:43">
      <c r="A87" s="4" t="s">
        <v>1</v>
      </c>
      <c r="B87" s="1" t="s">
        <v>985</v>
      </c>
      <c r="C87" s="10" t="s">
        <v>909</v>
      </c>
      <c r="D87" s="1" t="s">
        <v>618</v>
      </c>
      <c r="E87" s="1" t="s">
        <v>2</v>
      </c>
      <c r="F87" s="1" t="s">
        <v>499</v>
      </c>
      <c r="I87" s="10" t="s">
        <v>3</v>
      </c>
      <c r="J87" s="118" t="s">
        <v>3</v>
      </c>
      <c r="K87" s="1" t="s">
        <v>1090</v>
      </c>
      <c r="M87" s="5">
        <v>202006</v>
      </c>
      <c r="N87" s="5">
        <f>INDEX(rrcworking[Formation Production (MCF) @ 14.65 psi],MATCH('June 2020 EDI'!F87,rrcworking[RRC ID],0))</f>
        <v>0</v>
      </c>
      <c r="O87" s="5">
        <f>INDEX(rrcworking[Lease Use (MCF)],MATCH('June 2020 EDI'!F87,rrcworking[RRC ID],0))</f>
        <v>0</v>
      </c>
      <c r="P87" s="5">
        <f>INDEX(rrcworking[Gas Sales Statement Volume (MCF)],MATCH('June 2020 EDI'!F87,rrcworking[RRC ID],0))</f>
        <v>0</v>
      </c>
      <c r="R87" s="242">
        <f>INDEX(rrcworking[Flared Gas],MATCH('June 2020 EDI'!F87,rrcworking[RRC ID],0))</f>
        <v>0</v>
      </c>
      <c r="Y87" s="5">
        <f>INDEX(rrcworking[Oil Production],MATCH('June 2020 EDI'!F87,rrcworking[RRC ID],0))</f>
        <v>0</v>
      </c>
      <c r="AA87" s="5">
        <f>INDEX(rrcworking[Sales/Dispostion],MATCH('June 2020 EDI'!F87,rrcworking[RRC ID],0))</f>
        <v>0</v>
      </c>
      <c r="AQ87" s="5">
        <f>INDEX(rrcworking[Closing Stock (Oil)],MATCH('June 2020 EDI'!F87,rrcworking[RRC ID],0))</f>
        <v>86</v>
      </c>
    </row>
    <row r="88" spans="1:43">
      <c r="A88" s="4" t="s">
        <v>1</v>
      </c>
      <c r="B88" s="1" t="s">
        <v>986</v>
      </c>
      <c r="C88" s="10" t="s">
        <v>909</v>
      </c>
      <c r="D88" s="1" t="s">
        <v>618</v>
      </c>
      <c r="E88" s="1" t="s">
        <v>2</v>
      </c>
      <c r="F88" s="1" t="s">
        <v>500</v>
      </c>
      <c r="I88" s="10" t="s">
        <v>3</v>
      </c>
      <c r="J88" s="118" t="s">
        <v>3</v>
      </c>
      <c r="K88" s="1" t="s">
        <v>1090</v>
      </c>
      <c r="M88" s="5">
        <v>202006</v>
      </c>
      <c r="N88" s="5">
        <f>INDEX(rrcworking[Formation Production (MCF) @ 14.65 psi],MATCH('June 2020 EDI'!F88,rrcworking[RRC ID],0))</f>
        <v>0</v>
      </c>
      <c r="O88" s="5">
        <f>INDEX(rrcworking[Lease Use (MCF)],MATCH('June 2020 EDI'!F88,rrcworking[RRC ID],0))</f>
        <v>0</v>
      </c>
      <c r="P88" s="5">
        <f>INDEX(rrcworking[Gas Sales Statement Volume (MCF)],MATCH('June 2020 EDI'!F88,rrcworking[RRC ID],0))</f>
        <v>0</v>
      </c>
      <c r="R88" s="242">
        <f>INDEX(rrcworking[Flared Gas],MATCH('June 2020 EDI'!F88,rrcworking[RRC ID],0))</f>
        <v>0</v>
      </c>
      <c r="Y88" s="5">
        <f>INDEX(rrcworking[Oil Production],MATCH('June 2020 EDI'!F88,rrcworking[RRC ID],0))</f>
        <v>0</v>
      </c>
      <c r="AA88" s="5">
        <f>INDEX(rrcworking[Sales/Dispostion],MATCH('June 2020 EDI'!F88,rrcworking[RRC ID],0))</f>
        <v>0</v>
      </c>
      <c r="AQ88" s="5">
        <f>INDEX(rrcworking[Closing Stock (Oil)],MATCH('June 2020 EDI'!F88,rrcworking[RRC ID],0))</f>
        <v>68</v>
      </c>
    </row>
    <row r="89" spans="1:43">
      <c r="A89" s="4" t="s">
        <v>1</v>
      </c>
      <c r="B89" s="1" t="s">
        <v>987</v>
      </c>
      <c r="C89" s="10" t="s">
        <v>909</v>
      </c>
      <c r="D89" s="1" t="s">
        <v>618</v>
      </c>
      <c r="E89" s="1" t="s">
        <v>59</v>
      </c>
      <c r="F89" s="1" t="s">
        <v>501</v>
      </c>
      <c r="I89" s="10" t="s">
        <v>3</v>
      </c>
      <c r="J89" s="118" t="s">
        <v>3</v>
      </c>
      <c r="K89" s="1" t="s">
        <v>1090</v>
      </c>
      <c r="M89" s="5">
        <v>202006</v>
      </c>
      <c r="N89" s="5">
        <f>INDEX(rrcworking[Formation Production (MCF) @ 14.65 psi],MATCH('June 2020 EDI'!F89,rrcworking[RRC ID],0))</f>
        <v>0</v>
      </c>
      <c r="O89" s="5">
        <f>INDEX(rrcworking[Lease Use (MCF)],MATCH('June 2020 EDI'!F89,rrcworking[RRC ID],0))</f>
        <v>0</v>
      </c>
      <c r="P89" s="5">
        <f>INDEX(rrcworking[Gas Sales Statement Volume (MCF)],MATCH('June 2020 EDI'!F89,rrcworking[RRC ID],0))</f>
        <v>0</v>
      </c>
      <c r="R89" s="242">
        <f>INDEX(rrcworking[Flared Gas],MATCH('June 2020 EDI'!F89,rrcworking[RRC ID],0))</f>
        <v>0</v>
      </c>
      <c r="Y89" s="5">
        <f>INDEX(rrcworking[Oil Production],MATCH('June 2020 EDI'!F89,rrcworking[RRC ID],0))</f>
        <v>0</v>
      </c>
      <c r="AA89" s="5">
        <f>INDEX(rrcworking[Sales/Dispostion],MATCH('June 2020 EDI'!F89,rrcworking[RRC ID],0))</f>
        <v>0</v>
      </c>
      <c r="AQ89" s="5">
        <f>INDEX(rrcworking[Closing Stock (Oil)],MATCH('June 2020 EDI'!F89,rrcworking[RRC ID],0))</f>
        <v>0</v>
      </c>
    </row>
    <row r="90" spans="1:43">
      <c r="A90" s="4" t="s">
        <v>1</v>
      </c>
      <c r="B90" s="1" t="s">
        <v>988</v>
      </c>
      <c r="C90" s="10" t="s">
        <v>909</v>
      </c>
      <c r="D90" s="1" t="s">
        <v>618</v>
      </c>
      <c r="E90" s="1" t="s">
        <v>59</v>
      </c>
      <c r="F90" s="1" t="s">
        <v>502</v>
      </c>
      <c r="I90" s="10" t="s">
        <v>3</v>
      </c>
      <c r="J90" s="118" t="s">
        <v>3</v>
      </c>
      <c r="K90" s="1" t="s">
        <v>1090</v>
      </c>
      <c r="M90" s="5">
        <v>202006</v>
      </c>
      <c r="N90" s="5">
        <f>INDEX(rrcworking[Formation Production (MCF) @ 14.65 psi],MATCH('June 2020 EDI'!F90,rrcworking[RRC ID],0))</f>
        <v>0</v>
      </c>
      <c r="O90" s="5">
        <f>INDEX(rrcworking[Lease Use (MCF)],MATCH('June 2020 EDI'!F90,rrcworking[RRC ID],0))</f>
        <v>0</v>
      </c>
      <c r="P90" s="5">
        <f>INDEX(rrcworking[Gas Sales Statement Volume (MCF)],MATCH('June 2020 EDI'!F90,rrcworking[RRC ID],0))</f>
        <v>0</v>
      </c>
      <c r="R90" s="242">
        <f>INDEX(rrcworking[Flared Gas],MATCH('June 2020 EDI'!F90,rrcworking[RRC ID],0))</f>
        <v>0</v>
      </c>
      <c r="Y90" s="5">
        <f>INDEX(rrcworking[Oil Production],MATCH('June 2020 EDI'!F90,rrcworking[RRC ID],0))</f>
        <v>0</v>
      </c>
      <c r="AA90" s="5">
        <f>INDEX(rrcworking[Sales/Dispostion],MATCH('June 2020 EDI'!F90,rrcworking[RRC ID],0))</f>
        <v>0</v>
      </c>
      <c r="AQ90" s="5">
        <f>INDEX(rrcworking[Closing Stock (Oil)],MATCH('June 2020 EDI'!F90,rrcworking[RRC ID],0))</f>
        <v>0</v>
      </c>
    </row>
    <row r="91" spans="1:43">
      <c r="A91" s="4" t="s">
        <v>1</v>
      </c>
      <c r="B91" s="1" t="s">
        <v>989</v>
      </c>
      <c r="C91" s="10" t="s">
        <v>909</v>
      </c>
      <c r="D91" s="1" t="s">
        <v>618</v>
      </c>
      <c r="E91" s="1" t="s">
        <v>2</v>
      </c>
      <c r="F91" s="1" t="s">
        <v>503</v>
      </c>
      <c r="I91" s="10" t="s">
        <v>3</v>
      </c>
      <c r="J91" s="118" t="s">
        <v>3</v>
      </c>
      <c r="K91" s="1" t="s">
        <v>1090</v>
      </c>
      <c r="M91" s="5">
        <v>202006</v>
      </c>
      <c r="N91" s="5">
        <f>INDEX(rrcworking[Formation Production (MCF) @ 14.65 psi],MATCH('June 2020 EDI'!F91,rrcworking[RRC ID],0))</f>
        <v>0</v>
      </c>
      <c r="O91" s="5">
        <f>INDEX(rrcworking[Lease Use (MCF)],MATCH('June 2020 EDI'!F91,rrcworking[RRC ID],0))</f>
        <v>0</v>
      </c>
      <c r="P91" s="5">
        <f>INDEX(rrcworking[Gas Sales Statement Volume (MCF)],MATCH('June 2020 EDI'!F91,rrcworking[RRC ID],0))</f>
        <v>0</v>
      </c>
      <c r="R91" s="242">
        <f>INDEX(rrcworking[Flared Gas],MATCH('June 2020 EDI'!F91,rrcworking[RRC ID],0))</f>
        <v>0</v>
      </c>
      <c r="Y91" s="5">
        <f>INDEX(rrcworking[Oil Production],MATCH('June 2020 EDI'!F91,rrcworking[RRC ID],0))</f>
        <v>124</v>
      </c>
      <c r="AA91" s="5">
        <f>INDEX(rrcworking[Sales/Dispostion],MATCH('June 2020 EDI'!F91,rrcworking[RRC ID],0))</f>
        <v>0</v>
      </c>
      <c r="AQ91" s="5">
        <f>INDEX(rrcworking[Closing Stock (Oil)],MATCH('June 2020 EDI'!F91,rrcworking[RRC ID],0))</f>
        <v>295</v>
      </c>
    </row>
    <row r="92" spans="1:43">
      <c r="A92" s="4" t="s">
        <v>1</v>
      </c>
      <c r="B92" s="1" t="s">
        <v>990</v>
      </c>
      <c r="C92" s="10" t="s">
        <v>909</v>
      </c>
      <c r="D92" s="1" t="s">
        <v>618</v>
      </c>
      <c r="E92" s="1" t="s">
        <v>59</v>
      </c>
      <c r="F92" s="1" t="s">
        <v>504</v>
      </c>
      <c r="I92" s="10" t="s">
        <v>3</v>
      </c>
      <c r="J92" s="118" t="s">
        <v>3</v>
      </c>
      <c r="K92" s="1" t="s">
        <v>1090</v>
      </c>
      <c r="M92" s="5">
        <v>202006</v>
      </c>
      <c r="N92" s="5">
        <f>INDEX(rrcworking[Formation Production (MCF) @ 14.65 psi],MATCH('June 2020 EDI'!F92,rrcworking[RRC ID],0))</f>
        <v>10998</v>
      </c>
      <c r="O92" s="5">
        <f>INDEX(rrcworking[Lease Use (MCF)],MATCH('June 2020 EDI'!F92,rrcworking[RRC ID],0))</f>
        <v>450</v>
      </c>
      <c r="P92" s="5">
        <f>INDEX(rrcworking[Gas Sales Statement Volume (MCF)],MATCH('June 2020 EDI'!F92,rrcworking[RRC ID],0))</f>
        <v>10548</v>
      </c>
      <c r="R92" s="242">
        <f>INDEX(rrcworking[Flared Gas],MATCH('June 2020 EDI'!F92,rrcworking[RRC ID],0))</f>
        <v>0</v>
      </c>
      <c r="Y92" s="5">
        <f>INDEX(rrcworking[Oil Production],MATCH('June 2020 EDI'!F92,rrcworking[RRC ID],0))</f>
        <v>106</v>
      </c>
      <c r="AA92" s="5">
        <f>INDEX(rrcworking[Sales/Dispostion],MATCH('June 2020 EDI'!F92,rrcworking[RRC ID],0))</f>
        <v>189</v>
      </c>
      <c r="AQ92" s="5">
        <f>INDEX(rrcworking[Closing Stock (Oil)],MATCH('June 2020 EDI'!F92,rrcworking[RRC ID],0))</f>
        <v>151</v>
      </c>
    </row>
    <row r="93" spans="1:43">
      <c r="A93" s="4" t="s">
        <v>1</v>
      </c>
      <c r="B93" s="1" t="s">
        <v>991</v>
      </c>
      <c r="C93" s="10" t="s">
        <v>909</v>
      </c>
      <c r="D93" s="1" t="s">
        <v>618</v>
      </c>
      <c r="E93" s="1" t="s">
        <v>59</v>
      </c>
      <c r="F93" s="1" t="s">
        <v>505</v>
      </c>
      <c r="I93" s="10" t="s">
        <v>3</v>
      </c>
      <c r="J93" s="118" t="s">
        <v>3</v>
      </c>
      <c r="K93" s="1" t="s">
        <v>1090</v>
      </c>
      <c r="M93" s="5">
        <v>202006</v>
      </c>
      <c r="N93" s="5">
        <f>INDEX(rrcworking[Formation Production (MCF) @ 14.65 psi],MATCH('June 2020 EDI'!F93,rrcworking[RRC ID],0))</f>
        <v>1783</v>
      </c>
      <c r="O93" s="5">
        <f>INDEX(rrcworking[Lease Use (MCF)],MATCH('June 2020 EDI'!F93,rrcworking[RRC ID],0))</f>
        <v>0</v>
      </c>
      <c r="P93" s="5">
        <f>INDEX(rrcworking[Gas Sales Statement Volume (MCF)],MATCH('June 2020 EDI'!F93,rrcworking[RRC ID],0))</f>
        <v>1783</v>
      </c>
      <c r="R93" s="242">
        <f>INDEX(rrcworking[Flared Gas],MATCH('June 2020 EDI'!F93,rrcworking[RRC ID],0))</f>
        <v>0</v>
      </c>
      <c r="Y93" s="5">
        <f>INDEX(rrcworking[Oil Production],MATCH('June 2020 EDI'!F93,rrcworking[RRC ID],0))</f>
        <v>1</v>
      </c>
      <c r="AA93" s="5">
        <f>INDEX(rrcworking[Sales/Dispostion],MATCH('June 2020 EDI'!F93,rrcworking[RRC ID],0))</f>
        <v>0</v>
      </c>
      <c r="AQ93" s="5">
        <f>INDEX(rrcworking[Closing Stock (Oil)],MATCH('June 2020 EDI'!F93,rrcworking[RRC ID],0))</f>
        <v>124</v>
      </c>
    </row>
    <row r="94" spans="1:43">
      <c r="A94" s="4" t="s">
        <v>1</v>
      </c>
      <c r="B94" s="1" t="s">
        <v>1271</v>
      </c>
      <c r="C94" s="10" t="s">
        <v>909</v>
      </c>
      <c r="D94" s="1" t="s">
        <v>618</v>
      </c>
      <c r="E94" s="1" t="s">
        <v>59</v>
      </c>
      <c r="F94" s="1" t="s">
        <v>506</v>
      </c>
      <c r="I94" s="10" t="s">
        <v>3</v>
      </c>
      <c r="J94" s="118" t="s">
        <v>3</v>
      </c>
      <c r="K94" s="1" t="s">
        <v>1090</v>
      </c>
      <c r="M94" s="5">
        <v>202006</v>
      </c>
      <c r="N94" s="5">
        <f>INDEX(rrcworking[Formation Production (MCF) @ 14.65 psi],MATCH('June 2020 EDI'!F94,rrcworking[RRC ID],0))</f>
        <v>0</v>
      </c>
      <c r="O94" s="5">
        <f>INDEX(rrcworking[Lease Use (MCF)],MATCH('June 2020 EDI'!F94,rrcworking[RRC ID],0))</f>
        <v>0</v>
      </c>
      <c r="P94" s="5">
        <f>INDEX(rrcworking[Gas Sales Statement Volume (MCF)],MATCH('June 2020 EDI'!F94,rrcworking[RRC ID],0))</f>
        <v>0</v>
      </c>
      <c r="R94" s="242">
        <f>INDEX(rrcworking[Flared Gas],MATCH('June 2020 EDI'!F94,rrcworking[RRC ID],0))</f>
        <v>0</v>
      </c>
      <c r="Y94" s="5">
        <f>INDEX(rrcworking[Oil Production],MATCH('June 2020 EDI'!F94,rrcworking[RRC ID],0))</f>
        <v>0</v>
      </c>
      <c r="AA94" s="5">
        <f>INDEX(rrcworking[Sales/Dispostion],MATCH('June 2020 EDI'!F94,rrcworking[RRC ID],0))</f>
        <v>0</v>
      </c>
      <c r="AQ94" s="5">
        <f>INDEX(rrcworking[Closing Stock (Oil)],MATCH('June 2020 EDI'!F94,rrcworking[RRC ID],0))</f>
        <v>0</v>
      </c>
    </row>
    <row r="95" spans="1:43">
      <c r="A95" s="4" t="s">
        <v>1</v>
      </c>
      <c r="B95" s="1" t="s">
        <v>992</v>
      </c>
      <c r="C95" s="10" t="s">
        <v>909</v>
      </c>
      <c r="D95" s="1" t="s">
        <v>618</v>
      </c>
      <c r="E95" s="1" t="s">
        <v>2</v>
      </c>
      <c r="F95" s="1" t="s">
        <v>507</v>
      </c>
      <c r="I95" s="10" t="s">
        <v>3</v>
      </c>
      <c r="J95" s="118" t="s">
        <v>3</v>
      </c>
      <c r="K95" s="1" t="s">
        <v>1090</v>
      </c>
      <c r="M95" s="5">
        <v>202006</v>
      </c>
      <c r="N95" s="5">
        <f>INDEX(rrcworking[Formation Production (MCF) @ 14.65 psi],MATCH('June 2020 EDI'!F95,rrcworking[RRC ID],0))</f>
        <v>0</v>
      </c>
      <c r="O95" s="5">
        <f>INDEX(rrcworking[Lease Use (MCF)],MATCH('June 2020 EDI'!F95,rrcworking[RRC ID],0))</f>
        <v>0</v>
      </c>
      <c r="P95" s="5">
        <f>INDEX(rrcworking[Gas Sales Statement Volume (MCF)],MATCH('June 2020 EDI'!F95,rrcworking[RRC ID],0))</f>
        <v>0</v>
      </c>
      <c r="R95" s="242">
        <f>INDEX(rrcworking[Flared Gas],MATCH('June 2020 EDI'!F95,rrcworking[RRC ID],0))</f>
        <v>0</v>
      </c>
      <c r="Y95" s="5">
        <f>INDEX(rrcworking[Oil Production],MATCH('June 2020 EDI'!F95,rrcworking[RRC ID],0))</f>
        <v>0</v>
      </c>
      <c r="AA95" s="5">
        <f>INDEX(rrcworking[Sales/Dispostion],MATCH('June 2020 EDI'!F95,rrcworking[RRC ID],0))</f>
        <v>0</v>
      </c>
      <c r="AQ95" s="5">
        <f>INDEX(rrcworking[Closing Stock (Oil)],MATCH('June 2020 EDI'!F95,rrcworking[RRC ID],0))</f>
        <v>0</v>
      </c>
    </row>
    <row r="96" spans="1:43">
      <c r="A96" s="4" t="s">
        <v>1</v>
      </c>
      <c r="B96" s="1" t="s">
        <v>993</v>
      </c>
      <c r="C96" s="10" t="s">
        <v>909</v>
      </c>
      <c r="D96" s="1" t="s">
        <v>618</v>
      </c>
      <c r="E96" s="1" t="s">
        <v>59</v>
      </c>
      <c r="F96" s="1" t="s">
        <v>508</v>
      </c>
      <c r="I96" s="10" t="s">
        <v>3</v>
      </c>
      <c r="J96" s="118" t="s">
        <v>3</v>
      </c>
      <c r="K96" s="1" t="s">
        <v>1090</v>
      </c>
      <c r="M96" s="5">
        <v>202006</v>
      </c>
      <c r="N96" s="5">
        <f>INDEX(rrcworking[Formation Production (MCF) @ 14.65 psi],MATCH('June 2020 EDI'!F96,rrcworking[RRC ID],0))</f>
        <v>0</v>
      </c>
      <c r="O96" s="5">
        <f>INDEX(rrcworking[Lease Use (MCF)],MATCH('June 2020 EDI'!F96,rrcworking[RRC ID],0))</f>
        <v>0</v>
      </c>
      <c r="P96" s="5">
        <f>INDEX(rrcworking[Gas Sales Statement Volume (MCF)],MATCH('June 2020 EDI'!F96,rrcworking[RRC ID],0))</f>
        <v>0</v>
      </c>
      <c r="R96" s="242">
        <f>INDEX(rrcworking[Flared Gas],MATCH('June 2020 EDI'!F96,rrcworking[RRC ID],0))</f>
        <v>0</v>
      </c>
      <c r="Y96" s="5">
        <f>INDEX(rrcworking[Oil Production],MATCH('June 2020 EDI'!F96,rrcworking[RRC ID],0))</f>
        <v>0</v>
      </c>
      <c r="AA96" s="5">
        <f>INDEX(rrcworking[Sales/Dispostion],MATCH('June 2020 EDI'!F96,rrcworking[RRC ID],0))</f>
        <v>0</v>
      </c>
      <c r="AQ96" s="5">
        <f>INDEX(rrcworking[Closing Stock (Oil)],MATCH('June 2020 EDI'!F96,rrcworking[RRC ID],0))</f>
        <v>0</v>
      </c>
    </row>
    <row r="97" spans="1:43">
      <c r="A97" s="4" t="s">
        <v>1</v>
      </c>
      <c r="B97" s="1" t="s">
        <v>994</v>
      </c>
      <c r="C97" s="10" t="s">
        <v>909</v>
      </c>
      <c r="D97" s="1" t="s">
        <v>618</v>
      </c>
      <c r="E97" s="1" t="s">
        <v>59</v>
      </c>
      <c r="F97" s="1" t="s">
        <v>509</v>
      </c>
      <c r="I97" s="10" t="s">
        <v>3</v>
      </c>
      <c r="J97" s="118" t="s">
        <v>3</v>
      </c>
      <c r="K97" s="1" t="s">
        <v>1090</v>
      </c>
      <c r="M97" s="5">
        <v>202006</v>
      </c>
      <c r="N97" s="5">
        <f>INDEX(rrcworking[Formation Production (MCF) @ 14.65 psi],MATCH('June 2020 EDI'!F97,rrcworking[RRC ID],0))</f>
        <v>0</v>
      </c>
      <c r="O97" s="5">
        <f>INDEX(rrcworking[Lease Use (MCF)],MATCH('June 2020 EDI'!F97,rrcworking[RRC ID],0))</f>
        <v>0</v>
      </c>
      <c r="P97" s="5">
        <f>INDEX(rrcworking[Gas Sales Statement Volume (MCF)],MATCH('June 2020 EDI'!F97,rrcworking[RRC ID],0))</f>
        <v>0</v>
      </c>
      <c r="R97" s="242">
        <f>INDEX(rrcworking[Flared Gas],MATCH('June 2020 EDI'!F97,rrcworking[RRC ID],0))</f>
        <v>0</v>
      </c>
      <c r="Y97" s="5">
        <f>INDEX(rrcworking[Oil Production],MATCH('June 2020 EDI'!F97,rrcworking[RRC ID],0))</f>
        <v>0</v>
      </c>
      <c r="AA97" s="5">
        <f>INDEX(rrcworking[Sales/Dispostion],MATCH('June 2020 EDI'!F97,rrcworking[RRC ID],0))</f>
        <v>0</v>
      </c>
      <c r="AQ97" s="5">
        <f>INDEX(rrcworking[Closing Stock (Oil)],MATCH('June 2020 EDI'!F97,rrcworking[RRC ID],0))</f>
        <v>0</v>
      </c>
    </row>
    <row r="98" spans="1:43">
      <c r="A98" s="4" t="s">
        <v>1</v>
      </c>
      <c r="B98" s="1" t="s">
        <v>995</v>
      </c>
      <c r="C98" s="10" t="s">
        <v>909</v>
      </c>
      <c r="D98" s="1" t="s">
        <v>618</v>
      </c>
      <c r="E98" s="1" t="s">
        <v>59</v>
      </c>
      <c r="F98" s="1" t="s">
        <v>510</v>
      </c>
      <c r="I98" s="10" t="s">
        <v>3</v>
      </c>
      <c r="J98" s="118" t="s">
        <v>3</v>
      </c>
      <c r="K98" s="1" t="s">
        <v>1090</v>
      </c>
      <c r="M98" s="5">
        <v>202006</v>
      </c>
      <c r="N98" s="5">
        <f>INDEX(rrcworking[Formation Production (MCF) @ 14.65 psi],MATCH('June 2020 EDI'!F98,rrcworking[RRC ID],0))</f>
        <v>4597</v>
      </c>
      <c r="O98" s="5">
        <f>INDEX(rrcworking[Lease Use (MCF)],MATCH('June 2020 EDI'!F98,rrcworking[RRC ID],0))</f>
        <v>189</v>
      </c>
      <c r="P98" s="5">
        <f>INDEX(rrcworking[Gas Sales Statement Volume (MCF)],MATCH('June 2020 EDI'!F98,rrcworking[RRC ID],0))</f>
        <v>4408</v>
      </c>
      <c r="R98" s="242">
        <f>INDEX(rrcworking[Flared Gas],MATCH('June 2020 EDI'!F98,rrcworking[RRC ID],0))</f>
        <v>0</v>
      </c>
      <c r="Y98" s="5">
        <f>INDEX(rrcworking[Oil Production],MATCH('June 2020 EDI'!F98,rrcworking[RRC ID],0))</f>
        <v>249</v>
      </c>
      <c r="AA98" s="5">
        <f>INDEX(rrcworking[Sales/Dispostion],MATCH('June 2020 EDI'!F98,rrcworking[RRC ID],0))</f>
        <v>185</v>
      </c>
      <c r="AQ98" s="5">
        <f>INDEX(rrcworking[Closing Stock (Oil)],MATCH('June 2020 EDI'!F98,rrcworking[RRC ID],0))</f>
        <v>269</v>
      </c>
    </row>
    <row r="99" spans="1:43">
      <c r="A99" s="4" t="s">
        <v>1</v>
      </c>
      <c r="B99" s="1" t="s">
        <v>996</v>
      </c>
      <c r="C99" s="10" t="s">
        <v>909</v>
      </c>
      <c r="D99" s="1" t="s">
        <v>618</v>
      </c>
      <c r="E99" s="1" t="s">
        <v>2</v>
      </c>
      <c r="F99" s="1" t="s">
        <v>511</v>
      </c>
      <c r="I99" s="10" t="s">
        <v>3</v>
      </c>
      <c r="J99" s="118" t="s">
        <v>3</v>
      </c>
      <c r="K99" s="1" t="s">
        <v>1090</v>
      </c>
      <c r="M99" s="5">
        <v>202006</v>
      </c>
      <c r="N99" s="5">
        <f>INDEX(rrcworking[Formation Production (MCF) @ 14.65 psi],MATCH('June 2020 EDI'!F99,rrcworking[RRC ID],0))</f>
        <v>173</v>
      </c>
      <c r="O99" s="5">
        <f>INDEX(rrcworking[Lease Use (MCF)],MATCH('June 2020 EDI'!F99,rrcworking[RRC ID],0))</f>
        <v>30</v>
      </c>
      <c r="P99" s="5">
        <f>INDEX(rrcworking[Gas Sales Statement Volume (MCF)],MATCH('June 2020 EDI'!F99,rrcworking[RRC ID],0))</f>
        <v>143</v>
      </c>
      <c r="R99" s="242">
        <f>INDEX(rrcworking[Flared Gas],MATCH('June 2020 EDI'!F99,rrcworking[RRC ID],0))</f>
        <v>0</v>
      </c>
      <c r="Y99" s="5">
        <f>INDEX(rrcworking[Oil Production],MATCH('June 2020 EDI'!F99,rrcworking[RRC ID],0))</f>
        <v>0</v>
      </c>
      <c r="AA99" s="5">
        <f>INDEX(rrcworking[Sales/Dispostion],MATCH('June 2020 EDI'!F99,rrcworking[RRC ID],0))</f>
        <v>0</v>
      </c>
      <c r="AQ99" s="5">
        <f>INDEX(rrcworking[Closing Stock (Oil)],MATCH('June 2020 EDI'!F99,rrcworking[RRC ID],0))</f>
        <v>45</v>
      </c>
    </row>
    <row r="100" spans="1:43">
      <c r="A100" s="4" t="s">
        <v>1</v>
      </c>
      <c r="B100" s="1" t="s">
        <v>997</v>
      </c>
      <c r="C100" s="10" t="s">
        <v>909</v>
      </c>
      <c r="D100" s="1" t="s">
        <v>618</v>
      </c>
      <c r="E100" s="1" t="s">
        <v>59</v>
      </c>
      <c r="F100" s="1" t="s">
        <v>512</v>
      </c>
      <c r="I100" s="10" t="s">
        <v>3</v>
      </c>
      <c r="J100" s="118" t="s">
        <v>3</v>
      </c>
      <c r="K100" s="1" t="s">
        <v>1090</v>
      </c>
      <c r="M100" s="5">
        <v>202006</v>
      </c>
      <c r="N100" s="5">
        <f>INDEX(rrcworking[Formation Production (MCF) @ 14.65 psi],MATCH('June 2020 EDI'!F100,rrcworking[RRC ID],0))</f>
        <v>0</v>
      </c>
      <c r="O100" s="5">
        <f>INDEX(rrcworking[Lease Use (MCF)],MATCH('June 2020 EDI'!F100,rrcworking[RRC ID],0))</f>
        <v>0</v>
      </c>
      <c r="P100" s="5">
        <f>INDEX(rrcworking[Gas Sales Statement Volume (MCF)],MATCH('June 2020 EDI'!F100,rrcworking[RRC ID],0))</f>
        <v>0</v>
      </c>
      <c r="R100" s="242">
        <f>INDEX(rrcworking[Flared Gas],MATCH('June 2020 EDI'!F100,rrcworking[RRC ID],0))</f>
        <v>0</v>
      </c>
      <c r="Y100" s="5">
        <f>INDEX(rrcworking[Oil Production],MATCH('June 2020 EDI'!F100,rrcworking[RRC ID],0))</f>
        <v>0</v>
      </c>
      <c r="AA100" s="5">
        <f>INDEX(rrcworking[Sales/Dispostion],MATCH('June 2020 EDI'!F100,rrcworking[RRC ID],0))</f>
        <v>0</v>
      </c>
      <c r="AQ100" s="5">
        <f>INDEX(rrcworking[Closing Stock (Oil)],MATCH('June 2020 EDI'!F100,rrcworking[RRC ID],0))</f>
        <v>0</v>
      </c>
    </row>
    <row r="101" spans="1:43">
      <c r="A101" s="4" t="s">
        <v>1</v>
      </c>
      <c r="B101" s="1" t="s">
        <v>998</v>
      </c>
      <c r="C101" s="10" t="s">
        <v>909</v>
      </c>
      <c r="D101" s="1" t="s">
        <v>618</v>
      </c>
      <c r="E101" s="1" t="s">
        <v>59</v>
      </c>
      <c r="F101" s="1" t="s">
        <v>513</v>
      </c>
      <c r="I101" s="10" t="s">
        <v>3</v>
      </c>
      <c r="J101" s="118" t="s">
        <v>3</v>
      </c>
      <c r="K101" s="1" t="s">
        <v>1090</v>
      </c>
      <c r="M101" s="5">
        <v>202006</v>
      </c>
      <c r="N101" s="5">
        <f>INDEX(rrcworking[Formation Production (MCF) @ 14.65 psi],MATCH('June 2020 EDI'!F101,rrcworking[RRC ID],0))</f>
        <v>0</v>
      </c>
      <c r="O101" s="5">
        <f>INDEX(rrcworking[Lease Use (MCF)],MATCH('June 2020 EDI'!F101,rrcworking[RRC ID],0))</f>
        <v>0</v>
      </c>
      <c r="P101" s="5">
        <f>INDEX(rrcworking[Gas Sales Statement Volume (MCF)],MATCH('June 2020 EDI'!F101,rrcworking[RRC ID],0))</f>
        <v>0</v>
      </c>
      <c r="R101" s="242">
        <f>INDEX(rrcworking[Flared Gas],MATCH('June 2020 EDI'!F101,rrcworking[RRC ID],0))</f>
        <v>0</v>
      </c>
      <c r="Y101" s="5">
        <f>INDEX(rrcworking[Oil Production],MATCH('June 2020 EDI'!F101,rrcworking[RRC ID],0))</f>
        <v>0</v>
      </c>
      <c r="AA101" s="5">
        <f>INDEX(rrcworking[Sales/Dispostion],MATCH('June 2020 EDI'!F101,rrcworking[RRC ID],0))</f>
        <v>0</v>
      </c>
      <c r="AQ101" s="5">
        <f>INDEX(rrcworking[Closing Stock (Oil)],MATCH('June 2020 EDI'!F101,rrcworking[RRC ID],0))</f>
        <v>0</v>
      </c>
    </row>
    <row r="102" spans="1:43">
      <c r="A102" s="4" t="s">
        <v>1</v>
      </c>
      <c r="B102" s="1" t="s">
        <v>999</v>
      </c>
      <c r="C102" s="10" t="s">
        <v>909</v>
      </c>
      <c r="D102" s="1" t="s">
        <v>618</v>
      </c>
      <c r="E102" s="1" t="s">
        <v>59</v>
      </c>
      <c r="F102" s="1" t="s">
        <v>514</v>
      </c>
      <c r="I102" s="10" t="s">
        <v>3</v>
      </c>
      <c r="J102" s="118" t="s">
        <v>3</v>
      </c>
      <c r="K102" s="1" t="s">
        <v>1090</v>
      </c>
      <c r="M102" s="5">
        <v>202006</v>
      </c>
      <c r="N102" s="5">
        <f>INDEX(rrcworking[Formation Production (MCF) @ 14.65 psi],MATCH('June 2020 EDI'!F102,rrcworking[RRC ID],0))</f>
        <v>14024</v>
      </c>
      <c r="O102" s="5">
        <f>INDEX(rrcworking[Lease Use (MCF)],MATCH('June 2020 EDI'!F102,rrcworking[RRC ID],0))</f>
        <v>750</v>
      </c>
      <c r="P102" s="5">
        <f>INDEX(rrcworking[Gas Sales Statement Volume (MCF)],MATCH('June 2020 EDI'!F102,rrcworking[RRC ID],0))</f>
        <v>13274</v>
      </c>
      <c r="R102" s="242">
        <f>INDEX(rrcworking[Flared Gas],MATCH('June 2020 EDI'!F102,rrcworking[RRC ID],0))</f>
        <v>0</v>
      </c>
      <c r="Y102" s="5">
        <f>INDEX(rrcworking[Oil Production],MATCH('June 2020 EDI'!F102,rrcworking[RRC ID],0))</f>
        <v>32</v>
      </c>
      <c r="AA102" s="5">
        <f>INDEX(rrcworking[Sales/Dispostion],MATCH('June 2020 EDI'!F102,rrcworking[RRC ID],0))</f>
        <v>178</v>
      </c>
      <c r="AQ102" s="5">
        <f>INDEX(rrcworking[Closing Stock (Oil)],MATCH('June 2020 EDI'!F102,rrcworking[RRC ID],0))</f>
        <v>195</v>
      </c>
    </row>
    <row r="103" spans="1:43">
      <c r="A103" s="4" t="s">
        <v>1</v>
      </c>
      <c r="B103" s="1" t="s">
        <v>1000</v>
      </c>
      <c r="C103" s="10" t="s">
        <v>909</v>
      </c>
      <c r="D103" s="1" t="s">
        <v>618</v>
      </c>
      <c r="E103" s="1" t="s">
        <v>59</v>
      </c>
      <c r="F103" s="1" t="s">
        <v>515</v>
      </c>
      <c r="I103" s="10" t="s">
        <v>3</v>
      </c>
      <c r="J103" s="118" t="s">
        <v>3</v>
      </c>
      <c r="K103" s="1" t="s">
        <v>1090</v>
      </c>
      <c r="M103" s="5">
        <v>202006</v>
      </c>
      <c r="N103" s="5">
        <f>INDEX(rrcworking[Formation Production (MCF) @ 14.65 psi],MATCH('June 2020 EDI'!F103,rrcworking[RRC ID],0))</f>
        <v>484</v>
      </c>
      <c r="O103" s="5">
        <f>INDEX(rrcworking[Lease Use (MCF)],MATCH('June 2020 EDI'!F103,rrcworking[RRC ID],0))</f>
        <v>0</v>
      </c>
      <c r="P103" s="5">
        <f>INDEX(rrcworking[Gas Sales Statement Volume (MCF)],MATCH('June 2020 EDI'!F103,rrcworking[RRC ID],0))</f>
        <v>484</v>
      </c>
      <c r="R103" s="242">
        <f>INDEX(rrcworking[Flared Gas],MATCH('June 2020 EDI'!F103,rrcworking[RRC ID],0))</f>
        <v>0</v>
      </c>
      <c r="Y103" s="5">
        <f>INDEX(rrcworking[Oil Production],MATCH('June 2020 EDI'!F103,rrcworking[RRC ID],0))</f>
        <v>21</v>
      </c>
      <c r="AA103" s="5">
        <f>INDEX(rrcworking[Sales/Dispostion],MATCH('June 2020 EDI'!F103,rrcworking[RRC ID],0))</f>
        <v>0</v>
      </c>
      <c r="AQ103" s="5">
        <f>INDEX(rrcworking[Closing Stock (Oil)],MATCH('June 2020 EDI'!F103,rrcworking[RRC ID],0))</f>
        <v>190</v>
      </c>
    </row>
    <row r="104" spans="1:43">
      <c r="A104" s="4" t="s">
        <v>1</v>
      </c>
      <c r="B104" s="1" t="s">
        <v>1001</v>
      </c>
      <c r="C104" s="10" t="s">
        <v>909</v>
      </c>
      <c r="D104" s="1" t="s">
        <v>618</v>
      </c>
      <c r="E104" s="1" t="s">
        <v>59</v>
      </c>
      <c r="F104" s="1" t="s">
        <v>516</v>
      </c>
      <c r="I104" s="10" t="s">
        <v>3</v>
      </c>
      <c r="J104" s="118" t="s">
        <v>3</v>
      </c>
      <c r="K104" s="1" t="s">
        <v>1090</v>
      </c>
      <c r="M104" s="5">
        <v>202006</v>
      </c>
      <c r="N104" s="5">
        <f>INDEX(rrcworking[Formation Production (MCF) @ 14.65 psi],MATCH('June 2020 EDI'!F104,rrcworking[RRC ID],0))</f>
        <v>22</v>
      </c>
      <c r="O104" s="5">
        <f>INDEX(rrcworking[Lease Use (MCF)],MATCH('June 2020 EDI'!F104,rrcworking[RRC ID],0))</f>
        <v>0</v>
      </c>
      <c r="P104" s="5">
        <f>INDEX(rrcworking[Gas Sales Statement Volume (MCF)],MATCH('June 2020 EDI'!F104,rrcworking[RRC ID],0))</f>
        <v>22</v>
      </c>
      <c r="R104" s="242">
        <f>INDEX(rrcworking[Flared Gas],MATCH('June 2020 EDI'!F104,rrcworking[RRC ID],0))</f>
        <v>0</v>
      </c>
      <c r="Y104" s="5">
        <f>INDEX(rrcworking[Oil Production],MATCH('June 2020 EDI'!F104,rrcworking[RRC ID],0))</f>
        <v>0</v>
      </c>
      <c r="AA104" s="5">
        <f>INDEX(rrcworking[Sales/Dispostion],MATCH('June 2020 EDI'!F104,rrcworking[RRC ID],0))</f>
        <v>0</v>
      </c>
      <c r="AQ104" s="5">
        <f>INDEX(rrcworking[Closing Stock (Oil)],MATCH('June 2020 EDI'!F104,rrcworking[RRC ID],0))</f>
        <v>109</v>
      </c>
    </row>
    <row r="105" spans="1:43">
      <c r="A105" s="4" t="s">
        <v>1</v>
      </c>
      <c r="B105" s="1" t="s">
        <v>1002</v>
      </c>
      <c r="C105" s="10" t="s">
        <v>909</v>
      </c>
      <c r="D105" s="1" t="s">
        <v>618</v>
      </c>
      <c r="E105" s="1" t="s">
        <v>2</v>
      </c>
      <c r="F105" s="1" t="s">
        <v>517</v>
      </c>
      <c r="I105" s="10" t="s">
        <v>3</v>
      </c>
      <c r="J105" s="118" t="s">
        <v>3</v>
      </c>
      <c r="K105" s="1" t="s">
        <v>1090</v>
      </c>
      <c r="M105" s="5">
        <v>202006</v>
      </c>
      <c r="N105" s="5">
        <f>INDEX(rrcworking[Formation Production (MCF) @ 14.65 psi],MATCH('June 2020 EDI'!F105,rrcworking[RRC ID],0))</f>
        <v>0</v>
      </c>
      <c r="O105" s="5">
        <f>INDEX(rrcworking[Lease Use (MCF)],MATCH('June 2020 EDI'!F105,rrcworking[RRC ID],0))</f>
        <v>0</v>
      </c>
      <c r="P105" s="5">
        <f>INDEX(rrcworking[Gas Sales Statement Volume (MCF)],MATCH('June 2020 EDI'!F105,rrcworking[RRC ID],0))</f>
        <v>0</v>
      </c>
      <c r="R105" s="242">
        <f>INDEX(rrcworking[Flared Gas],MATCH('June 2020 EDI'!F105,rrcworking[RRC ID],0))</f>
        <v>0</v>
      </c>
      <c r="Y105" s="5">
        <f>INDEX(rrcworking[Oil Production],MATCH('June 2020 EDI'!F105,rrcworking[RRC ID],0))</f>
        <v>0</v>
      </c>
      <c r="AA105" s="5">
        <f>INDEX(rrcworking[Sales/Dispostion],MATCH('June 2020 EDI'!F105,rrcworking[RRC ID],0))</f>
        <v>0</v>
      </c>
      <c r="AQ105" s="5">
        <f>INDEX(rrcworking[Closing Stock (Oil)],MATCH('June 2020 EDI'!F105,rrcworking[RRC ID],0))</f>
        <v>0</v>
      </c>
    </row>
    <row r="106" spans="1:43">
      <c r="A106" s="4" t="s">
        <v>1</v>
      </c>
      <c r="B106" s="1" t="s">
        <v>1003</v>
      </c>
      <c r="C106" s="10" t="s">
        <v>909</v>
      </c>
      <c r="D106" s="1" t="s">
        <v>618</v>
      </c>
      <c r="E106" s="1" t="s">
        <v>59</v>
      </c>
      <c r="F106" s="1" t="s">
        <v>518</v>
      </c>
      <c r="I106" s="10" t="s">
        <v>3</v>
      </c>
      <c r="J106" s="118" t="s">
        <v>3</v>
      </c>
      <c r="K106" s="1" t="s">
        <v>1090</v>
      </c>
      <c r="M106" s="5">
        <v>202006</v>
      </c>
      <c r="N106" s="5">
        <f>INDEX(rrcworking[Formation Production (MCF) @ 14.65 psi],MATCH('June 2020 EDI'!F106,rrcworking[RRC ID],0))</f>
        <v>0</v>
      </c>
      <c r="O106" s="5">
        <f>INDEX(rrcworking[Lease Use (MCF)],MATCH('June 2020 EDI'!F106,rrcworking[RRC ID],0))</f>
        <v>0</v>
      </c>
      <c r="P106" s="5">
        <f>INDEX(rrcworking[Gas Sales Statement Volume (MCF)],MATCH('June 2020 EDI'!F106,rrcworking[RRC ID],0))</f>
        <v>0</v>
      </c>
      <c r="R106" s="242">
        <f>INDEX(rrcworking[Flared Gas],MATCH('June 2020 EDI'!F106,rrcworking[RRC ID],0))</f>
        <v>0</v>
      </c>
      <c r="Y106" s="5">
        <f>INDEX(rrcworking[Oil Production],MATCH('June 2020 EDI'!F106,rrcworking[RRC ID],0))</f>
        <v>0</v>
      </c>
      <c r="AA106" s="5">
        <f>INDEX(rrcworking[Sales/Dispostion],MATCH('June 2020 EDI'!F106,rrcworking[RRC ID],0))</f>
        <v>0</v>
      </c>
      <c r="AQ106" s="5">
        <f>INDEX(rrcworking[Closing Stock (Oil)],MATCH('June 2020 EDI'!F106,rrcworking[RRC ID],0))</f>
        <v>0</v>
      </c>
    </row>
    <row r="107" spans="1:43">
      <c r="A107" s="4" t="s">
        <v>1</v>
      </c>
      <c r="B107" s="1" t="s">
        <v>1004</v>
      </c>
      <c r="C107" s="10" t="s">
        <v>909</v>
      </c>
      <c r="D107" s="1" t="s">
        <v>618</v>
      </c>
      <c r="E107" s="1" t="s">
        <v>59</v>
      </c>
      <c r="F107" s="1" t="s">
        <v>519</v>
      </c>
      <c r="I107" s="10" t="s">
        <v>3</v>
      </c>
      <c r="J107" s="118" t="s">
        <v>3</v>
      </c>
      <c r="K107" s="1" t="s">
        <v>1090</v>
      </c>
      <c r="M107" s="5">
        <v>202006</v>
      </c>
      <c r="N107" s="5">
        <f>INDEX(rrcworking[Formation Production (MCF) @ 14.65 psi],MATCH('June 2020 EDI'!F107,rrcworking[RRC ID],0))</f>
        <v>2650</v>
      </c>
      <c r="O107" s="5">
        <f>INDEX(rrcworking[Lease Use (MCF)],MATCH('June 2020 EDI'!F107,rrcworking[RRC ID],0))</f>
        <v>48</v>
      </c>
      <c r="P107" s="5">
        <f>INDEX(rrcworking[Gas Sales Statement Volume (MCF)],MATCH('June 2020 EDI'!F107,rrcworking[RRC ID],0))</f>
        <v>2602</v>
      </c>
      <c r="R107" s="242">
        <f>INDEX(rrcworking[Flared Gas],MATCH('June 2020 EDI'!F107,rrcworking[RRC ID],0))</f>
        <v>0</v>
      </c>
      <c r="Y107" s="5">
        <f>INDEX(rrcworking[Oil Production],MATCH('June 2020 EDI'!F107,rrcworking[RRC ID],0))</f>
        <v>64</v>
      </c>
      <c r="AA107" s="5">
        <f>INDEX(rrcworking[Sales/Dispostion],MATCH('June 2020 EDI'!F107,rrcworking[RRC ID],0))</f>
        <v>0</v>
      </c>
      <c r="AQ107" s="5">
        <f>INDEX(rrcworking[Closing Stock (Oil)],MATCH('June 2020 EDI'!F107,rrcworking[RRC ID],0))</f>
        <v>322</v>
      </c>
    </row>
    <row r="108" spans="1:43">
      <c r="A108" s="4" t="s">
        <v>1</v>
      </c>
      <c r="B108" s="1" t="s">
        <v>1005</v>
      </c>
      <c r="C108" s="10" t="s">
        <v>909</v>
      </c>
      <c r="D108" s="1" t="s">
        <v>618</v>
      </c>
      <c r="E108" s="1" t="s">
        <v>59</v>
      </c>
      <c r="F108" s="1" t="s">
        <v>520</v>
      </c>
      <c r="I108" s="10" t="s">
        <v>3</v>
      </c>
      <c r="J108" s="118" t="s">
        <v>3</v>
      </c>
      <c r="K108" s="1" t="s">
        <v>1090</v>
      </c>
      <c r="M108" s="5">
        <v>202006</v>
      </c>
      <c r="N108" s="5">
        <f>INDEX(rrcworking[Formation Production (MCF) @ 14.65 psi],MATCH('June 2020 EDI'!F108,rrcworking[RRC ID],0))</f>
        <v>0</v>
      </c>
      <c r="O108" s="5">
        <f>INDEX(rrcworking[Lease Use (MCF)],MATCH('June 2020 EDI'!F108,rrcworking[RRC ID],0))</f>
        <v>0</v>
      </c>
      <c r="P108" s="5">
        <f>INDEX(rrcworking[Gas Sales Statement Volume (MCF)],MATCH('June 2020 EDI'!F108,rrcworking[RRC ID],0))</f>
        <v>0</v>
      </c>
      <c r="R108" s="242">
        <f>INDEX(rrcworking[Flared Gas],MATCH('June 2020 EDI'!F108,rrcworking[RRC ID],0))</f>
        <v>0</v>
      </c>
      <c r="Y108" s="5">
        <f>INDEX(rrcworking[Oil Production],MATCH('June 2020 EDI'!F108,rrcworking[RRC ID],0))</f>
        <v>0</v>
      </c>
      <c r="AA108" s="5">
        <f>INDEX(rrcworking[Sales/Dispostion],MATCH('June 2020 EDI'!F108,rrcworking[RRC ID],0))</f>
        <v>0</v>
      </c>
      <c r="AQ108" s="5">
        <f>INDEX(rrcworking[Closing Stock (Oil)],MATCH('June 2020 EDI'!F108,rrcworking[RRC ID],0))</f>
        <v>0</v>
      </c>
    </row>
    <row r="109" spans="1:43">
      <c r="A109" s="4" t="s">
        <v>1</v>
      </c>
      <c r="B109" s="1" t="s">
        <v>1006</v>
      </c>
      <c r="C109" s="10" t="s">
        <v>909</v>
      </c>
      <c r="D109" s="1" t="s">
        <v>618</v>
      </c>
      <c r="E109" s="1" t="s">
        <v>59</v>
      </c>
      <c r="F109" s="1" t="s">
        <v>521</v>
      </c>
      <c r="I109" s="10" t="s">
        <v>3</v>
      </c>
      <c r="J109" s="118" t="s">
        <v>3</v>
      </c>
      <c r="K109" s="1" t="s">
        <v>1090</v>
      </c>
      <c r="M109" s="5">
        <v>202006</v>
      </c>
      <c r="N109" s="5">
        <f>INDEX(rrcworking[Formation Production (MCF) @ 14.65 psi],MATCH('June 2020 EDI'!F109,rrcworking[RRC ID],0))</f>
        <v>1814</v>
      </c>
      <c r="O109" s="5">
        <f>INDEX(rrcworking[Lease Use (MCF)],MATCH('June 2020 EDI'!F109,rrcworking[RRC ID],0))</f>
        <v>30</v>
      </c>
      <c r="P109" s="5">
        <f>INDEX(rrcworking[Gas Sales Statement Volume (MCF)],MATCH('June 2020 EDI'!F109,rrcworking[RRC ID],0))</f>
        <v>1784</v>
      </c>
      <c r="R109" s="242">
        <f>INDEX(rrcworking[Flared Gas],MATCH('June 2020 EDI'!F109,rrcworking[RRC ID],0))</f>
        <v>0</v>
      </c>
      <c r="Y109" s="5">
        <f>INDEX(rrcworking[Oil Production],MATCH('June 2020 EDI'!F109,rrcworking[RRC ID],0))</f>
        <v>31</v>
      </c>
      <c r="AA109" s="5">
        <f>INDEX(rrcworking[Sales/Dispostion],MATCH('June 2020 EDI'!F109,rrcworking[RRC ID],0))</f>
        <v>0</v>
      </c>
      <c r="AQ109" s="5">
        <f>INDEX(rrcworking[Closing Stock (Oil)],MATCH('June 2020 EDI'!F109,rrcworking[RRC ID],0))</f>
        <v>111</v>
      </c>
    </row>
    <row r="110" spans="1:43">
      <c r="A110" s="4" t="s">
        <v>1</v>
      </c>
      <c r="B110" s="1" t="s">
        <v>1007</v>
      </c>
      <c r="C110" s="10" t="s">
        <v>909</v>
      </c>
      <c r="D110" s="1" t="s">
        <v>618</v>
      </c>
      <c r="E110" s="1" t="s">
        <v>59</v>
      </c>
      <c r="F110" s="1" t="s">
        <v>522</v>
      </c>
      <c r="I110" s="10" t="s">
        <v>3</v>
      </c>
      <c r="J110" s="118" t="s">
        <v>3</v>
      </c>
      <c r="K110" s="1" t="s">
        <v>1090</v>
      </c>
      <c r="M110" s="5">
        <v>202006</v>
      </c>
      <c r="N110" s="5">
        <f>INDEX(rrcworking[Formation Production (MCF) @ 14.65 psi],MATCH('June 2020 EDI'!F110,rrcworking[RRC ID],0))</f>
        <v>1928</v>
      </c>
      <c r="O110" s="5">
        <f>INDEX(rrcworking[Lease Use (MCF)],MATCH('June 2020 EDI'!F110,rrcworking[RRC ID],0))</f>
        <v>108</v>
      </c>
      <c r="P110" s="5">
        <f>INDEX(rrcworking[Gas Sales Statement Volume (MCF)],MATCH('June 2020 EDI'!F110,rrcworking[RRC ID],0))</f>
        <v>1820</v>
      </c>
      <c r="R110" s="242">
        <f>INDEX(rrcworking[Flared Gas],MATCH('June 2020 EDI'!F110,rrcworking[RRC ID],0))</f>
        <v>0</v>
      </c>
      <c r="Y110" s="5">
        <f>INDEX(rrcworking[Oil Production],MATCH('June 2020 EDI'!F110,rrcworking[RRC ID],0))</f>
        <v>31</v>
      </c>
      <c r="AA110" s="5">
        <f>INDEX(rrcworking[Sales/Dispostion],MATCH('June 2020 EDI'!F110,rrcworking[RRC ID],0))</f>
        <v>0</v>
      </c>
      <c r="AQ110" s="5">
        <f>INDEX(rrcworking[Closing Stock (Oil)],MATCH('June 2020 EDI'!F110,rrcworking[RRC ID],0))</f>
        <v>176</v>
      </c>
    </row>
    <row r="111" spans="1:43">
      <c r="A111" s="4" t="s">
        <v>1</v>
      </c>
      <c r="B111" s="1" t="s">
        <v>1008</v>
      </c>
      <c r="C111" s="10" t="s">
        <v>909</v>
      </c>
      <c r="D111" s="1" t="s">
        <v>618</v>
      </c>
      <c r="E111" s="1" t="s">
        <v>59</v>
      </c>
      <c r="F111" s="1" t="s">
        <v>523</v>
      </c>
      <c r="I111" s="10" t="s">
        <v>3</v>
      </c>
      <c r="J111" s="118" t="s">
        <v>3</v>
      </c>
      <c r="K111" s="1" t="s">
        <v>1090</v>
      </c>
      <c r="M111" s="5">
        <v>202006</v>
      </c>
      <c r="N111" s="5">
        <f>INDEX(rrcworking[Formation Production (MCF) @ 14.65 psi],MATCH('June 2020 EDI'!F111,rrcworking[RRC ID],0))</f>
        <v>0</v>
      </c>
      <c r="O111" s="5">
        <f>INDEX(rrcworking[Lease Use (MCF)],MATCH('June 2020 EDI'!F111,rrcworking[RRC ID],0))</f>
        <v>0</v>
      </c>
      <c r="P111" s="5">
        <f>INDEX(rrcworking[Gas Sales Statement Volume (MCF)],MATCH('June 2020 EDI'!F111,rrcworking[RRC ID],0))</f>
        <v>0</v>
      </c>
      <c r="R111" s="242">
        <f>INDEX(rrcworking[Flared Gas],MATCH('June 2020 EDI'!F111,rrcworking[RRC ID],0))</f>
        <v>0</v>
      </c>
      <c r="Y111" s="5">
        <f>INDEX(rrcworking[Oil Production],MATCH('June 2020 EDI'!F111,rrcworking[RRC ID],0))</f>
        <v>0</v>
      </c>
      <c r="AA111" s="5">
        <f>INDEX(rrcworking[Sales/Dispostion],MATCH('June 2020 EDI'!F111,rrcworking[RRC ID],0))</f>
        <v>0</v>
      </c>
      <c r="AQ111" s="5">
        <f>INDEX(rrcworking[Closing Stock (Oil)],MATCH('June 2020 EDI'!F111,rrcworking[RRC ID],0))</f>
        <v>0</v>
      </c>
    </row>
    <row r="112" spans="1:43">
      <c r="A112" s="4" t="s">
        <v>1</v>
      </c>
      <c r="B112" s="1" t="s">
        <v>1009</v>
      </c>
      <c r="C112" s="10" t="s">
        <v>909</v>
      </c>
      <c r="D112" s="1" t="s">
        <v>618</v>
      </c>
      <c r="E112" s="1" t="s">
        <v>59</v>
      </c>
      <c r="F112" s="1" t="s">
        <v>524</v>
      </c>
      <c r="I112" s="10" t="s">
        <v>3</v>
      </c>
      <c r="J112" s="118" t="s">
        <v>3</v>
      </c>
      <c r="K112" s="1" t="s">
        <v>1090</v>
      </c>
      <c r="M112" s="5">
        <v>202006</v>
      </c>
      <c r="N112" s="5">
        <f>INDEX(rrcworking[Formation Production (MCF) @ 14.65 psi],MATCH('June 2020 EDI'!F112,rrcworking[RRC ID],0))</f>
        <v>0</v>
      </c>
      <c r="O112" s="5">
        <f>INDEX(rrcworking[Lease Use (MCF)],MATCH('June 2020 EDI'!F112,rrcworking[RRC ID],0))</f>
        <v>0</v>
      </c>
      <c r="P112" s="5">
        <f>INDEX(rrcworking[Gas Sales Statement Volume (MCF)],MATCH('June 2020 EDI'!F112,rrcworking[RRC ID],0))</f>
        <v>0</v>
      </c>
      <c r="R112" s="242">
        <f>INDEX(rrcworking[Flared Gas],MATCH('June 2020 EDI'!F112,rrcworking[RRC ID],0))</f>
        <v>0</v>
      </c>
      <c r="Y112" s="5">
        <f>INDEX(rrcworking[Oil Production],MATCH('June 2020 EDI'!F112,rrcworking[RRC ID],0))</f>
        <v>0</v>
      </c>
      <c r="AA112" s="5">
        <f>INDEX(rrcworking[Sales/Dispostion],MATCH('June 2020 EDI'!F112,rrcworking[RRC ID],0))</f>
        <v>0</v>
      </c>
      <c r="AQ112" s="5">
        <f>INDEX(rrcworking[Closing Stock (Oil)],MATCH('June 2020 EDI'!F112,rrcworking[RRC ID],0))</f>
        <v>0</v>
      </c>
    </row>
    <row r="113" spans="1:43">
      <c r="A113" s="4" t="s">
        <v>1</v>
      </c>
      <c r="B113" s="1" t="s">
        <v>1010</v>
      </c>
      <c r="C113" s="10" t="s">
        <v>909</v>
      </c>
      <c r="D113" s="1" t="s">
        <v>618</v>
      </c>
      <c r="E113" s="1" t="s">
        <v>59</v>
      </c>
      <c r="F113" s="1" t="s">
        <v>525</v>
      </c>
      <c r="I113" s="10" t="s">
        <v>3</v>
      </c>
      <c r="J113" s="118" t="s">
        <v>3</v>
      </c>
      <c r="K113" s="1" t="s">
        <v>1090</v>
      </c>
      <c r="M113" s="5">
        <v>202006</v>
      </c>
      <c r="N113" s="5">
        <f>INDEX(rrcworking[Formation Production (MCF) @ 14.65 psi],MATCH('June 2020 EDI'!F113,rrcworking[RRC ID],0))</f>
        <v>0</v>
      </c>
      <c r="O113" s="5">
        <f>INDEX(rrcworking[Lease Use (MCF)],MATCH('June 2020 EDI'!F113,rrcworking[RRC ID],0))</f>
        <v>0</v>
      </c>
      <c r="P113" s="5">
        <f>INDEX(rrcworking[Gas Sales Statement Volume (MCF)],MATCH('June 2020 EDI'!F113,rrcworking[RRC ID],0))</f>
        <v>0</v>
      </c>
      <c r="R113" s="242">
        <f>INDEX(rrcworking[Flared Gas],MATCH('June 2020 EDI'!F113,rrcworking[RRC ID],0))</f>
        <v>0</v>
      </c>
      <c r="Y113" s="5">
        <f>INDEX(rrcworking[Oil Production],MATCH('June 2020 EDI'!F113,rrcworking[RRC ID],0))</f>
        <v>0</v>
      </c>
      <c r="AA113" s="5">
        <f>INDEX(rrcworking[Sales/Dispostion],MATCH('June 2020 EDI'!F113,rrcworking[RRC ID],0))</f>
        <v>0</v>
      </c>
      <c r="AQ113" s="5">
        <f>INDEX(rrcworking[Closing Stock (Oil)],MATCH('June 2020 EDI'!F113,rrcworking[RRC ID],0))</f>
        <v>0</v>
      </c>
    </row>
    <row r="114" spans="1:43">
      <c r="A114" s="4" t="s">
        <v>1</v>
      </c>
      <c r="B114" s="1" t="s">
        <v>1011</v>
      </c>
      <c r="C114" s="10" t="s">
        <v>909</v>
      </c>
      <c r="D114" s="1" t="s">
        <v>618</v>
      </c>
      <c r="E114" s="1" t="s">
        <v>59</v>
      </c>
      <c r="F114" s="1" t="s">
        <v>526</v>
      </c>
      <c r="I114" s="10" t="s">
        <v>3</v>
      </c>
      <c r="J114" s="118" t="s">
        <v>3</v>
      </c>
      <c r="K114" s="1">
        <v>1988</v>
      </c>
      <c r="M114" s="5">
        <v>202006</v>
      </c>
      <c r="N114" s="5">
        <f>INDEX(rrcworking[Formation Production (MCF) @ 14.65 psi],MATCH('June 2020 EDI'!F114,rrcworking[RRC ID],0))</f>
        <v>0</v>
      </c>
      <c r="O114" s="5">
        <f>INDEX(rrcworking[Lease Use (MCF)],MATCH('June 2020 EDI'!F114,rrcworking[RRC ID],0))</f>
        <v>0</v>
      </c>
      <c r="P114" s="5">
        <f>INDEX(rrcworking[Gas Sales Statement Volume (MCF)],MATCH('June 2020 EDI'!F114,rrcworking[RRC ID],0))</f>
        <v>0</v>
      </c>
      <c r="R114" s="242">
        <f>INDEX(rrcworking[Flared Gas],MATCH('June 2020 EDI'!F114,rrcworking[RRC ID],0))</f>
        <v>0</v>
      </c>
      <c r="Y114" s="5">
        <f>INDEX(rrcworking[Oil Production],MATCH('June 2020 EDI'!F114,rrcworking[RRC ID],0))</f>
        <v>0</v>
      </c>
      <c r="AA114" s="5">
        <f>INDEX(rrcworking[Sales/Dispostion],MATCH('June 2020 EDI'!F114,rrcworking[RRC ID],0))</f>
        <v>0</v>
      </c>
      <c r="AQ114" s="5">
        <f>INDEX(rrcworking[Closing Stock (Oil)],MATCH('June 2020 EDI'!F114,rrcworking[RRC ID],0))</f>
        <v>0</v>
      </c>
    </row>
    <row r="115" spans="1:43">
      <c r="A115" s="4" t="s">
        <v>1</v>
      </c>
      <c r="B115" s="1" t="s">
        <v>1012</v>
      </c>
      <c r="C115" s="10" t="s">
        <v>909</v>
      </c>
      <c r="D115" s="1" t="s">
        <v>618</v>
      </c>
      <c r="E115" s="1" t="s">
        <v>59</v>
      </c>
      <c r="F115" s="1" t="s">
        <v>527</v>
      </c>
      <c r="I115" s="10" t="s">
        <v>3</v>
      </c>
      <c r="J115" s="118" t="s">
        <v>3</v>
      </c>
      <c r="K115" s="1" t="s">
        <v>1090</v>
      </c>
      <c r="M115" s="5">
        <v>202006</v>
      </c>
      <c r="N115" s="5">
        <f>INDEX(rrcworking[Formation Production (MCF) @ 14.65 psi],MATCH('June 2020 EDI'!F115,rrcworking[RRC ID],0))</f>
        <v>513</v>
      </c>
      <c r="O115" s="5">
        <f>INDEX(rrcworking[Lease Use (MCF)],MATCH('June 2020 EDI'!F115,rrcworking[RRC ID],0))</f>
        <v>13</v>
      </c>
      <c r="P115" s="5">
        <f>INDEX(rrcworking[Gas Sales Statement Volume (MCF)],MATCH('June 2020 EDI'!F115,rrcworking[RRC ID],0))</f>
        <v>500</v>
      </c>
      <c r="R115" s="242">
        <f>INDEX(rrcworking[Flared Gas],MATCH('June 2020 EDI'!F115,rrcworking[RRC ID],0))</f>
        <v>0</v>
      </c>
      <c r="Y115" s="5">
        <f>INDEX(rrcworking[Oil Production],MATCH('June 2020 EDI'!F115,rrcworking[RRC ID],0))</f>
        <v>0</v>
      </c>
      <c r="AA115" s="5">
        <f>INDEX(rrcworking[Sales/Dispostion],MATCH('June 2020 EDI'!F115,rrcworking[RRC ID],0))</f>
        <v>0</v>
      </c>
      <c r="AQ115" s="5">
        <f>INDEX(rrcworking[Closing Stock (Oil)],MATCH('June 2020 EDI'!F115,rrcworking[RRC ID],0))</f>
        <v>0</v>
      </c>
    </row>
    <row r="116" spans="1:43">
      <c r="A116" s="4" t="s">
        <v>1</v>
      </c>
      <c r="B116" s="1" t="s">
        <v>1013</v>
      </c>
      <c r="C116" s="10" t="s">
        <v>909</v>
      </c>
      <c r="D116" s="1" t="s">
        <v>618</v>
      </c>
      <c r="E116" s="1" t="s">
        <v>59</v>
      </c>
      <c r="F116" s="1" t="s">
        <v>528</v>
      </c>
      <c r="I116" s="10" t="s">
        <v>3</v>
      </c>
      <c r="J116" s="118" t="s">
        <v>3</v>
      </c>
      <c r="K116" s="1">
        <v>1988</v>
      </c>
      <c r="M116" s="5">
        <v>202006</v>
      </c>
      <c r="N116" s="5">
        <f>INDEX(rrcworking[Formation Production (MCF) @ 14.65 psi],MATCH('June 2020 EDI'!F116,rrcworking[RRC ID],0))</f>
        <v>755</v>
      </c>
      <c r="O116" s="5">
        <f>INDEX(rrcworking[Lease Use (MCF)],MATCH('June 2020 EDI'!F116,rrcworking[RRC ID],0))</f>
        <v>56</v>
      </c>
      <c r="P116" s="5">
        <f>INDEX(rrcworking[Gas Sales Statement Volume (MCF)],MATCH('June 2020 EDI'!F116,rrcworking[RRC ID],0))</f>
        <v>699</v>
      </c>
      <c r="R116" s="242">
        <f>INDEX(rrcworking[Flared Gas],MATCH('June 2020 EDI'!F116,rrcworking[RRC ID],0))</f>
        <v>0</v>
      </c>
      <c r="Y116" s="5">
        <f>INDEX(rrcworking[Oil Production],MATCH('June 2020 EDI'!F116,rrcworking[RRC ID],0))</f>
        <v>29</v>
      </c>
      <c r="AA116" s="5">
        <f>INDEX(rrcworking[Sales/Dispostion],MATCH('June 2020 EDI'!F116,rrcworking[RRC ID],0))</f>
        <v>0</v>
      </c>
      <c r="AQ116" s="5">
        <f>INDEX(rrcworking[Closing Stock (Oil)],MATCH('June 2020 EDI'!F116,rrcworking[RRC ID],0))</f>
        <v>268</v>
      </c>
    </row>
    <row r="117" spans="1:43">
      <c r="A117" s="4" t="s">
        <v>1</v>
      </c>
      <c r="B117" s="1" t="s">
        <v>1014</v>
      </c>
      <c r="C117" s="10" t="s">
        <v>909</v>
      </c>
      <c r="D117" s="1" t="s">
        <v>618</v>
      </c>
      <c r="E117" s="1" t="s">
        <v>59</v>
      </c>
      <c r="F117" s="1" t="s">
        <v>529</v>
      </c>
      <c r="I117" s="10" t="s">
        <v>3</v>
      </c>
      <c r="J117" s="118" t="s">
        <v>3</v>
      </c>
      <c r="K117" s="1">
        <v>1988</v>
      </c>
      <c r="M117" s="5">
        <v>202006</v>
      </c>
      <c r="N117" s="5">
        <f>INDEX(rrcworking[Formation Production (MCF) @ 14.65 psi],MATCH('June 2020 EDI'!F117,rrcworking[RRC ID],0))</f>
        <v>30</v>
      </c>
      <c r="O117" s="5">
        <f>INDEX(rrcworking[Lease Use (MCF)],MATCH('June 2020 EDI'!F117,rrcworking[RRC ID],0))</f>
        <v>0</v>
      </c>
      <c r="P117" s="5">
        <f>INDEX(rrcworking[Gas Sales Statement Volume (MCF)],MATCH('June 2020 EDI'!F117,rrcworking[RRC ID],0))</f>
        <v>30</v>
      </c>
      <c r="R117" s="242">
        <f>INDEX(rrcworking[Flared Gas],MATCH('June 2020 EDI'!F117,rrcworking[RRC ID],0))</f>
        <v>0</v>
      </c>
      <c r="Y117" s="5">
        <f>INDEX(rrcworking[Oil Production],MATCH('June 2020 EDI'!F117,rrcworking[RRC ID],0))</f>
        <v>0</v>
      </c>
      <c r="AA117" s="5">
        <f>INDEX(rrcworking[Sales/Dispostion],MATCH('June 2020 EDI'!F117,rrcworking[RRC ID],0))</f>
        <v>0</v>
      </c>
      <c r="AQ117" s="5">
        <f>INDEX(rrcworking[Closing Stock (Oil)],MATCH('June 2020 EDI'!F117,rrcworking[RRC ID],0))</f>
        <v>0</v>
      </c>
    </row>
    <row r="118" spans="1:43">
      <c r="A118" s="4" t="s">
        <v>1</v>
      </c>
      <c r="B118" s="1" t="s">
        <v>1015</v>
      </c>
      <c r="C118" s="10" t="s">
        <v>909</v>
      </c>
      <c r="D118" s="1" t="s">
        <v>618</v>
      </c>
      <c r="E118" s="1" t="s">
        <v>59</v>
      </c>
      <c r="F118" s="1" t="s">
        <v>530</v>
      </c>
      <c r="I118" s="10" t="s">
        <v>3</v>
      </c>
      <c r="J118" s="118" t="s">
        <v>3</v>
      </c>
      <c r="K118" s="1" t="s">
        <v>1090</v>
      </c>
      <c r="M118" s="5">
        <v>202006</v>
      </c>
      <c r="N118" s="5">
        <f>INDEX(rrcworking[Formation Production (MCF) @ 14.65 psi],MATCH('June 2020 EDI'!F118,rrcworking[RRC ID],0))</f>
        <v>217</v>
      </c>
      <c r="O118" s="5">
        <f>INDEX(rrcworking[Lease Use (MCF)],MATCH('June 2020 EDI'!F118,rrcworking[RRC ID],0))</f>
        <v>10</v>
      </c>
      <c r="P118" s="5">
        <f>INDEX(rrcworking[Gas Sales Statement Volume (MCF)],MATCH('June 2020 EDI'!F118,rrcworking[RRC ID],0))</f>
        <v>207</v>
      </c>
      <c r="R118" s="242">
        <f>INDEX(rrcworking[Flared Gas],MATCH('June 2020 EDI'!F118,rrcworking[RRC ID],0))</f>
        <v>0</v>
      </c>
      <c r="Y118" s="5">
        <f>INDEX(rrcworking[Oil Production],MATCH('June 2020 EDI'!F118,rrcworking[RRC ID],0))</f>
        <v>0</v>
      </c>
      <c r="AA118" s="5">
        <f>INDEX(rrcworking[Sales/Dispostion],MATCH('June 2020 EDI'!F118,rrcworking[RRC ID],0))</f>
        <v>0</v>
      </c>
      <c r="AQ118" s="5">
        <f>INDEX(rrcworking[Closing Stock (Oil)],MATCH('June 2020 EDI'!F118,rrcworking[RRC ID],0))</f>
        <v>230</v>
      </c>
    </row>
    <row r="119" spans="1:43">
      <c r="A119" s="4" t="s">
        <v>1</v>
      </c>
      <c r="B119" s="1" t="s">
        <v>1016</v>
      </c>
      <c r="C119" s="10" t="s">
        <v>909</v>
      </c>
      <c r="D119" s="1" t="s">
        <v>618</v>
      </c>
      <c r="E119" s="1" t="s">
        <v>59</v>
      </c>
      <c r="F119" s="1" t="s">
        <v>531</v>
      </c>
      <c r="I119" s="10" t="s">
        <v>3</v>
      </c>
      <c r="J119" s="118" t="s">
        <v>3</v>
      </c>
      <c r="K119" s="1" t="s">
        <v>1090</v>
      </c>
      <c r="M119" s="5">
        <v>202006</v>
      </c>
      <c r="N119" s="5">
        <f>INDEX(rrcworking[Formation Production (MCF) @ 14.65 psi],MATCH('June 2020 EDI'!F119,rrcworking[RRC ID],0))</f>
        <v>297</v>
      </c>
      <c r="O119" s="5">
        <f>INDEX(rrcworking[Lease Use (MCF)],MATCH('June 2020 EDI'!F119,rrcworking[RRC ID],0))</f>
        <v>14</v>
      </c>
      <c r="P119" s="5">
        <f>INDEX(rrcworking[Gas Sales Statement Volume (MCF)],MATCH('June 2020 EDI'!F119,rrcworking[RRC ID],0))</f>
        <v>283</v>
      </c>
      <c r="R119" s="242">
        <f>INDEX(rrcworking[Flared Gas],MATCH('June 2020 EDI'!F119,rrcworking[RRC ID],0))</f>
        <v>0</v>
      </c>
      <c r="Y119" s="5">
        <f>INDEX(rrcworking[Oil Production],MATCH('June 2020 EDI'!F119,rrcworking[RRC ID],0))</f>
        <v>0</v>
      </c>
      <c r="AA119" s="5">
        <f>INDEX(rrcworking[Sales/Dispostion],MATCH('June 2020 EDI'!F119,rrcworking[RRC ID],0))</f>
        <v>0</v>
      </c>
      <c r="AQ119" s="5">
        <f>INDEX(rrcworking[Closing Stock (Oil)],MATCH('June 2020 EDI'!F119,rrcworking[RRC ID],0))</f>
        <v>33</v>
      </c>
    </row>
    <row r="120" spans="1:43">
      <c r="A120" s="4" t="s">
        <v>1</v>
      </c>
      <c r="B120" s="1" t="s">
        <v>1017</v>
      </c>
      <c r="C120" s="10" t="s">
        <v>909</v>
      </c>
      <c r="D120" s="1" t="s">
        <v>618</v>
      </c>
      <c r="E120" s="1" t="s">
        <v>59</v>
      </c>
      <c r="F120" s="1" t="s">
        <v>532</v>
      </c>
      <c r="I120" s="10" t="s">
        <v>3</v>
      </c>
      <c r="J120" s="118" t="s">
        <v>3</v>
      </c>
      <c r="K120" s="1" t="s">
        <v>1090</v>
      </c>
      <c r="M120" s="5">
        <v>202006</v>
      </c>
      <c r="N120" s="5">
        <f>INDEX(rrcworking[Formation Production (MCF) @ 14.65 psi],MATCH('June 2020 EDI'!F120,rrcworking[RRC ID],0))</f>
        <v>243</v>
      </c>
      <c r="O120" s="5">
        <f>INDEX(rrcworking[Lease Use (MCF)],MATCH('June 2020 EDI'!F120,rrcworking[RRC ID],0))</f>
        <v>25</v>
      </c>
      <c r="P120" s="5">
        <f>INDEX(rrcworking[Gas Sales Statement Volume (MCF)],MATCH('June 2020 EDI'!F120,rrcworking[RRC ID],0))</f>
        <v>218</v>
      </c>
      <c r="R120" s="242">
        <f>INDEX(rrcworking[Flared Gas],MATCH('June 2020 EDI'!F120,rrcworking[RRC ID],0))</f>
        <v>0</v>
      </c>
      <c r="Y120" s="5">
        <f>INDEX(rrcworking[Oil Production],MATCH('June 2020 EDI'!F120,rrcworking[RRC ID],0))</f>
        <v>0</v>
      </c>
      <c r="AA120" s="5">
        <f>INDEX(rrcworking[Sales/Dispostion],MATCH('June 2020 EDI'!F120,rrcworking[RRC ID],0))</f>
        <v>0</v>
      </c>
      <c r="AQ120" s="5">
        <f>INDEX(rrcworking[Closing Stock (Oil)],MATCH('June 2020 EDI'!F120,rrcworking[RRC ID],0))</f>
        <v>163</v>
      </c>
    </row>
    <row r="121" spans="1:43">
      <c r="A121" s="4" t="s">
        <v>1</v>
      </c>
      <c r="B121" s="1" t="s">
        <v>1018</v>
      </c>
      <c r="C121" s="10" t="s">
        <v>909</v>
      </c>
      <c r="D121" s="1" t="s">
        <v>618</v>
      </c>
      <c r="E121" s="1" t="s">
        <v>59</v>
      </c>
      <c r="F121" s="1" t="s">
        <v>533</v>
      </c>
      <c r="I121" s="10" t="s">
        <v>3</v>
      </c>
      <c r="J121" s="118" t="s">
        <v>3</v>
      </c>
      <c r="K121" s="1" t="s">
        <v>1090</v>
      </c>
      <c r="M121" s="5">
        <v>202006</v>
      </c>
      <c r="N121" s="5">
        <f>INDEX(rrcworking[Formation Production (MCF) @ 14.65 psi],MATCH('June 2020 EDI'!F121,rrcworking[RRC ID],0))</f>
        <v>0</v>
      </c>
      <c r="O121" s="5">
        <f>INDEX(rrcworking[Lease Use (MCF)],MATCH('June 2020 EDI'!F121,rrcworking[RRC ID],0))</f>
        <v>0</v>
      </c>
      <c r="P121" s="5">
        <f>INDEX(rrcworking[Gas Sales Statement Volume (MCF)],MATCH('June 2020 EDI'!F121,rrcworking[RRC ID],0))</f>
        <v>0</v>
      </c>
      <c r="R121" s="242">
        <f>INDEX(rrcworking[Flared Gas],MATCH('June 2020 EDI'!F121,rrcworking[RRC ID],0))</f>
        <v>0</v>
      </c>
      <c r="Y121" s="5">
        <f>INDEX(rrcworking[Oil Production],MATCH('June 2020 EDI'!F121,rrcworking[RRC ID],0))</f>
        <v>0</v>
      </c>
      <c r="AA121" s="5">
        <f>INDEX(rrcworking[Sales/Dispostion],MATCH('June 2020 EDI'!F121,rrcworking[RRC ID],0))</f>
        <v>0</v>
      </c>
      <c r="AQ121" s="5">
        <f>INDEX(rrcworking[Closing Stock (Oil)],MATCH('June 2020 EDI'!F121,rrcworking[RRC ID],0))</f>
        <v>0</v>
      </c>
    </row>
    <row r="122" spans="1:43">
      <c r="A122" s="4" t="s">
        <v>1</v>
      </c>
      <c r="B122" s="1" t="s">
        <v>1019</v>
      </c>
      <c r="C122" s="10" t="s">
        <v>909</v>
      </c>
      <c r="D122" s="1" t="s">
        <v>618</v>
      </c>
      <c r="E122" s="1" t="s">
        <v>59</v>
      </c>
      <c r="F122" s="1" t="s">
        <v>534</v>
      </c>
      <c r="I122" s="10" t="s">
        <v>3</v>
      </c>
      <c r="J122" s="118" t="s">
        <v>3</v>
      </c>
      <c r="K122" s="1" t="s">
        <v>1090</v>
      </c>
      <c r="M122" s="5">
        <v>202006</v>
      </c>
      <c r="N122" s="5">
        <f>INDEX(rrcworking[Formation Production (MCF) @ 14.65 psi],MATCH('June 2020 EDI'!F122,rrcworking[RRC ID],0))</f>
        <v>3098</v>
      </c>
      <c r="O122" s="5">
        <f>INDEX(rrcworking[Lease Use (MCF)],MATCH('June 2020 EDI'!F122,rrcworking[RRC ID],0))</f>
        <v>174</v>
      </c>
      <c r="P122" s="5">
        <f>INDEX(rrcworking[Gas Sales Statement Volume (MCF)],MATCH('June 2020 EDI'!F122,rrcworking[RRC ID],0))</f>
        <v>2924</v>
      </c>
      <c r="R122" s="242">
        <f>INDEX(rrcworking[Flared Gas],MATCH('June 2020 EDI'!F122,rrcworking[RRC ID],0))</f>
        <v>0</v>
      </c>
      <c r="Y122" s="5">
        <f>INDEX(rrcworking[Oil Production],MATCH('June 2020 EDI'!F122,rrcworking[RRC ID],0))</f>
        <v>0</v>
      </c>
      <c r="AA122" s="5">
        <f>INDEX(rrcworking[Sales/Dispostion],MATCH('June 2020 EDI'!F122,rrcworking[RRC ID],0))</f>
        <v>0</v>
      </c>
      <c r="AQ122" s="5">
        <f>INDEX(rrcworking[Closing Stock (Oil)],MATCH('June 2020 EDI'!F122,rrcworking[RRC ID],0))</f>
        <v>0</v>
      </c>
    </row>
    <row r="123" spans="1:43">
      <c r="A123" s="4" t="s">
        <v>1</v>
      </c>
      <c r="B123" s="1" t="s">
        <v>1020</v>
      </c>
      <c r="C123" s="10" t="s">
        <v>909</v>
      </c>
      <c r="D123" s="1" t="s">
        <v>618</v>
      </c>
      <c r="E123" s="1" t="s">
        <v>2</v>
      </c>
      <c r="F123" s="1" t="s">
        <v>535</v>
      </c>
      <c r="I123" s="10" t="s">
        <v>3</v>
      </c>
      <c r="J123" s="118" t="s">
        <v>3</v>
      </c>
      <c r="K123" s="1" t="s">
        <v>1090</v>
      </c>
      <c r="M123" s="5">
        <v>202006</v>
      </c>
      <c r="N123" s="5">
        <f>INDEX(rrcworking[Formation Production (MCF) @ 14.65 psi],MATCH('June 2020 EDI'!F123,rrcworking[RRC ID],0))</f>
        <v>120</v>
      </c>
      <c r="O123" s="5">
        <f>INDEX(rrcworking[Lease Use (MCF)],MATCH('June 2020 EDI'!F123,rrcworking[RRC ID],0))</f>
        <v>120</v>
      </c>
      <c r="P123" s="5">
        <f>INDEX(rrcworking[Gas Sales Statement Volume (MCF)],MATCH('June 2020 EDI'!F123,rrcworking[RRC ID],0))</f>
        <v>0</v>
      </c>
      <c r="R123" s="242">
        <f>INDEX(rrcworking[Flared Gas],MATCH('June 2020 EDI'!F123,rrcworking[RRC ID],0))</f>
        <v>0</v>
      </c>
      <c r="Y123" s="5">
        <f>INDEX(rrcworking[Oil Production],MATCH('June 2020 EDI'!F123,rrcworking[RRC ID],0))</f>
        <v>1000</v>
      </c>
      <c r="AA123" s="5">
        <f>INDEX(rrcworking[Sales/Dispostion],MATCH('June 2020 EDI'!F123,rrcworking[RRC ID],0))</f>
        <v>1554</v>
      </c>
      <c r="AQ123" s="5">
        <f>INDEX(rrcworking[Closing Stock (Oil)],MATCH('June 2020 EDI'!F123,rrcworking[RRC ID],0))</f>
        <v>181</v>
      </c>
    </row>
    <row r="124" spans="1:43">
      <c r="A124" s="4" t="s">
        <v>1</v>
      </c>
      <c r="B124" s="1" t="s">
        <v>1021</v>
      </c>
      <c r="C124" s="10" t="s">
        <v>909</v>
      </c>
      <c r="D124" s="1" t="s">
        <v>618</v>
      </c>
      <c r="E124" s="1" t="s">
        <v>2</v>
      </c>
      <c r="F124" s="1" t="s">
        <v>536</v>
      </c>
      <c r="I124" s="10" t="s">
        <v>3</v>
      </c>
      <c r="J124" s="118" t="s">
        <v>3</v>
      </c>
      <c r="K124" s="1" t="s">
        <v>1090</v>
      </c>
      <c r="M124" s="5">
        <v>202006</v>
      </c>
      <c r="N124" s="5">
        <f>INDEX(rrcworking[Formation Production (MCF) @ 14.65 psi],MATCH('June 2020 EDI'!F124,rrcworking[RRC ID],0))</f>
        <v>0</v>
      </c>
      <c r="O124" s="5">
        <f>INDEX(rrcworking[Lease Use (MCF)],MATCH('June 2020 EDI'!F124,rrcworking[RRC ID],0))</f>
        <v>0</v>
      </c>
      <c r="P124" s="5">
        <f>INDEX(rrcworking[Gas Sales Statement Volume (MCF)],MATCH('June 2020 EDI'!F124,rrcworking[RRC ID],0))</f>
        <v>0</v>
      </c>
      <c r="R124" s="242">
        <f>INDEX(rrcworking[Flared Gas],MATCH('June 2020 EDI'!F124,rrcworking[RRC ID],0))</f>
        <v>0</v>
      </c>
      <c r="Y124" s="5">
        <f>INDEX(rrcworking[Oil Production],MATCH('June 2020 EDI'!F124,rrcworking[RRC ID],0))</f>
        <v>0</v>
      </c>
      <c r="AA124" s="5">
        <f>INDEX(rrcworking[Sales/Dispostion],MATCH('June 2020 EDI'!F124,rrcworking[RRC ID],0))</f>
        <v>0</v>
      </c>
      <c r="AQ124" s="5">
        <f>INDEX(rrcworking[Closing Stock (Oil)],MATCH('June 2020 EDI'!F124,rrcworking[RRC ID],0))</f>
        <v>0</v>
      </c>
    </row>
    <row r="125" spans="1:43">
      <c r="A125" s="4" t="s">
        <v>1</v>
      </c>
      <c r="B125" s="1" t="s">
        <v>1022</v>
      </c>
      <c r="C125" s="10" t="s">
        <v>909</v>
      </c>
      <c r="D125" s="1" t="s">
        <v>618</v>
      </c>
      <c r="E125" s="1" t="s">
        <v>59</v>
      </c>
      <c r="F125" s="1" t="s">
        <v>537</v>
      </c>
      <c r="I125" s="10" t="s">
        <v>3</v>
      </c>
      <c r="J125" s="118" t="s">
        <v>3</v>
      </c>
      <c r="K125" s="1" t="s">
        <v>1090</v>
      </c>
      <c r="M125" s="5">
        <v>202006</v>
      </c>
      <c r="N125" s="5">
        <f>INDEX(rrcworking[Formation Production (MCF) @ 14.65 psi],MATCH('June 2020 EDI'!F125,rrcworking[RRC ID],0))</f>
        <v>0</v>
      </c>
      <c r="O125" s="5">
        <f>INDEX(rrcworking[Lease Use (MCF)],MATCH('June 2020 EDI'!F125,rrcworking[RRC ID],0))</f>
        <v>0</v>
      </c>
      <c r="P125" s="5">
        <f>INDEX(rrcworking[Gas Sales Statement Volume (MCF)],MATCH('June 2020 EDI'!F125,rrcworking[RRC ID],0))</f>
        <v>0</v>
      </c>
      <c r="R125" s="242">
        <f>INDEX(rrcworking[Flared Gas],MATCH('June 2020 EDI'!F125,rrcworking[RRC ID],0))</f>
        <v>0</v>
      </c>
      <c r="Y125" s="5">
        <f>INDEX(rrcworking[Oil Production],MATCH('June 2020 EDI'!F125,rrcworking[RRC ID],0))</f>
        <v>0</v>
      </c>
      <c r="AA125" s="5">
        <f>INDEX(rrcworking[Sales/Dispostion],MATCH('June 2020 EDI'!F125,rrcworking[RRC ID],0))</f>
        <v>0</v>
      </c>
      <c r="AQ125" s="5">
        <f>INDEX(rrcworking[Closing Stock (Oil)],MATCH('June 2020 EDI'!F125,rrcworking[RRC ID],0))</f>
        <v>48</v>
      </c>
    </row>
    <row r="126" spans="1:43">
      <c r="A126" s="4" t="s">
        <v>1</v>
      </c>
      <c r="B126" s="1" t="s">
        <v>1023</v>
      </c>
      <c r="C126" s="10" t="s">
        <v>909</v>
      </c>
      <c r="D126" s="1" t="s">
        <v>618</v>
      </c>
      <c r="E126" s="1" t="s">
        <v>59</v>
      </c>
      <c r="F126" s="1" t="s">
        <v>538</v>
      </c>
      <c r="I126" s="10" t="s">
        <v>3</v>
      </c>
      <c r="J126" s="118" t="s">
        <v>3</v>
      </c>
      <c r="K126" s="1" t="s">
        <v>1090</v>
      </c>
      <c r="M126" s="5">
        <v>202006</v>
      </c>
      <c r="N126" s="5">
        <f>INDEX(rrcworking[Formation Production (MCF) @ 14.65 psi],MATCH('June 2020 EDI'!F126,rrcworking[RRC ID],0))</f>
        <v>1313</v>
      </c>
      <c r="O126" s="5">
        <f>INDEX(rrcworking[Lease Use (MCF)],MATCH('June 2020 EDI'!F126,rrcworking[RRC ID],0))</f>
        <v>90</v>
      </c>
      <c r="P126" s="5">
        <f>INDEX(rrcworking[Gas Sales Statement Volume (MCF)],MATCH('June 2020 EDI'!F126,rrcworking[RRC ID],0))</f>
        <v>1223</v>
      </c>
      <c r="R126" s="242">
        <f>INDEX(rrcworking[Flared Gas],MATCH('June 2020 EDI'!F126,rrcworking[RRC ID],0))</f>
        <v>0</v>
      </c>
      <c r="Y126" s="5">
        <f>INDEX(rrcworking[Oil Production],MATCH('June 2020 EDI'!F126,rrcworking[RRC ID],0))</f>
        <v>4</v>
      </c>
      <c r="AA126" s="5">
        <f>INDEX(rrcworking[Sales/Dispostion],MATCH('June 2020 EDI'!F126,rrcworking[RRC ID],0))</f>
        <v>0</v>
      </c>
      <c r="AQ126" s="5">
        <f>INDEX(rrcworking[Closing Stock (Oil)],MATCH('June 2020 EDI'!F126,rrcworking[RRC ID],0))</f>
        <v>47</v>
      </c>
    </row>
    <row r="127" spans="1:43">
      <c r="A127" s="4" t="s">
        <v>1</v>
      </c>
      <c r="B127" s="1" t="s">
        <v>1024</v>
      </c>
      <c r="C127" s="10" t="s">
        <v>909</v>
      </c>
      <c r="D127" s="1" t="s">
        <v>618</v>
      </c>
      <c r="E127" s="1" t="s">
        <v>2</v>
      </c>
      <c r="F127" s="1" t="s">
        <v>539</v>
      </c>
      <c r="I127" s="10" t="s">
        <v>3</v>
      </c>
      <c r="J127" s="118" t="s">
        <v>3</v>
      </c>
      <c r="K127" s="1" t="s">
        <v>1090</v>
      </c>
      <c r="M127" s="5">
        <v>202006</v>
      </c>
      <c r="N127" s="5">
        <f>INDEX(rrcworking[Formation Production (MCF) @ 14.65 psi],MATCH('June 2020 EDI'!F127,rrcworking[RRC ID],0))</f>
        <v>0</v>
      </c>
      <c r="O127" s="5">
        <f>INDEX(rrcworking[Lease Use (MCF)],MATCH('June 2020 EDI'!F127,rrcworking[RRC ID],0))</f>
        <v>0</v>
      </c>
      <c r="P127" s="5">
        <f>INDEX(rrcworking[Gas Sales Statement Volume (MCF)],MATCH('June 2020 EDI'!F127,rrcworking[RRC ID],0))</f>
        <v>0</v>
      </c>
      <c r="R127" s="242">
        <f>INDEX(rrcworking[Flared Gas],MATCH('June 2020 EDI'!F127,rrcworking[RRC ID],0))</f>
        <v>0</v>
      </c>
      <c r="Y127" s="5">
        <f>INDEX(rrcworking[Oil Production],MATCH('June 2020 EDI'!F127,rrcworking[RRC ID],0))</f>
        <v>0</v>
      </c>
      <c r="AA127" s="5">
        <f>INDEX(rrcworking[Sales/Dispostion],MATCH('June 2020 EDI'!F127,rrcworking[RRC ID],0))</f>
        <v>0</v>
      </c>
      <c r="AQ127" s="5">
        <f>INDEX(rrcworking[Closing Stock (Oil)],MATCH('June 2020 EDI'!F127,rrcworking[RRC ID],0))</f>
        <v>70</v>
      </c>
    </row>
    <row r="128" spans="1:43">
      <c r="A128" s="4" t="s">
        <v>1</v>
      </c>
      <c r="B128" s="1" t="s">
        <v>1025</v>
      </c>
      <c r="C128" s="10" t="s">
        <v>909</v>
      </c>
      <c r="D128" s="1" t="s">
        <v>618</v>
      </c>
      <c r="E128" s="1" t="s">
        <v>2</v>
      </c>
      <c r="F128" s="1" t="s">
        <v>540</v>
      </c>
      <c r="I128" s="10" t="s">
        <v>3</v>
      </c>
      <c r="J128" s="118" t="s">
        <v>3</v>
      </c>
      <c r="K128" s="1" t="s">
        <v>1090</v>
      </c>
      <c r="M128" s="5">
        <v>202006</v>
      </c>
      <c r="N128" s="5">
        <f>INDEX(rrcworking[Formation Production (MCF) @ 14.65 psi],MATCH('June 2020 EDI'!F128,rrcworking[RRC ID],0))</f>
        <v>45</v>
      </c>
      <c r="O128" s="5">
        <f>INDEX(rrcworking[Lease Use (MCF)],MATCH('June 2020 EDI'!F128,rrcworking[RRC ID],0))</f>
        <v>0</v>
      </c>
      <c r="P128" s="5">
        <f>INDEX(rrcworking[Gas Sales Statement Volume (MCF)],MATCH('June 2020 EDI'!F128,rrcworking[RRC ID],0))</f>
        <v>45</v>
      </c>
      <c r="R128" s="242">
        <f>INDEX(rrcworking[Flared Gas],MATCH('June 2020 EDI'!F128,rrcworking[RRC ID],0))</f>
        <v>0</v>
      </c>
      <c r="Y128" s="5">
        <f>INDEX(rrcworking[Oil Production],MATCH('June 2020 EDI'!F128,rrcworking[RRC ID],0))</f>
        <v>13</v>
      </c>
      <c r="AA128" s="5">
        <f>INDEX(rrcworking[Sales/Dispostion],MATCH('June 2020 EDI'!F128,rrcworking[RRC ID],0))</f>
        <v>0</v>
      </c>
      <c r="AQ128" s="5">
        <f>INDEX(rrcworking[Closing Stock (Oil)],MATCH('June 2020 EDI'!F128,rrcworking[RRC ID],0))</f>
        <v>240</v>
      </c>
    </row>
    <row r="129" spans="1:43">
      <c r="A129" s="4" t="s">
        <v>1</v>
      </c>
      <c r="B129" s="1" t="s">
        <v>1026</v>
      </c>
      <c r="C129" s="10" t="s">
        <v>909</v>
      </c>
      <c r="D129" s="1" t="s">
        <v>618</v>
      </c>
      <c r="E129" s="1" t="s">
        <v>2</v>
      </c>
      <c r="F129" s="1" t="s">
        <v>541</v>
      </c>
      <c r="I129" s="10" t="s">
        <v>3</v>
      </c>
      <c r="J129" s="118" t="s">
        <v>3</v>
      </c>
      <c r="K129" s="1" t="s">
        <v>1090</v>
      </c>
      <c r="M129" s="5">
        <v>202006</v>
      </c>
      <c r="N129" s="5">
        <f>INDEX(rrcworking[Formation Production (MCF) @ 14.65 psi],MATCH('June 2020 EDI'!F129,rrcworking[RRC ID],0))</f>
        <v>0</v>
      </c>
      <c r="O129" s="5">
        <f>INDEX(rrcworking[Lease Use (MCF)],MATCH('June 2020 EDI'!F129,rrcworking[RRC ID],0))</f>
        <v>0</v>
      </c>
      <c r="P129" s="5">
        <f>INDEX(rrcworking[Gas Sales Statement Volume (MCF)],MATCH('June 2020 EDI'!F129,rrcworking[RRC ID],0))</f>
        <v>0</v>
      </c>
      <c r="R129" s="242">
        <f>INDEX(rrcworking[Flared Gas],MATCH('June 2020 EDI'!F129,rrcworking[RRC ID],0))</f>
        <v>0</v>
      </c>
      <c r="Y129" s="5">
        <f>INDEX(rrcworking[Oil Production],MATCH('June 2020 EDI'!F129,rrcworking[RRC ID],0))</f>
        <v>0</v>
      </c>
      <c r="AA129" s="5">
        <f>INDEX(rrcworking[Sales/Dispostion],MATCH('June 2020 EDI'!F129,rrcworking[RRC ID],0))</f>
        <v>0</v>
      </c>
      <c r="AQ129" s="5">
        <f>INDEX(rrcworking[Closing Stock (Oil)],MATCH('June 2020 EDI'!F129,rrcworking[RRC ID],0))</f>
        <v>0</v>
      </c>
    </row>
    <row r="130" spans="1:43">
      <c r="A130" s="4" t="s">
        <v>1</v>
      </c>
      <c r="B130" s="1" t="s">
        <v>1027</v>
      </c>
      <c r="C130" s="10" t="s">
        <v>909</v>
      </c>
      <c r="D130" s="1" t="s">
        <v>618</v>
      </c>
      <c r="E130" s="1" t="s">
        <v>59</v>
      </c>
      <c r="F130" s="1" t="s">
        <v>542</v>
      </c>
      <c r="I130" s="10" t="s">
        <v>3</v>
      </c>
      <c r="J130" s="118" t="s">
        <v>3</v>
      </c>
      <c r="K130" s="1" t="s">
        <v>1090</v>
      </c>
      <c r="M130" s="5">
        <v>202006</v>
      </c>
      <c r="N130" s="5">
        <f>INDEX(rrcworking[Formation Production (MCF) @ 14.65 psi],MATCH('June 2020 EDI'!F130,rrcworking[RRC ID],0))</f>
        <v>0</v>
      </c>
      <c r="O130" s="5">
        <f>INDEX(rrcworking[Lease Use (MCF)],MATCH('June 2020 EDI'!F130,rrcworking[RRC ID],0))</f>
        <v>0</v>
      </c>
      <c r="P130" s="5">
        <f>INDEX(rrcworking[Gas Sales Statement Volume (MCF)],MATCH('June 2020 EDI'!F130,rrcworking[RRC ID],0))</f>
        <v>0</v>
      </c>
      <c r="R130" s="242">
        <f>INDEX(rrcworking[Flared Gas],MATCH('June 2020 EDI'!F130,rrcworking[RRC ID],0))</f>
        <v>0</v>
      </c>
      <c r="Y130" s="5">
        <f>INDEX(rrcworking[Oil Production],MATCH('June 2020 EDI'!F130,rrcworking[RRC ID],0))</f>
        <v>0</v>
      </c>
      <c r="AA130" s="5">
        <f>INDEX(rrcworking[Sales/Dispostion],MATCH('June 2020 EDI'!F130,rrcworking[RRC ID],0))</f>
        <v>0</v>
      </c>
      <c r="AQ130" s="5">
        <f>INDEX(rrcworking[Closing Stock (Oil)],MATCH('June 2020 EDI'!F130,rrcworking[RRC ID],0))</f>
        <v>0</v>
      </c>
    </row>
    <row r="131" spans="1:43">
      <c r="A131" s="4" t="s">
        <v>1</v>
      </c>
      <c r="B131" s="1" t="s">
        <v>1028</v>
      </c>
      <c r="C131" s="10" t="s">
        <v>909</v>
      </c>
      <c r="D131" s="1" t="s">
        <v>618</v>
      </c>
      <c r="E131" s="1" t="s">
        <v>59</v>
      </c>
      <c r="F131" s="1" t="s">
        <v>543</v>
      </c>
      <c r="I131" s="10" t="s">
        <v>3</v>
      </c>
      <c r="J131" s="118" t="s">
        <v>3</v>
      </c>
      <c r="K131" s="1" t="s">
        <v>1090</v>
      </c>
      <c r="M131" s="5">
        <v>202006</v>
      </c>
      <c r="N131" s="5">
        <f>INDEX(rrcworking[Formation Production (MCF) @ 14.65 psi],MATCH('June 2020 EDI'!F131,rrcworking[RRC ID],0))</f>
        <v>0</v>
      </c>
      <c r="O131" s="5">
        <f>INDEX(rrcworking[Lease Use (MCF)],MATCH('June 2020 EDI'!F131,rrcworking[RRC ID],0))</f>
        <v>0</v>
      </c>
      <c r="P131" s="5">
        <f>INDEX(rrcworking[Gas Sales Statement Volume (MCF)],MATCH('June 2020 EDI'!F131,rrcworking[RRC ID],0))</f>
        <v>0</v>
      </c>
      <c r="R131" s="242">
        <f>INDEX(rrcworking[Flared Gas],MATCH('June 2020 EDI'!F131,rrcworking[RRC ID],0))</f>
        <v>0</v>
      </c>
      <c r="Y131" s="5">
        <f>INDEX(rrcworking[Oil Production],MATCH('June 2020 EDI'!F131,rrcworking[RRC ID],0))</f>
        <v>0</v>
      </c>
      <c r="AA131" s="5">
        <f>INDEX(rrcworking[Sales/Dispostion],MATCH('June 2020 EDI'!F131,rrcworking[RRC ID],0))</f>
        <v>0</v>
      </c>
      <c r="AQ131" s="5">
        <f>INDEX(rrcworking[Closing Stock (Oil)],MATCH('June 2020 EDI'!F131,rrcworking[RRC ID],0))</f>
        <v>0</v>
      </c>
    </row>
    <row r="132" spans="1:43">
      <c r="A132" s="4" t="s">
        <v>1</v>
      </c>
      <c r="B132" s="1" t="s">
        <v>1029</v>
      </c>
      <c r="C132" s="10" t="s">
        <v>909</v>
      </c>
      <c r="D132" s="1" t="s">
        <v>618</v>
      </c>
      <c r="E132" s="1" t="s">
        <v>2</v>
      </c>
      <c r="F132" s="1" t="s">
        <v>544</v>
      </c>
      <c r="I132" s="10" t="s">
        <v>3</v>
      </c>
      <c r="J132" s="118" t="s">
        <v>3</v>
      </c>
      <c r="K132" s="1" t="s">
        <v>1090</v>
      </c>
      <c r="M132" s="5">
        <v>202006</v>
      </c>
      <c r="N132" s="5">
        <f>INDEX(rrcworking[Formation Production (MCF) @ 14.65 psi],MATCH('June 2020 EDI'!F132,rrcworking[RRC ID],0))</f>
        <v>2366</v>
      </c>
      <c r="O132" s="5">
        <f>INDEX(rrcworking[Lease Use (MCF)],MATCH('June 2020 EDI'!F132,rrcworking[RRC ID],0))</f>
        <v>0</v>
      </c>
      <c r="P132" s="5">
        <f>INDEX(rrcworking[Gas Sales Statement Volume (MCF)],MATCH('June 2020 EDI'!F132,rrcworking[RRC ID],0))</f>
        <v>2366</v>
      </c>
      <c r="R132" s="242">
        <f>INDEX(rrcworking[Flared Gas],MATCH('June 2020 EDI'!F132,rrcworking[RRC ID],0))</f>
        <v>0</v>
      </c>
      <c r="Y132" s="5">
        <f>INDEX(rrcworking[Oil Production],MATCH('June 2020 EDI'!F132,rrcworking[RRC ID],0))</f>
        <v>253</v>
      </c>
      <c r="AA132" s="5">
        <f>INDEX(rrcworking[Sales/Dispostion],MATCH('June 2020 EDI'!F132,rrcworking[RRC ID],0))</f>
        <v>667</v>
      </c>
      <c r="AQ132" s="5">
        <f>INDEX(rrcworking[Closing Stock (Oil)],MATCH('June 2020 EDI'!F132,rrcworking[RRC ID],0))</f>
        <v>151</v>
      </c>
    </row>
    <row r="133" spans="1:43">
      <c r="A133" s="4" t="s">
        <v>1</v>
      </c>
      <c r="B133" s="1" t="s">
        <v>1030</v>
      </c>
      <c r="C133" s="10" t="s">
        <v>909</v>
      </c>
      <c r="D133" s="1" t="s">
        <v>618</v>
      </c>
      <c r="E133" s="1" t="s">
        <v>59</v>
      </c>
      <c r="F133" s="1" t="s">
        <v>545</v>
      </c>
      <c r="I133" s="10" t="s">
        <v>3</v>
      </c>
      <c r="J133" s="118" t="s">
        <v>3</v>
      </c>
      <c r="K133" s="1" t="s">
        <v>1090</v>
      </c>
      <c r="M133" s="5">
        <v>202006</v>
      </c>
      <c r="N133" s="5">
        <f>INDEX(rrcworking[Formation Production (MCF) @ 14.65 psi],MATCH('June 2020 EDI'!F133,rrcworking[RRC ID],0))</f>
        <v>0</v>
      </c>
      <c r="O133" s="5">
        <f>INDEX(rrcworking[Lease Use (MCF)],MATCH('June 2020 EDI'!F133,rrcworking[RRC ID],0))</f>
        <v>0</v>
      </c>
      <c r="P133" s="5">
        <f>INDEX(rrcworking[Gas Sales Statement Volume (MCF)],MATCH('June 2020 EDI'!F133,rrcworking[RRC ID],0))</f>
        <v>0</v>
      </c>
      <c r="R133" s="242">
        <f>INDEX(rrcworking[Flared Gas],MATCH('June 2020 EDI'!F133,rrcworking[RRC ID],0))</f>
        <v>0</v>
      </c>
      <c r="Y133" s="5">
        <f>INDEX(rrcworking[Oil Production],MATCH('June 2020 EDI'!F133,rrcworking[RRC ID],0))</f>
        <v>0</v>
      </c>
      <c r="AA133" s="5">
        <f>INDEX(rrcworking[Sales/Dispostion],MATCH('June 2020 EDI'!F133,rrcworking[RRC ID],0))</f>
        <v>0</v>
      </c>
      <c r="AQ133" s="5">
        <f>INDEX(rrcworking[Closing Stock (Oil)],MATCH('June 2020 EDI'!F133,rrcworking[RRC ID],0))</f>
        <v>0</v>
      </c>
    </row>
    <row r="134" spans="1:43">
      <c r="A134" s="4" t="s">
        <v>1</v>
      </c>
      <c r="B134" s="1" t="s">
        <v>1031</v>
      </c>
      <c r="C134" s="10" t="s">
        <v>909</v>
      </c>
      <c r="D134" s="1" t="s">
        <v>618</v>
      </c>
      <c r="E134" s="1" t="s">
        <v>59</v>
      </c>
      <c r="F134" s="1" t="s">
        <v>546</v>
      </c>
      <c r="I134" s="10" t="s">
        <v>3</v>
      </c>
      <c r="J134" s="118" t="s">
        <v>3</v>
      </c>
      <c r="K134" s="1" t="s">
        <v>1090</v>
      </c>
      <c r="M134" s="5">
        <v>202006</v>
      </c>
      <c r="N134" s="5">
        <f>INDEX(rrcworking[Formation Production (MCF) @ 14.65 psi],MATCH('June 2020 EDI'!F134,rrcworking[RRC ID],0))</f>
        <v>0</v>
      </c>
      <c r="O134" s="5">
        <f>INDEX(rrcworking[Lease Use (MCF)],MATCH('June 2020 EDI'!F134,rrcworking[RRC ID],0))</f>
        <v>0</v>
      </c>
      <c r="P134" s="5">
        <f>INDEX(rrcworking[Gas Sales Statement Volume (MCF)],MATCH('June 2020 EDI'!F134,rrcworking[RRC ID],0))</f>
        <v>0</v>
      </c>
      <c r="R134" s="242">
        <f>INDEX(rrcworking[Flared Gas],MATCH('June 2020 EDI'!F134,rrcworking[RRC ID],0))</f>
        <v>0</v>
      </c>
      <c r="Y134" s="5">
        <f>INDEX(rrcworking[Oil Production],MATCH('June 2020 EDI'!F134,rrcworking[RRC ID],0))</f>
        <v>0</v>
      </c>
      <c r="AA134" s="5">
        <f>INDEX(rrcworking[Sales/Dispostion],MATCH('June 2020 EDI'!F134,rrcworking[RRC ID],0))</f>
        <v>0</v>
      </c>
      <c r="AQ134" s="5">
        <f>INDEX(rrcworking[Closing Stock (Oil)],MATCH('June 2020 EDI'!F134,rrcworking[RRC ID],0))</f>
        <v>0</v>
      </c>
    </row>
    <row r="135" spans="1:43">
      <c r="A135" s="4" t="s">
        <v>1</v>
      </c>
      <c r="B135" s="1" t="s">
        <v>1032</v>
      </c>
      <c r="C135" s="10" t="s">
        <v>909</v>
      </c>
      <c r="D135" s="1" t="s">
        <v>618</v>
      </c>
      <c r="E135" s="1" t="s">
        <v>2</v>
      </c>
      <c r="F135" s="1" t="s">
        <v>547</v>
      </c>
      <c r="I135" s="10" t="s">
        <v>3</v>
      </c>
      <c r="J135" s="118" t="s">
        <v>3</v>
      </c>
      <c r="K135" s="1" t="s">
        <v>1090</v>
      </c>
      <c r="M135" s="5">
        <v>202006</v>
      </c>
      <c r="N135" s="5">
        <f>INDEX(rrcworking[Formation Production (MCF) @ 14.65 psi],MATCH('June 2020 EDI'!F135,rrcworking[RRC ID],0))</f>
        <v>0</v>
      </c>
      <c r="O135" s="5">
        <f>INDEX(rrcworking[Lease Use (MCF)],MATCH('June 2020 EDI'!F135,rrcworking[RRC ID],0))</f>
        <v>0</v>
      </c>
      <c r="P135" s="5">
        <f>INDEX(rrcworking[Gas Sales Statement Volume (MCF)],MATCH('June 2020 EDI'!F135,rrcworking[RRC ID],0))</f>
        <v>0</v>
      </c>
      <c r="R135" s="242">
        <f>INDEX(rrcworking[Flared Gas],MATCH('June 2020 EDI'!F135,rrcworking[RRC ID],0))</f>
        <v>0</v>
      </c>
      <c r="Y135" s="5">
        <f>INDEX(rrcworking[Oil Production],MATCH('June 2020 EDI'!F135,rrcworking[RRC ID],0))</f>
        <v>0</v>
      </c>
      <c r="AA135" s="5">
        <f>INDEX(rrcworking[Sales/Dispostion],MATCH('June 2020 EDI'!F135,rrcworking[RRC ID],0))</f>
        <v>0</v>
      </c>
      <c r="AQ135" s="5">
        <f>INDEX(rrcworking[Closing Stock (Oil)],MATCH('June 2020 EDI'!F135,rrcworking[RRC ID],0))</f>
        <v>0</v>
      </c>
    </row>
    <row r="136" spans="1:43">
      <c r="A136" s="4" t="s">
        <v>1</v>
      </c>
      <c r="B136" s="1" t="s">
        <v>1033</v>
      </c>
      <c r="C136" s="10" t="s">
        <v>909</v>
      </c>
      <c r="D136" s="1" t="s">
        <v>618</v>
      </c>
      <c r="E136" s="1" t="s">
        <v>59</v>
      </c>
      <c r="F136" s="1" t="s">
        <v>548</v>
      </c>
      <c r="I136" s="10" t="s">
        <v>3</v>
      </c>
      <c r="J136" s="118" t="s">
        <v>3</v>
      </c>
      <c r="K136" s="1" t="s">
        <v>1090</v>
      </c>
      <c r="M136" s="5">
        <v>202006</v>
      </c>
      <c r="N136" s="5">
        <f>INDEX(rrcworking[Formation Production (MCF) @ 14.65 psi],MATCH('June 2020 EDI'!F136,rrcworking[RRC ID],0))</f>
        <v>0</v>
      </c>
      <c r="O136" s="5">
        <f>INDEX(rrcworking[Lease Use (MCF)],MATCH('June 2020 EDI'!F136,rrcworking[RRC ID],0))</f>
        <v>0</v>
      </c>
      <c r="P136" s="5">
        <f>INDEX(rrcworking[Gas Sales Statement Volume (MCF)],MATCH('June 2020 EDI'!F136,rrcworking[RRC ID],0))</f>
        <v>0</v>
      </c>
      <c r="R136" s="242">
        <f>INDEX(rrcworking[Flared Gas],MATCH('June 2020 EDI'!F136,rrcworking[RRC ID],0))</f>
        <v>0</v>
      </c>
      <c r="Y136" s="5">
        <f>INDEX(rrcworking[Oil Production],MATCH('June 2020 EDI'!F136,rrcworking[RRC ID],0))</f>
        <v>0</v>
      </c>
      <c r="AA136" s="5">
        <f>INDEX(rrcworking[Sales/Dispostion],MATCH('June 2020 EDI'!F136,rrcworking[RRC ID],0))</f>
        <v>0</v>
      </c>
      <c r="AQ136" s="5">
        <f>INDEX(rrcworking[Closing Stock (Oil)],MATCH('June 2020 EDI'!F136,rrcworking[RRC ID],0))</f>
        <v>0</v>
      </c>
    </row>
    <row r="137" spans="1:43">
      <c r="A137" s="4" t="s">
        <v>1</v>
      </c>
      <c r="B137" s="1" t="s">
        <v>1034</v>
      </c>
      <c r="C137" s="10" t="s">
        <v>909</v>
      </c>
      <c r="D137" s="1" t="s">
        <v>618</v>
      </c>
      <c r="E137" s="1" t="s">
        <v>2</v>
      </c>
      <c r="F137" s="1" t="s">
        <v>549</v>
      </c>
      <c r="I137" s="10" t="s">
        <v>3</v>
      </c>
      <c r="J137" s="118" t="s">
        <v>3</v>
      </c>
      <c r="K137" s="1" t="s">
        <v>1090</v>
      </c>
      <c r="M137" s="5">
        <v>202006</v>
      </c>
      <c r="N137" s="5">
        <f>INDEX(rrcworking[Formation Production (MCF) @ 14.65 psi],MATCH('June 2020 EDI'!F137,rrcworking[RRC ID],0))</f>
        <v>0</v>
      </c>
      <c r="O137" s="5">
        <f>INDEX(rrcworking[Lease Use (MCF)],MATCH('June 2020 EDI'!F137,rrcworking[RRC ID],0))</f>
        <v>0</v>
      </c>
      <c r="P137" s="5">
        <f>INDEX(rrcworking[Gas Sales Statement Volume (MCF)],MATCH('June 2020 EDI'!F137,rrcworking[RRC ID],0))</f>
        <v>0</v>
      </c>
      <c r="R137" s="242">
        <f>INDEX(rrcworking[Flared Gas],MATCH('June 2020 EDI'!F137,rrcworking[RRC ID],0))</f>
        <v>0</v>
      </c>
      <c r="Y137" s="5">
        <f>INDEX(rrcworking[Oil Production],MATCH('June 2020 EDI'!F137,rrcworking[RRC ID],0))</f>
        <v>0</v>
      </c>
      <c r="AA137" s="5">
        <f>INDEX(rrcworking[Sales/Dispostion],MATCH('June 2020 EDI'!F137,rrcworking[RRC ID],0))</f>
        <v>0</v>
      </c>
      <c r="AQ137" s="5">
        <f>INDEX(rrcworking[Closing Stock (Oil)],MATCH('June 2020 EDI'!F137,rrcworking[RRC ID],0))</f>
        <v>0</v>
      </c>
    </row>
    <row r="138" spans="1:43">
      <c r="A138" s="4" t="s">
        <v>1</v>
      </c>
      <c r="B138" s="1" t="s">
        <v>1035</v>
      </c>
      <c r="C138" s="10" t="s">
        <v>909</v>
      </c>
      <c r="D138" s="1" t="s">
        <v>618</v>
      </c>
      <c r="E138" s="1" t="s">
        <v>59</v>
      </c>
      <c r="F138" s="1" t="s">
        <v>550</v>
      </c>
      <c r="I138" s="10" t="s">
        <v>3</v>
      </c>
      <c r="J138" s="118" t="s">
        <v>3</v>
      </c>
      <c r="K138" s="1" t="s">
        <v>1090</v>
      </c>
      <c r="M138" s="5">
        <v>202006</v>
      </c>
      <c r="N138" s="5">
        <f>INDEX(rrcworking[Formation Production (MCF) @ 14.65 psi],MATCH('June 2020 EDI'!F138,rrcworking[RRC ID],0))</f>
        <v>0</v>
      </c>
      <c r="O138" s="5">
        <f>INDEX(rrcworking[Lease Use (MCF)],MATCH('June 2020 EDI'!F138,rrcworking[RRC ID],0))</f>
        <v>0</v>
      </c>
      <c r="P138" s="5">
        <f>INDEX(rrcworking[Gas Sales Statement Volume (MCF)],MATCH('June 2020 EDI'!F138,rrcworking[RRC ID],0))</f>
        <v>0</v>
      </c>
      <c r="R138" s="242">
        <f>INDEX(rrcworking[Flared Gas],MATCH('June 2020 EDI'!F138,rrcworking[RRC ID],0))</f>
        <v>0</v>
      </c>
      <c r="Y138" s="5">
        <f>INDEX(rrcworking[Oil Production],MATCH('June 2020 EDI'!F138,rrcworking[RRC ID],0))</f>
        <v>0</v>
      </c>
      <c r="AA138" s="5">
        <f>INDEX(rrcworking[Sales/Dispostion],MATCH('June 2020 EDI'!F138,rrcworking[RRC ID],0))</f>
        <v>0</v>
      </c>
      <c r="AQ138" s="5">
        <f>INDEX(rrcworking[Closing Stock (Oil)],MATCH('June 2020 EDI'!F138,rrcworking[RRC ID],0))</f>
        <v>135</v>
      </c>
    </row>
    <row r="139" spans="1:43">
      <c r="A139" s="4" t="s">
        <v>1</v>
      </c>
      <c r="B139" s="1" t="s">
        <v>1036</v>
      </c>
      <c r="C139" s="10" t="s">
        <v>909</v>
      </c>
      <c r="D139" s="1" t="s">
        <v>618</v>
      </c>
      <c r="E139" s="1" t="s">
        <v>59</v>
      </c>
      <c r="F139" s="1" t="s">
        <v>551</v>
      </c>
      <c r="I139" s="10" t="s">
        <v>3</v>
      </c>
      <c r="J139" s="118" t="s">
        <v>3</v>
      </c>
      <c r="K139" s="1" t="s">
        <v>1090</v>
      </c>
      <c r="M139" s="5">
        <v>202006</v>
      </c>
      <c r="N139" s="5">
        <f>INDEX(rrcworking[Formation Production (MCF) @ 14.65 psi],MATCH('June 2020 EDI'!F139,rrcworking[RRC ID],0))</f>
        <v>0</v>
      </c>
      <c r="O139" s="5">
        <f>INDEX(rrcworking[Lease Use (MCF)],MATCH('June 2020 EDI'!F139,rrcworking[RRC ID],0))</f>
        <v>0</v>
      </c>
      <c r="P139" s="5">
        <f>INDEX(rrcworking[Gas Sales Statement Volume (MCF)],MATCH('June 2020 EDI'!F139,rrcworking[RRC ID],0))</f>
        <v>0</v>
      </c>
      <c r="R139" s="242">
        <f>INDEX(rrcworking[Flared Gas],MATCH('June 2020 EDI'!F139,rrcworking[RRC ID],0))</f>
        <v>0</v>
      </c>
      <c r="Y139" s="5">
        <f>INDEX(rrcworking[Oil Production],MATCH('June 2020 EDI'!F139,rrcworking[RRC ID],0))</f>
        <v>0</v>
      </c>
      <c r="AA139" s="5">
        <f>INDEX(rrcworking[Sales/Dispostion],MATCH('June 2020 EDI'!F139,rrcworking[RRC ID],0))</f>
        <v>0</v>
      </c>
      <c r="AQ139" s="5">
        <f>INDEX(rrcworking[Closing Stock (Oil)],MATCH('June 2020 EDI'!F139,rrcworking[RRC ID],0))</f>
        <v>134</v>
      </c>
    </row>
    <row r="140" spans="1:43">
      <c r="A140" s="4" t="s">
        <v>1</v>
      </c>
      <c r="B140" s="1" t="s">
        <v>1037</v>
      </c>
      <c r="C140" s="10" t="s">
        <v>909</v>
      </c>
      <c r="D140" s="1" t="s">
        <v>619</v>
      </c>
      <c r="E140" s="1" t="s">
        <v>59</v>
      </c>
      <c r="F140" s="1" t="s">
        <v>552</v>
      </c>
      <c r="I140" s="10" t="s">
        <v>3</v>
      </c>
      <c r="J140" s="118" t="s">
        <v>3</v>
      </c>
      <c r="K140" s="1" t="s">
        <v>1090</v>
      </c>
      <c r="M140" s="5">
        <v>202006</v>
      </c>
      <c r="N140" s="5">
        <f>INDEX(rrcworking[Formation Production (MCF) @ 14.65 psi],MATCH('June 2020 EDI'!F140,rrcworking[RRC ID],0))</f>
        <v>0</v>
      </c>
      <c r="O140" s="5">
        <f>INDEX(rrcworking[Lease Use (MCF)],MATCH('June 2020 EDI'!F140,rrcworking[RRC ID],0))</f>
        <v>0</v>
      </c>
      <c r="P140" s="5">
        <f>INDEX(rrcworking[Gas Sales Statement Volume (MCF)],MATCH('June 2020 EDI'!F140,rrcworking[RRC ID],0))</f>
        <v>0</v>
      </c>
      <c r="R140" s="242">
        <f>INDEX(rrcworking[Flared Gas],MATCH('June 2020 EDI'!F140,rrcworking[RRC ID],0))</f>
        <v>0</v>
      </c>
      <c r="Y140" s="5">
        <f>INDEX(rrcworking[Oil Production],MATCH('June 2020 EDI'!F140,rrcworking[RRC ID],0))</f>
        <v>0</v>
      </c>
      <c r="AA140" s="5">
        <f>INDEX(rrcworking[Sales/Dispostion],MATCH('June 2020 EDI'!F140,rrcworking[RRC ID],0))</f>
        <v>0</v>
      </c>
      <c r="AQ140" s="5">
        <f>INDEX(rrcworking[Closing Stock (Oil)],MATCH('June 2020 EDI'!F140,rrcworking[RRC ID],0))</f>
        <v>0</v>
      </c>
    </row>
    <row r="141" spans="1:43">
      <c r="A141" s="4" t="s">
        <v>1</v>
      </c>
      <c r="B141" s="1" t="s">
        <v>1038</v>
      </c>
      <c r="C141" s="10" t="s">
        <v>909</v>
      </c>
      <c r="D141" s="1" t="s">
        <v>619</v>
      </c>
      <c r="E141" s="1" t="s">
        <v>2</v>
      </c>
      <c r="F141" s="1" t="s">
        <v>553</v>
      </c>
      <c r="I141" s="10" t="s">
        <v>3</v>
      </c>
      <c r="J141" s="118" t="s">
        <v>3</v>
      </c>
      <c r="K141" s="1" t="s">
        <v>1090</v>
      </c>
      <c r="M141" s="5">
        <v>202006</v>
      </c>
      <c r="N141" s="5">
        <f>INDEX(rrcworking[Formation Production (MCF) @ 14.65 psi],MATCH('June 2020 EDI'!F141,rrcworking[RRC ID],0))</f>
        <v>238</v>
      </c>
      <c r="O141" s="5">
        <f>INDEX(rrcworking[Lease Use (MCF)],MATCH('June 2020 EDI'!F141,rrcworking[RRC ID],0))</f>
        <v>0</v>
      </c>
      <c r="P141" s="5">
        <f>INDEX(rrcworking[Gas Sales Statement Volume (MCF)],MATCH('June 2020 EDI'!F141,rrcworking[RRC ID],0))</f>
        <v>238</v>
      </c>
      <c r="R141" s="242">
        <f>INDEX(rrcworking[Flared Gas],MATCH('June 2020 EDI'!F141,rrcworking[RRC ID],0))</f>
        <v>0</v>
      </c>
      <c r="Y141" s="5">
        <f>INDEX(rrcworking[Oil Production],MATCH('June 2020 EDI'!F141,rrcworking[RRC ID],0))</f>
        <v>68</v>
      </c>
      <c r="AA141" s="5">
        <f>INDEX(rrcworking[Sales/Dispostion],MATCH('June 2020 EDI'!F141,rrcworking[RRC ID],0))</f>
        <v>0</v>
      </c>
      <c r="AQ141" s="5">
        <f>INDEX(rrcworking[Closing Stock (Oil)],MATCH('June 2020 EDI'!F141,rrcworking[RRC ID],0))</f>
        <v>223</v>
      </c>
    </row>
    <row r="142" spans="1:43">
      <c r="A142" s="4" t="s">
        <v>1</v>
      </c>
      <c r="B142" s="1" t="s">
        <v>1039</v>
      </c>
      <c r="C142" s="10" t="s">
        <v>909</v>
      </c>
      <c r="D142" s="1" t="s">
        <v>619</v>
      </c>
      <c r="E142" s="1" t="s">
        <v>59</v>
      </c>
      <c r="F142" s="1" t="s">
        <v>554</v>
      </c>
      <c r="I142" s="10" t="s">
        <v>3</v>
      </c>
      <c r="J142" s="118" t="s">
        <v>3</v>
      </c>
      <c r="K142" s="1" t="s">
        <v>1090</v>
      </c>
      <c r="M142" s="5">
        <v>202006</v>
      </c>
      <c r="N142" s="5">
        <f>INDEX(rrcworking[Formation Production (MCF) @ 14.65 psi],MATCH('June 2020 EDI'!F142,rrcworking[RRC ID],0))</f>
        <v>0</v>
      </c>
      <c r="O142" s="5">
        <f>INDEX(rrcworking[Lease Use (MCF)],MATCH('June 2020 EDI'!F142,rrcworking[RRC ID],0))</f>
        <v>0</v>
      </c>
      <c r="P142" s="5">
        <f>INDEX(rrcworking[Gas Sales Statement Volume (MCF)],MATCH('June 2020 EDI'!F142,rrcworking[RRC ID],0))</f>
        <v>0</v>
      </c>
      <c r="R142" s="242">
        <f>INDEX(rrcworking[Flared Gas],MATCH('June 2020 EDI'!F142,rrcworking[RRC ID],0))</f>
        <v>0</v>
      </c>
      <c r="Y142" s="5">
        <f>INDEX(rrcworking[Oil Production],MATCH('June 2020 EDI'!F142,rrcworking[RRC ID],0))</f>
        <v>0</v>
      </c>
      <c r="AA142" s="5">
        <f>INDEX(rrcworking[Sales/Dispostion],MATCH('June 2020 EDI'!F142,rrcworking[RRC ID],0))</f>
        <v>0</v>
      </c>
      <c r="AQ142" s="5">
        <f>INDEX(rrcworking[Closing Stock (Oil)],MATCH('June 2020 EDI'!F142,rrcworking[RRC ID],0))</f>
        <v>0</v>
      </c>
    </row>
    <row r="143" spans="1:43">
      <c r="A143" s="4" t="s">
        <v>1</v>
      </c>
      <c r="B143" s="1" t="s">
        <v>1040</v>
      </c>
      <c r="C143" s="10" t="s">
        <v>909</v>
      </c>
      <c r="D143" s="1" t="s">
        <v>619</v>
      </c>
      <c r="E143" s="1" t="s">
        <v>2</v>
      </c>
      <c r="F143" s="1" t="s">
        <v>555</v>
      </c>
      <c r="I143" s="10" t="s">
        <v>3</v>
      </c>
      <c r="J143" s="118" t="s">
        <v>3</v>
      </c>
      <c r="K143" s="1" t="s">
        <v>1090</v>
      </c>
      <c r="M143" s="5">
        <v>202006</v>
      </c>
      <c r="N143" s="5">
        <f>INDEX(rrcworking[Formation Production (MCF) @ 14.65 psi],MATCH('June 2020 EDI'!F143,rrcworking[RRC ID],0))</f>
        <v>0</v>
      </c>
      <c r="O143" s="5">
        <f>INDEX(rrcworking[Lease Use (MCF)],MATCH('June 2020 EDI'!F143,rrcworking[RRC ID],0))</f>
        <v>0</v>
      </c>
      <c r="P143" s="5">
        <f>INDEX(rrcworking[Gas Sales Statement Volume (MCF)],MATCH('June 2020 EDI'!F143,rrcworking[RRC ID],0))</f>
        <v>0</v>
      </c>
      <c r="R143" s="242">
        <f>INDEX(rrcworking[Flared Gas],MATCH('June 2020 EDI'!F143,rrcworking[RRC ID],0))</f>
        <v>0</v>
      </c>
      <c r="Y143" s="5">
        <f>INDEX(rrcworking[Oil Production],MATCH('June 2020 EDI'!F143,rrcworking[RRC ID],0))</f>
        <v>0</v>
      </c>
      <c r="AA143" s="5">
        <f>INDEX(rrcworking[Sales/Dispostion],MATCH('June 2020 EDI'!F143,rrcworking[RRC ID],0))</f>
        <v>0</v>
      </c>
      <c r="AQ143" s="5">
        <f>INDEX(rrcworking[Closing Stock (Oil)],MATCH('June 2020 EDI'!F143,rrcworking[RRC ID],0))</f>
        <v>235</v>
      </c>
    </row>
    <row r="144" spans="1:43">
      <c r="A144" s="4" t="s">
        <v>1</v>
      </c>
      <c r="B144" s="1" t="s">
        <v>1041</v>
      </c>
      <c r="C144" s="10" t="s">
        <v>909</v>
      </c>
      <c r="D144" s="1" t="s">
        <v>619</v>
      </c>
      <c r="E144" s="1" t="s">
        <v>59</v>
      </c>
      <c r="F144" s="1" t="s">
        <v>556</v>
      </c>
      <c r="I144" s="10" t="s">
        <v>3</v>
      </c>
      <c r="J144" s="118" t="s">
        <v>3</v>
      </c>
      <c r="K144" s="1" t="s">
        <v>1090</v>
      </c>
      <c r="M144" s="5">
        <v>202006</v>
      </c>
      <c r="N144" s="5">
        <f>INDEX(rrcworking[Formation Production (MCF) @ 14.65 psi],MATCH('June 2020 EDI'!F144,rrcworking[RRC ID],0))</f>
        <v>280</v>
      </c>
      <c r="O144" s="5">
        <f>INDEX(rrcworking[Lease Use (MCF)],MATCH('June 2020 EDI'!F144,rrcworking[RRC ID],0))</f>
        <v>280</v>
      </c>
      <c r="P144" s="5">
        <f>INDEX(rrcworking[Gas Sales Statement Volume (MCF)],MATCH('June 2020 EDI'!F144,rrcworking[RRC ID],0))</f>
        <v>0</v>
      </c>
      <c r="R144" s="242">
        <f>INDEX(rrcworking[Flared Gas],MATCH('June 2020 EDI'!F144,rrcworking[RRC ID],0))</f>
        <v>0</v>
      </c>
      <c r="Y144" s="5">
        <f>INDEX(rrcworking[Oil Production],MATCH('June 2020 EDI'!F144,rrcworking[RRC ID],0))</f>
        <v>0</v>
      </c>
      <c r="AA144" s="5">
        <f>INDEX(rrcworking[Sales/Dispostion],MATCH('June 2020 EDI'!F144,rrcworking[RRC ID],0))</f>
        <v>0</v>
      </c>
      <c r="AQ144" s="5">
        <f>INDEX(rrcworking[Closing Stock (Oil)],MATCH('June 2020 EDI'!F144,rrcworking[RRC ID],0))</f>
        <v>0</v>
      </c>
    </row>
    <row r="145" spans="1:43">
      <c r="A145" s="4" t="s">
        <v>1</v>
      </c>
      <c r="B145" s="1" t="s">
        <v>1042</v>
      </c>
      <c r="C145" s="10" t="s">
        <v>909</v>
      </c>
      <c r="D145" s="1" t="s">
        <v>619</v>
      </c>
      <c r="E145" s="1" t="s">
        <v>59</v>
      </c>
      <c r="F145" s="1" t="s">
        <v>557</v>
      </c>
      <c r="I145" s="10" t="s">
        <v>3</v>
      </c>
      <c r="J145" s="118" t="s">
        <v>3</v>
      </c>
      <c r="K145" s="1" t="s">
        <v>1090</v>
      </c>
      <c r="M145" s="5">
        <v>202006</v>
      </c>
      <c r="N145" s="5">
        <f>INDEX(rrcworking[Formation Production (MCF) @ 14.65 psi],MATCH('June 2020 EDI'!F145,rrcworking[RRC ID],0))</f>
        <v>0</v>
      </c>
      <c r="O145" s="5">
        <f>INDEX(rrcworking[Lease Use (MCF)],MATCH('June 2020 EDI'!F145,rrcworking[RRC ID],0))</f>
        <v>0</v>
      </c>
      <c r="P145" s="5">
        <f>INDEX(rrcworking[Gas Sales Statement Volume (MCF)],MATCH('June 2020 EDI'!F145,rrcworking[RRC ID],0))</f>
        <v>0</v>
      </c>
      <c r="R145" s="242">
        <f>INDEX(rrcworking[Flared Gas],MATCH('June 2020 EDI'!F145,rrcworking[RRC ID],0))</f>
        <v>0</v>
      </c>
      <c r="Y145" s="5">
        <f>INDEX(rrcworking[Oil Production],MATCH('June 2020 EDI'!F145,rrcworking[RRC ID],0))</f>
        <v>0</v>
      </c>
      <c r="AA145" s="5">
        <f>INDEX(rrcworking[Sales/Dispostion],MATCH('June 2020 EDI'!F145,rrcworking[RRC ID],0))</f>
        <v>0</v>
      </c>
      <c r="AQ145" s="5">
        <f>INDEX(rrcworking[Closing Stock (Oil)],MATCH('June 2020 EDI'!F145,rrcworking[RRC ID],0))</f>
        <v>0</v>
      </c>
    </row>
    <row r="146" spans="1:43">
      <c r="A146" s="4" t="s">
        <v>1</v>
      </c>
      <c r="B146" s="1" t="s">
        <v>1043</v>
      </c>
      <c r="C146" s="10" t="s">
        <v>909</v>
      </c>
      <c r="D146" s="1" t="s">
        <v>619</v>
      </c>
      <c r="E146" s="1" t="s">
        <v>2</v>
      </c>
      <c r="F146" s="1" t="s">
        <v>558</v>
      </c>
      <c r="I146" s="10" t="s">
        <v>3</v>
      </c>
      <c r="J146" s="118" t="s">
        <v>3</v>
      </c>
      <c r="K146" s="1" t="s">
        <v>1090</v>
      </c>
      <c r="M146" s="5">
        <v>202006</v>
      </c>
      <c r="N146" s="5">
        <f>INDEX(rrcworking[Formation Production (MCF) @ 14.65 psi],MATCH('June 2020 EDI'!F146,rrcworking[RRC ID],0))</f>
        <v>0</v>
      </c>
      <c r="O146" s="5">
        <f>INDEX(rrcworking[Lease Use (MCF)],MATCH('June 2020 EDI'!F146,rrcworking[RRC ID],0))</f>
        <v>0</v>
      </c>
      <c r="P146" s="5">
        <f>INDEX(rrcworking[Gas Sales Statement Volume (MCF)],MATCH('June 2020 EDI'!F146,rrcworking[RRC ID],0))</f>
        <v>0</v>
      </c>
      <c r="R146" s="242">
        <f>INDEX(rrcworking[Flared Gas],MATCH('June 2020 EDI'!F146,rrcworking[RRC ID],0))</f>
        <v>0</v>
      </c>
      <c r="Y146" s="5">
        <f>INDEX(rrcworking[Oil Production],MATCH('June 2020 EDI'!F146,rrcworking[RRC ID],0))</f>
        <v>0</v>
      </c>
      <c r="AA146" s="5">
        <f>INDEX(rrcworking[Sales/Dispostion],MATCH('June 2020 EDI'!F146,rrcworking[RRC ID],0))</f>
        <v>0</v>
      </c>
      <c r="AQ146" s="5">
        <f>INDEX(rrcworking[Closing Stock (Oil)],MATCH('June 2020 EDI'!F146,rrcworking[RRC ID],0))</f>
        <v>90</v>
      </c>
    </row>
    <row r="147" spans="1:43">
      <c r="A147" s="4" t="s">
        <v>1</v>
      </c>
      <c r="B147" s="1" t="s">
        <v>1044</v>
      </c>
      <c r="C147" s="10" t="s">
        <v>909</v>
      </c>
      <c r="D147" s="1" t="s">
        <v>619</v>
      </c>
      <c r="E147" s="1" t="s">
        <v>59</v>
      </c>
      <c r="F147" s="1" t="s">
        <v>559</v>
      </c>
      <c r="I147" s="10" t="s">
        <v>3</v>
      </c>
      <c r="J147" s="118" t="s">
        <v>3</v>
      </c>
      <c r="K147" s="1" t="s">
        <v>1090</v>
      </c>
      <c r="M147" s="5">
        <v>202006</v>
      </c>
      <c r="N147" s="5">
        <f>INDEX(rrcworking[Formation Production (MCF) @ 14.65 psi],MATCH('June 2020 EDI'!F147,rrcworking[RRC ID],0))</f>
        <v>0</v>
      </c>
      <c r="O147" s="5">
        <f>INDEX(rrcworking[Lease Use (MCF)],MATCH('June 2020 EDI'!F147,rrcworking[RRC ID],0))</f>
        <v>0</v>
      </c>
      <c r="P147" s="5">
        <f>INDEX(rrcworking[Gas Sales Statement Volume (MCF)],MATCH('June 2020 EDI'!F147,rrcworking[RRC ID],0))</f>
        <v>0</v>
      </c>
      <c r="R147" s="242">
        <f>INDEX(rrcworking[Flared Gas],MATCH('June 2020 EDI'!F147,rrcworking[RRC ID],0))</f>
        <v>0</v>
      </c>
      <c r="Y147" s="5">
        <f>INDEX(rrcworking[Oil Production],MATCH('June 2020 EDI'!F147,rrcworking[RRC ID],0))</f>
        <v>0</v>
      </c>
      <c r="AA147" s="5">
        <f>INDEX(rrcworking[Sales/Dispostion],MATCH('June 2020 EDI'!F147,rrcworking[RRC ID],0))</f>
        <v>0</v>
      </c>
      <c r="AQ147" s="5">
        <f>INDEX(rrcworking[Closing Stock (Oil)],MATCH('June 2020 EDI'!F147,rrcworking[RRC ID],0))</f>
        <v>0</v>
      </c>
    </row>
    <row r="148" spans="1:43">
      <c r="A148" s="4" t="s">
        <v>1</v>
      </c>
      <c r="B148" s="1" t="s">
        <v>1045</v>
      </c>
      <c r="C148" s="10" t="s">
        <v>909</v>
      </c>
      <c r="D148" s="1" t="s">
        <v>619</v>
      </c>
      <c r="E148" s="1" t="s">
        <v>2</v>
      </c>
      <c r="F148" s="1" t="s">
        <v>560</v>
      </c>
      <c r="I148" s="10" t="s">
        <v>3</v>
      </c>
      <c r="J148" s="118" t="s">
        <v>3</v>
      </c>
      <c r="K148" s="1" t="s">
        <v>1090</v>
      </c>
      <c r="M148" s="5">
        <v>202006</v>
      </c>
      <c r="N148" s="5">
        <f>INDEX(rrcworking[Formation Production (MCF) @ 14.65 psi],MATCH('June 2020 EDI'!F148,rrcworking[RRC ID],0))</f>
        <v>0</v>
      </c>
      <c r="O148" s="5">
        <f>INDEX(rrcworking[Lease Use (MCF)],MATCH('June 2020 EDI'!F148,rrcworking[RRC ID],0))</f>
        <v>0</v>
      </c>
      <c r="P148" s="5">
        <f>INDEX(rrcworking[Gas Sales Statement Volume (MCF)],MATCH('June 2020 EDI'!F148,rrcworking[RRC ID],0))</f>
        <v>0</v>
      </c>
      <c r="R148" s="242">
        <f>INDEX(rrcworking[Flared Gas],MATCH('June 2020 EDI'!F148,rrcworking[RRC ID],0))</f>
        <v>0</v>
      </c>
      <c r="Y148" s="5">
        <f>INDEX(rrcworking[Oil Production],MATCH('June 2020 EDI'!F148,rrcworking[RRC ID],0))</f>
        <v>0</v>
      </c>
      <c r="AA148" s="5">
        <f>INDEX(rrcworking[Sales/Dispostion],MATCH('June 2020 EDI'!F148,rrcworking[RRC ID],0))</f>
        <v>0</v>
      </c>
      <c r="AQ148" s="5">
        <f>INDEX(rrcworking[Closing Stock (Oil)],MATCH('June 2020 EDI'!F148,rrcworking[RRC ID],0))</f>
        <v>0</v>
      </c>
    </row>
    <row r="149" spans="1:43">
      <c r="A149" s="4" t="s">
        <v>1</v>
      </c>
      <c r="B149" s="1" t="s">
        <v>1046</v>
      </c>
      <c r="C149" s="10" t="s">
        <v>909</v>
      </c>
      <c r="D149" s="1" t="s">
        <v>619</v>
      </c>
      <c r="E149" s="1" t="s">
        <v>59</v>
      </c>
      <c r="F149" s="1" t="s">
        <v>561</v>
      </c>
      <c r="I149" s="10" t="s">
        <v>3</v>
      </c>
      <c r="J149" s="118" t="s">
        <v>3</v>
      </c>
      <c r="K149" s="1" t="s">
        <v>1090</v>
      </c>
      <c r="M149" s="5">
        <v>202006</v>
      </c>
      <c r="N149" s="5">
        <f>INDEX(rrcworking[Formation Production (MCF) @ 14.65 psi],MATCH('June 2020 EDI'!F149,rrcworking[RRC ID],0))</f>
        <v>5679</v>
      </c>
      <c r="O149" s="5">
        <f>INDEX(rrcworking[Lease Use (MCF)],MATCH('June 2020 EDI'!F149,rrcworking[RRC ID],0))</f>
        <v>202</v>
      </c>
      <c r="P149" s="5">
        <f>INDEX(rrcworking[Gas Sales Statement Volume (MCF)],MATCH('June 2020 EDI'!F149,rrcworking[RRC ID],0))</f>
        <v>5477</v>
      </c>
      <c r="R149" s="242">
        <f>INDEX(rrcworking[Flared Gas],MATCH('June 2020 EDI'!F149,rrcworking[RRC ID],0))</f>
        <v>0</v>
      </c>
      <c r="Y149" s="5">
        <f>INDEX(rrcworking[Oil Production],MATCH('June 2020 EDI'!F149,rrcworking[RRC ID],0))</f>
        <v>0</v>
      </c>
      <c r="AA149" s="5">
        <f>INDEX(rrcworking[Sales/Dispostion],MATCH('June 2020 EDI'!F149,rrcworking[RRC ID],0))</f>
        <v>0</v>
      </c>
      <c r="AQ149" s="5">
        <f>INDEX(rrcworking[Closing Stock (Oil)],MATCH('June 2020 EDI'!F149,rrcworking[RRC ID],0))</f>
        <v>162</v>
      </c>
    </row>
    <row r="150" spans="1:43">
      <c r="A150" s="4" t="s">
        <v>1</v>
      </c>
      <c r="B150" s="1" t="s">
        <v>1047</v>
      </c>
      <c r="C150" s="10" t="s">
        <v>909</v>
      </c>
      <c r="D150" s="1" t="s">
        <v>619</v>
      </c>
      <c r="E150" s="1" t="s">
        <v>59</v>
      </c>
      <c r="F150" s="1" t="s">
        <v>562</v>
      </c>
      <c r="I150" s="10" t="s">
        <v>3</v>
      </c>
      <c r="J150" s="118" t="s">
        <v>3</v>
      </c>
      <c r="K150" s="1" t="s">
        <v>1090</v>
      </c>
      <c r="M150" s="5">
        <v>202006</v>
      </c>
      <c r="N150" s="5">
        <f>INDEX(rrcworking[Formation Production (MCF) @ 14.65 psi],MATCH('June 2020 EDI'!F150,rrcworking[RRC ID],0))</f>
        <v>2354</v>
      </c>
      <c r="O150" s="5">
        <f>INDEX(rrcworking[Lease Use (MCF)],MATCH('June 2020 EDI'!F150,rrcworking[RRC ID],0))</f>
        <v>84</v>
      </c>
      <c r="P150" s="5">
        <f>INDEX(rrcworking[Gas Sales Statement Volume (MCF)],MATCH('June 2020 EDI'!F150,rrcworking[RRC ID],0))</f>
        <v>2270</v>
      </c>
      <c r="R150" s="242">
        <f>INDEX(rrcworking[Flared Gas],MATCH('June 2020 EDI'!F150,rrcworking[RRC ID],0))</f>
        <v>0</v>
      </c>
      <c r="Y150" s="5">
        <f>INDEX(rrcworking[Oil Production],MATCH('June 2020 EDI'!F150,rrcworking[RRC ID],0))</f>
        <v>0</v>
      </c>
      <c r="AA150" s="5">
        <f>INDEX(rrcworking[Sales/Dispostion],MATCH('June 2020 EDI'!F150,rrcworking[RRC ID],0))</f>
        <v>0</v>
      </c>
      <c r="AQ150" s="5">
        <f>INDEX(rrcworking[Closing Stock (Oil)],MATCH('June 2020 EDI'!F150,rrcworking[RRC ID],0))</f>
        <v>0</v>
      </c>
    </row>
    <row r="151" spans="1:43">
      <c r="A151" s="4" t="s">
        <v>1</v>
      </c>
      <c r="B151" s="1" t="s">
        <v>1048</v>
      </c>
      <c r="C151" s="10" t="s">
        <v>909</v>
      </c>
      <c r="D151" s="1" t="s">
        <v>619</v>
      </c>
      <c r="E151" s="1" t="s">
        <v>59</v>
      </c>
      <c r="F151" s="1" t="s">
        <v>563</v>
      </c>
      <c r="I151" s="10" t="s">
        <v>3</v>
      </c>
      <c r="J151" s="118" t="s">
        <v>3</v>
      </c>
      <c r="K151" s="1" t="s">
        <v>1090</v>
      </c>
      <c r="M151" s="5">
        <v>202006</v>
      </c>
      <c r="N151" s="5">
        <f>INDEX(rrcworking[Formation Production (MCF) @ 14.65 psi],MATCH('June 2020 EDI'!F151,rrcworking[RRC ID],0))</f>
        <v>6905</v>
      </c>
      <c r="O151" s="5">
        <f>INDEX(rrcworking[Lease Use (MCF)],MATCH('June 2020 EDI'!F151,rrcworking[RRC ID],0))</f>
        <v>281</v>
      </c>
      <c r="P151" s="5">
        <f>INDEX(rrcworking[Gas Sales Statement Volume (MCF)],MATCH('June 2020 EDI'!F151,rrcworking[RRC ID],0))</f>
        <v>6624</v>
      </c>
      <c r="R151" s="242">
        <f>INDEX(rrcworking[Flared Gas],MATCH('June 2020 EDI'!F151,rrcworking[RRC ID],0))</f>
        <v>0</v>
      </c>
      <c r="Y151" s="5">
        <f>INDEX(rrcworking[Oil Production],MATCH('June 2020 EDI'!F151,rrcworking[RRC ID],0))</f>
        <v>0</v>
      </c>
      <c r="AA151" s="5">
        <f>INDEX(rrcworking[Sales/Dispostion],MATCH('June 2020 EDI'!F151,rrcworking[RRC ID],0))</f>
        <v>0</v>
      </c>
      <c r="AQ151" s="5">
        <f>INDEX(rrcworking[Closing Stock (Oil)],MATCH('June 2020 EDI'!F151,rrcworking[RRC ID],0))</f>
        <v>24</v>
      </c>
    </row>
    <row r="152" spans="1:43">
      <c r="A152" s="4" t="s">
        <v>1</v>
      </c>
      <c r="B152" s="1" t="s">
        <v>1049</v>
      </c>
      <c r="C152" s="10" t="s">
        <v>909</v>
      </c>
      <c r="D152" s="1" t="s">
        <v>619</v>
      </c>
      <c r="E152" s="1" t="s">
        <v>59</v>
      </c>
      <c r="F152" s="1" t="s">
        <v>564</v>
      </c>
      <c r="I152" s="10" t="s">
        <v>3</v>
      </c>
      <c r="J152" s="118" t="s">
        <v>3</v>
      </c>
      <c r="K152" s="1" t="s">
        <v>1090</v>
      </c>
      <c r="M152" s="5">
        <v>202006</v>
      </c>
      <c r="N152" s="5">
        <f>INDEX(rrcworking[Formation Production (MCF) @ 14.65 psi],MATCH('June 2020 EDI'!F152,rrcworking[RRC ID],0))</f>
        <v>245</v>
      </c>
      <c r="O152" s="5">
        <f>INDEX(rrcworking[Lease Use (MCF)],MATCH('June 2020 EDI'!F152,rrcworking[RRC ID],0))</f>
        <v>10</v>
      </c>
      <c r="P152" s="5">
        <f>INDEX(rrcworking[Gas Sales Statement Volume (MCF)],MATCH('June 2020 EDI'!F152,rrcworking[RRC ID],0))</f>
        <v>235</v>
      </c>
      <c r="R152" s="242">
        <f>INDEX(rrcworking[Flared Gas],MATCH('June 2020 EDI'!F152,rrcworking[RRC ID],0))</f>
        <v>0</v>
      </c>
      <c r="Y152" s="5">
        <f>INDEX(rrcworking[Oil Production],MATCH('June 2020 EDI'!F152,rrcworking[RRC ID],0))</f>
        <v>0</v>
      </c>
      <c r="AA152" s="5">
        <f>INDEX(rrcworking[Sales/Dispostion],MATCH('June 2020 EDI'!F152,rrcworking[RRC ID],0))</f>
        <v>0</v>
      </c>
      <c r="AQ152" s="5">
        <f>INDEX(rrcworking[Closing Stock (Oil)],MATCH('June 2020 EDI'!F152,rrcworking[RRC ID],0))</f>
        <v>0</v>
      </c>
    </row>
    <row r="153" spans="1:43">
      <c r="A153" s="4" t="s">
        <v>1</v>
      </c>
      <c r="B153" s="1" t="s">
        <v>1050</v>
      </c>
      <c r="C153" s="10" t="s">
        <v>909</v>
      </c>
      <c r="D153" s="1" t="s">
        <v>619</v>
      </c>
      <c r="E153" s="1" t="s">
        <v>2</v>
      </c>
      <c r="F153" s="1" t="s">
        <v>565</v>
      </c>
      <c r="I153" s="10" t="s">
        <v>3</v>
      </c>
      <c r="J153" s="118" t="s">
        <v>3</v>
      </c>
      <c r="K153" s="1" t="s">
        <v>1090</v>
      </c>
      <c r="M153" s="5">
        <v>202006</v>
      </c>
      <c r="N153" s="5">
        <f>INDEX(rrcworking[Formation Production (MCF) @ 14.65 psi],MATCH('June 2020 EDI'!F153,rrcworking[RRC ID],0))</f>
        <v>0</v>
      </c>
      <c r="O153" s="5">
        <f>INDEX(rrcworking[Lease Use (MCF)],MATCH('June 2020 EDI'!F153,rrcworking[RRC ID],0))</f>
        <v>0</v>
      </c>
      <c r="P153" s="5">
        <f>INDEX(rrcworking[Gas Sales Statement Volume (MCF)],MATCH('June 2020 EDI'!F153,rrcworking[RRC ID],0))</f>
        <v>0</v>
      </c>
      <c r="R153" s="242">
        <f>INDEX(rrcworking[Flared Gas],MATCH('June 2020 EDI'!F153,rrcworking[RRC ID],0))</f>
        <v>0</v>
      </c>
      <c r="Y153" s="5">
        <f>INDEX(rrcworking[Oil Production],MATCH('June 2020 EDI'!F153,rrcworking[RRC ID],0))</f>
        <v>0</v>
      </c>
      <c r="AA153" s="5">
        <f>INDEX(rrcworking[Sales/Dispostion],MATCH('June 2020 EDI'!F153,rrcworking[RRC ID],0))</f>
        <v>0</v>
      </c>
      <c r="AQ153" s="5">
        <f>INDEX(rrcworking[Closing Stock (Oil)],MATCH('June 2020 EDI'!F153,rrcworking[RRC ID],0))</f>
        <v>47</v>
      </c>
    </row>
    <row r="154" spans="1:43">
      <c r="A154" s="4" t="s">
        <v>1</v>
      </c>
      <c r="B154" s="1" t="s">
        <v>1051</v>
      </c>
      <c r="C154" s="10" t="s">
        <v>909</v>
      </c>
      <c r="D154" s="1" t="s">
        <v>619</v>
      </c>
      <c r="E154" s="1" t="s">
        <v>2</v>
      </c>
      <c r="F154" s="1" t="s">
        <v>566</v>
      </c>
      <c r="I154" s="10" t="s">
        <v>3</v>
      </c>
      <c r="J154" s="118" t="s">
        <v>3</v>
      </c>
      <c r="K154" s="1" t="s">
        <v>1090</v>
      </c>
      <c r="M154" s="5">
        <v>202006</v>
      </c>
      <c r="N154" s="5">
        <f>INDEX(rrcworking[Formation Production (MCF) @ 14.65 psi],MATCH('June 2020 EDI'!F154,rrcworking[RRC ID],0))</f>
        <v>0</v>
      </c>
      <c r="O154" s="5">
        <f>INDEX(rrcworking[Lease Use (MCF)],MATCH('June 2020 EDI'!F154,rrcworking[RRC ID],0))</f>
        <v>0</v>
      </c>
      <c r="P154" s="5">
        <f>INDEX(rrcworking[Gas Sales Statement Volume (MCF)],MATCH('June 2020 EDI'!F154,rrcworking[RRC ID],0))</f>
        <v>0</v>
      </c>
      <c r="R154" s="242">
        <f>INDEX(rrcworking[Flared Gas],MATCH('June 2020 EDI'!F154,rrcworking[RRC ID],0))</f>
        <v>0</v>
      </c>
      <c r="Y154" s="5">
        <f>INDEX(rrcworking[Oil Production],MATCH('June 2020 EDI'!F154,rrcworking[RRC ID],0))</f>
        <v>0</v>
      </c>
      <c r="AA154" s="5">
        <f>INDEX(rrcworking[Sales/Dispostion],MATCH('June 2020 EDI'!F154,rrcworking[RRC ID],0))</f>
        <v>0</v>
      </c>
      <c r="AQ154" s="5">
        <f>INDEX(rrcworking[Closing Stock (Oil)],MATCH('June 2020 EDI'!F154,rrcworking[RRC ID],0))</f>
        <v>52</v>
      </c>
    </row>
    <row r="155" spans="1:43">
      <c r="A155" s="4" t="s">
        <v>1</v>
      </c>
      <c r="B155" s="1" t="s">
        <v>1052</v>
      </c>
      <c r="C155" s="10" t="s">
        <v>909</v>
      </c>
      <c r="D155" s="1" t="s">
        <v>619</v>
      </c>
      <c r="E155" s="1" t="s">
        <v>59</v>
      </c>
      <c r="F155" s="1" t="s">
        <v>567</v>
      </c>
      <c r="I155" s="10" t="s">
        <v>3</v>
      </c>
      <c r="J155" s="118" t="s">
        <v>3</v>
      </c>
      <c r="K155" s="1" t="s">
        <v>1090</v>
      </c>
      <c r="M155" s="5">
        <v>202006</v>
      </c>
      <c r="N155" s="5">
        <f>INDEX(rrcworking[Formation Production (MCF) @ 14.65 psi],MATCH('June 2020 EDI'!F155,rrcworking[RRC ID],0))</f>
        <v>0</v>
      </c>
      <c r="O155" s="5">
        <f>INDEX(rrcworking[Lease Use (MCF)],MATCH('June 2020 EDI'!F155,rrcworking[RRC ID],0))</f>
        <v>0</v>
      </c>
      <c r="P155" s="5">
        <f>INDEX(rrcworking[Gas Sales Statement Volume (MCF)],MATCH('June 2020 EDI'!F155,rrcworking[RRC ID],0))</f>
        <v>0</v>
      </c>
      <c r="R155" s="242">
        <f>INDEX(rrcworking[Flared Gas],MATCH('June 2020 EDI'!F155,rrcworking[RRC ID],0))</f>
        <v>0</v>
      </c>
      <c r="Y155" s="5">
        <f>INDEX(rrcworking[Oil Production],MATCH('June 2020 EDI'!F155,rrcworking[RRC ID],0))</f>
        <v>0</v>
      </c>
      <c r="AA155" s="5">
        <f>INDEX(rrcworking[Sales/Dispostion],MATCH('June 2020 EDI'!F155,rrcworking[RRC ID],0))</f>
        <v>0</v>
      </c>
      <c r="AQ155" s="5">
        <f>INDEX(rrcworking[Closing Stock (Oil)],MATCH('June 2020 EDI'!F155,rrcworking[RRC ID],0))</f>
        <v>0</v>
      </c>
    </row>
    <row r="156" spans="1:43">
      <c r="A156" s="4" t="s">
        <v>1</v>
      </c>
      <c r="B156" s="1" t="s">
        <v>1053</v>
      </c>
      <c r="C156" s="10" t="s">
        <v>909</v>
      </c>
      <c r="D156" s="1" t="s">
        <v>619</v>
      </c>
      <c r="E156" s="1" t="s">
        <v>2</v>
      </c>
      <c r="F156" s="1" t="s">
        <v>568</v>
      </c>
      <c r="I156" s="10" t="s">
        <v>3</v>
      </c>
      <c r="J156" s="118" t="s">
        <v>3</v>
      </c>
      <c r="K156" s="1" t="s">
        <v>1090</v>
      </c>
      <c r="M156" s="5">
        <v>202006</v>
      </c>
      <c r="N156" s="5">
        <f>INDEX(rrcworking[Formation Production (MCF) @ 14.65 psi],MATCH('June 2020 EDI'!F156,rrcworking[RRC ID],0))</f>
        <v>0</v>
      </c>
      <c r="O156" s="5">
        <f>INDEX(rrcworking[Lease Use (MCF)],MATCH('June 2020 EDI'!F156,rrcworking[RRC ID],0))</f>
        <v>0</v>
      </c>
      <c r="P156" s="5">
        <f>INDEX(rrcworking[Gas Sales Statement Volume (MCF)],MATCH('June 2020 EDI'!F156,rrcworking[RRC ID],0))</f>
        <v>0</v>
      </c>
      <c r="R156" s="242">
        <f>INDEX(rrcworking[Flared Gas],MATCH('June 2020 EDI'!F156,rrcworking[RRC ID],0))</f>
        <v>0</v>
      </c>
      <c r="Y156" s="5">
        <f>INDEX(rrcworking[Oil Production],MATCH('June 2020 EDI'!F156,rrcworking[RRC ID],0))</f>
        <v>0</v>
      </c>
      <c r="AA156" s="5">
        <f>INDEX(rrcworking[Sales/Dispostion],MATCH('June 2020 EDI'!F156,rrcworking[RRC ID],0))</f>
        <v>0</v>
      </c>
      <c r="AQ156" s="5">
        <f>INDEX(rrcworking[Closing Stock (Oil)],MATCH('June 2020 EDI'!F156,rrcworking[RRC ID],0))</f>
        <v>65</v>
      </c>
    </row>
    <row r="157" spans="1:43">
      <c r="A157" s="4" t="s">
        <v>1</v>
      </c>
      <c r="B157" s="1" t="s">
        <v>1054</v>
      </c>
      <c r="C157" s="10" t="s">
        <v>909</v>
      </c>
      <c r="D157" s="1" t="s">
        <v>619</v>
      </c>
      <c r="E157" s="1" t="s">
        <v>2</v>
      </c>
      <c r="F157" s="1" t="s">
        <v>569</v>
      </c>
      <c r="I157" s="10" t="s">
        <v>3</v>
      </c>
      <c r="J157" s="118" t="s">
        <v>3</v>
      </c>
      <c r="K157" s="1" t="s">
        <v>1090</v>
      </c>
      <c r="M157" s="5">
        <v>202006</v>
      </c>
      <c r="N157" s="5">
        <f>INDEX(rrcworking[Formation Production (MCF) @ 14.65 psi],MATCH('June 2020 EDI'!F157,rrcworking[RRC ID],0))</f>
        <v>0</v>
      </c>
      <c r="O157" s="5">
        <f>INDEX(rrcworking[Lease Use (MCF)],MATCH('June 2020 EDI'!F157,rrcworking[RRC ID],0))</f>
        <v>0</v>
      </c>
      <c r="P157" s="5">
        <f>INDEX(rrcworking[Gas Sales Statement Volume (MCF)],MATCH('June 2020 EDI'!F157,rrcworking[RRC ID],0))</f>
        <v>0</v>
      </c>
      <c r="R157" s="242">
        <f>INDEX(rrcworking[Flared Gas],MATCH('June 2020 EDI'!F157,rrcworking[RRC ID],0))</f>
        <v>0</v>
      </c>
      <c r="Y157" s="5">
        <f>INDEX(rrcworking[Oil Production],MATCH('June 2020 EDI'!F157,rrcworking[RRC ID],0))</f>
        <v>0</v>
      </c>
      <c r="AA157" s="5">
        <f>INDEX(rrcworking[Sales/Dispostion],MATCH('June 2020 EDI'!F157,rrcworking[RRC ID],0))</f>
        <v>0</v>
      </c>
      <c r="AQ157" s="5">
        <f>INDEX(rrcworking[Closing Stock (Oil)],MATCH('June 2020 EDI'!F157,rrcworking[RRC ID],0))</f>
        <v>69</v>
      </c>
    </row>
    <row r="158" spans="1:43">
      <c r="A158" s="4" t="s">
        <v>1</v>
      </c>
      <c r="B158" s="1" t="s">
        <v>1055</v>
      </c>
      <c r="C158" s="10" t="s">
        <v>909</v>
      </c>
      <c r="D158" s="1" t="s">
        <v>619</v>
      </c>
      <c r="E158" s="1" t="s">
        <v>59</v>
      </c>
      <c r="F158" s="1" t="s">
        <v>570</v>
      </c>
      <c r="I158" s="10" t="s">
        <v>3</v>
      </c>
      <c r="J158" s="118" t="s">
        <v>3</v>
      </c>
      <c r="K158" s="1" t="s">
        <v>1090</v>
      </c>
      <c r="M158" s="5">
        <v>202006</v>
      </c>
      <c r="N158" s="5">
        <f>INDEX(rrcworking[Formation Production (MCF) @ 14.65 psi],MATCH('June 2020 EDI'!F158,rrcworking[RRC ID],0))</f>
        <v>2735</v>
      </c>
      <c r="O158" s="5">
        <f>INDEX(rrcworking[Lease Use (MCF)],MATCH('June 2020 EDI'!F158,rrcworking[RRC ID],0))</f>
        <v>120</v>
      </c>
      <c r="P158" s="5">
        <f>INDEX(rrcworking[Gas Sales Statement Volume (MCF)],MATCH('June 2020 EDI'!F158,rrcworking[RRC ID],0))</f>
        <v>2615</v>
      </c>
      <c r="R158" s="242">
        <f>INDEX(rrcworking[Flared Gas],MATCH('June 2020 EDI'!F158,rrcworking[RRC ID],0))</f>
        <v>0</v>
      </c>
      <c r="Y158" s="5">
        <f>INDEX(rrcworking[Oil Production],MATCH('June 2020 EDI'!F158,rrcworking[RRC ID],0))</f>
        <v>0</v>
      </c>
      <c r="AA158" s="5">
        <f>INDEX(rrcworking[Sales/Dispostion],MATCH('June 2020 EDI'!F158,rrcworking[RRC ID],0))</f>
        <v>0</v>
      </c>
      <c r="AQ158" s="5">
        <f>INDEX(rrcworking[Closing Stock (Oil)],MATCH('June 2020 EDI'!F158,rrcworking[RRC ID],0))</f>
        <v>0</v>
      </c>
    </row>
    <row r="159" spans="1:43">
      <c r="A159" s="4" t="s">
        <v>1</v>
      </c>
      <c r="B159" s="1" t="s">
        <v>1056</v>
      </c>
      <c r="C159" s="10" t="s">
        <v>909</v>
      </c>
      <c r="D159" s="1" t="s">
        <v>619</v>
      </c>
      <c r="E159" s="1" t="s">
        <v>59</v>
      </c>
      <c r="F159" s="1" t="s">
        <v>571</v>
      </c>
      <c r="I159" s="10" t="s">
        <v>3</v>
      </c>
      <c r="J159" s="118" t="s">
        <v>3</v>
      </c>
      <c r="K159" s="1" t="s">
        <v>1090</v>
      </c>
      <c r="M159" s="5">
        <v>202006</v>
      </c>
      <c r="N159" s="5">
        <f>INDEX(rrcworking[Formation Production (MCF) @ 14.65 psi],MATCH('June 2020 EDI'!F159,rrcworking[RRC ID],0))</f>
        <v>0</v>
      </c>
      <c r="O159" s="5">
        <f>INDEX(rrcworking[Lease Use (MCF)],MATCH('June 2020 EDI'!F159,rrcworking[RRC ID],0))</f>
        <v>0</v>
      </c>
      <c r="P159" s="5">
        <f>INDEX(rrcworking[Gas Sales Statement Volume (MCF)],MATCH('June 2020 EDI'!F159,rrcworking[RRC ID],0))</f>
        <v>0</v>
      </c>
      <c r="R159" s="242">
        <f>INDEX(rrcworking[Flared Gas],MATCH('June 2020 EDI'!F159,rrcworking[RRC ID],0))</f>
        <v>0</v>
      </c>
      <c r="Y159" s="5">
        <f>INDEX(rrcworking[Oil Production],MATCH('June 2020 EDI'!F159,rrcworking[RRC ID],0))</f>
        <v>0</v>
      </c>
      <c r="AA159" s="5">
        <f>INDEX(rrcworking[Sales/Dispostion],MATCH('June 2020 EDI'!F159,rrcworking[RRC ID],0))</f>
        <v>0</v>
      </c>
      <c r="AQ159" s="5">
        <f>INDEX(rrcworking[Closing Stock (Oil)],MATCH('June 2020 EDI'!F159,rrcworking[RRC ID],0))</f>
        <v>43</v>
      </c>
    </row>
    <row r="160" spans="1:43">
      <c r="A160" s="4" t="s">
        <v>1</v>
      </c>
      <c r="B160" s="1" t="s">
        <v>1057</v>
      </c>
      <c r="C160" s="10" t="s">
        <v>909</v>
      </c>
      <c r="D160" s="1" t="s">
        <v>619</v>
      </c>
      <c r="E160" s="1" t="s">
        <v>59</v>
      </c>
      <c r="F160" s="1" t="s">
        <v>572</v>
      </c>
      <c r="I160" s="10" t="s">
        <v>3</v>
      </c>
      <c r="J160" s="118" t="s">
        <v>3</v>
      </c>
      <c r="K160" s="1" t="s">
        <v>1090</v>
      </c>
      <c r="M160" s="5">
        <v>202006</v>
      </c>
      <c r="N160" s="5">
        <f>INDEX(rrcworking[Formation Production (MCF) @ 14.65 psi],MATCH('June 2020 EDI'!F160,rrcworking[RRC ID],0))</f>
        <v>0</v>
      </c>
      <c r="O160" s="5">
        <f>INDEX(rrcworking[Lease Use (MCF)],MATCH('June 2020 EDI'!F160,rrcworking[RRC ID],0))</f>
        <v>0</v>
      </c>
      <c r="P160" s="5">
        <f>INDEX(rrcworking[Gas Sales Statement Volume (MCF)],MATCH('June 2020 EDI'!F160,rrcworking[RRC ID],0))</f>
        <v>0</v>
      </c>
      <c r="R160" s="242">
        <f>INDEX(rrcworking[Flared Gas],MATCH('June 2020 EDI'!F160,rrcworking[RRC ID],0))</f>
        <v>0</v>
      </c>
      <c r="Y160" s="5">
        <f>INDEX(rrcworking[Oil Production],MATCH('June 2020 EDI'!F160,rrcworking[RRC ID],0))</f>
        <v>0</v>
      </c>
      <c r="AA160" s="5">
        <f>INDEX(rrcworking[Sales/Dispostion],MATCH('June 2020 EDI'!F160,rrcworking[RRC ID],0))</f>
        <v>0</v>
      </c>
      <c r="AQ160" s="5">
        <f>INDEX(rrcworking[Closing Stock (Oil)],MATCH('June 2020 EDI'!F160,rrcworking[RRC ID],0))</f>
        <v>169</v>
      </c>
    </row>
    <row r="161" spans="1:43">
      <c r="A161" s="4" t="s">
        <v>1</v>
      </c>
      <c r="B161" s="1" t="s">
        <v>1058</v>
      </c>
      <c r="C161" s="10" t="s">
        <v>909</v>
      </c>
      <c r="D161" s="1" t="s">
        <v>619</v>
      </c>
      <c r="E161" s="1" t="s">
        <v>59</v>
      </c>
      <c r="F161" s="1" t="s">
        <v>573</v>
      </c>
      <c r="I161" s="10" t="s">
        <v>3</v>
      </c>
      <c r="J161" s="118" t="s">
        <v>3</v>
      </c>
      <c r="K161" s="1" t="s">
        <v>1090</v>
      </c>
      <c r="M161" s="5">
        <v>202006</v>
      </c>
      <c r="N161" s="5">
        <f>INDEX(rrcworking[Formation Production (MCF) @ 14.65 psi],MATCH('June 2020 EDI'!F161,rrcworking[RRC ID],0))</f>
        <v>0</v>
      </c>
      <c r="O161" s="5">
        <f>INDEX(rrcworking[Lease Use (MCF)],MATCH('June 2020 EDI'!F161,rrcworking[RRC ID],0))</f>
        <v>0</v>
      </c>
      <c r="P161" s="5">
        <f>INDEX(rrcworking[Gas Sales Statement Volume (MCF)],MATCH('June 2020 EDI'!F161,rrcworking[RRC ID],0))</f>
        <v>0</v>
      </c>
      <c r="R161" s="242">
        <f>INDEX(rrcworking[Flared Gas],MATCH('June 2020 EDI'!F161,rrcworking[RRC ID],0))</f>
        <v>0</v>
      </c>
      <c r="Y161" s="5">
        <f>INDEX(rrcworking[Oil Production],MATCH('June 2020 EDI'!F161,rrcworking[RRC ID],0))</f>
        <v>0</v>
      </c>
      <c r="AA161" s="5">
        <f>INDEX(rrcworking[Sales/Dispostion],MATCH('June 2020 EDI'!F161,rrcworking[RRC ID],0))</f>
        <v>0</v>
      </c>
      <c r="AQ161" s="5">
        <f>INDEX(rrcworking[Closing Stock (Oil)],MATCH('June 2020 EDI'!F161,rrcworking[RRC ID],0))</f>
        <v>93</v>
      </c>
    </row>
    <row r="162" spans="1:43">
      <c r="A162" s="4" t="s">
        <v>1</v>
      </c>
      <c r="B162" s="1" t="s">
        <v>1059</v>
      </c>
      <c r="C162" s="10" t="s">
        <v>909</v>
      </c>
      <c r="D162" s="1" t="s">
        <v>619</v>
      </c>
      <c r="E162" s="1" t="s">
        <v>59</v>
      </c>
      <c r="F162" s="1" t="s">
        <v>574</v>
      </c>
      <c r="I162" s="10" t="s">
        <v>3</v>
      </c>
      <c r="J162" s="118" t="s">
        <v>3</v>
      </c>
      <c r="K162" s="1" t="s">
        <v>1090</v>
      </c>
      <c r="M162" s="5">
        <v>202006</v>
      </c>
      <c r="N162" s="5">
        <f>INDEX(rrcworking[Formation Production (MCF) @ 14.65 psi],MATCH('June 2020 EDI'!F162,rrcworking[RRC ID],0))</f>
        <v>1908</v>
      </c>
      <c r="O162" s="5">
        <f>INDEX(rrcworking[Lease Use (MCF)],MATCH('June 2020 EDI'!F162,rrcworking[RRC ID],0))</f>
        <v>0</v>
      </c>
      <c r="P162" s="5">
        <f>INDEX(rrcworking[Gas Sales Statement Volume (MCF)],MATCH('June 2020 EDI'!F162,rrcworking[RRC ID],0))</f>
        <v>1908</v>
      </c>
      <c r="R162" s="242">
        <f>INDEX(rrcworking[Flared Gas],MATCH('June 2020 EDI'!F162,rrcworking[RRC ID],0))</f>
        <v>0</v>
      </c>
      <c r="Y162" s="5">
        <f>INDEX(rrcworking[Oil Production],MATCH('June 2020 EDI'!F162,rrcworking[RRC ID],0))</f>
        <v>9</v>
      </c>
      <c r="AA162" s="5">
        <f>INDEX(rrcworking[Sales/Dispostion],MATCH('June 2020 EDI'!F162,rrcworking[RRC ID],0))</f>
        <v>0</v>
      </c>
      <c r="AQ162" s="5">
        <f>INDEX(rrcworking[Closing Stock (Oil)],MATCH('June 2020 EDI'!F162,rrcworking[RRC ID],0))</f>
        <v>169</v>
      </c>
    </row>
    <row r="163" spans="1:43">
      <c r="A163" s="4" t="s">
        <v>1</v>
      </c>
      <c r="B163" s="1" t="s">
        <v>1060</v>
      </c>
      <c r="C163" s="10" t="s">
        <v>909</v>
      </c>
      <c r="D163" s="1" t="s">
        <v>619</v>
      </c>
      <c r="E163" s="1" t="s">
        <v>59</v>
      </c>
      <c r="F163" s="1" t="s">
        <v>575</v>
      </c>
      <c r="I163" s="10" t="s">
        <v>3</v>
      </c>
      <c r="J163" s="118" t="s">
        <v>3</v>
      </c>
      <c r="K163" s="1" t="s">
        <v>1090</v>
      </c>
      <c r="M163" s="5">
        <v>202006</v>
      </c>
      <c r="N163" s="5">
        <f>INDEX(rrcworking[Formation Production (MCF) @ 14.65 psi],MATCH('June 2020 EDI'!F163,rrcworking[RRC ID],0))</f>
        <v>0</v>
      </c>
      <c r="O163" s="5">
        <f>INDEX(rrcworking[Lease Use (MCF)],MATCH('June 2020 EDI'!F163,rrcworking[RRC ID],0))</f>
        <v>0</v>
      </c>
      <c r="P163" s="5">
        <f>INDEX(rrcworking[Gas Sales Statement Volume (MCF)],MATCH('June 2020 EDI'!F163,rrcworking[RRC ID],0))</f>
        <v>0</v>
      </c>
      <c r="R163" s="242">
        <f>INDEX(rrcworking[Flared Gas],MATCH('June 2020 EDI'!F163,rrcworking[RRC ID],0))</f>
        <v>0</v>
      </c>
      <c r="Y163" s="5">
        <f>INDEX(rrcworking[Oil Production],MATCH('June 2020 EDI'!F163,rrcworking[RRC ID],0))</f>
        <v>0</v>
      </c>
      <c r="AA163" s="5">
        <f>INDEX(rrcworking[Sales/Dispostion],MATCH('June 2020 EDI'!F163,rrcworking[RRC ID],0))</f>
        <v>0</v>
      </c>
      <c r="AQ163" s="5">
        <f>INDEX(rrcworking[Closing Stock (Oil)],MATCH('June 2020 EDI'!F163,rrcworking[RRC ID],0))</f>
        <v>0</v>
      </c>
    </row>
    <row r="164" spans="1:43">
      <c r="A164" s="4" t="s">
        <v>1</v>
      </c>
      <c r="B164" s="1" t="s">
        <v>1061</v>
      </c>
      <c r="C164" s="10" t="s">
        <v>909</v>
      </c>
      <c r="D164" s="1" t="s">
        <v>619</v>
      </c>
      <c r="E164" s="1" t="s">
        <v>59</v>
      </c>
      <c r="F164" s="1" t="s">
        <v>576</v>
      </c>
      <c r="I164" s="10" t="s">
        <v>3</v>
      </c>
      <c r="J164" s="118" t="s">
        <v>3</v>
      </c>
      <c r="K164" s="1" t="s">
        <v>1090</v>
      </c>
      <c r="M164" s="5">
        <v>202006</v>
      </c>
      <c r="N164" s="5">
        <f>INDEX(rrcworking[Formation Production (MCF) @ 14.65 psi],MATCH('June 2020 EDI'!F164,rrcworking[RRC ID],0))</f>
        <v>0</v>
      </c>
      <c r="O164" s="5">
        <f>INDEX(rrcworking[Lease Use (MCF)],MATCH('June 2020 EDI'!F164,rrcworking[RRC ID],0))</f>
        <v>0</v>
      </c>
      <c r="P164" s="5">
        <f>INDEX(rrcworking[Gas Sales Statement Volume (MCF)],MATCH('June 2020 EDI'!F164,rrcworking[RRC ID],0))</f>
        <v>0</v>
      </c>
      <c r="R164" s="242">
        <f>INDEX(rrcworking[Flared Gas],MATCH('June 2020 EDI'!F164,rrcworking[RRC ID],0))</f>
        <v>0</v>
      </c>
      <c r="Y164" s="5">
        <f>INDEX(rrcworking[Oil Production],MATCH('June 2020 EDI'!F164,rrcworking[RRC ID],0))</f>
        <v>0</v>
      </c>
      <c r="AA164" s="5">
        <f>INDEX(rrcworking[Sales/Dispostion],MATCH('June 2020 EDI'!F164,rrcworking[RRC ID],0))</f>
        <v>0</v>
      </c>
      <c r="AQ164" s="5">
        <f>INDEX(rrcworking[Closing Stock (Oil)],MATCH('June 2020 EDI'!F164,rrcworking[RRC ID],0))</f>
        <v>0</v>
      </c>
    </row>
    <row r="165" spans="1:43">
      <c r="A165" s="4" t="s">
        <v>1</v>
      </c>
      <c r="B165" s="1" t="s">
        <v>1062</v>
      </c>
      <c r="C165" s="10" t="s">
        <v>909</v>
      </c>
      <c r="D165" s="1" t="s">
        <v>619</v>
      </c>
      <c r="E165" s="1" t="s">
        <v>59</v>
      </c>
      <c r="F165" s="1" t="s">
        <v>577</v>
      </c>
      <c r="I165" s="10" t="s">
        <v>3</v>
      </c>
      <c r="J165" s="118" t="s">
        <v>3</v>
      </c>
      <c r="K165" s="1" t="s">
        <v>1090</v>
      </c>
      <c r="M165" s="5">
        <v>202006</v>
      </c>
      <c r="N165" s="5">
        <f>INDEX(rrcworking[Formation Production (MCF) @ 14.65 psi],MATCH('June 2020 EDI'!F165,rrcworking[RRC ID],0))</f>
        <v>0</v>
      </c>
      <c r="O165" s="5">
        <f>INDEX(rrcworking[Lease Use (MCF)],MATCH('June 2020 EDI'!F165,rrcworking[RRC ID],0))</f>
        <v>0</v>
      </c>
      <c r="P165" s="5">
        <f>INDEX(rrcworking[Gas Sales Statement Volume (MCF)],MATCH('June 2020 EDI'!F165,rrcworking[RRC ID],0))</f>
        <v>0</v>
      </c>
      <c r="R165" s="242">
        <f>INDEX(rrcworking[Flared Gas],MATCH('June 2020 EDI'!F165,rrcworking[RRC ID],0))</f>
        <v>0</v>
      </c>
      <c r="Y165" s="5">
        <f>INDEX(rrcworking[Oil Production],MATCH('June 2020 EDI'!F165,rrcworking[RRC ID],0))</f>
        <v>0</v>
      </c>
      <c r="AA165" s="5">
        <f>INDEX(rrcworking[Sales/Dispostion],MATCH('June 2020 EDI'!F165,rrcworking[RRC ID],0))</f>
        <v>0</v>
      </c>
      <c r="AQ165" s="5">
        <f>INDEX(rrcworking[Closing Stock (Oil)],MATCH('June 2020 EDI'!F165,rrcworking[RRC ID],0))</f>
        <v>0</v>
      </c>
    </row>
    <row r="166" spans="1:43">
      <c r="A166" s="4" t="s">
        <v>1</v>
      </c>
      <c r="B166" s="1" t="s">
        <v>1063</v>
      </c>
      <c r="C166" s="10" t="s">
        <v>909</v>
      </c>
      <c r="D166" s="1" t="s">
        <v>619</v>
      </c>
      <c r="E166" s="1" t="s">
        <v>59</v>
      </c>
      <c r="F166" s="1" t="s">
        <v>578</v>
      </c>
      <c r="I166" s="10" t="s">
        <v>3</v>
      </c>
      <c r="J166" s="118" t="s">
        <v>3</v>
      </c>
      <c r="K166" s="1" t="s">
        <v>1090</v>
      </c>
      <c r="M166" s="5">
        <v>202006</v>
      </c>
      <c r="N166" s="5">
        <f>INDEX(rrcworking[Formation Production (MCF) @ 14.65 psi],MATCH('June 2020 EDI'!F166,rrcworking[RRC ID],0))</f>
        <v>190</v>
      </c>
      <c r="O166" s="5">
        <f>INDEX(rrcworking[Lease Use (MCF)],MATCH('June 2020 EDI'!F166,rrcworking[RRC ID],0))</f>
        <v>0</v>
      </c>
      <c r="P166" s="5">
        <f>INDEX(rrcworking[Gas Sales Statement Volume (MCF)],MATCH('June 2020 EDI'!F166,rrcworking[RRC ID],0))</f>
        <v>190</v>
      </c>
      <c r="R166" s="242">
        <f>INDEX(rrcworking[Flared Gas],MATCH('June 2020 EDI'!F166,rrcworking[RRC ID],0))</f>
        <v>0</v>
      </c>
      <c r="Y166" s="5">
        <f>INDEX(rrcworking[Oil Production],MATCH('June 2020 EDI'!F166,rrcworking[RRC ID],0))</f>
        <v>0</v>
      </c>
      <c r="AA166" s="5">
        <f>INDEX(rrcworking[Sales/Dispostion],MATCH('June 2020 EDI'!F166,rrcworking[RRC ID],0))</f>
        <v>0</v>
      </c>
      <c r="AQ166" s="5">
        <f>INDEX(rrcworking[Closing Stock (Oil)],MATCH('June 2020 EDI'!F166,rrcworking[RRC ID],0))</f>
        <v>3</v>
      </c>
    </row>
    <row r="167" spans="1:43">
      <c r="A167" s="4" t="s">
        <v>1</v>
      </c>
      <c r="B167" s="1" t="s">
        <v>1064</v>
      </c>
      <c r="C167" s="10" t="s">
        <v>909</v>
      </c>
      <c r="D167" s="1" t="s">
        <v>619</v>
      </c>
      <c r="E167" s="1" t="s">
        <v>59</v>
      </c>
      <c r="F167" s="1" t="s">
        <v>579</v>
      </c>
      <c r="I167" s="10" t="s">
        <v>3</v>
      </c>
      <c r="J167" s="118" t="s">
        <v>3</v>
      </c>
      <c r="K167" s="1" t="s">
        <v>1090</v>
      </c>
      <c r="M167" s="5">
        <v>202006</v>
      </c>
      <c r="N167" s="5">
        <f>INDEX(rrcworking[Formation Production (MCF) @ 14.65 psi],MATCH('June 2020 EDI'!F167,rrcworking[RRC ID],0))</f>
        <v>146</v>
      </c>
      <c r="O167" s="5">
        <f>INDEX(rrcworking[Lease Use (MCF)],MATCH('June 2020 EDI'!F167,rrcworking[RRC ID],0))</f>
        <v>0</v>
      </c>
      <c r="P167" s="5">
        <f>INDEX(rrcworking[Gas Sales Statement Volume (MCF)],MATCH('June 2020 EDI'!F167,rrcworking[RRC ID],0))</f>
        <v>146</v>
      </c>
      <c r="R167" s="242">
        <f>INDEX(rrcworking[Flared Gas],MATCH('June 2020 EDI'!F167,rrcworking[RRC ID],0))</f>
        <v>0</v>
      </c>
      <c r="Y167" s="5">
        <f>INDEX(rrcworking[Oil Production],MATCH('June 2020 EDI'!F167,rrcworking[RRC ID],0))</f>
        <v>0</v>
      </c>
      <c r="AA167" s="5">
        <f>INDEX(rrcworking[Sales/Dispostion],MATCH('June 2020 EDI'!F167,rrcworking[RRC ID],0))</f>
        <v>0</v>
      </c>
      <c r="AQ167" s="5">
        <f>INDEX(rrcworking[Closing Stock (Oil)],MATCH('June 2020 EDI'!F167,rrcworking[RRC ID],0))</f>
        <v>0</v>
      </c>
    </row>
    <row r="168" spans="1:43">
      <c r="A168" s="4" t="s">
        <v>1</v>
      </c>
      <c r="B168" s="1" t="s">
        <v>1065</v>
      </c>
      <c r="C168" s="10" t="s">
        <v>909</v>
      </c>
      <c r="D168" s="1" t="s">
        <v>619</v>
      </c>
      <c r="E168" s="1" t="s">
        <v>59</v>
      </c>
      <c r="F168" s="1" t="s">
        <v>580</v>
      </c>
      <c r="I168" s="10" t="s">
        <v>3</v>
      </c>
      <c r="J168" s="118" t="s">
        <v>3</v>
      </c>
      <c r="K168" s="1" t="s">
        <v>1090</v>
      </c>
      <c r="M168" s="5">
        <v>202006</v>
      </c>
      <c r="N168" s="5">
        <f>INDEX(rrcworking[Formation Production (MCF) @ 14.65 psi],MATCH('June 2020 EDI'!F168,rrcworking[RRC ID],0))</f>
        <v>392</v>
      </c>
      <c r="O168" s="5">
        <f>INDEX(rrcworking[Lease Use (MCF)],MATCH('June 2020 EDI'!F168,rrcworking[RRC ID],0))</f>
        <v>0</v>
      </c>
      <c r="P168" s="5">
        <f>INDEX(rrcworking[Gas Sales Statement Volume (MCF)],MATCH('June 2020 EDI'!F168,rrcworking[RRC ID],0))</f>
        <v>392</v>
      </c>
      <c r="R168" s="242">
        <f>INDEX(rrcworking[Flared Gas],MATCH('June 2020 EDI'!F168,rrcworking[RRC ID],0))</f>
        <v>0</v>
      </c>
      <c r="Y168" s="5">
        <f>INDEX(rrcworking[Oil Production],MATCH('June 2020 EDI'!F168,rrcworking[RRC ID],0))</f>
        <v>0</v>
      </c>
      <c r="AA168" s="5">
        <f>INDEX(rrcworking[Sales/Dispostion],MATCH('June 2020 EDI'!F168,rrcworking[RRC ID],0))</f>
        <v>0</v>
      </c>
      <c r="AQ168" s="5">
        <f>INDEX(rrcworking[Closing Stock (Oil)],MATCH('June 2020 EDI'!F168,rrcworking[RRC ID],0))</f>
        <v>0</v>
      </c>
    </row>
    <row r="169" spans="1:43">
      <c r="A169" s="4" t="s">
        <v>1</v>
      </c>
      <c r="B169" s="1" t="s">
        <v>1066</v>
      </c>
      <c r="C169" s="10" t="s">
        <v>909</v>
      </c>
      <c r="D169" s="1" t="s">
        <v>619</v>
      </c>
      <c r="E169" s="1" t="s">
        <v>59</v>
      </c>
      <c r="F169" s="1" t="s">
        <v>581</v>
      </c>
      <c r="I169" s="10" t="s">
        <v>3</v>
      </c>
      <c r="J169" s="118" t="s">
        <v>3</v>
      </c>
      <c r="K169" s="1" t="s">
        <v>1090</v>
      </c>
      <c r="M169" s="5">
        <v>202006</v>
      </c>
      <c r="N169" s="5">
        <f>INDEX(rrcworking[Formation Production (MCF) @ 14.65 psi],MATCH('June 2020 EDI'!F169,rrcworking[RRC ID],0))</f>
        <v>0</v>
      </c>
      <c r="O169" s="5">
        <f>INDEX(rrcworking[Lease Use (MCF)],MATCH('June 2020 EDI'!F169,rrcworking[RRC ID],0))</f>
        <v>0</v>
      </c>
      <c r="P169" s="5">
        <f>INDEX(rrcworking[Gas Sales Statement Volume (MCF)],MATCH('June 2020 EDI'!F169,rrcworking[RRC ID],0))</f>
        <v>0</v>
      </c>
      <c r="R169" s="242">
        <f>INDEX(rrcworking[Flared Gas],MATCH('June 2020 EDI'!F169,rrcworking[RRC ID],0))</f>
        <v>0</v>
      </c>
      <c r="Y169" s="5">
        <f>INDEX(rrcworking[Oil Production],MATCH('June 2020 EDI'!F169,rrcworking[RRC ID],0))</f>
        <v>0</v>
      </c>
      <c r="AA169" s="5">
        <f>INDEX(rrcworking[Sales/Dispostion],MATCH('June 2020 EDI'!F169,rrcworking[RRC ID],0))</f>
        <v>0</v>
      </c>
      <c r="AQ169" s="5">
        <f>INDEX(rrcworking[Closing Stock (Oil)],MATCH('June 2020 EDI'!F169,rrcworking[RRC ID],0))</f>
        <v>0</v>
      </c>
    </row>
    <row r="170" spans="1:43">
      <c r="A170" s="4" t="s">
        <v>1</v>
      </c>
      <c r="B170" s="1" t="s">
        <v>1067</v>
      </c>
      <c r="C170" s="10" t="s">
        <v>909</v>
      </c>
      <c r="D170" s="1" t="s">
        <v>619</v>
      </c>
      <c r="E170" s="1" t="s">
        <v>59</v>
      </c>
      <c r="F170" s="1" t="s">
        <v>582</v>
      </c>
      <c r="I170" s="10" t="s">
        <v>3</v>
      </c>
      <c r="J170" s="118" t="s">
        <v>3</v>
      </c>
      <c r="K170" s="1" t="s">
        <v>1090</v>
      </c>
      <c r="M170" s="5">
        <v>202006</v>
      </c>
      <c r="N170" s="5">
        <f>INDEX(rrcworking[Formation Production (MCF) @ 14.65 psi],MATCH('June 2020 EDI'!F170,rrcworking[RRC ID],0))</f>
        <v>0</v>
      </c>
      <c r="O170" s="5">
        <f>INDEX(rrcworking[Lease Use (MCF)],MATCH('June 2020 EDI'!F170,rrcworking[RRC ID],0))</f>
        <v>0</v>
      </c>
      <c r="P170" s="5">
        <f>INDEX(rrcworking[Gas Sales Statement Volume (MCF)],MATCH('June 2020 EDI'!F170,rrcworking[RRC ID],0))</f>
        <v>0</v>
      </c>
      <c r="R170" s="242">
        <f>INDEX(rrcworking[Flared Gas],MATCH('June 2020 EDI'!F170,rrcworking[RRC ID],0))</f>
        <v>0</v>
      </c>
      <c r="Y170" s="5">
        <f>INDEX(rrcworking[Oil Production],MATCH('June 2020 EDI'!F170,rrcworking[RRC ID],0))</f>
        <v>0</v>
      </c>
      <c r="AA170" s="5">
        <f>INDEX(rrcworking[Sales/Dispostion],MATCH('June 2020 EDI'!F170,rrcworking[RRC ID],0))</f>
        <v>0</v>
      </c>
      <c r="AQ170" s="5">
        <f>INDEX(rrcworking[Closing Stock (Oil)],MATCH('June 2020 EDI'!F170,rrcworking[RRC ID],0))</f>
        <v>27</v>
      </c>
    </row>
    <row r="171" spans="1:43">
      <c r="A171" s="4" t="s">
        <v>1</v>
      </c>
      <c r="B171" s="1" t="s">
        <v>1068</v>
      </c>
      <c r="C171" s="10" t="s">
        <v>909</v>
      </c>
      <c r="D171" s="1" t="s">
        <v>619</v>
      </c>
      <c r="E171" s="1" t="s">
        <v>59</v>
      </c>
      <c r="F171" s="1" t="s">
        <v>583</v>
      </c>
      <c r="I171" s="10" t="s">
        <v>3</v>
      </c>
      <c r="J171" s="118" t="s">
        <v>3</v>
      </c>
      <c r="K171" s="1" t="s">
        <v>1090</v>
      </c>
      <c r="M171" s="5">
        <v>202006</v>
      </c>
      <c r="N171" s="5">
        <f>INDEX(rrcworking[Formation Production (MCF) @ 14.65 psi],MATCH('June 2020 EDI'!F171,rrcworking[RRC ID],0))</f>
        <v>0</v>
      </c>
      <c r="O171" s="5">
        <f>INDEX(rrcworking[Lease Use (MCF)],MATCH('June 2020 EDI'!F171,rrcworking[RRC ID],0))</f>
        <v>0</v>
      </c>
      <c r="P171" s="5">
        <f>INDEX(rrcworking[Gas Sales Statement Volume (MCF)],MATCH('June 2020 EDI'!F171,rrcworking[RRC ID],0))</f>
        <v>0</v>
      </c>
      <c r="R171" s="242">
        <f>INDEX(rrcworking[Flared Gas],MATCH('June 2020 EDI'!F171,rrcworking[RRC ID],0))</f>
        <v>0</v>
      </c>
      <c r="Y171" s="5">
        <f>INDEX(rrcworking[Oil Production],MATCH('June 2020 EDI'!F171,rrcworking[RRC ID],0))</f>
        <v>0</v>
      </c>
      <c r="AA171" s="5">
        <f>INDEX(rrcworking[Sales/Dispostion],MATCH('June 2020 EDI'!F171,rrcworking[RRC ID],0))</f>
        <v>0</v>
      </c>
      <c r="AQ171" s="5">
        <f>INDEX(rrcworking[Closing Stock (Oil)],MATCH('June 2020 EDI'!F171,rrcworking[RRC ID],0))</f>
        <v>166</v>
      </c>
    </row>
    <row r="172" spans="1:43">
      <c r="A172" s="4" t="s">
        <v>1</v>
      </c>
      <c r="B172" s="1" t="s">
        <v>1069</v>
      </c>
      <c r="C172" s="10" t="s">
        <v>909</v>
      </c>
      <c r="D172" s="1" t="s">
        <v>619</v>
      </c>
      <c r="E172" s="1" t="s">
        <v>59</v>
      </c>
      <c r="F172" s="1" t="s">
        <v>584</v>
      </c>
      <c r="I172" s="10" t="s">
        <v>3</v>
      </c>
      <c r="J172" s="118" t="s">
        <v>3</v>
      </c>
      <c r="K172" s="1">
        <v>5050</v>
      </c>
      <c r="M172" s="5">
        <v>202006</v>
      </c>
      <c r="N172" s="5">
        <f>INDEX(rrcworking[Formation Production (MCF) @ 14.65 psi],MATCH('June 2020 EDI'!F172,rrcworking[RRC ID],0))</f>
        <v>1556</v>
      </c>
      <c r="O172" s="5">
        <f>INDEX(rrcworking[Lease Use (MCF)],MATCH('June 2020 EDI'!F172,rrcworking[RRC ID],0))</f>
        <v>0</v>
      </c>
      <c r="P172" s="5">
        <f>INDEX(rrcworking[Gas Sales Statement Volume (MCF)],MATCH('June 2020 EDI'!F172,rrcworking[RRC ID],0))</f>
        <v>1556</v>
      </c>
      <c r="R172" s="242">
        <f>INDEX(rrcworking[Flared Gas],MATCH('June 2020 EDI'!F172,rrcworking[RRC ID],0))</f>
        <v>0</v>
      </c>
      <c r="Y172" s="5">
        <f>INDEX(rrcworking[Oil Production],MATCH('June 2020 EDI'!F172,rrcworking[RRC ID],0))</f>
        <v>0</v>
      </c>
      <c r="AA172" s="5">
        <f>INDEX(rrcworking[Sales/Dispostion],MATCH('June 2020 EDI'!F172,rrcworking[RRC ID],0))</f>
        <v>0</v>
      </c>
      <c r="AQ172" s="5">
        <f>INDEX(rrcworking[Closing Stock (Oil)],MATCH('June 2020 EDI'!F172,rrcworking[RRC ID],0))</f>
        <v>27</v>
      </c>
    </row>
    <row r="173" spans="1:43">
      <c r="A173" s="4" t="s">
        <v>1</v>
      </c>
      <c r="B173" s="1" t="s">
        <v>1070</v>
      </c>
      <c r="C173" s="10" t="s">
        <v>909</v>
      </c>
      <c r="D173" s="1" t="s">
        <v>619</v>
      </c>
      <c r="E173" s="1" t="s">
        <v>59</v>
      </c>
      <c r="F173" s="1" t="s">
        <v>585</v>
      </c>
      <c r="I173" s="10" t="s">
        <v>3</v>
      </c>
      <c r="J173" s="118" t="s">
        <v>3</v>
      </c>
      <c r="K173" s="1" t="s">
        <v>1090</v>
      </c>
      <c r="M173" s="5">
        <v>202006</v>
      </c>
      <c r="N173" s="5">
        <f>INDEX(rrcworking[Formation Production (MCF) @ 14.65 psi],MATCH('June 2020 EDI'!F173,rrcworking[RRC ID],0))</f>
        <v>0</v>
      </c>
      <c r="O173" s="5">
        <f>INDEX(rrcworking[Lease Use (MCF)],MATCH('June 2020 EDI'!F173,rrcworking[RRC ID],0))</f>
        <v>0</v>
      </c>
      <c r="P173" s="5">
        <f>INDEX(rrcworking[Gas Sales Statement Volume (MCF)],MATCH('June 2020 EDI'!F173,rrcworking[RRC ID],0))</f>
        <v>0</v>
      </c>
      <c r="R173" s="242">
        <f>INDEX(rrcworking[Flared Gas],MATCH('June 2020 EDI'!F173,rrcworking[RRC ID],0))</f>
        <v>0</v>
      </c>
      <c r="Y173" s="5">
        <f>INDEX(rrcworking[Oil Production],MATCH('June 2020 EDI'!F173,rrcworking[RRC ID],0))</f>
        <v>0</v>
      </c>
      <c r="AA173" s="5">
        <f>INDEX(rrcworking[Sales/Dispostion],MATCH('June 2020 EDI'!F173,rrcworking[RRC ID],0))</f>
        <v>0</v>
      </c>
      <c r="AQ173" s="5">
        <f>INDEX(rrcworking[Closing Stock (Oil)],MATCH('June 2020 EDI'!F173,rrcworking[RRC ID],0))</f>
        <v>0</v>
      </c>
    </row>
    <row r="174" spans="1:43">
      <c r="A174" s="4" t="s">
        <v>1</v>
      </c>
      <c r="B174" s="1" t="s">
        <v>1071</v>
      </c>
      <c r="C174" s="10" t="s">
        <v>909</v>
      </c>
      <c r="D174" s="1" t="s">
        <v>619</v>
      </c>
      <c r="E174" s="1" t="s">
        <v>59</v>
      </c>
      <c r="F174" s="1" t="s">
        <v>586</v>
      </c>
      <c r="I174" s="10" t="s">
        <v>3</v>
      </c>
      <c r="J174" s="118" t="s">
        <v>3</v>
      </c>
      <c r="K174" s="1" t="s">
        <v>1090</v>
      </c>
      <c r="M174" s="5">
        <v>202006</v>
      </c>
      <c r="N174" s="5">
        <f>INDEX(rrcworking[Formation Production (MCF) @ 14.65 psi],MATCH('June 2020 EDI'!F174,rrcworking[RRC ID],0))</f>
        <v>0</v>
      </c>
      <c r="O174" s="5">
        <f>INDEX(rrcworking[Lease Use (MCF)],MATCH('June 2020 EDI'!F174,rrcworking[RRC ID],0))</f>
        <v>0</v>
      </c>
      <c r="P174" s="5">
        <f>INDEX(rrcworking[Gas Sales Statement Volume (MCF)],MATCH('June 2020 EDI'!F174,rrcworking[RRC ID],0))</f>
        <v>0</v>
      </c>
      <c r="R174" s="242">
        <f>INDEX(rrcworking[Flared Gas],MATCH('June 2020 EDI'!F174,rrcworking[RRC ID],0))</f>
        <v>0</v>
      </c>
      <c r="Y174" s="5">
        <f>INDEX(rrcworking[Oil Production],MATCH('June 2020 EDI'!F174,rrcworking[RRC ID],0))</f>
        <v>0</v>
      </c>
      <c r="AA174" s="5">
        <f>INDEX(rrcworking[Sales/Dispostion],MATCH('June 2020 EDI'!F174,rrcworking[RRC ID],0))</f>
        <v>0</v>
      </c>
      <c r="AQ174" s="5">
        <f>INDEX(rrcworking[Closing Stock (Oil)],MATCH('June 2020 EDI'!F174,rrcworking[RRC ID],0))</f>
        <v>92</v>
      </c>
    </row>
    <row r="175" spans="1:43">
      <c r="A175" s="4" t="s">
        <v>1</v>
      </c>
      <c r="B175" s="1" t="s">
        <v>1072</v>
      </c>
      <c r="C175" s="10" t="s">
        <v>909</v>
      </c>
      <c r="D175" s="1" t="s">
        <v>619</v>
      </c>
      <c r="E175" s="1" t="s">
        <v>59</v>
      </c>
      <c r="F175" s="1" t="s">
        <v>587</v>
      </c>
      <c r="I175" s="10" t="s">
        <v>3</v>
      </c>
      <c r="J175" s="118" t="s">
        <v>3</v>
      </c>
      <c r="K175" s="1" t="s">
        <v>1090</v>
      </c>
      <c r="M175" s="5">
        <v>202006</v>
      </c>
      <c r="N175" s="5">
        <f>INDEX(rrcworking[Formation Production (MCF) @ 14.65 psi],MATCH('June 2020 EDI'!F175,rrcworking[RRC ID],0))</f>
        <v>0</v>
      </c>
      <c r="O175" s="5">
        <f>INDEX(rrcworking[Lease Use (MCF)],MATCH('June 2020 EDI'!F175,rrcworking[RRC ID],0))</f>
        <v>0</v>
      </c>
      <c r="P175" s="5">
        <f>INDEX(rrcworking[Gas Sales Statement Volume (MCF)],MATCH('June 2020 EDI'!F175,rrcworking[RRC ID],0))</f>
        <v>0</v>
      </c>
      <c r="R175" s="242">
        <f>INDEX(rrcworking[Flared Gas],MATCH('June 2020 EDI'!F175,rrcworking[RRC ID],0))</f>
        <v>0</v>
      </c>
      <c r="Y175" s="5">
        <f>INDEX(rrcworking[Oil Production],MATCH('June 2020 EDI'!F175,rrcworking[RRC ID],0))</f>
        <v>0</v>
      </c>
      <c r="AA175" s="5">
        <f>INDEX(rrcworking[Sales/Dispostion],MATCH('June 2020 EDI'!F175,rrcworking[RRC ID],0))</f>
        <v>0</v>
      </c>
      <c r="AQ175" s="5">
        <f>INDEX(rrcworking[Closing Stock (Oil)],MATCH('June 2020 EDI'!F175,rrcworking[RRC ID],0))</f>
        <v>0</v>
      </c>
    </row>
    <row r="176" spans="1:43">
      <c r="A176" s="4" t="s">
        <v>1</v>
      </c>
      <c r="B176" s="1" t="s">
        <v>1073</v>
      </c>
      <c r="C176" s="10" t="s">
        <v>909</v>
      </c>
      <c r="D176" s="1" t="s">
        <v>619</v>
      </c>
      <c r="E176" s="1" t="s">
        <v>2</v>
      </c>
      <c r="F176" s="1" t="s">
        <v>588</v>
      </c>
      <c r="I176" s="10" t="s">
        <v>3</v>
      </c>
      <c r="J176" s="118" t="s">
        <v>3</v>
      </c>
      <c r="K176" s="1" t="s">
        <v>1090</v>
      </c>
      <c r="M176" s="5">
        <v>202006</v>
      </c>
      <c r="N176" s="5">
        <f>INDEX(rrcworking[Formation Production (MCF) @ 14.65 psi],MATCH('June 2020 EDI'!F176,rrcworking[RRC ID],0))</f>
        <v>0</v>
      </c>
      <c r="O176" s="5">
        <f>INDEX(rrcworking[Lease Use (MCF)],MATCH('June 2020 EDI'!F176,rrcworking[RRC ID],0))</f>
        <v>0</v>
      </c>
      <c r="P176" s="5">
        <f>INDEX(rrcworking[Gas Sales Statement Volume (MCF)],MATCH('June 2020 EDI'!F176,rrcworking[RRC ID],0))</f>
        <v>0</v>
      </c>
      <c r="R176" s="242">
        <f>INDEX(rrcworking[Flared Gas],MATCH('June 2020 EDI'!F176,rrcworking[RRC ID],0))</f>
        <v>0</v>
      </c>
      <c r="Y176" s="5">
        <f>INDEX(rrcworking[Oil Production],MATCH('June 2020 EDI'!F176,rrcworking[RRC ID],0))</f>
        <v>0</v>
      </c>
      <c r="AA176" s="5">
        <f>INDEX(rrcworking[Sales/Dispostion],MATCH('June 2020 EDI'!F176,rrcworking[RRC ID],0))</f>
        <v>0</v>
      </c>
      <c r="AQ176" s="5">
        <f>INDEX(rrcworking[Closing Stock (Oil)],MATCH('June 2020 EDI'!F176,rrcworking[RRC ID],0))</f>
        <v>117</v>
      </c>
    </row>
    <row r="177" spans="1:46">
      <c r="A177" s="4" t="s">
        <v>1</v>
      </c>
      <c r="B177" s="1" t="s">
        <v>1074</v>
      </c>
      <c r="C177" s="10" t="s">
        <v>909</v>
      </c>
      <c r="D177" s="1" t="s">
        <v>619</v>
      </c>
      <c r="E177" s="1" t="s">
        <v>59</v>
      </c>
      <c r="F177" s="1" t="s">
        <v>589</v>
      </c>
      <c r="I177" s="10" t="s">
        <v>3</v>
      </c>
      <c r="J177" s="118" t="s">
        <v>3</v>
      </c>
      <c r="K177" s="1" t="s">
        <v>1090</v>
      </c>
      <c r="M177" s="5">
        <v>202006</v>
      </c>
      <c r="N177" s="5">
        <f>INDEX(rrcworking[Formation Production (MCF) @ 14.65 psi],MATCH('June 2020 EDI'!F177,rrcworking[RRC ID],0))</f>
        <v>0</v>
      </c>
      <c r="O177" s="5">
        <f>INDEX(rrcworking[Lease Use (MCF)],MATCH('June 2020 EDI'!F177,rrcworking[RRC ID],0))</f>
        <v>0</v>
      </c>
      <c r="P177" s="5">
        <f>INDEX(rrcworking[Gas Sales Statement Volume (MCF)],MATCH('June 2020 EDI'!F177,rrcworking[RRC ID],0))</f>
        <v>0</v>
      </c>
      <c r="R177" s="242">
        <f>INDEX(rrcworking[Flared Gas],MATCH('June 2020 EDI'!F177,rrcworking[RRC ID],0))</f>
        <v>0</v>
      </c>
      <c r="Y177" s="5">
        <f>INDEX(rrcworking[Oil Production],MATCH('June 2020 EDI'!F177,rrcworking[RRC ID],0))</f>
        <v>0</v>
      </c>
      <c r="AA177" s="5">
        <f>INDEX(rrcworking[Sales/Dispostion],MATCH('June 2020 EDI'!F177,rrcworking[RRC ID],0))</f>
        <v>0</v>
      </c>
      <c r="AQ177" s="5">
        <f>INDEX(rrcworking[Closing Stock (Oil)],MATCH('June 2020 EDI'!F177,rrcworking[RRC ID],0))</f>
        <v>0</v>
      </c>
    </row>
    <row r="178" spans="1:46">
      <c r="A178" s="4" t="s">
        <v>1</v>
      </c>
      <c r="B178" s="1" t="s">
        <v>1075</v>
      </c>
      <c r="C178" s="10" t="s">
        <v>909</v>
      </c>
      <c r="D178" s="1" t="s">
        <v>619</v>
      </c>
      <c r="E178" s="1" t="s">
        <v>59</v>
      </c>
      <c r="F178" s="1" t="s">
        <v>590</v>
      </c>
      <c r="I178" s="10" t="s">
        <v>3</v>
      </c>
      <c r="J178" s="118" t="s">
        <v>3</v>
      </c>
      <c r="K178" s="1" t="s">
        <v>1090</v>
      </c>
      <c r="M178" s="5">
        <v>202006</v>
      </c>
      <c r="N178" s="5">
        <f>INDEX(rrcworking[Formation Production (MCF) @ 14.65 psi],MATCH('June 2020 EDI'!F178,rrcworking[RRC ID],0))</f>
        <v>816</v>
      </c>
      <c r="O178" s="5">
        <f>INDEX(rrcworking[Lease Use (MCF)],MATCH('June 2020 EDI'!F178,rrcworking[RRC ID],0))</f>
        <v>20</v>
      </c>
      <c r="P178" s="5">
        <f>INDEX(rrcworking[Gas Sales Statement Volume (MCF)],MATCH('June 2020 EDI'!F178,rrcworking[RRC ID],0))</f>
        <v>796</v>
      </c>
      <c r="R178" s="242">
        <f>INDEX(rrcworking[Flared Gas],MATCH('June 2020 EDI'!F178,rrcworking[RRC ID],0))</f>
        <v>0</v>
      </c>
      <c r="Y178" s="5">
        <f>INDEX(rrcworking[Oil Production],MATCH('June 2020 EDI'!F178,rrcworking[RRC ID],0))</f>
        <v>0</v>
      </c>
      <c r="AA178" s="5">
        <f>INDEX(rrcworking[Sales/Dispostion],MATCH('June 2020 EDI'!F178,rrcworking[RRC ID],0))</f>
        <v>0</v>
      </c>
      <c r="AQ178" s="5">
        <f>INDEX(rrcworking[Closing Stock (Oil)],MATCH('June 2020 EDI'!F178,rrcworking[RRC ID],0))</f>
        <v>0</v>
      </c>
    </row>
    <row r="179" spans="1:46">
      <c r="A179" s="4" t="s">
        <v>1</v>
      </c>
      <c r="B179" s="1" t="s">
        <v>1076</v>
      </c>
      <c r="C179" s="10" t="s">
        <v>909</v>
      </c>
      <c r="D179" s="1" t="s">
        <v>619</v>
      </c>
      <c r="E179" s="1" t="s">
        <v>59</v>
      </c>
      <c r="F179" s="1" t="s">
        <v>591</v>
      </c>
      <c r="I179" s="10" t="s">
        <v>3</v>
      </c>
      <c r="J179" s="118" t="s">
        <v>3</v>
      </c>
      <c r="K179" s="1" t="s">
        <v>1090</v>
      </c>
      <c r="M179" s="5">
        <v>202006</v>
      </c>
      <c r="N179" s="5">
        <f>INDEX(rrcworking[Formation Production (MCF) @ 14.65 psi],MATCH('June 2020 EDI'!F179,rrcworking[RRC ID],0))</f>
        <v>2735</v>
      </c>
      <c r="O179" s="5">
        <f>INDEX(rrcworking[Lease Use (MCF)],MATCH('June 2020 EDI'!F179,rrcworking[RRC ID],0))</f>
        <v>120</v>
      </c>
      <c r="P179" s="5">
        <f>INDEX(rrcworking[Gas Sales Statement Volume (MCF)],MATCH('June 2020 EDI'!F179,rrcworking[RRC ID],0))</f>
        <v>2615</v>
      </c>
      <c r="R179" s="242">
        <f>INDEX(rrcworking[Flared Gas],MATCH('June 2020 EDI'!F179,rrcworking[RRC ID],0))</f>
        <v>0</v>
      </c>
      <c r="Y179" s="5">
        <f>INDEX(rrcworking[Oil Production],MATCH('June 2020 EDI'!F179,rrcworking[RRC ID],0))</f>
        <v>0</v>
      </c>
      <c r="AA179" s="5">
        <f>INDEX(rrcworking[Sales/Dispostion],MATCH('June 2020 EDI'!F179,rrcworking[RRC ID],0))</f>
        <v>0</v>
      </c>
      <c r="AQ179" s="5">
        <f>INDEX(rrcworking[Closing Stock (Oil)],MATCH('June 2020 EDI'!F179,rrcworking[RRC ID],0))</f>
        <v>0</v>
      </c>
    </row>
    <row r="180" spans="1:46">
      <c r="A180" s="4" t="s">
        <v>1</v>
      </c>
      <c r="B180" s="1" t="s">
        <v>1077</v>
      </c>
      <c r="C180" s="10" t="s">
        <v>909</v>
      </c>
      <c r="D180" s="1" t="s">
        <v>619</v>
      </c>
      <c r="E180" s="1" t="s">
        <v>59</v>
      </c>
      <c r="F180" s="1" t="s">
        <v>592</v>
      </c>
      <c r="I180" s="10" t="s">
        <v>3</v>
      </c>
      <c r="J180" s="118" t="s">
        <v>3</v>
      </c>
      <c r="K180" s="1" t="s">
        <v>1090</v>
      </c>
      <c r="M180" s="5">
        <v>202006</v>
      </c>
      <c r="N180" s="5">
        <f>INDEX(rrcworking[Formation Production (MCF) @ 14.65 psi],MATCH('June 2020 EDI'!F180,rrcworking[RRC ID],0))</f>
        <v>0</v>
      </c>
      <c r="O180" s="5">
        <f>INDEX(rrcworking[Lease Use (MCF)],MATCH('June 2020 EDI'!F180,rrcworking[RRC ID],0))</f>
        <v>0</v>
      </c>
      <c r="P180" s="5">
        <f>INDEX(rrcworking[Gas Sales Statement Volume (MCF)],MATCH('June 2020 EDI'!F180,rrcworking[RRC ID],0))</f>
        <v>0</v>
      </c>
      <c r="R180" s="242">
        <f>INDEX(rrcworking[Flared Gas],MATCH('June 2020 EDI'!F180,rrcworking[RRC ID],0))</f>
        <v>0</v>
      </c>
      <c r="Y180" s="5">
        <f>INDEX(rrcworking[Oil Production],MATCH('June 2020 EDI'!F180,rrcworking[RRC ID],0))</f>
        <v>0</v>
      </c>
      <c r="AA180" s="5">
        <f>INDEX(rrcworking[Sales/Dispostion],MATCH('June 2020 EDI'!F180,rrcworking[RRC ID],0))</f>
        <v>0</v>
      </c>
      <c r="AQ180" s="5">
        <f>INDEX(rrcworking[Closing Stock (Oil)],MATCH('June 2020 EDI'!F180,rrcworking[RRC ID],0))</f>
        <v>49</v>
      </c>
    </row>
    <row r="181" spans="1:46">
      <c r="A181" s="4" t="s">
        <v>1</v>
      </c>
      <c r="B181" s="1" t="s">
        <v>1078</v>
      </c>
      <c r="C181" s="10" t="s">
        <v>909</v>
      </c>
      <c r="D181" s="1" t="s">
        <v>619</v>
      </c>
      <c r="E181" s="1" t="s">
        <v>59</v>
      </c>
      <c r="F181" s="1" t="s">
        <v>593</v>
      </c>
      <c r="I181" s="10" t="s">
        <v>3</v>
      </c>
      <c r="J181" s="118" t="s">
        <v>3</v>
      </c>
      <c r="K181" s="1" t="s">
        <v>1090</v>
      </c>
      <c r="M181" s="5">
        <v>202006</v>
      </c>
      <c r="N181" s="5">
        <f>INDEX(rrcworking[Formation Production (MCF) @ 14.65 psi],MATCH('June 2020 EDI'!F181,rrcworking[RRC ID],0))</f>
        <v>0</v>
      </c>
      <c r="O181" s="5">
        <f>INDEX(rrcworking[Lease Use (MCF)],MATCH('June 2020 EDI'!F181,rrcworking[RRC ID],0))</f>
        <v>0</v>
      </c>
      <c r="P181" s="5">
        <f>INDEX(rrcworking[Gas Sales Statement Volume (MCF)],MATCH('June 2020 EDI'!F181,rrcworking[RRC ID],0))</f>
        <v>0</v>
      </c>
      <c r="R181" s="242">
        <f>INDEX(rrcworking[Flared Gas],MATCH('June 2020 EDI'!F181,rrcworking[RRC ID],0))</f>
        <v>0</v>
      </c>
      <c r="Y181" s="5">
        <f>INDEX(rrcworking[Oil Production],MATCH('June 2020 EDI'!F181,rrcworking[RRC ID],0))</f>
        <v>0</v>
      </c>
      <c r="AA181" s="5">
        <f>INDEX(rrcworking[Sales/Dispostion],MATCH('June 2020 EDI'!F181,rrcworking[RRC ID],0))</f>
        <v>0</v>
      </c>
      <c r="AQ181" s="5">
        <f>INDEX(rrcworking[Closing Stock (Oil)],MATCH('June 2020 EDI'!F181,rrcworking[RRC ID],0))</f>
        <v>0</v>
      </c>
    </row>
    <row r="182" spans="1:46">
      <c r="A182" s="4" t="s">
        <v>1</v>
      </c>
      <c r="B182" s="1" t="s">
        <v>1079</v>
      </c>
      <c r="C182" s="10" t="s">
        <v>909</v>
      </c>
      <c r="D182" s="1" t="s">
        <v>619</v>
      </c>
      <c r="E182" s="1" t="s">
        <v>2</v>
      </c>
      <c r="F182" s="1" t="s">
        <v>594</v>
      </c>
      <c r="I182" s="10" t="s">
        <v>3</v>
      </c>
      <c r="J182" s="118" t="s">
        <v>3</v>
      </c>
      <c r="K182" s="1" t="s">
        <v>1090</v>
      </c>
      <c r="M182" s="5">
        <v>202006</v>
      </c>
      <c r="N182" s="5">
        <f>INDEX(rrcworking[Formation Production (MCF) @ 14.65 psi],MATCH('June 2020 EDI'!F182,rrcworking[RRC ID],0))</f>
        <v>0</v>
      </c>
      <c r="O182" s="5">
        <f>INDEX(rrcworking[Lease Use (MCF)],MATCH('June 2020 EDI'!F182,rrcworking[RRC ID],0))</f>
        <v>0</v>
      </c>
      <c r="P182" s="5">
        <f>INDEX(rrcworking[Gas Sales Statement Volume (MCF)],MATCH('June 2020 EDI'!F182,rrcworking[RRC ID],0))</f>
        <v>0</v>
      </c>
      <c r="R182" s="242">
        <f>INDEX(rrcworking[Flared Gas],MATCH('June 2020 EDI'!F182,rrcworking[RRC ID],0))</f>
        <v>0</v>
      </c>
      <c r="Y182" s="5">
        <f>INDEX(rrcworking[Oil Production],MATCH('June 2020 EDI'!F182,rrcworking[RRC ID],0))</f>
        <v>0</v>
      </c>
      <c r="AA182" s="5">
        <f>INDEX(rrcworking[Sales/Dispostion],MATCH('June 2020 EDI'!F182,rrcworking[RRC ID],0))</f>
        <v>0</v>
      </c>
      <c r="AQ182" s="5">
        <f>INDEX(rrcworking[Closing Stock (Oil)],MATCH('June 2020 EDI'!F182,rrcworking[RRC ID],0))</f>
        <v>0</v>
      </c>
    </row>
    <row r="183" spans="1:46">
      <c r="A183" s="4" t="s">
        <v>1</v>
      </c>
      <c r="B183" s="1" t="s">
        <v>1080</v>
      </c>
      <c r="C183" s="10" t="s">
        <v>909</v>
      </c>
      <c r="D183" s="1" t="s">
        <v>619</v>
      </c>
      <c r="E183" s="1" t="s">
        <v>2</v>
      </c>
      <c r="F183" s="1" t="s">
        <v>595</v>
      </c>
      <c r="I183" s="10" t="s">
        <v>3</v>
      </c>
      <c r="J183" s="118" t="s">
        <v>3</v>
      </c>
      <c r="K183" s="1">
        <v>6114</v>
      </c>
      <c r="M183" s="5">
        <v>202006</v>
      </c>
      <c r="N183" s="5">
        <f>INDEX(rrcworking[Formation Production (MCF) @ 14.65 psi],MATCH('June 2020 EDI'!F183,rrcworking[RRC ID],0))</f>
        <v>0</v>
      </c>
      <c r="O183" s="5">
        <f>INDEX(rrcworking[Lease Use (MCF)],MATCH('June 2020 EDI'!F183,rrcworking[RRC ID],0))</f>
        <v>0</v>
      </c>
      <c r="P183" s="5">
        <f>INDEX(rrcworking[Gas Sales Statement Volume (MCF)],MATCH('June 2020 EDI'!F183,rrcworking[RRC ID],0))</f>
        <v>0</v>
      </c>
      <c r="R183" s="242">
        <f>INDEX(rrcworking[Flared Gas],MATCH('June 2020 EDI'!F183,rrcworking[RRC ID],0))</f>
        <v>0</v>
      </c>
      <c r="Y183" s="5">
        <f>INDEX(rrcworking[Oil Production],MATCH('June 2020 EDI'!F183,rrcworking[RRC ID],0))</f>
        <v>0</v>
      </c>
      <c r="AA183" s="5">
        <f>INDEX(rrcworking[Sales/Dispostion],MATCH('June 2020 EDI'!F183,rrcworking[RRC ID],0))</f>
        <v>0</v>
      </c>
      <c r="AQ183" s="5">
        <f>INDEX(rrcworking[Closing Stock (Oil)],MATCH('June 2020 EDI'!F183,rrcworking[RRC ID],0))</f>
        <v>72</v>
      </c>
    </row>
    <row r="184" spans="1:46">
      <c r="A184" s="4" t="s">
        <v>1</v>
      </c>
      <c r="B184" s="1" t="s">
        <v>1081</v>
      </c>
      <c r="C184" s="10" t="s">
        <v>909</v>
      </c>
      <c r="D184" s="1" t="s">
        <v>619</v>
      </c>
      <c r="E184" s="1" t="s">
        <v>2</v>
      </c>
      <c r="F184" s="1" t="s">
        <v>596</v>
      </c>
      <c r="I184" s="10" t="s">
        <v>3</v>
      </c>
      <c r="J184" s="118" t="s">
        <v>3</v>
      </c>
      <c r="K184" s="1" t="s">
        <v>1090</v>
      </c>
      <c r="M184" s="5">
        <v>202006</v>
      </c>
      <c r="N184" s="5">
        <f>INDEX(rrcworking[Formation Production (MCF) @ 14.65 psi],MATCH('June 2020 EDI'!F184,rrcworking[RRC ID],0))</f>
        <v>0</v>
      </c>
      <c r="O184" s="5">
        <f>INDEX(rrcworking[Lease Use (MCF)],MATCH('June 2020 EDI'!F184,rrcworking[RRC ID],0))</f>
        <v>0</v>
      </c>
      <c r="P184" s="5">
        <f>INDEX(rrcworking[Gas Sales Statement Volume (MCF)],MATCH('June 2020 EDI'!F184,rrcworking[RRC ID],0))</f>
        <v>0</v>
      </c>
      <c r="R184" s="242">
        <f>INDEX(rrcworking[Flared Gas],MATCH('June 2020 EDI'!F184,rrcworking[RRC ID],0))</f>
        <v>0</v>
      </c>
      <c r="Y184" s="5">
        <f>INDEX(rrcworking[Oil Production],MATCH('June 2020 EDI'!F184,rrcworking[RRC ID],0))</f>
        <v>0</v>
      </c>
      <c r="AA184" s="5">
        <f>INDEX(rrcworking[Sales/Dispostion],MATCH('June 2020 EDI'!F184,rrcworking[RRC ID],0))</f>
        <v>0</v>
      </c>
      <c r="AQ184" s="5">
        <f>INDEX(rrcworking[Closing Stock (Oil)],MATCH('June 2020 EDI'!F184,rrcworking[RRC ID],0))</f>
        <v>0</v>
      </c>
    </row>
    <row r="185" spans="1:46">
      <c r="A185" s="4" t="s">
        <v>1</v>
      </c>
      <c r="B185" s="1" t="s">
        <v>1082</v>
      </c>
      <c r="C185" s="10" t="s">
        <v>909</v>
      </c>
      <c r="D185" s="1" t="s">
        <v>619</v>
      </c>
      <c r="E185" s="1" t="s">
        <v>59</v>
      </c>
      <c r="F185" s="1" t="s">
        <v>597</v>
      </c>
      <c r="I185" s="10" t="s">
        <v>3</v>
      </c>
      <c r="J185" s="118" t="s">
        <v>3</v>
      </c>
      <c r="K185" s="1" t="s">
        <v>1090</v>
      </c>
      <c r="M185" s="5">
        <v>202006</v>
      </c>
      <c r="N185" s="5">
        <f>INDEX(rrcworking[Formation Production (MCF) @ 14.65 psi],MATCH('June 2020 EDI'!F185,rrcworking[RRC ID],0))</f>
        <v>0</v>
      </c>
      <c r="O185" s="5">
        <f>INDEX(rrcworking[Lease Use (MCF)],MATCH('June 2020 EDI'!F185,rrcworking[RRC ID],0))</f>
        <v>0</v>
      </c>
      <c r="P185" s="5">
        <f>INDEX(rrcworking[Gas Sales Statement Volume (MCF)],MATCH('June 2020 EDI'!F185,rrcworking[RRC ID],0))</f>
        <v>0</v>
      </c>
      <c r="R185" s="242">
        <f>INDEX(rrcworking[Flared Gas],MATCH('June 2020 EDI'!F185,rrcworking[RRC ID],0))</f>
        <v>0</v>
      </c>
      <c r="Y185" s="5">
        <f>INDEX(rrcworking[Oil Production],MATCH('June 2020 EDI'!F185,rrcworking[RRC ID],0))</f>
        <v>0</v>
      </c>
      <c r="AA185" s="5">
        <f>INDEX(rrcworking[Sales/Dispostion],MATCH('June 2020 EDI'!F185,rrcworking[RRC ID],0))</f>
        <v>0</v>
      </c>
      <c r="AQ185" s="5">
        <f>INDEX(rrcworking[Closing Stock (Oil)],MATCH('June 2020 EDI'!F185,rrcworking[RRC ID],0))</f>
        <v>0</v>
      </c>
    </row>
    <row r="186" spans="1:46">
      <c r="A186" s="4" t="s">
        <v>1</v>
      </c>
      <c r="B186" s="1" t="s">
        <v>1083</v>
      </c>
      <c r="C186" s="10" t="s">
        <v>909</v>
      </c>
      <c r="D186" s="1" t="s">
        <v>619</v>
      </c>
      <c r="E186" s="1" t="s">
        <v>2</v>
      </c>
      <c r="F186" s="1" t="s">
        <v>598</v>
      </c>
      <c r="I186" s="10" t="s">
        <v>3</v>
      </c>
      <c r="J186" s="118" t="s">
        <v>3</v>
      </c>
      <c r="K186" s="1">
        <v>6114</v>
      </c>
      <c r="M186" s="5">
        <v>202006</v>
      </c>
      <c r="N186" s="5">
        <f>INDEX(rrcworking[Formation Production (MCF) @ 14.65 psi],MATCH('June 2020 EDI'!F186,rrcworking[RRC ID],0))</f>
        <v>0</v>
      </c>
      <c r="O186" s="5">
        <f>INDEX(rrcworking[Lease Use (MCF)],MATCH('June 2020 EDI'!F186,rrcworking[RRC ID],0))</f>
        <v>0</v>
      </c>
      <c r="P186" s="5">
        <f>INDEX(rrcworking[Gas Sales Statement Volume (MCF)],MATCH('June 2020 EDI'!F186,rrcworking[RRC ID],0))</f>
        <v>0</v>
      </c>
      <c r="R186" s="242">
        <f>INDEX(rrcworking[Flared Gas],MATCH('June 2020 EDI'!F186,rrcworking[RRC ID],0))</f>
        <v>0</v>
      </c>
      <c r="Y186" s="5">
        <f>INDEX(rrcworking[Oil Production],MATCH('June 2020 EDI'!F186,rrcworking[RRC ID],0))</f>
        <v>0</v>
      </c>
      <c r="AA186" s="5">
        <f>INDEX(rrcworking[Sales/Dispostion],MATCH('June 2020 EDI'!F186,rrcworking[RRC ID],0))</f>
        <v>0</v>
      </c>
      <c r="AQ186" s="5">
        <f>INDEX(rrcworking[Closing Stock (Oil)],MATCH('June 2020 EDI'!F186,rrcworking[RRC ID],0))</f>
        <v>0</v>
      </c>
    </row>
    <row r="187" spans="1:46">
      <c r="A187" s="4" t="s">
        <v>1</v>
      </c>
      <c r="B187" s="1" t="s">
        <v>1084</v>
      </c>
      <c r="C187" s="10" t="s">
        <v>909</v>
      </c>
      <c r="D187" s="1" t="s">
        <v>619</v>
      </c>
      <c r="E187" s="1" t="s">
        <v>2</v>
      </c>
      <c r="F187" s="1" t="s">
        <v>599</v>
      </c>
      <c r="I187" s="10" t="s">
        <v>3</v>
      </c>
      <c r="J187" s="118" t="s">
        <v>3</v>
      </c>
      <c r="K187" s="1" t="s">
        <v>1090</v>
      </c>
      <c r="M187" s="5">
        <v>202006</v>
      </c>
      <c r="N187" s="5">
        <f>INDEX(rrcworking[Formation Production (MCF) @ 14.65 psi],MATCH('June 2020 EDI'!F187,rrcworking[RRC ID],0))</f>
        <v>0</v>
      </c>
      <c r="O187" s="5">
        <f>INDEX(rrcworking[Lease Use (MCF)],MATCH('June 2020 EDI'!F187,rrcworking[RRC ID],0))</f>
        <v>0</v>
      </c>
      <c r="P187" s="5">
        <f>INDEX(rrcworking[Gas Sales Statement Volume (MCF)],MATCH('June 2020 EDI'!F187,rrcworking[RRC ID],0))</f>
        <v>0</v>
      </c>
      <c r="R187" s="242">
        <f>INDEX(rrcworking[Flared Gas],MATCH('June 2020 EDI'!F187,rrcworking[RRC ID],0))</f>
        <v>0</v>
      </c>
      <c r="Y187" s="5">
        <f>INDEX(rrcworking[Oil Production],MATCH('June 2020 EDI'!F187,rrcworking[RRC ID],0))</f>
        <v>32</v>
      </c>
      <c r="AA187" s="5">
        <f>INDEX(rrcworking[Sales/Dispostion],MATCH('June 2020 EDI'!F187,rrcworking[RRC ID],0))</f>
        <v>0</v>
      </c>
      <c r="AQ187" s="5">
        <f>INDEX(rrcworking[Closing Stock (Oil)],MATCH('June 2020 EDI'!F187,rrcworking[RRC ID],0))</f>
        <v>96</v>
      </c>
    </row>
    <row r="188" spans="1:46">
      <c r="A188" s="4" t="s">
        <v>1</v>
      </c>
      <c r="B188" s="1" t="s">
        <v>1085</v>
      </c>
      <c r="C188" s="10" t="s">
        <v>909</v>
      </c>
      <c r="D188" s="1" t="s">
        <v>619</v>
      </c>
      <c r="E188" s="1" t="s">
        <v>59</v>
      </c>
      <c r="F188" s="1" t="s">
        <v>600</v>
      </c>
      <c r="I188" s="10" t="s">
        <v>3</v>
      </c>
      <c r="J188" s="118" t="s">
        <v>3</v>
      </c>
      <c r="K188" s="1">
        <v>5050</v>
      </c>
      <c r="M188" s="5">
        <v>202006</v>
      </c>
      <c r="N188" s="5">
        <f>INDEX(rrcworking[Formation Production (MCF) @ 14.65 psi],MATCH('June 2020 EDI'!F188,rrcworking[RRC ID],0))</f>
        <v>6483</v>
      </c>
      <c r="O188" s="5">
        <f>INDEX(rrcworking[Lease Use (MCF)],MATCH('June 2020 EDI'!F188,rrcworking[RRC ID],0))</f>
        <v>240</v>
      </c>
      <c r="P188" s="5">
        <f>INDEX(rrcworking[Gas Sales Statement Volume (MCF)],MATCH('June 2020 EDI'!F188,rrcworking[RRC ID],0))</f>
        <v>6243</v>
      </c>
      <c r="R188" s="242">
        <f>INDEX(rrcworking[Flared Gas],MATCH('June 2020 EDI'!F188,rrcworking[RRC ID],0))</f>
        <v>0</v>
      </c>
      <c r="Y188" s="5">
        <f>INDEX(rrcworking[Oil Production],MATCH('June 2020 EDI'!F188,rrcworking[RRC ID],0))</f>
        <v>3</v>
      </c>
      <c r="AA188" s="5">
        <f>INDEX(rrcworking[Sales/Dispostion],MATCH('June 2020 EDI'!F188,rrcworking[RRC ID],0))</f>
        <v>0</v>
      </c>
      <c r="AQ188" s="5">
        <f>INDEX(rrcworking[Closing Stock (Oil)],MATCH('June 2020 EDI'!F188,rrcworking[RRC ID],0))</f>
        <v>190</v>
      </c>
    </row>
    <row r="189" spans="1:46">
      <c r="A189" s="4" t="s">
        <v>1</v>
      </c>
      <c r="B189" s="1" t="s">
        <v>1086</v>
      </c>
      <c r="C189" s="10" t="s">
        <v>909</v>
      </c>
      <c r="D189" s="1" t="s">
        <v>619</v>
      </c>
      <c r="E189" s="1" t="s">
        <v>2</v>
      </c>
      <c r="F189" s="1" t="s">
        <v>601</v>
      </c>
      <c r="I189" s="10" t="s">
        <v>3</v>
      </c>
      <c r="J189" s="118" t="s">
        <v>3</v>
      </c>
      <c r="K189" s="1" t="s">
        <v>1090</v>
      </c>
      <c r="M189" s="5">
        <v>202006</v>
      </c>
      <c r="N189" s="5">
        <f>INDEX(rrcworking[Formation Production (MCF) @ 14.65 psi],MATCH('June 2020 EDI'!F189,rrcworking[RRC ID],0))</f>
        <v>0</v>
      </c>
      <c r="O189" s="5">
        <f>INDEX(rrcworking[Lease Use (MCF)],MATCH('June 2020 EDI'!F189,rrcworking[RRC ID],0))</f>
        <v>0</v>
      </c>
      <c r="P189" s="5">
        <f>INDEX(rrcworking[Gas Sales Statement Volume (MCF)],MATCH('June 2020 EDI'!F189,rrcworking[RRC ID],0))</f>
        <v>0</v>
      </c>
      <c r="R189" s="242">
        <f>INDEX(rrcworking[Flared Gas],MATCH('June 2020 EDI'!F189,rrcworking[RRC ID],0))</f>
        <v>0</v>
      </c>
      <c r="Y189" s="5">
        <f>INDEX(rrcworking[Oil Production],MATCH('June 2020 EDI'!F189,rrcworking[RRC ID],0))</f>
        <v>0</v>
      </c>
      <c r="AA189" s="5">
        <f>INDEX(rrcworking[Sales/Dispostion],MATCH('June 2020 EDI'!F189,rrcworking[RRC ID],0))</f>
        <v>0</v>
      </c>
      <c r="AQ189" s="5">
        <f>INDEX(rrcworking[Closing Stock (Oil)],MATCH('June 2020 EDI'!F189,rrcworking[RRC ID],0))</f>
        <v>63</v>
      </c>
    </row>
    <row r="190" spans="1:46">
      <c r="A190" s="4" t="s">
        <v>1</v>
      </c>
      <c r="B190" s="1" t="s">
        <v>1087</v>
      </c>
      <c r="C190" s="10" t="s">
        <v>909</v>
      </c>
      <c r="D190" s="10" t="s">
        <v>618</v>
      </c>
      <c r="E190" s="10" t="s">
        <v>2</v>
      </c>
      <c r="F190" s="10" t="s">
        <v>1250</v>
      </c>
      <c r="I190" s="10" t="s">
        <v>3</v>
      </c>
      <c r="J190" s="118" t="s">
        <v>3</v>
      </c>
      <c r="M190" s="5">
        <v>202006</v>
      </c>
      <c r="N190" s="5">
        <f>INDEX(rrcworking[Formation Production (MCF) @ 14.65 psi],MATCH('June 2020 EDI'!F190,rrcworking[RRC ID],0))</f>
        <v>0</v>
      </c>
      <c r="O190" s="5">
        <f>INDEX(rrcworking[Lease Use (MCF)],MATCH('June 2020 EDI'!F190,rrcworking[RRC ID],0))</f>
        <v>0</v>
      </c>
      <c r="P190" s="5">
        <f>INDEX(rrcworking[Gas Sales Statement Volume (MCF)],MATCH('June 2020 EDI'!F190,rrcworking[RRC ID],0))</f>
        <v>0</v>
      </c>
      <c r="R190" s="242">
        <f>INDEX(rrcworking[Flared Gas],MATCH('June 2020 EDI'!F190,rrcworking[RRC ID],0))</f>
        <v>0</v>
      </c>
      <c r="Y190" s="5">
        <f>INDEX(rrcworking[Oil Production],MATCH('June 2020 EDI'!F190,rrcworking[RRC ID],0))</f>
        <v>1618</v>
      </c>
      <c r="AA190" s="5">
        <f>INDEX(rrcworking[Sales/Dispostion],MATCH('June 2020 EDI'!F190,rrcworking[RRC ID],0))</f>
        <v>1652</v>
      </c>
      <c r="AQ190" s="5">
        <f>INDEX(rrcworking[Closing Stock (Oil)],MATCH('June 2020 EDI'!F190,rrcworking[RRC ID],0))</f>
        <v>223</v>
      </c>
      <c r="AR190" s="135" t="s">
        <v>1106</v>
      </c>
      <c r="AS190" s="135" t="s">
        <v>1107</v>
      </c>
      <c r="AT190" s="135" t="s">
        <v>61</v>
      </c>
    </row>
    <row r="191" spans="1:46">
      <c r="A191" s="4" t="s">
        <v>1</v>
      </c>
      <c r="B191" s="1" t="s">
        <v>1088</v>
      </c>
      <c r="C191" s="10" t="s">
        <v>909</v>
      </c>
      <c r="D191" s="10" t="s">
        <v>618</v>
      </c>
      <c r="E191" s="10" t="s">
        <v>2</v>
      </c>
      <c r="F191" s="10" t="s">
        <v>1136</v>
      </c>
      <c r="I191" s="10" t="s">
        <v>3</v>
      </c>
      <c r="J191" s="118" t="s">
        <v>3</v>
      </c>
      <c r="M191" s="5">
        <v>202006</v>
      </c>
      <c r="N191" s="5">
        <f>INDEX(rrcworking[Formation Production (MCF) @ 14.65 psi],MATCH('June 2020 EDI'!F191,rrcworking[RRC ID],0))</f>
        <v>180</v>
      </c>
      <c r="O191" s="5">
        <f>INDEX(rrcworking[Lease Use (MCF)],MATCH('June 2020 EDI'!F191,rrcworking[RRC ID],0))</f>
        <v>180</v>
      </c>
      <c r="P191" s="5">
        <f>INDEX(rrcworking[Gas Sales Statement Volume (MCF)],MATCH('June 2020 EDI'!F191,rrcworking[RRC ID],0))</f>
        <v>0</v>
      </c>
      <c r="R191" s="242">
        <f>INDEX(rrcworking[Flared Gas],MATCH('June 2020 EDI'!F191,rrcworking[RRC ID],0))</f>
        <v>0</v>
      </c>
      <c r="Y191" s="5">
        <f>INDEX(rrcworking[Oil Production],MATCH('June 2020 EDI'!F191,rrcworking[RRC ID],0))</f>
        <v>231</v>
      </c>
      <c r="AA191" s="5">
        <f>INDEX(rrcworking[Sales/Dispostion],MATCH('June 2020 EDI'!F191,rrcworking[RRC ID],0))</f>
        <v>529</v>
      </c>
      <c r="AQ191" s="5">
        <f>INDEX(rrcworking[Closing Stock (Oil)],MATCH('June 2020 EDI'!F191,rrcworking[RRC ID],0))</f>
        <v>68</v>
      </c>
      <c r="AR191" s="135"/>
      <c r="AS191" s="135"/>
      <c r="AT191" s="135"/>
    </row>
    <row r="192" spans="1:46" s="244" customFormat="1">
      <c r="A192" s="241" t="s">
        <v>1</v>
      </c>
      <c r="B192" s="118" t="s">
        <v>1089</v>
      </c>
      <c r="C192" s="117" t="s">
        <v>909</v>
      </c>
      <c r="D192" s="117" t="s">
        <v>618</v>
      </c>
      <c r="E192" s="117" t="s">
        <v>2</v>
      </c>
      <c r="F192" s="117" t="s">
        <v>1284</v>
      </c>
      <c r="G192" s="118"/>
      <c r="H192" s="118"/>
      <c r="I192" s="117" t="s">
        <v>3</v>
      </c>
      <c r="J192" s="118" t="s">
        <v>3</v>
      </c>
      <c r="K192" s="118"/>
      <c r="L192" s="118"/>
      <c r="M192" s="5">
        <v>202006</v>
      </c>
      <c r="N192" s="242">
        <f>INDEX(rrcworking[Formation Production (MCF) @ 14.65 psi],MATCH('June 2020 EDI'!F192,rrcworking[RRC ID],0))</f>
        <v>0</v>
      </c>
      <c r="O192" s="242"/>
      <c r="P192" s="242"/>
      <c r="Q192" s="242"/>
      <c r="R192" s="242">
        <f>INDEX(rrcworking[Flared Gas],MATCH('June 2020 EDI'!F192,rrcworking[RRC ID],0))</f>
        <v>0</v>
      </c>
      <c r="S192" s="118" t="s">
        <v>1257</v>
      </c>
      <c r="T192" s="242"/>
      <c r="U192" s="242"/>
      <c r="V192" s="242"/>
      <c r="W192" s="118"/>
      <c r="X192" s="242"/>
      <c r="Y192" s="242">
        <f>INDEX(rrcworking[Oil Production],MATCH('June 2020 EDI'!F192,rrcworking[RRC ID],0))</f>
        <v>0</v>
      </c>
      <c r="Z192" s="242"/>
      <c r="AA192" s="242">
        <f>INDEX(rrcworking[Sales/Dispostion],MATCH('June 2020 EDI'!F192,rrcworking[RRC ID],0))</f>
        <v>0</v>
      </c>
      <c r="AB192" s="242"/>
      <c r="AC192" s="242"/>
      <c r="AD192" s="118"/>
      <c r="AE192" s="242"/>
      <c r="AF192" s="118"/>
      <c r="AG192" s="242"/>
      <c r="AH192" s="242"/>
      <c r="AI192" s="118"/>
      <c r="AJ192" s="242"/>
      <c r="AK192" s="242"/>
      <c r="AL192" s="242"/>
      <c r="AM192" s="242"/>
      <c r="AN192" s="242"/>
      <c r="AO192" s="118"/>
      <c r="AP192" s="242"/>
      <c r="AQ192" s="242">
        <f>INDEX(rrcworking[Closing Stock (Oil)],MATCH('June 2020 EDI'!F192,rrcworking[RRC ID],0))</f>
        <v>147</v>
      </c>
      <c r="AR192" s="243" t="s">
        <v>1259</v>
      </c>
      <c r="AS192" s="243" t="s">
        <v>1258</v>
      </c>
      <c r="AT192" s="243"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C1:AQ196"/>
  <sheetViews>
    <sheetView tabSelected="1" workbookViewId="0">
      <pane xSplit="5" topLeftCell="O1" activePane="topRight" state="frozen"/>
      <selection pane="topRight" activeCell="T13" sqref="T13"/>
    </sheetView>
  </sheetViews>
  <sheetFormatPr baseColWidth="10" defaultColWidth="8.83203125" defaultRowHeight="12" x14ac:dyDescent="0"/>
  <cols>
    <col min="1" max="2" width="2.33203125" customWidth="1"/>
    <col min="3" max="3" width="10" customWidth="1"/>
    <col min="4" max="4" width="27.1640625" customWidth="1"/>
    <col min="5" max="5" width="23.6640625" customWidth="1"/>
    <col min="6" max="6" width="6.5" customWidth="1"/>
    <col min="7" max="7" width="9.83203125" customWidth="1"/>
    <col min="8" max="8" width="8.1640625" customWidth="1"/>
    <col min="9" max="9" width="6.6640625" customWidth="1"/>
    <col min="10" max="10" width="11.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4" customWidth="1"/>
    <col min="25" max="25" width="18.33203125" customWidth="1"/>
    <col min="26" max="26" width="16.83203125" customWidth="1"/>
    <col min="27" max="27" width="14.1640625" customWidth="1"/>
    <col min="28" max="28" width="22.83203125" customWidth="1"/>
    <col min="29" max="29" width="49.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42">
      <c r="C1" s="112" t="s">
        <v>614</v>
      </c>
      <c r="D1" s="113">
        <v>43983</v>
      </c>
    </row>
    <row r="2" spans="3:43" ht="50">
      <c r="C2" s="257"/>
      <c r="D2" s="258"/>
      <c r="E2" s="258"/>
      <c r="F2" s="258"/>
      <c r="G2" s="258"/>
      <c r="Q2" s="25" t="s">
        <v>626</v>
      </c>
      <c r="R2" s="26">
        <v>1.0054609999999999</v>
      </c>
      <c r="AD2" s="114" t="s">
        <v>908</v>
      </c>
    </row>
    <row r="3" spans="3:43" ht="43">
      <c r="Z3" s="260"/>
      <c r="AA3" s="260"/>
      <c r="AB3" s="260"/>
      <c r="AH3" s="254" t="s">
        <v>1230</v>
      </c>
      <c r="AI3" s="255"/>
      <c r="AJ3" s="255"/>
      <c r="AK3" s="255"/>
      <c r="AL3" s="255"/>
      <c r="AM3" s="255"/>
      <c r="AN3" s="255"/>
      <c r="AO3" s="255"/>
      <c r="AP3" s="255"/>
      <c r="AQ3" s="256"/>
    </row>
    <row r="4" spans="3:43" s="112" customFormat="1" ht="112">
      <c r="C4" s="252" t="s">
        <v>1099</v>
      </c>
      <c r="D4" s="259"/>
      <c r="E4" s="259"/>
      <c r="F4" s="259"/>
      <c r="G4" s="259"/>
      <c r="H4" s="259"/>
      <c r="I4" s="259"/>
      <c r="J4" s="259"/>
      <c r="K4" s="253"/>
      <c r="L4" s="252" t="s">
        <v>1100</v>
      </c>
      <c r="M4" s="259"/>
      <c r="N4" s="259"/>
      <c r="O4" s="253"/>
      <c r="P4" s="252" t="s">
        <v>609</v>
      </c>
      <c r="Q4" s="259"/>
      <c r="R4" s="259"/>
      <c r="S4" s="259"/>
      <c r="T4" s="259"/>
      <c r="U4" s="253"/>
      <c r="V4" s="252" t="s">
        <v>620</v>
      </c>
      <c r="W4" s="259"/>
      <c r="X4" s="259"/>
      <c r="Y4" s="259"/>
      <c r="Z4" s="259"/>
      <c r="AA4" s="259"/>
      <c r="AB4" s="253"/>
      <c r="AC4" s="252" t="s">
        <v>1229</v>
      </c>
      <c r="AD4" s="253"/>
      <c r="AE4" s="178" t="s">
        <v>1113</v>
      </c>
      <c r="AF4" s="171"/>
      <c r="AG4" s="171"/>
      <c r="AH4" s="179"/>
      <c r="AI4" s="180"/>
      <c r="AJ4" s="180"/>
      <c r="AK4" s="180" t="s">
        <v>1147</v>
      </c>
      <c r="AL4" s="180" t="s">
        <v>1148</v>
      </c>
      <c r="AM4" s="180" t="s">
        <v>1149</v>
      </c>
      <c r="AN4" s="180" t="s">
        <v>1150</v>
      </c>
      <c r="AO4" s="180" t="s">
        <v>1151</v>
      </c>
      <c r="AP4" s="180" t="s">
        <v>1152</v>
      </c>
      <c r="AQ4" s="181" t="s">
        <v>1242</v>
      </c>
    </row>
    <row r="5" spans="3:43" s="17" customFormat="1" ht="61" thickBot="1">
      <c r="C5" s="8" t="s">
        <v>1115</v>
      </c>
      <c r="D5" s="8" t="s">
        <v>47</v>
      </c>
      <c r="E5" s="8" t="s">
        <v>48</v>
      </c>
      <c r="F5" s="8" t="s">
        <v>604</v>
      </c>
      <c r="G5" s="8" t="s">
        <v>14</v>
      </c>
      <c r="H5" s="8" t="s">
        <v>7</v>
      </c>
      <c r="I5" s="8" t="s">
        <v>8</v>
      </c>
      <c r="J5" s="16" t="s">
        <v>602</v>
      </c>
      <c r="K5" s="16" t="s">
        <v>603</v>
      </c>
      <c r="L5" s="105" t="s">
        <v>606</v>
      </c>
      <c r="M5" s="106" t="s">
        <v>605</v>
      </c>
      <c r="N5" s="106" t="s">
        <v>607</v>
      </c>
      <c r="O5" s="107" t="s">
        <v>608</v>
      </c>
      <c r="P5" s="235" t="s">
        <v>1285</v>
      </c>
      <c r="Q5" s="23" t="s">
        <v>610</v>
      </c>
      <c r="R5" s="236" t="s">
        <v>1279</v>
      </c>
      <c r="S5" s="110" t="s">
        <v>612</v>
      </c>
      <c r="T5" s="110" t="s">
        <v>613</v>
      </c>
      <c r="U5" s="111" t="s">
        <v>907</v>
      </c>
      <c r="V5" s="17" t="s">
        <v>623</v>
      </c>
      <c r="W5" s="8" t="s">
        <v>792</v>
      </c>
      <c r="X5" s="8" t="s">
        <v>793</v>
      </c>
      <c r="Y5" s="17" t="s">
        <v>622</v>
      </c>
      <c r="Z5" s="17" t="s">
        <v>1296</v>
      </c>
      <c r="AA5" s="17" t="s">
        <v>624</v>
      </c>
      <c r="AB5" s="8" t="s">
        <v>905</v>
      </c>
      <c r="AC5" s="8" t="s">
        <v>906</v>
      </c>
      <c r="AD5" s="177" t="s">
        <v>901</v>
      </c>
      <c r="AE5" s="236" t="s">
        <v>1286</v>
      </c>
      <c r="AF5" s="8" t="s">
        <v>611</v>
      </c>
      <c r="AG5" s="8" t="s">
        <v>1153</v>
      </c>
      <c r="AH5" s="8" t="s">
        <v>1154</v>
      </c>
      <c r="AI5" s="17" t="s">
        <v>1155</v>
      </c>
      <c r="AJ5" s="17" t="s">
        <v>1156</v>
      </c>
      <c r="AK5" s="17" t="s">
        <v>1157</v>
      </c>
      <c r="AL5" s="17" t="s">
        <v>1158</v>
      </c>
      <c r="AM5" s="17" t="s">
        <v>1159</v>
      </c>
      <c r="AN5" s="17" t="s">
        <v>1160</v>
      </c>
      <c r="AO5" s="17" t="s">
        <v>1161</v>
      </c>
      <c r="AP5" s="17" t="s">
        <v>1162</v>
      </c>
    </row>
    <row r="6" spans="3:43" ht="15" customHeight="1" thickTop="1">
      <c r="C6" s="78" t="e">
        <v>#N/A</v>
      </c>
      <c r="D6" s="60" t="s">
        <v>163</v>
      </c>
      <c r="E6" s="125" t="s">
        <v>164</v>
      </c>
      <c r="F6" s="124">
        <v>0</v>
      </c>
      <c r="G6" s="115" t="s">
        <v>1090</v>
      </c>
      <c r="H6" s="18" t="s">
        <v>618</v>
      </c>
      <c r="I6" s="18" t="s">
        <v>2</v>
      </c>
      <c r="J6" s="19" t="s">
        <v>468</v>
      </c>
      <c r="K6" s="99">
        <v>27151</v>
      </c>
      <c r="L6" s="131">
        <f>INDEX(Table1[Production],MATCH(rrcworking[[#This Row],[RRC ID Number]],Table1[RRC Identifier],0))</f>
        <v>0</v>
      </c>
      <c r="M6" s="27">
        <f>INDEX(Table1[Formation Production],MATCH(rrcworking[[#This Row],[RRC ID Number]],Table1[RRC Identifier],0))</f>
        <v>0</v>
      </c>
      <c r="N6" s="28">
        <f>INDEX(Table1[On Hand End of Month],MATCH(rrcworking[[#This Row],[RRC ID Number]],Table1[RRC Identifier],0))</f>
        <v>108</v>
      </c>
      <c r="O6" s="101" t="b">
        <f t="shared" ref="O6:O37" si="0">IF(AND(L6=0,M6=0), TRUE, FALSE)</f>
        <v>1</v>
      </c>
      <c r="Q6" s="122">
        <f>rrcworking[[#This Row],[Last Month Closing Stock]]</f>
        <v>108</v>
      </c>
      <c r="R6">
        <f>rrcworking[[#This Row],[Opening Oil Stock]]</f>
        <v>108</v>
      </c>
      <c r="S6" s="133">
        <f>IF(ISERROR(INDEX(Table2[OIL],MATCH(rrcworking[[#This Row],[Magnum Wolfpak '#]],Table2[Rox Wolf'#],0))),0,INDEX(Table2[OIL],MATCH(rrcworking[[#This Row],[Magnum Wolfpak '#]],Table2[Rox Wolf'#],0)))</f>
        <v>0</v>
      </c>
      <c r="T6" s="33">
        <f>rrcworking[[#This Row],[Closing Stock (Oil)]]+rrcworking[[#This Row],[Sales/Dispostion]]-rrcworking[[#This Row],[Opening Oil Stock]]</f>
        <v>0</v>
      </c>
      <c r="U6" s="108">
        <f>rrcworking[[#This Row],[Gauge Sheet Prod Volume (oil)]]-rrcworking[[#This Row],[Oil Production]]</f>
        <v>0</v>
      </c>
      <c r="V6" s="133">
        <f>IF(ISERROR(INDEX(Table2[GAS],MATCH(rrcworking[[#This Row],[Magnum Wolfpak '#]],Table2[Rox Wolf'#],0))),0,INDEX(Table2[GAS],MATCH(rrcworking[[#This Row],[Magnum Wolfpak '#]],Table2[Rox Wolf'#],0)))</f>
        <v>0</v>
      </c>
      <c r="W6" s="57"/>
      <c r="X6" s="57"/>
      <c r="Y6" s="133">
        <f>IF(ISERROR(INDEX(Table2[LEASE USE],MATCH(rrcworking[[#This Row],[Magnum Wolfpak '#]],Table2[Rox Wolf'#],0))),0,INDEX(Table2[LEASE USE],MATCH(rrcworking[[#This Row],[Magnum Wolfpak '#]],Table2[Rox Wolf'#],0)))</f>
        <v>0</v>
      </c>
      <c r="Z6" s="133"/>
      <c r="AA6" s="55">
        <f>rrcworking[[#This Row],[Gas Sales Statement Volume (MCF)]]+rrcworking[[#This Row],[Lease Use (MCF)]]+rrcworking[[#This Row],[Flared Gas]]</f>
        <v>0</v>
      </c>
      <c r="AB6" s="36"/>
      <c r="AC6" s="36"/>
      <c r="AD6" s="175">
        <f>COUNTIF(FilterList,rrcworking[[#This Row],[Magnum Wolfpak '#]])</f>
        <v>0</v>
      </c>
      <c r="AE6" s="172"/>
      <c r="AF6" s="173"/>
      <c r="AG6" s="36"/>
      <c r="AH6" s="36"/>
      <c r="AI6" s="36"/>
      <c r="AJ6" s="36"/>
      <c r="AK6" s="36"/>
      <c r="AL6" s="36"/>
      <c r="AM6" s="36"/>
      <c r="AN6" s="36"/>
      <c r="AO6" s="36"/>
      <c r="AP6" s="36"/>
    </row>
    <row r="7" spans="3:43" ht="14" customHeight="1">
      <c r="C7" s="78">
        <v>99265</v>
      </c>
      <c r="D7" s="60" t="s">
        <v>325</v>
      </c>
      <c r="E7" s="125" t="s">
        <v>326</v>
      </c>
      <c r="F7" s="124">
        <v>1</v>
      </c>
      <c r="G7" s="115" t="s">
        <v>1090</v>
      </c>
      <c r="H7" s="18" t="s">
        <v>619</v>
      </c>
      <c r="I7" s="18" t="s">
        <v>59</v>
      </c>
      <c r="J7" s="19" t="s">
        <v>561</v>
      </c>
      <c r="K7" s="99">
        <v>244496</v>
      </c>
      <c r="L7" s="97">
        <f>INDEX(Table1[Production],MATCH(rrcworking[[#This Row],[RRC ID Number]],Table1[RRC Identifier],0))</f>
        <v>0</v>
      </c>
      <c r="M7" s="29">
        <f>INDEX(Table1[Formation Production],MATCH(rrcworking[[#This Row],[RRC ID Number]],Table1[RRC Identifier],0))</f>
        <v>6282</v>
      </c>
      <c r="N7" s="30">
        <f>INDEX(Table1[On Hand End of Month],MATCH(rrcworking[[#This Row],[RRC ID Number]],Table1[RRC Identifier],0))</f>
        <v>162</v>
      </c>
      <c r="O7" s="102" t="b">
        <f t="shared" si="0"/>
        <v>0</v>
      </c>
      <c r="Q7" s="122">
        <f>rrcworking[[#This Row],[Last Month Closing Stock]]</f>
        <v>162</v>
      </c>
      <c r="R7">
        <v>162</v>
      </c>
      <c r="S7" s="133">
        <f>IF(ISERROR(INDEX(Table2[OIL],MATCH(rrcworking[[#This Row],[Magnum Wolfpak '#]],Table2[Rox Wolf'#],0))),0,INDEX(Table2[OIL],MATCH(rrcworking[[#This Row],[Magnum Wolfpak '#]],Table2[Rox Wolf'#],0)))</f>
        <v>0</v>
      </c>
      <c r="T7" s="34">
        <f>rrcworking[[#This Row],[Closing Stock (Oil)]]+rrcworking[[#This Row],[Sales/Dispostion]]-rrcworking[[#This Row],[Opening Oil Stock]]</f>
        <v>0</v>
      </c>
      <c r="U7" s="108">
        <f>rrcworking[[#This Row],[Gauge Sheet Prod Volume (oil)]]-rrcworking[[#This Row],[Oil Production]]</f>
        <v>0</v>
      </c>
      <c r="V7" s="133">
        <f>IF(ISERROR(INDEX(Table2[GAS],MATCH(rrcworking[[#This Row],[Magnum Wolfpak '#]],Table2[Rox Wolf'#],0))),0,INDEX(Table2[GAS],MATCH(rrcworking[[#This Row],[Magnum Wolfpak '#]],Table2[Rox Wolf'#],0)))</f>
        <v>5477</v>
      </c>
      <c r="W7" s="58"/>
      <c r="X7" s="58"/>
      <c r="Y7" s="133">
        <f>IF(ISERROR(INDEX(Table2[LEASE USE],MATCH(rrcworking[[#This Row],[Magnum Wolfpak '#]],Table2[Rox Wolf'#],0))),0,INDEX(Table2[LEASE USE],MATCH(rrcworking[[#This Row],[Magnum Wolfpak '#]],Table2[Rox Wolf'#],0)))</f>
        <v>202</v>
      </c>
      <c r="Z7" s="133"/>
      <c r="AA7" s="56">
        <f>rrcworking[[#This Row],[Gas Sales Statement Volume (MCF)]]+rrcworking[[#This Row],[Lease Use (MCF)]]+rrcworking[[#This Row],[Flared Gas]]</f>
        <v>5679</v>
      </c>
      <c r="AB7" s="36"/>
      <c r="AC7" s="36"/>
      <c r="AD7" s="175">
        <f>COUNTIF(FilterList,rrcworking[[#This Row],[Magnum Wolfpak '#]])</f>
        <v>0</v>
      </c>
      <c r="AE7" s="172"/>
      <c r="AF7" s="173"/>
      <c r="AG7" s="36"/>
      <c r="AH7" s="36"/>
      <c r="AI7" s="174"/>
      <c r="AJ7" s="174"/>
      <c r="AK7" s="174"/>
      <c r="AL7" s="174"/>
      <c r="AM7" s="174"/>
      <c r="AN7" s="174"/>
      <c r="AO7" s="36" t="s">
        <v>1163</v>
      </c>
      <c r="AP7" s="36" t="s">
        <v>1164</v>
      </c>
    </row>
    <row r="8" spans="3:43" ht="14" customHeight="1">
      <c r="C8" s="78">
        <v>99266</v>
      </c>
      <c r="D8" s="60" t="s">
        <v>325</v>
      </c>
      <c r="E8" s="125" t="s">
        <v>326</v>
      </c>
      <c r="F8" s="124">
        <v>2</v>
      </c>
      <c r="G8" s="115" t="s">
        <v>1090</v>
      </c>
      <c r="H8" s="18" t="s">
        <v>619</v>
      </c>
      <c r="I8" s="18" t="s">
        <v>59</v>
      </c>
      <c r="J8" s="19" t="s">
        <v>562</v>
      </c>
      <c r="K8" s="99">
        <v>248176</v>
      </c>
      <c r="L8" s="97">
        <f>INDEX(Table1[Production],MATCH(rrcworking[[#This Row],[RRC ID Number]],Table1[RRC Identifier],0))</f>
        <v>0</v>
      </c>
      <c r="M8" s="29">
        <f>INDEX(Table1[Formation Production],MATCH(rrcworking[[#This Row],[RRC ID Number]],Table1[RRC Identifier],0))</f>
        <v>2553</v>
      </c>
      <c r="N8" s="30">
        <f>INDEX(Table1[On Hand End of Month],MATCH(rrcworking[[#This Row],[RRC ID Number]],Table1[RRC Identifier],0))</f>
        <v>0</v>
      </c>
      <c r="O8" s="102" t="b">
        <f t="shared" si="0"/>
        <v>0</v>
      </c>
      <c r="Q8" s="122">
        <f>rrcworking[[#This Row],[Last Month Closing Stock]]</f>
        <v>0</v>
      </c>
      <c r="R8">
        <f>rrcworking[[#This Row],[Opening Oil Stock]]</f>
        <v>0</v>
      </c>
      <c r="S8" s="133">
        <f>IF(ISERROR(INDEX(Table2[OIL],MATCH(rrcworking[[#This Row],[Magnum Wolfpak '#]],Table2[Rox Wolf'#],0))),0,INDEX(Table2[OIL],MATCH(rrcworking[[#This Row],[Magnum Wolfpak '#]],Table2[Rox Wolf'#],0)))</f>
        <v>0</v>
      </c>
      <c r="T8" s="34">
        <f>rrcworking[[#This Row],[Closing Stock (Oil)]]+rrcworking[[#This Row],[Sales/Dispostion]]-rrcworking[[#This Row],[Opening Oil Stock]]</f>
        <v>0</v>
      </c>
      <c r="U8" s="108">
        <f>rrcworking[[#This Row],[Gauge Sheet Prod Volume (oil)]]-rrcworking[[#This Row],[Oil Production]]</f>
        <v>0</v>
      </c>
      <c r="V8" s="133">
        <f>IF(ISERROR(INDEX(Table2[GAS],MATCH(rrcworking[[#This Row],[Magnum Wolfpak '#]],Table2[Rox Wolf'#],0))),0,INDEX(Table2[GAS],MATCH(rrcworking[[#This Row],[Magnum Wolfpak '#]],Table2[Rox Wolf'#],0)))</f>
        <v>2270</v>
      </c>
      <c r="W8" s="58"/>
      <c r="X8" s="58"/>
      <c r="Y8" s="133">
        <f>IF(ISERROR(INDEX(Table2[LEASE USE],MATCH(rrcworking[[#This Row],[Magnum Wolfpak '#]],Table2[Rox Wolf'#],0))),0,INDEX(Table2[LEASE USE],MATCH(rrcworking[[#This Row],[Magnum Wolfpak '#]],Table2[Rox Wolf'#],0)))</f>
        <v>84</v>
      </c>
      <c r="Z8" s="133"/>
      <c r="AA8" s="56">
        <f>rrcworking[[#This Row],[Gas Sales Statement Volume (MCF)]]+rrcworking[[#This Row],[Lease Use (MCF)]]+rrcworking[[#This Row],[Flared Gas]]</f>
        <v>2354</v>
      </c>
      <c r="AB8" s="36"/>
      <c r="AC8" s="36"/>
      <c r="AD8" s="175">
        <f>COUNTIF(FilterList,rrcworking[[#This Row],[Magnum Wolfpak '#]])</f>
        <v>0</v>
      </c>
      <c r="AE8" s="172"/>
      <c r="AF8" s="173"/>
      <c r="AG8" s="36"/>
      <c r="AH8" s="36"/>
      <c r="AI8" s="174"/>
      <c r="AJ8" s="174"/>
      <c r="AK8" s="174"/>
      <c r="AL8" s="174"/>
      <c r="AM8" s="174"/>
      <c r="AN8" s="174"/>
      <c r="AO8" s="36" t="s">
        <v>1163</v>
      </c>
      <c r="AP8" s="36" t="s">
        <v>1164</v>
      </c>
    </row>
    <row r="9" spans="3:43" ht="14" customHeight="1">
      <c r="C9" s="78">
        <v>99267</v>
      </c>
      <c r="D9" s="60" t="s">
        <v>325</v>
      </c>
      <c r="E9" s="125" t="s">
        <v>326</v>
      </c>
      <c r="F9" s="124">
        <v>3</v>
      </c>
      <c r="G9" s="115" t="s">
        <v>1090</v>
      </c>
      <c r="H9" s="18" t="s">
        <v>619</v>
      </c>
      <c r="I9" s="18" t="s">
        <v>59</v>
      </c>
      <c r="J9" s="19" t="s">
        <v>564</v>
      </c>
      <c r="K9" s="99">
        <v>255119</v>
      </c>
      <c r="L9" s="97">
        <f>INDEX(Table1[Production],MATCH(rrcworking[[#This Row],[RRC ID Number]],Table1[RRC Identifier],0))</f>
        <v>0</v>
      </c>
      <c r="M9" s="29">
        <f>INDEX(Table1[Formation Production],MATCH(rrcworking[[#This Row],[RRC ID Number]],Table1[RRC Identifier],0))</f>
        <v>101</v>
      </c>
      <c r="N9" s="30">
        <f>INDEX(Table1[On Hand End of Month],MATCH(rrcworking[[#This Row],[RRC ID Number]],Table1[RRC Identifier],0))</f>
        <v>0</v>
      </c>
      <c r="O9" s="102" t="b">
        <f t="shared" si="0"/>
        <v>0</v>
      </c>
      <c r="Q9" s="122">
        <f>rrcworking[[#This Row],[Last Month Closing Stock]]</f>
        <v>0</v>
      </c>
      <c r="R9">
        <f>rrcworking[[#This Row],[Opening Oil Stock]]</f>
        <v>0</v>
      </c>
      <c r="S9" s="133">
        <f>IF(ISERROR(INDEX(Table2[OIL],MATCH(rrcworking[[#This Row],[Magnum Wolfpak '#]],Table2[Rox Wolf'#],0))),0,INDEX(Table2[OIL],MATCH(rrcworking[[#This Row],[Magnum Wolfpak '#]],Table2[Rox Wolf'#],0)))</f>
        <v>0</v>
      </c>
      <c r="T9" s="34">
        <f>rrcworking[[#This Row],[Closing Stock (Oil)]]+rrcworking[[#This Row],[Sales/Dispostion]]-rrcworking[[#This Row],[Opening Oil Stock]]</f>
        <v>0</v>
      </c>
      <c r="U9" s="108">
        <f>rrcworking[[#This Row],[Gauge Sheet Prod Volume (oil)]]-rrcworking[[#This Row],[Oil Production]]</f>
        <v>0</v>
      </c>
      <c r="V9" s="133">
        <f>IF(ISERROR(INDEX(Table2[GAS],MATCH(rrcworking[[#This Row],[Magnum Wolfpak '#]],Table2[Rox Wolf'#],0))),0,INDEX(Table2[GAS],MATCH(rrcworking[[#This Row],[Magnum Wolfpak '#]],Table2[Rox Wolf'#],0)))</f>
        <v>235</v>
      </c>
      <c r="W9" s="58"/>
      <c r="X9" s="58"/>
      <c r="Y9" s="133">
        <f>IF(ISERROR(INDEX(Table2[LEASE USE],MATCH(rrcworking[[#This Row],[Magnum Wolfpak '#]],Table2[Rox Wolf'#],0))),0,INDEX(Table2[LEASE USE],MATCH(rrcworking[[#This Row],[Magnum Wolfpak '#]],Table2[Rox Wolf'#],0)))</f>
        <v>10</v>
      </c>
      <c r="Z9" s="133"/>
      <c r="AA9" s="56">
        <f>rrcworking[[#This Row],[Gas Sales Statement Volume (MCF)]]+rrcworking[[#This Row],[Lease Use (MCF)]]+rrcworking[[#This Row],[Flared Gas]]</f>
        <v>245</v>
      </c>
      <c r="AB9" s="36"/>
      <c r="AC9" s="36"/>
      <c r="AD9" s="175">
        <f>COUNTIF(FilterList,rrcworking[[#This Row],[Magnum Wolfpak '#]])</f>
        <v>0</v>
      </c>
      <c r="AE9" s="172"/>
      <c r="AF9" s="173"/>
      <c r="AG9" s="36"/>
      <c r="AH9" s="36"/>
      <c r="AI9" s="174"/>
      <c r="AJ9" s="174"/>
      <c r="AK9" s="174"/>
      <c r="AL9" s="174"/>
      <c r="AM9" s="174"/>
      <c r="AN9" s="174"/>
      <c r="AO9" s="36" t="s">
        <v>1163</v>
      </c>
      <c r="AP9" s="36" t="s">
        <v>1164</v>
      </c>
    </row>
    <row r="10" spans="3:43" ht="14" customHeight="1">
      <c r="C10" s="78">
        <v>99229</v>
      </c>
      <c r="D10" s="60" t="s">
        <v>221</v>
      </c>
      <c r="E10" s="125" t="s">
        <v>222</v>
      </c>
      <c r="F10" s="124">
        <v>0</v>
      </c>
      <c r="G10" s="115" t="s">
        <v>1090</v>
      </c>
      <c r="H10" s="18" t="s">
        <v>618</v>
      </c>
      <c r="I10" s="18" t="s">
        <v>2</v>
      </c>
      <c r="J10" s="19" t="s">
        <v>499</v>
      </c>
      <c r="K10" s="99">
        <v>26834</v>
      </c>
      <c r="L10" s="97">
        <f>INDEX(Table1[Production],MATCH(rrcworking[[#This Row],[RRC ID Number]],Table1[RRC Identifier],0))</f>
        <v>0</v>
      </c>
      <c r="M10" s="29">
        <f>INDEX(Table1[Formation Production],MATCH(rrcworking[[#This Row],[RRC ID Number]],Table1[RRC Identifier],0))</f>
        <v>0</v>
      </c>
      <c r="N10" s="30">
        <f>INDEX(Table1[On Hand End of Month],MATCH(rrcworking[[#This Row],[RRC ID Number]],Table1[RRC Identifier],0))</f>
        <v>86</v>
      </c>
      <c r="O10" s="102" t="b">
        <f t="shared" si="0"/>
        <v>1</v>
      </c>
      <c r="P10">
        <v>0</v>
      </c>
      <c r="Q10" s="122">
        <f>rrcworking[[#This Row],[Last Month Closing Stock]]</f>
        <v>86</v>
      </c>
      <c r="R10">
        <v>86</v>
      </c>
      <c r="S10" s="133">
        <f>IF(ISERROR(INDEX(Table2[OIL],MATCH(rrcworking[[#This Row],[Magnum Wolfpak '#]],Table2[Rox Wolf'#],0))),0,INDEX(Table2[OIL],MATCH(rrcworking[[#This Row],[Magnum Wolfpak '#]],Table2[Rox Wolf'#],0)))</f>
        <v>0</v>
      </c>
      <c r="T10" s="34">
        <f>rrcworking[[#This Row],[Closing Stock (Oil)]]+rrcworking[[#This Row],[Sales/Dispostion]]-rrcworking[[#This Row],[Opening Oil Stock]]</f>
        <v>0</v>
      </c>
      <c r="U10" s="108">
        <f>rrcworking[[#This Row],[Gauge Sheet Prod Volume (oil)]]-rrcworking[[#This Row],[Oil Production]]</f>
        <v>0</v>
      </c>
      <c r="V10" s="133">
        <f>IF(ISERROR(INDEX(Table2[GAS],MATCH(rrcworking[[#This Row],[Magnum Wolfpak '#]],Table2[Rox Wolf'#],0))),0,INDEX(Table2[GAS],MATCH(rrcworking[[#This Row],[Magnum Wolfpak '#]],Table2[Rox Wolf'#],0)))</f>
        <v>0</v>
      </c>
      <c r="W10" s="82"/>
      <c r="X10" s="58">
        <v>1</v>
      </c>
      <c r="Y10" s="133">
        <f>IF(ISERROR(INDEX(Table2[LEASE USE],MATCH(rrcworking[[#This Row],[Magnum Wolfpak '#]],Table2[Rox Wolf'#],0))),0,INDEX(Table2[LEASE USE],MATCH(rrcworking[[#This Row],[Magnum Wolfpak '#]],Table2[Rox Wolf'#],0)))</f>
        <v>0</v>
      </c>
      <c r="Z10" s="133"/>
      <c r="AA10" s="56">
        <f>rrcworking[[#This Row],[Gas Sales Statement Volume (MCF)]]+rrcworking[[#This Row],[Lease Use (MCF)]]+rrcworking[[#This Row],[Flared Gas]]</f>
        <v>0</v>
      </c>
      <c r="AB10" s="36"/>
      <c r="AC10" s="36" t="s">
        <v>1266</v>
      </c>
      <c r="AD10" s="175">
        <f>COUNTIF(FilterList,rrcworking[[#This Row],[Magnum Wolfpak '#]])</f>
        <v>0</v>
      </c>
      <c r="AE10" s="172"/>
      <c r="AF10" s="173"/>
      <c r="AG10" s="36"/>
      <c r="AH10" s="173"/>
      <c r="AI10" s="174">
        <v>3</v>
      </c>
      <c r="AJ10" s="174" t="s">
        <v>1139</v>
      </c>
      <c r="AK10" s="174" t="s">
        <v>1139</v>
      </c>
      <c r="AL10" s="174" t="s">
        <v>1166</v>
      </c>
      <c r="AM10" s="174" t="s">
        <v>1165</v>
      </c>
      <c r="AN10" s="174" t="s">
        <v>1167</v>
      </c>
      <c r="AO10" s="36" t="s">
        <v>1163</v>
      </c>
      <c r="AP10" s="36"/>
    </row>
    <row r="11" spans="3:43" ht="14" customHeight="1">
      <c r="C11" s="78" t="e">
        <v>#N/A</v>
      </c>
      <c r="D11" s="60" t="s">
        <v>225</v>
      </c>
      <c r="E11" s="125" t="s">
        <v>222</v>
      </c>
      <c r="F11" s="124" t="s">
        <v>226</v>
      </c>
      <c r="G11" s="115" t="s">
        <v>1090</v>
      </c>
      <c r="H11" s="18" t="s">
        <v>618</v>
      </c>
      <c r="I11" s="18" t="s">
        <v>59</v>
      </c>
      <c r="J11" s="19" t="s">
        <v>501</v>
      </c>
      <c r="K11" s="99">
        <v>275419</v>
      </c>
      <c r="L11" s="97">
        <f>INDEX(Table1[Production],MATCH(rrcworking[[#This Row],[RRC ID Number]],Table1[RRC Identifier],0))</f>
        <v>0</v>
      </c>
      <c r="M11" s="29">
        <f>INDEX(Table1[Formation Production],MATCH(rrcworking[[#This Row],[RRC ID Number]],Table1[RRC Identifier],0))</f>
        <v>0</v>
      </c>
      <c r="N11" s="30">
        <f>INDEX(Table1[On Hand End of Month],MATCH(rrcworking[[#This Row],[RRC ID Number]],Table1[RRC Identifier],0))</f>
        <v>0</v>
      </c>
      <c r="O11" s="102" t="b">
        <f t="shared" si="0"/>
        <v>1</v>
      </c>
      <c r="Q11" s="122">
        <f>rrcworking[[#This Row],[Last Month Closing Stock]]</f>
        <v>0</v>
      </c>
      <c r="R11">
        <f>rrcworking[[#This Row],[Opening Oil Stock]]</f>
        <v>0</v>
      </c>
      <c r="S11" s="133">
        <f>IF(ISERROR(INDEX(Table2[OIL],MATCH(rrcworking[[#This Row],[Magnum Wolfpak '#]],Table2[Rox Wolf'#],0))),0,INDEX(Table2[OIL],MATCH(rrcworking[[#This Row],[Magnum Wolfpak '#]],Table2[Rox Wolf'#],0)))</f>
        <v>0</v>
      </c>
      <c r="T11" s="34">
        <f>rrcworking[[#This Row],[Closing Stock (Oil)]]+rrcworking[[#This Row],[Sales/Dispostion]]-rrcworking[[#This Row],[Opening Oil Stock]]</f>
        <v>0</v>
      </c>
      <c r="U11" s="108">
        <f>rrcworking[[#This Row],[Gauge Sheet Prod Volume (oil)]]-rrcworking[[#This Row],[Oil Production]]</f>
        <v>0</v>
      </c>
      <c r="V11" s="133">
        <f>IF(ISERROR(INDEX(Table2[GAS],MATCH(rrcworking[[#This Row],[Magnum Wolfpak '#]],Table2[Rox Wolf'#],0))),0,INDEX(Table2[GAS],MATCH(rrcworking[[#This Row],[Magnum Wolfpak '#]],Table2[Rox Wolf'#],0)))</f>
        <v>0</v>
      </c>
      <c r="W11" s="58"/>
      <c r="X11" s="58"/>
      <c r="Y11" s="133">
        <f>IF(ISERROR(INDEX(Table2[LEASE USE],MATCH(rrcworking[[#This Row],[Magnum Wolfpak '#]],Table2[Rox Wolf'#],0))),0,INDEX(Table2[LEASE USE],MATCH(rrcworking[[#This Row],[Magnum Wolfpak '#]],Table2[Rox Wolf'#],0)))</f>
        <v>0</v>
      </c>
      <c r="Z11" s="133"/>
      <c r="AA11" s="56">
        <f>rrcworking[[#This Row],[Gas Sales Statement Volume (MCF)]]+rrcworking[[#This Row],[Lease Use (MCF)]]+rrcworking[[#This Row],[Flared Gas]]</f>
        <v>0</v>
      </c>
      <c r="AB11" s="36"/>
      <c r="AC11" s="36"/>
      <c r="AD11" s="175">
        <f>COUNTIF(FilterList,rrcworking[[#This Row],[Magnum Wolfpak '#]])</f>
        <v>0</v>
      </c>
      <c r="AE11" s="172"/>
      <c r="AF11" s="173"/>
      <c r="AG11" s="36"/>
      <c r="AH11" s="36"/>
      <c r="AI11" s="36"/>
      <c r="AJ11" s="36"/>
      <c r="AK11" s="36"/>
      <c r="AL11" s="36"/>
      <c r="AM11" s="36"/>
      <c r="AN11" s="36"/>
      <c r="AO11" s="36"/>
      <c r="AP11" s="36"/>
    </row>
    <row r="12" spans="3:43" ht="14" customHeight="1">
      <c r="C12" s="78" t="e">
        <v>#N/A</v>
      </c>
      <c r="D12" s="60" t="s">
        <v>145</v>
      </c>
      <c r="E12" s="125" t="s">
        <v>146</v>
      </c>
      <c r="F12" s="124">
        <v>0</v>
      </c>
      <c r="G12" s="115" t="s">
        <v>1090</v>
      </c>
      <c r="H12" s="18" t="s">
        <v>618</v>
      </c>
      <c r="I12" s="18" t="s">
        <v>2</v>
      </c>
      <c r="J12" s="19" t="s">
        <v>457</v>
      </c>
      <c r="K12" s="99">
        <v>27142</v>
      </c>
      <c r="L12" s="97">
        <f>INDEX(Table1[Production],MATCH(rrcworking[[#This Row],[RRC ID Number]],Table1[RRC Identifier],0))</f>
        <v>0</v>
      </c>
      <c r="M12" s="29">
        <f>INDEX(Table1[Formation Production],MATCH(rrcworking[[#This Row],[RRC ID Number]],Table1[RRC Identifier],0))</f>
        <v>0</v>
      </c>
      <c r="N12" s="30">
        <f>INDEX(Table1[On Hand End of Month],MATCH(rrcworking[[#This Row],[RRC ID Number]],Table1[RRC Identifier],0))</f>
        <v>0</v>
      </c>
      <c r="O12" s="102" t="b">
        <f t="shared" si="0"/>
        <v>1</v>
      </c>
      <c r="Q12" s="122">
        <f>rrcworking[[#This Row],[Last Month Closing Stock]]</f>
        <v>0</v>
      </c>
      <c r="R12">
        <f>rrcworking[[#This Row],[Opening Oil Stock]]</f>
        <v>0</v>
      </c>
      <c r="S12" s="133">
        <f>IF(ISERROR(INDEX(Table2[OIL],MATCH(rrcworking[[#This Row],[Magnum Wolfpak '#]],Table2[Rox Wolf'#],0))),0,INDEX(Table2[OIL],MATCH(rrcworking[[#This Row],[Magnum Wolfpak '#]],Table2[Rox Wolf'#],0)))</f>
        <v>0</v>
      </c>
      <c r="T12" s="34">
        <f>rrcworking[[#This Row],[Closing Stock (Oil)]]+rrcworking[[#This Row],[Sales/Dispostion]]-rrcworking[[#This Row],[Opening Oil Stock]]</f>
        <v>0</v>
      </c>
      <c r="U12" s="108">
        <f>rrcworking[[#This Row],[Gauge Sheet Prod Volume (oil)]]-rrcworking[[#This Row],[Oil Production]]</f>
        <v>0</v>
      </c>
      <c r="V12" s="133">
        <f>IF(ISERROR(INDEX(Table2[GAS],MATCH(rrcworking[[#This Row],[Magnum Wolfpak '#]],Table2[Rox Wolf'#],0))),0,INDEX(Table2[GAS],MATCH(rrcworking[[#This Row],[Magnum Wolfpak '#]],Table2[Rox Wolf'#],0)))</f>
        <v>0</v>
      </c>
      <c r="W12" s="58"/>
      <c r="X12" s="58"/>
      <c r="Y12" s="133">
        <f>IF(ISERROR(INDEX(Table2[LEASE USE],MATCH(rrcworking[[#This Row],[Magnum Wolfpak '#]],Table2[Rox Wolf'#],0))),0,INDEX(Table2[LEASE USE],MATCH(rrcworking[[#This Row],[Magnum Wolfpak '#]],Table2[Rox Wolf'#],0)))</f>
        <v>0</v>
      </c>
      <c r="Z12" s="133"/>
      <c r="AA12" s="56">
        <f>rrcworking[[#This Row],[Gas Sales Statement Volume (MCF)]]+rrcworking[[#This Row],[Lease Use (MCF)]]+rrcworking[[#This Row],[Flared Gas]]</f>
        <v>0</v>
      </c>
      <c r="AB12" s="36"/>
      <c r="AC12" s="36"/>
      <c r="AD12" s="175">
        <f>COUNTIF(FilterList,rrcworking[[#This Row],[Magnum Wolfpak '#]])</f>
        <v>0</v>
      </c>
      <c r="AE12" s="172"/>
      <c r="AF12" s="173"/>
      <c r="AG12" s="36"/>
      <c r="AH12" s="36"/>
      <c r="AI12" s="36"/>
      <c r="AJ12" s="36"/>
      <c r="AK12" s="36"/>
      <c r="AL12" s="36"/>
      <c r="AM12" s="36"/>
      <c r="AN12" s="36"/>
      <c r="AO12" s="36"/>
      <c r="AP12" s="36"/>
    </row>
    <row r="13" spans="3:43" ht="126">
      <c r="C13" s="193">
        <v>99282</v>
      </c>
      <c r="D13" s="194" t="s">
        <v>1254</v>
      </c>
      <c r="E13" s="195" t="s">
        <v>1261</v>
      </c>
      <c r="F13" s="196" t="s">
        <v>58</v>
      </c>
      <c r="G13" s="197"/>
      <c r="H13" s="198" t="s">
        <v>618</v>
      </c>
      <c r="I13" s="245" t="s">
        <v>2</v>
      </c>
      <c r="J13" s="200" t="s">
        <v>1284</v>
      </c>
      <c r="K13" s="99">
        <v>27736</v>
      </c>
      <c r="L13" s="97">
        <f>INDEX(Table1[Production],MATCH(rrcworking[[#This Row],[RRC ID Number]],Table1[RRC Identifier],0))</f>
        <v>0</v>
      </c>
      <c r="M13" s="29">
        <f>INDEX(Table1[Formation Production],MATCH(rrcworking[[#This Row],[RRC ID Number]],Table1[RRC Identifier],0))</f>
        <v>0</v>
      </c>
      <c r="N13" s="30">
        <f>INDEX(Table1[On Hand End of Month],MATCH(rrcworking[[#This Row],[RRC ID Number]],Table1[RRC Identifier],0))</f>
        <v>147</v>
      </c>
      <c r="O13" s="102" t="b">
        <f>IF(AND(L13=0,M13=0), TRUE, FALSE)</f>
        <v>1</v>
      </c>
      <c r="P13">
        <v>0</v>
      </c>
      <c r="Q13" s="122">
        <f>rrcworking[[#This Row],[Last Month Closing Stock]]</f>
        <v>147</v>
      </c>
      <c r="R13">
        <v>147</v>
      </c>
      <c r="S13" s="133">
        <f>IF(ISERROR(INDEX(Table2[OIL],MATCH(rrcworking[[#This Row],[Magnum Wolfpak '#]],Table2[Rox Wolf'#],0))),0,INDEX(Table2[OIL],MATCH(rrcworking[[#This Row],[Magnum Wolfpak '#]],Table2[Rox Wolf'#],0)))</f>
        <v>0</v>
      </c>
      <c r="T13" s="34">
        <f>rrcworking[[#This Row],[Closing Stock (Oil)]]+rrcworking[[#This Row],[Sales/Dispostion]]-rrcworking[[#This Row],[Opening Oil Stock]]</f>
        <v>0</v>
      </c>
      <c r="U13" s="108">
        <f>rrcworking[[#This Row],[Gauge Sheet Prod Volume (oil)]]-rrcworking[[#This Row],[Oil Production]]</f>
        <v>0</v>
      </c>
      <c r="V13" s="133">
        <f>IF(ISERROR(INDEX(Table2[GAS],MATCH(rrcworking[[#This Row],[Magnum Wolfpak '#]],Table2[Rox Wolf'#],0))),0,INDEX(Table2[GAS],MATCH(rrcworking[[#This Row],[Magnum Wolfpak '#]],Table2[Rox Wolf'#],0)))</f>
        <v>0</v>
      </c>
      <c r="W13" s="58"/>
      <c r="X13" s="58"/>
      <c r="Y13" s="134"/>
      <c r="Z13" s="240">
        <v>0</v>
      </c>
      <c r="AA13" s="56">
        <f>rrcworking[[#This Row],[Gas Sales Statement Volume (MCF)]]+rrcworking[[#This Row],[Lease Use (MCF)]]+rrcworking[[#This Row],[Flared Gas]]</f>
        <v>0</v>
      </c>
      <c r="AB13" s="36" t="s">
        <v>1256</v>
      </c>
      <c r="AC13" s="36" t="s">
        <v>1298</v>
      </c>
      <c r="AD13" s="175">
        <f>COUNTIF(FilterList,rrcworking[[#This Row],[Magnum Wolfpak '#]])</f>
        <v>0</v>
      </c>
      <c r="AE13" s="172"/>
      <c r="AF13" s="173"/>
      <c r="AG13" s="36"/>
      <c r="AH13" s="36"/>
      <c r="AI13" s="36">
        <v>2</v>
      </c>
      <c r="AJ13" s="36" t="s">
        <v>1139</v>
      </c>
      <c r="AK13" s="36" t="s">
        <v>1139</v>
      </c>
      <c r="AL13" s="36" t="s">
        <v>1200</v>
      </c>
      <c r="AM13" s="36" t="s">
        <v>1139</v>
      </c>
      <c r="AN13" s="36" t="s">
        <v>1202</v>
      </c>
      <c r="AO13" s="36" t="s">
        <v>1255</v>
      </c>
      <c r="AP13" s="36"/>
    </row>
    <row r="14" spans="3:43" ht="14" customHeight="1">
      <c r="C14" s="78">
        <v>93701</v>
      </c>
      <c r="D14" s="60" t="s">
        <v>92</v>
      </c>
      <c r="E14" s="125" t="s">
        <v>93</v>
      </c>
      <c r="F14" s="124">
        <v>1</v>
      </c>
      <c r="G14" s="115" t="s">
        <v>1090</v>
      </c>
      <c r="H14" s="18" t="s">
        <v>617</v>
      </c>
      <c r="I14" s="18" t="s">
        <v>59</v>
      </c>
      <c r="J14" s="19" t="s">
        <v>423</v>
      </c>
      <c r="K14" s="99">
        <v>207897</v>
      </c>
      <c r="L14" s="97">
        <f>INDEX(Table1[Production],MATCH(rrcworking[[#This Row],[RRC ID Number]],Table1[RRC Identifier],0))</f>
        <v>0</v>
      </c>
      <c r="M14" s="29">
        <f>INDEX(Table1[Formation Production],MATCH(rrcworking[[#This Row],[RRC ID Number]],Table1[RRC Identifier],0))</f>
        <v>0</v>
      </c>
      <c r="N14" s="30">
        <f>INDEX(Table1[On Hand End of Month],MATCH(rrcworking[[#This Row],[RRC ID Number]],Table1[RRC Identifier],0))</f>
        <v>0</v>
      </c>
      <c r="O14" s="102" t="b">
        <f t="shared" si="0"/>
        <v>1</v>
      </c>
      <c r="Q14" s="122">
        <f>rrcworking[[#This Row],[Last Month Closing Stock]]</f>
        <v>0</v>
      </c>
      <c r="R14">
        <v>0</v>
      </c>
      <c r="S14" s="133">
        <f>IF(ISERROR(INDEX(Table2[OIL],MATCH(rrcworking[[#This Row],[Magnum Wolfpak '#]],Table2[Rox Wolf'#],0))),0,INDEX(Table2[OIL],MATCH(rrcworking[[#This Row],[Magnum Wolfpak '#]],Table2[Rox Wolf'#],0)))</f>
        <v>0</v>
      </c>
      <c r="T14" s="34">
        <f>rrcworking[[#This Row],[Closing Stock (Oil)]]+rrcworking[[#This Row],[Sales/Dispostion]]-rrcworking[[#This Row],[Opening Oil Stock]]</f>
        <v>0</v>
      </c>
      <c r="U14" s="108">
        <f>rrcworking[[#This Row],[Gauge Sheet Prod Volume (oil)]]-rrcworking[[#This Row],[Oil Production]]</f>
        <v>0</v>
      </c>
      <c r="V14" s="133">
        <f>IF(ISERROR(INDEX(Table2[GAS],MATCH(rrcworking[[#This Row],[Magnum Wolfpak '#]],Table2[Rox Wolf'#],0))),0,INDEX(Table2[GAS],MATCH(rrcworking[[#This Row],[Magnum Wolfpak '#]],Table2[Rox Wolf'#],0)))</f>
        <v>15</v>
      </c>
      <c r="W14" s="58"/>
      <c r="X14" s="58"/>
      <c r="Y14" s="133">
        <f>IF(ISERROR(INDEX(Table2[LEASE USE],MATCH(rrcworking[[#This Row],[Magnum Wolfpak '#]],Table2[Rox Wolf'#],0))),0,INDEX(Table2[LEASE USE],MATCH(rrcworking[[#This Row],[Magnum Wolfpak '#]],Table2[Rox Wolf'#],0)))</f>
        <v>0</v>
      </c>
      <c r="Z14" s="133"/>
      <c r="AA14" s="56">
        <f>rrcworking[[#This Row],[Gas Sales Statement Volume (MCF)]]+rrcworking[[#This Row],[Lease Use (MCF)]]+rrcworking[[#This Row],[Flared Gas]]</f>
        <v>15</v>
      </c>
      <c r="AB14" s="36"/>
      <c r="AC14" s="36"/>
      <c r="AD14" s="175">
        <f>COUNTIF(FilterList,rrcworking[[#This Row],[Magnum Wolfpak '#]])</f>
        <v>0</v>
      </c>
      <c r="AE14" s="172"/>
      <c r="AF14" s="173"/>
      <c r="AG14" s="36"/>
      <c r="AH14" s="36"/>
      <c r="AI14" s="36"/>
      <c r="AJ14" s="36"/>
      <c r="AK14" s="36"/>
      <c r="AL14" s="36"/>
      <c r="AM14" s="36"/>
      <c r="AN14" s="36"/>
      <c r="AO14" s="36" t="s">
        <v>1163</v>
      </c>
      <c r="AP14" s="36" t="s">
        <v>1168</v>
      </c>
    </row>
    <row r="15" spans="3:43" ht="14" customHeight="1">
      <c r="C15" s="78" t="e">
        <v>#N/A</v>
      </c>
      <c r="D15" s="60" t="s">
        <v>302</v>
      </c>
      <c r="E15" s="125" t="s">
        <v>303</v>
      </c>
      <c r="F15" s="124">
        <v>0</v>
      </c>
      <c r="G15" s="115" t="s">
        <v>1090</v>
      </c>
      <c r="H15" s="18" t="s">
        <v>618</v>
      </c>
      <c r="I15" s="18" t="s">
        <v>2</v>
      </c>
      <c r="J15" s="19" t="s">
        <v>549</v>
      </c>
      <c r="K15" s="99">
        <v>22499</v>
      </c>
      <c r="L15" s="97">
        <f>INDEX(Table1[Production],MATCH(rrcworking[[#This Row],[RRC ID Number]],Table1[RRC Identifier],0))</f>
        <v>0</v>
      </c>
      <c r="M15" s="29">
        <f>INDEX(Table1[Formation Production],MATCH(rrcworking[[#This Row],[RRC ID Number]],Table1[RRC Identifier],0))</f>
        <v>0</v>
      </c>
      <c r="N15" s="30">
        <f>INDEX(Table1[On Hand End of Month],MATCH(rrcworking[[#This Row],[RRC ID Number]],Table1[RRC Identifier],0))</f>
        <v>0</v>
      </c>
      <c r="O15" s="102" t="b">
        <f t="shared" si="0"/>
        <v>1</v>
      </c>
      <c r="Q15" s="122">
        <f>rrcworking[[#This Row],[Last Month Closing Stock]]</f>
        <v>0</v>
      </c>
      <c r="R15">
        <f>rrcworking[[#This Row],[Opening Oil Stock]]</f>
        <v>0</v>
      </c>
      <c r="S15" s="133">
        <f>IF(ISERROR(INDEX(Table2[OIL],MATCH(rrcworking[[#This Row],[Magnum Wolfpak '#]],Table2[Rox Wolf'#],0))),0,INDEX(Table2[OIL],MATCH(rrcworking[[#This Row],[Magnum Wolfpak '#]],Table2[Rox Wolf'#],0)))</f>
        <v>0</v>
      </c>
      <c r="T15" s="34">
        <f>rrcworking[[#This Row],[Closing Stock (Oil)]]+rrcworking[[#This Row],[Sales/Dispostion]]-rrcworking[[#This Row],[Opening Oil Stock]]</f>
        <v>0</v>
      </c>
      <c r="U15" s="108">
        <f>rrcworking[[#This Row],[Gauge Sheet Prod Volume (oil)]]-rrcworking[[#This Row],[Oil Production]]</f>
        <v>0</v>
      </c>
      <c r="V15" s="133">
        <f>IF(ISERROR(INDEX(Table2[GAS],MATCH(rrcworking[[#This Row],[Magnum Wolfpak '#]],Table2[Rox Wolf'#],0))),0,INDEX(Table2[GAS],MATCH(rrcworking[[#This Row],[Magnum Wolfpak '#]],Table2[Rox Wolf'#],0)))</f>
        <v>0</v>
      </c>
      <c r="W15" s="58"/>
      <c r="X15" s="58"/>
      <c r="Y15" s="133">
        <f>IF(ISERROR(INDEX(Table2[LEASE USE],MATCH(rrcworking[[#This Row],[Magnum Wolfpak '#]],Table2[Rox Wolf'#],0))),0,INDEX(Table2[LEASE USE],MATCH(rrcworking[[#This Row],[Magnum Wolfpak '#]],Table2[Rox Wolf'#],0)))</f>
        <v>0</v>
      </c>
      <c r="Z15" s="133"/>
      <c r="AA15" s="56">
        <f>rrcworking[[#This Row],[Gas Sales Statement Volume (MCF)]]+rrcworking[[#This Row],[Lease Use (MCF)]]+rrcworking[[#This Row],[Flared Gas]]</f>
        <v>0</v>
      </c>
      <c r="AB15" s="36"/>
      <c r="AC15" s="36"/>
      <c r="AD15" s="175">
        <f>COUNTIF(FilterList,rrcworking[[#This Row],[Magnum Wolfpak '#]])</f>
        <v>0</v>
      </c>
      <c r="AE15" s="172"/>
      <c r="AF15" s="173"/>
      <c r="AG15" s="36"/>
      <c r="AH15" s="36"/>
      <c r="AI15" s="36"/>
      <c r="AJ15" s="36"/>
      <c r="AK15" s="36"/>
      <c r="AL15" s="36"/>
      <c r="AM15" s="36"/>
      <c r="AN15" s="36"/>
      <c r="AO15" s="36"/>
      <c r="AP15" s="36"/>
    </row>
    <row r="16" spans="3:43" ht="14" customHeight="1">
      <c r="C16" s="78" t="e">
        <v>#N/A</v>
      </c>
      <c r="D16" s="60" t="s">
        <v>73</v>
      </c>
      <c r="E16" s="125" t="s">
        <v>74</v>
      </c>
      <c r="F16" s="124" t="s">
        <v>75</v>
      </c>
      <c r="G16" s="115" t="s">
        <v>1090</v>
      </c>
      <c r="H16" s="18" t="s">
        <v>617</v>
      </c>
      <c r="I16" s="18" t="s">
        <v>59</v>
      </c>
      <c r="J16" s="19" t="s">
        <v>415</v>
      </c>
      <c r="K16" s="99">
        <v>127436</v>
      </c>
      <c r="L16" s="132">
        <f>INDEX(Table1[Production],MATCH(rrcworking[[#This Row],[RRC ID Number]],Table1[RRC Identifier],0))</f>
        <v>0</v>
      </c>
      <c r="M16" s="29">
        <f>INDEX(Table1[Formation Production],MATCH(rrcworking[[#This Row],[RRC ID Number]],Table1[RRC Identifier],0))</f>
        <v>0</v>
      </c>
      <c r="N16" s="30">
        <f>INDEX(Table1[On Hand End of Month],MATCH(rrcworking[[#This Row],[RRC ID Number]],Table1[RRC Identifier],0))</f>
        <v>0</v>
      </c>
      <c r="O16" s="102" t="b">
        <f t="shared" si="0"/>
        <v>1</v>
      </c>
      <c r="Q16" s="122">
        <f>rrcworking[[#This Row],[Last Month Closing Stock]]</f>
        <v>0</v>
      </c>
      <c r="R16">
        <f>rrcworking[[#This Row],[Opening Oil Stock]]</f>
        <v>0</v>
      </c>
      <c r="S16" s="133">
        <f>IF(ISERROR(INDEX(Table2[OIL],MATCH(rrcworking[[#This Row],[Magnum Wolfpak '#]],Table2[Rox Wolf'#],0))),0,INDEX(Table2[OIL],MATCH(rrcworking[[#This Row],[Magnum Wolfpak '#]],Table2[Rox Wolf'#],0)))</f>
        <v>0</v>
      </c>
      <c r="T16" s="34">
        <f>rrcworking[[#This Row],[Closing Stock (Oil)]]+rrcworking[[#This Row],[Sales/Dispostion]]-rrcworking[[#This Row],[Opening Oil Stock]]</f>
        <v>0</v>
      </c>
      <c r="U16" s="108">
        <f>rrcworking[[#This Row],[Gauge Sheet Prod Volume (oil)]]-rrcworking[[#This Row],[Oil Production]]</f>
        <v>0</v>
      </c>
      <c r="V16" s="133">
        <f>IF(ISERROR(INDEX(Table2[GAS],MATCH(rrcworking[[#This Row],[Magnum Wolfpak '#]],Table2[Rox Wolf'#],0))),0,INDEX(Table2[GAS],MATCH(rrcworking[[#This Row],[Magnum Wolfpak '#]],Table2[Rox Wolf'#],0)))</f>
        <v>0</v>
      </c>
      <c r="W16" s="58"/>
      <c r="X16" s="58"/>
      <c r="Y16" s="133">
        <f>IF(ISERROR(INDEX(Table2[LEASE USE],MATCH(rrcworking[[#This Row],[Magnum Wolfpak '#]],Table2[Rox Wolf'#],0))),0,INDEX(Table2[LEASE USE],MATCH(rrcworking[[#This Row],[Magnum Wolfpak '#]],Table2[Rox Wolf'#],0)))</f>
        <v>0</v>
      </c>
      <c r="Z16" s="133"/>
      <c r="AA16" s="56">
        <f>rrcworking[[#This Row],[Gas Sales Statement Volume (MCF)]]+rrcworking[[#This Row],[Lease Use (MCF)]]+rrcworking[[#This Row],[Flared Gas]]</f>
        <v>0</v>
      </c>
      <c r="AB16" s="36"/>
      <c r="AC16" s="36"/>
      <c r="AD16" s="175">
        <f>COUNTIF(FilterList,rrcworking[[#This Row],[Magnum Wolfpak '#]])</f>
        <v>0</v>
      </c>
      <c r="AE16" s="172"/>
      <c r="AF16" s="173"/>
      <c r="AG16" s="36"/>
      <c r="AH16" s="36"/>
      <c r="AI16" s="36"/>
      <c r="AJ16" s="36"/>
      <c r="AK16" s="36"/>
      <c r="AL16" s="36"/>
      <c r="AM16" s="36"/>
      <c r="AN16" s="36"/>
      <c r="AO16" s="36"/>
      <c r="AP16" s="36"/>
    </row>
    <row r="17" spans="3:42" ht="42">
      <c r="C17" s="78">
        <v>99230</v>
      </c>
      <c r="D17" s="60" t="s">
        <v>171</v>
      </c>
      <c r="E17" s="126" t="s">
        <v>170</v>
      </c>
      <c r="F17" s="124">
        <v>2</v>
      </c>
      <c r="G17" s="115" t="s">
        <v>1090</v>
      </c>
      <c r="H17" s="18" t="s">
        <v>618</v>
      </c>
      <c r="I17" s="18" t="s">
        <v>59</v>
      </c>
      <c r="J17" s="19" t="s">
        <v>472</v>
      </c>
      <c r="K17" s="99">
        <v>279199</v>
      </c>
      <c r="L17" s="97">
        <f>INDEX(Table1[Production],MATCH(rrcworking[[#This Row],[RRC ID Number]],Table1[RRC Identifier],0))</f>
        <v>217</v>
      </c>
      <c r="M17" s="29">
        <f>INDEX(Table1[Formation Production],MATCH(rrcworking[[#This Row],[RRC ID Number]],Table1[RRC Identifier],0))</f>
        <v>1969</v>
      </c>
      <c r="N17" s="30">
        <f>INDEX(Table1[On Hand End of Month],MATCH(rrcworking[[#This Row],[RRC ID Number]],Table1[RRC Identifier],0))</f>
        <v>317</v>
      </c>
      <c r="O17" s="102" t="b">
        <f t="shared" si="0"/>
        <v>0</v>
      </c>
      <c r="P17">
        <v>202</v>
      </c>
      <c r="Q17" s="122">
        <f>rrcworking[[#This Row],[Last Month Closing Stock]]</f>
        <v>317</v>
      </c>
      <c r="R17">
        <v>165</v>
      </c>
      <c r="S17" s="133">
        <f>IF(ISERROR(INDEX(Table2[OIL],MATCH(rrcworking[[#This Row],[Magnum Wolfpak '#]],Table2[Rox Wolf'#],0))),0,INDEX(Table2[OIL],MATCH(rrcworking[[#This Row],[Magnum Wolfpak '#]],Table2[Rox Wolf'#],0)))</f>
        <v>365</v>
      </c>
      <c r="T17" s="34">
        <f>rrcworking[[#This Row],[Closing Stock (Oil)]]+rrcworking[[#This Row],[Sales/Dispostion]]-rrcworking[[#This Row],[Opening Oil Stock]]</f>
        <v>213</v>
      </c>
      <c r="U17" s="108">
        <f>rrcworking[[#This Row],[Gauge Sheet Prod Volume (oil)]]-rrcworking[[#This Row],[Oil Production]]</f>
        <v>-11</v>
      </c>
      <c r="V17" s="133">
        <f>IF(ISERROR(INDEX(Table2[GAS],MATCH(rrcworking[[#This Row],[Magnum Wolfpak '#]],Table2[Rox Wolf'#],0))),0,INDEX(Table2[GAS],MATCH(rrcworking[[#This Row],[Magnum Wolfpak '#]],Table2[Rox Wolf'#],0)))</f>
        <v>1891</v>
      </c>
      <c r="W17" s="58"/>
      <c r="X17" s="58"/>
      <c r="Y17" s="133">
        <f>IF(ISERROR(INDEX(Table2[LEASE USE],MATCH(rrcworking[[#This Row],[Magnum Wolfpak '#]],Table2[Rox Wolf'#],0))),0,INDEX(Table2[LEASE USE],MATCH(rrcworking[[#This Row],[Magnum Wolfpak '#]],Table2[Rox Wolf'#],0)))</f>
        <v>0</v>
      </c>
      <c r="Z17" s="133"/>
      <c r="AA17" s="56">
        <f>rrcworking[[#This Row],[Gas Sales Statement Volume (MCF)]]+rrcworking[[#This Row],[Lease Use (MCF)]]+rrcworking[[#This Row],[Flared Gas]]</f>
        <v>1891</v>
      </c>
      <c r="AB17" s="36"/>
      <c r="AC17" s="36" t="s">
        <v>1287</v>
      </c>
      <c r="AD17" s="175">
        <f>COUNTIF(FilterList,rrcworking[[#This Row],[Magnum Wolfpak '#]])</f>
        <v>0</v>
      </c>
      <c r="AE17" s="172"/>
      <c r="AF17" s="173"/>
      <c r="AG17" s="36"/>
      <c r="AH17" s="173"/>
      <c r="AI17" s="36">
        <v>1</v>
      </c>
      <c r="AJ17" s="36" t="s">
        <v>1139</v>
      </c>
      <c r="AK17" s="36" t="s">
        <v>1139</v>
      </c>
      <c r="AL17" s="36" t="s">
        <v>1169</v>
      </c>
      <c r="AM17" s="36" t="s">
        <v>1139</v>
      </c>
      <c r="AN17" s="36" t="s">
        <v>1170</v>
      </c>
      <c r="AO17" s="36" t="s">
        <v>1171</v>
      </c>
      <c r="AP17" s="36" t="s">
        <v>1172</v>
      </c>
    </row>
    <row r="18" spans="3:42" ht="14" customHeight="1">
      <c r="C18" s="78" t="e">
        <v>#N/A</v>
      </c>
      <c r="D18" s="60" t="s">
        <v>169</v>
      </c>
      <c r="E18" s="125" t="s">
        <v>170</v>
      </c>
      <c r="F18" s="124">
        <v>1</v>
      </c>
      <c r="G18" s="115" t="s">
        <v>1090</v>
      </c>
      <c r="H18" s="18" t="s">
        <v>618</v>
      </c>
      <c r="I18" s="18" t="s">
        <v>59</v>
      </c>
      <c r="J18" s="19" t="s">
        <v>471</v>
      </c>
      <c r="K18" s="99">
        <v>272614</v>
      </c>
      <c r="L18" s="97">
        <f>INDEX(Table1[Production],MATCH(rrcworking[[#This Row],[RRC ID Number]],Table1[RRC Identifier],0))</f>
        <v>0</v>
      </c>
      <c r="M18" s="29">
        <f>INDEX(Table1[Formation Production],MATCH(rrcworking[[#This Row],[RRC ID Number]],Table1[RRC Identifier],0))</f>
        <v>0</v>
      </c>
      <c r="N18" s="30">
        <f>INDEX(Table1[On Hand End of Month],MATCH(rrcworking[[#This Row],[RRC ID Number]],Table1[RRC Identifier],0))</f>
        <v>0</v>
      </c>
      <c r="O18" s="102" t="b">
        <f t="shared" si="0"/>
        <v>1</v>
      </c>
      <c r="Q18" s="122">
        <f>rrcworking[[#This Row],[Last Month Closing Stock]]</f>
        <v>0</v>
      </c>
      <c r="R18">
        <f>rrcworking[[#This Row],[Opening Oil Stock]]</f>
        <v>0</v>
      </c>
      <c r="S18" s="133">
        <f>IF(ISERROR(INDEX(Table2[OIL],MATCH(rrcworking[[#This Row],[Magnum Wolfpak '#]],Table2[Rox Wolf'#],0))),0,INDEX(Table2[OIL],MATCH(rrcworking[[#This Row],[Magnum Wolfpak '#]],Table2[Rox Wolf'#],0)))</f>
        <v>0</v>
      </c>
      <c r="T18" s="34">
        <f>rrcworking[[#This Row],[Closing Stock (Oil)]]+rrcworking[[#This Row],[Sales/Dispostion]]-rrcworking[[#This Row],[Opening Oil Stock]]</f>
        <v>0</v>
      </c>
      <c r="U18" s="108">
        <f>rrcworking[[#This Row],[Gauge Sheet Prod Volume (oil)]]-rrcworking[[#This Row],[Oil Production]]</f>
        <v>0</v>
      </c>
      <c r="V18" s="133">
        <f>IF(ISERROR(INDEX(Table2[GAS],MATCH(rrcworking[[#This Row],[Magnum Wolfpak '#]],Table2[Rox Wolf'#],0))),0,INDEX(Table2[GAS],MATCH(rrcworking[[#This Row],[Magnum Wolfpak '#]],Table2[Rox Wolf'#],0)))</f>
        <v>0</v>
      </c>
      <c r="W18" s="58"/>
      <c r="X18" s="58"/>
      <c r="Y18" s="133">
        <f>IF(ISERROR(INDEX(Table2[LEASE USE],MATCH(rrcworking[[#This Row],[Magnum Wolfpak '#]],Table2[Rox Wolf'#],0))),0,INDEX(Table2[LEASE USE],MATCH(rrcworking[[#This Row],[Magnum Wolfpak '#]],Table2[Rox Wolf'#],0)))</f>
        <v>0</v>
      </c>
      <c r="Z18" s="133"/>
      <c r="AA18" s="56">
        <f>rrcworking[[#This Row],[Gas Sales Statement Volume (MCF)]]+rrcworking[[#This Row],[Lease Use (MCF)]]+rrcworking[[#This Row],[Flared Gas]]</f>
        <v>0</v>
      </c>
      <c r="AB18" s="36"/>
      <c r="AC18" s="36"/>
      <c r="AD18" s="175">
        <f>COUNTIF(FilterList,rrcworking[[#This Row],[Magnum Wolfpak '#]])</f>
        <v>0</v>
      </c>
      <c r="AE18" s="172"/>
      <c r="AF18" s="173"/>
      <c r="AG18" s="36"/>
      <c r="AH18" s="36"/>
      <c r="AI18" s="36"/>
      <c r="AJ18" s="36"/>
      <c r="AK18" s="36"/>
      <c r="AL18" s="36"/>
      <c r="AM18" s="36"/>
      <c r="AN18" s="36"/>
      <c r="AO18" s="36"/>
      <c r="AP18" s="36"/>
    </row>
    <row r="19" spans="3:42" ht="14" customHeight="1">
      <c r="C19" s="78" t="e">
        <v>#N/A</v>
      </c>
      <c r="D19" s="60" t="s">
        <v>379</v>
      </c>
      <c r="E19" s="125" t="s">
        <v>380</v>
      </c>
      <c r="F19" s="124">
        <v>0</v>
      </c>
      <c r="G19" s="115" t="s">
        <v>1090</v>
      </c>
      <c r="H19" s="18" t="s">
        <v>619</v>
      </c>
      <c r="I19" s="18" t="s">
        <v>2</v>
      </c>
      <c r="J19" s="19" t="s">
        <v>594</v>
      </c>
      <c r="K19" s="99">
        <v>12803</v>
      </c>
      <c r="L19" s="97">
        <f>INDEX(Table1[Production],MATCH(rrcworking[[#This Row],[RRC ID Number]],Table1[RRC Identifier],0))</f>
        <v>0</v>
      </c>
      <c r="M19" s="29">
        <f>INDEX(Table1[Formation Production],MATCH(rrcworking[[#This Row],[RRC ID Number]],Table1[RRC Identifier],0))</f>
        <v>0</v>
      </c>
      <c r="N19" s="30">
        <f>INDEX(Table1[On Hand End of Month],MATCH(rrcworking[[#This Row],[RRC ID Number]],Table1[RRC Identifier],0))</f>
        <v>0</v>
      </c>
      <c r="O19" s="102" t="b">
        <f t="shared" si="0"/>
        <v>1</v>
      </c>
      <c r="Q19" s="122">
        <f>rrcworking[[#This Row],[Last Month Closing Stock]]</f>
        <v>0</v>
      </c>
      <c r="R19">
        <f>rrcworking[[#This Row],[Opening Oil Stock]]</f>
        <v>0</v>
      </c>
      <c r="S19" s="133">
        <f>IF(ISERROR(INDEX(Table2[OIL],MATCH(rrcworking[[#This Row],[Magnum Wolfpak '#]],Table2[Rox Wolf'#],0))),0,INDEX(Table2[OIL],MATCH(rrcworking[[#This Row],[Magnum Wolfpak '#]],Table2[Rox Wolf'#],0)))</f>
        <v>0</v>
      </c>
      <c r="T19" s="34">
        <f>rrcworking[[#This Row],[Closing Stock (Oil)]]+rrcworking[[#This Row],[Sales/Dispostion]]-rrcworking[[#This Row],[Opening Oil Stock]]</f>
        <v>0</v>
      </c>
      <c r="U19" s="108">
        <f>rrcworking[[#This Row],[Gauge Sheet Prod Volume (oil)]]-rrcworking[[#This Row],[Oil Production]]</f>
        <v>0</v>
      </c>
      <c r="V19" s="133">
        <f>IF(ISERROR(INDEX(Table2[GAS],MATCH(rrcworking[[#This Row],[Magnum Wolfpak '#]],Table2[Rox Wolf'#],0))),0,INDEX(Table2[GAS],MATCH(rrcworking[[#This Row],[Magnum Wolfpak '#]],Table2[Rox Wolf'#],0)))</f>
        <v>0</v>
      </c>
      <c r="W19" s="58"/>
      <c r="X19" s="58"/>
      <c r="Y19" s="133">
        <f>IF(ISERROR(INDEX(Table2[LEASE USE],MATCH(rrcworking[[#This Row],[Magnum Wolfpak '#]],Table2[Rox Wolf'#],0))),0,INDEX(Table2[LEASE USE],MATCH(rrcworking[[#This Row],[Magnum Wolfpak '#]],Table2[Rox Wolf'#],0)))</f>
        <v>0</v>
      </c>
      <c r="Z19" s="133"/>
      <c r="AA19" s="56">
        <f>rrcworking[[#This Row],[Gas Sales Statement Volume (MCF)]]+rrcworking[[#This Row],[Lease Use (MCF)]]+rrcworking[[#This Row],[Flared Gas]]</f>
        <v>0</v>
      </c>
      <c r="AB19" s="36"/>
      <c r="AC19" s="36"/>
      <c r="AD19" s="175">
        <f>COUNTIF(FilterList,rrcworking[[#This Row],[Magnum Wolfpak '#]])</f>
        <v>0</v>
      </c>
      <c r="AE19" s="172"/>
      <c r="AF19" s="173"/>
      <c r="AG19" s="36"/>
      <c r="AH19" s="36"/>
      <c r="AI19" s="36"/>
      <c r="AJ19" s="36"/>
      <c r="AK19" s="36"/>
      <c r="AL19" s="36"/>
      <c r="AM19" s="36"/>
      <c r="AN19" s="36"/>
      <c r="AO19" s="36"/>
      <c r="AP19" s="36"/>
    </row>
    <row r="20" spans="3:42" ht="14" customHeight="1">
      <c r="C20" s="78" t="e">
        <v>#N/A</v>
      </c>
      <c r="D20" s="60" t="s">
        <v>381</v>
      </c>
      <c r="E20" s="125" t="s">
        <v>383</v>
      </c>
      <c r="F20" s="124">
        <v>0</v>
      </c>
      <c r="G20" s="115" t="s">
        <v>1090</v>
      </c>
      <c r="H20" s="18" t="s">
        <v>619</v>
      </c>
      <c r="I20" s="18" t="s">
        <v>2</v>
      </c>
      <c r="J20" s="19" t="s">
        <v>596</v>
      </c>
      <c r="K20" s="99">
        <v>8717</v>
      </c>
      <c r="L20" s="97">
        <f>INDEX(Table1[Production],MATCH(rrcworking[[#This Row],[RRC ID Number]],Table1[RRC Identifier],0))</f>
        <v>0</v>
      </c>
      <c r="M20" s="29">
        <f>INDEX(Table1[Formation Production],MATCH(rrcworking[[#This Row],[RRC ID Number]],Table1[RRC Identifier],0))</f>
        <v>0</v>
      </c>
      <c r="N20" s="30">
        <f>INDEX(Table1[On Hand End of Month],MATCH(rrcworking[[#This Row],[RRC ID Number]],Table1[RRC Identifier],0))</f>
        <v>0</v>
      </c>
      <c r="O20" s="102" t="b">
        <f t="shared" si="0"/>
        <v>1</v>
      </c>
      <c r="Q20" s="122">
        <f>rrcworking[[#This Row],[Last Month Closing Stock]]</f>
        <v>0</v>
      </c>
      <c r="R20">
        <f>rrcworking[[#This Row],[Opening Oil Stock]]</f>
        <v>0</v>
      </c>
      <c r="S20" s="133">
        <f>IF(ISERROR(INDEX(Table2[OIL],MATCH(rrcworking[[#This Row],[Magnum Wolfpak '#]],Table2[Rox Wolf'#],0))),0,INDEX(Table2[OIL],MATCH(rrcworking[[#This Row],[Magnum Wolfpak '#]],Table2[Rox Wolf'#],0)))</f>
        <v>0</v>
      </c>
      <c r="T20" s="34">
        <f>rrcworking[[#This Row],[Closing Stock (Oil)]]+rrcworking[[#This Row],[Sales/Dispostion]]-rrcworking[[#This Row],[Opening Oil Stock]]</f>
        <v>0</v>
      </c>
      <c r="U20" s="108">
        <f>rrcworking[[#This Row],[Gauge Sheet Prod Volume (oil)]]-rrcworking[[#This Row],[Oil Production]]</f>
        <v>0</v>
      </c>
      <c r="V20" s="133">
        <f>IF(ISERROR(INDEX(Table2[GAS],MATCH(rrcworking[[#This Row],[Magnum Wolfpak '#]],Table2[Rox Wolf'#],0))),0,INDEX(Table2[GAS],MATCH(rrcworking[[#This Row],[Magnum Wolfpak '#]],Table2[Rox Wolf'#],0)))</f>
        <v>0</v>
      </c>
      <c r="W20" s="58"/>
      <c r="X20" s="58"/>
      <c r="Y20" s="133">
        <f>IF(ISERROR(INDEX(Table2[LEASE USE],MATCH(rrcworking[[#This Row],[Magnum Wolfpak '#]],Table2[Rox Wolf'#],0))),0,INDEX(Table2[LEASE USE],MATCH(rrcworking[[#This Row],[Magnum Wolfpak '#]],Table2[Rox Wolf'#],0)))</f>
        <v>0</v>
      </c>
      <c r="Z20" s="133"/>
      <c r="AA20" s="56">
        <f>rrcworking[[#This Row],[Gas Sales Statement Volume (MCF)]]+rrcworking[[#This Row],[Lease Use (MCF)]]+rrcworking[[#This Row],[Flared Gas]]</f>
        <v>0</v>
      </c>
      <c r="AB20" s="36"/>
      <c r="AC20" s="36"/>
      <c r="AD20" s="175">
        <f>COUNTIF(FilterList,rrcworking[[#This Row],[Magnum Wolfpak '#]])</f>
        <v>0</v>
      </c>
      <c r="AE20" s="172"/>
      <c r="AF20" s="173"/>
      <c r="AG20" s="36"/>
      <c r="AH20" s="36"/>
      <c r="AI20" s="36"/>
      <c r="AJ20" s="36"/>
      <c r="AK20" s="36"/>
      <c r="AL20" s="36"/>
      <c r="AM20" s="36"/>
      <c r="AN20" s="36"/>
      <c r="AO20" s="36"/>
      <c r="AP20" s="36"/>
    </row>
    <row r="21" spans="3:42" ht="14" customHeight="1">
      <c r="C21" s="78">
        <v>98201</v>
      </c>
      <c r="D21" s="60" t="s">
        <v>129</v>
      </c>
      <c r="E21" s="125" t="s">
        <v>130</v>
      </c>
      <c r="F21" s="124">
        <v>1</v>
      </c>
      <c r="G21" s="115" t="s">
        <v>1090</v>
      </c>
      <c r="H21" s="18" t="s">
        <v>617</v>
      </c>
      <c r="I21" s="18" t="s">
        <v>59</v>
      </c>
      <c r="J21" s="19" t="s">
        <v>447</v>
      </c>
      <c r="K21" s="99">
        <v>133437</v>
      </c>
      <c r="L21" s="97">
        <f>INDEX(Table1[Production],MATCH(rrcworking[[#This Row],[RRC ID Number]],Table1[RRC Identifier],0))</f>
        <v>0</v>
      </c>
      <c r="M21" s="29">
        <f>INDEX(Table1[Formation Production],MATCH(rrcworking[[#This Row],[RRC ID Number]],Table1[RRC Identifier],0))</f>
        <v>0</v>
      </c>
      <c r="N21" s="30">
        <f>INDEX(Table1[On Hand End of Month],MATCH(rrcworking[[#This Row],[RRC ID Number]],Table1[RRC Identifier],0))</f>
        <v>166</v>
      </c>
      <c r="O21" s="102" t="b">
        <f t="shared" si="0"/>
        <v>1</v>
      </c>
      <c r="Q21" s="122">
        <f>rrcworking[[#This Row],[Last Month Closing Stock]]</f>
        <v>166</v>
      </c>
      <c r="R21">
        <v>166</v>
      </c>
      <c r="S21" s="133">
        <f>IF(ISERROR(INDEX(Table2[OIL],MATCH(rrcworking[[#This Row],[Magnum Wolfpak '#]],Table2[Rox Wolf'#],0))),0,INDEX(Table2[OIL],MATCH(rrcworking[[#This Row],[Magnum Wolfpak '#]],Table2[Rox Wolf'#],0)))</f>
        <v>0</v>
      </c>
      <c r="T21" s="34">
        <f>rrcworking[[#This Row],[Closing Stock (Oil)]]+rrcworking[[#This Row],[Sales/Dispostion]]-rrcworking[[#This Row],[Opening Oil Stock]]</f>
        <v>0</v>
      </c>
      <c r="U21" s="108">
        <f>rrcworking[[#This Row],[Gauge Sheet Prod Volume (oil)]]-rrcworking[[#This Row],[Oil Production]]</f>
        <v>0</v>
      </c>
      <c r="V21" s="133">
        <f>IF(ISERROR(INDEX(Table2[GAS],MATCH(rrcworking[[#This Row],[Magnum Wolfpak '#]],Table2[Rox Wolf'#],0))),0,INDEX(Table2[GAS],MATCH(rrcworking[[#This Row],[Magnum Wolfpak '#]],Table2[Rox Wolf'#],0)))</f>
        <v>0</v>
      </c>
      <c r="W21" s="58"/>
      <c r="X21" s="58"/>
      <c r="Y21" s="133">
        <f>IF(ISERROR(INDEX(Table2[LEASE USE],MATCH(rrcworking[[#This Row],[Magnum Wolfpak '#]],Table2[Rox Wolf'#],0))),0,INDEX(Table2[LEASE USE],MATCH(rrcworking[[#This Row],[Magnum Wolfpak '#]],Table2[Rox Wolf'#],0)))</f>
        <v>0</v>
      </c>
      <c r="Z21" s="133"/>
      <c r="AA21" s="56">
        <f>rrcworking[[#This Row],[Gas Sales Statement Volume (MCF)]]+rrcworking[[#This Row],[Lease Use (MCF)]]+rrcworking[[#This Row],[Flared Gas]]</f>
        <v>0</v>
      </c>
      <c r="AB21" s="36"/>
      <c r="AC21" s="36"/>
      <c r="AD21" s="175">
        <f>COUNTIF(FilterList,rrcworking[[#This Row],[Magnum Wolfpak '#]])</f>
        <v>1</v>
      </c>
      <c r="AE21" s="172"/>
      <c r="AF21" s="173"/>
      <c r="AG21" s="36"/>
      <c r="AH21" s="173"/>
      <c r="AI21" s="174"/>
      <c r="AJ21" s="174"/>
      <c r="AK21" s="174"/>
      <c r="AL21" s="174"/>
      <c r="AM21" s="174"/>
      <c r="AN21" s="174"/>
      <c r="AO21" s="36" t="s">
        <v>1163</v>
      </c>
      <c r="AP21" s="36" t="s">
        <v>1173</v>
      </c>
    </row>
    <row r="22" spans="3:42" ht="112">
      <c r="C22" s="78">
        <v>99294</v>
      </c>
      <c r="D22" s="60" t="s">
        <v>184</v>
      </c>
      <c r="E22" s="125" t="s">
        <v>181</v>
      </c>
      <c r="F22" s="130" t="s">
        <v>1093</v>
      </c>
      <c r="G22" s="115" t="s">
        <v>1090</v>
      </c>
      <c r="H22" s="18" t="s">
        <v>618</v>
      </c>
      <c r="I22" s="18" t="s">
        <v>2</v>
      </c>
      <c r="J22" s="246" t="s">
        <v>480</v>
      </c>
      <c r="K22" s="99">
        <v>27236</v>
      </c>
      <c r="L22" s="97">
        <f>INDEX(Table1[Production],MATCH(rrcworking[[#This Row],[RRC ID Number]],Table1[RRC Identifier],0))</f>
        <v>868</v>
      </c>
      <c r="M22" s="29">
        <f>INDEX(Table1[Formation Production],MATCH(rrcworking[[#This Row],[RRC ID Number]],Table1[RRC Identifier],0))</f>
        <v>1172</v>
      </c>
      <c r="N22" s="30">
        <f>INDEX(Table1[On Hand End of Month],MATCH(rrcworking[[#This Row],[RRC ID Number]],Table1[RRC Identifier],0))</f>
        <v>1833</v>
      </c>
      <c r="O22" s="102" t="b">
        <f t="shared" si="0"/>
        <v>0</v>
      </c>
      <c r="P22">
        <v>1353</v>
      </c>
      <c r="Q22" s="122">
        <f>rrcworking[[#This Row],[Last Month Closing Stock]]</f>
        <v>1833</v>
      </c>
      <c r="R22">
        <v>483</v>
      </c>
      <c r="S22" s="133">
        <f>IF(ISERROR(INDEX(Table2[OIL],MATCH(rrcworking[[#This Row],[Magnum Wolfpak '#]],Table2[Rox Wolf'#],0))),0,INDEX(Table2[OIL],MATCH(rrcworking[[#This Row],[Magnum Wolfpak '#]],Table2[Rox Wolf'#],0)))</f>
        <v>2698</v>
      </c>
      <c r="T22" s="34">
        <f>rrcworking[[#This Row],[Closing Stock (Oil)]]+rrcworking[[#This Row],[Sales/Dispostion]]-rrcworking[[#This Row],[Opening Oil Stock]]</f>
        <v>1348</v>
      </c>
      <c r="U22" s="108">
        <f>rrcworking[[#This Row],[Gauge Sheet Prod Volume (oil)]]-rrcworking[[#This Row],[Oil Production]]</f>
        <v>5</v>
      </c>
      <c r="V22" s="133">
        <f>IF(ISERROR(INDEX(Table2[GAS],MATCH(rrcworking[[#This Row],[Magnum Wolfpak '#]],Table2[Rox Wolf'#],0))),0,INDEX(Table2[GAS],MATCH(rrcworking[[#This Row],[Magnum Wolfpak '#]],Table2[Rox Wolf'#],0)))</f>
        <v>1197</v>
      </c>
      <c r="W22" s="82"/>
      <c r="X22" s="58">
        <v>1</v>
      </c>
      <c r="Y22" s="133">
        <f>IF(ISERROR(INDEX(Table2[LEASE USE],MATCH(rrcworking[[#This Row],[Magnum Wolfpak '#]],Table2[Rox Wolf'#],0))),0,INDEX(Table2[LEASE USE],MATCH(rrcworking[[#This Row],[Magnum Wolfpak '#]],Table2[Rox Wolf'#],0)))</f>
        <v>30</v>
      </c>
      <c r="Z22" s="133"/>
      <c r="AA22" s="56">
        <f>rrcworking[[#This Row],[Gas Sales Statement Volume (MCF)]]+rrcworking[[#This Row],[Lease Use (MCF)]]+rrcworking[[#This Row],[Flared Gas]]</f>
        <v>1227</v>
      </c>
      <c r="AB22" s="36"/>
      <c r="AC22" s="36" t="s">
        <v>1299</v>
      </c>
      <c r="AD22" s="175">
        <f>COUNTIF(FilterList,rrcworking[[#This Row],[Magnum Wolfpak '#]])</f>
        <v>0</v>
      </c>
      <c r="AE22" s="172"/>
      <c r="AF22" s="173"/>
      <c r="AG22" s="36"/>
      <c r="AH22" s="173"/>
      <c r="AI22" s="36">
        <v>1</v>
      </c>
      <c r="AJ22" s="36" t="s">
        <v>1139</v>
      </c>
      <c r="AK22" s="36" t="s">
        <v>1165</v>
      </c>
      <c r="AL22" s="36" t="s">
        <v>1178</v>
      </c>
      <c r="AM22" s="36" t="s">
        <v>1165</v>
      </c>
      <c r="AN22" s="36" t="s">
        <v>1175</v>
      </c>
      <c r="AO22" s="36" t="s">
        <v>1176</v>
      </c>
      <c r="AP22" s="36" t="s">
        <v>1177</v>
      </c>
    </row>
    <row r="23" spans="3:42" ht="14" customHeight="1">
      <c r="C23" s="78" t="e">
        <v>#N/A</v>
      </c>
      <c r="D23" s="60" t="s">
        <v>306</v>
      </c>
      <c r="E23" s="125" t="s">
        <v>181</v>
      </c>
      <c r="F23" s="124" t="s">
        <v>1231</v>
      </c>
      <c r="G23" s="115" t="s">
        <v>1090</v>
      </c>
      <c r="H23" s="18" t="s">
        <v>618</v>
      </c>
      <c r="I23" s="18" t="s">
        <v>59</v>
      </c>
      <c r="J23" s="19" t="s">
        <v>551</v>
      </c>
      <c r="K23" s="99">
        <v>283360</v>
      </c>
      <c r="L23" s="97">
        <f>INDEX(Table1[Production],MATCH(rrcworking[[#This Row],[RRC ID Number]],Table1[RRC Identifier],0))</f>
        <v>0</v>
      </c>
      <c r="M23" s="29">
        <f>INDEX(Table1[Formation Production],MATCH(rrcworking[[#This Row],[RRC ID Number]],Table1[RRC Identifier],0))</f>
        <v>0</v>
      </c>
      <c r="N23" s="30">
        <f>INDEX(Table1[On Hand End of Month],MATCH(rrcworking[[#This Row],[RRC ID Number]],Table1[RRC Identifier],0))</f>
        <v>134</v>
      </c>
      <c r="O23" s="102" t="b">
        <f t="shared" si="0"/>
        <v>1</v>
      </c>
      <c r="P23">
        <v>0</v>
      </c>
      <c r="Q23" s="122">
        <f>rrcworking[[#This Row],[Last Month Closing Stock]]</f>
        <v>134</v>
      </c>
      <c r="R23">
        <f>rrcworking[[#This Row],[Opening Oil Stock]]</f>
        <v>134</v>
      </c>
      <c r="S23" s="133">
        <f>IF(ISERROR(INDEX(Table2[OIL],MATCH(rrcworking[[#This Row],[Magnum Wolfpak '#]],Table2[Rox Wolf'#],0))),0,INDEX(Table2[OIL],MATCH(rrcworking[[#This Row],[Magnum Wolfpak '#]],Table2[Rox Wolf'#],0)))</f>
        <v>0</v>
      </c>
      <c r="T23" s="34">
        <f>rrcworking[[#This Row],[Closing Stock (Oil)]]+rrcworking[[#This Row],[Sales/Dispostion]]-rrcworking[[#This Row],[Opening Oil Stock]]</f>
        <v>0</v>
      </c>
      <c r="U23" s="108">
        <f>rrcworking[[#This Row],[Gauge Sheet Prod Volume (oil)]]-rrcworking[[#This Row],[Oil Production]]</f>
        <v>0</v>
      </c>
      <c r="V23" s="133">
        <f>IF(ISERROR(INDEX(Table2[GAS],MATCH(rrcworking[[#This Row],[Magnum Wolfpak '#]],Table2[Rox Wolf'#],0))),0,INDEX(Table2[GAS],MATCH(rrcworking[[#This Row],[Magnum Wolfpak '#]],Table2[Rox Wolf'#],0)))</f>
        <v>0</v>
      </c>
      <c r="W23" s="58"/>
      <c r="X23" s="58"/>
      <c r="Y23" s="133">
        <f>IF(ISERROR(INDEX(Table2[LEASE USE],MATCH(rrcworking[[#This Row],[Magnum Wolfpak '#]],Table2[Rox Wolf'#],0))),0,INDEX(Table2[LEASE USE],MATCH(rrcworking[[#This Row],[Magnum Wolfpak '#]],Table2[Rox Wolf'#],0)))</f>
        <v>0</v>
      </c>
      <c r="Z23" s="133"/>
      <c r="AA23" s="56">
        <f>rrcworking[[#This Row],[Gas Sales Statement Volume (MCF)]]+rrcworking[[#This Row],[Lease Use (MCF)]]+rrcworking[[#This Row],[Flared Gas]]</f>
        <v>0</v>
      </c>
      <c r="AB23" s="36"/>
      <c r="AC23" s="36"/>
      <c r="AD23" s="175">
        <f>COUNTIF(FilterList,rrcworking[[#This Row],[Magnum Wolfpak '#]])</f>
        <v>0</v>
      </c>
      <c r="AE23" s="172"/>
      <c r="AF23" s="173"/>
      <c r="AG23" s="36"/>
      <c r="AH23" s="36"/>
      <c r="AI23" s="36"/>
      <c r="AJ23" s="36"/>
      <c r="AK23" s="36"/>
      <c r="AL23" s="36"/>
      <c r="AM23" s="36"/>
      <c r="AN23" s="36"/>
      <c r="AO23" s="36"/>
      <c r="AP23" s="36"/>
    </row>
    <row r="24" spans="3:42" ht="70">
      <c r="C24" s="78">
        <v>99293</v>
      </c>
      <c r="D24" s="60" t="s">
        <v>180</v>
      </c>
      <c r="E24" s="125" t="s">
        <v>181</v>
      </c>
      <c r="F24" s="130" t="s">
        <v>1091</v>
      </c>
      <c r="G24" s="115" t="s">
        <v>1090</v>
      </c>
      <c r="H24" s="18" t="s">
        <v>618</v>
      </c>
      <c r="I24" s="18" t="s">
        <v>2</v>
      </c>
      <c r="J24" s="19" t="s">
        <v>477</v>
      </c>
      <c r="K24" s="99">
        <v>27285</v>
      </c>
      <c r="L24" s="97">
        <f>INDEX(Table1[Production],MATCH(rrcworking[[#This Row],[RRC ID Number]],Table1[RRC Identifier],0))</f>
        <v>3</v>
      </c>
      <c r="M24" s="29">
        <f>INDEX(Table1[Formation Production],MATCH(rrcworking[[#This Row],[RRC ID Number]],Table1[RRC Identifier],0))</f>
        <v>1</v>
      </c>
      <c r="N24" s="30">
        <f>INDEX(Table1[On Hand End of Month],MATCH(rrcworking[[#This Row],[RRC ID Number]],Table1[RRC Identifier],0))</f>
        <v>435</v>
      </c>
      <c r="O24" s="102" t="b">
        <f t="shared" si="0"/>
        <v>0</v>
      </c>
      <c r="P24">
        <v>0</v>
      </c>
      <c r="Q24" s="122">
        <f>rrcworking[[#This Row],[Last Month Closing Stock]]</f>
        <v>435</v>
      </c>
      <c r="R24">
        <v>254</v>
      </c>
      <c r="S24" s="133">
        <f>IF(ISERROR(INDEX(Table2[OIL],MATCH(rrcworking[[#This Row],[Magnum Wolfpak '#]],Table2[Rox Wolf'#],0))),0,INDEX(Table2[OIL],MATCH(rrcworking[[#This Row],[Magnum Wolfpak '#]],Table2[Rox Wolf'#],0)))</f>
        <v>181</v>
      </c>
      <c r="T24" s="34">
        <f>rrcworking[[#This Row],[Closing Stock (Oil)]]+rrcworking[[#This Row],[Sales/Dispostion]]-rrcworking[[#This Row],[Opening Oil Stock]]</f>
        <v>0</v>
      </c>
      <c r="U24" s="108">
        <f>rrcworking[[#This Row],[Gauge Sheet Prod Volume (oil)]]-rrcworking[[#This Row],[Oil Production]]</f>
        <v>0</v>
      </c>
      <c r="V24" s="133">
        <f>IF(ISERROR(INDEX(Table2[GAS],MATCH(rrcworking[[#This Row],[Magnum Wolfpak '#]],Table2[Rox Wolf'#],0))),0,INDEX(Table2[GAS],MATCH(rrcworking[[#This Row],[Magnum Wolfpak '#]],Table2[Rox Wolf'#],0)))</f>
        <v>0</v>
      </c>
      <c r="W24" s="82"/>
      <c r="X24" s="58">
        <v>1</v>
      </c>
      <c r="Y24" s="133">
        <f>IF(ISERROR(INDEX(Table2[LEASE USE],MATCH(rrcworking[[#This Row],[Magnum Wolfpak '#]],Table2[Rox Wolf'#],0))),0,INDEX(Table2[LEASE USE],MATCH(rrcworking[[#This Row],[Magnum Wolfpak '#]],Table2[Rox Wolf'#],0)))</f>
        <v>0</v>
      </c>
      <c r="Z24" s="133"/>
      <c r="AA24" s="56">
        <f>rrcworking[[#This Row],[Gas Sales Statement Volume (MCF)]]+rrcworking[[#This Row],[Lease Use (MCF)]]+rrcworking[[#This Row],[Flared Gas]]</f>
        <v>0</v>
      </c>
      <c r="AB24" s="36"/>
      <c r="AC24" s="36" t="s">
        <v>1300</v>
      </c>
      <c r="AD24" s="175">
        <f>COUNTIF(FilterList,rrcworking[[#This Row],[Magnum Wolfpak '#]])</f>
        <v>0</v>
      </c>
      <c r="AE24" s="172"/>
      <c r="AF24" s="173"/>
      <c r="AG24" s="36"/>
      <c r="AH24" s="173"/>
      <c r="AI24" s="36">
        <v>3</v>
      </c>
      <c r="AJ24" s="36" t="s">
        <v>1139</v>
      </c>
      <c r="AK24" s="36" t="s">
        <v>1165</v>
      </c>
      <c r="AL24" s="36" t="s">
        <v>1178</v>
      </c>
      <c r="AM24" s="36" t="s">
        <v>1165</v>
      </c>
      <c r="AN24" s="36" t="s">
        <v>1175</v>
      </c>
      <c r="AO24" s="36" t="s">
        <v>1179</v>
      </c>
      <c r="AP24" s="36"/>
    </row>
    <row r="25" spans="3:42" ht="42">
      <c r="C25" s="78">
        <v>99286</v>
      </c>
      <c r="D25" s="60" t="s">
        <v>182</v>
      </c>
      <c r="E25" s="125" t="s">
        <v>181</v>
      </c>
      <c r="F25" s="124" t="s">
        <v>1232</v>
      </c>
      <c r="G25" s="115" t="s">
        <v>1090</v>
      </c>
      <c r="H25" s="18" t="s">
        <v>618</v>
      </c>
      <c r="I25" s="18" t="s">
        <v>59</v>
      </c>
      <c r="J25" s="19" t="s">
        <v>478</v>
      </c>
      <c r="K25" s="99">
        <v>282350</v>
      </c>
      <c r="L25" s="97">
        <f>INDEX(Table1[Production],MATCH(rrcworking[[#This Row],[RRC ID Number]],Table1[RRC Identifier],0))</f>
        <v>0</v>
      </c>
      <c r="M25" s="29">
        <f>INDEX(Table1[Formation Production],MATCH(rrcworking[[#This Row],[RRC ID Number]],Table1[RRC Identifier],0))</f>
        <v>857</v>
      </c>
      <c r="N25" s="30">
        <f>INDEX(Table1[On Hand End of Month],MATCH(rrcworking[[#This Row],[RRC ID Number]],Table1[RRC Identifier],0))</f>
        <v>384</v>
      </c>
      <c r="O25" s="102" t="b">
        <f t="shared" si="0"/>
        <v>0</v>
      </c>
      <c r="P25">
        <v>0</v>
      </c>
      <c r="Q25" s="122">
        <f>rrcworking[[#This Row],[Last Month Closing Stock]]</f>
        <v>384</v>
      </c>
      <c r="R25">
        <v>384</v>
      </c>
      <c r="S25" s="133">
        <f>IF(ISERROR(INDEX(Table2[OIL],MATCH(rrcworking[[#This Row],[Magnum Wolfpak '#]],Table2[Rox Wolf'#],0))),0,INDEX(Table2[OIL],MATCH(rrcworking[[#This Row],[Magnum Wolfpak '#]],Table2[Rox Wolf'#],0)))</f>
        <v>0</v>
      </c>
      <c r="T25" s="34">
        <f>rrcworking[[#This Row],[Closing Stock (Oil)]]+rrcworking[[#This Row],[Sales/Dispostion]]-rrcworking[[#This Row],[Opening Oil Stock]]</f>
        <v>0</v>
      </c>
      <c r="U25" s="108">
        <f>rrcworking[[#This Row],[Gauge Sheet Prod Volume (oil)]]-rrcworking[[#This Row],[Oil Production]]</f>
        <v>0</v>
      </c>
      <c r="V25" s="133">
        <f>IF(ISERROR(INDEX(Table2[GAS],MATCH(rrcworking[[#This Row],[Magnum Wolfpak '#]],Table2[Rox Wolf'#],0))),0,INDEX(Table2[GAS],MATCH(rrcworking[[#This Row],[Magnum Wolfpak '#]],Table2[Rox Wolf'#],0)))</f>
        <v>1056</v>
      </c>
      <c r="W25" s="82"/>
      <c r="X25" s="58">
        <v>2</v>
      </c>
      <c r="Y25" s="133">
        <f>IF(ISERROR(INDEX(Table2[LEASE USE],MATCH(rrcworking[[#This Row],[Magnum Wolfpak '#]],Table2[Rox Wolf'#],0))),0,INDEX(Table2[LEASE USE],MATCH(rrcworking[[#This Row],[Magnum Wolfpak '#]],Table2[Rox Wolf'#],0)))</f>
        <v>60</v>
      </c>
      <c r="Z25" s="133"/>
      <c r="AA25" s="56">
        <f>rrcworking[[#This Row],[Gas Sales Statement Volume (MCF)]]+rrcworking[[#This Row],[Lease Use (MCF)]]+rrcworking[[#This Row],[Flared Gas]]</f>
        <v>1116</v>
      </c>
      <c r="AB25" s="36"/>
      <c r="AC25" s="36" t="s">
        <v>1301</v>
      </c>
      <c r="AD25" s="175">
        <f>COUNTIF(FilterList,rrcworking[[#This Row],[Magnum Wolfpak '#]])</f>
        <v>0</v>
      </c>
      <c r="AE25" s="172"/>
      <c r="AF25" s="173"/>
      <c r="AG25" s="36"/>
      <c r="AH25" s="173"/>
      <c r="AI25" s="36">
        <v>3</v>
      </c>
      <c r="AJ25" s="36" t="s">
        <v>1139</v>
      </c>
      <c r="AK25" s="36" t="s">
        <v>1165</v>
      </c>
      <c r="AL25" s="36" t="s">
        <v>1178</v>
      </c>
      <c r="AM25" s="36" t="s">
        <v>1165</v>
      </c>
      <c r="AN25" s="36" t="s">
        <v>1175</v>
      </c>
      <c r="AO25" s="36" t="s">
        <v>1233</v>
      </c>
      <c r="AP25" s="36"/>
    </row>
    <row r="26" spans="3:42" ht="14">
      <c r="C26" s="78">
        <v>99295</v>
      </c>
      <c r="D26" s="60" t="s">
        <v>182</v>
      </c>
      <c r="E26" s="125" t="s">
        <v>181</v>
      </c>
      <c r="F26" s="130" t="s">
        <v>1092</v>
      </c>
      <c r="G26" s="115" t="s">
        <v>1090</v>
      </c>
      <c r="H26" s="18" t="s">
        <v>618</v>
      </c>
      <c r="I26" s="18" t="s">
        <v>2</v>
      </c>
      <c r="J26" s="19" t="s">
        <v>479</v>
      </c>
      <c r="K26" s="99">
        <v>27418</v>
      </c>
      <c r="L26" s="97">
        <f>INDEX(Table1[Production],MATCH(rrcworking[[#This Row],[RRC ID Number]],Table1[RRC Identifier],0))</f>
        <v>0</v>
      </c>
      <c r="M26" s="29">
        <f>INDEX(Table1[Formation Production],MATCH(rrcworking[[#This Row],[RRC ID Number]],Table1[RRC Identifier],0))</f>
        <v>0</v>
      </c>
      <c r="N26" s="30">
        <f>INDEX(Table1[On Hand End of Month],MATCH(rrcworking[[#This Row],[RRC ID Number]],Table1[RRC Identifier],0))</f>
        <v>182</v>
      </c>
      <c r="O26" s="102" t="b">
        <f t="shared" si="0"/>
        <v>1</v>
      </c>
      <c r="P26">
        <v>0</v>
      </c>
      <c r="Q26" s="122">
        <f>rrcworking[[#This Row],[Last Month Closing Stock]]</f>
        <v>182</v>
      </c>
      <c r="R26">
        <v>182</v>
      </c>
      <c r="S26" s="133">
        <f>IF(ISERROR(INDEX(Table2[OIL],MATCH(rrcworking[[#This Row],[Magnum Wolfpak '#]],Table2[Rox Wolf'#],0))),0,INDEX(Table2[OIL],MATCH(rrcworking[[#This Row],[Magnum Wolfpak '#]],Table2[Rox Wolf'#],0)))</f>
        <v>0</v>
      </c>
      <c r="T26" s="34">
        <f>rrcworking[[#This Row],[Closing Stock (Oil)]]+rrcworking[[#This Row],[Sales/Dispostion]]-rrcworking[[#This Row],[Opening Oil Stock]]</f>
        <v>0</v>
      </c>
      <c r="U26" s="108">
        <f>rrcworking[[#This Row],[Gauge Sheet Prod Volume (oil)]]-rrcworking[[#This Row],[Oil Production]]</f>
        <v>0</v>
      </c>
      <c r="V26" s="133">
        <f>IF(ISERROR(INDEX(Table2[GAS],MATCH(rrcworking[[#This Row],[Magnum Wolfpak '#]],Table2[Rox Wolf'#],0))),0,INDEX(Table2[GAS],MATCH(rrcworking[[#This Row],[Magnum Wolfpak '#]],Table2[Rox Wolf'#],0)))</f>
        <v>0</v>
      </c>
      <c r="W26" s="82"/>
      <c r="X26" s="58">
        <v>7</v>
      </c>
      <c r="Y26" s="133">
        <f>IF(ISERROR(INDEX(Table2[LEASE USE],MATCH(rrcworking[[#This Row],[Magnum Wolfpak '#]],Table2[Rox Wolf'#],0))),0,INDEX(Table2[LEASE USE],MATCH(rrcworking[[#This Row],[Magnum Wolfpak '#]],Table2[Rox Wolf'#],0)))</f>
        <v>0</v>
      </c>
      <c r="Z26" s="133"/>
      <c r="AA26" s="56">
        <f>rrcworking[[#This Row],[Gas Sales Statement Volume (MCF)]]+rrcworking[[#This Row],[Lease Use (MCF)]]+rrcworking[[#This Row],[Flared Gas]]</f>
        <v>0</v>
      </c>
      <c r="AB26" s="36"/>
      <c r="AC26" s="36"/>
      <c r="AD26" s="175">
        <f>COUNTIF(FilterList,rrcworking[[#This Row],[Magnum Wolfpak '#]])</f>
        <v>0</v>
      </c>
      <c r="AE26" s="172"/>
      <c r="AF26" s="173"/>
      <c r="AG26" s="36"/>
      <c r="AH26" s="173"/>
      <c r="AI26" s="36">
        <v>2</v>
      </c>
      <c r="AJ26" s="36" t="s">
        <v>1139</v>
      </c>
      <c r="AK26" s="36" t="s">
        <v>1165</v>
      </c>
      <c r="AL26" s="36" t="s">
        <v>1180</v>
      </c>
      <c r="AM26" s="36" t="s">
        <v>1165</v>
      </c>
      <c r="AN26" s="36" t="s">
        <v>1175</v>
      </c>
      <c r="AO26" s="36" t="s">
        <v>1181</v>
      </c>
      <c r="AP26" s="36"/>
    </row>
    <row r="27" spans="3:42" ht="70">
      <c r="C27" s="78">
        <v>99228</v>
      </c>
      <c r="D27" s="60" t="s">
        <v>76</v>
      </c>
      <c r="E27" s="125" t="s">
        <v>77</v>
      </c>
      <c r="F27" s="124" t="s">
        <v>78</v>
      </c>
      <c r="G27" s="115" t="s">
        <v>1090</v>
      </c>
      <c r="H27" s="18" t="s">
        <v>617</v>
      </c>
      <c r="I27" s="18" t="s">
        <v>59</v>
      </c>
      <c r="J27" s="19" t="s">
        <v>416</v>
      </c>
      <c r="K27" s="99">
        <v>272206</v>
      </c>
      <c r="L27" s="97">
        <f>INDEX(Table1[Production],MATCH(rrcworking[[#This Row],[RRC ID Number]],Table1[RRC Identifier],0))</f>
        <v>0</v>
      </c>
      <c r="M27" s="29">
        <f>INDEX(Table1[Formation Production],MATCH(rrcworking[[#This Row],[RRC ID Number]],Table1[RRC Identifier],0))</f>
        <v>0</v>
      </c>
      <c r="N27" s="30">
        <f>INDEX(Table1[On Hand End of Month],MATCH(rrcworking[[#This Row],[RRC ID Number]],Table1[RRC Identifier],0))</f>
        <v>149</v>
      </c>
      <c r="O27" s="102" t="b">
        <f t="shared" si="0"/>
        <v>1</v>
      </c>
      <c r="P27">
        <v>0</v>
      </c>
      <c r="Q27" s="122">
        <f>rrcworking[[#This Row],[Last Month Closing Stock]]</f>
        <v>149</v>
      </c>
      <c r="R27">
        <v>149</v>
      </c>
      <c r="S27" s="133">
        <f>IF(ISERROR(INDEX(Table2[OIL],MATCH(rrcworking[[#This Row],[Magnum Wolfpak '#]],Table2[Rox Wolf'#],0))),0,INDEX(Table2[OIL],MATCH(rrcworking[[#This Row],[Magnum Wolfpak '#]],Table2[Rox Wolf'#],0)))</f>
        <v>0</v>
      </c>
      <c r="T27" s="34">
        <f>rrcworking[[#This Row],[Closing Stock (Oil)]]+rrcworking[[#This Row],[Sales/Dispostion]]-rrcworking[[#This Row],[Opening Oil Stock]]</f>
        <v>0</v>
      </c>
      <c r="U27" s="108">
        <f>rrcworking[[#This Row],[Gauge Sheet Prod Volume (oil)]]-rrcworking[[#This Row],[Oil Production]]</f>
        <v>0</v>
      </c>
      <c r="V27" s="133">
        <f>IF(ISERROR(INDEX(Table2[GAS],MATCH(rrcworking[[#This Row],[Magnum Wolfpak '#]],Table2[Rox Wolf'#],0))),0,INDEX(Table2[GAS],MATCH(rrcworking[[#This Row],[Magnum Wolfpak '#]],Table2[Rox Wolf'#],0)))</f>
        <v>0</v>
      </c>
      <c r="W27" s="82"/>
      <c r="X27" s="58">
        <v>1</v>
      </c>
      <c r="Y27" s="133">
        <f>IF(ISERROR(INDEX(Table2[LEASE USE],MATCH(rrcworking[[#This Row],[Magnum Wolfpak '#]],Table2[Rox Wolf'#],0))),0,INDEX(Table2[LEASE USE],MATCH(rrcworking[[#This Row],[Magnum Wolfpak '#]],Table2[Rox Wolf'#],0)))</f>
        <v>0</v>
      </c>
      <c r="Z27" s="133"/>
      <c r="AA27" s="56">
        <f>rrcworking[[#This Row],[Gas Sales Statement Volume (MCF)]]+rrcworking[[#This Row],[Lease Use (MCF)]]+rrcworking[[#This Row],[Flared Gas]]</f>
        <v>0</v>
      </c>
      <c r="AB27" s="36"/>
      <c r="AC27" s="36" t="s">
        <v>1314</v>
      </c>
      <c r="AD27" s="175">
        <f>COUNTIF(FilterList,rrcworking[[#This Row],[Magnum Wolfpak '#]])</f>
        <v>0</v>
      </c>
      <c r="AE27" s="172"/>
      <c r="AF27" s="173"/>
      <c r="AG27" s="36"/>
      <c r="AH27" s="36"/>
      <c r="AI27" s="36">
        <v>3</v>
      </c>
      <c r="AJ27" s="36" t="s">
        <v>1139</v>
      </c>
      <c r="AK27" s="36" t="s">
        <v>1165</v>
      </c>
      <c r="AL27" s="36" t="s">
        <v>1178</v>
      </c>
      <c r="AM27" s="36" t="s">
        <v>1165</v>
      </c>
      <c r="AN27" s="36" t="s">
        <v>1175</v>
      </c>
      <c r="AO27" s="36" t="s">
        <v>1182</v>
      </c>
      <c r="AP27" s="36"/>
    </row>
    <row r="28" spans="3:42" ht="14" customHeight="1">
      <c r="C28" s="78" t="e">
        <v>#N/A</v>
      </c>
      <c r="D28" s="60" t="s">
        <v>87</v>
      </c>
      <c r="E28" s="125" t="s">
        <v>88</v>
      </c>
      <c r="F28" s="124">
        <v>1</v>
      </c>
      <c r="G28" s="115" t="s">
        <v>1090</v>
      </c>
      <c r="H28" s="18" t="s">
        <v>617</v>
      </c>
      <c r="I28" s="18" t="s">
        <v>59</v>
      </c>
      <c r="J28" s="19" t="s">
        <v>421</v>
      </c>
      <c r="K28" s="99">
        <v>258014</v>
      </c>
      <c r="L28" s="97">
        <f>INDEX(Table1[Production],MATCH(rrcworking[[#This Row],[RRC ID Number]],Table1[RRC Identifier],0))</f>
        <v>0</v>
      </c>
      <c r="M28" s="29">
        <f>INDEX(Table1[Formation Production],MATCH(rrcworking[[#This Row],[RRC ID Number]],Table1[RRC Identifier],0))</f>
        <v>0</v>
      </c>
      <c r="N28" s="30">
        <f>INDEX(Table1[On Hand End of Month],MATCH(rrcworking[[#This Row],[RRC ID Number]],Table1[RRC Identifier],0))</f>
        <v>132</v>
      </c>
      <c r="O28" s="102" t="b">
        <f t="shared" si="0"/>
        <v>1</v>
      </c>
      <c r="Q28" s="122">
        <f>rrcworking[[#This Row],[Last Month Closing Stock]]</f>
        <v>132</v>
      </c>
      <c r="R28">
        <f>rrcworking[[#This Row],[Opening Oil Stock]]</f>
        <v>132</v>
      </c>
      <c r="S28" s="133">
        <f>IF(ISERROR(INDEX(Table2[OIL],MATCH(rrcworking[[#This Row],[Magnum Wolfpak '#]],Table2[Rox Wolf'#],0))),0,INDEX(Table2[OIL],MATCH(rrcworking[[#This Row],[Magnum Wolfpak '#]],Table2[Rox Wolf'#],0)))</f>
        <v>0</v>
      </c>
      <c r="T28" s="34">
        <f>rrcworking[[#This Row],[Closing Stock (Oil)]]+rrcworking[[#This Row],[Sales/Dispostion]]-rrcworking[[#This Row],[Opening Oil Stock]]</f>
        <v>0</v>
      </c>
      <c r="U28" s="108">
        <f>rrcworking[[#This Row],[Gauge Sheet Prod Volume (oil)]]-rrcworking[[#This Row],[Oil Production]]</f>
        <v>0</v>
      </c>
      <c r="V28" s="133">
        <f>IF(ISERROR(INDEX(Table2[GAS],MATCH(rrcworking[[#This Row],[Magnum Wolfpak '#]],Table2[Rox Wolf'#],0))),0,INDEX(Table2[GAS],MATCH(rrcworking[[#This Row],[Magnum Wolfpak '#]],Table2[Rox Wolf'#],0)))</f>
        <v>0</v>
      </c>
      <c r="W28" s="58"/>
      <c r="X28" s="58"/>
      <c r="Y28" s="133">
        <f>IF(ISERROR(INDEX(Table2[LEASE USE],MATCH(rrcworking[[#This Row],[Magnum Wolfpak '#]],Table2[Rox Wolf'#],0))),0,INDEX(Table2[LEASE USE],MATCH(rrcworking[[#This Row],[Magnum Wolfpak '#]],Table2[Rox Wolf'#],0)))</f>
        <v>0</v>
      </c>
      <c r="Z28" s="133"/>
      <c r="AA28" s="56">
        <f>rrcworking[[#This Row],[Gas Sales Statement Volume (MCF)]]+rrcworking[[#This Row],[Lease Use (MCF)]]+rrcworking[[#This Row],[Flared Gas]]</f>
        <v>0</v>
      </c>
      <c r="AB28" s="36"/>
      <c r="AC28" s="36"/>
      <c r="AD28" s="175">
        <f>COUNTIF(FilterList,rrcworking[[#This Row],[Magnum Wolfpak '#]])</f>
        <v>0</v>
      </c>
      <c r="AE28" s="172"/>
      <c r="AF28" s="173"/>
      <c r="AG28" s="36"/>
      <c r="AH28" s="36"/>
      <c r="AI28" s="36"/>
      <c r="AJ28" s="36"/>
      <c r="AK28" s="36"/>
      <c r="AL28" s="36"/>
      <c r="AM28" s="36"/>
      <c r="AN28" s="36"/>
      <c r="AO28" s="36"/>
      <c r="AP28" s="36"/>
    </row>
    <row r="29" spans="3:42" ht="14" customHeight="1">
      <c r="C29" s="78">
        <v>99255</v>
      </c>
      <c r="D29" s="60" t="s">
        <v>113</v>
      </c>
      <c r="E29" s="125" t="s">
        <v>88</v>
      </c>
      <c r="F29" s="124">
        <v>1</v>
      </c>
      <c r="G29" s="115" t="s">
        <v>1090</v>
      </c>
      <c r="H29" s="18" t="s">
        <v>617</v>
      </c>
      <c r="I29" s="18" t="s">
        <v>59</v>
      </c>
      <c r="J29" s="19" t="s">
        <v>436</v>
      </c>
      <c r="K29" s="99">
        <v>286124</v>
      </c>
      <c r="L29" s="97">
        <f>INDEX(Table1[Production],MATCH(rrcworking[[#This Row],[RRC ID Number]],Table1[RRC Identifier],0))</f>
        <v>0</v>
      </c>
      <c r="M29" s="29">
        <f>INDEX(Table1[Formation Production],MATCH(rrcworking[[#This Row],[RRC ID Number]],Table1[RRC Identifier],0))</f>
        <v>0</v>
      </c>
      <c r="N29" s="30">
        <f>INDEX(Table1[On Hand End of Month],MATCH(rrcworking[[#This Row],[RRC ID Number]],Table1[RRC Identifier],0))</f>
        <v>80</v>
      </c>
      <c r="O29" s="102" t="b">
        <f t="shared" si="0"/>
        <v>1</v>
      </c>
      <c r="Q29" s="122">
        <f>rrcworking[[#This Row],[Last Month Closing Stock]]</f>
        <v>80</v>
      </c>
      <c r="R29">
        <f>rrcworking[[#This Row],[Opening Oil Stock]]</f>
        <v>80</v>
      </c>
      <c r="S29" s="133">
        <f>IF(ISERROR(INDEX(Table2[OIL],MATCH(rrcworking[[#This Row],[Magnum Wolfpak '#]],Table2[Rox Wolf'#],0))),0,INDEX(Table2[OIL],MATCH(rrcworking[[#This Row],[Magnum Wolfpak '#]],Table2[Rox Wolf'#],0)))</f>
        <v>0</v>
      </c>
      <c r="T29" s="34">
        <f>rrcworking[[#This Row],[Closing Stock (Oil)]]+rrcworking[[#This Row],[Sales/Dispostion]]-rrcworking[[#This Row],[Opening Oil Stock]]</f>
        <v>0</v>
      </c>
      <c r="U29" s="108">
        <f>rrcworking[[#This Row],[Gauge Sheet Prod Volume (oil)]]-rrcworking[[#This Row],[Oil Production]]</f>
        <v>0</v>
      </c>
      <c r="V29" s="133">
        <f>IF(ISERROR(INDEX(Table2[GAS],MATCH(rrcworking[[#This Row],[Magnum Wolfpak '#]],Table2[Rox Wolf'#],0))),0,INDEX(Table2[GAS],MATCH(rrcworking[[#This Row],[Magnum Wolfpak '#]],Table2[Rox Wolf'#],0)))</f>
        <v>0</v>
      </c>
      <c r="W29" s="82"/>
      <c r="X29" s="58">
        <v>1</v>
      </c>
      <c r="Y29" s="133">
        <f>IF(ISERROR(INDEX(Table2[LEASE USE],MATCH(rrcworking[[#This Row],[Magnum Wolfpak '#]],Table2[Rox Wolf'#],0))),0,INDEX(Table2[LEASE USE],MATCH(rrcworking[[#This Row],[Magnum Wolfpak '#]],Table2[Rox Wolf'#],0)))</f>
        <v>0</v>
      </c>
      <c r="Z29" s="133"/>
      <c r="AA29" s="56">
        <f>rrcworking[[#This Row],[Gas Sales Statement Volume (MCF)]]+rrcworking[[#This Row],[Lease Use (MCF)]]+rrcworking[[#This Row],[Flared Gas]]</f>
        <v>0</v>
      </c>
      <c r="AB29" s="36"/>
      <c r="AC29" s="36" t="s">
        <v>1134</v>
      </c>
      <c r="AD29" s="175">
        <f>COUNTIF(FilterList,rrcworking[[#This Row],[Magnum Wolfpak '#]])</f>
        <v>0</v>
      </c>
      <c r="AE29" s="172"/>
      <c r="AF29" s="173"/>
      <c r="AG29" s="83"/>
      <c r="AH29" s="83"/>
      <c r="AI29" s="174"/>
      <c r="AJ29" s="174"/>
      <c r="AK29" s="174"/>
      <c r="AL29" s="174"/>
      <c r="AM29" s="174"/>
      <c r="AN29" s="174"/>
      <c r="AO29" s="36" t="s">
        <v>1163</v>
      </c>
      <c r="AP29" s="36" t="s">
        <v>1183</v>
      </c>
    </row>
    <row r="30" spans="3:42" ht="14" customHeight="1">
      <c r="C30" s="78" t="e">
        <v>#N/A</v>
      </c>
      <c r="D30" s="60" t="s">
        <v>281</v>
      </c>
      <c r="E30" s="125" t="s">
        <v>283</v>
      </c>
      <c r="F30" s="124">
        <v>0</v>
      </c>
      <c r="G30" s="115" t="s">
        <v>1090</v>
      </c>
      <c r="H30" s="18" t="s">
        <v>618</v>
      </c>
      <c r="I30" s="18" t="s">
        <v>2</v>
      </c>
      <c r="J30" s="19" t="s">
        <v>536</v>
      </c>
      <c r="K30" s="99">
        <v>27162</v>
      </c>
      <c r="L30" s="97">
        <f>INDEX(Table1[Production],MATCH(rrcworking[[#This Row],[RRC ID Number]],Table1[RRC Identifier],0))</f>
        <v>0</v>
      </c>
      <c r="M30" s="29">
        <f>INDEX(Table1[Formation Production],MATCH(rrcworking[[#This Row],[RRC ID Number]],Table1[RRC Identifier],0))</f>
        <v>0</v>
      </c>
      <c r="N30" s="30">
        <f>INDEX(Table1[On Hand End of Month],MATCH(rrcworking[[#This Row],[RRC ID Number]],Table1[RRC Identifier],0))</f>
        <v>0</v>
      </c>
      <c r="O30" s="102" t="b">
        <f t="shared" si="0"/>
        <v>1</v>
      </c>
      <c r="Q30" s="122">
        <f>rrcworking[[#This Row],[Last Month Closing Stock]]</f>
        <v>0</v>
      </c>
      <c r="R30">
        <f>rrcworking[[#This Row],[Opening Oil Stock]]</f>
        <v>0</v>
      </c>
      <c r="S30" s="133">
        <f>IF(ISERROR(INDEX(Table2[OIL],MATCH(rrcworking[[#This Row],[Magnum Wolfpak '#]],Table2[Rox Wolf'#],0))),0,INDEX(Table2[OIL],MATCH(rrcworking[[#This Row],[Magnum Wolfpak '#]],Table2[Rox Wolf'#],0)))</f>
        <v>0</v>
      </c>
      <c r="T30" s="34">
        <f>rrcworking[[#This Row],[Closing Stock (Oil)]]+rrcworking[[#This Row],[Sales/Dispostion]]-rrcworking[[#This Row],[Opening Oil Stock]]</f>
        <v>0</v>
      </c>
      <c r="U30" s="108">
        <f>rrcworking[[#This Row],[Gauge Sheet Prod Volume (oil)]]-rrcworking[[#This Row],[Oil Production]]</f>
        <v>0</v>
      </c>
      <c r="V30" s="133">
        <f>IF(ISERROR(INDEX(Table2[GAS],MATCH(rrcworking[[#This Row],[Magnum Wolfpak '#]],Table2[Rox Wolf'#],0))),0,INDEX(Table2[GAS],MATCH(rrcworking[[#This Row],[Magnum Wolfpak '#]],Table2[Rox Wolf'#],0)))</f>
        <v>0</v>
      </c>
      <c r="W30" s="58"/>
      <c r="X30" s="58"/>
      <c r="Y30" s="133">
        <f>IF(ISERROR(INDEX(Table2[LEASE USE],MATCH(rrcworking[[#This Row],[Magnum Wolfpak '#]],Table2[Rox Wolf'#],0))),0,INDEX(Table2[LEASE USE],MATCH(rrcworking[[#This Row],[Magnum Wolfpak '#]],Table2[Rox Wolf'#],0)))</f>
        <v>0</v>
      </c>
      <c r="Z30" s="133"/>
      <c r="AA30" s="56">
        <f>rrcworking[[#This Row],[Gas Sales Statement Volume (MCF)]]+rrcworking[[#This Row],[Lease Use (MCF)]]+rrcworking[[#This Row],[Flared Gas]]</f>
        <v>0</v>
      </c>
      <c r="AB30" s="36"/>
      <c r="AC30" s="36"/>
      <c r="AD30" s="175">
        <f>COUNTIF(FilterList,rrcworking[[#This Row],[Magnum Wolfpak '#]])</f>
        <v>0</v>
      </c>
      <c r="AE30" s="172"/>
      <c r="AF30" s="173"/>
      <c r="AG30" s="36"/>
      <c r="AH30" s="36"/>
      <c r="AI30" s="36"/>
      <c r="AJ30" s="36"/>
      <c r="AK30" s="36"/>
      <c r="AL30" s="36"/>
      <c r="AM30" s="36"/>
      <c r="AN30" s="36"/>
      <c r="AO30" s="36"/>
      <c r="AP30" s="36"/>
    </row>
    <row r="31" spans="3:42" ht="14" customHeight="1">
      <c r="C31" s="78" t="e">
        <v>#N/A</v>
      </c>
      <c r="D31" s="60" t="s">
        <v>256</v>
      </c>
      <c r="E31" s="125" t="s">
        <v>257</v>
      </c>
      <c r="F31" s="124">
        <v>0</v>
      </c>
      <c r="G31" s="115" t="s">
        <v>1090</v>
      </c>
      <c r="H31" s="18" t="s">
        <v>618</v>
      </c>
      <c r="I31" s="18" t="s">
        <v>2</v>
      </c>
      <c r="J31" s="19" t="s">
        <v>517</v>
      </c>
      <c r="K31" s="99">
        <v>21879</v>
      </c>
      <c r="L31" s="97">
        <f>INDEX(Table1[Production],MATCH(rrcworking[[#This Row],[RRC ID Number]],Table1[RRC Identifier],0))</f>
        <v>0</v>
      </c>
      <c r="M31" s="29">
        <f>INDEX(Table1[Formation Production],MATCH(rrcworking[[#This Row],[RRC ID Number]],Table1[RRC Identifier],0))</f>
        <v>0</v>
      </c>
      <c r="N31" s="30">
        <f>INDEX(Table1[On Hand End of Month],MATCH(rrcworking[[#This Row],[RRC ID Number]],Table1[RRC Identifier],0))</f>
        <v>0</v>
      </c>
      <c r="O31" s="102" t="b">
        <f t="shared" si="0"/>
        <v>1</v>
      </c>
      <c r="Q31" s="122">
        <f>rrcworking[[#This Row],[Last Month Closing Stock]]</f>
        <v>0</v>
      </c>
      <c r="R31">
        <f>rrcworking[[#This Row],[Opening Oil Stock]]</f>
        <v>0</v>
      </c>
      <c r="S31" s="133">
        <f>IF(ISERROR(INDEX(Table2[OIL],MATCH(rrcworking[[#This Row],[Magnum Wolfpak '#]],Table2[Rox Wolf'#],0))),0,INDEX(Table2[OIL],MATCH(rrcworking[[#This Row],[Magnum Wolfpak '#]],Table2[Rox Wolf'#],0)))</f>
        <v>0</v>
      </c>
      <c r="T31" s="34">
        <f>rrcworking[[#This Row],[Closing Stock (Oil)]]+rrcworking[[#This Row],[Sales/Dispostion]]-rrcworking[[#This Row],[Opening Oil Stock]]</f>
        <v>0</v>
      </c>
      <c r="U31" s="108">
        <f>rrcworking[[#This Row],[Gauge Sheet Prod Volume (oil)]]-rrcworking[[#This Row],[Oil Production]]</f>
        <v>0</v>
      </c>
      <c r="V31" s="133">
        <f>IF(ISERROR(INDEX(Table2[GAS],MATCH(rrcworking[[#This Row],[Magnum Wolfpak '#]],Table2[Rox Wolf'#],0))),0,INDEX(Table2[GAS],MATCH(rrcworking[[#This Row],[Magnum Wolfpak '#]],Table2[Rox Wolf'#],0)))</f>
        <v>0</v>
      </c>
      <c r="W31" s="58"/>
      <c r="X31" s="58"/>
      <c r="Y31" s="133">
        <f>IF(ISERROR(INDEX(Table2[LEASE USE],MATCH(rrcworking[[#This Row],[Magnum Wolfpak '#]],Table2[Rox Wolf'#],0))),0,INDEX(Table2[LEASE USE],MATCH(rrcworking[[#This Row],[Magnum Wolfpak '#]],Table2[Rox Wolf'#],0)))</f>
        <v>0</v>
      </c>
      <c r="Z31" s="133"/>
      <c r="AA31" s="56">
        <f>rrcworking[[#This Row],[Gas Sales Statement Volume (MCF)]]+rrcworking[[#This Row],[Lease Use (MCF)]]+rrcworking[[#This Row],[Flared Gas]]</f>
        <v>0</v>
      </c>
      <c r="AB31" s="36"/>
      <c r="AC31" s="36"/>
      <c r="AD31" s="175">
        <f>COUNTIF(FilterList,rrcworking[[#This Row],[Magnum Wolfpak '#]])</f>
        <v>0</v>
      </c>
      <c r="AE31" s="172"/>
      <c r="AF31" s="173"/>
      <c r="AG31" s="36"/>
      <c r="AH31" s="36"/>
      <c r="AI31" s="36"/>
      <c r="AJ31" s="36"/>
      <c r="AK31" s="36"/>
      <c r="AL31" s="36"/>
      <c r="AM31" s="36"/>
      <c r="AN31" s="36"/>
      <c r="AO31" s="36"/>
      <c r="AP31" s="36"/>
    </row>
    <row r="32" spans="3:42" ht="14" customHeight="1">
      <c r="C32" s="78">
        <v>98921</v>
      </c>
      <c r="D32" s="60" t="s">
        <v>103</v>
      </c>
      <c r="E32" s="125" t="s">
        <v>104</v>
      </c>
      <c r="F32" s="124">
        <v>0</v>
      </c>
      <c r="G32" s="115" t="s">
        <v>1090</v>
      </c>
      <c r="H32" s="18" t="s">
        <v>617</v>
      </c>
      <c r="I32" s="18" t="s">
        <v>2</v>
      </c>
      <c r="J32" s="19" t="s">
        <v>430</v>
      </c>
      <c r="K32" s="99">
        <v>8646</v>
      </c>
      <c r="L32" s="97">
        <f>INDEX(Table1[Production],MATCH(rrcworking[[#This Row],[RRC ID Number]],Table1[RRC Identifier],0))</f>
        <v>0</v>
      </c>
      <c r="M32" s="29">
        <f>INDEX(Table1[Formation Production],MATCH(rrcworking[[#This Row],[RRC ID Number]],Table1[RRC Identifier],0))</f>
        <v>0</v>
      </c>
      <c r="N32" s="30">
        <f>INDEX(Table1[On Hand End of Month],MATCH(rrcworking[[#This Row],[RRC ID Number]],Table1[RRC Identifier],0))</f>
        <v>123</v>
      </c>
      <c r="O32" s="102" t="b">
        <f t="shared" si="0"/>
        <v>1</v>
      </c>
      <c r="P32">
        <v>0</v>
      </c>
      <c r="Q32" s="122">
        <f>rrcworking[[#This Row],[Last Month Closing Stock]]</f>
        <v>123</v>
      </c>
      <c r="R32">
        <v>123</v>
      </c>
      <c r="S32" s="133">
        <f>IF(ISERROR(INDEX(Table2[OIL],MATCH(rrcworking[[#This Row],[Magnum Wolfpak '#]],Table2[Rox Wolf'#],0))),0,INDEX(Table2[OIL],MATCH(rrcworking[[#This Row],[Magnum Wolfpak '#]],Table2[Rox Wolf'#],0)))</f>
        <v>0</v>
      </c>
      <c r="T32" s="34">
        <f>rrcworking[[#This Row],[Closing Stock (Oil)]]+rrcworking[[#This Row],[Sales/Dispostion]]-rrcworking[[#This Row],[Opening Oil Stock]]</f>
        <v>0</v>
      </c>
      <c r="U32" s="108">
        <f>rrcworking[[#This Row],[Gauge Sheet Prod Volume (oil)]]-rrcworking[[#This Row],[Oil Production]]</f>
        <v>0</v>
      </c>
      <c r="V32" s="133">
        <f>IF(ISERROR(INDEX(Table2[GAS],MATCH(rrcworking[[#This Row],[Magnum Wolfpak '#]],Table2[Rox Wolf'#],0))),0,INDEX(Table2[GAS],MATCH(rrcworking[[#This Row],[Magnum Wolfpak '#]],Table2[Rox Wolf'#],0)))</f>
        <v>0</v>
      </c>
      <c r="W32" s="58"/>
      <c r="X32" s="58"/>
      <c r="Y32" s="133">
        <f>IF(ISERROR(INDEX(Table2[LEASE USE],MATCH(rrcworking[[#This Row],[Magnum Wolfpak '#]],Table2[Rox Wolf'#],0))),0,INDEX(Table2[LEASE USE],MATCH(rrcworking[[#This Row],[Magnum Wolfpak '#]],Table2[Rox Wolf'#],0)))</f>
        <v>0</v>
      </c>
      <c r="Z32" s="133"/>
      <c r="AA32" s="56">
        <f>rrcworking[[#This Row],[Gas Sales Statement Volume (MCF)]]+rrcworking[[#This Row],[Lease Use (MCF)]]+rrcworking[[#This Row],[Flared Gas]]</f>
        <v>0</v>
      </c>
      <c r="AB32" s="36"/>
      <c r="AC32" s="36"/>
      <c r="AD32" s="175">
        <f>COUNTIF(FilterList,rrcworking[[#This Row],[Magnum Wolfpak '#]])</f>
        <v>0</v>
      </c>
      <c r="AE32" s="172"/>
      <c r="AF32" s="173"/>
      <c r="AG32" s="36"/>
      <c r="AH32" s="173"/>
      <c r="AI32" s="36">
        <v>2</v>
      </c>
      <c r="AJ32" s="36" t="s">
        <v>1139</v>
      </c>
      <c r="AK32" s="36" t="s">
        <v>1139</v>
      </c>
      <c r="AL32" s="36" t="s">
        <v>1184</v>
      </c>
      <c r="AM32" s="36" t="s">
        <v>1165</v>
      </c>
      <c r="AN32" s="36" t="s">
        <v>1185</v>
      </c>
      <c r="AO32" s="36" t="s">
        <v>1186</v>
      </c>
      <c r="AP32" s="36"/>
    </row>
    <row r="33" spans="3:42" ht="14" customHeight="1">
      <c r="C33" s="78" t="e">
        <v>#N/A</v>
      </c>
      <c r="D33" s="60" t="s">
        <v>372</v>
      </c>
      <c r="E33" s="125" t="s">
        <v>373</v>
      </c>
      <c r="F33" s="124">
        <v>2</v>
      </c>
      <c r="G33" s="115" t="s">
        <v>1090</v>
      </c>
      <c r="H33" s="18" t="s">
        <v>619</v>
      </c>
      <c r="I33" s="18" t="s">
        <v>59</v>
      </c>
      <c r="J33" s="19" t="s">
        <v>589</v>
      </c>
      <c r="K33" s="99">
        <v>195786</v>
      </c>
      <c r="L33" s="97">
        <f>INDEX(Table1[Production],MATCH(rrcworking[[#This Row],[RRC ID Number]],Table1[RRC Identifier],0))</f>
        <v>0</v>
      </c>
      <c r="M33" s="29">
        <f>INDEX(Table1[Formation Production],MATCH(rrcworking[[#This Row],[RRC ID Number]],Table1[RRC Identifier],0))</f>
        <v>0</v>
      </c>
      <c r="N33" s="30">
        <f>INDEX(Table1[On Hand End of Month],MATCH(rrcworking[[#This Row],[RRC ID Number]],Table1[RRC Identifier],0))</f>
        <v>0</v>
      </c>
      <c r="O33" s="102" t="b">
        <f t="shared" si="0"/>
        <v>1</v>
      </c>
      <c r="Q33" s="122">
        <f>rrcworking[[#This Row],[Last Month Closing Stock]]</f>
        <v>0</v>
      </c>
      <c r="R33">
        <f>rrcworking[[#This Row],[Opening Oil Stock]]</f>
        <v>0</v>
      </c>
      <c r="S33" s="133">
        <f>IF(ISERROR(INDEX(Table2[OIL],MATCH(rrcworking[[#This Row],[Magnum Wolfpak '#]],Table2[Rox Wolf'#],0))),0,INDEX(Table2[OIL],MATCH(rrcworking[[#This Row],[Magnum Wolfpak '#]],Table2[Rox Wolf'#],0)))</f>
        <v>0</v>
      </c>
      <c r="T33" s="34">
        <f>rrcworking[[#This Row],[Closing Stock (Oil)]]+rrcworking[[#This Row],[Sales/Dispostion]]-rrcworking[[#This Row],[Opening Oil Stock]]</f>
        <v>0</v>
      </c>
      <c r="U33" s="108">
        <f>rrcworking[[#This Row],[Gauge Sheet Prod Volume (oil)]]-rrcworking[[#This Row],[Oil Production]]</f>
        <v>0</v>
      </c>
      <c r="V33" s="133">
        <f>IF(ISERROR(INDEX(Table2[GAS],MATCH(rrcworking[[#This Row],[Magnum Wolfpak '#]],Table2[Rox Wolf'#],0))),0,INDEX(Table2[GAS],MATCH(rrcworking[[#This Row],[Magnum Wolfpak '#]],Table2[Rox Wolf'#],0)))</f>
        <v>0</v>
      </c>
      <c r="W33" s="58"/>
      <c r="X33" s="58"/>
      <c r="Y33" s="133">
        <f>IF(ISERROR(INDEX(Table2[LEASE USE],MATCH(rrcworking[[#This Row],[Magnum Wolfpak '#]],Table2[Rox Wolf'#],0))),0,INDEX(Table2[LEASE USE],MATCH(rrcworking[[#This Row],[Magnum Wolfpak '#]],Table2[Rox Wolf'#],0)))</f>
        <v>0</v>
      </c>
      <c r="Z33" s="133"/>
      <c r="AA33" s="56">
        <f>rrcworking[[#This Row],[Gas Sales Statement Volume (MCF)]]+rrcworking[[#This Row],[Lease Use (MCF)]]+rrcworking[[#This Row],[Flared Gas]]</f>
        <v>0</v>
      </c>
      <c r="AB33" s="36"/>
      <c r="AC33" s="36"/>
      <c r="AD33" s="175">
        <f>COUNTIF(FilterList,rrcworking[[#This Row],[Magnum Wolfpak '#]])</f>
        <v>0</v>
      </c>
      <c r="AE33" s="172"/>
      <c r="AF33" s="173"/>
      <c r="AG33" s="36"/>
      <c r="AH33" s="36"/>
      <c r="AI33" s="36"/>
      <c r="AJ33" s="36"/>
      <c r="AK33" s="36"/>
      <c r="AL33" s="36"/>
      <c r="AM33" s="36"/>
      <c r="AN33" s="36"/>
      <c r="AO33" s="36"/>
      <c r="AP33" s="36"/>
    </row>
    <row r="34" spans="3:42" ht="14" customHeight="1">
      <c r="C34" s="78" t="e">
        <v>#N/A</v>
      </c>
      <c r="D34" s="60" t="s">
        <v>313</v>
      </c>
      <c r="E34" s="125" t="s">
        <v>314</v>
      </c>
      <c r="F34" s="124">
        <v>0</v>
      </c>
      <c r="G34" s="115" t="s">
        <v>1090</v>
      </c>
      <c r="H34" s="18" t="s">
        <v>619</v>
      </c>
      <c r="I34" s="18" t="s">
        <v>2</v>
      </c>
      <c r="J34" s="19" t="s">
        <v>555</v>
      </c>
      <c r="K34" s="99">
        <v>13410</v>
      </c>
      <c r="L34" s="97">
        <f>INDEX(Table1[Production],MATCH(rrcworking[[#This Row],[RRC ID Number]],Table1[RRC Identifier],0))</f>
        <v>0</v>
      </c>
      <c r="M34" s="29">
        <f>INDEX(Table1[Formation Production],MATCH(rrcworking[[#This Row],[RRC ID Number]],Table1[RRC Identifier],0))</f>
        <v>0</v>
      </c>
      <c r="N34" s="30">
        <f>INDEX(Table1[On Hand End of Month],MATCH(rrcworking[[#This Row],[RRC ID Number]],Table1[RRC Identifier],0))</f>
        <v>235</v>
      </c>
      <c r="O34" s="102" t="b">
        <f t="shared" si="0"/>
        <v>1</v>
      </c>
      <c r="Q34" s="122">
        <f>rrcworking[[#This Row],[Last Month Closing Stock]]</f>
        <v>235</v>
      </c>
      <c r="R34">
        <f>rrcworking[[#This Row],[Opening Oil Stock]]</f>
        <v>235</v>
      </c>
      <c r="S34" s="133">
        <f>IF(ISERROR(INDEX(Table2[OIL],MATCH(rrcworking[[#This Row],[Magnum Wolfpak '#]],Table2[Rox Wolf'#],0))),0,INDEX(Table2[OIL],MATCH(rrcworking[[#This Row],[Magnum Wolfpak '#]],Table2[Rox Wolf'#],0)))</f>
        <v>0</v>
      </c>
      <c r="T34" s="34">
        <f>rrcworking[[#This Row],[Closing Stock (Oil)]]+rrcworking[[#This Row],[Sales/Dispostion]]-rrcworking[[#This Row],[Opening Oil Stock]]</f>
        <v>0</v>
      </c>
      <c r="U34" s="108">
        <f>rrcworking[[#This Row],[Gauge Sheet Prod Volume (oil)]]-rrcworking[[#This Row],[Oil Production]]</f>
        <v>0</v>
      </c>
      <c r="V34" s="133">
        <f>IF(ISERROR(INDEX(Table2[GAS],MATCH(rrcworking[[#This Row],[Magnum Wolfpak '#]],Table2[Rox Wolf'#],0))),0,INDEX(Table2[GAS],MATCH(rrcworking[[#This Row],[Magnum Wolfpak '#]],Table2[Rox Wolf'#],0)))</f>
        <v>0</v>
      </c>
      <c r="W34" s="58"/>
      <c r="X34" s="58"/>
      <c r="Y34" s="133">
        <f>IF(ISERROR(INDEX(Table2[LEASE USE],MATCH(rrcworking[[#This Row],[Magnum Wolfpak '#]],Table2[Rox Wolf'#],0))),0,INDEX(Table2[LEASE USE],MATCH(rrcworking[[#This Row],[Magnum Wolfpak '#]],Table2[Rox Wolf'#],0)))</f>
        <v>0</v>
      </c>
      <c r="Z34" s="133"/>
      <c r="AA34" s="56">
        <f>rrcworking[[#This Row],[Gas Sales Statement Volume (MCF)]]+rrcworking[[#This Row],[Lease Use (MCF)]]+rrcworking[[#This Row],[Flared Gas]]</f>
        <v>0</v>
      </c>
      <c r="AB34" s="36"/>
      <c r="AC34" s="36"/>
      <c r="AD34" s="175">
        <f>COUNTIF(FilterList,rrcworking[[#This Row],[Magnum Wolfpak '#]])</f>
        <v>0</v>
      </c>
      <c r="AE34" s="172"/>
      <c r="AF34" s="173"/>
      <c r="AG34" s="36"/>
      <c r="AH34" s="36"/>
      <c r="AI34" s="36"/>
      <c r="AJ34" s="36"/>
      <c r="AK34" s="36"/>
      <c r="AL34" s="36"/>
      <c r="AM34" s="36"/>
      <c r="AN34" s="36"/>
      <c r="AO34" s="36"/>
      <c r="AP34" s="36"/>
    </row>
    <row r="35" spans="3:42" ht="14" customHeight="1">
      <c r="C35" s="78">
        <v>99017</v>
      </c>
      <c r="D35" s="60" t="s">
        <v>79</v>
      </c>
      <c r="E35" s="125" t="s">
        <v>80</v>
      </c>
      <c r="F35" s="124">
        <v>1</v>
      </c>
      <c r="G35" s="115" t="s">
        <v>1090</v>
      </c>
      <c r="H35" s="18" t="s">
        <v>617</v>
      </c>
      <c r="I35" s="18" t="s">
        <v>59</v>
      </c>
      <c r="J35" s="19" t="s">
        <v>417</v>
      </c>
      <c r="K35" s="99">
        <v>250887</v>
      </c>
      <c r="L35" s="97">
        <f>INDEX(Table1[Production],MATCH(rrcworking[[#This Row],[RRC ID Number]],Table1[RRC Identifier],0))</f>
        <v>0</v>
      </c>
      <c r="M35" s="29">
        <f>INDEX(Table1[Formation Production],MATCH(rrcworking[[#This Row],[RRC ID Number]],Table1[RRC Identifier],0))</f>
        <v>4660</v>
      </c>
      <c r="N35" s="30">
        <f>INDEX(Table1[On Hand End of Month],MATCH(rrcworking[[#This Row],[RRC ID Number]],Table1[RRC Identifier],0))</f>
        <v>0</v>
      </c>
      <c r="O35" s="102" t="b">
        <f t="shared" si="0"/>
        <v>0</v>
      </c>
      <c r="P35">
        <v>0</v>
      </c>
      <c r="Q35" s="122">
        <f>rrcworking[[#This Row],[Last Month Closing Stock]]</f>
        <v>0</v>
      </c>
      <c r="R35">
        <v>0</v>
      </c>
      <c r="S35" s="133">
        <f>IF(ISERROR(INDEX(Table2[OIL],MATCH(rrcworking[[#This Row],[Magnum Wolfpak '#]],Table2[Rox Wolf'#],0))),0,INDEX(Table2[OIL],MATCH(rrcworking[[#This Row],[Magnum Wolfpak '#]],Table2[Rox Wolf'#],0)))</f>
        <v>0</v>
      </c>
      <c r="T35" s="34">
        <f>rrcworking[[#This Row],[Closing Stock (Oil)]]+rrcworking[[#This Row],[Sales/Dispostion]]-rrcworking[[#This Row],[Opening Oil Stock]]</f>
        <v>0</v>
      </c>
      <c r="U35" s="108">
        <f>rrcworking[[#This Row],[Gauge Sheet Prod Volume (oil)]]-rrcworking[[#This Row],[Oil Production]]</f>
        <v>0</v>
      </c>
      <c r="V35" s="133">
        <f>IF(ISERROR(INDEX(Table2[GAS],MATCH(rrcworking[[#This Row],[Magnum Wolfpak '#]],Table2[Rox Wolf'#],0))),0,INDEX(Table2[GAS],MATCH(rrcworking[[#This Row],[Magnum Wolfpak '#]],Table2[Rox Wolf'#],0)))</f>
        <v>4202</v>
      </c>
      <c r="W35" s="82"/>
      <c r="X35" s="58">
        <v>7</v>
      </c>
      <c r="Y35" s="133">
        <f>IF(ISERROR(INDEX(Table2[LEASE USE],MATCH(rrcworking[[#This Row],[Magnum Wolfpak '#]],Table2[Rox Wolf'#],0))),0,INDEX(Table2[LEASE USE],MATCH(rrcworking[[#This Row],[Magnum Wolfpak '#]],Table2[Rox Wolf'#],0)))</f>
        <v>210</v>
      </c>
      <c r="Z35" s="133"/>
      <c r="AA35" s="56">
        <f>rrcworking[[#This Row],[Gas Sales Statement Volume (MCF)]]+rrcworking[[#This Row],[Lease Use (MCF)]]+rrcworking[[#This Row],[Flared Gas]]</f>
        <v>4412</v>
      </c>
      <c r="AB35" s="36"/>
      <c r="AC35" s="36"/>
      <c r="AD35" s="175">
        <f>COUNTIF(FilterList,rrcworking[[#This Row],[Magnum Wolfpak '#]])</f>
        <v>0</v>
      </c>
      <c r="AE35" s="172"/>
      <c r="AF35" s="173"/>
      <c r="AG35" s="36"/>
      <c r="AH35" s="36"/>
      <c r="AI35" s="36">
        <v>3</v>
      </c>
      <c r="AJ35" s="36" t="s">
        <v>1139</v>
      </c>
      <c r="AK35" s="36" t="s">
        <v>1165</v>
      </c>
      <c r="AL35" s="36" t="s">
        <v>1178</v>
      </c>
      <c r="AM35" s="36" t="s">
        <v>1165</v>
      </c>
      <c r="AN35" s="36" t="s">
        <v>1175</v>
      </c>
      <c r="AO35" s="36" t="s">
        <v>1187</v>
      </c>
      <c r="AP35" s="36"/>
    </row>
    <row r="36" spans="3:42" ht="14" customHeight="1">
      <c r="C36" s="78">
        <v>99067</v>
      </c>
      <c r="D36" s="60" t="s">
        <v>351</v>
      </c>
      <c r="E36" s="125" t="s">
        <v>352</v>
      </c>
      <c r="F36" s="124">
        <v>14</v>
      </c>
      <c r="G36" s="115" t="s">
        <v>1090</v>
      </c>
      <c r="H36" s="18" t="s">
        <v>619</v>
      </c>
      <c r="I36" s="18" t="s">
        <v>59</v>
      </c>
      <c r="J36" s="19" t="s">
        <v>578</v>
      </c>
      <c r="K36" s="99">
        <v>162080</v>
      </c>
      <c r="L36" s="97">
        <f>INDEX(Table1[Production],MATCH(rrcworking[[#This Row],[RRC ID Number]],Table1[RRC Identifier],0))</f>
        <v>0</v>
      </c>
      <c r="M36" s="29">
        <f>INDEX(Table1[Formation Production],MATCH(rrcworking[[#This Row],[RRC ID Number]],Table1[RRC Identifier],0))</f>
        <v>182</v>
      </c>
      <c r="N36" s="30">
        <f>INDEX(Table1[On Hand End of Month],MATCH(rrcworking[[#This Row],[RRC ID Number]],Table1[RRC Identifier],0))</f>
        <v>3</v>
      </c>
      <c r="O36" s="102" t="b">
        <f t="shared" si="0"/>
        <v>0</v>
      </c>
      <c r="Q36" s="122">
        <f>rrcworking[[#This Row],[Last Month Closing Stock]]</f>
        <v>3</v>
      </c>
      <c r="R36">
        <f>rrcworking[[#This Row],[Opening Oil Stock]]</f>
        <v>3</v>
      </c>
      <c r="S36" s="133">
        <f>IF(ISERROR(INDEX(Table2[OIL],MATCH(rrcworking[[#This Row],[Magnum Wolfpak '#]],Table2[Rox Wolf'#],0))),0,INDEX(Table2[OIL],MATCH(rrcworking[[#This Row],[Magnum Wolfpak '#]],Table2[Rox Wolf'#],0)))</f>
        <v>0</v>
      </c>
      <c r="T36" s="34">
        <f>rrcworking[[#This Row],[Closing Stock (Oil)]]+rrcworking[[#This Row],[Sales/Dispostion]]-rrcworking[[#This Row],[Opening Oil Stock]]</f>
        <v>0</v>
      </c>
      <c r="U36" s="108">
        <f>rrcworking[[#This Row],[Gauge Sheet Prod Volume (oil)]]-rrcworking[[#This Row],[Oil Production]]</f>
        <v>0</v>
      </c>
      <c r="V36" s="133">
        <f>IF(ISERROR(INDEX(Table2[GAS],MATCH(rrcworking[[#This Row],[Magnum Wolfpak '#]],Table2[Rox Wolf'#],0))),0,INDEX(Table2[GAS],MATCH(rrcworking[[#This Row],[Magnum Wolfpak '#]],Table2[Rox Wolf'#],0)))</f>
        <v>190</v>
      </c>
      <c r="W36" s="58"/>
      <c r="X36" s="58"/>
      <c r="Y36" s="133">
        <f>IF(ISERROR(INDEX(Table2[LEASE USE],MATCH(rrcworking[[#This Row],[Magnum Wolfpak '#]],Table2[Rox Wolf'#],0))),0,INDEX(Table2[LEASE USE],MATCH(rrcworking[[#This Row],[Magnum Wolfpak '#]],Table2[Rox Wolf'#],0)))</f>
        <v>0</v>
      </c>
      <c r="Z36" s="133"/>
      <c r="AA36" s="56">
        <f>rrcworking[[#This Row],[Gas Sales Statement Volume (MCF)]]+rrcworking[[#This Row],[Lease Use (MCF)]]+rrcworking[[#This Row],[Flared Gas]]</f>
        <v>190</v>
      </c>
      <c r="AB36" s="93"/>
      <c r="AC36" s="36"/>
      <c r="AD36" s="175">
        <f>COUNTIF(FilterList,rrcworking[[#This Row],[Magnum Wolfpak '#]])</f>
        <v>0</v>
      </c>
      <c r="AE36" s="172"/>
      <c r="AF36" s="173"/>
      <c r="AG36" s="83"/>
      <c r="AH36" s="83"/>
      <c r="AI36" s="174"/>
      <c r="AJ36" s="174"/>
      <c r="AK36" s="174"/>
      <c r="AL36" s="174"/>
      <c r="AM36" s="174"/>
      <c r="AN36" s="174"/>
      <c r="AO36" s="36" t="s">
        <v>1163</v>
      </c>
      <c r="AP36" s="36" t="s">
        <v>1188</v>
      </c>
    </row>
    <row r="37" spans="3:42" ht="14" customHeight="1">
      <c r="C37" s="78">
        <v>98915</v>
      </c>
      <c r="D37" s="60" t="s">
        <v>140</v>
      </c>
      <c r="E37" s="125" t="s">
        <v>142</v>
      </c>
      <c r="F37" s="124">
        <v>4</v>
      </c>
      <c r="G37" s="115" t="s">
        <v>1090</v>
      </c>
      <c r="H37" s="18" t="s">
        <v>617</v>
      </c>
      <c r="I37" s="18" t="s">
        <v>59</v>
      </c>
      <c r="J37" s="19" t="s">
        <v>455</v>
      </c>
      <c r="K37" s="99">
        <v>174916</v>
      </c>
      <c r="L37" s="97">
        <f>INDEX(Table1[Production],MATCH(rrcworking[[#This Row],[RRC ID Number]],Table1[RRC Identifier],0))</f>
        <v>0</v>
      </c>
      <c r="M37" s="29">
        <f>INDEX(Table1[Formation Production],MATCH(rrcworking[[#This Row],[RRC ID Number]],Table1[RRC Identifier],0))</f>
        <v>0</v>
      </c>
      <c r="N37" s="30">
        <f>INDEX(Table1[On Hand End of Month],MATCH(rrcworking[[#This Row],[RRC ID Number]],Table1[RRC Identifier],0))</f>
        <v>0</v>
      </c>
      <c r="O37" s="102" t="b">
        <f t="shared" si="0"/>
        <v>1</v>
      </c>
      <c r="Q37" s="122">
        <f>rrcworking[[#This Row],[Last Month Closing Stock]]</f>
        <v>0</v>
      </c>
      <c r="R37">
        <v>0</v>
      </c>
      <c r="S37" s="133">
        <f>IF(ISERROR(INDEX(Table2[OIL],MATCH(rrcworking[[#This Row],[Magnum Wolfpak '#]],Table2[Rox Wolf'#],0))),0,INDEX(Table2[OIL],MATCH(rrcworking[[#This Row],[Magnum Wolfpak '#]],Table2[Rox Wolf'#],0)))</f>
        <v>0</v>
      </c>
      <c r="T37" s="34">
        <f>rrcworking[[#This Row],[Closing Stock (Oil)]]+rrcworking[[#This Row],[Sales/Dispostion]]-rrcworking[[#This Row],[Opening Oil Stock]]</f>
        <v>0</v>
      </c>
      <c r="U37" s="108">
        <f>rrcworking[[#This Row],[Gauge Sheet Prod Volume (oil)]]-rrcworking[[#This Row],[Oil Production]]</f>
        <v>0</v>
      </c>
      <c r="V37" s="133">
        <f>IF(ISERROR(INDEX(Table2[GAS],MATCH(rrcworking[[#This Row],[Magnum Wolfpak '#]],Table2[Rox Wolf'#],0))),0,INDEX(Table2[GAS],MATCH(rrcworking[[#This Row],[Magnum Wolfpak '#]],Table2[Rox Wolf'#],0)))</f>
        <v>54</v>
      </c>
      <c r="W37" s="58"/>
      <c r="X37" s="58"/>
      <c r="Y37" s="133">
        <f>IF(ISERROR(INDEX(Table2[LEASE USE],MATCH(rrcworking[[#This Row],[Magnum Wolfpak '#]],Table2[Rox Wolf'#],0))),0,INDEX(Table2[LEASE USE],MATCH(rrcworking[[#This Row],[Magnum Wolfpak '#]],Table2[Rox Wolf'#],0)))</f>
        <v>0</v>
      </c>
      <c r="Z37" s="133"/>
      <c r="AA37" s="56">
        <f>rrcworking[[#This Row],[Gas Sales Statement Volume (MCF)]]+rrcworking[[#This Row],[Lease Use (MCF)]]+rrcworking[[#This Row],[Flared Gas]]</f>
        <v>54</v>
      </c>
      <c r="AB37" s="36"/>
      <c r="AC37" s="36"/>
      <c r="AD37" s="175">
        <f>COUNTIF(FilterList,rrcworking[[#This Row],[Magnum Wolfpak '#]])</f>
        <v>0</v>
      </c>
      <c r="AE37" s="172"/>
      <c r="AF37" s="173"/>
      <c r="AG37" s="36"/>
      <c r="AH37" s="36"/>
      <c r="AI37" s="36"/>
      <c r="AJ37" s="36"/>
      <c r="AK37" s="36"/>
      <c r="AL37" s="36"/>
      <c r="AM37" s="36"/>
      <c r="AN37" s="36"/>
      <c r="AO37" s="36" t="s">
        <v>1163</v>
      </c>
      <c r="AP37" s="36" t="s">
        <v>1168</v>
      </c>
    </row>
    <row r="38" spans="3:42" ht="14" customHeight="1">
      <c r="C38" s="80">
        <v>99069</v>
      </c>
      <c r="D38" s="94" t="s">
        <v>357</v>
      </c>
      <c r="E38" s="126" t="s">
        <v>358</v>
      </c>
      <c r="F38" s="123">
        <v>2</v>
      </c>
      <c r="G38" s="116" t="s">
        <v>1090</v>
      </c>
      <c r="H38" s="120" t="s">
        <v>619</v>
      </c>
      <c r="I38" s="120" t="s">
        <v>59</v>
      </c>
      <c r="J38" s="81" t="s">
        <v>582</v>
      </c>
      <c r="K38" s="100">
        <v>194224</v>
      </c>
      <c r="L38" s="97">
        <f>INDEX(Table1[Production],MATCH(rrcworking[[#This Row],[RRC ID Number]],Table1[RRC Identifier],0))</f>
        <v>0</v>
      </c>
      <c r="M38" s="29">
        <f>INDEX(Table1[Formation Production],MATCH(rrcworking[[#This Row],[RRC ID Number]],Table1[RRC Identifier],0))</f>
        <v>0</v>
      </c>
      <c r="N38" s="95">
        <f>INDEX(Table1[On Hand End of Month],MATCH(rrcworking[[#This Row],[RRC ID Number]],Table1[RRC Identifier],0))</f>
        <v>27</v>
      </c>
      <c r="O38" s="103" t="b">
        <f t="shared" ref="O38:O69" si="1">IF(AND(L38=0,M38=0), TRUE, FALSE)</f>
        <v>1</v>
      </c>
      <c r="P38">
        <v>0</v>
      </c>
      <c r="Q38" s="122">
        <f>rrcworking[[#This Row],[Last Month Closing Stock]]</f>
        <v>27</v>
      </c>
      <c r="R38">
        <v>27</v>
      </c>
      <c r="S38" s="133">
        <f>IF(ISERROR(INDEX(Table2[OIL],MATCH(rrcworking[[#This Row],[Magnum Wolfpak '#]],Table2[Rox Wolf'#],0))),0,INDEX(Table2[OIL],MATCH(rrcworking[[#This Row],[Magnum Wolfpak '#]],Table2[Rox Wolf'#],0)))</f>
        <v>0</v>
      </c>
      <c r="T38" s="96">
        <f>rrcworking[[#This Row],[Closing Stock (Oil)]]+rrcworking[[#This Row],[Sales/Dispostion]]-rrcworking[[#This Row],[Opening Oil Stock]]</f>
        <v>0</v>
      </c>
      <c r="U38" s="109">
        <f>rrcworking[[#This Row],[Gauge Sheet Prod Volume (oil)]]-rrcworking[[#This Row],[Oil Production]]</f>
        <v>0</v>
      </c>
      <c r="V38" s="133">
        <f>IF(ISERROR(INDEX(Table2[GAS],MATCH(rrcworking[[#This Row],[Magnum Wolfpak '#]],Table2[Rox Wolf'#],0))),0,INDEX(Table2[GAS],MATCH(rrcworking[[#This Row],[Magnum Wolfpak '#]],Table2[Rox Wolf'#],0)))</f>
        <v>0</v>
      </c>
      <c r="W38" s="127"/>
      <c r="X38" s="82">
        <v>3</v>
      </c>
      <c r="Y38" s="133">
        <f>IF(ISERROR(INDEX(Table2[LEASE USE],MATCH(rrcworking[[#This Row],[Magnum Wolfpak '#]],Table2[Rox Wolf'#],0))),0,INDEX(Table2[LEASE USE],MATCH(rrcworking[[#This Row],[Magnum Wolfpak '#]],Table2[Rox Wolf'#],0)))</f>
        <v>0</v>
      </c>
      <c r="Z38" s="133"/>
      <c r="AA38" s="56">
        <f>rrcworking[[#This Row],[Gas Sales Statement Volume (MCF)]]+rrcworking[[#This Row],[Lease Use (MCF)]]+rrcworking[[#This Row],[Flared Gas]]</f>
        <v>0</v>
      </c>
      <c r="AB38" s="83"/>
      <c r="AC38" s="83" t="s">
        <v>1262</v>
      </c>
      <c r="AD38" s="175">
        <f>COUNTIF(FilterList,rrcworking[[#This Row],[Magnum Wolfpak '#]])</f>
        <v>0</v>
      </c>
      <c r="AE38" s="172"/>
      <c r="AF38" s="173"/>
      <c r="AG38" s="36"/>
      <c r="AH38" s="173"/>
      <c r="AI38" s="36">
        <v>1</v>
      </c>
      <c r="AJ38" s="36" t="s">
        <v>1165</v>
      </c>
      <c r="AK38" s="36" t="s">
        <v>1165</v>
      </c>
      <c r="AL38" s="36" t="s">
        <v>1189</v>
      </c>
      <c r="AM38" s="36" t="s">
        <v>1165</v>
      </c>
      <c r="AN38" s="36" t="s">
        <v>1190</v>
      </c>
      <c r="AO38" s="36" t="s">
        <v>1191</v>
      </c>
      <c r="AP38" s="36"/>
    </row>
    <row r="39" spans="3:42" ht="14" customHeight="1">
      <c r="C39" s="78" t="e">
        <v>#N/A</v>
      </c>
      <c r="D39" s="60" t="s">
        <v>334</v>
      </c>
      <c r="E39" s="125" t="s">
        <v>336</v>
      </c>
      <c r="F39" s="124">
        <v>0</v>
      </c>
      <c r="G39" s="115" t="s">
        <v>1090</v>
      </c>
      <c r="H39" s="18" t="s">
        <v>619</v>
      </c>
      <c r="I39" s="18" t="s">
        <v>2</v>
      </c>
      <c r="J39" s="19" t="s">
        <v>569</v>
      </c>
      <c r="K39" s="99">
        <v>10563</v>
      </c>
      <c r="L39" s="97">
        <f>INDEX(Table1[Production],MATCH(rrcworking[[#This Row],[RRC ID Number]],Table1[RRC Identifier],0))</f>
        <v>0</v>
      </c>
      <c r="M39" s="29">
        <f>INDEX(Table1[Formation Production],MATCH(rrcworking[[#This Row],[RRC ID Number]],Table1[RRC Identifier],0))</f>
        <v>0</v>
      </c>
      <c r="N39" s="30">
        <f>INDEX(Table1[On Hand End of Month],MATCH(rrcworking[[#This Row],[RRC ID Number]],Table1[RRC Identifier],0))</f>
        <v>69</v>
      </c>
      <c r="O39" s="102" t="b">
        <f t="shared" si="1"/>
        <v>1</v>
      </c>
      <c r="Q39" s="122">
        <f>rrcworking[[#This Row],[Last Month Closing Stock]]</f>
        <v>69</v>
      </c>
      <c r="R39">
        <f>rrcworking[[#This Row],[Opening Oil Stock]]</f>
        <v>69</v>
      </c>
      <c r="S39" s="133">
        <f>IF(ISERROR(INDEX(Table2[OIL],MATCH(rrcworking[[#This Row],[Magnum Wolfpak '#]],Table2[Rox Wolf'#],0))),0,INDEX(Table2[OIL],MATCH(rrcworking[[#This Row],[Magnum Wolfpak '#]],Table2[Rox Wolf'#],0)))</f>
        <v>0</v>
      </c>
      <c r="T39" s="34">
        <f>rrcworking[[#This Row],[Closing Stock (Oil)]]+rrcworking[[#This Row],[Sales/Dispostion]]-rrcworking[[#This Row],[Opening Oil Stock]]</f>
        <v>0</v>
      </c>
      <c r="U39" s="108">
        <f>rrcworking[[#This Row],[Gauge Sheet Prod Volume (oil)]]-rrcworking[[#This Row],[Oil Production]]</f>
        <v>0</v>
      </c>
      <c r="V39" s="133">
        <f>IF(ISERROR(INDEX(Table2[GAS],MATCH(rrcworking[[#This Row],[Magnum Wolfpak '#]],Table2[Rox Wolf'#],0))),0,INDEX(Table2[GAS],MATCH(rrcworking[[#This Row],[Magnum Wolfpak '#]],Table2[Rox Wolf'#],0)))</f>
        <v>0</v>
      </c>
      <c r="W39" s="58"/>
      <c r="X39" s="58"/>
      <c r="Y39" s="133">
        <f>IF(ISERROR(INDEX(Table2[LEASE USE],MATCH(rrcworking[[#This Row],[Magnum Wolfpak '#]],Table2[Rox Wolf'#],0))),0,INDEX(Table2[LEASE USE],MATCH(rrcworking[[#This Row],[Magnum Wolfpak '#]],Table2[Rox Wolf'#],0)))</f>
        <v>0</v>
      </c>
      <c r="Z39" s="133"/>
      <c r="AA39" s="56">
        <f>rrcworking[[#This Row],[Gas Sales Statement Volume (MCF)]]+rrcworking[[#This Row],[Lease Use (MCF)]]+rrcworking[[#This Row],[Flared Gas]]</f>
        <v>0</v>
      </c>
      <c r="AB39" s="36"/>
      <c r="AC39" s="36"/>
      <c r="AD39" s="175">
        <f>COUNTIF(FilterList,rrcworking[[#This Row],[Magnum Wolfpak '#]])</f>
        <v>0</v>
      </c>
      <c r="AE39" s="172"/>
      <c r="AF39" s="173"/>
      <c r="AG39" s="36"/>
      <c r="AH39" s="36"/>
      <c r="AI39" s="36"/>
      <c r="AJ39" s="36"/>
      <c r="AK39" s="36"/>
      <c r="AL39" s="36"/>
      <c r="AM39" s="36"/>
      <c r="AN39" s="36"/>
      <c r="AO39" s="36"/>
      <c r="AP39" s="36"/>
    </row>
    <row r="40" spans="3:42" ht="14" customHeight="1">
      <c r="C40" s="78" t="e">
        <v>#N/A</v>
      </c>
      <c r="D40" s="60" t="s">
        <v>81</v>
      </c>
      <c r="E40" s="125" t="s">
        <v>82</v>
      </c>
      <c r="F40" s="124" t="s">
        <v>83</v>
      </c>
      <c r="G40" s="115" t="s">
        <v>1090</v>
      </c>
      <c r="H40" s="18" t="s">
        <v>617</v>
      </c>
      <c r="I40" s="18" t="s">
        <v>59</v>
      </c>
      <c r="J40" s="19" t="s">
        <v>418</v>
      </c>
      <c r="K40" s="99">
        <v>270531</v>
      </c>
      <c r="L40" s="97">
        <f>INDEX(Table1[Production],MATCH(rrcworking[[#This Row],[RRC ID Number]],Table1[RRC Identifier],0))</f>
        <v>0</v>
      </c>
      <c r="M40" s="29">
        <f>INDEX(Table1[Formation Production],MATCH(rrcworking[[#This Row],[RRC ID Number]],Table1[RRC Identifier],0))</f>
        <v>0</v>
      </c>
      <c r="N40" s="30">
        <f>INDEX(Table1[On Hand End of Month],MATCH(rrcworking[[#This Row],[RRC ID Number]],Table1[RRC Identifier],0))</f>
        <v>26</v>
      </c>
      <c r="O40" s="102" t="b">
        <f t="shared" si="1"/>
        <v>1</v>
      </c>
      <c r="Q40" s="122">
        <f>rrcworking[[#This Row],[Last Month Closing Stock]]</f>
        <v>26</v>
      </c>
      <c r="R40">
        <f>rrcworking[[#This Row],[Opening Oil Stock]]</f>
        <v>26</v>
      </c>
      <c r="S40" s="133">
        <f>IF(ISERROR(INDEX(Table2[OIL],MATCH(rrcworking[[#This Row],[Magnum Wolfpak '#]],Table2[Rox Wolf'#],0))),0,INDEX(Table2[OIL],MATCH(rrcworking[[#This Row],[Magnum Wolfpak '#]],Table2[Rox Wolf'#],0)))</f>
        <v>0</v>
      </c>
      <c r="T40" s="34">
        <f>rrcworking[[#This Row],[Closing Stock (Oil)]]+rrcworking[[#This Row],[Sales/Dispostion]]-rrcworking[[#This Row],[Opening Oil Stock]]</f>
        <v>0</v>
      </c>
      <c r="U40" s="108">
        <f>rrcworking[[#This Row],[Gauge Sheet Prod Volume (oil)]]-rrcworking[[#This Row],[Oil Production]]</f>
        <v>0</v>
      </c>
      <c r="V40" s="133">
        <f>IF(ISERROR(INDEX(Table2[GAS],MATCH(rrcworking[[#This Row],[Magnum Wolfpak '#]],Table2[Rox Wolf'#],0))),0,INDEX(Table2[GAS],MATCH(rrcworking[[#This Row],[Magnum Wolfpak '#]],Table2[Rox Wolf'#],0)))</f>
        <v>0</v>
      </c>
      <c r="W40" s="58"/>
      <c r="X40" s="58"/>
      <c r="Y40" s="133">
        <f>IF(ISERROR(INDEX(Table2[LEASE USE],MATCH(rrcworking[[#This Row],[Magnum Wolfpak '#]],Table2[Rox Wolf'#],0))),0,INDEX(Table2[LEASE USE],MATCH(rrcworking[[#This Row],[Magnum Wolfpak '#]],Table2[Rox Wolf'#],0)))</f>
        <v>0</v>
      </c>
      <c r="Z40" s="133"/>
      <c r="AA40" s="56">
        <f>rrcworking[[#This Row],[Gas Sales Statement Volume (MCF)]]+rrcworking[[#This Row],[Lease Use (MCF)]]+rrcworking[[#This Row],[Flared Gas]]</f>
        <v>0</v>
      </c>
      <c r="AB40" s="36"/>
      <c r="AC40" s="36"/>
      <c r="AD40" s="175">
        <f>COUNTIF(FilterList,rrcworking[[#This Row],[Magnum Wolfpak '#]])</f>
        <v>0</v>
      </c>
      <c r="AE40" s="172"/>
      <c r="AF40" s="173"/>
      <c r="AG40" s="36"/>
      <c r="AH40" s="36"/>
      <c r="AI40" s="36"/>
      <c r="AJ40" s="36"/>
      <c r="AK40" s="36"/>
      <c r="AL40" s="36"/>
      <c r="AM40" s="36"/>
      <c r="AN40" s="36"/>
      <c r="AO40" s="36"/>
      <c r="AP40" s="36"/>
    </row>
    <row r="41" spans="3:42" ht="14" customHeight="1">
      <c r="C41" s="78" t="e">
        <v>#N/A</v>
      </c>
      <c r="D41" s="60" t="s">
        <v>178</v>
      </c>
      <c r="E41" s="125" t="s">
        <v>179</v>
      </c>
      <c r="F41" s="124">
        <v>1</v>
      </c>
      <c r="G41" s="115" t="s">
        <v>1090</v>
      </c>
      <c r="H41" s="18" t="s">
        <v>618</v>
      </c>
      <c r="I41" s="18" t="s">
        <v>59</v>
      </c>
      <c r="J41" s="19" t="s">
        <v>476</v>
      </c>
      <c r="K41" s="99">
        <v>160307</v>
      </c>
      <c r="L41" s="97">
        <f>INDEX(Table1[Production],MATCH(rrcworking[[#This Row],[RRC ID Number]],Table1[RRC Identifier],0))</f>
        <v>0</v>
      </c>
      <c r="M41" s="29">
        <f>INDEX(Table1[Formation Production],MATCH(rrcworking[[#This Row],[RRC ID Number]],Table1[RRC Identifier],0))</f>
        <v>0</v>
      </c>
      <c r="N41" s="30">
        <f>INDEX(Table1[On Hand End of Month],MATCH(rrcworking[[#This Row],[RRC ID Number]],Table1[RRC Identifier],0))</f>
        <v>173</v>
      </c>
      <c r="O41" s="102" t="b">
        <f t="shared" si="1"/>
        <v>1</v>
      </c>
      <c r="Q41" s="122">
        <f>rrcworking[[#This Row],[Last Month Closing Stock]]</f>
        <v>173</v>
      </c>
      <c r="R41">
        <f>rrcworking[[#This Row],[Opening Oil Stock]]</f>
        <v>173</v>
      </c>
      <c r="S41" s="133">
        <f>IF(ISERROR(INDEX(Table2[OIL],MATCH(rrcworking[[#This Row],[Magnum Wolfpak '#]],Table2[Rox Wolf'#],0))),0,INDEX(Table2[OIL],MATCH(rrcworking[[#This Row],[Magnum Wolfpak '#]],Table2[Rox Wolf'#],0)))</f>
        <v>0</v>
      </c>
      <c r="T41" s="34">
        <f>rrcworking[[#This Row],[Closing Stock (Oil)]]+rrcworking[[#This Row],[Sales/Dispostion]]-rrcworking[[#This Row],[Opening Oil Stock]]</f>
        <v>0</v>
      </c>
      <c r="U41" s="108">
        <f>rrcworking[[#This Row],[Gauge Sheet Prod Volume (oil)]]-rrcworking[[#This Row],[Oil Production]]</f>
        <v>0</v>
      </c>
      <c r="V41" s="133">
        <f>IF(ISERROR(INDEX(Table2[GAS],MATCH(rrcworking[[#This Row],[Magnum Wolfpak '#]],Table2[Rox Wolf'#],0))),0,INDEX(Table2[GAS],MATCH(rrcworking[[#This Row],[Magnum Wolfpak '#]],Table2[Rox Wolf'#],0)))</f>
        <v>0</v>
      </c>
      <c r="W41" s="58"/>
      <c r="X41" s="58"/>
      <c r="Y41" s="133">
        <f>IF(ISERROR(INDEX(Table2[LEASE USE],MATCH(rrcworking[[#This Row],[Magnum Wolfpak '#]],Table2[Rox Wolf'#],0))),0,INDEX(Table2[LEASE USE],MATCH(rrcworking[[#This Row],[Magnum Wolfpak '#]],Table2[Rox Wolf'#],0)))</f>
        <v>0</v>
      </c>
      <c r="Z41" s="133"/>
      <c r="AA41" s="56">
        <f>rrcworking[[#This Row],[Gas Sales Statement Volume (MCF)]]+rrcworking[[#This Row],[Lease Use (MCF)]]+rrcworking[[#This Row],[Flared Gas]]</f>
        <v>0</v>
      </c>
      <c r="AB41" s="36"/>
      <c r="AC41" s="36"/>
      <c r="AD41" s="175">
        <f>COUNTIF(FilterList,rrcworking[[#This Row],[Magnum Wolfpak '#]])</f>
        <v>0</v>
      </c>
      <c r="AE41" s="172"/>
      <c r="AF41" s="173"/>
      <c r="AG41" s="36"/>
      <c r="AH41" s="36"/>
      <c r="AI41" s="36"/>
      <c r="AJ41" s="36"/>
      <c r="AK41" s="36"/>
      <c r="AL41" s="36"/>
      <c r="AM41" s="36"/>
      <c r="AN41" s="36"/>
      <c r="AO41" s="36"/>
      <c r="AP41" s="36"/>
    </row>
    <row r="42" spans="3:42" ht="14" customHeight="1">
      <c r="C42" s="78">
        <v>98965</v>
      </c>
      <c r="D42" s="60" t="s">
        <v>189</v>
      </c>
      <c r="E42" s="125" t="s">
        <v>191</v>
      </c>
      <c r="F42" s="124">
        <v>3</v>
      </c>
      <c r="G42" s="115" t="s">
        <v>1090</v>
      </c>
      <c r="H42" s="161" t="s">
        <v>1140</v>
      </c>
      <c r="I42" s="18" t="s">
        <v>59</v>
      </c>
      <c r="J42" s="19" t="s">
        <v>483</v>
      </c>
      <c r="K42" s="99">
        <v>278004</v>
      </c>
      <c r="L42" s="97">
        <f>INDEX(Table1[Production],MATCH(rrcworking[[#This Row],[RRC ID Number]],Table1[RRC Identifier],0))</f>
        <v>23</v>
      </c>
      <c r="M42" s="29">
        <f>INDEX(Table1[Formation Production],MATCH(rrcworking[[#This Row],[RRC ID Number]],Table1[RRC Identifier],0))</f>
        <v>929</v>
      </c>
      <c r="N42" s="30">
        <f>INDEX(Table1[On Hand End of Month],MATCH(rrcworking[[#This Row],[RRC ID Number]],Table1[RRC Identifier],0))</f>
        <v>127</v>
      </c>
      <c r="O42" s="102" t="b">
        <f t="shared" si="1"/>
        <v>0</v>
      </c>
      <c r="P42">
        <v>17</v>
      </c>
      <c r="Q42" s="122">
        <f>rrcworking[[#This Row],[Last Month Closing Stock]]</f>
        <v>127</v>
      </c>
      <c r="R42">
        <v>144</v>
      </c>
      <c r="S42" s="133">
        <f>IF(ISERROR(INDEX(Table2[OIL],MATCH(rrcworking[[#This Row],[Magnum Wolfpak '#]],Table2[Rox Wolf'#],0))),0,INDEX(Table2[OIL],MATCH(rrcworking[[#This Row],[Magnum Wolfpak '#]],Table2[Rox Wolf'#],0)))</f>
        <v>0</v>
      </c>
      <c r="T42" s="34">
        <f>rrcworking[[#This Row],[Closing Stock (Oil)]]+rrcworking[[#This Row],[Sales/Dispostion]]-rrcworking[[#This Row],[Opening Oil Stock]]</f>
        <v>17</v>
      </c>
      <c r="U42" s="108">
        <f>rrcworking[[#This Row],[Gauge Sheet Prod Volume (oil)]]-rrcworking[[#This Row],[Oil Production]]</f>
        <v>0</v>
      </c>
      <c r="V42" s="133">
        <f>IF(ISERROR(INDEX(Table2[GAS],MATCH(rrcworking[[#This Row],[Magnum Wolfpak '#]],Table2[Rox Wolf'#],0))),0,INDEX(Table2[GAS],MATCH(rrcworking[[#This Row],[Magnum Wolfpak '#]],Table2[Rox Wolf'#],0)))</f>
        <v>720</v>
      </c>
      <c r="W42" s="82"/>
      <c r="X42" s="58">
        <v>1</v>
      </c>
      <c r="Y42" s="133">
        <f>IF(ISERROR(INDEX(Table2[LEASE USE],MATCH(rrcworking[[#This Row],[Magnum Wolfpak '#]],Table2[Rox Wolf'#],0))),0,INDEX(Table2[LEASE USE],MATCH(rrcworking[[#This Row],[Magnum Wolfpak '#]],Table2[Rox Wolf'#],0)))</f>
        <v>27</v>
      </c>
      <c r="Z42" s="133"/>
      <c r="AA42" s="56">
        <f>rrcworking[[#This Row],[Gas Sales Statement Volume (MCF)]]+rrcworking[[#This Row],[Lease Use (MCF)]]+rrcworking[[#This Row],[Flared Gas]]</f>
        <v>747</v>
      </c>
      <c r="AB42" s="36"/>
      <c r="AC42" s="36" t="s">
        <v>1146</v>
      </c>
      <c r="AD42" s="175">
        <f>COUNTIF(FilterList,rrcworking[[#This Row],[Magnum Wolfpak '#]])</f>
        <v>0</v>
      </c>
      <c r="AE42" s="172"/>
      <c r="AF42" s="173"/>
      <c r="AG42" s="36"/>
      <c r="AH42" s="173"/>
      <c r="AI42" s="36">
        <v>1</v>
      </c>
      <c r="AJ42" s="36" t="s">
        <v>1165</v>
      </c>
      <c r="AK42" s="36" t="s">
        <v>1165</v>
      </c>
      <c r="AL42" s="36" t="s">
        <v>1192</v>
      </c>
      <c r="AM42" s="36" t="s">
        <v>1165</v>
      </c>
      <c r="AN42" s="36" t="s">
        <v>1175</v>
      </c>
      <c r="AO42" s="36" t="s">
        <v>1193</v>
      </c>
      <c r="AP42" s="36" t="s">
        <v>1194</v>
      </c>
    </row>
    <row r="43" spans="3:42" ht="14" customHeight="1">
      <c r="C43" s="78" t="e">
        <v>#N/A</v>
      </c>
      <c r="D43" s="60" t="s">
        <v>189</v>
      </c>
      <c r="E43" s="125" t="s">
        <v>190</v>
      </c>
      <c r="F43" s="124">
        <v>0</v>
      </c>
      <c r="G43" s="115" t="s">
        <v>1090</v>
      </c>
      <c r="H43" s="18" t="s">
        <v>618</v>
      </c>
      <c r="I43" s="18" t="s">
        <v>2</v>
      </c>
      <c r="J43" s="19" t="s">
        <v>484</v>
      </c>
      <c r="K43" s="99">
        <v>24455</v>
      </c>
      <c r="L43" s="97">
        <f>INDEX(Table1[Production],MATCH(rrcworking[[#This Row],[RRC ID Number]],Table1[RRC Identifier],0))</f>
        <v>0</v>
      </c>
      <c r="M43" s="29">
        <f>INDEX(Table1[Formation Production],MATCH(rrcworking[[#This Row],[RRC ID Number]],Table1[RRC Identifier],0))</f>
        <v>0</v>
      </c>
      <c r="N43" s="30">
        <f>INDEX(Table1[On Hand End of Month],MATCH(rrcworking[[#This Row],[RRC ID Number]],Table1[RRC Identifier],0))</f>
        <v>0</v>
      </c>
      <c r="O43" s="102" t="b">
        <f t="shared" si="1"/>
        <v>1</v>
      </c>
      <c r="Q43" s="122">
        <f>rrcworking[[#This Row],[Last Month Closing Stock]]</f>
        <v>0</v>
      </c>
      <c r="R43">
        <f>rrcworking[[#This Row],[Opening Oil Stock]]</f>
        <v>0</v>
      </c>
      <c r="S43" s="133">
        <f>IF(ISERROR(INDEX(Table2[OIL],MATCH(rrcworking[[#This Row],[Magnum Wolfpak '#]],Table2[Rox Wolf'#],0))),0,INDEX(Table2[OIL],MATCH(rrcworking[[#This Row],[Magnum Wolfpak '#]],Table2[Rox Wolf'#],0)))</f>
        <v>0</v>
      </c>
      <c r="T43" s="34">
        <f>rrcworking[[#This Row],[Closing Stock (Oil)]]+rrcworking[[#This Row],[Sales/Dispostion]]-rrcworking[[#This Row],[Opening Oil Stock]]</f>
        <v>0</v>
      </c>
      <c r="U43" s="108">
        <f>rrcworking[[#This Row],[Gauge Sheet Prod Volume (oil)]]-rrcworking[[#This Row],[Oil Production]]</f>
        <v>0</v>
      </c>
      <c r="V43" s="133">
        <f>IF(ISERROR(INDEX(Table2[GAS],MATCH(rrcworking[[#This Row],[Magnum Wolfpak '#]],Table2[Rox Wolf'#],0))),0,INDEX(Table2[GAS],MATCH(rrcworking[[#This Row],[Magnum Wolfpak '#]],Table2[Rox Wolf'#],0)))</f>
        <v>0</v>
      </c>
      <c r="W43" s="58"/>
      <c r="X43" s="58"/>
      <c r="Y43" s="133">
        <f>IF(ISERROR(INDEX(Table2[LEASE USE],MATCH(rrcworking[[#This Row],[Magnum Wolfpak '#]],Table2[Rox Wolf'#],0))),0,INDEX(Table2[LEASE USE],MATCH(rrcworking[[#This Row],[Magnum Wolfpak '#]],Table2[Rox Wolf'#],0)))</f>
        <v>0</v>
      </c>
      <c r="Z43" s="133"/>
      <c r="AA43" s="56">
        <f>rrcworking[[#This Row],[Gas Sales Statement Volume (MCF)]]+rrcworking[[#This Row],[Lease Use (MCF)]]+rrcworking[[#This Row],[Flared Gas]]</f>
        <v>0</v>
      </c>
      <c r="AB43" s="36"/>
      <c r="AC43" s="36"/>
      <c r="AD43" s="175">
        <f>COUNTIF(FilterList,rrcworking[[#This Row],[Magnum Wolfpak '#]])</f>
        <v>0</v>
      </c>
      <c r="AE43" s="172"/>
      <c r="AF43" s="173"/>
      <c r="AG43" s="36"/>
      <c r="AH43" s="36"/>
      <c r="AI43" s="36"/>
      <c r="AJ43" s="36"/>
      <c r="AK43" s="36"/>
      <c r="AL43" s="36"/>
      <c r="AM43" s="36"/>
      <c r="AN43" s="36"/>
      <c r="AO43" s="36"/>
      <c r="AP43" s="36"/>
    </row>
    <row r="44" spans="3:42" ht="14" customHeight="1">
      <c r="C44" s="78" t="e">
        <v>#N/A</v>
      </c>
      <c r="D44" s="60" t="s">
        <v>203</v>
      </c>
      <c r="E44" s="125" t="s">
        <v>204</v>
      </c>
      <c r="F44" s="124" t="s">
        <v>205</v>
      </c>
      <c r="G44" s="115" t="s">
        <v>1090</v>
      </c>
      <c r="H44" s="18" t="s">
        <v>618</v>
      </c>
      <c r="I44" s="18" t="s">
        <v>59</v>
      </c>
      <c r="J44" s="19" t="s">
        <v>491</v>
      </c>
      <c r="K44" s="99">
        <v>177442</v>
      </c>
      <c r="L44" s="97">
        <f>INDEX(Table1[Production],MATCH(rrcworking[[#This Row],[RRC ID Number]],Table1[RRC Identifier],0))</f>
        <v>0</v>
      </c>
      <c r="M44" s="29">
        <f>INDEX(Table1[Formation Production],MATCH(rrcworking[[#This Row],[RRC ID Number]],Table1[RRC Identifier],0))</f>
        <v>0</v>
      </c>
      <c r="N44" s="30">
        <f>INDEX(Table1[On Hand End of Month],MATCH(rrcworking[[#This Row],[RRC ID Number]],Table1[RRC Identifier],0))</f>
        <v>0</v>
      </c>
      <c r="O44" s="102" t="b">
        <f t="shared" si="1"/>
        <v>1</v>
      </c>
      <c r="Q44" s="122">
        <f>rrcworking[[#This Row],[Last Month Closing Stock]]</f>
        <v>0</v>
      </c>
      <c r="R44">
        <f>rrcworking[[#This Row],[Opening Oil Stock]]</f>
        <v>0</v>
      </c>
      <c r="S44" s="133">
        <f>IF(ISERROR(INDEX(Table2[OIL],MATCH(rrcworking[[#This Row],[Magnum Wolfpak '#]],Table2[Rox Wolf'#],0))),0,INDEX(Table2[OIL],MATCH(rrcworking[[#This Row],[Magnum Wolfpak '#]],Table2[Rox Wolf'#],0)))</f>
        <v>0</v>
      </c>
      <c r="T44" s="34">
        <f>rrcworking[[#This Row],[Closing Stock (Oil)]]+rrcworking[[#This Row],[Sales/Dispostion]]-rrcworking[[#This Row],[Opening Oil Stock]]</f>
        <v>0</v>
      </c>
      <c r="U44" s="108">
        <f>rrcworking[[#This Row],[Gauge Sheet Prod Volume (oil)]]-rrcworking[[#This Row],[Oil Production]]</f>
        <v>0</v>
      </c>
      <c r="V44" s="133">
        <f>IF(ISERROR(INDEX(Table2[GAS],MATCH(rrcworking[[#This Row],[Magnum Wolfpak '#]],Table2[Rox Wolf'#],0))),0,INDEX(Table2[GAS],MATCH(rrcworking[[#This Row],[Magnum Wolfpak '#]],Table2[Rox Wolf'#],0)))</f>
        <v>0</v>
      </c>
      <c r="W44" s="58"/>
      <c r="X44" s="58"/>
      <c r="Y44" s="133">
        <f>IF(ISERROR(INDEX(Table2[LEASE USE],MATCH(rrcworking[[#This Row],[Magnum Wolfpak '#]],Table2[Rox Wolf'#],0))),0,INDEX(Table2[LEASE USE],MATCH(rrcworking[[#This Row],[Magnum Wolfpak '#]],Table2[Rox Wolf'#],0)))</f>
        <v>0</v>
      </c>
      <c r="Z44" s="133"/>
      <c r="AA44" s="56">
        <f>rrcworking[[#This Row],[Gas Sales Statement Volume (MCF)]]+rrcworking[[#This Row],[Lease Use (MCF)]]+rrcworking[[#This Row],[Flared Gas]]</f>
        <v>0</v>
      </c>
      <c r="AB44" s="36"/>
      <c r="AC44" s="36"/>
      <c r="AD44" s="175">
        <f>COUNTIF(FilterList,rrcworking[[#This Row],[Magnum Wolfpak '#]])</f>
        <v>0</v>
      </c>
      <c r="AE44" s="172"/>
      <c r="AF44" s="173"/>
      <c r="AG44" s="36"/>
      <c r="AH44" s="36"/>
      <c r="AI44" s="36"/>
      <c r="AJ44" s="36"/>
      <c r="AK44" s="36"/>
      <c r="AL44" s="36"/>
      <c r="AM44" s="36"/>
      <c r="AN44" s="36"/>
      <c r="AO44" s="36"/>
      <c r="AP44" s="36"/>
    </row>
    <row r="45" spans="3:42" ht="14" customHeight="1">
      <c r="C45" s="78" t="e">
        <v>#N/A</v>
      </c>
      <c r="D45" s="60" t="s">
        <v>151</v>
      </c>
      <c r="E45" s="125" t="s">
        <v>152</v>
      </c>
      <c r="F45" s="130" t="s">
        <v>57</v>
      </c>
      <c r="G45" s="115" t="s">
        <v>1090</v>
      </c>
      <c r="H45" s="18" t="s">
        <v>618</v>
      </c>
      <c r="I45" s="18" t="s">
        <v>2</v>
      </c>
      <c r="J45" s="19" t="s">
        <v>460</v>
      </c>
      <c r="K45" s="99">
        <v>26482</v>
      </c>
      <c r="L45" s="97">
        <f>INDEX(Table1[Production],MATCH(rrcworking[[#This Row],[RRC ID Number]],Table1[RRC Identifier],0))</f>
        <v>0</v>
      </c>
      <c r="M45" s="29">
        <f>INDEX(Table1[Formation Production],MATCH(rrcworking[[#This Row],[RRC ID Number]],Table1[RRC Identifier],0))</f>
        <v>0</v>
      </c>
      <c r="N45" s="30">
        <f>INDEX(Table1[On Hand End of Month],MATCH(rrcworking[[#This Row],[RRC ID Number]],Table1[RRC Identifier],0))</f>
        <v>139</v>
      </c>
      <c r="O45" s="102" t="b">
        <f t="shared" si="1"/>
        <v>1</v>
      </c>
      <c r="Q45" s="122">
        <f>rrcworking[[#This Row],[Last Month Closing Stock]]</f>
        <v>139</v>
      </c>
      <c r="R45">
        <f>rrcworking[[#This Row],[Opening Oil Stock]]</f>
        <v>139</v>
      </c>
      <c r="S45" s="133">
        <f>IF(ISERROR(INDEX(Table2[OIL],MATCH(rrcworking[[#This Row],[Magnum Wolfpak '#]],Table2[Rox Wolf'#],0))),0,INDEX(Table2[OIL],MATCH(rrcworking[[#This Row],[Magnum Wolfpak '#]],Table2[Rox Wolf'#],0)))</f>
        <v>0</v>
      </c>
      <c r="T45" s="34">
        <f>rrcworking[[#This Row],[Closing Stock (Oil)]]+rrcworking[[#This Row],[Sales/Dispostion]]-rrcworking[[#This Row],[Opening Oil Stock]]</f>
        <v>0</v>
      </c>
      <c r="U45" s="108">
        <f>rrcworking[[#This Row],[Gauge Sheet Prod Volume (oil)]]-rrcworking[[#This Row],[Oil Production]]</f>
        <v>0</v>
      </c>
      <c r="V45" s="133">
        <f>IF(ISERROR(INDEX(Table2[GAS],MATCH(rrcworking[[#This Row],[Magnum Wolfpak '#]],Table2[Rox Wolf'#],0))),0,INDEX(Table2[GAS],MATCH(rrcworking[[#This Row],[Magnum Wolfpak '#]],Table2[Rox Wolf'#],0)))</f>
        <v>0</v>
      </c>
      <c r="W45" s="58"/>
      <c r="X45" s="58"/>
      <c r="Y45" s="133">
        <f>IF(ISERROR(INDEX(Table2[LEASE USE],MATCH(rrcworking[[#This Row],[Magnum Wolfpak '#]],Table2[Rox Wolf'#],0))),0,INDEX(Table2[LEASE USE],MATCH(rrcworking[[#This Row],[Magnum Wolfpak '#]],Table2[Rox Wolf'#],0)))</f>
        <v>0</v>
      </c>
      <c r="Z45" s="133"/>
      <c r="AA45" s="56">
        <f>rrcworking[[#This Row],[Gas Sales Statement Volume (MCF)]]+rrcworking[[#This Row],[Lease Use (MCF)]]+rrcworking[[#This Row],[Flared Gas]]</f>
        <v>0</v>
      </c>
      <c r="AB45" s="36"/>
      <c r="AC45" s="36"/>
      <c r="AD45" s="175">
        <f>COUNTIF(FilterList,rrcworking[[#This Row],[Magnum Wolfpak '#]])</f>
        <v>0</v>
      </c>
      <c r="AE45" s="172"/>
      <c r="AF45" s="173"/>
      <c r="AG45" s="36"/>
      <c r="AH45" s="36"/>
      <c r="AI45" s="36"/>
      <c r="AJ45" s="36"/>
      <c r="AK45" s="36"/>
      <c r="AL45" s="36"/>
      <c r="AM45" s="36"/>
      <c r="AN45" s="36"/>
      <c r="AO45" s="36"/>
      <c r="AP45" s="36"/>
    </row>
    <row r="46" spans="3:42" ht="14" customHeight="1">
      <c r="C46" s="78">
        <v>99225</v>
      </c>
      <c r="D46" s="60" t="s">
        <v>154</v>
      </c>
      <c r="E46" s="125" t="s">
        <v>152</v>
      </c>
      <c r="F46" s="130" t="s">
        <v>1131</v>
      </c>
      <c r="G46" s="115" t="s">
        <v>1090</v>
      </c>
      <c r="H46" s="18" t="s">
        <v>618</v>
      </c>
      <c r="I46" s="18" t="s">
        <v>2</v>
      </c>
      <c r="J46" s="19" t="s">
        <v>462</v>
      </c>
      <c r="K46" s="99">
        <v>26262</v>
      </c>
      <c r="L46" s="97">
        <f>INDEX(Table1[Production],MATCH(rrcworking[[#This Row],[RRC ID Number]],Table1[RRC Identifier],0))</f>
        <v>0</v>
      </c>
      <c r="M46" s="29">
        <f>INDEX(Table1[Formation Production],MATCH(rrcworking[[#This Row],[RRC ID Number]],Table1[RRC Identifier],0))</f>
        <v>0</v>
      </c>
      <c r="N46" s="30">
        <f>INDEX(Table1[On Hand End of Month],MATCH(rrcworking[[#This Row],[RRC ID Number]],Table1[RRC Identifier],0))</f>
        <v>28</v>
      </c>
      <c r="O46" s="102" t="b">
        <f t="shared" si="1"/>
        <v>1</v>
      </c>
      <c r="Q46" s="122">
        <f>rrcworking[[#This Row],[Last Month Closing Stock]]</f>
        <v>28</v>
      </c>
      <c r="R46">
        <f>rrcworking[[#This Row],[Opening Oil Stock]]</f>
        <v>28</v>
      </c>
      <c r="S46" s="133">
        <f>IF(ISERROR(INDEX(Table2[OIL],MATCH(rrcworking[[#This Row],[Magnum Wolfpak '#]],Table2[Rox Wolf'#],0))),0,INDEX(Table2[OIL],MATCH(rrcworking[[#This Row],[Magnum Wolfpak '#]],Table2[Rox Wolf'#],0)))</f>
        <v>0</v>
      </c>
      <c r="T46" s="34">
        <f>rrcworking[[#This Row],[Closing Stock (Oil)]]+rrcworking[[#This Row],[Sales/Dispostion]]-rrcworking[[#This Row],[Opening Oil Stock]]</f>
        <v>0</v>
      </c>
      <c r="U46" s="108">
        <f>rrcworking[[#This Row],[Gauge Sheet Prod Volume (oil)]]-rrcworking[[#This Row],[Oil Production]]</f>
        <v>0</v>
      </c>
      <c r="V46" s="133">
        <f>IF(ISERROR(INDEX(Table2[GAS],MATCH(rrcworking[[#This Row],[Magnum Wolfpak '#]],Table2[Rox Wolf'#],0))),0,INDEX(Table2[GAS],MATCH(rrcworking[[#This Row],[Magnum Wolfpak '#]],Table2[Rox Wolf'#],0)))</f>
        <v>0</v>
      </c>
      <c r="W46" s="58"/>
      <c r="X46" s="58"/>
      <c r="Y46" s="133">
        <f>IF(ISERROR(INDEX(Table2[LEASE USE],MATCH(rrcworking[[#This Row],[Magnum Wolfpak '#]],Table2[Rox Wolf'#],0))),0,INDEX(Table2[LEASE USE],MATCH(rrcworking[[#This Row],[Magnum Wolfpak '#]],Table2[Rox Wolf'#],0)))</f>
        <v>0</v>
      </c>
      <c r="Z46" s="133"/>
      <c r="AA46" s="56">
        <f>rrcworking[[#This Row],[Gas Sales Statement Volume (MCF)]]+rrcworking[[#This Row],[Lease Use (MCF)]]+rrcworking[[#This Row],[Flared Gas]]</f>
        <v>0</v>
      </c>
      <c r="AB46" s="36"/>
      <c r="AC46" s="36" t="s">
        <v>1138</v>
      </c>
      <c r="AD46" s="175">
        <f>COUNTIF(FilterList,rrcworking[[#This Row],[Magnum Wolfpak '#]])</f>
        <v>0</v>
      </c>
      <c r="AE46" s="172"/>
      <c r="AF46" s="173"/>
      <c r="AG46" s="36"/>
      <c r="AH46" s="36"/>
      <c r="AI46" s="174"/>
      <c r="AJ46" s="174"/>
      <c r="AK46" s="174"/>
      <c r="AL46" s="174"/>
      <c r="AM46" s="174"/>
      <c r="AN46" s="174"/>
      <c r="AO46" s="36" t="s">
        <v>1163</v>
      </c>
      <c r="AP46" s="36" t="s">
        <v>1188</v>
      </c>
    </row>
    <row r="47" spans="3:42" ht="126" customHeight="1">
      <c r="C47" s="78" t="e">
        <v>#N/A</v>
      </c>
      <c r="D47" s="60" t="s">
        <v>158</v>
      </c>
      <c r="E47" s="125" t="s">
        <v>152</v>
      </c>
      <c r="F47" s="130" t="s">
        <v>58</v>
      </c>
      <c r="G47" s="115" t="s">
        <v>1090</v>
      </c>
      <c r="H47" s="18" t="s">
        <v>618</v>
      </c>
      <c r="I47" s="18" t="s">
        <v>2</v>
      </c>
      <c r="J47" s="19" t="s">
        <v>465</v>
      </c>
      <c r="K47" s="99">
        <v>26909</v>
      </c>
      <c r="L47" s="97">
        <f>INDEX(Table1[Production],MATCH(rrcworking[[#This Row],[RRC ID Number]],Table1[RRC Identifier],0))</f>
        <v>0</v>
      </c>
      <c r="M47" s="29">
        <f>INDEX(Table1[Formation Production],MATCH(rrcworking[[#This Row],[RRC ID Number]],Table1[RRC Identifier],0))</f>
        <v>0</v>
      </c>
      <c r="N47" s="30">
        <f>INDEX(Table1[On Hand End of Month],MATCH(rrcworking[[#This Row],[RRC ID Number]],Table1[RRC Identifier],0))</f>
        <v>32</v>
      </c>
      <c r="O47" s="102" t="b">
        <f t="shared" si="1"/>
        <v>1</v>
      </c>
      <c r="Q47" s="122">
        <f>rrcworking[[#This Row],[Last Month Closing Stock]]</f>
        <v>32</v>
      </c>
      <c r="R47">
        <f>rrcworking[[#This Row],[Opening Oil Stock]]</f>
        <v>32</v>
      </c>
      <c r="S47" s="133">
        <f>IF(ISERROR(INDEX(Table2[OIL],MATCH(rrcworking[[#This Row],[Magnum Wolfpak '#]],Table2[Rox Wolf'#],0))),0,INDEX(Table2[OIL],MATCH(rrcworking[[#This Row],[Magnum Wolfpak '#]],Table2[Rox Wolf'#],0)))</f>
        <v>0</v>
      </c>
      <c r="T47" s="34">
        <f>rrcworking[[#This Row],[Closing Stock (Oil)]]+rrcworking[[#This Row],[Sales/Dispostion]]-rrcworking[[#This Row],[Opening Oil Stock]]</f>
        <v>0</v>
      </c>
      <c r="U47" s="108">
        <f>rrcworking[[#This Row],[Gauge Sheet Prod Volume (oil)]]-rrcworking[[#This Row],[Oil Production]]</f>
        <v>0</v>
      </c>
      <c r="V47" s="133">
        <f>IF(ISERROR(INDEX(Table2[GAS],MATCH(rrcworking[[#This Row],[Magnum Wolfpak '#]],Table2[Rox Wolf'#],0))),0,INDEX(Table2[GAS],MATCH(rrcworking[[#This Row],[Magnum Wolfpak '#]],Table2[Rox Wolf'#],0)))</f>
        <v>0</v>
      </c>
      <c r="W47" s="58"/>
      <c r="X47" s="58"/>
      <c r="Y47" s="133">
        <f>IF(ISERROR(INDEX(Table2[LEASE USE],MATCH(rrcworking[[#This Row],[Magnum Wolfpak '#]],Table2[Rox Wolf'#],0))),0,INDEX(Table2[LEASE USE],MATCH(rrcworking[[#This Row],[Magnum Wolfpak '#]],Table2[Rox Wolf'#],0)))</f>
        <v>0</v>
      </c>
      <c r="Z47" s="133"/>
      <c r="AA47" s="56">
        <f>rrcworking[[#This Row],[Gas Sales Statement Volume (MCF)]]+rrcworking[[#This Row],[Lease Use (MCF)]]+rrcworking[[#This Row],[Flared Gas]]</f>
        <v>0</v>
      </c>
      <c r="AB47" s="36"/>
      <c r="AC47" s="36"/>
      <c r="AD47" s="175">
        <f>COUNTIF(FilterList,rrcworking[[#This Row],[Magnum Wolfpak '#]])</f>
        <v>0</v>
      </c>
      <c r="AE47" s="172"/>
      <c r="AF47" s="173"/>
      <c r="AG47" s="36"/>
      <c r="AH47" s="36"/>
      <c r="AI47" s="36"/>
      <c r="AJ47" s="36"/>
      <c r="AK47" s="36"/>
      <c r="AL47" s="36"/>
      <c r="AM47" s="36"/>
      <c r="AN47" s="36"/>
      <c r="AO47" s="36"/>
      <c r="AP47" s="36"/>
    </row>
    <row r="48" spans="3:42" ht="14" customHeight="1">
      <c r="C48" s="78" t="e">
        <v>#N/A</v>
      </c>
      <c r="D48" s="60" t="s">
        <v>151</v>
      </c>
      <c r="E48" s="125" t="s">
        <v>153</v>
      </c>
      <c r="F48" s="124">
        <v>0</v>
      </c>
      <c r="G48" s="115" t="s">
        <v>1090</v>
      </c>
      <c r="H48" s="18" t="s">
        <v>618</v>
      </c>
      <c r="I48" s="18" t="s">
        <v>2</v>
      </c>
      <c r="J48" s="19" t="s">
        <v>461</v>
      </c>
      <c r="K48" s="99">
        <v>27150</v>
      </c>
      <c r="L48" s="97">
        <f>INDEX(Table1[Production],MATCH(rrcworking[[#This Row],[RRC ID Number]],Table1[RRC Identifier],0))</f>
        <v>0</v>
      </c>
      <c r="M48" s="29">
        <f>INDEX(Table1[Formation Production],MATCH(rrcworking[[#This Row],[RRC ID Number]],Table1[RRC Identifier],0))</f>
        <v>0</v>
      </c>
      <c r="N48" s="30">
        <f>INDEX(Table1[On Hand End of Month],MATCH(rrcworking[[#This Row],[RRC ID Number]],Table1[RRC Identifier],0))</f>
        <v>0</v>
      </c>
      <c r="O48" s="102" t="b">
        <f t="shared" si="1"/>
        <v>1</v>
      </c>
      <c r="Q48" s="122">
        <f>rrcworking[[#This Row],[Last Month Closing Stock]]</f>
        <v>0</v>
      </c>
      <c r="R48">
        <f>rrcworking[[#This Row],[Opening Oil Stock]]</f>
        <v>0</v>
      </c>
      <c r="S48" s="133">
        <f>IF(ISERROR(INDEX(Table2[OIL],MATCH(rrcworking[[#This Row],[Magnum Wolfpak '#]],Table2[Rox Wolf'#],0))),0,INDEX(Table2[OIL],MATCH(rrcworking[[#This Row],[Magnum Wolfpak '#]],Table2[Rox Wolf'#],0)))</f>
        <v>0</v>
      </c>
      <c r="T48" s="34">
        <f>rrcworking[[#This Row],[Closing Stock (Oil)]]+rrcworking[[#This Row],[Sales/Dispostion]]-rrcworking[[#This Row],[Opening Oil Stock]]</f>
        <v>0</v>
      </c>
      <c r="U48" s="108">
        <f>rrcworking[[#This Row],[Gauge Sheet Prod Volume (oil)]]-rrcworking[[#This Row],[Oil Production]]</f>
        <v>0</v>
      </c>
      <c r="V48" s="133">
        <f>IF(ISERROR(INDEX(Table2[GAS],MATCH(rrcworking[[#This Row],[Magnum Wolfpak '#]],Table2[Rox Wolf'#],0))),0,INDEX(Table2[GAS],MATCH(rrcworking[[#This Row],[Magnum Wolfpak '#]],Table2[Rox Wolf'#],0)))</f>
        <v>0</v>
      </c>
      <c r="W48" s="58"/>
      <c r="X48" s="58"/>
      <c r="Y48" s="133">
        <f>IF(ISERROR(INDEX(Table2[LEASE USE],MATCH(rrcworking[[#This Row],[Magnum Wolfpak '#]],Table2[Rox Wolf'#],0))),0,INDEX(Table2[LEASE USE],MATCH(rrcworking[[#This Row],[Magnum Wolfpak '#]],Table2[Rox Wolf'#],0)))</f>
        <v>0</v>
      </c>
      <c r="Z48" s="133"/>
      <c r="AA48" s="56">
        <f>rrcworking[[#This Row],[Gas Sales Statement Volume (MCF)]]+rrcworking[[#This Row],[Lease Use (MCF)]]+rrcworking[[#This Row],[Flared Gas]]</f>
        <v>0</v>
      </c>
      <c r="AB48" s="36"/>
      <c r="AC48" s="36"/>
      <c r="AD48" s="175">
        <f>COUNTIF(FilterList,rrcworking[[#This Row],[Magnum Wolfpak '#]])</f>
        <v>0</v>
      </c>
      <c r="AE48" s="172"/>
      <c r="AF48" s="173"/>
      <c r="AG48" s="36"/>
      <c r="AH48" s="36"/>
      <c r="AI48" s="36"/>
      <c r="AJ48" s="36"/>
      <c r="AK48" s="36"/>
      <c r="AL48" s="36"/>
      <c r="AM48" s="36"/>
      <c r="AN48" s="36"/>
      <c r="AO48" s="36"/>
      <c r="AP48" s="36"/>
    </row>
    <row r="49" spans="3:42" ht="14" customHeight="1">
      <c r="C49" s="78" t="e">
        <v>#N/A</v>
      </c>
      <c r="D49" s="60" t="s">
        <v>156</v>
      </c>
      <c r="E49" s="125" t="s">
        <v>157</v>
      </c>
      <c r="F49" s="124">
        <v>5</v>
      </c>
      <c r="G49" s="115" t="s">
        <v>1090</v>
      </c>
      <c r="H49" s="18" t="s">
        <v>618</v>
      </c>
      <c r="I49" s="18" t="s">
        <v>59</v>
      </c>
      <c r="J49" s="19" t="s">
        <v>464</v>
      </c>
      <c r="K49" s="99">
        <v>223401</v>
      </c>
      <c r="L49" s="97">
        <f>INDEX(Table1[Production],MATCH(rrcworking[[#This Row],[RRC ID Number]],Table1[RRC Identifier],0))</f>
        <v>0</v>
      </c>
      <c r="M49" s="29">
        <f>INDEX(Table1[Formation Production],MATCH(rrcworking[[#This Row],[RRC ID Number]],Table1[RRC Identifier],0))</f>
        <v>0</v>
      </c>
      <c r="N49" s="30">
        <f>INDEX(Table1[On Hand End of Month],MATCH(rrcworking[[#This Row],[RRC ID Number]],Table1[RRC Identifier],0))</f>
        <v>0</v>
      </c>
      <c r="O49" s="102" t="b">
        <f t="shared" si="1"/>
        <v>1</v>
      </c>
      <c r="Q49" s="122">
        <f>rrcworking[[#This Row],[Last Month Closing Stock]]</f>
        <v>0</v>
      </c>
      <c r="R49">
        <f>rrcworking[[#This Row],[Opening Oil Stock]]</f>
        <v>0</v>
      </c>
      <c r="S49" s="133">
        <f>IF(ISERROR(INDEX(Table2[OIL],MATCH(rrcworking[[#This Row],[Magnum Wolfpak '#]],Table2[Rox Wolf'#],0))),0,INDEX(Table2[OIL],MATCH(rrcworking[[#This Row],[Magnum Wolfpak '#]],Table2[Rox Wolf'#],0)))</f>
        <v>0</v>
      </c>
      <c r="T49" s="34">
        <f>rrcworking[[#This Row],[Closing Stock (Oil)]]+rrcworking[[#This Row],[Sales/Dispostion]]-rrcworking[[#This Row],[Opening Oil Stock]]</f>
        <v>0</v>
      </c>
      <c r="U49" s="108">
        <f>rrcworking[[#This Row],[Gauge Sheet Prod Volume (oil)]]-rrcworking[[#This Row],[Oil Production]]</f>
        <v>0</v>
      </c>
      <c r="V49" s="133">
        <f>IF(ISERROR(INDEX(Table2[GAS],MATCH(rrcworking[[#This Row],[Magnum Wolfpak '#]],Table2[Rox Wolf'#],0))),0,INDEX(Table2[GAS],MATCH(rrcworking[[#This Row],[Magnum Wolfpak '#]],Table2[Rox Wolf'#],0)))</f>
        <v>0</v>
      </c>
      <c r="W49" s="58"/>
      <c r="X49" s="58"/>
      <c r="Y49" s="133">
        <f>IF(ISERROR(INDEX(Table2[LEASE USE],MATCH(rrcworking[[#This Row],[Magnum Wolfpak '#]],Table2[Rox Wolf'#],0))),0,INDEX(Table2[LEASE USE],MATCH(rrcworking[[#This Row],[Magnum Wolfpak '#]],Table2[Rox Wolf'#],0)))</f>
        <v>0</v>
      </c>
      <c r="Z49" s="133"/>
      <c r="AA49" s="56">
        <f>rrcworking[[#This Row],[Gas Sales Statement Volume (MCF)]]+rrcworking[[#This Row],[Lease Use (MCF)]]+rrcworking[[#This Row],[Flared Gas]]</f>
        <v>0</v>
      </c>
      <c r="AB49" s="36"/>
      <c r="AC49" s="36"/>
      <c r="AD49" s="175">
        <f>COUNTIF(FilterList,rrcworking[[#This Row],[Magnum Wolfpak '#]])</f>
        <v>0</v>
      </c>
      <c r="AE49" s="172"/>
      <c r="AF49" s="173"/>
      <c r="AG49" s="36"/>
      <c r="AH49" s="36"/>
      <c r="AI49" s="36"/>
      <c r="AJ49" s="36"/>
      <c r="AK49" s="36"/>
      <c r="AL49" s="36"/>
      <c r="AM49" s="36"/>
      <c r="AN49" s="36"/>
      <c r="AO49" s="36"/>
      <c r="AP49" s="36"/>
    </row>
    <row r="50" spans="3:42" ht="14" customHeight="1">
      <c r="C50" s="78" t="e">
        <v>#N/A</v>
      </c>
      <c r="D50" s="60" t="s">
        <v>177</v>
      </c>
      <c r="E50" s="125" t="s">
        <v>157</v>
      </c>
      <c r="F50" s="124">
        <v>1</v>
      </c>
      <c r="G50" s="115" t="s">
        <v>1090</v>
      </c>
      <c r="H50" s="18" t="s">
        <v>618</v>
      </c>
      <c r="I50" s="18" t="s">
        <v>59</v>
      </c>
      <c r="J50" s="19" t="s">
        <v>475</v>
      </c>
      <c r="K50" s="99">
        <v>188081</v>
      </c>
      <c r="L50" s="97">
        <f>INDEX(Table1[Production],MATCH(rrcworking[[#This Row],[RRC ID Number]],Table1[RRC Identifier],0))</f>
        <v>0</v>
      </c>
      <c r="M50" s="29">
        <f>INDEX(Table1[Formation Production],MATCH(rrcworking[[#This Row],[RRC ID Number]],Table1[RRC Identifier],0))</f>
        <v>0</v>
      </c>
      <c r="N50" s="30">
        <f>INDEX(Table1[On Hand End of Month],MATCH(rrcworking[[#This Row],[RRC ID Number]],Table1[RRC Identifier],0))</f>
        <v>0</v>
      </c>
      <c r="O50" s="102" t="b">
        <f t="shared" si="1"/>
        <v>1</v>
      </c>
      <c r="Q50" s="122">
        <f>rrcworking[[#This Row],[Last Month Closing Stock]]</f>
        <v>0</v>
      </c>
      <c r="R50">
        <f>rrcworking[[#This Row],[Opening Oil Stock]]</f>
        <v>0</v>
      </c>
      <c r="S50" s="133">
        <f>IF(ISERROR(INDEX(Table2[OIL],MATCH(rrcworking[[#This Row],[Magnum Wolfpak '#]],Table2[Rox Wolf'#],0))),0,INDEX(Table2[OIL],MATCH(rrcworking[[#This Row],[Magnum Wolfpak '#]],Table2[Rox Wolf'#],0)))</f>
        <v>0</v>
      </c>
      <c r="T50" s="34">
        <f>rrcworking[[#This Row],[Closing Stock (Oil)]]+rrcworking[[#This Row],[Sales/Dispostion]]-rrcworking[[#This Row],[Opening Oil Stock]]</f>
        <v>0</v>
      </c>
      <c r="U50" s="108">
        <f>rrcworking[[#This Row],[Gauge Sheet Prod Volume (oil)]]-rrcworking[[#This Row],[Oil Production]]</f>
        <v>0</v>
      </c>
      <c r="V50" s="133">
        <f>IF(ISERROR(INDEX(Table2[GAS],MATCH(rrcworking[[#This Row],[Magnum Wolfpak '#]],Table2[Rox Wolf'#],0))),0,INDEX(Table2[GAS],MATCH(rrcworking[[#This Row],[Magnum Wolfpak '#]],Table2[Rox Wolf'#],0)))</f>
        <v>0</v>
      </c>
      <c r="W50" s="58"/>
      <c r="X50" s="58"/>
      <c r="Y50" s="133">
        <f>IF(ISERROR(INDEX(Table2[LEASE USE],MATCH(rrcworking[[#This Row],[Magnum Wolfpak '#]],Table2[Rox Wolf'#],0))),0,INDEX(Table2[LEASE USE],MATCH(rrcworking[[#This Row],[Magnum Wolfpak '#]],Table2[Rox Wolf'#],0)))</f>
        <v>0</v>
      </c>
      <c r="Z50" s="133"/>
      <c r="AA50" s="56">
        <f>rrcworking[[#This Row],[Gas Sales Statement Volume (MCF)]]+rrcworking[[#This Row],[Lease Use (MCF)]]+rrcworking[[#This Row],[Flared Gas]]</f>
        <v>0</v>
      </c>
      <c r="AB50" s="36"/>
      <c r="AC50" s="36"/>
      <c r="AD50" s="175">
        <f>COUNTIF(FilterList,rrcworking[[#This Row],[Magnum Wolfpak '#]])</f>
        <v>0</v>
      </c>
      <c r="AE50" s="172"/>
      <c r="AF50" s="173"/>
      <c r="AG50" s="36"/>
      <c r="AH50" s="36"/>
      <c r="AI50" s="36"/>
      <c r="AJ50" s="36"/>
      <c r="AK50" s="36"/>
      <c r="AL50" s="36"/>
      <c r="AM50" s="36"/>
      <c r="AN50" s="36"/>
      <c r="AO50" s="36"/>
      <c r="AP50" s="36"/>
    </row>
    <row r="51" spans="3:42" ht="14" customHeight="1">
      <c r="C51" s="78" t="e">
        <v>#N/A</v>
      </c>
      <c r="D51" s="60" t="s">
        <v>161</v>
      </c>
      <c r="E51" s="125" t="s">
        <v>162</v>
      </c>
      <c r="F51" s="124">
        <v>7</v>
      </c>
      <c r="G51" s="115" t="s">
        <v>1090</v>
      </c>
      <c r="H51" s="18" t="s">
        <v>618</v>
      </c>
      <c r="I51" s="18" t="s">
        <v>59</v>
      </c>
      <c r="J51" s="19" t="s">
        <v>467</v>
      </c>
      <c r="K51" s="99">
        <v>250605</v>
      </c>
      <c r="L51" s="97">
        <f>INDEX(Table1[Production],MATCH(rrcworking[[#This Row],[RRC ID Number]],Table1[RRC Identifier],0))</f>
        <v>0</v>
      </c>
      <c r="M51" s="29">
        <f>INDEX(Table1[Formation Production],MATCH(rrcworking[[#This Row],[RRC ID Number]],Table1[RRC Identifier],0))</f>
        <v>0</v>
      </c>
      <c r="N51" s="30">
        <f>INDEX(Table1[On Hand End of Month],MATCH(rrcworking[[#This Row],[RRC ID Number]],Table1[RRC Identifier],0))</f>
        <v>0</v>
      </c>
      <c r="O51" s="102" t="b">
        <f t="shared" si="1"/>
        <v>1</v>
      </c>
      <c r="Q51" s="122">
        <f>rrcworking[[#This Row],[Last Month Closing Stock]]</f>
        <v>0</v>
      </c>
      <c r="R51">
        <f>rrcworking[[#This Row],[Opening Oil Stock]]</f>
        <v>0</v>
      </c>
      <c r="S51" s="133">
        <f>IF(ISERROR(INDEX(Table2[OIL],MATCH(rrcworking[[#This Row],[Magnum Wolfpak '#]],Table2[Rox Wolf'#],0))),0,INDEX(Table2[OIL],MATCH(rrcworking[[#This Row],[Magnum Wolfpak '#]],Table2[Rox Wolf'#],0)))</f>
        <v>0</v>
      </c>
      <c r="T51" s="34">
        <f>rrcworking[[#This Row],[Closing Stock (Oil)]]+rrcworking[[#This Row],[Sales/Dispostion]]-rrcworking[[#This Row],[Opening Oil Stock]]</f>
        <v>0</v>
      </c>
      <c r="U51" s="108">
        <f>rrcworking[[#This Row],[Gauge Sheet Prod Volume (oil)]]-rrcworking[[#This Row],[Oil Production]]</f>
        <v>0</v>
      </c>
      <c r="V51" s="133">
        <f>IF(ISERROR(INDEX(Table2[GAS],MATCH(rrcworking[[#This Row],[Magnum Wolfpak '#]],Table2[Rox Wolf'#],0))),0,INDEX(Table2[GAS],MATCH(rrcworking[[#This Row],[Magnum Wolfpak '#]],Table2[Rox Wolf'#],0)))</f>
        <v>0</v>
      </c>
      <c r="W51" s="58"/>
      <c r="X51" s="58"/>
      <c r="Y51" s="133">
        <f>IF(ISERROR(INDEX(Table2[LEASE USE],MATCH(rrcworking[[#This Row],[Magnum Wolfpak '#]],Table2[Rox Wolf'#],0))),0,INDEX(Table2[LEASE USE],MATCH(rrcworking[[#This Row],[Magnum Wolfpak '#]],Table2[Rox Wolf'#],0)))</f>
        <v>0</v>
      </c>
      <c r="Z51" s="133"/>
      <c r="AA51" s="56">
        <f>rrcworking[[#This Row],[Gas Sales Statement Volume (MCF)]]+rrcworking[[#This Row],[Lease Use (MCF)]]+rrcworking[[#This Row],[Flared Gas]]</f>
        <v>0</v>
      </c>
      <c r="AB51" s="36"/>
      <c r="AC51" s="36"/>
      <c r="AD51" s="175">
        <f>COUNTIF(FilterList,rrcworking[[#This Row],[Magnum Wolfpak '#]])</f>
        <v>0</v>
      </c>
      <c r="AE51" s="172"/>
      <c r="AF51" s="173"/>
      <c r="AG51" s="36"/>
      <c r="AH51" s="36"/>
      <c r="AI51" s="36"/>
      <c r="AJ51" s="36"/>
      <c r="AK51" s="36"/>
      <c r="AL51" s="36"/>
      <c r="AM51" s="36"/>
      <c r="AN51" s="36"/>
      <c r="AO51" s="36"/>
      <c r="AP51" s="36"/>
    </row>
    <row r="52" spans="3:42" ht="14">
      <c r="C52" s="78" t="e">
        <v>#N/A</v>
      </c>
      <c r="D52" s="60" t="s">
        <v>159</v>
      </c>
      <c r="E52" s="125" t="s">
        <v>160</v>
      </c>
      <c r="F52" s="124">
        <v>1</v>
      </c>
      <c r="G52" s="115" t="s">
        <v>1090</v>
      </c>
      <c r="H52" s="18" t="s">
        <v>618</v>
      </c>
      <c r="I52" s="18" t="s">
        <v>59</v>
      </c>
      <c r="J52" s="19" t="s">
        <v>466</v>
      </c>
      <c r="K52" s="99">
        <v>233975</v>
      </c>
      <c r="L52" s="97">
        <f>INDEX(Table1[Production],MATCH(rrcworking[[#This Row],[RRC ID Number]],Table1[RRC Identifier],0))</f>
        <v>0</v>
      </c>
      <c r="M52" s="29">
        <f>INDEX(Table1[Formation Production],MATCH(rrcworking[[#This Row],[RRC ID Number]],Table1[RRC Identifier],0))</f>
        <v>0</v>
      </c>
      <c r="N52" s="30">
        <f>INDEX(Table1[On Hand End of Month],MATCH(rrcworking[[#This Row],[RRC ID Number]],Table1[RRC Identifier],0))</f>
        <v>0</v>
      </c>
      <c r="O52" s="102" t="b">
        <f t="shared" si="1"/>
        <v>1</v>
      </c>
      <c r="Q52" s="122">
        <f>rrcworking[[#This Row],[Last Month Closing Stock]]</f>
        <v>0</v>
      </c>
      <c r="R52">
        <f>rrcworking[[#This Row],[Opening Oil Stock]]</f>
        <v>0</v>
      </c>
      <c r="S52" s="133">
        <f>IF(ISERROR(INDEX(Table2[OIL],MATCH(rrcworking[[#This Row],[Magnum Wolfpak '#]],Table2[Rox Wolf'#],0))),0,INDEX(Table2[OIL],MATCH(rrcworking[[#This Row],[Magnum Wolfpak '#]],Table2[Rox Wolf'#],0)))</f>
        <v>0</v>
      </c>
      <c r="T52" s="34">
        <f>rrcworking[[#This Row],[Closing Stock (Oil)]]+rrcworking[[#This Row],[Sales/Dispostion]]-rrcworking[[#This Row],[Opening Oil Stock]]</f>
        <v>0</v>
      </c>
      <c r="U52" s="108">
        <f>rrcworking[[#This Row],[Gauge Sheet Prod Volume (oil)]]-rrcworking[[#This Row],[Oil Production]]</f>
        <v>0</v>
      </c>
      <c r="V52" s="133">
        <f>IF(ISERROR(INDEX(Table2[GAS],MATCH(rrcworking[[#This Row],[Magnum Wolfpak '#]],Table2[Rox Wolf'#],0))),0,INDEX(Table2[GAS],MATCH(rrcworking[[#This Row],[Magnum Wolfpak '#]],Table2[Rox Wolf'#],0)))</f>
        <v>0</v>
      </c>
      <c r="W52" s="58"/>
      <c r="X52" s="58"/>
      <c r="Y52" s="133">
        <f>IF(ISERROR(INDEX(Table2[LEASE USE],MATCH(rrcworking[[#This Row],[Magnum Wolfpak '#]],Table2[Rox Wolf'#],0))),0,INDEX(Table2[LEASE USE],MATCH(rrcworking[[#This Row],[Magnum Wolfpak '#]],Table2[Rox Wolf'#],0)))</f>
        <v>0</v>
      </c>
      <c r="Z52" s="133"/>
      <c r="AA52" s="56">
        <f>rrcworking[[#This Row],[Gas Sales Statement Volume (MCF)]]+rrcworking[[#This Row],[Lease Use (MCF)]]+rrcworking[[#This Row],[Flared Gas]]</f>
        <v>0</v>
      </c>
      <c r="AB52" s="36"/>
      <c r="AC52" s="36"/>
      <c r="AD52" s="175">
        <f>COUNTIF(FilterList,rrcworking[[#This Row],[Magnum Wolfpak '#]])</f>
        <v>0</v>
      </c>
      <c r="AE52" s="172"/>
      <c r="AF52" s="173"/>
      <c r="AG52" s="36"/>
      <c r="AH52" s="36"/>
      <c r="AI52" s="36"/>
      <c r="AJ52" s="36"/>
      <c r="AK52" s="36"/>
      <c r="AL52" s="36"/>
      <c r="AM52" s="36"/>
      <c r="AN52" s="36"/>
      <c r="AO52" s="36"/>
      <c r="AP52" s="36"/>
    </row>
    <row r="53" spans="3:42" ht="14">
      <c r="C53" s="78" t="e">
        <v>#N/A</v>
      </c>
      <c r="D53" s="60" t="s">
        <v>308</v>
      </c>
      <c r="E53" s="125" t="s">
        <v>310</v>
      </c>
      <c r="F53" s="124">
        <v>1</v>
      </c>
      <c r="G53" s="115" t="s">
        <v>1090</v>
      </c>
      <c r="H53" s="18" t="s">
        <v>619</v>
      </c>
      <c r="I53" s="18" t="s">
        <v>59</v>
      </c>
      <c r="J53" s="19" t="s">
        <v>552</v>
      </c>
      <c r="K53" s="99">
        <v>225615</v>
      </c>
      <c r="L53" s="97">
        <f>INDEX(Table1[Production],MATCH(rrcworking[[#This Row],[RRC ID Number]],Table1[RRC Identifier],0))</f>
        <v>0</v>
      </c>
      <c r="M53" s="29">
        <f>INDEX(Table1[Formation Production],MATCH(rrcworking[[#This Row],[RRC ID Number]],Table1[RRC Identifier],0))</f>
        <v>0</v>
      </c>
      <c r="N53" s="30">
        <f>INDEX(Table1[On Hand End of Month],MATCH(rrcworking[[#This Row],[RRC ID Number]],Table1[RRC Identifier],0))</f>
        <v>0</v>
      </c>
      <c r="O53" s="102" t="b">
        <f t="shared" si="1"/>
        <v>1</v>
      </c>
      <c r="Q53" s="122">
        <f>rrcworking[[#This Row],[Last Month Closing Stock]]</f>
        <v>0</v>
      </c>
      <c r="R53">
        <f>rrcworking[[#This Row],[Opening Oil Stock]]</f>
        <v>0</v>
      </c>
      <c r="S53" s="133">
        <f>IF(ISERROR(INDEX(Table2[OIL],MATCH(rrcworking[[#This Row],[Magnum Wolfpak '#]],Table2[Rox Wolf'#],0))),0,INDEX(Table2[OIL],MATCH(rrcworking[[#This Row],[Magnum Wolfpak '#]],Table2[Rox Wolf'#],0)))</f>
        <v>0</v>
      </c>
      <c r="T53" s="34">
        <f>rrcworking[[#This Row],[Closing Stock (Oil)]]+rrcworking[[#This Row],[Sales/Dispostion]]-rrcworking[[#This Row],[Opening Oil Stock]]</f>
        <v>0</v>
      </c>
      <c r="U53" s="108">
        <f>rrcworking[[#This Row],[Gauge Sheet Prod Volume (oil)]]-rrcworking[[#This Row],[Oil Production]]</f>
        <v>0</v>
      </c>
      <c r="V53" s="133">
        <f>IF(ISERROR(INDEX(Table2[GAS],MATCH(rrcworking[[#This Row],[Magnum Wolfpak '#]],Table2[Rox Wolf'#],0))),0,INDEX(Table2[GAS],MATCH(rrcworking[[#This Row],[Magnum Wolfpak '#]],Table2[Rox Wolf'#],0)))</f>
        <v>0</v>
      </c>
      <c r="W53" s="58"/>
      <c r="X53" s="58"/>
      <c r="Y53" s="133">
        <f>IF(ISERROR(INDEX(Table2[LEASE USE],MATCH(rrcworking[[#This Row],[Magnum Wolfpak '#]],Table2[Rox Wolf'#],0))),0,INDEX(Table2[LEASE USE],MATCH(rrcworking[[#This Row],[Magnum Wolfpak '#]],Table2[Rox Wolf'#],0)))</f>
        <v>0</v>
      </c>
      <c r="Z53" s="133"/>
      <c r="AA53" s="56">
        <f>rrcworking[[#This Row],[Gas Sales Statement Volume (MCF)]]+rrcworking[[#This Row],[Lease Use (MCF)]]+rrcworking[[#This Row],[Flared Gas]]</f>
        <v>0</v>
      </c>
      <c r="AB53" s="36"/>
      <c r="AC53" s="36"/>
      <c r="AD53" s="175">
        <f>COUNTIF(FilterList,rrcworking[[#This Row],[Magnum Wolfpak '#]])</f>
        <v>0</v>
      </c>
      <c r="AE53" s="172"/>
      <c r="AF53" s="173"/>
      <c r="AG53" s="36"/>
      <c r="AH53" s="36"/>
      <c r="AI53" s="36"/>
      <c r="AJ53" s="36"/>
      <c r="AK53" s="36"/>
      <c r="AL53" s="36"/>
      <c r="AM53" s="36"/>
      <c r="AN53" s="36"/>
      <c r="AO53" s="36"/>
      <c r="AP53" s="36"/>
    </row>
    <row r="54" spans="3:42" ht="14">
      <c r="C54" s="78">
        <v>99307</v>
      </c>
      <c r="D54" s="60" t="s">
        <v>253</v>
      </c>
      <c r="E54" s="125" t="s">
        <v>254</v>
      </c>
      <c r="F54" s="124">
        <v>2</v>
      </c>
      <c r="G54" s="115" t="s">
        <v>1090</v>
      </c>
      <c r="H54" s="18" t="s">
        <v>618</v>
      </c>
      <c r="I54" s="18" t="s">
        <v>59</v>
      </c>
      <c r="J54" s="19" t="s">
        <v>515</v>
      </c>
      <c r="K54" s="99">
        <v>247945</v>
      </c>
      <c r="L54" s="97">
        <f>INDEX(Table1[Production],MATCH(rrcworking[[#This Row],[RRC ID Number]],Table1[RRC Identifier],0))</f>
        <v>19</v>
      </c>
      <c r="M54" s="29">
        <f>INDEX(Table1[Formation Production],MATCH(rrcworking[[#This Row],[RRC ID Number]],Table1[RRC Identifier],0))</f>
        <v>530</v>
      </c>
      <c r="N54" s="30">
        <f>INDEX(Table1[On Hand End of Month],MATCH(rrcworking[[#This Row],[RRC ID Number]],Table1[RRC Identifier],0))</f>
        <v>169</v>
      </c>
      <c r="O54" s="102" t="b">
        <f t="shared" si="1"/>
        <v>0</v>
      </c>
      <c r="P54">
        <v>22</v>
      </c>
      <c r="Q54" s="122">
        <f>rrcworking[[#This Row],[Last Month Closing Stock]]</f>
        <v>169</v>
      </c>
      <c r="R54">
        <v>190</v>
      </c>
      <c r="S54" s="133">
        <f>IF(ISERROR(INDEX(Table2[OIL],MATCH(rrcworking[[#This Row],[Magnum Wolfpak '#]],Table2[Rox Wolf'#],0))),0,INDEX(Table2[OIL],MATCH(rrcworking[[#This Row],[Magnum Wolfpak '#]],Table2[Rox Wolf'#],0)))</f>
        <v>0</v>
      </c>
      <c r="T54" s="34">
        <f>rrcworking[[#This Row],[Closing Stock (Oil)]]+rrcworking[[#This Row],[Sales/Dispostion]]-rrcworking[[#This Row],[Opening Oil Stock]]</f>
        <v>21</v>
      </c>
      <c r="U54" s="108">
        <f>rrcworking[[#This Row],[Gauge Sheet Prod Volume (oil)]]-rrcworking[[#This Row],[Oil Production]]</f>
        <v>1</v>
      </c>
      <c r="V54" s="133">
        <f>IF(ISERROR(INDEX(Table2[GAS],MATCH(rrcworking[[#This Row],[Magnum Wolfpak '#]],Table2[Rox Wolf'#],0))),0,INDEX(Table2[GAS],MATCH(rrcworking[[#This Row],[Magnum Wolfpak '#]],Table2[Rox Wolf'#],0)))</f>
        <v>484</v>
      </c>
      <c r="W54" s="58"/>
      <c r="X54" s="58"/>
      <c r="Y54" s="133">
        <f>IF(ISERROR(INDEX(Table2[LEASE USE],MATCH(rrcworking[[#This Row],[Magnum Wolfpak '#]],Table2[Rox Wolf'#],0))),0,INDEX(Table2[LEASE USE],MATCH(rrcworking[[#This Row],[Magnum Wolfpak '#]],Table2[Rox Wolf'#],0)))</f>
        <v>0</v>
      </c>
      <c r="Z54" s="133"/>
      <c r="AA54" s="56">
        <f>rrcworking[[#This Row],[Gas Sales Statement Volume (MCF)]]+rrcworking[[#This Row],[Lease Use (MCF)]]+rrcworking[[#This Row],[Flared Gas]]</f>
        <v>484</v>
      </c>
      <c r="AB54" s="36"/>
      <c r="AC54" s="36"/>
      <c r="AD54" s="175">
        <f>COUNTIF(FilterList,rrcworking[[#This Row],[Magnum Wolfpak '#]])</f>
        <v>0</v>
      </c>
      <c r="AE54" s="172"/>
      <c r="AF54" s="173"/>
      <c r="AG54" s="36"/>
      <c r="AH54" s="173"/>
      <c r="AI54" s="36">
        <v>2</v>
      </c>
      <c r="AJ54" s="36" t="s">
        <v>1139</v>
      </c>
      <c r="AK54" s="36" t="s">
        <v>1139</v>
      </c>
      <c r="AL54" s="36" t="s">
        <v>1195</v>
      </c>
      <c r="AM54" s="36" t="s">
        <v>1139</v>
      </c>
      <c r="AN54" s="36" t="s">
        <v>1170</v>
      </c>
      <c r="AO54" s="36" t="s">
        <v>1196</v>
      </c>
      <c r="AP54" s="36"/>
    </row>
    <row r="55" spans="3:42" ht="14">
      <c r="C55" s="78" t="e">
        <v>#N/A</v>
      </c>
      <c r="D55" s="60" t="s">
        <v>98</v>
      </c>
      <c r="E55" s="125" t="s">
        <v>96</v>
      </c>
      <c r="F55" s="124">
        <v>0</v>
      </c>
      <c r="G55" s="115" t="s">
        <v>1090</v>
      </c>
      <c r="H55" s="18" t="s">
        <v>617</v>
      </c>
      <c r="I55" s="18" t="s">
        <v>2</v>
      </c>
      <c r="J55" s="19" t="s">
        <v>427</v>
      </c>
      <c r="K55" s="99">
        <v>8462</v>
      </c>
      <c r="L55" s="97">
        <f>INDEX(Table1[Production],MATCH(rrcworking[[#This Row],[RRC ID Number]],Table1[RRC Identifier],0))</f>
        <v>0</v>
      </c>
      <c r="M55" s="29">
        <f>INDEX(Table1[Formation Production],MATCH(rrcworking[[#This Row],[RRC ID Number]],Table1[RRC Identifier],0))</f>
        <v>0</v>
      </c>
      <c r="N55" s="30">
        <f>INDEX(Table1[On Hand End of Month],MATCH(rrcworking[[#This Row],[RRC ID Number]],Table1[RRC Identifier],0))</f>
        <v>0</v>
      </c>
      <c r="O55" s="102" t="b">
        <f t="shared" si="1"/>
        <v>1</v>
      </c>
      <c r="Q55" s="122">
        <f>rrcworking[[#This Row],[Last Month Closing Stock]]</f>
        <v>0</v>
      </c>
      <c r="R55">
        <f>rrcworking[[#This Row],[Opening Oil Stock]]</f>
        <v>0</v>
      </c>
      <c r="S55" s="133">
        <f>IF(ISERROR(INDEX(Table2[OIL],MATCH(rrcworking[[#This Row],[Magnum Wolfpak '#]],Table2[Rox Wolf'#],0))),0,INDEX(Table2[OIL],MATCH(rrcworking[[#This Row],[Magnum Wolfpak '#]],Table2[Rox Wolf'#],0)))</f>
        <v>0</v>
      </c>
      <c r="T55" s="34">
        <f>rrcworking[[#This Row],[Closing Stock (Oil)]]+rrcworking[[#This Row],[Sales/Dispostion]]-rrcworking[[#This Row],[Opening Oil Stock]]</f>
        <v>0</v>
      </c>
      <c r="U55" s="108">
        <f>rrcworking[[#This Row],[Gauge Sheet Prod Volume (oil)]]-rrcworking[[#This Row],[Oil Production]]</f>
        <v>0</v>
      </c>
      <c r="V55" s="133">
        <f>IF(ISERROR(INDEX(Table2[GAS],MATCH(rrcworking[[#This Row],[Magnum Wolfpak '#]],Table2[Rox Wolf'#],0))),0,INDEX(Table2[GAS],MATCH(rrcworking[[#This Row],[Magnum Wolfpak '#]],Table2[Rox Wolf'#],0)))</f>
        <v>0</v>
      </c>
      <c r="W55" s="58"/>
      <c r="X55" s="58"/>
      <c r="Y55" s="133">
        <f>IF(ISERROR(INDEX(Table2[LEASE USE],MATCH(rrcworking[[#This Row],[Magnum Wolfpak '#]],Table2[Rox Wolf'#],0))),0,INDEX(Table2[LEASE USE],MATCH(rrcworking[[#This Row],[Magnum Wolfpak '#]],Table2[Rox Wolf'#],0)))</f>
        <v>0</v>
      </c>
      <c r="Z55" s="133"/>
      <c r="AA55" s="56">
        <f>rrcworking[[#This Row],[Gas Sales Statement Volume (MCF)]]+rrcworking[[#This Row],[Lease Use (MCF)]]+rrcworking[[#This Row],[Flared Gas]]</f>
        <v>0</v>
      </c>
      <c r="AB55" s="36"/>
      <c r="AC55" s="36"/>
      <c r="AD55" s="175">
        <f>COUNTIF(FilterList,rrcworking[[#This Row],[Magnum Wolfpak '#]])</f>
        <v>0</v>
      </c>
      <c r="AE55" s="172"/>
      <c r="AF55" s="173"/>
      <c r="AG55" s="36"/>
      <c r="AH55" s="36"/>
      <c r="AI55" s="36"/>
      <c r="AJ55" s="36"/>
      <c r="AK55" s="36"/>
      <c r="AL55" s="36"/>
      <c r="AM55" s="36"/>
      <c r="AN55" s="36"/>
      <c r="AO55" s="36"/>
      <c r="AP55" s="36"/>
    </row>
    <row r="56" spans="3:42" ht="28">
      <c r="C56" s="78">
        <v>93806</v>
      </c>
      <c r="D56" s="60" t="s">
        <v>95</v>
      </c>
      <c r="E56" s="125" t="s">
        <v>96</v>
      </c>
      <c r="F56" s="124">
        <v>0</v>
      </c>
      <c r="G56" s="115" t="s">
        <v>1090</v>
      </c>
      <c r="H56" s="18" t="s">
        <v>617</v>
      </c>
      <c r="I56" s="18" t="s">
        <v>2</v>
      </c>
      <c r="J56" s="19" t="s">
        <v>425</v>
      </c>
      <c r="K56" s="99">
        <v>5446</v>
      </c>
      <c r="L56" s="97">
        <f>INDEX(Table1[Production],MATCH(rrcworking[[#This Row],[RRC ID Number]],Table1[RRC Identifier],0))</f>
        <v>16</v>
      </c>
      <c r="M56" s="29">
        <f>INDEX(Table1[Formation Production],MATCH(rrcworking[[#This Row],[RRC ID Number]],Table1[RRC Identifier],0))</f>
        <v>0</v>
      </c>
      <c r="N56" s="30">
        <f>INDEX(Table1[On Hand End of Month],MATCH(rrcworking[[#This Row],[RRC ID Number]],Table1[RRC Identifier],0))</f>
        <v>117</v>
      </c>
      <c r="O56" s="102" t="b">
        <f t="shared" si="1"/>
        <v>0</v>
      </c>
      <c r="P56">
        <v>19</v>
      </c>
      <c r="Q56" s="122">
        <f>rrcworking[[#This Row],[Last Month Closing Stock]]</f>
        <v>117</v>
      </c>
      <c r="R56">
        <v>135</v>
      </c>
      <c r="S56" s="133">
        <f>IF(ISERROR(INDEX(Table2[OIL],MATCH(rrcworking[[#This Row],[Magnum Wolfpak '#]],Table2[Rox Wolf'#],0))),0,INDEX(Table2[OIL],MATCH(rrcworking[[#This Row],[Magnum Wolfpak '#]],Table2[Rox Wolf'#],0)))</f>
        <v>0</v>
      </c>
      <c r="T56" s="34">
        <f>rrcworking[[#This Row],[Closing Stock (Oil)]]+rrcworking[[#This Row],[Sales/Dispostion]]-rrcworking[[#This Row],[Opening Oil Stock]]</f>
        <v>18</v>
      </c>
      <c r="U56" s="108">
        <f>rrcworking[[#This Row],[Gauge Sheet Prod Volume (oil)]]-rrcworking[[#This Row],[Oil Production]]</f>
        <v>1</v>
      </c>
      <c r="V56" s="133">
        <f>IF(ISERROR(INDEX(Table2[GAS],MATCH(rrcworking[[#This Row],[Magnum Wolfpak '#]],Table2[Rox Wolf'#],0))),0,INDEX(Table2[GAS],MATCH(rrcworking[[#This Row],[Magnum Wolfpak '#]],Table2[Rox Wolf'#],0)))</f>
        <v>0</v>
      </c>
      <c r="W56" s="58"/>
      <c r="X56" s="58"/>
      <c r="Y56" s="133">
        <f>IF(ISERROR(INDEX(Table2[LEASE USE],MATCH(rrcworking[[#This Row],[Magnum Wolfpak '#]],Table2[Rox Wolf'#],0))),0,INDEX(Table2[LEASE USE],MATCH(rrcworking[[#This Row],[Magnum Wolfpak '#]],Table2[Rox Wolf'#],0)))</f>
        <v>0</v>
      </c>
      <c r="Z56" s="133"/>
      <c r="AA56" s="56">
        <f>rrcworking[[#This Row],[Gas Sales Statement Volume (MCF)]]+rrcworking[[#This Row],[Lease Use (MCF)]]+rrcworking[[#This Row],[Flared Gas]]</f>
        <v>0</v>
      </c>
      <c r="AB56" s="36"/>
      <c r="AC56" s="36"/>
      <c r="AD56" s="175">
        <f>COUNTIF(FilterList,rrcworking[[#This Row],[Magnum Wolfpak '#]])</f>
        <v>0</v>
      </c>
      <c r="AE56" s="172"/>
      <c r="AF56" s="173"/>
      <c r="AG56" s="36"/>
      <c r="AH56" s="173"/>
      <c r="AI56" s="174"/>
      <c r="AJ56" s="174"/>
      <c r="AK56" s="174"/>
      <c r="AL56" s="174"/>
      <c r="AM56" s="174"/>
      <c r="AN56" s="174"/>
      <c r="AO56" s="36" t="s">
        <v>1163</v>
      </c>
      <c r="AP56" s="36" t="s">
        <v>1168</v>
      </c>
    </row>
    <row r="57" spans="3:42" ht="14">
      <c r="C57" s="78" t="e">
        <v>#N/A</v>
      </c>
      <c r="D57" s="60" t="s">
        <v>328</v>
      </c>
      <c r="E57" s="125" t="s">
        <v>329</v>
      </c>
      <c r="F57" s="124">
        <v>0</v>
      </c>
      <c r="G57" s="115" t="s">
        <v>1090</v>
      </c>
      <c r="H57" s="18" t="s">
        <v>619</v>
      </c>
      <c r="I57" s="18" t="s">
        <v>2</v>
      </c>
      <c r="J57" s="19" t="s">
        <v>565</v>
      </c>
      <c r="K57" s="99">
        <v>12696</v>
      </c>
      <c r="L57" s="97">
        <f>INDEX(Table1[Production],MATCH(rrcworking[[#This Row],[RRC ID Number]],Table1[RRC Identifier],0))</f>
        <v>0</v>
      </c>
      <c r="M57" s="29">
        <f>INDEX(Table1[Formation Production],MATCH(rrcworking[[#This Row],[RRC ID Number]],Table1[RRC Identifier],0))</f>
        <v>0</v>
      </c>
      <c r="N57" s="30">
        <f>INDEX(Table1[On Hand End of Month],MATCH(rrcworking[[#This Row],[RRC ID Number]],Table1[RRC Identifier],0))</f>
        <v>47</v>
      </c>
      <c r="O57" s="102" t="b">
        <f t="shared" si="1"/>
        <v>1</v>
      </c>
      <c r="Q57" s="122">
        <f>rrcworking[[#This Row],[Last Month Closing Stock]]</f>
        <v>47</v>
      </c>
      <c r="R57">
        <f>rrcworking[[#This Row],[Opening Oil Stock]]</f>
        <v>47</v>
      </c>
      <c r="S57" s="133">
        <f>IF(ISERROR(INDEX(Table2[OIL],MATCH(rrcworking[[#This Row],[Magnum Wolfpak '#]],Table2[Rox Wolf'#],0))),0,INDEX(Table2[OIL],MATCH(rrcworking[[#This Row],[Magnum Wolfpak '#]],Table2[Rox Wolf'#],0)))</f>
        <v>0</v>
      </c>
      <c r="T57" s="34">
        <f>rrcworking[[#This Row],[Closing Stock (Oil)]]+rrcworking[[#This Row],[Sales/Dispostion]]-rrcworking[[#This Row],[Opening Oil Stock]]</f>
        <v>0</v>
      </c>
      <c r="U57" s="108">
        <f>rrcworking[[#This Row],[Gauge Sheet Prod Volume (oil)]]-rrcworking[[#This Row],[Oil Production]]</f>
        <v>0</v>
      </c>
      <c r="V57" s="133">
        <f>IF(ISERROR(INDEX(Table2[GAS],MATCH(rrcworking[[#This Row],[Magnum Wolfpak '#]],Table2[Rox Wolf'#],0))),0,INDEX(Table2[GAS],MATCH(rrcworking[[#This Row],[Magnum Wolfpak '#]],Table2[Rox Wolf'#],0)))</f>
        <v>0</v>
      </c>
      <c r="W57" s="58"/>
      <c r="X57" s="58"/>
      <c r="Y57" s="133">
        <f>IF(ISERROR(INDEX(Table2[LEASE USE],MATCH(rrcworking[[#This Row],[Magnum Wolfpak '#]],Table2[Rox Wolf'#],0))),0,INDEX(Table2[LEASE USE],MATCH(rrcworking[[#This Row],[Magnum Wolfpak '#]],Table2[Rox Wolf'#],0)))</f>
        <v>0</v>
      </c>
      <c r="Z57" s="133"/>
      <c r="AA57" s="56">
        <f>rrcworking[[#This Row],[Gas Sales Statement Volume (MCF)]]+rrcworking[[#This Row],[Lease Use (MCF)]]+rrcworking[[#This Row],[Flared Gas]]</f>
        <v>0</v>
      </c>
      <c r="AB57" s="36"/>
      <c r="AC57" s="36"/>
      <c r="AD57" s="175">
        <f>COUNTIF(FilterList,rrcworking[[#This Row],[Magnum Wolfpak '#]])</f>
        <v>0</v>
      </c>
      <c r="AE57" s="172"/>
      <c r="AF57" s="173"/>
      <c r="AG57" s="36"/>
      <c r="AH57" s="36"/>
      <c r="AI57" s="36"/>
      <c r="AJ57" s="36"/>
      <c r="AK57" s="36"/>
      <c r="AL57" s="36"/>
      <c r="AM57" s="36"/>
      <c r="AN57" s="36"/>
      <c r="AO57" s="36"/>
      <c r="AP57" s="36"/>
    </row>
    <row r="58" spans="3:42" ht="14">
      <c r="C58" s="78" t="e">
        <v>#N/A</v>
      </c>
      <c r="D58" s="60" t="s">
        <v>330</v>
      </c>
      <c r="E58" s="125" t="s">
        <v>331</v>
      </c>
      <c r="F58" s="124">
        <v>0</v>
      </c>
      <c r="G58" s="115" t="s">
        <v>1090</v>
      </c>
      <c r="H58" s="18" t="s">
        <v>619</v>
      </c>
      <c r="I58" s="18" t="s">
        <v>2</v>
      </c>
      <c r="J58" s="19" t="s">
        <v>566</v>
      </c>
      <c r="K58" s="99">
        <v>13742</v>
      </c>
      <c r="L58" s="97">
        <f>INDEX(Table1[Production],MATCH(rrcworking[[#This Row],[RRC ID Number]],Table1[RRC Identifier],0))</f>
        <v>0</v>
      </c>
      <c r="M58" s="29">
        <f>INDEX(Table1[Formation Production],MATCH(rrcworking[[#This Row],[RRC ID Number]],Table1[RRC Identifier],0))</f>
        <v>0</v>
      </c>
      <c r="N58" s="30">
        <f>INDEX(Table1[On Hand End of Month],MATCH(rrcworking[[#This Row],[RRC ID Number]],Table1[RRC Identifier],0))</f>
        <v>52</v>
      </c>
      <c r="O58" s="102" t="b">
        <f t="shared" si="1"/>
        <v>1</v>
      </c>
      <c r="Q58" s="122">
        <f>rrcworking[[#This Row],[Last Month Closing Stock]]</f>
        <v>52</v>
      </c>
      <c r="R58">
        <f>rrcworking[[#This Row],[Opening Oil Stock]]</f>
        <v>52</v>
      </c>
      <c r="S58" s="133">
        <f>IF(ISERROR(INDEX(Table2[OIL],MATCH(rrcworking[[#This Row],[Magnum Wolfpak '#]],Table2[Rox Wolf'#],0))),0,INDEX(Table2[OIL],MATCH(rrcworking[[#This Row],[Magnum Wolfpak '#]],Table2[Rox Wolf'#],0)))</f>
        <v>0</v>
      </c>
      <c r="T58" s="34">
        <f>rrcworking[[#This Row],[Closing Stock (Oil)]]+rrcworking[[#This Row],[Sales/Dispostion]]-rrcworking[[#This Row],[Opening Oil Stock]]</f>
        <v>0</v>
      </c>
      <c r="U58" s="108">
        <f>rrcworking[[#This Row],[Gauge Sheet Prod Volume (oil)]]-rrcworking[[#This Row],[Oil Production]]</f>
        <v>0</v>
      </c>
      <c r="V58" s="133">
        <f>IF(ISERROR(INDEX(Table2[GAS],MATCH(rrcworking[[#This Row],[Magnum Wolfpak '#]],Table2[Rox Wolf'#],0))),0,INDEX(Table2[GAS],MATCH(rrcworking[[#This Row],[Magnum Wolfpak '#]],Table2[Rox Wolf'#],0)))</f>
        <v>0</v>
      </c>
      <c r="W58" s="58"/>
      <c r="X58" s="58"/>
      <c r="Y58" s="133">
        <f>IF(ISERROR(INDEX(Table2[LEASE USE],MATCH(rrcworking[[#This Row],[Magnum Wolfpak '#]],Table2[Rox Wolf'#],0))),0,INDEX(Table2[LEASE USE],MATCH(rrcworking[[#This Row],[Magnum Wolfpak '#]],Table2[Rox Wolf'#],0)))</f>
        <v>0</v>
      </c>
      <c r="Z58" s="133"/>
      <c r="AA58" s="56">
        <f>rrcworking[[#This Row],[Gas Sales Statement Volume (MCF)]]+rrcworking[[#This Row],[Lease Use (MCF)]]+rrcworking[[#This Row],[Flared Gas]]</f>
        <v>0</v>
      </c>
      <c r="AB58" s="36"/>
      <c r="AC58" s="36"/>
      <c r="AD58" s="175">
        <f>COUNTIF(FilterList,rrcworking[[#This Row],[Magnum Wolfpak '#]])</f>
        <v>0</v>
      </c>
      <c r="AE58" s="172"/>
      <c r="AF58" s="173"/>
      <c r="AG58" s="36"/>
      <c r="AH58" s="36"/>
      <c r="AI58" s="36"/>
      <c r="AJ58" s="36"/>
      <c r="AK58" s="36"/>
      <c r="AL58" s="36"/>
      <c r="AM58" s="36"/>
      <c r="AN58" s="36"/>
      <c r="AO58" s="36"/>
      <c r="AP58" s="36"/>
    </row>
    <row r="59" spans="3:42" ht="14">
      <c r="C59" s="78" t="e">
        <v>#N/A</v>
      </c>
      <c r="D59" s="60" t="s">
        <v>317</v>
      </c>
      <c r="E59" s="125" t="s">
        <v>318</v>
      </c>
      <c r="F59" s="124">
        <v>1</v>
      </c>
      <c r="G59" s="115" t="s">
        <v>1090</v>
      </c>
      <c r="H59" s="18" t="s">
        <v>619</v>
      </c>
      <c r="I59" s="18" t="s">
        <v>59</v>
      </c>
      <c r="J59" s="19" t="s">
        <v>557</v>
      </c>
      <c r="K59" s="99">
        <v>39333</v>
      </c>
      <c r="L59" s="97">
        <f>INDEX(Table1[Production],MATCH(rrcworking[[#This Row],[RRC ID Number]],Table1[RRC Identifier],0))</f>
        <v>0</v>
      </c>
      <c r="M59" s="29">
        <f>INDEX(Table1[Formation Production],MATCH(rrcworking[[#This Row],[RRC ID Number]],Table1[RRC Identifier],0))</f>
        <v>0</v>
      </c>
      <c r="N59" s="30">
        <f>INDEX(Table1[On Hand End of Month],MATCH(rrcworking[[#This Row],[RRC ID Number]],Table1[RRC Identifier],0))</f>
        <v>0</v>
      </c>
      <c r="O59" s="102" t="b">
        <f t="shared" si="1"/>
        <v>1</v>
      </c>
      <c r="Q59" s="122">
        <f>rrcworking[[#This Row],[Last Month Closing Stock]]</f>
        <v>0</v>
      </c>
      <c r="R59">
        <f>rrcworking[[#This Row],[Opening Oil Stock]]</f>
        <v>0</v>
      </c>
      <c r="S59" s="133">
        <f>IF(ISERROR(INDEX(Table2[OIL],MATCH(rrcworking[[#This Row],[Magnum Wolfpak '#]],Table2[Rox Wolf'#],0))),0,INDEX(Table2[OIL],MATCH(rrcworking[[#This Row],[Magnum Wolfpak '#]],Table2[Rox Wolf'#],0)))</f>
        <v>0</v>
      </c>
      <c r="T59" s="34">
        <f>rrcworking[[#This Row],[Closing Stock (Oil)]]+rrcworking[[#This Row],[Sales/Dispostion]]-rrcworking[[#This Row],[Opening Oil Stock]]</f>
        <v>0</v>
      </c>
      <c r="U59" s="108">
        <f>rrcworking[[#This Row],[Gauge Sheet Prod Volume (oil)]]-rrcworking[[#This Row],[Oil Production]]</f>
        <v>0</v>
      </c>
      <c r="V59" s="133">
        <f>IF(ISERROR(INDEX(Table2[GAS],MATCH(rrcworking[[#This Row],[Magnum Wolfpak '#]],Table2[Rox Wolf'#],0))),0,INDEX(Table2[GAS],MATCH(rrcworking[[#This Row],[Magnum Wolfpak '#]],Table2[Rox Wolf'#],0)))</f>
        <v>0</v>
      </c>
      <c r="W59" s="58"/>
      <c r="X59" s="58"/>
      <c r="Y59" s="133">
        <f>IF(ISERROR(INDEX(Table2[LEASE USE],MATCH(rrcworking[[#This Row],[Magnum Wolfpak '#]],Table2[Rox Wolf'#],0))),0,INDEX(Table2[LEASE USE],MATCH(rrcworking[[#This Row],[Magnum Wolfpak '#]],Table2[Rox Wolf'#],0)))</f>
        <v>0</v>
      </c>
      <c r="Z59" s="133"/>
      <c r="AA59" s="56">
        <f>rrcworking[[#This Row],[Gas Sales Statement Volume (MCF)]]+rrcworking[[#This Row],[Lease Use (MCF)]]+rrcworking[[#This Row],[Flared Gas]]</f>
        <v>0</v>
      </c>
      <c r="AB59" s="36"/>
      <c r="AC59" s="36"/>
      <c r="AD59" s="175">
        <f>COUNTIF(FilterList,rrcworking[[#This Row],[Magnum Wolfpak '#]])</f>
        <v>0</v>
      </c>
      <c r="AE59" s="172"/>
      <c r="AF59" s="173"/>
      <c r="AG59" s="36"/>
      <c r="AH59" s="36"/>
      <c r="AI59" s="36"/>
      <c r="AJ59" s="36"/>
      <c r="AK59" s="36"/>
      <c r="AL59" s="36"/>
      <c r="AM59" s="36"/>
      <c r="AN59" s="36"/>
      <c r="AO59" s="36"/>
      <c r="AP59" s="36"/>
    </row>
    <row r="60" spans="3:42" ht="14">
      <c r="C60" s="78" t="e">
        <v>#N/A</v>
      </c>
      <c r="D60" s="60" t="s">
        <v>319</v>
      </c>
      <c r="E60" s="125" t="s">
        <v>320</v>
      </c>
      <c r="F60" s="124">
        <v>0</v>
      </c>
      <c r="G60" s="115" t="s">
        <v>1090</v>
      </c>
      <c r="H60" s="18" t="s">
        <v>619</v>
      </c>
      <c r="I60" s="18" t="s">
        <v>2</v>
      </c>
      <c r="J60" s="19" t="s">
        <v>558</v>
      </c>
      <c r="K60" s="99">
        <v>13726</v>
      </c>
      <c r="L60" s="97">
        <f>INDEX(Table1[Production],MATCH(rrcworking[[#This Row],[RRC ID Number]],Table1[RRC Identifier],0))</f>
        <v>0</v>
      </c>
      <c r="M60" s="29">
        <f>INDEX(Table1[Formation Production],MATCH(rrcworking[[#This Row],[RRC ID Number]],Table1[RRC Identifier],0))</f>
        <v>0</v>
      </c>
      <c r="N60" s="30">
        <f>INDEX(Table1[On Hand End of Month],MATCH(rrcworking[[#This Row],[RRC ID Number]],Table1[RRC Identifier],0))</f>
        <v>90</v>
      </c>
      <c r="O60" s="102" t="b">
        <f t="shared" si="1"/>
        <v>1</v>
      </c>
      <c r="Q60" s="122">
        <f>rrcworking[[#This Row],[Last Month Closing Stock]]</f>
        <v>90</v>
      </c>
      <c r="R60">
        <f>rrcworking[[#This Row],[Opening Oil Stock]]</f>
        <v>90</v>
      </c>
      <c r="S60" s="133">
        <f>IF(ISERROR(INDEX(Table2[OIL],MATCH(rrcworking[[#This Row],[Magnum Wolfpak '#]],Table2[Rox Wolf'#],0))),0,INDEX(Table2[OIL],MATCH(rrcworking[[#This Row],[Magnum Wolfpak '#]],Table2[Rox Wolf'#],0)))</f>
        <v>0</v>
      </c>
      <c r="T60" s="34">
        <f>rrcworking[[#This Row],[Closing Stock (Oil)]]+rrcworking[[#This Row],[Sales/Dispostion]]-rrcworking[[#This Row],[Opening Oil Stock]]</f>
        <v>0</v>
      </c>
      <c r="U60" s="108">
        <f>rrcworking[[#This Row],[Gauge Sheet Prod Volume (oil)]]-rrcworking[[#This Row],[Oil Production]]</f>
        <v>0</v>
      </c>
      <c r="V60" s="133">
        <f>IF(ISERROR(INDEX(Table2[GAS],MATCH(rrcworking[[#This Row],[Magnum Wolfpak '#]],Table2[Rox Wolf'#],0))),0,INDEX(Table2[GAS],MATCH(rrcworking[[#This Row],[Magnum Wolfpak '#]],Table2[Rox Wolf'#],0)))</f>
        <v>0</v>
      </c>
      <c r="W60" s="58"/>
      <c r="X60" s="58"/>
      <c r="Y60" s="133">
        <f>IF(ISERROR(INDEX(Table2[LEASE USE],MATCH(rrcworking[[#This Row],[Magnum Wolfpak '#]],Table2[Rox Wolf'#],0))),0,INDEX(Table2[LEASE USE],MATCH(rrcworking[[#This Row],[Magnum Wolfpak '#]],Table2[Rox Wolf'#],0)))</f>
        <v>0</v>
      </c>
      <c r="Z60" s="133"/>
      <c r="AA60" s="56">
        <f>rrcworking[[#This Row],[Gas Sales Statement Volume (MCF)]]+rrcworking[[#This Row],[Lease Use (MCF)]]+rrcworking[[#This Row],[Flared Gas]]</f>
        <v>0</v>
      </c>
      <c r="AB60" s="36"/>
      <c r="AC60" s="36"/>
      <c r="AD60" s="175">
        <f>COUNTIF(FilterList,rrcworking[[#This Row],[Magnum Wolfpak '#]])</f>
        <v>0</v>
      </c>
      <c r="AE60" s="172"/>
      <c r="AF60" s="173"/>
      <c r="AG60" s="36"/>
      <c r="AH60" s="36"/>
      <c r="AI60" s="36"/>
      <c r="AJ60" s="36"/>
      <c r="AK60" s="36"/>
      <c r="AL60" s="36"/>
      <c r="AM60" s="36"/>
      <c r="AN60" s="36"/>
      <c r="AO60" s="36"/>
      <c r="AP60" s="36"/>
    </row>
    <row r="61" spans="3:42" ht="14">
      <c r="C61" s="78" t="e">
        <v>#N/A</v>
      </c>
      <c r="D61" s="60" t="s">
        <v>304</v>
      </c>
      <c r="E61" s="125" t="s">
        <v>305</v>
      </c>
      <c r="F61" s="124">
        <v>1</v>
      </c>
      <c r="G61" s="115" t="s">
        <v>1090</v>
      </c>
      <c r="H61" s="18" t="s">
        <v>618</v>
      </c>
      <c r="I61" s="18" t="s">
        <v>59</v>
      </c>
      <c r="J61" s="19" t="s">
        <v>550</v>
      </c>
      <c r="K61" s="99">
        <v>200844</v>
      </c>
      <c r="L61" s="97">
        <f>INDEX(Table1[Production],MATCH(rrcworking[[#This Row],[RRC ID Number]],Table1[RRC Identifier],0))</f>
        <v>0</v>
      </c>
      <c r="M61" s="29">
        <f>INDEX(Table1[Formation Production],MATCH(rrcworking[[#This Row],[RRC ID Number]],Table1[RRC Identifier],0))</f>
        <v>0</v>
      </c>
      <c r="N61" s="30">
        <f>INDEX(Table1[On Hand End of Month],MATCH(rrcworking[[#This Row],[RRC ID Number]],Table1[RRC Identifier],0))</f>
        <v>135</v>
      </c>
      <c r="O61" s="102" t="b">
        <f t="shared" si="1"/>
        <v>1</v>
      </c>
      <c r="Q61" s="122">
        <f>rrcworking[[#This Row],[Last Month Closing Stock]]</f>
        <v>135</v>
      </c>
      <c r="R61">
        <f>rrcworking[[#This Row],[Opening Oil Stock]]</f>
        <v>135</v>
      </c>
      <c r="S61" s="133">
        <f>IF(ISERROR(INDEX(Table2[OIL],MATCH(rrcworking[[#This Row],[Magnum Wolfpak '#]],Table2[Rox Wolf'#],0))),0,INDEX(Table2[OIL],MATCH(rrcworking[[#This Row],[Magnum Wolfpak '#]],Table2[Rox Wolf'#],0)))</f>
        <v>0</v>
      </c>
      <c r="T61" s="34">
        <f>rrcworking[[#This Row],[Closing Stock (Oil)]]+rrcworking[[#This Row],[Sales/Dispostion]]-rrcworking[[#This Row],[Opening Oil Stock]]</f>
        <v>0</v>
      </c>
      <c r="U61" s="108">
        <f>rrcworking[[#This Row],[Gauge Sheet Prod Volume (oil)]]-rrcworking[[#This Row],[Oil Production]]</f>
        <v>0</v>
      </c>
      <c r="V61" s="133">
        <f>IF(ISERROR(INDEX(Table2[GAS],MATCH(rrcworking[[#This Row],[Magnum Wolfpak '#]],Table2[Rox Wolf'#],0))),0,INDEX(Table2[GAS],MATCH(rrcworking[[#This Row],[Magnum Wolfpak '#]],Table2[Rox Wolf'#],0)))</f>
        <v>0</v>
      </c>
      <c r="W61" s="58"/>
      <c r="X61" s="58"/>
      <c r="Y61" s="133">
        <f>IF(ISERROR(INDEX(Table2[LEASE USE],MATCH(rrcworking[[#This Row],[Magnum Wolfpak '#]],Table2[Rox Wolf'#],0))),0,INDEX(Table2[LEASE USE],MATCH(rrcworking[[#This Row],[Magnum Wolfpak '#]],Table2[Rox Wolf'#],0)))</f>
        <v>0</v>
      </c>
      <c r="Z61" s="133"/>
      <c r="AA61" s="56">
        <f>rrcworking[[#This Row],[Gas Sales Statement Volume (MCF)]]+rrcworking[[#This Row],[Lease Use (MCF)]]+rrcworking[[#This Row],[Flared Gas]]</f>
        <v>0</v>
      </c>
      <c r="AB61" s="36"/>
      <c r="AC61" s="36"/>
      <c r="AD61" s="175">
        <f>COUNTIF(FilterList,rrcworking[[#This Row],[Magnum Wolfpak '#]])</f>
        <v>0</v>
      </c>
      <c r="AE61" s="172"/>
      <c r="AF61" s="173"/>
      <c r="AG61" s="36"/>
      <c r="AH61" s="36"/>
      <c r="AI61" s="36"/>
      <c r="AJ61" s="36"/>
      <c r="AK61" s="36"/>
      <c r="AL61" s="36"/>
      <c r="AM61" s="36"/>
      <c r="AN61" s="36"/>
      <c r="AO61" s="36"/>
      <c r="AP61" s="36"/>
    </row>
    <row r="62" spans="3:42" ht="14">
      <c r="C62" s="78" t="e">
        <v>#N/A</v>
      </c>
      <c r="D62" s="60" t="s">
        <v>258</v>
      </c>
      <c r="E62" s="125" t="s">
        <v>259</v>
      </c>
      <c r="F62" s="124">
        <v>1</v>
      </c>
      <c r="G62" s="115" t="s">
        <v>1090</v>
      </c>
      <c r="H62" s="18" t="s">
        <v>618</v>
      </c>
      <c r="I62" s="18" t="s">
        <v>59</v>
      </c>
      <c r="J62" s="19" t="s">
        <v>518</v>
      </c>
      <c r="K62" s="99">
        <v>158027</v>
      </c>
      <c r="L62" s="97">
        <f>INDEX(Table1[Production],MATCH(rrcworking[[#This Row],[RRC ID Number]],Table1[RRC Identifier],0))</f>
        <v>0</v>
      </c>
      <c r="M62" s="29">
        <f>INDEX(Table1[Formation Production],MATCH(rrcworking[[#This Row],[RRC ID Number]],Table1[RRC Identifier],0))</f>
        <v>0</v>
      </c>
      <c r="N62" s="30">
        <f>INDEX(Table1[On Hand End of Month],MATCH(rrcworking[[#This Row],[RRC ID Number]],Table1[RRC Identifier],0))</f>
        <v>0</v>
      </c>
      <c r="O62" s="102" t="b">
        <f t="shared" si="1"/>
        <v>1</v>
      </c>
      <c r="Q62" s="122">
        <f>rrcworking[[#This Row],[Last Month Closing Stock]]</f>
        <v>0</v>
      </c>
      <c r="R62">
        <f>rrcworking[[#This Row],[Opening Oil Stock]]</f>
        <v>0</v>
      </c>
      <c r="S62" s="133">
        <f>IF(ISERROR(INDEX(Table2[OIL],MATCH(rrcworking[[#This Row],[Magnum Wolfpak '#]],Table2[Rox Wolf'#],0))),0,INDEX(Table2[OIL],MATCH(rrcworking[[#This Row],[Magnum Wolfpak '#]],Table2[Rox Wolf'#],0)))</f>
        <v>0</v>
      </c>
      <c r="T62" s="34">
        <f>rrcworking[[#This Row],[Closing Stock (Oil)]]+rrcworking[[#This Row],[Sales/Dispostion]]-rrcworking[[#This Row],[Opening Oil Stock]]</f>
        <v>0</v>
      </c>
      <c r="U62" s="108">
        <f>rrcworking[[#This Row],[Gauge Sheet Prod Volume (oil)]]-rrcworking[[#This Row],[Oil Production]]</f>
        <v>0</v>
      </c>
      <c r="V62" s="133">
        <f>IF(ISERROR(INDEX(Table2[GAS],MATCH(rrcworking[[#This Row],[Magnum Wolfpak '#]],Table2[Rox Wolf'#],0))),0,INDEX(Table2[GAS],MATCH(rrcworking[[#This Row],[Magnum Wolfpak '#]],Table2[Rox Wolf'#],0)))</f>
        <v>0</v>
      </c>
      <c r="W62" s="58"/>
      <c r="X62" s="58"/>
      <c r="Y62" s="133">
        <f>IF(ISERROR(INDEX(Table2[LEASE USE],MATCH(rrcworking[[#This Row],[Magnum Wolfpak '#]],Table2[Rox Wolf'#],0))),0,INDEX(Table2[LEASE USE],MATCH(rrcworking[[#This Row],[Magnum Wolfpak '#]],Table2[Rox Wolf'#],0)))</f>
        <v>0</v>
      </c>
      <c r="Z62" s="133"/>
      <c r="AA62" s="56">
        <f>rrcworking[[#This Row],[Gas Sales Statement Volume (MCF)]]+rrcworking[[#This Row],[Lease Use (MCF)]]+rrcworking[[#This Row],[Flared Gas]]</f>
        <v>0</v>
      </c>
      <c r="AB62" s="93"/>
      <c r="AC62" s="36"/>
      <c r="AD62" s="175">
        <f>COUNTIF(FilterList,rrcworking[[#This Row],[Magnum Wolfpak '#]])</f>
        <v>0</v>
      </c>
      <c r="AE62" s="172"/>
      <c r="AF62" s="173"/>
      <c r="AG62" s="36"/>
      <c r="AH62" s="36"/>
      <c r="AI62" s="36"/>
      <c r="AJ62" s="36"/>
      <c r="AK62" s="36"/>
      <c r="AL62" s="36"/>
      <c r="AM62" s="36"/>
      <c r="AN62" s="36"/>
      <c r="AO62" s="36"/>
      <c r="AP62" s="36"/>
    </row>
    <row r="63" spans="3:42" ht="14">
      <c r="C63" s="78">
        <v>99007</v>
      </c>
      <c r="D63" s="60" t="s">
        <v>274</v>
      </c>
      <c r="E63" s="125" t="s">
        <v>280</v>
      </c>
      <c r="F63" s="124">
        <v>6</v>
      </c>
      <c r="G63" s="115" t="s">
        <v>1090</v>
      </c>
      <c r="H63" s="18" t="s">
        <v>618</v>
      </c>
      <c r="I63" s="18" t="s">
        <v>59</v>
      </c>
      <c r="J63" s="19" t="s">
        <v>531</v>
      </c>
      <c r="K63" s="99">
        <v>210200</v>
      </c>
      <c r="L63" s="97">
        <f>INDEX(Table1[Production],MATCH(rrcworking[[#This Row],[RRC ID Number]],Table1[RRC Identifier],0))</f>
        <v>0</v>
      </c>
      <c r="M63" s="29">
        <f>INDEX(Table1[Formation Production],MATCH(rrcworking[[#This Row],[RRC ID Number]],Table1[RRC Identifier],0))</f>
        <v>224</v>
      </c>
      <c r="N63" s="30">
        <f>INDEX(Table1[On Hand End of Month],MATCH(rrcworking[[#This Row],[RRC ID Number]],Table1[RRC Identifier],0))</f>
        <v>33</v>
      </c>
      <c r="O63" s="102" t="b">
        <f t="shared" si="1"/>
        <v>0</v>
      </c>
      <c r="P63">
        <v>0</v>
      </c>
      <c r="Q63" s="122">
        <f>rrcworking[[#This Row],[Last Month Closing Stock]]</f>
        <v>33</v>
      </c>
      <c r="R63">
        <v>33</v>
      </c>
      <c r="S63" s="133">
        <f>IF(ISERROR(INDEX(Table2[OIL],MATCH(rrcworking[[#This Row],[Magnum Wolfpak '#]],Table2[Rox Wolf'#],0))),0,INDEX(Table2[OIL],MATCH(rrcworking[[#This Row],[Magnum Wolfpak '#]],Table2[Rox Wolf'#],0)))</f>
        <v>0</v>
      </c>
      <c r="T63" s="34">
        <f>rrcworking[[#This Row],[Closing Stock (Oil)]]+rrcworking[[#This Row],[Sales/Dispostion]]-rrcworking[[#This Row],[Opening Oil Stock]]</f>
        <v>0</v>
      </c>
      <c r="U63" s="108">
        <f>rrcworking[[#This Row],[Gauge Sheet Prod Volume (oil)]]-rrcworking[[#This Row],[Oil Production]]</f>
        <v>0</v>
      </c>
      <c r="V63" s="133">
        <f>IF(ISERROR(INDEX(Table2[GAS],MATCH(rrcworking[[#This Row],[Magnum Wolfpak '#]],Table2[Rox Wolf'#],0))),0,INDEX(Table2[GAS],MATCH(rrcworking[[#This Row],[Magnum Wolfpak '#]],Table2[Rox Wolf'#],0)))</f>
        <v>283</v>
      </c>
      <c r="W63" s="82"/>
      <c r="X63" s="58">
        <v>1</v>
      </c>
      <c r="Y63" s="133">
        <f>IF(ISERROR(INDEX(Table2[LEASE USE],MATCH(rrcworking[[#This Row],[Magnum Wolfpak '#]],Table2[Rox Wolf'#],0))),0,INDEX(Table2[LEASE USE],MATCH(rrcworking[[#This Row],[Magnum Wolfpak '#]],Table2[Rox Wolf'#],0)))</f>
        <v>14</v>
      </c>
      <c r="Z63" s="133"/>
      <c r="AA63" s="56">
        <f>rrcworking[[#This Row],[Gas Sales Statement Volume (MCF)]]+rrcworking[[#This Row],[Lease Use (MCF)]]+rrcworking[[#This Row],[Flared Gas]]</f>
        <v>297</v>
      </c>
      <c r="AB63" s="36"/>
      <c r="AC63" s="36"/>
      <c r="AD63" s="175">
        <f>COUNTIF(FilterList,rrcworking[[#This Row],[Magnum Wolfpak '#]])</f>
        <v>0</v>
      </c>
      <c r="AE63" s="172"/>
      <c r="AF63" s="173"/>
      <c r="AG63" s="36"/>
      <c r="AH63" s="36"/>
      <c r="AI63" s="174"/>
      <c r="AJ63" s="174"/>
      <c r="AK63" s="174"/>
      <c r="AL63" s="174"/>
      <c r="AM63" s="174"/>
      <c r="AN63" s="174"/>
      <c r="AO63" s="36" t="s">
        <v>1163</v>
      </c>
      <c r="AP63" s="36" t="s">
        <v>1197</v>
      </c>
    </row>
    <row r="64" spans="3:42" ht="28">
      <c r="C64" s="78">
        <v>98988</v>
      </c>
      <c r="D64" s="60" t="s">
        <v>274</v>
      </c>
      <c r="E64" s="125" t="s">
        <v>280</v>
      </c>
      <c r="F64" s="124">
        <v>2</v>
      </c>
      <c r="G64" s="115" t="s">
        <v>1090</v>
      </c>
      <c r="H64" s="18" t="s">
        <v>618</v>
      </c>
      <c r="I64" s="18" t="s">
        <v>59</v>
      </c>
      <c r="J64" s="19" t="s">
        <v>532</v>
      </c>
      <c r="K64" s="99">
        <v>215622</v>
      </c>
      <c r="L64" s="97">
        <f>INDEX(Table1[Production],MATCH(rrcworking[[#This Row],[RRC ID Number]],Table1[RRC Identifier],0))</f>
        <v>65</v>
      </c>
      <c r="M64" s="29">
        <f>INDEX(Table1[Formation Production],MATCH(rrcworking[[#This Row],[RRC ID Number]],Table1[RRC Identifier],0))</f>
        <v>2228</v>
      </c>
      <c r="N64" s="30">
        <f>INDEX(Table1[On Hand End of Month],MATCH(rrcworking[[#This Row],[RRC ID Number]],Table1[RRC Identifier],0))</f>
        <v>163</v>
      </c>
      <c r="O64" s="102" t="b">
        <f t="shared" si="1"/>
        <v>0</v>
      </c>
      <c r="P64">
        <v>0</v>
      </c>
      <c r="Q64" s="122">
        <f>rrcworking[[#This Row],[Last Month Closing Stock]]</f>
        <v>163</v>
      </c>
      <c r="R64">
        <v>163</v>
      </c>
      <c r="S64" s="133">
        <f>IF(ISERROR(INDEX(Table2[OIL],MATCH(rrcworking[[#This Row],[Magnum Wolfpak '#]],Table2[Rox Wolf'#],0))),0,INDEX(Table2[OIL],MATCH(rrcworking[[#This Row],[Magnum Wolfpak '#]],Table2[Rox Wolf'#],0)))</f>
        <v>0</v>
      </c>
      <c r="T64" s="34">
        <f>rrcworking[[#This Row],[Closing Stock (Oil)]]+rrcworking[[#This Row],[Sales/Dispostion]]-rrcworking[[#This Row],[Opening Oil Stock]]</f>
        <v>0</v>
      </c>
      <c r="U64" s="108">
        <f>rrcworking[[#This Row],[Gauge Sheet Prod Volume (oil)]]-rrcworking[[#This Row],[Oil Production]]</f>
        <v>0</v>
      </c>
      <c r="V64" s="133">
        <f>IF(ISERROR(INDEX(Table2[GAS],MATCH(rrcworking[[#This Row],[Magnum Wolfpak '#]],Table2[Rox Wolf'#],0))),0,INDEX(Table2[GAS],MATCH(rrcworking[[#This Row],[Magnum Wolfpak '#]],Table2[Rox Wolf'#],0)))</f>
        <v>218</v>
      </c>
      <c r="W64" s="82"/>
      <c r="X64" s="58">
        <v>5</v>
      </c>
      <c r="Y64" s="133">
        <f>IF(ISERROR(INDEX(Table2[LEASE USE],MATCH(rrcworking[[#This Row],[Magnum Wolfpak '#]],Table2[Rox Wolf'#],0))),0,INDEX(Table2[LEASE USE],MATCH(rrcworking[[#This Row],[Magnum Wolfpak '#]],Table2[Rox Wolf'#],0)))</f>
        <v>25</v>
      </c>
      <c r="Z64" s="133"/>
      <c r="AA64" s="56">
        <f>rrcworking[[#This Row],[Gas Sales Statement Volume (MCF)]]+rrcworking[[#This Row],[Lease Use (MCF)]]+rrcworking[[#This Row],[Flared Gas]]</f>
        <v>243</v>
      </c>
      <c r="AB64" s="36"/>
      <c r="AC64" s="36" t="s">
        <v>1295</v>
      </c>
      <c r="AD64" s="175">
        <f>COUNTIF(FilterList,rrcworking[[#This Row],[Magnum Wolfpak '#]])</f>
        <v>0</v>
      </c>
      <c r="AE64" s="172"/>
      <c r="AF64" s="173"/>
      <c r="AG64" s="36"/>
      <c r="AH64" s="36"/>
      <c r="AI64" s="174"/>
      <c r="AJ64" s="174"/>
      <c r="AK64" s="174"/>
      <c r="AL64" s="174"/>
      <c r="AM64" s="174"/>
      <c r="AN64" s="174"/>
      <c r="AO64" s="36" t="s">
        <v>1163</v>
      </c>
      <c r="AP64" s="36" t="s">
        <v>1197</v>
      </c>
    </row>
    <row r="65" spans="3:42" ht="14">
      <c r="C65" s="78">
        <v>98987</v>
      </c>
      <c r="D65" s="60" t="s">
        <v>274</v>
      </c>
      <c r="E65" s="125" t="s">
        <v>276</v>
      </c>
      <c r="F65" s="124">
        <v>1</v>
      </c>
      <c r="G65" s="115" t="s">
        <v>1090</v>
      </c>
      <c r="H65" s="18" t="s">
        <v>618</v>
      </c>
      <c r="I65" s="18" t="s">
        <v>59</v>
      </c>
      <c r="J65" s="19" t="s">
        <v>527</v>
      </c>
      <c r="K65" s="99">
        <v>183638</v>
      </c>
      <c r="L65" s="97">
        <f>INDEX(Table1[Production],MATCH(rrcworking[[#This Row],[RRC ID Number]],Table1[RRC Identifier],0))</f>
        <v>0</v>
      </c>
      <c r="M65" s="29">
        <f>INDEX(Table1[Formation Production],MATCH(rrcworking[[#This Row],[RRC ID Number]],Table1[RRC Identifier],0))</f>
        <v>0</v>
      </c>
      <c r="N65" s="30">
        <f>INDEX(Table1[On Hand End of Month],MATCH(rrcworking[[#This Row],[RRC ID Number]],Table1[RRC Identifier],0))</f>
        <v>0</v>
      </c>
      <c r="O65" s="102" t="b">
        <f t="shared" si="1"/>
        <v>1</v>
      </c>
      <c r="P65">
        <v>0</v>
      </c>
      <c r="Q65" s="122">
        <f>rrcworking[[#This Row],[Last Month Closing Stock]]</f>
        <v>0</v>
      </c>
      <c r="R65">
        <v>0</v>
      </c>
      <c r="S65" s="133">
        <f>IF(ISERROR(INDEX(Table2[OIL],MATCH(rrcworking[[#This Row],[Magnum Wolfpak '#]],Table2[Rox Wolf'#],0))),0,INDEX(Table2[OIL],MATCH(rrcworking[[#This Row],[Magnum Wolfpak '#]],Table2[Rox Wolf'#],0)))</f>
        <v>0</v>
      </c>
      <c r="T65" s="34">
        <f>rrcworking[[#This Row],[Closing Stock (Oil)]]+rrcworking[[#This Row],[Sales/Dispostion]]-rrcworking[[#This Row],[Opening Oil Stock]]</f>
        <v>0</v>
      </c>
      <c r="U65" s="108">
        <f>rrcworking[[#This Row],[Gauge Sheet Prod Volume (oil)]]-rrcworking[[#This Row],[Oil Production]]</f>
        <v>0</v>
      </c>
      <c r="V65" s="133">
        <f>IF(ISERROR(INDEX(Table2[GAS],MATCH(rrcworking[[#This Row],[Magnum Wolfpak '#]],Table2[Rox Wolf'#],0))),0,INDEX(Table2[GAS],MATCH(rrcworking[[#This Row],[Magnum Wolfpak '#]],Table2[Rox Wolf'#],0)))</f>
        <v>500</v>
      </c>
      <c r="W65" s="82"/>
      <c r="X65" s="58">
        <v>1</v>
      </c>
      <c r="Y65" s="133">
        <f>IF(ISERROR(INDEX(Table2[LEASE USE],MATCH(rrcworking[[#This Row],[Magnum Wolfpak '#]],Table2[Rox Wolf'#],0))),0,INDEX(Table2[LEASE USE],MATCH(rrcworking[[#This Row],[Magnum Wolfpak '#]],Table2[Rox Wolf'#],0)))</f>
        <v>13</v>
      </c>
      <c r="Z65" s="133"/>
      <c r="AA65" s="56">
        <f>rrcworking[[#This Row],[Gas Sales Statement Volume (MCF)]]+rrcworking[[#This Row],[Lease Use (MCF)]]+rrcworking[[#This Row],[Flared Gas]]</f>
        <v>513</v>
      </c>
      <c r="AB65" s="36"/>
      <c r="AC65" s="36"/>
      <c r="AD65" s="175">
        <f>COUNTIF(FilterList,rrcworking[[#This Row],[Magnum Wolfpak '#]])</f>
        <v>0</v>
      </c>
      <c r="AE65" s="172"/>
      <c r="AF65" s="173"/>
      <c r="AG65" s="36"/>
      <c r="AH65" s="36"/>
      <c r="AI65" s="174"/>
      <c r="AJ65" s="174"/>
      <c r="AK65" s="174"/>
      <c r="AL65" s="174"/>
      <c r="AM65" s="174"/>
      <c r="AN65" s="174"/>
      <c r="AO65" s="36" t="s">
        <v>1163</v>
      </c>
      <c r="AP65" s="36" t="s">
        <v>1197</v>
      </c>
    </row>
    <row r="66" spans="3:42" ht="56">
      <c r="C66" s="78">
        <v>98956</v>
      </c>
      <c r="D66" s="60" t="s">
        <v>274</v>
      </c>
      <c r="E66" s="125" t="s">
        <v>277</v>
      </c>
      <c r="F66" s="124">
        <v>1</v>
      </c>
      <c r="G66" s="115">
        <v>1988</v>
      </c>
      <c r="H66" s="18" t="s">
        <v>618</v>
      </c>
      <c r="I66" s="18" t="s">
        <v>59</v>
      </c>
      <c r="J66" s="19" t="s">
        <v>528</v>
      </c>
      <c r="K66" s="99">
        <v>199834</v>
      </c>
      <c r="L66" s="97">
        <f>INDEX(Table1[Production],MATCH(rrcworking[[#This Row],[RRC ID Number]],Table1[RRC Identifier],0))</f>
        <v>50</v>
      </c>
      <c r="M66" s="29">
        <f>INDEX(Table1[Formation Production],MATCH(rrcworking[[#This Row],[RRC ID Number]],Table1[RRC Identifier],0))</f>
        <v>687</v>
      </c>
      <c r="N66" s="30">
        <f>INDEX(Table1[On Hand End of Month],MATCH(rrcworking[[#This Row],[RRC ID Number]],Table1[RRC Identifier],0))</f>
        <v>239</v>
      </c>
      <c r="O66" s="102" t="b">
        <f t="shared" si="1"/>
        <v>0</v>
      </c>
      <c r="P66">
        <v>29</v>
      </c>
      <c r="Q66" s="122">
        <f>rrcworking[[#This Row],[Last Month Closing Stock]]</f>
        <v>239</v>
      </c>
      <c r="R66">
        <v>268</v>
      </c>
      <c r="S66" s="133">
        <f>IF(ISERROR(INDEX(Table2[OIL],MATCH(rrcworking[[#This Row],[Magnum Wolfpak '#]],Table2[Rox Wolf'#],0))),0,INDEX(Table2[OIL],MATCH(rrcworking[[#This Row],[Magnum Wolfpak '#]],Table2[Rox Wolf'#],0)))</f>
        <v>0</v>
      </c>
      <c r="T66" s="34">
        <f>rrcworking[[#This Row],[Closing Stock (Oil)]]+rrcworking[[#This Row],[Sales/Dispostion]]-rrcworking[[#This Row],[Opening Oil Stock]]</f>
        <v>29</v>
      </c>
      <c r="U66" s="108">
        <f>rrcworking[[#This Row],[Gauge Sheet Prod Volume (oil)]]-rrcworking[[#This Row],[Oil Production]]</f>
        <v>0</v>
      </c>
      <c r="V66" s="133">
        <f>IF(ISERROR(INDEX(Table2[GAS],MATCH(rrcworking[[#This Row],[Magnum Wolfpak '#]],Table2[Rox Wolf'#],0))),0,INDEX(Table2[GAS],MATCH(rrcworking[[#This Row],[Magnum Wolfpak '#]],Table2[Rox Wolf'#],0)))</f>
        <v>699</v>
      </c>
      <c r="W66" s="82"/>
      <c r="X66" s="58">
        <v>2</v>
      </c>
      <c r="Y66" s="133">
        <f>IF(ISERROR(INDEX(Table2[LEASE USE],MATCH(rrcworking[[#This Row],[Magnum Wolfpak '#]],Table2[Rox Wolf'#],0))),0,INDEX(Table2[LEASE USE],MATCH(rrcworking[[#This Row],[Magnum Wolfpak '#]],Table2[Rox Wolf'#],0)))</f>
        <v>56</v>
      </c>
      <c r="Z66" s="133"/>
      <c r="AA66" s="56">
        <f>rrcworking[[#This Row],[Gas Sales Statement Volume (MCF)]]+rrcworking[[#This Row],[Lease Use (MCF)]]+rrcworking[[#This Row],[Flared Gas]]</f>
        <v>755</v>
      </c>
      <c r="AB66" s="36"/>
      <c r="AC66" s="36" t="s">
        <v>1144</v>
      </c>
      <c r="AD66" s="175">
        <f>COUNTIF(FilterList,rrcworking[[#This Row],[Magnum Wolfpak '#]])</f>
        <v>0</v>
      </c>
      <c r="AE66" s="172"/>
      <c r="AF66" s="173"/>
      <c r="AG66" s="36"/>
      <c r="AH66" s="36"/>
      <c r="AI66" s="174"/>
      <c r="AJ66" s="174"/>
      <c r="AK66" s="174"/>
      <c r="AL66" s="174"/>
      <c r="AM66" s="174"/>
      <c r="AN66" s="174"/>
      <c r="AO66" s="36" t="s">
        <v>1163</v>
      </c>
      <c r="AP66" s="36" t="s">
        <v>1197</v>
      </c>
    </row>
    <row r="67" spans="3:42" ht="14">
      <c r="C67" s="78" t="e">
        <v>#N/A</v>
      </c>
      <c r="D67" s="60" t="s">
        <v>274</v>
      </c>
      <c r="E67" s="125" t="s">
        <v>275</v>
      </c>
      <c r="F67" s="124">
        <v>4</v>
      </c>
      <c r="G67" s="115">
        <v>1988</v>
      </c>
      <c r="H67" s="18" t="s">
        <v>618</v>
      </c>
      <c r="I67" s="18" t="s">
        <v>59</v>
      </c>
      <c r="J67" s="19" t="s">
        <v>526</v>
      </c>
      <c r="K67" s="99">
        <v>163161</v>
      </c>
      <c r="L67" s="97">
        <f>INDEX(Table1[Production],MATCH(rrcworking[[#This Row],[RRC ID Number]],Table1[RRC Identifier],0))</f>
        <v>0</v>
      </c>
      <c r="M67" s="29">
        <f>INDEX(Table1[Formation Production],MATCH(rrcworking[[#This Row],[RRC ID Number]],Table1[RRC Identifier],0))</f>
        <v>0</v>
      </c>
      <c r="N67" s="30">
        <f>INDEX(Table1[On Hand End of Month],MATCH(rrcworking[[#This Row],[RRC ID Number]],Table1[RRC Identifier],0))</f>
        <v>0</v>
      </c>
      <c r="O67" s="102" t="b">
        <f t="shared" si="1"/>
        <v>1</v>
      </c>
      <c r="Q67" s="122">
        <f>rrcworking[[#This Row],[Last Month Closing Stock]]</f>
        <v>0</v>
      </c>
      <c r="R67">
        <f>rrcworking[[#This Row],[Opening Oil Stock]]</f>
        <v>0</v>
      </c>
      <c r="S67" s="133">
        <f>IF(ISERROR(INDEX(Table2[OIL],MATCH(rrcworking[[#This Row],[Magnum Wolfpak '#]],Table2[Rox Wolf'#],0))),0,INDEX(Table2[OIL],MATCH(rrcworking[[#This Row],[Magnum Wolfpak '#]],Table2[Rox Wolf'#],0)))</f>
        <v>0</v>
      </c>
      <c r="T67" s="34">
        <f>rrcworking[[#This Row],[Closing Stock (Oil)]]+rrcworking[[#This Row],[Sales/Dispostion]]-rrcworking[[#This Row],[Opening Oil Stock]]</f>
        <v>0</v>
      </c>
      <c r="U67" s="108">
        <f>rrcworking[[#This Row],[Gauge Sheet Prod Volume (oil)]]-rrcworking[[#This Row],[Oil Production]]</f>
        <v>0</v>
      </c>
      <c r="V67" s="133">
        <f>IF(ISERROR(INDEX(Table2[GAS],MATCH(rrcworking[[#This Row],[Magnum Wolfpak '#]],Table2[Rox Wolf'#],0))),0,INDEX(Table2[GAS],MATCH(rrcworking[[#This Row],[Magnum Wolfpak '#]],Table2[Rox Wolf'#],0)))</f>
        <v>0</v>
      </c>
      <c r="W67" s="58"/>
      <c r="X67" s="58"/>
      <c r="Y67" s="133">
        <f>IF(ISERROR(INDEX(Table2[LEASE USE],MATCH(rrcworking[[#This Row],[Magnum Wolfpak '#]],Table2[Rox Wolf'#],0))),0,INDEX(Table2[LEASE USE],MATCH(rrcworking[[#This Row],[Magnum Wolfpak '#]],Table2[Rox Wolf'#],0)))</f>
        <v>0</v>
      </c>
      <c r="Z67" s="133"/>
      <c r="AA67" s="56">
        <f>rrcworking[[#This Row],[Gas Sales Statement Volume (MCF)]]+rrcworking[[#This Row],[Lease Use (MCF)]]+rrcworking[[#This Row],[Flared Gas]]</f>
        <v>0</v>
      </c>
      <c r="AB67" s="36"/>
      <c r="AC67" s="36"/>
      <c r="AD67" s="175">
        <f>COUNTIF(FilterList,rrcworking[[#This Row],[Magnum Wolfpak '#]])</f>
        <v>0</v>
      </c>
      <c r="AE67" s="172"/>
      <c r="AF67" s="173"/>
      <c r="AG67" s="36"/>
      <c r="AH67" s="36"/>
      <c r="AI67" s="36"/>
      <c r="AJ67" s="36"/>
      <c r="AK67" s="36"/>
      <c r="AL67" s="36"/>
      <c r="AM67" s="36"/>
      <c r="AN67" s="36"/>
      <c r="AO67" s="36"/>
      <c r="AP67" s="36"/>
    </row>
    <row r="68" spans="3:42" ht="14">
      <c r="C68" s="78">
        <v>98959</v>
      </c>
      <c r="D68" s="60" t="s">
        <v>274</v>
      </c>
      <c r="E68" s="125" t="s">
        <v>278</v>
      </c>
      <c r="F68" s="124">
        <v>3</v>
      </c>
      <c r="G68" s="115">
        <v>1988</v>
      </c>
      <c r="H68" s="18" t="s">
        <v>618</v>
      </c>
      <c r="I68" s="18" t="s">
        <v>59</v>
      </c>
      <c r="J68" s="19" t="s">
        <v>529</v>
      </c>
      <c r="K68" s="99">
        <v>201550</v>
      </c>
      <c r="L68" s="97">
        <f>INDEX(Table1[Production],MATCH(rrcworking[[#This Row],[RRC ID Number]],Table1[RRC Identifier],0))</f>
        <v>0</v>
      </c>
      <c r="M68" s="29">
        <f>INDEX(Table1[Formation Production],MATCH(rrcworking[[#This Row],[RRC ID Number]],Table1[RRC Identifier],0))</f>
        <v>19</v>
      </c>
      <c r="N68" s="30">
        <f>INDEX(Table1[On Hand End of Month],MATCH(rrcworking[[#This Row],[RRC ID Number]],Table1[RRC Identifier],0))</f>
        <v>0</v>
      </c>
      <c r="O68" s="102" t="b">
        <f t="shared" si="1"/>
        <v>0</v>
      </c>
      <c r="P68">
        <v>0</v>
      </c>
      <c r="Q68" s="122">
        <f>rrcworking[[#This Row],[Last Month Closing Stock]]</f>
        <v>0</v>
      </c>
      <c r="R68">
        <v>0</v>
      </c>
      <c r="S68" s="133">
        <f>IF(ISERROR(INDEX(Table2[OIL],MATCH(rrcworking[[#This Row],[Magnum Wolfpak '#]],Table2[Rox Wolf'#],0))),0,INDEX(Table2[OIL],MATCH(rrcworking[[#This Row],[Magnum Wolfpak '#]],Table2[Rox Wolf'#],0)))</f>
        <v>0</v>
      </c>
      <c r="T68" s="34">
        <f>rrcworking[[#This Row],[Closing Stock (Oil)]]+rrcworking[[#This Row],[Sales/Dispostion]]-rrcworking[[#This Row],[Opening Oil Stock]]</f>
        <v>0</v>
      </c>
      <c r="U68" s="108">
        <f>rrcworking[[#This Row],[Gauge Sheet Prod Volume (oil)]]-rrcworking[[#This Row],[Oil Production]]</f>
        <v>0</v>
      </c>
      <c r="V68" s="133">
        <f>IF(ISERROR(INDEX(Table2[GAS],MATCH(rrcworking[[#This Row],[Magnum Wolfpak '#]],Table2[Rox Wolf'#],0))),0,INDEX(Table2[GAS],MATCH(rrcworking[[#This Row],[Magnum Wolfpak '#]],Table2[Rox Wolf'#],0)))</f>
        <v>30</v>
      </c>
      <c r="W68" s="58"/>
      <c r="X68" s="58">
        <v>0</v>
      </c>
      <c r="Y68" s="133">
        <f>IF(ISERROR(INDEX(Table2[LEASE USE],MATCH(rrcworking[[#This Row],[Magnum Wolfpak '#]],Table2[Rox Wolf'#],0))),0,INDEX(Table2[LEASE USE],MATCH(rrcworking[[#This Row],[Magnum Wolfpak '#]],Table2[Rox Wolf'#],0)))</f>
        <v>0</v>
      </c>
      <c r="Z68" s="133"/>
      <c r="AA68" s="56">
        <f>rrcworking[[#This Row],[Gas Sales Statement Volume (MCF)]]+rrcworking[[#This Row],[Lease Use (MCF)]]+rrcworking[[#This Row],[Flared Gas]]</f>
        <v>30</v>
      </c>
      <c r="AB68" s="36"/>
      <c r="AC68" s="36"/>
      <c r="AD68" s="175">
        <f>COUNTIF(FilterList,rrcworking[[#This Row],[Magnum Wolfpak '#]])</f>
        <v>0</v>
      </c>
      <c r="AE68" s="172"/>
      <c r="AF68" s="173"/>
      <c r="AG68" s="36"/>
      <c r="AH68" s="36"/>
      <c r="AI68" s="174"/>
      <c r="AJ68" s="174"/>
      <c r="AK68" s="174"/>
      <c r="AL68" s="174"/>
      <c r="AM68" s="174"/>
      <c r="AN68" s="174"/>
      <c r="AO68" s="36" t="s">
        <v>1163</v>
      </c>
      <c r="AP68" s="36" t="s">
        <v>1197</v>
      </c>
    </row>
    <row r="69" spans="3:42" ht="14">
      <c r="C69" s="78">
        <v>98958</v>
      </c>
      <c r="D69" s="60" t="s">
        <v>274</v>
      </c>
      <c r="E69" s="125" t="s">
        <v>278</v>
      </c>
      <c r="F69" s="124">
        <v>1</v>
      </c>
      <c r="G69" s="115" t="s">
        <v>1090</v>
      </c>
      <c r="H69" s="18" t="s">
        <v>618</v>
      </c>
      <c r="I69" s="18" t="s">
        <v>59</v>
      </c>
      <c r="J69" s="19" t="s">
        <v>534</v>
      </c>
      <c r="K69" s="99">
        <v>217825</v>
      </c>
      <c r="L69" s="97">
        <f>INDEX(Table1[Production],MATCH(rrcworking[[#This Row],[RRC ID Number]],Table1[RRC Identifier],0))</f>
        <v>0</v>
      </c>
      <c r="M69" s="29">
        <f>INDEX(Table1[Formation Production],MATCH(rrcworking[[#This Row],[RRC ID Number]],Table1[RRC Identifier],0))</f>
        <v>3359</v>
      </c>
      <c r="N69" s="30">
        <f>INDEX(Table1[On Hand End of Month],MATCH(rrcworking[[#This Row],[RRC ID Number]],Table1[RRC Identifier],0))</f>
        <v>0</v>
      </c>
      <c r="O69" s="102" t="b">
        <f t="shared" si="1"/>
        <v>0</v>
      </c>
      <c r="P69">
        <v>0</v>
      </c>
      <c r="Q69" s="122">
        <f>rrcworking[[#This Row],[Last Month Closing Stock]]</f>
        <v>0</v>
      </c>
      <c r="R69">
        <v>0</v>
      </c>
      <c r="S69" s="133">
        <f>IF(ISERROR(INDEX(Table2[OIL],MATCH(rrcworking[[#This Row],[Magnum Wolfpak '#]],Table2[Rox Wolf'#],0))),0,INDEX(Table2[OIL],MATCH(rrcworking[[#This Row],[Magnum Wolfpak '#]],Table2[Rox Wolf'#],0)))</f>
        <v>0</v>
      </c>
      <c r="T69" s="34">
        <f>rrcworking[[#This Row],[Closing Stock (Oil)]]+rrcworking[[#This Row],[Sales/Dispostion]]-rrcworking[[#This Row],[Opening Oil Stock]]</f>
        <v>0</v>
      </c>
      <c r="U69" s="108">
        <f>rrcworking[[#This Row],[Gauge Sheet Prod Volume (oil)]]-rrcworking[[#This Row],[Oil Production]]</f>
        <v>0</v>
      </c>
      <c r="V69" s="133">
        <f>IF(ISERROR(INDEX(Table2[GAS],MATCH(rrcworking[[#This Row],[Magnum Wolfpak '#]],Table2[Rox Wolf'#],0))),0,INDEX(Table2[GAS],MATCH(rrcworking[[#This Row],[Magnum Wolfpak '#]],Table2[Rox Wolf'#],0)))</f>
        <v>2924</v>
      </c>
      <c r="W69" s="82"/>
      <c r="X69" s="58">
        <v>6</v>
      </c>
      <c r="Y69" s="133">
        <f>IF(ISERROR(INDEX(Table2[LEASE USE],MATCH(rrcworking[[#This Row],[Magnum Wolfpak '#]],Table2[Rox Wolf'#],0))),0,INDEX(Table2[LEASE USE],MATCH(rrcworking[[#This Row],[Magnum Wolfpak '#]],Table2[Rox Wolf'#],0)))</f>
        <v>174</v>
      </c>
      <c r="Z69" s="133"/>
      <c r="AA69" s="56">
        <f>rrcworking[[#This Row],[Gas Sales Statement Volume (MCF)]]+rrcworking[[#This Row],[Lease Use (MCF)]]+rrcworking[[#This Row],[Flared Gas]]</f>
        <v>3098</v>
      </c>
      <c r="AB69" s="36"/>
      <c r="AC69" s="36"/>
      <c r="AD69" s="175">
        <f>COUNTIF(FilterList,rrcworking[[#This Row],[Magnum Wolfpak '#]])</f>
        <v>0</v>
      </c>
      <c r="AE69" s="172"/>
      <c r="AF69" s="173"/>
      <c r="AG69" s="36"/>
      <c r="AH69" s="36"/>
      <c r="AI69" s="174"/>
      <c r="AJ69" s="174"/>
      <c r="AK69" s="174"/>
      <c r="AL69" s="174"/>
      <c r="AM69" s="174"/>
      <c r="AN69" s="174"/>
      <c r="AO69" s="36" t="s">
        <v>1163</v>
      </c>
      <c r="AP69" s="36" t="s">
        <v>1197</v>
      </c>
    </row>
    <row r="70" spans="3:42" ht="14">
      <c r="C70" s="78" t="e">
        <v>#N/A</v>
      </c>
      <c r="D70" s="60" t="s">
        <v>274</v>
      </c>
      <c r="E70" s="125" t="s">
        <v>278</v>
      </c>
      <c r="F70" s="124">
        <v>5</v>
      </c>
      <c r="G70" s="115" t="s">
        <v>1090</v>
      </c>
      <c r="H70" s="18" t="s">
        <v>618</v>
      </c>
      <c r="I70" s="18" t="s">
        <v>59</v>
      </c>
      <c r="J70" s="19" t="s">
        <v>533</v>
      </c>
      <c r="K70" s="99">
        <v>216963</v>
      </c>
      <c r="L70" s="97">
        <f>INDEX(Table1[Production],MATCH(rrcworking[[#This Row],[RRC ID Number]],Table1[RRC Identifier],0))</f>
        <v>0</v>
      </c>
      <c r="M70" s="29">
        <f>INDEX(Table1[Formation Production],MATCH(rrcworking[[#This Row],[RRC ID Number]],Table1[RRC Identifier],0))</f>
        <v>0</v>
      </c>
      <c r="N70" s="30">
        <f>INDEX(Table1[On Hand End of Month],MATCH(rrcworking[[#This Row],[RRC ID Number]],Table1[RRC Identifier],0))</f>
        <v>0</v>
      </c>
      <c r="O70" s="102" t="b">
        <f t="shared" ref="O70:O100" si="2">IF(AND(L70=0,M70=0), TRUE, FALSE)</f>
        <v>1</v>
      </c>
      <c r="Q70" s="122">
        <f>rrcworking[[#This Row],[Last Month Closing Stock]]</f>
        <v>0</v>
      </c>
      <c r="R70">
        <f>rrcworking[[#This Row],[Opening Oil Stock]]</f>
        <v>0</v>
      </c>
      <c r="S70" s="133">
        <f>IF(ISERROR(INDEX(Table2[OIL],MATCH(rrcworking[[#This Row],[Magnum Wolfpak '#]],Table2[Rox Wolf'#],0))),0,INDEX(Table2[OIL],MATCH(rrcworking[[#This Row],[Magnum Wolfpak '#]],Table2[Rox Wolf'#],0)))</f>
        <v>0</v>
      </c>
      <c r="T70" s="34">
        <f>rrcworking[[#This Row],[Closing Stock (Oil)]]+rrcworking[[#This Row],[Sales/Dispostion]]-rrcworking[[#This Row],[Opening Oil Stock]]</f>
        <v>0</v>
      </c>
      <c r="U70" s="108">
        <f>rrcworking[[#This Row],[Gauge Sheet Prod Volume (oil)]]-rrcworking[[#This Row],[Oil Production]]</f>
        <v>0</v>
      </c>
      <c r="V70" s="133">
        <f>IF(ISERROR(INDEX(Table2[GAS],MATCH(rrcworking[[#This Row],[Magnum Wolfpak '#]],Table2[Rox Wolf'#],0))),0,INDEX(Table2[GAS],MATCH(rrcworking[[#This Row],[Magnum Wolfpak '#]],Table2[Rox Wolf'#],0)))</f>
        <v>0</v>
      </c>
      <c r="W70" s="58"/>
      <c r="X70" s="58"/>
      <c r="Y70" s="133">
        <f>IF(ISERROR(INDEX(Table2[LEASE USE],MATCH(rrcworking[[#This Row],[Magnum Wolfpak '#]],Table2[Rox Wolf'#],0))),0,INDEX(Table2[LEASE USE],MATCH(rrcworking[[#This Row],[Magnum Wolfpak '#]],Table2[Rox Wolf'#],0)))</f>
        <v>0</v>
      </c>
      <c r="Z70" s="133"/>
      <c r="AA70" s="56">
        <f>rrcworking[[#This Row],[Gas Sales Statement Volume (MCF)]]+rrcworking[[#This Row],[Lease Use (MCF)]]+rrcworking[[#This Row],[Flared Gas]]</f>
        <v>0</v>
      </c>
      <c r="AB70" s="36"/>
      <c r="AC70" s="36"/>
      <c r="AD70" s="175">
        <f>COUNTIF(FilterList,rrcworking[[#This Row],[Magnum Wolfpak '#]])</f>
        <v>0</v>
      </c>
      <c r="AE70" s="172"/>
      <c r="AF70" s="173"/>
      <c r="AG70" s="36"/>
      <c r="AH70" s="36"/>
      <c r="AI70" s="36"/>
      <c r="AJ70" s="36"/>
      <c r="AK70" s="36"/>
      <c r="AL70" s="36"/>
      <c r="AM70" s="36"/>
      <c r="AN70" s="36"/>
      <c r="AO70" s="36"/>
      <c r="AP70" s="36"/>
    </row>
    <row r="71" spans="3:42" ht="14">
      <c r="C71" s="78">
        <v>99093</v>
      </c>
      <c r="D71" s="60" t="s">
        <v>337</v>
      </c>
      <c r="E71" s="125" t="s">
        <v>338</v>
      </c>
      <c r="F71" s="124">
        <v>2</v>
      </c>
      <c r="G71" s="115" t="s">
        <v>1090</v>
      </c>
      <c r="H71" s="18" t="s">
        <v>619</v>
      </c>
      <c r="I71" s="18" t="s">
        <v>59</v>
      </c>
      <c r="J71" s="19" t="s">
        <v>570</v>
      </c>
      <c r="K71" s="99">
        <v>212342</v>
      </c>
      <c r="L71" s="97">
        <f>INDEX(Table1[Production],MATCH(rrcworking[[#This Row],[RRC ID Number]],Table1[RRC Identifier],0))</f>
        <v>0</v>
      </c>
      <c r="M71" s="29">
        <f>INDEX(Table1[Formation Production],MATCH(rrcworking[[#This Row],[RRC ID Number]],Table1[RRC Identifier],0))</f>
        <v>3017</v>
      </c>
      <c r="N71" s="30">
        <f>INDEX(Table1[On Hand End of Month],MATCH(rrcworking[[#This Row],[RRC ID Number]],Table1[RRC Identifier],0))</f>
        <v>0</v>
      </c>
      <c r="O71" s="102" t="b">
        <f t="shared" si="2"/>
        <v>0</v>
      </c>
      <c r="Q71" s="122">
        <f>rrcworking[[#This Row],[Last Month Closing Stock]]</f>
        <v>0</v>
      </c>
      <c r="R71">
        <f>rrcworking[[#This Row],[Opening Oil Stock]]</f>
        <v>0</v>
      </c>
      <c r="S71" s="133">
        <f>IF(ISERROR(INDEX(Table2[OIL],MATCH(rrcworking[[#This Row],[Magnum Wolfpak '#]],Table2[Rox Wolf'#],0))),0,INDEX(Table2[OIL],MATCH(rrcworking[[#This Row],[Magnum Wolfpak '#]],Table2[Rox Wolf'#],0)))</f>
        <v>0</v>
      </c>
      <c r="T71" s="34">
        <f>rrcworking[[#This Row],[Closing Stock (Oil)]]+rrcworking[[#This Row],[Sales/Dispostion]]-rrcworking[[#This Row],[Opening Oil Stock]]</f>
        <v>0</v>
      </c>
      <c r="U71" s="108">
        <f>rrcworking[[#This Row],[Gauge Sheet Prod Volume (oil)]]-rrcworking[[#This Row],[Oil Production]]</f>
        <v>0</v>
      </c>
      <c r="V71" s="133">
        <f>IF(ISERROR(INDEX(Table2[GAS],MATCH(rrcworking[[#This Row],[Magnum Wolfpak '#]],Table2[Rox Wolf'#],0))),0,INDEX(Table2[GAS],MATCH(rrcworking[[#This Row],[Magnum Wolfpak '#]],Table2[Rox Wolf'#],0)))</f>
        <v>2615</v>
      </c>
      <c r="W71" s="82"/>
      <c r="X71" s="58">
        <v>4</v>
      </c>
      <c r="Y71" s="133">
        <f>IF(ISERROR(INDEX(Table2[LEASE USE],MATCH(rrcworking[[#This Row],[Magnum Wolfpak '#]],Table2[Rox Wolf'#],0))),0,INDEX(Table2[LEASE USE],MATCH(rrcworking[[#This Row],[Magnum Wolfpak '#]],Table2[Rox Wolf'#],0)))</f>
        <v>120</v>
      </c>
      <c r="Z71" s="133"/>
      <c r="AA71" s="56">
        <f>rrcworking[[#This Row],[Gas Sales Statement Volume (MCF)]]+rrcworking[[#This Row],[Lease Use (MCF)]]+rrcworking[[#This Row],[Flared Gas]]</f>
        <v>2735</v>
      </c>
      <c r="AB71" s="93"/>
      <c r="AC71" s="36"/>
      <c r="AD71" s="175">
        <f>COUNTIF(FilterList,rrcworking[[#This Row],[Magnum Wolfpak '#]])</f>
        <v>0</v>
      </c>
      <c r="AE71" s="172"/>
      <c r="AF71" s="173"/>
      <c r="AG71" s="36"/>
      <c r="AH71" s="36"/>
      <c r="AI71" s="174"/>
      <c r="AJ71" s="174"/>
      <c r="AK71" s="174"/>
      <c r="AL71" s="174"/>
      <c r="AM71" s="174"/>
      <c r="AN71" s="174"/>
      <c r="AO71" s="36" t="s">
        <v>1163</v>
      </c>
      <c r="AP71" s="36" t="s">
        <v>1198</v>
      </c>
    </row>
    <row r="72" spans="3:42" ht="14">
      <c r="C72" s="78">
        <v>99095</v>
      </c>
      <c r="D72" s="60" t="s">
        <v>374</v>
      </c>
      <c r="E72" s="125" t="s">
        <v>338</v>
      </c>
      <c r="F72" s="124">
        <v>5</v>
      </c>
      <c r="G72" s="115" t="s">
        <v>1090</v>
      </c>
      <c r="H72" s="18" t="s">
        <v>619</v>
      </c>
      <c r="I72" s="18" t="s">
        <v>59</v>
      </c>
      <c r="J72" s="19" t="s">
        <v>590</v>
      </c>
      <c r="K72" s="99">
        <v>226100</v>
      </c>
      <c r="L72" s="97">
        <f>INDEX(Table1[Production],MATCH(rrcworking[[#This Row],[RRC ID Number]],Table1[RRC Identifier],0))</f>
        <v>0</v>
      </c>
      <c r="M72" s="29">
        <f>INDEX(Table1[Formation Production],MATCH(rrcworking[[#This Row],[RRC ID Number]],Table1[RRC Identifier],0))</f>
        <v>912</v>
      </c>
      <c r="N72" s="30">
        <f>INDEX(Table1[On Hand End of Month],MATCH(rrcworking[[#This Row],[RRC ID Number]],Table1[RRC Identifier],0))</f>
        <v>0</v>
      </c>
      <c r="O72" s="102" t="b">
        <f t="shared" si="2"/>
        <v>0</v>
      </c>
      <c r="Q72" s="122">
        <f>rrcworking[[#This Row],[Last Month Closing Stock]]</f>
        <v>0</v>
      </c>
      <c r="R72">
        <f>rrcworking[[#This Row],[Opening Oil Stock]]</f>
        <v>0</v>
      </c>
      <c r="S72" s="133">
        <f>IF(ISERROR(INDEX(Table2[OIL],MATCH(rrcworking[[#This Row],[Magnum Wolfpak '#]],Table2[Rox Wolf'#],0))),0,INDEX(Table2[OIL],MATCH(rrcworking[[#This Row],[Magnum Wolfpak '#]],Table2[Rox Wolf'#],0)))</f>
        <v>0</v>
      </c>
      <c r="T72" s="34">
        <f>rrcworking[[#This Row],[Closing Stock (Oil)]]+rrcworking[[#This Row],[Sales/Dispostion]]-rrcworking[[#This Row],[Opening Oil Stock]]</f>
        <v>0</v>
      </c>
      <c r="U72" s="108">
        <f>rrcworking[[#This Row],[Gauge Sheet Prod Volume (oil)]]-rrcworking[[#This Row],[Oil Production]]</f>
        <v>0</v>
      </c>
      <c r="V72" s="133">
        <f>IF(ISERROR(INDEX(Table2[GAS],MATCH(rrcworking[[#This Row],[Magnum Wolfpak '#]],Table2[Rox Wolf'#],0))),0,INDEX(Table2[GAS],MATCH(rrcworking[[#This Row],[Magnum Wolfpak '#]],Table2[Rox Wolf'#],0)))</f>
        <v>796</v>
      </c>
      <c r="W72" s="82"/>
      <c r="X72" s="58">
        <v>1</v>
      </c>
      <c r="Y72" s="133">
        <f>IF(ISERROR(INDEX(Table2[LEASE USE],MATCH(rrcworking[[#This Row],[Magnum Wolfpak '#]],Table2[Rox Wolf'#],0))),0,INDEX(Table2[LEASE USE],MATCH(rrcworking[[#This Row],[Magnum Wolfpak '#]],Table2[Rox Wolf'#],0)))</f>
        <v>20</v>
      </c>
      <c r="Z72" s="133"/>
      <c r="AA72" s="56">
        <f>rrcworking[[#This Row],[Gas Sales Statement Volume (MCF)]]+rrcworking[[#This Row],[Lease Use (MCF)]]+rrcworking[[#This Row],[Flared Gas]]</f>
        <v>816</v>
      </c>
      <c r="AB72" s="36"/>
      <c r="AC72" s="36"/>
      <c r="AD72" s="175">
        <f>COUNTIF(FilterList,rrcworking[[#This Row],[Magnum Wolfpak '#]])</f>
        <v>0</v>
      </c>
      <c r="AE72" s="172"/>
      <c r="AF72" s="173"/>
      <c r="AG72" s="36"/>
      <c r="AH72" s="36"/>
      <c r="AI72" s="174"/>
      <c r="AJ72" s="174"/>
      <c r="AK72" s="174"/>
      <c r="AL72" s="174"/>
      <c r="AM72" s="174"/>
      <c r="AN72" s="174"/>
      <c r="AO72" s="36" t="s">
        <v>1163</v>
      </c>
      <c r="AP72" s="36" t="s">
        <v>1198</v>
      </c>
    </row>
    <row r="73" spans="3:42" ht="14">
      <c r="C73" s="78">
        <v>99094</v>
      </c>
      <c r="D73" s="60" t="s">
        <v>374</v>
      </c>
      <c r="E73" s="125" t="s">
        <v>338</v>
      </c>
      <c r="F73" s="124">
        <v>3</v>
      </c>
      <c r="G73" s="115" t="s">
        <v>1090</v>
      </c>
      <c r="H73" s="18" t="s">
        <v>619</v>
      </c>
      <c r="I73" s="18" t="s">
        <v>59</v>
      </c>
      <c r="J73" s="19" t="s">
        <v>591</v>
      </c>
      <c r="K73" s="99">
        <v>233961</v>
      </c>
      <c r="L73" s="97">
        <f>INDEX(Table1[Production],MATCH(rrcworking[[#This Row],[RRC ID Number]],Table1[RRC Identifier],0))</f>
        <v>0</v>
      </c>
      <c r="M73" s="29">
        <f>INDEX(Table1[Formation Production],MATCH(rrcworking[[#This Row],[RRC ID Number]],Table1[RRC Identifier],0))</f>
        <v>3017</v>
      </c>
      <c r="N73" s="30">
        <f>INDEX(Table1[On Hand End of Month],MATCH(rrcworking[[#This Row],[RRC ID Number]],Table1[RRC Identifier],0))</f>
        <v>0</v>
      </c>
      <c r="O73" s="102" t="b">
        <f t="shared" si="2"/>
        <v>0</v>
      </c>
      <c r="Q73" s="122">
        <f>rrcworking[[#This Row],[Last Month Closing Stock]]</f>
        <v>0</v>
      </c>
      <c r="R73">
        <f>rrcworking[[#This Row],[Opening Oil Stock]]</f>
        <v>0</v>
      </c>
      <c r="S73" s="133">
        <f>IF(ISERROR(INDEX(Table2[OIL],MATCH(rrcworking[[#This Row],[Magnum Wolfpak '#]],Table2[Rox Wolf'#],0))),0,INDEX(Table2[OIL],MATCH(rrcworking[[#This Row],[Magnum Wolfpak '#]],Table2[Rox Wolf'#],0)))</f>
        <v>0</v>
      </c>
      <c r="T73" s="34">
        <f>rrcworking[[#This Row],[Closing Stock (Oil)]]+rrcworking[[#This Row],[Sales/Dispostion]]-rrcworking[[#This Row],[Opening Oil Stock]]</f>
        <v>0</v>
      </c>
      <c r="U73" s="108">
        <f>rrcworking[[#This Row],[Gauge Sheet Prod Volume (oil)]]-rrcworking[[#This Row],[Oil Production]]</f>
        <v>0</v>
      </c>
      <c r="V73" s="133">
        <f>IF(ISERROR(INDEX(Table2[GAS],MATCH(rrcworking[[#This Row],[Magnum Wolfpak '#]],Table2[Rox Wolf'#],0))),0,INDEX(Table2[GAS],MATCH(rrcworking[[#This Row],[Magnum Wolfpak '#]],Table2[Rox Wolf'#],0)))</f>
        <v>2615</v>
      </c>
      <c r="W73" s="82"/>
      <c r="X73" s="58">
        <v>4</v>
      </c>
      <c r="Y73" s="133">
        <f>IF(ISERROR(INDEX(Table2[LEASE USE],MATCH(rrcworking[[#This Row],[Magnum Wolfpak '#]],Table2[Rox Wolf'#],0))),0,INDEX(Table2[LEASE USE],MATCH(rrcworking[[#This Row],[Magnum Wolfpak '#]],Table2[Rox Wolf'#],0)))</f>
        <v>120</v>
      </c>
      <c r="Z73" s="133"/>
      <c r="AA73" s="56">
        <f>rrcworking[[#This Row],[Gas Sales Statement Volume (MCF)]]+rrcworking[[#This Row],[Lease Use (MCF)]]+rrcworking[[#This Row],[Flared Gas]]</f>
        <v>2735</v>
      </c>
      <c r="AB73" s="36"/>
      <c r="AC73" s="36"/>
      <c r="AD73" s="175">
        <f>COUNTIF(FilterList,rrcworking[[#This Row],[Magnum Wolfpak '#]])</f>
        <v>0</v>
      </c>
      <c r="AE73" s="172"/>
      <c r="AF73" s="173"/>
      <c r="AG73" s="36"/>
      <c r="AH73" s="36"/>
      <c r="AI73" s="174"/>
      <c r="AJ73" s="174"/>
      <c r="AK73" s="174"/>
      <c r="AL73" s="174"/>
      <c r="AM73" s="174"/>
      <c r="AN73" s="174"/>
      <c r="AO73" s="36" t="s">
        <v>1163</v>
      </c>
      <c r="AP73" s="36" t="s">
        <v>1198</v>
      </c>
    </row>
    <row r="74" spans="3:42" ht="14">
      <c r="C74" s="78" t="e">
        <v>#N/A</v>
      </c>
      <c r="D74" s="60" t="s">
        <v>337</v>
      </c>
      <c r="E74" s="125" t="s">
        <v>338</v>
      </c>
      <c r="F74" s="124">
        <v>1</v>
      </c>
      <c r="G74" s="115" t="s">
        <v>1090</v>
      </c>
      <c r="H74" s="18" t="s">
        <v>619</v>
      </c>
      <c r="I74" s="18" t="s">
        <v>59</v>
      </c>
      <c r="J74" s="19" t="s">
        <v>571</v>
      </c>
      <c r="K74" s="99">
        <v>213792</v>
      </c>
      <c r="L74" s="97">
        <f>INDEX(Table1[Production],MATCH(rrcworking[[#This Row],[RRC ID Number]],Table1[RRC Identifier],0))</f>
        <v>0</v>
      </c>
      <c r="M74" s="29">
        <f>INDEX(Table1[Formation Production],MATCH(rrcworking[[#This Row],[RRC ID Number]],Table1[RRC Identifier],0))</f>
        <v>0</v>
      </c>
      <c r="N74" s="30">
        <f>INDEX(Table1[On Hand End of Month],MATCH(rrcworking[[#This Row],[RRC ID Number]],Table1[RRC Identifier],0))</f>
        <v>43</v>
      </c>
      <c r="O74" s="102" t="b">
        <f t="shared" si="2"/>
        <v>1</v>
      </c>
      <c r="Q74" s="122">
        <f>rrcworking[[#This Row],[Last Month Closing Stock]]</f>
        <v>43</v>
      </c>
      <c r="R74">
        <f>rrcworking[[#This Row],[Opening Oil Stock]]</f>
        <v>43</v>
      </c>
      <c r="S74" s="133">
        <f>IF(ISERROR(INDEX(Table2[OIL],MATCH(rrcworking[[#This Row],[Magnum Wolfpak '#]],Table2[Rox Wolf'#],0))),0,INDEX(Table2[OIL],MATCH(rrcworking[[#This Row],[Magnum Wolfpak '#]],Table2[Rox Wolf'#],0)))</f>
        <v>0</v>
      </c>
      <c r="T74" s="34">
        <f>rrcworking[[#This Row],[Closing Stock (Oil)]]+rrcworking[[#This Row],[Sales/Dispostion]]-rrcworking[[#This Row],[Opening Oil Stock]]</f>
        <v>0</v>
      </c>
      <c r="U74" s="108">
        <f>rrcworking[[#This Row],[Gauge Sheet Prod Volume (oil)]]-rrcworking[[#This Row],[Oil Production]]</f>
        <v>0</v>
      </c>
      <c r="V74" s="133">
        <f>IF(ISERROR(INDEX(Table2[GAS],MATCH(rrcworking[[#This Row],[Magnum Wolfpak '#]],Table2[Rox Wolf'#],0))),0,INDEX(Table2[GAS],MATCH(rrcworking[[#This Row],[Magnum Wolfpak '#]],Table2[Rox Wolf'#],0)))</f>
        <v>0</v>
      </c>
      <c r="W74" s="58"/>
      <c r="X74" s="58"/>
      <c r="Y74" s="133">
        <f>IF(ISERROR(INDEX(Table2[LEASE USE],MATCH(rrcworking[[#This Row],[Magnum Wolfpak '#]],Table2[Rox Wolf'#],0))),0,INDEX(Table2[LEASE USE],MATCH(rrcworking[[#This Row],[Magnum Wolfpak '#]],Table2[Rox Wolf'#],0)))</f>
        <v>0</v>
      </c>
      <c r="Z74" s="133"/>
      <c r="AA74" s="56">
        <f>rrcworking[[#This Row],[Gas Sales Statement Volume (MCF)]]+rrcworking[[#This Row],[Lease Use (MCF)]]+rrcworking[[#This Row],[Flared Gas]]</f>
        <v>0</v>
      </c>
      <c r="AB74" s="36"/>
      <c r="AC74" s="36"/>
      <c r="AD74" s="175">
        <f>COUNTIF(FilterList,rrcworking[[#This Row],[Magnum Wolfpak '#]])</f>
        <v>0</v>
      </c>
      <c r="AE74" s="172"/>
      <c r="AF74" s="173"/>
      <c r="AG74" s="36"/>
      <c r="AH74" s="36"/>
      <c r="AI74" s="36"/>
      <c r="AJ74" s="36"/>
      <c r="AK74" s="36"/>
      <c r="AL74" s="36"/>
      <c r="AM74" s="36"/>
      <c r="AN74" s="36"/>
      <c r="AO74" s="36"/>
      <c r="AP74" s="36"/>
    </row>
    <row r="75" spans="3:42" ht="98">
      <c r="C75" s="78">
        <v>99158</v>
      </c>
      <c r="D75" s="60" t="s">
        <v>209</v>
      </c>
      <c r="E75" s="125" t="s">
        <v>1277</v>
      </c>
      <c r="F75" s="124">
        <v>0</v>
      </c>
      <c r="G75" s="115" t="s">
        <v>1090</v>
      </c>
      <c r="H75" s="18" t="s">
        <v>618</v>
      </c>
      <c r="I75" s="18" t="s">
        <v>2</v>
      </c>
      <c r="J75" s="19" t="s">
        <v>494</v>
      </c>
      <c r="K75" s="99">
        <v>2812</v>
      </c>
      <c r="L75" s="97">
        <f>INDEX(Table1[Production],MATCH(rrcworking[[#This Row],[RRC ID Number]],Table1[RRC Identifier],0))</f>
        <v>0</v>
      </c>
      <c r="M75" s="29">
        <f>INDEX(Table1[Formation Production],MATCH(rrcworking[[#This Row],[RRC ID Number]],Table1[RRC Identifier],0))</f>
        <v>0</v>
      </c>
      <c r="N75" s="30">
        <f>INDEX(Table1[On Hand End of Month],MATCH(rrcworking[[#This Row],[RRC ID Number]],Table1[RRC Identifier],0))</f>
        <v>18</v>
      </c>
      <c r="O75" s="102" t="b">
        <f t="shared" si="2"/>
        <v>1</v>
      </c>
      <c r="P75">
        <v>0</v>
      </c>
      <c r="Q75" s="122">
        <f>rrcworking[[#This Row],[Last Month Closing Stock]]</f>
        <v>18</v>
      </c>
      <c r="R75">
        <v>18</v>
      </c>
      <c r="S75" s="133">
        <f>IF(ISERROR(INDEX(Table2[OIL],MATCH(rrcworking[[#This Row],[Magnum Wolfpak '#]],Table2[Rox Wolf'#],0))),0,INDEX(Table2[OIL],MATCH(rrcworking[[#This Row],[Magnum Wolfpak '#]],Table2[Rox Wolf'#],0)))</f>
        <v>0</v>
      </c>
      <c r="T75" s="34">
        <f>rrcworking[[#This Row],[Closing Stock (Oil)]]+rrcworking[[#This Row],[Sales/Dispostion]]-rrcworking[[#This Row],[Opening Oil Stock]]</f>
        <v>0</v>
      </c>
      <c r="U75" s="108">
        <f>rrcworking[[#This Row],[Gauge Sheet Prod Volume (oil)]]-rrcworking[[#This Row],[Oil Production]]</f>
        <v>0</v>
      </c>
      <c r="V75" s="133">
        <f>IF(ISERROR(INDEX(Table2[GAS],MATCH(rrcworking[[#This Row],[Magnum Wolfpak '#]],Table2[Rox Wolf'#],0))),0,INDEX(Table2[GAS],MATCH(rrcworking[[#This Row],[Magnum Wolfpak '#]],Table2[Rox Wolf'#],0)))</f>
        <v>0</v>
      </c>
      <c r="W75" s="58"/>
      <c r="X75" s="58"/>
      <c r="Y75" s="133">
        <f>IF(ISERROR(INDEX(Table2[LEASE USE],MATCH(rrcworking[[#This Row],[Magnum Wolfpak '#]],Table2[Rox Wolf'#],0))),0,INDEX(Table2[LEASE USE],MATCH(rrcworking[[#This Row],[Magnum Wolfpak '#]],Table2[Rox Wolf'#],0)))</f>
        <v>0</v>
      </c>
      <c r="Z75" s="133"/>
      <c r="AA75" s="56">
        <f>rrcworking[[#This Row],[Gas Sales Statement Volume (MCF)]]+rrcworking[[#This Row],[Lease Use (MCF)]]+rrcworking[[#This Row],[Flared Gas]]</f>
        <v>0</v>
      </c>
      <c r="AB75" s="36"/>
      <c r="AC75" s="36" t="s">
        <v>1276</v>
      </c>
      <c r="AD75" s="175">
        <f>COUNTIF(FilterList,rrcworking[[#This Row],[Magnum Wolfpak '#]])</f>
        <v>0</v>
      </c>
      <c r="AE75" s="172"/>
      <c r="AF75" s="173"/>
      <c r="AG75" s="36"/>
      <c r="AH75" s="36"/>
      <c r="AI75" s="36"/>
      <c r="AJ75" s="36"/>
      <c r="AK75" s="36"/>
      <c r="AL75" s="36"/>
      <c r="AM75" s="36"/>
      <c r="AN75" s="36"/>
      <c r="AO75" s="36"/>
      <c r="AP75" s="36"/>
    </row>
    <row r="76" spans="3:42" ht="14">
      <c r="C76" s="78" t="e">
        <v>#N/A</v>
      </c>
      <c r="D76" s="60" t="s">
        <v>223</v>
      </c>
      <c r="E76" s="125" t="s">
        <v>224</v>
      </c>
      <c r="F76" s="124">
        <v>0</v>
      </c>
      <c r="G76" s="115" t="s">
        <v>1090</v>
      </c>
      <c r="H76" s="18" t="s">
        <v>618</v>
      </c>
      <c r="I76" s="18" t="s">
        <v>2</v>
      </c>
      <c r="J76" s="19" t="s">
        <v>500</v>
      </c>
      <c r="K76" s="99">
        <v>26193</v>
      </c>
      <c r="L76" s="97">
        <f>INDEX(Table1[Production],MATCH(rrcworking[[#This Row],[RRC ID Number]],Table1[RRC Identifier],0))</f>
        <v>0</v>
      </c>
      <c r="M76" s="29">
        <f>INDEX(Table1[Formation Production],MATCH(rrcworking[[#This Row],[RRC ID Number]],Table1[RRC Identifier],0))</f>
        <v>0</v>
      </c>
      <c r="N76" s="30">
        <f>INDEX(Table1[On Hand End of Month],MATCH(rrcworking[[#This Row],[RRC ID Number]],Table1[RRC Identifier],0))</f>
        <v>68</v>
      </c>
      <c r="O76" s="102" t="b">
        <f t="shared" si="2"/>
        <v>1</v>
      </c>
      <c r="Q76" s="122">
        <f>rrcworking[[#This Row],[Last Month Closing Stock]]</f>
        <v>68</v>
      </c>
      <c r="R76">
        <f>rrcworking[[#This Row],[Opening Oil Stock]]</f>
        <v>68</v>
      </c>
      <c r="S76" s="133">
        <f>IF(ISERROR(INDEX(Table2[OIL],MATCH(rrcworking[[#This Row],[Magnum Wolfpak '#]],Table2[Rox Wolf'#],0))),0,INDEX(Table2[OIL],MATCH(rrcworking[[#This Row],[Magnum Wolfpak '#]],Table2[Rox Wolf'#],0)))</f>
        <v>0</v>
      </c>
      <c r="T76" s="34">
        <f>rrcworking[[#This Row],[Closing Stock (Oil)]]+rrcworking[[#This Row],[Sales/Dispostion]]-rrcworking[[#This Row],[Opening Oil Stock]]</f>
        <v>0</v>
      </c>
      <c r="U76" s="108">
        <f>rrcworking[[#This Row],[Gauge Sheet Prod Volume (oil)]]-rrcworking[[#This Row],[Oil Production]]</f>
        <v>0</v>
      </c>
      <c r="V76" s="133">
        <f>IF(ISERROR(INDEX(Table2[GAS],MATCH(rrcworking[[#This Row],[Magnum Wolfpak '#]],Table2[Rox Wolf'#],0))),0,INDEX(Table2[GAS],MATCH(rrcworking[[#This Row],[Magnum Wolfpak '#]],Table2[Rox Wolf'#],0)))</f>
        <v>0</v>
      </c>
      <c r="W76" s="58"/>
      <c r="X76" s="58"/>
      <c r="Y76" s="133">
        <f>IF(ISERROR(INDEX(Table2[LEASE USE],MATCH(rrcworking[[#This Row],[Magnum Wolfpak '#]],Table2[Rox Wolf'#],0))),0,INDEX(Table2[LEASE USE],MATCH(rrcworking[[#This Row],[Magnum Wolfpak '#]],Table2[Rox Wolf'#],0)))</f>
        <v>0</v>
      </c>
      <c r="Z76" s="133"/>
      <c r="AA76" s="56">
        <f>rrcworking[[#This Row],[Gas Sales Statement Volume (MCF)]]+rrcworking[[#This Row],[Lease Use (MCF)]]+rrcworking[[#This Row],[Flared Gas]]</f>
        <v>0</v>
      </c>
      <c r="AB76" s="93"/>
      <c r="AC76" s="36"/>
      <c r="AD76" s="175">
        <f>COUNTIF(FilterList,rrcworking[[#This Row],[Magnum Wolfpak '#]])</f>
        <v>0</v>
      </c>
      <c r="AE76" s="172"/>
      <c r="AF76" s="173"/>
      <c r="AG76" s="36"/>
      <c r="AH76" s="36"/>
      <c r="AI76" s="36"/>
      <c r="AJ76" s="36"/>
      <c r="AK76" s="36"/>
      <c r="AL76" s="36"/>
      <c r="AM76" s="36"/>
      <c r="AN76" s="36"/>
      <c r="AO76" s="36"/>
      <c r="AP76" s="36"/>
    </row>
    <row r="77" spans="3:42" ht="14">
      <c r="C77" s="78" t="e">
        <v>#N/A</v>
      </c>
      <c r="D77" s="60" t="s">
        <v>297</v>
      </c>
      <c r="E77" s="125" t="s">
        <v>298</v>
      </c>
      <c r="F77" s="124">
        <v>0</v>
      </c>
      <c r="G77" s="115" t="s">
        <v>1090</v>
      </c>
      <c r="H77" s="18" t="s">
        <v>618</v>
      </c>
      <c r="I77" s="18" t="s">
        <v>2</v>
      </c>
      <c r="J77" s="19" t="s">
        <v>547</v>
      </c>
      <c r="K77" s="99">
        <v>24414</v>
      </c>
      <c r="L77" s="97">
        <f>INDEX(Table1[Production],MATCH(rrcworking[[#This Row],[RRC ID Number]],Table1[RRC Identifier],0))</f>
        <v>0</v>
      </c>
      <c r="M77" s="29">
        <f>INDEX(Table1[Formation Production],MATCH(rrcworking[[#This Row],[RRC ID Number]],Table1[RRC Identifier],0))</f>
        <v>0</v>
      </c>
      <c r="N77" s="30">
        <f>INDEX(Table1[On Hand End of Month],MATCH(rrcworking[[#This Row],[RRC ID Number]],Table1[RRC Identifier],0))</f>
        <v>0</v>
      </c>
      <c r="O77" s="102" t="b">
        <f t="shared" si="2"/>
        <v>1</v>
      </c>
      <c r="Q77" s="122">
        <f>rrcworking[[#This Row],[Last Month Closing Stock]]</f>
        <v>0</v>
      </c>
      <c r="R77">
        <f>rrcworking[[#This Row],[Opening Oil Stock]]</f>
        <v>0</v>
      </c>
      <c r="S77" s="133">
        <f>IF(ISERROR(INDEX(Table2[OIL],MATCH(rrcworking[[#This Row],[Magnum Wolfpak '#]],Table2[Rox Wolf'#],0))),0,INDEX(Table2[OIL],MATCH(rrcworking[[#This Row],[Magnum Wolfpak '#]],Table2[Rox Wolf'#],0)))</f>
        <v>0</v>
      </c>
      <c r="T77" s="34">
        <f>rrcworking[[#This Row],[Closing Stock (Oil)]]+rrcworking[[#This Row],[Sales/Dispostion]]-rrcworking[[#This Row],[Opening Oil Stock]]</f>
        <v>0</v>
      </c>
      <c r="U77" s="108">
        <f>rrcworking[[#This Row],[Gauge Sheet Prod Volume (oil)]]-rrcworking[[#This Row],[Oil Production]]</f>
        <v>0</v>
      </c>
      <c r="V77" s="133">
        <f>IF(ISERROR(INDEX(Table2[GAS],MATCH(rrcworking[[#This Row],[Magnum Wolfpak '#]],Table2[Rox Wolf'#],0))),0,INDEX(Table2[GAS],MATCH(rrcworking[[#This Row],[Magnum Wolfpak '#]],Table2[Rox Wolf'#],0)))</f>
        <v>0</v>
      </c>
      <c r="W77" s="58"/>
      <c r="X77" s="58"/>
      <c r="Y77" s="133">
        <f>IF(ISERROR(INDEX(Table2[LEASE USE],MATCH(rrcworking[[#This Row],[Magnum Wolfpak '#]],Table2[Rox Wolf'#],0))),0,INDEX(Table2[LEASE USE],MATCH(rrcworking[[#This Row],[Magnum Wolfpak '#]],Table2[Rox Wolf'#],0)))</f>
        <v>0</v>
      </c>
      <c r="Z77" s="133"/>
      <c r="AA77" s="56">
        <f>rrcworking[[#This Row],[Gas Sales Statement Volume (MCF)]]+rrcworking[[#This Row],[Lease Use (MCF)]]+rrcworking[[#This Row],[Flared Gas]]</f>
        <v>0</v>
      </c>
      <c r="AB77" s="36"/>
      <c r="AC77" s="36"/>
      <c r="AD77" s="175">
        <f>COUNTIF(FilterList,rrcworking[[#This Row],[Magnum Wolfpak '#]])</f>
        <v>0</v>
      </c>
      <c r="AE77" s="172"/>
      <c r="AF77" s="173"/>
      <c r="AG77" s="36"/>
      <c r="AH77" s="36"/>
      <c r="AI77" s="36"/>
      <c r="AJ77" s="36"/>
      <c r="AK77" s="36"/>
      <c r="AL77" s="36"/>
      <c r="AM77" s="36"/>
      <c r="AN77" s="36"/>
      <c r="AO77" s="36"/>
      <c r="AP77" s="36"/>
    </row>
    <row r="78" spans="3:42" ht="14">
      <c r="C78" s="78" t="e">
        <v>#N/A</v>
      </c>
      <c r="D78" s="60" t="s">
        <v>119</v>
      </c>
      <c r="E78" s="125" t="s">
        <v>120</v>
      </c>
      <c r="F78" s="124">
        <v>0</v>
      </c>
      <c r="G78" s="115" t="s">
        <v>1090</v>
      </c>
      <c r="H78" s="18" t="s">
        <v>617</v>
      </c>
      <c r="I78" s="18" t="s">
        <v>2</v>
      </c>
      <c r="J78" s="19" t="s">
        <v>440</v>
      </c>
      <c r="K78" s="99">
        <v>6739</v>
      </c>
      <c r="L78" s="97">
        <f>INDEX(Table1[Production],MATCH(rrcworking[[#This Row],[RRC ID Number]],Table1[RRC Identifier],0))</f>
        <v>0</v>
      </c>
      <c r="M78" s="29">
        <f>INDEX(Table1[Formation Production],MATCH(rrcworking[[#This Row],[RRC ID Number]],Table1[RRC Identifier],0))</f>
        <v>0</v>
      </c>
      <c r="N78" s="30">
        <f>INDEX(Table1[On Hand End of Month],MATCH(rrcworking[[#This Row],[RRC ID Number]],Table1[RRC Identifier],0))</f>
        <v>0</v>
      </c>
      <c r="O78" s="102" t="b">
        <f t="shared" si="2"/>
        <v>1</v>
      </c>
      <c r="Q78" s="122">
        <f>rrcworking[[#This Row],[Last Month Closing Stock]]</f>
        <v>0</v>
      </c>
      <c r="R78">
        <f>rrcworking[[#This Row],[Opening Oil Stock]]</f>
        <v>0</v>
      </c>
      <c r="S78" s="133">
        <f>IF(ISERROR(INDEX(Table2[OIL],MATCH(rrcworking[[#This Row],[Magnum Wolfpak '#]],Table2[Rox Wolf'#],0))),0,INDEX(Table2[OIL],MATCH(rrcworking[[#This Row],[Magnum Wolfpak '#]],Table2[Rox Wolf'#],0)))</f>
        <v>0</v>
      </c>
      <c r="T78" s="34">
        <f>rrcworking[[#This Row],[Closing Stock (Oil)]]+rrcworking[[#This Row],[Sales/Dispostion]]-rrcworking[[#This Row],[Opening Oil Stock]]</f>
        <v>0</v>
      </c>
      <c r="U78" s="108">
        <f>rrcworking[[#This Row],[Gauge Sheet Prod Volume (oil)]]-rrcworking[[#This Row],[Oil Production]]</f>
        <v>0</v>
      </c>
      <c r="V78" s="133">
        <f>IF(ISERROR(INDEX(Table2[GAS],MATCH(rrcworking[[#This Row],[Magnum Wolfpak '#]],Table2[Rox Wolf'#],0))),0,INDEX(Table2[GAS],MATCH(rrcworking[[#This Row],[Magnum Wolfpak '#]],Table2[Rox Wolf'#],0)))</f>
        <v>0</v>
      </c>
      <c r="W78" s="58"/>
      <c r="X78" s="58"/>
      <c r="Y78" s="133">
        <f>IF(ISERROR(INDEX(Table2[LEASE USE],MATCH(rrcworking[[#This Row],[Magnum Wolfpak '#]],Table2[Rox Wolf'#],0))),0,INDEX(Table2[LEASE USE],MATCH(rrcworking[[#This Row],[Magnum Wolfpak '#]],Table2[Rox Wolf'#],0)))</f>
        <v>0</v>
      </c>
      <c r="Z78" s="133"/>
      <c r="AA78" s="56">
        <f>rrcworking[[#This Row],[Gas Sales Statement Volume (MCF)]]+rrcworking[[#This Row],[Lease Use (MCF)]]+rrcworking[[#This Row],[Flared Gas]]</f>
        <v>0</v>
      </c>
      <c r="AB78" s="36"/>
      <c r="AC78" s="36"/>
      <c r="AD78" s="175">
        <f>COUNTIF(FilterList,rrcworking[[#This Row],[Magnum Wolfpak '#]])</f>
        <v>0</v>
      </c>
      <c r="AE78" s="172"/>
      <c r="AF78" s="173"/>
      <c r="AG78" s="36"/>
      <c r="AH78" s="36"/>
      <c r="AI78" s="36"/>
      <c r="AJ78" s="36"/>
      <c r="AK78" s="36"/>
      <c r="AL78" s="36"/>
      <c r="AM78" s="36"/>
      <c r="AN78" s="36"/>
      <c r="AO78" s="36"/>
      <c r="AP78" s="36"/>
    </row>
    <row r="79" spans="3:42" ht="14">
      <c r="C79" s="78" t="e">
        <v>#N/A</v>
      </c>
      <c r="D79" s="60" t="s">
        <v>121</v>
      </c>
      <c r="E79" s="125" t="s">
        <v>120</v>
      </c>
      <c r="F79" s="124">
        <v>0</v>
      </c>
      <c r="G79" s="115" t="s">
        <v>1090</v>
      </c>
      <c r="H79" s="18" t="s">
        <v>617</v>
      </c>
      <c r="I79" s="18" t="s">
        <v>2</v>
      </c>
      <c r="J79" s="19" t="s">
        <v>441</v>
      </c>
      <c r="K79" s="99">
        <v>8169</v>
      </c>
      <c r="L79" s="97">
        <f>INDEX(Table1[Production],MATCH(rrcworking[[#This Row],[RRC ID Number]],Table1[RRC Identifier],0))</f>
        <v>0</v>
      </c>
      <c r="M79" s="29">
        <f>INDEX(Table1[Formation Production],MATCH(rrcworking[[#This Row],[RRC ID Number]],Table1[RRC Identifier],0))</f>
        <v>0</v>
      </c>
      <c r="N79" s="30">
        <f>INDEX(Table1[On Hand End of Month],MATCH(rrcworking[[#This Row],[RRC ID Number]],Table1[RRC Identifier],0))</f>
        <v>0</v>
      </c>
      <c r="O79" s="102" t="b">
        <f t="shared" si="2"/>
        <v>1</v>
      </c>
      <c r="Q79" s="122">
        <f>rrcworking[[#This Row],[Last Month Closing Stock]]</f>
        <v>0</v>
      </c>
      <c r="R79">
        <f>rrcworking[[#This Row],[Opening Oil Stock]]</f>
        <v>0</v>
      </c>
      <c r="S79" s="133">
        <f>IF(ISERROR(INDEX(Table2[OIL],MATCH(rrcworking[[#This Row],[Magnum Wolfpak '#]],Table2[Rox Wolf'#],0))),0,INDEX(Table2[OIL],MATCH(rrcworking[[#This Row],[Magnum Wolfpak '#]],Table2[Rox Wolf'#],0)))</f>
        <v>0</v>
      </c>
      <c r="T79" s="34">
        <f>rrcworking[[#This Row],[Closing Stock (Oil)]]+rrcworking[[#This Row],[Sales/Dispostion]]-rrcworking[[#This Row],[Opening Oil Stock]]</f>
        <v>0</v>
      </c>
      <c r="U79" s="108">
        <f>rrcworking[[#This Row],[Gauge Sheet Prod Volume (oil)]]-rrcworking[[#This Row],[Oil Production]]</f>
        <v>0</v>
      </c>
      <c r="V79" s="133">
        <f>IF(ISERROR(INDEX(Table2[GAS],MATCH(rrcworking[[#This Row],[Magnum Wolfpak '#]],Table2[Rox Wolf'#],0))),0,INDEX(Table2[GAS],MATCH(rrcworking[[#This Row],[Magnum Wolfpak '#]],Table2[Rox Wolf'#],0)))</f>
        <v>0</v>
      </c>
      <c r="W79" s="58"/>
      <c r="X79" s="58"/>
      <c r="Y79" s="133">
        <f>IF(ISERROR(INDEX(Table2[LEASE USE],MATCH(rrcworking[[#This Row],[Magnum Wolfpak '#]],Table2[Rox Wolf'#],0))),0,INDEX(Table2[LEASE USE],MATCH(rrcworking[[#This Row],[Magnum Wolfpak '#]],Table2[Rox Wolf'#],0)))</f>
        <v>0</v>
      </c>
      <c r="Z79" s="133"/>
      <c r="AA79" s="56">
        <f>rrcworking[[#This Row],[Gas Sales Statement Volume (MCF)]]+rrcworking[[#This Row],[Lease Use (MCF)]]+rrcworking[[#This Row],[Flared Gas]]</f>
        <v>0</v>
      </c>
      <c r="AB79" s="36"/>
      <c r="AC79" s="36"/>
      <c r="AD79" s="175">
        <f>COUNTIF(FilterList,rrcworking[[#This Row],[Magnum Wolfpak '#]])</f>
        <v>0</v>
      </c>
      <c r="AE79" s="172"/>
      <c r="AF79" s="173"/>
      <c r="AG79" s="36"/>
      <c r="AH79" s="36"/>
      <c r="AI79" s="36"/>
      <c r="AJ79" s="36"/>
      <c r="AK79" s="36"/>
      <c r="AL79" s="36"/>
      <c r="AM79" s="36"/>
      <c r="AN79" s="36"/>
      <c r="AO79" s="36"/>
      <c r="AP79" s="36"/>
    </row>
    <row r="80" spans="3:42" ht="84">
      <c r="C80" s="78">
        <v>82001</v>
      </c>
      <c r="D80" s="60" t="s">
        <v>290</v>
      </c>
      <c r="E80" s="125" t="s">
        <v>291</v>
      </c>
      <c r="F80" s="124">
        <v>0</v>
      </c>
      <c r="G80" s="115" t="s">
        <v>1090</v>
      </c>
      <c r="H80" s="18" t="s">
        <v>618</v>
      </c>
      <c r="I80" s="18" t="s">
        <v>2</v>
      </c>
      <c r="J80" s="19" t="s">
        <v>540</v>
      </c>
      <c r="K80" s="99">
        <v>25782</v>
      </c>
      <c r="L80" s="97">
        <f>INDEX(Table1[Production],MATCH(rrcworking[[#This Row],[RRC ID Number]],Table1[RRC Identifier],0))</f>
        <v>10</v>
      </c>
      <c r="M80" s="29">
        <f>INDEX(Table1[Formation Production],MATCH(rrcworking[[#This Row],[RRC ID Number]],Table1[RRC Identifier],0))</f>
        <v>33</v>
      </c>
      <c r="N80" s="30">
        <f>INDEX(Table1[On Hand End of Month],MATCH(rrcworking[[#This Row],[RRC ID Number]],Table1[RRC Identifier],0))</f>
        <v>227</v>
      </c>
      <c r="O80" s="102" t="b">
        <f t="shared" si="2"/>
        <v>0</v>
      </c>
      <c r="P80">
        <v>23</v>
      </c>
      <c r="Q80" s="122">
        <f>rrcworking[[#This Row],[Last Month Closing Stock]]</f>
        <v>227</v>
      </c>
      <c r="R80">
        <v>240</v>
      </c>
      <c r="S80" s="133">
        <f>IF(ISERROR(INDEX(Table2[OIL],MATCH(rrcworking[[#This Row],[Magnum Wolfpak '#]],Table2[Rox Wolf'#],0))),0,INDEX(Table2[OIL],MATCH(rrcworking[[#This Row],[Magnum Wolfpak '#]],Table2[Rox Wolf'#],0)))</f>
        <v>0</v>
      </c>
      <c r="T80" s="34">
        <f>rrcworking[[#This Row],[Closing Stock (Oil)]]+rrcworking[[#This Row],[Sales/Dispostion]]-rrcworking[[#This Row],[Opening Oil Stock]]</f>
        <v>13</v>
      </c>
      <c r="U80" s="108">
        <f>rrcworking[[#This Row],[Gauge Sheet Prod Volume (oil)]]-rrcworking[[#This Row],[Oil Production]]</f>
        <v>10</v>
      </c>
      <c r="V80" s="133">
        <f>IF(ISERROR(INDEX(Table2[GAS],MATCH(rrcworking[[#This Row],[Magnum Wolfpak '#]],Table2[Rox Wolf'#],0))),0,INDEX(Table2[GAS],MATCH(rrcworking[[#This Row],[Magnum Wolfpak '#]],Table2[Rox Wolf'#],0)))</f>
        <v>45</v>
      </c>
      <c r="W80" s="58"/>
      <c r="X80" s="58">
        <v>0</v>
      </c>
      <c r="Y80" s="133">
        <f>IF(ISERROR(INDEX(Table2[LEASE USE],MATCH(rrcworking[[#This Row],[Magnum Wolfpak '#]],Table2[Rox Wolf'#],0))),0,INDEX(Table2[LEASE USE],MATCH(rrcworking[[#This Row],[Magnum Wolfpak '#]],Table2[Rox Wolf'#],0)))</f>
        <v>0</v>
      </c>
      <c r="Z80" s="133"/>
      <c r="AA80" s="56">
        <f>rrcworking[[#This Row],[Gas Sales Statement Volume (MCF)]]+rrcworking[[#This Row],[Lease Use (MCF)]]+rrcworking[[#This Row],[Flared Gas]]</f>
        <v>45</v>
      </c>
      <c r="AB80" s="36"/>
      <c r="AC80" s="36" t="s">
        <v>1312</v>
      </c>
      <c r="AD80" s="175">
        <f>COUNTIF(FilterList,rrcworking[[#This Row],[Magnum Wolfpak '#]])</f>
        <v>0</v>
      </c>
      <c r="AE80" s="172"/>
      <c r="AF80" s="173"/>
      <c r="AG80" s="36"/>
      <c r="AH80" s="173"/>
      <c r="AI80" s="174"/>
      <c r="AJ80" s="174"/>
      <c r="AK80" s="174"/>
      <c r="AL80" s="174"/>
      <c r="AM80" s="174"/>
      <c r="AN80" s="174"/>
      <c r="AO80" s="36" t="s">
        <v>1163</v>
      </c>
      <c r="AP80" s="36" t="s">
        <v>1197</v>
      </c>
    </row>
    <row r="81" spans="3:42" ht="28">
      <c r="C81" s="78">
        <v>96701</v>
      </c>
      <c r="D81" s="60" t="s">
        <v>284</v>
      </c>
      <c r="E81" s="125" t="s">
        <v>285</v>
      </c>
      <c r="F81" s="124">
        <v>1</v>
      </c>
      <c r="G81" s="115" t="s">
        <v>1090</v>
      </c>
      <c r="H81" s="18" t="s">
        <v>618</v>
      </c>
      <c r="I81" s="18" t="s">
        <v>59</v>
      </c>
      <c r="J81" s="19" t="s">
        <v>537</v>
      </c>
      <c r="K81" s="99">
        <v>280832</v>
      </c>
      <c r="L81" s="97">
        <f>INDEX(Table1[Production],MATCH(rrcworking[[#This Row],[RRC ID Number]],Table1[RRC Identifier],0))</f>
        <v>0</v>
      </c>
      <c r="M81" s="29">
        <f>INDEX(Table1[Formation Production],MATCH(rrcworking[[#This Row],[RRC ID Number]],Table1[RRC Identifier],0))</f>
        <v>0</v>
      </c>
      <c r="N81" s="30">
        <f>INDEX(Table1[On Hand End of Month],MATCH(rrcworking[[#This Row],[RRC ID Number]],Table1[RRC Identifier],0))</f>
        <v>48</v>
      </c>
      <c r="O81" s="102" t="b">
        <f t="shared" si="2"/>
        <v>1</v>
      </c>
      <c r="P81">
        <v>0</v>
      </c>
      <c r="Q81" s="122">
        <f>rrcworking[[#This Row],[Last Month Closing Stock]]</f>
        <v>48</v>
      </c>
      <c r="R81">
        <v>48</v>
      </c>
      <c r="S81" s="133">
        <f>IF(ISERROR(INDEX(Table2[OIL],MATCH(rrcworking[[#This Row],[Magnum Wolfpak '#]],Table2[Rox Wolf'#],0))),0,INDEX(Table2[OIL],MATCH(rrcworking[[#This Row],[Magnum Wolfpak '#]],Table2[Rox Wolf'#],0)))</f>
        <v>0</v>
      </c>
      <c r="T81" s="34">
        <f>rrcworking[[#This Row],[Closing Stock (Oil)]]+rrcworking[[#This Row],[Sales/Dispostion]]-rrcworking[[#This Row],[Opening Oil Stock]]</f>
        <v>0</v>
      </c>
      <c r="U81" s="108">
        <f>rrcworking[[#This Row],[Gauge Sheet Prod Volume (oil)]]-rrcworking[[#This Row],[Oil Production]]</f>
        <v>0</v>
      </c>
      <c r="V81" s="133">
        <f>IF(ISERROR(INDEX(Table2[GAS],MATCH(rrcworking[[#This Row],[Magnum Wolfpak '#]],Table2[Rox Wolf'#],0))),0,INDEX(Table2[GAS],MATCH(rrcworking[[#This Row],[Magnum Wolfpak '#]],Table2[Rox Wolf'#],0)))</f>
        <v>0</v>
      </c>
      <c r="W81" s="58"/>
      <c r="X81" s="58">
        <v>0</v>
      </c>
      <c r="Y81" s="133">
        <f>IF(ISERROR(INDEX(Table2[LEASE USE],MATCH(rrcworking[[#This Row],[Magnum Wolfpak '#]],Table2[Rox Wolf'#],0))),0,INDEX(Table2[LEASE USE],MATCH(rrcworking[[#This Row],[Magnum Wolfpak '#]],Table2[Rox Wolf'#],0)))</f>
        <v>0</v>
      </c>
      <c r="Z81" s="133"/>
      <c r="AA81" s="56">
        <f>rrcworking[[#This Row],[Gas Sales Statement Volume (MCF)]]+rrcworking[[#This Row],[Lease Use (MCF)]]+rrcworking[[#This Row],[Flared Gas]]</f>
        <v>0</v>
      </c>
      <c r="AB81" s="36"/>
      <c r="AC81" s="36" t="s">
        <v>1278</v>
      </c>
      <c r="AD81" s="175">
        <f>COUNTIF(FilterList,rrcworking[[#This Row],[Magnum Wolfpak '#]])</f>
        <v>0</v>
      </c>
      <c r="AE81" s="172"/>
      <c r="AF81" s="173"/>
      <c r="AG81" s="83"/>
      <c r="AH81" s="83"/>
      <c r="AI81" s="174"/>
      <c r="AJ81" s="174"/>
      <c r="AK81" s="174"/>
      <c r="AL81" s="174"/>
      <c r="AM81" s="174"/>
      <c r="AN81" s="174"/>
      <c r="AO81" s="36" t="s">
        <v>1163</v>
      </c>
      <c r="AP81" s="36" t="s">
        <v>1197</v>
      </c>
    </row>
    <row r="82" spans="3:42" ht="14">
      <c r="C82" s="78" t="e">
        <v>#N/A</v>
      </c>
      <c r="D82" s="60" t="s">
        <v>290</v>
      </c>
      <c r="E82" s="125" t="s">
        <v>285</v>
      </c>
      <c r="F82" s="124">
        <v>0</v>
      </c>
      <c r="G82" s="115" t="s">
        <v>1090</v>
      </c>
      <c r="H82" s="18" t="s">
        <v>618</v>
      </c>
      <c r="I82" s="18" t="s">
        <v>2</v>
      </c>
      <c r="J82" s="19" t="s">
        <v>541</v>
      </c>
      <c r="K82" s="99">
        <v>25785</v>
      </c>
      <c r="L82" s="97">
        <f>INDEX(Table1[Production],MATCH(rrcworking[[#This Row],[RRC ID Number]],Table1[RRC Identifier],0))</f>
        <v>0</v>
      </c>
      <c r="M82" s="29">
        <f>INDEX(Table1[Formation Production],MATCH(rrcworking[[#This Row],[RRC ID Number]],Table1[RRC Identifier],0))</f>
        <v>0</v>
      </c>
      <c r="N82" s="30">
        <f>INDEX(Table1[On Hand End of Month],MATCH(rrcworking[[#This Row],[RRC ID Number]],Table1[RRC Identifier],0))</f>
        <v>0</v>
      </c>
      <c r="O82" s="102" t="b">
        <f t="shared" si="2"/>
        <v>1</v>
      </c>
      <c r="Q82" s="122">
        <f>rrcworking[[#This Row],[Last Month Closing Stock]]</f>
        <v>0</v>
      </c>
      <c r="R82">
        <f>rrcworking[[#This Row],[Opening Oil Stock]]</f>
        <v>0</v>
      </c>
      <c r="S82" s="133">
        <f>IF(ISERROR(INDEX(Table2[OIL],MATCH(rrcworking[[#This Row],[Magnum Wolfpak '#]],Table2[Rox Wolf'#],0))),0,INDEX(Table2[OIL],MATCH(rrcworking[[#This Row],[Magnum Wolfpak '#]],Table2[Rox Wolf'#],0)))</f>
        <v>0</v>
      </c>
      <c r="T82" s="34">
        <f>rrcworking[[#This Row],[Closing Stock (Oil)]]+rrcworking[[#This Row],[Sales/Dispostion]]-rrcworking[[#This Row],[Opening Oil Stock]]</f>
        <v>0</v>
      </c>
      <c r="U82" s="108">
        <f>rrcworking[[#This Row],[Gauge Sheet Prod Volume (oil)]]-rrcworking[[#This Row],[Oil Production]]</f>
        <v>0</v>
      </c>
      <c r="V82" s="133">
        <f>IF(ISERROR(INDEX(Table2[GAS],MATCH(rrcworking[[#This Row],[Magnum Wolfpak '#]],Table2[Rox Wolf'#],0))),0,INDEX(Table2[GAS],MATCH(rrcworking[[#This Row],[Magnum Wolfpak '#]],Table2[Rox Wolf'#],0)))</f>
        <v>0</v>
      </c>
      <c r="W82" s="58"/>
      <c r="X82" s="58"/>
      <c r="Y82" s="133">
        <f>IF(ISERROR(INDEX(Table2[LEASE USE],MATCH(rrcworking[[#This Row],[Magnum Wolfpak '#]],Table2[Rox Wolf'#],0))),0,INDEX(Table2[LEASE USE],MATCH(rrcworking[[#This Row],[Magnum Wolfpak '#]],Table2[Rox Wolf'#],0)))</f>
        <v>0</v>
      </c>
      <c r="Z82" s="133"/>
      <c r="AA82" s="56">
        <f>rrcworking[[#This Row],[Gas Sales Statement Volume (MCF)]]+rrcworking[[#This Row],[Lease Use (MCF)]]+rrcworking[[#This Row],[Flared Gas]]</f>
        <v>0</v>
      </c>
      <c r="AB82" s="36"/>
      <c r="AC82" s="36"/>
      <c r="AD82" s="175">
        <f>COUNTIF(FilterList,rrcworking[[#This Row],[Magnum Wolfpak '#]])</f>
        <v>0</v>
      </c>
      <c r="AE82" s="172"/>
      <c r="AF82" s="173"/>
      <c r="AG82" s="36"/>
      <c r="AH82" s="36"/>
      <c r="AI82" s="36"/>
      <c r="AJ82" s="36"/>
      <c r="AK82" s="36"/>
      <c r="AL82" s="36"/>
      <c r="AM82" s="36"/>
      <c r="AN82" s="36"/>
      <c r="AO82" s="36"/>
      <c r="AP82" s="36"/>
    </row>
    <row r="83" spans="3:42" ht="210">
      <c r="C83" s="78">
        <v>96501</v>
      </c>
      <c r="D83" s="60" t="s">
        <v>286</v>
      </c>
      <c r="E83" s="125" t="s">
        <v>287</v>
      </c>
      <c r="F83" s="124">
        <v>1</v>
      </c>
      <c r="G83" s="115" t="s">
        <v>1090</v>
      </c>
      <c r="H83" s="18" t="s">
        <v>618</v>
      </c>
      <c r="I83" s="18" t="s">
        <v>59</v>
      </c>
      <c r="J83" s="19" t="s">
        <v>538</v>
      </c>
      <c r="K83" s="99">
        <v>161374</v>
      </c>
      <c r="L83" s="97">
        <f>INDEX(Table1[Production],MATCH(rrcworking[[#This Row],[RRC ID Number]],Table1[RRC Identifier],0))</f>
        <v>16</v>
      </c>
      <c r="M83" s="29">
        <f>INDEX(Table1[Formation Production],MATCH(rrcworking[[#This Row],[RRC ID Number]],Table1[RRC Identifier],0))</f>
        <v>2142</v>
      </c>
      <c r="N83" s="30">
        <f>INDEX(Table1[On Hand End of Month],MATCH(rrcworking[[#This Row],[RRC ID Number]],Table1[RRC Identifier],0))</f>
        <v>43</v>
      </c>
      <c r="O83" s="102" t="b">
        <f t="shared" si="2"/>
        <v>0</v>
      </c>
      <c r="P83">
        <v>4</v>
      </c>
      <c r="Q83" s="122">
        <f>rrcworking[[#This Row],[Last Month Closing Stock]]</f>
        <v>43</v>
      </c>
      <c r="R83">
        <v>47</v>
      </c>
      <c r="S83" s="133">
        <f>IF(ISERROR(INDEX(Table2[OIL],MATCH(rrcworking[[#This Row],[Magnum Wolfpak '#]],Table2[Rox Wolf'#],0))),0,INDEX(Table2[OIL],MATCH(rrcworking[[#This Row],[Magnum Wolfpak '#]],Table2[Rox Wolf'#],0)))</f>
        <v>0</v>
      </c>
      <c r="T83" s="34">
        <f>rrcworking[[#This Row],[Closing Stock (Oil)]]+rrcworking[[#This Row],[Sales/Dispostion]]-rrcworking[[#This Row],[Opening Oil Stock]]</f>
        <v>4</v>
      </c>
      <c r="U83" s="108">
        <f>rrcworking[[#This Row],[Gauge Sheet Prod Volume (oil)]]-rrcworking[[#This Row],[Oil Production]]</f>
        <v>0</v>
      </c>
      <c r="V83" s="133">
        <f>IF(ISERROR(INDEX(Table2[GAS],MATCH(rrcworking[[#This Row],[Magnum Wolfpak '#]],Table2[Rox Wolf'#],0))),0,INDEX(Table2[GAS],MATCH(rrcworking[[#This Row],[Magnum Wolfpak '#]],Table2[Rox Wolf'#],0)))</f>
        <v>1223</v>
      </c>
      <c r="W83" s="82"/>
      <c r="X83" s="58">
        <v>3</v>
      </c>
      <c r="Y83" s="133">
        <f>IF(ISERROR(INDEX(Table2[LEASE USE],MATCH(rrcworking[[#This Row],[Magnum Wolfpak '#]],Table2[Rox Wolf'#],0))),0,INDEX(Table2[LEASE USE],MATCH(rrcworking[[#This Row],[Magnum Wolfpak '#]],Table2[Rox Wolf'#],0)))</f>
        <v>90</v>
      </c>
      <c r="Z83" s="133"/>
      <c r="AA83" s="56">
        <f>rrcworking[[#This Row],[Gas Sales Statement Volume (MCF)]]+rrcworking[[#This Row],[Lease Use (MCF)]]+rrcworking[[#This Row],[Flared Gas]]</f>
        <v>1313</v>
      </c>
      <c r="AB83" s="36"/>
      <c r="AC83" s="36" t="s">
        <v>1302</v>
      </c>
      <c r="AD83" s="175">
        <f>COUNTIF(FilterList,rrcworking[[#This Row],[Magnum Wolfpak '#]])</f>
        <v>0</v>
      </c>
      <c r="AE83" s="172"/>
      <c r="AF83" s="173"/>
      <c r="AG83" s="36"/>
      <c r="AH83" s="173"/>
      <c r="AI83" s="174"/>
      <c r="AJ83" s="174"/>
      <c r="AK83" s="174"/>
      <c r="AL83" s="174"/>
      <c r="AM83" s="174"/>
      <c r="AN83" s="174"/>
      <c r="AO83" s="36" t="s">
        <v>1163</v>
      </c>
      <c r="AP83" s="36" t="s">
        <v>1197</v>
      </c>
    </row>
    <row r="84" spans="3:42" ht="14">
      <c r="C84" s="80" t="e">
        <v>#N/A</v>
      </c>
      <c r="D84" s="94" t="s">
        <v>288</v>
      </c>
      <c r="E84" s="126" t="s">
        <v>289</v>
      </c>
      <c r="F84" s="123">
        <v>0</v>
      </c>
      <c r="G84" s="116" t="s">
        <v>1090</v>
      </c>
      <c r="H84" s="18" t="s">
        <v>618</v>
      </c>
      <c r="I84" s="18" t="s">
        <v>2</v>
      </c>
      <c r="J84" s="19" t="s">
        <v>539</v>
      </c>
      <c r="K84" s="99">
        <v>19798</v>
      </c>
      <c r="L84" s="97">
        <f>INDEX(Table1[Production],MATCH(rrcworking[[#This Row],[RRC ID Number]],Table1[RRC Identifier],0))</f>
        <v>0</v>
      </c>
      <c r="M84" s="29">
        <f>INDEX(Table1[Formation Production],MATCH(rrcworking[[#This Row],[RRC ID Number]],Table1[RRC Identifier],0))</f>
        <v>0</v>
      </c>
      <c r="N84" s="30">
        <f>INDEX(Table1[On Hand End of Month],MATCH(rrcworking[[#This Row],[RRC ID Number]],Table1[RRC Identifier],0))</f>
        <v>70</v>
      </c>
      <c r="O84" s="102" t="b">
        <f t="shared" si="2"/>
        <v>1</v>
      </c>
      <c r="Q84" s="122">
        <f>rrcworking[[#This Row],[Last Month Closing Stock]]</f>
        <v>70</v>
      </c>
      <c r="R84">
        <f>rrcworking[[#This Row],[Opening Oil Stock]]</f>
        <v>70</v>
      </c>
      <c r="S84" s="134">
        <f>IF(ISERROR(INDEX(Table2[OIL],MATCH(rrcworking[[#This Row],[Magnum Wolfpak '#]],Table2[Rox Wolf'#],0))),0,INDEX(Table2[OIL],MATCH(rrcworking[[#This Row],[Magnum Wolfpak '#]],Table2[Rox Wolf'#],0)))</f>
        <v>0</v>
      </c>
      <c r="T84" s="34">
        <f>rrcworking[[#This Row],[Closing Stock (Oil)]]+rrcworking[[#This Row],[Sales/Dispostion]]-rrcworking[[#This Row],[Opening Oil Stock]]</f>
        <v>0</v>
      </c>
      <c r="U84" s="108">
        <f>rrcworking[[#This Row],[Gauge Sheet Prod Volume (oil)]]-rrcworking[[#This Row],[Oil Production]]</f>
        <v>0</v>
      </c>
      <c r="V84" s="133">
        <f>IF(ISERROR(INDEX(Table2[GAS],MATCH(rrcworking[[#This Row],[Magnum Wolfpak '#]],Table2[Rox Wolf'#],0))),0,INDEX(Table2[GAS],MATCH(rrcworking[[#This Row],[Magnum Wolfpak '#]],Table2[Rox Wolf'#],0)))</f>
        <v>0</v>
      </c>
      <c r="W84" s="58"/>
      <c r="X84" s="58"/>
      <c r="Y84" s="133">
        <f>IF(ISERROR(INDEX(Table2[LEASE USE],MATCH(rrcworking[[#This Row],[Magnum Wolfpak '#]],Table2[Rox Wolf'#],0))),0,INDEX(Table2[LEASE USE],MATCH(rrcworking[[#This Row],[Magnum Wolfpak '#]],Table2[Rox Wolf'#],0)))</f>
        <v>0</v>
      </c>
      <c r="Z84" s="133"/>
      <c r="AA84" s="56">
        <f>rrcworking[[#This Row],[Gas Sales Statement Volume (MCF)]]+rrcworking[[#This Row],[Lease Use (MCF)]]+rrcworking[[#This Row],[Flared Gas]]</f>
        <v>0</v>
      </c>
      <c r="AB84" s="36"/>
      <c r="AC84" s="36"/>
      <c r="AD84" s="175">
        <f>COUNTIF(FilterList,rrcworking[[#This Row],[Magnum Wolfpak '#]])</f>
        <v>0</v>
      </c>
      <c r="AE84" s="172"/>
      <c r="AF84" s="173"/>
      <c r="AG84" s="36"/>
      <c r="AH84" s="36"/>
      <c r="AI84" s="36"/>
      <c r="AJ84" s="36"/>
      <c r="AK84" s="36"/>
      <c r="AL84" s="36"/>
      <c r="AM84" s="36"/>
      <c r="AN84" s="36"/>
      <c r="AO84" s="36"/>
      <c r="AP84" s="36"/>
    </row>
    <row r="85" spans="3:42" ht="14">
      <c r="C85" s="78" t="e">
        <v>#N/A</v>
      </c>
      <c r="D85" s="60" t="s">
        <v>247</v>
      </c>
      <c r="E85" s="125" t="s">
        <v>248</v>
      </c>
      <c r="F85" s="124">
        <v>2</v>
      </c>
      <c r="G85" s="115" t="s">
        <v>1090</v>
      </c>
      <c r="H85" s="18" t="s">
        <v>618</v>
      </c>
      <c r="I85" s="18" t="s">
        <v>59</v>
      </c>
      <c r="J85" s="19" t="s">
        <v>512</v>
      </c>
      <c r="K85" s="99">
        <v>194105</v>
      </c>
      <c r="L85" s="97">
        <f>INDEX(Table1[Production],MATCH(rrcworking[[#This Row],[RRC ID Number]],Table1[RRC Identifier],0))</f>
        <v>0</v>
      </c>
      <c r="M85" s="29">
        <f>INDEX(Table1[Formation Production],MATCH(rrcworking[[#This Row],[RRC ID Number]],Table1[RRC Identifier],0))</f>
        <v>0</v>
      </c>
      <c r="N85" s="30">
        <f>INDEX(Table1[On Hand End of Month],MATCH(rrcworking[[#This Row],[RRC ID Number]],Table1[RRC Identifier],0))</f>
        <v>0</v>
      </c>
      <c r="O85" s="102" t="b">
        <f t="shared" si="2"/>
        <v>1</v>
      </c>
      <c r="Q85" s="122">
        <f>rrcworking[[#This Row],[Last Month Closing Stock]]</f>
        <v>0</v>
      </c>
      <c r="R85">
        <f>rrcworking[[#This Row],[Opening Oil Stock]]</f>
        <v>0</v>
      </c>
      <c r="S85" s="133">
        <f>IF(ISERROR(INDEX(Table2[OIL],MATCH(rrcworking[[#This Row],[Magnum Wolfpak '#]],Table2[Rox Wolf'#],0))),0,INDEX(Table2[OIL],MATCH(rrcworking[[#This Row],[Magnum Wolfpak '#]],Table2[Rox Wolf'#],0)))</f>
        <v>0</v>
      </c>
      <c r="T85" s="34">
        <f>rrcworking[[#This Row],[Closing Stock (Oil)]]+rrcworking[[#This Row],[Sales/Dispostion]]-rrcworking[[#This Row],[Opening Oil Stock]]</f>
        <v>0</v>
      </c>
      <c r="U85" s="108">
        <f>rrcworking[[#This Row],[Gauge Sheet Prod Volume (oil)]]-rrcworking[[#This Row],[Oil Production]]</f>
        <v>0</v>
      </c>
      <c r="V85" s="133">
        <f>IF(ISERROR(INDEX(Table2[GAS],MATCH(rrcworking[[#This Row],[Magnum Wolfpak '#]],Table2[Rox Wolf'#],0))),0,INDEX(Table2[GAS],MATCH(rrcworking[[#This Row],[Magnum Wolfpak '#]],Table2[Rox Wolf'#],0)))</f>
        <v>0</v>
      </c>
      <c r="W85" s="58"/>
      <c r="X85" s="58"/>
      <c r="Y85" s="133">
        <f>IF(ISERROR(INDEX(Table2[LEASE USE],MATCH(rrcworking[[#This Row],[Magnum Wolfpak '#]],Table2[Rox Wolf'#],0))),0,INDEX(Table2[LEASE USE],MATCH(rrcworking[[#This Row],[Magnum Wolfpak '#]],Table2[Rox Wolf'#],0)))</f>
        <v>0</v>
      </c>
      <c r="Z85" s="133"/>
      <c r="AA85" s="56">
        <f>rrcworking[[#This Row],[Gas Sales Statement Volume (MCF)]]+rrcworking[[#This Row],[Lease Use (MCF)]]+rrcworking[[#This Row],[Flared Gas]]</f>
        <v>0</v>
      </c>
      <c r="AB85" s="36"/>
      <c r="AC85" s="36"/>
      <c r="AD85" s="175">
        <f>COUNTIF(FilterList,rrcworking[[#This Row],[Magnum Wolfpak '#]])</f>
        <v>0</v>
      </c>
      <c r="AE85" s="172"/>
      <c r="AF85" s="173"/>
      <c r="AG85" s="36"/>
      <c r="AH85" s="36"/>
      <c r="AI85" s="36"/>
      <c r="AJ85" s="36"/>
      <c r="AK85" s="36"/>
      <c r="AL85" s="36"/>
      <c r="AM85" s="36"/>
      <c r="AN85" s="36"/>
      <c r="AO85" s="36"/>
      <c r="AP85" s="36"/>
    </row>
    <row r="86" spans="3:42" ht="14">
      <c r="C86" s="78" t="e">
        <v>#N/A</v>
      </c>
      <c r="D86" s="60" t="s">
        <v>249</v>
      </c>
      <c r="E86" s="125" t="s">
        <v>248</v>
      </c>
      <c r="F86" s="124">
        <v>1</v>
      </c>
      <c r="G86" s="115" t="s">
        <v>1090</v>
      </c>
      <c r="H86" s="18" t="s">
        <v>618</v>
      </c>
      <c r="I86" s="18" t="s">
        <v>59</v>
      </c>
      <c r="J86" s="19" t="s">
        <v>513</v>
      </c>
      <c r="K86" s="99">
        <v>130820</v>
      </c>
      <c r="L86" s="97">
        <f>INDEX(Table1[Production],MATCH(rrcworking[[#This Row],[RRC ID Number]],Table1[RRC Identifier],0))</f>
        <v>0</v>
      </c>
      <c r="M86" s="29">
        <f>INDEX(Table1[Formation Production],MATCH(rrcworking[[#This Row],[RRC ID Number]],Table1[RRC Identifier],0))</f>
        <v>0</v>
      </c>
      <c r="N86" s="30">
        <f>INDEX(Table1[On Hand End of Month],MATCH(rrcworking[[#This Row],[RRC ID Number]],Table1[RRC Identifier],0))</f>
        <v>0</v>
      </c>
      <c r="O86" s="102" t="b">
        <f t="shared" si="2"/>
        <v>1</v>
      </c>
      <c r="Q86" s="122">
        <f>rrcworking[[#This Row],[Last Month Closing Stock]]</f>
        <v>0</v>
      </c>
      <c r="R86">
        <f>rrcworking[[#This Row],[Opening Oil Stock]]</f>
        <v>0</v>
      </c>
      <c r="S86" s="133">
        <f>IF(ISERROR(INDEX(Table2[OIL],MATCH(rrcworking[[#This Row],[Magnum Wolfpak '#]],Table2[Rox Wolf'#],0))),0,INDEX(Table2[OIL],MATCH(rrcworking[[#This Row],[Magnum Wolfpak '#]],Table2[Rox Wolf'#],0)))</f>
        <v>0</v>
      </c>
      <c r="T86" s="34">
        <f>rrcworking[[#This Row],[Closing Stock (Oil)]]+rrcworking[[#This Row],[Sales/Dispostion]]-rrcworking[[#This Row],[Opening Oil Stock]]</f>
        <v>0</v>
      </c>
      <c r="U86" s="108">
        <f>rrcworking[[#This Row],[Gauge Sheet Prod Volume (oil)]]-rrcworking[[#This Row],[Oil Production]]</f>
        <v>0</v>
      </c>
      <c r="V86" s="133">
        <f>IF(ISERROR(INDEX(Table2[GAS],MATCH(rrcworking[[#This Row],[Magnum Wolfpak '#]],Table2[Rox Wolf'#],0))),0,INDEX(Table2[GAS],MATCH(rrcworking[[#This Row],[Magnum Wolfpak '#]],Table2[Rox Wolf'#],0)))</f>
        <v>0</v>
      </c>
      <c r="W86" s="58"/>
      <c r="X86" s="58"/>
      <c r="Y86" s="133">
        <f>IF(ISERROR(INDEX(Table2[LEASE USE],MATCH(rrcworking[[#This Row],[Magnum Wolfpak '#]],Table2[Rox Wolf'#],0))),0,INDEX(Table2[LEASE USE],MATCH(rrcworking[[#This Row],[Magnum Wolfpak '#]],Table2[Rox Wolf'#],0)))</f>
        <v>0</v>
      </c>
      <c r="Z86" s="133"/>
      <c r="AA86" s="56">
        <f>rrcworking[[#This Row],[Gas Sales Statement Volume (MCF)]]+rrcworking[[#This Row],[Lease Use (MCF)]]+rrcworking[[#This Row],[Flared Gas]]</f>
        <v>0</v>
      </c>
      <c r="AB86" s="36"/>
      <c r="AC86" s="36"/>
      <c r="AD86" s="175">
        <f>COUNTIF(FilterList,rrcworking[[#This Row],[Magnum Wolfpak '#]])</f>
        <v>0</v>
      </c>
      <c r="AE86" s="172"/>
      <c r="AF86" s="173"/>
      <c r="AG86" s="36"/>
      <c r="AH86" s="36"/>
      <c r="AI86" s="36"/>
      <c r="AJ86" s="36"/>
      <c r="AK86" s="36"/>
      <c r="AL86" s="36"/>
      <c r="AM86" s="36"/>
      <c r="AN86" s="36"/>
      <c r="AO86" s="36"/>
      <c r="AP86" s="36"/>
    </row>
    <row r="87" spans="3:42" ht="14">
      <c r="C87" s="78" t="e">
        <v>#N/A</v>
      </c>
      <c r="D87" s="60" t="s">
        <v>353</v>
      </c>
      <c r="E87" s="125" t="s">
        <v>356</v>
      </c>
      <c r="F87" s="124">
        <v>3</v>
      </c>
      <c r="G87" s="115" t="s">
        <v>1090</v>
      </c>
      <c r="H87" s="18" t="s">
        <v>619</v>
      </c>
      <c r="I87" s="18" t="s">
        <v>59</v>
      </c>
      <c r="J87" s="19" t="s">
        <v>581</v>
      </c>
      <c r="K87" s="99">
        <v>191863</v>
      </c>
      <c r="L87" s="97">
        <f>INDEX(Table1[Production],MATCH(rrcworking[[#This Row],[RRC ID Number]],Table1[RRC Identifier],0))</f>
        <v>0</v>
      </c>
      <c r="M87" s="29">
        <f>INDEX(Table1[Formation Production],MATCH(rrcworking[[#This Row],[RRC ID Number]],Table1[RRC Identifier],0))</f>
        <v>0</v>
      </c>
      <c r="N87" s="30">
        <f>INDEX(Table1[On Hand End of Month],MATCH(rrcworking[[#This Row],[RRC ID Number]],Table1[RRC Identifier],0))</f>
        <v>0</v>
      </c>
      <c r="O87" s="102" t="b">
        <f t="shared" si="2"/>
        <v>1</v>
      </c>
      <c r="Q87" s="122">
        <f>rrcworking[[#This Row],[Last Month Closing Stock]]</f>
        <v>0</v>
      </c>
      <c r="R87">
        <f>rrcworking[[#This Row],[Opening Oil Stock]]</f>
        <v>0</v>
      </c>
      <c r="S87" s="133">
        <f>IF(ISERROR(INDEX(Table2[OIL],MATCH(rrcworking[[#This Row],[Magnum Wolfpak '#]],Table2[Rox Wolf'#],0))),0,INDEX(Table2[OIL],MATCH(rrcworking[[#This Row],[Magnum Wolfpak '#]],Table2[Rox Wolf'#],0)))</f>
        <v>0</v>
      </c>
      <c r="T87" s="34">
        <f>rrcworking[[#This Row],[Closing Stock (Oil)]]+rrcworking[[#This Row],[Sales/Dispostion]]-rrcworking[[#This Row],[Opening Oil Stock]]</f>
        <v>0</v>
      </c>
      <c r="U87" s="108">
        <f>rrcworking[[#This Row],[Gauge Sheet Prod Volume (oil)]]-rrcworking[[#This Row],[Oil Production]]</f>
        <v>0</v>
      </c>
      <c r="V87" s="133">
        <f>IF(ISERROR(INDEX(Table2[GAS],MATCH(rrcworking[[#This Row],[Magnum Wolfpak '#]],Table2[Rox Wolf'#],0))),0,INDEX(Table2[GAS],MATCH(rrcworking[[#This Row],[Magnum Wolfpak '#]],Table2[Rox Wolf'#],0)))</f>
        <v>0</v>
      </c>
      <c r="W87" s="58"/>
      <c r="X87" s="58"/>
      <c r="Y87" s="133">
        <f>IF(ISERROR(INDEX(Table2[LEASE USE],MATCH(rrcworking[[#This Row],[Magnum Wolfpak '#]],Table2[Rox Wolf'#],0))),0,INDEX(Table2[LEASE USE],MATCH(rrcworking[[#This Row],[Magnum Wolfpak '#]],Table2[Rox Wolf'#],0)))</f>
        <v>0</v>
      </c>
      <c r="Z87" s="133"/>
      <c r="AA87" s="56">
        <f>rrcworking[[#This Row],[Gas Sales Statement Volume (MCF)]]+rrcworking[[#This Row],[Lease Use (MCF)]]+rrcworking[[#This Row],[Flared Gas]]</f>
        <v>0</v>
      </c>
      <c r="AB87" s="36"/>
      <c r="AC87" s="36"/>
      <c r="AD87" s="175">
        <f>COUNTIF(FilterList,rrcworking[[#This Row],[Magnum Wolfpak '#]])</f>
        <v>0</v>
      </c>
      <c r="AE87" s="172"/>
      <c r="AF87" s="173"/>
      <c r="AG87" s="36"/>
      <c r="AH87" s="36"/>
      <c r="AI87" s="36"/>
      <c r="AJ87" s="36"/>
      <c r="AK87" s="36"/>
      <c r="AL87" s="36"/>
      <c r="AM87" s="36"/>
      <c r="AN87" s="36"/>
      <c r="AO87" s="36"/>
      <c r="AP87" s="36"/>
    </row>
    <row r="88" spans="3:42" ht="14">
      <c r="C88" s="78">
        <v>99066</v>
      </c>
      <c r="D88" s="60" t="s">
        <v>353</v>
      </c>
      <c r="E88" s="125" t="s">
        <v>355</v>
      </c>
      <c r="F88" s="124">
        <v>2</v>
      </c>
      <c r="G88" s="115" t="s">
        <v>1090</v>
      </c>
      <c r="H88" s="18" t="s">
        <v>619</v>
      </c>
      <c r="I88" s="18" t="s">
        <v>59</v>
      </c>
      <c r="J88" s="19" t="s">
        <v>580</v>
      </c>
      <c r="K88" s="99">
        <v>11885</v>
      </c>
      <c r="L88" s="97">
        <f>INDEX(Table1[Production],MATCH(rrcworking[[#This Row],[RRC ID Number]],Table1[RRC Identifier],0))</f>
        <v>0</v>
      </c>
      <c r="M88" s="29">
        <f>INDEX(Table1[Formation Production],MATCH(rrcworking[[#This Row],[RRC ID Number]],Table1[RRC Identifier],0))</f>
        <v>659</v>
      </c>
      <c r="N88" s="30">
        <f>INDEX(Table1[On Hand End of Month],MATCH(rrcworking[[#This Row],[RRC ID Number]],Table1[RRC Identifier],0))</f>
        <v>0</v>
      </c>
      <c r="O88" s="102" t="b">
        <f t="shared" si="2"/>
        <v>0</v>
      </c>
      <c r="P88">
        <v>0</v>
      </c>
      <c r="Q88" s="122">
        <f>rrcworking[[#This Row],[Last Month Closing Stock]]</f>
        <v>0</v>
      </c>
      <c r="R88">
        <v>0</v>
      </c>
      <c r="S88" s="133">
        <f>IF(ISERROR(INDEX(Table2[OIL],MATCH(rrcworking[[#This Row],[Magnum Wolfpak '#]],Table2[Rox Wolf'#],0))),0,INDEX(Table2[OIL],MATCH(rrcworking[[#This Row],[Magnum Wolfpak '#]],Table2[Rox Wolf'#],0)))</f>
        <v>0</v>
      </c>
      <c r="T88" s="34">
        <f>rrcworking[[#This Row],[Closing Stock (Oil)]]+rrcworking[[#This Row],[Sales/Dispostion]]-rrcworking[[#This Row],[Opening Oil Stock]]</f>
        <v>0</v>
      </c>
      <c r="U88" s="108">
        <f>rrcworking[[#This Row],[Gauge Sheet Prod Volume (oil)]]-rrcworking[[#This Row],[Oil Production]]</f>
        <v>0</v>
      </c>
      <c r="V88" s="133">
        <f>IF(ISERROR(INDEX(Table2[GAS],MATCH(rrcworking[[#This Row],[Magnum Wolfpak '#]],Table2[Rox Wolf'#],0))),0,INDEX(Table2[GAS],MATCH(rrcworking[[#This Row],[Magnum Wolfpak '#]],Table2[Rox Wolf'#],0)))</f>
        <v>392</v>
      </c>
      <c r="W88" s="58"/>
      <c r="X88" s="58"/>
      <c r="Y88" s="133">
        <f>IF(ISERROR(INDEX(Table2[LEASE USE],MATCH(rrcworking[[#This Row],[Magnum Wolfpak '#]],Table2[Rox Wolf'#],0))),0,INDEX(Table2[LEASE USE],MATCH(rrcworking[[#This Row],[Magnum Wolfpak '#]],Table2[Rox Wolf'#],0)))</f>
        <v>0</v>
      </c>
      <c r="Z88" s="133"/>
      <c r="AA88" s="56">
        <f>rrcworking[[#This Row],[Gas Sales Statement Volume (MCF)]]+rrcworking[[#This Row],[Lease Use (MCF)]]+rrcworking[[#This Row],[Flared Gas]]</f>
        <v>392</v>
      </c>
      <c r="AB88" s="36"/>
      <c r="AC88" s="36"/>
      <c r="AD88" s="175">
        <f>COUNTIF(FilterList,rrcworking[[#This Row],[Magnum Wolfpak '#]])</f>
        <v>0</v>
      </c>
      <c r="AE88" s="172"/>
      <c r="AF88" s="173"/>
      <c r="AG88" s="83"/>
      <c r="AH88" s="83"/>
      <c r="AI88" s="174"/>
      <c r="AJ88" s="174"/>
      <c r="AK88" s="174"/>
      <c r="AL88" s="174"/>
      <c r="AM88" s="174"/>
      <c r="AN88" s="174"/>
      <c r="AO88" s="36" t="s">
        <v>1163</v>
      </c>
      <c r="AP88" s="36" t="s">
        <v>1199</v>
      </c>
    </row>
    <row r="89" spans="3:42" ht="14">
      <c r="C89" s="78">
        <v>99113</v>
      </c>
      <c r="D89" s="60" t="s">
        <v>353</v>
      </c>
      <c r="E89" s="125" t="s">
        <v>354</v>
      </c>
      <c r="F89" s="124">
        <v>1</v>
      </c>
      <c r="G89" s="115" t="s">
        <v>1090</v>
      </c>
      <c r="H89" s="18" t="s">
        <v>619</v>
      </c>
      <c r="I89" s="18" t="s">
        <v>59</v>
      </c>
      <c r="J89" s="19" t="s">
        <v>579</v>
      </c>
      <c r="K89" s="99">
        <v>11877</v>
      </c>
      <c r="L89" s="97">
        <f>INDEX(Table1[Production],MATCH(rrcworking[[#This Row],[RRC ID Number]],Table1[RRC Identifier],0))</f>
        <v>0</v>
      </c>
      <c r="M89" s="29">
        <f>INDEX(Table1[Formation Production],MATCH(rrcworking[[#This Row],[RRC ID Number]],Table1[RRC Identifier],0))</f>
        <v>170</v>
      </c>
      <c r="N89" s="30">
        <f>INDEX(Table1[On Hand End of Month],MATCH(rrcworking[[#This Row],[RRC ID Number]],Table1[RRC Identifier],0))</f>
        <v>0</v>
      </c>
      <c r="O89" s="102" t="b">
        <f t="shared" si="2"/>
        <v>0</v>
      </c>
      <c r="Q89" s="122">
        <f>rrcworking[[#This Row],[Last Month Closing Stock]]</f>
        <v>0</v>
      </c>
      <c r="R89">
        <f>rrcworking[[#This Row],[Opening Oil Stock]]</f>
        <v>0</v>
      </c>
      <c r="S89" s="133">
        <f>IF(ISERROR(INDEX(Table2[OIL],MATCH(rrcworking[[#This Row],[Magnum Wolfpak '#]],Table2[Rox Wolf'#],0))),0,INDEX(Table2[OIL],MATCH(rrcworking[[#This Row],[Magnum Wolfpak '#]],Table2[Rox Wolf'#],0)))</f>
        <v>0</v>
      </c>
      <c r="T89" s="34">
        <f>rrcworking[[#This Row],[Closing Stock (Oil)]]+rrcworking[[#This Row],[Sales/Dispostion]]-rrcworking[[#This Row],[Opening Oil Stock]]</f>
        <v>0</v>
      </c>
      <c r="U89" s="108">
        <f>rrcworking[[#This Row],[Gauge Sheet Prod Volume (oil)]]-rrcworking[[#This Row],[Oil Production]]</f>
        <v>0</v>
      </c>
      <c r="V89" s="133">
        <f>IF(ISERROR(INDEX(Table2[GAS],MATCH(rrcworking[[#This Row],[Magnum Wolfpak '#]],Table2[Rox Wolf'#],0))),0,INDEX(Table2[GAS],MATCH(rrcworking[[#This Row],[Magnum Wolfpak '#]],Table2[Rox Wolf'#],0)))</f>
        <v>146</v>
      </c>
      <c r="W89" s="58"/>
      <c r="X89" s="58"/>
      <c r="Y89" s="133">
        <f>IF(ISERROR(INDEX(Table2[LEASE USE],MATCH(rrcworking[[#This Row],[Magnum Wolfpak '#]],Table2[Rox Wolf'#],0))),0,INDEX(Table2[LEASE USE],MATCH(rrcworking[[#This Row],[Magnum Wolfpak '#]],Table2[Rox Wolf'#],0)))</f>
        <v>0</v>
      </c>
      <c r="Z89" s="133"/>
      <c r="AA89" s="56">
        <f>rrcworking[[#This Row],[Gas Sales Statement Volume (MCF)]]+rrcworking[[#This Row],[Lease Use (MCF)]]+rrcworking[[#This Row],[Flared Gas]]</f>
        <v>146</v>
      </c>
      <c r="AB89" s="36"/>
      <c r="AC89" s="36"/>
      <c r="AD89" s="175">
        <f>COUNTIF(FilterList,rrcworking[[#This Row],[Magnum Wolfpak '#]])</f>
        <v>0</v>
      </c>
      <c r="AE89" s="172"/>
      <c r="AF89" s="173"/>
      <c r="AG89" s="83"/>
      <c r="AH89" s="83"/>
      <c r="AI89" s="174"/>
      <c r="AJ89" s="174"/>
      <c r="AK89" s="174"/>
      <c r="AL89" s="174"/>
      <c r="AM89" s="174"/>
      <c r="AN89" s="174"/>
      <c r="AO89" s="36" t="s">
        <v>1163</v>
      </c>
      <c r="AP89" s="36" t="s">
        <v>1188</v>
      </c>
    </row>
    <row r="90" spans="3:42" ht="126">
      <c r="C90" s="78">
        <v>99278</v>
      </c>
      <c r="D90" s="60" t="s">
        <v>174</v>
      </c>
      <c r="E90" s="125" t="s">
        <v>175</v>
      </c>
      <c r="F90" s="124" t="s">
        <v>176</v>
      </c>
      <c r="G90" s="115" t="s">
        <v>1090</v>
      </c>
      <c r="H90" s="18" t="s">
        <v>618</v>
      </c>
      <c r="I90" s="18" t="s">
        <v>59</v>
      </c>
      <c r="J90" s="19" t="s">
        <v>474</v>
      </c>
      <c r="K90" s="99">
        <v>206045</v>
      </c>
      <c r="L90" s="97">
        <f>INDEX(Table1[Production],MATCH(rrcworking[[#This Row],[RRC ID Number]],Table1[RRC Identifier],0))</f>
        <v>25</v>
      </c>
      <c r="M90" s="29">
        <f>INDEX(Table1[Formation Production],MATCH(rrcworking[[#This Row],[RRC ID Number]],Table1[RRC Identifier],0))</f>
        <v>7312</v>
      </c>
      <c r="N90" s="30">
        <f>INDEX(Table1[On Hand End of Month],MATCH(rrcworking[[#This Row],[RRC ID Number]],Table1[RRC Identifier],0))</f>
        <v>174</v>
      </c>
      <c r="O90" s="102" t="b">
        <f t="shared" si="2"/>
        <v>0</v>
      </c>
      <c r="P90">
        <v>23</v>
      </c>
      <c r="Q90" s="122">
        <f>rrcworking[[#This Row],[Last Month Closing Stock]]</f>
        <v>174</v>
      </c>
      <c r="R90">
        <v>197</v>
      </c>
      <c r="S90" s="133">
        <f>IF(ISERROR(INDEX(Table2[OIL],MATCH(rrcworking[[#This Row],[Magnum Wolfpak '#]],Table2[Rox Wolf'#],0))),0,INDEX(Table2[OIL],MATCH(rrcworking[[#This Row],[Magnum Wolfpak '#]],Table2[Rox Wolf'#],0)))</f>
        <v>0</v>
      </c>
      <c r="T90" s="34">
        <f>rrcworking[[#This Row],[Closing Stock (Oil)]]+rrcworking[[#This Row],[Sales/Dispostion]]-rrcworking[[#This Row],[Opening Oil Stock]]</f>
        <v>23</v>
      </c>
      <c r="U90" s="108">
        <f>rrcworking[[#This Row],[Gauge Sheet Prod Volume (oil)]]-rrcworking[[#This Row],[Oil Production]]</f>
        <v>0</v>
      </c>
      <c r="V90" s="133">
        <f>IF(ISERROR(INDEX(Table2[GAS],MATCH(rrcworking[[#This Row],[Magnum Wolfpak '#]],Table2[Rox Wolf'#],0))),0,INDEX(Table2[GAS],MATCH(rrcworking[[#This Row],[Magnum Wolfpak '#]],Table2[Rox Wolf'#],0)))</f>
        <v>6259</v>
      </c>
      <c r="W90" s="82"/>
      <c r="X90" s="58">
        <v>13</v>
      </c>
      <c r="Y90" s="133">
        <f>IF(ISERROR(INDEX(Table2[LEASE USE],MATCH(rrcworking[[#This Row],[Magnum Wolfpak '#]],Table2[Rox Wolf'#],0))),0,INDEX(Table2[LEASE USE],MATCH(rrcworking[[#This Row],[Magnum Wolfpak '#]],Table2[Rox Wolf'#],0)))</f>
        <v>390</v>
      </c>
      <c r="Z90" s="133"/>
      <c r="AA90" s="56">
        <f>rrcworking[[#This Row],[Gas Sales Statement Volume (MCF)]]+rrcworking[[#This Row],[Lease Use (MCF)]]+rrcworking[[#This Row],[Flared Gas]]</f>
        <v>6649</v>
      </c>
      <c r="AB90" s="36"/>
      <c r="AC90" s="36" t="s">
        <v>1282</v>
      </c>
      <c r="AD90" s="175">
        <f>COUNTIF(FilterList,rrcworking[[#This Row],[Magnum Wolfpak '#]])</f>
        <v>0</v>
      </c>
      <c r="AE90" s="172"/>
      <c r="AF90" s="173"/>
      <c r="AG90" s="36"/>
      <c r="AH90" s="36"/>
      <c r="AI90" s="36">
        <v>2</v>
      </c>
      <c r="AJ90" s="36" t="s">
        <v>1139</v>
      </c>
      <c r="AK90" s="36" t="s">
        <v>1165</v>
      </c>
      <c r="AL90" s="36" t="s">
        <v>1200</v>
      </c>
      <c r="AM90" s="36" t="s">
        <v>1139</v>
      </c>
      <c r="AN90" s="36" t="s">
        <v>1170</v>
      </c>
      <c r="AO90" s="36" t="s">
        <v>1201</v>
      </c>
      <c r="AP90" s="36"/>
    </row>
    <row r="91" spans="3:42" ht="14">
      <c r="C91" s="78" t="e">
        <v>#N/A</v>
      </c>
      <c r="D91" s="60" t="s">
        <v>114</v>
      </c>
      <c r="E91" s="125" t="s">
        <v>115</v>
      </c>
      <c r="F91" s="124">
        <v>1</v>
      </c>
      <c r="G91" s="115">
        <v>5113</v>
      </c>
      <c r="H91" s="18" t="s">
        <v>617</v>
      </c>
      <c r="I91" s="18" t="s">
        <v>59</v>
      </c>
      <c r="J91" s="19" t="s">
        <v>437</v>
      </c>
      <c r="K91" s="99">
        <v>132690</v>
      </c>
      <c r="L91" s="97">
        <f>INDEX(Table1[Production],MATCH(rrcworking[[#This Row],[RRC ID Number]],Table1[RRC Identifier],0))</f>
        <v>0</v>
      </c>
      <c r="M91" s="29">
        <f>INDEX(Table1[Formation Production],MATCH(rrcworking[[#This Row],[RRC ID Number]],Table1[RRC Identifier],0))</f>
        <v>0</v>
      </c>
      <c r="N91" s="30">
        <f>INDEX(Table1[On Hand End of Month],MATCH(rrcworking[[#This Row],[RRC ID Number]],Table1[RRC Identifier],0))</f>
        <v>84</v>
      </c>
      <c r="O91" s="102" t="b">
        <f t="shared" si="2"/>
        <v>1</v>
      </c>
      <c r="Q91" s="122">
        <f>rrcworking[[#This Row],[Last Month Closing Stock]]</f>
        <v>84</v>
      </c>
      <c r="R91">
        <f>rrcworking[[#This Row],[Opening Oil Stock]]</f>
        <v>84</v>
      </c>
      <c r="S91" s="133">
        <f>IF(ISERROR(INDEX(Table2[OIL],MATCH(rrcworking[[#This Row],[Magnum Wolfpak '#]],Table2[Rox Wolf'#],0))),0,INDEX(Table2[OIL],MATCH(rrcworking[[#This Row],[Magnum Wolfpak '#]],Table2[Rox Wolf'#],0)))</f>
        <v>0</v>
      </c>
      <c r="T91" s="34">
        <f>rrcworking[[#This Row],[Closing Stock (Oil)]]+rrcworking[[#This Row],[Sales/Dispostion]]-rrcworking[[#This Row],[Opening Oil Stock]]</f>
        <v>0</v>
      </c>
      <c r="U91" s="108">
        <f>rrcworking[[#This Row],[Gauge Sheet Prod Volume (oil)]]-rrcworking[[#This Row],[Oil Production]]</f>
        <v>0</v>
      </c>
      <c r="V91" s="133">
        <f>IF(ISERROR(INDEX(Table2[GAS],MATCH(rrcworking[[#This Row],[Magnum Wolfpak '#]],Table2[Rox Wolf'#],0))),0,INDEX(Table2[GAS],MATCH(rrcworking[[#This Row],[Magnum Wolfpak '#]],Table2[Rox Wolf'#],0)))</f>
        <v>0</v>
      </c>
      <c r="W91" s="58"/>
      <c r="X91" s="58"/>
      <c r="Y91" s="133">
        <f>IF(ISERROR(INDEX(Table2[LEASE USE],MATCH(rrcworking[[#This Row],[Magnum Wolfpak '#]],Table2[Rox Wolf'#],0))),0,INDEX(Table2[LEASE USE],MATCH(rrcworking[[#This Row],[Magnum Wolfpak '#]],Table2[Rox Wolf'#],0)))</f>
        <v>0</v>
      </c>
      <c r="Z91" s="133"/>
      <c r="AA91" s="56">
        <f>rrcworking[[#This Row],[Gas Sales Statement Volume (MCF)]]+rrcworking[[#This Row],[Lease Use (MCF)]]+rrcworking[[#This Row],[Flared Gas]]</f>
        <v>0</v>
      </c>
      <c r="AB91" s="36"/>
      <c r="AC91" s="36"/>
      <c r="AD91" s="175">
        <f>COUNTIF(FilterList,rrcworking[[#This Row],[Magnum Wolfpak '#]])</f>
        <v>0</v>
      </c>
      <c r="AE91" s="172"/>
      <c r="AF91" s="173"/>
      <c r="AG91" s="36"/>
      <c r="AH91" s="36"/>
      <c r="AI91" s="36"/>
      <c r="AJ91" s="36"/>
      <c r="AK91" s="36"/>
      <c r="AL91" s="36"/>
      <c r="AM91" s="36"/>
      <c r="AN91" s="36"/>
      <c r="AO91" s="36"/>
      <c r="AP91" s="36"/>
    </row>
    <row r="92" spans="3:42" ht="14">
      <c r="C92" s="78" t="e">
        <v>#N/A</v>
      </c>
      <c r="D92" s="60" t="s">
        <v>359</v>
      </c>
      <c r="E92" s="125" t="s">
        <v>360</v>
      </c>
      <c r="F92" s="124">
        <v>1</v>
      </c>
      <c r="G92" s="115" t="s">
        <v>1090</v>
      </c>
      <c r="H92" s="18" t="s">
        <v>619</v>
      </c>
      <c r="I92" s="18" t="s">
        <v>59</v>
      </c>
      <c r="J92" s="19" t="s">
        <v>583</v>
      </c>
      <c r="K92" s="99">
        <v>127818</v>
      </c>
      <c r="L92" s="97">
        <f>INDEX(Table1[Production],MATCH(rrcworking[[#This Row],[RRC ID Number]],Table1[RRC Identifier],0))</f>
        <v>0</v>
      </c>
      <c r="M92" s="29">
        <f>INDEX(Table1[Formation Production],MATCH(rrcworking[[#This Row],[RRC ID Number]],Table1[RRC Identifier],0))</f>
        <v>0</v>
      </c>
      <c r="N92" s="30">
        <f>INDEX(Table1[On Hand End of Month],MATCH(rrcworking[[#This Row],[RRC ID Number]],Table1[RRC Identifier],0))</f>
        <v>166</v>
      </c>
      <c r="O92" s="102" t="b">
        <f t="shared" si="2"/>
        <v>1</v>
      </c>
      <c r="Q92" s="122">
        <f>rrcworking[[#This Row],[Last Month Closing Stock]]</f>
        <v>166</v>
      </c>
      <c r="R92">
        <f>rrcworking[[#This Row],[Opening Oil Stock]]</f>
        <v>166</v>
      </c>
      <c r="S92" s="133">
        <f>IF(ISERROR(INDEX(Table2[OIL],MATCH(rrcworking[[#This Row],[Magnum Wolfpak '#]],Table2[Rox Wolf'#],0))),0,INDEX(Table2[OIL],MATCH(rrcworking[[#This Row],[Magnum Wolfpak '#]],Table2[Rox Wolf'#],0)))</f>
        <v>0</v>
      </c>
      <c r="T92" s="34">
        <f>rrcworking[[#This Row],[Closing Stock (Oil)]]+rrcworking[[#This Row],[Sales/Dispostion]]-rrcworking[[#This Row],[Opening Oil Stock]]</f>
        <v>0</v>
      </c>
      <c r="U92" s="108">
        <f>rrcworking[[#This Row],[Gauge Sheet Prod Volume (oil)]]-rrcworking[[#This Row],[Oil Production]]</f>
        <v>0</v>
      </c>
      <c r="V92" s="133">
        <f>IF(ISERROR(INDEX(Table2[GAS],MATCH(rrcworking[[#This Row],[Magnum Wolfpak '#]],Table2[Rox Wolf'#],0))),0,INDEX(Table2[GAS],MATCH(rrcworking[[#This Row],[Magnum Wolfpak '#]],Table2[Rox Wolf'#],0)))</f>
        <v>0</v>
      </c>
      <c r="W92" s="58"/>
      <c r="X92" s="58"/>
      <c r="Y92" s="133">
        <f>IF(ISERROR(INDEX(Table2[LEASE USE],MATCH(rrcworking[[#This Row],[Magnum Wolfpak '#]],Table2[Rox Wolf'#],0))),0,INDEX(Table2[LEASE USE],MATCH(rrcworking[[#This Row],[Magnum Wolfpak '#]],Table2[Rox Wolf'#],0)))</f>
        <v>0</v>
      </c>
      <c r="Z92" s="133"/>
      <c r="AA92" s="56">
        <f>rrcworking[[#This Row],[Gas Sales Statement Volume (MCF)]]+rrcworking[[#This Row],[Lease Use (MCF)]]+rrcworking[[#This Row],[Flared Gas]]</f>
        <v>0</v>
      </c>
      <c r="AB92" s="36"/>
      <c r="AC92" s="36"/>
      <c r="AD92" s="175">
        <f>COUNTIF(FilterList,rrcworking[[#This Row],[Magnum Wolfpak '#]])</f>
        <v>0</v>
      </c>
      <c r="AE92" s="172"/>
      <c r="AF92" s="173"/>
      <c r="AG92" s="36"/>
      <c r="AH92" s="36"/>
      <c r="AI92" s="36"/>
      <c r="AJ92" s="36"/>
      <c r="AK92" s="36"/>
      <c r="AL92" s="36"/>
      <c r="AM92" s="36"/>
      <c r="AN92" s="36"/>
      <c r="AO92" s="36"/>
      <c r="AP92" s="36"/>
    </row>
    <row r="93" spans="3:42" ht="28">
      <c r="C93" s="78">
        <v>98990</v>
      </c>
      <c r="D93" s="60" t="s">
        <v>339</v>
      </c>
      <c r="E93" s="125" t="s">
        <v>340</v>
      </c>
      <c r="F93" s="124">
        <v>2</v>
      </c>
      <c r="G93" s="115" t="s">
        <v>1090</v>
      </c>
      <c r="H93" s="18" t="s">
        <v>619</v>
      </c>
      <c r="I93" s="18" t="s">
        <v>59</v>
      </c>
      <c r="J93" s="19" t="s">
        <v>572</v>
      </c>
      <c r="K93" s="99">
        <v>173434</v>
      </c>
      <c r="L93" s="97">
        <f>INDEX(Table1[Production],MATCH(rrcworking[[#This Row],[RRC ID Number]],Table1[RRC Identifier],0))</f>
        <v>0</v>
      </c>
      <c r="M93" s="29">
        <f>INDEX(Table1[Formation Production],MATCH(rrcworking[[#This Row],[RRC ID Number]],Table1[RRC Identifier],0))</f>
        <v>184</v>
      </c>
      <c r="N93" s="30">
        <f>INDEX(Table1[On Hand End of Month],MATCH(rrcworking[[#This Row],[RRC ID Number]],Table1[RRC Identifier],0))</f>
        <v>169</v>
      </c>
      <c r="O93" s="102" t="b">
        <f t="shared" si="2"/>
        <v>0</v>
      </c>
      <c r="P93">
        <v>0</v>
      </c>
      <c r="Q93" s="122">
        <f>rrcworking[[#This Row],[Last Month Closing Stock]]</f>
        <v>169</v>
      </c>
      <c r="R93">
        <v>169</v>
      </c>
      <c r="S93" s="133">
        <f>IF(ISERROR(INDEX(Table2[OIL],MATCH(rrcworking[[#This Row],[Magnum Wolfpak '#]],Table2[Rox Wolf'#],0))),0,INDEX(Table2[OIL],MATCH(rrcworking[[#This Row],[Magnum Wolfpak '#]],Table2[Rox Wolf'#],0)))</f>
        <v>0</v>
      </c>
      <c r="T93" s="34">
        <f>rrcworking[[#This Row],[Closing Stock (Oil)]]+rrcworking[[#This Row],[Sales/Dispostion]]-rrcworking[[#This Row],[Opening Oil Stock]]</f>
        <v>0</v>
      </c>
      <c r="U93" s="108">
        <f>rrcworking[[#This Row],[Gauge Sheet Prod Volume (oil)]]-rrcworking[[#This Row],[Oil Production]]</f>
        <v>0</v>
      </c>
      <c r="V93" s="133">
        <v>0</v>
      </c>
      <c r="W93" s="58"/>
      <c r="X93" s="58">
        <v>0</v>
      </c>
      <c r="Y93" s="133">
        <f>IF(ISERROR(INDEX(Table2[LEASE USE],MATCH(rrcworking[[#This Row],[Magnum Wolfpak '#]],Table2[Rox Wolf'#],0))),0,INDEX(Table2[LEASE USE],MATCH(rrcworking[[#This Row],[Magnum Wolfpak '#]],Table2[Rox Wolf'#],0)))</f>
        <v>0</v>
      </c>
      <c r="Z93" s="133"/>
      <c r="AA93" s="56">
        <f>rrcworking[[#This Row],[Gas Sales Statement Volume (MCF)]]+rrcworking[[#This Row],[Lease Use (MCF)]]+rrcworking[[#This Row],[Flared Gas]]</f>
        <v>0</v>
      </c>
      <c r="AB93" s="36"/>
      <c r="AC93" s="36"/>
      <c r="AD93" s="175">
        <f>COUNTIF(FilterList,rrcworking[[#This Row],[Magnum Wolfpak '#]])</f>
        <v>0</v>
      </c>
      <c r="AE93" s="172"/>
      <c r="AF93" s="173"/>
      <c r="AG93" s="36"/>
      <c r="AH93" s="36"/>
      <c r="AI93" s="36">
        <v>1</v>
      </c>
      <c r="AJ93" s="36" t="s">
        <v>1165</v>
      </c>
      <c r="AK93" s="36" t="s">
        <v>1165</v>
      </c>
      <c r="AL93" s="36" t="s">
        <v>1169</v>
      </c>
      <c r="AM93" s="36" t="s">
        <v>1139</v>
      </c>
      <c r="AN93" s="36" t="s">
        <v>1202</v>
      </c>
      <c r="AO93" s="36" t="s">
        <v>1203</v>
      </c>
      <c r="AP93" s="36"/>
    </row>
    <row r="94" spans="3:42" ht="28">
      <c r="C94" s="78">
        <v>93901</v>
      </c>
      <c r="D94" s="60" t="s">
        <v>95</v>
      </c>
      <c r="E94" s="125" t="s">
        <v>97</v>
      </c>
      <c r="F94" s="124">
        <v>0</v>
      </c>
      <c r="G94" s="115" t="s">
        <v>1090</v>
      </c>
      <c r="H94" s="18" t="s">
        <v>617</v>
      </c>
      <c r="I94" s="18" t="s">
        <v>2</v>
      </c>
      <c r="J94" s="19" t="s">
        <v>426</v>
      </c>
      <c r="K94" s="99">
        <v>6169</v>
      </c>
      <c r="L94" s="97">
        <f>INDEX(Table1[Production],MATCH(rrcworking[[#This Row],[RRC ID Number]],Table1[RRC Identifier],0))</f>
        <v>21</v>
      </c>
      <c r="M94" s="29">
        <f>INDEX(Table1[Formation Production],MATCH(rrcworking[[#This Row],[RRC ID Number]],Table1[RRC Identifier],0))</f>
        <v>0</v>
      </c>
      <c r="N94" s="30">
        <f>INDEX(Table1[On Hand End of Month],MATCH(rrcworking[[#This Row],[RRC ID Number]],Table1[RRC Identifier],0))</f>
        <v>48</v>
      </c>
      <c r="O94" s="102" t="b">
        <f t="shared" si="2"/>
        <v>0</v>
      </c>
      <c r="P94">
        <v>19</v>
      </c>
      <c r="Q94" s="122">
        <f>rrcworking[[#This Row],[Last Month Closing Stock]]</f>
        <v>48</v>
      </c>
      <c r="R94">
        <v>69</v>
      </c>
      <c r="S94" s="133">
        <f>IF(ISERROR(INDEX(Table2[OIL],MATCH(rrcworking[[#This Row],[Magnum Wolfpak '#]],Table2[Rox Wolf'#],0))),0,INDEX(Table2[OIL],MATCH(rrcworking[[#This Row],[Magnum Wolfpak '#]],Table2[Rox Wolf'#],0)))</f>
        <v>0</v>
      </c>
      <c r="T94" s="34">
        <f>rrcworking[[#This Row],[Closing Stock (Oil)]]+rrcworking[[#This Row],[Sales/Dispostion]]-rrcworking[[#This Row],[Opening Oil Stock]]</f>
        <v>21</v>
      </c>
      <c r="U94" s="108">
        <f>rrcworking[[#This Row],[Gauge Sheet Prod Volume (oil)]]-rrcworking[[#This Row],[Oil Production]]</f>
        <v>-2</v>
      </c>
      <c r="V94" s="133">
        <f>IF(ISERROR(INDEX(Table2[GAS],MATCH(rrcworking[[#This Row],[Magnum Wolfpak '#]],Table2[Rox Wolf'#],0))),0,INDEX(Table2[GAS],MATCH(rrcworking[[#This Row],[Magnum Wolfpak '#]],Table2[Rox Wolf'#],0)))</f>
        <v>0</v>
      </c>
      <c r="W94" s="58"/>
      <c r="X94" s="58"/>
      <c r="Y94" s="133">
        <f>IF(ISERROR(INDEX(Table2[LEASE USE],MATCH(rrcworking[[#This Row],[Magnum Wolfpak '#]],Table2[Rox Wolf'#],0))),0,INDEX(Table2[LEASE USE],MATCH(rrcworking[[#This Row],[Magnum Wolfpak '#]],Table2[Rox Wolf'#],0)))</f>
        <v>0</v>
      </c>
      <c r="Z94" s="133"/>
      <c r="AA94" s="56">
        <f>rrcworking[[#This Row],[Gas Sales Statement Volume (MCF)]]+rrcworking[[#This Row],[Lease Use (MCF)]]+rrcworking[[#This Row],[Flared Gas]]</f>
        <v>0</v>
      </c>
      <c r="AB94" s="36"/>
      <c r="AC94" s="36"/>
      <c r="AD94" s="175">
        <f>COUNTIF(FilterList,rrcworking[[#This Row],[Magnum Wolfpak '#]])</f>
        <v>0</v>
      </c>
      <c r="AE94" s="172"/>
      <c r="AF94" s="173"/>
      <c r="AG94" s="36"/>
      <c r="AH94" s="173"/>
      <c r="AI94" s="174"/>
      <c r="AJ94" s="174"/>
      <c r="AK94" s="174"/>
      <c r="AL94" s="174"/>
      <c r="AM94" s="174"/>
      <c r="AN94" s="174"/>
      <c r="AO94" s="36" t="s">
        <v>1163</v>
      </c>
      <c r="AP94" s="36" t="s">
        <v>1168</v>
      </c>
    </row>
    <row r="95" spans="3:42" ht="14">
      <c r="C95" s="78" t="e">
        <v>#N/A</v>
      </c>
      <c r="D95" s="60" t="s">
        <v>214</v>
      </c>
      <c r="E95" s="125" t="s">
        <v>211</v>
      </c>
      <c r="F95" s="124">
        <v>7</v>
      </c>
      <c r="G95" s="115">
        <v>1471</v>
      </c>
      <c r="H95" s="18" t="s">
        <v>618</v>
      </c>
      <c r="I95" s="18" t="s">
        <v>59</v>
      </c>
      <c r="J95" s="19" t="s">
        <v>496</v>
      </c>
      <c r="K95" s="99">
        <v>133198</v>
      </c>
      <c r="L95" s="97">
        <f>INDEX(Table1[Production],MATCH(rrcworking[[#This Row],[RRC ID Number]],Table1[RRC Identifier],0))</f>
        <v>0</v>
      </c>
      <c r="M95" s="29">
        <f>INDEX(Table1[Formation Production],MATCH(rrcworking[[#This Row],[RRC ID Number]],Table1[RRC Identifier],0))</f>
        <v>0</v>
      </c>
      <c r="N95" s="30">
        <f>INDEX(Table1[On Hand End of Month],MATCH(rrcworking[[#This Row],[RRC ID Number]],Table1[RRC Identifier],0))</f>
        <v>0</v>
      </c>
      <c r="O95" s="102" t="b">
        <f t="shared" si="2"/>
        <v>1</v>
      </c>
      <c r="Q95" s="122">
        <f>rrcworking[[#This Row],[Last Month Closing Stock]]</f>
        <v>0</v>
      </c>
      <c r="R95">
        <f>rrcworking[[#This Row],[Opening Oil Stock]]</f>
        <v>0</v>
      </c>
      <c r="S95" s="133">
        <f>IF(ISERROR(INDEX(Table2[OIL],MATCH(rrcworking[[#This Row],[Magnum Wolfpak '#]],Table2[Rox Wolf'#],0))),0,INDEX(Table2[OIL],MATCH(rrcworking[[#This Row],[Magnum Wolfpak '#]],Table2[Rox Wolf'#],0)))</f>
        <v>0</v>
      </c>
      <c r="T95" s="34">
        <f>rrcworking[[#This Row],[Closing Stock (Oil)]]+rrcworking[[#This Row],[Sales/Dispostion]]-rrcworking[[#This Row],[Opening Oil Stock]]</f>
        <v>0</v>
      </c>
      <c r="U95" s="108">
        <f>rrcworking[[#This Row],[Gauge Sheet Prod Volume (oil)]]-rrcworking[[#This Row],[Oil Production]]</f>
        <v>0</v>
      </c>
      <c r="V95" s="133">
        <f>IF(ISERROR(INDEX(Table2[GAS],MATCH(rrcworking[[#This Row],[Magnum Wolfpak '#]],Table2[Rox Wolf'#],0))),0,INDEX(Table2[GAS],MATCH(rrcworking[[#This Row],[Magnum Wolfpak '#]],Table2[Rox Wolf'#],0)))</f>
        <v>0</v>
      </c>
      <c r="W95" s="58"/>
      <c r="X95" s="58"/>
      <c r="Y95" s="133">
        <f>IF(ISERROR(INDEX(Table2[LEASE USE],MATCH(rrcworking[[#This Row],[Magnum Wolfpak '#]],Table2[Rox Wolf'#],0))),0,INDEX(Table2[LEASE USE],MATCH(rrcworking[[#This Row],[Magnum Wolfpak '#]],Table2[Rox Wolf'#],0)))</f>
        <v>0</v>
      </c>
      <c r="Z95" s="133"/>
      <c r="AA95" s="56">
        <f>rrcworking[[#This Row],[Gas Sales Statement Volume (MCF)]]+rrcworking[[#This Row],[Lease Use (MCF)]]+rrcworking[[#This Row],[Flared Gas]]</f>
        <v>0</v>
      </c>
      <c r="AB95" s="36"/>
      <c r="AC95" s="36"/>
      <c r="AD95" s="175">
        <f>COUNTIF(FilterList,rrcworking[[#This Row],[Magnum Wolfpak '#]])</f>
        <v>0</v>
      </c>
      <c r="AE95" s="172"/>
      <c r="AF95" s="173"/>
      <c r="AG95" s="36"/>
      <c r="AH95" s="36"/>
      <c r="AI95" s="36"/>
      <c r="AJ95" s="36"/>
      <c r="AK95" s="36"/>
      <c r="AL95" s="36"/>
      <c r="AM95" s="36"/>
      <c r="AN95" s="36"/>
      <c r="AO95" s="36"/>
      <c r="AP95" s="36"/>
    </row>
    <row r="96" spans="3:42" ht="28">
      <c r="C96" s="78">
        <v>99159</v>
      </c>
      <c r="D96" s="60" t="s">
        <v>209</v>
      </c>
      <c r="E96" s="125" t="s">
        <v>211</v>
      </c>
      <c r="F96" s="130" t="s">
        <v>62</v>
      </c>
      <c r="G96" s="115"/>
      <c r="H96" s="18" t="s">
        <v>618</v>
      </c>
      <c r="I96" s="156" t="s">
        <v>59</v>
      </c>
      <c r="J96" s="155" t="s">
        <v>1132</v>
      </c>
      <c r="K96" s="99">
        <v>287522</v>
      </c>
      <c r="L96" s="97">
        <f>INDEX(Table1[Production],MATCH(rrcworking[[#This Row],[RRC ID Number]],Table1[RRC Identifier],0))</f>
        <v>14</v>
      </c>
      <c r="M96" s="29">
        <f>INDEX(Table1[Formation Production],MATCH(rrcworking[[#This Row],[RRC ID Number]],Table1[RRC Identifier],0))</f>
        <v>4494</v>
      </c>
      <c r="N96" s="30">
        <f>INDEX(Table1[On Hand End of Month],MATCH(rrcworking[[#This Row],[RRC ID Number]],Table1[RRC Identifier],0))</f>
        <v>95</v>
      </c>
      <c r="O96" s="102" t="b">
        <f t="shared" si="2"/>
        <v>0</v>
      </c>
      <c r="P96">
        <v>15</v>
      </c>
      <c r="Q96" s="122">
        <f>rrcworking[[#This Row],[Last Month Closing Stock]]</f>
        <v>95</v>
      </c>
      <c r="R96">
        <v>110</v>
      </c>
      <c r="S96" s="133">
        <f>IF(ISERROR(INDEX(Table2[OIL],MATCH(rrcworking[[#This Row],[Magnum Wolfpak '#]],Table2[Rox Wolf'#],0))),0,INDEX(Table2[OIL],MATCH(rrcworking[[#This Row],[Magnum Wolfpak '#]],Table2[Rox Wolf'#],0)))</f>
        <v>0</v>
      </c>
      <c r="T96" s="34">
        <f>rrcworking[[#This Row],[Closing Stock (Oil)]]+rrcworking[[#This Row],[Sales/Dispostion]]-rrcworking[[#This Row],[Opening Oil Stock]]</f>
        <v>15</v>
      </c>
      <c r="U96" s="108">
        <f>rrcworking[[#This Row],[Gauge Sheet Prod Volume (oil)]]-rrcworking[[#This Row],[Oil Production]]</f>
        <v>0</v>
      </c>
      <c r="V96" s="133">
        <f>IF(ISERROR(INDEX(Table2[GAS],MATCH(rrcworking[[#This Row],[Magnum Wolfpak '#]],Table2[Rox Wolf'#],0))),0,INDEX(Table2[GAS],MATCH(rrcworking[[#This Row],[Magnum Wolfpak '#]],Table2[Rox Wolf'#],0)))</f>
        <v>4043</v>
      </c>
      <c r="W96" s="82"/>
      <c r="X96" s="58">
        <v>6</v>
      </c>
      <c r="Y96" s="133">
        <f>IF(ISERROR(INDEX(Table2[LEASE USE],MATCH(rrcworking[[#This Row],[Magnum Wolfpak '#]],Table2[Rox Wolf'#],0))),0,INDEX(Table2[LEASE USE],MATCH(rrcworking[[#This Row],[Magnum Wolfpak '#]],Table2[Rox Wolf'#],0)))</f>
        <v>180</v>
      </c>
      <c r="Z96" s="133"/>
      <c r="AA96" s="56">
        <f>rrcworking[[#This Row],[Gas Sales Statement Volume (MCF)]]+rrcworking[[#This Row],[Lease Use (MCF)]]+rrcworking[[#This Row],[Flared Gas]]</f>
        <v>4223</v>
      </c>
      <c r="AB96" s="36"/>
      <c r="AC96" s="36" t="s">
        <v>1133</v>
      </c>
      <c r="AD96" s="175">
        <f>COUNTIF(FilterList,rrcworking[[#This Row],[Magnum Wolfpak '#]])</f>
        <v>0</v>
      </c>
      <c r="AE96" s="172"/>
      <c r="AF96" s="173"/>
      <c r="AG96" s="36"/>
      <c r="AH96" s="173"/>
      <c r="AI96" s="36">
        <v>2</v>
      </c>
      <c r="AJ96" s="36" t="s">
        <v>1165</v>
      </c>
      <c r="AK96" s="36" t="s">
        <v>1165</v>
      </c>
      <c r="AL96" s="36" t="s">
        <v>1184</v>
      </c>
      <c r="AM96" s="36" t="s">
        <v>1165</v>
      </c>
      <c r="AN96" s="36" t="s">
        <v>1185</v>
      </c>
      <c r="AO96" s="36" t="s">
        <v>1234</v>
      </c>
      <c r="AP96" s="36"/>
    </row>
    <row r="97" spans="3:42" ht="14">
      <c r="C97" s="78" t="e">
        <v>#N/A</v>
      </c>
      <c r="D97" s="60" t="s">
        <v>215</v>
      </c>
      <c r="E97" s="125" t="s">
        <v>216</v>
      </c>
      <c r="F97" s="124">
        <v>0</v>
      </c>
      <c r="G97" s="115">
        <v>1471</v>
      </c>
      <c r="H97" s="18" t="s">
        <v>618</v>
      </c>
      <c r="I97" s="18" t="s">
        <v>2</v>
      </c>
      <c r="J97" s="19" t="s">
        <v>497</v>
      </c>
      <c r="K97" s="99">
        <v>22393</v>
      </c>
      <c r="L97" s="97">
        <f>INDEX(Table1[Production],MATCH(rrcworking[[#This Row],[RRC ID Number]],Table1[RRC Identifier],0))</f>
        <v>0</v>
      </c>
      <c r="M97" s="29">
        <f>INDEX(Table1[Formation Production],MATCH(rrcworking[[#This Row],[RRC ID Number]],Table1[RRC Identifier],0))</f>
        <v>0</v>
      </c>
      <c r="N97" s="30">
        <f>INDEX(Table1[On Hand End of Month],MATCH(rrcworking[[#This Row],[RRC ID Number]],Table1[RRC Identifier],0))</f>
        <v>0</v>
      </c>
      <c r="O97" s="102" t="b">
        <f t="shared" si="2"/>
        <v>1</v>
      </c>
      <c r="Q97" s="122">
        <f>rrcworking[[#This Row],[Last Month Closing Stock]]</f>
        <v>0</v>
      </c>
      <c r="R97">
        <f>rrcworking[[#This Row],[Opening Oil Stock]]</f>
        <v>0</v>
      </c>
      <c r="S97" s="133">
        <f>IF(ISERROR(INDEX(Table2[OIL],MATCH(rrcworking[[#This Row],[Magnum Wolfpak '#]],Table2[Rox Wolf'#],0))),0,INDEX(Table2[OIL],MATCH(rrcworking[[#This Row],[Magnum Wolfpak '#]],Table2[Rox Wolf'#],0)))</f>
        <v>0</v>
      </c>
      <c r="T97" s="34">
        <f>rrcworking[[#This Row],[Closing Stock (Oil)]]+rrcworking[[#This Row],[Sales/Dispostion]]-rrcworking[[#This Row],[Opening Oil Stock]]</f>
        <v>0</v>
      </c>
      <c r="U97" s="108">
        <f>rrcworking[[#This Row],[Gauge Sheet Prod Volume (oil)]]-rrcworking[[#This Row],[Oil Production]]</f>
        <v>0</v>
      </c>
      <c r="V97" s="133">
        <f>IF(ISERROR(INDEX(Table2[GAS],MATCH(rrcworking[[#This Row],[Magnum Wolfpak '#]],Table2[Rox Wolf'#],0))),0,INDEX(Table2[GAS],MATCH(rrcworking[[#This Row],[Magnum Wolfpak '#]],Table2[Rox Wolf'#],0)))</f>
        <v>0</v>
      </c>
      <c r="W97" s="58"/>
      <c r="X97" s="58"/>
      <c r="Y97" s="133">
        <f>IF(ISERROR(INDEX(Table2[LEASE USE],MATCH(rrcworking[[#This Row],[Magnum Wolfpak '#]],Table2[Rox Wolf'#],0))),0,INDEX(Table2[LEASE USE],MATCH(rrcworking[[#This Row],[Magnum Wolfpak '#]],Table2[Rox Wolf'#],0)))</f>
        <v>0</v>
      </c>
      <c r="Z97" s="133"/>
      <c r="AA97" s="56">
        <f>rrcworking[[#This Row],[Gas Sales Statement Volume (MCF)]]+rrcworking[[#This Row],[Lease Use (MCF)]]+rrcworking[[#This Row],[Flared Gas]]</f>
        <v>0</v>
      </c>
      <c r="AB97" s="36"/>
      <c r="AC97" s="36"/>
      <c r="AD97" s="175">
        <f>COUNTIF(FilterList,rrcworking[[#This Row],[Magnum Wolfpak '#]])</f>
        <v>0</v>
      </c>
      <c r="AE97" s="172"/>
      <c r="AF97" s="173"/>
      <c r="AG97" s="36"/>
      <c r="AH97" s="36"/>
      <c r="AI97" s="36"/>
      <c r="AJ97" s="36"/>
      <c r="AK97" s="36"/>
      <c r="AL97" s="36"/>
      <c r="AM97" s="36"/>
      <c r="AN97" s="36"/>
      <c r="AO97" s="36"/>
      <c r="AP97" s="36"/>
    </row>
    <row r="98" spans="3:42" ht="56">
      <c r="C98" s="78">
        <v>98955</v>
      </c>
      <c r="D98" s="60" t="s">
        <v>274</v>
      </c>
      <c r="E98" s="125" t="s">
        <v>279</v>
      </c>
      <c r="F98" s="124">
        <v>1</v>
      </c>
      <c r="G98" s="115" t="s">
        <v>1090</v>
      </c>
      <c r="H98" s="18" t="s">
        <v>618</v>
      </c>
      <c r="I98" s="18" t="s">
        <v>59</v>
      </c>
      <c r="J98" s="19" t="s">
        <v>530</v>
      </c>
      <c r="K98" s="99">
        <v>210199</v>
      </c>
      <c r="L98" s="97">
        <f>INDEX(Table1[Production],MATCH(rrcworking[[#This Row],[RRC ID Number]],Table1[RRC Identifier],0))</f>
        <v>167</v>
      </c>
      <c r="M98" s="29">
        <f>INDEX(Table1[Formation Production],MATCH(rrcworking[[#This Row],[RRC ID Number]],Table1[RRC Identifier],0))</f>
        <v>3918</v>
      </c>
      <c r="N98" s="30">
        <f>INDEX(Table1[On Hand End of Month],MATCH(rrcworking[[#This Row],[RRC ID Number]],Table1[RRC Identifier],0))</f>
        <v>230</v>
      </c>
      <c r="O98" s="102" t="b">
        <f t="shared" si="2"/>
        <v>0</v>
      </c>
      <c r="P98">
        <v>35</v>
      </c>
      <c r="Q98" s="122">
        <f>rrcworking[[#This Row],[Last Month Closing Stock]]</f>
        <v>230</v>
      </c>
      <c r="R98">
        <v>230</v>
      </c>
      <c r="S98" s="133">
        <f>IF(ISERROR(INDEX(Table2[OIL],MATCH(rrcworking[[#This Row],[Magnum Wolfpak '#]],Table2[Rox Wolf'#],0))),0,INDEX(Table2[OIL],MATCH(rrcworking[[#This Row],[Magnum Wolfpak '#]],Table2[Rox Wolf'#],0)))</f>
        <v>0</v>
      </c>
      <c r="T98" s="34">
        <f>rrcworking[[#This Row],[Closing Stock (Oil)]]+rrcworking[[#This Row],[Sales/Dispostion]]-rrcworking[[#This Row],[Opening Oil Stock]]</f>
        <v>0</v>
      </c>
      <c r="U98" s="108">
        <f>rrcworking[[#This Row],[Gauge Sheet Prod Volume (oil)]]-rrcworking[[#This Row],[Oil Production]]</f>
        <v>35</v>
      </c>
      <c r="V98" s="133">
        <f>IF(ISERROR(INDEX(Table2[GAS],MATCH(rrcworking[[#This Row],[Magnum Wolfpak '#]],Table2[Rox Wolf'#],0))),0,INDEX(Table2[GAS],MATCH(rrcworking[[#This Row],[Magnum Wolfpak '#]],Table2[Rox Wolf'#],0)))</f>
        <v>207</v>
      </c>
      <c r="W98" s="82"/>
      <c r="X98" s="58">
        <v>1</v>
      </c>
      <c r="Y98" s="133">
        <f>IF(ISERROR(INDEX(Table2[LEASE USE],MATCH(rrcworking[[#This Row],[Magnum Wolfpak '#]],Table2[Rox Wolf'#],0))),0,INDEX(Table2[LEASE USE],MATCH(rrcworking[[#This Row],[Magnum Wolfpak '#]],Table2[Rox Wolf'#],0)))</f>
        <v>10</v>
      </c>
      <c r="Z98" s="133"/>
      <c r="AA98" s="56">
        <f>rrcworking[[#This Row],[Gas Sales Statement Volume (MCF)]]+rrcworking[[#This Row],[Lease Use (MCF)]]+rrcworking[[#This Row],[Flared Gas]]</f>
        <v>217</v>
      </c>
      <c r="AB98" s="36"/>
      <c r="AC98" s="36" t="s">
        <v>1304</v>
      </c>
      <c r="AD98" s="175">
        <f>COUNTIF(FilterList,rrcworking[[#This Row],[Magnum Wolfpak '#]])</f>
        <v>0</v>
      </c>
      <c r="AE98" s="172"/>
      <c r="AF98" s="173"/>
      <c r="AG98" s="36"/>
      <c r="AH98" s="36"/>
      <c r="AI98" s="174"/>
      <c r="AJ98" s="174"/>
      <c r="AK98" s="174"/>
      <c r="AL98" s="174"/>
      <c r="AM98" s="174"/>
      <c r="AN98" s="174"/>
      <c r="AO98" s="36" t="s">
        <v>1163</v>
      </c>
      <c r="AP98" s="36" t="s">
        <v>1197</v>
      </c>
    </row>
    <row r="99" spans="3:42" ht="14">
      <c r="C99" s="78" t="e">
        <v>#N/A</v>
      </c>
      <c r="D99" s="60" t="s">
        <v>105</v>
      </c>
      <c r="E99" s="125" t="s">
        <v>106</v>
      </c>
      <c r="F99" s="124">
        <v>1</v>
      </c>
      <c r="G99" s="115" t="s">
        <v>1090</v>
      </c>
      <c r="H99" s="18" t="s">
        <v>617</v>
      </c>
      <c r="I99" s="18" t="s">
        <v>59</v>
      </c>
      <c r="J99" s="19" t="s">
        <v>431</v>
      </c>
      <c r="K99" s="99">
        <v>52283</v>
      </c>
      <c r="L99" s="97">
        <f>INDEX(Table1[Production],MATCH(rrcworking[[#This Row],[RRC ID Number]],Table1[RRC Identifier],0))</f>
        <v>0</v>
      </c>
      <c r="M99" s="29">
        <f>INDEX(Table1[Formation Production],MATCH(rrcworking[[#This Row],[RRC ID Number]],Table1[RRC Identifier],0))</f>
        <v>0</v>
      </c>
      <c r="N99" s="30">
        <f>INDEX(Table1[On Hand End of Month],MATCH(rrcworking[[#This Row],[RRC ID Number]],Table1[RRC Identifier],0))</f>
        <v>240</v>
      </c>
      <c r="O99" s="102" t="b">
        <f t="shared" si="2"/>
        <v>1</v>
      </c>
      <c r="Q99" s="122">
        <f>rrcworking[[#This Row],[Last Month Closing Stock]]</f>
        <v>240</v>
      </c>
      <c r="R99">
        <f>rrcworking[[#This Row],[Opening Oil Stock]]</f>
        <v>240</v>
      </c>
      <c r="S99" s="133">
        <f>IF(ISERROR(INDEX(Table2[OIL],MATCH(rrcworking[[#This Row],[Magnum Wolfpak '#]],Table2[Rox Wolf'#],0))),0,INDEX(Table2[OIL],MATCH(rrcworking[[#This Row],[Magnum Wolfpak '#]],Table2[Rox Wolf'#],0)))</f>
        <v>0</v>
      </c>
      <c r="T99" s="34">
        <f>rrcworking[[#This Row],[Closing Stock (Oil)]]+rrcworking[[#This Row],[Sales/Dispostion]]-rrcworking[[#This Row],[Opening Oil Stock]]</f>
        <v>0</v>
      </c>
      <c r="U99" s="108">
        <f>rrcworking[[#This Row],[Gauge Sheet Prod Volume (oil)]]-rrcworking[[#This Row],[Oil Production]]</f>
        <v>0</v>
      </c>
      <c r="V99" s="133">
        <f>IF(ISERROR(INDEX(Table2[GAS],MATCH(rrcworking[[#This Row],[Magnum Wolfpak '#]],Table2[Rox Wolf'#],0))),0,INDEX(Table2[GAS],MATCH(rrcworking[[#This Row],[Magnum Wolfpak '#]],Table2[Rox Wolf'#],0)))</f>
        <v>0</v>
      </c>
      <c r="W99" s="58"/>
      <c r="X99" s="58"/>
      <c r="Y99" s="133">
        <f>IF(ISERROR(INDEX(Table2[LEASE USE],MATCH(rrcworking[[#This Row],[Magnum Wolfpak '#]],Table2[Rox Wolf'#],0))),0,INDEX(Table2[LEASE USE],MATCH(rrcworking[[#This Row],[Magnum Wolfpak '#]],Table2[Rox Wolf'#],0)))</f>
        <v>0</v>
      </c>
      <c r="Z99" s="133"/>
      <c r="AA99" s="56">
        <f>rrcworking[[#This Row],[Gas Sales Statement Volume (MCF)]]+rrcworking[[#This Row],[Lease Use (MCF)]]+rrcworking[[#This Row],[Flared Gas]]</f>
        <v>0</v>
      </c>
      <c r="AB99" s="36"/>
      <c r="AC99" s="36"/>
      <c r="AD99" s="175">
        <f>COUNTIF(FilterList,rrcworking[[#This Row],[Magnum Wolfpak '#]])</f>
        <v>0</v>
      </c>
      <c r="AE99" s="172"/>
      <c r="AF99" s="173"/>
      <c r="AG99" s="36"/>
      <c r="AH99" s="36"/>
      <c r="AI99" s="36"/>
      <c r="AJ99" s="36"/>
      <c r="AK99" s="36"/>
      <c r="AL99" s="36"/>
      <c r="AM99" s="36"/>
      <c r="AN99" s="36"/>
      <c r="AO99" s="36"/>
      <c r="AP99" s="36"/>
    </row>
    <row r="100" spans="3:42" ht="14">
      <c r="C100" s="78" t="e">
        <v>#N/A</v>
      </c>
      <c r="D100" s="60" t="s">
        <v>366</v>
      </c>
      <c r="E100" s="125" t="s">
        <v>367</v>
      </c>
      <c r="F100" s="124">
        <v>1</v>
      </c>
      <c r="G100" s="115" t="s">
        <v>1090</v>
      </c>
      <c r="H100" s="18" t="s">
        <v>619</v>
      </c>
      <c r="I100" s="18" t="s">
        <v>59</v>
      </c>
      <c r="J100" s="19" t="s">
        <v>586</v>
      </c>
      <c r="K100" s="99">
        <v>140637</v>
      </c>
      <c r="L100" s="97">
        <f>INDEX(Table1[Production],MATCH(rrcworking[[#This Row],[RRC ID Number]],Table1[RRC Identifier],0))</f>
        <v>0</v>
      </c>
      <c r="M100" s="29">
        <f>INDEX(Table1[Formation Production],MATCH(rrcworking[[#This Row],[RRC ID Number]],Table1[RRC Identifier],0))</f>
        <v>0</v>
      </c>
      <c r="N100" s="30">
        <f>INDEX(Table1[On Hand End of Month],MATCH(rrcworking[[#This Row],[RRC ID Number]],Table1[RRC Identifier],0))</f>
        <v>92</v>
      </c>
      <c r="O100" s="102" t="b">
        <f t="shared" si="2"/>
        <v>1</v>
      </c>
      <c r="Q100" s="122">
        <f>rrcworking[[#This Row],[Last Month Closing Stock]]</f>
        <v>92</v>
      </c>
      <c r="R100">
        <f>rrcworking[[#This Row],[Opening Oil Stock]]</f>
        <v>92</v>
      </c>
      <c r="S100" s="133">
        <f>IF(ISERROR(INDEX(Table2[OIL],MATCH(rrcworking[[#This Row],[Magnum Wolfpak '#]],Table2[Rox Wolf'#],0))),0,INDEX(Table2[OIL],MATCH(rrcworking[[#This Row],[Magnum Wolfpak '#]],Table2[Rox Wolf'#],0)))</f>
        <v>0</v>
      </c>
      <c r="T100" s="34">
        <f>rrcworking[[#This Row],[Closing Stock (Oil)]]+rrcworking[[#This Row],[Sales/Dispostion]]-rrcworking[[#This Row],[Opening Oil Stock]]</f>
        <v>0</v>
      </c>
      <c r="U100" s="108">
        <f>rrcworking[[#This Row],[Gauge Sheet Prod Volume (oil)]]-rrcworking[[#This Row],[Oil Production]]</f>
        <v>0</v>
      </c>
      <c r="V100" s="133">
        <f>IF(ISERROR(INDEX(Table2[GAS],MATCH(rrcworking[[#This Row],[Magnum Wolfpak '#]],Table2[Rox Wolf'#],0))),0,INDEX(Table2[GAS],MATCH(rrcworking[[#This Row],[Magnum Wolfpak '#]],Table2[Rox Wolf'#],0)))</f>
        <v>0</v>
      </c>
      <c r="W100" s="58"/>
      <c r="X100" s="58"/>
      <c r="Y100" s="133">
        <f>IF(ISERROR(INDEX(Table2[LEASE USE],MATCH(rrcworking[[#This Row],[Magnum Wolfpak '#]],Table2[Rox Wolf'#],0))),0,INDEX(Table2[LEASE USE],MATCH(rrcworking[[#This Row],[Magnum Wolfpak '#]],Table2[Rox Wolf'#],0)))</f>
        <v>0</v>
      </c>
      <c r="Z100" s="133"/>
      <c r="AA100" s="56">
        <f>rrcworking[[#This Row],[Gas Sales Statement Volume (MCF)]]+rrcworking[[#This Row],[Lease Use (MCF)]]+rrcworking[[#This Row],[Flared Gas]]</f>
        <v>0</v>
      </c>
      <c r="AB100" s="36"/>
      <c r="AC100" s="36"/>
      <c r="AD100" s="175">
        <f>COUNTIF(FilterList,rrcworking[[#This Row],[Magnum Wolfpak '#]])</f>
        <v>0</v>
      </c>
      <c r="AE100" s="172"/>
      <c r="AF100" s="173"/>
      <c r="AG100" s="36"/>
      <c r="AH100" s="36"/>
      <c r="AI100" s="36"/>
      <c r="AJ100" s="36"/>
      <c r="AK100" s="36"/>
      <c r="AL100" s="36"/>
      <c r="AM100" s="36"/>
      <c r="AN100" s="36"/>
      <c r="AO100" s="36"/>
      <c r="AP100" s="36"/>
    </row>
    <row r="101" spans="3:42" ht="14">
      <c r="C101" s="78" t="e">
        <v>#N/A</v>
      </c>
      <c r="D101" s="60" t="s">
        <v>133</v>
      </c>
      <c r="E101" s="125" t="s">
        <v>134</v>
      </c>
      <c r="F101" s="124">
        <v>2</v>
      </c>
      <c r="G101" s="115" t="s">
        <v>1090</v>
      </c>
      <c r="H101" s="18" t="s">
        <v>617</v>
      </c>
      <c r="I101" s="18" t="s">
        <v>59</v>
      </c>
      <c r="J101" s="19" t="s">
        <v>449</v>
      </c>
      <c r="K101" s="99">
        <v>220079</v>
      </c>
      <c r="L101" s="97">
        <f>INDEX(Table1[Production],MATCH(rrcworking[[#This Row],[RRC ID Number]],Table1[RRC Identifier],0))</f>
        <v>0</v>
      </c>
      <c r="M101" s="29">
        <f>INDEX(Table1[Formation Production],MATCH(rrcworking[[#This Row],[RRC ID Number]],Table1[RRC Identifier],0))</f>
        <v>0</v>
      </c>
      <c r="N101" s="30">
        <f>INDEX(Table1[On Hand End of Month],MATCH(rrcworking[[#This Row],[RRC ID Number]],Table1[RRC Identifier],0))</f>
        <v>0</v>
      </c>
      <c r="O101" s="102" t="b">
        <f t="shared" ref="O101:O133" si="3">IF(AND(L101=0,M101=0), TRUE, FALSE)</f>
        <v>1</v>
      </c>
      <c r="Q101" s="122">
        <f>rrcworking[[#This Row],[Last Month Closing Stock]]</f>
        <v>0</v>
      </c>
      <c r="R101">
        <f>rrcworking[[#This Row],[Opening Oil Stock]]</f>
        <v>0</v>
      </c>
      <c r="S101" s="133">
        <f>IF(ISERROR(INDEX(Table2[OIL],MATCH(rrcworking[[#This Row],[Magnum Wolfpak '#]],Table2[Rox Wolf'#],0))),0,INDEX(Table2[OIL],MATCH(rrcworking[[#This Row],[Magnum Wolfpak '#]],Table2[Rox Wolf'#],0)))</f>
        <v>0</v>
      </c>
      <c r="T101" s="34">
        <f>rrcworking[[#This Row],[Closing Stock (Oil)]]+rrcworking[[#This Row],[Sales/Dispostion]]-rrcworking[[#This Row],[Opening Oil Stock]]</f>
        <v>0</v>
      </c>
      <c r="U101" s="108">
        <f>rrcworking[[#This Row],[Gauge Sheet Prod Volume (oil)]]-rrcworking[[#This Row],[Oil Production]]</f>
        <v>0</v>
      </c>
      <c r="V101" s="133">
        <f>IF(ISERROR(INDEX(Table2[GAS],MATCH(rrcworking[[#This Row],[Magnum Wolfpak '#]],Table2[Rox Wolf'#],0))),0,INDEX(Table2[GAS],MATCH(rrcworking[[#This Row],[Magnum Wolfpak '#]],Table2[Rox Wolf'#],0)))</f>
        <v>0</v>
      </c>
      <c r="W101" s="58"/>
      <c r="X101" s="58"/>
      <c r="Y101" s="133">
        <f>IF(ISERROR(INDEX(Table2[LEASE USE],MATCH(rrcworking[[#This Row],[Magnum Wolfpak '#]],Table2[Rox Wolf'#],0))),0,INDEX(Table2[LEASE USE],MATCH(rrcworking[[#This Row],[Magnum Wolfpak '#]],Table2[Rox Wolf'#],0)))</f>
        <v>0</v>
      </c>
      <c r="Z101" s="133"/>
      <c r="AA101" s="56">
        <f>rrcworking[[#This Row],[Gas Sales Statement Volume (MCF)]]+rrcworking[[#This Row],[Lease Use (MCF)]]+rrcworking[[#This Row],[Flared Gas]]</f>
        <v>0</v>
      </c>
      <c r="AB101" s="36"/>
      <c r="AC101" s="36"/>
      <c r="AD101" s="175">
        <f>COUNTIF(FilterList,rrcworking[[#This Row],[Magnum Wolfpak '#]])</f>
        <v>0</v>
      </c>
      <c r="AE101" s="172"/>
      <c r="AF101" s="173"/>
      <c r="AG101" s="36"/>
      <c r="AH101" s="36"/>
      <c r="AI101" s="36"/>
      <c r="AJ101" s="36"/>
      <c r="AK101" s="36"/>
      <c r="AL101" s="36"/>
      <c r="AM101" s="36"/>
      <c r="AN101" s="36"/>
      <c r="AO101" s="36"/>
      <c r="AP101" s="36"/>
    </row>
    <row r="102" spans="3:42" ht="14">
      <c r="C102" s="78">
        <v>99269</v>
      </c>
      <c r="D102" s="60" t="s">
        <v>315</v>
      </c>
      <c r="E102" s="125" t="s">
        <v>316</v>
      </c>
      <c r="F102" s="124">
        <v>1</v>
      </c>
      <c r="G102" s="115" t="s">
        <v>1090</v>
      </c>
      <c r="H102" s="18" t="s">
        <v>619</v>
      </c>
      <c r="I102" s="18" t="s">
        <v>59</v>
      </c>
      <c r="J102" s="19" t="s">
        <v>556</v>
      </c>
      <c r="K102" s="99">
        <v>255120</v>
      </c>
      <c r="L102" s="97">
        <f>INDEX(Table1[Production],MATCH(rrcworking[[#This Row],[RRC ID Number]],Table1[RRC Identifier],0))</f>
        <v>0</v>
      </c>
      <c r="M102" s="29">
        <f>INDEX(Table1[Formation Production],MATCH(rrcworking[[#This Row],[RRC ID Number]],Table1[RRC Identifier],0))</f>
        <v>280</v>
      </c>
      <c r="N102" s="30">
        <f>INDEX(Table1[On Hand End of Month],MATCH(rrcworking[[#This Row],[RRC ID Number]],Table1[RRC Identifier],0))</f>
        <v>0</v>
      </c>
      <c r="O102" s="102" t="b">
        <f t="shared" si="3"/>
        <v>0</v>
      </c>
      <c r="Q102" s="122">
        <f>rrcworking[[#This Row],[Last Month Closing Stock]]</f>
        <v>0</v>
      </c>
      <c r="R102">
        <f>rrcworking[[#This Row],[Opening Oil Stock]]</f>
        <v>0</v>
      </c>
      <c r="S102" s="133">
        <f>IF(ISERROR(INDEX(Table2[OIL],MATCH(rrcworking[[#This Row],[Magnum Wolfpak '#]],Table2[Rox Wolf'#],0))),0,INDEX(Table2[OIL],MATCH(rrcworking[[#This Row],[Magnum Wolfpak '#]],Table2[Rox Wolf'#],0)))</f>
        <v>0</v>
      </c>
      <c r="T102" s="34">
        <f>rrcworking[[#This Row],[Closing Stock (Oil)]]+rrcworking[[#This Row],[Sales/Dispostion]]-rrcworking[[#This Row],[Opening Oil Stock]]</f>
        <v>0</v>
      </c>
      <c r="U102" s="108">
        <f>rrcworking[[#This Row],[Gauge Sheet Prod Volume (oil)]]-rrcworking[[#This Row],[Oil Production]]</f>
        <v>0</v>
      </c>
      <c r="V102" s="133">
        <f>IF(ISERROR(INDEX(Table2[GAS],MATCH(rrcworking[[#This Row],[Magnum Wolfpak '#]],Table2[Rox Wolf'#],0))),0,INDEX(Table2[GAS],MATCH(rrcworking[[#This Row],[Magnum Wolfpak '#]],Table2[Rox Wolf'#],0)))</f>
        <v>0</v>
      </c>
      <c r="W102" s="58"/>
      <c r="X102" s="58"/>
      <c r="Y102" s="133">
        <f>IF(ISERROR(INDEX(Table2[LEASE USE],MATCH(rrcworking[[#This Row],[Magnum Wolfpak '#]],Table2[Rox Wolf'#],0))),0,INDEX(Table2[LEASE USE],MATCH(rrcworking[[#This Row],[Magnum Wolfpak '#]],Table2[Rox Wolf'#],0)))</f>
        <v>280</v>
      </c>
      <c r="Z102" s="133"/>
      <c r="AA102" s="56">
        <f>rrcworking[[#This Row],[Gas Sales Statement Volume (MCF)]]+rrcworking[[#This Row],[Lease Use (MCF)]]+rrcworking[[#This Row],[Flared Gas]]</f>
        <v>280</v>
      </c>
      <c r="AB102" s="36" t="s">
        <v>1116</v>
      </c>
      <c r="AC102" s="36"/>
      <c r="AD102" s="175">
        <f>COUNTIF(FilterList,rrcworking[[#This Row],[Magnum Wolfpak '#]])</f>
        <v>1</v>
      </c>
      <c r="AE102" s="172"/>
      <c r="AF102" s="173"/>
      <c r="AG102" s="36"/>
      <c r="AH102" s="36"/>
      <c r="AI102" s="174"/>
      <c r="AJ102" s="174"/>
      <c r="AK102" s="174"/>
      <c r="AL102" s="174"/>
      <c r="AM102" s="174"/>
      <c r="AN102" s="174"/>
      <c r="AO102" s="36" t="s">
        <v>1163</v>
      </c>
      <c r="AP102" s="36" t="s">
        <v>1188</v>
      </c>
    </row>
    <row r="103" spans="3:42" ht="14">
      <c r="C103" s="78" t="e">
        <v>#N/A</v>
      </c>
      <c r="D103" s="60" t="s">
        <v>341</v>
      </c>
      <c r="E103" s="125" t="s">
        <v>342</v>
      </c>
      <c r="F103" s="124">
        <v>1</v>
      </c>
      <c r="G103" s="115" t="s">
        <v>1090</v>
      </c>
      <c r="H103" s="18" t="s">
        <v>619</v>
      </c>
      <c r="I103" s="18" t="s">
        <v>59</v>
      </c>
      <c r="J103" s="19" t="s">
        <v>573</v>
      </c>
      <c r="K103" s="99">
        <v>252973</v>
      </c>
      <c r="L103" s="97">
        <f>INDEX(Table1[Production],MATCH(rrcworking[[#This Row],[RRC ID Number]],Table1[RRC Identifier],0))</f>
        <v>0</v>
      </c>
      <c r="M103" s="29">
        <f>INDEX(Table1[Formation Production],MATCH(rrcworking[[#This Row],[RRC ID Number]],Table1[RRC Identifier],0))</f>
        <v>0</v>
      </c>
      <c r="N103" s="30">
        <f>INDEX(Table1[On Hand End of Month],MATCH(rrcworking[[#This Row],[RRC ID Number]],Table1[RRC Identifier],0))</f>
        <v>93</v>
      </c>
      <c r="O103" s="102" t="b">
        <f t="shared" si="3"/>
        <v>1</v>
      </c>
      <c r="Q103" s="122">
        <f>rrcworking[[#This Row],[Last Month Closing Stock]]</f>
        <v>93</v>
      </c>
      <c r="R103">
        <f>rrcworking[[#This Row],[Opening Oil Stock]]</f>
        <v>93</v>
      </c>
      <c r="S103" s="133">
        <f>IF(ISERROR(INDEX(Table2[OIL],MATCH(rrcworking[[#This Row],[Magnum Wolfpak '#]],Table2[Rox Wolf'#],0))),0,INDEX(Table2[OIL],MATCH(rrcworking[[#This Row],[Magnum Wolfpak '#]],Table2[Rox Wolf'#],0)))</f>
        <v>0</v>
      </c>
      <c r="T103" s="34">
        <f>rrcworking[[#This Row],[Closing Stock (Oil)]]+rrcworking[[#This Row],[Sales/Dispostion]]-rrcworking[[#This Row],[Opening Oil Stock]]</f>
        <v>0</v>
      </c>
      <c r="U103" s="108">
        <f>rrcworking[[#This Row],[Gauge Sheet Prod Volume (oil)]]-rrcworking[[#This Row],[Oil Production]]</f>
        <v>0</v>
      </c>
      <c r="V103" s="133">
        <f>IF(ISERROR(INDEX(Table2[GAS],MATCH(rrcworking[[#This Row],[Magnum Wolfpak '#]],Table2[Rox Wolf'#],0))),0,INDEX(Table2[GAS],MATCH(rrcworking[[#This Row],[Magnum Wolfpak '#]],Table2[Rox Wolf'#],0)))</f>
        <v>0</v>
      </c>
      <c r="W103" s="58"/>
      <c r="X103" s="58"/>
      <c r="Y103" s="133">
        <f>IF(ISERROR(INDEX(Table2[LEASE USE],MATCH(rrcworking[[#This Row],[Magnum Wolfpak '#]],Table2[Rox Wolf'#],0))),0,INDEX(Table2[LEASE USE],MATCH(rrcworking[[#This Row],[Magnum Wolfpak '#]],Table2[Rox Wolf'#],0)))</f>
        <v>0</v>
      </c>
      <c r="Z103" s="133"/>
      <c r="AA103" s="56">
        <f>rrcworking[[#This Row],[Gas Sales Statement Volume (MCF)]]+rrcworking[[#This Row],[Lease Use (MCF)]]+rrcworking[[#This Row],[Flared Gas]]</f>
        <v>0</v>
      </c>
      <c r="AB103" s="36"/>
      <c r="AC103" s="36"/>
      <c r="AD103" s="175">
        <f>COUNTIF(FilterList,rrcworking[[#This Row],[Magnum Wolfpak '#]])</f>
        <v>0</v>
      </c>
      <c r="AE103" s="172"/>
      <c r="AF103" s="173"/>
      <c r="AG103" s="36"/>
      <c r="AH103" s="36"/>
      <c r="AI103" s="36"/>
      <c r="AJ103" s="36"/>
      <c r="AK103" s="36"/>
      <c r="AL103" s="36"/>
      <c r="AM103" s="36"/>
      <c r="AN103" s="36"/>
      <c r="AO103" s="36"/>
      <c r="AP103" s="36"/>
    </row>
    <row r="104" spans="3:42" ht="84">
      <c r="C104" s="78">
        <v>92001</v>
      </c>
      <c r="D104" s="60" t="s">
        <v>230</v>
      </c>
      <c r="E104" s="125" t="s">
        <v>231</v>
      </c>
      <c r="F104" s="124">
        <v>0</v>
      </c>
      <c r="G104" s="115" t="s">
        <v>1090</v>
      </c>
      <c r="H104" s="18" t="s">
        <v>618</v>
      </c>
      <c r="I104" s="18" t="s">
        <v>2</v>
      </c>
      <c r="J104" s="19" t="s">
        <v>503</v>
      </c>
      <c r="K104" s="99">
        <v>18769</v>
      </c>
      <c r="L104" s="97">
        <f>INDEX(Table1[Production],MATCH(rrcworking[[#This Row],[RRC ID Number]],Table1[RRC Identifier],0))</f>
        <v>24</v>
      </c>
      <c r="M104" s="29">
        <f>INDEX(Table1[Formation Production],MATCH(rrcworking[[#This Row],[RRC ID Number]],Table1[RRC Identifier],0))</f>
        <v>0</v>
      </c>
      <c r="N104" s="30">
        <f>INDEX(Table1[On Hand End of Month],MATCH(rrcworking[[#This Row],[RRC ID Number]],Table1[RRC Identifier],0))</f>
        <v>171</v>
      </c>
      <c r="O104" s="102" t="b">
        <f t="shared" si="3"/>
        <v>0</v>
      </c>
      <c r="P104">
        <v>124</v>
      </c>
      <c r="Q104" s="122">
        <f>rrcworking[[#This Row],[Last Month Closing Stock]]</f>
        <v>171</v>
      </c>
      <c r="R104">
        <v>295</v>
      </c>
      <c r="S104" s="133">
        <f>IF(ISERROR(INDEX(Table2[OIL],MATCH(rrcworking[[#This Row],[Magnum Wolfpak '#]],Table2[Rox Wolf'#],0))),0,INDEX(Table2[OIL],MATCH(rrcworking[[#This Row],[Magnum Wolfpak '#]],Table2[Rox Wolf'#],0)))</f>
        <v>0</v>
      </c>
      <c r="T104" s="34">
        <f>rrcworking[[#This Row],[Closing Stock (Oil)]]+rrcworking[[#This Row],[Sales/Dispostion]]-rrcworking[[#This Row],[Opening Oil Stock]]</f>
        <v>124</v>
      </c>
      <c r="U104" s="108">
        <f>rrcworking[[#This Row],[Gauge Sheet Prod Volume (oil)]]-rrcworking[[#This Row],[Oil Production]]</f>
        <v>0</v>
      </c>
      <c r="V104" s="133">
        <f>IF(ISERROR(INDEX(Table2[GAS],MATCH(rrcworking[[#This Row],[Magnum Wolfpak '#]],Table2[Rox Wolf'#],0))),0,INDEX(Table2[GAS],MATCH(rrcworking[[#This Row],[Magnum Wolfpak '#]],Table2[Rox Wolf'#],0)))</f>
        <v>0</v>
      </c>
      <c r="W104" s="58"/>
      <c r="X104" s="58"/>
      <c r="Y104" s="133">
        <f>IF(ISERROR(INDEX(Table2[LEASE USE],MATCH(rrcworking[[#This Row],[Magnum Wolfpak '#]],Table2[Rox Wolf'#],0))),0,INDEX(Table2[LEASE USE],MATCH(rrcworking[[#This Row],[Magnum Wolfpak '#]],Table2[Rox Wolf'#],0)))</f>
        <v>0</v>
      </c>
      <c r="Z104" s="133"/>
      <c r="AA104" s="56">
        <f>rrcworking[[#This Row],[Gas Sales Statement Volume (MCF)]]+rrcworking[[#This Row],[Lease Use (MCF)]]+rrcworking[[#This Row],[Flared Gas]]</f>
        <v>0</v>
      </c>
      <c r="AB104" s="36"/>
      <c r="AC104" s="36" t="s">
        <v>1305</v>
      </c>
      <c r="AD104" s="175">
        <f>COUNTIF(FilterList,rrcworking[[#This Row],[Magnum Wolfpak '#]])</f>
        <v>0</v>
      </c>
      <c r="AE104" s="172"/>
      <c r="AF104" s="173"/>
      <c r="AG104" s="36"/>
      <c r="AH104" s="173"/>
      <c r="AI104" s="174"/>
      <c r="AJ104" s="174"/>
      <c r="AK104" s="174"/>
      <c r="AL104" s="174"/>
      <c r="AM104" s="174"/>
      <c r="AN104" s="174"/>
      <c r="AO104" s="36" t="s">
        <v>1163</v>
      </c>
      <c r="AP104" s="36" t="s">
        <v>1197</v>
      </c>
    </row>
    <row r="105" spans="3:42" ht="84">
      <c r="C105" s="78">
        <v>99058</v>
      </c>
      <c r="D105" s="60" t="s">
        <v>343</v>
      </c>
      <c r="E105" s="125" t="s">
        <v>344</v>
      </c>
      <c r="F105" s="124" t="s">
        <v>345</v>
      </c>
      <c r="G105" s="115" t="s">
        <v>1090</v>
      </c>
      <c r="H105" s="18" t="s">
        <v>619</v>
      </c>
      <c r="I105" s="18" t="s">
        <v>59</v>
      </c>
      <c r="J105" s="19" t="s">
        <v>574</v>
      </c>
      <c r="K105" s="99">
        <v>201238</v>
      </c>
      <c r="L105" s="97">
        <f>INDEX(Table1[Production],MATCH(rrcworking[[#This Row],[RRC ID Number]],Table1[RRC Identifier],0))</f>
        <v>65</v>
      </c>
      <c r="M105" s="29">
        <f>INDEX(Table1[Formation Production],MATCH(rrcworking[[#This Row],[RRC ID Number]],Table1[RRC Identifier],0))</f>
        <v>2211</v>
      </c>
      <c r="N105" s="30">
        <f>INDEX(Table1[On Hand End of Month],MATCH(rrcworking[[#This Row],[RRC ID Number]],Table1[RRC Identifier],0))</f>
        <v>160</v>
      </c>
      <c r="O105" s="102" t="b">
        <f t="shared" si="3"/>
        <v>0</v>
      </c>
      <c r="P105">
        <v>3</v>
      </c>
      <c r="Q105" s="122">
        <f>rrcworking[[#This Row],[Last Month Closing Stock]]</f>
        <v>160</v>
      </c>
      <c r="R105">
        <v>169</v>
      </c>
      <c r="S105" s="133">
        <f>IF(ISERROR(INDEX(Table2[OIL],MATCH(rrcworking[[#This Row],[Magnum Wolfpak '#]],Table2[Rox Wolf'#],0))),0,INDEX(Table2[OIL],MATCH(rrcworking[[#This Row],[Magnum Wolfpak '#]],Table2[Rox Wolf'#],0)))</f>
        <v>0</v>
      </c>
      <c r="T105" s="34">
        <f>rrcworking[[#This Row],[Closing Stock (Oil)]]+rrcworking[[#This Row],[Sales/Dispostion]]-rrcworking[[#This Row],[Opening Oil Stock]]</f>
        <v>9</v>
      </c>
      <c r="U105" s="108">
        <f>rrcworking[[#This Row],[Gauge Sheet Prod Volume (oil)]]-rrcworking[[#This Row],[Oil Production]]</f>
        <v>-6</v>
      </c>
      <c r="V105" s="133">
        <f>IF(ISERROR(INDEX(Table2[GAS],MATCH(rrcworking[[#This Row],[Magnum Wolfpak '#]],Table2[Rox Wolf'#],0))),0,INDEX(Table2[GAS],MATCH(rrcworking[[#This Row],[Magnum Wolfpak '#]],Table2[Rox Wolf'#],0)))</f>
        <v>1908</v>
      </c>
      <c r="W105" s="58"/>
      <c r="X105" s="58"/>
      <c r="Y105" s="133">
        <f>IF(ISERROR(INDEX(Table2[LEASE USE],MATCH(rrcworking[[#This Row],[Magnum Wolfpak '#]],Table2[Rox Wolf'#],0))),0,INDEX(Table2[LEASE USE],MATCH(rrcworking[[#This Row],[Magnum Wolfpak '#]],Table2[Rox Wolf'#],0)))</f>
        <v>0</v>
      </c>
      <c r="Z105" s="133"/>
      <c r="AA105" s="56">
        <f>rrcworking[[#This Row],[Gas Sales Statement Volume (MCF)]]+rrcworking[[#This Row],[Lease Use (MCF)]]+rrcworking[[#This Row],[Flared Gas]]</f>
        <v>1908</v>
      </c>
      <c r="AB105" s="36"/>
      <c r="AC105" s="36" t="s">
        <v>1292</v>
      </c>
      <c r="AD105" s="175">
        <f>COUNTIF(FilterList,rrcworking[[#This Row],[Magnum Wolfpak '#]])</f>
        <v>0</v>
      </c>
      <c r="AE105" s="172"/>
      <c r="AF105" s="173"/>
      <c r="AG105" s="83"/>
      <c r="AH105" s="83"/>
      <c r="AI105" s="174"/>
      <c r="AJ105" s="174"/>
      <c r="AK105" s="174"/>
      <c r="AL105" s="174"/>
      <c r="AM105" s="174"/>
      <c r="AN105" s="174"/>
      <c r="AO105" s="36" t="s">
        <v>1163</v>
      </c>
      <c r="AP105" s="36" t="s">
        <v>1204</v>
      </c>
    </row>
    <row r="106" spans="3:42" ht="14">
      <c r="C106" s="78" t="e">
        <v>#N/A</v>
      </c>
      <c r="D106" s="60" t="s">
        <v>346</v>
      </c>
      <c r="E106" s="125" t="s">
        <v>344</v>
      </c>
      <c r="F106" s="124">
        <v>20</v>
      </c>
      <c r="G106" s="115" t="s">
        <v>1090</v>
      </c>
      <c r="H106" s="18" t="s">
        <v>619</v>
      </c>
      <c r="I106" s="18" t="s">
        <v>59</v>
      </c>
      <c r="J106" s="19" t="s">
        <v>575</v>
      </c>
      <c r="K106" s="99">
        <v>242290</v>
      </c>
      <c r="L106" s="97">
        <f>INDEX(Table1[Production],MATCH(rrcworking[[#This Row],[RRC ID Number]],Table1[RRC Identifier],0))</f>
        <v>0</v>
      </c>
      <c r="M106" s="29">
        <f>INDEX(Table1[Formation Production],MATCH(rrcworking[[#This Row],[RRC ID Number]],Table1[RRC Identifier],0))</f>
        <v>0</v>
      </c>
      <c r="N106" s="30">
        <f>INDEX(Table1[On Hand End of Month],MATCH(rrcworking[[#This Row],[RRC ID Number]],Table1[RRC Identifier],0))</f>
        <v>0</v>
      </c>
      <c r="O106" s="102" t="b">
        <f t="shared" si="3"/>
        <v>1</v>
      </c>
      <c r="Q106" s="122">
        <f>rrcworking[[#This Row],[Last Month Closing Stock]]</f>
        <v>0</v>
      </c>
      <c r="R106">
        <f>rrcworking[[#This Row],[Opening Oil Stock]]</f>
        <v>0</v>
      </c>
      <c r="S106" s="133">
        <f>IF(ISERROR(INDEX(Table2[OIL],MATCH(rrcworking[[#This Row],[Magnum Wolfpak '#]],Table2[Rox Wolf'#],0))),0,INDEX(Table2[OIL],MATCH(rrcworking[[#This Row],[Magnum Wolfpak '#]],Table2[Rox Wolf'#],0)))</f>
        <v>0</v>
      </c>
      <c r="T106" s="34">
        <f>rrcworking[[#This Row],[Closing Stock (Oil)]]+rrcworking[[#This Row],[Sales/Dispostion]]-rrcworking[[#This Row],[Opening Oil Stock]]</f>
        <v>0</v>
      </c>
      <c r="U106" s="108">
        <f>rrcworking[[#This Row],[Gauge Sheet Prod Volume (oil)]]-rrcworking[[#This Row],[Oil Production]]</f>
        <v>0</v>
      </c>
      <c r="V106" s="133">
        <f>IF(ISERROR(INDEX(Table2[GAS],MATCH(rrcworking[[#This Row],[Magnum Wolfpak '#]],Table2[Rox Wolf'#],0))),0,INDEX(Table2[GAS],MATCH(rrcworking[[#This Row],[Magnum Wolfpak '#]],Table2[Rox Wolf'#],0)))</f>
        <v>0</v>
      </c>
      <c r="W106" s="58"/>
      <c r="X106" s="58"/>
      <c r="Y106" s="133">
        <f>IF(ISERROR(INDEX(Table2[LEASE USE],MATCH(rrcworking[[#This Row],[Magnum Wolfpak '#]],Table2[Rox Wolf'#],0))),0,INDEX(Table2[LEASE USE],MATCH(rrcworking[[#This Row],[Magnum Wolfpak '#]],Table2[Rox Wolf'#],0)))</f>
        <v>0</v>
      </c>
      <c r="Z106" s="133"/>
      <c r="AA106" s="56">
        <f>rrcworking[[#This Row],[Gas Sales Statement Volume (MCF)]]+rrcworking[[#This Row],[Lease Use (MCF)]]+rrcworking[[#This Row],[Flared Gas]]</f>
        <v>0</v>
      </c>
      <c r="AB106" s="36"/>
      <c r="AC106" s="36"/>
      <c r="AD106" s="175">
        <f>COUNTIF(FilterList,rrcworking[[#This Row],[Magnum Wolfpak '#]])</f>
        <v>0</v>
      </c>
      <c r="AE106" s="172"/>
      <c r="AF106" s="173"/>
      <c r="AG106" s="36"/>
      <c r="AH106" s="36"/>
      <c r="AI106" s="36"/>
      <c r="AJ106" s="36"/>
      <c r="AK106" s="36"/>
      <c r="AL106" s="36"/>
      <c r="AM106" s="36"/>
      <c r="AN106" s="36"/>
      <c r="AO106" s="36"/>
      <c r="AP106" s="36"/>
    </row>
    <row r="107" spans="3:42" ht="14">
      <c r="C107" s="78" t="e">
        <v>#N/A</v>
      </c>
      <c r="D107" s="60" t="s">
        <v>347</v>
      </c>
      <c r="E107" s="125" t="s">
        <v>344</v>
      </c>
      <c r="F107" s="124" t="s">
        <v>348</v>
      </c>
      <c r="G107" s="115" t="s">
        <v>1090</v>
      </c>
      <c r="H107" s="18" t="s">
        <v>619</v>
      </c>
      <c r="I107" s="18" t="s">
        <v>59</v>
      </c>
      <c r="J107" s="19" t="s">
        <v>576</v>
      </c>
      <c r="K107" s="99">
        <v>198253</v>
      </c>
      <c r="L107" s="97">
        <f>INDEX(Table1[Production],MATCH(rrcworking[[#This Row],[RRC ID Number]],Table1[RRC Identifier],0))</f>
        <v>0</v>
      </c>
      <c r="M107" s="29">
        <f>INDEX(Table1[Formation Production],MATCH(rrcworking[[#This Row],[RRC ID Number]],Table1[RRC Identifier],0))</f>
        <v>0</v>
      </c>
      <c r="N107" s="30">
        <f>INDEX(Table1[On Hand End of Month],MATCH(rrcworking[[#This Row],[RRC ID Number]],Table1[RRC Identifier],0))</f>
        <v>0</v>
      </c>
      <c r="O107" s="102" t="b">
        <f t="shared" si="3"/>
        <v>1</v>
      </c>
      <c r="Q107" s="122">
        <f>rrcworking[[#This Row],[Last Month Closing Stock]]</f>
        <v>0</v>
      </c>
      <c r="R107">
        <f>rrcworking[[#This Row],[Opening Oil Stock]]</f>
        <v>0</v>
      </c>
      <c r="S107" s="133">
        <f>IF(ISERROR(INDEX(Table2[OIL],MATCH(rrcworking[[#This Row],[Magnum Wolfpak '#]],Table2[Rox Wolf'#],0))),0,INDEX(Table2[OIL],MATCH(rrcworking[[#This Row],[Magnum Wolfpak '#]],Table2[Rox Wolf'#],0)))</f>
        <v>0</v>
      </c>
      <c r="T107" s="34">
        <f>rrcworking[[#This Row],[Closing Stock (Oil)]]+rrcworking[[#This Row],[Sales/Dispostion]]-rrcworking[[#This Row],[Opening Oil Stock]]</f>
        <v>0</v>
      </c>
      <c r="U107" s="108">
        <f>rrcworking[[#This Row],[Gauge Sheet Prod Volume (oil)]]-rrcworking[[#This Row],[Oil Production]]</f>
        <v>0</v>
      </c>
      <c r="V107" s="133">
        <f>IF(ISERROR(INDEX(Table2[GAS],MATCH(rrcworking[[#This Row],[Magnum Wolfpak '#]],Table2[Rox Wolf'#],0))),0,INDEX(Table2[GAS],MATCH(rrcworking[[#This Row],[Magnum Wolfpak '#]],Table2[Rox Wolf'#],0)))</f>
        <v>0</v>
      </c>
      <c r="W107" s="58"/>
      <c r="X107" s="58"/>
      <c r="Y107" s="133">
        <f>IF(ISERROR(INDEX(Table2[LEASE USE],MATCH(rrcworking[[#This Row],[Magnum Wolfpak '#]],Table2[Rox Wolf'#],0))),0,INDEX(Table2[LEASE USE],MATCH(rrcworking[[#This Row],[Magnum Wolfpak '#]],Table2[Rox Wolf'#],0)))</f>
        <v>0</v>
      </c>
      <c r="Z107" s="133"/>
      <c r="AA107" s="56">
        <f>rrcworking[[#This Row],[Gas Sales Statement Volume (MCF)]]+rrcworking[[#This Row],[Lease Use (MCF)]]+rrcworking[[#This Row],[Flared Gas]]</f>
        <v>0</v>
      </c>
      <c r="AB107" s="36"/>
      <c r="AC107" s="36"/>
      <c r="AD107" s="175">
        <f>COUNTIF(FilterList,rrcworking[[#This Row],[Magnum Wolfpak '#]])</f>
        <v>0</v>
      </c>
      <c r="AE107" s="172"/>
      <c r="AF107" s="173"/>
      <c r="AG107" s="36"/>
      <c r="AH107" s="36"/>
      <c r="AI107" s="36"/>
      <c r="AJ107" s="36"/>
      <c r="AK107" s="36"/>
      <c r="AL107" s="36"/>
      <c r="AM107" s="36"/>
      <c r="AN107" s="36"/>
      <c r="AO107" s="36"/>
      <c r="AP107" s="36"/>
    </row>
    <row r="108" spans="3:42" ht="14">
      <c r="C108" s="78" t="e">
        <v>#N/A</v>
      </c>
      <c r="D108" s="60" t="s">
        <v>349</v>
      </c>
      <c r="E108" s="125" t="s">
        <v>344</v>
      </c>
      <c r="F108" s="124" t="s">
        <v>350</v>
      </c>
      <c r="G108" s="115" t="s">
        <v>1090</v>
      </c>
      <c r="H108" s="18" t="s">
        <v>619</v>
      </c>
      <c r="I108" s="18" t="s">
        <v>59</v>
      </c>
      <c r="J108" s="19" t="s">
        <v>577</v>
      </c>
      <c r="K108" s="99">
        <v>159856</v>
      </c>
      <c r="L108" s="97">
        <f>INDEX(Table1[Production],MATCH(rrcworking[[#This Row],[RRC ID Number]],Table1[RRC Identifier],0))</f>
        <v>0</v>
      </c>
      <c r="M108" s="29">
        <f>INDEX(Table1[Formation Production],MATCH(rrcworking[[#This Row],[RRC ID Number]],Table1[RRC Identifier],0))</f>
        <v>0</v>
      </c>
      <c r="N108" s="30">
        <f>INDEX(Table1[On Hand End of Month],MATCH(rrcworking[[#This Row],[RRC ID Number]],Table1[RRC Identifier],0))</f>
        <v>0</v>
      </c>
      <c r="O108" s="102" t="b">
        <f t="shared" si="3"/>
        <v>1</v>
      </c>
      <c r="Q108" s="122">
        <f>rrcworking[[#This Row],[Last Month Closing Stock]]</f>
        <v>0</v>
      </c>
      <c r="R108">
        <f>rrcworking[[#This Row],[Opening Oil Stock]]</f>
        <v>0</v>
      </c>
      <c r="S108" s="133">
        <f>IF(ISERROR(INDEX(Table2[OIL],MATCH(rrcworking[[#This Row],[Magnum Wolfpak '#]],Table2[Rox Wolf'#],0))),0,INDEX(Table2[OIL],MATCH(rrcworking[[#This Row],[Magnum Wolfpak '#]],Table2[Rox Wolf'#],0)))</f>
        <v>0</v>
      </c>
      <c r="T108" s="34">
        <f>rrcworking[[#This Row],[Closing Stock (Oil)]]+rrcworking[[#This Row],[Sales/Dispostion]]-rrcworking[[#This Row],[Opening Oil Stock]]</f>
        <v>0</v>
      </c>
      <c r="U108" s="108">
        <f>rrcworking[[#This Row],[Gauge Sheet Prod Volume (oil)]]-rrcworking[[#This Row],[Oil Production]]</f>
        <v>0</v>
      </c>
      <c r="V108" s="133">
        <f>IF(ISERROR(INDEX(Table2[GAS],MATCH(rrcworking[[#This Row],[Magnum Wolfpak '#]],Table2[Rox Wolf'#],0))),0,INDEX(Table2[GAS],MATCH(rrcworking[[#This Row],[Magnum Wolfpak '#]],Table2[Rox Wolf'#],0)))</f>
        <v>0</v>
      </c>
      <c r="W108" s="58"/>
      <c r="X108" s="58"/>
      <c r="Y108" s="133">
        <f>IF(ISERROR(INDEX(Table2[LEASE USE],MATCH(rrcworking[[#This Row],[Magnum Wolfpak '#]],Table2[Rox Wolf'#],0))),0,INDEX(Table2[LEASE USE],MATCH(rrcworking[[#This Row],[Magnum Wolfpak '#]],Table2[Rox Wolf'#],0)))</f>
        <v>0</v>
      </c>
      <c r="Z108" s="133"/>
      <c r="AA108" s="56">
        <f>rrcworking[[#This Row],[Gas Sales Statement Volume (MCF)]]+rrcworking[[#This Row],[Lease Use (MCF)]]+rrcworking[[#This Row],[Flared Gas]]</f>
        <v>0</v>
      </c>
      <c r="AB108" s="36"/>
      <c r="AC108" s="36"/>
      <c r="AD108" s="175">
        <f>COUNTIF(FilterList,rrcworking[[#This Row],[Magnum Wolfpak '#]])</f>
        <v>0</v>
      </c>
      <c r="AE108" s="172"/>
      <c r="AF108" s="173"/>
      <c r="AG108" s="36"/>
      <c r="AH108" s="36"/>
      <c r="AI108" s="36"/>
      <c r="AJ108" s="36"/>
      <c r="AK108" s="36"/>
      <c r="AL108" s="36"/>
      <c r="AM108" s="36"/>
      <c r="AN108" s="36"/>
      <c r="AO108" s="36"/>
      <c r="AP108" s="36"/>
    </row>
    <row r="109" spans="3:42" ht="14">
      <c r="C109" s="78" t="e">
        <v>#N/A</v>
      </c>
      <c r="D109" s="60" t="s">
        <v>237</v>
      </c>
      <c r="E109" s="125" t="s">
        <v>238</v>
      </c>
      <c r="F109" s="124">
        <v>0</v>
      </c>
      <c r="G109" s="115" t="s">
        <v>1090</v>
      </c>
      <c r="H109" s="18" t="s">
        <v>618</v>
      </c>
      <c r="I109" s="18" t="s">
        <v>2</v>
      </c>
      <c r="J109" s="19" t="s">
        <v>507</v>
      </c>
      <c r="K109" s="99">
        <v>12721</v>
      </c>
      <c r="L109" s="97">
        <f>INDEX(Table1[Production],MATCH(rrcworking[[#This Row],[RRC ID Number]],Table1[RRC Identifier],0))</f>
        <v>0</v>
      </c>
      <c r="M109" s="29">
        <f>INDEX(Table1[Formation Production],MATCH(rrcworking[[#This Row],[RRC ID Number]],Table1[RRC Identifier],0))</f>
        <v>0</v>
      </c>
      <c r="N109" s="30">
        <f>INDEX(Table1[On Hand End of Month],MATCH(rrcworking[[#This Row],[RRC ID Number]],Table1[RRC Identifier],0))</f>
        <v>0</v>
      </c>
      <c r="O109" s="102" t="b">
        <f t="shared" si="3"/>
        <v>1</v>
      </c>
      <c r="Q109" s="122">
        <f>rrcworking[[#This Row],[Last Month Closing Stock]]</f>
        <v>0</v>
      </c>
      <c r="R109">
        <f>rrcworking[[#This Row],[Opening Oil Stock]]</f>
        <v>0</v>
      </c>
      <c r="S109" s="133">
        <f>IF(ISERROR(INDEX(Table2[OIL],MATCH(rrcworking[[#This Row],[Magnum Wolfpak '#]],Table2[Rox Wolf'#],0))),0,INDEX(Table2[OIL],MATCH(rrcworking[[#This Row],[Magnum Wolfpak '#]],Table2[Rox Wolf'#],0)))</f>
        <v>0</v>
      </c>
      <c r="T109" s="34">
        <f>rrcworking[[#This Row],[Closing Stock (Oil)]]+rrcworking[[#This Row],[Sales/Dispostion]]-rrcworking[[#This Row],[Opening Oil Stock]]</f>
        <v>0</v>
      </c>
      <c r="U109" s="108">
        <f>rrcworking[[#This Row],[Gauge Sheet Prod Volume (oil)]]-rrcworking[[#This Row],[Oil Production]]</f>
        <v>0</v>
      </c>
      <c r="V109" s="133">
        <f>IF(ISERROR(INDEX(Table2[GAS],MATCH(rrcworking[[#This Row],[Magnum Wolfpak '#]],Table2[Rox Wolf'#],0))),0,INDEX(Table2[GAS],MATCH(rrcworking[[#This Row],[Magnum Wolfpak '#]],Table2[Rox Wolf'#],0)))</f>
        <v>0</v>
      </c>
      <c r="W109" s="58"/>
      <c r="X109" s="58"/>
      <c r="Y109" s="133">
        <f>IF(ISERROR(INDEX(Table2[LEASE USE],MATCH(rrcworking[[#This Row],[Magnum Wolfpak '#]],Table2[Rox Wolf'#],0))),0,INDEX(Table2[LEASE USE],MATCH(rrcworking[[#This Row],[Magnum Wolfpak '#]],Table2[Rox Wolf'#],0)))</f>
        <v>0</v>
      </c>
      <c r="Z109" s="133"/>
      <c r="AA109" s="56">
        <f>rrcworking[[#This Row],[Gas Sales Statement Volume (MCF)]]+rrcworking[[#This Row],[Lease Use (MCF)]]+rrcworking[[#This Row],[Flared Gas]]</f>
        <v>0</v>
      </c>
      <c r="AB109" s="36"/>
      <c r="AC109" s="36"/>
      <c r="AD109" s="175">
        <f>COUNTIF(FilterList,rrcworking[[#This Row],[Magnum Wolfpak '#]])</f>
        <v>0</v>
      </c>
      <c r="AE109" s="172"/>
      <c r="AF109" s="173"/>
      <c r="AG109" s="36"/>
      <c r="AH109" s="36"/>
      <c r="AI109" s="36"/>
      <c r="AJ109" s="36"/>
      <c r="AK109" s="36"/>
      <c r="AL109" s="36"/>
      <c r="AM109" s="36"/>
      <c r="AN109" s="36"/>
      <c r="AO109" s="36"/>
      <c r="AP109" s="36"/>
    </row>
    <row r="110" spans="3:42" ht="14">
      <c r="C110" s="78" t="e">
        <v>#N/A</v>
      </c>
      <c r="D110" s="60" t="s">
        <v>384</v>
      </c>
      <c r="E110" s="125" t="s">
        <v>385</v>
      </c>
      <c r="F110" s="124">
        <v>4</v>
      </c>
      <c r="G110" s="115" t="s">
        <v>1090</v>
      </c>
      <c r="H110" s="18" t="s">
        <v>619</v>
      </c>
      <c r="I110" s="18" t="s">
        <v>59</v>
      </c>
      <c r="J110" s="19" t="s">
        <v>597</v>
      </c>
      <c r="K110" s="99">
        <v>190124</v>
      </c>
      <c r="L110" s="97">
        <f>INDEX(Table1[Production],MATCH(rrcworking[[#This Row],[RRC ID Number]],Table1[RRC Identifier],0))</f>
        <v>0</v>
      </c>
      <c r="M110" s="29">
        <f>INDEX(Table1[Formation Production],MATCH(rrcworking[[#This Row],[RRC ID Number]],Table1[RRC Identifier],0))</f>
        <v>0</v>
      </c>
      <c r="N110" s="30">
        <f>INDEX(Table1[On Hand End of Month],MATCH(rrcworking[[#This Row],[RRC ID Number]],Table1[RRC Identifier],0))</f>
        <v>0</v>
      </c>
      <c r="O110" s="102" t="b">
        <f t="shared" si="3"/>
        <v>1</v>
      </c>
      <c r="Q110" s="122">
        <f>rrcworking[[#This Row],[Last Month Closing Stock]]</f>
        <v>0</v>
      </c>
      <c r="R110">
        <f>rrcworking[[#This Row],[Opening Oil Stock]]</f>
        <v>0</v>
      </c>
      <c r="S110" s="133">
        <f>IF(ISERROR(INDEX(Table2[OIL],MATCH(rrcworking[[#This Row],[Magnum Wolfpak '#]],Table2[Rox Wolf'#],0))),0,INDEX(Table2[OIL],MATCH(rrcworking[[#This Row],[Magnum Wolfpak '#]],Table2[Rox Wolf'#],0)))</f>
        <v>0</v>
      </c>
      <c r="T110" s="34">
        <f>rrcworking[[#This Row],[Closing Stock (Oil)]]+rrcworking[[#This Row],[Sales/Dispostion]]-rrcworking[[#This Row],[Opening Oil Stock]]</f>
        <v>0</v>
      </c>
      <c r="U110" s="108">
        <f>rrcworking[[#This Row],[Gauge Sheet Prod Volume (oil)]]-rrcworking[[#This Row],[Oil Production]]</f>
        <v>0</v>
      </c>
      <c r="V110" s="133">
        <f>IF(ISERROR(INDEX(Table2[GAS],MATCH(rrcworking[[#This Row],[Magnum Wolfpak '#]],Table2[Rox Wolf'#],0))),0,INDEX(Table2[GAS],MATCH(rrcworking[[#This Row],[Magnum Wolfpak '#]],Table2[Rox Wolf'#],0)))</f>
        <v>0</v>
      </c>
      <c r="W110" s="58"/>
      <c r="X110" s="58"/>
      <c r="Y110" s="133">
        <f>IF(ISERROR(INDEX(Table2[LEASE USE],MATCH(rrcworking[[#This Row],[Magnum Wolfpak '#]],Table2[Rox Wolf'#],0))),0,INDEX(Table2[LEASE USE],MATCH(rrcworking[[#This Row],[Magnum Wolfpak '#]],Table2[Rox Wolf'#],0)))</f>
        <v>0</v>
      </c>
      <c r="Z110" s="133"/>
      <c r="AA110" s="56">
        <f>rrcworking[[#This Row],[Gas Sales Statement Volume (MCF)]]+rrcworking[[#This Row],[Lease Use (MCF)]]+rrcworking[[#This Row],[Flared Gas]]</f>
        <v>0</v>
      </c>
      <c r="AB110" s="36"/>
      <c r="AC110" s="36"/>
      <c r="AD110" s="175">
        <f>COUNTIF(FilterList,rrcworking[[#This Row],[Magnum Wolfpak '#]])</f>
        <v>0</v>
      </c>
      <c r="AE110" s="172"/>
      <c r="AF110" s="173"/>
      <c r="AG110" s="36"/>
      <c r="AH110" s="36"/>
      <c r="AI110" s="36"/>
      <c r="AJ110" s="36"/>
      <c r="AK110" s="36"/>
      <c r="AL110" s="36"/>
      <c r="AM110" s="36"/>
      <c r="AN110" s="36"/>
      <c r="AO110" s="36"/>
      <c r="AP110" s="36"/>
    </row>
    <row r="111" spans="3:42" ht="182">
      <c r="C111" s="78">
        <v>99128</v>
      </c>
      <c r="D111" s="60" t="s">
        <v>390</v>
      </c>
      <c r="E111" s="125" t="s">
        <v>385</v>
      </c>
      <c r="F111" s="124" t="s">
        <v>391</v>
      </c>
      <c r="G111" s="115">
        <v>5050</v>
      </c>
      <c r="H111" s="21" t="s">
        <v>619</v>
      </c>
      <c r="I111" s="21" t="s">
        <v>59</v>
      </c>
      <c r="J111" s="19" t="s">
        <v>600</v>
      </c>
      <c r="K111" s="99">
        <v>66093</v>
      </c>
      <c r="L111" s="97">
        <f>INDEX(Table1[Production],MATCH(rrcworking[[#This Row],[RRC ID Number]],Table1[RRC Identifier],0))</f>
        <v>1</v>
      </c>
      <c r="M111" s="29">
        <f>INDEX(Table1[Formation Production],MATCH(rrcworking[[#This Row],[RRC ID Number]],Table1[RRC Identifier],0))</f>
        <v>5009</v>
      </c>
      <c r="N111" s="30">
        <f>INDEX(Table1[On Hand End of Month],MATCH(rrcworking[[#This Row],[RRC ID Number]],Table1[RRC Identifier],0))</f>
        <v>187</v>
      </c>
      <c r="O111" s="102" t="b">
        <f t="shared" si="3"/>
        <v>0</v>
      </c>
      <c r="P111">
        <v>0</v>
      </c>
      <c r="Q111" s="122">
        <f>rrcworking[[#This Row],[Last Month Closing Stock]]</f>
        <v>187</v>
      </c>
      <c r="R111">
        <v>190</v>
      </c>
      <c r="S111" s="133">
        <f>IF(ISERROR(INDEX(Table2[OIL],MATCH(rrcworking[[#This Row],[Magnum Wolfpak '#]],Table2[Rox Wolf'#],0))),0,INDEX(Table2[OIL],MATCH(rrcworking[[#This Row],[Magnum Wolfpak '#]],Table2[Rox Wolf'#],0)))</f>
        <v>0</v>
      </c>
      <c r="T111" s="34">
        <f>rrcworking[[#This Row],[Closing Stock (Oil)]]+rrcworking[[#This Row],[Sales/Dispostion]]-rrcworking[[#This Row],[Opening Oil Stock]]</f>
        <v>3</v>
      </c>
      <c r="U111" s="108">
        <f>rrcworking[[#This Row],[Gauge Sheet Prod Volume (oil)]]-rrcworking[[#This Row],[Oil Production]]</f>
        <v>-3</v>
      </c>
      <c r="V111" s="133">
        <f>IF(ISERROR(INDEX(Table2[GAS],MATCH(rrcworking[[#This Row],[Magnum Wolfpak '#]],Table2[Rox Wolf'#],0))),0,INDEX(Table2[GAS],MATCH(rrcworking[[#This Row],[Magnum Wolfpak '#]],Table2[Rox Wolf'#],0)))</f>
        <v>6243</v>
      </c>
      <c r="W111" s="82"/>
      <c r="X111" s="58">
        <v>10</v>
      </c>
      <c r="Y111" s="133">
        <f>IF(ISERROR(INDEX(Table2[LEASE USE],MATCH(rrcworking[[#This Row],[Magnum Wolfpak '#]],Table2[Rox Wolf'#],0))),0,INDEX(Table2[LEASE USE],MATCH(rrcworking[[#This Row],[Magnum Wolfpak '#]],Table2[Rox Wolf'#],0)))</f>
        <v>240</v>
      </c>
      <c r="Z111" s="133"/>
      <c r="AA111" s="56">
        <f>rrcworking[[#This Row],[Gas Sales Statement Volume (MCF)]]+rrcworking[[#This Row],[Lease Use (MCF)]]+rrcworking[[#This Row],[Flared Gas]]</f>
        <v>6483</v>
      </c>
      <c r="AB111" s="36"/>
      <c r="AC111" s="36" t="s">
        <v>1294</v>
      </c>
      <c r="AD111" s="175">
        <f>COUNTIF(FilterList,rrcworking[[#This Row],[Magnum Wolfpak '#]])</f>
        <v>0</v>
      </c>
      <c r="AE111" s="172"/>
      <c r="AF111" s="173"/>
      <c r="AG111" s="36"/>
      <c r="AH111" s="173"/>
      <c r="AI111" s="174"/>
      <c r="AJ111" s="174"/>
      <c r="AK111" s="174"/>
      <c r="AL111" s="174"/>
      <c r="AM111" s="174"/>
      <c r="AN111" s="174"/>
      <c r="AO111" s="36" t="s">
        <v>1163</v>
      </c>
      <c r="AP111" s="36" t="s">
        <v>1205</v>
      </c>
    </row>
    <row r="112" spans="3:42" ht="210">
      <c r="C112" s="78">
        <v>99134</v>
      </c>
      <c r="D112" s="60" t="s">
        <v>361</v>
      </c>
      <c r="E112" s="125" t="s">
        <v>362</v>
      </c>
      <c r="F112" s="124" t="s">
        <v>363</v>
      </c>
      <c r="G112" s="115">
        <v>5050</v>
      </c>
      <c r="H112" s="18" t="s">
        <v>619</v>
      </c>
      <c r="I112" s="18" t="s">
        <v>59</v>
      </c>
      <c r="J112" s="19" t="s">
        <v>584</v>
      </c>
      <c r="K112" s="99">
        <v>276012</v>
      </c>
      <c r="L112" s="97">
        <f>INDEX(Table1[Production],MATCH(rrcworking[[#This Row],[RRC ID Number]],Table1[RRC Identifier],0))</f>
        <v>12</v>
      </c>
      <c r="M112" s="29">
        <f>INDEX(Table1[Formation Production],MATCH(rrcworking[[#This Row],[RRC ID Number]],Table1[RRC Identifier],0))</f>
        <v>2653</v>
      </c>
      <c r="N112" s="30">
        <f>INDEX(Table1[On Hand End of Month],MATCH(rrcworking[[#This Row],[RRC ID Number]],Table1[RRC Identifier],0))</f>
        <v>27</v>
      </c>
      <c r="O112" s="102" t="b">
        <f t="shared" si="3"/>
        <v>0</v>
      </c>
      <c r="Q112" s="122">
        <f>rrcworking[[#This Row],[Last Month Closing Stock]]</f>
        <v>27</v>
      </c>
      <c r="R112">
        <f>rrcworking[[#This Row],[Opening Oil Stock]]</f>
        <v>27</v>
      </c>
      <c r="S112" s="133">
        <f>IF(ISERROR(INDEX(Table2[OIL],MATCH(rrcworking[[#This Row],[Magnum Wolfpak '#]],Table2[Rox Wolf'#],0))),0,INDEX(Table2[OIL],MATCH(rrcworking[[#This Row],[Magnum Wolfpak '#]],Table2[Rox Wolf'#],0)))</f>
        <v>0</v>
      </c>
      <c r="T112" s="34">
        <f>rrcworking[[#This Row],[Closing Stock (Oil)]]+rrcworking[[#This Row],[Sales/Dispostion]]-rrcworking[[#This Row],[Opening Oil Stock]]</f>
        <v>0</v>
      </c>
      <c r="U112" s="108">
        <f>rrcworking[[#This Row],[Gauge Sheet Prod Volume (oil)]]-rrcworking[[#This Row],[Oil Production]]</f>
        <v>0</v>
      </c>
      <c r="V112" s="133">
        <f>IF(ISERROR(INDEX(Table2[GAS],MATCH(rrcworking[[#This Row],[Magnum Wolfpak '#]],Table2[Rox Wolf'#],0))),0,INDEX(Table2[GAS],MATCH(rrcworking[[#This Row],[Magnum Wolfpak '#]],Table2[Rox Wolf'#],0)))</f>
        <v>1556</v>
      </c>
      <c r="W112" s="58"/>
      <c r="X112" s="58">
        <v>0</v>
      </c>
      <c r="Y112" s="133">
        <f>IF(ISERROR(INDEX(Table2[LEASE USE],MATCH(rrcworking[[#This Row],[Magnum Wolfpak '#]],Table2[Rox Wolf'#],0))),0,INDEX(Table2[LEASE USE],MATCH(rrcworking[[#This Row],[Magnum Wolfpak '#]],Table2[Rox Wolf'#],0)))</f>
        <v>0</v>
      </c>
      <c r="Z112" s="133"/>
      <c r="AA112" s="56">
        <f>rrcworking[[#This Row],[Gas Sales Statement Volume (MCF)]]+rrcworking[[#This Row],[Lease Use (MCF)]]+rrcworking[[#This Row],[Flared Gas]]</f>
        <v>1556</v>
      </c>
      <c r="AB112" s="36"/>
      <c r="AC112" s="36" t="s">
        <v>1293</v>
      </c>
      <c r="AD112" s="175">
        <f>COUNTIF(FilterList,rrcworking[[#This Row],[Magnum Wolfpak '#]])</f>
        <v>0</v>
      </c>
      <c r="AE112" s="172"/>
      <c r="AF112" s="173"/>
      <c r="AG112" s="36"/>
      <c r="AH112" s="36"/>
      <c r="AI112" s="174"/>
      <c r="AJ112" s="174"/>
      <c r="AK112" s="174"/>
      <c r="AL112" s="174"/>
      <c r="AM112" s="174"/>
      <c r="AN112" s="174"/>
      <c r="AO112" s="36" t="s">
        <v>1163</v>
      </c>
      <c r="AP112" s="36" t="s">
        <v>1188</v>
      </c>
    </row>
    <row r="113" spans="3:42" ht="42">
      <c r="C113" s="78">
        <v>99216</v>
      </c>
      <c r="D113" s="60" t="s">
        <v>209</v>
      </c>
      <c r="E113" s="125" t="s">
        <v>212</v>
      </c>
      <c r="F113" s="130" t="s">
        <v>910</v>
      </c>
      <c r="G113" s="115" t="s">
        <v>1090</v>
      </c>
      <c r="H113" s="18" t="s">
        <v>618</v>
      </c>
      <c r="I113" s="18" t="s">
        <v>2</v>
      </c>
      <c r="J113" s="19" t="s">
        <v>495</v>
      </c>
      <c r="K113" s="99">
        <v>26743</v>
      </c>
      <c r="L113" s="97">
        <f>INDEX(Table1[Production],MATCH(rrcworking[[#This Row],[RRC ID Number]],Table1[RRC Identifier],0))</f>
        <v>0</v>
      </c>
      <c r="M113" s="29">
        <f>INDEX(Table1[Formation Production],MATCH(rrcworking[[#This Row],[RRC ID Number]],Table1[RRC Identifier],0))</f>
        <v>0</v>
      </c>
      <c r="N113" s="30">
        <f>INDEX(Table1[On Hand End of Month],MATCH(rrcworking[[#This Row],[RRC ID Number]],Table1[RRC Identifier],0))</f>
        <v>0</v>
      </c>
      <c r="O113" s="102" t="b">
        <f t="shared" si="3"/>
        <v>1</v>
      </c>
      <c r="Q113" s="122">
        <f>rrcworking[[#This Row],[Last Month Closing Stock]]</f>
        <v>0</v>
      </c>
      <c r="R113">
        <f>rrcworking[[#This Row],[Opening Oil Stock]]</f>
        <v>0</v>
      </c>
      <c r="S113" s="133">
        <f>IF(ISERROR(INDEX(Table2[OIL],MATCH(rrcworking[[#This Row],[Magnum Wolfpak '#]],Table2[Rox Wolf'#],0))),0,INDEX(Table2[OIL],MATCH(rrcworking[[#This Row],[Magnum Wolfpak '#]],Table2[Rox Wolf'#],0)))</f>
        <v>0</v>
      </c>
      <c r="T113" s="34">
        <f>rrcworking[[#This Row],[Closing Stock (Oil)]]+rrcworking[[#This Row],[Sales/Dispostion]]-rrcworking[[#This Row],[Opening Oil Stock]]</f>
        <v>0</v>
      </c>
      <c r="U113" s="108">
        <f>rrcworking[[#This Row],[Gauge Sheet Prod Volume (oil)]]-rrcworking[[#This Row],[Oil Production]]</f>
        <v>0</v>
      </c>
      <c r="V113" s="133">
        <f>IF(ISERROR(INDEX(Table2[GAS],MATCH(rrcworking[[#This Row],[Magnum Wolfpak '#]],Table2[Rox Wolf'#],0))),0,INDEX(Table2[GAS],MATCH(rrcworking[[#This Row],[Magnum Wolfpak '#]],Table2[Rox Wolf'#],0)))</f>
        <v>0</v>
      </c>
      <c r="W113" s="58"/>
      <c r="X113" s="58">
        <v>2</v>
      </c>
      <c r="Y113" s="133">
        <f>IF(ISERROR(INDEX(Table2[LEASE USE],MATCH(rrcworking[[#This Row],[Magnum Wolfpak '#]],Table2[Rox Wolf'#],0))),0,INDEX(Table2[LEASE USE],MATCH(rrcworking[[#This Row],[Magnum Wolfpak '#]],Table2[Rox Wolf'#],0)))</f>
        <v>0</v>
      </c>
      <c r="Z113" s="133"/>
      <c r="AA113" s="56">
        <f>rrcworking[[#This Row],[Gas Sales Statement Volume (MCF)]]+rrcworking[[#This Row],[Lease Use (MCF)]]+rrcworking[[#This Row],[Flared Gas]]</f>
        <v>0</v>
      </c>
      <c r="AB113" s="36"/>
      <c r="AC113" s="36" t="s">
        <v>1135</v>
      </c>
      <c r="AD113" s="175">
        <f>COUNTIF(FilterList,rrcworking[[#This Row],[Magnum Wolfpak '#]])</f>
        <v>0</v>
      </c>
      <c r="AE113" s="172"/>
      <c r="AF113" s="173"/>
      <c r="AG113" s="83"/>
      <c r="AH113" s="83"/>
      <c r="AI113" s="174"/>
      <c r="AJ113" s="174"/>
      <c r="AK113" s="174"/>
      <c r="AL113" s="174"/>
      <c r="AM113" s="174"/>
      <c r="AN113" s="174"/>
      <c r="AO113" s="36" t="s">
        <v>1163</v>
      </c>
      <c r="AP113" s="36" t="s">
        <v>1188</v>
      </c>
    </row>
    <row r="114" spans="3:42" ht="42">
      <c r="C114" s="78">
        <v>99186</v>
      </c>
      <c r="D114" s="160" t="s">
        <v>209</v>
      </c>
      <c r="E114" s="3" t="s">
        <v>218</v>
      </c>
      <c r="F114" s="130" t="s">
        <v>57</v>
      </c>
      <c r="G114" s="115"/>
      <c r="H114" s="156" t="s">
        <v>618</v>
      </c>
      <c r="I114" s="156" t="s">
        <v>2</v>
      </c>
      <c r="J114" s="155" t="s">
        <v>1136</v>
      </c>
      <c r="K114" s="99">
        <v>27533</v>
      </c>
      <c r="L114" s="97">
        <f>INDEX(Table1[Production],MATCH(rrcworking[[#This Row],[RRC ID Number]],Table1[RRC Identifier],0))</f>
        <v>274</v>
      </c>
      <c r="M114" s="29">
        <f>INDEX(Table1[Formation Production],MATCH(rrcworking[[#This Row],[RRC ID Number]],Table1[RRC Identifier],0))</f>
        <v>174</v>
      </c>
      <c r="N114" s="30">
        <f>INDEX(Table1[On Hand End of Month],MATCH(rrcworking[[#This Row],[RRC ID Number]],Table1[RRC Identifier],0))</f>
        <v>366</v>
      </c>
      <c r="O114" s="102" t="b">
        <f>IF(AND(L114=0,M114=0), TRUE, FALSE)</f>
        <v>0</v>
      </c>
      <c r="P114">
        <v>215</v>
      </c>
      <c r="Q114" s="122">
        <f>rrcworking[[#This Row],[Last Month Closing Stock]]</f>
        <v>366</v>
      </c>
      <c r="R114">
        <v>68</v>
      </c>
      <c r="S114" s="133">
        <f>IF(ISERROR(INDEX(Table2[OIL],MATCH(rrcworking[[#This Row],[Magnum Wolfpak '#]],Table2[Rox Wolf'#],0))),0,INDEX(Table2[OIL],MATCH(rrcworking[[#This Row],[Magnum Wolfpak '#]],Table2[Rox Wolf'#],0)))</f>
        <v>529</v>
      </c>
      <c r="T114" s="34">
        <f>rrcworking[[#This Row],[Closing Stock (Oil)]]+rrcworking[[#This Row],[Sales/Dispostion]]-rrcworking[[#This Row],[Opening Oil Stock]]</f>
        <v>231</v>
      </c>
      <c r="U114" s="108">
        <f>rrcworking[[#This Row],[Gauge Sheet Prod Volume (oil)]]-rrcworking[[#This Row],[Oil Production]]</f>
        <v>-16</v>
      </c>
      <c r="V114" s="133">
        <f>IF(ISERROR(INDEX(Table2[GAS],MATCH(rrcworking[[#This Row],[Magnum Wolfpak '#]],Table2[Rox Wolf'#],0))),0,INDEX(Table2[GAS],MATCH(rrcworking[[#This Row],[Magnum Wolfpak '#]],Table2[Rox Wolf'#],0)))</f>
        <v>0</v>
      </c>
      <c r="W114" s="58"/>
      <c r="X114" s="58"/>
      <c r="Y114" s="133">
        <f>IF(ISERROR(INDEX(Table2[LEASE USE],MATCH(rrcworking[[#This Row],[Magnum Wolfpak '#]],Table2[Rox Wolf'#],0))),0,INDEX(Table2[LEASE USE],MATCH(rrcworking[[#This Row],[Magnum Wolfpak '#]],Table2[Rox Wolf'#],0)))</f>
        <v>180</v>
      </c>
      <c r="Z114" s="133"/>
      <c r="AA114" s="56">
        <f>rrcworking[[#This Row],[Gas Sales Statement Volume (MCF)]]+rrcworking[[#This Row],[Lease Use (MCF)]]+rrcworking[[#This Row],[Flared Gas]]</f>
        <v>180</v>
      </c>
      <c r="AB114" s="36"/>
      <c r="AC114" s="36" t="s">
        <v>1137</v>
      </c>
      <c r="AD114" s="175">
        <f>COUNTIF(FilterList,rrcworking[[#This Row],[Magnum Wolfpak '#]])</f>
        <v>0</v>
      </c>
      <c r="AE114" s="172"/>
      <c r="AF114" s="173"/>
      <c r="AG114" s="83"/>
      <c r="AH114" s="83"/>
      <c r="AI114" s="174"/>
      <c r="AJ114" s="174"/>
      <c r="AK114" s="174"/>
      <c r="AL114" s="174"/>
      <c r="AM114" s="174"/>
      <c r="AN114" s="174"/>
      <c r="AO114" s="36" t="s">
        <v>1163</v>
      </c>
      <c r="AP114" s="36" t="s">
        <v>1206</v>
      </c>
    </row>
    <row r="115" spans="3:42" ht="14">
      <c r="C115" s="78" t="e">
        <v>#N/A</v>
      </c>
      <c r="D115" s="60" t="s">
        <v>217</v>
      </c>
      <c r="E115" s="125" t="s">
        <v>218</v>
      </c>
      <c r="F115" s="124">
        <v>7</v>
      </c>
      <c r="G115" s="115" t="s">
        <v>1090</v>
      </c>
      <c r="H115" s="18" t="s">
        <v>618</v>
      </c>
      <c r="I115" s="18" t="s">
        <v>59</v>
      </c>
      <c r="J115" s="19" t="s">
        <v>498</v>
      </c>
      <c r="K115" s="99">
        <v>229081</v>
      </c>
      <c r="L115" s="97">
        <f>INDEX(Table1[Production],MATCH(rrcworking[[#This Row],[RRC ID Number]],Table1[RRC Identifier],0))</f>
        <v>0</v>
      </c>
      <c r="M115" s="29">
        <f>INDEX(Table1[Formation Production],MATCH(rrcworking[[#This Row],[RRC ID Number]],Table1[RRC Identifier],0))</f>
        <v>0</v>
      </c>
      <c r="N115" s="30">
        <f>INDEX(Table1[On Hand End of Month],MATCH(rrcworking[[#This Row],[RRC ID Number]],Table1[RRC Identifier],0))</f>
        <v>0</v>
      </c>
      <c r="O115" s="102" t="b">
        <f t="shared" si="3"/>
        <v>1</v>
      </c>
      <c r="Q115" s="122">
        <f>rrcworking[[#This Row],[Last Month Closing Stock]]</f>
        <v>0</v>
      </c>
      <c r="R115">
        <f>rrcworking[[#This Row],[Opening Oil Stock]]</f>
        <v>0</v>
      </c>
      <c r="S115" s="133">
        <f>IF(ISERROR(INDEX(Table2[OIL],MATCH(rrcworking[[#This Row],[Magnum Wolfpak '#]],Table2[Rox Wolf'#],0))),0,INDEX(Table2[OIL],MATCH(rrcworking[[#This Row],[Magnum Wolfpak '#]],Table2[Rox Wolf'#],0)))</f>
        <v>0</v>
      </c>
      <c r="T115" s="34">
        <f>rrcworking[[#This Row],[Closing Stock (Oil)]]+rrcworking[[#This Row],[Sales/Dispostion]]-rrcworking[[#This Row],[Opening Oil Stock]]</f>
        <v>0</v>
      </c>
      <c r="U115" s="108">
        <f>rrcworking[[#This Row],[Gauge Sheet Prod Volume (oil)]]-rrcworking[[#This Row],[Oil Production]]</f>
        <v>0</v>
      </c>
      <c r="V115" s="133">
        <f>IF(ISERROR(INDEX(Table2[GAS],MATCH(rrcworking[[#This Row],[Magnum Wolfpak '#]],Table2[Rox Wolf'#],0))),0,INDEX(Table2[GAS],MATCH(rrcworking[[#This Row],[Magnum Wolfpak '#]],Table2[Rox Wolf'#],0)))</f>
        <v>0</v>
      </c>
      <c r="W115" s="58"/>
      <c r="X115" s="58"/>
      <c r="Y115" s="133">
        <f>IF(ISERROR(INDEX(Table2[LEASE USE],MATCH(rrcworking[[#This Row],[Magnum Wolfpak '#]],Table2[Rox Wolf'#],0))),0,INDEX(Table2[LEASE USE],MATCH(rrcworking[[#This Row],[Magnum Wolfpak '#]],Table2[Rox Wolf'#],0)))</f>
        <v>0</v>
      </c>
      <c r="Z115" s="133"/>
      <c r="AA115" s="56">
        <f>rrcworking[[#This Row],[Gas Sales Statement Volume (MCF)]]+rrcworking[[#This Row],[Lease Use (MCF)]]+rrcworking[[#This Row],[Flared Gas]]</f>
        <v>0</v>
      </c>
      <c r="AB115" s="36"/>
      <c r="AC115" s="36"/>
      <c r="AD115" s="175">
        <f>COUNTIF(FilterList,rrcworking[[#This Row],[Magnum Wolfpak '#]])</f>
        <v>0</v>
      </c>
      <c r="AE115" s="172"/>
      <c r="AF115" s="173"/>
      <c r="AG115" s="36"/>
      <c r="AH115" s="36"/>
      <c r="AI115" s="36"/>
      <c r="AJ115" s="36"/>
      <c r="AK115" s="36"/>
      <c r="AL115" s="36"/>
      <c r="AM115" s="36"/>
      <c r="AN115" s="36"/>
      <c r="AO115" s="36"/>
      <c r="AP115" s="36"/>
    </row>
    <row r="116" spans="3:42" ht="14">
      <c r="C116" s="78" t="e">
        <v>#N/A</v>
      </c>
      <c r="D116" s="60" t="s">
        <v>332</v>
      </c>
      <c r="E116" s="125" t="s">
        <v>333</v>
      </c>
      <c r="F116" s="124">
        <v>2</v>
      </c>
      <c r="G116" s="115" t="s">
        <v>1090</v>
      </c>
      <c r="H116" s="18" t="s">
        <v>619</v>
      </c>
      <c r="I116" s="18" t="s">
        <v>59</v>
      </c>
      <c r="J116" s="19" t="s">
        <v>567</v>
      </c>
      <c r="K116" s="99">
        <v>54242</v>
      </c>
      <c r="L116" s="97">
        <f>INDEX(Table1[Production],MATCH(rrcworking[[#This Row],[RRC ID Number]],Table1[RRC Identifier],0))</f>
        <v>0</v>
      </c>
      <c r="M116" s="29">
        <f>INDEX(Table1[Formation Production],MATCH(rrcworking[[#This Row],[RRC ID Number]],Table1[RRC Identifier],0))</f>
        <v>0</v>
      </c>
      <c r="N116" s="30">
        <f>INDEX(Table1[On Hand End of Month],MATCH(rrcworking[[#This Row],[RRC ID Number]],Table1[RRC Identifier],0))</f>
        <v>0</v>
      </c>
      <c r="O116" s="102" t="b">
        <f t="shared" si="3"/>
        <v>1</v>
      </c>
      <c r="Q116" s="122">
        <f>rrcworking[[#This Row],[Last Month Closing Stock]]</f>
        <v>0</v>
      </c>
      <c r="R116">
        <f>rrcworking[[#This Row],[Opening Oil Stock]]</f>
        <v>0</v>
      </c>
      <c r="S116" s="133">
        <f>IF(ISERROR(INDEX(Table2[OIL],MATCH(rrcworking[[#This Row],[Magnum Wolfpak '#]],Table2[Rox Wolf'#],0))),0,INDEX(Table2[OIL],MATCH(rrcworking[[#This Row],[Magnum Wolfpak '#]],Table2[Rox Wolf'#],0)))</f>
        <v>0</v>
      </c>
      <c r="T116" s="34">
        <f>rrcworking[[#This Row],[Closing Stock (Oil)]]+rrcworking[[#This Row],[Sales/Dispostion]]-rrcworking[[#This Row],[Opening Oil Stock]]</f>
        <v>0</v>
      </c>
      <c r="U116" s="108">
        <f>rrcworking[[#This Row],[Gauge Sheet Prod Volume (oil)]]-rrcworking[[#This Row],[Oil Production]]</f>
        <v>0</v>
      </c>
      <c r="V116" s="133">
        <f>IF(ISERROR(INDEX(Table2[GAS],MATCH(rrcworking[[#This Row],[Magnum Wolfpak '#]],Table2[Rox Wolf'#],0))),0,INDEX(Table2[GAS],MATCH(rrcworking[[#This Row],[Magnum Wolfpak '#]],Table2[Rox Wolf'#],0)))</f>
        <v>0</v>
      </c>
      <c r="W116" s="58"/>
      <c r="X116" s="58"/>
      <c r="Y116" s="133">
        <f>IF(ISERROR(INDEX(Table2[LEASE USE],MATCH(rrcworking[[#This Row],[Magnum Wolfpak '#]],Table2[Rox Wolf'#],0))),0,INDEX(Table2[LEASE USE],MATCH(rrcworking[[#This Row],[Magnum Wolfpak '#]],Table2[Rox Wolf'#],0)))</f>
        <v>0</v>
      </c>
      <c r="Z116" s="133"/>
      <c r="AA116" s="56">
        <f>rrcworking[[#This Row],[Gas Sales Statement Volume (MCF)]]+rrcworking[[#This Row],[Lease Use (MCF)]]+rrcworking[[#This Row],[Flared Gas]]</f>
        <v>0</v>
      </c>
      <c r="AB116" s="36"/>
      <c r="AC116" s="36"/>
      <c r="AD116" s="175">
        <f>COUNTIF(FilterList,rrcworking[[#This Row],[Magnum Wolfpak '#]])</f>
        <v>0</v>
      </c>
      <c r="AE116" s="172"/>
      <c r="AF116" s="173"/>
      <c r="AG116" s="36"/>
      <c r="AH116" s="36"/>
      <c r="AI116" s="36"/>
      <c r="AJ116" s="36"/>
      <c r="AK116" s="36"/>
      <c r="AL116" s="36"/>
      <c r="AM116" s="36"/>
      <c r="AN116" s="36"/>
      <c r="AO116" s="36"/>
      <c r="AP116" s="36"/>
    </row>
    <row r="117" spans="3:42" ht="14">
      <c r="C117" s="78" t="e">
        <v>#N/A</v>
      </c>
      <c r="D117" s="60" t="s">
        <v>122</v>
      </c>
      <c r="E117" s="125" t="s">
        <v>123</v>
      </c>
      <c r="F117" s="124">
        <v>0</v>
      </c>
      <c r="G117" s="115" t="s">
        <v>1090</v>
      </c>
      <c r="H117" s="18" t="s">
        <v>617</v>
      </c>
      <c r="I117" s="18" t="s">
        <v>2</v>
      </c>
      <c r="J117" s="19" t="s">
        <v>442</v>
      </c>
      <c r="K117" s="99">
        <v>8635</v>
      </c>
      <c r="L117" s="97">
        <f>INDEX(Table1[Production],MATCH(rrcworking[[#This Row],[RRC ID Number]],Table1[RRC Identifier],0))</f>
        <v>0</v>
      </c>
      <c r="M117" s="29">
        <f>INDEX(Table1[Formation Production],MATCH(rrcworking[[#This Row],[RRC ID Number]],Table1[RRC Identifier],0))</f>
        <v>0</v>
      </c>
      <c r="N117" s="30">
        <f>INDEX(Table1[On Hand End of Month],MATCH(rrcworking[[#This Row],[RRC ID Number]],Table1[RRC Identifier],0))</f>
        <v>0</v>
      </c>
      <c r="O117" s="102" t="b">
        <f t="shared" si="3"/>
        <v>1</v>
      </c>
      <c r="Q117" s="122">
        <f>rrcworking[[#This Row],[Last Month Closing Stock]]</f>
        <v>0</v>
      </c>
      <c r="R117">
        <f>rrcworking[[#This Row],[Opening Oil Stock]]</f>
        <v>0</v>
      </c>
      <c r="S117" s="133">
        <f>IF(ISERROR(INDEX(Table2[OIL],MATCH(rrcworking[[#This Row],[Magnum Wolfpak '#]],Table2[Rox Wolf'#],0))),0,INDEX(Table2[OIL],MATCH(rrcworking[[#This Row],[Magnum Wolfpak '#]],Table2[Rox Wolf'#],0)))</f>
        <v>0</v>
      </c>
      <c r="T117" s="34">
        <f>rrcworking[[#This Row],[Closing Stock (Oil)]]+rrcworking[[#This Row],[Sales/Dispostion]]-rrcworking[[#This Row],[Opening Oil Stock]]</f>
        <v>0</v>
      </c>
      <c r="U117" s="108">
        <f>rrcworking[[#This Row],[Gauge Sheet Prod Volume (oil)]]-rrcworking[[#This Row],[Oil Production]]</f>
        <v>0</v>
      </c>
      <c r="V117" s="133">
        <f>IF(ISERROR(INDEX(Table2[GAS],MATCH(rrcworking[[#This Row],[Magnum Wolfpak '#]],Table2[Rox Wolf'#],0))),0,INDEX(Table2[GAS],MATCH(rrcworking[[#This Row],[Magnum Wolfpak '#]],Table2[Rox Wolf'#],0)))</f>
        <v>0</v>
      </c>
      <c r="W117" s="58"/>
      <c r="X117" s="58"/>
      <c r="Y117" s="133">
        <f>IF(ISERROR(INDEX(Table2[LEASE USE],MATCH(rrcworking[[#This Row],[Magnum Wolfpak '#]],Table2[Rox Wolf'#],0))),0,INDEX(Table2[LEASE USE],MATCH(rrcworking[[#This Row],[Magnum Wolfpak '#]],Table2[Rox Wolf'#],0)))</f>
        <v>0</v>
      </c>
      <c r="Z117" s="133"/>
      <c r="AA117" s="56">
        <f>rrcworking[[#This Row],[Gas Sales Statement Volume (MCF)]]+rrcworking[[#This Row],[Lease Use (MCF)]]+rrcworking[[#This Row],[Flared Gas]]</f>
        <v>0</v>
      </c>
      <c r="AB117" s="36"/>
      <c r="AC117" s="36"/>
      <c r="AD117" s="175">
        <f>COUNTIF(FilterList,rrcworking[[#This Row],[Magnum Wolfpak '#]])</f>
        <v>0</v>
      </c>
      <c r="AE117" s="172"/>
      <c r="AF117" s="173"/>
      <c r="AG117" s="36"/>
      <c r="AH117" s="36"/>
      <c r="AI117" s="36"/>
      <c r="AJ117" s="36"/>
      <c r="AK117" s="36"/>
      <c r="AL117" s="36"/>
      <c r="AM117" s="36"/>
      <c r="AN117" s="36"/>
      <c r="AO117" s="36"/>
      <c r="AP117" s="36"/>
    </row>
    <row r="118" spans="3:42" ht="14">
      <c r="C118" s="78" t="e">
        <v>#N/A</v>
      </c>
      <c r="D118" s="60" t="s">
        <v>124</v>
      </c>
      <c r="E118" s="125" t="s">
        <v>123</v>
      </c>
      <c r="F118" s="124">
        <v>0</v>
      </c>
      <c r="G118" s="115" t="s">
        <v>1090</v>
      </c>
      <c r="H118" s="18" t="s">
        <v>617</v>
      </c>
      <c r="I118" s="18" t="s">
        <v>2</v>
      </c>
      <c r="J118" s="19" t="s">
        <v>443</v>
      </c>
      <c r="K118" s="99">
        <v>8247</v>
      </c>
      <c r="L118" s="97">
        <f>INDEX(Table1[Production],MATCH(rrcworking[[#This Row],[RRC ID Number]],Table1[RRC Identifier],0))</f>
        <v>0</v>
      </c>
      <c r="M118" s="29">
        <f>INDEX(Table1[Formation Production],MATCH(rrcworking[[#This Row],[RRC ID Number]],Table1[RRC Identifier],0))</f>
        <v>0</v>
      </c>
      <c r="N118" s="30">
        <f>INDEX(Table1[On Hand End of Month],MATCH(rrcworking[[#This Row],[RRC ID Number]],Table1[RRC Identifier],0))</f>
        <v>0</v>
      </c>
      <c r="O118" s="102" t="b">
        <f t="shared" si="3"/>
        <v>1</v>
      </c>
      <c r="Q118" s="122">
        <f>rrcworking[[#This Row],[Last Month Closing Stock]]</f>
        <v>0</v>
      </c>
      <c r="R118">
        <f>rrcworking[[#This Row],[Opening Oil Stock]]</f>
        <v>0</v>
      </c>
      <c r="S118" s="133">
        <f>IF(ISERROR(INDEX(Table2[OIL],MATCH(rrcworking[[#This Row],[Magnum Wolfpak '#]],Table2[Rox Wolf'#],0))),0,INDEX(Table2[OIL],MATCH(rrcworking[[#This Row],[Magnum Wolfpak '#]],Table2[Rox Wolf'#],0)))</f>
        <v>0</v>
      </c>
      <c r="T118" s="34">
        <f>rrcworking[[#This Row],[Closing Stock (Oil)]]+rrcworking[[#This Row],[Sales/Dispostion]]-rrcworking[[#This Row],[Opening Oil Stock]]</f>
        <v>0</v>
      </c>
      <c r="U118" s="108">
        <f>rrcworking[[#This Row],[Gauge Sheet Prod Volume (oil)]]-rrcworking[[#This Row],[Oil Production]]</f>
        <v>0</v>
      </c>
      <c r="V118" s="133">
        <f>IF(ISERROR(INDEX(Table2[GAS],MATCH(rrcworking[[#This Row],[Magnum Wolfpak '#]],Table2[Rox Wolf'#],0))),0,INDEX(Table2[GAS],MATCH(rrcworking[[#This Row],[Magnum Wolfpak '#]],Table2[Rox Wolf'#],0)))</f>
        <v>0</v>
      </c>
      <c r="W118" s="58"/>
      <c r="X118" s="58"/>
      <c r="Y118" s="133">
        <f>IF(ISERROR(INDEX(Table2[LEASE USE],MATCH(rrcworking[[#This Row],[Magnum Wolfpak '#]],Table2[Rox Wolf'#],0))),0,INDEX(Table2[LEASE USE],MATCH(rrcworking[[#This Row],[Magnum Wolfpak '#]],Table2[Rox Wolf'#],0)))</f>
        <v>0</v>
      </c>
      <c r="Z118" s="133"/>
      <c r="AA118" s="56">
        <f>rrcworking[[#This Row],[Gas Sales Statement Volume (MCF)]]+rrcworking[[#This Row],[Lease Use (MCF)]]+rrcworking[[#This Row],[Flared Gas]]</f>
        <v>0</v>
      </c>
      <c r="AB118" s="36"/>
      <c r="AC118" s="36"/>
      <c r="AD118" s="175">
        <f>COUNTIF(FilterList,rrcworking[[#This Row],[Magnum Wolfpak '#]])</f>
        <v>0</v>
      </c>
      <c r="AE118" s="172"/>
      <c r="AF118" s="173"/>
      <c r="AG118" s="36"/>
      <c r="AH118" s="36"/>
      <c r="AI118" s="36"/>
      <c r="AJ118" s="36"/>
      <c r="AK118" s="36"/>
      <c r="AL118" s="36"/>
      <c r="AM118" s="36"/>
      <c r="AN118" s="36"/>
      <c r="AO118" s="36"/>
      <c r="AP118" s="36"/>
    </row>
    <row r="119" spans="3:42" ht="14">
      <c r="C119" s="78" t="e">
        <v>#N/A</v>
      </c>
      <c r="D119" s="60" t="s">
        <v>125</v>
      </c>
      <c r="E119" s="125" t="s">
        <v>123</v>
      </c>
      <c r="F119" s="124">
        <v>5</v>
      </c>
      <c r="G119" s="115" t="s">
        <v>1090</v>
      </c>
      <c r="H119" s="18" t="s">
        <v>617</v>
      </c>
      <c r="I119" s="18" t="s">
        <v>59</v>
      </c>
      <c r="J119" s="19" t="s">
        <v>444</v>
      </c>
      <c r="K119" s="99">
        <v>182045</v>
      </c>
      <c r="L119" s="97">
        <f>INDEX(Table1[Production],MATCH(rrcworking[[#This Row],[RRC ID Number]],Table1[RRC Identifier],0))</f>
        <v>0</v>
      </c>
      <c r="M119" s="29">
        <f>INDEX(Table1[Formation Production],MATCH(rrcworking[[#This Row],[RRC ID Number]],Table1[RRC Identifier],0))</f>
        <v>0</v>
      </c>
      <c r="N119" s="30">
        <f>INDEX(Table1[On Hand End of Month],MATCH(rrcworking[[#This Row],[RRC ID Number]],Table1[RRC Identifier],0))</f>
        <v>0</v>
      </c>
      <c r="O119" s="102" t="b">
        <f t="shared" si="3"/>
        <v>1</v>
      </c>
      <c r="Q119" s="122">
        <f>rrcworking[[#This Row],[Last Month Closing Stock]]</f>
        <v>0</v>
      </c>
      <c r="R119">
        <f>rrcworking[[#This Row],[Opening Oil Stock]]</f>
        <v>0</v>
      </c>
      <c r="S119" s="133">
        <f>IF(ISERROR(INDEX(Table2[OIL],MATCH(rrcworking[[#This Row],[Magnum Wolfpak '#]],Table2[Rox Wolf'#],0))),0,INDEX(Table2[OIL],MATCH(rrcworking[[#This Row],[Magnum Wolfpak '#]],Table2[Rox Wolf'#],0)))</f>
        <v>0</v>
      </c>
      <c r="T119" s="34">
        <f>rrcworking[[#This Row],[Closing Stock (Oil)]]+rrcworking[[#This Row],[Sales/Dispostion]]-rrcworking[[#This Row],[Opening Oil Stock]]</f>
        <v>0</v>
      </c>
      <c r="U119" s="108">
        <f>rrcworking[[#This Row],[Gauge Sheet Prod Volume (oil)]]-rrcworking[[#This Row],[Oil Production]]</f>
        <v>0</v>
      </c>
      <c r="V119" s="133">
        <f>IF(ISERROR(INDEX(Table2[GAS],MATCH(rrcworking[[#This Row],[Magnum Wolfpak '#]],Table2[Rox Wolf'#],0))),0,INDEX(Table2[GAS],MATCH(rrcworking[[#This Row],[Magnum Wolfpak '#]],Table2[Rox Wolf'#],0)))</f>
        <v>0</v>
      </c>
      <c r="W119" s="58"/>
      <c r="X119" s="58"/>
      <c r="Y119" s="133">
        <f>IF(ISERROR(INDEX(Table2[LEASE USE],MATCH(rrcworking[[#This Row],[Magnum Wolfpak '#]],Table2[Rox Wolf'#],0))),0,INDEX(Table2[LEASE USE],MATCH(rrcworking[[#This Row],[Magnum Wolfpak '#]],Table2[Rox Wolf'#],0)))</f>
        <v>0</v>
      </c>
      <c r="Z119" s="133"/>
      <c r="AA119" s="56">
        <f>rrcworking[[#This Row],[Gas Sales Statement Volume (MCF)]]+rrcworking[[#This Row],[Lease Use (MCF)]]+rrcworking[[#This Row],[Flared Gas]]</f>
        <v>0</v>
      </c>
      <c r="AB119" s="36"/>
      <c r="AC119" s="36"/>
      <c r="AD119" s="175">
        <f>COUNTIF(FilterList,rrcworking[[#This Row],[Magnum Wolfpak '#]])</f>
        <v>0</v>
      </c>
      <c r="AE119" s="172"/>
      <c r="AF119" s="173"/>
      <c r="AG119" s="36"/>
      <c r="AH119" s="36"/>
      <c r="AI119" s="36"/>
      <c r="AJ119" s="36"/>
      <c r="AK119" s="36"/>
      <c r="AL119" s="36"/>
      <c r="AM119" s="36"/>
      <c r="AN119" s="36"/>
      <c r="AO119" s="36"/>
      <c r="AP119" s="36"/>
    </row>
    <row r="120" spans="3:42" ht="70">
      <c r="C120" s="78">
        <v>99288</v>
      </c>
      <c r="D120" s="60" t="s">
        <v>154</v>
      </c>
      <c r="E120" s="125" t="s">
        <v>155</v>
      </c>
      <c r="F120" s="124">
        <v>0</v>
      </c>
      <c r="G120" s="115" t="s">
        <v>1090</v>
      </c>
      <c r="H120" s="18" t="s">
        <v>618</v>
      </c>
      <c r="I120" s="18" t="s">
        <v>2</v>
      </c>
      <c r="J120" s="19" t="s">
        <v>463</v>
      </c>
      <c r="K120" s="99">
        <v>27348</v>
      </c>
      <c r="L120" s="97">
        <f>INDEX(Table1[Production],MATCH(rrcworking[[#This Row],[RRC ID Number]],Table1[RRC Identifier],0))</f>
        <v>0</v>
      </c>
      <c r="M120" s="29">
        <f>INDEX(Table1[Formation Production],MATCH(rrcworking[[#This Row],[RRC ID Number]],Table1[RRC Identifier],0))</f>
        <v>0</v>
      </c>
      <c r="N120" s="30">
        <f>INDEX(Table1[On Hand End of Month],MATCH(rrcworking[[#This Row],[RRC ID Number]],Table1[RRC Identifier],0))</f>
        <v>51</v>
      </c>
      <c r="O120" s="102" t="b">
        <f t="shared" si="3"/>
        <v>1</v>
      </c>
      <c r="P120">
        <v>0</v>
      </c>
      <c r="Q120" s="122">
        <f>rrcworking[[#This Row],[Last Month Closing Stock]]</f>
        <v>51</v>
      </c>
      <c r="R120">
        <v>51</v>
      </c>
      <c r="S120" s="133">
        <f>IF(ISERROR(INDEX(Table2[OIL],MATCH(rrcworking[[#This Row],[Magnum Wolfpak '#]],Table2[Rox Wolf'#],0))),0,INDEX(Table2[OIL],MATCH(rrcworking[[#This Row],[Magnum Wolfpak '#]],Table2[Rox Wolf'#],0)))</f>
        <v>0</v>
      </c>
      <c r="T120" s="34">
        <f>rrcworking[[#This Row],[Closing Stock (Oil)]]+rrcworking[[#This Row],[Sales/Dispostion]]-rrcworking[[#This Row],[Opening Oil Stock]]</f>
        <v>0</v>
      </c>
      <c r="U120" s="108">
        <f>rrcworking[[#This Row],[Gauge Sheet Prod Volume (oil)]]-rrcworking[[#This Row],[Oil Production]]</f>
        <v>0</v>
      </c>
      <c r="V120" s="133">
        <f>IF(ISERROR(INDEX(Table2[GAS],MATCH(rrcworking[[#This Row],[Magnum Wolfpak '#]],Table2[Rox Wolf'#],0))),0,INDEX(Table2[GAS],MATCH(rrcworking[[#This Row],[Magnum Wolfpak '#]],Table2[Rox Wolf'#],0)))</f>
        <v>0</v>
      </c>
      <c r="W120" s="58"/>
      <c r="X120" s="58"/>
      <c r="Y120" s="133">
        <f>IF(ISERROR(INDEX(Table2[LEASE USE],MATCH(rrcworking[[#This Row],[Magnum Wolfpak '#]],Table2[Rox Wolf'#],0))),0,INDEX(Table2[LEASE USE],MATCH(rrcworking[[#This Row],[Magnum Wolfpak '#]],Table2[Rox Wolf'#],0)))</f>
        <v>0</v>
      </c>
      <c r="Z120" s="133"/>
      <c r="AA120" s="56">
        <f>rrcworking[[#This Row],[Gas Sales Statement Volume (MCF)]]+rrcworking[[#This Row],[Lease Use (MCF)]]+rrcworking[[#This Row],[Flared Gas]]</f>
        <v>0</v>
      </c>
      <c r="AB120" s="36"/>
      <c r="AC120" s="36" t="s">
        <v>1280</v>
      </c>
      <c r="AD120" s="175">
        <f>COUNTIF(FilterList,rrcworking[[#This Row],[Magnum Wolfpak '#]])</f>
        <v>1</v>
      </c>
      <c r="AE120" s="172"/>
      <c r="AF120" s="173"/>
      <c r="AG120" s="36"/>
      <c r="AH120" s="36"/>
      <c r="AI120" s="36">
        <v>2</v>
      </c>
      <c r="AJ120" s="36" t="s">
        <v>1165</v>
      </c>
      <c r="AK120" s="36" t="s">
        <v>1165</v>
      </c>
      <c r="AL120" s="36" t="s">
        <v>1195</v>
      </c>
      <c r="AM120" s="36" t="s">
        <v>1139</v>
      </c>
      <c r="AN120" s="36" t="s">
        <v>1170</v>
      </c>
      <c r="AO120" s="36" t="s">
        <v>1163</v>
      </c>
      <c r="AP120" s="36" t="s">
        <v>1239</v>
      </c>
    </row>
    <row r="121" spans="3:42" ht="28">
      <c r="C121" s="78">
        <v>99297</v>
      </c>
      <c r="D121" s="160" t="s">
        <v>151</v>
      </c>
      <c r="E121" s="20" t="s">
        <v>794</v>
      </c>
      <c r="F121" s="21" t="s">
        <v>61</v>
      </c>
      <c r="G121" s="115"/>
      <c r="H121" s="21" t="s">
        <v>618</v>
      </c>
      <c r="I121" s="21" t="s">
        <v>2</v>
      </c>
      <c r="J121" s="188" t="s">
        <v>1250</v>
      </c>
      <c r="K121" s="99">
        <v>27617</v>
      </c>
      <c r="L121" s="97">
        <f>INDEX(Table1[Production],MATCH(rrcworking[[#This Row],[RRC ID Number]],Table1[RRC Identifier],0))</f>
        <v>0</v>
      </c>
      <c r="M121" s="29">
        <f>INDEX(Table1[Formation Production],MATCH(rrcworking[[#This Row],[RRC ID Number]],Table1[RRC Identifier],0))</f>
        <v>0</v>
      </c>
      <c r="N121" s="30">
        <f>INDEX(Table1[On Hand End of Month],MATCH(rrcworking[[#This Row],[RRC ID Number]],Table1[RRC Identifier],0))</f>
        <v>257</v>
      </c>
      <c r="O121" s="102" t="b">
        <f t="shared" si="3"/>
        <v>1</v>
      </c>
      <c r="P121">
        <v>1638</v>
      </c>
      <c r="Q121" s="122">
        <f>rrcworking[[#This Row],[Last Month Closing Stock]]</f>
        <v>257</v>
      </c>
      <c r="R121">
        <v>223</v>
      </c>
      <c r="S121" s="133">
        <f>IF(ISERROR(INDEX(Table2[OIL],MATCH(rrcworking[[#This Row],[Magnum Wolfpak '#]],Table2[Rox Wolf'#],0))),0,INDEX(Table2[OIL],MATCH(rrcworking[[#This Row],[Magnum Wolfpak '#]],Table2[Rox Wolf'#],0)))</f>
        <v>1652</v>
      </c>
      <c r="T121" s="96">
        <f>rrcworking[[#This Row],[Closing Stock (Oil)]]+rrcworking[[#This Row],[Sales/Dispostion]]-rrcworking[[#This Row],[Opening Oil Stock]]</f>
        <v>1618</v>
      </c>
      <c r="U121" s="109">
        <f>rrcworking[[#This Row],[Gauge Sheet Prod Volume (oil)]]-rrcworking[[#This Row],[Oil Production]]</f>
        <v>20</v>
      </c>
      <c r="V121" s="133">
        <f>IF(ISERROR(INDEX(Table2[GAS],MATCH(rrcworking[[#This Row],[Magnum Wolfpak '#]],Table2[Rox Wolf'#],0))),0,INDEX(Table2[GAS],MATCH(rrcworking[[#This Row],[Magnum Wolfpak '#]],Table2[Rox Wolf'#],0)))</f>
        <v>0</v>
      </c>
      <c r="W121" s="58"/>
      <c r="X121" s="58"/>
      <c r="Y121" s="133">
        <f>IF(ISERROR(INDEX(Table2[LEASE USE],MATCH(rrcworking[[#This Row],[Magnum Wolfpak '#]],Table2[Rox Wolf'#],0))),0,INDEX(Table2[LEASE USE],MATCH(rrcworking[[#This Row],[Magnum Wolfpak '#]],Table2[Rox Wolf'#],0)))</f>
        <v>0</v>
      </c>
      <c r="Z121" s="133"/>
      <c r="AA121" s="56">
        <f>rrcworking[[#This Row],[Gas Sales Statement Volume (MCF)]]+rrcworking[[#This Row],[Lease Use (MCF)]]+rrcworking[[#This Row],[Flared Gas]]</f>
        <v>0</v>
      </c>
      <c r="AB121" s="36"/>
      <c r="AC121" s="36" t="s">
        <v>1251</v>
      </c>
      <c r="AD121" s="175">
        <f>COUNTIF(FilterList,rrcworking[[#This Row],[Magnum Wolfpak '#]])</f>
        <v>0</v>
      </c>
      <c r="AE121" s="172"/>
      <c r="AF121" s="173"/>
      <c r="AG121" s="36"/>
      <c r="AH121" s="173"/>
      <c r="AI121" s="36">
        <v>2</v>
      </c>
      <c r="AJ121" s="36" t="s">
        <v>1165</v>
      </c>
      <c r="AK121" s="36" t="s">
        <v>1165</v>
      </c>
      <c r="AL121" s="36" t="s">
        <v>1195</v>
      </c>
      <c r="AM121" s="36" t="s">
        <v>1139</v>
      </c>
      <c r="AN121" s="36" t="s">
        <v>1170</v>
      </c>
      <c r="AO121" s="36" t="s">
        <v>1207</v>
      </c>
      <c r="AP121" s="36"/>
    </row>
    <row r="122" spans="3:42" ht="14">
      <c r="C122" s="78" t="e">
        <v>#N/A</v>
      </c>
      <c r="D122" s="60" t="s">
        <v>227</v>
      </c>
      <c r="E122" s="125" t="s">
        <v>228</v>
      </c>
      <c r="F122" s="124">
        <v>1</v>
      </c>
      <c r="G122" s="115" t="s">
        <v>1090</v>
      </c>
      <c r="H122" s="18" t="s">
        <v>618</v>
      </c>
      <c r="I122" s="18" t="s">
        <v>59</v>
      </c>
      <c r="J122" s="19" t="s">
        <v>502</v>
      </c>
      <c r="K122" s="99">
        <v>139199</v>
      </c>
      <c r="L122" s="97">
        <f>INDEX(Table1[Production],MATCH(rrcworking[[#This Row],[RRC ID Number]],Table1[RRC Identifier],0))</f>
        <v>0</v>
      </c>
      <c r="M122" s="29">
        <f>INDEX(Table1[Formation Production],MATCH(rrcworking[[#This Row],[RRC ID Number]],Table1[RRC Identifier],0))</f>
        <v>0</v>
      </c>
      <c r="N122" s="30">
        <f>INDEX(Table1[On Hand End of Month],MATCH(rrcworking[[#This Row],[RRC ID Number]],Table1[RRC Identifier],0))</f>
        <v>0</v>
      </c>
      <c r="O122" s="102" t="b">
        <f t="shared" si="3"/>
        <v>1</v>
      </c>
      <c r="Q122" s="122">
        <f>rrcworking[[#This Row],[Last Month Closing Stock]]</f>
        <v>0</v>
      </c>
      <c r="R122">
        <f>rrcworking[[#This Row],[Opening Oil Stock]]</f>
        <v>0</v>
      </c>
      <c r="S122" s="133">
        <f>IF(ISERROR(INDEX(Table2[OIL],MATCH(rrcworking[[#This Row],[Magnum Wolfpak '#]],Table2[Rox Wolf'#],0))),0,INDEX(Table2[OIL],MATCH(rrcworking[[#This Row],[Magnum Wolfpak '#]],Table2[Rox Wolf'#],0)))</f>
        <v>0</v>
      </c>
      <c r="T122" s="34">
        <f>rrcworking[[#This Row],[Closing Stock (Oil)]]+rrcworking[[#This Row],[Sales/Dispostion]]-rrcworking[[#This Row],[Opening Oil Stock]]</f>
        <v>0</v>
      </c>
      <c r="U122" s="108">
        <f>rrcworking[[#This Row],[Gauge Sheet Prod Volume (oil)]]-rrcworking[[#This Row],[Oil Production]]</f>
        <v>0</v>
      </c>
      <c r="V122" s="133">
        <f>IF(ISERROR(INDEX(Table2[GAS],MATCH(rrcworking[[#This Row],[Magnum Wolfpak '#]],Table2[Rox Wolf'#],0))),0,INDEX(Table2[GAS],MATCH(rrcworking[[#This Row],[Magnum Wolfpak '#]],Table2[Rox Wolf'#],0)))</f>
        <v>0</v>
      </c>
      <c r="W122" s="58"/>
      <c r="X122" s="58"/>
      <c r="Y122" s="133">
        <f>IF(ISERROR(INDEX(Table2[LEASE USE],MATCH(rrcworking[[#This Row],[Magnum Wolfpak '#]],Table2[Rox Wolf'#],0))),0,INDEX(Table2[LEASE USE],MATCH(rrcworking[[#This Row],[Magnum Wolfpak '#]],Table2[Rox Wolf'#],0)))</f>
        <v>0</v>
      </c>
      <c r="Z122" s="133"/>
      <c r="AA122" s="56">
        <f>rrcworking[[#This Row],[Gas Sales Statement Volume (MCF)]]+rrcworking[[#This Row],[Lease Use (MCF)]]+rrcworking[[#This Row],[Flared Gas]]</f>
        <v>0</v>
      </c>
      <c r="AB122" s="36"/>
      <c r="AC122" s="36"/>
      <c r="AD122" s="175">
        <f>COUNTIF(FilterList,rrcworking[[#This Row],[Magnum Wolfpak '#]])</f>
        <v>0</v>
      </c>
      <c r="AE122" s="172"/>
      <c r="AF122" s="173"/>
      <c r="AG122" s="36"/>
      <c r="AH122" s="36"/>
      <c r="AI122" s="36"/>
      <c r="AJ122" s="36"/>
      <c r="AK122" s="36"/>
      <c r="AL122" s="36"/>
      <c r="AM122" s="36"/>
      <c r="AN122" s="36"/>
      <c r="AO122" s="36"/>
      <c r="AP122" s="36"/>
    </row>
    <row r="123" spans="3:42" ht="14">
      <c r="C123" s="78">
        <v>99268</v>
      </c>
      <c r="D123" s="60" t="s">
        <v>325</v>
      </c>
      <c r="E123" s="125" t="s">
        <v>327</v>
      </c>
      <c r="F123" s="124">
        <v>1</v>
      </c>
      <c r="G123" s="115" t="s">
        <v>1090</v>
      </c>
      <c r="H123" s="18" t="s">
        <v>619</v>
      </c>
      <c r="I123" s="18" t="s">
        <v>59</v>
      </c>
      <c r="J123" s="19" t="s">
        <v>563</v>
      </c>
      <c r="K123" s="99">
        <v>250087</v>
      </c>
      <c r="L123" s="97">
        <f>INDEX(Table1[Production],MATCH(rrcworking[[#This Row],[RRC ID Number]],Table1[RRC Identifier],0))</f>
        <v>0</v>
      </c>
      <c r="M123" s="29">
        <f>INDEX(Table1[Formation Production],MATCH(rrcworking[[#This Row],[RRC ID Number]],Table1[RRC Identifier],0))</f>
        <v>6008</v>
      </c>
      <c r="N123" s="30">
        <f>INDEX(Table1[On Hand End of Month],MATCH(rrcworking[[#This Row],[RRC ID Number]],Table1[RRC Identifier],0))</f>
        <v>24</v>
      </c>
      <c r="O123" s="102" t="b">
        <f t="shared" si="3"/>
        <v>0</v>
      </c>
      <c r="Q123" s="122">
        <f>rrcworking[[#This Row],[Last Month Closing Stock]]</f>
        <v>24</v>
      </c>
      <c r="R123">
        <f>rrcworking[[#This Row],[Opening Oil Stock]]</f>
        <v>24</v>
      </c>
      <c r="S123" s="133">
        <f>IF(ISERROR(INDEX(Table2[OIL],MATCH(rrcworking[[#This Row],[Magnum Wolfpak '#]],Table2[Rox Wolf'#],0))),0,INDEX(Table2[OIL],MATCH(rrcworking[[#This Row],[Magnum Wolfpak '#]],Table2[Rox Wolf'#],0)))</f>
        <v>0</v>
      </c>
      <c r="T123" s="34">
        <f>rrcworking[[#This Row],[Closing Stock (Oil)]]+rrcworking[[#This Row],[Sales/Dispostion]]-rrcworking[[#This Row],[Opening Oil Stock]]</f>
        <v>0</v>
      </c>
      <c r="U123" s="108">
        <f>rrcworking[[#This Row],[Gauge Sheet Prod Volume (oil)]]-rrcworking[[#This Row],[Oil Production]]</f>
        <v>0</v>
      </c>
      <c r="V123" s="133">
        <f>IF(ISERROR(INDEX(Table2[GAS],MATCH(rrcworking[[#This Row],[Magnum Wolfpak '#]],Table2[Rox Wolf'#],0))),0,INDEX(Table2[GAS],MATCH(rrcworking[[#This Row],[Magnum Wolfpak '#]],Table2[Rox Wolf'#],0)))</f>
        <v>6624</v>
      </c>
      <c r="W123" s="58"/>
      <c r="X123" s="58"/>
      <c r="Y123" s="133">
        <f>IF(ISERROR(INDEX(Table2[LEASE USE],MATCH(rrcworking[[#This Row],[Magnum Wolfpak '#]],Table2[Rox Wolf'#],0))),0,INDEX(Table2[LEASE USE],MATCH(rrcworking[[#This Row],[Magnum Wolfpak '#]],Table2[Rox Wolf'#],0)))</f>
        <v>281</v>
      </c>
      <c r="Z123" s="133"/>
      <c r="AA123" s="56">
        <f>rrcworking[[#This Row],[Gas Sales Statement Volume (MCF)]]+rrcworking[[#This Row],[Lease Use (MCF)]]+rrcworking[[#This Row],[Flared Gas]]</f>
        <v>6905</v>
      </c>
      <c r="AB123" s="36" t="s">
        <v>1116</v>
      </c>
      <c r="AC123" s="36"/>
      <c r="AD123" s="175">
        <f>COUNTIF(FilterList,rrcworking[[#This Row],[Magnum Wolfpak '#]])</f>
        <v>0</v>
      </c>
      <c r="AE123" s="172"/>
      <c r="AF123" s="173"/>
      <c r="AG123" s="36"/>
      <c r="AH123" s="36"/>
      <c r="AI123" s="36">
        <v>1</v>
      </c>
      <c r="AJ123" s="36" t="s">
        <v>1165</v>
      </c>
      <c r="AK123" s="36" t="s">
        <v>1165</v>
      </c>
      <c r="AL123" s="36" t="s">
        <v>1208</v>
      </c>
      <c r="AM123" s="36" t="s">
        <v>1139</v>
      </c>
      <c r="AN123" s="36" t="s">
        <v>1209</v>
      </c>
      <c r="AO123" s="36" t="s">
        <v>1163</v>
      </c>
      <c r="AP123" s="36" t="s">
        <v>1210</v>
      </c>
    </row>
    <row r="124" spans="3:42" ht="98">
      <c r="C124" s="78">
        <v>99102</v>
      </c>
      <c r="D124" s="60" t="s">
        <v>101</v>
      </c>
      <c r="E124" s="125" t="s">
        <v>102</v>
      </c>
      <c r="F124" s="124">
        <v>1</v>
      </c>
      <c r="G124" s="115" t="s">
        <v>1090</v>
      </c>
      <c r="H124" s="18" t="s">
        <v>617</v>
      </c>
      <c r="I124" s="18" t="s">
        <v>59</v>
      </c>
      <c r="J124" s="19" t="s">
        <v>429</v>
      </c>
      <c r="K124" s="99">
        <v>245422</v>
      </c>
      <c r="L124" s="97">
        <f>INDEX(Table1[Production],MATCH(rrcworking[[#This Row],[RRC ID Number]],Table1[RRC Identifier],0))</f>
        <v>554</v>
      </c>
      <c r="M124" s="29">
        <f>INDEX(Table1[Formation Production],MATCH(rrcworking[[#This Row],[RRC ID Number]],Table1[RRC Identifier],0))</f>
        <v>42675</v>
      </c>
      <c r="N124" s="30">
        <f>INDEX(Table1[On Hand End of Month],MATCH(rrcworking[[#This Row],[RRC ID Number]],Table1[RRC Identifier],0))</f>
        <v>708</v>
      </c>
      <c r="O124" s="102" t="b">
        <f t="shared" si="3"/>
        <v>0</v>
      </c>
      <c r="P124">
        <v>435</v>
      </c>
      <c r="Q124" s="122">
        <f>rrcworking[[#This Row],[Last Month Closing Stock]]</f>
        <v>708</v>
      </c>
      <c r="R124">
        <v>202</v>
      </c>
      <c r="S124" s="133">
        <f>IF(ISERROR(INDEX(Table2[OIL],MATCH(rrcworking[[#This Row],[Magnum Wolfpak '#]],Table2[Rox Wolf'#],0))),0,INDEX(Table2[OIL],MATCH(rrcworking[[#This Row],[Magnum Wolfpak '#]],Table2[Rox Wolf'#],0)))</f>
        <v>943</v>
      </c>
      <c r="T124" s="34">
        <f>rrcworking[[#This Row],[Closing Stock (Oil)]]+rrcworking[[#This Row],[Sales/Dispostion]]-rrcworking[[#This Row],[Opening Oil Stock]]</f>
        <v>437</v>
      </c>
      <c r="U124" s="108">
        <f>rrcworking[[#This Row],[Gauge Sheet Prod Volume (oil)]]-rrcworking[[#This Row],[Oil Production]]</f>
        <v>-2</v>
      </c>
      <c r="V124" s="133">
        <f>IF(ISERROR(INDEX(Table2[GAS],MATCH(rrcworking[[#This Row],[Magnum Wolfpak '#]],Table2[Rox Wolf'#],0))),0,INDEX(Table2[GAS],MATCH(rrcworking[[#This Row],[Magnum Wolfpak '#]],Table2[Rox Wolf'#],0)))</f>
        <v>38495</v>
      </c>
      <c r="W124" s="58"/>
      <c r="X124" s="58"/>
      <c r="Y124" s="133">
        <f>IF(ISERROR(INDEX(Table2[LEASE USE],MATCH(rrcworking[[#This Row],[Magnum Wolfpak '#]],Table2[Rox Wolf'#],0))),0,INDEX(Table2[LEASE USE],MATCH(rrcworking[[#This Row],[Magnum Wolfpak '#]],Table2[Rox Wolf'#],0)))</f>
        <v>0</v>
      </c>
      <c r="Z124" s="133"/>
      <c r="AA124" s="56">
        <f>rrcworking[[#This Row],[Gas Sales Statement Volume (MCF)]]+rrcworking[[#This Row],[Lease Use (MCF)]]+rrcworking[[#This Row],[Flared Gas]]</f>
        <v>38495</v>
      </c>
      <c r="AB124" s="83"/>
      <c r="AC124" s="83" t="s">
        <v>1288</v>
      </c>
      <c r="AD124" s="175">
        <f>COUNTIF(FilterList,rrcworking[[#This Row],[Magnum Wolfpak '#]])</f>
        <v>0</v>
      </c>
      <c r="AE124" s="172"/>
      <c r="AF124" s="173"/>
      <c r="AG124" s="36"/>
      <c r="AH124" s="173"/>
      <c r="AI124" s="36">
        <v>2</v>
      </c>
      <c r="AJ124" s="36" t="s">
        <v>1139</v>
      </c>
      <c r="AK124" s="36" t="s">
        <v>1165</v>
      </c>
      <c r="AL124" s="36" t="s">
        <v>1211</v>
      </c>
      <c r="AM124" s="36" t="s">
        <v>1165</v>
      </c>
      <c r="AN124" s="36" t="s">
        <v>1175</v>
      </c>
      <c r="AO124" s="36" t="s">
        <v>1212</v>
      </c>
      <c r="AP124" s="36"/>
    </row>
    <row r="125" spans="3:42" ht="14">
      <c r="C125" s="78" t="e">
        <v>#N/A</v>
      </c>
      <c r="D125" s="60" t="s">
        <v>131</v>
      </c>
      <c r="E125" s="125" t="s">
        <v>132</v>
      </c>
      <c r="F125" s="124">
        <v>1</v>
      </c>
      <c r="G125" s="115" t="s">
        <v>1090</v>
      </c>
      <c r="H125" s="18" t="s">
        <v>617</v>
      </c>
      <c r="I125" s="18" t="s">
        <v>59</v>
      </c>
      <c r="J125" s="19" t="s">
        <v>448</v>
      </c>
      <c r="K125" s="99">
        <v>264004</v>
      </c>
      <c r="L125" s="97">
        <f>INDEX(Table1[Production],MATCH(rrcworking[[#This Row],[RRC ID Number]],Table1[RRC Identifier],0))</f>
        <v>0</v>
      </c>
      <c r="M125" s="29">
        <f>INDEX(Table1[Formation Production],MATCH(rrcworking[[#This Row],[RRC ID Number]],Table1[RRC Identifier],0))</f>
        <v>0</v>
      </c>
      <c r="N125" s="30">
        <f>INDEX(Table1[On Hand End of Month],MATCH(rrcworking[[#This Row],[RRC ID Number]],Table1[RRC Identifier],0))</f>
        <v>0</v>
      </c>
      <c r="O125" s="102" t="b">
        <f t="shared" si="3"/>
        <v>1</v>
      </c>
      <c r="Q125" s="122">
        <f>rrcworking[[#This Row],[Last Month Closing Stock]]</f>
        <v>0</v>
      </c>
      <c r="R125">
        <f>rrcworking[[#This Row],[Opening Oil Stock]]</f>
        <v>0</v>
      </c>
      <c r="S125" s="133">
        <f>IF(ISERROR(INDEX(Table2[OIL],MATCH(rrcworking[[#This Row],[Magnum Wolfpak '#]],Table2[Rox Wolf'#],0))),0,INDEX(Table2[OIL],MATCH(rrcworking[[#This Row],[Magnum Wolfpak '#]],Table2[Rox Wolf'#],0)))</f>
        <v>0</v>
      </c>
      <c r="T125" s="34">
        <f>rrcworking[[#This Row],[Closing Stock (Oil)]]+rrcworking[[#This Row],[Sales/Dispostion]]-rrcworking[[#This Row],[Opening Oil Stock]]</f>
        <v>0</v>
      </c>
      <c r="U125" s="108">
        <f>rrcworking[[#This Row],[Gauge Sheet Prod Volume (oil)]]-rrcworking[[#This Row],[Oil Production]]</f>
        <v>0</v>
      </c>
      <c r="V125" s="133">
        <f>IF(ISERROR(INDEX(Table2[GAS],MATCH(rrcworking[[#This Row],[Magnum Wolfpak '#]],Table2[Rox Wolf'#],0))),0,INDEX(Table2[GAS],MATCH(rrcworking[[#This Row],[Magnum Wolfpak '#]],Table2[Rox Wolf'#],0)))</f>
        <v>0</v>
      </c>
      <c r="W125" s="58"/>
      <c r="X125" s="58"/>
      <c r="Y125" s="133">
        <f>IF(ISERROR(INDEX(Table2[LEASE USE],MATCH(rrcworking[[#This Row],[Magnum Wolfpak '#]],Table2[Rox Wolf'#],0))),0,INDEX(Table2[LEASE USE],MATCH(rrcworking[[#This Row],[Magnum Wolfpak '#]],Table2[Rox Wolf'#],0)))</f>
        <v>0</v>
      </c>
      <c r="Z125" s="133"/>
      <c r="AA125" s="56">
        <f>rrcworking[[#This Row],[Gas Sales Statement Volume (MCF)]]+rrcworking[[#This Row],[Lease Use (MCF)]]+rrcworking[[#This Row],[Flared Gas]]</f>
        <v>0</v>
      </c>
      <c r="AB125" s="36"/>
      <c r="AC125" s="36"/>
      <c r="AD125" s="175">
        <f>COUNTIF(FilterList,rrcworking[[#This Row],[Magnum Wolfpak '#]])</f>
        <v>0</v>
      </c>
      <c r="AE125" s="172"/>
      <c r="AF125" s="173"/>
      <c r="AG125" s="36"/>
      <c r="AH125" s="36"/>
      <c r="AI125" s="36"/>
      <c r="AJ125" s="36"/>
      <c r="AK125" s="36"/>
      <c r="AL125" s="36"/>
      <c r="AM125" s="36"/>
      <c r="AN125" s="36"/>
      <c r="AO125" s="36"/>
      <c r="AP125" s="36"/>
    </row>
    <row r="126" spans="3:42" ht="14">
      <c r="C126" s="78" t="e">
        <v>#N/A</v>
      </c>
      <c r="D126" s="60" t="s">
        <v>241</v>
      </c>
      <c r="E126" s="125" t="s">
        <v>242</v>
      </c>
      <c r="F126" s="124">
        <v>2</v>
      </c>
      <c r="G126" s="115" t="s">
        <v>1090</v>
      </c>
      <c r="H126" s="18" t="s">
        <v>618</v>
      </c>
      <c r="I126" s="18" t="s">
        <v>59</v>
      </c>
      <c r="J126" s="19" t="s">
        <v>509</v>
      </c>
      <c r="K126" s="99">
        <v>235116</v>
      </c>
      <c r="L126" s="97">
        <f>INDEX(Table1[Production],MATCH(rrcworking[[#This Row],[RRC ID Number]],Table1[RRC Identifier],0))</f>
        <v>0</v>
      </c>
      <c r="M126" s="29">
        <f>INDEX(Table1[Formation Production],MATCH(rrcworking[[#This Row],[RRC ID Number]],Table1[RRC Identifier],0))</f>
        <v>0</v>
      </c>
      <c r="N126" s="30">
        <f>INDEX(Table1[On Hand End of Month],MATCH(rrcworking[[#This Row],[RRC ID Number]],Table1[RRC Identifier],0))</f>
        <v>0</v>
      </c>
      <c r="O126" s="102" t="b">
        <f t="shared" si="3"/>
        <v>1</v>
      </c>
      <c r="Q126" s="122">
        <f>rrcworking[[#This Row],[Last Month Closing Stock]]</f>
        <v>0</v>
      </c>
      <c r="R126">
        <f>rrcworking[[#This Row],[Opening Oil Stock]]</f>
        <v>0</v>
      </c>
      <c r="S126" s="133">
        <f>IF(ISERROR(INDEX(Table2[OIL],MATCH(rrcworking[[#This Row],[Magnum Wolfpak '#]],Table2[Rox Wolf'#],0))),0,INDEX(Table2[OIL],MATCH(rrcworking[[#This Row],[Magnum Wolfpak '#]],Table2[Rox Wolf'#],0)))</f>
        <v>0</v>
      </c>
      <c r="T126" s="34">
        <f>rrcworking[[#This Row],[Closing Stock (Oil)]]+rrcworking[[#This Row],[Sales/Dispostion]]-rrcworking[[#This Row],[Opening Oil Stock]]</f>
        <v>0</v>
      </c>
      <c r="U126" s="108">
        <f>rrcworking[[#This Row],[Gauge Sheet Prod Volume (oil)]]-rrcworking[[#This Row],[Oil Production]]</f>
        <v>0</v>
      </c>
      <c r="V126" s="133">
        <f>IF(ISERROR(INDEX(Table2[GAS],MATCH(rrcworking[[#This Row],[Magnum Wolfpak '#]],Table2[Rox Wolf'#],0))),0,INDEX(Table2[GAS],MATCH(rrcworking[[#This Row],[Magnum Wolfpak '#]],Table2[Rox Wolf'#],0)))</f>
        <v>0</v>
      </c>
      <c r="W126" s="58"/>
      <c r="X126" s="58"/>
      <c r="Y126" s="133">
        <f>IF(ISERROR(INDEX(Table2[LEASE USE],MATCH(rrcworking[[#This Row],[Magnum Wolfpak '#]],Table2[Rox Wolf'#],0))),0,INDEX(Table2[LEASE USE],MATCH(rrcworking[[#This Row],[Magnum Wolfpak '#]],Table2[Rox Wolf'#],0)))</f>
        <v>0</v>
      </c>
      <c r="Z126" s="133"/>
      <c r="AA126" s="56">
        <f>rrcworking[[#This Row],[Gas Sales Statement Volume (MCF)]]+rrcworking[[#This Row],[Lease Use (MCF)]]+rrcworking[[#This Row],[Flared Gas]]</f>
        <v>0</v>
      </c>
      <c r="AB126" s="36"/>
      <c r="AC126" s="36"/>
      <c r="AD126" s="175">
        <f>COUNTIF(FilterList,rrcworking[[#This Row],[Magnum Wolfpak '#]])</f>
        <v>0</v>
      </c>
      <c r="AE126" s="172"/>
      <c r="AF126" s="173"/>
      <c r="AG126" s="36"/>
      <c r="AH126" s="36"/>
      <c r="AI126" s="36"/>
      <c r="AJ126" s="36"/>
      <c r="AK126" s="36"/>
      <c r="AL126" s="36"/>
      <c r="AM126" s="36"/>
      <c r="AN126" s="36"/>
      <c r="AO126" s="36"/>
      <c r="AP126" s="36"/>
    </row>
    <row r="127" spans="3:42" ht="112">
      <c r="C127" s="78">
        <v>98801</v>
      </c>
      <c r="D127" s="60" t="s">
        <v>243</v>
      </c>
      <c r="E127" s="125" t="s">
        <v>244</v>
      </c>
      <c r="F127" s="124">
        <v>1</v>
      </c>
      <c r="G127" s="115" t="s">
        <v>1090</v>
      </c>
      <c r="H127" s="18" t="s">
        <v>618</v>
      </c>
      <c r="I127" s="18" t="s">
        <v>59</v>
      </c>
      <c r="J127" s="19" t="s">
        <v>510</v>
      </c>
      <c r="K127" s="99">
        <v>164970</v>
      </c>
      <c r="L127" s="97">
        <f>INDEX(Table1[Production],MATCH(rrcworking[[#This Row],[RRC ID Number]],Table1[RRC Identifier],0))</f>
        <v>78</v>
      </c>
      <c r="M127" s="29">
        <f>INDEX(Table1[Formation Production],MATCH(rrcworking[[#This Row],[RRC ID Number]],Table1[RRC Identifier],0))</f>
        <v>5557</v>
      </c>
      <c r="N127" s="30">
        <f>INDEX(Table1[On Hand End of Month],MATCH(rrcworking[[#This Row],[RRC ID Number]],Table1[RRC Identifier],0))</f>
        <v>205</v>
      </c>
      <c r="O127" s="102" t="b">
        <f t="shared" si="3"/>
        <v>0</v>
      </c>
      <c r="P127">
        <v>256</v>
      </c>
      <c r="Q127" s="122">
        <f>rrcworking[[#This Row],[Last Month Closing Stock]]</f>
        <v>205</v>
      </c>
      <c r="R127">
        <v>269</v>
      </c>
      <c r="S127" s="133">
        <f>IF(ISERROR(INDEX(Table2[OIL],MATCH(rrcworking[[#This Row],[Magnum Wolfpak '#]],Table2[Rox Wolf'#],0))),0,INDEX(Table2[OIL],MATCH(rrcworking[[#This Row],[Magnum Wolfpak '#]],Table2[Rox Wolf'#],0)))</f>
        <v>185</v>
      </c>
      <c r="T127" s="34">
        <f>rrcworking[[#This Row],[Closing Stock (Oil)]]+rrcworking[[#This Row],[Sales/Dispostion]]-rrcworking[[#This Row],[Opening Oil Stock]]</f>
        <v>249</v>
      </c>
      <c r="U127" s="108">
        <f>rrcworking[[#This Row],[Gauge Sheet Prod Volume (oil)]]-rrcworking[[#This Row],[Oil Production]]</f>
        <v>7</v>
      </c>
      <c r="V127" s="133">
        <f>IF(ISERROR(INDEX(Table2[GAS],MATCH(rrcworking[[#This Row],[Magnum Wolfpak '#]],Table2[Rox Wolf'#],0))),0,INDEX(Table2[GAS],MATCH(rrcworking[[#This Row],[Magnum Wolfpak '#]],Table2[Rox Wolf'#],0)))</f>
        <v>4408</v>
      </c>
      <c r="W127" s="82"/>
      <c r="X127" s="58">
        <v>7</v>
      </c>
      <c r="Y127" s="133">
        <f>IF(ISERROR(INDEX(Table2[LEASE USE],MATCH(rrcworking[[#This Row],[Magnum Wolfpak '#]],Table2[Rox Wolf'#],0))),0,INDEX(Table2[LEASE USE],MATCH(rrcworking[[#This Row],[Magnum Wolfpak '#]],Table2[Rox Wolf'#],0)))</f>
        <v>189</v>
      </c>
      <c r="Z127" s="133"/>
      <c r="AA127" s="56">
        <f>rrcworking[[#This Row],[Gas Sales Statement Volume (MCF)]]+rrcworking[[#This Row],[Lease Use (MCF)]]+rrcworking[[#This Row],[Flared Gas]]</f>
        <v>4597</v>
      </c>
      <c r="AB127" s="36"/>
      <c r="AC127" s="36" t="s">
        <v>1269</v>
      </c>
      <c r="AD127" s="175">
        <f>COUNTIF(FilterList,rrcworking[[#This Row],[Magnum Wolfpak '#]])</f>
        <v>0</v>
      </c>
      <c r="AE127" s="172"/>
      <c r="AF127" s="173"/>
      <c r="AG127" s="36"/>
      <c r="AH127" s="173"/>
      <c r="AI127" s="36">
        <v>1</v>
      </c>
      <c r="AJ127" s="36" t="s">
        <v>1165</v>
      </c>
      <c r="AK127" s="36" t="s">
        <v>1165</v>
      </c>
      <c r="AL127" s="36" t="s">
        <v>1263</v>
      </c>
      <c r="AM127" s="36" t="s">
        <v>1139</v>
      </c>
      <c r="AN127" s="36" t="s">
        <v>1264</v>
      </c>
      <c r="AO127" s="36" t="s">
        <v>1213</v>
      </c>
      <c r="AP127" s="36" t="s">
        <v>1265</v>
      </c>
    </row>
    <row r="128" spans="3:42" ht="98">
      <c r="C128" s="78">
        <v>99259</v>
      </c>
      <c r="D128" s="60" t="s">
        <v>370</v>
      </c>
      <c r="E128" s="125" t="s">
        <v>371</v>
      </c>
      <c r="F128" s="124">
        <v>0</v>
      </c>
      <c r="G128" s="115" t="s">
        <v>1090</v>
      </c>
      <c r="H128" s="18" t="s">
        <v>619</v>
      </c>
      <c r="I128" s="18" t="s">
        <v>2</v>
      </c>
      <c r="J128" s="19" t="s">
        <v>588</v>
      </c>
      <c r="K128" s="99">
        <v>14061</v>
      </c>
      <c r="L128" s="97">
        <f>INDEX(Table1[Production],MATCH(rrcworking[[#This Row],[RRC ID Number]],Table1[RRC Identifier],0))</f>
        <v>0</v>
      </c>
      <c r="M128" s="29">
        <f>INDEX(Table1[Formation Production],MATCH(rrcworking[[#This Row],[RRC ID Number]],Table1[RRC Identifier],0))</f>
        <v>0</v>
      </c>
      <c r="N128" s="30">
        <f>INDEX(Table1[On Hand End of Month],MATCH(rrcworking[[#This Row],[RRC ID Number]],Table1[RRC Identifier],0))</f>
        <v>117</v>
      </c>
      <c r="O128" s="102" t="b">
        <f t="shared" si="3"/>
        <v>1</v>
      </c>
      <c r="P128">
        <v>0</v>
      </c>
      <c r="Q128" s="122">
        <f>rrcworking[[#This Row],[Last Month Closing Stock]]</f>
        <v>117</v>
      </c>
      <c r="R128">
        <v>117</v>
      </c>
      <c r="S128" s="133">
        <f>IF(ISERROR(INDEX(Table2[OIL],MATCH(rrcworking[[#This Row],[Magnum Wolfpak '#]],Table2[Rox Wolf'#],0))),0,INDEX(Table2[OIL],MATCH(rrcworking[[#This Row],[Magnum Wolfpak '#]],Table2[Rox Wolf'#],0)))</f>
        <v>0</v>
      </c>
      <c r="T128" s="34">
        <f>rrcworking[[#This Row],[Closing Stock (Oil)]]+rrcworking[[#This Row],[Sales/Dispostion]]-rrcworking[[#This Row],[Opening Oil Stock]]</f>
        <v>0</v>
      </c>
      <c r="U128" s="108">
        <f>rrcworking[[#This Row],[Gauge Sheet Prod Volume (oil)]]-rrcworking[[#This Row],[Oil Production]]</f>
        <v>0</v>
      </c>
      <c r="V128" s="133">
        <f>IF(ISERROR(INDEX(Table2[GAS],MATCH(rrcworking[[#This Row],[Magnum Wolfpak '#]],Table2[Rox Wolf'#],0))),0,INDEX(Table2[GAS],MATCH(rrcworking[[#This Row],[Magnum Wolfpak '#]],Table2[Rox Wolf'#],0)))</f>
        <v>0</v>
      </c>
      <c r="W128" s="58"/>
      <c r="X128" s="58"/>
      <c r="Y128" s="133">
        <f>IF(ISERROR(INDEX(Table2[LEASE USE],MATCH(rrcworking[[#This Row],[Magnum Wolfpak '#]],Table2[Rox Wolf'#],0))),0,INDEX(Table2[LEASE USE],MATCH(rrcworking[[#This Row],[Magnum Wolfpak '#]],Table2[Rox Wolf'#],0)))</f>
        <v>0</v>
      </c>
      <c r="Z128" s="133"/>
      <c r="AA128" s="56">
        <f>rrcworking[[#This Row],[Gas Sales Statement Volume (MCF)]]+rrcworking[[#This Row],[Lease Use (MCF)]]+rrcworking[[#This Row],[Flared Gas]]</f>
        <v>0</v>
      </c>
      <c r="AB128" s="36"/>
      <c r="AC128" s="36" t="s">
        <v>1306</v>
      </c>
      <c r="AD128" s="175">
        <f>COUNTIF(FilterList,rrcworking[[#This Row],[Magnum Wolfpak '#]])</f>
        <v>0</v>
      </c>
      <c r="AE128" s="172"/>
      <c r="AF128" s="173"/>
      <c r="AG128" s="36"/>
      <c r="AH128" s="173"/>
      <c r="AI128" s="174">
        <v>2</v>
      </c>
      <c r="AJ128" s="174" t="s">
        <v>1139</v>
      </c>
      <c r="AK128" s="174" t="s">
        <v>1139</v>
      </c>
      <c r="AL128" s="174" t="s">
        <v>1200</v>
      </c>
      <c r="AM128" s="174" t="s">
        <v>1139</v>
      </c>
      <c r="AN128" s="174" t="s">
        <v>1170</v>
      </c>
      <c r="AO128" s="36" t="s">
        <v>1163</v>
      </c>
      <c r="AP128" s="36" t="s">
        <v>1307</v>
      </c>
    </row>
    <row r="129" spans="3:42" ht="42">
      <c r="C129" s="78">
        <v>95801</v>
      </c>
      <c r="D129" s="60" t="s">
        <v>334</v>
      </c>
      <c r="E129" s="125" t="s">
        <v>335</v>
      </c>
      <c r="F129" s="124">
        <v>0</v>
      </c>
      <c r="G129" s="115" t="s">
        <v>1090</v>
      </c>
      <c r="H129" s="18" t="s">
        <v>619</v>
      </c>
      <c r="I129" s="18" t="s">
        <v>2</v>
      </c>
      <c r="J129" s="19" t="s">
        <v>568</v>
      </c>
      <c r="K129" s="99">
        <v>10325</v>
      </c>
      <c r="L129" s="97">
        <f>INDEX(Table1[Production],MATCH(rrcworking[[#This Row],[RRC ID Number]],Table1[RRC Identifier],0))</f>
        <v>0</v>
      </c>
      <c r="M129" s="29">
        <f>INDEX(Table1[Formation Production],MATCH(rrcworking[[#This Row],[RRC ID Number]],Table1[RRC Identifier],0))</f>
        <v>0</v>
      </c>
      <c r="N129" s="30">
        <f>INDEX(Table1[On Hand End of Month],MATCH(rrcworking[[#This Row],[RRC ID Number]],Table1[RRC Identifier],0))</f>
        <v>65</v>
      </c>
      <c r="O129" s="102" t="b">
        <f t="shared" si="3"/>
        <v>1</v>
      </c>
      <c r="P129">
        <v>0</v>
      </c>
      <c r="Q129" s="122">
        <f>rrcworking[[#This Row],[Last Month Closing Stock]]</f>
        <v>65</v>
      </c>
      <c r="R129">
        <v>65</v>
      </c>
      <c r="S129" s="133">
        <f>IF(ISERROR(INDEX(Table2[OIL],MATCH(rrcworking[[#This Row],[Magnum Wolfpak '#]],Table2[Rox Wolf'#],0))),0,INDEX(Table2[OIL],MATCH(rrcworking[[#This Row],[Magnum Wolfpak '#]],Table2[Rox Wolf'#],0)))</f>
        <v>0</v>
      </c>
      <c r="T129" s="34">
        <f>rrcworking[[#This Row],[Closing Stock (Oil)]]+rrcworking[[#This Row],[Sales/Dispostion]]-rrcworking[[#This Row],[Opening Oil Stock]]</f>
        <v>0</v>
      </c>
      <c r="U129" s="108">
        <f>rrcworking[[#This Row],[Gauge Sheet Prod Volume (oil)]]-rrcworking[[#This Row],[Oil Production]]</f>
        <v>0</v>
      </c>
      <c r="V129" s="133">
        <f>IF(ISERROR(INDEX(Table2[GAS],MATCH(rrcworking[[#This Row],[Magnum Wolfpak '#]],Table2[Rox Wolf'#],0))),0,INDEX(Table2[GAS],MATCH(rrcworking[[#This Row],[Magnum Wolfpak '#]],Table2[Rox Wolf'#],0)))</f>
        <v>0</v>
      </c>
      <c r="W129" s="58"/>
      <c r="X129" s="58"/>
      <c r="Y129" s="133">
        <f>IF(ISERROR(INDEX(Table2[LEASE USE],MATCH(rrcworking[[#This Row],[Magnum Wolfpak '#]],Table2[Rox Wolf'#],0))),0,INDEX(Table2[LEASE USE],MATCH(rrcworking[[#This Row],[Magnum Wolfpak '#]],Table2[Rox Wolf'#],0)))</f>
        <v>0</v>
      </c>
      <c r="Z129" s="133"/>
      <c r="AA129" s="56">
        <f>rrcworking[[#This Row],[Gas Sales Statement Volume (MCF)]]+rrcworking[[#This Row],[Lease Use (MCF)]]+rrcworking[[#This Row],[Flared Gas]]</f>
        <v>0</v>
      </c>
      <c r="AB129" s="36"/>
      <c r="AC129" s="36"/>
      <c r="AD129" s="175">
        <f>COUNTIF(FilterList,rrcworking[[#This Row],[Magnum Wolfpak '#]])</f>
        <v>0</v>
      </c>
      <c r="AE129" s="172"/>
      <c r="AF129" s="173"/>
      <c r="AG129" s="36"/>
      <c r="AH129" s="173"/>
      <c r="AI129" s="36">
        <v>2</v>
      </c>
      <c r="AJ129" s="36" t="s">
        <v>1165</v>
      </c>
      <c r="AK129" s="36" t="s">
        <v>1165</v>
      </c>
      <c r="AL129" s="36" t="s">
        <v>1195</v>
      </c>
      <c r="AM129" s="36" t="s">
        <v>1165</v>
      </c>
      <c r="AN129" s="36" t="s">
        <v>1170</v>
      </c>
      <c r="AO129" s="36" t="s">
        <v>1235</v>
      </c>
      <c r="AP129" s="36"/>
    </row>
    <row r="130" spans="3:42" ht="14">
      <c r="C130" s="78" t="e">
        <v>#N/A</v>
      </c>
      <c r="D130" s="60" t="s">
        <v>117</v>
      </c>
      <c r="E130" s="125" t="s">
        <v>118</v>
      </c>
      <c r="F130" s="124">
        <v>0</v>
      </c>
      <c r="G130" s="115" t="s">
        <v>1090</v>
      </c>
      <c r="H130" s="18" t="s">
        <v>617</v>
      </c>
      <c r="I130" s="18" t="s">
        <v>2</v>
      </c>
      <c r="J130" s="19" t="s">
        <v>439</v>
      </c>
      <c r="K130" s="99">
        <v>5086</v>
      </c>
      <c r="L130" s="97">
        <f>INDEX(Table1[Production],MATCH(rrcworking[[#This Row],[RRC ID Number]],Table1[RRC Identifier],0))</f>
        <v>0</v>
      </c>
      <c r="M130" s="29">
        <f>INDEX(Table1[Formation Production],MATCH(rrcworking[[#This Row],[RRC ID Number]],Table1[RRC Identifier],0))</f>
        <v>0</v>
      </c>
      <c r="N130" s="30">
        <f>INDEX(Table1[On Hand End of Month],MATCH(rrcworking[[#This Row],[RRC ID Number]],Table1[RRC Identifier],0))</f>
        <v>0</v>
      </c>
      <c r="O130" s="102" t="b">
        <f t="shared" si="3"/>
        <v>1</v>
      </c>
      <c r="Q130" s="122">
        <f>rrcworking[[#This Row],[Last Month Closing Stock]]</f>
        <v>0</v>
      </c>
      <c r="R130">
        <f>rrcworking[[#This Row],[Opening Oil Stock]]</f>
        <v>0</v>
      </c>
      <c r="S130" s="133">
        <f>IF(ISERROR(INDEX(Table2[OIL],MATCH(rrcworking[[#This Row],[Magnum Wolfpak '#]],Table2[Rox Wolf'#],0))),0,INDEX(Table2[OIL],MATCH(rrcworking[[#This Row],[Magnum Wolfpak '#]],Table2[Rox Wolf'#],0)))</f>
        <v>0</v>
      </c>
      <c r="T130" s="34">
        <f>rrcworking[[#This Row],[Closing Stock (Oil)]]+rrcworking[[#This Row],[Sales/Dispostion]]-rrcworking[[#This Row],[Opening Oil Stock]]</f>
        <v>0</v>
      </c>
      <c r="U130" s="108">
        <f>rrcworking[[#This Row],[Gauge Sheet Prod Volume (oil)]]-rrcworking[[#This Row],[Oil Production]]</f>
        <v>0</v>
      </c>
      <c r="V130" s="133">
        <f>IF(ISERROR(INDEX(Table2[GAS],MATCH(rrcworking[[#This Row],[Magnum Wolfpak '#]],Table2[Rox Wolf'#],0))),0,INDEX(Table2[GAS],MATCH(rrcworking[[#This Row],[Magnum Wolfpak '#]],Table2[Rox Wolf'#],0)))</f>
        <v>0</v>
      </c>
      <c r="W130" s="58"/>
      <c r="X130" s="58"/>
      <c r="Y130" s="133">
        <f>IF(ISERROR(INDEX(Table2[LEASE USE],MATCH(rrcworking[[#This Row],[Magnum Wolfpak '#]],Table2[Rox Wolf'#],0))),0,INDEX(Table2[LEASE USE],MATCH(rrcworking[[#This Row],[Magnum Wolfpak '#]],Table2[Rox Wolf'#],0)))</f>
        <v>0</v>
      </c>
      <c r="Z130" s="133"/>
      <c r="AA130" s="56">
        <f>rrcworking[[#This Row],[Gas Sales Statement Volume (MCF)]]+rrcworking[[#This Row],[Lease Use (MCF)]]+rrcworking[[#This Row],[Flared Gas]]</f>
        <v>0</v>
      </c>
      <c r="AB130" s="36"/>
      <c r="AC130" s="36"/>
      <c r="AD130" s="175">
        <f>COUNTIF(FilterList,rrcworking[[#This Row],[Magnum Wolfpak '#]])</f>
        <v>0</v>
      </c>
      <c r="AE130" s="172"/>
      <c r="AF130" s="173"/>
      <c r="AG130" s="36"/>
      <c r="AH130" s="36"/>
      <c r="AI130" s="36"/>
      <c r="AJ130" s="36"/>
      <c r="AK130" s="36"/>
      <c r="AL130" s="36"/>
      <c r="AM130" s="36"/>
      <c r="AN130" s="36"/>
      <c r="AO130" s="36"/>
      <c r="AP130" s="36"/>
    </row>
    <row r="131" spans="3:42" ht="14">
      <c r="C131" s="78" t="e">
        <v>#N/A</v>
      </c>
      <c r="D131" s="60" t="s">
        <v>311</v>
      </c>
      <c r="E131" s="125" t="s">
        <v>312</v>
      </c>
      <c r="F131" s="124">
        <v>1</v>
      </c>
      <c r="G131" s="115" t="s">
        <v>1090</v>
      </c>
      <c r="H131" s="18" t="s">
        <v>619</v>
      </c>
      <c r="I131" s="18" t="s">
        <v>59</v>
      </c>
      <c r="J131" s="19" t="s">
        <v>554</v>
      </c>
      <c r="K131" s="99">
        <v>115364</v>
      </c>
      <c r="L131" s="97">
        <f>INDEX(Table1[Production],MATCH(rrcworking[[#This Row],[RRC ID Number]],Table1[RRC Identifier],0))</f>
        <v>0</v>
      </c>
      <c r="M131" s="29">
        <f>INDEX(Table1[Formation Production],MATCH(rrcworking[[#This Row],[RRC ID Number]],Table1[RRC Identifier],0))</f>
        <v>0</v>
      </c>
      <c r="N131" s="30">
        <f>INDEX(Table1[On Hand End of Month],MATCH(rrcworking[[#This Row],[RRC ID Number]],Table1[RRC Identifier],0))</f>
        <v>0</v>
      </c>
      <c r="O131" s="102" t="b">
        <f t="shared" si="3"/>
        <v>1</v>
      </c>
      <c r="Q131" s="122">
        <f>rrcworking[[#This Row],[Last Month Closing Stock]]</f>
        <v>0</v>
      </c>
      <c r="R131">
        <f>rrcworking[[#This Row],[Opening Oil Stock]]</f>
        <v>0</v>
      </c>
      <c r="S131" s="133">
        <f>IF(ISERROR(INDEX(Table2[OIL],MATCH(rrcworking[[#This Row],[Magnum Wolfpak '#]],Table2[Rox Wolf'#],0))),0,INDEX(Table2[OIL],MATCH(rrcworking[[#This Row],[Magnum Wolfpak '#]],Table2[Rox Wolf'#],0)))</f>
        <v>0</v>
      </c>
      <c r="T131" s="34">
        <f>rrcworking[[#This Row],[Closing Stock (Oil)]]+rrcworking[[#This Row],[Sales/Dispostion]]-rrcworking[[#This Row],[Opening Oil Stock]]</f>
        <v>0</v>
      </c>
      <c r="U131" s="108">
        <f>rrcworking[[#This Row],[Gauge Sheet Prod Volume (oil)]]-rrcworking[[#This Row],[Oil Production]]</f>
        <v>0</v>
      </c>
      <c r="V131" s="133">
        <f>IF(ISERROR(INDEX(Table2[GAS],MATCH(rrcworking[[#This Row],[Magnum Wolfpak '#]],Table2[Rox Wolf'#],0))),0,INDEX(Table2[GAS],MATCH(rrcworking[[#This Row],[Magnum Wolfpak '#]],Table2[Rox Wolf'#],0)))</f>
        <v>0</v>
      </c>
      <c r="W131" s="58"/>
      <c r="X131" s="58"/>
      <c r="Y131" s="133">
        <f>IF(ISERROR(INDEX(Table2[LEASE USE],MATCH(rrcworking[[#This Row],[Magnum Wolfpak '#]],Table2[Rox Wolf'#],0))),0,INDEX(Table2[LEASE USE],MATCH(rrcworking[[#This Row],[Magnum Wolfpak '#]],Table2[Rox Wolf'#],0)))</f>
        <v>0</v>
      </c>
      <c r="Z131" s="133"/>
      <c r="AA131" s="56">
        <f>rrcworking[[#This Row],[Gas Sales Statement Volume (MCF)]]+rrcworking[[#This Row],[Lease Use (MCF)]]+rrcworking[[#This Row],[Flared Gas]]</f>
        <v>0</v>
      </c>
      <c r="AB131" s="93"/>
      <c r="AC131" s="93"/>
      <c r="AD131" s="175">
        <f>COUNTIF(FilterList,rrcworking[[#This Row],[Magnum Wolfpak '#]])</f>
        <v>0</v>
      </c>
      <c r="AE131" s="172"/>
      <c r="AF131" s="173"/>
      <c r="AG131" s="36"/>
      <c r="AH131" s="36"/>
      <c r="AI131" s="36"/>
      <c r="AJ131" s="36"/>
      <c r="AK131" s="36"/>
      <c r="AL131" s="36"/>
      <c r="AM131" s="36"/>
      <c r="AN131" s="36"/>
      <c r="AO131" s="36"/>
      <c r="AP131" s="36"/>
    </row>
    <row r="132" spans="3:42" ht="56">
      <c r="C132" s="78">
        <v>98961</v>
      </c>
      <c r="D132" s="60" t="s">
        <v>294</v>
      </c>
      <c r="E132" s="125" t="s">
        <v>295</v>
      </c>
      <c r="F132" s="124">
        <v>0</v>
      </c>
      <c r="G132" s="115" t="s">
        <v>1090</v>
      </c>
      <c r="H132" s="18" t="s">
        <v>618</v>
      </c>
      <c r="I132" s="18" t="s">
        <v>2</v>
      </c>
      <c r="J132" s="19" t="s">
        <v>544</v>
      </c>
      <c r="K132" s="99">
        <v>24644</v>
      </c>
      <c r="L132" s="97">
        <f>INDEX(Table1[Production],MATCH(rrcworking[[#This Row],[RRC ID Number]],Table1[RRC Identifier],0))</f>
        <v>339</v>
      </c>
      <c r="M132" s="29">
        <f>INDEX(Table1[Formation Production],MATCH(rrcworking[[#This Row],[RRC ID Number]],Table1[RRC Identifier],0))</f>
        <v>2273</v>
      </c>
      <c r="N132" s="30">
        <f>INDEX(Table1[On Hand End of Month],MATCH(rrcworking[[#This Row],[RRC ID Number]],Table1[RRC Identifier],0))</f>
        <v>565</v>
      </c>
      <c r="O132" s="102" t="b">
        <f t="shared" si="3"/>
        <v>0</v>
      </c>
      <c r="P132">
        <v>262</v>
      </c>
      <c r="Q132" s="122">
        <f>rrcworking[[#This Row],[Last Month Closing Stock]]</f>
        <v>565</v>
      </c>
      <c r="R132">
        <v>151</v>
      </c>
      <c r="S132" s="133">
        <f>IF(ISERROR(INDEX(Table2[OIL],MATCH(rrcworking[[#This Row],[Magnum Wolfpak '#]],Table2[Rox Wolf'#],0))),0,INDEX(Table2[OIL],MATCH(rrcworking[[#This Row],[Magnum Wolfpak '#]],Table2[Rox Wolf'#],0)))</f>
        <v>667</v>
      </c>
      <c r="T132" s="34">
        <f>rrcworking[[#This Row],[Closing Stock (Oil)]]+rrcworking[[#This Row],[Sales/Dispostion]]-rrcworking[[#This Row],[Opening Oil Stock]]</f>
        <v>253</v>
      </c>
      <c r="U132" s="108">
        <f>rrcworking[[#This Row],[Gauge Sheet Prod Volume (oil)]]-rrcworking[[#This Row],[Oil Production]]</f>
        <v>9</v>
      </c>
      <c r="V132" s="133">
        <f>IF(ISERROR(INDEX(Table2[GAS],MATCH(rrcworking[[#This Row],[Magnum Wolfpak '#]],Table2[Rox Wolf'#],0))),0,INDEX(Table2[GAS],MATCH(rrcworking[[#This Row],[Magnum Wolfpak '#]],Table2[Rox Wolf'#],0)))</f>
        <v>2366</v>
      </c>
      <c r="W132" s="58"/>
      <c r="X132" s="58">
        <v>0</v>
      </c>
      <c r="Y132" s="133">
        <f>IF(ISERROR(INDEX(Table2[LEASE USE],MATCH(rrcworking[[#This Row],[Magnum Wolfpak '#]],Table2[Rox Wolf'#],0))),0,INDEX(Table2[LEASE USE],MATCH(rrcworking[[#This Row],[Magnum Wolfpak '#]],Table2[Rox Wolf'#],0)))</f>
        <v>0</v>
      </c>
      <c r="Z132" s="133"/>
      <c r="AA132" s="56">
        <f>rrcworking[[#This Row],[Gas Sales Statement Volume (MCF)]]+rrcworking[[#This Row],[Lease Use (MCF)]]+rrcworking[[#This Row],[Flared Gas]]</f>
        <v>2366</v>
      </c>
      <c r="AB132" s="36"/>
      <c r="AC132" s="36" t="s">
        <v>1244</v>
      </c>
      <c r="AD132" s="175">
        <f>COUNTIF(FilterList,rrcworking[[#This Row],[Magnum Wolfpak '#]])</f>
        <v>0</v>
      </c>
      <c r="AE132" s="172"/>
      <c r="AF132" s="173"/>
      <c r="AG132" s="36"/>
      <c r="AH132" s="173"/>
      <c r="AI132" s="174"/>
      <c r="AJ132" s="174"/>
      <c r="AK132" s="174"/>
      <c r="AL132" s="174"/>
      <c r="AM132" s="174"/>
      <c r="AN132" s="174"/>
      <c r="AO132" s="36" t="s">
        <v>1163</v>
      </c>
      <c r="AP132" s="36" t="s">
        <v>1197</v>
      </c>
    </row>
    <row r="133" spans="3:42" ht="14">
      <c r="C133" s="78" t="e">
        <v>#N/A</v>
      </c>
      <c r="D133" s="60" t="s">
        <v>294</v>
      </c>
      <c r="E133" s="125" t="s">
        <v>295</v>
      </c>
      <c r="F133" s="124">
        <v>3</v>
      </c>
      <c r="G133" s="115" t="s">
        <v>1090</v>
      </c>
      <c r="H133" s="18" t="s">
        <v>618</v>
      </c>
      <c r="I133" s="18" t="s">
        <v>59</v>
      </c>
      <c r="J133" s="19" t="s">
        <v>543</v>
      </c>
      <c r="K133" s="99">
        <v>129832</v>
      </c>
      <c r="L133" s="97">
        <f>INDEX(Table1[Production],MATCH(rrcworking[[#This Row],[RRC ID Number]],Table1[RRC Identifier],0))</f>
        <v>0</v>
      </c>
      <c r="M133" s="29">
        <f>INDEX(Table1[Formation Production],MATCH(rrcworking[[#This Row],[RRC ID Number]],Table1[RRC Identifier],0))</f>
        <v>0</v>
      </c>
      <c r="N133" s="30">
        <f>INDEX(Table1[On Hand End of Month],MATCH(rrcworking[[#This Row],[RRC ID Number]],Table1[RRC Identifier],0))</f>
        <v>0</v>
      </c>
      <c r="O133" s="102" t="b">
        <f t="shared" si="3"/>
        <v>1</v>
      </c>
      <c r="Q133" s="122">
        <f>rrcworking[[#This Row],[Last Month Closing Stock]]</f>
        <v>0</v>
      </c>
      <c r="R133">
        <f>rrcworking[[#This Row],[Opening Oil Stock]]</f>
        <v>0</v>
      </c>
      <c r="S133" s="133">
        <f>IF(ISERROR(INDEX(Table2[OIL],MATCH(rrcworking[[#This Row],[Magnum Wolfpak '#]],Table2[Rox Wolf'#],0))),0,INDEX(Table2[OIL],MATCH(rrcworking[[#This Row],[Magnum Wolfpak '#]],Table2[Rox Wolf'#],0)))</f>
        <v>0</v>
      </c>
      <c r="T133" s="34">
        <f>rrcworking[[#This Row],[Closing Stock (Oil)]]+rrcworking[[#This Row],[Sales/Dispostion]]-rrcworking[[#This Row],[Opening Oil Stock]]</f>
        <v>0</v>
      </c>
      <c r="U133" s="108">
        <f>rrcworking[[#This Row],[Gauge Sheet Prod Volume (oil)]]-rrcworking[[#This Row],[Oil Production]]</f>
        <v>0</v>
      </c>
      <c r="V133" s="133">
        <f>IF(ISERROR(INDEX(Table2[GAS],MATCH(rrcworking[[#This Row],[Magnum Wolfpak '#]],Table2[Rox Wolf'#],0))),0,INDEX(Table2[GAS],MATCH(rrcworking[[#This Row],[Magnum Wolfpak '#]],Table2[Rox Wolf'#],0)))</f>
        <v>0</v>
      </c>
      <c r="W133" s="58"/>
      <c r="X133" s="58"/>
      <c r="Y133" s="133">
        <f>IF(ISERROR(INDEX(Table2[LEASE USE],MATCH(rrcworking[[#This Row],[Magnum Wolfpak '#]],Table2[Rox Wolf'#],0))),0,INDEX(Table2[LEASE USE],MATCH(rrcworking[[#This Row],[Magnum Wolfpak '#]],Table2[Rox Wolf'#],0)))</f>
        <v>0</v>
      </c>
      <c r="Z133" s="133"/>
      <c r="AA133" s="56">
        <f>rrcworking[[#This Row],[Gas Sales Statement Volume (MCF)]]+rrcworking[[#This Row],[Lease Use (MCF)]]+rrcworking[[#This Row],[Flared Gas]]</f>
        <v>0</v>
      </c>
      <c r="AB133" s="93"/>
      <c r="AC133" s="93"/>
      <c r="AD133" s="175">
        <f>COUNTIF(FilterList,rrcworking[[#This Row],[Magnum Wolfpak '#]])</f>
        <v>0</v>
      </c>
      <c r="AE133" s="172"/>
      <c r="AF133" s="173"/>
      <c r="AG133" s="36"/>
      <c r="AH133" s="36"/>
      <c r="AI133" s="36"/>
      <c r="AJ133" s="36"/>
      <c r="AK133" s="36"/>
      <c r="AL133" s="36"/>
      <c r="AM133" s="36"/>
      <c r="AN133" s="36"/>
      <c r="AO133" s="36"/>
      <c r="AP133" s="36"/>
    </row>
    <row r="134" spans="3:42" ht="14">
      <c r="C134" s="78" t="e">
        <v>#N/A</v>
      </c>
      <c r="D134" s="60" t="s">
        <v>296</v>
      </c>
      <c r="E134" s="125" t="s">
        <v>295</v>
      </c>
      <c r="F134" s="124">
        <v>5</v>
      </c>
      <c r="G134" s="115" t="s">
        <v>1090</v>
      </c>
      <c r="H134" s="18" t="s">
        <v>618</v>
      </c>
      <c r="I134" s="18" t="s">
        <v>59</v>
      </c>
      <c r="J134" s="19" t="s">
        <v>545</v>
      </c>
      <c r="K134" s="99">
        <v>127418</v>
      </c>
      <c r="L134" s="97">
        <f>INDEX(Table1[Production],MATCH(rrcworking[[#This Row],[RRC ID Number]],Table1[RRC Identifier],0))</f>
        <v>0</v>
      </c>
      <c r="M134" s="29">
        <f>INDEX(Table1[Formation Production],MATCH(rrcworking[[#This Row],[RRC ID Number]],Table1[RRC Identifier],0))</f>
        <v>0</v>
      </c>
      <c r="N134" s="30">
        <f>INDEX(Table1[On Hand End of Month],MATCH(rrcworking[[#This Row],[RRC ID Number]],Table1[RRC Identifier],0))</f>
        <v>0</v>
      </c>
      <c r="O134" s="102" t="b">
        <f t="shared" ref="O134:O164" si="4">IF(AND(L134=0,M134=0), TRUE, FALSE)</f>
        <v>1</v>
      </c>
      <c r="Q134" s="122">
        <f>rrcworking[[#This Row],[Last Month Closing Stock]]</f>
        <v>0</v>
      </c>
      <c r="R134">
        <f>rrcworking[[#This Row],[Opening Oil Stock]]</f>
        <v>0</v>
      </c>
      <c r="S134" s="133">
        <f>IF(ISERROR(INDEX(Table2[OIL],MATCH(rrcworking[[#This Row],[Magnum Wolfpak '#]],Table2[Rox Wolf'#],0))),0,INDEX(Table2[OIL],MATCH(rrcworking[[#This Row],[Magnum Wolfpak '#]],Table2[Rox Wolf'#],0)))</f>
        <v>0</v>
      </c>
      <c r="T134" s="34">
        <f>rrcworking[[#This Row],[Closing Stock (Oil)]]+rrcworking[[#This Row],[Sales/Dispostion]]-rrcworking[[#This Row],[Opening Oil Stock]]</f>
        <v>0</v>
      </c>
      <c r="U134" s="108">
        <f>rrcworking[[#This Row],[Gauge Sheet Prod Volume (oil)]]-rrcworking[[#This Row],[Oil Production]]</f>
        <v>0</v>
      </c>
      <c r="V134" s="133">
        <f>IF(ISERROR(INDEX(Table2[GAS],MATCH(rrcworking[[#This Row],[Magnum Wolfpak '#]],Table2[Rox Wolf'#],0))),0,INDEX(Table2[GAS],MATCH(rrcworking[[#This Row],[Magnum Wolfpak '#]],Table2[Rox Wolf'#],0)))</f>
        <v>0</v>
      </c>
      <c r="W134" s="58"/>
      <c r="X134" s="58"/>
      <c r="Y134" s="133">
        <f>IF(ISERROR(INDEX(Table2[LEASE USE],MATCH(rrcworking[[#This Row],[Magnum Wolfpak '#]],Table2[Rox Wolf'#],0))),0,INDEX(Table2[LEASE USE],MATCH(rrcworking[[#This Row],[Magnum Wolfpak '#]],Table2[Rox Wolf'#],0)))</f>
        <v>0</v>
      </c>
      <c r="Z134" s="133"/>
      <c r="AA134" s="56">
        <f>rrcworking[[#This Row],[Gas Sales Statement Volume (MCF)]]+rrcworking[[#This Row],[Lease Use (MCF)]]+rrcworking[[#This Row],[Flared Gas]]</f>
        <v>0</v>
      </c>
      <c r="AB134" s="36"/>
      <c r="AC134" s="36"/>
      <c r="AD134" s="175">
        <f>COUNTIF(FilterList,rrcworking[[#This Row],[Magnum Wolfpak '#]])</f>
        <v>0</v>
      </c>
      <c r="AE134" s="172"/>
      <c r="AF134" s="173"/>
      <c r="AG134" s="36"/>
      <c r="AH134" s="36"/>
      <c r="AI134" s="36"/>
      <c r="AJ134" s="36"/>
      <c r="AK134" s="36"/>
      <c r="AL134" s="36"/>
      <c r="AM134" s="36"/>
      <c r="AN134" s="36"/>
      <c r="AO134" s="36"/>
      <c r="AP134" s="36"/>
    </row>
    <row r="135" spans="3:42" ht="14">
      <c r="C135" s="78" t="e">
        <v>#N/A</v>
      </c>
      <c r="D135" s="60" t="s">
        <v>296</v>
      </c>
      <c r="E135" s="125" t="s">
        <v>295</v>
      </c>
      <c r="F135" s="124">
        <v>4</v>
      </c>
      <c r="G135" s="115" t="s">
        <v>1090</v>
      </c>
      <c r="H135" s="18" t="s">
        <v>618</v>
      </c>
      <c r="I135" s="18" t="s">
        <v>59</v>
      </c>
      <c r="J135" s="19" t="s">
        <v>546</v>
      </c>
      <c r="K135" s="99">
        <v>128149</v>
      </c>
      <c r="L135" s="97">
        <f>INDEX(Table1[Production],MATCH(rrcworking[[#This Row],[RRC ID Number]],Table1[RRC Identifier],0))</f>
        <v>0</v>
      </c>
      <c r="M135" s="29">
        <f>INDEX(Table1[Formation Production],MATCH(rrcworking[[#This Row],[RRC ID Number]],Table1[RRC Identifier],0))</f>
        <v>0</v>
      </c>
      <c r="N135" s="30">
        <f>INDEX(Table1[On Hand End of Month],MATCH(rrcworking[[#This Row],[RRC ID Number]],Table1[RRC Identifier],0))</f>
        <v>0</v>
      </c>
      <c r="O135" s="102" t="b">
        <f t="shared" si="4"/>
        <v>1</v>
      </c>
      <c r="Q135" s="122">
        <f>rrcworking[[#This Row],[Last Month Closing Stock]]</f>
        <v>0</v>
      </c>
      <c r="R135">
        <f>rrcworking[[#This Row],[Opening Oil Stock]]</f>
        <v>0</v>
      </c>
      <c r="S135" s="133">
        <f>IF(ISERROR(INDEX(Table2[OIL],MATCH(rrcworking[[#This Row],[Magnum Wolfpak '#]],Table2[Rox Wolf'#],0))),0,INDEX(Table2[OIL],MATCH(rrcworking[[#This Row],[Magnum Wolfpak '#]],Table2[Rox Wolf'#],0)))</f>
        <v>0</v>
      </c>
      <c r="T135" s="34">
        <f>rrcworking[[#This Row],[Closing Stock (Oil)]]+rrcworking[[#This Row],[Sales/Dispostion]]-rrcworking[[#This Row],[Opening Oil Stock]]</f>
        <v>0</v>
      </c>
      <c r="U135" s="108">
        <f>rrcworking[[#This Row],[Gauge Sheet Prod Volume (oil)]]-rrcworking[[#This Row],[Oil Production]]</f>
        <v>0</v>
      </c>
      <c r="V135" s="133">
        <f>IF(ISERROR(INDEX(Table2[GAS],MATCH(rrcworking[[#This Row],[Magnum Wolfpak '#]],Table2[Rox Wolf'#],0))),0,INDEX(Table2[GAS],MATCH(rrcworking[[#This Row],[Magnum Wolfpak '#]],Table2[Rox Wolf'#],0)))</f>
        <v>0</v>
      </c>
      <c r="W135" s="58"/>
      <c r="X135" s="58"/>
      <c r="Y135" s="133">
        <f>IF(ISERROR(INDEX(Table2[LEASE USE],MATCH(rrcworking[[#This Row],[Magnum Wolfpak '#]],Table2[Rox Wolf'#],0))),0,INDEX(Table2[LEASE USE],MATCH(rrcworking[[#This Row],[Magnum Wolfpak '#]],Table2[Rox Wolf'#],0)))</f>
        <v>0</v>
      </c>
      <c r="Z135" s="133"/>
      <c r="AA135" s="56">
        <f>rrcworking[[#This Row],[Gas Sales Statement Volume (MCF)]]+rrcworking[[#This Row],[Lease Use (MCF)]]+rrcworking[[#This Row],[Flared Gas]]</f>
        <v>0</v>
      </c>
      <c r="AB135" s="36"/>
      <c r="AC135" s="36"/>
      <c r="AD135" s="175">
        <f>COUNTIF(FilterList,rrcworking[[#This Row],[Magnum Wolfpak '#]])</f>
        <v>0</v>
      </c>
      <c r="AE135" s="172"/>
      <c r="AF135" s="173"/>
      <c r="AG135" s="36"/>
      <c r="AH135" s="36"/>
      <c r="AI135" s="36"/>
      <c r="AJ135" s="36"/>
      <c r="AK135" s="36"/>
      <c r="AL135" s="36"/>
      <c r="AM135" s="36"/>
      <c r="AN135" s="36"/>
      <c r="AO135" s="36"/>
      <c r="AP135" s="36"/>
    </row>
    <row r="136" spans="3:42" ht="224">
      <c r="C136" s="78">
        <v>99132</v>
      </c>
      <c r="D136" s="60" t="s">
        <v>381</v>
      </c>
      <c r="E136" s="125" t="s">
        <v>382</v>
      </c>
      <c r="F136" s="130" t="s">
        <v>61</v>
      </c>
      <c r="G136" s="115">
        <v>6114</v>
      </c>
      <c r="H136" s="18" t="s">
        <v>619</v>
      </c>
      <c r="I136" s="18" t="s">
        <v>2</v>
      </c>
      <c r="J136" s="19" t="s">
        <v>595</v>
      </c>
      <c r="K136" s="99">
        <v>3212</v>
      </c>
      <c r="L136" s="97">
        <f>INDEX(Table1[Production],MATCH(rrcworking[[#This Row],[RRC ID Number]],Table1[RRC Identifier],0))</f>
        <v>0</v>
      </c>
      <c r="M136" s="29">
        <f>INDEX(Table1[Formation Production],MATCH(rrcworking[[#This Row],[RRC ID Number]],Table1[RRC Identifier],0))</f>
        <v>0</v>
      </c>
      <c r="N136" s="30">
        <f>INDEX(Table1[On Hand End of Month],MATCH(rrcworking[[#This Row],[RRC ID Number]],Table1[RRC Identifier],0))</f>
        <v>72</v>
      </c>
      <c r="O136" s="102" t="b">
        <f t="shared" si="4"/>
        <v>1</v>
      </c>
      <c r="P136">
        <v>0</v>
      </c>
      <c r="Q136" s="122">
        <f>rrcworking[[#This Row],[Last Month Closing Stock]]</f>
        <v>72</v>
      </c>
      <c r="R136">
        <v>72</v>
      </c>
      <c r="S136" s="133">
        <f>IF(ISERROR(INDEX(Table2[OIL],MATCH(rrcworking[[#This Row],[Magnum Wolfpak '#]],Table2[Rox Wolf'#],0))),0,INDEX(Table2[OIL],MATCH(rrcworking[[#This Row],[Magnum Wolfpak '#]],Table2[Rox Wolf'#],0)))</f>
        <v>0</v>
      </c>
      <c r="T136" s="34">
        <f>rrcworking[[#This Row],[Closing Stock (Oil)]]+rrcworking[[#This Row],[Sales/Dispostion]]-rrcworking[[#This Row],[Opening Oil Stock]]</f>
        <v>0</v>
      </c>
      <c r="U136" s="108">
        <f>rrcworking[[#This Row],[Gauge Sheet Prod Volume (oil)]]-rrcworking[[#This Row],[Oil Production]]</f>
        <v>0</v>
      </c>
      <c r="V136" s="133">
        <f>IF(ISERROR(INDEX(Table2[GAS],MATCH(rrcworking[[#This Row],[Magnum Wolfpak '#]],Table2[Rox Wolf'#],0))),0,INDEX(Table2[GAS],MATCH(rrcworking[[#This Row],[Magnum Wolfpak '#]],Table2[Rox Wolf'#],0)))</f>
        <v>0</v>
      </c>
      <c r="W136" s="58"/>
      <c r="X136" s="58">
        <v>4</v>
      </c>
      <c r="Y136" s="133">
        <f>IF(ISERROR(INDEX(Table2[LEASE USE],MATCH(rrcworking[[#This Row],[Magnum Wolfpak '#]],Table2[Rox Wolf'#],0))),0,INDEX(Table2[LEASE USE],MATCH(rrcworking[[#This Row],[Magnum Wolfpak '#]],Table2[Rox Wolf'#],0)))</f>
        <v>0</v>
      </c>
      <c r="Z136" s="133"/>
      <c r="AA136" s="56">
        <f>rrcworking[[#This Row],[Gas Sales Statement Volume (MCF)]]+rrcworking[[#This Row],[Lease Use (MCF)]]+rrcworking[[#This Row],[Flared Gas]]</f>
        <v>0</v>
      </c>
      <c r="AB136" s="36"/>
      <c r="AC136" s="36" t="s">
        <v>1308</v>
      </c>
      <c r="AD136" s="175">
        <f>COUNTIF(FilterList,rrcworking[[#This Row],[Magnum Wolfpak '#]])</f>
        <v>1</v>
      </c>
      <c r="AE136" s="172"/>
      <c r="AF136" s="173"/>
      <c r="AG136" s="36"/>
      <c r="AH136" s="173"/>
      <c r="AI136" s="174"/>
      <c r="AJ136" s="174"/>
      <c r="AK136" s="174"/>
      <c r="AL136" s="174"/>
      <c r="AM136" s="174"/>
      <c r="AN136" s="174"/>
      <c r="AO136" s="36" t="s">
        <v>1163</v>
      </c>
      <c r="AP136" s="36" t="s">
        <v>1205</v>
      </c>
    </row>
    <row r="137" spans="3:42" ht="14">
      <c r="C137" s="78">
        <v>99133</v>
      </c>
      <c r="D137" s="60" t="s">
        <v>386</v>
      </c>
      <c r="E137" s="125" t="s">
        <v>387</v>
      </c>
      <c r="F137" s="130" t="s">
        <v>910</v>
      </c>
      <c r="G137" s="115">
        <v>6114</v>
      </c>
      <c r="H137" s="18" t="s">
        <v>619</v>
      </c>
      <c r="I137" s="18" t="s">
        <v>2</v>
      </c>
      <c r="J137" s="19" t="s">
        <v>598</v>
      </c>
      <c r="K137" s="99">
        <v>13668</v>
      </c>
      <c r="L137" s="97">
        <f>INDEX(Table1[Production],MATCH(rrcworking[[#This Row],[RRC ID Number]],Table1[RRC Identifier],0))</f>
        <v>0</v>
      </c>
      <c r="M137" s="29">
        <f>INDEX(Table1[Formation Production],MATCH(rrcworking[[#This Row],[RRC ID Number]],Table1[RRC Identifier],0))</f>
        <v>0</v>
      </c>
      <c r="N137" s="30">
        <f>INDEX(Table1[On Hand End of Month],MATCH(rrcworking[[#This Row],[RRC ID Number]],Table1[RRC Identifier],0))</f>
        <v>0</v>
      </c>
      <c r="O137" s="102" t="b">
        <f t="shared" si="4"/>
        <v>1</v>
      </c>
      <c r="P137">
        <v>0</v>
      </c>
      <c r="Q137" s="122">
        <f>rrcworking[[#This Row],[Last Month Closing Stock]]</f>
        <v>0</v>
      </c>
      <c r="R137">
        <v>0</v>
      </c>
      <c r="S137" s="134">
        <f>IF(ISERROR(INDEX(Table2[OIL],MATCH(rrcworking[[#This Row],[Magnum Wolfpak '#]],Table2[Rox Wolf'#],0))),0,INDEX(Table2[OIL],MATCH(rrcworking[[#This Row],[Magnum Wolfpak '#]],Table2[Rox Wolf'#],0)))</f>
        <v>0</v>
      </c>
      <c r="T137" s="34">
        <f>rrcworking[[#This Row],[Closing Stock (Oil)]]+rrcworking[[#This Row],[Sales/Dispostion]]-rrcworking[[#This Row],[Opening Oil Stock]]</f>
        <v>0</v>
      </c>
      <c r="U137" s="108">
        <f>rrcworking[[#This Row],[Gauge Sheet Prod Volume (oil)]]-rrcworking[[#This Row],[Oil Production]]</f>
        <v>0</v>
      </c>
      <c r="V137" s="133">
        <f>IF(ISERROR(INDEX(Table2[GAS],MATCH(rrcworking[[#This Row],[Magnum Wolfpak '#]],Table2[Rox Wolf'#],0))),0,INDEX(Table2[GAS],MATCH(rrcworking[[#This Row],[Magnum Wolfpak '#]],Table2[Rox Wolf'#],0)))</f>
        <v>0</v>
      </c>
      <c r="W137" s="58"/>
      <c r="X137" s="58"/>
      <c r="Y137" s="133">
        <f>IF(ISERROR(INDEX(Table2[LEASE USE],MATCH(rrcworking[[#This Row],[Magnum Wolfpak '#]],Table2[Rox Wolf'#],0))),0,INDEX(Table2[LEASE USE],MATCH(rrcworking[[#This Row],[Magnum Wolfpak '#]],Table2[Rox Wolf'#],0)))</f>
        <v>0</v>
      </c>
      <c r="Z137" s="133"/>
      <c r="AA137" s="56">
        <f>rrcworking[[#This Row],[Gas Sales Statement Volume (MCF)]]+rrcworking[[#This Row],[Lease Use (MCF)]]+rrcworking[[#This Row],[Flared Gas]]</f>
        <v>0</v>
      </c>
      <c r="AB137" s="61"/>
      <c r="AC137" s="36"/>
      <c r="AD137" s="175">
        <f>COUNTIF(FilterList,rrcworking[[#This Row],[Magnum Wolfpak '#]])</f>
        <v>1</v>
      </c>
      <c r="AE137" s="172"/>
      <c r="AF137" s="173"/>
      <c r="AG137" s="36"/>
      <c r="AH137" s="36"/>
      <c r="AI137" s="174"/>
      <c r="AJ137" s="174"/>
      <c r="AK137" s="174"/>
      <c r="AL137" s="174"/>
      <c r="AM137" s="174"/>
      <c r="AN137" s="174"/>
      <c r="AO137" s="36" t="s">
        <v>1163</v>
      </c>
      <c r="AP137" s="36"/>
    </row>
    <row r="138" spans="3:42" ht="70">
      <c r="C138" s="78" t="e">
        <v>#N/A</v>
      </c>
      <c r="D138" s="60" t="s">
        <v>388</v>
      </c>
      <c r="E138" s="125" t="s">
        <v>389</v>
      </c>
      <c r="F138" s="124">
        <v>0</v>
      </c>
      <c r="G138" s="115" t="s">
        <v>1090</v>
      </c>
      <c r="H138" s="18" t="s">
        <v>619</v>
      </c>
      <c r="I138" s="18" t="s">
        <v>2</v>
      </c>
      <c r="J138" s="19" t="s">
        <v>599</v>
      </c>
      <c r="K138" s="99">
        <v>13664</v>
      </c>
      <c r="L138" s="97">
        <f>INDEX(Table1[Production],MATCH(rrcworking[[#This Row],[RRC ID Number]],Table1[RRC Identifier],0))</f>
        <v>0</v>
      </c>
      <c r="M138" s="29">
        <f>INDEX(Table1[Formation Production],MATCH(rrcworking[[#This Row],[RRC ID Number]],Table1[RRC Identifier],0))</f>
        <v>0</v>
      </c>
      <c r="N138" s="30">
        <f>INDEX(Table1[On Hand End of Month],MATCH(rrcworking[[#This Row],[RRC ID Number]],Table1[RRC Identifier],0))</f>
        <v>64</v>
      </c>
      <c r="O138" s="102" t="b">
        <f t="shared" si="4"/>
        <v>1</v>
      </c>
      <c r="P138">
        <v>35</v>
      </c>
      <c r="Q138" s="122">
        <f>rrcworking[[#This Row],[Last Month Closing Stock]]</f>
        <v>64</v>
      </c>
      <c r="R138">
        <v>96</v>
      </c>
      <c r="S138" s="133">
        <f>IF(ISERROR(INDEX(Table2[OIL],MATCH(rrcworking[[#This Row],[Magnum Wolfpak '#]],Table2[Rox Wolf'#],0))),0,INDEX(Table2[OIL],MATCH(rrcworking[[#This Row],[Magnum Wolfpak '#]],Table2[Rox Wolf'#],0)))</f>
        <v>0</v>
      </c>
      <c r="T138" s="34">
        <f>rrcworking[[#This Row],[Closing Stock (Oil)]]+rrcworking[[#This Row],[Sales/Dispostion]]-rrcworking[[#This Row],[Opening Oil Stock]]</f>
        <v>32</v>
      </c>
      <c r="U138" s="108">
        <f>rrcworking[[#This Row],[Gauge Sheet Prod Volume (oil)]]-rrcworking[[#This Row],[Oil Production]]</f>
        <v>3</v>
      </c>
      <c r="V138" s="133">
        <f>IF(ISERROR(INDEX(Table2[GAS],MATCH(rrcworking[[#This Row],[Magnum Wolfpak '#]],Table2[Rox Wolf'#],0))),0,INDEX(Table2[GAS],MATCH(rrcworking[[#This Row],[Magnum Wolfpak '#]],Table2[Rox Wolf'#],0)))</f>
        <v>0</v>
      </c>
      <c r="W138" s="58"/>
      <c r="X138" s="58"/>
      <c r="Y138" s="133">
        <f>IF(ISERROR(INDEX(Table2[LEASE USE],MATCH(rrcworking[[#This Row],[Magnum Wolfpak '#]],Table2[Rox Wolf'#],0))),0,INDEX(Table2[LEASE USE],MATCH(rrcworking[[#This Row],[Magnum Wolfpak '#]],Table2[Rox Wolf'#],0)))</f>
        <v>0</v>
      </c>
      <c r="Z138" s="133"/>
      <c r="AA138" s="56">
        <f>rrcworking[[#This Row],[Gas Sales Statement Volume (MCF)]]+rrcworking[[#This Row],[Lease Use (MCF)]]+rrcworking[[#This Row],[Flared Gas]]</f>
        <v>0</v>
      </c>
      <c r="AB138" s="36"/>
      <c r="AC138" s="36" t="s">
        <v>1309</v>
      </c>
      <c r="AD138" s="175">
        <f>COUNTIF(FilterList,rrcworking[[#This Row],[Magnum Wolfpak '#]])</f>
        <v>0</v>
      </c>
      <c r="AE138" s="172"/>
      <c r="AF138" s="173"/>
      <c r="AG138" s="36"/>
      <c r="AH138" s="36"/>
      <c r="AI138" s="36"/>
      <c r="AJ138" s="36"/>
      <c r="AK138" s="36"/>
      <c r="AL138" s="36"/>
      <c r="AM138" s="36"/>
      <c r="AN138" s="36"/>
      <c r="AO138" s="36"/>
      <c r="AP138" s="36"/>
    </row>
    <row r="139" spans="3:42" ht="14">
      <c r="C139" s="78" t="e">
        <v>#N/A</v>
      </c>
      <c r="D139" s="60" t="s">
        <v>364</v>
      </c>
      <c r="E139" s="125" t="s">
        <v>365</v>
      </c>
      <c r="F139" s="124">
        <v>2</v>
      </c>
      <c r="G139" s="115" t="s">
        <v>1090</v>
      </c>
      <c r="H139" s="18" t="s">
        <v>619</v>
      </c>
      <c r="I139" s="18" t="s">
        <v>59</v>
      </c>
      <c r="J139" s="19" t="s">
        <v>585</v>
      </c>
      <c r="K139" s="99">
        <v>192315</v>
      </c>
      <c r="L139" s="97">
        <f>INDEX(Table1[Production],MATCH(rrcworking[[#This Row],[RRC ID Number]],Table1[RRC Identifier],0))</f>
        <v>0</v>
      </c>
      <c r="M139" s="29">
        <f>INDEX(Table1[Formation Production],MATCH(rrcworking[[#This Row],[RRC ID Number]],Table1[RRC Identifier],0))</f>
        <v>0</v>
      </c>
      <c r="N139" s="30">
        <f>INDEX(Table1[On Hand End of Month],MATCH(rrcworking[[#This Row],[RRC ID Number]],Table1[RRC Identifier],0))</f>
        <v>0</v>
      </c>
      <c r="O139" s="102" t="b">
        <f t="shared" si="4"/>
        <v>1</v>
      </c>
      <c r="Q139" s="122">
        <f>rrcworking[[#This Row],[Last Month Closing Stock]]</f>
        <v>0</v>
      </c>
      <c r="R139">
        <f>rrcworking[[#This Row],[Opening Oil Stock]]</f>
        <v>0</v>
      </c>
      <c r="S139" s="133">
        <f>IF(ISERROR(INDEX(Table2[OIL],MATCH(rrcworking[[#This Row],[Magnum Wolfpak '#]],Table2[Rox Wolf'#],0))),0,INDEX(Table2[OIL],MATCH(rrcworking[[#This Row],[Magnum Wolfpak '#]],Table2[Rox Wolf'#],0)))</f>
        <v>0</v>
      </c>
      <c r="T139" s="34">
        <f>rrcworking[[#This Row],[Closing Stock (Oil)]]+rrcworking[[#This Row],[Sales/Dispostion]]-rrcworking[[#This Row],[Opening Oil Stock]]</f>
        <v>0</v>
      </c>
      <c r="U139" s="108">
        <f>rrcworking[[#This Row],[Gauge Sheet Prod Volume (oil)]]-rrcworking[[#This Row],[Oil Production]]</f>
        <v>0</v>
      </c>
      <c r="V139" s="133">
        <f>IF(ISERROR(INDEX(Table2[GAS],MATCH(rrcworking[[#This Row],[Magnum Wolfpak '#]],Table2[Rox Wolf'#],0))),0,INDEX(Table2[GAS],MATCH(rrcworking[[#This Row],[Magnum Wolfpak '#]],Table2[Rox Wolf'#],0)))</f>
        <v>0</v>
      </c>
      <c r="W139" s="58"/>
      <c r="X139" s="58"/>
      <c r="Y139" s="133">
        <f>IF(ISERROR(INDEX(Table2[LEASE USE],MATCH(rrcworking[[#This Row],[Magnum Wolfpak '#]],Table2[Rox Wolf'#],0))),0,INDEX(Table2[LEASE USE],MATCH(rrcworking[[#This Row],[Magnum Wolfpak '#]],Table2[Rox Wolf'#],0)))</f>
        <v>0</v>
      </c>
      <c r="Z139" s="133"/>
      <c r="AA139" s="56">
        <f>rrcworking[[#This Row],[Gas Sales Statement Volume (MCF)]]+rrcworking[[#This Row],[Lease Use (MCF)]]+rrcworking[[#This Row],[Flared Gas]]</f>
        <v>0</v>
      </c>
      <c r="AB139" s="36"/>
      <c r="AC139" s="36"/>
      <c r="AD139" s="175">
        <f>COUNTIF(FilterList,rrcworking[[#This Row],[Magnum Wolfpak '#]])</f>
        <v>0</v>
      </c>
      <c r="AE139" s="172"/>
      <c r="AF139" s="173"/>
      <c r="AG139" s="36"/>
      <c r="AH139" s="36"/>
      <c r="AI139" s="36"/>
      <c r="AJ139" s="36"/>
      <c r="AK139" s="36"/>
      <c r="AL139" s="36"/>
      <c r="AM139" s="36"/>
      <c r="AN139" s="36"/>
      <c r="AO139" s="36"/>
      <c r="AP139" s="36"/>
    </row>
    <row r="140" spans="3:42" ht="14">
      <c r="C140" s="78" t="e">
        <v>#N/A</v>
      </c>
      <c r="D140" s="60" t="s">
        <v>126</v>
      </c>
      <c r="E140" s="125" t="s">
        <v>127</v>
      </c>
      <c r="F140" s="124">
        <v>0</v>
      </c>
      <c r="G140" s="115" t="s">
        <v>1090</v>
      </c>
      <c r="H140" s="18" t="s">
        <v>617</v>
      </c>
      <c r="I140" s="18" t="s">
        <v>2</v>
      </c>
      <c r="J140" s="19" t="s">
        <v>445</v>
      </c>
      <c r="K140" s="99">
        <v>4248</v>
      </c>
      <c r="L140" s="97">
        <f>INDEX(Table1[Production],MATCH(rrcworking[[#This Row],[RRC ID Number]],Table1[RRC Identifier],0))</f>
        <v>0</v>
      </c>
      <c r="M140" s="29">
        <f>INDEX(Table1[Formation Production],MATCH(rrcworking[[#This Row],[RRC ID Number]],Table1[RRC Identifier],0))</f>
        <v>0</v>
      </c>
      <c r="N140" s="30">
        <f>INDEX(Table1[On Hand End of Month],MATCH(rrcworking[[#This Row],[RRC ID Number]],Table1[RRC Identifier],0))</f>
        <v>213</v>
      </c>
      <c r="O140" s="102" t="b">
        <f t="shared" si="4"/>
        <v>1</v>
      </c>
      <c r="Q140" s="122">
        <f>rrcworking[[#This Row],[Last Month Closing Stock]]</f>
        <v>213</v>
      </c>
      <c r="R140">
        <f>rrcworking[[#This Row],[Opening Oil Stock]]</f>
        <v>213</v>
      </c>
      <c r="S140" s="133">
        <f>IF(ISERROR(INDEX(Table2[OIL],MATCH(rrcworking[[#This Row],[Magnum Wolfpak '#]],Table2[Rox Wolf'#],0))),0,INDEX(Table2[OIL],MATCH(rrcworking[[#This Row],[Magnum Wolfpak '#]],Table2[Rox Wolf'#],0)))</f>
        <v>0</v>
      </c>
      <c r="T140" s="34">
        <f>rrcworking[[#This Row],[Closing Stock (Oil)]]+rrcworking[[#This Row],[Sales/Dispostion]]-rrcworking[[#This Row],[Opening Oil Stock]]</f>
        <v>0</v>
      </c>
      <c r="U140" s="108">
        <f>rrcworking[[#This Row],[Gauge Sheet Prod Volume (oil)]]-rrcworking[[#This Row],[Oil Production]]</f>
        <v>0</v>
      </c>
      <c r="V140" s="133">
        <f>IF(ISERROR(INDEX(Table2[GAS],MATCH(rrcworking[[#This Row],[Magnum Wolfpak '#]],Table2[Rox Wolf'#],0))),0,INDEX(Table2[GAS],MATCH(rrcworking[[#This Row],[Magnum Wolfpak '#]],Table2[Rox Wolf'#],0)))</f>
        <v>0</v>
      </c>
      <c r="W140" s="58"/>
      <c r="X140" s="58"/>
      <c r="Y140" s="133">
        <f>IF(ISERROR(INDEX(Table2[LEASE USE],MATCH(rrcworking[[#This Row],[Magnum Wolfpak '#]],Table2[Rox Wolf'#],0))),0,INDEX(Table2[LEASE USE],MATCH(rrcworking[[#This Row],[Magnum Wolfpak '#]],Table2[Rox Wolf'#],0)))</f>
        <v>0</v>
      </c>
      <c r="Z140" s="133"/>
      <c r="AA140" s="56">
        <f>rrcworking[[#This Row],[Gas Sales Statement Volume (MCF)]]+rrcworking[[#This Row],[Lease Use (MCF)]]+rrcworking[[#This Row],[Flared Gas]]</f>
        <v>0</v>
      </c>
      <c r="AB140" s="36"/>
      <c r="AC140" s="36"/>
      <c r="AD140" s="175">
        <f>COUNTIF(FilterList,rrcworking[[#This Row],[Magnum Wolfpak '#]])</f>
        <v>0</v>
      </c>
      <c r="AE140" s="172"/>
      <c r="AF140" s="173"/>
      <c r="AG140" s="36"/>
      <c r="AH140" s="36"/>
      <c r="AI140" s="36"/>
      <c r="AJ140" s="36"/>
      <c r="AK140" s="36"/>
      <c r="AL140" s="36"/>
      <c r="AM140" s="36"/>
      <c r="AN140" s="36"/>
      <c r="AO140" s="36"/>
      <c r="AP140" s="36"/>
    </row>
    <row r="141" spans="3:42" ht="14">
      <c r="C141" s="78" t="e">
        <v>#N/A</v>
      </c>
      <c r="D141" s="60" t="s">
        <v>270</v>
      </c>
      <c r="E141" s="125" t="s">
        <v>271</v>
      </c>
      <c r="F141" s="124">
        <v>1</v>
      </c>
      <c r="G141" s="115" t="s">
        <v>1090</v>
      </c>
      <c r="H141" s="18" t="s">
        <v>618</v>
      </c>
      <c r="I141" s="18" t="s">
        <v>59</v>
      </c>
      <c r="J141" s="19" t="s">
        <v>524</v>
      </c>
      <c r="K141" s="99">
        <v>58664</v>
      </c>
      <c r="L141" s="97">
        <f>INDEX(Table1[Production],MATCH(rrcworking[[#This Row],[RRC ID Number]],Table1[RRC Identifier],0))</f>
        <v>0</v>
      </c>
      <c r="M141" s="29">
        <f>INDEX(Table1[Formation Production],MATCH(rrcworking[[#This Row],[RRC ID Number]],Table1[RRC Identifier],0))</f>
        <v>0</v>
      </c>
      <c r="N141" s="30">
        <f>INDEX(Table1[On Hand End of Month],MATCH(rrcworking[[#This Row],[RRC ID Number]],Table1[RRC Identifier],0))</f>
        <v>0</v>
      </c>
      <c r="O141" s="102" t="b">
        <f t="shared" si="4"/>
        <v>1</v>
      </c>
      <c r="Q141" s="122">
        <f>rrcworking[[#This Row],[Last Month Closing Stock]]</f>
        <v>0</v>
      </c>
      <c r="R141">
        <f>rrcworking[[#This Row],[Opening Oil Stock]]</f>
        <v>0</v>
      </c>
      <c r="S141" s="133">
        <f>IF(ISERROR(INDEX(Table2[OIL],MATCH(rrcworking[[#This Row],[Magnum Wolfpak '#]],Table2[Rox Wolf'#],0))),0,INDEX(Table2[OIL],MATCH(rrcworking[[#This Row],[Magnum Wolfpak '#]],Table2[Rox Wolf'#],0)))</f>
        <v>0</v>
      </c>
      <c r="T141" s="34">
        <f>rrcworking[[#This Row],[Closing Stock (Oil)]]+rrcworking[[#This Row],[Sales/Dispostion]]-rrcworking[[#This Row],[Opening Oil Stock]]</f>
        <v>0</v>
      </c>
      <c r="U141" s="108">
        <f>rrcworking[[#This Row],[Gauge Sheet Prod Volume (oil)]]-rrcworking[[#This Row],[Oil Production]]</f>
        <v>0</v>
      </c>
      <c r="V141" s="133">
        <f>IF(ISERROR(INDEX(Table2[GAS],MATCH(rrcworking[[#This Row],[Magnum Wolfpak '#]],Table2[Rox Wolf'#],0))),0,INDEX(Table2[GAS],MATCH(rrcworking[[#This Row],[Magnum Wolfpak '#]],Table2[Rox Wolf'#],0)))</f>
        <v>0</v>
      </c>
      <c r="W141" s="58"/>
      <c r="X141" s="58"/>
      <c r="Y141" s="133">
        <f>IF(ISERROR(INDEX(Table2[LEASE USE],MATCH(rrcworking[[#This Row],[Magnum Wolfpak '#]],Table2[Rox Wolf'#],0))),0,INDEX(Table2[LEASE USE],MATCH(rrcworking[[#This Row],[Magnum Wolfpak '#]],Table2[Rox Wolf'#],0)))</f>
        <v>0</v>
      </c>
      <c r="Z141" s="133"/>
      <c r="AA141" s="56">
        <f>rrcworking[[#This Row],[Gas Sales Statement Volume (MCF)]]+rrcworking[[#This Row],[Lease Use (MCF)]]+rrcworking[[#This Row],[Flared Gas]]</f>
        <v>0</v>
      </c>
      <c r="AB141" s="93"/>
      <c r="AC141" s="36"/>
      <c r="AD141" s="175">
        <f>COUNTIF(FilterList,rrcworking[[#This Row],[Magnum Wolfpak '#]])</f>
        <v>0</v>
      </c>
      <c r="AE141" s="172"/>
      <c r="AF141" s="173"/>
      <c r="AG141" s="36"/>
      <c r="AH141" s="36"/>
      <c r="AI141" s="36"/>
      <c r="AJ141" s="36"/>
      <c r="AK141" s="36"/>
      <c r="AL141" s="36"/>
      <c r="AM141" s="36"/>
      <c r="AN141" s="36"/>
      <c r="AO141" s="36"/>
      <c r="AP141" s="36"/>
    </row>
    <row r="142" spans="3:42" ht="14">
      <c r="C142" s="78" t="e">
        <v>#N/A</v>
      </c>
      <c r="D142" s="60" t="s">
        <v>111</v>
      </c>
      <c r="E142" s="125" t="s">
        <v>112</v>
      </c>
      <c r="F142" s="124">
        <v>5</v>
      </c>
      <c r="G142" s="115">
        <v>5048</v>
      </c>
      <c r="H142" s="18" t="s">
        <v>617</v>
      </c>
      <c r="I142" s="18" t="s">
        <v>59</v>
      </c>
      <c r="J142" s="19" t="s">
        <v>435</v>
      </c>
      <c r="K142" s="99">
        <v>198005</v>
      </c>
      <c r="L142" s="97">
        <f>INDEX(Table1[Production],MATCH(rrcworking[[#This Row],[RRC ID Number]],Table1[RRC Identifier],0))</f>
        <v>0</v>
      </c>
      <c r="M142" s="29">
        <f>INDEX(Table1[Formation Production],MATCH(rrcworking[[#This Row],[RRC ID Number]],Table1[RRC Identifier],0))</f>
        <v>0</v>
      </c>
      <c r="N142" s="30">
        <f>INDEX(Table1[On Hand End of Month],MATCH(rrcworking[[#This Row],[RRC ID Number]],Table1[RRC Identifier],0))</f>
        <v>0</v>
      </c>
      <c r="O142" s="102" t="b">
        <f t="shared" si="4"/>
        <v>1</v>
      </c>
      <c r="Q142" s="122">
        <f>rrcworking[[#This Row],[Last Month Closing Stock]]</f>
        <v>0</v>
      </c>
      <c r="R142">
        <f>rrcworking[[#This Row],[Opening Oil Stock]]</f>
        <v>0</v>
      </c>
      <c r="S142" s="133">
        <f>IF(ISERROR(INDEX(Table2[OIL],MATCH(rrcworking[[#This Row],[Magnum Wolfpak '#]],Table2[Rox Wolf'#],0))),0,INDEX(Table2[OIL],MATCH(rrcworking[[#This Row],[Magnum Wolfpak '#]],Table2[Rox Wolf'#],0)))</f>
        <v>0</v>
      </c>
      <c r="T142" s="34">
        <f>rrcworking[[#This Row],[Closing Stock (Oil)]]+rrcworking[[#This Row],[Sales/Dispostion]]-rrcworking[[#This Row],[Opening Oil Stock]]</f>
        <v>0</v>
      </c>
      <c r="U142" s="108">
        <f>rrcworking[[#This Row],[Gauge Sheet Prod Volume (oil)]]-rrcworking[[#This Row],[Oil Production]]</f>
        <v>0</v>
      </c>
      <c r="V142" s="133">
        <f>IF(ISERROR(INDEX(Table2[GAS],MATCH(rrcworking[[#This Row],[Magnum Wolfpak '#]],Table2[Rox Wolf'#],0))),0,INDEX(Table2[GAS],MATCH(rrcworking[[#This Row],[Magnum Wolfpak '#]],Table2[Rox Wolf'#],0)))</f>
        <v>0</v>
      </c>
      <c r="W142" s="58"/>
      <c r="X142" s="58"/>
      <c r="Y142" s="133">
        <f>IF(ISERROR(INDEX(Table2[LEASE USE],MATCH(rrcworking[[#This Row],[Magnum Wolfpak '#]],Table2[Rox Wolf'#],0))),0,INDEX(Table2[LEASE USE],MATCH(rrcworking[[#This Row],[Magnum Wolfpak '#]],Table2[Rox Wolf'#],0)))</f>
        <v>0</v>
      </c>
      <c r="Z142" s="133"/>
      <c r="AA142" s="56">
        <f>rrcworking[[#This Row],[Gas Sales Statement Volume (MCF)]]+rrcworking[[#This Row],[Lease Use (MCF)]]+rrcworking[[#This Row],[Flared Gas]]</f>
        <v>0</v>
      </c>
      <c r="AB142" s="93"/>
      <c r="AC142" s="36"/>
      <c r="AD142" s="175">
        <f>COUNTIF(FilterList,rrcworking[[#This Row],[Magnum Wolfpak '#]])</f>
        <v>0</v>
      </c>
      <c r="AE142" s="172"/>
      <c r="AF142" s="173"/>
      <c r="AG142" s="36"/>
      <c r="AH142" s="36"/>
      <c r="AI142" s="36"/>
      <c r="AJ142" s="36"/>
      <c r="AK142" s="36"/>
      <c r="AL142" s="36"/>
      <c r="AM142" s="36"/>
      <c r="AN142" s="36"/>
      <c r="AO142" s="36"/>
      <c r="AP142" s="36"/>
    </row>
    <row r="143" spans="3:42" ht="14">
      <c r="C143" s="78" t="e">
        <v>#N/A</v>
      </c>
      <c r="D143" s="60" t="s">
        <v>128</v>
      </c>
      <c r="E143" s="125" t="s">
        <v>112</v>
      </c>
      <c r="F143" s="124">
        <v>3</v>
      </c>
      <c r="G143" s="115">
        <v>5048</v>
      </c>
      <c r="H143" s="18" t="s">
        <v>617</v>
      </c>
      <c r="I143" s="18" t="s">
        <v>59</v>
      </c>
      <c r="J143" s="19" t="s">
        <v>446</v>
      </c>
      <c r="K143" s="99">
        <v>184558</v>
      </c>
      <c r="L143" s="97">
        <f>INDEX(Table1[Production],MATCH(rrcworking[[#This Row],[RRC ID Number]],Table1[RRC Identifier],0))</f>
        <v>0</v>
      </c>
      <c r="M143" s="29">
        <f>INDEX(Table1[Formation Production],MATCH(rrcworking[[#This Row],[RRC ID Number]],Table1[RRC Identifier],0))</f>
        <v>0</v>
      </c>
      <c r="N143" s="30">
        <f>INDEX(Table1[On Hand End of Month],MATCH(rrcworking[[#This Row],[RRC ID Number]],Table1[RRC Identifier],0))</f>
        <v>0</v>
      </c>
      <c r="O143" s="102" t="b">
        <f t="shared" si="4"/>
        <v>1</v>
      </c>
      <c r="Q143" s="122">
        <f>rrcworking[[#This Row],[Last Month Closing Stock]]</f>
        <v>0</v>
      </c>
      <c r="R143">
        <f>rrcworking[[#This Row],[Opening Oil Stock]]</f>
        <v>0</v>
      </c>
      <c r="S143" s="133">
        <f>IF(ISERROR(INDEX(Table2[OIL],MATCH(rrcworking[[#This Row],[Magnum Wolfpak '#]],Table2[Rox Wolf'#],0))),0,INDEX(Table2[OIL],MATCH(rrcworking[[#This Row],[Magnum Wolfpak '#]],Table2[Rox Wolf'#],0)))</f>
        <v>0</v>
      </c>
      <c r="T143" s="34">
        <f>rrcworking[[#This Row],[Closing Stock (Oil)]]+rrcworking[[#This Row],[Sales/Dispostion]]-rrcworking[[#This Row],[Opening Oil Stock]]</f>
        <v>0</v>
      </c>
      <c r="U143" s="108">
        <f>rrcworking[[#This Row],[Gauge Sheet Prod Volume (oil)]]-rrcworking[[#This Row],[Oil Production]]</f>
        <v>0</v>
      </c>
      <c r="V143" s="133">
        <f>IF(ISERROR(INDEX(Table2[GAS],MATCH(rrcworking[[#This Row],[Magnum Wolfpak '#]],Table2[Rox Wolf'#],0))),0,INDEX(Table2[GAS],MATCH(rrcworking[[#This Row],[Magnum Wolfpak '#]],Table2[Rox Wolf'#],0)))</f>
        <v>0</v>
      </c>
      <c r="W143" s="58"/>
      <c r="X143" s="58"/>
      <c r="Y143" s="133">
        <f>IF(ISERROR(INDEX(Table2[LEASE USE],MATCH(rrcworking[[#This Row],[Magnum Wolfpak '#]],Table2[Rox Wolf'#],0))),0,INDEX(Table2[LEASE USE],MATCH(rrcworking[[#This Row],[Magnum Wolfpak '#]],Table2[Rox Wolf'#],0)))</f>
        <v>0</v>
      </c>
      <c r="Z143" s="133"/>
      <c r="AA143" s="56">
        <f>rrcworking[[#This Row],[Gas Sales Statement Volume (MCF)]]+rrcworking[[#This Row],[Lease Use (MCF)]]+rrcworking[[#This Row],[Flared Gas]]</f>
        <v>0</v>
      </c>
      <c r="AB143" s="36"/>
      <c r="AC143" s="36"/>
      <c r="AD143" s="175">
        <f>COUNTIF(FilterList,rrcworking[[#This Row],[Magnum Wolfpak '#]])</f>
        <v>0</v>
      </c>
      <c r="AE143" s="172"/>
      <c r="AF143" s="173"/>
      <c r="AG143" s="36"/>
      <c r="AH143" s="36"/>
      <c r="AI143" s="36"/>
      <c r="AJ143" s="36"/>
      <c r="AK143" s="36"/>
      <c r="AL143" s="36"/>
      <c r="AM143" s="36"/>
      <c r="AN143" s="36"/>
      <c r="AO143" s="36"/>
      <c r="AP143" s="36"/>
    </row>
    <row r="144" spans="3:42" ht="14">
      <c r="C144" s="78" t="e">
        <v>#N/A</v>
      </c>
      <c r="D144" s="60" t="s">
        <v>109</v>
      </c>
      <c r="E144" s="125" t="s">
        <v>110</v>
      </c>
      <c r="F144" s="124">
        <v>1</v>
      </c>
      <c r="G144" s="115" t="s">
        <v>1090</v>
      </c>
      <c r="H144" s="18" t="s">
        <v>617</v>
      </c>
      <c r="I144" s="18" t="s">
        <v>59</v>
      </c>
      <c r="J144" s="19" t="s">
        <v>433</v>
      </c>
      <c r="K144" s="99">
        <v>172874</v>
      </c>
      <c r="L144" s="97">
        <f>INDEX(Table1[Production],MATCH(rrcworking[[#This Row],[RRC ID Number]],Table1[RRC Identifier],0))</f>
        <v>0</v>
      </c>
      <c r="M144" s="29">
        <f>INDEX(Table1[Formation Production],MATCH(rrcworking[[#This Row],[RRC ID Number]],Table1[RRC Identifier],0))</f>
        <v>0</v>
      </c>
      <c r="N144" s="30">
        <f>INDEX(Table1[On Hand End of Month],MATCH(rrcworking[[#This Row],[RRC ID Number]],Table1[RRC Identifier],0))</f>
        <v>0</v>
      </c>
      <c r="O144" s="102" t="b">
        <f t="shared" si="4"/>
        <v>1</v>
      </c>
      <c r="Q144" s="122">
        <f>rrcworking[[#This Row],[Last Month Closing Stock]]</f>
        <v>0</v>
      </c>
      <c r="R144">
        <f>rrcworking[[#This Row],[Opening Oil Stock]]</f>
        <v>0</v>
      </c>
      <c r="S144" s="133">
        <f>IF(ISERROR(INDEX(Table2[OIL],MATCH(rrcworking[[#This Row],[Magnum Wolfpak '#]],Table2[Rox Wolf'#],0))),0,INDEX(Table2[OIL],MATCH(rrcworking[[#This Row],[Magnum Wolfpak '#]],Table2[Rox Wolf'#],0)))</f>
        <v>0</v>
      </c>
      <c r="T144" s="34">
        <f>rrcworking[[#This Row],[Closing Stock (Oil)]]+rrcworking[[#This Row],[Sales/Dispostion]]-rrcworking[[#This Row],[Opening Oil Stock]]</f>
        <v>0</v>
      </c>
      <c r="U144" s="108">
        <f>rrcworking[[#This Row],[Gauge Sheet Prod Volume (oil)]]-rrcworking[[#This Row],[Oil Production]]</f>
        <v>0</v>
      </c>
      <c r="V144" s="133">
        <f>IF(ISERROR(INDEX(Table2[GAS],MATCH(rrcworking[[#This Row],[Magnum Wolfpak '#]],Table2[Rox Wolf'#],0))),0,INDEX(Table2[GAS],MATCH(rrcworking[[#This Row],[Magnum Wolfpak '#]],Table2[Rox Wolf'#],0)))</f>
        <v>0</v>
      </c>
      <c r="W144" s="58"/>
      <c r="X144" s="58"/>
      <c r="Y144" s="133">
        <f>IF(ISERROR(INDEX(Table2[LEASE USE],MATCH(rrcworking[[#This Row],[Magnum Wolfpak '#]],Table2[Rox Wolf'#],0))),0,INDEX(Table2[LEASE USE],MATCH(rrcworking[[#This Row],[Magnum Wolfpak '#]],Table2[Rox Wolf'#],0)))</f>
        <v>0</v>
      </c>
      <c r="Z144" s="133"/>
      <c r="AA144" s="56">
        <f>rrcworking[[#This Row],[Gas Sales Statement Volume (MCF)]]+rrcworking[[#This Row],[Lease Use (MCF)]]+rrcworking[[#This Row],[Flared Gas]]</f>
        <v>0</v>
      </c>
      <c r="AB144" s="36"/>
      <c r="AC144" s="36"/>
      <c r="AD144" s="175">
        <f>COUNTIF(FilterList,rrcworking[[#This Row],[Magnum Wolfpak '#]])</f>
        <v>0</v>
      </c>
      <c r="AE144" s="172"/>
      <c r="AF144" s="173"/>
      <c r="AG144" s="36"/>
      <c r="AH144" s="36"/>
      <c r="AI144" s="36"/>
      <c r="AJ144" s="36"/>
      <c r="AK144" s="36"/>
      <c r="AL144" s="36"/>
      <c r="AM144" s="36"/>
      <c r="AN144" s="36"/>
      <c r="AO144" s="36"/>
      <c r="AP144" s="36"/>
    </row>
    <row r="145" spans="3:42" ht="14">
      <c r="C145" s="78">
        <v>99256</v>
      </c>
      <c r="D145" s="60" t="s">
        <v>111</v>
      </c>
      <c r="E145" s="125" t="s">
        <v>110</v>
      </c>
      <c r="F145" s="124">
        <v>1</v>
      </c>
      <c r="G145" s="115">
        <v>5048</v>
      </c>
      <c r="H145" s="18" t="s">
        <v>617</v>
      </c>
      <c r="I145" s="18" t="s">
        <v>59</v>
      </c>
      <c r="J145" s="19" t="s">
        <v>434</v>
      </c>
      <c r="K145" s="99">
        <v>180461</v>
      </c>
      <c r="L145" s="97">
        <f>INDEX(Table1[Production],MATCH(rrcworking[[#This Row],[RRC ID Number]],Table1[RRC Identifier],0))</f>
        <v>48</v>
      </c>
      <c r="M145" s="29">
        <f>INDEX(Table1[Formation Production],MATCH(rrcworking[[#This Row],[RRC ID Number]],Table1[RRC Identifier],0))</f>
        <v>1896</v>
      </c>
      <c r="N145" s="30">
        <f>INDEX(Table1[On Hand End of Month],MATCH(rrcworking[[#This Row],[RRC ID Number]],Table1[RRC Identifier],0))</f>
        <v>248</v>
      </c>
      <c r="O145" s="102" t="b">
        <f t="shared" si="4"/>
        <v>0</v>
      </c>
      <c r="P145">
        <v>33</v>
      </c>
      <c r="Q145" s="122">
        <f>rrcworking[[#This Row],[Last Month Closing Stock]]</f>
        <v>248</v>
      </c>
      <c r="R145">
        <v>107</v>
      </c>
      <c r="S145" s="133">
        <f>IF(ISERROR(INDEX(Table2[OIL],MATCH(rrcworking[[#This Row],[Magnum Wolfpak '#]],Table2[Rox Wolf'#],0))),0,INDEX(Table2[OIL],MATCH(rrcworking[[#This Row],[Magnum Wolfpak '#]],Table2[Rox Wolf'#],0)))</f>
        <v>178</v>
      </c>
      <c r="T145" s="34">
        <f>rrcworking[[#This Row],[Closing Stock (Oil)]]+rrcworking[[#This Row],[Sales/Dispostion]]-rrcworking[[#This Row],[Opening Oil Stock]]</f>
        <v>37</v>
      </c>
      <c r="U145" s="108">
        <f>rrcworking[[#This Row],[Gauge Sheet Prod Volume (oil)]]-rrcworking[[#This Row],[Oil Production]]</f>
        <v>-4</v>
      </c>
      <c r="V145" s="133">
        <f>IF(ISERROR(INDEX(Table2[GAS],MATCH(rrcworking[[#This Row],[Magnum Wolfpak '#]],Table2[Rox Wolf'#],0))),0,INDEX(Table2[GAS],MATCH(rrcworking[[#This Row],[Magnum Wolfpak '#]],Table2[Rox Wolf'#],0)))</f>
        <v>1846</v>
      </c>
      <c r="W145" s="58"/>
      <c r="X145" s="58"/>
      <c r="Y145" s="133">
        <f>IF(ISERROR(INDEX(Table2[LEASE USE],MATCH(rrcworking[[#This Row],[Magnum Wolfpak '#]],Table2[Rox Wolf'#],0))),0,INDEX(Table2[LEASE USE],MATCH(rrcworking[[#This Row],[Magnum Wolfpak '#]],Table2[Rox Wolf'#],0)))</f>
        <v>0</v>
      </c>
      <c r="Z145" s="133"/>
      <c r="AA145" s="56">
        <f>rrcworking[[#This Row],[Gas Sales Statement Volume (MCF)]]+rrcworking[[#This Row],[Lease Use (MCF)]]+rrcworking[[#This Row],[Flared Gas]]</f>
        <v>1846</v>
      </c>
      <c r="AB145" s="36"/>
      <c r="AC145" s="36"/>
      <c r="AD145" s="175">
        <f>COUNTIF(FilterList,rrcworking[[#This Row],[Magnum Wolfpak '#]])</f>
        <v>0</v>
      </c>
      <c r="AE145" s="172"/>
      <c r="AF145" s="173"/>
      <c r="AG145" s="36"/>
      <c r="AH145" s="173"/>
      <c r="AI145" s="36">
        <v>2</v>
      </c>
      <c r="AJ145" s="36" t="s">
        <v>1165</v>
      </c>
      <c r="AK145" s="36" t="s">
        <v>1165</v>
      </c>
      <c r="AL145" s="36" t="s">
        <v>1214</v>
      </c>
      <c r="AM145" s="36" t="s">
        <v>1165</v>
      </c>
      <c r="AN145" s="36" t="s">
        <v>1281</v>
      </c>
      <c r="AO145" s="36" t="s">
        <v>1215</v>
      </c>
      <c r="AP145" s="36"/>
    </row>
    <row r="146" spans="3:42" ht="14">
      <c r="C146" s="78" t="e">
        <v>#N/A</v>
      </c>
      <c r="D146" s="60" t="s">
        <v>107</v>
      </c>
      <c r="E146" s="125" t="s">
        <v>108</v>
      </c>
      <c r="F146" s="124">
        <v>1</v>
      </c>
      <c r="G146" s="115" t="s">
        <v>1090</v>
      </c>
      <c r="H146" s="18" t="s">
        <v>617</v>
      </c>
      <c r="I146" s="18" t="s">
        <v>59</v>
      </c>
      <c r="J146" s="19" t="s">
        <v>432</v>
      </c>
      <c r="K146" s="99">
        <v>253815</v>
      </c>
      <c r="L146" s="97">
        <f>INDEX(Table1[Production],MATCH(rrcworking[[#This Row],[RRC ID Number]],Table1[RRC Identifier],0))</f>
        <v>0</v>
      </c>
      <c r="M146" s="29">
        <f>INDEX(Table1[Formation Production],MATCH(rrcworking[[#This Row],[RRC ID Number]],Table1[RRC Identifier],0))</f>
        <v>0</v>
      </c>
      <c r="N146" s="30">
        <f>INDEX(Table1[On Hand End of Month],MATCH(rrcworking[[#This Row],[RRC ID Number]],Table1[RRC Identifier],0))</f>
        <v>0</v>
      </c>
      <c r="O146" s="102" t="b">
        <f t="shared" si="4"/>
        <v>1</v>
      </c>
      <c r="Q146" s="122">
        <f>rrcworking[[#This Row],[Last Month Closing Stock]]</f>
        <v>0</v>
      </c>
      <c r="R146">
        <f>rrcworking[[#This Row],[Opening Oil Stock]]</f>
        <v>0</v>
      </c>
      <c r="S146" s="133">
        <f>IF(ISERROR(INDEX(Table2[OIL],MATCH(rrcworking[[#This Row],[Magnum Wolfpak '#]],Table2[Rox Wolf'#],0))),0,INDEX(Table2[OIL],MATCH(rrcworking[[#This Row],[Magnum Wolfpak '#]],Table2[Rox Wolf'#],0)))</f>
        <v>0</v>
      </c>
      <c r="T146" s="34">
        <f>rrcworking[[#This Row],[Closing Stock (Oil)]]+rrcworking[[#This Row],[Sales/Dispostion]]-rrcworking[[#This Row],[Opening Oil Stock]]</f>
        <v>0</v>
      </c>
      <c r="U146" s="108">
        <f>rrcworking[[#This Row],[Gauge Sheet Prod Volume (oil)]]-rrcworking[[#This Row],[Oil Production]]</f>
        <v>0</v>
      </c>
      <c r="V146" s="133">
        <f>IF(ISERROR(INDEX(Table2[GAS],MATCH(rrcworking[[#This Row],[Magnum Wolfpak '#]],Table2[Rox Wolf'#],0))),0,INDEX(Table2[GAS],MATCH(rrcworking[[#This Row],[Magnum Wolfpak '#]],Table2[Rox Wolf'#],0)))</f>
        <v>0</v>
      </c>
      <c r="W146" s="58"/>
      <c r="X146" s="58"/>
      <c r="Y146" s="133">
        <f>IF(ISERROR(INDEX(Table2[LEASE USE],MATCH(rrcworking[[#This Row],[Magnum Wolfpak '#]],Table2[Rox Wolf'#],0))),0,INDEX(Table2[LEASE USE],MATCH(rrcworking[[#This Row],[Magnum Wolfpak '#]],Table2[Rox Wolf'#],0)))</f>
        <v>0</v>
      </c>
      <c r="Z146" s="133"/>
      <c r="AA146" s="56">
        <f>rrcworking[[#This Row],[Gas Sales Statement Volume (MCF)]]+rrcworking[[#This Row],[Lease Use (MCF)]]+rrcworking[[#This Row],[Flared Gas]]</f>
        <v>0</v>
      </c>
      <c r="AB146" s="36"/>
      <c r="AC146" s="36"/>
      <c r="AD146" s="175">
        <f>COUNTIF(FilterList,rrcworking[[#This Row],[Magnum Wolfpak '#]])</f>
        <v>0</v>
      </c>
      <c r="AE146" s="172"/>
      <c r="AF146" s="173"/>
      <c r="AG146" s="36"/>
      <c r="AH146" s="36"/>
      <c r="AI146" s="36"/>
      <c r="AJ146" s="36"/>
      <c r="AK146" s="36"/>
      <c r="AL146" s="36"/>
      <c r="AM146" s="36"/>
      <c r="AN146" s="36"/>
      <c r="AO146" s="36"/>
      <c r="AP146" s="36"/>
    </row>
    <row r="147" spans="3:42" ht="14">
      <c r="C147" s="78" t="e">
        <v>#N/A</v>
      </c>
      <c r="D147" s="60" t="s">
        <v>194</v>
      </c>
      <c r="E147" s="125" t="s">
        <v>195</v>
      </c>
      <c r="F147" s="124">
        <v>0</v>
      </c>
      <c r="G147" s="115" t="s">
        <v>1090</v>
      </c>
      <c r="H147" s="18" t="s">
        <v>618</v>
      </c>
      <c r="I147" s="18" t="s">
        <v>2</v>
      </c>
      <c r="J147" s="19" t="s">
        <v>486</v>
      </c>
      <c r="K147" s="99">
        <v>24246</v>
      </c>
      <c r="L147" s="97">
        <f>INDEX(Table1[Production],MATCH(rrcworking[[#This Row],[RRC ID Number]],Table1[RRC Identifier],0))</f>
        <v>0</v>
      </c>
      <c r="M147" s="29">
        <f>INDEX(Table1[Formation Production],MATCH(rrcworking[[#This Row],[RRC ID Number]],Table1[RRC Identifier],0))</f>
        <v>0</v>
      </c>
      <c r="N147" s="30">
        <f>INDEX(Table1[On Hand End of Month],MATCH(rrcworking[[#This Row],[RRC ID Number]],Table1[RRC Identifier],0))</f>
        <v>52</v>
      </c>
      <c r="O147" s="102" t="b">
        <f t="shared" si="4"/>
        <v>1</v>
      </c>
      <c r="Q147" s="122">
        <f>rrcworking[[#This Row],[Last Month Closing Stock]]</f>
        <v>52</v>
      </c>
      <c r="R147">
        <f>rrcworking[[#This Row],[Opening Oil Stock]]</f>
        <v>52</v>
      </c>
      <c r="S147" s="133">
        <f>IF(ISERROR(INDEX(Table2[OIL],MATCH(rrcworking[[#This Row],[Magnum Wolfpak '#]],Table2[Rox Wolf'#],0))),0,INDEX(Table2[OIL],MATCH(rrcworking[[#This Row],[Magnum Wolfpak '#]],Table2[Rox Wolf'#],0)))</f>
        <v>0</v>
      </c>
      <c r="T147" s="34">
        <f>rrcworking[[#This Row],[Closing Stock (Oil)]]+rrcworking[[#This Row],[Sales/Dispostion]]-rrcworking[[#This Row],[Opening Oil Stock]]</f>
        <v>0</v>
      </c>
      <c r="U147" s="108">
        <f>rrcworking[[#This Row],[Gauge Sheet Prod Volume (oil)]]-rrcworking[[#This Row],[Oil Production]]</f>
        <v>0</v>
      </c>
      <c r="V147" s="133">
        <f>IF(ISERROR(INDEX(Table2[GAS],MATCH(rrcworking[[#This Row],[Magnum Wolfpak '#]],Table2[Rox Wolf'#],0))),0,INDEX(Table2[GAS],MATCH(rrcworking[[#This Row],[Magnum Wolfpak '#]],Table2[Rox Wolf'#],0)))</f>
        <v>0</v>
      </c>
      <c r="W147" s="58"/>
      <c r="X147" s="58"/>
      <c r="Y147" s="133">
        <f>IF(ISERROR(INDEX(Table2[LEASE USE],MATCH(rrcworking[[#This Row],[Magnum Wolfpak '#]],Table2[Rox Wolf'#],0))),0,INDEX(Table2[LEASE USE],MATCH(rrcworking[[#This Row],[Magnum Wolfpak '#]],Table2[Rox Wolf'#],0)))</f>
        <v>0</v>
      </c>
      <c r="Z147" s="133"/>
      <c r="AA147" s="56">
        <f>rrcworking[[#This Row],[Gas Sales Statement Volume (MCF)]]+rrcworking[[#This Row],[Lease Use (MCF)]]+rrcworking[[#This Row],[Flared Gas]]</f>
        <v>0</v>
      </c>
      <c r="AB147" s="61"/>
      <c r="AC147" s="36"/>
      <c r="AD147" s="175">
        <f>COUNTIF(FilterList,rrcworking[[#This Row],[Magnum Wolfpak '#]])</f>
        <v>0</v>
      </c>
      <c r="AE147" s="172"/>
      <c r="AF147" s="173"/>
      <c r="AG147" s="36"/>
      <c r="AH147" s="36"/>
      <c r="AI147" s="36"/>
      <c r="AJ147" s="36"/>
      <c r="AK147" s="36"/>
      <c r="AL147" s="36"/>
      <c r="AM147" s="36"/>
      <c r="AN147" s="36"/>
      <c r="AO147" s="36"/>
      <c r="AP147" s="36"/>
    </row>
    <row r="148" spans="3:42" ht="14">
      <c r="C148" s="78" t="e">
        <v>#N/A</v>
      </c>
      <c r="D148" s="60" t="s">
        <v>149</v>
      </c>
      <c r="E148" s="125" t="s">
        <v>150</v>
      </c>
      <c r="F148" s="124">
        <v>1</v>
      </c>
      <c r="G148" s="115" t="s">
        <v>1090</v>
      </c>
      <c r="H148" s="18" t="s">
        <v>618</v>
      </c>
      <c r="I148" s="18" t="s">
        <v>59</v>
      </c>
      <c r="J148" s="19" t="s">
        <v>459</v>
      </c>
      <c r="K148" s="99">
        <v>253385</v>
      </c>
      <c r="L148" s="97">
        <f>INDEX(Table1[Production],MATCH(rrcworking[[#This Row],[RRC ID Number]],Table1[RRC Identifier],0))</f>
        <v>0</v>
      </c>
      <c r="M148" s="29">
        <f>INDEX(Table1[Formation Production],MATCH(rrcworking[[#This Row],[RRC ID Number]],Table1[RRC Identifier],0))</f>
        <v>0</v>
      </c>
      <c r="N148" s="30">
        <f>INDEX(Table1[On Hand End of Month],MATCH(rrcworking[[#This Row],[RRC ID Number]],Table1[RRC Identifier],0))</f>
        <v>53</v>
      </c>
      <c r="O148" s="102" t="b">
        <f t="shared" si="4"/>
        <v>1</v>
      </c>
      <c r="Q148" s="122">
        <f>rrcworking[[#This Row],[Last Month Closing Stock]]</f>
        <v>53</v>
      </c>
      <c r="R148">
        <f>rrcworking[[#This Row],[Opening Oil Stock]]</f>
        <v>53</v>
      </c>
      <c r="S148" s="133">
        <f>IF(ISERROR(INDEX(Table2[OIL],MATCH(rrcworking[[#This Row],[Magnum Wolfpak '#]],Table2[Rox Wolf'#],0))),0,INDEX(Table2[OIL],MATCH(rrcworking[[#This Row],[Magnum Wolfpak '#]],Table2[Rox Wolf'#],0)))</f>
        <v>0</v>
      </c>
      <c r="T148" s="34">
        <f>rrcworking[[#This Row],[Closing Stock (Oil)]]+rrcworking[[#This Row],[Sales/Dispostion]]-rrcworking[[#This Row],[Opening Oil Stock]]</f>
        <v>0</v>
      </c>
      <c r="U148" s="108">
        <f>rrcworking[[#This Row],[Gauge Sheet Prod Volume (oil)]]-rrcworking[[#This Row],[Oil Production]]</f>
        <v>0</v>
      </c>
      <c r="V148" s="133">
        <f>IF(ISERROR(INDEX(Table2[GAS],MATCH(rrcworking[[#This Row],[Magnum Wolfpak '#]],Table2[Rox Wolf'#],0))),0,INDEX(Table2[GAS],MATCH(rrcworking[[#This Row],[Magnum Wolfpak '#]],Table2[Rox Wolf'#],0)))</f>
        <v>0</v>
      </c>
      <c r="W148" s="58"/>
      <c r="X148" s="58"/>
      <c r="Y148" s="133">
        <f>IF(ISERROR(INDEX(Table2[LEASE USE],MATCH(rrcworking[[#This Row],[Magnum Wolfpak '#]],Table2[Rox Wolf'#],0))),0,INDEX(Table2[LEASE USE],MATCH(rrcworking[[#This Row],[Magnum Wolfpak '#]],Table2[Rox Wolf'#],0)))</f>
        <v>0</v>
      </c>
      <c r="Z148" s="133"/>
      <c r="AA148" s="56">
        <f>rrcworking[[#This Row],[Gas Sales Statement Volume (MCF)]]+rrcworking[[#This Row],[Lease Use (MCF)]]+rrcworking[[#This Row],[Flared Gas]]</f>
        <v>0</v>
      </c>
      <c r="AB148" s="36"/>
      <c r="AC148" s="36"/>
      <c r="AD148" s="175">
        <f>COUNTIF(FilterList,rrcworking[[#This Row],[Magnum Wolfpak '#]])</f>
        <v>0</v>
      </c>
      <c r="AE148" s="172"/>
      <c r="AF148" s="173"/>
      <c r="AG148" s="36"/>
      <c r="AH148" s="36"/>
      <c r="AI148" s="36"/>
      <c r="AJ148" s="36"/>
      <c r="AK148" s="36"/>
      <c r="AL148" s="36"/>
      <c r="AM148" s="36"/>
      <c r="AN148" s="36"/>
      <c r="AO148" s="36"/>
      <c r="AP148" s="36"/>
    </row>
    <row r="149" spans="3:42" ht="168">
      <c r="C149" s="78">
        <v>98910</v>
      </c>
      <c r="D149" s="60" t="s">
        <v>281</v>
      </c>
      <c r="E149" s="125" t="s">
        <v>282</v>
      </c>
      <c r="F149" s="124">
        <v>0</v>
      </c>
      <c r="G149" s="115" t="s">
        <v>1090</v>
      </c>
      <c r="H149" s="18" t="s">
        <v>618</v>
      </c>
      <c r="I149" s="18" t="s">
        <v>2</v>
      </c>
      <c r="J149" s="19" t="s">
        <v>535</v>
      </c>
      <c r="K149" s="99">
        <v>11349</v>
      </c>
      <c r="L149" s="97">
        <f>INDEX(Table1[Production],MATCH(rrcworking[[#This Row],[RRC ID Number]],Table1[RRC Identifier],0))</f>
        <v>1215</v>
      </c>
      <c r="M149" s="29">
        <f>INDEX(Table1[Formation Production],MATCH(rrcworking[[#This Row],[RRC ID Number]],Table1[RRC Identifier],0))</f>
        <v>12</v>
      </c>
      <c r="N149" s="30">
        <f>INDEX(Table1[On Hand End of Month],MATCH(rrcworking[[#This Row],[RRC ID Number]],Table1[RRC Identifier],0))</f>
        <v>735</v>
      </c>
      <c r="O149" s="102" t="b">
        <f t="shared" si="4"/>
        <v>0</v>
      </c>
      <c r="P149">
        <v>1343</v>
      </c>
      <c r="Q149" s="122">
        <f>rrcworking[[#This Row],[Last Month Closing Stock]]</f>
        <v>735</v>
      </c>
      <c r="R149">
        <v>181</v>
      </c>
      <c r="S149" s="133">
        <f>IF(ISERROR(INDEX(Table2[OIL],MATCH(rrcworking[[#This Row],[Magnum Wolfpak '#]],Table2[Rox Wolf'#],0))),0,INDEX(Table2[OIL],MATCH(rrcworking[[#This Row],[Magnum Wolfpak '#]],Table2[Rox Wolf'#],0)))</f>
        <v>1554</v>
      </c>
      <c r="T149" s="34">
        <f>rrcworking[[#This Row],[Closing Stock (Oil)]]+rrcworking[[#This Row],[Sales/Dispostion]]-rrcworking[[#This Row],[Opening Oil Stock]]</f>
        <v>1000</v>
      </c>
      <c r="U149" s="108">
        <f>rrcworking[[#This Row],[Gauge Sheet Prod Volume (oil)]]-rrcworking[[#This Row],[Oil Production]]</f>
        <v>343</v>
      </c>
      <c r="V149" s="133">
        <f>IF(ISERROR(INDEX(Table2[GAS],MATCH(rrcworking[[#This Row],[Magnum Wolfpak '#]],Table2[Rox Wolf'#],0))),0,INDEX(Table2[GAS],MATCH(rrcworking[[#This Row],[Magnum Wolfpak '#]],Table2[Rox Wolf'#],0)))</f>
        <v>0</v>
      </c>
      <c r="W149" s="58"/>
      <c r="X149" s="58">
        <v>4</v>
      </c>
      <c r="Y149" s="133">
        <f>IF(ISERROR(INDEX(Table2[LEASE USE],MATCH(rrcworking[[#This Row],[Magnum Wolfpak '#]],Table2[Rox Wolf'#],0))),0,INDEX(Table2[LEASE USE],MATCH(rrcworking[[#This Row],[Magnum Wolfpak '#]],Table2[Rox Wolf'#],0)))</f>
        <v>120</v>
      </c>
      <c r="Z149" s="133"/>
      <c r="AA149" s="56">
        <f>rrcworking[[#This Row],[Gas Sales Statement Volume (MCF)]]+rrcworking[[#This Row],[Lease Use (MCF)]]+rrcworking[[#This Row],[Flared Gas]]</f>
        <v>120</v>
      </c>
      <c r="AB149" s="36"/>
      <c r="AC149" s="36" t="s">
        <v>1311</v>
      </c>
      <c r="AD149" s="175">
        <f>COUNTIF(FilterList,rrcworking[[#This Row],[Magnum Wolfpak '#]])</f>
        <v>0</v>
      </c>
      <c r="AE149" s="172"/>
      <c r="AF149" s="173"/>
      <c r="AG149" s="36"/>
      <c r="AH149" s="173"/>
      <c r="AI149" s="174"/>
      <c r="AJ149" s="174"/>
      <c r="AK149" s="174"/>
      <c r="AL149" s="174"/>
      <c r="AM149" s="174"/>
      <c r="AN149" s="174"/>
      <c r="AO149" s="36" t="s">
        <v>1163</v>
      </c>
      <c r="AP149" s="36" t="s">
        <v>1197</v>
      </c>
    </row>
    <row r="150" spans="3:42" ht="14">
      <c r="C150" s="78" t="e">
        <v>#N/A</v>
      </c>
      <c r="D150" s="60" t="s">
        <v>321</v>
      </c>
      <c r="E150" s="125" t="s">
        <v>322</v>
      </c>
      <c r="F150" s="124">
        <v>1</v>
      </c>
      <c r="G150" s="115" t="s">
        <v>1090</v>
      </c>
      <c r="H150" s="18" t="s">
        <v>619</v>
      </c>
      <c r="I150" s="18" t="s">
        <v>59</v>
      </c>
      <c r="J150" s="19" t="s">
        <v>559</v>
      </c>
      <c r="K150" s="99">
        <v>167923</v>
      </c>
      <c r="L150" s="97">
        <f>INDEX(Table1[Production],MATCH(rrcworking[[#This Row],[RRC ID Number]],Table1[RRC Identifier],0))</f>
        <v>0</v>
      </c>
      <c r="M150" s="29">
        <f>INDEX(Table1[Formation Production],MATCH(rrcworking[[#This Row],[RRC ID Number]],Table1[RRC Identifier],0))</f>
        <v>0</v>
      </c>
      <c r="N150" s="30">
        <f>INDEX(Table1[On Hand End of Month],MATCH(rrcworking[[#This Row],[RRC ID Number]],Table1[RRC Identifier],0))</f>
        <v>0</v>
      </c>
      <c r="O150" s="102" t="b">
        <f t="shared" si="4"/>
        <v>1</v>
      </c>
      <c r="Q150" s="122">
        <f>rrcworking[[#This Row],[Last Month Closing Stock]]</f>
        <v>0</v>
      </c>
      <c r="R150">
        <f>rrcworking[[#This Row],[Opening Oil Stock]]</f>
        <v>0</v>
      </c>
      <c r="S150" s="133">
        <f>IF(ISERROR(INDEX(Table2[OIL],MATCH(rrcworking[[#This Row],[Magnum Wolfpak '#]],Table2[Rox Wolf'#],0))),0,INDEX(Table2[OIL],MATCH(rrcworking[[#This Row],[Magnum Wolfpak '#]],Table2[Rox Wolf'#],0)))</f>
        <v>0</v>
      </c>
      <c r="T150" s="34">
        <f>rrcworking[[#This Row],[Closing Stock (Oil)]]+rrcworking[[#This Row],[Sales/Dispostion]]-rrcworking[[#This Row],[Opening Oil Stock]]</f>
        <v>0</v>
      </c>
      <c r="U150" s="108">
        <f>rrcworking[[#This Row],[Gauge Sheet Prod Volume (oil)]]-rrcworking[[#This Row],[Oil Production]]</f>
        <v>0</v>
      </c>
      <c r="V150" s="133">
        <f>IF(ISERROR(INDEX(Table2[GAS],MATCH(rrcworking[[#This Row],[Magnum Wolfpak '#]],Table2[Rox Wolf'#],0))),0,INDEX(Table2[GAS],MATCH(rrcworking[[#This Row],[Magnum Wolfpak '#]],Table2[Rox Wolf'#],0)))</f>
        <v>0</v>
      </c>
      <c r="W150" s="58"/>
      <c r="X150" s="58"/>
      <c r="Y150" s="133">
        <f>IF(ISERROR(INDEX(Table2[LEASE USE],MATCH(rrcworking[[#This Row],[Magnum Wolfpak '#]],Table2[Rox Wolf'#],0))),0,INDEX(Table2[LEASE USE],MATCH(rrcworking[[#This Row],[Magnum Wolfpak '#]],Table2[Rox Wolf'#],0)))</f>
        <v>0</v>
      </c>
      <c r="Z150" s="133"/>
      <c r="AA150" s="56">
        <f>rrcworking[[#This Row],[Gas Sales Statement Volume (MCF)]]+rrcworking[[#This Row],[Lease Use (MCF)]]+rrcworking[[#This Row],[Flared Gas]]</f>
        <v>0</v>
      </c>
      <c r="AB150" s="36"/>
      <c r="AC150" s="36"/>
      <c r="AD150" s="175">
        <f>COUNTIF(FilterList,rrcworking[[#This Row],[Magnum Wolfpak '#]])</f>
        <v>0</v>
      </c>
      <c r="AE150" s="172"/>
      <c r="AF150" s="173"/>
      <c r="AG150" s="36"/>
      <c r="AH150" s="36"/>
      <c r="AI150" s="36"/>
      <c r="AJ150" s="36"/>
      <c r="AK150" s="36"/>
      <c r="AL150" s="36"/>
      <c r="AM150" s="36"/>
      <c r="AN150" s="36"/>
      <c r="AO150" s="36"/>
      <c r="AP150" s="36"/>
    </row>
    <row r="151" spans="3:42" ht="14">
      <c r="C151" s="78" t="e">
        <v>#N/A</v>
      </c>
      <c r="D151" s="60" t="s">
        <v>262</v>
      </c>
      <c r="E151" s="125" t="s">
        <v>263</v>
      </c>
      <c r="F151" s="124">
        <v>1</v>
      </c>
      <c r="G151" s="115" t="s">
        <v>1090</v>
      </c>
      <c r="H151" s="18" t="s">
        <v>618</v>
      </c>
      <c r="I151" s="18" t="s">
        <v>59</v>
      </c>
      <c r="J151" s="19" t="s">
        <v>520</v>
      </c>
      <c r="K151" s="99">
        <v>47134</v>
      </c>
      <c r="L151" s="97">
        <f>INDEX(Table1[Production],MATCH(rrcworking[[#This Row],[RRC ID Number]],Table1[RRC Identifier],0))</f>
        <v>0</v>
      </c>
      <c r="M151" s="29">
        <f>INDEX(Table1[Formation Production],MATCH(rrcworking[[#This Row],[RRC ID Number]],Table1[RRC Identifier],0))</f>
        <v>0</v>
      </c>
      <c r="N151" s="30">
        <f>INDEX(Table1[On Hand End of Month],MATCH(rrcworking[[#This Row],[RRC ID Number]],Table1[RRC Identifier],0))</f>
        <v>0</v>
      </c>
      <c r="O151" s="102" t="b">
        <f t="shared" si="4"/>
        <v>1</v>
      </c>
      <c r="Q151" s="122">
        <f>rrcworking[[#This Row],[Last Month Closing Stock]]</f>
        <v>0</v>
      </c>
      <c r="R151">
        <f>rrcworking[[#This Row],[Opening Oil Stock]]</f>
        <v>0</v>
      </c>
      <c r="S151" s="133">
        <f>IF(ISERROR(INDEX(Table2[OIL],MATCH(rrcworking[[#This Row],[Magnum Wolfpak '#]],Table2[Rox Wolf'#],0))),0,INDEX(Table2[OIL],MATCH(rrcworking[[#This Row],[Magnum Wolfpak '#]],Table2[Rox Wolf'#],0)))</f>
        <v>0</v>
      </c>
      <c r="T151" s="34">
        <f>rrcworking[[#This Row],[Closing Stock (Oil)]]+rrcworking[[#This Row],[Sales/Dispostion]]-rrcworking[[#This Row],[Opening Oil Stock]]</f>
        <v>0</v>
      </c>
      <c r="U151" s="108">
        <f>rrcworking[[#This Row],[Gauge Sheet Prod Volume (oil)]]-rrcworking[[#This Row],[Oil Production]]</f>
        <v>0</v>
      </c>
      <c r="V151" s="133">
        <f>IF(ISERROR(INDEX(Table2[GAS],MATCH(rrcworking[[#This Row],[Magnum Wolfpak '#]],Table2[Rox Wolf'#],0))),0,INDEX(Table2[GAS],MATCH(rrcworking[[#This Row],[Magnum Wolfpak '#]],Table2[Rox Wolf'#],0)))</f>
        <v>0</v>
      </c>
      <c r="W151" s="58"/>
      <c r="X151" s="58"/>
      <c r="Y151" s="133">
        <f>IF(ISERROR(INDEX(Table2[LEASE USE],MATCH(rrcworking[[#This Row],[Magnum Wolfpak '#]],Table2[Rox Wolf'#],0))),0,INDEX(Table2[LEASE USE],MATCH(rrcworking[[#This Row],[Magnum Wolfpak '#]],Table2[Rox Wolf'#],0)))</f>
        <v>0</v>
      </c>
      <c r="Z151" s="133"/>
      <c r="AA151" s="56">
        <f>rrcworking[[#This Row],[Gas Sales Statement Volume (MCF)]]+rrcworking[[#This Row],[Lease Use (MCF)]]+rrcworking[[#This Row],[Flared Gas]]</f>
        <v>0</v>
      </c>
      <c r="AB151" s="36"/>
      <c r="AC151" s="36"/>
      <c r="AD151" s="175">
        <f>COUNTIF(FilterList,rrcworking[[#This Row],[Magnum Wolfpak '#]])</f>
        <v>0</v>
      </c>
      <c r="AE151" s="172"/>
      <c r="AF151" s="173"/>
      <c r="AG151" s="36"/>
      <c r="AH151" s="36"/>
      <c r="AI151" s="36"/>
      <c r="AJ151" s="36"/>
      <c r="AK151" s="36"/>
      <c r="AL151" s="36"/>
      <c r="AM151" s="36"/>
      <c r="AN151" s="36"/>
      <c r="AO151" s="36"/>
      <c r="AP151" s="36"/>
    </row>
    <row r="152" spans="3:42" ht="14">
      <c r="C152" s="78">
        <v>98401</v>
      </c>
      <c r="D152" s="60" t="s">
        <v>260</v>
      </c>
      <c r="E152" s="125" t="s">
        <v>261</v>
      </c>
      <c r="F152" s="124">
        <v>2</v>
      </c>
      <c r="G152" s="115" t="s">
        <v>1090</v>
      </c>
      <c r="H152" s="18" t="s">
        <v>618</v>
      </c>
      <c r="I152" s="18" t="s">
        <v>59</v>
      </c>
      <c r="J152" s="19" t="s">
        <v>519</v>
      </c>
      <c r="K152" s="99">
        <v>193384</v>
      </c>
      <c r="L152" s="97">
        <f>INDEX(Table1[Production],MATCH(rrcworking[[#This Row],[RRC ID Number]],Table1[RRC Identifier],0))</f>
        <v>62</v>
      </c>
      <c r="M152" s="29">
        <f>INDEX(Table1[Formation Production],MATCH(rrcworking[[#This Row],[RRC ID Number]],Table1[RRC Identifier],0))</f>
        <v>3426</v>
      </c>
      <c r="N152" s="30">
        <f>INDEX(Table1[On Hand End of Month],MATCH(rrcworking[[#This Row],[RRC ID Number]],Table1[RRC Identifier],0))</f>
        <v>258</v>
      </c>
      <c r="O152" s="102" t="b">
        <f t="shared" si="4"/>
        <v>0</v>
      </c>
      <c r="P152">
        <v>64</v>
      </c>
      <c r="Q152" s="122">
        <f>rrcworking[[#This Row],[Last Month Closing Stock]]</f>
        <v>258</v>
      </c>
      <c r="R152">
        <v>322</v>
      </c>
      <c r="S152" s="133">
        <f>IF(ISERROR(INDEX(Table2[OIL],MATCH(rrcworking[[#This Row],[Magnum Wolfpak '#]],Table2[Rox Wolf'#],0))),0,INDEX(Table2[OIL],MATCH(rrcworking[[#This Row],[Magnum Wolfpak '#]],Table2[Rox Wolf'#],0)))</f>
        <v>0</v>
      </c>
      <c r="T152" s="34">
        <f>rrcworking[[#This Row],[Closing Stock (Oil)]]+rrcworking[[#This Row],[Sales/Dispostion]]-rrcworking[[#This Row],[Opening Oil Stock]]</f>
        <v>64</v>
      </c>
      <c r="U152" s="108">
        <f>rrcworking[[#This Row],[Gauge Sheet Prod Volume (oil)]]-rrcworking[[#This Row],[Oil Production]]</f>
        <v>0</v>
      </c>
      <c r="V152" s="133">
        <f>IF(ISERROR(INDEX(Table2[GAS],MATCH(rrcworking[[#This Row],[Magnum Wolfpak '#]],Table2[Rox Wolf'#],0))),0,INDEX(Table2[GAS],MATCH(rrcworking[[#This Row],[Magnum Wolfpak '#]],Table2[Rox Wolf'#],0)))</f>
        <v>2602</v>
      </c>
      <c r="W152" s="82"/>
      <c r="X152" s="58">
        <v>3</v>
      </c>
      <c r="Y152" s="133">
        <f>IF(ISERROR(INDEX(Table2[LEASE USE],MATCH(rrcworking[[#This Row],[Magnum Wolfpak '#]],Table2[Rox Wolf'#],0))),0,INDEX(Table2[LEASE USE],MATCH(rrcworking[[#This Row],[Magnum Wolfpak '#]],Table2[Rox Wolf'#],0)))</f>
        <v>48</v>
      </c>
      <c r="Z152" s="133"/>
      <c r="AA152" s="56">
        <f>rrcworking[[#This Row],[Gas Sales Statement Volume (MCF)]]+rrcworking[[#This Row],[Lease Use (MCF)]]+rrcworking[[#This Row],[Flared Gas]]</f>
        <v>2650</v>
      </c>
      <c r="AB152" s="36"/>
      <c r="AC152" s="36"/>
      <c r="AD152" s="175">
        <f>COUNTIF(FilterList,rrcworking[[#This Row],[Magnum Wolfpak '#]])</f>
        <v>0</v>
      </c>
      <c r="AE152" s="172"/>
      <c r="AF152" s="173"/>
      <c r="AG152" s="36"/>
      <c r="AH152" s="173"/>
      <c r="AI152" s="36">
        <v>2</v>
      </c>
      <c r="AJ152" s="36" t="s">
        <v>1165</v>
      </c>
      <c r="AK152" s="36" t="s">
        <v>1165</v>
      </c>
      <c r="AL152" s="36" t="s">
        <v>1211</v>
      </c>
      <c r="AM152" s="36" t="s">
        <v>1165</v>
      </c>
      <c r="AN152" s="36" t="s">
        <v>1175</v>
      </c>
      <c r="AO152" s="36" t="s">
        <v>1216</v>
      </c>
      <c r="AP152" s="36"/>
    </row>
    <row r="153" spans="3:42" ht="14">
      <c r="C153" s="78" t="e">
        <v>#N/A</v>
      </c>
      <c r="D153" s="60" t="s">
        <v>268</v>
      </c>
      <c r="E153" s="125" t="s">
        <v>269</v>
      </c>
      <c r="F153" s="124">
        <v>2</v>
      </c>
      <c r="G153" s="115" t="s">
        <v>1090</v>
      </c>
      <c r="H153" s="18" t="s">
        <v>618</v>
      </c>
      <c r="I153" s="18" t="s">
        <v>59</v>
      </c>
      <c r="J153" s="19" t="s">
        <v>523</v>
      </c>
      <c r="K153" s="99">
        <v>214235</v>
      </c>
      <c r="L153" s="97">
        <f>INDEX(Table1[Production],MATCH(rrcworking[[#This Row],[RRC ID Number]],Table1[RRC Identifier],0))</f>
        <v>0</v>
      </c>
      <c r="M153" s="29">
        <f>INDEX(Table1[Formation Production],MATCH(rrcworking[[#This Row],[RRC ID Number]],Table1[RRC Identifier],0))</f>
        <v>0</v>
      </c>
      <c r="N153" s="30">
        <f>INDEX(Table1[On Hand End of Month],MATCH(rrcworking[[#This Row],[RRC ID Number]],Table1[RRC Identifier],0))</f>
        <v>0</v>
      </c>
      <c r="O153" s="102" t="b">
        <f t="shared" si="4"/>
        <v>1</v>
      </c>
      <c r="Q153" s="122">
        <f>rrcworking[[#This Row],[Last Month Closing Stock]]</f>
        <v>0</v>
      </c>
      <c r="R153">
        <f>rrcworking[[#This Row],[Opening Oil Stock]]</f>
        <v>0</v>
      </c>
      <c r="S153" s="133">
        <f>IF(ISERROR(INDEX(Table2[OIL],MATCH(rrcworking[[#This Row],[Magnum Wolfpak '#]],Table2[Rox Wolf'#],0))),0,INDEX(Table2[OIL],MATCH(rrcworking[[#This Row],[Magnum Wolfpak '#]],Table2[Rox Wolf'#],0)))</f>
        <v>0</v>
      </c>
      <c r="T153" s="34">
        <f>rrcworking[[#This Row],[Closing Stock (Oil)]]+rrcworking[[#This Row],[Sales/Dispostion]]-rrcworking[[#This Row],[Opening Oil Stock]]</f>
        <v>0</v>
      </c>
      <c r="U153" s="108">
        <f>rrcworking[[#This Row],[Gauge Sheet Prod Volume (oil)]]-rrcworking[[#This Row],[Oil Production]]</f>
        <v>0</v>
      </c>
      <c r="V153" s="133">
        <f>IF(ISERROR(INDEX(Table2[GAS],MATCH(rrcworking[[#This Row],[Magnum Wolfpak '#]],Table2[Rox Wolf'#],0))),0,INDEX(Table2[GAS],MATCH(rrcworking[[#This Row],[Magnum Wolfpak '#]],Table2[Rox Wolf'#],0)))</f>
        <v>0</v>
      </c>
      <c r="W153" s="58"/>
      <c r="X153" s="58"/>
      <c r="Y153" s="133">
        <f>IF(ISERROR(INDEX(Table2[LEASE USE],MATCH(rrcworking[[#This Row],[Magnum Wolfpak '#]],Table2[Rox Wolf'#],0))),0,INDEX(Table2[LEASE USE],MATCH(rrcworking[[#This Row],[Magnum Wolfpak '#]],Table2[Rox Wolf'#],0)))</f>
        <v>0</v>
      </c>
      <c r="Z153" s="133"/>
      <c r="AA153" s="56">
        <f>rrcworking[[#This Row],[Gas Sales Statement Volume (MCF)]]+rrcworking[[#This Row],[Lease Use (MCF)]]+rrcworking[[#This Row],[Flared Gas]]</f>
        <v>0</v>
      </c>
      <c r="AB153" s="93"/>
      <c r="AC153" s="36"/>
      <c r="AD153" s="175">
        <f>COUNTIF(FilterList,rrcworking[[#This Row],[Magnum Wolfpak '#]])</f>
        <v>0</v>
      </c>
      <c r="AE153" s="172"/>
      <c r="AF153" s="173"/>
      <c r="AG153" s="36"/>
      <c r="AH153" s="36"/>
      <c r="AI153" s="36"/>
      <c r="AJ153" s="36"/>
      <c r="AK153" s="36"/>
      <c r="AL153" s="36"/>
      <c r="AM153" s="36"/>
      <c r="AN153" s="36"/>
      <c r="AO153" s="36"/>
      <c r="AP153" s="36"/>
    </row>
    <row r="154" spans="3:42" ht="154">
      <c r="C154" s="78">
        <v>96901</v>
      </c>
      <c r="D154" s="60" t="s">
        <v>264</v>
      </c>
      <c r="E154" s="125" t="s">
        <v>265</v>
      </c>
      <c r="F154" s="124">
        <v>1</v>
      </c>
      <c r="G154" s="115" t="s">
        <v>1090</v>
      </c>
      <c r="H154" s="18" t="s">
        <v>618</v>
      </c>
      <c r="I154" s="18" t="s">
        <v>59</v>
      </c>
      <c r="J154" s="19" t="s">
        <v>521</v>
      </c>
      <c r="K154" s="99">
        <v>158691</v>
      </c>
      <c r="L154" s="97">
        <f>INDEX(Table1[Production],MATCH(rrcworking[[#This Row],[RRC ID Number]],Table1[RRC Identifier],0))</f>
        <v>5</v>
      </c>
      <c r="M154" s="29">
        <f>INDEX(Table1[Formation Production],MATCH(rrcworking[[#This Row],[RRC ID Number]],Table1[RRC Identifier],0))</f>
        <v>1341</v>
      </c>
      <c r="N154" s="30">
        <f>INDEX(Table1[On Hand End of Month],MATCH(rrcworking[[#This Row],[RRC ID Number]],Table1[RRC Identifier],0))</f>
        <v>80</v>
      </c>
      <c r="O154" s="102" t="b">
        <f t="shared" si="4"/>
        <v>0</v>
      </c>
      <c r="P154">
        <v>31</v>
      </c>
      <c r="Q154" s="122">
        <f>rrcworking[[#This Row],[Last Month Closing Stock]]</f>
        <v>80</v>
      </c>
      <c r="R154">
        <v>111</v>
      </c>
      <c r="S154" s="133">
        <f>IF(ISERROR(INDEX(Table2[OIL],MATCH(rrcworking[[#This Row],[Magnum Wolfpak '#]],Table2[Rox Wolf'#],0))),0,INDEX(Table2[OIL],MATCH(rrcworking[[#This Row],[Magnum Wolfpak '#]],Table2[Rox Wolf'#],0)))</f>
        <v>0</v>
      </c>
      <c r="T154" s="34">
        <f>rrcworking[[#This Row],[Closing Stock (Oil)]]+rrcworking[[#This Row],[Sales/Dispostion]]-rrcworking[[#This Row],[Opening Oil Stock]]</f>
        <v>31</v>
      </c>
      <c r="U154" s="108">
        <f>rrcworking[[#This Row],[Gauge Sheet Prod Volume (oil)]]-rrcworking[[#This Row],[Oil Production]]</f>
        <v>0</v>
      </c>
      <c r="V154" s="133">
        <f>IF(ISERROR(INDEX(Table2[GAS],MATCH(rrcworking[[#This Row],[Magnum Wolfpak '#]],Table2[Rox Wolf'#],0))),0,INDEX(Table2[GAS],MATCH(rrcworking[[#This Row],[Magnum Wolfpak '#]],Table2[Rox Wolf'#],0)))</f>
        <v>1784</v>
      </c>
      <c r="W154" s="82"/>
      <c r="X154" s="58">
        <v>1</v>
      </c>
      <c r="Y154" s="133">
        <f>IF(ISERROR(INDEX(Table2[LEASE USE],MATCH(rrcworking[[#This Row],[Magnum Wolfpak '#]],Table2[Rox Wolf'#],0))),0,INDEX(Table2[LEASE USE],MATCH(rrcworking[[#This Row],[Magnum Wolfpak '#]],Table2[Rox Wolf'#],0)))</f>
        <v>30</v>
      </c>
      <c r="Z154" s="133"/>
      <c r="AA154" s="56">
        <f>rrcworking[[#This Row],[Gas Sales Statement Volume (MCF)]]+rrcworking[[#This Row],[Lease Use (MCF)]]+rrcworking[[#This Row],[Flared Gas]]</f>
        <v>1814</v>
      </c>
      <c r="AB154" s="36"/>
      <c r="AC154" s="36" t="s">
        <v>1289</v>
      </c>
      <c r="AD154" s="175">
        <f>COUNTIF(FilterList,rrcworking[[#This Row],[Magnum Wolfpak '#]])</f>
        <v>0</v>
      </c>
      <c r="AE154" s="172"/>
      <c r="AF154" s="173"/>
      <c r="AG154" s="36"/>
      <c r="AH154" s="173"/>
      <c r="AI154" s="36">
        <v>1</v>
      </c>
      <c r="AJ154" s="36" t="s">
        <v>1165</v>
      </c>
      <c r="AK154" s="36" t="s">
        <v>1165</v>
      </c>
      <c r="AL154" s="36" t="s">
        <v>1192</v>
      </c>
      <c r="AM154" s="36" t="s">
        <v>1165</v>
      </c>
      <c r="AN154" s="36" t="s">
        <v>1175</v>
      </c>
      <c r="AO154" s="36" t="s">
        <v>1216</v>
      </c>
      <c r="AP154" s="36"/>
    </row>
    <row r="155" spans="3:42" ht="14">
      <c r="C155" s="78" t="e">
        <v>#N/A</v>
      </c>
      <c r="D155" s="60" t="s">
        <v>239</v>
      </c>
      <c r="E155" s="125" t="s">
        <v>240</v>
      </c>
      <c r="F155" s="124">
        <v>1</v>
      </c>
      <c r="G155" s="115" t="s">
        <v>1090</v>
      </c>
      <c r="H155" s="18" t="s">
        <v>618</v>
      </c>
      <c r="I155" s="18" t="s">
        <v>59</v>
      </c>
      <c r="J155" s="19" t="s">
        <v>508</v>
      </c>
      <c r="K155" s="99">
        <v>214543</v>
      </c>
      <c r="L155" s="97">
        <f>INDEX(Table1[Production],MATCH(rrcworking[[#This Row],[RRC ID Number]],Table1[RRC Identifier],0))</f>
        <v>0</v>
      </c>
      <c r="M155" s="29">
        <f>INDEX(Table1[Formation Production],MATCH(rrcworking[[#This Row],[RRC ID Number]],Table1[RRC Identifier],0))</f>
        <v>0</v>
      </c>
      <c r="N155" s="30">
        <f>INDEX(Table1[On Hand End of Month],MATCH(rrcworking[[#This Row],[RRC ID Number]],Table1[RRC Identifier],0))</f>
        <v>0</v>
      </c>
      <c r="O155" s="102" t="b">
        <f t="shared" si="4"/>
        <v>1</v>
      </c>
      <c r="Q155" s="122">
        <f>rrcworking[[#This Row],[Last Month Closing Stock]]</f>
        <v>0</v>
      </c>
      <c r="R155">
        <f>rrcworking[[#This Row],[Opening Oil Stock]]</f>
        <v>0</v>
      </c>
      <c r="S155" s="133">
        <f>IF(ISERROR(INDEX(Table2[OIL],MATCH(rrcworking[[#This Row],[Magnum Wolfpak '#]],Table2[Rox Wolf'#],0))),0,INDEX(Table2[OIL],MATCH(rrcworking[[#This Row],[Magnum Wolfpak '#]],Table2[Rox Wolf'#],0)))</f>
        <v>0</v>
      </c>
      <c r="T155" s="34">
        <f>rrcworking[[#This Row],[Closing Stock (Oil)]]+rrcworking[[#This Row],[Sales/Dispostion]]-rrcworking[[#This Row],[Opening Oil Stock]]</f>
        <v>0</v>
      </c>
      <c r="U155" s="108">
        <f>rrcworking[[#This Row],[Gauge Sheet Prod Volume (oil)]]-rrcworking[[#This Row],[Oil Production]]</f>
        <v>0</v>
      </c>
      <c r="V155" s="133">
        <f>IF(ISERROR(INDEX(Table2[GAS],MATCH(rrcworking[[#This Row],[Magnum Wolfpak '#]],Table2[Rox Wolf'#],0))),0,INDEX(Table2[GAS],MATCH(rrcworking[[#This Row],[Magnum Wolfpak '#]],Table2[Rox Wolf'#],0)))</f>
        <v>0</v>
      </c>
      <c r="W155" s="58"/>
      <c r="X155" s="58"/>
      <c r="Y155" s="133">
        <f>IF(ISERROR(INDEX(Table2[LEASE USE],MATCH(rrcworking[[#This Row],[Magnum Wolfpak '#]],Table2[Rox Wolf'#],0))),0,INDEX(Table2[LEASE USE],MATCH(rrcworking[[#This Row],[Magnum Wolfpak '#]],Table2[Rox Wolf'#],0)))</f>
        <v>0</v>
      </c>
      <c r="Z155" s="133"/>
      <c r="AA155" s="56">
        <f>rrcworking[[#This Row],[Gas Sales Statement Volume (MCF)]]+rrcworking[[#This Row],[Lease Use (MCF)]]+rrcworking[[#This Row],[Flared Gas]]</f>
        <v>0</v>
      </c>
      <c r="AB155" s="36"/>
      <c r="AC155" s="36"/>
      <c r="AD155" s="175">
        <f>COUNTIF(FilterList,rrcworking[[#This Row],[Magnum Wolfpak '#]])</f>
        <v>0</v>
      </c>
      <c r="AE155" s="172"/>
      <c r="AF155" s="173"/>
      <c r="AG155" s="36"/>
      <c r="AH155" s="36"/>
      <c r="AI155" s="36"/>
      <c r="AJ155" s="36"/>
      <c r="AK155" s="36"/>
      <c r="AL155" s="36"/>
      <c r="AM155" s="36"/>
      <c r="AN155" s="36"/>
      <c r="AO155" s="36"/>
      <c r="AP155" s="36"/>
    </row>
    <row r="156" spans="3:42" ht="28">
      <c r="C156" s="78">
        <v>99101</v>
      </c>
      <c r="D156" s="60" t="s">
        <v>206</v>
      </c>
      <c r="E156" s="125" t="s">
        <v>207</v>
      </c>
      <c r="F156" s="124" t="s">
        <v>208</v>
      </c>
      <c r="G156" s="115" t="s">
        <v>1090</v>
      </c>
      <c r="H156" s="18" t="s">
        <v>618</v>
      </c>
      <c r="I156" s="18" t="s">
        <v>59</v>
      </c>
      <c r="J156" s="19" t="s">
        <v>492</v>
      </c>
      <c r="K156" s="99">
        <v>284976</v>
      </c>
      <c r="L156" s="97">
        <f>INDEX(Table1[Production],MATCH(rrcworking[[#This Row],[RRC ID Number]],Table1[RRC Identifier],0))</f>
        <v>0</v>
      </c>
      <c r="M156" s="29">
        <f>INDEX(Table1[Formation Production],MATCH(rrcworking[[#This Row],[RRC ID Number]],Table1[RRC Identifier],0))</f>
        <v>0</v>
      </c>
      <c r="N156" s="30">
        <f>INDEX(Table1[On Hand End of Month],MATCH(rrcworking[[#This Row],[RRC ID Number]],Table1[RRC Identifier],0))</f>
        <v>150</v>
      </c>
      <c r="O156" s="102" t="b">
        <f t="shared" si="4"/>
        <v>1</v>
      </c>
      <c r="P156">
        <v>0</v>
      </c>
      <c r="Q156" s="122">
        <f>rrcworking[[#This Row],[Last Month Closing Stock]]</f>
        <v>150</v>
      </c>
      <c r="R156">
        <v>150</v>
      </c>
      <c r="S156" s="133">
        <f>IF(ISERROR(INDEX(Table2[OIL],MATCH(rrcworking[[#This Row],[Magnum Wolfpak '#]],Table2[Rox Wolf'#],0))),0,INDEX(Table2[OIL],MATCH(rrcworking[[#This Row],[Magnum Wolfpak '#]],Table2[Rox Wolf'#],0)))</f>
        <v>0</v>
      </c>
      <c r="T156" s="34">
        <f>rrcworking[[#This Row],[Closing Stock (Oil)]]+rrcworking[[#This Row],[Sales/Dispostion]]-rrcworking[[#This Row],[Opening Oil Stock]]</f>
        <v>0</v>
      </c>
      <c r="U156" s="108">
        <f>rrcworking[[#This Row],[Gauge Sheet Prod Volume (oil)]]-rrcworking[[#This Row],[Oil Production]]</f>
        <v>0</v>
      </c>
      <c r="V156" s="133">
        <f>IF(ISERROR(INDEX(Table2[GAS],MATCH(rrcworking[[#This Row],[Magnum Wolfpak '#]],Table2[Rox Wolf'#],0))),0,INDEX(Table2[GAS],MATCH(rrcworking[[#This Row],[Magnum Wolfpak '#]],Table2[Rox Wolf'#],0)))</f>
        <v>0</v>
      </c>
      <c r="W156" s="58"/>
      <c r="X156" s="58"/>
      <c r="Y156" s="133">
        <f>IF(ISERROR(INDEX(Table2[LEASE USE],MATCH(rrcworking[[#This Row],[Magnum Wolfpak '#]],Table2[Rox Wolf'#],0))),0,INDEX(Table2[LEASE USE],MATCH(rrcworking[[#This Row],[Magnum Wolfpak '#]],Table2[Rox Wolf'#],0)))</f>
        <v>0</v>
      </c>
      <c r="Z156" s="133"/>
      <c r="AA156" s="56">
        <f>rrcworking[[#This Row],[Gas Sales Statement Volume (MCF)]]+rrcworking[[#This Row],[Lease Use (MCF)]]+rrcworking[[#This Row],[Flared Gas]]</f>
        <v>0</v>
      </c>
      <c r="AB156" s="36"/>
      <c r="AC156" s="36"/>
      <c r="AD156" s="175">
        <f>COUNTIF(FilterList,rrcworking[[#This Row],[Magnum Wolfpak '#]])</f>
        <v>0</v>
      </c>
      <c r="AE156" s="172"/>
      <c r="AF156" s="173"/>
      <c r="AG156" s="36"/>
      <c r="AH156" s="173"/>
      <c r="AI156" s="36">
        <v>3</v>
      </c>
      <c r="AJ156" s="36" t="s">
        <v>1139</v>
      </c>
      <c r="AK156" s="36" t="s">
        <v>1139</v>
      </c>
      <c r="AL156" s="36" t="s">
        <v>1178</v>
      </c>
      <c r="AM156" s="36" t="s">
        <v>1139</v>
      </c>
      <c r="AN156" s="36" t="s">
        <v>1175</v>
      </c>
      <c r="AO156" s="36" t="s">
        <v>1217</v>
      </c>
      <c r="AP156" s="36"/>
    </row>
    <row r="157" spans="3:42" ht="14">
      <c r="C157" s="78" t="e">
        <v>#N/A</v>
      </c>
      <c r="D157" s="60" t="s">
        <v>292</v>
      </c>
      <c r="E157" s="125" t="s">
        <v>293</v>
      </c>
      <c r="F157" s="124">
        <v>5</v>
      </c>
      <c r="G157" s="115" t="s">
        <v>1090</v>
      </c>
      <c r="H157" s="18" t="s">
        <v>618</v>
      </c>
      <c r="I157" s="18" t="s">
        <v>59</v>
      </c>
      <c r="J157" s="19" t="s">
        <v>542</v>
      </c>
      <c r="K157" s="99">
        <v>179674</v>
      </c>
      <c r="L157" s="97">
        <f>INDEX(Table1[Production],MATCH(rrcworking[[#This Row],[RRC ID Number]],Table1[RRC Identifier],0))</f>
        <v>0</v>
      </c>
      <c r="M157" s="29">
        <f>INDEX(Table1[Formation Production],MATCH(rrcworking[[#This Row],[RRC ID Number]],Table1[RRC Identifier],0))</f>
        <v>0</v>
      </c>
      <c r="N157" s="30">
        <f>INDEX(Table1[On Hand End of Month],MATCH(rrcworking[[#This Row],[RRC ID Number]],Table1[RRC Identifier],0))</f>
        <v>0</v>
      </c>
      <c r="O157" s="102" t="b">
        <f t="shared" si="4"/>
        <v>1</v>
      </c>
      <c r="Q157" s="122">
        <f>rrcworking[[#This Row],[Last Month Closing Stock]]</f>
        <v>0</v>
      </c>
      <c r="R157">
        <f>rrcworking[[#This Row],[Opening Oil Stock]]</f>
        <v>0</v>
      </c>
      <c r="S157" s="133">
        <f>IF(ISERROR(INDEX(Table2[OIL],MATCH(rrcworking[[#This Row],[Magnum Wolfpak '#]],Table2[Rox Wolf'#],0))),0,INDEX(Table2[OIL],MATCH(rrcworking[[#This Row],[Magnum Wolfpak '#]],Table2[Rox Wolf'#],0)))</f>
        <v>0</v>
      </c>
      <c r="T157" s="34">
        <f>rrcworking[[#This Row],[Closing Stock (Oil)]]+rrcworking[[#This Row],[Sales/Dispostion]]-rrcworking[[#This Row],[Opening Oil Stock]]</f>
        <v>0</v>
      </c>
      <c r="U157" s="108">
        <f>rrcworking[[#This Row],[Gauge Sheet Prod Volume (oil)]]-rrcworking[[#This Row],[Oil Production]]</f>
        <v>0</v>
      </c>
      <c r="V157" s="133">
        <f>IF(ISERROR(INDEX(Table2[GAS],MATCH(rrcworking[[#This Row],[Magnum Wolfpak '#]],Table2[Rox Wolf'#],0))),0,INDEX(Table2[GAS],MATCH(rrcworking[[#This Row],[Magnum Wolfpak '#]],Table2[Rox Wolf'#],0)))</f>
        <v>0</v>
      </c>
      <c r="W157" s="58"/>
      <c r="X157" s="58"/>
      <c r="Y157" s="133">
        <f>IF(ISERROR(INDEX(Table2[LEASE USE],MATCH(rrcworking[[#This Row],[Magnum Wolfpak '#]],Table2[Rox Wolf'#],0))),0,INDEX(Table2[LEASE USE],MATCH(rrcworking[[#This Row],[Magnum Wolfpak '#]],Table2[Rox Wolf'#],0)))</f>
        <v>0</v>
      </c>
      <c r="Z157" s="133"/>
      <c r="AA157" s="56">
        <f>rrcworking[[#This Row],[Gas Sales Statement Volume (MCF)]]+rrcworking[[#This Row],[Lease Use (MCF)]]+rrcworking[[#This Row],[Flared Gas]]</f>
        <v>0</v>
      </c>
      <c r="AB157" s="36"/>
      <c r="AC157" s="36"/>
      <c r="AD157" s="175">
        <f>COUNTIF(FilterList,rrcworking[[#This Row],[Magnum Wolfpak '#]])</f>
        <v>0</v>
      </c>
      <c r="AE157" s="172"/>
      <c r="AF157" s="173"/>
      <c r="AG157" s="36"/>
      <c r="AH157" s="36"/>
      <c r="AI157" s="36"/>
      <c r="AJ157" s="36"/>
      <c r="AK157" s="36"/>
      <c r="AL157" s="36"/>
      <c r="AM157" s="36"/>
      <c r="AN157" s="36"/>
      <c r="AO157" s="36"/>
      <c r="AP157" s="36"/>
    </row>
    <row r="158" spans="3:42" ht="14">
      <c r="C158" s="78" t="e">
        <v>#N/A</v>
      </c>
      <c r="D158" s="60" t="s">
        <v>375</v>
      </c>
      <c r="E158" s="125" t="s">
        <v>376</v>
      </c>
      <c r="F158" s="124">
        <v>2</v>
      </c>
      <c r="G158" s="115" t="s">
        <v>1090</v>
      </c>
      <c r="H158" s="18" t="s">
        <v>619</v>
      </c>
      <c r="I158" s="18" t="s">
        <v>59</v>
      </c>
      <c r="J158" s="19" t="s">
        <v>592</v>
      </c>
      <c r="K158" s="99">
        <v>142434</v>
      </c>
      <c r="L158" s="97">
        <f>INDEX(Table1[Production],MATCH(rrcworking[[#This Row],[RRC ID Number]],Table1[RRC Identifier],0))</f>
        <v>0</v>
      </c>
      <c r="M158" s="29">
        <f>INDEX(Table1[Formation Production],MATCH(rrcworking[[#This Row],[RRC ID Number]],Table1[RRC Identifier],0))</f>
        <v>0</v>
      </c>
      <c r="N158" s="30">
        <f>INDEX(Table1[On Hand End of Month],MATCH(rrcworking[[#This Row],[RRC ID Number]],Table1[RRC Identifier],0))</f>
        <v>49</v>
      </c>
      <c r="O158" s="102" t="b">
        <f t="shared" si="4"/>
        <v>1</v>
      </c>
      <c r="Q158" s="122">
        <f>rrcworking[[#This Row],[Last Month Closing Stock]]</f>
        <v>49</v>
      </c>
      <c r="R158">
        <f>rrcworking[[#This Row],[Opening Oil Stock]]</f>
        <v>49</v>
      </c>
      <c r="S158" s="133">
        <f>IF(ISERROR(INDEX(Table2[OIL],MATCH(rrcworking[[#This Row],[Magnum Wolfpak '#]],Table2[Rox Wolf'#],0))),0,INDEX(Table2[OIL],MATCH(rrcworking[[#This Row],[Magnum Wolfpak '#]],Table2[Rox Wolf'#],0)))</f>
        <v>0</v>
      </c>
      <c r="T158" s="34">
        <f>rrcworking[[#This Row],[Closing Stock (Oil)]]+rrcworking[[#This Row],[Sales/Dispostion]]-rrcworking[[#This Row],[Opening Oil Stock]]</f>
        <v>0</v>
      </c>
      <c r="U158" s="108">
        <f>rrcworking[[#This Row],[Gauge Sheet Prod Volume (oil)]]-rrcworking[[#This Row],[Oil Production]]</f>
        <v>0</v>
      </c>
      <c r="V158" s="133">
        <f>IF(ISERROR(INDEX(Table2[GAS],MATCH(rrcworking[[#This Row],[Magnum Wolfpak '#]],Table2[Rox Wolf'#],0))),0,INDEX(Table2[GAS],MATCH(rrcworking[[#This Row],[Magnum Wolfpak '#]],Table2[Rox Wolf'#],0)))</f>
        <v>0</v>
      </c>
      <c r="W158" s="58"/>
      <c r="X158" s="58"/>
      <c r="Y158" s="133">
        <f>IF(ISERROR(INDEX(Table2[LEASE USE],MATCH(rrcworking[[#This Row],[Magnum Wolfpak '#]],Table2[Rox Wolf'#],0))),0,INDEX(Table2[LEASE USE],MATCH(rrcworking[[#This Row],[Magnum Wolfpak '#]],Table2[Rox Wolf'#],0)))</f>
        <v>0</v>
      </c>
      <c r="Z158" s="133"/>
      <c r="AA158" s="56">
        <f>rrcworking[[#This Row],[Gas Sales Statement Volume (MCF)]]+rrcworking[[#This Row],[Lease Use (MCF)]]+rrcworking[[#This Row],[Flared Gas]]</f>
        <v>0</v>
      </c>
      <c r="AB158" s="36"/>
      <c r="AC158" s="36"/>
      <c r="AD158" s="175">
        <f>COUNTIF(FilterList,rrcworking[[#This Row],[Magnum Wolfpak '#]])</f>
        <v>0</v>
      </c>
      <c r="AE158" s="172"/>
      <c r="AF158" s="173"/>
      <c r="AG158" s="36"/>
      <c r="AH158" s="36"/>
      <c r="AI158" s="36"/>
      <c r="AJ158" s="36"/>
      <c r="AK158" s="36"/>
      <c r="AL158" s="36"/>
      <c r="AM158" s="36"/>
      <c r="AN158" s="36"/>
      <c r="AO158" s="36"/>
      <c r="AP158" s="36"/>
    </row>
    <row r="159" spans="3:42" ht="14">
      <c r="C159" s="78" t="e">
        <v>#N/A</v>
      </c>
      <c r="D159" s="60" t="s">
        <v>377</v>
      </c>
      <c r="E159" s="125" t="s">
        <v>378</v>
      </c>
      <c r="F159" s="124">
        <v>1</v>
      </c>
      <c r="G159" s="115" t="s">
        <v>1090</v>
      </c>
      <c r="H159" s="18" t="s">
        <v>619</v>
      </c>
      <c r="I159" s="18" t="s">
        <v>59</v>
      </c>
      <c r="J159" s="19" t="s">
        <v>593</v>
      </c>
      <c r="K159" s="99">
        <v>142269</v>
      </c>
      <c r="L159" s="97">
        <f>INDEX(Table1[Production],MATCH(rrcworking[[#This Row],[RRC ID Number]],Table1[RRC Identifier],0))</f>
        <v>0</v>
      </c>
      <c r="M159" s="29">
        <f>INDEX(Table1[Formation Production],MATCH(rrcworking[[#This Row],[RRC ID Number]],Table1[RRC Identifier],0))</f>
        <v>0</v>
      </c>
      <c r="N159" s="30">
        <f>INDEX(Table1[On Hand End of Month],MATCH(rrcworking[[#This Row],[RRC ID Number]],Table1[RRC Identifier],0))</f>
        <v>0</v>
      </c>
      <c r="O159" s="102" t="b">
        <f t="shared" si="4"/>
        <v>1</v>
      </c>
      <c r="Q159" s="122">
        <f>rrcworking[[#This Row],[Last Month Closing Stock]]</f>
        <v>0</v>
      </c>
      <c r="R159">
        <f>rrcworking[[#This Row],[Opening Oil Stock]]</f>
        <v>0</v>
      </c>
      <c r="S159" s="133">
        <f>IF(ISERROR(INDEX(Table2[OIL],MATCH(rrcworking[[#This Row],[Magnum Wolfpak '#]],Table2[Rox Wolf'#],0))),0,INDEX(Table2[OIL],MATCH(rrcworking[[#This Row],[Magnum Wolfpak '#]],Table2[Rox Wolf'#],0)))</f>
        <v>0</v>
      </c>
      <c r="T159" s="34">
        <f>rrcworking[[#This Row],[Closing Stock (Oil)]]+rrcworking[[#This Row],[Sales/Dispostion]]-rrcworking[[#This Row],[Opening Oil Stock]]</f>
        <v>0</v>
      </c>
      <c r="U159" s="108">
        <f>rrcworking[[#This Row],[Gauge Sheet Prod Volume (oil)]]-rrcworking[[#This Row],[Oil Production]]</f>
        <v>0</v>
      </c>
      <c r="V159" s="133">
        <f>IF(ISERROR(INDEX(Table2[GAS],MATCH(rrcworking[[#This Row],[Magnum Wolfpak '#]],Table2[Rox Wolf'#],0))),0,INDEX(Table2[GAS],MATCH(rrcworking[[#This Row],[Magnum Wolfpak '#]],Table2[Rox Wolf'#],0)))</f>
        <v>0</v>
      </c>
      <c r="W159" s="58"/>
      <c r="X159" s="58"/>
      <c r="Y159" s="133">
        <f>IF(ISERROR(INDEX(Table2[LEASE USE],MATCH(rrcworking[[#This Row],[Magnum Wolfpak '#]],Table2[Rox Wolf'#],0))),0,INDEX(Table2[LEASE USE],MATCH(rrcworking[[#This Row],[Magnum Wolfpak '#]],Table2[Rox Wolf'#],0)))</f>
        <v>0</v>
      </c>
      <c r="Z159" s="133"/>
      <c r="AA159" s="56">
        <f>rrcworking[[#This Row],[Gas Sales Statement Volume (MCF)]]+rrcworking[[#This Row],[Lease Use (MCF)]]+rrcworking[[#This Row],[Flared Gas]]</f>
        <v>0</v>
      </c>
      <c r="AB159" s="36"/>
      <c r="AC159" s="36"/>
      <c r="AD159" s="175">
        <f>COUNTIF(FilterList,rrcworking[[#This Row],[Magnum Wolfpak '#]])</f>
        <v>0</v>
      </c>
      <c r="AE159" s="172"/>
      <c r="AF159" s="173"/>
      <c r="AG159" s="36"/>
      <c r="AH159" s="36"/>
      <c r="AI159" s="36"/>
      <c r="AJ159" s="36"/>
      <c r="AK159" s="36"/>
      <c r="AL159" s="36"/>
      <c r="AM159" s="36"/>
      <c r="AN159" s="36"/>
      <c r="AO159" s="36"/>
      <c r="AP159" s="36"/>
    </row>
    <row r="160" spans="3:42" ht="14">
      <c r="C160" s="78" t="e">
        <v>#N/A</v>
      </c>
      <c r="D160" s="60" t="s">
        <v>272</v>
      </c>
      <c r="E160" s="125" t="s">
        <v>273</v>
      </c>
      <c r="F160" s="124">
        <v>1</v>
      </c>
      <c r="G160" s="115" t="s">
        <v>1090</v>
      </c>
      <c r="H160" s="18" t="s">
        <v>618</v>
      </c>
      <c r="I160" s="18" t="s">
        <v>59</v>
      </c>
      <c r="J160" s="19" t="s">
        <v>525</v>
      </c>
      <c r="K160" s="99">
        <v>238352</v>
      </c>
      <c r="L160" s="97">
        <f>INDEX(Table1[Production],MATCH(rrcworking[[#This Row],[RRC ID Number]],Table1[RRC Identifier],0))</f>
        <v>0</v>
      </c>
      <c r="M160" s="29">
        <f>INDEX(Table1[Formation Production],MATCH(rrcworking[[#This Row],[RRC ID Number]],Table1[RRC Identifier],0))</f>
        <v>0</v>
      </c>
      <c r="N160" s="30">
        <f>INDEX(Table1[On Hand End of Month],MATCH(rrcworking[[#This Row],[RRC ID Number]],Table1[RRC Identifier],0))</f>
        <v>0</v>
      </c>
      <c r="O160" s="102" t="b">
        <f t="shared" si="4"/>
        <v>1</v>
      </c>
      <c r="Q160" s="122">
        <f>rrcworking[[#This Row],[Last Month Closing Stock]]</f>
        <v>0</v>
      </c>
      <c r="R160">
        <f>rrcworking[[#This Row],[Opening Oil Stock]]</f>
        <v>0</v>
      </c>
      <c r="S160" s="133">
        <f>IF(ISERROR(INDEX(Table2[OIL],MATCH(rrcworking[[#This Row],[Magnum Wolfpak '#]],Table2[Rox Wolf'#],0))),0,INDEX(Table2[OIL],MATCH(rrcworking[[#This Row],[Magnum Wolfpak '#]],Table2[Rox Wolf'#],0)))</f>
        <v>0</v>
      </c>
      <c r="T160" s="34">
        <f>rrcworking[[#This Row],[Closing Stock (Oil)]]+rrcworking[[#This Row],[Sales/Dispostion]]-rrcworking[[#This Row],[Opening Oil Stock]]</f>
        <v>0</v>
      </c>
      <c r="U160" s="108">
        <f>rrcworking[[#This Row],[Gauge Sheet Prod Volume (oil)]]-rrcworking[[#This Row],[Oil Production]]</f>
        <v>0</v>
      </c>
      <c r="V160" s="133">
        <f>IF(ISERROR(INDEX(Table2[GAS],MATCH(rrcworking[[#This Row],[Magnum Wolfpak '#]],Table2[Rox Wolf'#],0))),0,INDEX(Table2[GAS],MATCH(rrcworking[[#This Row],[Magnum Wolfpak '#]],Table2[Rox Wolf'#],0)))</f>
        <v>0</v>
      </c>
      <c r="W160" s="58"/>
      <c r="X160" s="58"/>
      <c r="Y160" s="133">
        <f>IF(ISERROR(INDEX(Table2[LEASE USE],MATCH(rrcworking[[#This Row],[Magnum Wolfpak '#]],Table2[Rox Wolf'#],0))),0,INDEX(Table2[LEASE USE],MATCH(rrcworking[[#This Row],[Magnum Wolfpak '#]],Table2[Rox Wolf'#],0)))</f>
        <v>0</v>
      </c>
      <c r="Z160" s="133"/>
      <c r="AA160" s="56">
        <f>rrcworking[[#This Row],[Gas Sales Statement Volume (MCF)]]+rrcworking[[#This Row],[Lease Use (MCF)]]+rrcworking[[#This Row],[Flared Gas]]</f>
        <v>0</v>
      </c>
      <c r="AB160" s="36"/>
      <c r="AC160" s="36"/>
      <c r="AD160" s="175">
        <f>COUNTIF(FilterList,rrcworking[[#This Row],[Magnum Wolfpak '#]])</f>
        <v>0</v>
      </c>
      <c r="AE160" s="172"/>
      <c r="AF160" s="173"/>
      <c r="AG160" s="36"/>
      <c r="AH160" s="36"/>
      <c r="AI160" s="36"/>
      <c r="AJ160" s="36"/>
      <c r="AK160" s="36"/>
      <c r="AL160" s="36"/>
      <c r="AM160" s="36"/>
      <c r="AN160" s="36"/>
      <c r="AO160" s="36"/>
      <c r="AP160" s="36"/>
    </row>
    <row r="161" spans="3:42" ht="14">
      <c r="C161" s="78" t="e">
        <v>#N/A</v>
      </c>
      <c r="D161" s="60" t="s">
        <v>196</v>
      </c>
      <c r="E161" s="125" t="s">
        <v>197</v>
      </c>
      <c r="F161" s="124">
        <v>0</v>
      </c>
      <c r="G161" s="115" t="s">
        <v>1090</v>
      </c>
      <c r="H161" s="18" t="s">
        <v>618</v>
      </c>
      <c r="I161" s="18" t="s">
        <v>2</v>
      </c>
      <c r="J161" s="19" t="s">
        <v>487</v>
      </c>
      <c r="K161" s="99">
        <v>27279</v>
      </c>
      <c r="L161" s="97">
        <f>INDEX(Table1[Production],MATCH(rrcworking[[#This Row],[RRC ID Number]],Table1[RRC Identifier],0))</f>
        <v>0</v>
      </c>
      <c r="M161" s="29">
        <f>INDEX(Table1[Formation Production],MATCH(rrcworking[[#This Row],[RRC ID Number]],Table1[RRC Identifier],0))</f>
        <v>0</v>
      </c>
      <c r="N161" s="30">
        <f>INDEX(Table1[On Hand End of Month],MATCH(rrcworking[[#This Row],[RRC ID Number]],Table1[RRC Identifier],0))</f>
        <v>229</v>
      </c>
      <c r="O161" s="102" t="b">
        <f t="shared" si="4"/>
        <v>1</v>
      </c>
      <c r="Q161" s="122">
        <f>rrcworking[[#This Row],[Last Month Closing Stock]]</f>
        <v>229</v>
      </c>
      <c r="R161">
        <f>rrcworking[[#This Row],[Opening Oil Stock]]</f>
        <v>229</v>
      </c>
      <c r="S161" s="133">
        <f>IF(ISERROR(INDEX(Table2[OIL],MATCH(rrcworking[[#This Row],[Magnum Wolfpak '#]],Table2[Rox Wolf'#],0))),0,INDEX(Table2[OIL],MATCH(rrcworking[[#This Row],[Magnum Wolfpak '#]],Table2[Rox Wolf'#],0)))</f>
        <v>0</v>
      </c>
      <c r="T161" s="34">
        <f>rrcworking[[#This Row],[Closing Stock (Oil)]]+rrcworking[[#This Row],[Sales/Dispostion]]-rrcworking[[#This Row],[Opening Oil Stock]]</f>
        <v>0</v>
      </c>
      <c r="U161" s="108">
        <f>rrcworking[[#This Row],[Gauge Sheet Prod Volume (oil)]]-rrcworking[[#This Row],[Oil Production]]</f>
        <v>0</v>
      </c>
      <c r="V161" s="133">
        <f>IF(ISERROR(INDEX(Table2[GAS],MATCH(rrcworking[[#This Row],[Magnum Wolfpak '#]],Table2[Rox Wolf'#],0))),0,INDEX(Table2[GAS],MATCH(rrcworking[[#This Row],[Magnum Wolfpak '#]],Table2[Rox Wolf'#],0)))</f>
        <v>0</v>
      </c>
      <c r="W161" s="58"/>
      <c r="X161" s="58"/>
      <c r="Y161" s="133">
        <f>IF(ISERROR(INDEX(Table2[LEASE USE],MATCH(rrcworking[[#This Row],[Magnum Wolfpak '#]],Table2[Rox Wolf'#],0))),0,INDEX(Table2[LEASE USE],MATCH(rrcworking[[#This Row],[Magnum Wolfpak '#]],Table2[Rox Wolf'#],0)))</f>
        <v>0</v>
      </c>
      <c r="Z161" s="133"/>
      <c r="AA161" s="56">
        <f>rrcworking[[#This Row],[Gas Sales Statement Volume (MCF)]]+rrcworking[[#This Row],[Lease Use (MCF)]]+rrcworking[[#This Row],[Flared Gas]]</f>
        <v>0</v>
      </c>
      <c r="AB161" s="36"/>
      <c r="AC161" s="36"/>
      <c r="AD161" s="175">
        <f>COUNTIF(FilterList,rrcworking[[#This Row],[Magnum Wolfpak '#]])</f>
        <v>0</v>
      </c>
      <c r="AE161" s="172"/>
      <c r="AF161" s="173"/>
      <c r="AG161" s="36"/>
      <c r="AH161" s="36"/>
      <c r="AI161" s="36"/>
      <c r="AJ161" s="36"/>
      <c r="AK161" s="36"/>
      <c r="AL161" s="36"/>
      <c r="AM161" s="36"/>
      <c r="AN161" s="36"/>
      <c r="AO161" s="36"/>
      <c r="AP161" s="36"/>
    </row>
    <row r="162" spans="3:42" ht="14">
      <c r="C162" s="78" t="e">
        <v>#N/A</v>
      </c>
      <c r="D162" s="60" t="s">
        <v>99</v>
      </c>
      <c r="E162" s="125" t="s">
        <v>100</v>
      </c>
      <c r="F162" s="124">
        <v>1</v>
      </c>
      <c r="G162" s="115" t="s">
        <v>1090</v>
      </c>
      <c r="H162" s="18" t="s">
        <v>617</v>
      </c>
      <c r="I162" s="18" t="s">
        <v>59</v>
      </c>
      <c r="J162" s="19" t="s">
        <v>428</v>
      </c>
      <c r="K162" s="99">
        <v>192476</v>
      </c>
      <c r="L162" s="97">
        <f>INDEX(Table1[Production],MATCH(rrcworking[[#This Row],[RRC ID Number]],Table1[RRC Identifier],0))</f>
        <v>0</v>
      </c>
      <c r="M162" s="29">
        <f>INDEX(Table1[Formation Production],MATCH(rrcworking[[#This Row],[RRC ID Number]],Table1[RRC Identifier],0))</f>
        <v>0</v>
      </c>
      <c r="N162" s="30">
        <f>INDEX(Table1[On Hand End of Month],MATCH(rrcworking[[#This Row],[RRC ID Number]],Table1[RRC Identifier],0))</f>
        <v>116</v>
      </c>
      <c r="O162" s="102" t="b">
        <f t="shared" si="4"/>
        <v>1</v>
      </c>
      <c r="Q162" s="122">
        <f>rrcworking[[#This Row],[Last Month Closing Stock]]</f>
        <v>116</v>
      </c>
      <c r="R162">
        <f>rrcworking[[#This Row],[Opening Oil Stock]]</f>
        <v>116</v>
      </c>
      <c r="S162" s="133">
        <f>IF(ISERROR(INDEX(Table2[OIL],MATCH(rrcworking[[#This Row],[Magnum Wolfpak '#]],Table2[Rox Wolf'#],0))),0,INDEX(Table2[OIL],MATCH(rrcworking[[#This Row],[Magnum Wolfpak '#]],Table2[Rox Wolf'#],0)))</f>
        <v>0</v>
      </c>
      <c r="T162" s="34">
        <f>rrcworking[[#This Row],[Closing Stock (Oil)]]+rrcworking[[#This Row],[Sales/Dispostion]]-rrcworking[[#This Row],[Opening Oil Stock]]</f>
        <v>0</v>
      </c>
      <c r="U162" s="108">
        <f>rrcworking[[#This Row],[Gauge Sheet Prod Volume (oil)]]-rrcworking[[#This Row],[Oil Production]]</f>
        <v>0</v>
      </c>
      <c r="V162" s="133">
        <f>IF(ISERROR(INDEX(Table2[GAS],MATCH(rrcworking[[#This Row],[Magnum Wolfpak '#]],Table2[Rox Wolf'#],0))),0,INDEX(Table2[GAS],MATCH(rrcworking[[#This Row],[Magnum Wolfpak '#]],Table2[Rox Wolf'#],0)))</f>
        <v>0</v>
      </c>
      <c r="W162" s="58"/>
      <c r="X162" s="58"/>
      <c r="Y162" s="133">
        <f>IF(ISERROR(INDEX(Table2[LEASE USE],MATCH(rrcworking[[#This Row],[Magnum Wolfpak '#]],Table2[Rox Wolf'#],0))),0,INDEX(Table2[LEASE USE],MATCH(rrcworking[[#This Row],[Magnum Wolfpak '#]],Table2[Rox Wolf'#],0)))</f>
        <v>0</v>
      </c>
      <c r="Z162" s="133"/>
      <c r="AA162" s="56">
        <f>rrcworking[[#This Row],[Gas Sales Statement Volume (MCF)]]+rrcworking[[#This Row],[Lease Use (MCF)]]+rrcworking[[#This Row],[Flared Gas]]</f>
        <v>0</v>
      </c>
      <c r="AB162" s="36"/>
      <c r="AC162" s="36"/>
      <c r="AD162" s="175">
        <f>COUNTIF(FilterList,rrcworking[[#This Row],[Magnum Wolfpak '#]])</f>
        <v>0</v>
      </c>
      <c r="AE162" s="172"/>
      <c r="AF162" s="173"/>
      <c r="AG162" s="36"/>
      <c r="AH162" s="36"/>
      <c r="AI162" s="36"/>
      <c r="AJ162" s="36"/>
      <c r="AK162" s="36"/>
      <c r="AL162" s="36"/>
      <c r="AM162" s="36"/>
      <c r="AN162" s="36"/>
      <c r="AO162" s="36"/>
      <c r="AP162" s="36"/>
    </row>
    <row r="163" spans="3:42" ht="14">
      <c r="C163" s="78">
        <v>99026</v>
      </c>
      <c r="D163" s="60" t="s">
        <v>192</v>
      </c>
      <c r="E163" s="125" t="s">
        <v>193</v>
      </c>
      <c r="F163" s="124">
        <v>0</v>
      </c>
      <c r="G163" s="115" t="s">
        <v>1090</v>
      </c>
      <c r="H163" s="18" t="s">
        <v>618</v>
      </c>
      <c r="I163" s="18" t="s">
        <v>2</v>
      </c>
      <c r="J163" s="19" t="s">
        <v>485</v>
      </c>
      <c r="K163" s="99">
        <v>2099</v>
      </c>
      <c r="L163" s="97">
        <f>INDEX(Table1[Production],MATCH(rrcworking[[#This Row],[RRC ID Number]],Table1[RRC Identifier],0))</f>
        <v>32</v>
      </c>
      <c r="M163" s="29">
        <f>INDEX(Table1[Formation Production],MATCH(rrcworking[[#This Row],[RRC ID Number]],Table1[RRC Identifier],0))</f>
        <v>0</v>
      </c>
      <c r="N163" s="30">
        <f>INDEX(Table1[On Hand End of Month],MATCH(rrcworking[[#This Row],[RRC ID Number]],Table1[RRC Identifier],0))</f>
        <v>343</v>
      </c>
      <c r="O163" s="102" t="b">
        <f t="shared" si="4"/>
        <v>0</v>
      </c>
      <c r="P163">
        <v>26</v>
      </c>
      <c r="Q163" s="122">
        <f>rrcworking[[#This Row],[Last Month Closing Stock]]</f>
        <v>343</v>
      </c>
      <c r="R163">
        <v>206</v>
      </c>
      <c r="S163" s="133">
        <f>IF(ISERROR(INDEX(Table2[OIL],MATCH(rrcworking[[#This Row],[Magnum Wolfpak '#]],Table2[Rox Wolf'#],0))),0,INDEX(Table2[OIL],MATCH(rrcworking[[#This Row],[Magnum Wolfpak '#]],Table2[Rox Wolf'#],0)))</f>
        <v>160</v>
      </c>
      <c r="T163" s="34">
        <f>rrcworking[[#This Row],[Closing Stock (Oil)]]+rrcworking[[#This Row],[Sales/Dispostion]]-rrcworking[[#This Row],[Opening Oil Stock]]</f>
        <v>23</v>
      </c>
      <c r="U163" s="108">
        <f>rrcworking[[#This Row],[Gauge Sheet Prod Volume (oil)]]-rrcworking[[#This Row],[Oil Production]]</f>
        <v>3</v>
      </c>
      <c r="V163" s="133">
        <f>IF(ISERROR(INDEX(Table2[GAS],MATCH(rrcworking[[#This Row],[Magnum Wolfpak '#]],Table2[Rox Wolf'#],0))),0,INDEX(Table2[GAS],MATCH(rrcworking[[#This Row],[Magnum Wolfpak '#]],Table2[Rox Wolf'#],0)))</f>
        <v>0</v>
      </c>
      <c r="W163" s="58"/>
      <c r="X163" s="58"/>
      <c r="Y163" s="133">
        <f>IF(ISERROR(INDEX(Table2[LEASE USE],MATCH(rrcworking[[#This Row],[Magnum Wolfpak '#]],Table2[Rox Wolf'#],0))),0,INDEX(Table2[LEASE USE],MATCH(rrcworking[[#This Row],[Magnum Wolfpak '#]],Table2[Rox Wolf'#],0)))</f>
        <v>0</v>
      </c>
      <c r="Z163" s="133"/>
      <c r="AA163" s="56">
        <f>rrcworking[[#This Row],[Gas Sales Statement Volume (MCF)]]+rrcworking[[#This Row],[Lease Use (MCF)]]+rrcworking[[#This Row],[Flared Gas]]</f>
        <v>0</v>
      </c>
      <c r="AB163" s="36"/>
      <c r="AC163" s="36"/>
      <c r="AD163" s="175">
        <f>COUNTIF(FilterList,rrcworking[[#This Row],[Magnum Wolfpak '#]])</f>
        <v>0</v>
      </c>
      <c r="AE163" s="172"/>
      <c r="AF163" s="173"/>
      <c r="AG163" s="36"/>
      <c r="AH163" s="36"/>
      <c r="AI163" s="174"/>
      <c r="AJ163" s="174"/>
      <c r="AK163" s="174"/>
      <c r="AL163" s="174"/>
      <c r="AM163" s="174"/>
      <c r="AN163" s="174"/>
      <c r="AO163" s="36" t="s">
        <v>1163</v>
      </c>
      <c r="AP163" s="36" t="s">
        <v>1197</v>
      </c>
    </row>
    <row r="164" spans="3:42" ht="28">
      <c r="C164" s="78">
        <v>99312</v>
      </c>
      <c r="D164" s="60" t="s">
        <v>255</v>
      </c>
      <c r="E164" s="125" t="s">
        <v>251</v>
      </c>
      <c r="F164" s="124" t="s">
        <v>226</v>
      </c>
      <c r="G164" s="115" t="s">
        <v>1090</v>
      </c>
      <c r="H164" s="18" t="s">
        <v>618</v>
      </c>
      <c r="I164" s="18" t="s">
        <v>59</v>
      </c>
      <c r="J164" s="19" t="s">
        <v>516</v>
      </c>
      <c r="K164" s="99">
        <v>285001</v>
      </c>
      <c r="L164" s="97">
        <f>INDEX(Table1[Production],MATCH(rrcworking[[#This Row],[RRC ID Number]],Table1[RRC Identifier],0))</f>
        <v>0</v>
      </c>
      <c r="M164" s="29">
        <f>INDEX(Table1[Formation Production],MATCH(rrcworking[[#This Row],[RRC ID Number]],Table1[RRC Identifier],0))</f>
        <v>0</v>
      </c>
      <c r="N164" s="30">
        <f>INDEX(Table1[On Hand End of Month],MATCH(rrcworking[[#This Row],[RRC ID Number]],Table1[RRC Identifier],0))</f>
        <v>109</v>
      </c>
      <c r="O164" s="102" t="b">
        <f t="shared" si="4"/>
        <v>1</v>
      </c>
      <c r="P164">
        <v>0</v>
      </c>
      <c r="Q164" s="122">
        <f>rrcworking[[#This Row],[Last Month Closing Stock]]</f>
        <v>109</v>
      </c>
      <c r="R164">
        <v>109</v>
      </c>
      <c r="S164" s="133">
        <f>IF(ISERROR(INDEX(Table2[OIL],MATCH(rrcworking[[#This Row],[Magnum Wolfpak '#]],Table2[Rox Wolf'#],0))),0,INDEX(Table2[OIL],MATCH(rrcworking[[#This Row],[Magnum Wolfpak '#]],Table2[Rox Wolf'#],0)))</f>
        <v>0</v>
      </c>
      <c r="T164" s="34">
        <f>rrcworking[[#This Row],[Closing Stock (Oil)]]+rrcworking[[#This Row],[Sales/Dispostion]]-rrcworking[[#This Row],[Opening Oil Stock]]</f>
        <v>0</v>
      </c>
      <c r="U164" s="108">
        <f>rrcworking[[#This Row],[Gauge Sheet Prod Volume (oil)]]-rrcworking[[#This Row],[Oil Production]]</f>
        <v>0</v>
      </c>
      <c r="V164" s="133">
        <f>IF(ISERROR(INDEX(Table2[GAS],MATCH(rrcworking[[#This Row],[Magnum Wolfpak '#]],Table2[Rox Wolf'#],0))),0,INDEX(Table2[GAS],MATCH(rrcworking[[#This Row],[Magnum Wolfpak '#]],Table2[Rox Wolf'#],0)))</f>
        <v>22</v>
      </c>
      <c r="W164" s="82"/>
      <c r="X164" s="58">
        <v>21</v>
      </c>
      <c r="Y164" s="133">
        <f>IF(ISERROR(INDEX(Table2[LEASE USE],MATCH(rrcworking[[#This Row],[Magnum Wolfpak '#]],Table2[Rox Wolf'#],0))),0,INDEX(Table2[LEASE USE],MATCH(rrcworking[[#This Row],[Magnum Wolfpak '#]],Table2[Rox Wolf'#],0)))</f>
        <v>0</v>
      </c>
      <c r="Z164" s="133"/>
      <c r="AA164" s="56">
        <f>rrcworking[[#This Row],[Gas Sales Statement Volume (MCF)]]+rrcworking[[#This Row],[Lease Use (MCF)]]+rrcworking[[#This Row],[Flared Gas]]</f>
        <v>22</v>
      </c>
      <c r="AB164" s="36"/>
      <c r="AC164" s="36" t="s">
        <v>1241</v>
      </c>
      <c r="AD164" s="175">
        <f>COUNTIF(FilterList,rrcworking[[#This Row],[Magnum Wolfpak '#]])</f>
        <v>0</v>
      </c>
      <c r="AE164" s="172"/>
      <c r="AF164" s="173"/>
      <c r="AG164" s="36"/>
      <c r="AH164" s="173"/>
      <c r="AI164" s="36">
        <v>1</v>
      </c>
      <c r="AJ164" s="36" t="s">
        <v>1139</v>
      </c>
      <c r="AK164" s="36" t="s">
        <v>1139</v>
      </c>
      <c r="AL164" s="36" t="s">
        <v>1174</v>
      </c>
      <c r="AM164" s="36" t="s">
        <v>1139</v>
      </c>
      <c r="AN164" s="36" t="s">
        <v>1175</v>
      </c>
      <c r="AO164" s="36" t="s">
        <v>1218</v>
      </c>
      <c r="AP164" s="36"/>
    </row>
    <row r="165" spans="3:42" ht="56">
      <c r="C165" s="78">
        <v>99246</v>
      </c>
      <c r="D165" s="60" t="s">
        <v>250</v>
      </c>
      <c r="E165" s="125" t="s">
        <v>251</v>
      </c>
      <c r="F165" s="124" t="s">
        <v>252</v>
      </c>
      <c r="G165" s="115" t="s">
        <v>1090</v>
      </c>
      <c r="H165" s="18" t="s">
        <v>618</v>
      </c>
      <c r="I165" s="18" t="s">
        <v>59</v>
      </c>
      <c r="J165" s="19" t="s">
        <v>514</v>
      </c>
      <c r="K165" s="99">
        <v>284977</v>
      </c>
      <c r="L165" s="97">
        <f>INDEX(Table1[Production],MATCH(rrcworking[[#This Row],[RRC ID Number]],Table1[RRC Identifier],0))</f>
        <v>42</v>
      </c>
      <c r="M165" s="29">
        <f>INDEX(Table1[Formation Production],MATCH(rrcworking[[#This Row],[RRC ID Number]],Table1[RRC Identifier],0))</f>
        <v>17974</v>
      </c>
      <c r="N165" s="30">
        <f>INDEX(Table1[On Hand End of Month],MATCH(rrcworking[[#This Row],[RRC ID Number]],Table1[RRC Identifier],0))</f>
        <v>341</v>
      </c>
      <c r="O165" s="102" t="b">
        <f t="shared" ref="O165:O194" si="5">IF(AND(L165=0,M165=0), TRUE, FALSE)</f>
        <v>0</v>
      </c>
      <c r="P165">
        <v>37</v>
      </c>
      <c r="Q165" s="122">
        <f>rrcworking[[#This Row],[Last Month Closing Stock]]</f>
        <v>341</v>
      </c>
      <c r="R165">
        <v>195</v>
      </c>
      <c r="S165" s="133">
        <f>IF(ISERROR(INDEX(Table2[OIL],MATCH(rrcworking[[#This Row],[Magnum Wolfpak '#]],Table2[Rox Wolf'#],0))),0,INDEX(Table2[OIL],MATCH(rrcworking[[#This Row],[Magnum Wolfpak '#]],Table2[Rox Wolf'#],0)))</f>
        <v>178</v>
      </c>
      <c r="T165" s="34">
        <f>rrcworking[[#This Row],[Closing Stock (Oil)]]+rrcworking[[#This Row],[Sales/Dispostion]]-rrcworking[[#This Row],[Opening Oil Stock]]</f>
        <v>32</v>
      </c>
      <c r="U165" s="108">
        <f>rrcworking[[#This Row],[Gauge Sheet Prod Volume (oil)]]-rrcworking[[#This Row],[Oil Production]]</f>
        <v>5</v>
      </c>
      <c r="V165" s="133">
        <f>IF(ISERROR(INDEX(Table2[GAS],MATCH(rrcworking[[#This Row],[Magnum Wolfpak '#]],Table2[Rox Wolf'#],0))),0,INDEX(Table2[GAS],MATCH(rrcworking[[#This Row],[Magnum Wolfpak '#]],Table2[Rox Wolf'#],0)))</f>
        <v>13274</v>
      </c>
      <c r="W165" s="82"/>
      <c r="X165" s="58">
        <v>25</v>
      </c>
      <c r="Y165" s="133">
        <f>IF(ISERROR(INDEX(Table2[LEASE USE],MATCH(rrcworking[[#This Row],[Magnum Wolfpak '#]],Table2[Rox Wolf'#],0))),0,INDEX(Table2[LEASE USE],MATCH(rrcworking[[#This Row],[Magnum Wolfpak '#]],Table2[Rox Wolf'#],0)))</f>
        <v>750</v>
      </c>
      <c r="Z165" s="133"/>
      <c r="AA165" s="56">
        <f>rrcworking[[#This Row],[Gas Sales Statement Volume (MCF)]]+rrcworking[[#This Row],[Lease Use (MCF)]]+rrcworking[[#This Row],[Flared Gas]]</f>
        <v>14024</v>
      </c>
      <c r="AB165" s="36"/>
      <c r="AC165" s="36" t="s">
        <v>1290</v>
      </c>
      <c r="AD165" s="175">
        <f>COUNTIF(FilterList,rrcworking[[#This Row],[Magnum Wolfpak '#]])</f>
        <v>0</v>
      </c>
      <c r="AE165" s="172"/>
      <c r="AF165" s="173"/>
      <c r="AG165" s="36"/>
      <c r="AH165" s="173"/>
      <c r="AI165" s="36">
        <v>2</v>
      </c>
      <c r="AJ165" s="36" t="s">
        <v>1139</v>
      </c>
      <c r="AK165" s="36" t="s">
        <v>1139</v>
      </c>
      <c r="AL165" s="36" t="s">
        <v>1180</v>
      </c>
      <c r="AM165" s="36" t="s">
        <v>1139</v>
      </c>
      <c r="AN165" s="36" t="s">
        <v>1175</v>
      </c>
      <c r="AO165" s="36" t="s">
        <v>1219</v>
      </c>
      <c r="AP165" s="36"/>
    </row>
    <row r="166" spans="3:42" ht="14">
      <c r="C166" s="78" t="e">
        <v>#N/A</v>
      </c>
      <c r="D166" s="60" t="s">
        <v>299</v>
      </c>
      <c r="E166" s="125" t="s">
        <v>300</v>
      </c>
      <c r="F166" s="124" t="s">
        <v>301</v>
      </c>
      <c r="G166" s="115" t="s">
        <v>1090</v>
      </c>
      <c r="H166" s="18" t="s">
        <v>618</v>
      </c>
      <c r="I166" s="18" t="s">
        <v>59</v>
      </c>
      <c r="J166" s="19" t="s">
        <v>548</v>
      </c>
      <c r="K166" s="99">
        <v>201104</v>
      </c>
      <c r="L166" s="97">
        <f>INDEX(Table1[Production],MATCH(rrcworking[[#This Row],[RRC ID Number]],Table1[RRC Identifier],0))</f>
        <v>0</v>
      </c>
      <c r="M166" s="29">
        <f>INDEX(Table1[Formation Production],MATCH(rrcworking[[#This Row],[RRC ID Number]],Table1[RRC Identifier],0))</f>
        <v>0</v>
      </c>
      <c r="N166" s="30">
        <f>INDEX(Table1[On Hand End of Month],MATCH(rrcworking[[#This Row],[RRC ID Number]],Table1[RRC Identifier],0))</f>
        <v>0</v>
      </c>
      <c r="O166" s="102" t="b">
        <f t="shared" si="5"/>
        <v>1</v>
      </c>
      <c r="Q166" s="122">
        <f>rrcworking[[#This Row],[Last Month Closing Stock]]</f>
        <v>0</v>
      </c>
      <c r="R166">
        <f>rrcworking[[#This Row],[Opening Oil Stock]]</f>
        <v>0</v>
      </c>
      <c r="S166" s="133">
        <f>IF(ISERROR(INDEX(Table2[OIL],MATCH(rrcworking[[#This Row],[Magnum Wolfpak '#]],Table2[Rox Wolf'#],0))),0,INDEX(Table2[OIL],MATCH(rrcworking[[#This Row],[Magnum Wolfpak '#]],Table2[Rox Wolf'#],0)))</f>
        <v>0</v>
      </c>
      <c r="T166" s="34">
        <f>rrcworking[[#This Row],[Closing Stock (Oil)]]+rrcworking[[#This Row],[Sales/Dispostion]]-rrcworking[[#This Row],[Opening Oil Stock]]</f>
        <v>0</v>
      </c>
      <c r="U166" s="108">
        <f>rrcworking[[#This Row],[Gauge Sheet Prod Volume (oil)]]-rrcworking[[#This Row],[Oil Production]]</f>
        <v>0</v>
      </c>
      <c r="V166" s="133">
        <f>IF(ISERROR(INDEX(Table2[GAS],MATCH(rrcworking[[#This Row],[Magnum Wolfpak '#]],Table2[Rox Wolf'#],0))),0,INDEX(Table2[GAS],MATCH(rrcworking[[#This Row],[Magnum Wolfpak '#]],Table2[Rox Wolf'#],0)))</f>
        <v>0</v>
      </c>
      <c r="W166" s="58"/>
      <c r="X166" s="58"/>
      <c r="Y166" s="133">
        <f>IF(ISERROR(INDEX(Table2[LEASE USE],MATCH(rrcworking[[#This Row],[Magnum Wolfpak '#]],Table2[Rox Wolf'#],0))),0,INDEX(Table2[LEASE USE],MATCH(rrcworking[[#This Row],[Magnum Wolfpak '#]],Table2[Rox Wolf'#],0)))</f>
        <v>0</v>
      </c>
      <c r="Z166" s="133"/>
      <c r="AA166" s="56">
        <f>rrcworking[[#This Row],[Gas Sales Statement Volume (MCF)]]+rrcworking[[#This Row],[Lease Use (MCF)]]+rrcworking[[#This Row],[Flared Gas]]</f>
        <v>0</v>
      </c>
      <c r="AB166" s="36"/>
      <c r="AC166" s="36"/>
      <c r="AD166" s="175">
        <f>COUNTIF(FilterList,rrcworking[[#This Row],[Magnum Wolfpak '#]])</f>
        <v>0</v>
      </c>
      <c r="AE166" s="172"/>
      <c r="AF166" s="173"/>
      <c r="AG166" s="36"/>
      <c r="AH166" s="36"/>
      <c r="AI166" s="36"/>
      <c r="AJ166" s="36"/>
      <c r="AK166" s="36"/>
      <c r="AL166" s="36"/>
      <c r="AM166" s="36"/>
      <c r="AN166" s="36"/>
      <c r="AO166" s="36"/>
      <c r="AP166" s="36"/>
    </row>
    <row r="167" spans="3:42" ht="98">
      <c r="C167" s="78">
        <v>99140</v>
      </c>
      <c r="D167" s="60" t="s">
        <v>187</v>
      </c>
      <c r="E167" s="125" t="s">
        <v>188</v>
      </c>
      <c r="F167" s="124">
        <v>0</v>
      </c>
      <c r="G167" s="115" t="s">
        <v>1090</v>
      </c>
      <c r="H167" s="18" t="s">
        <v>618</v>
      </c>
      <c r="I167" s="18" t="s">
        <v>2</v>
      </c>
      <c r="J167" s="19" t="s">
        <v>482</v>
      </c>
      <c r="K167" s="99">
        <v>26501</v>
      </c>
      <c r="L167" s="97">
        <f>INDEX(Table1[Production],MATCH(rrcworking[[#This Row],[RRC ID Number]],Table1[RRC Identifier],0))</f>
        <v>0</v>
      </c>
      <c r="M167" s="29">
        <f>INDEX(Table1[Formation Production],MATCH(rrcworking[[#This Row],[RRC ID Number]],Table1[RRC Identifier],0))</f>
        <v>0</v>
      </c>
      <c r="N167" s="30">
        <f>INDEX(Table1[On Hand End of Month],MATCH(rrcworking[[#This Row],[RRC ID Number]],Table1[RRC Identifier],0))</f>
        <v>114</v>
      </c>
      <c r="O167" s="102" t="b">
        <f t="shared" si="5"/>
        <v>1</v>
      </c>
      <c r="P167">
        <v>0</v>
      </c>
      <c r="Q167" s="122">
        <f>rrcworking[[#This Row],[Last Month Closing Stock]]</f>
        <v>114</v>
      </c>
      <c r="R167">
        <v>114</v>
      </c>
      <c r="S167" s="133">
        <f>IF(ISERROR(INDEX(Table2[OIL],MATCH(rrcworking[[#This Row],[Magnum Wolfpak '#]],Table2[Rox Wolf'#],0))),0,INDEX(Table2[OIL],MATCH(rrcworking[[#This Row],[Magnum Wolfpak '#]],Table2[Rox Wolf'#],0)))</f>
        <v>0</v>
      </c>
      <c r="T167" s="34">
        <f>rrcworking[[#This Row],[Closing Stock (Oil)]]+rrcworking[[#This Row],[Sales/Dispostion]]-rrcworking[[#This Row],[Opening Oil Stock]]</f>
        <v>0</v>
      </c>
      <c r="U167" s="108">
        <f>rrcworking[[#This Row],[Gauge Sheet Prod Volume (oil)]]-rrcworking[[#This Row],[Oil Production]]</f>
        <v>0</v>
      </c>
      <c r="V167" s="133">
        <f>IF(ISERROR(INDEX(Table2[GAS],MATCH(rrcworking[[#This Row],[Magnum Wolfpak '#]],Table2[Rox Wolf'#],0))),0,INDEX(Table2[GAS],MATCH(rrcworking[[#This Row],[Magnum Wolfpak '#]],Table2[Rox Wolf'#],0)))</f>
        <v>0</v>
      </c>
      <c r="W167" s="58"/>
      <c r="X167" s="58"/>
      <c r="Y167" s="133">
        <f>IF(ISERROR(INDEX(Table2[LEASE USE],MATCH(rrcworking[[#This Row],[Magnum Wolfpak '#]],Table2[Rox Wolf'#],0))),0,INDEX(Table2[LEASE USE],MATCH(rrcworking[[#This Row],[Magnum Wolfpak '#]],Table2[Rox Wolf'#],0)))</f>
        <v>0</v>
      </c>
      <c r="Z167" s="133"/>
      <c r="AA167" s="56">
        <f>rrcworking[[#This Row],[Gas Sales Statement Volume (MCF)]]+rrcworking[[#This Row],[Lease Use (MCF)]]+rrcworking[[#This Row],[Flared Gas]]</f>
        <v>0</v>
      </c>
      <c r="AB167" s="36"/>
      <c r="AC167" s="36" t="s">
        <v>1145</v>
      </c>
      <c r="AD167" s="175">
        <f>COUNTIF(FilterList,rrcworking[[#This Row],[Magnum Wolfpak '#]])</f>
        <v>0</v>
      </c>
      <c r="AE167" s="172"/>
      <c r="AF167" s="173"/>
      <c r="AG167" s="36"/>
      <c r="AH167" s="36"/>
      <c r="AI167" s="36"/>
      <c r="AJ167" s="36"/>
      <c r="AK167" s="36"/>
      <c r="AL167" s="36"/>
      <c r="AM167" s="36"/>
      <c r="AN167" s="36"/>
      <c r="AO167" s="36" t="s">
        <v>1163</v>
      </c>
      <c r="AP167" s="36" t="s">
        <v>1220</v>
      </c>
    </row>
    <row r="168" spans="3:42" ht="42">
      <c r="C168" s="78">
        <v>98979</v>
      </c>
      <c r="D168" s="60" t="s">
        <v>308</v>
      </c>
      <c r="E168" s="125" t="s">
        <v>309</v>
      </c>
      <c r="F168" s="124">
        <v>0</v>
      </c>
      <c r="G168" s="115" t="s">
        <v>1090</v>
      </c>
      <c r="H168" s="18" t="s">
        <v>619</v>
      </c>
      <c r="I168" s="18" t="s">
        <v>2</v>
      </c>
      <c r="J168" s="19" t="s">
        <v>553</v>
      </c>
      <c r="K168" s="99">
        <v>13355</v>
      </c>
      <c r="L168" s="97">
        <f>INDEX(Table1[Production],MATCH(rrcworking[[#This Row],[RRC ID Number]],Table1[RRC Identifier],0))</f>
        <v>60</v>
      </c>
      <c r="M168" s="29">
        <f>INDEX(Table1[Formation Production],MATCH(rrcworking[[#This Row],[RRC ID Number]],Table1[RRC Identifier],0))</f>
        <v>253</v>
      </c>
      <c r="N168" s="30">
        <f>INDEX(Table1[On Hand End of Month],MATCH(rrcworking[[#This Row],[RRC ID Number]],Table1[RRC Identifier],0))</f>
        <v>155</v>
      </c>
      <c r="O168" s="102" t="b">
        <f t="shared" si="5"/>
        <v>0</v>
      </c>
      <c r="P168">
        <v>68</v>
      </c>
      <c r="Q168" s="122">
        <f>rrcworking[[#This Row],[Last Month Closing Stock]]</f>
        <v>155</v>
      </c>
      <c r="R168">
        <v>223</v>
      </c>
      <c r="S168" s="133">
        <f>IF(ISERROR(INDEX(Table2[OIL],MATCH(rrcworking[[#This Row],[Magnum Wolfpak '#]],Table2[Rox Wolf'#],0))),0,INDEX(Table2[OIL],MATCH(rrcworking[[#This Row],[Magnum Wolfpak '#]],Table2[Rox Wolf'#],0)))</f>
        <v>0</v>
      </c>
      <c r="T168" s="34">
        <f>rrcworking[[#This Row],[Closing Stock (Oil)]]+rrcworking[[#This Row],[Sales/Dispostion]]-rrcworking[[#This Row],[Opening Oil Stock]]</f>
        <v>68</v>
      </c>
      <c r="U168" s="108">
        <f>rrcworking[[#This Row],[Gauge Sheet Prod Volume (oil)]]-rrcworking[[#This Row],[Oil Production]]</f>
        <v>0</v>
      </c>
      <c r="V168" s="133">
        <f>IF(ISERROR(INDEX(Table2[GAS],MATCH(rrcworking[[#This Row],[Magnum Wolfpak '#]],Table2[Rox Wolf'#],0))),0,INDEX(Table2[GAS],MATCH(rrcworking[[#This Row],[Magnum Wolfpak '#]],Table2[Rox Wolf'#],0)))</f>
        <v>238</v>
      </c>
      <c r="W168" s="58"/>
      <c r="X168" s="58">
        <v>0</v>
      </c>
      <c r="Y168" s="133">
        <f>IF(ISERROR(INDEX(Table2[LEASE USE],MATCH(rrcworking[[#This Row],[Magnum Wolfpak '#]],Table2[Rox Wolf'#],0))),0,INDEX(Table2[LEASE USE],MATCH(rrcworking[[#This Row],[Magnum Wolfpak '#]],Table2[Rox Wolf'#],0)))</f>
        <v>0</v>
      </c>
      <c r="Z168" s="133"/>
      <c r="AA168" s="56">
        <f>rrcworking[[#This Row],[Gas Sales Statement Volume (MCF)]]+rrcworking[[#This Row],[Lease Use (MCF)]]+rrcworking[[#This Row],[Flared Gas]]</f>
        <v>238</v>
      </c>
      <c r="AB168" s="36"/>
      <c r="AC168" s="36" t="s">
        <v>1313</v>
      </c>
      <c r="AD168" s="175">
        <f>COUNTIF(FilterList,rrcworking[[#This Row],[Magnum Wolfpak '#]])</f>
        <v>0</v>
      </c>
      <c r="AE168" s="172"/>
      <c r="AF168" s="173"/>
      <c r="AG168" s="36"/>
      <c r="AH168" s="173"/>
      <c r="AI168" s="36">
        <v>2</v>
      </c>
      <c r="AJ168" s="36" t="s">
        <v>1165</v>
      </c>
      <c r="AK168" s="36" t="s">
        <v>1165</v>
      </c>
      <c r="AL168" s="36" t="s">
        <v>1195</v>
      </c>
      <c r="AM168" s="36" t="s">
        <v>1165</v>
      </c>
      <c r="AN168" s="36" t="s">
        <v>1170</v>
      </c>
      <c r="AO168" s="36" t="s">
        <v>1235</v>
      </c>
      <c r="AP168" s="36"/>
    </row>
    <row r="169" spans="3:42" ht="14">
      <c r="C169" s="78" t="e">
        <v>#N/A</v>
      </c>
      <c r="D169" s="60" t="s">
        <v>94</v>
      </c>
      <c r="E169" s="125" t="s">
        <v>91</v>
      </c>
      <c r="F169" s="124">
        <v>5</v>
      </c>
      <c r="G169" s="115" t="s">
        <v>1090</v>
      </c>
      <c r="H169" s="18" t="s">
        <v>617</v>
      </c>
      <c r="I169" s="18" t="s">
        <v>59</v>
      </c>
      <c r="J169" s="19" t="s">
        <v>424</v>
      </c>
      <c r="K169" s="99">
        <v>145447</v>
      </c>
      <c r="L169" s="97">
        <f>INDEX(Table1[Production],MATCH(rrcworking[[#This Row],[RRC ID Number]],Table1[RRC Identifier],0))</f>
        <v>0</v>
      </c>
      <c r="M169" s="29">
        <f>INDEX(Table1[Formation Production],MATCH(rrcworking[[#This Row],[RRC ID Number]],Table1[RRC Identifier],0))</f>
        <v>0</v>
      </c>
      <c r="N169" s="30">
        <f>INDEX(Table1[On Hand End of Month],MATCH(rrcworking[[#This Row],[RRC ID Number]],Table1[RRC Identifier],0))</f>
        <v>0</v>
      </c>
      <c r="O169" s="102" t="b">
        <f t="shared" si="5"/>
        <v>1</v>
      </c>
      <c r="Q169" s="122">
        <f>rrcworking[[#This Row],[Last Month Closing Stock]]</f>
        <v>0</v>
      </c>
      <c r="R169">
        <f>rrcworking[[#This Row],[Opening Oil Stock]]</f>
        <v>0</v>
      </c>
      <c r="S169" s="133">
        <f>IF(ISERROR(INDEX(Table2[OIL],MATCH(rrcworking[[#This Row],[Magnum Wolfpak '#]],Table2[Rox Wolf'#],0))),0,INDEX(Table2[OIL],MATCH(rrcworking[[#This Row],[Magnum Wolfpak '#]],Table2[Rox Wolf'#],0)))</f>
        <v>0</v>
      </c>
      <c r="T169" s="34">
        <f>rrcworking[[#This Row],[Closing Stock (Oil)]]+rrcworking[[#This Row],[Sales/Dispostion]]-rrcworking[[#This Row],[Opening Oil Stock]]</f>
        <v>0</v>
      </c>
      <c r="U169" s="108">
        <f>rrcworking[[#This Row],[Gauge Sheet Prod Volume (oil)]]-rrcworking[[#This Row],[Oil Production]]</f>
        <v>0</v>
      </c>
      <c r="V169" s="133">
        <f>IF(ISERROR(INDEX(Table2[GAS],MATCH(rrcworking[[#This Row],[Magnum Wolfpak '#]],Table2[Rox Wolf'#],0))),0,INDEX(Table2[GAS],MATCH(rrcworking[[#This Row],[Magnum Wolfpak '#]],Table2[Rox Wolf'#],0)))</f>
        <v>0</v>
      </c>
      <c r="W169" s="58"/>
      <c r="X169" s="58"/>
      <c r="Y169" s="133">
        <f>IF(ISERROR(INDEX(Table2[LEASE USE],MATCH(rrcworking[[#This Row],[Magnum Wolfpak '#]],Table2[Rox Wolf'#],0))),0,INDEX(Table2[LEASE USE],MATCH(rrcworking[[#This Row],[Magnum Wolfpak '#]],Table2[Rox Wolf'#],0)))</f>
        <v>0</v>
      </c>
      <c r="Z169" s="133"/>
      <c r="AA169" s="56">
        <f>rrcworking[[#This Row],[Gas Sales Statement Volume (MCF)]]+rrcworking[[#This Row],[Lease Use (MCF)]]+rrcworking[[#This Row],[Flared Gas]]</f>
        <v>0</v>
      </c>
      <c r="AB169" s="36"/>
      <c r="AC169" s="36"/>
      <c r="AD169" s="175">
        <f>COUNTIF(FilterList,rrcworking[[#This Row],[Magnum Wolfpak '#]])</f>
        <v>0</v>
      </c>
      <c r="AE169" s="172"/>
      <c r="AF169" s="173"/>
      <c r="AG169" s="36"/>
      <c r="AH169" s="36"/>
      <c r="AI169" s="36"/>
      <c r="AJ169" s="36"/>
      <c r="AK169" s="36"/>
      <c r="AL169" s="36"/>
      <c r="AM169" s="36"/>
      <c r="AN169" s="36"/>
      <c r="AO169" s="36"/>
      <c r="AP169" s="36"/>
    </row>
    <row r="170" spans="3:42" ht="28">
      <c r="C170" s="78">
        <v>34001</v>
      </c>
      <c r="D170" s="60" t="s">
        <v>90</v>
      </c>
      <c r="E170" s="125" t="s">
        <v>91</v>
      </c>
      <c r="F170" s="124">
        <v>0</v>
      </c>
      <c r="G170" s="115" t="s">
        <v>1090</v>
      </c>
      <c r="H170" s="18" t="s">
        <v>617</v>
      </c>
      <c r="I170" s="18" t="s">
        <v>2</v>
      </c>
      <c r="J170" s="19" t="s">
        <v>422</v>
      </c>
      <c r="K170" s="99">
        <v>394</v>
      </c>
      <c r="L170" s="97">
        <f>INDEX(Table1[Production],MATCH(rrcworking[[#This Row],[RRC ID Number]],Table1[RRC Identifier],0))</f>
        <v>743</v>
      </c>
      <c r="M170" s="29">
        <f>INDEX(Table1[Formation Production],MATCH(rrcworking[[#This Row],[RRC ID Number]],Table1[RRC Identifier],0))</f>
        <v>0</v>
      </c>
      <c r="N170" s="30">
        <f>INDEX(Table1[On Hand End of Month],MATCH(rrcworking[[#This Row],[RRC ID Number]],Table1[RRC Identifier],0))</f>
        <v>974</v>
      </c>
      <c r="O170" s="102" t="b">
        <f t="shared" si="5"/>
        <v>0</v>
      </c>
      <c r="P170">
        <v>729</v>
      </c>
      <c r="Q170" s="122">
        <f>rrcworking[[#This Row],[Last Month Closing Stock]]</f>
        <v>974</v>
      </c>
      <c r="R170">
        <v>514</v>
      </c>
      <c r="S170" s="133">
        <f>IF(ISERROR(INDEX(Table2[OIL],MATCH(rrcworking[[#This Row],[Magnum Wolfpak '#]],Table2[Rox Wolf'#],0))),0,INDEX(Table2[OIL],MATCH(rrcworking[[#This Row],[Magnum Wolfpak '#]],Table2[Rox Wolf'#],0)))</f>
        <v>1177</v>
      </c>
      <c r="T170" s="34">
        <f>rrcworking[[#This Row],[Closing Stock (Oil)]]+rrcworking[[#This Row],[Sales/Dispostion]]-rrcworking[[#This Row],[Opening Oil Stock]]</f>
        <v>717</v>
      </c>
      <c r="U170" s="108">
        <f>rrcworking[[#This Row],[Gauge Sheet Prod Volume (oil)]]-rrcworking[[#This Row],[Oil Production]]</f>
        <v>12</v>
      </c>
      <c r="V170" s="133">
        <f>IF(ISERROR(INDEX(Table2[GAS],MATCH(rrcworking[[#This Row],[Magnum Wolfpak '#]],Table2[Rox Wolf'#],0))),0,INDEX(Table2[GAS],MATCH(rrcworking[[#This Row],[Magnum Wolfpak '#]],Table2[Rox Wolf'#],0)))</f>
        <v>0</v>
      </c>
      <c r="W170" s="58"/>
      <c r="X170" s="58"/>
      <c r="Y170" s="133">
        <f>IF(ISERROR(INDEX(Table2[LEASE USE],MATCH(rrcworking[[#This Row],[Magnum Wolfpak '#]],Table2[Rox Wolf'#],0))),0,INDEX(Table2[LEASE USE],MATCH(rrcworking[[#This Row],[Magnum Wolfpak '#]],Table2[Rox Wolf'#],0)))</f>
        <v>0</v>
      </c>
      <c r="Z170" s="133"/>
      <c r="AA170" s="56">
        <f>rrcworking[[#This Row],[Gas Sales Statement Volume (MCF)]]+rrcworking[[#This Row],[Lease Use (MCF)]]+rrcworking[[#This Row],[Flared Gas]]</f>
        <v>0</v>
      </c>
      <c r="AB170" s="36"/>
      <c r="AC170" s="36"/>
      <c r="AD170" s="175">
        <f>COUNTIF(FilterList,rrcworking[[#This Row],[Magnum Wolfpak '#]])</f>
        <v>0</v>
      </c>
      <c r="AE170" s="172"/>
      <c r="AF170" s="173"/>
      <c r="AG170" s="36"/>
      <c r="AH170" s="173"/>
      <c r="AI170" s="174"/>
      <c r="AJ170" s="174"/>
      <c r="AK170" s="174"/>
      <c r="AL170" s="174"/>
      <c r="AM170" s="174"/>
      <c r="AN170" s="174"/>
      <c r="AO170" s="36" t="s">
        <v>1163</v>
      </c>
      <c r="AP170" s="36" t="s">
        <v>1168</v>
      </c>
    </row>
    <row r="171" spans="3:42" ht="14">
      <c r="C171" s="78" t="e">
        <v>#N/A</v>
      </c>
      <c r="D171" s="60" t="s">
        <v>323</v>
      </c>
      <c r="E171" s="125" t="s">
        <v>324</v>
      </c>
      <c r="F171" s="124">
        <v>0</v>
      </c>
      <c r="G171" s="115" t="s">
        <v>1090</v>
      </c>
      <c r="H171" s="18" t="s">
        <v>619</v>
      </c>
      <c r="I171" s="18" t="s">
        <v>2</v>
      </c>
      <c r="J171" s="19" t="s">
        <v>560</v>
      </c>
      <c r="K171" s="99">
        <v>12863</v>
      </c>
      <c r="L171" s="97">
        <f>INDEX(Table1[Production],MATCH(rrcworking[[#This Row],[RRC ID Number]],Table1[RRC Identifier],0))</f>
        <v>0</v>
      </c>
      <c r="M171" s="29">
        <f>INDEX(Table1[Formation Production],MATCH(rrcworking[[#This Row],[RRC ID Number]],Table1[RRC Identifier],0))</f>
        <v>0</v>
      </c>
      <c r="N171" s="30">
        <f>INDEX(Table1[On Hand End of Month],MATCH(rrcworking[[#This Row],[RRC ID Number]],Table1[RRC Identifier],0))</f>
        <v>0</v>
      </c>
      <c r="O171" s="102" t="b">
        <f t="shared" si="5"/>
        <v>1</v>
      </c>
      <c r="Q171" s="122">
        <f>rrcworking[[#This Row],[Last Month Closing Stock]]</f>
        <v>0</v>
      </c>
      <c r="R171">
        <f>rrcworking[[#This Row],[Opening Oil Stock]]</f>
        <v>0</v>
      </c>
      <c r="S171" s="133">
        <f>IF(ISERROR(INDEX(Table2[OIL],MATCH(rrcworking[[#This Row],[Magnum Wolfpak '#]],Table2[Rox Wolf'#],0))),0,INDEX(Table2[OIL],MATCH(rrcworking[[#This Row],[Magnum Wolfpak '#]],Table2[Rox Wolf'#],0)))</f>
        <v>0</v>
      </c>
      <c r="T171" s="34">
        <f>rrcworking[[#This Row],[Closing Stock (Oil)]]+rrcworking[[#This Row],[Sales/Dispostion]]-rrcworking[[#This Row],[Opening Oil Stock]]</f>
        <v>0</v>
      </c>
      <c r="U171" s="108">
        <f>rrcworking[[#This Row],[Gauge Sheet Prod Volume (oil)]]-rrcworking[[#This Row],[Oil Production]]</f>
        <v>0</v>
      </c>
      <c r="V171" s="133">
        <f>IF(ISERROR(INDEX(Table2[GAS],MATCH(rrcworking[[#This Row],[Magnum Wolfpak '#]],Table2[Rox Wolf'#],0))),0,INDEX(Table2[GAS],MATCH(rrcworking[[#This Row],[Magnum Wolfpak '#]],Table2[Rox Wolf'#],0)))</f>
        <v>0</v>
      </c>
      <c r="W171" s="58"/>
      <c r="X171" s="58"/>
      <c r="Y171" s="133">
        <f>IF(ISERROR(INDEX(Table2[LEASE USE],MATCH(rrcworking[[#This Row],[Magnum Wolfpak '#]],Table2[Rox Wolf'#],0))),0,INDEX(Table2[LEASE USE],MATCH(rrcworking[[#This Row],[Magnum Wolfpak '#]],Table2[Rox Wolf'#],0)))</f>
        <v>0</v>
      </c>
      <c r="Z171" s="133"/>
      <c r="AA171" s="56">
        <f>rrcworking[[#This Row],[Gas Sales Statement Volume (MCF)]]+rrcworking[[#This Row],[Lease Use (MCF)]]+rrcworking[[#This Row],[Flared Gas]]</f>
        <v>0</v>
      </c>
      <c r="AB171" s="36"/>
      <c r="AC171" s="36"/>
      <c r="AD171" s="175">
        <f>COUNTIF(FilterList,rrcworking[[#This Row],[Magnum Wolfpak '#]])</f>
        <v>0</v>
      </c>
      <c r="AE171" s="172"/>
      <c r="AF171" s="173"/>
      <c r="AG171" s="36"/>
      <c r="AH171" s="36"/>
      <c r="AI171" s="36"/>
      <c r="AJ171" s="36"/>
      <c r="AK171" s="36"/>
      <c r="AL171" s="36"/>
      <c r="AM171" s="36"/>
      <c r="AN171" s="36"/>
      <c r="AO171" s="36"/>
      <c r="AP171" s="36"/>
    </row>
    <row r="172" spans="3:42" ht="14">
      <c r="C172" s="78" t="e">
        <v>#N/A</v>
      </c>
      <c r="D172" s="60" t="s">
        <v>135</v>
      </c>
      <c r="E172" s="125" t="s">
        <v>136</v>
      </c>
      <c r="F172" s="124">
        <v>0</v>
      </c>
      <c r="G172" s="115" t="s">
        <v>1090</v>
      </c>
      <c r="H172" s="18" t="s">
        <v>617</v>
      </c>
      <c r="I172" s="18" t="s">
        <v>2</v>
      </c>
      <c r="J172" s="19" t="s">
        <v>451</v>
      </c>
      <c r="K172" s="99">
        <v>10778</v>
      </c>
      <c r="L172" s="97">
        <f>INDEX(Table1[Production],MATCH(rrcworking[[#This Row],[RRC ID Number]],Table1[RRC Identifier],0))</f>
        <v>0</v>
      </c>
      <c r="M172" s="29">
        <f>INDEX(Table1[Formation Production],MATCH(rrcworking[[#This Row],[RRC ID Number]],Table1[RRC Identifier],0))</f>
        <v>0</v>
      </c>
      <c r="N172" s="30">
        <f>INDEX(Table1[On Hand End of Month],MATCH(rrcworking[[#This Row],[RRC ID Number]],Table1[RRC Identifier],0))</f>
        <v>0</v>
      </c>
      <c r="O172" s="102" t="b">
        <f t="shared" si="5"/>
        <v>1</v>
      </c>
      <c r="Q172" s="122">
        <f>rrcworking[[#This Row],[Last Month Closing Stock]]</f>
        <v>0</v>
      </c>
      <c r="R172">
        <f>rrcworking[[#This Row],[Opening Oil Stock]]</f>
        <v>0</v>
      </c>
      <c r="S172" s="133">
        <f>IF(ISERROR(INDEX(Table2[OIL],MATCH(rrcworking[[#This Row],[Magnum Wolfpak '#]],Table2[Rox Wolf'#],0))),0,INDEX(Table2[OIL],MATCH(rrcworking[[#This Row],[Magnum Wolfpak '#]],Table2[Rox Wolf'#],0)))</f>
        <v>0</v>
      </c>
      <c r="T172" s="34">
        <f>rrcworking[[#This Row],[Closing Stock (Oil)]]+rrcworking[[#This Row],[Sales/Dispostion]]-rrcworking[[#This Row],[Opening Oil Stock]]</f>
        <v>0</v>
      </c>
      <c r="U172" s="108">
        <f>rrcworking[[#This Row],[Gauge Sheet Prod Volume (oil)]]-rrcworking[[#This Row],[Oil Production]]</f>
        <v>0</v>
      </c>
      <c r="V172" s="133">
        <f>IF(ISERROR(INDEX(Table2[GAS],MATCH(rrcworking[[#This Row],[Magnum Wolfpak '#]],Table2[Rox Wolf'#],0))),0,INDEX(Table2[GAS],MATCH(rrcworking[[#This Row],[Magnum Wolfpak '#]],Table2[Rox Wolf'#],0)))</f>
        <v>0</v>
      </c>
      <c r="W172" s="58"/>
      <c r="X172" s="58"/>
      <c r="Y172" s="133">
        <f>IF(ISERROR(INDEX(Table2[LEASE USE],MATCH(rrcworking[[#This Row],[Magnum Wolfpak '#]],Table2[Rox Wolf'#],0))),0,INDEX(Table2[LEASE USE],MATCH(rrcworking[[#This Row],[Magnum Wolfpak '#]],Table2[Rox Wolf'#],0)))</f>
        <v>0</v>
      </c>
      <c r="Z172" s="133"/>
      <c r="AA172" s="56">
        <f>rrcworking[[#This Row],[Gas Sales Statement Volume (MCF)]]+rrcworking[[#This Row],[Lease Use (MCF)]]+rrcworking[[#This Row],[Flared Gas]]</f>
        <v>0</v>
      </c>
      <c r="AB172" s="36"/>
      <c r="AC172" s="36"/>
      <c r="AD172" s="175">
        <f>COUNTIF(FilterList,rrcworking[[#This Row],[Magnum Wolfpak '#]])</f>
        <v>0</v>
      </c>
      <c r="AE172" s="172"/>
      <c r="AF172" s="173"/>
      <c r="AG172" s="36"/>
      <c r="AH172" s="36"/>
      <c r="AI172" s="36"/>
      <c r="AJ172" s="36"/>
      <c r="AK172" s="36"/>
      <c r="AL172" s="36"/>
      <c r="AM172" s="36"/>
      <c r="AN172" s="36"/>
      <c r="AO172" s="36"/>
      <c r="AP172" s="36"/>
    </row>
    <row r="173" spans="3:42" ht="14">
      <c r="C173" s="78" t="e">
        <v>#N/A</v>
      </c>
      <c r="D173" s="60" t="s">
        <v>135</v>
      </c>
      <c r="E173" s="125" t="s">
        <v>137</v>
      </c>
      <c r="F173" s="124">
        <v>1</v>
      </c>
      <c r="G173" s="115" t="s">
        <v>1090</v>
      </c>
      <c r="H173" s="18" t="s">
        <v>617</v>
      </c>
      <c r="I173" s="18" t="s">
        <v>59</v>
      </c>
      <c r="J173" s="19" t="s">
        <v>450</v>
      </c>
      <c r="K173" s="99">
        <v>280417</v>
      </c>
      <c r="L173" s="97">
        <f>INDEX(Table1[Production],MATCH(rrcworking[[#This Row],[RRC ID Number]],Table1[RRC Identifier],0))</f>
        <v>0</v>
      </c>
      <c r="M173" s="29">
        <f>INDEX(Table1[Formation Production],MATCH(rrcworking[[#This Row],[RRC ID Number]],Table1[RRC Identifier],0))</f>
        <v>0</v>
      </c>
      <c r="N173" s="30">
        <f>INDEX(Table1[On Hand End of Month],MATCH(rrcworking[[#This Row],[RRC ID Number]],Table1[RRC Identifier],0))</f>
        <v>0</v>
      </c>
      <c r="O173" s="102" t="b">
        <f t="shared" si="5"/>
        <v>1</v>
      </c>
      <c r="Q173" s="122">
        <f>rrcworking[[#This Row],[Last Month Closing Stock]]</f>
        <v>0</v>
      </c>
      <c r="R173">
        <f>rrcworking[[#This Row],[Opening Oil Stock]]</f>
        <v>0</v>
      </c>
      <c r="S173" s="133">
        <f>IF(ISERROR(INDEX(Table2[OIL],MATCH(rrcworking[[#This Row],[Magnum Wolfpak '#]],Table2[Rox Wolf'#],0))),0,INDEX(Table2[OIL],MATCH(rrcworking[[#This Row],[Magnum Wolfpak '#]],Table2[Rox Wolf'#],0)))</f>
        <v>0</v>
      </c>
      <c r="T173" s="34">
        <f>rrcworking[[#This Row],[Closing Stock (Oil)]]+rrcworking[[#This Row],[Sales/Dispostion]]-rrcworking[[#This Row],[Opening Oil Stock]]</f>
        <v>0</v>
      </c>
      <c r="U173" s="108">
        <f>rrcworking[[#This Row],[Gauge Sheet Prod Volume (oil)]]-rrcworking[[#This Row],[Oil Production]]</f>
        <v>0</v>
      </c>
      <c r="V173" s="133">
        <f>IF(ISERROR(INDEX(Table2[GAS],MATCH(rrcworking[[#This Row],[Magnum Wolfpak '#]],Table2[Rox Wolf'#],0))),0,INDEX(Table2[GAS],MATCH(rrcworking[[#This Row],[Magnum Wolfpak '#]],Table2[Rox Wolf'#],0)))</f>
        <v>0</v>
      </c>
      <c r="W173" s="58"/>
      <c r="X173" s="58"/>
      <c r="Y173" s="133">
        <f>IF(ISERROR(INDEX(Table2[LEASE USE],MATCH(rrcworking[[#This Row],[Magnum Wolfpak '#]],Table2[Rox Wolf'#],0))),0,INDEX(Table2[LEASE USE],MATCH(rrcworking[[#This Row],[Magnum Wolfpak '#]],Table2[Rox Wolf'#],0)))</f>
        <v>0</v>
      </c>
      <c r="Z173" s="133"/>
      <c r="AA173" s="56">
        <f>rrcworking[[#This Row],[Gas Sales Statement Volume (MCF)]]+rrcworking[[#This Row],[Lease Use (MCF)]]+rrcworking[[#This Row],[Flared Gas]]</f>
        <v>0</v>
      </c>
      <c r="AB173" s="36"/>
      <c r="AC173" s="36"/>
      <c r="AD173" s="175">
        <f>COUNTIF(FilterList,rrcworking[[#This Row],[Magnum Wolfpak '#]])</f>
        <v>0</v>
      </c>
      <c r="AE173" s="172"/>
      <c r="AF173" s="173"/>
      <c r="AG173" s="36"/>
      <c r="AH173" s="36"/>
      <c r="AI173" s="36"/>
      <c r="AJ173" s="36"/>
      <c r="AK173" s="36"/>
      <c r="AL173" s="36"/>
      <c r="AM173" s="36"/>
      <c r="AN173" s="36"/>
      <c r="AO173" s="36"/>
      <c r="AP173" s="36"/>
    </row>
    <row r="174" spans="3:42" ht="14">
      <c r="C174" s="78" t="e">
        <v>#N/A</v>
      </c>
      <c r="D174" s="60" t="s">
        <v>236</v>
      </c>
      <c r="E174" s="125" t="s">
        <v>233</v>
      </c>
      <c r="F174" s="124">
        <v>3</v>
      </c>
      <c r="G174" s="115" t="s">
        <v>1090</v>
      </c>
      <c r="H174" s="18" t="s">
        <v>618</v>
      </c>
      <c r="I174" s="18" t="s">
        <v>59</v>
      </c>
      <c r="J174" s="19" t="s">
        <v>506</v>
      </c>
      <c r="K174" s="99">
        <v>38467</v>
      </c>
      <c r="L174" s="97">
        <f>INDEX(Table1[Production],MATCH(rrcworking[[#This Row],[RRC ID Number]],Table1[RRC Identifier],0))</f>
        <v>0</v>
      </c>
      <c r="M174" s="29">
        <f>INDEX(Table1[Formation Production],MATCH(rrcworking[[#This Row],[RRC ID Number]],Table1[RRC Identifier],0))</f>
        <v>0</v>
      </c>
      <c r="N174" s="30">
        <f>INDEX(Table1[On Hand End of Month],MATCH(rrcworking[[#This Row],[RRC ID Number]],Table1[RRC Identifier],0))</f>
        <v>0</v>
      </c>
      <c r="O174" s="102" t="b">
        <f t="shared" si="5"/>
        <v>1</v>
      </c>
      <c r="Q174" s="122">
        <f>rrcworking[[#This Row],[Last Month Closing Stock]]</f>
        <v>0</v>
      </c>
      <c r="R174">
        <f>rrcworking[[#This Row],[Opening Oil Stock]]</f>
        <v>0</v>
      </c>
      <c r="S174" s="133">
        <f>IF(ISERROR(INDEX(Table2[OIL],MATCH(rrcworking[[#This Row],[Magnum Wolfpak '#]],Table2[Rox Wolf'#],0))),0,INDEX(Table2[OIL],MATCH(rrcworking[[#This Row],[Magnum Wolfpak '#]],Table2[Rox Wolf'#],0)))</f>
        <v>0</v>
      </c>
      <c r="T174" s="34">
        <f>rrcworking[[#This Row],[Closing Stock (Oil)]]+rrcworking[[#This Row],[Sales/Dispostion]]-rrcworking[[#This Row],[Opening Oil Stock]]</f>
        <v>0</v>
      </c>
      <c r="U174" s="108">
        <f>rrcworking[[#This Row],[Gauge Sheet Prod Volume (oil)]]-rrcworking[[#This Row],[Oil Production]]</f>
        <v>0</v>
      </c>
      <c r="V174" s="133">
        <f>IF(ISERROR(INDEX(Table2[GAS],MATCH(rrcworking[[#This Row],[Magnum Wolfpak '#]],Table2[Rox Wolf'#],0))),0,INDEX(Table2[GAS],MATCH(rrcworking[[#This Row],[Magnum Wolfpak '#]],Table2[Rox Wolf'#],0)))</f>
        <v>0</v>
      </c>
      <c r="W174" s="58"/>
      <c r="X174" s="58"/>
      <c r="Y174" s="133">
        <f>IF(ISERROR(INDEX(Table2[LEASE USE],MATCH(rrcworking[[#This Row],[Magnum Wolfpak '#]],Table2[Rox Wolf'#],0))),0,INDEX(Table2[LEASE USE],MATCH(rrcworking[[#This Row],[Magnum Wolfpak '#]],Table2[Rox Wolf'#],0)))</f>
        <v>0</v>
      </c>
      <c r="Z174" s="133"/>
      <c r="AA174" s="56">
        <f>rrcworking[[#This Row],[Gas Sales Statement Volume (MCF)]]+rrcworking[[#This Row],[Lease Use (MCF)]]+rrcworking[[#This Row],[Flared Gas]]</f>
        <v>0</v>
      </c>
      <c r="AB174" s="93"/>
      <c r="AC174" s="36"/>
      <c r="AD174" s="175">
        <f>COUNTIF(FilterList,rrcworking[[#This Row],[Magnum Wolfpak '#]])</f>
        <v>0</v>
      </c>
      <c r="AE174" s="172"/>
      <c r="AF174" s="173"/>
      <c r="AG174" s="36"/>
      <c r="AH174" s="36"/>
      <c r="AI174" s="36"/>
      <c r="AJ174" s="36"/>
      <c r="AK174" s="36"/>
      <c r="AL174" s="36"/>
      <c r="AM174" s="36"/>
      <c r="AN174" s="36"/>
      <c r="AO174" s="36"/>
      <c r="AP174" s="36"/>
    </row>
    <row r="175" spans="3:42" ht="14">
      <c r="C175" s="79">
        <v>599109</v>
      </c>
      <c r="D175" s="60" t="s">
        <v>232</v>
      </c>
      <c r="E175" s="125" t="s">
        <v>233</v>
      </c>
      <c r="F175" s="124">
        <v>5</v>
      </c>
      <c r="G175" s="115" t="s">
        <v>1090</v>
      </c>
      <c r="H175" s="18" t="s">
        <v>618</v>
      </c>
      <c r="I175" s="18" t="s">
        <v>59</v>
      </c>
      <c r="J175" s="19" t="s">
        <v>504</v>
      </c>
      <c r="K175" s="99">
        <v>184787</v>
      </c>
      <c r="L175" s="97">
        <f>INDEX(Table1[Production],MATCH(rrcworking[[#This Row],[RRC ID Number]],Table1[RRC Identifier],0))</f>
        <v>113</v>
      </c>
      <c r="M175" s="29">
        <f>INDEX(Table1[Formation Production],MATCH(rrcworking[[#This Row],[RRC ID Number]],Table1[RRC Identifier],0))</f>
        <v>11293</v>
      </c>
      <c r="N175" s="30">
        <f>INDEX(Table1[On Hand End of Month],MATCH(rrcworking[[#This Row],[RRC ID Number]],Table1[RRC Identifier],0))</f>
        <v>234</v>
      </c>
      <c r="O175" s="102" t="b">
        <f t="shared" si="5"/>
        <v>0</v>
      </c>
      <c r="P175">
        <v>110</v>
      </c>
      <c r="Q175" s="122">
        <f>rrcworking[[#This Row],[Last Month Closing Stock]]</f>
        <v>234</v>
      </c>
      <c r="R175">
        <v>151</v>
      </c>
      <c r="S175" s="133">
        <f>IF(ISERROR(INDEX(Table2[OIL],MATCH(rrcworking[[#This Row],[Magnum Wolfpak '#]],Table2[Rox Wolf'#],0))),0,INDEX(Table2[OIL],MATCH(rrcworking[[#This Row],[Magnum Wolfpak '#]],Table2[Rox Wolf'#],0)))</f>
        <v>189</v>
      </c>
      <c r="T175" s="34">
        <f>rrcworking[[#This Row],[Closing Stock (Oil)]]+rrcworking[[#This Row],[Sales/Dispostion]]-rrcworking[[#This Row],[Opening Oil Stock]]</f>
        <v>106</v>
      </c>
      <c r="U175" s="108">
        <f>rrcworking[[#This Row],[Gauge Sheet Prod Volume (oil)]]-rrcworking[[#This Row],[Oil Production]]</f>
        <v>4</v>
      </c>
      <c r="V175" s="133">
        <f>IF(ISERROR(INDEX(Table2[GAS],MATCH(rrcworking[[#This Row],[Magnum Wolfpak '#]],Table2[Rox Wolf'#],0))),0,INDEX(Table2[GAS],MATCH(rrcworking[[#This Row],[Magnum Wolfpak '#]],Table2[Rox Wolf'#],0)))</f>
        <v>10548</v>
      </c>
      <c r="W175" s="127"/>
      <c r="X175" s="58">
        <v>15</v>
      </c>
      <c r="Y175" s="133">
        <f>IF(ISERROR(INDEX(Table2[LEASE USE],MATCH(rrcworking[[#This Row],[Magnum Wolfpak '#]],Table2[Rox Wolf'#],0))),0,INDEX(Table2[LEASE USE],MATCH(rrcworking[[#This Row],[Magnum Wolfpak '#]],Table2[Rox Wolf'#],0)))</f>
        <v>450</v>
      </c>
      <c r="Z175" s="133"/>
      <c r="AA175" s="56">
        <f>rrcworking[[#This Row],[Gas Sales Statement Volume (MCF)]]+rrcworking[[#This Row],[Lease Use (MCF)]]+rrcworking[[#This Row],[Flared Gas]]</f>
        <v>10998</v>
      </c>
      <c r="AB175" s="36"/>
      <c r="AC175" s="36"/>
      <c r="AD175" s="175">
        <f>COUNTIF(FilterList,rrcworking[[#This Row],[Magnum Wolfpak '#]])</f>
        <v>0</v>
      </c>
      <c r="AE175" s="172"/>
      <c r="AF175" s="173"/>
      <c r="AG175" s="36"/>
      <c r="AH175" s="173"/>
      <c r="AI175" s="174"/>
      <c r="AJ175" s="174"/>
      <c r="AK175" s="174"/>
      <c r="AL175" s="174"/>
      <c r="AM175" s="174"/>
      <c r="AN175" s="174"/>
      <c r="AO175" s="36" t="s">
        <v>1163</v>
      </c>
      <c r="AP175" s="36" t="s">
        <v>1197</v>
      </c>
    </row>
    <row r="176" spans="3:42" ht="224">
      <c r="C176" s="79">
        <v>699109</v>
      </c>
      <c r="D176" s="60" t="s">
        <v>234</v>
      </c>
      <c r="E176" s="125" t="s">
        <v>235</v>
      </c>
      <c r="F176" s="124">
        <v>23</v>
      </c>
      <c r="G176" s="115" t="s">
        <v>1090</v>
      </c>
      <c r="H176" s="18" t="s">
        <v>618</v>
      </c>
      <c r="I176" s="18" t="s">
        <v>59</v>
      </c>
      <c r="J176" s="19" t="s">
        <v>505</v>
      </c>
      <c r="K176" s="99">
        <v>113719</v>
      </c>
      <c r="L176" s="97">
        <f>INDEX(Table1[Production],MATCH(rrcworking[[#This Row],[RRC ID Number]],Table1[RRC Identifier],0))</f>
        <v>1</v>
      </c>
      <c r="M176" s="29">
        <f>INDEX(Table1[Formation Production],MATCH(rrcworking[[#This Row],[RRC ID Number]],Table1[RRC Identifier],0))</f>
        <v>1745</v>
      </c>
      <c r="N176" s="30">
        <f>INDEX(Table1[On Hand End of Month],MATCH(rrcworking[[#This Row],[RRC ID Number]],Table1[RRC Identifier],0))</f>
        <v>123</v>
      </c>
      <c r="O176" s="102" t="b">
        <f t="shared" si="5"/>
        <v>0</v>
      </c>
      <c r="P176">
        <v>4</v>
      </c>
      <c r="Q176" s="122">
        <f>rrcworking[[#This Row],[Last Month Closing Stock]]</f>
        <v>123</v>
      </c>
      <c r="R176">
        <v>124</v>
      </c>
      <c r="S176" s="133">
        <f>IF(ISERROR(INDEX(Table2[OIL],MATCH(rrcworking[[#This Row],[Magnum Wolfpak '#]],Table2[Rox Wolf'#],0))),0,INDEX(Table2[OIL],MATCH(rrcworking[[#This Row],[Magnum Wolfpak '#]],Table2[Rox Wolf'#],0)))</f>
        <v>0</v>
      </c>
      <c r="T176" s="34">
        <f>rrcworking[[#This Row],[Closing Stock (Oil)]]+rrcworking[[#This Row],[Sales/Dispostion]]-rrcworking[[#This Row],[Opening Oil Stock]]</f>
        <v>1</v>
      </c>
      <c r="U176" s="108">
        <f>rrcworking[[#This Row],[Gauge Sheet Prod Volume (oil)]]-rrcworking[[#This Row],[Oil Production]]</f>
        <v>3</v>
      </c>
      <c r="V176" s="133">
        <f>IF(ISERROR(INDEX(Table2[GAS],MATCH(rrcworking[[#This Row],[Magnum Wolfpak '#]],Table2[Rox Wolf'#],0))),0,INDEX(Table2[GAS],MATCH(rrcworking[[#This Row],[Magnum Wolfpak '#]],Table2[Rox Wolf'#],0)))</f>
        <v>1783</v>
      </c>
      <c r="W176" s="58"/>
      <c r="X176" s="58"/>
      <c r="Y176" s="133">
        <f>IF(ISERROR(INDEX(Table2[LEASE USE],MATCH(rrcworking[[#This Row],[Magnum Wolfpak '#]],Table2[Rox Wolf'#],0))),0,INDEX(Table2[LEASE USE],MATCH(rrcworking[[#This Row],[Magnum Wolfpak '#]],Table2[Rox Wolf'#],0)))</f>
        <v>0</v>
      </c>
      <c r="Z176" s="133"/>
      <c r="AA176" s="56">
        <f>rrcworking[[#This Row],[Gas Sales Statement Volume (MCF)]]+rrcworking[[#This Row],[Lease Use (MCF)]]+rrcworking[[#This Row],[Flared Gas]]</f>
        <v>1783</v>
      </c>
      <c r="AB176" s="36"/>
      <c r="AC176" s="36" t="s">
        <v>1310</v>
      </c>
      <c r="AD176" s="175">
        <f>COUNTIF(FilterList,rrcworking[[#This Row],[Magnum Wolfpak '#]])</f>
        <v>0</v>
      </c>
      <c r="AE176" s="172"/>
      <c r="AF176" s="173"/>
      <c r="AG176" s="36"/>
      <c r="AH176" s="173"/>
      <c r="AI176" s="174"/>
      <c r="AJ176" s="174"/>
      <c r="AK176" s="174"/>
      <c r="AL176" s="174"/>
      <c r="AM176" s="174"/>
      <c r="AN176" s="174"/>
      <c r="AO176" s="36" t="s">
        <v>1163</v>
      </c>
      <c r="AP176" s="36" t="s">
        <v>1197</v>
      </c>
    </row>
    <row r="177" spans="3:42" ht="14">
      <c r="C177" s="78" t="e">
        <v>#N/A</v>
      </c>
      <c r="D177" s="60" t="s">
        <v>140</v>
      </c>
      <c r="E177" s="125" t="s">
        <v>141</v>
      </c>
      <c r="F177" s="124">
        <v>1</v>
      </c>
      <c r="G177" s="115" t="s">
        <v>1090</v>
      </c>
      <c r="H177" s="18" t="s">
        <v>617</v>
      </c>
      <c r="I177" s="18" t="s">
        <v>59</v>
      </c>
      <c r="J177" s="19" t="s">
        <v>453</v>
      </c>
      <c r="K177" s="99">
        <v>53255</v>
      </c>
      <c r="L177" s="97">
        <f>INDEX(Table1[Production],MATCH(rrcworking[[#This Row],[RRC ID Number]],Table1[RRC Identifier],0))</f>
        <v>0</v>
      </c>
      <c r="M177" s="29">
        <f>INDEX(Table1[Formation Production],MATCH(rrcworking[[#This Row],[RRC ID Number]],Table1[RRC Identifier],0))</f>
        <v>0</v>
      </c>
      <c r="N177" s="30">
        <f>INDEX(Table1[On Hand End of Month],MATCH(rrcworking[[#This Row],[RRC ID Number]],Table1[RRC Identifier],0))</f>
        <v>0</v>
      </c>
      <c r="O177" s="102" t="b">
        <f t="shared" si="5"/>
        <v>1</v>
      </c>
      <c r="Q177" s="122">
        <f>rrcworking[[#This Row],[Last Month Closing Stock]]</f>
        <v>0</v>
      </c>
      <c r="R177">
        <f>rrcworking[[#This Row],[Opening Oil Stock]]</f>
        <v>0</v>
      </c>
      <c r="S177" s="133">
        <f>IF(ISERROR(INDEX(Table2[OIL],MATCH(rrcworking[[#This Row],[Magnum Wolfpak '#]],Table2[Rox Wolf'#],0))),0,INDEX(Table2[OIL],MATCH(rrcworking[[#This Row],[Magnum Wolfpak '#]],Table2[Rox Wolf'#],0)))</f>
        <v>0</v>
      </c>
      <c r="T177" s="34">
        <f>rrcworking[[#This Row],[Closing Stock (Oil)]]+rrcworking[[#This Row],[Sales/Dispostion]]-rrcworking[[#This Row],[Opening Oil Stock]]</f>
        <v>0</v>
      </c>
      <c r="U177" s="108">
        <f>rrcworking[[#This Row],[Gauge Sheet Prod Volume (oil)]]-rrcworking[[#This Row],[Oil Production]]</f>
        <v>0</v>
      </c>
      <c r="V177" s="133">
        <f>IF(ISERROR(INDEX(Table2[GAS],MATCH(rrcworking[[#This Row],[Magnum Wolfpak '#]],Table2[Rox Wolf'#],0))),0,INDEX(Table2[GAS],MATCH(rrcworking[[#This Row],[Magnum Wolfpak '#]],Table2[Rox Wolf'#],0)))</f>
        <v>0</v>
      </c>
      <c r="W177" s="58"/>
      <c r="X177" s="58"/>
      <c r="Y177" s="133">
        <f>IF(ISERROR(INDEX(Table2[LEASE USE],MATCH(rrcworking[[#This Row],[Magnum Wolfpak '#]],Table2[Rox Wolf'#],0))),0,INDEX(Table2[LEASE USE],MATCH(rrcworking[[#This Row],[Magnum Wolfpak '#]],Table2[Rox Wolf'#],0)))</f>
        <v>0</v>
      </c>
      <c r="Z177" s="133"/>
      <c r="AA177" s="56">
        <f>rrcworking[[#This Row],[Gas Sales Statement Volume (MCF)]]+rrcworking[[#This Row],[Lease Use (MCF)]]+rrcworking[[#This Row],[Flared Gas]]</f>
        <v>0</v>
      </c>
      <c r="AB177" s="36"/>
      <c r="AC177" s="36"/>
      <c r="AD177" s="175">
        <f>COUNTIF(FilterList,rrcworking[[#This Row],[Magnum Wolfpak '#]])</f>
        <v>0</v>
      </c>
      <c r="AE177" s="172"/>
      <c r="AF177" s="173"/>
      <c r="AG177" s="36"/>
      <c r="AH177" s="36"/>
      <c r="AI177" s="36"/>
      <c r="AJ177" s="36"/>
      <c r="AK177" s="36"/>
      <c r="AL177" s="36"/>
      <c r="AM177" s="36"/>
      <c r="AN177" s="36"/>
      <c r="AO177" s="36"/>
      <c r="AP177" s="36"/>
    </row>
    <row r="178" spans="3:42" ht="14">
      <c r="C178" s="78" t="e">
        <v>#N/A</v>
      </c>
      <c r="D178" s="60" t="s">
        <v>140</v>
      </c>
      <c r="E178" s="125" t="s">
        <v>141</v>
      </c>
      <c r="F178" s="124">
        <v>2</v>
      </c>
      <c r="G178" s="115" t="s">
        <v>1090</v>
      </c>
      <c r="H178" s="18" t="s">
        <v>617</v>
      </c>
      <c r="I178" s="18" t="s">
        <v>59</v>
      </c>
      <c r="J178" s="19" t="s">
        <v>454</v>
      </c>
      <c r="K178" s="99">
        <v>59225</v>
      </c>
      <c r="L178" s="97">
        <f>INDEX(Table1[Production],MATCH(rrcworking[[#This Row],[RRC ID Number]],Table1[RRC Identifier],0))</f>
        <v>0</v>
      </c>
      <c r="M178" s="29">
        <f>INDEX(Table1[Formation Production],MATCH(rrcworking[[#This Row],[RRC ID Number]],Table1[RRC Identifier],0))</f>
        <v>0</v>
      </c>
      <c r="N178" s="30">
        <f>INDEX(Table1[On Hand End of Month],MATCH(rrcworking[[#This Row],[RRC ID Number]],Table1[RRC Identifier],0))</f>
        <v>0</v>
      </c>
      <c r="O178" s="102" t="b">
        <f t="shared" si="5"/>
        <v>1</v>
      </c>
      <c r="Q178" s="122">
        <f>rrcworking[[#This Row],[Last Month Closing Stock]]</f>
        <v>0</v>
      </c>
      <c r="R178">
        <f>rrcworking[[#This Row],[Opening Oil Stock]]</f>
        <v>0</v>
      </c>
      <c r="S178" s="133">
        <f>IF(ISERROR(INDEX(Table2[OIL],MATCH(rrcworking[[#This Row],[Magnum Wolfpak '#]],Table2[Rox Wolf'#],0))),0,INDEX(Table2[OIL],MATCH(rrcworking[[#This Row],[Magnum Wolfpak '#]],Table2[Rox Wolf'#],0)))</f>
        <v>0</v>
      </c>
      <c r="T178" s="34">
        <f>rrcworking[[#This Row],[Closing Stock (Oil)]]+rrcworking[[#This Row],[Sales/Dispostion]]-rrcworking[[#This Row],[Opening Oil Stock]]</f>
        <v>0</v>
      </c>
      <c r="U178" s="108">
        <f>rrcworking[[#This Row],[Gauge Sheet Prod Volume (oil)]]-rrcworking[[#This Row],[Oil Production]]</f>
        <v>0</v>
      </c>
      <c r="V178" s="133">
        <f>IF(ISERROR(INDEX(Table2[GAS],MATCH(rrcworking[[#This Row],[Magnum Wolfpak '#]],Table2[Rox Wolf'#],0))),0,INDEX(Table2[GAS],MATCH(rrcworking[[#This Row],[Magnum Wolfpak '#]],Table2[Rox Wolf'#],0)))</f>
        <v>0</v>
      </c>
      <c r="W178" s="58"/>
      <c r="X178" s="58"/>
      <c r="Y178" s="133">
        <f>IF(ISERROR(INDEX(Table2[LEASE USE],MATCH(rrcworking[[#This Row],[Magnum Wolfpak '#]],Table2[Rox Wolf'#],0))),0,INDEX(Table2[LEASE USE],MATCH(rrcworking[[#This Row],[Magnum Wolfpak '#]],Table2[Rox Wolf'#],0)))</f>
        <v>0</v>
      </c>
      <c r="Z178" s="133"/>
      <c r="AA178" s="56">
        <f>rrcworking[[#This Row],[Gas Sales Statement Volume (MCF)]]+rrcworking[[#This Row],[Lease Use (MCF)]]+rrcworking[[#This Row],[Flared Gas]]</f>
        <v>0</v>
      </c>
      <c r="AB178" s="36"/>
      <c r="AC178" s="36"/>
      <c r="AD178" s="175">
        <f>COUNTIF(FilterList,rrcworking[[#This Row],[Magnum Wolfpak '#]])</f>
        <v>0</v>
      </c>
      <c r="AE178" s="172"/>
      <c r="AF178" s="173"/>
      <c r="AG178" s="36"/>
      <c r="AH178" s="36"/>
      <c r="AI178" s="36"/>
      <c r="AJ178" s="36"/>
      <c r="AK178" s="36"/>
      <c r="AL178" s="36"/>
      <c r="AM178" s="36"/>
      <c r="AN178" s="36"/>
      <c r="AO178" s="36"/>
      <c r="AP178" s="36"/>
    </row>
    <row r="179" spans="3:42" ht="14">
      <c r="C179" s="78" t="e">
        <v>#N/A</v>
      </c>
      <c r="D179" s="60" t="s">
        <v>138</v>
      </c>
      <c r="E179" s="125" t="s">
        <v>139</v>
      </c>
      <c r="F179" s="124">
        <v>1</v>
      </c>
      <c r="G179" s="115" t="s">
        <v>1090</v>
      </c>
      <c r="H179" s="18" t="s">
        <v>617</v>
      </c>
      <c r="I179" s="18" t="s">
        <v>59</v>
      </c>
      <c r="J179" s="19" t="s">
        <v>452</v>
      </c>
      <c r="K179" s="99">
        <v>138470</v>
      </c>
      <c r="L179" s="97">
        <f>INDEX(Table1[Production],MATCH(rrcworking[[#This Row],[RRC ID Number]],Table1[RRC Identifier],0))</f>
        <v>0</v>
      </c>
      <c r="M179" s="29">
        <f>INDEX(Table1[Formation Production],MATCH(rrcworking[[#This Row],[RRC ID Number]],Table1[RRC Identifier],0))</f>
        <v>0</v>
      </c>
      <c r="N179" s="30">
        <f>INDEX(Table1[On Hand End of Month],MATCH(rrcworking[[#This Row],[RRC ID Number]],Table1[RRC Identifier],0))</f>
        <v>0</v>
      </c>
      <c r="O179" s="102" t="b">
        <f t="shared" si="5"/>
        <v>1</v>
      </c>
      <c r="Q179" s="122">
        <f>rrcworking[[#This Row],[Last Month Closing Stock]]</f>
        <v>0</v>
      </c>
      <c r="R179">
        <f>rrcworking[[#This Row],[Opening Oil Stock]]</f>
        <v>0</v>
      </c>
      <c r="S179" s="133">
        <f>IF(ISERROR(INDEX(Table2[OIL],MATCH(rrcworking[[#This Row],[Magnum Wolfpak '#]],Table2[Rox Wolf'#],0))),0,INDEX(Table2[OIL],MATCH(rrcworking[[#This Row],[Magnum Wolfpak '#]],Table2[Rox Wolf'#],0)))</f>
        <v>0</v>
      </c>
      <c r="T179" s="34">
        <f>rrcworking[[#This Row],[Closing Stock (Oil)]]+rrcworking[[#This Row],[Sales/Dispostion]]-rrcworking[[#This Row],[Opening Oil Stock]]</f>
        <v>0</v>
      </c>
      <c r="U179" s="108">
        <f>rrcworking[[#This Row],[Gauge Sheet Prod Volume (oil)]]-rrcworking[[#This Row],[Oil Production]]</f>
        <v>0</v>
      </c>
      <c r="V179" s="133">
        <f>IF(ISERROR(INDEX(Table2[GAS],MATCH(rrcworking[[#This Row],[Magnum Wolfpak '#]],Table2[Rox Wolf'#],0))),0,INDEX(Table2[GAS],MATCH(rrcworking[[#This Row],[Magnum Wolfpak '#]],Table2[Rox Wolf'#],0)))</f>
        <v>0</v>
      </c>
      <c r="W179" s="58"/>
      <c r="X179" s="58"/>
      <c r="Y179" s="133">
        <f>IF(ISERROR(INDEX(Table2[LEASE USE],MATCH(rrcworking[[#This Row],[Magnum Wolfpak '#]],Table2[Rox Wolf'#],0))),0,INDEX(Table2[LEASE USE],MATCH(rrcworking[[#This Row],[Magnum Wolfpak '#]],Table2[Rox Wolf'#],0)))</f>
        <v>0</v>
      </c>
      <c r="Z179" s="133"/>
      <c r="AA179" s="56">
        <f>rrcworking[[#This Row],[Gas Sales Statement Volume (MCF)]]+rrcworking[[#This Row],[Lease Use (MCF)]]+rrcworking[[#This Row],[Flared Gas]]</f>
        <v>0</v>
      </c>
      <c r="AB179" s="36"/>
      <c r="AC179" s="36"/>
      <c r="AD179" s="175">
        <f>COUNTIF(FilterList,rrcworking[[#This Row],[Magnum Wolfpak '#]])</f>
        <v>0</v>
      </c>
      <c r="AE179" s="172"/>
      <c r="AF179" s="173"/>
      <c r="AG179" s="36"/>
      <c r="AH179" s="36"/>
      <c r="AI179" s="36"/>
      <c r="AJ179" s="36"/>
      <c r="AK179" s="36"/>
      <c r="AL179" s="36"/>
      <c r="AM179" s="36"/>
      <c r="AN179" s="36"/>
      <c r="AO179" s="36"/>
      <c r="AP179" s="36"/>
    </row>
    <row r="180" spans="3:42" ht="112">
      <c r="C180" s="78">
        <v>99270</v>
      </c>
      <c r="D180" s="60" t="s">
        <v>147</v>
      </c>
      <c r="E180" s="125" t="s">
        <v>148</v>
      </c>
      <c r="F180" s="124">
        <v>1</v>
      </c>
      <c r="G180" s="115" t="s">
        <v>1090</v>
      </c>
      <c r="H180" s="18" t="s">
        <v>618</v>
      </c>
      <c r="I180" s="18" t="s">
        <v>59</v>
      </c>
      <c r="J180" s="19" t="s">
        <v>458</v>
      </c>
      <c r="K180" s="99">
        <v>280236</v>
      </c>
      <c r="L180" s="97">
        <f>INDEX(Table1[Production],MATCH(rrcworking[[#This Row],[RRC ID Number]],Table1[RRC Identifier],0))</f>
        <v>580</v>
      </c>
      <c r="M180" s="29">
        <f>INDEX(Table1[Formation Production],MATCH(rrcworking[[#This Row],[RRC ID Number]],Table1[RRC Identifier],0))</f>
        <v>30117</v>
      </c>
      <c r="N180" s="30">
        <f>INDEX(Table1[On Hand End of Month],MATCH(rrcworking[[#This Row],[RRC ID Number]],Table1[RRC Identifier],0))</f>
        <v>798</v>
      </c>
      <c r="O180" s="102" t="b">
        <f t="shared" si="5"/>
        <v>0</v>
      </c>
      <c r="P180">
        <v>903</v>
      </c>
      <c r="Q180" s="122">
        <f>rrcworking[[#This Row],[Last Month Closing Stock]]</f>
        <v>798</v>
      </c>
      <c r="R180">
        <v>337</v>
      </c>
      <c r="S180" s="133">
        <f>IF(ISERROR(INDEX(Table2[OIL],MATCH(rrcworking[[#This Row],[Magnum Wolfpak '#]],Table2[Rox Wolf'#],0))),0,INDEX(Table2[OIL],MATCH(rrcworking[[#This Row],[Magnum Wolfpak '#]],Table2[Rox Wolf'#],0)))</f>
        <v>1334</v>
      </c>
      <c r="T180" s="34">
        <f>rrcworking[[#This Row],[Closing Stock (Oil)]]+rrcworking[[#This Row],[Sales/Dispostion]]-rrcworking[[#This Row],[Opening Oil Stock]]</f>
        <v>873</v>
      </c>
      <c r="U180" s="108">
        <f>rrcworking[[#This Row],[Gauge Sheet Prod Volume (oil)]]-rrcworking[[#This Row],[Oil Production]]</f>
        <v>30</v>
      </c>
      <c r="V180" s="133">
        <f>IF(ISERROR(INDEX(Table2[GAS],MATCH(rrcworking[[#This Row],[Magnum Wolfpak '#]],Table2[Rox Wolf'#],0))),0,INDEX(Table2[GAS],MATCH(rrcworking[[#This Row],[Magnum Wolfpak '#]],Table2[Rox Wolf'#],0)))</f>
        <v>50079</v>
      </c>
      <c r="W180" s="82"/>
      <c r="X180" s="58">
        <v>21</v>
      </c>
      <c r="Y180" s="133">
        <f>IF(ISERROR(INDEX(Table2[LEASE USE],MATCH(rrcworking[[#This Row],[Magnum Wolfpak '#]],Table2[Rox Wolf'#],0))),0,INDEX(Table2[LEASE USE],MATCH(rrcworking[[#This Row],[Magnum Wolfpak '#]],Table2[Rox Wolf'#],0)))</f>
        <v>630</v>
      </c>
      <c r="Z180" s="133"/>
      <c r="AA180" s="56">
        <f>rrcworking[[#This Row],[Gas Sales Statement Volume (MCF)]]+rrcworking[[#This Row],[Lease Use (MCF)]]+rrcworking[[#This Row],[Flared Gas]]</f>
        <v>50709</v>
      </c>
      <c r="AB180" s="36" t="s">
        <v>1297</v>
      </c>
      <c r="AC180" s="36"/>
      <c r="AD180" s="175">
        <f>COUNTIF(FilterList,rrcworking[[#This Row],[Magnum Wolfpak '#]])</f>
        <v>0</v>
      </c>
      <c r="AE180" s="172"/>
      <c r="AF180" s="173"/>
      <c r="AG180" s="36"/>
      <c r="AH180" s="173"/>
      <c r="AI180" s="36">
        <v>2</v>
      </c>
      <c r="AJ180" s="36" t="s">
        <v>1139</v>
      </c>
      <c r="AK180" s="36" t="s">
        <v>1139</v>
      </c>
      <c r="AL180" s="36" t="s">
        <v>1180</v>
      </c>
      <c r="AM180" s="36" t="s">
        <v>1139</v>
      </c>
      <c r="AN180" s="36" t="s">
        <v>1175</v>
      </c>
      <c r="AO180" s="36" t="s">
        <v>1221</v>
      </c>
      <c r="AP180" s="36"/>
    </row>
    <row r="181" spans="3:42" ht="28">
      <c r="C181" s="78">
        <v>99247</v>
      </c>
      <c r="D181" s="60" t="s">
        <v>143</v>
      </c>
      <c r="E181" s="125" t="s">
        <v>144</v>
      </c>
      <c r="F181" s="124">
        <v>0</v>
      </c>
      <c r="G181" s="115" t="s">
        <v>1090</v>
      </c>
      <c r="H181" s="18" t="s">
        <v>617</v>
      </c>
      <c r="I181" s="18" t="s">
        <v>2</v>
      </c>
      <c r="J181" s="19" t="s">
        <v>456</v>
      </c>
      <c r="K181" s="99">
        <v>10230</v>
      </c>
      <c r="L181" s="97">
        <f>INDEX(Table1[Production],MATCH(rrcworking[[#This Row],[RRC ID Number]],Table1[RRC Identifier],0))</f>
        <v>48</v>
      </c>
      <c r="M181" s="29">
        <f>INDEX(Table1[Formation Production],MATCH(rrcworking[[#This Row],[RRC ID Number]],Table1[RRC Identifier],0))</f>
        <v>0</v>
      </c>
      <c r="N181" s="30">
        <f>INDEX(Table1[On Hand End of Month],MATCH(rrcworking[[#This Row],[RRC ID Number]],Table1[RRC Identifier],0))</f>
        <v>299</v>
      </c>
      <c r="O181" s="102" t="b">
        <f t="shared" si="5"/>
        <v>0</v>
      </c>
      <c r="P181">
        <v>90</v>
      </c>
      <c r="Q181" s="122">
        <f>rrcworking[[#This Row],[Last Month Closing Stock]]</f>
        <v>299</v>
      </c>
      <c r="R181">
        <v>389</v>
      </c>
      <c r="S181" s="133">
        <f>IF(ISERROR(INDEX(Table2[OIL],MATCH(rrcworking[[#This Row],[Magnum Wolfpak '#]],Table2[Rox Wolf'#],0))),0,INDEX(Table2[OIL],MATCH(rrcworking[[#This Row],[Magnum Wolfpak '#]],Table2[Rox Wolf'#],0)))</f>
        <v>0</v>
      </c>
      <c r="T181" s="34">
        <f>rrcworking[[#This Row],[Closing Stock (Oil)]]+rrcworking[[#This Row],[Sales/Dispostion]]-rrcworking[[#This Row],[Opening Oil Stock]]</f>
        <v>90</v>
      </c>
      <c r="U181" s="108">
        <f>rrcworking[[#This Row],[Gauge Sheet Prod Volume (oil)]]-rrcworking[[#This Row],[Oil Production]]</f>
        <v>0</v>
      </c>
      <c r="V181" s="133">
        <f>IF(ISERROR(INDEX(Table2[GAS],MATCH(rrcworking[[#This Row],[Magnum Wolfpak '#]],Table2[Rox Wolf'#],0))),0,INDEX(Table2[GAS],MATCH(rrcworking[[#This Row],[Magnum Wolfpak '#]],Table2[Rox Wolf'#],0)))</f>
        <v>0</v>
      </c>
      <c r="W181" s="58"/>
      <c r="X181" s="58"/>
      <c r="Y181" s="133">
        <f>IF(ISERROR(INDEX(Table2[LEASE USE],MATCH(rrcworking[[#This Row],[Magnum Wolfpak '#]],Table2[Rox Wolf'#],0))),0,INDEX(Table2[LEASE USE],MATCH(rrcworking[[#This Row],[Magnum Wolfpak '#]],Table2[Rox Wolf'#],0)))</f>
        <v>0</v>
      </c>
      <c r="Z181" s="133"/>
      <c r="AA181" s="56">
        <f>rrcworking[[#This Row],[Gas Sales Statement Volume (MCF)]]+rrcworking[[#This Row],[Lease Use (MCF)]]+rrcworking[[#This Row],[Flared Gas]]</f>
        <v>0</v>
      </c>
      <c r="AB181" s="36"/>
      <c r="AC181" s="36"/>
      <c r="AD181" s="175">
        <f>COUNTIF(FilterList,rrcworking[[#This Row],[Magnum Wolfpak '#]])</f>
        <v>1</v>
      </c>
      <c r="AE181" s="172"/>
      <c r="AF181" s="173"/>
      <c r="AG181" s="36"/>
      <c r="AH181" s="173"/>
      <c r="AI181" s="36">
        <v>2</v>
      </c>
      <c r="AJ181" s="36" t="s">
        <v>1139</v>
      </c>
      <c r="AK181" s="36" t="s">
        <v>1165</v>
      </c>
      <c r="AL181" s="36" t="s">
        <v>1195</v>
      </c>
      <c r="AM181" s="36" t="s">
        <v>1139</v>
      </c>
      <c r="AN181" s="36" t="s">
        <v>1170</v>
      </c>
      <c r="AO181" s="36" t="s">
        <v>1222</v>
      </c>
      <c r="AP181" s="36" t="s">
        <v>1243</v>
      </c>
    </row>
    <row r="182" spans="3:42" ht="56">
      <c r="C182" s="78">
        <v>98983</v>
      </c>
      <c r="D182" s="60" t="s">
        <v>392</v>
      </c>
      <c r="E182" s="125" t="s">
        <v>393</v>
      </c>
      <c r="F182" s="124">
        <v>0</v>
      </c>
      <c r="G182" s="115" t="s">
        <v>1090</v>
      </c>
      <c r="H182" s="21" t="s">
        <v>619</v>
      </c>
      <c r="I182" s="21" t="s">
        <v>2</v>
      </c>
      <c r="J182" s="19" t="s">
        <v>601</v>
      </c>
      <c r="K182" s="99">
        <v>12360</v>
      </c>
      <c r="L182" s="97">
        <f>INDEX(Table1[Production],MATCH(rrcworking[[#This Row],[RRC ID Number]],Table1[RRC Identifier],0))</f>
        <v>0</v>
      </c>
      <c r="M182" s="29">
        <f>INDEX(Table1[Formation Production],MATCH(rrcworking[[#This Row],[RRC ID Number]],Table1[RRC Identifier],0))</f>
        <v>0</v>
      </c>
      <c r="N182" s="30">
        <f>INDEX(Table1[On Hand End of Month],MATCH(rrcworking[[#This Row],[RRC ID Number]],Table1[RRC Identifier],0))</f>
        <v>63</v>
      </c>
      <c r="O182" s="102" t="b">
        <f t="shared" si="5"/>
        <v>1</v>
      </c>
      <c r="P182">
        <v>0</v>
      </c>
      <c r="Q182" s="122">
        <f>rrcworking[[#This Row],[Last Month Closing Stock]]</f>
        <v>63</v>
      </c>
      <c r="R182">
        <v>63</v>
      </c>
      <c r="S182" s="133">
        <f>IF(ISERROR(INDEX(Table2[OIL],MATCH(rrcworking[[#This Row],[Magnum Wolfpak '#]],Table2[Rox Wolf'#],0))),0,INDEX(Table2[OIL],MATCH(rrcworking[[#This Row],[Magnum Wolfpak '#]],Table2[Rox Wolf'#],0)))</f>
        <v>0</v>
      </c>
      <c r="T182" s="34">
        <f>rrcworking[[#This Row],[Closing Stock (Oil)]]+rrcworking[[#This Row],[Sales/Dispostion]]-rrcworking[[#This Row],[Opening Oil Stock]]</f>
        <v>0</v>
      </c>
      <c r="U182" s="108">
        <f>rrcworking[[#This Row],[Gauge Sheet Prod Volume (oil)]]-rrcworking[[#This Row],[Oil Production]]</f>
        <v>0</v>
      </c>
      <c r="V182" s="133">
        <f>IF(ISERROR(INDEX(Table2[GAS],MATCH(rrcworking[[#This Row],[Magnum Wolfpak '#]],Table2[Rox Wolf'#],0))),0,INDEX(Table2[GAS],MATCH(rrcworking[[#This Row],[Magnum Wolfpak '#]],Table2[Rox Wolf'#],0)))</f>
        <v>0</v>
      </c>
      <c r="W182" s="58"/>
      <c r="X182" s="58"/>
      <c r="Y182" s="133">
        <f>IF(ISERROR(INDEX(Table2[LEASE USE],MATCH(rrcworking[[#This Row],[Magnum Wolfpak '#]],Table2[Rox Wolf'#],0))),0,INDEX(Table2[LEASE USE],MATCH(rrcworking[[#This Row],[Magnum Wolfpak '#]],Table2[Rox Wolf'#],0)))</f>
        <v>0</v>
      </c>
      <c r="Z182" s="133"/>
      <c r="AA182" s="56">
        <f>rrcworking[[#This Row],[Gas Sales Statement Volume (MCF)]]+rrcworking[[#This Row],[Lease Use (MCF)]]+rrcworking[[#This Row],[Flared Gas]]</f>
        <v>0</v>
      </c>
      <c r="AB182" s="36"/>
      <c r="AC182" s="36" t="s">
        <v>1108</v>
      </c>
      <c r="AD182" s="175">
        <f>COUNTIF(FilterList,rrcworking[[#This Row],[Magnum Wolfpak '#]])</f>
        <v>0</v>
      </c>
      <c r="AE182" s="172"/>
      <c r="AF182" s="173"/>
      <c r="AG182" s="36"/>
      <c r="AH182" s="36"/>
      <c r="AI182" s="36">
        <v>2</v>
      </c>
      <c r="AJ182" s="36" t="s">
        <v>1165</v>
      </c>
      <c r="AK182" s="36" t="s">
        <v>1165</v>
      </c>
      <c r="AL182" s="36" t="s">
        <v>1195</v>
      </c>
      <c r="AM182" s="36" t="s">
        <v>1165</v>
      </c>
      <c r="AN182" s="36" t="s">
        <v>1170</v>
      </c>
      <c r="AO182" s="36" t="s">
        <v>1235</v>
      </c>
      <c r="AP182" s="36"/>
    </row>
    <row r="183" spans="3:42" ht="28">
      <c r="C183" s="78">
        <v>99161</v>
      </c>
      <c r="D183" s="60" t="s">
        <v>219</v>
      </c>
      <c r="E183" s="125" t="s">
        <v>220</v>
      </c>
      <c r="F183" s="124">
        <v>6</v>
      </c>
      <c r="G183" s="115" t="s">
        <v>1090</v>
      </c>
      <c r="H183" s="18" t="s">
        <v>618</v>
      </c>
      <c r="I183" s="202" t="s">
        <v>2</v>
      </c>
      <c r="J183" s="187" t="s">
        <v>1247</v>
      </c>
      <c r="K183" s="99">
        <v>2817</v>
      </c>
      <c r="L183" s="97">
        <f>INDEX(Table1[Production],MATCH(rrcworking[[#This Row],[RRC ID Number]],Table1[RRC Identifier],0))</f>
        <v>266</v>
      </c>
      <c r="M183" s="29">
        <f>INDEX(Table1[Formation Production],MATCH(rrcworking[[#This Row],[RRC ID Number]],Table1[RRC Identifier],0))</f>
        <v>124</v>
      </c>
      <c r="N183" s="30">
        <f>INDEX(Table1[On Hand End of Month],MATCH(rrcworking[[#This Row],[RRC ID Number]],Table1[RRC Identifier],0))</f>
        <v>433</v>
      </c>
      <c r="O183" s="102" t="b">
        <f t="shared" si="5"/>
        <v>0</v>
      </c>
      <c r="P183">
        <v>101</v>
      </c>
      <c r="Q183" s="122">
        <f>rrcworking[[#This Row],[Last Month Closing Stock]]</f>
        <v>433</v>
      </c>
      <c r="R183">
        <v>195</v>
      </c>
      <c r="S183" s="133">
        <f>IF(ISERROR(INDEX(Table2[OIL],MATCH(rrcworking[[#This Row],[Magnum Wolfpak '#]],Table2[Rox Wolf'#],0))),0,INDEX(Table2[OIL],MATCH(rrcworking[[#This Row],[Magnum Wolfpak '#]],Table2[Rox Wolf'#],0)))</f>
        <v>333</v>
      </c>
      <c r="T183" s="34">
        <f>rrcworking[[#This Row],[Closing Stock (Oil)]]+rrcworking[[#This Row],[Sales/Dispostion]]-rrcworking[[#This Row],[Opening Oil Stock]]</f>
        <v>95</v>
      </c>
      <c r="U183" s="108">
        <f>rrcworking[[#This Row],[Gauge Sheet Prod Volume (oil)]]-rrcworking[[#This Row],[Oil Production]]</f>
        <v>6</v>
      </c>
      <c r="V183" s="133">
        <f>IF(ISERROR(INDEX(Table2[GAS],MATCH(rrcworking[[#This Row],[Magnum Wolfpak '#]],Table2[Rox Wolf'#],0))),0,INDEX(Table2[GAS],MATCH(rrcworking[[#This Row],[Magnum Wolfpak '#]],Table2[Rox Wolf'#],0)))</f>
        <v>0</v>
      </c>
      <c r="W183" s="58"/>
      <c r="X183" s="58">
        <v>4</v>
      </c>
      <c r="Y183" s="133">
        <f>IF(ISERROR(INDEX(Table2[LEASE USE],MATCH(rrcworking[[#This Row],[Magnum Wolfpak '#]],Table2[Rox Wolf'#],0))),0,INDEX(Table2[LEASE USE],MATCH(rrcworking[[#This Row],[Magnum Wolfpak '#]],Table2[Rox Wolf'#],0)))</f>
        <v>52</v>
      </c>
      <c r="Z183" s="133"/>
      <c r="AA183" s="56">
        <f>rrcworking[[#This Row],[Gas Sales Statement Volume (MCF)]]+rrcworking[[#This Row],[Lease Use (MCF)]]+rrcworking[[#This Row],[Flared Gas]]</f>
        <v>52</v>
      </c>
      <c r="AB183" s="36"/>
      <c r="AC183" s="36" t="s">
        <v>1246</v>
      </c>
      <c r="AD183" s="175">
        <f>COUNTIF(FilterList,rrcworking[[#This Row],[Magnum Wolfpak '#]])</f>
        <v>0</v>
      </c>
      <c r="AE183" s="172"/>
      <c r="AF183" s="173"/>
      <c r="AG183" s="36"/>
      <c r="AH183" s="173"/>
      <c r="AI183" s="36">
        <v>2</v>
      </c>
      <c r="AJ183" s="36" t="s">
        <v>1165</v>
      </c>
      <c r="AK183" s="36" t="s">
        <v>1165</v>
      </c>
      <c r="AL183" s="36" t="s">
        <v>1223</v>
      </c>
      <c r="AM183" s="36" t="s">
        <v>1165</v>
      </c>
      <c r="AN183" s="36" t="s">
        <v>1224</v>
      </c>
      <c r="AO183" s="36" t="s">
        <v>1234</v>
      </c>
      <c r="AP183" s="36" t="s">
        <v>1225</v>
      </c>
    </row>
    <row r="184" spans="3:42" ht="98">
      <c r="C184" s="80">
        <v>48001</v>
      </c>
      <c r="D184" s="94" t="s">
        <v>245</v>
      </c>
      <c r="E184" s="126" t="s">
        <v>246</v>
      </c>
      <c r="F184" s="123">
        <v>0</v>
      </c>
      <c r="G184" s="116" t="s">
        <v>1090</v>
      </c>
      <c r="H184" s="120" t="s">
        <v>618</v>
      </c>
      <c r="I184" s="120" t="s">
        <v>2</v>
      </c>
      <c r="J184" s="81" t="s">
        <v>511</v>
      </c>
      <c r="K184" s="100">
        <v>24861</v>
      </c>
      <c r="L184" s="95">
        <f>INDEX(Table1[Production],MATCH(rrcworking[[#This Row],[RRC ID Number]],Table1[RRC Identifier],0))</f>
        <v>0</v>
      </c>
      <c r="M184" s="95">
        <f>INDEX(Table1[Formation Production],MATCH(rrcworking[[#This Row],[RRC ID Number]],Table1[RRC Identifier],0))</f>
        <v>227</v>
      </c>
      <c r="N184" s="95">
        <f>INDEX(Table1[On Hand End of Month],MATCH(rrcworking[[#This Row],[RRC ID Number]],Table1[RRC Identifier],0))</f>
        <v>45</v>
      </c>
      <c r="O184" s="103" t="b">
        <f t="shared" si="5"/>
        <v>0</v>
      </c>
      <c r="P184">
        <v>0</v>
      </c>
      <c r="Q184" s="122">
        <f>rrcworking[[#This Row],[Last Month Closing Stock]]</f>
        <v>45</v>
      </c>
      <c r="R184">
        <v>45</v>
      </c>
      <c r="S184" s="133">
        <f>IF(ISERROR(INDEX(Table2[OIL],MATCH(rrcworking[[#This Row],[Magnum Wolfpak '#]],Table2[Rox Wolf'#],0))),0,INDEX(Table2[OIL],MATCH(rrcworking[[#This Row],[Magnum Wolfpak '#]],Table2[Rox Wolf'#],0)))</f>
        <v>0</v>
      </c>
      <c r="T184" s="96">
        <f>rrcworking[[#This Row],[Closing Stock (Oil)]]+rrcworking[[#This Row],[Sales/Dispostion]]-rrcworking[[#This Row],[Opening Oil Stock]]</f>
        <v>0</v>
      </c>
      <c r="U184" s="109">
        <f>rrcworking[[#This Row],[Gauge Sheet Prod Volume (oil)]]-rrcworking[[#This Row],[Oil Production]]</f>
        <v>0</v>
      </c>
      <c r="V184" s="133">
        <f>IF(ISERROR(INDEX(Table2[GAS],MATCH(rrcworking[[#This Row],[Magnum Wolfpak '#]],Table2[Rox Wolf'#],0))),0,INDEX(Table2[GAS],MATCH(rrcworking[[#This Row],[Magnum Wolfpak '#]],Table2[Rox Wolf'#],0)))</f>
        <v>143</v>
      </c>
      <c r="W184" s="82"/>
      <c r="X184" s="82">
        <v>1</v>
      </c>
      <c r="Y184" s="133">
        <f>IF(ISERROR(INDEX(Table2[LEASE USE],MATCH(rrcworking[[#This Row],[Magnum Wolfpak '#]],Table2[Rox Wolf'#],0))),0,INDEX(Table2[LEASE USE],MATCH(rrcworking[[#This Row],[Magnum Wolfpak '#]],Table2[Rox Wolf'#],0)))</f>
        <v>30</v>
      </c>
      <c r="Z184" s="133"/>
      <c r="AA184" s="56">
        <f>rrcworking[[#This Row],[Gas Sales Statement Volume (MCF)]]+rrcworking[[#This Row],[Lease Use (MCF)]]+rrcworking[[#This Row],[Flared Gas]]</f>
        <v>173</v>
      </c>
      <c r="AB184" s="83"/>
      <c r="AC184" s="36" t="s">
        <v>1268</v>
      </c>
      <c r="AD184" s="176">
        <f>COUNTIF(FilterList,rrcworking[[#This Row],[Magnum Wolfpak '#]])</f>
        <v>0</v>
      </c>
      <c r="AE184" s="172"/>
      <c r="AF184" s="173"/>
      <c r="AG184" s="36"/>
      <c r="AH184" s="36"/>
      <c r="AI184" s="36">
        <v>1</v>
      </c>
      <c r="AJ184" s="36" t="s">
        <v>1165</v>
      </c>
      <c r="AK184" s="36" t="s">
        <v>1165</v>
      </c>
      <c r="AL184" s="36" t="s">
        <v>1263</v>
      </c>
      <c r="AM184" s="36" t="s">
        <v>1139</v>
      </c>
      <c r="AN184" s="36" t="s">
        <v>1264</v>
      </c>
      <c r="AO184" s="36" t="s">
        <v>1213</v>
      </c>
      <c r="AP184" s="36" t="s">
        <v>1265</v>
      </c>
    </row>
    <row r="185" spans="3:42" ht="14">
      <c r="C185" s="78" t="e">
        <v>#N/A</v>
      </c>
      <c r="D185" s="60" t="s">
        <v>172</v>
      </c>
      <c r="E185" s="125" t="s">
        <v>173</v>
      </c>
      <c r="F185" s="124">
        <v>0</v>
      </c>
      <c r="G185" s="115" t="s">
        <v>1090</v>
      </c>
      <c r="H185" s="18" t="s">
        <v>618</v>
      </c>
      <c r="I185" s="18" t="s">
        <v>2</v>
      </c>
      <c r="J185" s="19" t="s">
        <v>473</v>
      </c>
      <c r="K185" s="99">
        <v>15252</v>
      </c>
      <c r="L185" s="97">
        <f>INDEX(Table1[Production],MATCH(rrcworking[[#This Row],[RRC ID Number]],Table1[RRC Identifier],0))</f>
        <v>0</v>
      </c>
      <c r="M185" s="29">
        <f>INDEX(Table1[Formation Production],MATCH(rrcworking[[#This Row],[RRC ID Number]],Table1[RRC Identifier],0))</f>
        <v>0</v>
      </c>
      <c r="N185" s="30">
        <f>INDEX(Table1[On Hand End of Month],MATCH(rrcworking[[#This Row],[RRC ID Number]],Table1[RRC Identifier],0))</f>
        <v>0</v>
      </c>
      <c r="O185" s="102" t="b">
        <f t="shared" si="5"/>
        <v>1</v>
      </c>
      <c r="Q185" s="122">
        <f>rrcworking[[#This Row],[Last Month Closing Stock]]</f>
        <v>0</v>
      </c>
      <c r="R185">
        <f>rrcworking[[#This Row],[Opening Oil Stock]]</f>
        <v>0</v>
      </c>
      <c r="S185" s="133">
        <f>IF(ISERROR(INDEX(Table2[OIL],MATCH(rrcworking[[#This Row],[Magnum Wolfpak '#]],Table2[Rox Wolf'#],0))),0,INDEX(Table2[OIL],MATCH(rrcworking[[#This Row],[Magnum Wolfpak '#]],Table2[Rox Wolf'#],0)))</f>
        <v>0</v>
      </c>
      <c r="T185" s="34">
        <f>rrcworking[[#This Row],[Closing Stock (Oil)]]+rrcworking[[#This Row],[Sales/Dispostion]]-rrcworking[[#This Row],[Opening Oil Stock]]</f>
        <v>0</v>
      </c>
      <c r="U185" s="108">
        <f>rrcworking[[#This Row],[Gauge Sheet Prod Volume (oil)]]-rrcworking[[#This Row],[Oil Production]]</f>
        <v>0</v>
      </c>
      <c r="V185" s="133">
        <f>IF(ISERROR(INDEX(Table2[GAS],MATCH(rrcworking[[#This Row],[Magnum Wolfpak '#]],Table2[Rox Wolf'#],0))),0,INDEX(Table2[GAS],MATCH(rrcworking[[#This Row],[Magnum Wolfpak '#]],Table2[Rox Wolf'#],0)))</f>
        <v>0</v>
      </c>
      <c r="W185" s="58"/>
      <c r="X185" s="58"/>
      <c r="Y185" s="133">
        <f>IF(ISERROR(INDEX(Table2[LEASE USE],MATCH(rrcworking[[#This Row],[Magnum Wolfpak '#]],Table2[Rox Wolf'#],0))),0,INDEX(Table2[LEASE USE],MATCH(rrcworking[[#This Row],[Magnum Wolfpak '#]],Table2[Rox Wolf'#],0)))</f>
        <v>0</v>
      </c>
      <c r="Z185" s="133"/>
      <c r="AA185" s="56">
        <f>rrcworking[[#This Row],[Gas Sales Statement Volume (MCF)]]+rrcworking[[#This Row],[Lease Use (MCF)]]+rrcworking[[#This Row],[Flared Gas]]</f>
        <v>0</v>
      </c>
      <c r="AB185" s="36"/>
      <c r="AC185" s="36"/>
      <c r="AD185" s="175">
        <f>COUNTIF(FilterList,rrcworking[[#This Row],[Magnum Wolfpak '#]])</f>
        <v>0</v>
      </c>
      <c r="AE185" s="172"/>
      <c r="AF185" s="173"/>
      <c r="AG185" s="36"/>
      <c r="AH185" s="36"/>
      <c r="AI185" s="36"/>
      <c r="AJ185" s="36"/>
      <c r="AK185" s="36"/>
      <c r="AL185" s="36"/>
      <c r="AM185" s="36"/>
      <c r="AN185" s="36"/>
      <c r="AO185" s="36"/>
      <c r="AP185" s="36"/>
    </row>
    <row r="186" spans="3:42" ht="14">
      <c r="C186" s="78" t="e">
        <v>#N/A</v>
      </c>
      <c r="D186" s="60" t="s">
        <v>368</v>
      </c>
      <c r="E186" s="125" t="s">
        <v>369</v>
      </c>
      <c r="F186" s="124">
        <v>1</v>
      </c>
      <c r="G186" s="115" t="s">
        <v>1090</v>
      </c>
      <c r="H186" s="18" t="s">
        <v>619</v>
      </c>
      <c r="I186" s="18" t="s">
        <v>59</v>
      </c>
      <c r="J186" s="19" t="s">
        <v>587</v>
      </c>
      <c r="K186" s="99">
        <v>120373</v>
      </c>
      <c r="L186" s="97">
        <f>INDEX(Table1[Production],MATCH(rrcworking[[#This Row],[RRC ID Number]],Table1[RRC Identifier],0))</f>
        <v>0</v>
      </c>
      <c r="M186" s="29">
        <f>INDEX(Table1[Formation Production],MATCH(rrcworking[[#This Row],[RRC ID Number]],Table1[RRC Identifier],0))</f>
        <v>0</v>
      </c>
      <c r="N186" s="30">
        <f>INDEX(Table1[On Hand End of Month],MATCH(rrcworking[[#This Row],[RRC ID Number]],Table1[RRC Identifier],0))</f>
        <v>0</v>
      </c>
      <c r="O186" s="102" t="b">
        <f t="shared" si="5"/>
        <v>1</v>
      </c>
      <c r="Q186" s="122">
        <f>rrcworking[[#This Row],[Last Month Closing Stock]]</f>
        <v>0</v>
      </c>
      <c r="R186">
        <f>rrcworking[[#This Row],[Opening Oil Stock]]</f>
        <v>0</v>
      </c>
      <c r="S186" s="133">
        <f>IF(ISERROR(INDEX(Table2[OIL],MATCH(rrcworking[[#This Row],[Magnum Wolfpak '#]],Table2[Rox Wolf'#],0))),0,INDEX(Table2[OIL],MATCH(rrcworking[[#This Row],[Magnum Wolfpak '#]],Table2[Rox Wolf'#],0)))</f>
        <v>0</v>
      </c>
      <c r="T186" s="34">
        <f>rrcworking[[#This Row],[Closing Stock (Oil)]]+rrcworking[[#This Row],[Sales/Dispostion]]-rrcworking[[#This Row],[Opening Oil Stock]]</f>
        <v>0</v>
      </c>
      <c r="U186" s="108">
        <f>rrcworking[[#This Row],[Gauge Sheet Prod Volume (oil)]]-rrcworking[[#This Row],[Oil Production]]</f>
        <v>0</v>
      </c>
      <c r="V186" s="133">
        <f>IF(ISERROR(INDEX(Table2[GAS],MATCH(rrcworking[[#This Row],[Magnum Wolfpak '#]],Table2[Rox Wolf'#],0))),0,INDEX(Table2[GAS],MATCH(rrcworking[[#This Row],[Magnum Wolfpak '#]],Table2[Rox Wolf'#],0)))</f>
        <v>0</v>
      </c>
      <c r="W186" s="58"/>
      <c r="X186" s="58"/>
      <c r="Y186" s="133">
        <f>IF(ISERROR(INDEX(Table2[LEASE USE],MATCH(rrcworking[[#This Row],[Magnum Wolfpak '#]],Table2[Rox Wolf'#],0))),0,INDEX(Table2[LEASE USE],MATCH(rrcworking[[#This Row],[Magnum Wolfpak '#]],Table2[Rox Wolf'#],0)))</f>
        <v>0</v>
      </c>
      <c r="Z186" s="133"/>
      <c r="AA186" s="56">
        <f>rrcworking[[#This Row],[Gas Sales Statement Volume (MCF)]]+rrcworking[[#This Row],[Lease Use (MCF)]]+rrcworking[[#This Row],[Flared Gas]]</f>
        <v>0</v>
      </c>
      <c r="AB186" s="36"/>
      <c r="AC186" s="36"/>
      <c r="AD186" s="175">
        <f>COUNTIF(FilterList,rrcworking[[#This Row],[Magnum Wolfpak '#]])</f>
        <v>0</v>
      </c>
      <c r="AE186" s="172"/>
      <c r="AF186" s="173"/>
      <c r="AG186" s="36"/>
      <c r="AH186" s="36"/>
      <c r="AI186" s="36"/>
      <c r="AJ186" s="36"/>
      <c r="AK186" s="36"/>
      <c r="AL186" s="36"/>
      <c r="AM186" s="36"/>
      <c r="AN186" s="36"/>
      <c r="AO186" s="36"/>
      <c r="AP186" s="36"/>
    </row>
    <row r="187" spans="3:42" ht="56">
      <c r="C187" s="78">
        <v>99305</v>
      </c>
      <c r="D187" s="60" t="s">
        <v>201</v>
      </c>
      <c r="E187" s="125" t="s">
        <v>202</v>
      </c>
      <c r="F187" s="124">
        <v>0</v>
      </c>
      <c r="G187" s="115" t="s">
        <v>1090</v>
      </c>
      <c r="H187" s="18" t="s">
        <v>618</v>
      </c>
      <c r="I187" s="18" t="s">
        <v>2</v>
      </c>
      <c r="J187" s="19" t="s">
        <v>490</v>
      </c>
      <c r="K187" s="99">
        <v>27401</v>
      </c>
      <c r="L187" s="97">
        <f>INDEX(Table1[Production],MATCH(rrcworking[[#This Row],[RRC ID Number]],Table1[RRC Identifier],0))</f>
        <v>18</v>
      </c>
      <c r="M187" s="29">
        <f>INDEX(Table1[Formation Production],MATCH(rrcworking[[#This Row],[RRC ID Number]],Table1[RRC Identifier],0))</f>
        <v>0</v>
      </c>
      <c r="N187" s="30">
        <f>INDEX(Table1[On Hand End of Month],MATCH(rrcworking[[#This Row],[RRC ID Number]],Table1[RRC Identifier],0))</f>
        <v>428</v>
      </c>
      <c r="O187" s="102" t="b">
        <f t="shared" si="5"/>
        <v>0</v>
      </c>
      <c r="P187">
        <v>5</v>
      </c>
      <c r="Q187" s="122">
        <f>rrcworking[[#This Row],[Last Month Closing Stock]]</f>
        <v>428</v>
      </c>
      <c r="R187">
        <v>433</v>
      </c>
      <c r="S187" s="133">
        <f>IF(ISERROR(INDEX(Table2[OIL],MATCH(rrcworking[[#This Row],[Magnum Wolfpak '#]],Table2[Rox Wolf'#],0))),0,INDEX(Table2[OIL],MATCH(rrcworking[[#This Row],[Magnum Wolfpak '#]],Table2[Rox Wolf'#],0)))</f>
        <v>0</v>
      </c>
      <c r="T187" s="34">
        <f>rrcworking[[#This Row],[Closing Stock (Oil)]]+rrcworking[[#This Row],[Sales/Dispostion]]-rrcworking[[#This Row],[Opening Oil Stock]]</f>
        <v>5</v>
      </c>
      <c r="U187" s="108">
        <f>rrcworking[[#This Row],[Gauge Sheet Prod Volume (oil)]]-rrcworking[[#This Row],[Oil Production]]</f>
        <v>0</v>
      </c>
      <c r="V187" s="133">
        <f>IF(ISERROR(INDEX(Table2[GAS],MATCH(rrcworking[[#This Row],[Magnum Wolfpak '#]],Table2[Rox Wolf'#],0))),0,INDEX(Table2[GAS],MATCH(rrcworking[[#This Row],[Magnum Wolfpak '#]],Table2[Rox Wolf'#],0)))</f>
        <v>0</v>
      </c>
      <c r="W187" s="58"/>
      <c r="X187" s="58"/>
      <c r="Y187" s="133">
        <f>IF(ISERROR(INDEX(Table2[LEASE USE],MATCH(rrcworking[[#This Row],[Magnum Wolfpak '#]],Table2[Rox Wolf'#],0))),0,INDEX(Table2[LEASE USE],MATCH(rrcworking[[#This Row],[Magnum Wolfpak '#]],Table2[Rox Wolf'#],0)))</f>
        <v>0</v>
      </c>
      <c r="Z187" s="133"/>
      <c r="AA187" s="56">
        <f>rrcworking[[#This Row],[Gas Sales Statement Volume (MCF)]]+rrcworking[[#This Row],[Lease Use (MCF)]]+rrcworking[[#This Row],[Flared Gas]]</f>
        <v>0</v>
      </c>
      <c r="AB187" s="36"/>
      <c r="AC187" s="36" t="s">
        <v>1253</v>
      </c>
      <c r="AD187" s="175">
        <f>COUNTIF(FilterList,rrcworking[[#This Row],[Magnum Wolfpak '#]])</f>
        <v>0</v>
      </c>
      <c r="AE187" s="172"/>
      <c r="AF187" s="173"/>
      <c r="AG187" s="36"/>
      <c r="AH187" s="173"/>
      <c r="AI187" s="36">
        <v>3</v>
      </c>
      <c r="AJ187" s="36" t="s">
        <v>1139</v>
      </c>
      <c r="AK187" s="36" t="s">
        <v>1165</v>
      </c>
      <c r="AL187" s="36" t="s">
        <v>1252</v>
      </c>
      <c r="AM187" s="36" t="s">
        <v>1165</v>
      </c>
      <c r="AN187" s="36" t="s">
        <v>1175</v>
      </c>
      <c r="AO187" s="36" t="s">
        <v>1236</v>
      </c>
      <c r="AP187" s="36"/>
    </row>
    <row r="188" spans="3:42" ht="28">
      <c r="C188" s="78">
        <v>99302</v>
      </c>
      <c r="D188" s="60" t="s">
        <v>198</v>
      </c>
      <c r="E188" s="125" t="s">
        <v>199</v>
      </c>
      <c r="F188" s="124">
        <v>0</v>
      </c>
      <c r="G188" s="115" t="s">
        <v>1090</v>
      </c>
      <c r="H188" s="18" t="s">
        <v>618</v>
      </c>
      <c r="I188" s="18" t="s">
        <v>2</v>
      </c>
      <c r="J188" s="19" t="s">
        <v>488</v>
      </c>
      <c r="K188" s="99">
        <v>27495</v>
      </c>
      <c r="L188" s="97">
        <f>INDEX(Table1[Production],MATCH(rrcworking[[#This Row],[RRC ID Number]],Table1[RRC Identifier],0))</f>
        <v>2</v>
      </c>
      <c r="M188" s="29">
        <f>INDEX(Table1[Formation Production],MATCH(rrcworking[[#This Row],[RRC ID Number]],Table1[RRC Identifier],0))</f>
        <v>0</v>
      </c>
      <c r="N188" s="30">
        <f>INDEX(Table1[On Hand End of Month],MATCH(rrcworking[[#This Row],[RRC ID Number]],Table1[RRC Identifier],0))</f>
        <v>252</v>
      </c>
      <c r="O188" s="102" t="b">
        <f t="shared" si="5"/>
        <v>0</v>
      </c>
      <c r="P188">
        <v>3</v>
      </c>
      <c r="Q188" s="122">
        <f>rrcworking[[#This Row],[Last Month Closing Stock]]</f>
        <v>252</v>
      </c>
      <c r="R188">
        <v>256</v>
      </c>
      <c r="S188" s="133">
        <f>IF(ISERROR(INDEX(Table2[OIL],MATCH(rrcworking[[#This Row],[Magnum Wolfpak '#]],Table2[Rox Wolf'#],0))),0,INDEX(Table2[OIL],MATCH(rrcworking[[#This Row],[Magnum Wolfpak '#]],Table2[Rox Wolf'#],0)))</f>
        <v>0</v>
      </c>
      <c r="T188" s="34">
        <f>rrcworking[[#This Row],[Closing Stock (Oil)]]+rrcworking[[#This Row],[Sales/Dispostion]]-rrcworking[[#This Row],[Opening Oil Stock]]</f>
        <v>4</v>
      </c>
      <c r="U188" s="108">
        <f>rrcworking[[#This Row],[Gauge Sheet Prod Volume (oil)]]-rrcworking[[#This Row],[Oil Production]]</f>
        <v>-1</v>
      </c>
      <c r="V188" s="133">
        <f>IF(ISERROR(INDEX(Table2[GAS],MATCH(rrcworking[[#This Row],[Magnum Wolfpak '#]],Table2[Rox Wolf'#],0))),0,INDEX(Table2[GAS],MATCH(rrcworking[[#This Row],[Magnum Wolfpak '#]],Table2[Rox Wolf'#],0)))</f>
        <v>0</v>
      </c>
      <c r="W188" s="58"/>
      <c r="X188" s="58"/>
      <c r="Y188" s="133">
        <f>IF(ISERROR(INDEX(Table2[LEASE USE],MATCH(rrcworking[[#This Row],[Magnum Wolfpak '#]],Table2[Rox Wolf'#],0))),0,INDEX(Table2[LEASE USE],MATCH(rrcworking[[#This Row],[Magnum Wolfpak '#]],Table2[Rox Wolf'#],0)))</f>
        <v>0</v>
      </c>
      <c r="Z188" s="133"/>
      <c r="AA188" s="56">
        <f>rrcworking[[#This Row],[Gas Sales Statement Volume (MCF)]]+rrcworking[[#This Row],[Lease Use (MCF)]]+rrcworking[[#This Row],[Flared Gas]]</f>
        <v>0</v>
      </c>
      <c r="AB188" s="36"/>
      <c r="AC188" s="36"/>
      <c r="AD188" s="175">
        <f>COUNTIF(FilterList,rrcworking[[#This Row],[Magnum Wolfpak '#]])</f>
        <v>0</v>
      </c>
      <c r="AE188" s="172"/>
      <c r="AF188" s="173"/>
      <c r="AG188" s="36"/>
      <c r="AH188" s="36"/>
      <c r="AI188" s="36">
        <v>1</v>
      </c>
      <c r="AJ188" s="36" t="s">
        <v>1139</v>
      </c>
      <c r="AK188" s="36" t="s">
        <v>1165</v>
      </c>
      <c r="AL188" s="36" t="s">
        <v>1174</v>
      </c>
      <c r="AM188" s="36" t="s">
        <v>1165</v>
      </c>
      <c r="AN188" s="36" t="s">
        <v>1175</v>
      </c>
      <c r="AO188" s="36" t="s">
        <v>1237</v>
      </c>
      <c r="AP188" s="36" t="s">
        <v>1177</v>
      </c>
    </row>
    <row r="189" spans="3:42" ht="112">
      <c r="C189" s="78">
        <v>99296</v>
      </c>
      <c r="D189" s="60" t="s">
        <v>198</v>
      </c>
      <c r="E189" s="125" t="s">
        <v>200</v>
      </c>
      <c r="F189" s="124">
        <v>0</v>
      </c>
      <c r="G189" s="115" t="s">
        <v>1090</v>
      </c>
      <c r="H189" s="18" t="s">
        <v>618</v>
      </c>
      <c r="I189" s="18" t="s">
        <v>2</v>
      </c>
      <c r="J189" s="19" t="s">
        <v>489</v>
      </c>
      <c r="K189" s="99">
        <v>27499</v>
      </c>
      <c r="L189" s="97">
        <f>INDEX(Table1[Production],MATCH(rrcworking[[#This Row],[RRC ID Number]],Table1[RRC Identifier],0))</f>
        <v>15</v>
      </c>
      <c r="M189" s="29">
        <f>INDEX(Table1[Formation Production],MATCH(rrcworking[[#This Row],[RRC ID Number]],Table1[RRC Identifier],0))</f>
        <v>0</v>
      </c>
      <c r="N189" s="30">
        <f>INDEX(Table1[On Hand End of Month],MATCH(rrcworking[[#This Row],[RRC ID Number]],Table1[RRC Identifier],0))</f>
        <v>312</v>
      </c>
      <c r="O189" s="102" t="b">
        <f t="shared" si="5"/>
        <v>0</v>
      </c>
      <c r="P189">
        <v>3</v>
      </c>
      <c r="Q189" s="122">
        <f>rrcworking[[#This Row],[Last Month Closing Stock]]</f>
        <v>312</v>
      </c>
      <c r="R189">
        <v>316</v>
      </c>
      <c r="S189" s="133">
        <f>IF(ISERROR(INDEX(Table2[OIL],MATCH(rrcworking[[#This Row],[Magnum Wolfpak '#]],Table2[Rox Wolf'#],0))),0,INDEX(Table2[OIL],MATCH(rrcworking[[#This Row],[Magnum Wolfpak '#]],Table2[Rox Wolf'#],0)))</f>
        <v>0</v>
      </c>
      <c r="T189" s="34">
        <f>rrcworking[[#This Row],[Closing Stock (Oil)]]+rrcworking[[#This Row],[Sales/Dispostion]]-rrcworking[[#This Row],[Opening Oil Stock]]</f>
        <v>4</v>
      </c>
      <c r="U189" s="108">
        <f>rrcworking[[#This Row],[Gauge Sheet Prod Volume (oil)]]-rrcworking[[#This Row],[Oil Production]]</f>
        <v>-1</v>
      </c>
      <c r="V189" s="133">
        <f>IF(ISERROR(INDEX(Table2[GAS],MATCH(rrcworking[[#This Row],[Magnum Wolfpak '#]],Table2[Rox Wolf'#],0))),0,INDEX(Table2[GAS],MATCH(rrcworking[[#This Row],[Magnum Wolfpak '#]],Table2[Rox Wolf'#],0)))</f>
        <v>0</v>
      </c>
      <c r="W189" s="58"/>
      <c r="X189" s="58"/>
      <c r="Y189" s="133">
        <f>IF(ISERROR(INDEX(Table2[LEASE USE],MATCH(rrcworking[[#This Row],[Magnum Wolfpak '#]],Table2[Rox Wolf'#],0))),0,INDEX(Table2[LEASE USE],MATCH(rrcworking[[#This Row],[Magnum Wolfpak '#]],Table2[Rox Wolf'#],0)))</f>
        <v>0</v>
      </c>
      <c r="Z189" s="133"/>
      <c r="AA189" s="56">
        <f>rrcworking[[#This Row],[Gas Sales Statement Volume (MCF)]]+rrcworking[[#This Row],[Lease Use (MCF)]]+rrcworking[[#This Row],[Flared Gas]]</f>
        <v>0</v>
      </c>
      <c r="AB189" s="36"/>
      <c r="AC189" s="36" t="s">
        <v>1245</v>
      </c>
      <c r="AD189" s="175">
        <f>COUNTIF(FilterList,rrcworking[[#This Row],[Magnum Wolfpak '#]])</f>
        <v>0</v>
      </c>
      <c r="AE189" s="172"/>
      <c r="AF189" s="173"/>
      <c r="AG189" s="36"/>
      <c r="AH189" s="173"/>
      <c r="AI189" s="36">
        <v>3</v>
      </c>
      <c r="AJ189" s="36" t="s">
        <v>1139</v>
      </c>
      <c r="AK189" s="36" t="s">
        <v>1165</v>
      </c>
      <c r="AL189" s="36" t="s">
        <v>1178</v>
      </c>
      <c r="AM189" s="36" t="s">
        <v>1165</v>
      </c>
      <c r="AN189" s="36" t="s">
        <v>1175</v>
      </c>
      <c r="AO189" s="36" t="s">
        <v>1238</v>
      </c>
      <c r="AP189" s="36"/>
    </row>
    <row r="190" spans="3:42" ht="14">
      <c r="C190" s="78" t="e">
        <v>#N/A</v>
      </c>
      <c r="D190" s="60" t="s">
        <v>114</v>
      </c>
      <c r="E190" s="125" t="s">
        <v>116</v>
      </c>
      <c r="F190" s="124">
        <v>2</v>
      </c>
      <c r="G190" s="115">
        <v>5113</v>
      </c>
      <c r="H190" s="18" t="s">
        <v>617</v>
      </c>
      <c r="I190" s="18" t="s">
        <v>59</v>
      </c>
      <c r="J190" s="19" t="s">
        <v>438</v>
      </c>
      <c r="K190" s="99">
        <v>189915</v>
      </c>
      <c r="L190" s="97">
        <f>INDEX(Table1[Production],MATCH(rrcworking[[#This Row],[RRC ID Number]],Table1[RRC Identifier],0))</f>
        <v>0</v>
      </c>
      <c r="M190" s="29">
        <f>INDEX(Table1[Formation Production],MATCH(rrcworking[[#This Row],[RRC ID Number]],Table1[RRC Identifier],0))</f>
        <v>0</v>
      </c>
      <c r="N190" s="30">
        <f>INDEX(Table1[On Hand End of Month],MATCH(rrcworking[[#This Row],[RRC ID Number]],Table1[RRC Identifier],0))</f>
        <v>0</v>
      </c>
      <c r="O190" s="102" t="b">
        <f t="shared" si="5"/>
        <v>1</v>
      </c>
      <c r="Q190" s="122">
        <f>rrcworking[[#This Row],[Last Month Closing Stock]]</f>
        <v>0</v>
      </c>
      <c r="R190">
        <f>rrcworking[[#This Row],[Opening Oil Stock]]</f>
        <v>0</v>
      </c>
      <c r="S190" s="133">
        <f>IF(ISERROR(INDEX(Table2[OIL],MATCH(rrcworking[[#This Row],[Magnum Wolfpak '#]],Table2[Rox Wolf'#],0))),0,INDEX(Table2[OIL],MATCH(rrcworking[[#This Row],[Magnum Wolfpak '#]],Table2[Rox Wolf'#],0)))</f>
        <v>0</v>
      </c>
      <c r="T190" s="34">
        <f>rrcworking[[#This Row],[Closing Stock (Oil)]]+rrcworking[[#This Row],[Sales/Dispostion]]-rrcworking[[#This Row],[Opening Oil Stock]]</f>
        <v>0</v>
      </c>
      <c r="U190" s="108">
        <f>rrcworking[[#This Row],[Gauge Sheet Prod Volume (oil)]]-rrcworking[[#This Row],[Oil Production]]</f>
        <v>0</v>
      </c>
      <c r="V190" s="133">
        <f>IF(ISERROR(INDEX(Table2[GAS],MATCH(rrcworking[[#This Row],[Magnum Wolfpak '#]],Table2[Rox Wolf'#],0))),0,INDEX(Table2[GAS],MATCH(rrcworking[[#This Row],[Magnum Wolfpak '#]],Table2[Rox Wolf'#],0)))</f>
        <v>0</v>
      </c>
      <c r="W190" s="58"/>
      <c r="X190" s="58"/>
      <c r="Y190" s="133">
        <f>IF(ISERROR(INDEX(Table2[LEASE USE],MATCH(rrcworking[[#This Row],[Magnum Wolfpak '#]],Table2[Rox Wolf'#],0))),0,INDEX(Table2[LEASE USE],MATCH(rrcworking[[#This Row],[Magnum Wolfpak '#]],Table2[Rox Wolf'#],0)))</f>
        <v>0</v>
      </c>
      <c r="Z190" s="133"/>
      <c r="AA190" s="56">
        <f>rrcworking[[#This Row],[Gas Sales Statement Volume (MCF)]]+rrcworking[[#This Row],[Lease Use (MCF)]]+rrcworking[[#This Row],[Flared Gas]]</f>
        <v>0</v>
      </c>
      <c r="AB190" s="36"/>
      <c r="AC190" s="36"/>
      <c r="AD190" s="175">
        <f>COUNTIF(FilterList,rrcworking[[#This Row],[Magnum Wolfpak '#]])</f>
        <v>0</v>
      </c>
      <c r="AE190" s="172"/>
      <c r="AF190" s="173"/>
      <c r="AG190" s="36"/>
      <c r="AH190" s="36"/>
      <c r="AI190" s="36"/>
      <c r="AJ190" s="36"/>
      <c r="AK190" s="36"/>
      <c r="AL190" s="36"/>
      <c r="AM190" s="36"/>
      <c r="AN190" s="36"/>
      <c r="AO190" s="36"/>
      <c r="AP190" s="36"/>
    </row>
    <row r="191" spans="3:42" ht="14">
      <c r="C191" s="78" t="e">
        <v>#N/A</v>
      </c>
      <c r="D191" s="60" t="s">
        <v>165</v>
      </c>
      <c r="E191" s="125" t="s">
        <v>166</v>
      </c>
      <c r="F191" s="124">
        <v>1</v>
      </c>
      <c r="G191" s="115" t="s">
        <v>1090</v>
      </c>
      <c r="H191" s="18" t="s">
        <v>618</v>
      </c>
      <c r="I191" s="18" t="s">
        <v>59</v>
      </c>
      <c r="J191" s="19" t="s">
        <v>469</v>
      </c>
      <c r="K191" s="99">
        <v>192497</v>
      </c>
      <c r="L191" s="97">
        <f>INDEX(Table1[Production],MATCH(rrcworking[[#This Row],[RRC ID Number]],Table1[RRC Identifier],0))</f>
        <v>0</v>
      </c>
      <c r="M191" s="29">
        <f>INDEX(Table1[Formation Production],MATCH(rrcworking[[#This Row],[RRC ID Number]],Table1[RRC Identifier],0))</f>
        <v>0</v>
      </c>
      <c r="N191" s="30">
        <f>INDEX(Table1[On Hand End of Month],MATCH(rrcworking[[#This Row],[RRC ID Number]],Table1[RRC Identifier],0))</f>
        <v>0</v>
      </c>
      <c r="O191" s="102" t="b">
        <f t="shared" si="5"/>
        <v>1</v>
      </c>
      <c r="Q191" s="122">
        <f>rrcworking[[#This Row],[Last Month Closing Stock]]</f>
        <v>0</v>
      </c>
      <c r="R191">
        <f>rrcworking[[#This Row],[Opening Oil Stock]]</f>
        <v>0</v>
      </c>
      <c r="S191" s="133">
        <f>IF(ISERROR(INDEX(Table2[OIL],MATCH(rrcworking[[#This Row],[Magnum Wolfpak '#]],Table2[Rox Wolf'#],0))),0,INDEX(Table2[OIL],MATCH(rrcworking[[#This Row],[Magnum Wolfpak '#]],Table2[Rox Wolf'#],0)))</f>
        <v>0</v>
      </c>
      <c r="T191" s="34">
        <f>rrcworking[[#This Row],[Closing Stock (Oil)]]+rrcworking[[#This Row],[Sales/Dispostion]]-rrcworking[[#This Row],[Opening Oil Stock]]</f>
        <v>0</v>
      </c>
      <c r="U191" s="108">
        <f>rrcworking[[#This Row],[Gauge Sheet Prod Volume (oil)]]-rrcworking[[#This Row],[Oil Production]]</f>
        <v>0</v>
      </c>
      <c r="V191" s="133">
        <f>IF(ISERROR(INDEX(Table2[GAS],MATCH(rrcworking[[#This Row],[Magnum Wolfpak '#]],Table2[Rox Wolf'#],0))),0,INDEX(Table2[GAS],MATCH(rrcworking[[#This Row],[Magnum Wolfpak '#]],Table2[Rox Wolf'#],0)))</f>
        <v>0</v>
      </c>
      <c r="W191" s="58"/>
      <c r="X191" s="58"/>
      <c r="Y191" s="133">
        <f>IF(ISERROR(INDEX(Table2[LEASE USE],MATCH(rrcworking[[#This Row],[Magnum Wolfpak '#]],Table2[Rox Wolf'#],0))),0,INDEX(Table2[LEASE USE],MATCH(rrcworking[[#This Row],[Magnum Wolfpak '#]],Table2[Rox Wolf'#],0)))</f>
        <v>0</v>
      </c>
      <c r="Z191" s="133"/>
      <c r="AA191" s="56">
        <f>rrcworking[[#This Row],[Gas Sales Statement Volume (MCF)]]+rrcworking[[#This Row],[Lease Use (MCF)]]+rrcworking[[#This Row],[Flared Gas]]</f>
        <v>0</v>
      </c>
      <c r="AB191" s="36"/>
      <c r="AC191" s="36"/>
      <c r="AD191" s="175">
        <f>COUNTIF(FilterList,rrcworking[[#This Row],[Magnum Wolfpak '#]])</f>
        <v>0</v>
      </c>
      <c r="AE191" s="172"/>
      <c r="AF191" s="173"/>
      <c r="AG191" s="36"/>
      <c r="AH191" s="36"/>
      <c r="AI191" s="36"/>
      <c r="AJ191" s="36"/>
      <c r="AK191" s="36"/>
      <c r="AL191" s="36"/>
      <c r="AM191" s="36"/>
      <c r="AN191" s="36"/>
      <c r="AO191" s="36"/>
      <c r="AP191" s="36"/>
    </row>
    <row r="192" spans="3:42" ht="28">
      <c r="C192" s="78">
        <v>99194</v>
      </c>
      <c r="D192" s="60" t="s">
        <v>167</v>
      </c>
      <c r="E192" s="125" t="s">
        <v>168</v>
      </c>
      <c r="F192" s="124">
        <v>0</v>
      </c>
      <c r="G192" s="115" t="s">
        <v>1090</v>
      </c>
      <c r="H192" s="18" t="s">
        <v>618</v>
      </c>
      <c r="I192" s="18" t="s">
        <v>2</v>
      </c>
      <c r="J192" s="19" t="s">
        <v>470</v>
      </c>
      <c r="K192" s="99">
        <v>21610</v>
      </c>
      <c r="L192" s="97">
        <f>INDEX(Table1[Production],MATCH(rrcworking[[#This Row],[RRC ID Number]],Table1[RRC Identifier],0))</f>
        <v>0</v>
      </c>
      <c r="M192" s="29">
        <f>INDEX(Table1[Formation Production],MATCH(rrcworking[[#This Row],[RRC ID Number]],Table1[RRC Identifier],0))</f>
        <v>0</v>
      </c>
      <c r="N192" s="30">
        <f>INDEX(Table1[On Hand End of Month],MATCH(rrcworking[[#This Row],[RRC ID Number]],Table1[RRC Identifier],0))</f>
        <v>154</v>
      </c>
      <c r="O192" s="102" t="b">
        <f t="shared" si="5"/>
        <v>1</v>
      </c>
      <c r="P192">
        <v>3</v>
      </c>
      <c r="Q192" s="122">
        <f>rrcworking[[#This Row],[Last Month Closing Stock]]</f>
        <v>154</v>
      </c>
      <c r="R192">
        <v>158</v>
      </c>
      <c r="S192" s="133">
        <f>IF(ISERROR(INDEX(Table2[OIL],MATCH(rrcworking[[#This Row],[Magnum Wolfpak '#]],Table2[Rox Wolf'#],0))),0,INDEX(Table2[OIL],MATCH(rrcworking[[#This Row],[Magnum Wolfpak '#]],Table2[Rox Wolf'#],0)))</f>
        <v>0</v>
      </c>
      <c r="T192" s="34">
        <f>rrcworking[[#This Row],[Closing Stock (Oil)]]+rrcworking[[#This Row],[Sales/Dispostion]]-rrcworking[[#This Row],[Opening Oil Stock]]</f>
        <v>4</v>
      </c>
      <c r="U192" s="108">
        <f>rrcworking[[#This Row],[Gauge Sheet Prod Volume (oil)]]-rrcworking[[#This Row],[Oil Production]]</f>
        <v>-1</v>
      </c>
      <c r="V192" s="133">
        <f>IF(ISERROR(INDEX(Table2[GAS],MATCH(rrcworking[[#This Row],[Magnum Wolfpak '#]],Table2[Rox Wolf'#],0))),0,INDEX(Table2[GAS],MATCH(rrcworking[[#This Row],[Magnum Wolfpak '#]],Table2[Rox Wolf'#],0)))</f>
        <v>0</v>
      </c>
      <c r="W192" s="58"/>
      <c r="X192" s="58"/>
      <c r="Y192" s="133">
        <f>IF(ISERROR(INDEX(Table2[LEASE USE],MATCH(rrcworking[[#This Row],[Magnum Wolfpak '#]],Table2[Rox Wolf'#],0))),0,INDEX(Table2[LEASE USE],MATCH(rrcworking[[#This Row],[Magnum Wolfpak '#]],Table2[Rox Wolf'#],0)))</f>
        <v>0</v>
      </c>
      <c r="Z192" s="133"/>
      <c r="AA192" s="56">
        <f>rrcworking[[#This Row],[Gas Sales Statement Volume (MCF)]]+rrcworking[[#This Row],[Lease Use (MCF)]]+rrcworking[[#This Row],[Flared Gas]]</f>
        <v>0</v>
      </c>
      <c r="AB192" s="36"/>
      <c r="AC192" s="36" t="s">
        <v>1267</v>
      </c>
      <c r="AD192" s="175">
        <f>COUNTIF(FilterList,rrcworking[[#This Row],[Magnum Wolfpak '#]])</f>
        <v>0</v>
      </c>
      <c r="AE192" s="172"/>
      <c r="AF192" s="173"/>
      <c r="AG192" s="36"/>
      <c r="AH192" s="173"/>
      <c r="AI192" s="36">
        <v>2</v>
      </c>
      <c r="AJ192" s="36" t="s">
        <v>1165</v>
      </c>
      <c r="AK192" s="36" t="s">
        <v>1165</v>
      </c>
      <c r="AL192" s="36" t="s">
        <v>1226</v>
      </c>
      <c r="AM192" s="36" t="s">
        <v>1165</v>
      </c>
      <c r="AN192" s="36" t="s">
        <v>1227</v>
      </c>
      <c r="AO192" s="36" t="s">
        <v>1228</v>
      </c>
      <c r="AP192" s="36" t="s">
        <v>1194</v>
      </c>
    </row>
    <row r="193" spans="3:42" ht="14">
      <c r="C193" s="78">
        <v>80001</v>
      </c>
      <c r="D193" s="60" t="s">
        <v>266</v>
      </c>
      <c r="E193" s="125" t="s">
        <v>267</v>
      </c>
      <c r="F193" s="124">
        <v>1</v>
      </c>
      <c r="G193" s="115" t="s">
        <v>1090</v>
      </c>
      <c r="H193" s="18" t="s">
        <v>618</v>
      </c>
      <c r="I193" s="18" t="s">
        <v>59</v>
      </c>
      <c r="J193" s="19" t="s">
        <v>522</v>
      </c>
      <c r="K193" s="99">
        <v>91859</v>
      </c>
      <c r="L193" s="98">
        <f>INDEX(Table1[Production],MATCH(rrcworking[[#This Row],[RRC ID Number]],Table1[RRC Identifier],0))</f>
        <v>30</v>
      </c>
      <c r="M193" s="31">
        <f>INDEX(Table1[Formation Production],MATCH(rrcworking[[#This Row],[RRC ID Number]],Table1[RRC Identifier],0))</f>
        <v>1519</v>
      </c>
      <c r="N193" s="32">
        <f>INDEX(Table1[On Hand End of Month],MATCH(rrcworking[[#This Row],[RRC ID Number]],Table1[RRC Identifier],0))</f>
        <v>145</v>
      </c>
      <c r="O193" s="104" t="b">
        <f t="shared" si="5"/>
        <v>0</v>
      </c>
      <c r="P193">
        <v>31</v>
      </c>
      <c r="Q193" s="122">
        <f>rrcworking[[#This Row],[Last Month Closing Stock]]</f>
        <v>145</v>
      </c>
      <c r="R193">
        <v>176</v>
      </c>
      <c r="S193" s="133">
        <f>IF(ISERROR(INDEX(Table2[OIL],MATCH(rrcworking[[#This Row],[Magnum Wolfpak '#]],Table2[Rox Wolf'#],0))),0,INDEX(Table2[OIL],MATCH(rrcworking[[#This Row],[Magnum Wolfpak '#]],Table2[Rox Wolf'#],0)))</f>
        <v>0</v>
      </c>
      <c r="T193" s="34">
        <f>rrcworking[[#This Row],[Closing Stock (Oil)]]+rrcworking[[#This Row],[Sales/Dispostion]]-rrcworking[[#This Row],[Opening Oil Stock]]</f>
        <v>31</v>
      </c>
      <c r="U193" s="108">
        <f>rrcworking[[#This Row],[Gauge Sheet Prod Volume (oil)]]-rrcworking[[#This Row],[Oil Production]]</f>
        <v>0</v>
      </c>
      <c r="V193" s="133">
        <f>IF(ISERROR(INDEX(Table2[GAS],MATCH(rrcworking[[#This Row],[Magnum Wolfpak '#]],Table2[Rox Wolf'#],0))),0,INDEX(Table2[GAS],MATCH(rrcworking[[#This Row],[Magnum Wolfpak '#]],Table2[Rox Wolf'#],0)))</f>
        <v>1820</v>
      </c>
      <c r="W193" s="137"/>
      <c r="X193" s="59">
        <v>4</v>
      </c>
      <c r="Y193" s="133">
        <f>IF(ISERROR(INDEX(Table2[LEASE USE],MATCH(rrcworking[[#This Row],[Magnum Wolfpak '#]],Table2[Rox Wolf'#],0))),0,INDEX(Table2[LEASE USE],MATCH(rrcworking[[#This Row],[Magnum Wolfpak '#]],Table2[Rox Wolf'#],0)))</f>
        <v>108</v>
      </c>
      <c r="Z193" s="133"/>
      <c r="AA193" s="56">
        <f>rrcworking[[#This Row],[Gas Sales Statement Volume (MCF)]]+rrcworking[[#This Row],[Lease Use (MCF)]]+rrcworking[[#This Row],[Flared Gas]]</f>
        <v>1928</v>
      </c>
      <c r="AB193" s="36"/>
      <c r="AC193" s="36"/>
      <c r="AD193" s="175">
        <f>COUNTIF(FilterList,rrcworking[[#This Row],[Magnum Wolfpak '#]])</f>
        <v>0</v>
      </c>
      <c r="AE193" s="172"/>
      <c r="AF193" s="173"/>
      <c r="AG193" s="36"/>
      <c r="AH193" s="173"/>
      <c r="AI193" s="36">
        <v>2</v>
      </c>
      <c r="AJ193" s="36" t="s">
        <v>1165</v>
      </c>
      <c r="AK193" s="36" t="s">
        <v>1165</v>
      </c>
      <c r="AL193" s="36" t="s">
        <v>1211</v>
      </c>
      <c r="AM193" s="36" t="s">
        <v>1165</v>
      </c>
      <c r="AN193" s="36" t="s">
        <v>1175</v>
      </c>
      <c r="AO193" s="36" t="s">
        <v>1216</v>
      </c>
      <c r="AP193" s="36"/>
    </row>
    <row r="194" spans="3:42" ht="15" thickBot="1">
      <c r="C194" s="78" t="e">
        <v>#N/A</v>
      </c>
      <c r="D194" s="60" t="s">
        <v>84</v>
      </c>
      <c r="E194" s="125" t="s">
        <v>85</v>
      </c>
      <c r="F194" s="124">
        <v>1</v>
      </c>
      <c r="G194" s="115" t="s">
        <v>1090</v>
      </c>
      <c r="H194" s="18" t="s">
        <v>617</v>
      </c>
      <c r="I194" s="18" t="s">
        <v>59</v>
      </c>
      <c r="J194" s="19" t="s">
        <v>419</v>
      </c>
      <c r="K194" s="99">
        <v>200152</v>
      </c>
      <c r="L194" s="97">
        <f>INDEX(Table1[Production],MATCH(rrcworking[[#This Row],[RRC ID Number]],Table1[RRC Identifier],0))</f>
        <v>0</v>
      </c>
      <c r="M194" s="29">
        <f>INDEX(Table1[Formation Production],MATCH(rrcworking[[#This Row],[RRC ID Number]],Table1[RRC Identifier],0))</f>
        <v>0</v>
      </c>
      <c r="N194" s="30">
        <f>INDEX(Table1[On Hand End of Month],MATCH(rrcworking[[#This Row],[RRC ID Number]],Table1[RRC Identifier],0))</f>
        <v>0</v>
      </c>
      <c r="O194" s="102" t="b">
        <f t="shared" si="5"/>
        <v>1</v>
      </c>
      <c r="Q194" s="122">
        <f>rrcworking[[#This Row],[Last Month Closing Stock]]</f>
        <v>0</v>
      </c>
      <c r="R194">
        <f>rrcworking[[#This Row],[Opening Oil Stock]]</f>
        <v>0</v>
      </c>
      <c r="S194" s="133">
        <f>IF(ISERROR(INDEX(Table2[OIL],MATCH(rrcworking[[#This Row],[Magnum Wolfpak '#]],Table2[Rox Wolf'#],0))),0,INDEX(Table2[OIL],MATCH(rrcworking[[#This Row],[Magnum Wolfpak '#]],Table2[Rox Wolf'#],0)))</f>
        <v>0</v>
      </c>
      <c r="T194" s="35">
        <f>rrcworking[[#This Row],[Closing Stock (Oil)]]+rrcworking[[#This Row],[Sales/Dispostion]]-rrcworking[[#This Row],[Opening Oil Stock]]</f>
        <v>0</v>
      </c>
      <c r="U194" s="108">
        <f>rrcworking[[#This Row],[Gauge Sheet Prod Volume (oil)]]-rrcworking[[#This Row],[Oil Production]]</f>
        <v>0</v>
      </c>
      <c r="V194" s="133">
        <f>IF(ISERROR(INDEX(Table2[GAS],MATCH(rrcworking[[#This Row],[Magnum Wolfpak '#]],Table2[Rox Wolf'#],0))),0,INDEX(Table2[GAS],MATCH(rrcworking[[#This Row],[Magnum Wolfpak '#]],Table2[Rox Wolf'#],0)))</f>
        <v>0</v>
      </c>
      <c r="W194" s="58"/>
      <c r="X194" s="58"/>
      <c r="Y194" s="133">
        <f>IF(ISERROR(INDEX(Table2[LEASE USE],MATCH(rrcworking[[#This Row],[Magnum Wolfpak '#]],Table2[Rox Wolf'#],0))),0,INDEX(Table2[LEASE USE],MATCH(rrcworking[[#This Row],[Magnum Wolfpak '#]],Table2[Rox Wolf'#],0)))</f>
        <v>0</v>
      </c>
      <c r="Z194" s="133"/>
      <c r="AA194" s="56">
        <f>rrcworking[[#This Row],[Gas Sales Statement Volume (MCF)]]+rrcworking[[#This Row],[Lease Use (MCF)]]+rrcworking[[#This Row],[Flared Gas]]</f>
        <v>0</v>
      </c>
      <c r="AB194" s="36"/>
      <c r="AC194" s="36"/>
      <c r="AD194" s="175">
        <f>COUNTIF(FilterList,rrcworking[[#This Row],[Magnum Wolfpak '#]])</f>
        <v>0</v>
      </c>
      <c r="AE194" s="172"/>
      <c r="AF194" s="173"/>
      <c r="AG194" s="36"/>
      <c r="AH194" s="36"/>
      <c r="AI194" s="36"/>
      <c r="AJ194" s="36"/>
      <c r="AK194" s="36"/>
      <c r="AL194" s="36"/>
      <c r="AM194" s="36"/>
      <c r="AN194" s="36"/>
      <c r="AO194" s="36"/>
      <c r="AP194" s="36"/>
    </row>
    <row r="195" spans="3:42" ht="15" thickTop="1">
      <c r="C195" s="220">
        <f>SUBTOTAL(103,rrcworking[Magnum Wolfpak '#])</f>
        <v>189</v>
      </c>
      <c r="D195" s="221"/>
      <c r="E195" s="221" t="s">
        <v>625</v>
      </c>
      <c r="F195" s="222">
        <f>SUBTOTAL(103,rrcworking[Well Number])</f>
        <v>189</v>
      </c>
      <c r="G195" s="222"/>
      <c r="H195" s="222"/>
      <c r="I195" s="222"/>
      <c r="J195" s="223"/>
      <c r="K195" s="224"/>
      <c r="L195" s="225">
        <f>SUBTOTAL(109,rrcworking[[ Last Month Oil Production]])</f>
        <v>6141</v>
      </c>
      <c r="M195" s="221">
        <f>SUBTOTAL(109,rrcworking[Last Month Gas Prod])</f>
        <v>188378</v>
      </c>
      <c r="N195" s="221">
        <f>SUBTOTAL(109,rrcworking[Last Month Closing Stock])</f>
        <v>18794</v>
      </c>
      <c r="O195" s="226"/>
      <c r="P195" s="226"/>
      <c r="Q195" s="225">
        <f>SUBTOTAL(109,rrcworking[Opening Oil Stock])</f>
        <v>18794</v>
      </c>
      <c r="R195" s="221">
        <f>SUBTOTAL(109,rrcworking[Closing Stock (Oil)])</f>
        <v>14334</v>
      </c>
      <c r="S195" s="221">
        <f>SUBTOTAL(109,rrcworking[Sales/Dispostion])</f>
        <v>12323</v>
      </c>
      <c r="T195" s="221">
        <f>SUBTOTAL(109,rrcworking[Oil Production])</f>
        <v>7863</v>
      </c>
      <c r="U195" s="221"/>
      <c r="V195" s="227">
        <f>SUBTOTAL(109,rrcworking[Gas Sales Statement Volume (MCF)])</f>
        <v>186525</v>
      </c>
      <c r="W195" s="221"/>
      <c r="X195" s="221"/>
      <c r="Y195" s="221">
        <f>SUBTOTAL(109,rrcworking[Lease Use (MCF)])</f>
        <v>5223</v>
      </c>
      <c r="Z195" s="221"/>
      <c r="AA195" s="228">
        <f>SUBTOTAL(109,rrcworking[Formation Production (MCF) @ 14.65 psi])</f>
        <v>191748</v>
      </c>
      <c r="AB195" s="229">
        <f>SUBTOTAL(103,rrcworking[Gas Comments])</f>
        <v>4</v>
      </c>
      <c r="AC195" s="229"/>
      <c r="AD195" s="221"/>
      <c r="AE195" s="229"/>
      <c r="AF195" s="229"/>
      <c r="AG195" s="229"/>
      <c r="AH195" s="229"/>
      <c r="AI195" s="229"/>
      <c r="AJ195" s="229"/>
      <c r="AK195" s="229"/>
      <c r="AL195" s="229"/>
      <c r="AM195" s="229"/>
      <c r="AN195" s="229"/>
      <c r="AO195" s="229"/>
      <c r="AP195" s="230"/>
    </row>
    <row r="196" spans="3:42" ht="36">
      <c r="AB196" s="201" t="s">
        <v>1260</v>
      </c>
    </row>
  </sheetData>
  <mergeCells count="8">
    <mergeCell ref="AC4:AD4"/>
    <mergeCell ref="AH3:AQ3"/>
    <mergeCell ref="C2:G2"/>
    <mergeCell ref="V4:AB4"/>
    <mergeCell ref="P4:U4"/>
    <mergeCell ref="L4:O4"/>
    <mergeCell ref="C4:K4"/>
    <mergeCell ref="Z3:AB3"/>
  </mergeCells>
  <phoneticPr fontId="71" type="noConversion"/>
  <conditionalFormatting sqref="U6:U194">
    <cfRule type="expression" dxfId="162" priority="2">
      <formula>ABS($U6)&gt;20</formula>
    </cfRule>
  </conditionalFormatting>
  <conditionalFormatting sqref="T6:T194">
    <cfRule type="cellIs" dxfId="161" priority="1" operator="lessThan">
      <formula>0</formula>
    </cfRule>
  </conditionalFormatting>
  <pageMargins left="0.25" right="0.25" top="0.75" bottom="0.75" header="0.3" footer="0.3"/>
  <pageSetup scale="10" orientation="landscape" horizontalDpi="1200" verticalDpi="1200"/>
  <ignoredErrors>
    <ignoredError sqref="F45:F49" numberStoredAsText="1"/>
  </ignoredErrors>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1096</v>
      </c>
      <c r="E1" t="s">
        <v>1094</v>
      </c>
      <c r="F1" t="s">
        <v>1095</v>
      </c>
    </row>
    <row r="2" spans="1:6" ht="21">
      <c r="A2" s="44" t="s">
        <v>657</v>
      </c>
      <c r="E2" t="s">
        <v>74</v>
      </c>
    </row>
    <row r="3" spans="1:6" ht="21">
      <c r="A3" s="44" t="s">
        <v>676</v>
      </c>
      <c r="E3" t="s">
        <v>77</v>
      </c>
      <c r="F3">
        <v>99228</v>
      </c>
    </row>
    <row r="4" spans="1:6" ht="21">
      <c r="A4" s="44" t="s">
        <v>711</v>
      </c>
      <c r="E4" t="s">
        <v>80</v>
      </c>
      <c r="F4">
        <v>99017</v>
      </c>
    </row>
    <row r="5" spans="1:6" ht="21">
      <c r="A5" s="44" t="s">
        <v>713</v>
      </c>
      <c r="E5" t="s">
        <v>82</v>
      </c>
    </row>
    <row r="6" spans="1:6" ht="21">
      <c r="A6" s="44" t="s">
        <v>719</v>
      </c>
      <c r="E6" t="s">
        <v>85</v>
      </c>
    </row>
    <row r="7" spans="1:6" ht="21">
      <c r="A7" s="44" t="s">
        <v>721</v>
      </c>
      <c r="E7" t="s">
        <v>86</v>
      </c>
    </row>
    <row r="8" spans="1:6" ht="21">
      <c r="A8" s="44" t="s">
        <v>723</v>
      </c>
      <c r="E8" t="s">
        <v>88</v>
      </c>
    </row>
    <row r="9" spans="1:6" ht="21">
      <c r="A9" s="44" t="s">
        <v>725</v>
      </c>
      <c r="E9" t="s">
        <v>91</v>
      </c>
      <c r="F9">
        <v>34001</v>
      </c>
    </row>
    <row r="10" spans="1:6" ht="21">
      <c r="A10" s="44" t="s">
        <v>729</v>
      </c>
      <c r="E10" t="s">
        <v>93</v>
      </c>
      <c r="F10">
        <v>93701</v>
      </c>
    </row>
    <row r="11" spans="1:6" ht="21">
      <c r="A11" s="44" t="s">
        <v>738</v>
      </c>
      <c r="E11" t="s">
        <v>91</v>
      </c>
    </row>
    <row r="12" spans="1:6" ht="21">
      <c r="A12" s="121" t="s">
        <v>739</v>
      </c>
      <c r="E12" t="s">
        <v>96</v>
      </c>
      <c r="F12">
        <v>93806</v>
      </c>
    </row>
    <row r="13" spans="1:6">
      <c r="E13" t="s">
        <v>97</v>
      </c>
    </row>
    <row r="14" spans="1:6">
      <c r="E14" t="s">
        <v>96</v>
      </c>
    </row>
    <row r="15" spans="1:6">
      <c r="E15" t="s">
        <v>100</v>
      </c>
    </row>
    <row r="16" spans="1:6">
      <c r="E16" t="s">
        <v>102</v>
      </c>
      <c r="F16">
        <v>99102</v>
      </c>
    </row>
    <row r="17" spans="5:6">
      <c r="E17" t="s">
        <v>104</v>
      </c>
      <c r="F17">
        <v>98921</v>
      </c>
    </row>
    <row r="18" spans="5:6">
      <c r="E18" t="s">
        <v>106</v>
      </c>
    </row>
    <row r="19" spans="5:6">
      <c r="E19" t="s">
        <v>108</v>
      </c>
    </row>
    <row r="20" spans="5:6">
      <c r="E20" t="s">
        <v>110</v>
      </c>
    </row>
    <row r="21" spans="5:6">
      <c r="E21" t="s">
        <v>110</v>
      </c>
      <c r="F21">
        <v>99256</v>
      </c>
    </row>
    <row r="22" spans="5:6">
      <c r="E22" t="s">
        <v>112</v>
      </c>
    </row>
    <row r="23" spans="5:6">
      <c r="E23" t="s">
        <v>88</v>
      </c>
      <c r="F23">
        <v>99255</v>
      </c>
    </row>
    <row r="24" spans="5:6">
      <c r="E24" t="s">
        <v>115</v>
      </c>
    </row>
    <row r="25" spans="5:6">
      <c r="E25" t="s">
        <v>116</v>
      </c>
    </row>
    <row r="26" spans="5:6">
      <c r="E26" t="s">
        <v>118</v>
      </c>
    </row>
    <row r="27" spans="5:6">
      <c r="E27" t="s">
        <v>120</v>
      </c>
    </row>
    <row r="28" spans="5:6">
      <c r="E28" t="s">
        <v>120</v>
      </c>
    </row>
    <row r="29" spans="5:6">
      <c r="E29" t="s">
        <v>123</v>
      </c>
    </row>
    <row r="30" spans="5:6">
      <c r="E30" t="s">
        <v>123</v>
      </c>
    </row>
    <row r="31" spans="5:6">
      <c r="E31" t="s">
        <v>123</v>
      </c>
    </row>
    <row r="32" spans="5:6">
      <c r="E32" t="s">
        <v>127</v>
      </c>
    </row>
    <row r="33" spans="5:6">
      <c r="E33" t="s">
        <v>112</v>
      </c>
    </row>
    <row r="34" spans="5:6">
      <c r="E34" t="s">
        <v>130</v>
      </c>
      <c r="F34">
        <v>98201</v>
      </c>
    </row>
    <row r="35" spans="5:6">
      <c r="E35" t="s">
        <v>132</v>
      </c>
    </row>
    <row r="36" spans="5:6">
      <c r="E36" t="s">
        <v>134</v>
      </c>
    </row>
    <row r="37" spans="5:6">
      <c r="E37" t="s">
        <v>137</v>
      </c>
    </row>
    <row r="38" spans="5:6">
      <c r="E38" t="s">
        <v>136</v>
      </c>
    </row>
    <row r="39" spans="5:6">
      <c r="E39" t="s">
        <v>139</v>
      </c>
    </row>
    <row r="40" spans="5:6">
      <c r="E40" t="s">
        <v>141</v>
      </c>
    </row>
    <row r="41" spans="5:6">
      <c r="E41" t="s">
        <v>141</v>
      </c>
    </row>
    <row r="42" spans="5:6">
      <c r="E42" t="s">
        <v>142</v>
      </c>
      <c r="F42">
        <v>98915</v>
      </c>
    </row>
    <row r="43" spans="5:6">
      <c r="E43" t="s">
        <v>144</v>
      </c>
    </row>
    <row r="44" spans="5:6">
      <c r="E44" t="s">
        <v>146</v>
      </c>
    </row>
    <row r="45" spans="5:6">
      <c r="E45" t="s">
        <v>148</v>
      </c>
      <c r="F45">
        <v>99270</v>
      </c>
    </row>
    <row r="46" spans="5:6">
      <c r="E46" t="s">
        <v>150</v>
      </c>
    </row>
    <row r="47" spans="5:6">
      <c r="E47" t="s">
        <v>152</v>
      </c>
    </row>
    <row r="48" spans="5:6">
      <c r="E48" t="s">
        <v>153</v>
      </c>
    </row>
    <row r="49" spans="5:6">
      <c r="E49" t="s">
        <v>152</v>
      </c>
    </row>
    <row r="50" spans="5:6">
      <c r="E50" t="s">
        <v>155</v>
      </c>
      <c r="F50">
        <v>99288</v>
      </c>
    </row>
    <row r="51" spans="5:6">
      <c r="E51" t="s">
        <v>157</v>
      </c>
    </row>
    <row r="52" spans="5:6">
      <c r="E52" t="s">
        <v>152</v>
      </c>
    </row>
    <row r="53" spans="5:6">
      <c r="E53" t="s">
        <v>160</v>
      </c>
    </row>
    <row r="54" spans="5:6">
      <c r="E54" t="s">
        <v>162</v>
      </c>
    </row>
    <row r="55" spans="5:6">
      <c r="E55" t="s">
        <v>164</v>
      </c>
    </row>
    <row r="56" spans="5:6">
      <c r="E56" t="s">
        <v>166</v>
      </c>
    </row>
    <row r="57" spans="5:6">
      <c r="E57" t="s">
        <v>168</v>
      </c>
      <c r="F57">
        <v>99194</v>
      </c>
    </row>
    <row r="58" spans="5:6">
      <c r="E58" t="s">
        <v>170</v>
      </c>
    </row>
    <row r="59" spans="5:6">
      <c r="E59" t="s">
        <v>170</v>
      </c>
      <c r="F59">
        <v>99230</v>
      </c>
    </row>
    <row r="60" spans="5:6">
      <c r="E60" t="s">
        <v>173</v>
      </c>
    </row>
    <row r="61" spans="5:6">
      <c r="E61" t="s">
        <v>175</v>
      </c>
      <c r="F61">
        <v>99278</v>
      </c>
    </row>
    <row r="62" spans="5:6">
      <c r="E62" t="s">
        <v>157</v>
      </c>
    </row>
    <row r="63" spans="5:6">
      <c r="E63" t="s">
        <v>179</v>
      </c>
    </row>
    <row r="64" spans="5:6">
      <c r="E64" t="s">
        <v>181</v>
      </c>
      <c r="F64">
        <v>99293</v>
      </c>
    </row>
    <row r="65" spans="5:6">
      <c r="E65" t="s">
        <v>181</v>
      </c>
      <c r="F65">
        <v>99286</v>
      </c>
    </row>
    <row r="66" spans="5:6">
      <c r="E66" t="s">
        <v>181</v>
      </c>
      <c r="F66">
        <v>99295</v>
      </c>
    </row>
    <row r="67" spans="5:6">
      <c r="E67" t="s">
        <v>181</v>
      </c>
      <c r="F67">
        <v>99294</v>
      </c>
    </row>
    <row r="68" spans="5:6">
      <c r="E68" t="s">
        <v>186</v>
      </c>
    </row>
    <row r="69" spans="5:6">
      <c r="E69" t="s">
        <v>188</v>
      </c>
      <c r="F69">
        <v>99140</v>
      </c>
    </row>
    <row r="70" spans="5:6">
      <c r="E70" t="s">
        <v>191</v>
      </c>
      <c r="F70">
        <v>98965</v>
      </c>
    </row>
    <row r="71" spans="5:6">
      <c r="E71" t="s">
        <v>190</v>
      </c>
    </row>
    <row r="72" spans="5:6">
      <c r="E72" t="s">
        <v>193</v>
      </c>
      <c r="F72" t="s">
        <v>811</v>
      </c>
    </row>
    <row r="73" spans="5:6">
      <c r="E73" t="s">
        <v>195</v>
      </c>
    </row>
    <row r="74" spans="5:6">
      <c r="E74" t="s">
        <v>197</v>
      </c>
    </row>
    <row r="75" spans="5:6">
      <c r="E75" t="s">
        <v>199</v>
      </c>
      <c r="F75">
        <v>99302</v>
      </c>
    </row>
    <row r="76" spans="5:6">
      <c r="E76" t="s">
        <v>200</v>
      </c>
      <c r="F76">
        <v>99296</v>
      </c>
    </row>
    <row r="77" spans="5:6">
      <c r="E77" t="s">
        <v>202</v>
      </c>
      <c r="F77">
        <v>99305</v>
      </c>
    </row>
    <row r="78" spans="5:6">
      <c r="E78" t="s">
        <v>204</v>
      </c>
    </row>
    <row r="79" spans="5:6">
      <c r="E79" t="s">
        <v>207</v>
      </c>
      <c r="F79">
        <v>99101</v>
      </c>
    </row>
    <row r="80" spans="5:6">
      <c r="E80" t="s">
        <v>213</v>
      </c>
    </row>
    <row r="81" spans="5:6">
      <c r="E81" t="s">
        <v>210</v>
      </c>
    </row>
    <row r="82" spans="5:6">
      <c r="E82" t="s">
        <v>211</v>
      </c>
      <c r="F82">
        <v>99159</v>
      </c>
    </row>
    <row r="83" spans="5:6">
      <c r="E83" t="s">
        <v>212</v>
      </c>
      <c r="F83">
        <v>99186</v>
      </c>
    </row>
    <row r="84" spans="5:6">
      <c r="E84" t="s">
        <v>211</v>
      </c>
    </row>
    <row r="85" spans="5:6">
      <c r="E85" t="s">
        <v>216</v>
      </c>
    </row>
    <row r="86" spans="5:6">
      <c r="E86" t="s">
        <v>218</v>
      </c>
    </row>
    <row r="87" spans="5:6">
      <c r="E87" t="s">
        <v>220</v>
      </c>
      <c r="F87">
        <v>99161</v>
      </c>
    </row>
    <row r="88" spans="5:6">
      <c r="E88" t="s">
        <v>222</v>
      </c>
      <c r="F88">
        <v>99229</v>
      </c>
    </row>
    <row r="89" spans="5:6">
      <c r="E89" t="s">
        <v>224</v>
      </c>
    </row>
    <row r="90" spans="5:6">
      <c r="E90" t="s">
        <v>222</v>
      </c>
    </row>
    <row r="91" spans="5:6">
      <c r="E91" t="s">
        <v>228</v>
      </c>
    </row>
    <row r="92" spans="5:6">
      <c r="E92" t="s">
        <v>229</v>
      </c>
    </row>
    <row r="93" spans="5:6">
      <c r="E93" t="s">
        <v>231</v>
      </c>
    </row>
    <row r="94" spans="5:6">
      <c r="E94" t="s">
        <v>233</v>
      </c>
      <c r="F94">
        <v>599109</v>
      </c>
    </row>
    <row r="95" spans="5:6">
      <c r="E95" t="s">
        <v>235</v>
      </c>
      <c r="F95" t="s">
        <v>816</v>
      </c>
    </row>
    <row r="96" spans="5:6">
      <c r="E96" t="s">
        <v>233</v>
      </c>
    </row>
    <row r="97" spans="5:6">
      <c r="E97" t="s">
        <v>238</v>
      </c>
    </row>
    <row r="98" spans="5:6">
      <c r="E98" t="s">
        <v>240</v>
      </c>
    </row>
    <row r="99" spans="5:6">
      <c r="E99" t="s">
        <v>242</v>
      </c>
    </row>
    <row r="100" spans="5:6">
      <c r="E100" t="s">
        <v>244</v>
      </c>
      <c r="F100">
        <v>98801</v>
      </c>
    </row>
    <row r="101" spans="5:6">
      <c r="E101" t="s">
        <v>246</v>
      </c>
      <c r="F101">
        <v>48001</v>
      </c>
    </row>
    <row r="102" spans="5:6">
      <c r="E102" t="s">
        <v>248</v>
      </c>
    </row>
    <row r="103" spans="5:6">
      <c r="E103" t="s">
        <v>248</v>
      </c>
    </row>
    <row r="104" spans="5:6">
      <c r="E104" t="s">
        <v>251</v>
      </c>
      <c r="F104">
        <v>99246</v>
      </c>
    </row>
    <row r="105" spans="5:6">
      <c r="E105" t="s">
        <v>254</v>
      </c>
      <c r="F105">
        <v>99307</v>
      </c>
    </row>
    <row r="106" spans="5:6">
      <c r="E106" t="s">
        <v>251</v>
      </c>
      <c r="F106">
        <v>99312</v>
      </c>
    </row>
    <row r="107" spans="5:6">
      <c r="E107" t="s">
        <v>257</v>
      </c>
    </row>
    <row r="108" spans="5:6">
      <c r="E108" t="s">
        <v>259</v>
      </c>
    </row>
    <row r="109" spans="5:6">
      <c r="E109" t="s">
        <v>261</v>
      </c>
      <c r="F109">
        <v>98401</v>
      </c>
    </row>
    <row r="110" spans="5:6">
      <c r="E110" t="s">
        <v>263</v>
      </c>
    </row>
    <row r="111" spans="5:6">
      <c r="E111" t="s">
        <v>265</v>
      </c>
      <c r="F111">
        <v>96901</v>
      </c>
    </row>
    <row r="112" spans="5:6">
      <c r="E112" t="s">
        <v>267</v>
      </c>
      <c r="F112">
        <v>80001</v>
      </c>
    </row>
    <row r="113" spans="5:6">
      <c r="E113" t="s">
        <v>269</v>
      </c>
    </row>
    <row r="114" spans="5:6">
      <c r="E114" t="s">
        <v>271</v>
      </c>
    </row>
    <row r="115" spans="5:6">
      <c r="E115" t="s">
        <v>273</v>
      </c>
    </row>
    <row r="116" spans="5:6">
      <c r="E116" t="s">
        <v>275</v>
      </c>
    </row>
    <row r="117" spans="5:6">
      <c r="E117" t="s">
        <v>276</v>
      </c>
      <c r="F117">
        <v>98987</v>
      </c>
    </row>
    <row r="118" spans="5:6">
      <c r="E118" t="s">
        <v>277</v>
      </c>
      <c r="F118">
        <v>98956</v>
      </c>
    </row>
    <row r="119" spans="5:6">
      <c r="E119" t="s">
        <v>278</v>
      </c>
      <c r="F119">
        <v>98959</v>
      </c>
    </row>
    <row r="120" spans="5:6">
      <c r="E120" t="s">
        <v>279</v>
      </c>
      <c r="F120">
        <v>98955</v>
      </c>
    </row>
    <row r="121" spans="5:6">
      <c r="E121" t="s">
        <v>280</v>
      </c>
      <c r="F121">
        <v>99007</v>
      </c>
    </row>
    <row r="122" spans="5:6">
      <c r="E122" t="s">
        <v>280</v>
      </c>
      <c r="F122">
        <v>98988</v>
      </c>
    </row>
    <row r="123" spans="5:6">
      <c r="E123" t="s">
        <v>278</v>
      </c>
    </row>
    <row r="124" spans="5:6">
      <c r="E124" t="s">
        <v>278</v>
      </c>
      <c r="F124">
        <v>98958</v>
      </c>
    </row>
    <row r="125" spans="5:6">
      <c r="E125" t="s">
        <v>282</v>
      </c>
      <c r="F125">
        <v>98910</v>
      </c>
    </row>
    <row r="126" spans="5:6">
      <c r="E126" t="s">
        <v>283</v>
      </c>
    </row>
    <row r="127" spans="5:6">
      <c r="E127" t="s">
        <v>285</v>
      </c>
      <c r="F127">
        <v>96701</v>
      </c>
    </row>
    <row r="128" spans="5:6">
      <c r="E128" t="s">
        <v>287</v>
      </c>
      <c r="F128">
        <v>96501</v>
      </c>
    </row>
    <row r="129" spans="5:6">
      <c r="E129" t="s">
        <v>289</v>
      </c>
    </row>
    <row r="130" spans="5:6">
      <c r="E130" t="s">
        <v>291</v>
      </c>
      <c r="F130">
        <v>82001</v>
      </c>
    </row>
    <row r="131" spans="5:6">
      <c r="E131" t="s">
        <v>285</v>
      </c>
    </row>
    <row r="132" spans="5:6">
      <c r="E132" t="s">
        <v>293</v>
      </c>
    </row>
    <row r="133" spans="5:6">
      <c r="E133" t="s">
        <v>295</v>
      </c>
    </row>
    <row r="134" spans="5:6">
      <c r="E134" t="s">
        <v>295</v>
      </c>
      <c r="F134">
        <v>98961</v>
      </c>
    </row>
    <row r="135" spans="5:6">
      <c r="E135" t="s">
        <v>295</v>
      </c>
    </row>
    <row r="136" spans="5:6">
      <c r="E136" t="s">
        <v>295</v>
      </c>
    </row>
    <row r="137" spans="5:6">
      <c r="E137" t="s">
        <v>298</v>
      </c>
    </row>
    <row r="138" spans="5:6">
      <c r="E138" t="s">
        <v>300</v>
      </c>
    </row>
    <row r="139" spans="5:6">
      <c r="E139" t="s">
        <v>303</v>
      </c>
    </row>
    <row r="140" spans="5:6">
      <c r="E140" t="s">
        <v>305</v>
      </c>
    </row>
    <row r="141" spans="5:6">
      <c r="E141" t="s">
        <v>181</v>
      </c>
    </row>
    <row r="142" spans="5:6">
      <c r="E142" t="s">
        <v>310</v>
      </c>
    </row>
    <row r="143" spans="5:6">
      <c r="E143" t="s">
        <v>309</v>
      </c>
      <c r="F143">
        <v>98979</v>
      </c>
    </row>
    <row r="144" spans="5:6">
      <c r="E144" t="s">
        <v>312</v>
      </c>
    </row>
    <row r="145" spans="5:6">
      <c r="E145" t="s">
        <v>314</v>
      </c>
    </row>
    <row r="146" spans="5:6">
      <c r="E146" t="s">
        <v>316</v>
      </c>
    </row>
    <row r="147" spans="5:6">
      <c r="E147" t="s">
        <v>318</v>
      </c>
    </row>
    <row r="148" spans="5:6">
      <c r="E148" t="s">
        <v>320</v>
      </c>
    </row>
    <row r="149" spans="5:6">
      <c r="E149" t="s">
        <v>322</v>
      </c>
    </row>
    <row r="150" spans="5:6">
      <c r="E150" t="s">
        <v>324</v>
      </c>
    </row>
    <row r="151" spans="5:6">
      <c r="E151" t="s">
        <v>326</v>
      </c>
    </row>
    <row r="152" spans="5:6">
      <c r="E152" t="s">
        <v>326</v>
      </c>
    </row>
    <row r="153" spans="5:6">
      <c r="E153" t="s">
        <v>327</v>
      </c>
    </row>
    <row r="154" spans="5:6">
      <c r="E154" t="s">
        <v>326</v>
      </c>
    </row>
    <row r="155" spans="5:6">
      <c r="E155" t="s">
        <v>329</v>
      </c>
    </row>
    <row r="156" spans="5:6">
      <c r="E156" t="s">
        <v>331</v>
      </c>
    </row>
    <row r="157" spans="5:6">
      <c r="E157" t="s">
        <v>333</v>
      </c>
    </row>
    <row r="158" spans="5:6">
      <c r="E158" t="s">
        <v>335</v>
      </c>
    </row>
    <row r="159" spans="5:6">
      <c r="E159" t="s">
        <v>336</v>
      </c>
    </row>
    <row r="160" spans="5:6">
      <c r="E160" t="s">
        <v>338</v>
      </c>
      <c r="F160">
        <v>99093</v>
      </c>
    </row>
    <row r="161" spans="5:6">
      <c r="E161" t="s">
        <v>338</v>
      </c>
    </row>
    <row r="162" spans="5:6">
      <c r="E162" t="s">
        <v>340</v>
      </c>
      <c r="F162">
        <v>98990</v>
      </c>
    </row>
    <row r="163" spans="5:6">
      <c r="E163" t="s">
        <v>342</v>
      </c>
    </row>
    <row r="164" spans="5:6">
      <c r="E164" t="s">
        <v>344</v>
      </c>
      <c r="F164">
        <v>99058</v>
      </c>
    </row>
    <row r="165" spans="5:6">
      <c r="E165" t="s">
        <v>344</v>
      </c>
    </row>
    <row r="166" spans="5:6">
      <c r="E166" t="s">
        <v>344</v>
      </c>
    </row>
    <row r="167" spans="5:6">
      <c r="E167" t="s">
        <v>344</v>
      </c>
    </row>
    <row r="168" spans="5:6">
      <c r="E168" t="s">
        <v>352</v>
      </c>
      <c r="F168">
        <v>99067</v>
      </c>
    </row>
    <row r="169" spans="5:6">
      <c r="E169" t="s">
        <v>354</v>
      </c>
      <c r="F169">
        <v>99113</v>
      </c>
    </row>
    <row r="170" spans="5:6">
      <c r="E170" t="s">
        <v>355</v>
      </c>
      <c r="F170">
        <v>99065</v>
      </c>
    </row>
    <row r="171" spans="5:6">
      <c r="E171" t="s">
        <v>356</v>
      </c>
    </row>
    <row r="172" spans="5:6">
      <c r="E172" t="s">
        <v>358</v>
      </c>
      <c r="F172">
        <v>99069</v>
      </c>
    </row>
    <row r="173" spans="5:6">
      <c r="E173" t="s">
        <v>360</v>
      </c>
    </row>
    <row r="174" spans="5:6">
      <c r="E174" t="s">
        <v>362</v>
      </c>
      <c r="F174">
        <v>99134</v>
      </c>
    </row>
    <row r="175" spans="5:6">
      <c r="E175" t="s">
        <v>365</v>
      </c>
    </row>
    <row r="176" spans="5:6">
      <c r="E176" t="s">
        <v>367</v>
      </c>
    </row>
    <row r="177" spans="5:6">
      <c r="E177" t="s">
        <v>369</v>
      </c>
    </row>
    <row r="178" spans="5:6">
      <c r="E178" t="s">
        <v>371</v>
      </c>
    </row>
    <row r="179" spans="5:6">
      <c r="E179" t="s">
        <v>373</v>
      </c>
    </row>
    <row r="180" spans="5:6">
      <c r="E180" t="s">
        <v>338</v>
      </c>
      <c r="F180">
        <v>99095</v>
      </c>
    </row>
    <row r="181" spans="5:6">
      <c r="E181" t="s">
        <v>338</v>
      </c>
      <c r="F181">
        <v>99094</v>
      </c>
    </row>
    <row r="182" spans="5:6">
      <c r="E182" t="s">
        <v>376</v>
      </c>
    </row>
    <row r="183" spans="5:6">
      <c r="E183" t="s">
        <v>378</v>
      </c>
    </row>
    <row r="184" spans="5:6">
      <c r="E184" t="s">
        <v>380</v>
      </c>
    </row>
    <row r="185" spans="5:6">
      <c r="E185" t="s">
        <v>382</v>
      </c>
      <c r="F185">
        <v>99132</v>
      </c>
    </row>
    <row r="186" spans="5:6">
      <c r="E186" t="s">
        <v>383</v>
      </c>
    </row>
    <row r="187" spans="5:6">
      <c r="E187" t="s">
        <v>385</v>
      </c>
    </row>
    <row r="188" spans="5:6">
      <c r="E188" t="s">
        <v>387</v>
      </c>
    </row>
    <row r="189" spans="5:6">
      <c r="E189" t="s">
        <v>389</v>
      </c>
    </row>
    <row r="190" spans="5:6">
      <c r="E190" t="s">
        <v>385</v>
      </c>
      <c r="F190">
        <v>99128</v>
      </c>
    </row>
    <row r="191" spans="5:6">
      <c r="E191" t="s">
        <v>393</v>
      </c>
    </row>
    <row r="192" spans="5:6">
      <c r="E192" t="s">
        <v>794</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topLeftCell="A67" workbookViewId="0">
      <selection activeCell="C49" sqref="C49"/>
    </sheetView>
  </sheetViews>
  <sheetFormatPr baseColWidth="10" defaultColWidth="8.83203125" defaultRowHeight="12" x14ac:dyDescent="0"/>
  <cols>
    <col min="1" max="1" width="16.6640625" style="24" customWidth="1"/>
    <col min="2" max="2" width="30.83203125" style="17" bestFit="1" customWidth="1"/>
    <col min="3" max="3" width="8.83203125" style="146"/>
    <col min="4" max="4" width="22.33203125" style="146" customWidth="1"/>
    <col min="5" max="5" width="14.1640625" style="17" customWidth="1"/>
    <col min="6" max="6" width="15.6640625" style="24" customWidth="1"/>
    <col min="7" max="7" width="13" style="24" hidden="1" customWidth="1"/>
    <col min="8" max="8" width="15.6640625" style="24" hidden="1" customWidth="1"/>
    <col min="9" max="9" width="10" style="24" hidden="1" customWidth="1"/>
    <col min="10" max="10" width="0" style="24" hidden="1" customWidth="1"/>
    <col min="11" max="13" width="8.83203125" style="24"/>
    <col min="14" max="14" width="24.5" style="24" bestFit="1" customWidth="1"/>
    <col min="15" max="16384" width="8.83203125" style="24"/>
  </cols>
  <sheetData>
    <row r="1" spans="1:29" s="139" customFormat="1" ht="20">
      <c r="A1" s="261"/>
      <c r="B1" s="261"/>
      <c r="C1" s="261"/>
      <c r="D1" s="261"/>
      <c r="E1" s="261"/>
    </row>
    <row r="2" spans="1:29" s="139" customFormat="1" ht="20">
      <c r="A2" s="262"/>
      <c r="B2" s="262"/>
      <c r="C2" s="262"/>
      <c r="D2" s="262"/>
      <c r="E2" s="262"/>
      <c r="F2" s="184" t="s">
        <v>1143</v>
      </c>
      <c r="G2" s="185"/>
      <c r="H2" s="185"/>
      <c r="I2" s="185"/>
      <c r="J2" s="185"/>
      <c r="K2" s="185"/>
      <c r="L2" s="185"/>
      <c r="M2" s="185"/>
      <c r="N2" s="185"/>
      <c r="O2" s="185"/>
      <c r="P2" s="185"/>
      <c r="Q2" s="185"/>
      <c r="R2" s="185"/>
      <c r="S2" s="185"/>
      <c r="T2" s="185"/>
      <c r="U2" s="185"/>
      <c r="V2" s="185"/>
      <c r="W2" s="185"/>
      <c r="X2" s="185"/>
      <c r="Y2" s="185"/>
      <c r="Z2" s="185"/>
      <c r="AA2" s="185"/>
      <c r="AB2" s="185"/>
      <c r="AC2" s="185"/>
    </row>
    <row r="3" spans="1:29" s="139" customFormat="1" ht="20">
      <c r="B3" s="140"/>
      <c r="C3" s="141"/>
      <c r="D3" s="141"/>
      <c r="E3" s="140"/>
    </row>
    <row r="4" spans="1:29" ht="48.75" customHeight="1">
      <c r="A4" s="142" t="s">
        <v>1114</v>
      </c>
      <c r="B4" s="143" t="s">
        <v>824</v>
      </c>
      <c r="C4" s="144" t="s">
        <v>745</v>
      </c>
      <c r="D4" s="145" t="s">
        <v>746</v>
      </c>
      <c r="E4" s="144" t="s">
        <v>747</v>
      </c>
      <c r="F4" s="24" t="s">
        <v>1109</v>
      </c>
      <c r="G4" s="24" t="s">
        <v>1110</v>
      </c>
      <c r="H4" s="24" t="s">
        <v>1111</v>
      </c>
      <c r="I4" s="24" t="s">
        <v>1112</v>
      </c>
      <c r="J4" s="24" t="s">
        <v>1113</v>
      </c>
      <c r="K4" s="142" t="s">
        <v>1128</v>
      </c>
      <c r="M4"/>
      <c r="N4" t="s">
        <v>1274</v>
      </c>
    </row>
    <row r="5" spans="1:29" s="139" customFormat="1" ht="20">
      <c r="A5">
        <v>99265</v>
      </c>
      <c r="B5" t="s">
        <v>1118</v>
      </c>
      <c r="C5" s="151">
        <f>ROUND(INDEX(Table4[OIL],MATCH(Table2[[#This Row],[Rox Wolf'#]],Table4[Wolf],0)),0)</f>
        <v>0</v>
      </c>
      <c r="D5" s="151">
        <f>INDEX(Table4[GAS],MATCH(Table2[[#This Row],[Rox Wolf'#]],Table4[Wolf],0))</f>
        <v>5477</v>
      </c>
      <c r="E5" s="151">
        <f>INDEX(Table4[LEASE USE],MATCH(Table2[[#This Row],[Rox Wolf'#]],Table4[Wolf],0))</f>
        <v>202</v>
      </c>
      <c r="F5" s="153"/>
      <c r="G5" s="153"/>
      <c r="H5" s="153"/>
      <c r="I5" s="153"/>
      <c r="J5" s="149">
        <f>COUNTIF(FilterList,#REF!)</f>
        <v>0</v>
      </c>
      <c r="K5" s="153"/>
      <c r="M5" s="24"/>
      <c r="N5" s="233">
        <v>99265</v>
      </c>
    </row>
    <row r="6" spans="1:29" ht="14">
      <c r="A6">
        <v>99266</v>
      </c>
      <c r="B6" t="s">
        <v>1119</v>
      </c>
      <c r="C6" s="151">
        <f>ROUND(INDEX(Table4[OIL],MATCH(Table2[[#This Row],[Rox Wolf'#]],Table4[Wolf],0)),0)</f>
        <v>0</v>
      </c>
      <c r="D6" s="159">
        <f>INDEX(Table4[GAS],MATCH(Table2[[#This Row],[Rox Wolf'#]],Table4[Wolf],0))</f>
        <v>2270</v>
      </c>
      <c r="E6" s="159">
        <f>INDEX(Table4[LEASE USE],MATCH(Table2[[#This Row],[Rox Wolf'#]],Table4[Wolf],0))</f>
        <v>84</v>
      </c>
      <c r="F6" s="153"/>
      <c r="G6" s="153"/>
      <c r="H6" s="153"/>
      <c r="I6" s="153"/>
      <c r="J6" s="149">
        <f>COUNTIF(FilterList,#REF!)</f>
        <v>0</v>
      </c>
      <c r="K6" s="153"/>
      <c r="N6" s="234">
        <v>99266</v>
      </c>
    </row>
    <row r="7" spans="1:29" ht="14">
      <c r="A7">
        <v>99267</v>
      </c>
      <c r="B7" t="s">
        <v>1120</v>
      </c>
      <c r="C7" s="151">
        <f>ROUND(INDEX(Table4[OIL],MATCH(Table2[[#This Row],[Rox Wolf'#]],Table4[Wolf],0)),0)</f>
        <v>0</v>
      </c>
      <c r="D7" s="159">
        <f>INDEX(Table4[GAS],MATCH(Table2[[#This Row],[Rox Wolf'#]],Table4[Wolf],0))</f>
        <v>235</v>
      </c>
      <c r="E7" s="159">
        <f>INDEX(Table4[LEASE USE],MATCH(Table2[[#This Row],[Rox Wolf'#]],Table4[Wolf],0))</f>
        <v>10</v>
      </c>
      <c r="F7" s="153"/>
      <c r="G7" s="153"/>
      <c r="H7" s="153"/>
      <c r="I7" s="153"/>
      <c r="J7" s="149">
        <f>COUNTIF(FilterList,#REF!)</f>
        <v>0</v>
      </c>
      <c r="K7" s="153"/>
      <c r="N7" s="233">
        <v>99267</v>
      </c>
    </row>
    <row r="8" spans="1:29" ht="14">
      <c r="A8">
        <v>99229</v>
      </c>
      <c r="B8" t="s">
        <v>748</v>
      </c>
      <c r="C8" s="152">
        <f>ROUND(INDEX(Table4[OIL],MATCH(Table2[[#This Row],[Rox Wolf'#]],Table4[Wolf],0)),0)</f>
        <v>0</v>
      </c>
      <c r="D8" s="158">
        <f>INDEX(Table4[GAS],MATCH(Table2[[#This Row],[Rox Wolf'#]],Table4[Wolf],0))</f>
        <v>0</v>
      </c>
      <c r="E8" s="152">
        <f>INDEX(Table4[LEASE USE],MATCH(Table2[[#This Row],[Rox Wolf'#]],Table4[Wolf],0))</f>
        <v>0</v>
      </c>
      <c r="F8" s="153"/>
      <c r="G8" s="153"/>
      <c r="H8" s="153"/>
      <c r="I8" s="153"/>
      <c r="J8" s="149">
        <f>COUNTIF(FilterList,#REF!)</f>
        <v>0</v>
      </c>
      <c r="K8" s="153"/>
      <c r="N8" s="234">
        <v>99229</v>
      </c>
    </row>
    <row r="9" spans="1:29" ht="14">
      <c r="A9" s="183">
        <v>99282</v>
      </c>
      <c r="B9" s="183" t="s">
        <v>1261</v>
      </c>
      <c r="C9" s="152">
        <f>ROUND(INDEX(Table4[OIL],MATCH(Table2[[#This Row],[Rox Wolf'#]],Table4[Wolf],0)),0)</f>
        <v>0</v>
      </c>
      <c r="D9" s="158">
        <f>INDEX(Table4[GAS],MATCH(Table2[[#This Row],[Rox Wolf'#]],Table4[Wolf],0))</f>
        <v>0</v>
      </c>
      <c r="E9" s="152">
        <f>INDEX(Table4[LEASE USE],MATCH(Table2[[#This Row],[Rox Wolf'#]],Table4[Wolf],0))</f>
        <v>0</v>
      </c>
      <c r="F9" s="153"/>
      <c r="G9" s="153"/>
      <c r="H9" s="153"/>
      <c r="I9" s="153"/>
      <c r="J9" s="149">
        <f>COUNTIF(FilterList,#REF!)</f>
        <v>0</v>
      </c>
      <c r="K9" s="153"/>
      <c r="N9" s="233">
        <v>99282</v>
      </c>
    </row>
    <row r="10" spans="1:29" ht="14">
      <c r="A10">
        <v>93701</v>
      </c>
      <c r="B10" t="s">
        <v>795</v>
      </c>
      <c r="C10" s="152">
        <f>ROUND(INDEX(Table4[OIL],MATCH(Table2[[#This Row],[Rox Wolf'#]],Table4[Wolf],0)),0)</f>
        <v>0</v>
      </c>
      <c r="D10" s="158">
        <f>INDEX(Table4[GAS],MATCH(Table2[[#This Row],[Rox Wolf'#]],Table4[Wolf],0))</f>
        <v>15</v>
      </c>
      <c r="E10" s="152">
        <f>INDEX(Table4[LEASE USE],MATCH(Table2[[#This Row],[Rox Wolf'#]],Table4[Wolf],0))</f>
        <v>0</v>
      </c>
      <c r="F10" s="153"/>
      <c r="G10" s="153"/>
      <c r="H10" s="153"/>
      <c r="I10" s="153"/>
      <c r="J10" s="149">
        <f>COUNTIF(FilterList,#REF!)</f>
        <v>0</v>
      </c>
      <c r="K10" s="153"/>
      <c r="N10" s="234">
        <v>93701</v>
      </c>
    </row>
    <row r="11" spans="1:29" ht="14" hidden="1">
      <c r="A11">
        <v>99170</v>
      </c>
      <c r="B11" t="s">
        <v>797</v>
      </c>
      <c r="C11" s="152">
        <f>ROUND(INDEX(Table4[OIL],MATCH(Table2[[#This Row],[Rox Wolf'#]],Table4[Wolf],0)),0)</f>
        <v>0</v>
      </c>
      <c r="D11" s="158">
        <f>INDEX(Table4[GAS],MATCH(Table2[[#This Row],[Rox Wolf'#]],Table4[Wolf],0))</f>
        <v>0</v>
      </c>
      <c r="E11" s="152">
        <f>INDEX(Table4[LEASE USE],MATCH(Table2[[#This Row],[Rox Wolf'#]],Table4[Wolf],0))</f>
        <v>0</v>
      </c>
      <c r="F11" s="153"/>
      <c r="G11" s="153"/>
      <c r="H11" s="153"/>
      <c r="I11" s="153"/>
      <c r="J11" s="149">
        <f>COUNTIF(FilterList,#REF!)</f>
        <v>0</v>
      </c>
      <c r="K11" s="154" t="s">
        <v>1129</v>
      </c>
      <c r="M11"/>
      <c r="N11" s="233">
        <v>99170</v>
      </c>
    </row>
    <row r="12" spans="1:29" ht="14">
      <c r="A12">
        <v>96701</v>
      </c>
      <c r="B12" t="s">
        <v>749</v>
      </c>
      <c r="C12" s="152">
        <f>ROUND(INDEX(Table4[OIL],MATCH(Table2[[#This Row],[Rox Wolf'#]],Table4[Wolf],0)),0)</f>
        <v>0</v>
      </c>
      <c r="D12" s="158">
        <f>INDEX(Table4[GAS],MATCH(Table2[[#This Row],[Rox Wolf'#]],Table4[Wolf],0))</f>
        <v>0</v>
      </c>
      <c r="E12" s="152">
        <f>INDEX(Table4[LEASE USE],MATCH(Table2[[#This Row],[Rox Wolf'#]],Table4[Wolf],0))</f>
        <v>0</v>
      </c>
      <c r="F12" s="153"/>
      <c r="G12" s="153"/>
      <c r="H12" s="153"/>
      <c r="I12" s="153"/>
      <c r="J12" s="149">
        <f>COUNTIF(FilterList,#REF!)</f>
        <v>0</v>
      </c>
      <c r="K12" s="153"/>
      <c r="M12"/>
      <c r="N12" s="234">
        <v>96701</v>
      </c>
    </row>
    <row r="13" spans="1:29" ht="14">
      <c r="A13">
        <v>82001</v>
      </c>
      <c r="B13" t="s">
        <v>750</v>
      </c>
      <c r="C13" s="152">
        <f>ROUND(INDEX(Table4[OIL],MATCH(Table2[[#This Row],[Rox Wolf'#]],Table4[Wolf],0)),0)</f>
        <v>0</v>
      </c>
      <c r="D13" s="158">
        <f>INDEX(Table4[GAS],MATCH(Table2[[#This Row],[Rox Wolf'#]],Table4[Wolf],0))</f>
        <v>45</v>
      </c>
      <c r="E13" s="152">
        <f>INDEX(Table4[LEASE USE],MATCH(Table2[[#This Row],[Rox Wolf'#]],Table4[Wolf],0))</f>
        <v>0</v>
      </c>
      <c r="F13" s="153"/>
      <c r="G13" s="153"/>
      <c r="H13" s="153"/>
      <c r="I13" s="153"/>
      <c r="J13" s="149">
        <f>COUNTIF(FilterList,#REF!)</f>
        <v>0</v>
      </c>
      <c r="K13" s="153"/>
      <c r="M13"/>
      <c r="N13" s="233">
        <v>82001</v>
      </c>
    </row>
    <row r="14" spans="1:29" ht="14">
      <c r="A14">
        <v>96501</v>
      </c>
      <c r="B14" t="s">
        <v>751</v>
      </c>
      <c r="C14" s="152">
        <f>ROUND(INDEX(Table4[OIL],MATCH(Table2[[#This Row],[Rox Wolf'#]],Table4[Wolf],0)),0)</f>
        <v>0</v>
      </c>
      <c r="D14" s="158">
        <f>INDEX(Table4[GAS],MATCH(Table2[[#This Row],[Rox Wolf'#]],Table4[Wolf],0))</f>
        <v>1223</v>
      </c>
      <c r="E14" s="152">
        <f>INDEX(Table4[LEASE USE],MATCH(Table2[[#This Row],[Rox Wolf'#]],Table4[Wolf],0))</f>
        <v>90</v>
      </c>
      <c r="F14" s="153"/>
      <c r="G14" s="153"/>
      <c r="H14" s="153"/>
      <c r="I14" s="153"/>
      <c r="J14" s="149">
        <f>COUNTIF(FilterList,#REF!)</f>
        <v>0</v>
      </c>
      <c r="K14" s="153"/>
      <c r="L14"/>
      <c r="M14"/>
      <c r="N14" s="234">
        <v>96501</v>
      </c>
      <c r="O14"/>
    </row>
    <row r="15" spans="1:29" ht="14">
      <c r="A15">
        <v>99230</v>
      </c>
      <c r="B15" t="s">
        <v>752</v>
      </c>
      <c r="C15" s="152">
        <f>ROUND(INDEX(Table4[OIL],MATCH(Table2[[#This Row],[Rox Wolf'#]],Table4[Wolf],0)),0)</f>
        <v>365</v>
      </c>
      <c r="D15" s="158">
        <f>INDEX(Table4[GAS],MATCH(Table2[[#This Row],[Rox Wolf'#]],Table4[Wolf],0))</f>
        <v>1891</v>
      </c>
      <c r="E15" s="152">
        <f>INDEX(Table4[LEASE USE],MATCH(Table2[[#This Row],[Rox Wolf'#]],Table4[Wolf],0))</f>
        <v>0</v>
      </c>
      <c r="F15" s="153"/>
      <c r="G15" s="153"/>
      <c r="H15" s="153"/>
      <c r="I15" s="153"/>
      <c r="J15" s="149">
        <f>COUNTIF(FilterList,#REF!)</f>
        <v>0</v>
      </c>
      <c r="K15" s="153"/>
      <c r="L15"/>
      <c r="M15"/>
      <c r="N15" s="233">
        <v>99230</v>
      </c>
      <c r="O15"/>
    </row>
    <row r="16" spans="1:29" ht="14">
      <c r="A16">
        <v>99286</v>
      </c>
      <c r="B16" t="s">
        <v>753</v>
      </c>
      <c r="C16" s="152">
        <f>ROUND(INDEX(Table4[OIL],MATCH(Table2[[#This Row],[Rox Wolf'#]],Table4[Wolf],0)),0)</f>
        <v>0</v>
      </c>
      <c r="D16" s="158">
        <f>INDEX(Table4[GAS],MATCH(Table2[[#This Row],[Rox Wolf'#]],Table4[Wolf],0))</f>
        <v>1056</v>
      </c>
      <c r="E16" s="152">
        <f>INDEX(Table4[LEASE USE],MATCH(Table2[[#This Row],[Rox Wolf'#]],Table4[Wolf],0))</f>
        <v>60</v>
      </c>
      <c r="F16" s="153"/>
      <c r="G16" s="153"/>
      <c r="H16" s="153"/>
      <c r="I16" s="153"/>
      <c r="J16" s="149">
        <f>COUNTIF(FilterList,#REF!)</f>
        <v>0</v>
      </c>
      <c r="K16" s="153"/>
      <c r="L16"/>
      <c r="M16"/>
      <c r="N16" s="234">
        <v>99286</v>
      </c>
      <c r="O16"/>
    </row>
    <row r="17" spans="1:15" ht="14">
      <c r="A17">
        <v>99294</v>
      </c>
      <c r="B17" t="s">
        <v>754</v>
      </c>
      <c r="C17" s="152">
        <f>ROUND(INDEX(Table4[OIL],MATCH(Table2[[#This Row],[Rox Wolf'#]],Table4[Wolf],0)),0)</f>
        <v>2698</v>
      </c>
      <c r="D17" s="158">
        <f>INDEX(Table4[GAS],MATCH(Table2[[#This Row],[Rox Wolf'#]],Table4[Wolf],0))</f>
        <v>1197</v>
      </c>
      <c r="E17" s="152">
        <f>INDEX(Table4[LEASE USE],MATCH(Table2[[#This Row],[Rox Wolf'#]],Table4[Wolf],0))</f>
        <v>30</v>
      </c>
      <c r="F17" s="153"/>
      <c r="G17" s="153"/>
      <c r="H17" s="153"/>
      <c r="I17" s="153"/>
      <c r="J17" s="149">
        <f>COUNTIF(FilterList,#REF!)</f>
        <v>0</v>
      </c>
      <c r="K17" s="153"/>
      <c r="L17"/>
      <c r="M17"/>
      <c r="N17" s="233">
        <v>99294</v>
      </c>
      <c r="O17"/>
    </row>
    <row r="18" spans="1:15" ht="14">
      <c r="A18">
        <v>99293</v>
      </c>
      <c r="B18" t="s">
        <v>755</v>
      </c>
      <c r="C18" s="152">
        <f>ROUND(INDEX(Table4[OIL],MATCH(Table2[[#This Row],[Rox Wolf'#]],Table4[Wolf],0)),0)</f>
        <v>181</v>
      </c>
      <c r="D18" s="158">
        <f>INDEX(Table4[GAS],MATCH(Table2[[#This Row],[Rox Wolf'#]],Table4[Wolf],0))</f>
        <v>0</v>
      </c>
      <c r="E18" s="152">
        <f>INDEX(Table4[LEASE USE],MATCH(Table2[[#This Row],[Rox Wolf'#]],Table4[Wolf],0))</f>
        <v>0</v>
      </c>
      <c r="F18" s="153"/>
      <c r="G18" s="153"/>
      <c r="H18" s="153"/>
      <c r="I18" s="153"/>
      <c r="J18" s="149">
        <f>COUNTIF(FilterList,#REF!)</f>
        <v>0</v>
      </c>
      <c r="K18" s="153"/>
      <c r="L18"/>
      <c r="M18"/>
      <c r="N18" s="234">
        <v>99293</v>
      </c>
      <c r="O18"/>
    </row>
    <row r="19" spans="1:15" ht="14">
      <c r="A19">
        <v>99295</v>
      </c>
      <c r="B19" t="s">
        <v>756</v>
      </c>
      <c r="C19" s="152">
        <f>ROUND(INDEX(Table4[OIL],MATCH(Table2[[#This Row],[Rox Wolf'#]],Table4[Wolf],0)),0)</f>
        <v>0</v>
      </c>
      <c r="D19" s="158">
        <f>INDEX(Table4[GAS],MATCH(Table2[[#This Row],[Rox Wolf'#]],Table4[Wolf],0))</f>
        <v>0</v>
      </c>
      <c r="E19" s="152">
        <f>INDEX(Table4[LEASE USE],MATCH(Table2[[#This Row],[Rox Wolf'#]],Table4[Wolf],0))</f>
        <v>0</v>
      </c>
      <c r="F19" s="153"/>
      <c r="G19" s="153"/>
      <c r="H19" s="153"/>
      <c r="I19" s="153"/>
      <c r="J19" s="149">
        <f>COUNTIF(FilterList,#REF!)</f>
        <v>0</v>
      </c>
      <c r="K19" s="153"/>
      <c r="L19"/>
      <c r="N19" s="233">
        <v>99295</v>
      </c>
      <c r="O19"/>
    </row>
    <row r="20" spans="1:15" ht="14">
      <c r="A20">
        <v>99228</v>
      </c>
      <c r="B20" t="s">
        <v>77</v>
      </c>
      <c r="C20" s="152">
        <f>ROUND(INDEX(Table4[OIL],MATCH(Table2[[#This Row],[Rox Wolf'#]],Table4[Wolf],0)),0)</f>
        <v>0</v>
      </c>
      <c r="D20" s="157">
        <f>INDEX(Table4[GAS],MATCH(Table2[[#This Row],[Rox Wolf'#]],Table4[Wolf],0))</f>
        <v>0</v>
      </c>
      <c r="E20" s="152">
        <f>INDEX(Table4[LEASE USE],MATCH(Table2[[#This Row],[Rox Wolf'#]],Table4[Wolf],0))</f>
        <v>0</v>
      </c>
      <c r="F20" s="153"/>
      <c r="G20" s="153"/>
      <c r="H20" s="153"/>
      <c r="I20" s="153"/>
      <c r="J20" s="149">
        <f>COUNTIF(FilterList,#REF!)</f>
        <v>0</v>
      </c>
      <c r="K20" s="153"/>
      <c r="L20"/>
      <c r="N20" s="234">
        <v>99228</v>
      </c>
      <c r="O20"/>
    </row>
    <row r="21" spans="1:15" ht="14" hidden="1">
      <c r="A21">
        <v>99200</v>
      </c>
      <c r="B21" t="s">
        <v>799</v>
      </c>
      <c r="C21" s="152">
        <f>ROUND(INDEX(Table4[OIL],MATCH(Table2[[#This Row],[Rox Wolf'#]],Table4[Wolf],0)),0)</f>
        <v>1246</v>
      </c>
      <c r="D21" s="158">
        <f>INDEX(Table4[GAS],MATCH(Table2[[#This Row],[Rox Wolf'#]],Table4[Wolf],0))</f>
        <v>0</v>
      </c>
      <c r="E21" s="152">
        <f>INDEX(Table4[LEASE USE],MATCH(Table2[[#This Row],[Rox Wolf'#]],Table4[Wolf],0))</f>
        <v>0</v>
      </c>
      <c r="F21" s="153"/>
      <c r="G21" s="153"/>
      <c r="H21" s="153"/>
      <c r="I21" s="153"/>
      <c r="J21" s="149">
        <f>COUNTIF(FilterList,#REF!)</f>
        <v>0</v>
      </c>
      <c r="K21" s="154" t="s">
        <v>1130</v>
      </c>
      <c r="L21"/>
      <c r="N21" s="233">
        <v>99200</v>
      </c>
      <c r="O21"/>
    </row>
    <row r="22" spans="1:15" ht="14">
      <c r="A22">
        <v>99255</v>
      </c>
      <c r="B22" t="s">
        <v>757</v>
      </c>
      <c r="C22" s="152">
        <f>ROUND(INDEX(Table4[OIL],MATCH(Table2[[#This Row],[Rox Wolf'#]],Table4[Wolf],0)),0)</f>
        <v>0</v>
      </c>
      <c r="D22" s="158">
        <f>INDEX(Table4[GAS],MATCH(Table2[[#This Row],[Rox Wolf'#]],Table4[Wolf],0))</f>
        <v>0</v>
      </c>
      <c r="E22" s="152">
        <f>INDEX(Table4[LEASE USE],MATCH(Table2[[#This Row],[Rox Wolf'#]],Table4[Wolf],0))</f>
        <v>0</v>
      </c>
      <c r="F22" s="153"/>
      <c r="G22" s="153"/>
      <c r="H22" s="153"/>
      <c r="I22" s="153"/>
      <c r="J22" s="149">
        <f>COUNTIF(FilterList,#REF!)</f>
        <v>0</v>
      </c>
      <c r="K22" s="153"/>
      <c r="N22" s="234">
        <v>99255</v>
      </c>
    </row>
    <row r="23" spans="1:15" ht="14">
      <c r="A23">
        <v>98921</v>
      </c>
      <c r="B23" t="s">
        <v>800</v>
      </c>
      <c r="C23" s="152">
        <f>ROUND(INDEX(Table4[OIL],MATCH(Table2[[#This Row],[Rox Wolf'#]],Table4[Wolf],0)),0)</f>
        <v>0</v>
      </c>
      <c r="D23" s="158">
        <f>INDEX(Table4[GAS],MATCH(Table2[[#This Row],[Rox Wolf'#]],Table4[Wolf],0))</f>
        <v>0</v>
      </c>
      <c r="E23" s="152">
        <f>INDEX(Table4[LEASE USE],MATCH(Table2[[#This Row],[Rox Wolf'#]],Table4[Wolf],0))</f>
        <v>0</v>
      </c>
      <c r="F23" s="153"/>
      <c r="G23" s="153"/>
      <c r="H23" s="153"/>
      <c r="I23" s="153"/>
      <c r="J23" s="149">
        <f>COUNTIF(FilterList,#REF!)</f>
        <v>0</v>
      </c>
      <c r="K23" s="153"/>
      <c r="N23" s="233">
        <v>98921</v>
      </c>
    </row>
    <row r="24" spans="1:15" ht="14">
      <c r="A24">
        <v>99017</v>
      </c>
      <c r="B24" t="s">
        <v>758</v>
      </c>
      <c r="C24" s="152">
        <f>ROUND(INDEX(Table4[OIL],MATCH(Table2[[#This Row],[Rox Wolf'#]],Table4[Wolf],0)),0)</f>
        <v>0</v>
      </c>
      <c r="D24" s="158">
        <f>INDEX(Table4[GAS],MATCH(Table2[[#This Row],[Rox Wolf'#]],Table4[Wolf],0))</f>
        <v>4202</v>
      </c>
      <c r="E24" s="152">
        <f>INDEX(Table4[LEASE USE],MATCH(Table2[[#This Row],[Rox Wolf'#]],Table4[Wolf],0))</f>
        <v>210</v>
      </c>
      <c r="F24" s="153"/>
      <c r="G24" s="153"/>
      <c r="H24" s="153"/>
      <c r="I24" s="153"/>
      <c r="J24" s="149">
        <f>COUNTIF(FilterList,#REF!)</f>
        <v>0</v>
      </c>
      <c r="K24" s="153"/>
      <c r="N24" s="234">
        <v>99017</v>
      </c>
    </row>
    <row r="25" spans="1:15" ht="14">
      <c r="A25">
        <v>99067</v>
      </c>
      <c r="B25" t="s">
        <v>759</v>
      </c>
      <c r="C25" s="152">
        <f>ROUND(INDEX(Table4[OIL],MATCH(Table2[[#This Row],[Rox Wolf'#]],Table4[Wolf],0)),0)</f>
        <v>0</v>
      </c>
      <c r="D25" s="158">
        <f>INDEX(Table4[GAS],MATCH(Table2[[#This Row],[Rox Wolf'#]],Table4[Wolf],0))</f>
        <v>190</v>
      </c>
      <c r="E25" s="152">
        <f>INDEX(Table4[LEASE USE],MATCH(Table2[[#This Row],[Rox Wolf'#]],Table4[Wolf],0))</f>
        <v>0</v>
      </c>
      <c r="F25" s="153"/>
      <c r="G25" s="153"/>
      <c r="H25" s="153"/>
      <c r="I25" s="153"/>
      <c r="J25" s="149">
        <f>COUNTIF(FilterList,#REF!)</f>
        <v>0</v>
      </c>
      <c r="K25" s="153"/>
      <c r="N25" s="233">
        <v>99067</v>
      </c>
    </row>
    <row r="26" spans="1:15" ht="14">
      <c r="A26">
        <v>99169</v>
      </c>
      <c r="B26" t="s">
        <v>801</v>
      </c>
      <c r="C26" s="152">
        <f>ROUND(INDEX(Table4[OIL],MATCH(Table2[[#This Row],[Rox Wolf'#]],Table4[Wolf],0)),0)</f>
        <v>0</v>
      </c>
      <c r="D26" s="158">
        <f>INDEX(Table4[GAS],MATCH(Table2[[#This Row],[Rox Wolf'#]],Table4[Wolf],0))</f>
        <v>0</v>
      </c>
      <c r="E26" s="152">
        <f>INDEX(Table4[LEASE USE],MATCH(Table2[[#This Row],[Rox Wolf'#]],Table4[Wolf],0))</f>
        <v>0</v>
      </c>
      <c r="F26" s="153"/>
      <c r="G26" s="153"/>
      <c r="H26" s="153"/>
      <c r="I26" s="153"/>
      <c r="J26" s="149">
        <f>COUNTIF(FilterList,#REF!)</f>
        <v>0</v>
      </c>
      <c r="K26" s="153"/>
      <c r="N26" s="234">
        <v>99169</v>
      </c>
    </row>
    <row r="27" spans="1:15" ht="14">
      <c r="A27">
        <v>99069</v>
      </c>
      <c r="B27" t="s">
        <v>760</v>
      </c>
      <c r="C27" s="152">
        <f>ROUND(INDEX(Table4[OIL],MATCH(Table2[[#This Row],[Rox Wolf'#]],Table4[Wolf],0)),0)</f>
        <v>0</v>
      </c>
      <c r="D27" s="158">
        <f>INDEX(Table4[GAS],MATCH(Table2[[#This Row],[Rox Wolf'#]],Table4[Wolf],0))</f>
        <v>0</v>
      </c>
      <c r="E27" s="152">
        <f>INDEX(Table4[LEASE USE],MATCH(Table2[[#This Row],[Rox Wolf'#]],Table4[Wolf],0))</f>
        <v>0</v>
      </c>
      <c r="F27" s="153"/>
      <c r="G27" s="153"/>
      <c r="H27" s="153"/>
      <c r="I27" s="153"/>
      <c r="J27" s="149">
        <f>COUNTIF(FilterList,#REF!)</f>
        <v>0</v>
      </c>
      <c r="K27" s="153"/>
      <c r="N27" s="233">
        <v>99069</v>
      </c>
    </row>
    <row r="28" spans="1:15" ht="14">
      <c r="A28">
        <v>98965</v>
      </c>
      <c r="B28" t="s">
        <v>761</v>
      </c>
      <c r="C28" s="152">
        <f>ROUND(INDEX(Table4[OIL],MATCH(Table2[[#This Row],[Rox Wolf'#]],Table4[Wolf],0)),0)</f>
        <v>0</v>
      </c>
      <c r="D28" s="158">
        <f>INDEX(Table4[GAS],MATCH(Table2[[#This Row],[Rox Wolf'#]],Table4[Wolf],0))</f>
        <v>720</v>
      </c>
      <c r="E28" s="152">
        <f>INDEX(Table4[LEASE USE],MATCH(Table2[[#This Row],[Rox Wolf'#]],Table4[Wolf],0))</f>
        <v>27</v>
      </c>
      <c r="F28" s="153"/>
      <c r="G28" s="153"/>
      <c r="H28" s="153"/>
      <c r="I28" s="153"/>
      <c r="J28" s="149">
        <f>COUNTIF(FilterList,#REF!)</f>
        <v>0</v>
      </c>
      <c r="K28" s="153"/>
      <c r="N28" s="234">
        <v>98965</v>
      </c>
    </row>
    <row r="29" spans="1:15" ht="14">
      <c r="A29">
        <v>99225</v>
      </c>
      <c r="B29" t="s">
        <v>1121</v>
      </c>
      <c r="C29" s="152">
        <f>ROUND(INDEX(Table4[OIL],MATCH(Table2[[#This Row],[Rox Wolf'#]],Table4[Wolf],0)),0)</f>
        <v>0</v>
      </c>
      <c r="D29" s="158">
        <f>INDEX(Table4[GAS],MATCH(Table2[[#This Row],[Rox Wolf'#]],Table4[Wolf],0))</f>
        <v>0</v>
      </c>
      <c r="E29" s="152">
        <f>INDEX(Table4[LEASE USE],MATCH(Table2[[#This Row],[Rox Wolf'#]],Table4[Wolf],0))</f>
        <v>0</v>
      </c>
      <c r="F29" s="153"/>
      <c r="G29" s="153"/>
      <c r="H29" s="153"/>
      <c r="I29" s="153"/>
      <c r="J29" s="149">
        <f>COUNTIF(FilterList,#REF!)</f>
        <v>0</v>
      </c>
      <c r="K29" s="153"/>
      <c r="N29" s="233">
        <v>99225</v>
      </c>
    </row>
    <row r="30" spans="1:15" ht="14">
      <c r="A30">
        <v>48001</v>
      </c>
      <c r="B30" t="s">
        <v>762</v>
      </c>
      <c r="C30" s="152">
        <f>ROUND(INDEX(Table4[OIL],MATCH(Table2[[#This Row],[Rox Wolf'#]],Table4[Wolf],0)),0)</f>
        <v>0</v>
      </c>
      <c r="D30" s="158">
        <f>INDEX(Table4[GAS],MATCH(Table2[[#This Row],[Rox Wolf'#]],Table4[Wolf],0))</f>
        <v>143</v>
      </c>
      <c r="E30" s="152">
        <f>INDEX(Table4[LEASE USE],MATCH(Table2[[#This Row],[Rox Wolf'#]],Table4[Wolf],0))</f>
        <v>30</v>
      </c>
      <c r="F30" s="153"/>
      <c r="G30" s="153"/>
      <c r="H30" s="153"/>
      <c r="I30" s="153"/>
      <c r="J30" s="149">
        <f>COUNTIF(FilterList,#REF!)</f>
        <v>0</v>
      </c>
      <c r="K30" s="153"/>
      <c r="N30" s="234">
        <v>48001</v>
      </c>
    </row>
    <row r="31" spans="1:15" ht="14">
      <c r="A31">
        <v>93806</v>
      </c>
      <c r="B31" t="s">
        <v>802</v>
      </c>
      <c r="C31" s="152">
        <f>ROUND(INDEX(Table4[OIL],MATCH(Table2[[#This Row],[Rox Wolf'#]],Table4[Wolf],0)),0)</f>
        <v>0</v>
      </c>
      <c r="D31" s="158">
        <f>INDEX(Table4[GAS],MATCH(Table2[[#This Row],[Rox Wolf'#]],Table4[Wolf],0))</f>
        <v>0</v>
      </c>
      <c r="E31" s="152">
        <f>INDEX(Table4[LEASE USE],MATCH(Table2[[#This Row],[Rox Wolf'#]],Table4[Wolf],0))</f>
        <v>0</v>
      </c>
      <c r="F31" s="153"/>
      <c r="G31" s="153"/>
      <c r="H31" s="153"/>
      <c r="I31" s="153"/>
      <c r="J31" s="149">
        <f>COUNTIF(FilterList,#REF!)</f>
        <v>0</v>
      </c>
      <c r="K31" s="153"/>
      <c r="N31" s="233">
        <v>93806</v>
      </c>
    </row>
    <row r="32" spans="1:15" ht="14">
      <c r="A32">
        <v>98961</v>
      </c>
      <c r="B32" t="s">
        <v>803</v>
      </c>
      <c r="C32" s="152">
        <f>ROUND(INDEX(Table4[OIL],MATCH(Table2[[#This Row],[Rox Wolf'#]],Table4[Wolf],0)),0)</f>
        <v>667</v>
      </c>
      <c r="D32" s="158">
        <f>INDEX(Table4[GAS],MATCH(Table2[[#This Row],[Rox Wolf'#]],Table4[Wolf],0))</f>
        <v>2366</v>
      </c>
      <c r="E32" s="152">
        <f>INDEX(Table4[LEASE USE],MATCH(Table2[[#This Row],[Rox Wolf'#]],Table4[Wolf],0))</f>
        <v>0</v>
      </c>
      <c r="F32" s="153"/>
      <c r="G32" s="153"/>
      <c r="H32" s="153"/>
      <c r="I32" s="153"/>
      <c r="J32" s="149">
        <f>COUNTIF(FilterList,#REF!)</f>
        <v>0</v>
      </c>
      <c r="K32" s="153"/>
      <c r="N32" s="234">
        <v>98961</v>
      </c>
    </row>
    <row r="33" spans="1:14" ht="14">
      <c r="A33">
        <v>99307</v>
      </c>
      <c r="B33" t="s">
        <v>763</v>
      </c>
      <c r="C33" s="152">
        <f>ROUND(INDEX(Table4[OIL],MATCH(Table2[[#This Row],[Rox Wolf'#]],Table4[Wolf],0)),0)</f>
        <v>0</v>
      </c>
      <c r="D33" s="158">
        <f>INDEX(Table4[GAS],MATCH(Table2[[#This Row],[Rox Wolf'#]],Table4[Wolf],0))</f>
        <v>484</v>
      </c>
      <c r="E33" s="152">
        <f>INDEX(Table4[LEASE USE],MATCH(Table2[[#This Row],[Rox Wolf'#]],Table4[Wolf],0))</f>
        <v>0</v>
      </c>
      <c r="F33" s="153"/>
      <c r="G33" s="153"/>
      <c r="H33" s="153"/>
      <c r="I33" s="153"/>
      <c r="J33" s="149">
        <f>COUNTIF(FilterList,#REF!)</f>
        <v>0</v>
      </c>
      <c r="K33" s="153"/>
      <c r="N33" s="233">
        <v>99307</v>
      </c>
    </row>
    <row r="34" spans="1:14" ht="14">
      <c r="A34">
        <v>98987</v>
      </c>
      <c r="B34" t="s">
        <v>764</v>
      </c>
      <c r="C34" s="152">
        <f>ROUND(INDEX(Table4[OIL],MATCH(Table2[[#This Row],[Rox Wolf'#]],Table4[Wolf],0)),0)</f>
        <v>0</v>
      </c>
      <c r="D34" s="158">
        <f>INDEX(Table4[GAS],MATCH(Table2[[#This Row],[Rox Wolf'#]],Table4[Wolf],0))</f>
        <v>500</v>
      </c>
      <c r="E34" s="152">
        <f>INDEX(Table4[LEASE USE],MATCH(Table2[[#This Row],[Rox Wolf'#]],Table4[Wolf],0))</f>
        <v>13</v>
      </c>
      <c r="F34" s="153"/>
      <c r="G34" s="153"/>
      <c r="H34" s="153"/>
      <c r="I34" s="153"/>
      <c r="J34" s="149">
        <f>COUNTIF(FilterList,#REF!)</f>
        <v>0</v>
      </c>
      <c r="K34" s="153"/>
      <c r="N34" s="234">
        <v>98987</v>
      </c>
    </row>
    <row r="35" spans="1:14" ht="14">
      <c r="A35">
        <v>98988</v>
      </c>
      <c r="B35" t="s">
        <v>765</v>
      </c>
      <c r="C35" s="152">
        <f>ROUND(INDEX(Table4[OIL],MATCH(Table2[[#This Row],[Rox Wolf'#]],Table4[Wolf],0)),0)</f>
        <v>0</v>
      </c>
      <c r="D35" s="158">
        <f>INDEX(Table4[GAS],MATCH(Table2[[#This Row],[Rox Wolf'#]],Table4[Wolf],0))</f>
        <v>218</v>
      </c>
      <c r="E35" s="152">
        <f>INDEX(Table4[LEASE USE],MATCH(Table2[[#This Row],[Rox Wolf'#]],Table4[Wolf],0))</f>
        <v>25</v>
      </c>
      <c r="F35" s="153"/>
      <c r="G35" s="153"/>
      <c r="H35" s="153"/>
      <c r="I35" s="153"/>
      <c r="J35" s="149">
        <f>COUNTIF(FilterList,#REF!)</f>
        <v>0</v>
      </c>
      <c r="K35" s="153"/>
      <c r="N35" s="233">
        <v>98988</v>
      </c>
    </row>
    <row r="36" spans="1:14" ht="14">
      <c r="A36">
        <v>99007</v>
      </c>
      <c r="B36" t="s">
        <v>766</v>
      </c>
      <c r="C36" s="152">
        <f>ROUND(INDEX(Table4[OIL],MATCH(Table2[[#This Row],[Rox Wolf'#]],Table4[Wolf],0)),0)</f>
        <v>0</v>
      </c>
      <c r="D36" s="158">
        <f>INDEX(Table4[GAS],MATCH(Table2[[#This Row],[Rox Wolf'#]],Table4[Wolf],0))</f>
        <v>283</v>
      </c>
      <c r="E36" s="152">
        <f>INDEX(Table4[LEASE USE],MATCH(Table2[[#This Row],[Rox Wolf'#]],Table4[Wolf],0))</f>
        <v>14</v>
      </c>
      <c r="F36" s="153"/>
      <c r="G36" s="153"/>
      <c r="H36" s="153"/>
      <c r="I36" s="153"/>
      <c r="J36" s="149">
        <f>COUNTIF(FilterList,#REF!)</f>
        <v>0</v>
      </c>
      <c r="K36" s="153"/>
      <c r="N36" s="234">
        <v>99007</v>
      </c>
    </row>
    <row r="37" spans="1:14" ht="14">
      <c r="A37">
        <v>98956</v>
      </c>
      <c r="B37" t="s">
        <v>767</v>
      </c>
      <c r="C37" s="152">
        <f>ROUND(INDEX(Table4[OIL],MATCH(Table2[[#This Row],[Rox Wolf'#]],Table4[Wolf],0)),0)</f>
        <v>0</v>
      </c>
      <c r="D37" s="158">
        <f>INDEX(Table4[GAS],MATCH(Table2[[#This Row],[Rox Wolf'#]],Table4[Wolf],0))</f>
        <v>699</v>
      </c>
      <c r="E37" s="152">
        <f>INDEX(Table4[LEASE USE],MATCH(Table2[[#This Row],[Rox Wolf'#]],Table4[Wolf],0))</f>
        <v>56</v>
      </c>
      <c r="F37" s="153"/>
      <c r="G37" s="153"/>
      <c r="H37" s="153"/>
      <c r="I37" s="153"/>
      <c r="J37" s="149">
        <f>COUNTIF(FilterList,#REF!)</f>
        <v>0</v>
      </c>
      <c r="K37" s="153"/>
      <c r="N37" s="233">
        <v>98956</v>
      </c>
    </row>
    <row r="38" spans="1:14" ht="14">
      <c r="A38">
        <v>98958</v>
      </c>
      <c r="B38" t="s">
        <v>768</v>
      </c>
      <c r="C38" s="152">
        <f>ROUND(INDEX(Table4[OIL],MATCH(Table2[[#This Row],[Rox Wolf'#]],Table4[Wolf],0)),0)</f>
        <v>0</v>
      </c>
      <c r="D38" s="158">
        <f>INDEX(Table4[GAS],MATCH(Table2[[#This Row],[Rox Wolf'#]],Table4[Wolf],0))</f>
        <v>2924</v>
      </c>
      <c r="E38" s="152">
        <f>INDEX(Table4[LEASE USE],MATCH(Table2[[#This Row],[Rox Wolf'#]],Table4[Wolf],0))</f>
        <v>174</v>
      </c>
      <c r="F38" s="153"/>
      <c r="G38" s="153"/>
      <c r="H38" s="153"/>
      <c r="I38" s="153"/>
      <c r="J38" s="149">
        <f>COUNTIF(FilterList,#REF!)</f>
        <v>0</v>
      </c>
      <c r="K38" s="153"/>
      <c r="N38" s="234">
        <v>98958</v>
      </c>
    </row>
    <row r="39" spans="1:14" ht="14">
      <c r="A39">
        <v>98959</v>
      </c>
      <c r="B39" t="s">
        <v>769</v>
      </c>
      <c r="C39" s="152">
        <f>ROUND(INDEX(Table4[OIL],MATCH(Table2[[#This Row],[Rox Wolf'#]],Table4[Wolf],0)),0)</f>
        <v>0</v>
      </c>
      <c r="D39" s="158">
        <f>INDEX(Table4[GAS],MATCH(Table2[[#This Row],[Rox Wolf'#]],Table4[Wolf],0))</f>
        <v>30</v>
      </c>
      <c r="E39" s="152">
        <f>INDEX(Table4[LEASE USE],MATCH(Table2[[#This Row],[Rox Wolf'#]],Table4[Wolf],0))</f>
        <v>0</v>
      </c>
      <c r="F39" s="153"/>
      <c r="G39" s="153"/>
      <c r="H39" s="153"/>
      <c r="I39" s="153"/>
      <c r="J39" s="149">
        <f>COUNTIF(FilterList,#REF!)</f>
        <v>0</v>
      </c>
      <c r="K39" s="153"/>
      <c r="N39" s="233">
        <v>98959</v>
      </c>
    </row>
    <row r="40" spans="1:14" ht="14">
      <c r="A40">
        <v>99093</v>
      </c>
      <c r="B40" t="s">
        <v>770</v>
      </c>
      <c r="C40" s="152">
        <f>ROUND(INDEX(Table4[OIL],MATCH(Table2[[#This Row],[Rox Wolf'#]],Table4[Wolf],0)),0)</f>
        <v>0</v>
      </c>
      <c r="D40" s="158">
        <f>INDEX(Table4[GAS],MATCH(Table2[[#This Row],[Rox Wolf'#]],Table4[Wolf],0))</f>
        <v>2615</v>
      </c>
      <c r="E40" s="152">
        <f>INDEX(Table4[LEASE USE],MATCH(Table2[[#This Row],[Rox Wolf'#]],Table4[Wolf],0))</f>
        <v>120</v>
      </c>
      <c r="F40" s="153"/>
      <c r="G40" s="153"/>
      <c r="H40" s="153"/>
      <c r="I40" s="153"/>
      <c r="J40" s="149">
        <f>COUNTIF(FilterList,#REF!)</f>
        <v>0</v>
      </c>
      <c r="K40" s="153"/>
      <c r="N40" s="234">
        <v>99093</v>
      </c>
    </row>
    <row r="41" spans="1:14" ht="14">
      <c r="A41">
        <v>99094</v>
      </c>
      <c r="B41" t="s">
        <v>771</v>
      </c>
      <c r="C41" s="152">
        <f>ROUND(INDEX(Table4[OIL],MATCH(Table2[[#This Row],[Rox Wolf'#]],Table4[Wolf],0)),0)</f>
        <v>0</v>
      </c>
      <c r="D41" s="158">
        <f>INDEX(Table4[GAS],MATCH(Table2[[#This Row],[Rox Wolf'#]],Table4[Wolf],0))</f>
        <v>2615</v>
      </c>
      <c r="E41" s="152">
        <f>INDEX(Table4[LEASE USE],MATCH(Table2[[#This Row],[Rox Wolf'#]],Table4[Wolf],0))</f>
        <v>120</v>
      </c>
      <c r="F41" s="153"/>
      <c r="G41" s="153"/>
      <c r="H41" s="153"/>
      <c r="I41" s="153"/>
      <c r="J41" s="149">
        <f>COUNTIF(FilterList,#REF!)</f>
        <v>0</v>
      </c>
      <c r="K41" s="153"/>
      <c r="N41" s="233">
        <v>99094</v>
      </c>
    </row>
    <row r="42" spans="1:14" ht="14">
      <c r="A42">
        <v>99095</v>
      </c>
      <c r="B42" t="s">
        <v>772</v>
      </c>
      <c r="C42" s="152">
        <f>ROUND(INDEX(Table4[OIL],MATCH(Table2[[#This Row],[Rox Wolf'#]],Table4[Wolf],0)),0)</f>
        <v>0</v>
      </c>
      <c r="D42" s="158">
        <f>INDEX(Table4[GAS],MATCH(Table2[[#This Row],[Rox Wolf'#]],Table4[Wolf],0))</f>
        <v>796</v>
      </c>
      <c r="E42" s="152">
        <f>INDEX(Table4[LEASE USE],MATCH(Table2[[#This Row],[Rox Wolf'#]],Table4[Wolf],0))</f>
        <v>20</v>
      </c>
      <c r="F42" s="153"/>
      <c r="G42" s="153"/>
      <c r="H42" s="153"/>
      <c r="I42" s="153"/>
      <c r="J42" s="149">
        <f>COUNTIF(FilterList,#REF!)</f>
        <v>0</v>
      </c>
      <c r="K42" s="153"/>
      <c r="N42" s="234">
        <v>99095</v>
      </c>
    </row>
    <row r="43" spans="1:14" ht="14">
      <c r="A43">
        <v>98801</v>
      </c>
      <c r="B43" t="s">
        <v>773</v>
      </c>
      <c r="C43" s="152">
        <f>ROUND(INDEX(Table4[OIL],MATCH(Table2[[#This Row],[Rox Wolf'#]],Table4[Wolf],0)),0)</f>
        <v>185</v>
      </c>
      <c r="D43" s="158">
        <f>INDEX(Table4[GAS],MATCH(Table2[[#This Row],[Rox Wolf'#]],Table4[Wolf],0))</f>
        <v>4408</v>
      </c>
      <c r="E43" s="152">
        <f>INDEX(Table4[LEASE USE],MATCH(Table2[[#This Row],[Rox Wolf'#]],Table4[Wolf],0))</f>
        <v>189</v>
      </c>
      <c r="F43" s="153"/>
      <c r="G43" s="153"/>
      <c r="H43" s="153"/>
      <c r="I43" s="153"/>
      <c r="J43" s="149">
        <f>COUNTIF(FilterList,#REF!)</f>
        <v>0</v>
      </c>
      <c r="K43" s="153"/>
      <c r="N43" s="233">
        <v>98801</v>
      </c>
    </row>
    <row r="44" spans="1:14" ht="14" hidden="1">
      <c r="A44">
        <v>94601</v>
      </c>
      <c r="B44" t="s">
        <v>804</v>
      </c>
      <c r="C44" s="152">
        <f>ROUND(INDEX(Table4[OIL],MATCH(Table2[[#This Row],[Rox Wolf'#]],Table4[Wolf],0)),0)</f>
        <v>891</v>
      </c>
      <c r="D44" s="158">
        <f>INDEX(Table4[GAS],MATCH(Table2[[#This Row],[Rox Wolf'#]],Table4[Wolf],0))</f>
        <v>1958</v>
      </c>
      <c r="E44" s="152">
        <f>INDEX(Table4[LEASE USE],MATCH(Table2[[#This Row],[Rox Wolf'#]],Table4[Wolf],0))</f>
        <v>0</v>
      </c>
      <c r="F44" s="153"/>
      <c r="G44" s="153"/>
      <c r="H44" s="153"/>
      <c r="I44" s="153"/>
      <c r="J44" s="149">
        <f>COUNTIF(FilterList,#REF!)</f>
        <v>0</v>
      </c>
      <c r="K44" s="154" t="s">
        <v>1130</v>
      </c>
      <c r="N44" s="234">
        <v>94601</v>
      </c>
    </row>
    <row r="45" spans="1:14" ht="14">
      <c r="A45">
        <v>99113</v>
      </c>
      <c r="B45" t="s">
        <v>774</v>
      </c>
      <c r="C45" s="152">
        <f>ROUND(INDEX(Table4[OIL],MATCH(Table2[[#This Row],[Rox Wolf'#]],Table4[Wolf],0)),0)</f>
        <v>0</v>
      </c>
      <c r="D45" s="158">
        <f>INDEX(Table4[GAS],MATCH(Table2[[#This Row],[Rox Wolf'#]],Table4[Wolf],0))</f>
        <v>146</v>
      </c>
      <c r="E45" s="152">
        <f>INDEX(Table4[LEASE USE],MATCH(Table2[[#This Row],[Rox Wolf'#]],Table4[Wolf],0))</f>
        <v>0</v>
      </c>
      <c r="F45" s="153"/>
      <c r="G45" s="153"/>
      <c r="H45" s="153"/>
      <c r="I45" s="153"/>
      <c r="J45" s="149">
        <f>COUNTIF(FilterList,#REF!)</f>
        <v>0</v>
      </c>
      <c r="K45" s="153"/>
      <c r="N45" s="233">
        <v>99113</v>
      </c>
    </row>
    <row r="46" spans="1:14" ht="14">
      <c r="A46">
        <v>99066</v>
      </c>
      <c r="B46" t="s">
        <v>775</v>
      </c>
      <c r="C46" s="152">
        <f>ROUND(INDEX(Table4[OIL],MATCH(Table2[[#This Row],[Rox Wolf'#]],Table4[Wolf],0)),0)</f>
        <v>0</v>
      </c>
      <c r="D46" s="158">
        <f>INDEX(Table4[GAS],MATCH(Table2[[#This Row],[Rox Wolf'#]],Table4[Wolf],0))</f>
        <v>392</v>
      </c>
      <c r="E46" s="152">
        <f>INDEX(Table4[LEASE USE],MATCH(Table2[[#This Row],[Rox Wolf'#]],Table4[Wolf],0))</f>
        <v>0</v>
      </c>
      <c r="F46" s="153"/>
      <c r="G46" s="153"/>
      <c r="H46" s="153"/>
      <c r="I46" s="153"/>
      <c r="J46" s="149">
        <f>COUNTIF(FilterList,#REF!)</f>
        <v>0</v>
      </c>
      <c r="K46" s="153"/>
      <c r="N46" s="234">
        <v>99066</v>
      </c>
    </row>
    <row r="47" spans="1:14" ht="14">
      <c r="A47">
        <v>99065</v>
      </c>
      <c r="B47" t="s">
        <v>776</v>
      </c>
      <c r="C47" s="152">
        <f>ROUND(INDEX(Table4[OIL],MATCH(Table2[[#This Row],[Rox Wolf'#]],Table4[Wolf],0)),0)</f>
        <v>0</v>
      </c>
      <c r="D47" s="158">
        <f>INDEX(Table4[GAS],MATCH(Table2[[#This Row],[Rox Wolf'#]],Table4[Wolf],0))</f>
        <v>0</v>
      </c>
      <c r="E47" s="152">
        <f>INDEX(Table4[LEASE USE],MATCH(Table2[[#This Row],[Rox Wolf'#]],Table4[Wolf],0))</f>
        <v>0</v>
      </c>
      <c r="F47" s="153"/>
      <c r="G47" s="153"/>
      <c r="H47" s="153"/>
      <c r="I47" s="153"/>
      <c r="J47" s="149">
        <f>COUNTIF(FilterList,#REF!)</f>
        <v>0</v>
      </c>
      <c r="K47" s="153"/>
      <c r="N47" s="233">
        <v>99065</v>
      </c>
    </row>
    <row r="48" spans="1:14" ht="14">
      <c r="A48">
        <v>99278</v>
      </c>
      <c r="B48" t="s">
        <v>777</v>
      </c>
      <c r="C48" s="152">
        <f>ROUND(INDEX(Table4[OIL],MATCH(Table2[[#This Row],[Rox Wolf'#]],Table4[Wolf],0)),0)</f>
        <v>0</v>
      </c>
      <c r="D48" s="158">
        <f>INDEX(Table4[GAS],MATCH(Table2[[#This Row],[Rox Wolf'#]],Table4[Wolf],0))</f>
        <v>6259</v>
      </c>
      <c r="E48" s="152">
        <f>INDEX(Table4[LEASE USE],MATCH(Table2[[#This Row],[Rox Wolf'#]],Table4[Wolf],0))</f>
        <v>390</v>
      </c>
      <c r="F48" s="153"/>
      <c r="G48" s="153"/>
      <c r="H48" s="153"/>
      <c r="I48" s="153"/>
      <c r="J48" s="149">
        <f>COUNTIF(FilterList,#REF!)</f>
        <v>0</v>
      </c>
      <c r="K48" s="153"/>
      <c r="N48" s="234">
        <v>99278</v>
      </c>
    </row>
    <row r="49" spans="1:14" ht="14">
      <c r="A49">
        <v>98990</v>
      </c>
      <c r="B49" t="s">
        <v>778</v>
      </c>
      <c r="C49" s="152">
        <f>ROUND(INDEX(Table4[OIL],MATCH(Table2[[#This Row],[Rox Wolf'#]],Table4[Wolf],0)),0)</f>
        <v>0</v>
      </c>
      <c r="D49" s="158">
        <f>INDEX(Table4[GAS],MATCH(Table2[[#This Row],[Rox Wolf'#]],Table4[Wolf],0))</f>
        <v>0</v>
      </c>
      <c r="E49" s="152">
        <f>INDEX(Table4[LEASE USE],MATCH(Table2[[#This Row],[Rox Wolf'#]],Table4[Wolf],0))</f>
        <v>0</v>
      </c>
      <c r="F49" s="153"/>
      <c r="G49" s="153"/>
      <c r="H49" s="153"/>
      <c r="I49" s="153"/>
      <c r="J49" s="149">
        <f>COUNTIF(FilterList,#REF!)</f>
        <v>0</v>
      </c>
      <c r="K49" s="153"/>
      <c r="N49" s="233">
        <v>98990</v>
      </c>
    </row>
    <row r="50" spans="1:14" ht="14">
      <c r="A50">
        <v>98976</v>
      </c>
      <c r="B50" t="s">
        <v>779</v>
      </c>
      <c r="C50" s="152">
        <f>ROUND(INDEX(Table4[OIL],MATCH(Table2[[#This Row],[Rox Wolf'#]],Table4[Wolf],0)),0)</f>
        <v>0</v>
      </c>
      <c r="D50" s="158">
        <f>INDEX(Table4[GAS],MATCH(Table2[[#This Row],[Rox Wolf'#]],Table4[Wolf],0))</f>
        <v>0</v>
      </c>
      <c r="E50" s="152">
        <f>INDEX(Table4[LEASE USE],MATCH(Table2[[#This Row],[Rox Wolf'#]],Table4[Wolf],0))</f>
        <v>0</v>
      </c>
      <c r="F50" s="153"/>
      <c r="G50" s="153"/>
      <c r="H50" s="153"/>
      <c r="I50" s="153"/>
      <c r="J50" s="149">
        <f>COUNTIF(FilterList,#REF!)</f>
        <v>0</v>
      </c>
      <c r="K50" s="153"/>
      <c r="N50" s="234">
        <v>98976</v>
      </c>
    </row>
    <row r="51" spans="1:14" ht="14">
      <c r="A51">
        <v>93901</v>
      </c>
      <c r="B51" t="s">
        <v>1122</v>
      </c>
      <c r="C51" s="152">
        <f>ROUND(INDEX(Table4[OIL],MATCH(Table2[[#This Row],[Rox Wolf'#]],Table4[Wolf],0)),0)</f>
        <v>0</v>
      </c>
      <c r="D51" s="158">
        <f>INDEX(Table4[GAS],MATCH(Table2[[#This Row],[Rox Wolf'#]],Table4[Wolf],0))</f>
        <v>0</v>
      </c>
      <c r="E51" s="152">
        <f>INDEX(Table4[LEASE USE],MATCH(Table2[[#This Row],[Rox Wolf'#]],Table4[Wolf],0))</f>
        <v>0</v>
      </c>
      <c r="F51" s="153"/>
      <c r="G51" s="153"/>
      <c r="H51" s="153"/>
      <c r="I51" s="153"/>
      <c r="J51" s="149">
        <f>COUNTIF(FilterList,#REF!)</f>
        <v>0</v>
      </c>
      <c r="K51" s="153"/>
      <c r="N51" s="233">
        <v>93901</v>
      </c>
    </row>
    <row r="52" spans="1:14" ht="14">
      <c r="A52">
        <v>99159</v>
      </c>
      <c r="B52" t="s">
        <v>780</v>
      </c>
      <c r="C52" s="152">
        <f>ROUND(INDEX(Table4[OIL],MATCH(Table2[[#This Row],[Rox Wolf'#]],Table4[Wolf],0)),0)</f>
        <v>0</v>
      </c>
      <c r="D52" s="158">
        <f>INDEX(Table4[GAS],MATCH(Table2[[#This Row],[Rox Wolf'#]],Table4[Wolf],0))</f>
        <v>4043</v>
      </c>
      <c r="E52" s="152">
        <f>INDEX(Table4[LEASE USE],MATCH(Table2[[#This Row],[Rox Wolf'#]],Table4[Wolf],0))</f>
        <v>180</v>
      </c>
      <c r="F52" s="153"/>
      <c r="G52" s="153"/>
      <c r="H52" s="153"/>
      <c r="I52" s="153"/>
      <c r="J52" s="149">
        <f>COUNTIF(FilterList,#REF!)</f>
        <v>0</v>
      </c>
      <c r="K52" s="153"/>
      <c r="N52" s="234">
        <v>99159</v>
      </c>
    </row>
    <row r="53" spans="1:14" ht="14">
      <c r="A53">
        <v>98955</v>
      </c>
      <c r="B53" t="s">
        <v>279</v>
      </c>
      <c r="C53" s="152">
        <f>ROUND(INDEX(Table4[OIL],MATCH(Table2[[#This Row],[Rox Wolf'#]],Table4[Wolf],0)),0)</f>
        <v>0</v>
      </c>
      <c r="D53" s="158">
        <f>INDEX(Table4[GAS],MATCH(Table2[[#This Row],[Rox Wolf'#]],Table4[Wolf],0))</f>
        <v>207</v>
      </c>
      <c r="E53" s="152">
        <f>INDEX(Table4[LEASE USE],MATCH(Table2[[#This Row],[Rox Wolf'#]],Table4[Wolf],0))</f>
        <v>10</v>
      </c>
      <c r="F53" s="153"/>
      <c r="G53" s="153"/>
      <c r="H53" s="153"/>
      <c r="I53" s="153"/>
      <c r="J53" s="149">
        <f>COUNTIF(FilterList,#REF!)</f>
        <v>0</v>
      </c>
      <c r="K53" s="153"/>
      <c r="N53" s="233">
        <v>98955</v>
      </c>
    </row>
    <row r="54" spans="1:14" ht="14">
      <c r="A54">
        <v>99269</v>
      </c>
      <c r="B54" t="s">
        <v>1123</v>
      </c>
      <c r="C54" s="151">
        <f>ROUND(INDEX(Table4[OIL],MATCH(Table2[[#This Row],[Rox Wolf'#]],Table4[Wolf],0)),0)</f>
        <v>0</v>
      </c>
      <c r="D54" s="159">
        <f>INDEX(Table4[GAS],MATCH(Table2[[#This Row],[Rox Wolf'#]],Table4[Wolf],0))</f>
        <v>0</v>
      </c>
      <c r="E54" s="159">
        <f>INDEX(Table4[LEASE USE],MATCH(Table2[[#This Row],[Rox Wolf'#]],Table4[Wolf],0))</f>
        <v>280</v>
      </c>
      <c r="F54" s="153"/>
      <c r="G54" s="153"/>
      <c r="H54" s="153"/>
      <c r="I54" s="153"/>
      <c r="J54" s="149">
        <f>COUNTIF(FilterList,#REF!)</f>
        <v>0</v>
      </c>
      <c r="K54" s="153"/>
      <c r="N54" s="234">
        <v>99269</v>
      </c>
    </row>
    <row r="55" spans="1:14" ht="14">
      <c r="A55">
        <v>92001</v>
      </c>
      <c r="B55" t="s">
        <v>231</v>
      </c>
      <c r="C55" s="152">
        <f>ROUND(INDEX(Table4[OIL],MATCH(Table2[[#This Row],[Rox Wolf'#]],Table4[Wolf],0)),0)</f>
        <v>0</v>
      </c>
      <c r="D55" s="158">
        <f>INDEX(Table4[GAS],MATCH(Table2[[#This Row],[Rox Wolf'#]],Table4[Wolf],0))</f>
        <v>0</v>
      </c>
      <c r="E55" s="152">
        <f>INDEX(Table4[LEASE USE],MATCH(Table2[[#This Row],[Rox Wolf'#]],Table4[Wolf],0))</f>
        <v>0</v>
      </c>
      <c r="F55" s="153"/>
      <c r="G55" s="153"/>
      <c r="H55" s="153"/>
      <c r="I55" s="153"/>
      <c r="J55" s="149">
        <f>COUNTIF(FilterList,#REF!)</f>
        <v>0</v>
      </c>
      <c r="K55" s="153"/>
      <c r="N55" s="233">
        <v>92001</v>
      </c>
    </row>
    <row r="56" spans="1:14" ht="14">
      <c r="A56">
        <v>99058</v>
      </c>
      <c r="B56" t="s">
        <v>781</v>
      </c>
      <c r="C56" s="152">
        <f>ROUND(INDEX(Table4[OIL],MATCH(Table2[[#This Row],[Rox Wolf'#]],Table4[Wolf],0)),0)</f>
        <v>0</v>
      </c>
      <c r="D56" s="158">
        <f>INDEX(Table4[GAS],MATCH(Table2[[#This Row],[Rox Wolf'#]],Table4[Wolf],0))</f>
        <v>1908</v>
      </c>
      <c r="E56" s="152">
        <f>INDEX(Table4[LEASE USE],MATCH(Table2[[#This Row],[Rox Wolf'#]],Table4[Wolf],0))</f>
        <v>0</v>
      </c>
      <c r="F56" s="153"/>
      <c r="G56" s="153"/>
      <c r="H56" s="153"/>
      <c r="I56" s="153"/>
      <c r="J56" s="149">
        <f>COUNTIF(FilterList,#REF!)</f>
        <v>0</v>
      </c>
      <c r="K56" s="153"/>
      <c r="N56" s="234">
        <v>99058</v>
      </c>
    </row>
    <row r="57" spans="1:14" ht="14">
      <c r="A57">
        <v>99186</v>
      </c>
      <c r="B57" t="s">
        <v>806</v>
      </c>
      <c r="C57" s="152">
        <f>ROUND(INDEX(Table4[OIL],MATCH(Table2[[#This Row],[Rox Wolf'#]],Table4[Wolf],0)),0)</f>
        <v>529</v>
      </c>
      <c r="D57" s="158">
        <f>INDEX(Table4[GAS],MATCH(Table2[[#This Row],[Rox Wolf'#]],Table4[Wolf],0))</f>
        <v>0</v>
      </c>
      <c r="E57" s="152">
        <f>INDEX(Table4[LEASE USE],MATCH(Table2[[#This Row],[Rox Wolf'#]],Table4[Wolf],0))</f>
        <v>180</v>
      </c>
      <c r="F57" s="153"/>
      <c r="G57" s="153"/>
      <c r="H57" s="153"/>
      <c r="I57" s="153"/>
      <c r="J57" s="149">
        <f>COUNTIF(FilterList,#REF!)</f>
        <v>0</v>
      </c>
      <c r="K57" s="153"/>
      <c r="N57" s="233">
        <v>99186</v>
      </c>
    </row>
    <row r="58" spans="1:14" ht="14">
      <c r="A58">
        <v>99288</v>
      </c>
      <c r="B58" t="s">
        <v>1117</v>
      </c>
      <c r="C58" s="152">
        <f>ROUND(INDEX(Table4[OIL],MATCH(Table2[[#This Row],[Rox Wolf'#]],Table4[Wolf],0)),0)</f>
        <v>0</v>
      </c>
      <c r="D58" s="158">
        <f>INDEX(Table4[GAS],MATCH(Table2[[#This Row],[Rox Wolf'#]],Table4[Wolf],0))</f>
        <v>0</v>
      </c>
      <c r="E58" s="152">
        <f>INDEX(Table4[LEASE USE],MATCH(Table2[[#This Row],[Rox Wolf'#]],Table4[Wolf],0))</f>
        <v>0</v>
      </c>
      <c r="F58" s="153"/>
      <c r="G58" s="153"/>
      <c r="H58" s="153"/>
      <c r="I58" s="153"/>
      <c r="J58" s="149">
        <f>COUNTIF(FilterList,#REF!)</f>
        <v>0</v>
      </c>
      <c r="K58" s="153"/>
      <c r="N58" s="234">
        <v>99288</v>
      </c>
    </row>
    <row r="59" spans="1:14" ht="14">
      <c r="A59">
        <v>99297</v>
      </c>
      <c r="B59" t="s">
        <v>782</v>
      </c>
      <c r="C59" s="152">
        <f>ROUND(INDEX(Table4[OIL],MATCH(Table2[[#This Row],[Rox Wolf'#]],Table4[Wolf],0)),0)</f>
        <v>1652</v>
      </c>
      <c r="D59" s="158">
        <f>INDEX(Table4[GAS],MATCH(Table2[[#This Row],[Rox Wolf'#]],Table4[Wolf],0))</f>
        <v>0</v>
      </c>
      <c r="E59" s="152">
        <f>INDEX(Table4[LEASE USE],MATCH(Table2[[#This Row],[Rox Wolf'#]],Table4[Wolf],0))</f>
        <v>0</v>
      </c>
      <c r="F59" s="153"/>
      <c r="G59" s="153"/>
      <c r="H59" s="153"/>
      <c r="I59" s="153"/>
      <c r="J59" s="149">
        <f>COUNTIF(FilterList,#REF!)</f>
        <v>0</v>
      </c>
      <c r="K59" s="153"/>
      <c r="N59" s="233">
        <v>99297</v>
      </c>
    </row>
    <row r="60" spans="1:14" ht="14" hidden="1">
      <c r="A60">
        <v>99122</v>
      </c>
      <c r="B60" s="3" t="s">
        <v>1240</v>
      </c>
      <c r="C60" s="151">
        <f>ROUND(INDEX(Table4[OIL],MATCH(Table2[[#This Row],[Rox Wolf'#]],Table4[Wolf],0)),0)</f>
        <v>0</v>
      </c>
      <c r="D60" s="159">
        <f>INDEX(Table4[GAS],MATCH(Table2[[#This Row],[Rox Wolf'#]],Table4[Wolf],0))</f>
        <v>0</v>
      </c>
      <c r="E60" s="159">
        <f>INDEX(Table4[LEASE USE],MATCH(Table2[[#This Row],[Rox Wolf'#]],Table4[Wolf],0))</f>
        <v>0</v>
      </c>
      <c r="F60" s="153"/>
      <c r="G60" s="153"/>
      <c r="H60" s="153"/>
      <c r="I60" s="153"/>
      <c r="J60" s="149">
        <f>COUNTIF(FilterList,#REF!)</f>
        <v>0</v>
      </c>
      <c r="K60" s="186" t="s">
        <v>1130</v>
      </c>
      <c r="N60" s="234">
        <v>99122</v>
      </c>
    </row>
    <row r="61" spans="1:14" ht="14">
      <c r="A61">
        <v>99268</v>
      </c>
      <c r="B61" t="s">
        <v>1124</v>
      </c>
      <c r="C61" s="151">
        <f>ROUND(INDEX(Table4[OIL],MATCH(Table2[[#This Row],[Rox Wolf'#]],Table4[Wolf],0)),0)</f>
        <v>0</v>
      </c>
      <c r="D61" s="159">
        <f>INDEX(Table4[GAS],MATCH(Table2[[#This Row],[Rox Wolf'#]],Table4[Wolf],0))</f>
        <v>6624</v>
      </c>
      <c r="E61" s="159">
        <f>INDEX(Table4[LEASE USE],MATCH(Table2[[#This Row],[Rox Wolf'#]],Table4[Wolf],0))</f>
        <v>281</v>
      </c>
      <c r="F61" s="153"/>
      <c r="G61" s="153"/>
      <c r="H61" s="153"/>
      <c r="I61" s="153"/>
      <c r="J61" s="149">
        <f>COUNTIF(FilterList,#REF!)</f>
        <v>0</v>
      </c>
      <c r="K61" s="153"/>
      <c r="N61" s="233">
        <v>99268</v>
      </c>
    </row>
    <row r="62" spans="1:14" ht="14">
      <c r="A62">
        <v>99102</v>
      </c>
      <c r="B62" t="s">
        <v>783</v>
      </c>
      <c r="C62" s="152">
        <f>ROUND(INDEX(Table4[OIL],MATCH(Table2[[#This Row],[Rox Wolf'#]],Table4[Wolf],0)),0)</f>
        <v>943</v>
      </c>
      <c r="D62" s="158">
        <f>INDEX(Table4[GAS],MATCH(Table2[[#This Row],[Rox Wolf'#]],Table4[Wolf],0))</f>
        <v>38495</v>
      </c>
      <c r="E62" s="152">
        <f>INDEX(Table4[LEASE USE],MATCH(Table2[[#This Row],[Rox Wolf'#]],Table4[Wolf],0))</f>
        <v>0</v>
      </c>
      <c r="F62" s="153"/>
      <c r="G62" s="153"/>
      <c r="H62" s="153"/>
      <c r="I62" s="153"/>
      <c r="J62" s="149">
        <f>COUNTIF(FilterList,#REF!)</f>
        <v>0</v>
      </c>
      <c r="K62" s="153"/>
      <c r="N62" s="234">
        <v>99102</v>
      </c>
    </row>
    <row r="63" spans="1:14" ht="14">
      <c r="A63">
        <v>99259</v>
      </c>
      <c r="B63" t="s">
        <v>1101</v>
      </c>
      <c r="C63" s="152">
        <f>ROUND(INDEX(Table4[OIL],MATCH(Table2[[#This Row],[Rox Wolf'#]],Table4[Wolf],0)),0)</f>
        <v>0</v>
      </c>
      <c r="D63" s="158">
        <f>INDEX(Table4[GAS],MATCH(Table2[[#This Row],[Rox Wolf'#]],Table4[Wolf],0))</f>
        <v>0</v>
      </c>
      <c r="E63" s="152">
        <f>INDEX(Table4[LEASE USE],MATCH(Table2[[#This Row],[Rox Wolf'#]],Table4[Wolf],0))</f>
        <v>0</v>
      </c>
      <c r="F63" s="153"/>
      <c r="G63" s="153"/>
      <c r="H63" s="153"/>
      <c r="I63" s="153"/>
      <c r="J63" s="149">
        <f>COUNTIF(FilterList,#REF!)</f>
        <v>0</v>
      </c>
      <c r="K63" s="153"/>
      <c r="N63" s="233">
        <v>99259</v>
      </c>
    </row>
    <row r="64" spans="1:14" ht="14">
      <c r="A64">
        <v>95801</v>
      </c>
      <c r="B64" t="s">
        <v>1125</v>
      </c>
      <c r="C64" s="152">
        <f>ROUND(INDEX(Table4[OIL],MATCH(Table2[[#This Row],[Rox Wolf'#]],Table4[Wolf],0)),0)</f>
        <v>0</v>
      </c>
      <c r="D64" s="158">
        <f>INDEX(Table4[GAS],MATCH(Table2[[#This Row],[Rox Wolf'#]],Table4[Wolf],0))</f>
        <v>0</v>
      </c>
      <c r="E64" s="152">
        <f>INDEX(Table4[LEASE USE],MATCH(Table2[[#This Row],[Rox Wolf'#]],Table4[Wolf],0))</f>
        <v>0</v>
      </c>
      <c r="F64" s="153"/>
      <c r="G64" s="153"/>
      <c r="H64" s="153"/>
      <c r="I64" s="153"/>
      <c r="J64" s="149">
        <f>COUNTIF(FilterList,#REF!)</f>
        <v>0</v>
      </c>
      <c r="K64" s="153"/>
      <c r="N64" s="234">
        <v>95801</v>
      </c>
    </row>
    <row r="65" spans="1:14" ht="14">
      <c r="A65">
        <v>99132</v>
      </c>
      <c r="B65" t="s">
        <v>1102</v>
      </c>
      <c r="C65" s="152">
        <f>ROUND(INDEX(Table4[OIL],MATCH(Table2[[#This Row],[Rox Wolf'#]],Table4[Wolf],0)),0)</f>
        <v>0</v>
      </c>
      <c r="D65" s="158">
        <f>INDEX(Table4[GAS],MATCH(Table2[[#This Row],[Rox Wolf'#]],Table4[Wolf],0))</f>
        <v>0</v>
      </c>
      <c r="E65" s="152">
        <f>INDEX(Table4[LEASE USE],MATCH(Table2[[#This Row],[Rox Wolf'#]],Table4[Wolf],0))</f>
        <v>0</v>
      </c>
      <c r="F65" s="153"/>
      <c r="G65" s="153"/>
      <c r="H65" s="153"/>
      <c r="I65" s="153"/>
      <c r="J65" s="149">
        <f>COUNTIF(FilterList,#REF!)</f>
        <v>0</v>
      </c>
      <c r="K65" s="153"/>
      <c r="N65" s="233">
        <v>99132</v>
      </c>
    </row>
    <row r="66" spans="1:14" ht="14">
      <c r="A66">
        <v>99133</v>
      </c>
      <c r="B66" t="s">
        <v>1103</v>
      </c>
      <c r="C66" s="152">
        <f>ROUND(INDEX(Table4[OIL],MATCH(Table2[[#This Row],[Rox Wolf'#]],Table4[Wolf],0)),0)</f>
        <v>0</v>
      </c>
      <c r="D66" s="158">
        <f>INDEX(Table4[GAS],MATCH(Table2[[#This Row],[Rox Wolf'#]],Table4[Wolf],0))</f>
        <v>0</v>
      </c>
      <c r="E66" s="152">
        <f>INDEX(Table4[LEASE USE],MATCH(Table2[[#This Row],[Rox Wolf'#]],Table4[Wolf],0))</f>
        <v>0</v>
      </c>
      <c r="F66" s="153"/>
      <c r="G66" s="153"/>
      <c r="H66" s="153"/>
      <c r="I66" s="153"/>
      <c r="J66" s="149">
        <f>COUNTIF(FilterList,#REF!)</f>
        <v>0</v>
      </c>
      <c r="K66" s="153"/>
      <c r="N66" s="234">
        <v>99133</v>
      </c>
    </row>
    <row r="67" spans="1:14" ht="14">
      <c r="A67">
        <v>99128</v>
      </c>
      <c r="B67" t="s">
        <v>807</v>
      </c>
      <c r="C67" s="152">
        <f>ROUND(INDEX(Table4[OIL],MATCH(Table2[[#This Row],[Rox Wolf'#]],Table4[Wolf],0)),0)</f>
        <v>0</v>
      </c>
      <c r="D67" s="158">
        <f>INDEX(Table4[GAS],MATCH(Table2[[#This Row],[Rox Wolf'#]],Table4[Wolf],0))</f>
        <v>6243</v>
      </c>
      <c r="E67" s="152">
        <f>INDEX(Table4[LEASE USE],MATCH(Table2[[#This Row],[Rox Wolf'#]],Table4[Wolf],0))</f>
        <v>240</v>
      </c>
      <c r="F67" s="153"/>
      <c r="G67" s="153"/>
      <c r="H67" s="153"/>
      <c r="I67" s="153"/>
      <c r="J67" s="149">
        <f>COUNTIF(FilterList,#REF!)</f>
        <v>0</v>
      </c>
      <c r="K67" s="153"/>
      <c r="N67" s="233">
        <v>99128</v>
      </c>
    </row>
    <row r="68" spans="1:14" ht="14">
      <c r="A68">
        <v>99134</v>
      </c>
      <c r="B68" t="s">
        <v>808</v>
      </c>
      <c r="C68" s="152">
        <f>ROUND(INDEX(Table4[OIL],MATCH(Table2[[#This Row],[Rox Wolf'#]],Table4[Wolf],0)),0)</f>
        <v>0</v>
      </c>
      <c r="D68" s="158">
        <f>INDEX(Table4[GAS],MATCH(Table2[[#This Row],[Rox Wolf'#]],Table4[Wolf],0))</f>
        <v>1556</v>
      </c>
      <c r="E68" s="152">
        <f>INDEX(Table4[LEASE USE],MATCH(Table2[[#This Row],[Rox Wolf'#]],Table4[Wolf],0))</f>
        <v>0</v>
      </c>
      <c r="F68" s="153"/>
      <c r="G68" s="153"/>
      <c r="H68" s="153"/>
      <c r="I68" s="153"/>
      <c r="J68" s="149">
        <f>COUNTIF(FilterList,#REF!)</f>
        <v>0</v>
      </c>
      <c r="K68" s="153"/>
      <c r="N68" s="234">
        <v>99134</v>
      </c>
    </row>
    <row r="69" spans="1:14" ht="14">
      <c r="A69">
        <v>99256</v>
      </c>
      <c r="B69" t="s">
        <v>112</v>
      </c>
      <c r="C69" s="152">
        <f>ROUND(INDEX(Table4[OIL],MATCH(Table2[[#This Row],[Rox Wolf'#]],Table4[Wolf],0)),0)</f>
        <v>178</v>
      </c>
      <c r="D69" s="158">
        <f>INDEX(Table4[GAS],MATCH(Table2[[#This Row],[Rox Wolf'#]],Table4[Wolf],0))</f>
        <v>1846</v>
      </c>
      <c r="E69" s="152">
        <f>INDEX(Table4[LEASE USE],MATCH(Table2[[#This Row],[Rox Wolf'#]],Table4[Wolf],0))</f>
        <v>0</v>
      </c>
      <c r="F69" s="153"/>
      <c r="G69" s="153"/>
      <c r="H69" s="153"/>
      <c r="I69" s="153"/>
      <c r="J69" s="149">
        <f>COUNTIF(FilterList,#REF!)</f>
        <v>0</v>
      </c>
      <c r="K69" s="153"/>
      <c r="N69" s="233">
        <v>99256</v>
      </c>
    </row>
    <row r="70" spans="1:14" ht="14">
      <c r="A70">
        <v>98910</v>
      </c>
      <c r="B70" t="s">
        <v>809</v>
      </c>
      <c r="C70" s="152">
        <f>ROUND(INDEX(Table4[OIL],MATCH(Table2[[#This Row],[Rox Wolf'#]],Table4[Wolf],0)),0)</f>
        <v>1554</v>
      </c>
      <c r="D70" s="158">
        <f>INDEX(Table4[GAS],MATCH(Table2[[#This Row],[Rox Wolf'#]],Table4[Wolf],0))</f>
        <v>0</v>
      </c>
      <c r="E70" s="152">
        <f>INDEX(Table4[LEASE USE],MATCH(Table2[[#This Row],[Rox Wolf'#]],Table4[Wolf],0))</f>
        <v>120</v>
      </c>
      <c r="F70" s="153"/>
      <c r="G70" s="153"/>
      <c r="H70" s="153"/>
      <c r="I70" s="153"/>
      <c r="J70" s="149">
        <f>COUNTIF(FilterList,#REF!)</f>
        <v>0</v>
      </c>
      <c r="K70" s="153"/>
      <c r="N70" s="234">
        <v>98910</v>
      </c>
    </row>
    <row r="71" spans="1:14" ht="14">
      <c r="A71">
        <v>98401</v>
      </c>
      <c r="B71" t="s">
        <v>784</v>
      </c>
      <c r="C71" s="152">
        <f>ROUND(INDEX(Table4[OIL],MATCH(Table2[[#This Row],[Rox Wolf'#]],Table4[Wolf],0)),0)</f>
        <v>0</v>
      </c>
      <c r="D71" s="158">
        <f>INDEX(Table4[GAS],MATCH(Table2[[#This Row],[Rox Wolf'#]],Table4[Wolf],0))</f>
        <v>2602</v>
      </c>
      <c r="E71" s="152">
        <f>INDEX(Table4[LEASE USE],MATCH(Table2[[#This Row],[Rox Wolf'#]],Table4[Wolf],0))</f>
        <v>48</v>
      </c>
      <c r="F71" s="153"/>
      <c r="G71" s="153"/>
      <c r="H71" s="153"/>
      <c r="I71" s="153"/>
      <c r="J71" s="149">
        <f>COUNTIF(FilterList,#REF!)</f>
        <v>0</v>
      </c>
      <c r="K71" s="153"/>
      <c r="N71" s="233">
        <v>98401</v>
      </c>
    </row>
    <row r="72" spans="1:14" ht="14">
      <c r="A72">
        <v>96901</v>
      </c>
      <c r="B72" t="s">
        <v>785</v>
      </c>
      <c r="C72" s="152">
        <f>ROUND(INDEX(Table4[OIL],MATCH(Table2[[#This Row],[Rox Wolf'#]],Table4[Wolf],0)),0)</f>
        <v>0</v>
      </c>
      <c r="D72" s="158">
        <f>INDEX(Table4[GAS],MATCH(Table2[[#This Row],[Rox Wolf'#]],Table4[Wolf],0))</f>
        <v>1784</v>
      </c>
      <c r="E72" s="152">
        <f>INDEX(Table4[LEASE USE],MATCH(Table2[[#This Row],[Rox Wolf'#]],Table4[Wolf],0))</f>
        <v>30</v>
      </c>
      <c r="F72" s="153"/>
      <c r="G72" s="153"/>
      <c r="H72" s="153"/>
      <c r="I72" s="153"/>
      <c r="J72" s="149">
        <f>COUNTIF(FilterList,#REF!)</f>
        <v>0</v>
      </c>
      <c r="K72" s="153"/>
      <c r="N72" s="234">
        <v>96901</v>
      </c>
    </row>
    <row r="73" spans="1:14" ht="14">
      <c r="A73">
        <v>99101</v>
      </c>
      <c r="B73" t="s">
        <v>810</v>
      </c>
      <c r="C73" s="152">
        <f>ROUND(INDEX(Table4[OIL],MATCH(Table2[[#This Row],[Rox Wolf'#]],Table4[Wolf],0)),0)</f>
        <v>0</v>
      </c>
      <c r="D73" s="158">
        <f>INDEX(Table4[GAS],MATCH(Table2[[#This Row],[Rox Wolf'#]],Table4[Wolf],0))</f>
        <v>0</v>
      </c>
      <c r="E73" s="152">
        <f>INDEX(Table4[LEASE USE],MATCH(Table2[[#This Row],[Rox Wolf'#]],Table4[Wolf],0))</f>
        <v>0</v>
      </c>
      <c r="F73" s="153"/>
      <c r="G73" s="153"/>
      <c r="H73" s="153"/>
      <c r="I73" s="153"/>
      <c r="J73" s="149">
        <f>COUNTIF(FilterList,#REF!)</f>
        <v>0</v>
      </c>
      <c r="K73" s="153"/>
      <c r="N73" s="233">
        <v>99101</v>
      </c>
    </row>
    <row r="74" spans="1:14" ht="14">
      <c r="A74">
        <v>99026</v>
      </c>
      <c r="B74" t="s">
        <v>812</v>
      </c>
      <c r="C74" s="152">
        <f>ROUND(INDEX(Table4[OIL],MATCH(Table2[[#This Row],[Rox Wolf'#]],Table4[Wolf],0)),0)</f>
        <v>160</v>
      </c>
      <c r="D74" s="158">
        <f>INDEX(Table4[GAS],MATCH(Table2[[#This Row],[Rox Wolf'#]],Table4[Wolf],0))</f>
        <v>0</v>
      </c>
      <c r="E74" s="152">
        <f>INDEX(Table4[LEASE USE],MATCH(Table2[[#This Row],[Rox Wolf'#]],Table4[Wolf],0))</f>
        <v>0</v>
      </c>
      <c r="F74" s="153"/>
      <c r="G74" s="153"/>
      <c r="H74" s="153"/>
      <c r="I74" s="153"/>
      <c r="J74" s="149">
        <f>COUNTIF(FilterList,#REF!)</f>
        <v>0</v>
      </c>
      <c r="K74" s="153"/>
      <c r="N74" s="234">
        <v>99026</v>
      </c>
    </row>
    <row r="75" spans="1:14" ht="14">
      <c r="A75">
        <v>99246</v>
      </c>
      <c r="B75" t="s">
        <v>786</v>
      </c>
      <c r="C75" s="152">
        <f>ROUND(INDEX(Table4[OIL],MATCH(Table2[[#This Row],[Rox Wolf'#]],Table4[Wolf],0)),0)</f>
        <v>178</v>
      </c>
      <c r="D75" s="158">
        <f>INDEX(Table4[GAS],MATCH(Table2[[#This Row],[Rox Wolf'#]],Table4[Wolf],0))</f>
        <v>13274</v>
      </c>
      <c r="E75" s="152">
        <f>INDEX(Table4[LEASE USE],MATCH(Table2[[#This Row],[Rox Wolf'#]],Table4[Wolf],0))</f>
        <v>750</v>
      </c>
      <c r="F75" s="153"/>
      <c r="G75" s="153"/>
      <c r="H75" s="153"/>
      <c r="I75" s="153"/>
      <c r="J75" s="149">
        <f>COUNTIF(FilterList,#REF!)</f>
        <v>0</v>
      </c>
      <c r="K75" s="153"/>
      <c r="N75" s="233">
        <v>99246</v>
      </c>
    </row>
    <row r="76" spans="1:14" ht="14">
      <c r="A76">
        <v>99312</v>
      </c>
      <c r="B76" t="s">
        <v>787</v>
      </c>
      <c r="C76" s="152">
        <f>ROUND(INDEX(Table4[OIL],MATCH(Table2[[#This Row],[Rox Wolf'#]],Table4[Wolf],0)),0)</f>
        <v>0</v>
      </c>
      <c r="D76" s="158">
        <f>INDEX(Table4[GAS],MATCH(Table2[[#This Row],[Rox Wolf'#]],Table4[Wolf],0))</f>
        <v>22</v>
      </c>
      <c r="E76" s="152">
        <f>INDEX(Table4[LEASE USE],MATCH(Table2[[#This Row],[Rox Wolf'#]],Table4[Wolf],0))</f>
        <v>0</v>
      </c>
      <c r="F76" s="153"/>
      <c r="G76" s="153"/>
      <c r="H76" s="153"/>
      <c r="I76" s="153"/>
      <c r="J76" s="149">
        <f>COUNTIF(FilterList,#REF!)</f>
        <v>0</v>
      </c>
      <c r="K76" s="153"/>
      <c r="N76" s="234">
        <v>99312</v>
      </c>
    </row>
    <row r="77" spans="1:14" ht="14">
      <c r="A77">
        <v>99140</v>
      </c>
      <c r="B77" t="s">
        <v>813</v>
      </c>
      <c r="C77" s="152">
        <f>ROUND(INDEX(Table4[OIL],MATCH(Table2[[#This Row],[Rox Wolf'#]],Table4[Wolf],0)),0)</f>
        <v>0</v>
      </c>
      <c r="D77" s="158">
        <f>INDEX(Table4[GAS],MATCH(Table2[[#This Row],[Rox Wolf'#]],Table4[Wolf],0))</f>
        <v>0</v>
      </c>
      <c r="E77" s="152">
        <f>INDEX(Table4[LEASE USE],MATCH(Table2[[#This Row],[Rox Wolf'#]],Table4[Wolf],0))</f>
        <v>0</v>
      </c>
      <c r="F77" s="153"/>
      <c r="G77" s="153"/>
      <c r="H77" s="153"/>
      <c r="I77" s="153"/>
      <c r="J77" s="149">
        <f>COUNTIF(FilterList,#REF!)</f>
        <v>0</v>
      </c>
      <c r="K77" s="153"/>
      <c r="N77" s="233">
        <v>99140</v>
      </c>
    </row>
    <row r="78" spans="1:14" ht="14">
      <c r="A78">
        <v>98979</v>
      </c>
      <c r="B78" t="s">
        <v>309</v>
      </c>
      <c r="C78" s="152">
        <f>ROUND(INDEX(Table4[OIL],MATCH(Table2[[#This Row],[Rox Wolf'#]],Table4[Wolf],0)),0)</f>
        <v>0</v>
      </c>
      <c r="D78" s="158">
        <f>INDEX(Table4[GAS],MATCH(Table2[[#This Row],[Rox Wolf'#]],Table4[Wolf],0))</f>
        <v>238</v>
      </c>
      <c r="E78" s="152">
        <f>INDEX(Table4[LEASE USE],MATCH(Table2[[#This Row],[Rox Wolf'#]],Table4[Wolf],0))</f>
        <v>0</v>
      </c>
      <c r="F78" s="153"/>
      <c r="G78" s="153"/>
      <c r="H78" s="153"/>
      <c r="I78" s="153"/>
      <c r="J78" s="149">
        <f>COUNTIF(FilterList,#REF!)</f>
        <v>0</v>
      </c>
      <c r="K78" s="153"/>
      <c r="N78" s="234">
        <v>98979</v>
      </c>
    </row>
    <row r="79" spans="1:14" ht="14">
      <c r="A79">
        <v>34001</v>
      </c>
      <c r="B79" t="s">
        <v>814</v>
      </c>
      <c r="C79" s="152">
        <f>ROUND(INDEX(Table4[OIL],MATCH(Table2[[#This Row],[Rox Wolf'#]],Table4[Wolf],0)),0)</f>
        <v>1177</v>
      </c>
      <c r="D79" s="158">
        <f>INDEX(Table4[GAS],MATCH(Table2[[#This Row],[Rox Wolf'#]],Table4[Wolf],0))</f>
        <v>0</v>
      </c>
      <c r="E79" s="152">
        <f>INDEX(Table4[LEASE USE],MATCH(Table2[[#This Row],[Rox Wolf'#]],Table4[Wolf],0))</f>
        <v>0</v>
      </c>
      <c r="F79" s="153"/>
      <c r="G79" s="153"/>
      <c r="H79" s="153"/>
      <c r="I79" s="153"/>
      <c r="J79" s="149">
        <f>COUNTIF(FilterList,#REF!)</f>
        <v>0</v>
      </c>
      <c r="K79" s="153"/>
      <c r="N79" s="233">
        <v>34001</v>
      </c>
    </row>
    <row r="80" spans="1:14" ht="14">
      <c r="A80">
        <v>599109</v>
      </c>
      <c r="B80" t="s">
        <v>788</v>
      </c>
      <c r="C80" s="152">
        <f>ROUND(INDEX(Table4[OIL],MATCH(Table2[[#This Row],[Rox Wolf'#]],Table4[Wolf],0)),0)</f>
        <v>189</v>
      </c>
      <c r="D80" s="158">
        <f>INDEX(Table4[GAS],MATCH(Table2[[#This Row],[Rox Wolf'#]],Table4[Wolf],0))</f>
        <v>10548</v>
      </c>
      <c r="E80" s="152">
        <f>INDEX(Table4[LEASE USE],MATCH(Table2[[#This Row],[Rox Wolf'#]],Table4[Wolf],0))</f>
        <v>450</v>
      </c>
      <c r="F80" s="153"/>
      <c r="G80" s="153"/>
      <c r="H80" s="153"/>
      <c r="I80" s="153"/>
      <c r="J80" s="149">
        <f>COUNTIF(FilterList,#REF!)</f>
        <v>0</v>
      </c>
      <c r="K80" s="153"/>
      <c r="N80" s="234">
        <v>599109</v>
      </c>
    </row>
    <row r="81" spans="1:14" ht="14">
      <c r="A81">
        <v>699109</v>
      </c>
      <c r="B81" t="s">
        <v>789</v>
      </c>
      <c r="C81" s="152">
        <f>ROUND(INDEX(Table4[OIL],MATCH(Table2[[#This Row],[Rox Wolf'#]],Table4[Wolf],0)),0)</f>
        <v>0</v>
      </c>
      <c r="D81" s="158">
        <f>INDEX(Table4[GAS],MATCH(Table2[[#This Row],[Rox Wolf'#]],Table4[Wolf],0))</f>
        <v>1783</v>
      </c>
      <c r="E81" s="152">
        <f>INDEX(Table4[LEASE USE],MATCH(Table2[[#This Row],[Rox Wolf'#]],Table4[Wolf],0))</f>
        <v>0</v>
      </c>
      <c r="F81" s="153"/>
      <c r="G81" s="153"/>
      <c r="H81" s="153"/>
      <c r="I81" s="153"/>
      <c r="J81" s="149">
        <f>COUNTIF(FilterList,#REF!)</f>
        <v>0</v>
      </c>
      <c r="K81" s="153"/>
      <c r="N81" s="233">
        <v>699109</v>
      </c>
    </row>
    <row r="82" spans="1:14" ht="14">
      <c r="A82">
        <v>98915</v>
      </c>
      <c r="B82" t="s">
        <v>790</v>
      </c>
      <c r="C82" s="152">
        <f>ROUND(INDEX(Table4[OIL],MATCH(Table2[[#This Row],[Rox Wolf'#]],Table4[Wolf],0)),0)</f>
        <v>0</v>
      </c>
      <c r="D82" s="158">
        <f>INDEX(Table4[GAS],MATCH(Table2[[#This Row],[Rox Wolf'#]],Table4[Wolf],0))</f>
        <v>54</v>
      </c>
      <c r="E82" s="152">
        <f>INDEX(Table4[LEASE USE],MATCH(Table2[[#This Row],[Rox Wolf'#]],Table4[Wolf],0))</f>
        <v>0</v>
      </c>
      <c r="F82" s="153"/>
      <c r="G82" s="153"/>
      <c r="H82" s="153"/>
      <c r="I82" s="153"/>
      <c r="J82" s="149">
        <f>COUNTIF(FilterList,#REF!)</f>
        <v>0</v>
      </c>
      <c r="K82" s="153"/>
      <c r="N82" s="234">
        <v>98915</v>
      </c>
    </row>
    <row r="83" spans="1:14" ht="14">
      <c r="A83">
        <v>99270</v>
      </c>
      <c r="B83" t="s">
        <v>148</v>
      </c>
      <c r="C83" s="152">
        <f>ROUND(INDEX(Table4[OIL],MATCH(Table2[[#This Row],[Rox Wolf'#]],Table4[Wolf],0)),0)</f>
        <v>1334</v>
      </c>
      <c r="D83" s="158">
        <f>INDEX(Table4[GAS],MATCH(Table2[[#This Row],[Rox Wolf'#]],Table4[Wolf],0))</f>
        <v>50079</v>
      </c>
      <c r="E83" s="152">
        <f>INDEX(Table4[LEASE USE],MATCH(Table2[[#This Row],[Rox Wolf'#]],Table4[Wolf],0))</f>
        <v>630</v>
      </c>
      <c r="F83" s="153"/>
      <c r="G83" s="153"/>
      <c r="H83" s="153"/>
      <c r="I83" s="153"/>
      <c r="J83" s="149">
        <f>COUNTIF(FilterList,#REF!)</f>
        <v>0</v>
      </c>
      <c r="K83" s="153"/>
      <c r="N83" s="233">
        <v>99270</v>
      </c>
    </row>
    <row r="84" spans="1:14" ht="14">
      <c r="A84">
        <v>99247</v>
      </c>
      <c r="B84" t="s">
        <v>1126</v>
      </c>
      <c r="C84" s="152">
        <f>ROUND(INDEX(Table4[OIL],MATCH(Table2[[#This Row],[Rox Wolf'#]],Table4[Wolf],0)),0)</f>
        <v>0</v>
      </c>
      <c r="D84" s="158">
        <f>INDEX(Table4[GAS],MATCH(Table2[[#This Row],[Rox Wolf'#]],Table4[Wolf],0))</f>
        <v>0</v>
      </c>
      <c r="E84" s="152">
        <f>INDEX(Table4[LEASE USE],MATCH(Table2[[#This Row],[Rox Wolf'#]],Table4[Wolf],0))</f>
        <v>0</v>
      </c>
      <c r="F84" s="153"/>
      <c r="G84" s="153"/>
      <c r="H84" s="153"/>
      <c r="I84" s="153"/>
      <c r="J84" s="149">
        <f>COUNTIF(FilterList,#REF!)</f>
        <v>0</v>
      </c>
      <c r="K84" s="153"/>
      <c r="N84" s="234">
        <v>99247</v>
      </c>
    </row>
    <row r="85" spans="1:14" ht="14">
      <c r="A85">
        <v>98983</v>
      </c>
      <c r="B85" t="s">
        <v>1104</v>
      </c>
      <c r="C85" s="152">
        <f>ROUND(INDEX(Table4[OIL],MATCH(Table2[[#This Row],[Rox Wolf'#]],Table4[Wolf],0)),0)</f>
        <v>0</v>
      </c>
      <c r="D85" s="158">
        <f>INDEX(Table4[GAS],MATCH(Table2[[#This Row],[Rox Wolf'#]],Table4[Wolf],0))</f>
        <v>0</v>
      </c>
      <c r="E85" s="152">
        <f>INDEX(Table4[LEASE USE],MATCH(Table2[[#This Row],[Rox Wolf'#]],Table4[Wolf],0))</f>
        <v>0</v>
      </c>
      <c r="F85" s="153"/>
      <c r="G85" s="153"/>
      <c r="H85" s="153"/>
      <c r="I85" s="153"/>
      <c r="J85" s="149">
        <f>COUNTIF(FilterList,#REF!)</f>
        <v>0</v>
      </c>
      <c r="K85" s="153"/>
      <c r="N85" s="233">
        <v>98983</v>
      </c>
    </row>
    <row r="86" spans="1:14" ht="14">
      <c r="A86">
        <v>99161</v>
      </c>
      <c r="B86" t="s">
        <v>817</v>
      </c>
      <c r="C86" s="152">
        <f>ROUND(INDEX(Table4[OIL],MATCH(Table2[[#This Row],[Rox Wolf'#]],Table4[Wolf],0)),0)</f>
        <v>333</v>
      </c>
      <c r="D86" s="158">
        <f>INDEX(Table4[GAS],MATCH(Table2[[#This Row],[Rox Wolf'#]],Table4[Wolf],0))</f>
        <v>0</v>
      </c>
      <c r="E86" s="152">
        <f>INDEX(Table4[LEASE USE],MATCH(Table2[[#This Row],[Rox Wolf'#]],Table4[Wolf],0))</f>
        <v>52</v>
      </c>
      <c r="F86" s="153"/>
      <c r="G86" s="153"/>
      <c r="H86" s="153"/>
      <c r="I86" s="153"/>
      <c r="J86" s="149">
        <f>COUNTIF(FilterList,#REF!)</f>
        <v>0</v>
      </c>
      <c r="K86" s="153"/>
      <c r="N86" s="234">
        <v>99161</v>
      </c>
    </row>
    <row r="87" spans="1:14" ht="14">
      <c r="A87">
        <v>99305</v>
      </c>
      <c r="B87" t="s">
        <v>818</v>
      </c>
      <c r="C87" s="152">
        <f>ROUND(INDEX(Table4[OIL],MATCH(Table2[[#This Row],[Rox Wolf'#]],Table4[Wolf],0)),0)</f>
        <v>0</v>
      </c>
      <c r="D87" s="158">
        <f>INDEX(Table4[GAS],MATCH(Table2[[#This Row],[Rox Wolf'#]],Table4[Wolf],0))</f>
        <v>0</v>
      </c>
      <c r="E87" s="152">
        <f>INDEX(Table4[LEASE USE],MATCH(Table2[[#This Row],[Rox Wolf'#]],Table4[Wolf],0))</f>
        <v>0</v>
      </c>
      <c r="F87" s="153"/>
      <c r="G87" s="153"/>
      <c r="H87" s="153"/>
      <c r="I87" s="153"/>
      <c r="J87" s="149">
        <f>COUNTIF(FilterList,#REF!)</f>
        <v>0</v>
      </c>
      <c r="K87" s="153"/>
      <c r="N87" s="233">
        <v>99305</v>
      </c>
    </row>
    <row r="88" spans="1:14" ht="14">
      <c r="A88">
        <v>99302</v>
      </c>
      <c r="B88" t="s">
        <v>819</v>
      </c>
      <c r="C88" s="152">
        <f>ROUND(INDEX(Table4[OIL],MATCH(Table2[[#This Row],[Rox Wolf'#]],Table4[Wolf],0)),0)</f>
        <v>0</v>
      </c>
      <c r="D88" s="158">
        <f>INDEX(Table4[GAS],MATCH(Table2[[#This Row],[Rox Wolf'#]],Table4[Wolf],0))</f>
        <v>0</v>
      </c>
      <c r="E88" s="152">
        <f>INDEX(Table4[LEASE USE],MATCH(Table2[[#This Row],[Rox Wolf'#]],Table4[Wolf],0))</f>
        <v>0</v>
      </c>
      <c r="F88" s="153"/>
      <c r="G88" s="153"/>
      <c r="H88" s="153"/>
      <c r="I88" s="153"/>
      <c r="J88" s="149">
        <f>COUNTIF(FilterList,#REF!)</f>
        <v>0</v>
      </c>
      <c r="K88" s="153"/>
      <c r="N88" s="234">
        <v>99302</v>
      </c>
    </row>
    <row r="89" spans="1:14" ht="14">
      <c r="A89">
        <v>99296</v>
      </c>
      <c r="B89" t="s">
        <v>820</v>
      </c>
      <c r="C89" s="152">
        <f>ROUND(INDEX(Table4[OIL],MATCH(Table2[[#This Row],[Rox Wolf'#]],Table4[Wolf],0)),0)</f>
        <v>0</v>
      </c>
      <c r="D89" s="158">
        <f>INDEX(Table4[GAS],MATCH(Table2[[#This Row],[Rox Wolf'#]],Table4[Wolf],0))</f>
        <v>0</v>
      </c>
      <c r="E89" s="152">
        <f>INDEX(Table4[LEASE USE],MATCH(Table2[[#This Row],[Rox Wolf'#]],Table4[Wolf],0))</f>
        <v>0</v>
      </c>
      <c r="F89" s="153"/>
      <c r="G89" s="153"/>
      <c r="H89" s="153"/>
      <c r="I89" s="153"/>
      <c r="J89" s="149">
        <f>COUNTIF(FilterList,#REF!)</f>
        <v>0</v>
      </c>
      <c r="K89" s="153"/>
      <c r="N89" s="233">
        <v>99296</v>
      </c>
    </row>
    <row r="90" spans="1:14" ht="14">
      <c r="A90">
        <v>99194</v>
      </c>
      <c r="B90" t="s">
        <v>1105</v>
      </c>
      <c r="C90" s="152">
        <f>ROUND(INDEX(Table4[OIL],MATCH(Table2[[#This Row],[Rox Wolf'#]],Table4[Wolf],0)),0)</f>
        <v>0</v>
      </c>
      <c r="D90" s="158">
        <f>INDEX(Table4[GAS],MATCH(Table2[[#This Row],[Rox Wolf'#]],Table4[Wolf],0))</f>
        <v>0</v>
      </c>
      <c r="E90" s="152">
        <f>INDEX(Table4[LEASE USE],MATCH(Table2[[#This Row],[Rox Wolf'#]],Table4[Wolf],0))</f>
        <v>0</v>
      </c>
      <c r="F90" s="153"/>
      <c r="G90" s="153"/>
      <c r="H90" s="153"/>
      <c r="I90" s="153"/>
      <c r="J90" s="149">
        <f>COUNTIF(FilterList,#REF!)</f>
        <v>0</v>
      </c>
      <c r="K90" s="153"/>
      <c r="N90" s="234">
        <v>99194</v>
      </c>
    </row>
    <row r="91" spans="1:14" ht="14" hidden="1">
      <c r="A91">
        <v>99171</v>
      </c>
      <c r="B91" t="s">
        <v>821</v>
      </c>
      <c r="C91" s="152">
        <f>ROUND(INDEX(Table4[OIL],MATCH(Table2[[#This Row],[Rox Wolf'#]],Table4[Wolf],0)),0)</f>
        <v>357</v>
      </c>
      <c r="D91" s="158">
        <f>INDEX(Table4[GAS],MATCH(Table2[[#This Row],[Rox Wolf'#]],Table4[Wolf],0))</f>
        <v>0</v>
      </c>
      <c r="E91" s="152">
        <f>INDEX(Table4[LEASE USE],MATCH(Table2[[#This Row],[Rox Wolf'#]],Table4[Wolf],0))</f>
        <v>0</v>
      </c>
      <c r="F91" s="153"/>
      <c r="G91" s="153"/>
      <c r="H91" s="153"/>
      <c r="I91" s="153"/>
      <c r="J91" s="149">
        <f>COUNTIF(FilterList,#REF!)</f>
        <v>0</v>
      </c>
      <c r="K91" s="154" t="s">
        <v>1129</v>
      </c>
      <c r="N91" s="233">
        <v>99158</v>
      </c>
    </row>
    <row r="92" spans="1:14" ht="14" hidden="1">
      <c r="A92">
        <v>99172</v>
      </c>
      <c r="B92" t="s">
        <v>1127</v>
      </c>
      <c r="C92" s="152">
        <f>ROUND(INDEX(Table4[OIL],MATCH(Table2[[#This Row],[Rox Wolf'#]],Table4[Wolf],0)),0)</f>
        <v>0</v>
      </c>
      <c r="D92" s="158">
        <f>INDEX(Table4[GAS],MATCH(Table2[[#This Row],[Rox Wolf'#]],Table4[Wolf],0))</f>
        <v>0</v>
      </c>
      <c r="E92" s="152">
        <f>INDEX(Table4[LEASE USE],MATCH(Table2[[#This Row],[Rox Wolf'#]],Table4[Wolf],0))</f>
        <v>0</v>
      </c>
      <c r="F92" s="153"/>
      <c r="G92" s="153"/>
      <c r="H92" s="153"/>
      <c r="I92" s="153"/>
      <c r="J92" s="149">
        <f>COUNTIF(FilterList,#REF!)</f>
        <v>0</v>
      </c>
      <c r="K92" s="154" t="s">
        <v>1129</v>
      </c>
      <c r="N92" s="234">
        <v>99171</v>
      </c>
    </row>
    <row r="93" spans="1:14" ht="14" hidden="1">
      <c r="A93">
        <v>99173</v>
      </c>
      <c r="B93" t="s">
        <v>822</v>
      </c>
      <c r="C93" s="152">
        <f>ROUND(INDEX(Table4[OIL],MATCH(Table2[[#This Row],[Rox Wolf'#]],Table4[Wolf],0)),0)</f>
        <v>179</v>
      </c>
      <c r="D93" s="158">
        <f>INDEX(Table4[GAS],MATCH(Table2[[#This Row],[Rox Wolf'#]],Table4[Wolf],0))</f>
        <v>0</v>
      </c>
      <c r="E93" s="152">
        <f>INDEX(Table4[LEASE USE],MATCH(Table2[[#This Row],[Rox Wolf'#]],Table4[Wolf],0))</f>
        <v>0</v>
      </c>
      <c r="F93" s="153"/>
      <c r="G93" s="153"/>
      <c r="H93" s="153"/>
      <c r="I93" s="153"/>
      <c r="J93" s="149">
        <f>COUNTIF(FilterList,#REF!)</f>
        <v>0</v>
      </c>
      <c r="K93" s="154" t="s">
        <v>1129</v>
      </c>
      <c r="N93" s="233">
        <v>99172</v>
      </c>
    </row>
    <row r="94" spans="1:14" ht="14">
      <c r="A94">
        <v>80001</v>
      </c>
      <c r="B94" t="s">
        <v>791</v>
      </c>
      <c r="C94" s="152">
        <f>ROUND(INDEX(Table4[OIL],MATCH(Table2[[#This Row],[Rox Wolf'#]],Table4[Wolf],0)),0)</f>
        <v>0</v>
      </c>
      <c r="D94" s="158">
        <f>INDEX(Table4[GAS],MATCH(Table2[[#This Row],[Rox Wolf'#]],Table4[Wolf],0))</f>
        <v>1820</v>
      </c>
      <c r="E94" s="152">
        <f>INDEX(Table4[LEASE USE],MATCH(Table2[[#This Row],[Rox Wolf'#]],Table4[Wolf],0))</f>
        <v>108</v>
      </c>
      <c r="F94" s="153"/>
      <c r="G94" s="153"/>
      <c r="H94" s="153"/>
      <c r="I94" s="153"/>
      <c r="J94" s="149">
        <f>COUNTIF(FilterList,#REF!)</f>
        <v>0</v>
      </c>
      <c r="K94" s="153"/>
      <c r="N94" s="234">
        <v>99173</v>
      </c>
    </row>
    <row r="95" spans="1:14" ht="14">
      <c r="A95">
        <v>99158</v>
      </c>
      <c r="B95" t="s">
        <v>1275</v>
      </c>
      <c r="C95" s="152">
        <f>ROUND(INDEX(Table4[OIL],MATCH(Table2[[#This Row],[Rox Wolf'#]],Table4[Wolf],0)),0)</f>
        <v>0</v>
      </c>
      <c r="D95" s="158">
        <f>INDEX(Table4[GAS],MATCH(Table2[[#This Row],[Rox Wolf'#]],Table4[Wolf],0))</f>
        <v>0</v>
      </c>
      <c r="E95" s="152">
        <f>INDEX(Table4[LEASE USE],MATCH(Table2[[#This Row],[Rox Wolf'#]],Table4[Wolf],0))</f>
        <v>0</v>
      </c>
      <c r="F95" s="153"/>
      <c r="G95" s="153"/>
      <c r="H95" s="153"/>
      <c r="I95" s="153"/>
      <c r="J95" s="149">
        <f>COUNTIF(FilterList,#REF!)</f>
        <v>0</v>
      </c>
      <c r="K95" s="153"/>
      <c r="N95" s="234"/>
    </row>
    <row r="96" spans="1:14" ht="14">
      <c r="A96">
        <f>SUBTOTAL(103,Table2[Rox Wolf'#])</f>
        <v>84</v>
      </c>
      <c r="B96"/>
      <c r="C96">
        <f>SUBTOTAL(109,Table2[OIL])</f>
        <v>12323</v>
      </c>
      <c r="D96" s="5">
        <f>SUBTOTAL(109,Table2[GAS])</f>
        <v>186525</v>
      </c>
      <c r="E96">
        <f>SUBTOTAL(109,Table2[LEASE USE])</f>
        <v>5223</v>
      </c>
      <c r="F96"/>
      <c r="G96"/>
      <c r="H96"/>
      <c r="I96"/>
      <c r="J96">
        <f>SUBTOTAL(109,Table2[Filter])</f>
        <v>0</v>
      </c>
      <c r="N96" s="233">
        <v>80001</v>
      </c>
    </row>
  </sheetData>
  <mergeCells count="2">
    <mergeCell ref="A1:E1"/>
    <mergeCell ref="A2:E2"/>
  </mergeCells>
  <phoneticPr fontId="71" type="noConversion"/>
  <conditionalFormatting sqref="A5:A95">
    <cfRule type="duplicateValues" dxfId="75" priority="29"/>
  </conditionalFormatting>
  <conditionalFormatting sqref="B4:B95">
    <cfRule type="duplicateValues" dxfId="74" priority="31"/>
  </conditionalFormatting>
  <conditionalFormatting sqref="N5:N96 A5:A95">
    <cfRule type="duplicateValues" dxfId="73" priority="1"/>
  </conditionalFormatting>
  <pageMargins left="0.25" right="0.25" top="0.75" bottom="0.75" header="0.3" footer="0.3"/>
  <pageSetup scale="36"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E96"/>
  <sheetViews>
    <sheetView workbookViewId="0">
      <selection activeCell="H14" sqref="H14"/>
    </sheetView>
  </sheetViews>
  <sheetFormatPr baseColWidth="10" defaultColWidth="8.83203125" defaultRowHeight="14" x14ac:dyDescent="0"/>
  <cols>
    <col min="1" max="1" width="12.83203125" style="164" customWidth="1"/>
    <col min="2" max="2" width="30" style="164" bestFit="1" customWidth="1"/>
    <col min="3" max="3" width="8.83203125" style="168"/>
    <col min="4" max="4" width="8.83203125" style="169"/>
    <col min="5" max="5" width="14.1640625" style="168" customWidth="1"/>
    <col min="6" max="16384" width="8.83203125" style="164"/>
  </cols>
  <sheetData>
    <row r="1" spans="1:5" s="162" customFormat="1" ht="20">
      <c r="A1" s="263" t="s">
        <v>627</v>
      </c>
      <c r="B1" s="263"/>
      <c r="C1" s="263"/>
      <c r="D1" s="263"/>
      <c r="E1" s="263"/>
    </row>
    <row r="2" spans="1:5" s="162" customFormat="1" ht="20">
      <c r="A2" s="264">
        <v>43983</v>
      </c>
      <c r="B2" s="264"/>
      <c r="C2" s="264"/>
      <c r="D2" s="264"/>
      <c r="E2" s="264"/>
    </row>
    <row r="3" spans="1:5" s="162" customFormat="1" ht="20">
      <c r="C3" s="182"/>
      <c r="D3" s="163"/>
      <c r="E3" s="182"/>
    </row>
    <row r="4" spans="1:5">
      <c r="A4" s="170" t="s">
        <v>1141</v>
      </c>
      <c r="B4" s="165" t="s">
        <v>1142</v>
      </c>
      <c r="C4" s="166" t="s">
        <v>745</v>
      </c>
      <c r="D4" s="167" t="s">
        <v>746</v>
      </c>
      <c r="E4" s="168" t="s">
        <v>747</v>
      </c>
    </row>
    <row r="5" spans="1:5">
      <c r="A5" s="189">
        <v>99265</v>
      </c>
      <c r="B5" s="189" t="s">
        <v>1118</v>
      </c>
      <c r="C5" s="190"/>
      <c r="D5" s="191">
        <v>5477</v>
      </c>
      <c r="E5" s="191">
        <v>202</v>
      </c>
    </row>
    <row r="6" spans="1:5">
      <c r="A6" s="189">
        <v>99266</v>
      </c>
      <c r="B6" s="189" t="s">
        <v>1119</v>
      </c>
      <c r="C6" s="190"/>
      <c r="D6" s="191">
        <v>2270</v>
      </c>
      <c r="E6" s="191">
        <v>84</v>
      </c>
    </row>
    <row r="7" spans="1:5">
      <c r="A7" s="189">
        <v>99267</v>
      </c>
      <c r="B7" s="189" t="s">
        <v>1120</v>
      </c>
      <c r="C7" s="190"/>
      <c r="D7" s="191">
        <v>235</v>
      </c>
      <c r="E7" s="191">
        <v>10</v>
      </c>
    </row>
    <row r="8" spans="1:5">
      <c r="A8" s="189">
        <v>99229</v>
      </c>
      <c r="B8" s="189" t="s">
        <v>748</v>
      </c>
      <c r="C8" s="190"/>
      <c r="D8" s="191"/>
      <c r="E8" s="192">
        <v>0</v>
      </c>
    </row>
    <row r="9" spans="1:5">
      <c r="A9" s="189">
        <v>99282</v>
      </c>
      <c r="B9" s="189" t="s">
        <v>1261</v>
      </c>
      <c r="C9" s="190"/>
      <c r="D9" s="191"/>
      <c r="E9" s="192"/>
    </row>
    <row r="10" spans="1:5">
      <c r="A10" s="189">
        <v>93701</v>
      </c>
      <c r="B10" s="189" t="s">
        <v>795</v>
      </c>
      <c r="C10" s="190"/>
      <c r="D10" s="191">
        <v>15</v>
      </c>
      <c r="E10" s="192">
        <v>0</v>
      </c>
    </row>
    <row r="11" spans="1:5">
      <c r="A11" s="189">
        <v>99170</v>
      </c>
      <c r="B11" s="189" t="s">
        <v>797</v>
      </c>
      <c r="C11" s="190"/>
      <c r="D11" s="191"/>
      <c r="E11" s="192">
        <v>0</v>
      </c>
    </row>
    <row r="12" spans="1:5">
      <c r="A12" s="189">
        <v>96701</v>
      </c>
      <c r="B12" s="189" t="s">
        <v>749</v>
      </c>
      <c r="C12" s="190"/>
      <c r="D12" s="191"/>
      <c r="E12" s="192">
        <v>0</v>
      </c>
    </row>
    <row r="13" spans="1:5">
      <c r="A13" s="189">
        <v>82001</v>
      </c>
      <c r="B13" s="189" t="s">
        <v>750</v>
      </c>
      <c r="C13" s="190"/>
      <c r="D13" s="191">
        <v>45</v>
      </c>
      <c r="E13" s="192">
        <v>0</v>
      </c>
    </row>
    <row r="14" spans="1:5">
      <c r="A14" s="189">
        <v>96501</v>
      </c>
      <c r="B14" s="189" t="s">
        <v>751</v>
      </c>
      <c r="C14" s="190"/>
      <c r="D14" s="191">
        <v>1223</v>
      </c>
      <c r="E14" s="192">
        <v>90</v>
      </c>
    </row>
    <row r="15" spans="1:5">
      <c r="A15" s="189">
        <v>99230</v>
      </c>
      <c r="B15" s="189" t="s">
        <v>752</v>
      </c>
      <c r="C15" s="190">
        <v>364.78</v>
      </c>
      <c r="D15" s="191">
        <v>1891</v>
      </c>
      <c r="E15" s="192">
        <v>0</v>
      </c>
    </row>
    <row r="16" spans="1:5">
      <c r="A16" s="189">
        <v>99286</v>
      </c>
      <c r="B16" s="189" t="s">
        <v>753</v>
      </c>
      <c r="C16" s="190"/>
      <c r="D16" s="191">
        <v>1056</v>
      </c>
      <c r="E16" s="192">
        <v>60</v>
      </c>
    </row>
    <row r="17" spans="1:5">
      <c r="A17" s="189">
        <v>99294</v>
      </c>
      <c r="B17" s="189" t="s">
        <v>754</v>
      </c>
      <c r="C17" s="190">
        <v>2698.29</v>
      </c>
      <c r="D17" s="191">
        <v>1197</v>
      </c>
      <c r="E17" s="192">
        <v>30</v>
      </c>
    </row>
    <row r="18" spans="1:5">
      <c r="A18" s="189">
        <v>99293</v>
      </c>
      <c r="B18" s="189" t="s">
        <v>755</v>
      </c>
      <c r="C18" s="190">
        <v>181.2</v>
      </c>
      <c r="D18" s="191"/>
      <c r="E18" s="192">
        <v>0</v>
      </c>
    </row>
    <row r="19" spans="1:5">
      <c r="A19" s="189">
        <v>99295</v>
      </c>
      <c r="B19" s="189" t="s">
        <v>756</v>
      </c>
      <c r="C19" s="190"/>
      <c r="D19" s="191"/>
      <c r="E19" s="192">
        <v>0</v>
      </c>
    </row>
    <row r="20" spans="1:5">
      <c r="A20" s="189">
        <v>99228</v>
      </c>
      <c r="B20" s="189" t="s">
        <v>77</v>
      </c>
      <c r="C20" s="190"/>
      <c r="D20" s="192"/>
      <c r="E20" s="192">
        <v>0</v>
      </c>
    </row>
    <row r="21" spans="1:5">
      <c r="A21" s="189">
        <v>99200</v>
      </c>
      <c r="B21" s="189" t="s">
        <v>799</v>
      </c>
      <c r="C21" s="190">
        <v>1245.75</v>
      </c>
      <c r="D21" s="191"/>
      <c r="E21" s="192">
        <v>0</v>
      </c>
    </row>
    <row r="22" spans="1:5">
      <c r="A22" s="189">
        <v>99255</v>
      </c>
      <c r="B22" s="189" t="s">
        <v>757</v>
      </c>
      <c r="C22" s="190"/>
      <c r="D22" s="191"/>
      <c r="E22" s="192">
        <v>0</v>
      </c>
    </row>
    <row r="23" spans="1:5">
      <c r="A23" s="189">
        <v>98921</v>
      </c>
      <c r="B23" s="189" t="s">
        <v>800</v>
      </c>
      <c r="C23" s="190"/>
      <c r="D23" s="191"/>
      <c r="E23" s="192">
        <v>0</v>
      </c>
    </row>
    <row r="24" spans="1:5">
      <c r="A24" s="189">
        <v>99017</v>
      </c>
      <c r="B24" s="189" t="s">
        <v>758</v>
      </c>
      <c r="C24" s="190"/>
      <c r="D24" s="191">
        <v>4202</v>
      </c>
      <c r="E24" s="192">
        <v>210</v>
      </c>
    </row>
    <row r="25" spans="1:5">
      <c r="A25" s="189">
        <v>99067</v>
      </c>
      <c r="B25" s="189" t="s">
        <v>759</v>
      </c>
      <c r="C25" s="190"/>
      <c r="D25" s="191">
        <v>190</v>
      </c>
      <c r="E25" s="192">
        <v>0</v>
      </c>
    </row>
    <row r="26" spans="1:5">
      <c r="A26" s="189">
        <v>99169</v>
      </c>
      <c r="B26" s="189" t="s">
        <v>801</v>
      </c>
      <c r="C26" s="190"/>
      <c r="D26" s="191"/>
      <c r="E26" s="192">
        <v>0</v>
      </c>
    </row>
    <row r="27" spans="1:5">
      <c r="A27" s="189">
        <v>99069</v>
      </c>
      <c r="B27" s="189" t="s">
        <v>760</v>
      </c>
      <c r="C27" s="190"/>
      <c r="D27" s="191"/>
      <c r="E27" s="192">
        <v>0</v>
      </c>
    </row>
    <row r="28" spans="1:5">
      <c r="A28" s="189">
        <v>98965</v>
      </c>
      <c r="B28" s="189" t="s">
        <v>761</v>
      </c>
      <c r="C28" s="190"/>
      <c r="D28" s="191">
        <v>720</v>
      </c>
      <c r="E28" s="192">
        <v>27</v>
      </c>
    </row>
    <row r="29" spans="1:5">
      <c r="A29" s="189">
        <v>99225</v>
      </c>
      <c r="B29" s="189" t="s">
        <v>1121</v>
      </c>
      <c r="C29" s="190"/>
      <c r="D29" s="191"/>
      <c r="E29" s="192"/>
    </row>
    <row r="30" spans="1:5">
      <c r="A30" s="189">
        <v>48001</v>
      </c>
      <c r="B30" s="189" t="s">
        <v>762</v>
      </c>
      <c r="C30" s="190"/>
      <c r="D30" s="191">
        <v>143</v>
      </c>
      <c r="E30" s="192">
        <v>30</v>
      </c>
    </row>
    <row r="31" spans="1:5">
      <c r="A31" s="189">
        <v>93806</v>
      </c>
      <c r="B31" s="189" t="s">
        <v>802</v>
      </c>
      <c r="C31" s="190"/>
      <c r="D31" s="191"/>
      <c r="E31" s="192">
        <v>0</v>
      </c>
    </row>
    <row r="32" spans="1:5" ht="15.75" customHeight="1">
      <c r="A32" s="189">
        <v>98961</v>
      </c>
      <c r="B32" s="189" t="s">
        <v>803</v>
      </c>
      <c r="C32" s="190">
        <v>666.7</v>
      </c>
      <c r="D32" s="191">
        <v>2366</v>
      </c>
      <c r="E32" s="192">
        <v>0</v>
      </c>
    </row>
    <row r="33" spans="1:5">
      <c r="A33" s="189">
        <v>99307</v>
      </c>
      <c r="B33" s="189" t="s">
        <v>763</v>
      </c>
      <c r="C33" s="190"/>
      <c r="D33" s="191">
        <v>484</v>
      </c>
      <c r="E33" s="192">
        <v>0</v>
      </c>
    </row>
    <row r="34" spans="1:5">
      <c r="A34" s="189">
        <v>98987</v>
      </c>
      <c r="B34" s="189" t="s">
        <v>764</v>
      </c>
      <c r="C34" s="190"/>
      <c r="D34" s="191">
        <v>500</v>
      </c>
      <c r="E34" s="192">
        <v>13</v>
      </c>
    </row>
    <row r="35" spans="1:5">
      <c r="A35" s="189">
        <v>98988</v>
      </c>
      <c r="B35" s="189" t="s">
        <v>765</v>
      </c>
      <c r="C35" s="190"/>
      <c r="D35" s="191">
        <v>218</v>
      </c>
      <c r="E35" s="192">
        <v>25</v>
      </c>
    </row>
    <row r="36" spans="1:5">
      <c r="A36" s="189">
        <v>99007</v>
      </c>
      <c r="B36" s="189" t="s">
        <v>766</v>
      </c>
      <c r="C36" s="190"/>
      <c r="D36" s="191">
        <v>283</v>
      </c>
      <c r="E36" s="192">
        <v>14</v>
      </c>
    </row>
    <row r="37" spans="1:5">
      <c r="A37" s="189">
        <v>98956</v>
      </c>
      <c r="B37" s="189" t="s">
        <v>767</v>
      </c>
      <c r="C37" s="190"/>
      <c r="D37" s="191">
        <v>699</v>
      </c>
      <c r="E37" s="192">
        <v>56</v>
      </c>
    </row>
    <row r="38" spans="1:5">
      <c r="A38" s="189">
        <v>98958</v>
      </c>
      <c r="B38" s="189" t="s">
        <v>768</v>
      </c>
      <c r="C38" s="190"/>
      <c r="D38" s="191">
        <v>2924</v>
      </c>
      <c r="E38" s="192">
        <v>174</v>
      </c>
    </row>
    <row r="39" spans="1:5">
      <c r="A39" s="189">
        <v>98959</v>
      </c>
      <c r="B39" s="189" t="s">
        <v>769</v>
      </c>
      <c r="C39" s="190"/>
      <c r="D39" s="191">
        <v>30</v>
      </c>
      <c r="E39" s="192">
        <v>0</v>
      </c>
    </row>
    <row r="40" spans="1:5">
      <c r="A40" s="189">
        <v>99093</v>
      </c>
      <c r="B40" s="189" t="s">
        <v>770</v>
      </c>
      <c r="C40" s="190"/>
      <c r="D40" s="191">
        <v>2615</v>
      </c>
      <c r="E40" s="192">
        <v>120</v>
      </c>
    </row>
    <row r="41" spans="1:5">
      <c r="A41" s="189">
        <v>99094</v>
      </c>
      <c r="B41" s="189" t="s">
        <v>771</v>
      </c>
      <c r="C41" s="190"/>
      <c r="D41" s="191">
        <v>2615</v>
      </c>
      <c r="E41" s="192">
        <v>120</v>
      </c>
    </row>
    <row r="42" spans="1:5">
      <c r="A42" s="189">
        <v>99095</v>
      </c>
      <c r="B42" s="189" t="s">
        <v>772</v>
      </c>
      <c r="C42" s="190"/>
      <c r="D42" s="191">
        <v>796</v>
      </c>
      <c r="E42" s="192">
        <v>20</v>
      </c>
    </row>
    <row r="43" spans="1:5">
      <c r="A43" s="189">
        <v>98801</v>
      </c>
      <c r="B43" s="189" t="s">
        <v>773</v>
      </c>
      <c r="C43" s="190">
        <v>184.76</v>
      </c>
      <c r="D43" s="191">
        <v>4408</v>
      </c>
      <c r="E43" s="192">
        <v>189</v>
      </c>
    </row>
    <row r="44" spans="1:5">
      <c r="A44" s="189">
        <v>94601</v>
      </c>
      <c r="B44" s="189" t="s">
        <v>804</v>
      </c>
      <c r="C44" s="190">
        <v>890.66</v>
      </c>
      <c r="D44" s="191">
        <v>1958</v>
      </c>
      <c r="E44" s="192">
        <v>0</v>
      </c>
    </row>
    <row r="45" spans="1:5">
      <c r="A45" s="189">
        <v>99113</v>
      </c>
      <c r="B45" s="189" t="s">
        <v>774</v>
      </c>
      <c r="C45" s="190"/>
      <c r="D45" s="191">
        <v>146</v>
      </c>
      <c r="E45" s="192">
        <v>0</v>
      </c>
    </row>
    <row r="46" spans="1:5">
      <c r="A46" s="189">
        <v>99066</v>
      </c>
      <c r="B46" s="189" t="s">
        <v>775</v>
      </c>
      <c r="C46" s="190"/>
      <c r="D46" s="191">
        <v>392</v>
      </c>
      <c r="E46" s="192">
        <v>0</v>
      </c>
    </row>
    <row r="47" spans="1:5">
      <c r="A47" s="189">
        <v>99065</v>
      </c>
      <c r="B47" s="189" t="s">
        <v>776</v>
      </c>
      <c r="C47" s="190"/>
      <c r="D47" s="191"/>
      <c r="E47" s="192">
        <v>0</v>
      </c>
    </row>
    <row r="48" spans="1:5">
      <c r="A48" s="189">
        <v>99278</v>
      </c>
      <c r="B48" s="189" t="s">
        <v>777</v>
      </c>
      <c r="C48" s="190"/>
      <c r="D48" s="191">
        <v>6259</v>
      </c>
      <c r="E48" s="192">
        <v>390</v>
      </c>
    </row>
    <row r="49" spans="1:5">
      <c r="A49" s="189">
        <v>98990</v>
      </c>
      <c r="B49" s="189" t="s">
        <v>778</v>
      </c>
      <c r="C49" s="190"/>
      <c r="D49" s="191"/>
      <c r="E49" s="192">
        <v>0</v>
      </c>
    </row>
    <row r="50" spans="1:5">
      <c r="A50" s="189">
        <v>98976</v>
      </c>
      <c r="B50" s="189" t="s">
        <v>779</v>
      </c>
      <c r="C50" s="190"/>
      <c r="D50" s="191"/>
      <c r="E50" s="192">
        <v>0</v>
      </c>
    </row>
    <row r="51" spans="1:5">
      <c r="A51" s="189">
        <v>93901</v>
      </c>
      <c r="B51" s="189" t="s">
        <v>1122</v>
      </c>
      <c r="C51" s="190"/>
      <c r="D51" s="191"/>
      <c r="E51" s="192"/>
    </row>
    <row r="52" spans="1:5">
      <c r="A52" s="189">
        <v>99159</v>
      </c>
      <c r="B52" s="189" t="s">
        <v>780</v>
      </c>
      <c r="C52" s="190"/>
      <c r="D52" s="191">
        <v>4043</v>
      </c>
      <c r="E52" s="192">
        <v>180</v>
      </c>
    </row>
    <row r="53" spans="1:5">
      <c r="A53" s="189">
        <v>98955</v>
      </c>
      <c r="B53" s="189" t="s">
        <v>279</v>
      </c>
      <c r="C53" s="190"/>
      <c r="D53" s="191">
        <v>207</v>
      </c>
      <c r="E53" s="192">
        <v>10</v>
      </c>
    </row>
    <row r="54" spans="1:5">
      <c r="A54" s="189">
        <v>99269</v>
      </c>
      <c r="B54" s="189" t="s">
        <v>1123</v>
      </c>
      <c r="C54" s="190"/>
      <c r="D54" s="191"/>
      <c r="E54" s="191">
        <v>280</v>
      </c>
    </row>
    <row r="55" spans="1:5">
      <c r="A55" s="189">
        <v>92001</v>
      </c>
      <c r="B55" s="189" t="s">
        <v>231</v>
      </c>
      <c r="C55" s="190"/>
      <c r="D55" s="191"/>
      <c r="E55" s="192">
        <v>0</v>
      </c>
    </row>
    <row r="56" spans="1:5">
      <c r="A56" s="189">
        <v>99058</v>
      </c>
      <c r="B56" s="189" t="s">
        <v>781</v>
      </c>
      <c r="C56" s="190"/>
      <c r="D56" s="191">
        <v>1908</v>
      </c>
      <c r="E56" s="192">
        <v>0</v>
      </c>
    </row>
    <row r="57" spans="1:5">
      <c r="A57" s="189">
        <v>99186</v>
      </c>
      <c r="B57" s="189" t="s">
        <v>806</v>
      </c>
      <c r="C57" s="190">
        <v>529.1</v>
      </c>
      <c r="D57" s="191"/>
      <c r="E57" s="192">
        <v>180</v>
      </c>
    </row>
    <row r="58" spans="1:5">
      <c r="A58" s="189">
        <v>99288</v>
      </c>
      <c r="B58" s="189" t="s">
        <v>1117</v>
      </c>
      <c r="C58" s="190"/>
      <c r="D58" s="191"/>
      <c r="E58" s="192">
        <v>0</v>
      </c>
    </row>
    <row r="59" spans="1:5">
      <c r="A59" s="189">
        <v>99297</v>
      </c>
      <c r="B59" s="189" t="s">
        <v>782</v>
      </c>
      <c r="C59" s="190">
        <v>1651.55</v>
      </c>
      <c r="D59" s="191"/>
      <c r="E59" s="192">
        <v>0</v>
      </c>
    </row>
    <row r="60" spans="1:5">
      <c r="A60" s="189">
        <v>99122</v>
      </c>
      <c r="B60" s="189" t="s">
        <v>1240</v>
      </c>
      <c r="C60" s="190"/>
      <c r="D60" s="191"/>
      <c r="E60" s="192"/>
    </row>
    <row r="61" spans="1:5">
      <c r="A61" s="189">
        <v>99268</v>
      </c>
      <c r="B61" s="189" t="s">
        <v>1124</v>
      </c>
      <c r="C61" s="190"/>
      <c r="D61" s="191">
        <v>6624</v>
      </c>
      <c r="E61" s="191">
        <v>281</v>
      </c>
    </row>
    <row r="62" spans="1:5">
      <c r="A62" s="189">
        <v>99102</v>
      </c>
      <c r="B62" s="189" t="s">
        <v>783</v>
      </c>
      <c r="C62" s="190">
        <v>943.39</v>
      </c>
      <c r="D62" s="191">
        <v>38495</v>
      </c>
      <c r="E62" s="192">
        <v>0</v>
      </c>
    </row>
    <row r="63" spans="1:5">
      <c r="A63" s="189">
        <v>99259</v>
      </c>
      <c r="B63" s="189" t="s">
        <v>1101</v>
      </c>
      <c r="C63" s="190"/>
      <c r="D63" s="191"/>
      <c r="E63" s="192"/>
    </row>
    <row r="64" spans="1:5">
      <c r="A64" s="189">
        <v>95801</v>
      </c>
      <c r="B64" s="189" t="s">
        <v>1125</v>
      </c>
      <c r="C64" s="190"/>
      <c r="D64" s="191"/>
      <c r="E64" s="192"/>
    </row>
    <row r="65" spans="1:5">
      <c r="A65" s="189">
        <v>99132</v>
      </c>
      <c r="B65" s="189" t="s">
        <v>1102</v>
      </c>
      <c r="C65" s="190"/>
      <c r="D65" s="191"/>
      <c r="E65" s="192">
        <v>0</v>
      </c>
    </row>
    <row r="66" spans="1:5">
      <c r="A66" s="189">
        <v>99133</v>
      </c>
      <c r="B66" s="189" t="s">
        <v>1103</v>
      </c>
      <c r="C66" s="190"/>
      <c r="D66" s="191"/>
      <c r="E66" s="192">
        <v>0</v>
      </c>
    </row>
    <row r="67" spans="1:5">
      <c r="A67" s="189">
        <v>99128</v>
      </c>
      <c r="B67" s="189" t="s">
        <v>807</v>
      </c>
      <c r="C67" s="190"/>
      <c r="D67" s="191">
        <v>6243</v>
      </c>
      <c r="E67" s="192">
        <v>240</v>
      </c>
    </row>
    <row r="68" spans="1:5">
      <c r="A68" s="189">
        <v>99134</v>
      </c>
      <c r="B68" s="189" t="s">
        <v>808</v>
      </c>
      <c r="C68" s="190"/>
      <c r="D68" s="191">
        <v>1556</v>
      </c>
      <c r="E68" s="192">
        <v>0</v>
      </c>
    </row>
    <row r="69" spans="1:5">
      <c r="A69" s="189">
        <v>99256</v>
      </c>
      <c r="B69" s="189" t="s">
        <v>112</v>
      </c>
      <c r="C69" s="190">
        <v>178.47</v>
      </c>
      <c r="D69" s="191">
        <v>1846</v>
      </c>
      <c r="E69" s="192">
        <v>0</v>
      </c>
    </row>
    <row r="70" spans="1:5">
      <c r="A70" s="189">
        <v>98910</v>
      </c>
      <c r="B70" s="189" t="s">
        <v>809</v>
      </c>
      <c r="C70" s="190">
        <v>1553.9</v>
      </c>
      <c r="D70" s="191"/>
      <c r="E70" s="192">
        <v>120</v>
      </c>
    </row>
    <row r="71" spans="1:5">
      <c r="A71" s="189">
        <v>98401</v>
      </c>
      <c r="B71" s="189" t="s">
        <v>784</v>
      </c>
      <c r="C71" s="190"/>
      <c r="D71" s="191">
        <v>2602</v>
      </c>
      <c r="E71" s="192">
        <v>48</v>
      </c>
    </row>
    <row r="72" spans="1:5">
      <c r="A72" s="189">
        <v>96901</v>
      </c>
      <c r="B72" s="189" t="s">
        <v>785</v>
      </c>
      <c r="C72" s="190"/>
      <c r="D72" s="191">
        <v>1784</v>
      </c>
      <c r="E72" s="192">
        <v>30</v>
      </c>
    </row>
    <row r="73" spans="1:5">
      <c r="A73" s="189">
        <v>99101</v>
      </c>
      <c r="B73" s="189" t="s">
        <v>810</v>
      </c>
      <c r="C73" s="190"/>
      <c r="D73" s="191"/>
      <c r="E73" s="192">
        <v>0</v>
      </c>
    </row>
    <row r="74" spans="1:5">
      <c r="A74" s="189">
        <v>99026</v>
      </c>
      <c r="B74" s="189" t="s">
        <v>812</v>
      </c>
      <c r="C74" s="190">
        <v>159.72999999999999</v>
      </c>
      <c r="D74" s="191"/>
      <c r="E74" s="192">
        <v>0</v>
      </c>
    </row>
    <row r="75" spans="1:5">
      <c r="A75" s="189">
        <v>99246</v>
      </c>
      <c r="B75" s="189" t="s">
        <v>786</v>
      </c>
      <c r="C75" s="190">
        <v>177.68</v>
      </c>
      <c r="D75" s="191">
        <v>13274</v>
      </c>
      <c r="E75" s="192">
        <v>750</v>
      </c>
    </row>
    <row r="76" spans="1:5">
      <c r="A76" s="189">
        <v>99312</v>
      </c>
      <c r="B76" s="189" t="s">
        <v>787</v>
      </c>
      <c r="C76" s="190"/>
      <c r="D76" s="191">
        <v>22</v>
      </c>
      <c r="E76" s="192">
        <v>0</v>
      </c>
    </row>
    <row r="77" spans="1:5">
      <c r="A77" s="189">
        <v>99140</v>
      </c>
      <c r="B77" s="189" t="s">
        <v>813</v>
      </c>
      <c r="C77" s="190"/>
      <c r="D77" s="191"/>
      <c r="E77" s="192">
        <v>0</v>
      </c>
    </row>
    <row r="78" spans="1:5">
      <c r="A78" s="189">
        <v>98979</v>
      </c>
      <c r="B78" s="189" t="s">
        <v>309</v>
      </c>
      <c r="C78" s="190"/>
      <c r="D78" s="191">
        <v>238</v>
      </c>
      <c r="E78" s="192">
        <v>0</v>
      </c>
    </row>
    <row r="79" spans="1:5">
      <c r="A79" s="189">
        <v>34001</v>
      </c>
      <c r="B79" s="189" t="s">
        <v>814</v>
      </c>
      <c r="C79" s="190">
        <v>1176.7</v>
      </c>
      <c r="D79" s="191"/>
      <c r="E79" s="192">
        <v>0</v>
      </c>
    </row>
    <row r="80" spans="1:5">
      <c r="A80" s="189">
        <v>599109</v>
      </c>
      <c r="B80" s="189" t="s">
        <v>788</v>
      </c>
      <c r="C80" s="190">
        <v>188.78</v>
      </c>
      <c r="D80" s="191">
        <v>10548</v>
      </c>
      <c r="E80" s="192">
        <v>450</v>
      </c>
    </row>
    <row r="81" spans="1:5">
      <c r="A81" s="189">
        <v>699109</v>
      </c>
      <c r="B81" s="189" t="s">
        <v>789</v>
      </c>
      <c r="C81" s="190"/>
      <c r="D81" s="191">
        <v>1783</v>
      </c>
      <c r="E81" s="192">
        <v>0</v>
      </c>
    </row>
    <row r="82" spans="1:5">
      <c r="A82" s="189">
        <v>98915</v>
      </c>
      <c r="B82" s="189" t="s">
        <v>790</v>
      </c>
      <c r="C82" s="190"/>
      <c r="D82" s="191">
        <v>54</v>
      </c>
      <c r="E82" s="192">
        <v>0</v>
      </c>
    </row>
    <row r="83" spans="1:5">
      <c r="A83" s="189">
        <v>99270</v>
      </c>
      <c r="B83" s="189" t="s">
        <v>148</v>
      </c>
      <c r="C83" s="190">
        <v>1334.41</v>
      </c>
      <c r="D83" s="191">
        <v>50079</v>
      </c>
      <c r="E83" s="192">
        <v>630</v>
      </c>
    </row>
    <row r="84" spans="1:5">
      <c r="A84" s="189">
        <v>99247</v>
      </c>
      <c r="B84" s="189" t="s">
        <v>1126</v>
      </c>
      <c r="C84" s="190"/>
      <c r="D84" s="191"/>
      <c r="E84" s="192">
        <v>0</v>
      </c>
    </row>
    <row r="85" spans="1:5">
      <c r="A85" s="189">
        <v>98983</v>
      </c>
      <c r="B85" s="189" t="s">
        <v>1104</v>
      </c>
      <c r="C85" s="190"/>
      <c r="D85" s="191"/>
      <c r="E85" s="192">
        <v>0</v>
      </c>
    </row>
    <row r="86" spans="1:5">
      <c r="A86" s="189">
        <v>99161</v>
      </c>
      <c r="B86" s="189" t="s">
        <v>817</v>
      </c>
      <c r="C86" s="190">
        <v>333.48</v>
      </c>
      <c r="D86" s="191"/>
      <c r="E86" s="192">
        <v>52</v>
      </c>
    </row>
    <row r="87" spans="1:5">
      <c r="A87" s="189">
        <v>99305</v>
      </c>
      <c r="B87" s="189" t="s">
        <v>818</v>
      </c>
      <c r="C87" s="190"/>
      <c r="D87" s="191"/>
      <c r="E87" s="192">
        <v>0</v>
      </c>
    </row>
    <row r="88" spans="1:5">
      <c r="A88" s="189">
        <v>99302</v>
      </c>
      <c r="B88" s="189" t="s">
        <v>819</v>
      </c>
      <c r="C88" s="190"/>
      <c r="D88" s="191"/>
      <c r="E88" s="192">
        <v>0</v>
      </c>
    </row>
    <row r="89" spans="1:5">
      <c r="A89" s="189">
        <v>99296</v>
      </c>
      <c r="B89" s="189" t="s">
        <v>820</v>
      </c>
      <c r="C89" s="190"/>
      <c r="D89" s="191"/>
      <c r="E89" s="192">
        <v>0</v>
      </c>
    </row>
    <row r="90" spans="1:5">
      <c r="A90" s="189">
        <v>99194</v>
      </c>
      <c r="B90" s="189" t="s">
        <v>1105</v>
      </c>
      <c r="C90" s="190"/>
      <c r="D90" s="191"/>
      <c r="E90" s="192">
        <v>0</v>
      </c>
    </row>
    <row r="91" spans="1:5">
      <c r="A91" s="189">
        <v>99158</v>
      </c>
      <c r="B91" s="189" t="s">
        <v>1291</v>
      </c>
      <c r="C91" s="190"/>
      <c r="D91" s="191"/>
      <c r="E91" s="192"/>
    </row>
    <row r="92" spans="1:5">
      <c r="A92" s="189">
        <v>99171</v>
      </c>
      <c r="B92" s="189" t="s">
        <v>821</v>
      </c>
      <c r="C92" s="190">
        <v>356.73</v>
      </c>
      <c r="D92" s="191"/>
      <c r="E92" s="192">
        <v>0</v>
      </c>
    </row>
    <row r="93" spans="1:5">
      <c r="A93" s="189">
        <v>99172</v>
      </c>
      <c r="B93" s="189" t="s">
        <v>1127</v>
      </c>
      <c r="C93" s="190"/>
      <c r="D93" s="191"/>
      <c r="E93" s="192">
        <v>0</v>
      </c>
    </row>
    <row r="94" spans="1:5" s="162" customFormat="1" ht="20">
      <c r="A94" s="189">
        <v>99173</v>
      </c>
      <c r="B94" s="189" t="s">
        <v>822</v>
      </c>
      <c r="C94" s="190">
        <v>178.95</v>
      </c>
      <c r="D94" s="191"/>
      <c r="E94" s="192">
        <v>0</v>
      </c>
    </row>
    <row r="95" spans="1:5">
      <c r="A95" s="189">
        <v>80001</v>
      </c>
      <c r="B95" s="189" t="s">
        <v>791</v>
      </c>
      <c r="C95" s="190"/>
      <c r="D95" s="191">
        <v>1820</v>
      </c>
      <c r="E95" s="192">
        <v>108</v>
      </c>
    </row>
    <row r="96" spans="1:5">
      <c r="A96" s="247" t="s">
        <v>625</v>
      </c>
      <c r="B96" s="247">
        <f>SUBTOTAL(103,Table4[Lease])</f>
        <v>91</v>
      </c>
      <c r="C96" s="248">
        <f>SUBTOTAL(109,Table4[OIL])</f>
        <v>14995.009999999998</v>
      </c>
      <c r="D96" s="249">
        <f>SUBTOTAL(109,Table4[GAS])</f>
        <v>188483</v>
      </c>
      <c r="E96" s="250">
        <f>SUBTOTAL(109,Table4[LEASE USE])</f>
        <v>5223</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30"/>
  <sheetViews>
    <sheetView workbookViewId="0">
      <pane ySplit="8" topLeftCell="A9" activePane="bottomLeft" state="frozen"/>
      <selection pane="bottomLeft" activeCell="F4" sqref="F4"/>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394</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395</v>
      </c>
      <c r="B3" s="13"/>
      <c r="C3" s="13"/>
      <c r="D3" s="13" t="s">
        <v>69</v>
      </c>
      <c r="E3" s="13"/>
      <c r="F3" s="13"/>
      <c r="G3" s="13"/>
      <c r="H3" s="13"/>
      <c r="I3" s="13"/>
      <c r="J3" s="14" t="s">
        <v>396</v>
      </c>
      <c r="K3" s="13"/>
      <c r="L3" s="13" t="s">
        <v>397</v>
      </c>
      <c r="M3" s="13"/>
      <c r="N3" s="13"/>
      <c r="O3" s="13"/>
      <c r="P3" s="13"/>
      <c r="Q3" s="13"/>
    </row>
    <row r="4" spans="1:17" ht="14">
      <c r="A4" s="13" t="s">
        <v>398</v>
      </c>
      <c r="B4" s="13"/>
      <c r="C4" s="13"/>
      <c r="D4" s="251" t="s">
        <v>1303</v>
      </c>
      <c r="E4" s="13"/>
      <c r="G4" s="13"/>
      <c r="H4" s="13"/>
      <c r="I4" s="13"/>
      <c r="J4" s="14" t="s">
        <v>399</v>
      </c>
      <c r="K4" s="13"/>
      <c r="L4" s="13" t="s">
        <v>400</v>
      </c>
      <c r="M4" s="13"/>
      <c r="N4" s="13"/>
      <c r="O4" s="13"/>
      <c r="P4" s="13"/>
      <c r="Q4" s="13"/>
    </row>
    <row r="6" spans="1:17" ht="14">
      <c r="A6" s="13"/>
      <c r="B6" s="13"/>
      <c r="C6" s="13"/>
      <c r="D6" s="13"/>
      <c r="E6" s="13"/>
      <c r="F6" s="13"/>
      <c r="G6" s="13"/>
      <c r="H6" s="13"/>
      <c r="I6" s="13"/>
      <c r="J6" s="14" t="s">
        <v>401</v>
      </c>
      <c r="K6" s="13"/>
      <c r="L6" s="13"/>
      <c r="M6" s="13"/>
      <c r="N6" s="13"/>
      <c r="O6" s="14" t="s">
        <v>402</v>
      </c>
      <c r="P6" s="13"/>
      <c r="Q6" s="13"/>
    </row>
    <row r="7" spans="1:17" ht="14">
      <c r="A7" s="13"/>
      <c r="B7" s="13"/>
      <c r="C7" s="13"/>
      <c r="D7" s="13"/>
      <c r="E7" s="13"/>
      <c r="F7" s="13"/>
      <c r="G7" s="13"/>
      <c r="H7" s="13"/>
      <c r="I7" s="13"/>
      <c r="J7" s="13"/>
      <c r="K7" s="13"/>
      <c r="L7" s="13" t="s">
        <v>403</v>
      </c>
      <c r="M7" s="13"/>
      <c r="N7" s="13"/>
      <c r="O7" s="13"/>
      <c r="P7" s="13" t="s">
        <v>403</v>
      </c>
      <c r="Q7" s="13"/>
    </row>
    <row r="8" spans="1:17" ht="14">
      <c r="A8" s="136" t="s">
        <v>404</v>
      </c>
      <c r="B8" s="136" t="s">
        <v>8</v>
      </c>
      <c r="C8" s="136" t="s">
        <v>7</v>
      </c>
      <c r="D8" s="136" t="s">
        <v>70</v>
      </c>
      <c r="E8" s="136" t="s">
        <v>47</v>
      </c>
      <c r="F8" s="136" t="s">
        <v>48</v>
      </c>
      <c r="G8" s="136" t="s">
        <v>71</v>
      </c>
      <c r="H8" s="136" t="s">
        <v>405</v>
      </c>
      <c r="I8" s="136" t="s">
        <v>406</v>
      </c>
      <c r="J8" s="136" t="s">
        <v>407</v>
      </c>
      <c r="K8" s="136" t="s">
        <v>408</v>
      </c>
      <c r="L8" s="136" t="s">
        <v>409</v>
      </c>
      <c r="M8" s="136" t="s">
        <v>410</v>
      </c>
      <c r="N8" s="136" t="s">
        <v>411</v>
      </c>
      <c r="O8" s="136" t="s">
        <v>412</v>
      </c>
      <c r="P8" s="136" t="s">
        <v>413</v>
      </c>
      <c r="Q8" s="136" t="s">
        <v>414</v>
      </c>
    </row>
    <row r="9" spans="1:17" s="199" customFormat="1">
      <c r="A9"/>
      <c r="B9" t="s">
        <v>72</v>
      </c>
      <c r="C9">
        <v>2</v>
      </c>
      <c r="D9">
        <v>127436</v>
      </c>
      <c r="E9" t="s">
        <v>73</v>
      </c>
      <c r="F9" t="s">
        <v>74</v>
      </c>
      <c r="G9" t="s">
        <v>75</v>
      </c>
      <c r="H9"/>
      <c r="I9"/>
      <c r="J9">
        <v>0</v>
      </c>
      <c r="K9">
        <v>0</v>
      </c>
      <c r="L9"/>
      <c r="M9"/>
      <c r="N9">
        <v>0</v>
      </c>
      <c r="O9">
        <v>0</v>
      </c>
      <c r="P9"/>
      <c r="Q9"/>
    </row>
    <row r="10" spans="1:17">
      <c r="B10" t="s">
        <v>72</v>
      </c>
      <c r="C10">
        <v>2</v>
      </c>
      <c r="D10">
        <v>272206</v>
      </c>
      <c r="E10" t="s">
        <v>76</v>
      </c>
      <c r="F10" t="s">
        <v>77</v>
      </c>
      <c r="G10" t="s">
        <v>78</v>
      </c>
      <c r="J10">
        <v>149</v>
      </c>
      <c r="K10">
        <v>0</v>
      </c>
      <c r="N10">
        <v>149</v>
      </c>
      <c r="O10">
        <v>0</v>
      </c>
    </row>
    <row r="11" spans="1:17">
      <c r="B11" t="s">
        <v>72</v>
      </c>
      <c r="C11">
        <v>2</v>
      </c>
      <c r="D11">
        <v>250887</v>
      </c>
      <c r="E11" t="s">
        <v>79</v>
      </c>
      <c r="F11" t="s">
        <v>80</v>
      </c>
      <c r="G11">
        <v>1</v>
      </c>
      <c r="J11">
        <v>0</v>
      </c>
      <c r="K11">
        <v>0</v>
      </c>
      <c r="N11">
        <v>0</v>
      </c>
      <c r="O11" s="150">
        <v>4660</v>
      </c>
      <c r="P11">
        <v>217</v>
      </c>
      <c r="Q11">
        <v>1</v>
      </c>
    </row>
    <row r="12" spans="1:17">
      <c r="P12" s="150">
        <v>4443</v>
      </c>
      <c r="Q12">
        <v>2</v>
      </c>
    </row>
    <row r="13" spans="1:17">
      <c r="B13" t="s">
        <v>72</v>
      </c>
      <c r="C13">
        <v>2</v>
      </c>
      <c r="D13">
        <v>270531</v>
      </c>
      <c r="E13" t="s">
        <v>81</v>
      </c>
      <c r="F13" t="s">
        <v>82</v>
      </c>
      <c r="G13" t="s">
        <v>83</v>
      </c>
      <c r="J13">
        <v>26</v>
      </c>
      <c r="K13">
        <v>0</v>
      </c>
      <c r="N13">
        <v>26</v>
      </c>
      <c r="O13">
        <v>0</v>
      </c>
    </row>
    <row r="14" spans="1:17">
      <c r="B14" t="s">
        <v>72</v>
      </c>
      <c r="C14">
        <v>2</v>
      </c>
      <c r="D14">
        <v>200152</v>
      </c>
      <c r="E14" t="s">
        <v>84</v>
      </c>
      <c r="F14" t="s">
        <v>85</v>
      </c>
      <c r="G14">
        <v>1</v>
      </c>
      <c r="J14">
        <v>0</v>
      </c>
      <c r="K14">
        <v>0</v>
      </c>
      <c r="N14">
        <v>0</v>
      </c>
      <c r="O14">
        <v>0</v>
      </c>
    </row>
    <row r="15" spans="1:17">
      <c r="B15" t="s">
        <v>72</v>
      </c>
      <c r="C15">
        <v>2</v>
      </c>
      <c r="D15">
        <v>258014</v>
      </c>
      <c r="E15" t="s">
        <v>87</v>
      </c>
      <c r="F15" t="s">
        <v>88</v>
      </c>
      <c r="G15">
        <v>1</v>
      </c>
      <c r="J15">
        <v>132</v>
      </c>
      <c r="K15">
        <v>0</v>
      </c>
      <c r="N15">
        <v>132</v>
      </c>
      <c r="O15">
        <v>0</v>
      </c>
    </row>
    <row r="16" spans="1:17">
      <c r="B16" t="s">
        <v>89</v>
      </c>
      <c r="C16">
        <v>2</v>
      </c>
      <c r="D16">
        <v>394</v>
      </c>
      <c r="E16" t="s">
        <v>90</v>
      </c>
      <c r="F16" t="s">
        <v>91</v>
      </c>
      <c r="J16">
        <v>231</v>
      </c>
      <c r="K16">
        <v>743</v>
      </c>
      <c r="N16">
        <v>974</v>
      </c>
      <c r="O16">
        <v>0</v>
      </c>
    </row>
    <row r="17" spans="2:17">
      <c r="B17" t="s">
        <v>72</v>
      </c>
      <c r="C17">
        <v>2</v>
      </c>
      <c r="D17">
        <v>207897</v>
      </c>
      <c r="E17" t="s">
        <v>92</v>
      </c>
      <c r="F17" t="s">
        <v>93</v>
      </c>
      <c r="G17">
        <v>1</v>
      </c>
      <c r="J17">
        <v>0</v>
      </c>
      <c r="K17">
        <v>0</v>
      </c>
      <c r="N17">
        <v>0</v>
      </c>
      <c r="O17">
        <v>0</v>
      </c>
    </row>
    <row r="18" spans="2:17">
      <c r="B18" t="s">
        <v>72</v>
      </c>
      <c r="C18">
        <v>2</v>
      </c>
      <c r="D18">
        <v>145447</v>
      </c>
      <c r="E18" t="s">
        <v>94</v>
      </c>
      <c r="F18" t="s">
        <v>91</v>
      </c>
      <c r="G18">
        <v>5</v>
      </c>
      <c r="J18">
        <v>0</v>
      </c>
      <c r="K18">
        <v>0</v>
      </c>
      <c r="N18">
        <v>0</v>
      </c>
      <c r="O18">
        <v>0</v>
      </c>
    </row>
    <row r="19" spans="2:17">
      <c r="B19" t="s">
        <v>89</v>
      </c>
      <c r="C19">
        <v>2</v>
      </c>
      <c r="D19">
        <v>5446</v>
      </c>
      <c r="E19" t="s">
        <v>95</v>
      </c>
      <c r="F19" t="s">
        <v>96</v>
      </c>
      <c r="J19">
        <v>101</v>
      </c>
      <c r="K19">
        <v>16</v>
      </c>
      <c r="N19">
        <v>117</v>
      </c>
      <c r="O19">
        <v>0</v>
      </c>
    </row>
    <row r="20" spans="2:17">
      <c r="B20" t="s">
        <v>89</v>
      </c>
      <c r="C20">
        <v>2</v>
      </c>
      <c r="D20">
        <v>6169</v>
      </c>
      <c r="E20" t="s">
        <v>95</v>
      </c>
      <c r="F20" t="s">
        <v>97</v>
      </c>
      <c r="J20">
        <v>27</v>
      </c>
      <c r="K20">
        <v>21</v>
      </c>
      <c r="N20">
        <v>48</v>
      </c>
      <c r="O20">
        <v>0</v>
      </c>
    </row>
    <row r="21" spans="2:17">
      <c r="B21" t="s">
        <v>89</v>
      </c>
      <c r="C21">
        <v>2</v>
      </c>
      <c r="D21">
        <v>8462</v>
      </c>
      <c r="E21" t="s">
        <v>98</v>
      </c>
      <c r="F21" t="s">
        <v>96</v>
      </c>
      <c r="J21">
        <v>0</v>
      </c>
      <c r="K21">
        <v>0</v>
      </c>
      <c r="N21">
        <v>0</v>
      </c>
      <c r="O21">
        <v>0</v>
      </c>
    </row>
    <row r="22" spans="2:17">
      <c r="B22" t="s">
        <v>72</v>
      </c>
      <c r="C22">
        <v>2</v>
      </c>
      <c r="D22">
        <v>192476</v>
      </c>
      <c r="E22" t="s">
        <v>99</v>
      </c>
      <c r="F22" t="s">
        <v>100</v>
      </c>
      <c r="G22">
        <v>1</v>
      </c>
      <c r="J22">
        <v>116</v>
      </c>
      <c r="K22">
        <v>0</v>
      </c>
      <c r="N22">
        <v>116</v>
      </c>
      <c r="O22">
        <v>0</v>
      </c>
    </row>
    <row r="23" spans="2:17">
      <c r="B23" t="s">
        <v>72</v>
      </c>
      <c r="C23">
        <v>2</v>
      </c>
      <c r="D23">
        <v>245422</v>
      </c>
      <c r="E23" t="s">
        <v>101</v>
      </c>
      <c r="F23" t="s">
        <v>102</v>
      </c>
      <c r="G23">
        <v>1</v>
      </c>
      <c r="J23">
        <v>154</v>
      </c>
      <c r="K23">
        <v>554</v>
      </c>
      <c r="N23">
        <v>708</v>
      </c>
      <c r="O23" s="150">
        <v>42675</v>
      </c>
      <c r="P23" s="150">
        <v>42675</v>
      </c>
      <c r="Q23">
        <v>2</v>
      </c>
    </row>
    <row r="24" spans="2:17">
      <c r="B24" t="s">
        <v>89</v>
      </c>
      <c r="C24">
        <v>2</v>
      </c>
      <c r="D24">
        <v>8646</v>
      </c>
      <c r="E24" t="s">
        <v>103</v>
      </c>
      <c r="F24" t="s">
        <v>104</v>
      </c>
      <c r="J24">
        <v>123</v>
      </c>
      <c r="K24">
        <v>0</v>
      </c>
      <c r="N24">
        <v>123</v>
      </c>
      <c r="O24">
        <v>0</v>
      </c>
    </row>
    <row r="25" spans="2:17">
      <c r="B25" t="s">
        <v>72</v>
      </c>
      <c r="C25">
        <v>2</v>
      </c>
      <c r="D25">
        <v>52283</v>
      </c>
      <c r="E25" t="s">
        <v>105</v>
      </c>
      <c r="F25" t="s">
        <v>106</v>
      </c>
      <c r="G25">
        <v>1</v>
      </c>
      <c r="J25">
        <v>240</v>
      </c>
      <c r="K25">
        <v>0</v>
      </c>
      <c r="N25">
        <v>240</v>
      </c>
      <c r="O25">
        <v>0</v>
      </c>
    </row>
    <row r="26" spans="2:17">
      <c r="B26" t="s">
        <v>72</v>
      </c>
      <c r="C26">
        <v>2</v>
      </c>
      <c r="D26">
        <v>253815</v>
      </c>
      <c r="E26" t="s">
        <v>107</v>
      </c>
      <c r="F26" t="s">
        <v>108</v>
      </c>
      <c r="G26">
        <v>1</v>
      </c>
      <c r="J26">
        <v>0</v>
      </c>
      <c r="K26">
        <v>0</v>
      </c>
      <c r="N26">
        <v>0</v>
      </c>
      <c r="O26">
        <v>0</v>
      </c>
    </row>
    <row r="27" spans="2:17">
      <c r="B27" t="s">
        <v>72</v>
      </c>
      <c r="C27">
        <v>2</v>
      </c>
      <c r="D27">
        <v>172874</v>
      </c>
      <c r="E27" t="s">
        <v>109</v>
      </c>
      <c r="F27" t="s">
        <v>110</v>
      </c>
      <c r="G27">
        <v>1</v>
      </c>
      <c r="J27">
        <v>0</v>
      </c>
      <c r="K27">
        <v>0</v>
      </c>
      <c r="N27">
        <v>0</v>
      </c>
      <c r="O27">
        <v>0</v>
      </c>
    </row>
    <row r="28" spans="2:17">
      <c r="B28" t="s">
        <v>72</v>
      </c>
      <c r="C28">
        <v>2</v>
      </c>
      <c r="D28">
        <v>180461</v>
      </c>
      <c r="E28" t="s">
        <v>111</v>
      </c>
      <c r="F28" t="s">
        <v>110</v>
      </c>
      <c r="G28">
        <v>1</v>
      </c>
      <c r="I28">
        <v>5048</v>
      </c>
      <c r="J28">
        <v>200</v>
      </c>
      <c r="K28">
        <v>48</v>
      </c>
      <c r="N28">
        <v>248</v>
      </c>
      <c r="O28" s="150">
        <v>1896</v>
      </c>
      <c r="P28" s="150">
        <v>1896</v>
      </c>
      <c r="Q28">
        <v>2</v>
      </c>
    </row>
    <row r="29" spans="2:17">
      <c r="B29" t="s">
        <v>72</v>
      </c>
      <c r="C29">
        <v>2</v>
      </c>
      <c r="D29">
        <v>198005</v>
      </c>
      <c r="E29" t="s">
        <v>111</v>
      </c>
      <c r="F29" t="s">
        <v>112</v>
      </c>
      <c r="G29">
        <v>5</v>
      </c>
      <c r="I29">
        <v>5048</v>
      </c>
      <c r="J29">
        <v>0</v>
      </c>
      <c r="K29">
        <v>0</v>
      </c>
      <c r="N29">
        <v>0</v>
      </c>
      <c r="O29">
        <v>0</v>
      </c>
    </row>
    <row r="30" spans="2:17">
      <c r="B30" t="s">
        <v>72</v>
      </c>
      <c r="C30">
        <v>2</v>
      </c>
      <c r="D30">
        <v>286124</v>
      </c>
      <c r="E30" t="s">
        <v>113</v>
      </c>
      <c r="F30" t="s">
        <v>88</v>
      </c>
      <c r="G30">
        <v>1</v>
      </c>
      <c r="J30">
        <v>80</v>
      </c>
      <c r="K30">
        <v>0</v>
      </c>
      <c r="N30">
        <v>80</v>
      </c>
      <c r="O30">
        <v>0</v>
      </c>
    </row>
    <row r="31" spans="2:17">
      <c r="B31" t="s">
        <v>72</v>
      </c>
      <c r="C31">
        <v>2</v>
      </c>
      <c r="D31">
        <v>132690</v>
      </c>
      <c r="E31" t="s">
        <v>114</v>
      </c>
      <c r="F31" t="s">
        <v>115</v>
      </c>
      <c r="G31">
        <v>1</v>
      </c>
      <c r="I31">
        <v>5113</v>
      </c>
      <c r="J31">
        <v>84</v>
      </c>
      <c r="K31">
        <v>0</v>
      </c>
      <c r="N31">
        <v>84</v>
      </c>
      <c r="O31">
        <v>0</v>
      </c>
    </row>
    <row r="32" spans="2:17">
      <c r="B32" t="s">
        <v>72</v>
      </c>
      <c r="C32">
        <v>2</v>
      </c>
      <c r="D32">
        <v>189915</v>
      </c>
      <c r="E32" t="s">
        <v>114</v>
      </c>
      <c r="F32" t="s">
        <v>116</v>
      </c>
      <c r="G32">
        <v>2</v>
      </c>
      <c r="I32">
        <v>5113</v>
      </c>
      <c r="J32">
        <v>0</v>
      </c>
      <c r="K32">
        <v>0</v>
      </c>
      <c r="N32">
        <v>0</v>
      </c>
      <c r="O32">
        <v>0</v>
      </c>
    </row>
    <row r="33" spans="2:15">
      <c r="B33" t="s">
        <v>89</v>
      </c>
      <c r="C33">
        <v>2</v>
      </c>
      <c r="D33">
        <v>5086</v>
      </c>
      <c r="E33" t="s">
        <v>117</v>
      </c>
      <c r="F33" t="s">
        <v>118</v>
      </c>
      <c r="J33">
        <v>0</v>
      </c>
      <c r="K33">
        <v>0</v>
      </c>
      <c r="N33">
        <v>0</v>
      </c>
      <c r="O33">
        <v>0</v>
      </c>
    </row>
    <row r="34" spans="2:15">
      <c r="B34" t="s">
        <v>89</v>
      </c>
      <c r="C34">
        <v>2</v>
      </c>
      <c r="D34">
        <v>6739</v>
      </c>
      <c r="E34" t="s">
        <v>119</v>
      </c>
      <c r="F34" t="s">
        <v>120</v>
      </c>
      <c r="J34">
        <v>0</v>
      </c>
      <c r="K34">
        <v>0</v>
      </c>
      <c r="N34">
        <v>0</v>
      </c>
      <c r="O34">
        <v>0</v>
      </c>
    </row>
    <row r="35" spans="2:15">
      <c r="B35" t="s">
        <v>89</v>
      </c>
      <c r="C35">
        <v>2</v>
      </c>
      <c r="D35">
        <v>8169</v>
      </c>
      <c r="E35" t="s">
        <v>121</v>
      </c>
      <c r="F35" t="s">
        <v>120</v>
      </c>
      <c r="J35">
        <v>0</v>
      </c>
      <c r="K35">
        <v>0</v>
      </c>
      <c r="N35">
        <v>0</v>
      </c>
      <c r="O35">
        <v>0</v>
      </c>
    </row>
    <row r="36" spans="2:15">
      <c r="B36" t="s">
        <v>89</v>
      </c>
      <c r="C36">
        <v>2</v>
      </c>
      <c r="D36">
        <v>8635</v>
      </c>
      <c r="E36" t="s">
        <v>122</v>
      </c>
      <c r="F36" t="s">
        <v>123</v>
      </c>
      <c r="J36">
        <v>0</v>
      </c>
      <c r="K36">
        <v>0</v>
      </c>
      <c r="N36">
        <v>0</v>
      </c>
      <c r="O36">
        <v>0</v>
      </c>
    </row>
    <row r="37" spans="2:15">
      <c r="B37" t="s">
        <v>89</v>
      </c>
      <c r="C37">
        <v>2</v>
      </c>
      <c r="D37">
        <v>8247</v>
      </c>
      <c r="E37" t="s">
        <v>124</v>
      </c>
      <c r="F37" t="s">
        <v>123</v>
      </c>
      <c r="J37">
        <v>0</v>
      </c>
      <c r="K37">
        <v>0</v>
      </c>
      <c r="N37">
        <v>0</v>
      </c>
      <c r="O37">
        <v>0</v>
      </c>
    </row>
    <row r="38" spans="2:15">
      <c r="B38" t="s">
        <v>72</v>
      </c>
      <c r="C38">
        <v>2</v>
      </c>
      <c r="D38">
        <v>182045</v>
      </c>
      <c r="E38" t="s">
        <v>125</v>
      </c>
      <c r="F38" t="s">
        <v>123</v>
      </c>
      <c r="G38">
        <v>5</v>
      </c>
      <c r="J38">
        <v>0</v>
      </c>
      <c r="K38">
        <v>0</v>
      </c>
      <c r="N38">
        <v>0</v>
      </c>
      <c r="O38">
        <v>0</v>
      </c>
    </row>
    <row r="39" spans="2:15">
      <c r="B39" t="s">
        <v>89</v>
      </c>
      <c r="C39">
        <v>2</v>
      </c>
      <c r="D39">
        <v>4248</v>
      </c>
      <c r="E39" t="s">
        <v>126</v>
      </c>
      <c r="F39" t="s">
        <v>127</v>
      </c>
      <c r="J39">
        <v>213</v>
      </c>
      <c r="K39">
        <v>0</v>
      </c>
      <c r="N39">
        <v>213</v>
      </c>
      <c r="O39">
        <v>0</v>
      </c>
    </row>
    <row r="40" spans="2:15">
      <c r="B40" t="s">
        <v>72</v>
      </c>
      <c r="C40">
        <v>2</v>
      </c>
      <c r="D40">
        <v>184558</v>
      </c>
      <c r="E40" t="s">
        <v>128</v>
      </c>
      <c r="F40" t="s">
        <v>112</v>
      </c>
      <c r="G40">
        <v>3</v>
      </c>
      <c r="I40">
        <v>5048</v>
      </c>
      <c r="J40">
        <v>0</v>
      </c>
      <c r="K40">
        <v>0</v>
      </c>
      <c r="N40">
        <v>0</v>
      </c>
      <c r="O40">
        <v>0</v>
      </c>
    </row>
    <row r="41" spans="2:15">
      <c r="B41" t="s">
        <v>72</v>
      </c>
      <c r="C41">
        <v>2</v>
      </c>
      <c r="D41">
        <v>133437</v>
      </c>
      <c r="E41" t="s">
        <v>129</v>
      </c>
      <c r="F41" t="s">
        <v>130</v>
      </c>
      <c r="G41">
        <v>1</v>
      </c>
      <c r="J41">
        <v>166</v>
      </c>
      <c r="K41">
        <v>0</v>
      </c>
      <c r="N41">
        <v>166</v>
      </c>
      <c r="O41">
        <v>0</v>
      </c>
    </row>
    <row r="42" spans="2:15">
      <c r="B42" t="s">
        <v>72</v>
      </c>
      <c r="C42">
        <v>2</v>
      </c>
      <c r="D42">
        <v>264004</v>
      </c>
      <c r="E42" t="s">
        <v>131</v>
      </c>
      <c r="F42" t="s">
        <v>132</v>
      </c>
      <c r="G42">
        <v>1</v>
      </c>
      <c r="J42">
        <v>0</v>
      </c>
      <c r="K42">
        <v>0</v>
      </c>
      <c r="N42">
        <v>0</v>
      </c>
      <c r="O42">
        <v>0</v>
      </c>
    </row>
    <row r="43" spans="2:15">
      <c r="B43" t="s">
        <v>72</v>
      </c>
      <c r="C43">
        <v>2</v>
      </c>
      <c r="D43">
        <v>220079</v>
      </c>
      <c r="E43" t="s">
        <v>133</v>
      </c>
      <c r="F43" t="s">
        <v>134</v>
      </c>
      <c r="G43">
        <v>2</v>
      </c>
      <c r="J43">
        <v>0</v>
      </c>
      <c r="K43">
        <v>0</v>
      </c>
      <c r="N43">
        <v>0</v>
      </c>
      <c r="O43">
        <v>0</v>
      </c>
    </row>
    <row r="44" spans="2:15">
      <c r="B44" t="s">
        <v>89</v>
      </c>
      <c r="C44">
        <v>2</v>
      </c>
      <c r="D44">
        <v>10778</v>
      </c>
      <c r="E44" t="s">
        <v>135</v>
      </c>
      <c r="F44" t="s">
        <v>136</v>
      </c>
      <c r="J44">
        <v>0</v>
      </c>
      <c r="K44">
        <v>0</v>
      </c>
      <c r="N44">
        <v>0</v>
      </c>
      <c r="O44">
        <v>0</v>
      </c>
    </row>
    <row r="45" spans="2:15">
      <c r="B45" t="s">
        <v>72</v>
      </c>
      <c r="C45">
        <v>2</v>
      </c>
      <c r="D45">
        <v>280417</v>
      </c>
      <c r="E45" t="s">
        <v>135</v>
      </c>
      <c r="F45" t="s">
        <v>137</v>
      </c>
      <c r="G45">
        <v>1</v>
      </c>
      <c r="J45">
        <v>0</v>
      </c>
      <c r="K45">
        <v>0</v>
      </c>
      <c r="N45">
        <v>0</v>
      </c>
      <c r="O45">
        <v>0</v>
      </c>
    </row>
    <row r="46" spans="2:15">
      <c r="B46" t="s">
        <v>72</v>
      </c>
      <c r="C46">
        <v>2</v>
      </c>
      <c r="D46">
        <v>138470</v>
      </c>
      <c r="E46" t="s">
        <v>138</v>
      </c>
      <c r="F46" t="s">
        <v>139</v>
      </c>
      <c r="G46">
        <v>1</v>
      </c>
      <c r="J46">
        <v>0</v>
      </c>
      <c r="K46">
        <v>0</v>
      </c>
      <c r="N46">
        <v>0</v>
      </c>
      <c r="O46">
        <v>0</v>
      </c>
    </row>
    <row r="47" spans="2:15">
      <c r="B47" t="s">
        <v>72</v>
      </c>
      <c r="C47">
        <v>2</v>
      </c>
      <c r="D47">
        <v>53255</v>
      </c>
      <c r="E47" t="s">
        <v>140</v>
      </c>
      <c r="F47" t="s">
        <v>141</v>
      </c>
      <c r="G47">
        <v>1</v>
      </c>
      <c r="J47">
        <v>0</v>
      </c>
      <c r="K47">
        <v>0</v>
      </c>
      <c r="N47">
        <v>0</v>
      </c>
      <c r="O47">
        <v>0</v>
      </c>
    </row>
    <row r="48" spans="2:15">
      <c r="B48" t="s">
        <v>72</v>
      </c>
      <c r="C48">
        <v>2</v>
      </c>
      <c r="D48">
        <v>59225</v>
      </c>
      <c r="E48" t="s">
        <v>140</v>
      </c>
      <c r="F48" t="s">
        <v>141</v>
      </c>
      <c r="G48">
        <v>2</v>
      </c>
      <c r="J48">
        <v>0</v>
      </c>
      <c r="K48">
        <v>0</v>
      </c>
      <c r="N48">
        <v>0</v>
      </c>
      <c r="O48">
        <v>0</v>
      </c>
    </row>
    <row r="49" spans="2:17">
      <c r="B49" t="s">
        <v>72</v>
      </c>
      <c r="C49">
        <v>2</v>
      </c>
      <c r="D49">
        <v>174916</v>
      </c>
      <c r="E49" t="s">
        <v>140</v>
      </c>
      <c r="F49" t="s">
        <v>142</v>
      </c>
      <c r="G49">
        <v>4</v>
      </c>
      <c r="J49">
        <v>0</v>
      </c>
      <c r="K49">
        <v>0</v>
      </c>
      <c r="N49">
        <v>0</v>
      </c>
      <c r="O49">
        <v>0</v>
      </c>
    </row>
    <row r="50" spans="2:17">
      <c r="B50" t="s">
        <v>89</v>
      </c>
      <c r="C50">
        <v>2</v>
      </c>
      <c r="D50">
        <v>10230</v>
      </c>
      <c r="E50" t="s">
        <v>143</v>
      </c>
      <c r="F50" t="s">
        <v>144</v>
      </c>
      <c r="J50">
        <v>251</v>
      </c>
      <c r="K50">
        <v>48</v>
      </c>
      <c r="N50">
        <v>299</v>
      </c>
      <c r="O50">
        <v>0</v>
      </c>
    </row>
    <row r="51" spans="2:17">
      <c r="B51" t="s">
        <v>89</v>
      </c>
      <c r="C51">
        <v>3</v>
      </c>
      <c r="D51">
        <v>27142</v>
      </c>
      <c r="E51" t="s">
        <v>145</v>
      </c>
      <c r="F51" t="s">
        <v>146</v>
      </c>
      <c r="J51">
        <v>0</v>
      </c>
      <c r="K51">
        <v>0</v>
      </c>
      <c r="N51">
        <v>0</v>
      </c>
      <c r="O51">
        <v>0</v>
      </c>
    </row>
    <row r="52" spans="2:17">
      <c r="B52" t="s">
        <v>72</v>
      </c>
      <c r="C52">
        <v>3</v>
      </c>
      <c r="D52">
        <v>280236</v>
      </c>
      <c r="E52" t="s">
        <v>147</v>
      </c>
      <c r="F52" t="s">
        <v>148</v>
      </c>
      <c r="G52">
        <v>1</v>
      </c>
      <c r="J52">
        <v>218</v>
      </c>
      <c r="K52">
        <v>580</v>
      </c>
      <c r="N52">
        <v>798</v>
      </c>
      <c r="O52" s="150">
        <v>30117</v>
      </c>
      <c r="P52">
        <v>294</v>
      </c>
      <c r="Q52">
        <v>1</v>
      </c>
    </row>
    <row r="53" spans="2:17">
      <c r="P53" s="150">
        <v>29823</v>
      </c>
      <c r="Q53">
        <v>2</v>
      </c>
    </row>
    <row r="54" spans="2:17">
      <c r="B54" t="s">
        <v>72</v>
      </c>
      <c r="C54">
        <v>3</v>
      </c>
      <c r="D54">
        <v>253385</v>
      </c>
      <c r="E54" t="s">
        <v>149</v>
      </c>
      <c r="F54" t="s">
        <v>150</v>
      </c>
      <c r="G54">
        <v>1</v>
      </c>
      <c r="J54">
        <v>53</v>
      </c>
      <c r="K54">
        <v>0</v>
      </c>
      <c r="N54">
        <v>53</v>
      </c>
      <c r="O54">
        <v>0</v>
      </c>
    </row>
    <row r="55" spans="2:17">
      <c r="B55" t="s">
        <v>89</v>
      </c>
      <c r="C55">
        <v>3</v>
      </c>
      <c r="D55">
        <v>26482</v>
      </c>
      <c r="E55" t="s">
        <v>151</v>
      </c>
      <c r="F55" t="s">
        <v>152</v>
      </c>
      <c r="J55">
        <v>139</v>
      </c>
      <c r="K55">
        <v>0</v>
      </c>
      <c r="N55">
        <v>139</v>
      </c>
      <c r="O55">
        <v>0</v>
      </c>
    </row>
    <row r="56" spans="2:17">
      <c r="B56" t="s">
        <v>89</v>
      </c>
      <c r="C56">
        <v>3</v>
      </c>
      <c r="D56">
        <v>27150</v>
      </c>
      <c r="E56" t="s">
        <v>151</v>
      </c>
      <c r="F56" t="s">
        <v>153</v>
      </c>
      <c r="J56">
        <v>0</v>
      </c>
      <c r="K56">
        <v>0</v>
      </c>
      <c r="N56">
        <v>0</v>
      </c>
      <c r="O56">
        <v>0</v>
      </c>
    </row>
    <row r="57" spans="2:17">
      <c r="B57" t="s">
        <v>89</v>
      </c>
      <c r="C57">
        <v>3</v>
      </c>
      <c r="D57">
        <v>26262</v>
      </c>
      <c r="E57" t="s">
        <v>154</v>
      </c>
      <c r="F57" t="s">
        <v>152</v>
      </c>
      <c r="J57">
        <v>28</v>
      </c>
      <c r="K57">
        <v>0</v>
      </c>
      <c r="N57">
        <v>28</v>
      </c>
      <c r="O57">
        <v>0</v>
      </c>
    </row>
    <row r="58" spans="2:17">
      <c r="B58" t="s">
        <v>89</v>
      </c>
      <c r="C58">
        <v>3</v>
      </c>
      <c r="D58">
        <v>27348</v>
      </c>
      <c r="E58" t="s">
        <v>154</v>
      </c>
      <c r="F58" t="s">
        <v>155</v>
      </c>
      <c r="J58">
        <v>51</v>
      </c>
      <c r="K58">
        <v>0</v>
      </c>
      <c r="N58">
        <v>51</v>
      </c>
      <c r="O58">
        <v>0</v>
      </c>
    </row>
    <row r="59" spans="2:17">
      <c r="B59" t="s">
        <v>72</v>
      </c>
      <c r="C59">
        <v>3</v>
      </c>
      <c r="D59">
        <v>223401</v>
      </c>
      <c r="E59" t="s">
        <v>156</v>
      </c>
      <c r="F59" t="s">
        <v>157</v>
      </c>
      <c r="G59">
        <v>5</v>
      </c>
      <c r="J59">
        <v>0</v>
      </c>
      <c r="K59">
        <v>0</v>
      </c>
      <c r="N59">
        <v>0</v>
      </c>
      <c r="O59">
        <v>0</v>
      </c>
    </row>
    <row r="60" spans="2:17">
      <c r="B60" t="s">
        <v>89</v>
      </c>
      <c r="C60">
        <v>3</v>
      </c>
      <c r="D60">
        <v>27617</v>
      </c>
      <c r="E60" t="s">
        <v>1248</v>
      </c>
      <c r="F60" t="s">
        <v>1249</v>
      </c>
      <c r="J60">
        <v>257</v>
      </c>
      <c r="K60">
        <v>0</v>
      </c>
      <c r="N60">
        <v>257</v>
      </c>
      <c r="O60">
        <v>0</v>
      </c>
    </row>
    <row r="61" spans="2:17">
      <c r="B61" t="s">
        <v>89</v>
      </c>
      <c r="C61">
        <v>3</v>
      </c>
      <c r="D61">
        <v>26909</v>
      </c>
      <c r="E61" t="s">
        <v>158</v>
      </c>
      <c r="F61" t="s">
        <v>152</v>
      </c>
      <c r="J61">
        <v>32</v>
      </c>
      <c r="K61">
        <v>0</v>
      </c>
      <c r="N61">
        <v>32</v>
      </c>
      <c r="O61">
        <v>0</v>
      </c>
    </row>
    <row r="62" spans="2:17">
      <c r="B62" t="s">
        <v>72</v>
      </c>
      <c r="C62">
        <v>3</v>
      </c>
      <c r="D62">
        <v>233975</v>
      </c>
      <c r="E62" t="s">
        <v>159</v>
      </c>
      <c r="F62" t="s">
        <v>160</v>
      </c>
      <c r="G62">
        <v>1</v>
      </c>
      <c r="J62">
        <v>0</v>
      </c>
      <c r="K62">
        <v>0</v>
      </c>
      <c r="N62">
        <v>0</v>
      </c>
      <c r="O62">
        <v>0</v>
      </c>
    </row>
    <row r="63" spans="2:17">
      <c r="B63" t="s">
        <v>72</v>
      </c>
      <c r="C63">
        <v>3</v>
      </c>
      <c r="D63">
        <v>250605</v>
      </c>
      <c r="E63" t="s">
        <v>161</v>
      </c>
      <c r="F63" t="s">
        <v>162</v>
      </c>
      <c r="G63">
        <v>7</v>
      </c>
      <c r="J63">
        <v>0</v>
      </c>
      <c r="K63">
        <v>0</v>
      </c>
      <c r="N63">
        <v>0</v>
      </c>
      <c r="O63">
        <v>0</v>
      </c>
    </row>
    <row r="64" spans="2:17">
      <c r="B64" t="s">
        <v>89</v>
      </c>
      <c r="C64">
        <v>3</v>
      </c>
      <c r="D64">
        <v>27151</v>
      </c>
      <c r="E64" t="s">
        <v>163</v>
      </c>
      <c r="F64" t="s">
        <v>164</v>
      </c>
      <c r="J64">
        <v>108</v>
      </c>
      <c r="K64">
        <v>0</v>
      </c>
      <c r="N64">
        <v>108</v>
      </c>
      <c r="O64">
        <v>0</v>
      </c>
    </row>
    <row r="65" spans="2:17">
      <c r="B65" t="s">
        <v>72</v>
      </c>
      <c r="C65">
        <v>3</v>
      </c>
      <c r="D65">
        <v>192497</v>
      </c>
      <c r="E65" t="s">
        <v>165</v>
      </c>
      <c r="F65" t="s">
        <v>166</v>
      </c>
      <c r="G65">
        <v>1</v>
      </c>
      <c r="J65">
        <v>0</v>
      </c>
      <c r="K65">
        <v>0</v>
      </c>
      <c r="N65">
        <v>0</v>
      </c>
      <c r="O65">
        <v>0</v>
      </c>
    </row>
    <row r="66" spans="2:17">
      <c r="B66" t="s">
        <v>89</v>
      </c>
      <c r="C66">
        <v>3</v>
      </c>
      <c r="D66">
        <v>21610</v>
      </c>
      <c r="E66" t="s">
        <v>167</v>
      </c>
      <c r="F66" t="s">
        <v>168</v>
      </c>
      <c r="J66">
        <v>154</v>
      </c>
      <c r="K66">
        <v>0</v>
      </c>
      <c r="N66">
        <v>154</v>
      </c>
      <c r="O66">
        <v>0</v>
      </c>
    </row>
    <row r="67" spans="2:17">
      <c r="B67" t="s">
        <v>72</v>
      </c>
      <c r="C67">
        <v>3</v>
      </c>
      <c r="D67">
        <v>272614</v>
      </c>
      <c r="E67" t="s">
        <v>169</v>
      </c>
      <c r="F67" t="s">
        <v>170</v>
      </c>
      <c r="G67">
        <v>1</v>
      </c>
      <c r="J67">
        <v>0</v>
      </c>
      <c r="K67">
        <v>0</v>
      </c>
      <c r="N67">
        <v>0</v>
      </c>
      <c r="O67">
        <v>0</v>
      </c>
    </row>
    <row r="68" spans="2:17">
      <c r="B68" t="s">
        <v>72</v>
      </c>
      <c r="C68">
        <v>3</v>
      </c>
      <c r="D68">
        <v>279199</v>
      </c>
      <c r="E68" t="s">
        <v>171</v>
      </c>
      <c r="F68" t="s">
        <v>170</v>
      </c>
      <c r="G68">
        <v>2</v>
      </c>
      <c r="J68">
        <v>100</v>
      </c>
      <c r="K68">
        <v>217</v>
      </c>
      <c r="N68">
        <v>317</v>
      </c>
      <c r="O68" s="150">
        <v>1969</v>
      </c>
      <c r="P68" s="150">
        <v>1969</v>
      </c>
      <c r="Q68">
        <v>2</v>
      </c>
    </row>
    <row r="69" spans="2:17">
      <c r="B69" t="s">
        <v>89</v>
      </c>
      <c r="C69">
        <v>3</v>
      </c>
      <c r="D69">
        <v>15252</v>
      </c>
      <c r="E69" t="s">
        <v>172</v>
      </c>
      <c r="F69" t="s">
        <v>173</v>
      </c>
      <c r="J69">
        <v>0</v>
      </c>
      <c r="K69">
        <v>0</v>
      </c>
      <c r="N69">
        <v>0</v>
      </c>
      <c r="O69">
        <v>0</v>
      </c>
    </row>
    <row r="70" spans="2:17">
      <c r="B70" t="s">
        <v>72</v>
      </c>
      <c r="C70">
        <v>3</v>
      </c>
      <c r="D70">
        <v>206045</v>
      </c>
      <c r="E70" t="s">
        <v>174</v>
      </c>
      <c r="F70" t="s">
        <v>175</v>
      </c>
      <c r="G70" t="s">
        <v>176</v>
      </c>
      <c r="J70">
        <v>149</v>
      </c>
      <c r="K70">
        <v>25</v>
      </c>
      <c r="N70">
        <v>174</v>
      </c>
      <c r="O70" s="150">
        <v>7312</v>
      </c>
      <c r="P70">
        <v>403</v>
      </c>
      <c r="Q70">
        <v>1</v>
      </c>
    </row>
    <row r="71" spans="2:17">
      <c r="P71" s="150">
        <v>6909</v>
      </c>
      <c r="Q71">
        <v>2</v>
      </c>
    </row>
    <row r="72" spans="2:17">
      <c r="B72" t="s">
        <v>72</v>
      </c>
      <c r="C72">
        <v>3</v>
      </c>
      <c r="D72">
        <v>188081</v>
      </c>
      <c r="E72" t="s">
        <v>177</v>
      </c>
      <c r="F72" t="s">
        <v>157</v>
      </c>
      <c r="G72">
        <v>1</v>
      </c>
      <c r="J72">
        <v>0</v>
      </c>
      <c r="K72">
        <v>0</v>
      </c>
      <c r="N72">
        <v>0</v>
      </c>
      <c r="O72">
        <v>0</v>
      </c>
    </row>
    <row r="73" spans="2:17">
      <c r="B73" t="s">
        <v>72</v>
      </c>
      <c r="C73">
        <v>3</v>
      </c>
      <c r="D73">
        <v>160307</v>
      </c>
      <c r="E73" t="s">
        <v>178</v>
      </c>
      <c r="F73" t="s">
        <v>179</v>
      </c>
      <c r="G73">
        <v>1</v>
      </c>
      <c r="J73">
        <v>173</v>
      </c>
      <c r="K73">
        <v>0</v>
      </c>
      <c r="N73">
        <v>173</v>
      </c>
      <c r="O73">
        <v>0</v>
      </c>
    </row>
    <row r="74" spans="2:17">
      <c r="B74" t="s">
        <v>89</v>
      </c>
      <c r="C74">
        <v>3</v>
      </c>
      <c r="D74">
        <v>27285</v>
      </c>
      <c r="E74" t="s">
        <v>180</v>
      </c>
      <c r="F74" t="s">
        <v>181</v>
      </c>
      <c r="J74">
        <v>432</v>
      </c>
      <c r="K74">
        <v>3</v>
      </c>
      <c r="N74">
        <v>435</v>
      </c>
      <c r="O74">
        <v>1</v>
      </c>
      <c r="P74">
        <v>1</v>
      </c>
      <c r="Q74">
        <v>1</v>
      </c>
    </row>
    <row r="75" spans="2:17">
      <c r="B75" t="s">
        <v>89</v>
      </c>
      <c r="C75">
        <v>3</v>
      </c>
      <c r="D75">
        <v>27418</v>
      </c>
      <c r="E75" t="s">
        <v>182</v>
      </c>
      <c r="F75" t="s">
        <v>181</v>
      </c>
      <c r="J75">
        <v>182</v>
      </c>
      <c r="K75">
        <v>0</v>
      </c>
      <c r="N75">
        <v>182</v>
      </c>
      <c r="O75">
        <v>0</v>
      </c>
    </row>
    <row r="76" spans="2:17">
      <c r="B76" t="s">
        <v>72</v>
      </c>
      <c r="C76">
        <v>3</v>
      </c>
      <c r="D76">
        <v>282350</v>
      </c>
      <c r="E76" t="s">
        <v>182</v>
      </c>
      <c r="F76" t="s">
        <v>181</v>
      </c>
      <c r="G76" t="s">
        <v>183</v>
      </c>
      <c r="J76">
        <v>384</v>
      </c>
      <c r="K76">
        <v>0</v>
      </c>
      <c r="N76">
        <v>384</v>
      </c>
      <c r="O76">
        <v>857</v>
      </c>
      <c r="P76">
        <v>62</v>
      </c>
      <c r="Q76">
        <v>1</v>
      </c>
    </row>
    <row r="77" spans="2:17">
      <c r="P77">
        <v>795</v>
      </c>
      <c r="Q77">
        <v>2</v>
      </c>
    </row>
    <row r="78" spans="2:17">
      <c r="B78" t="s">
        <v>89</v>
      </c>
      <c r="C78">
        <v>3</v>
      </c>
      <c r="D78">
        <v>27236</v>
      </c>
      <c r="E78" t="s">
        <v>184</v>
      </c>
      <c r="F78" t="s">
        <v>181</v>
      </c>
      <c r="J78">
        <v>965</v>
      </c>
      <c r="K78">
        <v>868</v>
      </c>
      <c r="N78" s="150">
        <v>1833</v>
      </c>
      <c r="O78" s="150">
        <v>1172</v>
      </c>
      <c r="P78">
        <v>31</v>
      </c>
      <c r="Q78">
        <v>1</v>
      </c>
    </row>
    <row r="79" spans="2:17">
      <c r="P79" s="150">
        <v>1141</v>
      </c>
      <c r="Q79">
        <v>2</v>
      </c>
    </row>
    <row r="80" spans="2:17">
      <c r="B80" t="s">
        <v>89</v>
      </c>
      <c r="C80">
        <v>3</v>
      </c>
      <c r="D80">
        <v>26501</v>
      </c>
      <c r="E80" t="s">
        <v>187</v>
      </c>
      <c r="F80" t="s">
        <v>188</v>
      </c>
      <c r="J80">
        <v>114</v>
      </c>
      <c r="K80">
        <v>0</v>
      </c>
      <c r="N80">
        <v>114</v>
      </c>
      <c r="O80">
        <v>0</v>
      </c>
    </row>
    <row r="81" spans="2:17">
      <c r="B81" t="s">
        <v>89</v>
      </c>
      <c r="C81">
        <v>3</v>
      </c>
      <c r="D81">
        <v>24455</v>
      </c>
      <c r="E81" t="s">
        <v>189</v>
      </c>
      <c r="F81" t="s">
        <v>190</v>
      </c>
      <c r="J81">
        <v>0</v>
      </c>
      <c r="K81">
        <v>0</v>
      </c>
      <c r="N81">
        <v>0</v>
      </c>
      <c r="O81">
        <v>0</v>
      </c>
    </row>
    <row r="82" spans="2:17">
      <c r="B82" t="s">
        <v>72</v>
      </c>
      <c r="C82">
        <v>3</v>
      </c>
      <c r="D82">
        <v>278004</v>
      </c>
      <c r="E82" t="s">
        <v>189</v>
      </c>
      <c r="F82" t="s">
        <v>191</v>
      </c>
      <c r="G82">
        <v>3</v>
      </c>
      <c r="J82">
        <v>104</v>
      </c>
      <c r="K82">
        <v>23</v>
      </c>
      <c r="N82">
        <v>127</v>
      </c>
      <c r="O82">
        <v>929</v>
      </c>
      <c r="P82">
        <v>31</v>
      </c>
      <c r="Q82">
        <v>1</v>
      </c>
    </row>
    <row r="83" spans="2:17">
      <c r="P83">
        <v>898</v>
      </c>
      <c r="Q83">
        <v>2</v>
      </c>
    </row>
    <row r="84" spans="2:17">
      <c r="B84" t="s">
        <v>89</v>
      </c>
      <c r="C84">
        <v>3</v>
      </c>
      <c r="D84">
        <v>2099</v>
      </c>
      <c r="E84" t="s">
        <v>192</v>
      </c>
      <c r="F84" t="s">
        <v>193</v>
      </c>
      <c r="J84">
        <v>311</v>
      </c>
      <c r="K84">
        <v>32</v>
      </c>
      <c r="N84">
        <v>343</v>
      </c>
      <c r="O84">
        <v>0</v>
      </c>
    </row>
    <row r="85" spans="2:17">
      <c r="B85" t="s">
        <v>89</v>
      </c>
      <c r="C85">
        <v>3</v>
      </c>
      <c r="D85">
        <v>24246</v>
      </c>
      <c r="E85" t="s">
        <v>194</v>
      </c>
      <c r="F85" t="s">
        <v>195</v>
      </c>
      <c r="J85">
        <v>52</v>
      </c>
      <c r="K85">
        <v>0</v>
      </c>
      <c r="N85">
        <v>52</v>
      </c>
      <c r="O85">
        <v>0</v>
      </c>
    </row>
    <row r="86" spans="2:17">
      <c r="B86" t="s">
        <v>89</v>
      </c>
      <c r="C86">
        <v>3</v>
      </c>
      <c r="D86">
        <v>27279</v>
      </c>
      <c r="E86" t="s">
        <v>196</v>
      </c>
      <c r="F86" t="s">
        <v>197</v>
      </c>
      <c r="J86">
        <v>229</v>
      </c>
      <c r="K86">
        <v>0</v>
      </c>
      <c r="N86">
        <v>229</v>
      </c>
      <c r="O86">
        <v>0</v>
      </c>
    </row>
    <row r="87" spans="2:17">
      <c r="B87" t="s">
        <v>89</v>
      </c>
      <c r="C87">
        <v>3</v>
      </c>
      <c r="D87">
        <v>27495</v>
      </c>
      <c r="E87" t="s">
        <v>198</v>
      </c>
      <c r="F87" t="s">
        <v>199</v>
      </c>
      <c r="J87">
        <v>250</v>
      </c>
      <c r="K87">
        <v>2</v>
      </c>
      <c r="N87">
        <v>252</v>
      </c>
      <c r="O87">
        <v>0</v>
      </c>
    </row>
    <row r="88" spans="2:17">
      <c r="B88" t="s">
        <v>89</v>
      </c>
      <c r="C88">
        <v>3</v>
      </c>
      <c r="D88">
        <v>27499</v>
      </c>
      <c r="E88" t="s">
        <v>198</v>
      </c>
      <c r="F88" t="s">
        <v>200</v>
      </c>
      <c r="J88">
        <v>297</v>
      </c>
      <c r="K88">
        <v>15</v>
      </c>
      <c r="N88">
        <v>312</v>
      </c>
      <c r="O88">
        <v>0</v>
      </c>
    </row>
    <row r="89" spans="2:17">
      <c r="B89" t="s">
        <v>89</v>
      </c>
      <c r="C89">
        <v>3</v>
      </c>
      <c r="D89">
        <v>27401</v>
      </c>
      <c r="E89" t="s">
        <v>201</v>
      </c>
      <c r="F89" t="s">
        <v>202</v>
      </c>
      <c r="J89">
        <v>410</v>
      </c>
      <c r="K89">
        <v>18</v>
      </c>
      <c r="N89">
        <v>428</v>
      </c>
      <c r="O89">
        <v>0</v>
      </c>
    </row>
    <row r="90" spans="2:17">
      <c r="B90" t="s">
        <v>72</v>
      </c>
      <c r="C90">
        <v>3</v>
      </c>
      <c r="D90">
        <v>177442</v>
      </c>
      <c r="E90" t="s">
        <v>203</v>
      </c>
      <c r="F90" t="s">
        <v>204</v>
      </c>
      <c r="G90" t="s">
        <v>205</v>
      </c>
      <c r="J90">
        <v>0</v>
      </c>
      <c r="K90">
        <v>0</v>
      </c>
      <c r="N90">
        <v>0</v>
      </c>
      <c r="O90">
        <v>0</v>
      </c>
    </row>
    <row r="91" spans="2:17">
      <c r="B91" t="s">
        <v>72</v>
      </c>
      <c r="C91">
        <v>3</v>
      </c>
      <c r="D91">
        <v>284976</v>
      </c>
      <c r="E91" t="s">
        <v>206</v>
      </c>
      <c r="F91" t="s">
        <v>207</v>
      </c>
      <c r="G91" t="s">
        <v>208</v>
      </c>
      <c r="J91">
        <v>150</v>
      </c>
      <c r="K91">
        <v>0</v>
      </c>
      <c r="N91">
        <v>150</v>
      </c>
      <c r="O91">
        <v>0</v>
      </c>
    </row>
    <row r="92" spans="2:17">
      <c r="B92" t="s">
        <v>89</v>
      </c>
      <c r="C92">
        <v>3</v>
      </c>
      <c r="D92">
        <v>2812</v>
      </c>
      <c r="E92" t="s">
        <v>209</v>
      </c>
      <c r="F92" t="s">
        <v>210</v>
      </c>
      <c r="J92">
        <v>18</v>
      </c>
      <c r="K92">
        <v>0</v>
      </c>
      <c r="N92">
        <v>18</v>
      </c>
      <c r="O92">
        <v>0</v>
      </c>
    </row>
    <row r="93" spans="2:17">
      <c r="B93" t="s">
        <v>89</v>
      </c>
      <c r="C93">
        <v>3</v>
      </c>
      <c r="D93">
        <v>2817</v>
      </c>
      <c r="E93" t="s">
        <v>209</v>
      </c>
      <c r="F93" t="s">
        <v>220</v>
      </c>
      <c r="J93">
        <v>167</v>
      </c>
      <c r="K93">
        <v>266</v>
      </c>
      <c r="N93">
        <v>433</v>
      </c>
      <c r="O93">
        <v>124</v>
      </c>
      <c r="P93">
        <v>124</v>
      </c>
      <c r="Q93">
        <v>1</v>
      </c>
    </row>
    <row r="94" spans="2:17">
      <c r="B94" t="s">
        <v>89</v>
      </c>
      <c r="C94">
        <v>3</v>
      </c>
      <c r="D94">
        <v>26743</v>
      </c>
      <c r="E94" t="s">
        <v>209</v>
      </c>
      <c r="F94" t="s">
        <v>212</v>
      </c>
      <c r="J94">
        <v>0</v>
      </c>
      <c r="K94">
        <v>0</v>
      </c>
      <c r="N94">
        <v>0</v>
      </c>
      <c r="O94">
        <v>0</v>
      </c>
    </row>
    <row r="95" spans="2:17">
      <c r="B95" t="s">
        <v>89</v>
      </c>
      <c r="C95">
        <v>3</v>
      </c>
      <c r="D95">
        <v>27533</v>
      </c>
      <c r="E95" t="s">
        <v>209</v>
      </c>
      <c r="F95" t="s">
        <v>218</v>
      </c>
      <c r="J95">
        <v>92</v>
      </c>
      <c r="K95">
        <v>274</v>
      </c>
      <c r="N95">
        <v>366</v>
      </c>
      <c r="O95">
        <v>174</v>
      </c>
      <c r="P95">
        <v>174</v>
      </c>
      <c r="Q95">
        <v>1</v>
      </c>
    </row>
    <row r="96" spans="2:17">
      <c r="B96" t="s">
        <v>72</v>
      </c>
      <c r="C96">
        <v>3</v>
      </c>
      <c r="D96">
        <v>287522</v>
      </c>
      <c r="E96" t="s">
        <v>209</v>
      </c>
      <c r="F96" t="s">
        <v>211</v>
      </c>
      <c r="G96">
        <v>5</v>
      </c>
      <c r="J96">
        <v>81</v>
      </c>
      <c r="K96">
        <v>14</v>
      </c>
      <c r="N96">
        <v>95</v>
      </c>
      <c r="O96" s="150">
        <v>4494</v>
      </c>
      <c r="P96">
        <v>186</v>
      </c>
      <c r="Q96">
        <v>1</v>
      </c>
    </row>
    <row r="97" spans="2:17">
      <c r="P97" s="150">
        <v>4308</v>
      </c>
      <c r="Q97">
        <v>2</v>
      </c>
    </row>
    <row r="98" spans="2:17">
      <c r="B98" t="s">
        <v>72</v>
      </c>
      <c r="C98">
        <v>3</v>
      </c>
      <c r="D98">
        <v>133198</v>
      </c>
      <c r="E98" t="s">
        <v>214</v>
      </c>
      <c r="F98" t="s">
        <v>211</v>
      </c>
      <c r="G98">
        <v>7</v>
      </c>
      <c r="I98">
        <v>1471</v>
      </c>
      <c r="J98">
        <v>0</v>
      </c>
      <c r="K98">
        <v>0</v>
      </c>
      <c r="N98">
        <v>0</v>
      </c>
      <c r="O98">
        <v>0</v>
      </c>
    </row>
    <row r="99" spans="2:17">
      <c r="B99" t="s">
        <v>89</v>
      </c>
      <c r="C99">
        <v>3</v>
      </c>
      <c r="D99">
        <v>22393</v>
      </c>
      <c r="E99" t="s">
        <v>215</v>
      </c>
      <c r="F99" t="s">
        <v>216</v>
      </c>
      <c r="I99">
        <v>1471</v>
      </c>
      <c r="J99">
        <v>0</v>
      </c>
      <c r="K99">
        <v>0</v>
      </c>
      <c r="N99">
        <v>0</v>
      </c>
      <c r="O99">
        <v>0</v>
      </c>
    </row>
    <row r="100" spans="2:17">
      <c r="B100" t="s">
        <v>72</v>
      </c>
      <c r="C100">
        <v>3</v>
      </c>
      <c r="D100">
        <v>229081</v>
      </c>
      <c r="E100" t="s">
        <v>217</v>
      </c>
      <c r="F100" t="s">
        <v>218</v>
      </c>
      <c r="G100">
        <v>7</v>
      </c>
      <c r="J100">
        <v>0</v>
      </c>
      <c r="K100">
        <v>0</v>
      </c>
      <c r="N100">
        <v>0</v>
      </c>
      <c r="O100">
        <v>0</v>
      </c>
    </row>
    <row r="101" spans="2:17">
      <c r="B101" t="s">
        <v>89</v>
      </c>
      <c r="C101">
        <v>3</v>
      </c>
      <c r="D101">
        <v>26834</v>
      </c>
      <c r="E101" t="s">
        <v>221</v>
      </c>
      <c r="F101" t="s">
        <v>222</v>
      </c>
      <c r="J101">
        <v>86</v>
      </c>
      <c r="K101">
        <v>0</v>
      </c>
      <c r="N101">
        <v>86</v>
      </c>
      <c r="O101">
        <v>0</v>
      </c>
    </row>
    <row r="102" spans="2:17">
      <c r="B102" t="s">
        <v>89</v>
      </c>
      <c r="C102">
        <v>3</v>
      </c>
      <c r="D102">
        <v>26193</v>
      </c>
      <c r="E102" t="s">
        <v>223</v>
      </c>
      <c r="F102" t="s">
        <v>224</v>
      </c>
      <c r="J102">
        <v>68</v>
      </c>
      <c r="K102">
        <v>0</v>
      </c>
      <c r="N102">
        <v>68</v>
      </c>
      <c r="O102">
        <v>0</v>
      </c>
    </row>
    <row r="103" spans="2:17">
      <c r="B103" t="s">
        <v>72</v>
      </c>
      <c r="C103">
        <v>3</v>
      </c>
      <c r="D103">
        <v>275419</v>
      </c>
      <c r="E103" t="s">
        <v>225</v>
      </c>
      <c r="F103" t="s">
        <v>222</v>
      </c>
      <c r="G103" t="s">
        <v>226</v>
      </c>
      <c r="J103">
        <v>0</v>
      </c>
      <c r="K103">
        <v>0</v>
      </c>
      <c r="N103">
        <v>0</v>
      </c>
      <c r="O103">
        <v>0</v>
      </c>
    </row>
    <row r="104" spans="2:17">
      <c r="B104" t="s">
        <v>89</v>
      </c>
      <c r="C104">
        <v>3</v>
      </c>
      <c r="D104">
        <v>27736</v>
      </c>
      <c r="E104" t="s">
        <v>1283</v>
      </c>
      <c r="F104" t="s">
        <v>222</v>
      </c>
      <c r="J104">
        <v>147</v>
      </c>
      <c r="K104">
        <v>0</v>
      </c>
      <c r="N104">
        <v>147</v>
      </c>
      <c r="O104">
        <v>0</v>
      </c>
    </row>
    <row r="105" spans="2:17">
      <c r="B105" t="s">
        <v>72</v>
      </c>
      <c r="C105">
        <v>3</v>
      </c>
      <c r="D105">
        <v>139199</v>
      </c>
      <c r="E105" t="s">
        <v>227</v>
      </c>
      <c r="F105" t="s">
        <v>228</v>
      </c>
      <c r="G105">
        <v>1</v>
      </c>
      <c r="J105">
        <v>0</v>
      </c>
      <c r="K105">
        <v>0</v>
      </c>
      <c r="N105">
        <v>0</v>
      </c>
      <c r="O105">
        <v>0</v>
      </c>
    </row>
    <row r="106" spans="2:17">
      <c r="B106" t="s">
        <v>89</v>
      </c>
      <c r="C106">
        <v>3</v>
      </c>
      <c r="D106">
        <v>18769</v>
      </c>
      <c r="E106" t="s">
        <v>230</v>
      </c>
      <c r="F106" t="s">
        <v>231</v>
      </c>
      <c r="J106">
        <v>147</v>
      </c>
      <c r="K106">
        <v>24</v>
      </c>
      <c r="N106">
        <v>171</v>
      </c>
      <c r="O106">
        <v>0</v>
      </c>
    </row>
    <row r="107" spans="2:17">
      <c r="B107" t="s">
        <v>72</v>
      </c>
      <c r="C107">
        <v>3</v>
      </c>
      <c r="D107">
        <v>184787</v>
      </c>
      <c r="E107" t="s">
        <v>232</v>
      </c>
      <c r="F107" t="s">
        <v>233</v>
      </c>
      <c r="G107">
        <v>5</v>
      </c>
      <c r="J107">
        <v>121</v>
      </c>
      <c r="K107">
        <v>113</v>
      </c>
      <c r="N107">
        <v>234</v>
      </c>
      <c r="O107" s="150">
        <v>11293</v>
      </c>
      <c r="P107">
        <v>465</v>
      </c>
      <c r="Q107">
        <v>1</v>
      </c>
    </row>
    <row r="108" spans="2:17">
      <c r="P108" s="150">
        <v>10828</v>
      </c>
      <c r="Q108">
        <v>2</v>
      </c>
    </row>
    <row r="109" spans="2:17">
      <c r="B109" t="s">
        <v>72</v>
      </c>
      <c r="C109">
        <v>3</v>
      </c>
      <c r="D109">
        <v>113719</v>
      </c>
      <c r="E109" t="s">
        <v>234</v>
      </c>
      <c r="F109" t="s">
        <v>235</v>
      </c>
      <c r="G109">
        <v>23</v>
      </c>
      <c r="J109">
        <v>122</v>
      </c>
      <c r="K109">
        <v>1</v>
      </c>
      <c r="N109">
        <v>123</v>
      </c>
      <c r="O109" s="150">
        <v>1745</v>
      </c>
      <c r="P109" s="150">
        <v>1745</v>
      </c>
      <c r="Q109">
        <v>2</v>
      </c>
    </row>
    <row r="110" spans="2:17">
      <c r="B110" t="s">
        <v>72</v>
      </c>
      <c r="C110">
        <v>3</v>
      </c>
      <c r="D110">
        <v>38467</v>
      </c>
      <c r="E110" t="s">
        <v>236</v>
      </c>
      <c r="F110" t="s">
        <v>233</v>
      </c>
      <c r="G110">
        <v>3</v>
      </c>
      <c r="J110">
        <v>0</v>
      </c>
      <c r="K110">
        <v>0</v>
      </c>
      <c r="N110">
        <v>0</v>
      </c>
      <c r="O110">
        <v>0</v>
      </c>
    </row>
    <row r="111" spans="2:17">
      <c r="B111" t="s">
        <v>89</v>
      </c>
      <c r="C111">
        <v>3</v>
      </c>
      <c r="D111">
        <v>12721</v>
      </c>
      <c r="E111" t="s">
        <v>237</v>
      </c>
      <c r="F111" t="s">
        <v>238</v>
      </c>
      <c r="J111">
        <v>0</v>
      </c>
      <c r="K111">
        <v>0</v>
      </c>
      <c r="N111">
        <v>0</v>
      </c>
      <c r="O111">
        <v>0</v>
      </c>
    </row>
    <row r="112" spans="2:17">
      <c r="B112" t="s">
        <v>72</v>
      </c>
      <c r="C112">
        <v>3</v>
      </c>
      <c r="D112">
        <v>214543</v>
      </c>
      <c r="E112" t="s">
        <v>239</v>
      </c>
      <c r="F112" t="s">
        <v>240</v>
      </c>
      <c r="G112">
        <v>1</v>
      </c>
      <c r="J112">
        <v>0</v>
      </c>
      <c r="K112">
        <v>0</v>
      </c>
      <c r="N112">
        <v>0</v>
      </c>
      <c r="O112">
        <v>0</v>
      </c>
    </row>
    <row r="113" spans="2:17">
      <c r="B113" t="s">
        <v>72</v>
      </c>
      <c r="C113">
        <v>3</v>
      </c>
      <c r="D113">
        <v>235116</v>
      </c>
      <c r="E113" t="s">
        <v>241</v>
      </c>
      <c r="F113" t="s">
        <v>242</v>
      </c>
      <c r="G113">
        <v>2</v>
      </c>
      <c r="J113">
        <v>0</v>
      </c>
      <c r="K113">
        <v>0</v>
      </c>
      <c r="N113">
        <v>0</v>
      </c>
      <c r="O113">
        <v>0</v>
      </c>
    </row>
    <row r="114" spans="2:17">
      <c r="B114" t="s">
        <v>72</v>
      </c>
      <c r="C114">
        <v>3</v>
      </c>
      <c r="D114">
        <v>164970</v>
      </c>
      <c r="E114" t="s">
        <v>243</v>
      </c>
      <c r="F114" t="s">
        <v>244</v>
      </c>
      <c r="G114">
        <v>1</v>
      </c>
      <c r="J114">
        <v>127</v>
      </c>
      <c r="K114">
        <v>78</v>
      </c>
      <c r="N114">
        <v>205</v>
      </c>
      <c r="O114" s="150">
        <v>5557</v>
      </c>
      <c r="P114">
        <v>217</v>
      </c>
      <c r="Q114">
        <v>1</v>
      </c>
    </row>
    <row r="115" spans="2:17">
      <c r="P115" s="150">
        <v>5340</v>
      </c>
      <c r="Q115">
        <v>2</v>
      </c>
    </row>
    <row r="116" spans="2:17">
      <c r="B116" t="s">
        <v>89</v>
      </c>
      <c r="C116">
        <v>3</v>
      </c>
      <c r="D116">
        <v>24861</v>
      </c>
      <c r="E116" t="s">
        <v>245</v>
      </c>
      <c r="F116" t="s">
        <v>246</v>
      </c>
      <c r="J116">
        <v>45</v>
      </c>
      <c r="K116">
        <v>0</v>
      </c>
      <c r="N116">
        <v>45</v>
      </c>
      <c r="O116">
        <v>227</v>
      </c>
      <c r="P116">
        <v>31</v>
      </c>
      <c r="Q116">
        <v>1</v>
      </c>
    </row>
    <row r="117" spans="2:17">
      <c r="P117">
        <v>196</v>
      </c>
      <c r="Q117">
        <v>2</v>
      </c>
    </row>
    <row r="118" spans="2:17">
      <c r="B118" t="s">
        <v>72</v>
      </c>
      <c r="C118">
        <v>3</v>
      </c>
      <c r="D118">
        <v>194105</v>
      </c>
      <c r="E118" t="s">
        <v>247</v>
      </c>
      <c r="F118" t="s">
        <v>248</v>
      </c>
      <c r="G118">
        <v>2</v>
      </c>
      <c r="J118">
        <v>0</v>
      </c>
      <c r="K118">
        <v>0</v>
      </c>
      <c r="N118">
        <v>0</v>
      </c>
      <c r="O118">
        <v>0</v>
      </c>
    </row>
    <row r="119" spans="2:17">
      <c r="B119" t="s">
        <v>72</v>
      </c>
      <c r="C119">
        <v>3</v>
      </c>
      <c r="D119">
        <v>130820</v>
      </c>
      <c r="E119" t="s">
        <v>249</v>
      </c>
      <c r="F119" t="s">
        <v>248</v>
      </c>
      <c r="G119">
        <v>1</v>
      </c>
      <c r="J119">
        <v>0</v>
      </c>
      <c r="K119">
        <v>0</v>
      </c>
      <c r="N119">
        <v>0</v>
      </c>
      <c r="O119">
        <v>0</v>
      </c>
    </row>
    <row r="120" spans="2:17">
      <c r="B120" t="s">
        <v>72</v>
      </c>
      <c r="C120">
        <v>3</v>
      </c>
      <c r="D120">
        <v>284977</v>
      </c>
      <c r="E120" t="s">
        <v>250</v>
      </c>
      <c r="F120" t="s">
        <v>251</v>
      </c>
      <c r="G120" t="s">
        <v>252</v>
      </c>
      <c r="J120">
        <v>299</v>
      </c>
      <c r="K120">
        <v>42</v>
      </c>
      <c r="N120">
        <v>341</v>
      </c>
      <c r="O120" s="150">
        <v>17974</v>
      </c>
      <c r="P120">
        <v>775</v>
      </c>
      <c r="Q120">
        <v>1</v>
      </c>
    </row>
    <row r="121" spans="2:17">
      <c r="P121" s="150">
        <v>17199</v>
      </c>
      <c r="Q121">
        <v>2</v>
      </c>
    </row>
    <row r="122" spans="2:17">
      <c r="B122" t="s">
        <v>72</v>
      </c>
      <c r="C122">
        <v>3</v>
      </c>
      <c r="D122">
        <v>247945</v>
      </c>
      <c r="E122" t="s">
        <v>253</v>
      </c>
      <c r="F122" t="s">
        <v>254</v>
      </c>
      <c r="G122">
        <v>2</v>
      </c>
      <c r="J122">
        <v>150</v>
      </c>
      <c r="K122">
        <v>19</v>
      </c>
      <c r="N122">
        <v>169</v>
      </c>
      <c r="O122">
        <v>530</v>
      </c>
      <c r="P122">
        <v>530</v>
      </c>
      <c r="Q122">
        <v>2</v>
      </c>
    </row>
    <row r="123" spans="2:17">
      <c r="B123" t="s">
        <v>72</v>
      </c>
      <c r="C123">
        <v>3</v>
      </c>
      <c r="D123">
        <v>285001</v>
      </c>
      <c r="E123" t="s">
        <v>255</v>
      </c>
      <c r="F123" t="s">
        <v>251</v>
      </c>
      <c r="G123" t="s">
        <v>226</v>
      </c>
      <c r="J123">
        <v>109</v>
      </c>
      <c r="K123">
        <v>0</v>
      </c>
      <c r="N123">
        <v>109</v>
      </c>
      <c r="O123">
        <v>0</v>
      </c>
    </row>
    <row r="124" spans="2:17">
      <c r="B124" t="s">
        <v>89</v>
      </c>
      <c r="C124">
        <v>3</v>
      </c>
      <c r="D124">
        <v>21879</v>
      </c>
      <c r="E124" t="s">
        <v>256</v>
      </c>
      <c r="F124" t="s">
        <v>257</v>
      </c>
      <c r="J124">
        <v>0</v>
      </c>
      <c r="K124">
        <v>0</v>
      </c>
      <c r="N124">
        <v>0</v>
      </c>
      <c r="O124">
        <v>0</v>
      </c>
    </row>
    <row r="125" spans="2:17">
      <c r="B125" t="s">
        <v>72</v>
      </c>
      <c r="C125">
        <v>3</v>
      </c>
      <c r="D125">
        <v>158027</v>
      </c>
      <c r="E125" t="s">
        <v>258</v>
      </c>
      <c r="F125" t="s">
        <v>259</v>
      </c>
      <c r="G125">
        <v>1</v>
      </c>
      <c r="J125">
        <v>0</v>
      </c>
      <c r="K125">
        <v>0</v>
      </c>
      <c r="N125">
        <v>0</v>
      </c>
      <c r="O125">
        <v>0</v>
      </c>
    </row>
    <row r="126" spans="2:17">
      <c r="B126" t="s">
        <v>72</v>
      </c>
      <c r="C126">
        <v>3</v>
      </c>
      <c r="D126">
        <v>193384</v>
      </c>
      <c r="E126" t="s">
        <v>260</v>
      </c>
      <c r="F126" t="s">
        <v>261</v>
      </c>
      <c r="G126">
        <v>2</v>
      </c>
      <c r="J126">
        <v>196</v>
      </c>
      <c r="K126">
        <v>62</v>
      </c>
      <c r="N126">
        <v>258</v>
      </c>
      <c r="O126" s="150">
        <v>3426</v>
      </c>
      <c r="P126">
        <v>57</v>
      </c>
      <c r="Q126">
        <v>1</v>
      </c>
    </row>
    <row r="127" spans="2:17">
      <c r="P127" s="150">
        <v>3369</v>
      </c>
      <c r="Q127">
        <v>2</v>
      </c>
    </row>
    <row r="128" spans="2:17">
      <c r="B128" t="s">
        <v>72</v>
      </c>
      <c r="C128">
        <v>3</v>
      </c>
      <c r="D128">
        <v>47134</v>
      </c>
      <c r="E128" t="s">
        <v>262</v>
      </c>
      <c r="F128" t="s">
        <v>263</v>
      </c>
      <c r="G128">
        <v>1</v>
      </c>
      <c r="J128">
        <v>0</v>
      </c>
      <c r="K128">
        <v>0</v>
      </c>
      <c r="N128">
        <v>0</v>
      </c>
      <c r="O128">
        <v>0</v>
      </c>
    </row>
    <row r="129" spans="2:17">
      <c r="B129" t="s">
        <v>72</v>
      </c>
      <c r="C129">
        <v>3</v>
      </c>
      <c r="D129">
        <v>158691</v>
      </c>
      <c r="E129" t="s">
        <v>264</v>
      </c>
      <c r="F129" t="s">
        <v>265</v>
      </c>
      <c r="G129">
        <v>1</v>
      </c>
      <c r="J129">
        <v>75</v>
      </c>
      <c r="K129">
        <v>5</v>
      </c>
      <c r="N129">
        <v>80</v>
      </c>
      <c r="O129" s="150">
        <v>1341</v>
      </c>
      <c r="P129">
        <v>10</v>
      </c>
      <c r="Q129">
        <v>1</v>
      </c>
    </row>
    <row r="130" spans="2:17">
      <c r="P130" s="150">
        <v>1331</v>
      </c>
      <c r="Q130">
        <v>2</v>
      </c>
    </row>
    <row r="131" spans="2:17">
      <c r="B131" t="s">
        <v>72</v>
      </c>
      <c r="C131">
        <v>3</v>
      </c>
      <c r="D131">
        <v>91859</v>
      </c>
      <c r="E131" t="s">
        <v>266</v>
      </c>
      <c r="F131" t="s">
        <v>267</v>
      </c>
      <c r="G131">
        <v>1</v>
      </c>
      <c r="J131">
        <v>115</v>
      </c>
      <c r="K131">
        <v>30</v>
      </c>
      <c r="N131">
        <v>145</v>
      </c>
      <c r="O131" s="150">
        <v>1519</v>
      </c>
      <c r="P131">
        <v>76</v>
      </c>
      <c r="Q131">
        <v>1</v>
      </c>
    </row>
    <row r="132" spans="2:17">
      <c r="P132" s="150">
        <v>1443</v>
      </c>
      <c r="Q132">
        <v>2</v>
      </c>
    </row>
    <row r="133" spans="2:17">
      <c r="B133" t="s">
        <v>72</v>
      </c>
      <c r="C133">
        <v>3</v>
      </c>
      <c r="D133">
        <v>214235</v>
      </c>
      <c r="E133" t="s">
        <v>268</v>
      </c>
      <c r="F133" t="s">
        <v>269</v>
      </c>
      <c r="G133">
        <v>2</v>
      </c>
      <c r="J133">
        <v>0</v>
      </c>
      <c r="K133">
        <v>0</v>
      </c>
      <c r="N133">
        <v>0</v>
      </c>
      <c r="O133">
        <v>0</v>
      </c>
    </row>
    <row r="134" spans="2:17">
      <c r="B134" t="s">
        <v>72</v>
      </c>
      <c r="C134">
        <v>3</v>
      </c>
      <c r="D134">
        <v>58664</v>
      </c>
      <c r="E134" t="s">
        <v>270</v>
      </c>
      <c r="F134" t="s">
        <v>271</v>
      </c>
      <c r="G134">
        <v>1</v>
      </c>
      <c r="J134">
        <v>0</v>
      </c>
      <c r="K134">
        <v>0</v>
      </c>
      <c r="N134">
        <v>0</v>
      </c>
      <c r="O134">
        <v>0</v>
      </c>
    </row>
    <row r="135" spans="2:17">
      <c r="B135" t="s">
        <v>72</v>
      </c>
      <c r="C135">
        <v>3</v>
      </c>
      <c r="D135">
        <v>238352</v>
      </c>
      <c r="E135" t="s">
        <v>272</v>
      </c>
      <c r="F135" t="s">
        <v>273</v>
      </c>
      <c r="G135">
        <v>1</v>
      </c>
      <c r="J135">
        <v>0</v>
      </c>
      <c r="K135">
        <v>0</v>
      </c>
      <c r="N135">
        <v>0</v>
      </c>
      <c r="O135">
        <v>0</v>
      </c>
    </row>
    <row r="136" spans="2:17">
      <c r="B136" t="s">
        <v>72</v>
      </c>
      <c r="C136">
        <v>3</v>
      </c>
      <c r="D136">
        <v>163161</v>
      </c>
      <c r="E136" t="s">
        <v>274</v>
      </c>
      <c r="F136" t="s">
        <v>275</v>
      </c>
      <c r="G136">
        <v>4</v>
      </c>
      <c r="I136">
        <v>1988</v>
      </c>
      <c r="J136">
        <v>0</v>
      </c>
      <c r="K136">
        <v>0</v>
      </c>
      <c r="N136">
        <v>0</v>
      </c>
      <c r="O136">
        <v>0</v>
      </c>
    </row>
    <row r="137" spans="2:17">
      <c r="B137" t="s">
        <v>72</v>
      </c>
      <c r="C137">
        <v>3</v>
      </c>
      <c r="D137">
        <v>183638</v>
      </c>
      <c r="E137" t="s">
        <v>274</v>
      </c>
      <c r="F137" t="s">
        <v>276</v>
      </c>
      <c r="G137">
        <v>1</v>
      </c>
      <c r="J137">
        <v>0</v>
      </c>
      <c r="K137">
        <v>0</v>
      </c>
      <c r="N137">
        <v>0</v>
      </c>
      <c r="O137">
        <v>0</v>
      </c>
    </row>
    <row r="138" spans="2:17">
      <c r="B138" t="s">
        <v>72</v>
      </c>
      <c r="C138">
        <v>3</v>
      </c>
      <c r="D138">
        <v>199834</v>
      </c>
      <c r="E138" t="s">
        <v>274</v>
      </c>
      <c r="F138" t="s">
        <v>277</v>
      </c>
      <c r="G138">
        <v>1</v>
      </c>
      <c r="I138">
        <v>1988</v>
      </c>
      <c r="J138">
        <v>189</v>
      </c>
      <c r="K138">
        <v>50</v>
      </c>
      <c r="N138">
        <v>239</v>
      </c>
      <c r="O138">
        <v>687</v>
      </c>
      <c r="P138">
        <v>62</v>
      </c>
      <c r="Q138">
        <v>1</v>
      </c>
    </row>
    <row r="139" spans="2:17">
      <c r="P139">
        <v>625</v>
      </c>
      <c r="Q139">
        <v>2</v>
      </c>
    </row>
    <row r="140" spans="2:17">
      <c r="B140" t="s">
        <v>72</v>
      </c>
      <c r="C140">
        <v>3</v>
      </c>
      <c r="D140">
        <v>201550</v>
      </c>
      <c r="E140" t="s">
        <v>274</v>
      </c>
      <c r="F140" t="s">
        <v>278</v>
      </c>
      <c r="G140">
        <v>3</v>
      </c>
      <c r="I140">
        <v>1988</v>
      </c>
      <c r="J140">
        <v>0</v>
      </c>
      <c r="K140">
        <v>0</v>
      </c>
      <c r="N140">
        <v>0</v>
      </c>
      <c r="O140">
        <v>19</v>
      </c>
      <c r="P140">
        <v>19</v>
      </c>
      <c r="Q140">
        <v>2</v>
      </c>
    </row>
    <row r="141" spans="2:17">
      <c r="B141" t="s">
        <v>72</v>
      </c>
      <c r="C141">
        <v>3</v>
      </c>
      <c r="D141">
        <v>210199</v>
      </c>
      <c r="E141" t="s">
        <v>274</v>
      </c>
      <c r="F141" t="s">
        <v>279</v>
      </c>
      <c r="G141">
        <v>1</v>
      </c>
      <c r="J141">
        <v>63</v>
      </c>
      <c r="K141">
        <v>167</v>
      </c>
      <c r="N141">
        <v>230</v>
      </c>
      <c r="O141" s="150">
        <v>3918</v>
      </c>
      <c r="P141">
        <v>30</v>
      </c>
      <c r="Q141">
        <v>1</v>
      </c>
    </row>
    <row r="142" spans="2:17">
      <c r="P142" s="150">
        <v>3888</v>
      </c>
      <c r="Q142">
        <v>2</v>
      </c>
    </row>
    <row r="143" spans="2:17">
      <c r="B143" t="s">
        <v>72</v>
      </c>
      <c r="C143">
        <v>3</v>
      </c>
      <c r="D143">
        <v>210200</v>
      </c>
      <c r="E143" t="s">
        <v>274</v>
      </c>
      <c r="F143" t="s">
        <v>280</v>
      </c>
      <c r="G143">
        <v>6</v>
      </c>
      <c r="J143">
        <v>33</v>
      </c>
      <c r="K143">
        <v>0</v>
      </c>
      <c r="N143">
        <v>33</v>
      </c>
      <c r="O143">
        <v>224</v>
      </c>
      <c r="P143">
        <v>8</v>
      </c>
      <c r="Q143">
        <v>1</v>
      </c>
    </row>
    <row r="144" spans="2:17">
      <c r="P144">
        <v>216</v>
      </c>
      <c r="Q144">
        <v>2</v>
      </c>
    </row>
    <row r="145" spans="2:17">
      <c r="B145" t="s">
        <v>72</v>
      </c>
      <c r="C145">
        <v>3</v>
      </c>
      <c r="D145">
        <v>215622</v>
      </c>
      <c r="E145" t="s">
        <v>274</v>
      </c>
      <c r="F145" t="s">
        <v>280</v>
      </c>
      <c r="G145">
        <v>2</v>
      </c>
      <c r="J145">
        <v>98</v>
      </c>
      <c r="K145">
        <v>65</v>
      </c>
      <c r="N145">
        <v>163</v>
      </c>
      <c r="O145" s="150">
        <v>2228</v>
      </c>
      <c r="P145">
        <v>150</v>
      </c>
      <c r="Q145">
        <v>1</v>
      </c>
    </row>
    <row r="146" spans="2:17">
      <c r="P146" s="150">
        <v>2078</v>
      </c>
      <c r="Q146">
        <v>2</v>
      </c>
    </row>
    <row r="147" spans="2:17">
      <c r="B147" t="s">
        <v>72</v>
      </c>
      <c r="C147">
        <v>3</v>
      </c>
      <c r="D147">
        <v>216963</v>
      </c>
      <c r="E147" t="s">
        <v>274</v>
      </c>
      <c r="F147" t="s">
        <v>278</v>
      </c>
      <c r="G147">
        <v>5</v>
      </c>
      <c r="J147">
        <v>0</v>
      </c>
      <c r="K147">
        <v>0</v>
      </c>
      <c r="N147">
        <v>0</v>
      </c>
      <c r="O147">
        <v>0</v>
      </c>
    </row>
    <row r="148" spans="2:17">
      <c r="B148" t="s">
        <v>72</v>
      </c>
      <c r="C148">
        <v>3</v>
      </c>
      <c r="D148">
        <v>217825</v>
      </c>
      <c r="E148" t="s">
        <v>274</v>
      </c>
      <c r="F148" t="s">
        <v>278</v>
      </c>
      <c r="G148">
        <v>1</v>
      </c>
      <c r="J148">
        <v>0</v>
      </c>
      <c r="K148">
        <v>0</v>
      </c>
      <c r="N148">
        <v>0</v>
      </c>
      <c r="O148" s="150">
        <v>3359</v>
      </c>
      <c r="P148">
        <v>186</v>
      </c>
      <c r="Q148">
        <v>1</v>
      </c>
    </row>
    <row r="149" spans="2:17">
      <c r="P149" s="150">
        <v>3173</v>
      </c>
      <c r="Q149">
        <v>2</v>
      </c>
    </row>
    <row r="150" spans="2:17">
      <c r="B150" t="s">
        <v>89</v>
      </c>
      <c r="C150">
        <v>3</v>
      </c>
      <c r="D150">
        <v>11349</v>
      </c>
      <c r="E150" t="s">
        <v>281</v>
      </c>
      <c r="F150" t="s">
        <v>282</v>
      </c>
      <c r="J150">
        <v>226</v>
      </c>
      <c r="K150" s="150">
        <v>1215</v>
      </c>
      <c r="L150">
        <v>706</v>
      </c>
      <c r="M150">
        <v>1</v>
      </c>
      <c r="N150">
        <v>735</v>
      </c>
      <c r="O150">
        <v>12</v>
      </c>
      <c r="P150">
        <v>12</v>
      </c>
      <c r="Q150">
        <v>1</v>
      </c>
    </row>
    <row r="151" spans="2:17">
      <c r="B151" t="s">
        <v>89</v>
      </c>
      <c r="C151">
        <v>3</v>
      </c>
      <c r="D151">
        <v>27162</v>
      </c>
      <c r="E151" t="s">
        <v>281</v>
      </c>
      <c r="F151" t="s">
        <v>283</v>
      </c>
      <c r="J151">
        <v>0</v>
      </c>
      <c r="K151">
        <v>0</v>
      </c>
      <c r="N151">
        <v>0</v>
      </c>
      <c r="O151">
        <v>0</v>
      </c>
    </row>
    <row r="152" spans="2:17">
      <c r="B152" t="s">
        <v>72</v>
      </c>
      <c r="C152">
        <v>3</v>
      </c>
      <c r="D152">
        <v>280832</v>
      </c>
      <c r="E152" t="s">
        <v>284</v>
      </c>
      <c r="F152" t="s">
        <v>285</v>
      </c>
      <c r="G152">
        <v>1</v>
      </c>
      <c r="J152">
        <v>48</v>
      </c>
      <c r="K152">
        <v>0</v>
      </c>
      <c r="N152">
        <v>48</v>
      </c>
      <c r="O152">
        <v>0</v>
      </c>
    </row>
    <row r="153" spans="2:17">
      <c r="B153" t="s">
        <v>72</v>
      </c>
      <c r="C153">
        <v>3</v>
      </c>
      <c r="D153">
        <v>161374</v>
      </c>
      <c r="E153" t="s">
        <v>286</v>
      </c>
      <c r="F153" t="s">
        <v>287</v>
      </c>
      <c r="G153">
        <v>1</v>
      </c>
      <c r="J153">
        <v>27</v>
      </c>
      <c r="K153">
        <v>16</v>
      </c>
      <c r="N153">
        <v>43</v>
      </c>
      <c r="O153" s="150">
        <v>2142</v>
      </c>
      <c r="P153">
        <v>93</v>
      </c>
      <c r="Q153">
        <v>1</v>
      </c>
    </row>
    <row r="154" spans="2:17">
      <c r="P154" s="150">
        <v>2049</v>
      </c>
      <c r="Q154">
        <v>2</v>
      </c>
    </row>
    <row r="155" spans="2:17">
      <c r="B155" t="s">
        <v>89</v>
      </c>
      <c r="C155">
        <v>3</v>
      </c>
      <c r="D155">
        <v>19798</v>
      </c>
      <c r="E155" t="s">
        <v>288</v>
      </c>
      <c r="F155" t="s">
        <v>289</v>
      </c>
      <c r="J155">
        <v>70</v>
      </c>
      <c r="K155">
        <v>0</v>
      </c>
      <c r="N155">
        <v>70</v>
      </c>
      <c r="O155">
        <v>0</v>
      </c>
    </row>
    <row r="156" spans="2:17">
      <c r="B156" t="s">
        <v>89</v>
      </c>
      <c r="C156">
        <v>3</v>
      </c>
      <c r="D156">
        <v>25782</v>
      </c>
      <c r="E156" t="s">
        <v>290</v>
      </c>
      <c r="F156" t="s">
        <v>291</v>
      </c>
      <c r="J156">
        <v>217</v>
      </c>
      <c r="K156">
        <v>10</v>
      </c>
      <c r="N156">
        <v>227</v>
      </c>
      <c r="O156">
        <v>33</v>
      </c>
      <c r="P156">
        <v>33</v>
      </c>
      <c r="Q156">
        <v>2</v>
      </c>
    </row>
    <row r="157" spans="2:17">
      <c r="B157" t="s">
        <v>89</v>
      </c>
      <c r="C157">
        <v>3</v>
      </c>
      <c r="D157">
        <v>25785</v>
      </c>
      <c r="E157" t="s">
        <v>290</v>
      </c>
      <c r="F157" t="s">
        <v>285</v>
      </c>
      <c r="J157">
        <v>0</v>
      </c>
      <c r="K157">
        <v>0</v>
      </c>
      <c r="N157">
        <v>0</v>
      </c>
      <c r="O157">
        <v>0</v>
      </c>
    </row>
    <row r="158" spans="2:17">
      <c r="B158" t="s">
        <v>72</v>
      </c>
      <c r="C158">
        <v>3</v>
      </c>
      <c r="D158">
        <v>179674</v>
      </c>
      <c r="E158" t="s">
        <v>292</v>
      </c>
      <c r="F158" t="s">
        <v>293</v>
      </c>
      <c r="G158">
        <v>5</v>
      </c>
      <c r="J158">
        <v>0</v>
      </c>
      <c r="K158">
        <v>0</v>
      </c>
      <c r="N158">
        <v>0</v>
      </c>
      <c r="O158">
        <v>0</v>
      </c>
    </row>
    <row r="159" spans="2:17">
      <c r="B159" t="s">
        <v>89</v>
      </c>
      <c r="C159">
        <v>3</v>
      </c>
      <c r="D159">
        <v>24644</v>
      </c>
      <c r="E159" t="s">
        <v>294</v>
      </c>
      <c r="F159" t="s">
        <v>295</v>
      </c>
      <c r="J159">
        <v>226</v>
      </c>
      <c r="K159">
        <v>339</v>
      </c>
      <c r="N159">
        <v>565</v>
      </c>
      <c r="O159" s="150">
        <v>2273</v>
      </c>
      <c r="P159" s="150">
        <v>2273</v>
      </c>
      <c r="Q159">
        <v>2</v>
      </c>
    </row>
    <row r="160" spans="2:17">
      <c r="B160" t="s">
        <v>72</v>
      </c>
      <c r="C160">
        <v>3</v>
      </c>
      <c r="D160">
        <v>129832</v>
      </c>
      <c r="E160" t="s">
        <v>294</v>
      </c>
      <c r="F160" t="s">
        <v>295</v>
      </c>
      <c r="G160">
        <v>3</v>
      </c>
      <c r="J160">
        <v>0</v>
      </c>
      <c r="K160">
        <v>0</v>
      </c>
      <c r="N160">
        <v>0</v>
      </c>
      <c r="O160">
        <v>0</v>
      </c>
    </row>
    <row r="161" spans="1:17">
      <c r="B161" t="s">
        <v>72</v>
      </c>
      <c r="C161">
        <v>3</v>
      </c>
      <c r="D161">
        <v>127418</v>
      </c>
      <c r="E161" t="s">
        <v>296</v>
      </c>
      <c r="F161" t="s">
        <v>295</v>
      </c>
      <c r="G161">
        <v>5</v>
      </c>
      <c r="J161">
        <v>0</v>
      </c>
      <c r="K161">
        <v>0</v>
      </c>
      <c r="N161">
        <v>0</v>
      </c>
      <c r="O161">
        <v>0</v>
      </c>
    </row>
    <row r="162" spans="1:17">
      <c r="B162" t="s">
        <v>72</v>
      </c>
      <c r="C162">
        <v>3</v>
      </c>
      <c r="D162">
        <v>128149</v>
      </c>
      <c r="E162" t="s">
        <v>296</v>
      </c>
      <c r="F162" t="s">
        <v>295</v>
      </c>
      <c r="G162">
        <v>4</v>
      </c>
      <c r="J162">
        <v>0</v>
      </c>
      <c r="K162">
        <v>0</v>
      </c>
      <c r="N162">
        <v>0</v>
      </c>
      <c r="O162">
        <v>0</v>
      </c>
    </row>
    <row r="163" spans="1:17">
      <c r="B163" t="s">
        <v>89</v>
      </c>
      <c r="C163">
        <v>3</v>
      </c>
      <c r="D163">
        <v>24414</v>
      </c>
      <c r="E163" t="s">
        <v>297</v>
      </c>
      <c r="F163" t="s">
        <v>298</v>
      </c>
      <c r="J163">
        <v>0</v>
      </c>
      <c r="K163">
        <v>0</v>
      </c>
      <c r="N163">
        <v>0</v>
      </c>
      <c r="O163">
        <v>0</v>
      </c>
    </row>
    <row r="164" spans="1:17">
      <c r="B164" t="s">
        <v>72</v>
      </c>
      <c r="C164">
        <v>3</v>
      </c>
      <c r="D164">
        <v>201104</v>
      </c>
      <c r="E164" t="s">
        <v>299</v>
      </c>
      <c r="F164" t="s">
        <v>300</v>
      </c>
      <c r="G164" t="s">
        <v>301</v>
      </c>
      <c r="J164">
        <v>0</v>
      </c>
      <c r="K164">
        <v>0</v>
      </c>
      <c r="N164">
        <v>0</v>
      </c>
      <c r="O164">
        <v>0</v>
      </c>
    </row>
    <row r="165" spans="1:17">
      <c r="B165" t="s">
        <v>89</v>
      </c>
      <c r="C165">
        <v>3</v>
      </c>
      <c r="D165">
        <v>22499</v>
      </c>
      <c r="E165" t="s">
        <v>302</v>
      </c>
      <c r="F165" t="s">
        <v>303</v>
      </c>
      <c r="J165">
        <v>0</v>
      </c>
      <c r="K165">
        <v>0</v>
      </c>
      <c r="N165">
        <v>0</v>
      </c>
      <c r="O165">
        <v>0</v>
      </c>
    </row>
    <row r="166" spans="1:17">
      <c r="B166" t="s">
        <v>72</v>
      </c>
      <c r="C166">
        <v>3</v>
      </c>
      <c r="D166">
        <v>200844</v>
      </c>
      <c r="E166" t="s">
        <v>304</v>
      </c>
      <c r="F166" t="s">
        <v>305</v>
      </c>
      <c r="G166">
        <v>1</v>
      </c>
      <c r="J166">
        <v>135</v>
      </c>
      <c r="K166">
        <v>0</v>
      </c>
      <c r="N166">
        <v>135</v>
      </c>
      <c r="O166">
        <v>0</v>
      </c>
    </row>
    <row r="167" spans="1:17">
      <c r="B167" t="s">
        <v>72</v>
      </c>
      <c r="C167">
        <v>3</v>
      </c>
      <c r="D167">
        <v>283360</v>
      </c>
      <c r="E167" t="s">
        <v>306</v>
      </c>
      <c r="F167" t="s">
        <v>181</v>
      </c>
      <c r="G167" t="s">
        <v>307</v>
      </c>
      <c r="J167">
        <v>134</v>
      </c>
      <c r="K167">
        <v>0</v>
      </c>
      <c r="N167">
        <v>134</v>
      </c>
      <c r="O167">
        <v>0</v>
      </c>
    </row>
    <row r="168" spans="1:17">
      <c r="B168" t="s">
        <v>89</v>
      </c>
      <c r="C168">
        <v>4</v>
      </c>
      <c r="D168">
        <v>13355</v>
      </c>
      <c r="E168" t="s">
        <v>308</v>
      </c>
      <c r="F168" t="s">
        <v>309</v>
      </c>
      <c r="J168">
        <v>95</v>
      </c>
      <c r="K168">
        <v>60</v>
      </c>
      <c r="N168">
        <v>155</v>
      </c>
      <c r="O168">
        <v>253</v>
      </c>
      <c r="P168">
        <v>253</v>
      </c>
      <c r="Q168">
        <v>2</v>
      </c>
    </row>
    <row r="169" spans="1:17">
      <c r="B169" t="s">
        <v>72</v>
      </c>
      <c r="C169">
        <v>4</v>
      </c>
      <c r="D169">
        <v>225615</v>
      </c>
      <c r="E169" t="s">
        <v>308</v>
      </c>
      <c r="F169" t="s">
        <v>310</v>
      </c>
      <c r="G169">
        <v>1</v>
      </c>
      <c r="J169">
        <v>0</v>
      </c>
      <c r="K169">
        <v>0</v>
      </c>
      <c r="N169">
        <v>0</v>
      </c>
      <c r="O169">
        <v>0</v>
      </c>
    </row>
    <row r="170" spans="1:17">
      <c r="B170" t="s">
        <v>72</v>
      </c>
      <c r="C170">
        <v>4</v>
      </c>
      <c r="D170">
        <v>115364</v>
      </c>
      <c r="E170" t="s">
        <v>311</v>
      </c>
      <c r="F170" t="s">
        <v>312</v>
      </c>
      <c r="G170">
        <v>1</v>
      </c>
      <c r="J170">
        <v>0</v>
      </c>
      <c r="K170">
        <v>0</v>
      </c>
      <c r="N170">
        <v>0</v>
      </c>
      <c r="O170">
        <v>0</v>
      </c>
    </row>
    <row r="171" spans="1:17">
      <c r="A171" t="s">
        <v>1139</v>
      </c>
      <c r="B171" t="s">
        <v>89</v>
      </c>
      <c r="C171">
        <v>4</v>
      </c>
      <c r="D171">
        <v>13410</v>
      </c>
      <c r="E171" t="s">
        <v>313</v>
      </c>
      <c r="F171" t="s">
        <v>314</v>
      </c>
      <c r="J171">
        <v>118</v>
      </c>
      <c r="K171">
        <v>0</v>
      </c>
      <c r="N171">
        <v>235</v>
      </c>
      <c r="O171">
        <v>0</v>
      </c>
    </row>
    <row r="172" spans="1:17">
      <c r="B172" t="s">
        <v>72</v>
      </c>
      <c r="C172">
        <v>4</v>
      </c>
      <c r="D172">
        <v>255120</v>
      </c>
      <c r="E172" t="s">
        <v>315</v>
      </c>
      <c r="F172" t="s">
        <v>316</v>
      </c>
      <c r="G172">
        <v>1</v>
      </c>
      <c r="J172">
        <v>0</v>
      </c>
      <c r="K172">
        <v>0</v>
      </c>
      <c r="N172">
        <v>0</v>
      </c>
      <c r="O172">
        <v>280</v>
      </c>
      <c r="P172">
        <v>280</v>
      </c>
      <c r="Q172">
        <v>1</v>
      </c>
    </row>
    <row r="173" spans="1:17">
      <c r="B173" t="s">
        <v>72</v>
      </c>
      <c r="C173">
        <v>4</v>
      </c>
      <c r="D173">
        <v>39333</v>
      </c>
      <c r="E173" t="s">
        <v>317</v>
      </c>
      <c r="F173" t="s">
        <v>318</v>
      </c>
      <c r="G173">
        <v>1</v>
      </c>
      <c r="J173">
        <v>0</v>
      </c>
      <c r="K173">
        <v>0</v>
      </c>
      <c r="N173">
        <v>0</v>
      </c>
      <c r="O173">
        <v>0</v>
      </c>
    </row>
    <row r="174" spans="1:17">
      <c r="B174" t="s">
        <v>89</v>
      </c>
      <c r="C174">
        <v>4</v>
      </c>
      <c r="D174">
        <v>13726</v>
      </c>
      <c r="E174" t="s">
        <v>319</v>
      </c>
      <c r="F174" t="s">
        <v>320</v>
      </c>
      <c r="J174">
        <v>90</v>
      </c>
      <c r="K174">
        <v>0</v>
      </c>
      <c r="N174">
        <v>90</v>
      </c>
      <c r="O174">
        <v>0</v>
      </c>
    </row>
    <row r="175" spans="1:17">
      <c r="B175" t="s">
        <v>72</v>
      </c>
      <c r="C175">
        <v>4</v>
      </c>
      <c r="D175">
        <v>167923</v>
      </c>
      <c r="E175" t="s">
        <v>321</v>
      </c>
      <c r="F175" t="s">
        <v>322</v>
      </c>
      <c r="G175">
        <v>1</v>
      </c>
      <c r="J175">
        <v>0</v>
      </c>
      <c r="K175">
        <v>0</v>
      </c>
      <c r="N175">
        <v>0</v>
      </c>
      <c r="O175">
        <v>0</v>
      </c>
    </row>
    <row r="176" spans="1:17">
      <c r="B176" t="s">
        <v>89</v>
      </c>
      <c r="C176">
        <v>4</v>
      </c>
      <c r="D176">
        <v>12863</v>
      </c>
      <c r="E176" t="s">
        <v>323</v>
      </c>
      <c r="F176" t="s">
        <v>324</v>
      </c>
      <c r="J176">
        <v>0</v>
      </c>
      <c r="K176">
        <v>0</v>
      </c>
      <c r="N176">
        <v>0</v>
      </c>
      <c r="O176">
        <v>0</v>
      </c>
    </row>
    <row r="177" spans="2:17">
      <c r="B177" t="s">
        <v>72</v>
      </c>
      <c r="C177">
        <v>4</v>
      </c>
      <c r="D177">
        <v>244496</v>
      </c>
      <c r="E177" t="s">
        <v>325</v>
      </c>
      <c r="F177" t="s">
        <v>326</v>
      </c>
      <c r="G177">
        <v>1</v>
      </c>
      <c r="J177">
        <v>162</v>
      </c>
      <c r="K177">
        <v>0</v>
      </c>
      <c r="N177">
        <v>162</v>
      </c>
      <c r="O177" s="150">
        <v>6282</v>
      </c>
      <c r="P177">
        <v>219</v>
      </c>
      <c r="Q177">
        <v>1</v>
      </c>
    </row>
    <row r="178" spans="2:17">
      <c r="P178" s="150">
        <v>6063</v>
      </c>
      <c r="Q178">
        <v>2</v>
      </c>
    </row>
    <row r="179" spans="2:17">
      <c r="B179" t="s">
        <v>72</v>
      </c>
      <c r="C179">
        <v>4</v>
      </c>
      <c r="D179">
        <v>248176</v>
      </c>
      <c r="E179" t="s">
        <v>325</v>
      </c>
      <c r="F179" t="s">
        <v>326</v>
      </c>
      <c r="G179">
        <v>2</v>
      </c>
      <c r="J179">
        <v>0</v>
      </c>
      <c r="K179">
        <v>0</v>
      </c>
      <c r="N179">
        <v>0</v>
      </c>
      <c r="O179" s="150">
        <v>2553</v>
      </c>
      <c r="P179">
        <v>89</v>
      </c>
      <c r="Q179">
        <v>1</v>
      </c>
    </row>
    <row r="180" spans="2:17">
      <c r="P180" s="150">
        <v>2464</v>
      </c>
      <c r="Q180">
        <v>2</v>
      </c>
    </row>
    <row r="181" spans="2:17">
      <c r="B181" t="s">
        <v>72</v>
      </c>
      <c r="C181">
        <v>4</v>
      </c>
      <c r="D181">
        <v>250087</v>
      </c>
      <c r="E181" t="s">
        <v>325</v>
      </c>
      <c r="F181" t="s">
        <v>327</v>
      </c>
      <c r="G181">
        <v>1</v>
      </c>
      <c r="J181">
        <v>24</v>
      </c>
      <c r="K181">
        <v>0</v>
      </c>
      <c r="N181">
        <v>24</v>
      </c>
      <c r="O181" s="150">
        <v>6008</v>
      </c>
      <c r="P181">
        <v>288</v>
      </c>
      <c r="Q181">
        <v>1</v>
      </c>
    </row>
    <row r="182" spans="2:17">
      <c r="P182" s="150">
        <v>5720</v>
      </c>
      <c r="Q182">
        <v>2</v>
      </c>
    </row>
    <row r="183" spans="2:17">
      <c r="B183" t="s">
        <v>72</v>
      </c>
      <c r="C183">
        <v>4</v>
      </c>
      <c r="D183">
        <v>255119</v>
      </c>
      <c r="E183" t="s">
        <v>325</v>
      </c>
      <c r="F183" t="s">
        <v>326</v>
      </c>
      <c r="G183">
        <v>3</v>
      </c>
      <c r="J183">
        <v>0</v>
      </c>
      <c r="K183">
        <v>0</v>
      </c>
      <c r="N183">
        <v>0</v>
      </c>
      <c r="O183">
        <v>101</v>
      </c>
      <c r="P183">
        <v>5</v>
      </c>
      <c r="Q183">
        <v>1</v>
      </c>
    </row>
    <row r="184" spans="2:17">
      <c r="P184">
        <v>96</v>
      </c>
      <c r="Q184">
        <v>2</v>
      </c>
    </row>
    <row r="185" spans="2:17">
      <c r="B185" t="s">
        <v>89</v>
      </c>
      <c r="C185">
        <v>4</v>
      </c>
      <c r="D185">
        <v>12696</v>
      </c>
      <c r="E185" t="s">
        <v>328</v>
      </c>
      <c r="F185" t="s">
        <v>329</v>
      </c>
      <c r="J185">
        <v>47</v>
      </c>
      <c r="K185">
        <v>0</v>
      </c>
      <c r="N185">
        <v>47</v>
      </c>
      <c r="O185">
        <v>0</v>
      </c>
    </row>
    <row r="186" spans="2:17">
      <c r="B186" t="s">
        <v>89</v>
      </c>
      <c r="C186">
        <v>4</v>
      </c>
      <c r="D186">
        <v>13742</v>
      </c>
      <c r="E186" t="s">
        <v>330</v>
      </c>
      <c r="F186" t="s">
        <v>331</v>
      </c>
      <c r="J186">
        <v>52</v>
      </c>
      <c r="K186">
        <v>0</v>
      </c>
      <c r="N186">
        <v>52</v>
      </c>
      <c r="O186">
        <v>0</v>
      </c>
    </row>
    <row r="187" spans="2:17">
      <c r="B187" t="s">
        <v>72</v>
      </c>
      <c r="C187">
        <v>4</v>
      </c>
      <c r="D187">
        <v>54242</v>
      </c>
      <c r="E187" t="s">
        <v>332</v>
      </c>
      <c r="F187" t="s">
        <v>333</v>
      </c>
      <c r="G187">
        <v>2</v>
      </c>
      <c r="J187">
        <v>0</v>
      </c>
      <c r="K187">
        <v>0</v>
      </c>
      <c r="N187">
        <v>0</v>
      </c>
      <c r="O187">
        <v>0</v>
      </c>
    </row>
    <row r="188" spans="2:17">
      <c r="B188" t="s">
        <v>89</v>
      </c>
      <c r="C188">
        <v>4</v>
      </c>
      <c r="D188">
        <v>10325</v>
      </c>
      <c r="E188" t="s">
        <v>334</v>
      </c>
      <c r="F188" t="s">
        <v>335</v>
      </c>
      <c r="J188">
        <v>65</v>
      </c>
      <c r="K188">
        <v>0</v>
      </c>
      <c r="N188">
        <v>65</v>
      </c>
      <c r="O188">
        <v>0</v>
      </c>
    </row>
    <row r="189" spans="2:17">
      <c r="B189" t="s">
        <v>89</v>
      </c>
      <c r="C189">
        <v>4</v>
      </c>
      <c r="D189">
        <v>10563</v>
      </c>
      <c r="E189" t="s">
        <v>334</v>
      </c>
      <c r="F189" t="s">
        <v>336</v>
      </c>
      <c r="J189">
        <v>69</v>
      </c>
      <c r="K189">
        <v>0</v>
      </c>
      <c r="N189">
        <v>69</v>
      </c>
      <c r="O189">
        <v>0</v>
      </c>
    </row>
    <row r="190" spans="2:17">
      <c r="B190" t="s">
        <v>72</v>
      </c>
      <c r="C190">
        <v>4</v>
      </c>
      <c r="D190">
        <v>212342</v>
      </c>
      <c r="E190" t="s">
        <v>337</v>
      </c>
      <c r="F190" t="s">
        <v>338</v>
      </c>
      <c r="G190">
        <v>2</v>
      </c>
      <c r="J190">
        <v>0</v>
      </c>
      <c r="K190">
        <v>0</v>
      </c>
      <c r="N190">
        <v>0</v>
      </c>
      <c r="O190" s="150">
        <v>3017</v>
      </c>
      <c r="P190">
        <v>124</v>
      </c>
      <c r="Q190">
        <v>1</v>
      </c>
    </row>
    <row r="191" spans="2:17">
      <c r="P191" s="150">
        <v>2893</v>
      </c>
      <c r="Q191">
        <v>2</v>
      </c>
    </row>
    <row r="192" spans="2:17">
      <c r="B192" t="s">
        <v>72</v>
      </c>
      <c r="C192">
        <v>4</v>
      </c>
      <c r="D192">
        <v>213792</v>
      </c>
      <c r="E192" t="s">
        <v>337</v>
      </c>
      <c r="F192" t="s">
        <v>338</v>
      </c>
      <c r="G192">
        <v>1</v>
      </c>
      <c r="J192">
        <v>43</v>
      </c>
      <c r="K192">
        <v>0</v>
      </c>
      <c r="N192">
        <v>43</v>
      </c>
      <c r="O192">
        <v>0</v>
      </c>
    </row>
    <row r="193" spans="2:17">
      <c r="B193" t="s">
        <v>72</v>
      </c>
      <c r="C193">
        <v>4</v>
      </c>
      <c r="D193">
        <v>173434</v>
      </c>
      <c r="E193" t="s">
        <v>339</v>
      </c>
      <c r="F193" t="s">
        <v>340</v>
      </c>
      <c r="G193">
        <v>2</v>
      </c>
      <c r="J193">
        <v>169</v>
      </c>
      <c r="K193">
        <v>0</v>
      </c>
      <c r="N193">
        <v>169</v>
      </c>
      <c r="O193">
        <v>184</v>
      </c>
      <c r="P193">
        <v>184</v>
      </c>
      <c r="Q193">
        <v>2</v>
      </c>
    </row>
    <row r="194" spans="2:17">
      <c r="B194" t="s">
        <v>72</v>
      </c>
      <c r="C194">
        <v>4</v>
      </c>
      <c r="D194">
        <v>252973</v>
      </c>
      <c r="E194" t="s">
        <v>341</v>
      </c>
      <c r="F194" t="s">
        <v>342</v>
      </c>
      <c r="G194">
        <v>1</v>
      </c>
      <c r="J194">
        <v>93</v>
      </c>
      <c r="K194">
        <v>0</v>
      </c>
      <c r="N194">
        <v>93</v>
      </c>
      <c r="O194">
        <v>0</v>
      </c>
    </row>
    <row r="195" spans="2:17">
      <c r="B195" t="s">
        <v>72</v>
      </c>
      <c r="C195">
        <v>4</v>
      </c>
      <c r="D195">
        <v>201238</v>
      </c>
      <c r="E195" t="s">
        <v>343</v>
      </c>
      <c r="F195" t="s">
        <v>344</v>
      </c>
      <c r="G195" t="s">
        <v>345</v>
      </c>
      <c r="J195">
        <v>95</v>
      </c>
      <c r="K195">
        <v>65</v>
      </c>
      <c r="N195">
        <v>160</v>
      </c>
      <c r="O195" s="150">
        <v>2211</v>
      </c>
      <c r="P195" s="150">
        <v>2211</v>
      </c>
      <c r="Q195">
        <v>2</v>
      </c>
    </row>
    <row r="196" spans="2:17">
      <c r="B196" t="s">
        <v>72</v>
      </c>
      <c r="C196">
        <v>4</v>
      </c>
      <c r="D196">
        <v>242290</v>
      </c>
      <c r="E196" t="s">
        <v>346</v>
      </c>
      <c r="F196" t="s">
        <v>344</v>
      </c>
      <c r="G196">
        <v>20</v>
      </c>
      <c r="J196">
        <v>0</v>
      </c>
      <c r="K196">
        <v>0</v>
      </c>
      <c r="N196">
        <v>0</v>
      </c>
      <c r="O196">
        <v>0</v>
      </c>
    </row>
    <row r="197" spans="2:17">
      <c r="B197" t="s">
        <v>72</v>
      </c>
      <c r="C197">
        <v>4</v>
      </c>
      <c r="D197">
        <v>198253</v>
      </c>
      <c r="E197" t="s">
        <v>347</v>
      </c>
      <c r="F197" t="s">
        <v>344</v>
      </c>
      <c r="G197" t="s">
        <v>348</v>
      </c>
      <c r="J197">
        <v>0</v>
      </c>
      <c r="K197">
        <v>0</v>
      </c>
      <c r="N197">
        <v>0</v>
      </c>
      <c r="O197">
        <v>0</v>
      </c>
    </row>
    <row r="198" spans="2:17">
      <c r="B198" t="s">
        <v>72</v>
      </c>
      <c r="C198">
        <v>4</v>
      </c>
      <c r="D198">
        <v>159856</v>
      </c>
      <c r="E198" t="s">
        <v>349</v>
      </c>
      <c r="F198" t="s">
        <v>344</v>
      </c>
      <c r="G198" t="s">
        <v>350</v>
      </c>
      <c r="J198">
        <v>0</v>
      </c>
      <c r="K198">
        <v>0</v>
      </c>
      <c r="N198">
        <v>0</v>
      </c>
      <c r="O198">
        <v>0</v>
      </c>
    </row>
    <row r="199" spans="2:17">
      <c r="B199" t="s">
        <v>72</v>
      </c>
      <c r="C199">
        <v>4</v>
      </c>
      <c r="D199">
        <v>162080</v>
      </c>
      <c r="E199" t="s">
        <v>351</v>
      </c>
      <c r="F199" t="s">
        <v>352</v>
      </c>
      <c r="G199">
        <v>14</v>
      </c>
      <c r="J199">
        <v>3</v>
      </c>
      <c r="K199">
        <v>0</v>
      </c>
      <c r="N199">
        <v>3</v>
      </c>
      <c r="O199">
        <v>182</v>
      </c>
      <c r="P199">
        <v>182</v>
      </c>
      <c r="Q199">
        <v>2</v>
      </c>
    </row>
    <row r="200" spans="2:17">
      <c r="B200" t="s">
        <v>72</v>
      </c>
      <c r="C200">
        <v>4</v>
      </c>
      <c r="D200">
        <v>11877</v>
      </c>
      <c r="E200" t="s">
        <v>353</v>
      </c>
      <c r="F200" t="s">
        <v>354</v>
      </c>
      <c r="G200">
        <v>1</v>
      </c>
      <c r="J200">
        <v>0</v>
      </c>
      <c r="K200">
        <v>0</v>
      </c>
      <c r="N200">
        <v>0</v>
      </c>
      <c r="O200">
        <v>170</v>
      </c>
      <c r="P200">
        <v>170</v>
      </c>
      <c r="Q200">
        <v>2</v>
      </c>
    </row>
    <row r="201" spans="2:17">
      <c r="B201" t="s">
        <v>72</v>
      </c>
      <c r="C201">
        <v>4</v>
      </c>
      <c r="D201">
        <v>11885</v>
      </c>
      <c r="E201" t="s">
        <v>353</v>
      </c>
      <c r="F201" t="s">
        <v>355</v>
      </c>
      <c r="G201">
        <v>2</v>
      </c>
      <c r="J201">
        <v>0</v>
      </c>
      <c r="K201">
        <v>0</v>
      </c>
      <c r="N201">
        <v>0</v>
      </c>
      <c r="O201">
        <v>659</v>
      </c>
      <c r="P201">
        <v>659</v>
      </c>
      <c r="Q201">
        <v>2</v>
      </c>
    </row>
    <row r="202" spans="2:17">
      <c r="B202" t="s">
        <v>72</v>
      </c>
      <c r="C202">
        <v>4</v>
      </c>
      <c r="D202">
        <v>191863</v>
      </c>
      <c r="E202" t="s">
        <v>353</v>
      </c>
      <c r="F202" t="s">
        <v>356</v>
      </c>
      <c r="G202">
        <v>3</v>
      </c>
      <c r="J202">
        <v>0</v>
      </c>
      <c r="K202">
        <v>0</v>
      </c>
      <c r="N202">
        <v>0</v>
      </c>
      <c r="O202">
        <v>0</v>
      </c>
    </row>
    <row r="203" spans="2:17">
      <c r="B203" t="s">
        <v>72</v>
      </c>
      <c r="C203">
        <v>4</v>
      </c>
      <c r="D203">
        <v>194224</v>
      </c>
      <c r="E203" t="s">
        <v>357</v>
      </c>
      <c r="F203" t="s">
        <v>358</v>
      </c>
      <c r="G203">
        <v>2</v>
      </c>
      <c r="J203">
        <v>27</v>
      </c>
      <c r="K203">
        <v>0</v>
      </c>
      <c r="N203">
        <v>27</v>
      </c>
      <c r="O203">
        <v>0</v>
      </c>
    </row>
    <row r="204" spans="2:17">
      <c r="B204" t="s">
        <v>72</v>
      </c>
      <c r="C204">
        <v>4</v>
      </c>
      <c r="D204">
        <v>127818</v>
      </c>
      <c r="E204" t="s">
        <v>359</v>
      </c>
      <c r="F204" t="s">
        <v>360</v>
      </c>
      <c r="G204">
        <v>1</v>
      </c>
      <c r="J204">
        <v>166</v>
      </c>
      <c r="K204">
        <v>0</v>
      </c>
      <c r="N204">
        <v>166</v>
      </c>
      <c r="O204">
        <v>0</v>
      </c>
    </row>
    <row r="205" spans="2:17">
      <c r="B205" t="s">
        <v>72</v>
      </c>
      <c r="C205">
        <v>4</v>
      </c>
      <c r="D205">
        <v>276012</v>
      </c>
      <c r="E205" t="s">
        <v>361</v>
      </c>
      <c r="F205" t="s">
        <v>362</v>
      </c>
      <c r="G205" t="s">
        <v>363</v>
      </c>
      <c r="I205">
        <v>5050</v>
      </c>
      <c r="J205">
        <v>15</v>
      </c>
      <c r="K205">
        <v>12</v>
      </c>
      <c r="N205">
        <v>27</v>
      </c>
      <c r="O205" s="150">
        <v>2653</v>
      </c>
      <c r="P205" s="150">
        <v>2653</v>
      </c>
      <c r="Q205">
        <v>2</v>
      </c>
    </row>
    <row r="206" spans="2:17">
      <c r="B206" t="s">
        <v>72</v>
      </c>
      <c r="C206">
        <v>4</v>
      </c>
      <c r="D206">
        <v>192315</v>
      </c>
      <c r="E206" t="s">
        <v>364</v>
      </c>
      <c r="F206" t="s">
        <v>365</v>
      </c>
      <c r="G206">
        <v>2</v>
      </c>
      <c r="J206">
        <v>0</v>
      </c>
      <c r="K206">
        <v>0</v>
      </c>
      <c r="N206">
        <v>0</v>
      </c>
      <c r="O206">
        <v>0</v>
      </c>
    </row>
    <row r="207" spans="2:17">
      <c r="B207" t="s">
        <v>72</v>
      </c>
      <c r="C207">
        <v>4</v>
      </c>
      <c r="D207">
        <v>140637</v>
      </c>
      <c r="E207" t="s">
        <v>366</v>
      </c>
      <c r="F207" t="s">
        <v>367</v>
      </c>
      <c r="G207">
        <v>1</v>
      </c>
      <c r="J207">
        <v>92</v>
      </c>
      <c r="K207">
        <v>0</v>
      </c>
      <c r="N207">
        <v>92</v>
      </c>
      <c r="O207">
        <v>0</v>
      </c>
    </row>
    <row r="208" spans="2:17">
      <c r="B208" t="s">
        <v>72</v>
      </c>
      <c r="C208">
        <v>4</v>
      </c>
      <c r="D208">
        <v>120373</v>
      </c>
      <c r="E208" t="s">
        <v>368</v>
      </c>
      <c r="F208" t="s">
        <v>369</v>
      </c>
      <c r="G208">
        <v>1</v>
      </c>
      <c r="J208">
        <v>0</v>
      </c>
      <c r="K208">
        <v>0</v>
      </c>
      <c r="N208">
        <v>0</v>
      </c>
      <c r="O208">
        <v>0</v>
      </c>
    </row>
    <row r="209" spans="2:17">
      <c r="B209" t="s">
        <v>89</v>
      </c>
      <c r="C209">
        <v>4</v>
      </c>
      <c r="D209">
        <v>14061</v>
      </c>
      <c r="E209" t="s">
        <v>370</v>
      </c>
      <c r="F209" t="s">
        <v>371</v>
      </c>
      <c r="J209">
        <v>117</v>
      </c>
      <c r="K209">
        <v>0</v>
      </c>
      <c r="N209">
        <v>117</v>
      </c>
      <c r="O209">
        <v>0</v>
      </c>
    </row>
    <row r="210" spans="2:17">
      <c r="B210" t="s">
        <v>72</v>
      </c>
      <c r="C210">
        <v>4</v>
      </c>
      <c r="D210">
        <v>195786</v>
      </c>
      <c r="E210" t="s">
        <v>372</v>
      </c>
      <c r="F210" t="s">
        <v>373</v>
      </c>
      <c r="G210">
        <v>2</v>
      </c>
      <c r="J210">
        <v>0</v>
      </c>
      <c r="K210">
        <v>0</v>
      </c>
      <c r="N210">
        <v>0</v>
      </c>
      <c r="O210">
        <v>0</v>
      </c>
    </row>
    <row r="211" spans="2:17">
      <c r="B211" t="s">
        <v>72</v>
      </c>
      <c r="C211">
        <v>4</v>
      </c>
      <c r="D211">
        <v>226100</v>
      </c>
      <c r="E211" t="s">
        <v>374</v>
      </c>
      <c r="F211" t="s">
        <v>338</v>
      </c>
      <c r="G211">
        <v>5</v>
      </c>
      <c r="J211">
        <v>0</v>
      </c>
      <c r="K211">
        <v>0</v>
      </c>
      <c r="N211">
        <v>0</v>
      </c>
      <c r="O211">
        <v>912</v>
      </c>
      <c r="P211">
        <v>31</v>
      </c>
      <c r="Q211">
        <v>1</v>
      </c>
    </row>
    <row r="212" spans="2:17">
      <c r="P212">
        <v>881</v>
      </c>
      <c r="Q212">
        <v>2</v>
      </c>
    </row>
    <row r="213" spans="2:17">
      <c r="B213" t="s">
        <v>72</v>
      </c>
      <c r="C213">
        <v>4</v>
      </c>
      <c r="D213">
        <v>233961</v>
      </c>
      <c r="E213" t="s">
        <v>374</v>
      </c>
      <c r="F213" t="s">
        <v>338</v>
      </c>
      <c r="G213">
        <v>3</v>
      </c>
      <c r="J213">
        <v>0</v>
      </c>
      <c r="K213">
        <v>0</v>
      </c>
      <c r="N213">
        <v>0</v>
      </c>
      <c r="O213" s="150">
        <v>3017</v>
      </c>
      <c r="P213">
        <v>124</v>
      </c>
      <c r="Q213">
        <v>1</v>
      </c>
    </row>
    <row r="214" spans="2:17">
      <c r="P214" s="150">
        <v>2893</v>
      </c>
      <c r="Q214">
        <v>2</v>
      </c>
    </row>
    <row r="215" spans="2:17">
      <c r="B215" t="s">
        <v>72</v>
      </c>
      <c r="C215">
        <v>4</v>
      </c>
      <c r="D215">
        <v>142434</v>
      </c>
      <c r="E215" t="s">
        <v>375</v>
      </c>
      <c r="F215" t="s">
        <v>376</v>
      </c>
      <c r="G215">
        <v>2</v>
      </c>
      <c r="J215">
        <v>49</v>
      </c>
      <c r="K215">
        <v>0</v>
      </c>
      <c r="N215">
        <v>49</v>
      </c>
      <c r="O215">
        <v>0</v>
      </c>
    </row>
    <row r="216" spans="2:17">
      <c r="B216" t="s">
        <v>72</v>
      </c>
      <c r="C216">
        <v>4</v>
      </c>
      <c r="D216">
        <v>142269</v>
      </c>
      <c r="E216" t="s">
        <v>377</v>
      </c>
      <c r="F216" t="s">
        <v>378</v>
      </c>
      <c r="G216">
        <v>1</v>
      </c>
      <c r="J216">
        <v>0</v>
      </c>
      <c r="K216">
        <v>0</v>
      </c>
      <c r="N216">
        <v>0</v>
      </c>
      <c r="O216">
        <v>0</v>
      </c>
    </row>
    <row r="217" spans="2:17">
      <c r="B217" t="s">
        <v>89</v>
      </c>
      <c r="C217">
        <v>4</v>
      </c>
      <c r="D217">
        <v>12803</v>
      </c>
      <c r="E217" t="s">
        <v>379</v>
      </c>
      <c r="F217" t="s">
        <v>380</v>
      </c>
      <c r="J217">
        <v>0</v>
      </c>
      <c r="K217">
        <v>0</v>
      </c>
      <c r="N217">
        <v>0</v>
      </c>
      <c r="O217">
        <v>0</v>
      </c>
    </row>
    <row r="218" spans="2:17">
      <c r="B218" t="s">
        <v>89</v>
      </c>
      <c r="C218">
        <v>4</v>
      </c>
      <c r="D218">
        <v>3212</v>
      </c>
      <c r="E218" t="s">
        <v>381</v>
      </c>
      <c r="F218" t="s">
        <v>382</v>
      </c>
      <c r="I218">
        <v>6114</v>
      </c>
      <c r="J218">
        <v>72</v>
      </c>
      <c r="K218">
        <v>0</v>
      </c>
      <c r="N218">
        <v>72</v>
      </c>
      <c r="O218">
        <v>0</v>
      </c>
    </row>
    <row r="219" spans="2:17">
      <c r="B219" t="s">
        <v>89</v>
      </c>
      <c r="C219">
        <v>4</v>
      </c>
      <c r="D219">
        <v>8717</v>
      </c>
      <c r="E219" t="s">
        <v>381</v>
      </c>
      <c r="F219" t="s">
        <v>383</v>
      </c>
      <c r="J219">
        <v>0</v>
      </c>
      <c r="K219">
        <v>0</v>
      </c>
      <c r="N219">
        <v>0</v>
      </c>
      <c r="O219">
        <v>0</v>
      </c>
    </row>
    <row r="220" spans="2:17">
      <c r="B220" t="s">
        <v>72</v>
      </c>
      <c r="C220">
        <v>4</v>
      </c>
      <c r="D220">
        <v>190124</v>
      </c>
      <c r="E220" t="s">
        <v>384</v>
      </c>
      <c r="F220" t="s">
        <v>385</v>
      </c>
      <c r="G220">
        <v>4</v>
      </c>
      <c r="J220">
        <v>0</v>
      </c>
      <c r="K220">
        <v>0</v>
      </c>
      <c r="N220">
        <v>0</v>
      </c>
      <c r="O220">
        <v>0</v>
      </c>
    </row>
    <row r="221" spans="2:17">
      <c r="B221" t="s">
        <v>89</v>
      </c>
      <c r="C221">
        <v>4</v>
      </c>
      <c r="D221">
        <v>13668</v>
      </c>
      <c r="E221" t="s">
        <v>386</v>
      </c>
      <c r="F221" t="s">
        <v>387</v>
      </c>
      <c r="I221">
        <v>6114</v>
      </c>
      <c r="J221">
        <v>0</v>
      </c>
      <c r="K221">
        <v>0</v>
      </c>
      <c r="N221">
        <v>0</v>
      </c>
      <c r="O221">
        <v>0</v>
      </c>
    </row>
    <row r="222" spans="2:17">
      <c r="B222" t="s">
        <v>89</v>
      </c>
      <c r="C222">
        <v>4</v>
      </c>
      <c r="D222">
        <v>13664</v>
      </c>
      <c r="E222" t="s">
        <v>388</v>
      </c>
      <c r="F222" t="s">
        <v>389</v>
      </c>
      <c r="J222">
        <v>64</v>
      </c>
      <c r="K222">
        <v>0</v>
      </c>
      <c r="N222">
        <v>64</v>
      </c>
      <c r="O222">
        <v>0</v>
      </c>
    </row>
    <row r="223" spans="2:17">
      <c r="B223" t="s">
        <v>72</v>
      </c>
      <c r="C223">
        <v>4</v>
      </c>
      <c r="D223">
        <v>66093</v>
      </c>
      <c r="E223" t="s">
        <v>390</v>
      </c>
      <c r="F223" t="s">
        <v>385</v>
      </c>
      <c r="G223" t="s">
        <v>391</v>
      </c>
      <c r="I223">
        <v>5050</v>
      </c>
      <c r="J223">
        <v>186</v>
      </c>
      <c r="K223">
        <v>1</v>
      </c>
      <c r="N223">
        <v>187</v>
      </c>
      <c r="O223" s="150">
        <v>5009</v>
      </c>
      <c r="P223">
        <v>160</v>
      </c>
      <c r="Q223">
        <v>1</v>
      </c>
    </row>
    <row r="224" spans="2:17">
      <c r="P224" s="150">
        <v>4849</v>
      </c>
      <c r="Q224">
        <v>2</v>
      </c>
    </row>
    <row r="225" spans="1:17">
      <c r="B225" t="s">
        <v>89</v>
      </c>
      <c r="C225">
        <v>4</v>
      </c>
      <c r="D225">
        <v>12360</v>
      </c>
      <c r="E225" t="s">
        <v>392</v>
      </c>
      <c r="F225" t="s">
        <v>393</v>
      </c>
      <c r="J225">
        <v>63</v>
      </c>
      <c r="K225">
        <v>0</v>
      </c>
      <c r="N225">
        <v>63</v>
      </c>
      <c r="O225">
        <v>0</v>
      </c>
    </row>
    <row r="229" spans="1:17" ht="13" thickBot="1"/>
    <row r="230" spans="1:17" ht="15" thickTop="1">
      <c r="A230" s="237" t="s">
        <v>625</v>
      </c>
      <c r="B230" s="223"/>
      <c r="C230" s="223"/>
      <c r="D230" s="223"/>
      <c r="E230" s="223">
        <f>SUBTOTAL(103,Table1[Field Name])</f>
        <v>189</v>
      </c>
      <c r="F230" s="223">
        <f>SUBTOTAL(103,Table1[Lease Name])</f>
        <v>189</v>
      </c>
      <c r="G230" s="223"/>
      <c r="H230" s="223"/>
      <c r="I230" s="223"/>
      <c r="J230" s="238">
        <f>SUBTOTAL(109,Table1[On Hand Beginning of Month])</f>
        <v>13242</v>
      </c>
      <c r="K230" s="223">
        <f>SUBTOTAL(109,Table1[Production])</f>
        <v>6141</v>
      </c>
      <c r="L230" s="223">
        <f>SUBTOTAL(109,Table1[Volume])</f>
        <v>706</v>
      </c>
      <c r="M230" s="223"/>
      <c r="N230" s="223">
        <f>SUBTOTAL(109,Table1[On Hand End of Month])</f>
        <v>18794</v>
      </c>
      <c r="O230" s="238">
        <f>SUBTOTAL(109,Table1[Formation Production])</f>
        <v>188378</v>
      </c>
      <c r="P230" s="223">
        <f>SUBTOTAL(109,Table1[Volume2])</f>
        <v>188378</v>
      </c>
      <c r="Q230" s="239"/>
    </row>
  </sheetData>
  <phoneticPr fontId="71" type="noConversion"/>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4:J7"/>
  <sheetViews>
    <sheetView workbookViewId="0">
      <selection activeCell="J16" sqref="J16"/>
    </sheetView>
  </sheetViews>
  <sheetFormatPr baseColWidth="10" defaultColWidth="12" defaultRowHeight="12" x14ac:dyDescent="0"/>
  <cols>
    <col min="3" max="3" width="21.33203125" customWidth="1"/>
    <col min="4" max="4" width="14.6640625" bestFit="1" customWidth="1"/>
    <col min="9" max="9" width="36.83203125" customWidth="1"/>
  </cols>
  <sheetData>
    <row r="4" spans="2:10" ht="36">
      <c r="B4" s="203" t="s">
        <v>1115</v>
      </c>
      <c r="C4" s="204" t="s">
        <v>47</v>
      </c>
      <c r="D4" s="204" t="s">
        <v>48</v>
      </c>
      <c r="E4" s="204" t="s">
        <v>604</v>
      </c>
      <c r="F4" s="204" t="s">
        <v>7</v>
      </c>
      <c r="G4" s="204" t="s">
        <v>8</v>
      </c>
      <c r="H4" s="215" t="s">
        <v>602</v>
      </c>
      <c r="I4" s="204" t="s">
        <v>1272</v>
      </c>
      <c r="J4" s="231" t="s">
        <v>1273</v>
      </c>
    </row>
    <row r="5" spans="2:10" ht="28">
      <c r="B5" s="209" t="e">
        <v>#N/A</v>
      </c>
      <c r="C5" s="210" t="s">
        <v>84</v>
      </c>
      <c r="D5" s="211" t="s">
        <v>86</v>
      </c>
      <c r="E5" s="212">
        <v>1</v>
      </c>
      <c r="F5" s="216" t="s">
        <v>617</v>
      </c>
      <c r="G5" s="216" t="s">
        <v>59</v>
      </c>
      <c r="H5" s="217" t="s">
        <v>420</v>
      </c>
      <c r="I5" s="214" t="s">
        <v>1270</v>
      </c>
      <c r="J5" s="232">
        <v>43862</v>
      </c>
    </row>
    <row r="6" spans="2:10" ht="28">
      <c r="B6" s="208" t="e">
        <v>#N/A</v>
      </c>
      <c r="C6" s="205" t="s">
        <v>185</v>
      </c>
      <c r="D6" s="206" t="s">
        <v>186</v>
      </c>
      <c r="E6" s="207">
        <v>1</v>
      </c>
      <c r="F6" s="218" t="s">
        <v>618</v>
      </c>
      <c r="G6" s="218" t="s">
        <v>59</v>
      </c>
      <c r="H6" s="219" t="s">
        <v>481</v>
      </c>
      <c r="I6" s="213" t="s">
        <v>1270</v>
      </c>
      <c r="J6" s="232">
        <v>43862</v>
      </c>
    </row>
    <row r="7" spans="2:10" ht="28">
      <c r="B7" s="209" t="e">
        <v>#N/A</v>
      </c>
      <c r="C7" s="210" t="s">
        <v>209</v>
      </c>
      <c r="D7" s="211" t="s">
        <v>213</v>
      </c>
      <c r="E7" s="212">
        <v>1</v>
      </c>
      <c r="F7" s="216" t="s">
        <v>618</v>
      </c>
      <c r="G7" s="216" t="s">
        <v>59</v>
      </c>
      <c r="H7" s="217" t="s">
        <v>493</v>
      </c>
      <c r="I7" s="214" t="s">
        <v>1270</v>
      </c>
      <c r="J7" s="232">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8" customWidth="1"/>
    <col min="2" max="2" width="13.6640625" style="38" customWidth="1"/>
    <col min="3" max="3" width="64.5" style="38" customWidth="1"/>
    <col min="4" max="4" width="16.1640625" style="38" customWidth="1"/>
    <col min="5" max="7" width="14.6640625" style="38" customWidth="1"/>
    <col min="8" max="9" width="17.33203125" style="39" customWidth="1"/>
    <col min="10" max="10" width="15" style="38" customWidth="1"/>
    <col min="11" max="11" width="16.6640625" style="40" customWidth="1"/>
    <col min="12" max="14" width="15.83203125" style="40" customWidth="1"/>
    <col min="15" max="15" width="26.5" style="40" bestFit="1" customWidth="1"/>
    <col min="16" max="18" width="8.83203125" style="40"/>
    <col min="19" max="19" width="34.6640625" style="40" customWidth="1"/>
    <col min="20" max="254" width="8.83203125" style="40"/>
    <col min="255" max="255" width="32.6640625" style="40" customWidth="1"/>
    <col min="256" max="256" width="13.6640625" style="40" customWidth="1"/>
    <col min="257" max="257" width="64.5" style="40" customWidth="1"/>
    <col min="258" max="258" width="16.1640625" style="40" customWidth="1"/>
    <col min="259" max="261" width="14.6640625" style="40" customWidth="1"/>
    <col min="262" max="263" width="17.33203125" style="40" customWidth="1"/>
    <col min="264" max="264" width="15" style="40" customWidth="1"/>
    <col min="265" max="265" width="16.6640625" style="40" customWidth="1"/>
    <col min="266" max="268" width="15.83203125" style="40" customWidth="1"/>
    <col min="269" max="274" width="8.83203125" style="40"/>
    <col min="275" max="275" width="34.6640625" style="40" customWidth="1"/>
    <col min="276" max="510" width="8.83203125" style="40"/>
    <col min="511" max="511" width="32.6640625" style="40" customWidth="1"/>
    <col min="512" max="512" width="13.6640625" style="40" customWidth="1"/>
    <col min="513" max="513" width="64.5" style="40" customWidth="1"/>
    <col min="514" max="514" width="16.1640625" style="40" customWidth="1"/>
    <col min="515" max="517" width="14.6640625" style="40" customWidth="1"/>
    <col min="518" max="519" width="17.33203125" style="40" customWidth="1"/>
    <col min="520" max="520" width="15" style="40" customWidth="1"/>
    <col min="521" max="521" width="16.6640625" style="40" customWidth="1"/>
    <col min="522" max="524" width="15.83203125" style="40" customWidth="1"/>
    <col min="525" max="530" width="8.83203125" style="40"/>
    <col min="531" max="531" width="34.6640625" style="40" customWidth="1"/>
    <col min="532" max="766" width="8.83203125" style="40"/>
    <col min="767" max="767" width="32.6640625" style="40" customWidth="1"/>
    <col min="768" max="768" width="13.6640625" style="40" customWidth="1"/>
    <col min="769" max="769" width="64.5" style="40" customWidth="1"/>
    <col min="770" max="770" width="16.1640625" style="40" customWidth="1"/>
    <col min="771" max="773" width="14.6640625" style="40" customWidth="1"/>
    <col min="774" max="775" width="17.33203125" style="40" customWidth="1"/>
    <col min="776" max="776" width="15" style="40" customWidth="1"/>
    <col min="777" max="777" width="16.6640625" style="40" customWidth="1"/>
    <col min="778" max="780" width="15.83203125" style="40" customWidth="1"/>
    <col min="781" max="786" width="8.83203125" style="40"/>
    <col min="787" max="787" width="34.6640625" style="40" customWidth="1"/>
    <col min="788" max="1022" width="8.83203125" style="40"/>
    <col min="1023" max="1023" width="32.6640625" style="40" customWidth="1"/>
    <col min="1024" max="1024" width="13.6640625" style="40" customWidth="1"/>
    <col min="1025" max="1025" width="64.5" style="40" customWidth="1"/>
    <col min="1026" max="1026" width="16.1640625" style="40" customWidth="1"/>
    <col min="1027" max="1029" width="14.6640625" style="40" customWidth="1"/>
    <col min="1030" max="1031" width="17.33203125" style="40" customWidth="1"/>
    <col min="1032" max="1032" width="15" style="40" customWidth="1"/>
    <col min="1033" max="1033" width="16.6640625" style="40" customWidth="1"/>
    <col min="1034" max="1036" width="15.83203125" style="40" customWidth="1"/>
    <col min="1037" max="1042" width="8.83203125" style="40"/>
    <col min="1043" max="1043" width="34.6640625" style="40" customWidth="1"/>
    <col min="1044" max="1278" width="8.83203125" style="40"/>
    <col min="1279" max="1279" width="32.6640625" style="40" customWidth="1"/>
    <col min="1280" max="1280" width="13.6640625" style="40" customWidth="1"/>
    <col min="1281" max="1281" width="64.5" style="40" customWidth="1"/>
    <col min="1282" max="1282" width="16.1640625" style="40" customWidth="1"/>
    <col min="1283" max="1285" width="14.6640625" style="40" customWidth="1"/>
    <col min="1286" max="1287" width="17.33203125" style="40" customWidth="1"/>
    <col min="1288" max="1288" width="15" style="40" customWidth="1"/>
    <col min="1289" max="1289" width="16.6640625" style="40" customWidth="1"/>
    <col min="1290" max="1292" width="15.83203125" style="40" customWidth="1"/>
    <col min="1293" max="1298" width="8.83203125" style="40"/>
    <col min="1299" max="1299" width="34.6640625" style="40" customWidth="1"/>
    <col min="1300" max="1534" width="8.83203125" style="40"/>
    <col min="1535" max="1535" width="32.6640625" style="40" customWidth="1"/>
    <col min="1536" max="1536" width="13.6640625" style="40" customWidth="1"/>
    <col min="1537" max="1537" width="64.5" style="40" customWidth="1"/>
    <col min="1538" max="1538" width="16.1640625" style="40" customWidth="1"/>
    <col min="1539" max="1541" width="14.6640625" style="40" customWidth="1"/>
    <col min="1542" max="1543" width="17.33203125" style="40" customWidth="1"/>
    <col min="1544" max="1544" width="15" style="40" customWidth="1"/>
    <col min="1545" max="1545" width="16.6640625" style="40" customWidth="1"/>
    <col min="1546" max="1548" width="15.83203125" style="40" customWidth="1"/>
    <col min="1549" max="1554" width="8.83203125" style="40"/>
    <col min="1555" max="1555" width="34.6640625" style="40" customWidth="1"/>
    <col min="1556" max="1790" width="8.83203125" style="40"/>
    <col min="1791" max="1791" width="32.6640625" style="40" customWidth="1"/>
    <col min="1792" max="1792" width="13.6640625" style="40" customWidth="1"/>
    <col min="1793" max="1793" width="64.5" style="40" customWidth="1"/>
    <col min="1794" max="1794" width="16.1640625" style="40" customWidth="1"/>
    <col min="1795" max="1797" width="14.6640625" style="40" customWidth="1"/>
    <col min="1798" max="1799" width="17.33203125" style="40" customWidth="1"/>
    <col min="1800" max="1800" width="15" style="40" customWidth="1"/>
    <col min="1801" max="1801" width="16.6640625" style="40" customWidth="1"/>
    <col min="1802" max="1804" width="15.83203125" style="40" customWidth="1"/>
    <col min="1805" max="1810" width="8.83203125" style="40"/>
    <col min="1811" max="1811" width="34.6640625" style="40" customWidth="1"/>
    <col min="1812" max="2046" width="8.83203125" style="40"/>
    <col min="2047" max="2047" width="32.6640625" style="40" customWidth="1"/>
    <col min="2048" max="2048" width="13.6640625" style="40" customWidth="1"/>
    <col min="2049" max="2049" width="64.5" style="40" customWidth="1"/>
    <col min="2050" max="2050" width="16.1640625" style="40" customWidth="1"/>
    <col min="2051" max="2053" width="14.6640625" style="40" customWidth="1"/>
    <col min="2054" max="2055" width="17.33203125" style="40" customWidth="1"/>
    <col min="2056" max="2056" width="15" style="40" customWidth="1"/>
    <col min="2057" max="2057" width="16.6640625" style="40" customWidth="1"/>
    <col min="2058" max="2060" width="15.83203125" style="40" customWidth="1"/>
    <col min="2061" max="2066" width="8.83203125" style="40"/>
    <col min="2067" max="2067" width="34.6640625" style="40" customWidth="1"/>
    <col min="2068" max="2302" width="8.83203125" style="40"/>
    <col min="2303" max="2303" width="32.6640625" style="40" customWidth="1"/>
    <col min="2304" max="2304" width="13.6640625" style="40" customWidth="1"/>
    <col min="2305" max="2305" width="64.5" style="40" customWidth="1"/>
    <col min="2306" max="2306" width="16.1640625" style="40" customWidth="1"/>
    <col min="2307" max="2309" width="14.6640625" style="40" customWidth="1"/>
    <col min="2310" max="2311" width="17.33203125" style="40" customWidth="1"/>
    <col min="2312" max="2312" width="15" style="40" customWidth="1"/>
    <col min="2313" max="2313" width="16.6640625" style="40" customWidth="1"/>
    <col min="2314" max="2316" width="15.83203125" style="40" customWidth="1"/>
    <col min="2317" max="2322" width="8.83203125" style="40"/>
    <col min="2323" max="2323" width="34.6640625" style="40" customWidth="1"/>
    <col min="2324" max="2558" width="8.83203125" style="40"/>
    <col min="2559" max="2559" width="32.6640625" style="40" customWidth="1"/>
    <col min="2560" max="2560" width="13.6640625" style="40" customWidth="1"/>
    <col min="2561" max="2561" width="64.5" style="40" customWidth="1"/>
    <col min="2562" max="2562" width="16.1640625" style="40" customWidth="1"/>
    <col min="2563" max="2565" width="14.6640625" style="40" customWidth="1"/>
    <col min="2566" max="2567" width="17.33203125" style="40" customWidth="1"/>
    <col min="2568" max="2568" width="15" style="40" customWidth="1"/>
    <col min="2569" max="2569" width="16.6640625" style="40" customWidth="1"/>
    <col min="2570" max="2572" width="15.83203125" style="40" customWidth="1"/>
    <col min="2573" max="2578" width="8.83203125" style="40"/>
    <col min="2579" max="2579" width="34.6640625" style="40" customWidth="1"/>
    <col min="2580" max="2814" width="8.83203125" style="40"/>
    <col min="2815" max="2815" width="32.6640625" style="40" customWidth="1"/>
    <col min="2816" max="2816" width="13.6640625" style="40" customWidth="1"/>
    <col min="2817" max="2817" width="64.5" style="40" customWidth="1"/>
    <col min="2818" max="2818" width="16.1640625" style="40" customWidth="1"/>
    <col min="2819" max="2821" width="14.6640625" style="40" customWidth="1"/>
    <col min="2822" max="2823" width="17.33203125" style="40" customWidth="1"/>
    <col min="2824" max="2824" width="15" style="40" customWidth="1"/>
    <col min="2825" max="2825" width="16.6640625" style="40" customWidth="1"/>
    <col min="2826" max="2828" width="15.83203125" style="40" customWidth="1"/>
    <col min="2829" max="2834" width="8.83203125" style="40"/>
    <col min="2835" max="2835" width="34.6640625" style="40" customWidth="1"/>
    <col min="2836" max="3070" width="8.83203125" style="40"/>
    <col min="3071" max="3071" width="32.6640625" style="40" customWidth="1"/>
    <col min="3072" max="3072" width="13.6640625" style="40" customWidth="1"/>
    <col min="3073" max="3073" width="64.5" style="40" customWidth="1"/>
    <col min="3074" max="3074" width="16.1640625" style="40" customWidth="1"/>
    <col min="3075" max="3077" width="14.6640625" style="40" customWidth="1"/>
    <col min="3078" max="3079" width="17.33203125" style="40" customWidth="1"/>
    <col min="3080" max="3080" width="15" style="40" customWidth="1"/>
    <col min="3081" max="3081" width="16.6640625" style="40" customWidth="1"/>
    <col min="3082" max="3084" width="15.83203125" style="40" customWidth="1"/>
    <col min="3085" max="3090" width="8.83203125" style="40"/>
    <col min="3091" max="3091" width="34.6640625" style="40" customWidth="1"/>
    <col min="3092" max="3326" width="8.83203125" style="40"/>
    <col min="3327" max="3327" width="32.6640625" style="40" customWidth="1"/>
    <col min="3328" max="3328" width="13.6640625" style="40" customWidth="1"/>
    <col min="3329" max="3329" width="64.5" style="40" customWidth="1"/>
    <col min="3330" max="3330" width="16.1640625" style="40" customWidth="1"/>
    <col min="3331" max="3333" width="14.6640625" style="40" customWidth="1"/>
    <col min="3334" max="3335" width="17.33203125" style="40" customWidth="1"/>
    <col min="3336" max="3336" width="15" style="40" customWidth="1"/>
    <col min="3337" max="3337" width="16.6640625" style="40" customWidth="1"/>
    <col min="3338" max="3340" width="15.83203125" style="40" customWidth="1"/>
    <col min="3341" max="3346" width="8.83203125" style="40"/>
    <col min="3347" max="3347" width="34.6640625" style="40" customWidth="1"/>
    <col min="3348" max="3582" width="8.83203125" style="40"/>
    <col min="3583" max="3583" width="32.6640625" style="40" customWidth="1"/>
    <col min="3584" max="3584" width="13.6640625" style="40" customWidth="1"/>
    <col min="3585" max="3585" width="64.5" style="40" customWidth="1"/>
    <col min="3586" max="3586" width="16.1640625" style="40" customWidth="1"/>
    <col min="3587" max="3589" width="14.6640625" style="40" customWidth="1"/>
    <col min="3590" max="3591" width="17.33203125" style="40" customWidth="1"/>
    <col min="3592" max="3592" width="15" style="40" customWidth="1"/>
    <col min="3593" max="3593" width="16.6640625" style="40" customWidth="1"/>
    <col min="3594" max="3596" width="15.83203125" style="40" customWidth="1"/>
    <col min="3597" max="3602" width="8.83203125" style="40"/>
    <col min="3603" max="3603" width="34.6640625" style="40" customWidth="1"/>
    <col min="3604" max="3838" width="8.83203125" style="40"/>
    <col min="3839" max="3839" width="32.6640625" style="40" customWidth="1"/>
    <col min="3840" max="3840" width="13.6640625" style="40" customWidth="1"/>
    <col min="3841" max="3841" width="64.5" style="40" customWidth="1"/>
    <col min="3842" max="3842" width="16.1640625" style="40" customWidth="1"/>
    <col min="3843" max="3845" width="14.6640625" style="40" customWidth="1"/>
    <col min="3846" max="3847" width="17.33203125" style="40" customWidth="1"/>
    <col min="3848" max="3848" width="15" style="40" customWidth="1"/>
    <col min="3849" max="3849" width="16.6640625" style="40" customWidth="1"/>
    <col min="3850" max="3852" width="15.83203125" style="40" customWidth="1"/>
    <col min="3853" max="3858" width="8.83203125" style="40"/>
    <col min="3859" max="3859" width="34.6640625" style="40" customWidth="1"/>
    <col min="3860" max="4094" width="8.83203125" style="40"/>
    <col min="4095" max="4095" width="32.6640625" style="40" customWidth="1"/>
    <col min="4096" max="4096" width="13.6640625" style="40" customWidth="1"/>
    <col min="4097" max="4097" width="64.5" style="40" customWidth="1"/>
    <col min="4098" max="4098" width="16.1640625" style="40" customWidth="1"/>
    <col min="4099" max="4101" width="14.6640625" style="40" customWidth="1"/>
    <col min="4102" max="4103" width="17.33203125" style="40" customWidth="1"/>
    <col min="4104" max="4104" width="15" style="40" customWidth="1"/>
    <col min="4105" max="4105" width="16.6640625" style="40" customWidth="1"/>
    <col min="4106" max="4108" width="15.83203125" style="40" customWidth="1"/>
    <col min="4109" max="4114" width="8.83203125" style="40"/>
    <col min="4115" max="4115" width="34.6640625" style="40" customWidth="1"/>
    <col min="4116" max="4350" width="8.83203125" style="40"/>
    <col min="4351" max="4351" width="32.6640625" style="40" customWidth="1"/>
    <col min="4352" max="4352" width="13.6640625" style="40" customWidth="1"/>
    <col min="4353" max="4353" width="64.5" style="40" customWidth="1"/>
    <col min="4354" max="4354" width="16.1640625" style="40" customWidth="1"/>
    <col min="4355" max="4357" width="14.6640625" style="40" customWidth="1"/>
    <col min="4358" max="4359" width="17.33203125" style="40" customWidth="1"/>
    <col min="4360" max="4360" width="15" style="40" customWidth="1"/>
    <col min="4361" max="4361" width="16.6640625" style="40" customWidth="1"/>
    <col min="4362" max="4364" width="15.83203125" style="40" customWidth="1"/>
    <col min="4365" max="4370" width="8.83203125" style="40"/>
    <col min="4371" max="4371" width="34.6640625" style="40" customWidth="1"/>
    <col min="4372" max="4606" width="8.83203125" style="40"/>
    <col min="4607" max="4607" width="32.6640625" style="40" customWidth="1"/>
    <col min="4608" max="4608" width="13.6640625" style="40" customWidth="1"/>
    <col min="4609" max="4609" width="64.5" style="40" customWidth="1"/>
    <col min="4610" max="4610" width="16.1640625" style="40" customWidth="1"/>
    <col min="4611" max="4613" width="14.6640625" style="40" customWidth="1"/>
    <col min="4614" max="4615" width="17.33203125" style="40" customWidth="1"/>
    <col min="4616" max="4616" width="15" style="40" customWidth="1"/>
    <col min="4617" max="4617" width="16.6640625" style="40" customWidth="1"/>
    <col min="4618" max="4620" width="15.83203125" style="40" customWidth="1"/>
    <col min="4621" max="4626" width="8.83203125" style="40"/>
    <col min="4627" max="4627" width="34.6640625" style="40" customWidth="1"/>
    <col min="4628" max="4862" width="8.83203125" style="40"/>
    <col min="4863" max="4863" width="32.6640625" style="40" customWidth="1"/>
    <col min="4864" max="4864" width="13.6640625" style="40" customWidth="1"/>
    <col min="4865" max="4865" width="64.5" style="40" customWidth="1"/>
    <col min="4866" max="4866" width="16.1640625" style="40" customWidth="1"/>
    <col min="4867" max="4869" width="14.6640625" style="40" customWidth="1"/>
    <col min="4870" max="4871" width="17.33203125" style="40" customWidth="1"/>
    <col min="4872" max="4872" width="15" style="40" customWidth="1"/>
    <col min="4873" max="4873" width="16.6640625" style="40" customWidth="1"/>
    <col min="4874" max="4876" width="15.83203125" style="40" customWidth="1"/>
    <col min="4877" max="4882" width="8.83203125" style="40"/>
    <col min="4883" max="4883" width="34.6640625" style="40" customWidth="1"/>
    <col min="4884" max="5118" width="8.83203125" style="40"/>
    <col min="5119" max="5119" width="32.6640625" style="40" customWidth="1"/>
    <col min="5120" max="5120" width="13.6640625" style="40" customWidth="1"/>
    <col min="5121" max="5121" width="64.5" style="40" customWidth="1"/>
    <col min="5122" max="5122" width="16.1640625" style="40" customWidth="1"/>
    <col min="5123" max="5125" width="14.6640625" style="40" customWidth="1"/>
    <col min="5126" max="5127" width="17.33203125" style="40" customWidth="1"/>
    <col min="5128" max="5128" width="15" style="40" customWidth="1"/>
    <col min="5129" max="5129" width="16.6640625" style="40" customWidth="1"/>
    <col min="5130" max="5132" width="15.83203125" style="40" customWidth="1"/>
    <col min="5133" max="5138" width="8.83203125" style="40"/>
    <col min="5139" max="5139" width="34.6640625" style="40" customWidth="1"/>
    <col min="5140" max="5374" width="8.83203125" style="40"/>
    <col min="5375" max="5375" width="32.6640625" style="40" customWidth="1"/>
    <col min="5376" max="5376" width="13.6640625" style="40" customWidth="1"/>
    <col min="5377" max="5377" width="64.5" style="40" customWidth="1"/>
    <col min="5378" max="5378" width="16.1640625" style="40" customWidth="1"/>
    <col min="5379" max="5381" width="14.6640625" style="40" customWidth="1"/>
    <col min="5382" max="5383" width="17.33203125" style="40" customWidth="1"/>
    <col min="5384" max="5384" width="15" style="40" customWidth="1"/>
    <col min="5385" max="5385" width="16.6640625" style="40" customWidth="1"/>
    <col min="5386" max="5388" width="15.83203125" style="40" customWidth="1"/>
    <col min="5389" max="5394" width="8.83203125" style="40"/>
    <col min="5395" max="5395" width="34.6640625" style="40" customWidth="1"/>
    <col min="5396" max="5630" width="8.83203125" style="40"/>
    <col min="5631" max="5631" width="32.6640625" style="40" customWidth="1"/>
    <col min="5632" max="5632" width="13.6640625" style="40" customWidth="1"/>
    <col min="5633" max="5633" width="64.5" style="40" customWidth="1"/>
    <col min="5634" max="5634" width="16.1640625" style="40" customWidth="1"/>
    <col min="5635" max="5637" width="14.6640625" style="40" customWidth="1"/>
    <col min="5638" max="5639" width="17.33203125" style="40" customWidth="1"/>
    <col min="5640" max="5640" width="15" style="40" customWidth="1"/>
    <col min="5641" max="5641" width="16.6640625" style="40" customWidth="1"/>
    <col min="5642" max="5644" width="15.83203125" style="40" customWidth="1"/>
    <col min="5645" max="5650" width="8.83203125" style="40"/>
    <col min="5651" max="5651" width="34.6640625" style="40" customWidth="1"/>
    <col min="5652" max="5886" width="8.83203125" style="40"/>
    <col min="5887" max="5887" width="32.6640625" style="40" customWidth="1"/>
    <col min="5888" max="5888" width="13.6640625" style="40" customWidth="1"/>
    <col min="5889" max="5889" width="64.5" style="40" customWidth="1"/>
    <col min="5890" max="5890" width="16.1640625" style="40" customWidth="1"/>
    <col min="5891" max="5893" width="14.6640625" style="40" customWidth="1"/>
    <col min="5894" max="5895" width="17.33203125" style="40" customWidth="1"/>
    <col min="5896" max="5896" width="15" style="40" customWidth="1"/>
    <col min="5897" max="5897" width="16.6640625" style="40" customWidth="1"/>
    <col min="5898" max="5900" width="15.83203125" style="40" customWidth="1"/>
    <col min="5901" max="5906" width="8.83203125" style="40"/>
    <col min="5907" max="5907" width="34.6640625" style="40" customWidth="1"/>
    <col min="5908" max="6142" width="8.83203125" style="40"/>
    <col min="6143" max="6143" width="32.6640625" style="40" customWidth="1"/>
    <col min="6144" max="6144" width="13.6640625" style="40" customWidth="1"/>
    <col min="6145" max="6145" width="64.5" style="40" customWidth="1"/>
    <col min="6146" max="6146" width="16.1640625" style="40" customWidth="1"/>
    <col min="6147" max="6149" width="14.6640625" style="40" customWidth="1"/>
    <col min="6150" max="6151" width="17.33203125" style="40" customWidth="1"/>
    <col min="6152" max="6152" width="15" style="40" customWidth="1"/>
    <col min="6153" max="6153" width="16.6640625" style="40" customWidth="1"/>
    <col min="6154" max="6156" width="15.83203125" style="40" customWidth="1"/>
    <col min="6157" max="6162" width="8.83203125" style="40"/>
    <col min="6163" max="6163" width="34.6640625" style="40" customWidth="1"/>
    <col min="6164" max="6398" width="8.83203125" style="40"/>
    <col min="6399" max="6399" width="32.6640625" style="40" customWidth="1"/>
    <col min="6400" max="6400" width="13.6640625" style="40" customWidth="1"/>
    <col min="6401" max="6401" width="64.5" style="40" customWidth="1"/>
    <col min="6402" max="6402" width="16.1640625" style="40" customWidth="1"/>
    <col min="6403" max="6405" width="14.6640625" style="40" customWidth="1"/>
    <col min="6406" max="6407" width="17.33203125" style="40" customWidth="1"/>
    <col min="6408" max="6408" width="15" style="40" customWidth="1"/>
    <col min="6409" max="6409" width="16.6640625" style="40" customWidth="1"/>
    <col min="6410" max="6412" width="15.83203125" style="40" customWidth="1"/>
    <col min="6413" max="6418" width="8.83203125" style="40"/>
    <col min="6419" max="6419" width="34.6640625" style="40" customWidth="1"/>
    <col min="6420" max="6654" width="8.83203125" style="40"/>
    <col min="6655" max="6655" width="32.6640625" style="40" customWidth="1"/>
    <col min="6656" max="6656" width="13.6640625" style="40" customWidth="1"/>
    <col min="6657" max="6657" width="64.5" style="40" customWidth="1"/>
    <col min="6658" max="6658" width="16.1640625" style="40" customWidth="1"/>
    <col min="6659" max="6661" width="14.6640625" style="40" customWidth="1"/>
    <col min="6662" max="6663" width="17.33203125" style="40" customWidth="1"/>
    <col min="6664" max="6664" width="15" style="40" customWidth="1"/>
    <col min="6665" max="6665" width="16.6640625" style="40" customWidth="1"/>
    <col min="6666" max="6668" width="15.83203125" style="40" customWidth="1"/>
    <col min="6669" max="6674" width="8.83203125" style="40"/>
    <col min="6675" max="6675" width="34.6640625" style="40" customWidth="1"/>
    <col min="6676" max="6910" width="8.83203125" style="40"/>
    <col min="6911" max="6911" width="32.6640625" style="40" customWidth="1"/>
    <col min="6912" max="6912" width="13.6640625" style="40" customWidth="1"/>
    <col min="6913" max="6913" width="64.5" style="40" customWidth="1"/>
    <col min="6914" max="6914" width="16.1640625" style="40" customWidth="1"/>
    <col min="6915" max="6917" width="14.6640625" style="40" customWidth="1"/>
    <col min="6918" max="6919" width="17.33203125" style="40" customWidth="1"/>
    <col min="6920" max="6920" width="15" style="40" customWidth="1"/>
    <col min="6921" max="6921" width="16.6640625" style="40" customWidth="1"/>
    <col min="6922" max="6924" width="15.83203125" style="40" customWidth="1"/>
    <col min="6925" max="6930" width="8.83203125" style="40"/>
    <col min="6931" max="6931" width="34.6640625" style="40" customWidth="1"/>
    <col min="6932" max="7166" width="8.83203125" style="40"/>
    <col min="7167" max="7167" width="32.6640625" style="40" customWidth="1"/>
    <col min="7168" max="7168" width="13.6640625" style="40" customWidth="1"/>
    <col min="7169" max="7169" width="64.5" style="40" customWidth="1"/>
    <col min="7170" max="7170" width="16.1640625" style="40" customWidth="1"/>
    <col min="7171" max="7173" width="14.6640625" style="40" customWidth="1"/>
    <col min="7174" max="7175" width="17.33203125" style="40" customWidth="1"/>
    <col min="7176" max="7176" width="15" style="40" customWidth="1"/>
    <col min="7177" max="7177" width="16.6640625" style="40" customWidth="1"/>
    <col min="7178" max="7180" width="15.83203125" style="40" customWidth="1"/>
    <col min="7181" max="7186" width="8.83203125" style="40"/>
    <col min="7187" max="7187" width="34.6640625" style="40" customWidth="1"/>
    <col min="7188" max="7422" width="8.83203125" style="40"/>
    <col min="7423" max="7423" width="32.6640625" style="40" customWidth="1"/>
    <col min="7424" max="7424" width="13.6640625" style="40" customWidth="1"/>
    <col min="7425" max="7425" width="64.5" style="40" customWidth="1"/>
    <col min="7426" max="7426" width="16.1640625" style="40" customWidth="1"/>
    <col min="7427" max="7429" width="14.6640625" style="40" customWidth="1"/>
    <col min="7430" max="7431" width="17.33203125" style="40" customWidth="1"/>
    <col min="7432" max="7432" width="15" style="40" customWidth="1"/>
    <col min="7433" max="7433" width="16.6640625" style="40" customWidth="1"/>
    <col min="7434" max="7436" width="15.83203125" style="40" customWidth="1"/>
    <col min="7437" max="7442" width="8.83203125" style="40"/>
    <col min="7443" max="7443" width="34.6640625" style="40" customWidth="1"/>
    <col min="7444" max="7678" width="8.83203125" style="40"/>
    <col min="7679" max="7679" width="32.6640625" style="40" customWidth="1"/>
    <col min="7680" max="7680" width="13.6640625" style="40" customWidth="1"/>
    <col min="7681" max="7681" width="64.5" style="40" customWidth="1"/>
    <col min="7682" max="7682" width="16.1640625" style="40" customWidth="1"/>
    <col min="7683" max="7685" width="14.6640625" style="40" customWidth="1"/>
    <col min="7686" max="7687" width="17.33203125" style="40" customWidth="1"/>
    <col min="7688" max="7688" width="15" style="40" customWidth="1"/>
    <col min="7689" max="7689" width="16.6640625" style="40" customWidth="1"/>
    <col min="7690" max="7692" width="15.83203125" style="40" customWidth="1"/>
    <col min="7693" max="7698" width="8.83203125" style="40"/>
    <col min="7699" max="7699" width="34.6640625" style="40" customWidth="1"/>
    <col min="7700" max="7934" width="8.83203125" style="40"/>
    <col min="7935" max="7935" width="32.6640625" style="40" customWidth="1"/>
    <col min="7936" max="7936" width="13.6640625" style="40" customWidth="1"/>
    <col min="7937" max="7937" width="64.5" style="40" customWidth="1"/>
    <col min="7938" max="7938" width="16.1640625" style="40" customWidth="1"/>
    <col min="7939" max="7941" width="14.6640625" style="40" customWidth="1"/>
    <col min="7942" max="7943" width="17.33203125" style="40" customWidth="1"/>
    <col min="7944" max="7944" width="15" style="40" customWidth="1"/>
    <col min="7945" max="7945" width="16.6640625" style="40" customWidth="1"/>
    <col min="7946" max="7948" width="15.83203125" style="40" customWidth="1"/>
    <col min="7949" max="7954" width="8.83203125" style="40"/>
    <col min="7955" max="7955" width="34.6640625" style="40" customWidth="1"/>
    <col min="7956" max="8190" width="8.83203125" style="40"/>
    <col min="8191" max="8191" width="32.6640625" style="40" customWidth="1"/>
    <col min="8192" max="8192" width="13.6640625" style="40" customWidth="1"/>
    <col min="8193" max="8193" width="64.5" style="40" customWidth="1"/>
    <col min="8194" max="8194" width="16.1640625" style="40" customWidth="1"/>
    <col min="8195" max="8197" width="14.6640625" style="40" customWidth="1"/>
    <col min="8198" max="8199" width="17.33203125" style="40" customWidth="1"/>
    <col min="8200" max="8200" width="15" style="40" customWidth="1"/>
    <col min="8201" max="8201" width="16.6640625" style="40" customWidth="1"/>
    <col min="8202" max="8204" width="15.83203125" style="40" customWidth="1"/>
    <col min="8205" max="8210" width="8.83203125" style="40"/>
    <col min="8211" max="8211" width="34.6640625" style="40" customWidth="1"/>
    <col min="8212" max="8446" width="8.83203125" style="40"/>
    <col min="8447" max="8447" width="32.6640625" style="40" customWidth="1"/>
    <col min="8448" max="8448" width="13.6640625" style="40" customWidth="1"/>
    <col min="8449" max="8449" width="64.5" style="40" customWidth="1"/>
    <col min="8450" max="8450" width="16.1640625" style="40" customWidth="1"/>
    <col min="8451" max="8453" width="14.6640625" style="40" customWidth="1"/>
    <col min="8454" max="8455" width="17.33203125" style="40" customWidth="1"/>
    <col min="8456" max="8456" width="15" style="40" customWidth="1"/>
    <col min="8457" max="8457" width="16.6640625" style="40" customWidth="1"/>
    <col min="8458" max="8460" width="15.83203125" style="40" customWidth="1"/>
    <col min="8461" max="8466" width="8.83203125" style="40"/>
    <col min="8467" max="8467" width="34.6640625" style="40" customWidth="1"/>
    <col min="8468" max="8702" width="8.83203125" style="40"/>
    <col min="8703" max="8703" width="32.6640625" style="40" customWidth="1"/>
    <col min="8704" max="8704" width="13.6640625" style="40" customWidth="1"/>
    <col min="8705" max="8705" width="64.5" style="40" customWidth="1"/>
    <col min="8706" max="8706" width="16.1640625" style="40" customWidth="1"/>
    <col min="8707" max="8709" width="14.6640625" style="40" customWidth="1"/>
    <col min="8710" max="8711" width="17.33203125" style="40" customWidth="1"/>
    <col min="8712" max="8712" width="15" style="40" customWidth="1"/>
    <col min="8713" max="8713" width="16.6640625" style="40" customWidth="1"/>
    <col min="8714" max="8716" width="15.83203125" style="40" customWidth="1"/>
    <col min="8717" max="8722" width="8.83203125" style="40"/>
    <col min="8723" max="8723" width="34.6640625" style="40" customWidth="1"/>
    <col min="8724" max="8958" width="8.83203125" style="40"/>
    <col min="8959" max="8959" width="32.6640625" style="40" customWidth="1"/>
    <col min="8960" max="8960" width="13.6640625" style="40" customWidth="1"/>
    <col min="8961" max="8961" width="64.5" style="40" customWidth="1"/>
    <col min="8962" max="8962" width="16.1640625" style="40" customWidth="1"/>
    <col min="8963" max="8965" width="14.6640625" style="40" customWidth="1"/>
    <col min="8966" max="8967" width="17.33203125" style="40" customWidth="1"/>
    <col min="8968" max="8968" width="15" style="40" customWidth="1"/>
    <col min="8969" max="8969" width="16.6640625" style="40" customWidth="1"/>
    <col min="8970" max="8972" width="15.83203125" style="40" customWidth="1"/>
    <col min="8973" max="8978" width="8.83203125" style="40"/>
    <col min="8979" max="8979" width="34.6640625" style="40" customWidth="1"/>
    <col min="8980" max="9214" width="8.83203125" style="40"/>
    <col min="9215" max="9215" width="32.6640625" style="40" customWidth="1"/>
    <col min="9216" max="9216" width="13.6640625" style="40" customWidth="1"/>
    <col min="9217" max="9217" width="64.5" style="40" customWidth="1"/>
    <col min="9218" max="9218" width="16.1640625" style="40" customWidth="1"/>
    <col min="9219" max="9221" width="14.6640625" style="40" customWidth="1"/>
    <col min="9222" max="9223" width="17.33203125" style="40" customWidth="1"/>
    <col min="9224" max="9224" width="15" style="40" customWidth="1"/>
    <col min="9225" max="9225" width="16.6640625" style="40" customWidth="1"/>
    <col min="9226" max="9228" width="15.83203125" style="40" customWidth="1"/>
    <col min="9229" max="9234" width="8.83203125" style="40"/>
    <col min="9235" max="9235" width="34.6640625" style="40" customWidth="1"/>
    <col min="9236" max="9470" width="8.83203125" style="40"/>
    <col min="9471" max="9471" width="32.6640625" style="40" customWidth="1"/>
    <col min="9472" max="9472" width="13.6640625" style="40" customWidth="1"/>
    <col min="9473" max="9473" width="64.5" style="40" customWidth="1"/>
    <col min="9474" max="9474" width="16.1640625" style="40" customWidth="1"/>
    <col min="9475" max="9477" width="14.6640625" style="40" customWidth="1"/>
    <col min="9478" max="9479" width="17.33203125" style="40" customWidth="1"/>
    <col min="9480" max="9480" width="15" style="40" customWidth="1"/>
    <col min="9481" max="9481" width="16.6640625" style="40" customWidth="1"/>
    <col min="9482" max="9484" width="15.83203125" style="40" customWidth="1"/>
    <col min="9485" max="9490" width="8.83203125" style="40"/>
    <col min="9491" max="9491" width="34.6640625" style="40" customWidth="1"/>
    <col min="9492" max="9726" width="8.83203125" style="40"/>
    <col min="9727" max="9727" width="32.6640625" style="40" customWidth="1"/>
    <col min="9728" max="9728" width="13.6640625" style="40" customWidth="1"/>
    <col min="9729" max="9729" width="64.5" style="40" customWidth="1"/>
    <col min="9730" max="9730" width="16.1640625" style="40" customWidth="1"/>
    <col min="9731" max="9733" width="14.6640625" style="40" customWidth="1"/>
    <col min="9734" max="9735" width="17.33203125" style="40" customWidth="1"/>
    <col min="9736" max="9736" width="15" style="40" customWidth="1"/>
    <col min="9737" max="9737" width="16.6640625" style="40" customWidth="1"/>
    <col min="9738" max="9740" width="15.83203125" style="40" customWidth="1"/>
    <col min="9741" max="9746" width="8.83203125" style="40"/>
    <col min="9747" max="9747" width="34.6640625" style="40" customWidth="1"/>
    <col min="9748" max="9982" width="8.83203125" style="40"/>
    <col min="9983" max="9983" width="32.6640625" style="40" customWidth="1"/>
    <col min="9984" max="9984" width="13.6640625" style="40" customWidth="1"/>
    <col min="9985" max="9985" width="64.5" style="40" customWidth="1"/>
    <col min="9986" max="9986" width="16.1640625" style="40" customWidth="1"/>
    <col min="9987" max="9989" width="14.6640625" style="40" customWidth="1"/>
    <col min="9990" max="9991" width="17.33203125" style="40" customWidth="1"/>
    <col min="9992" max="9992" width="15" style="40" customWidth="1"/>
    <col min="9993" max="9993" width="16.6640625" style="40" customWidth="1"/>
    <col min="9994" max="9996" width="15.83203125" style="40" customWidth="1"/>
    <col min="9997" max="10002" width="8.83203125" style="40"/>
    <col min="10003" max="10003" width="34.6640625" style="40" customWidth="1"/>
    <col min="10004" max="10238" width="8.83203125" style="40"/>
    <col min="10239" max="10239" width="32.6640625" style="40" customWidth="1"/>
    <col min="10240" max="10240" width="13.6640625" style="40" customWidth="1"/>
    <col min="10241" max="10241" width="64.5" style="40" customWidth="1"/>
    <col min="10242" max="10242" width="16.1640625" style="40" customWidth="1"/>
    <col min="10243" max="10245" width="14.6640625" style="40" customWidth="1"/>
    <col min="10246" max="10247" width="17.33203125" style="40" customWidth="1"/>
    <col min="10248" max="10248" width="15" style="40" customWidth="1"/>
    <col min="10249" max="10249" width="16.6640625" style="40" customWidth="1"/>
    <col min="10250" max="10252" width="15.83203125" style="40" customWidth="1"/>
    <col min="10253" max="10258" width="8.83203125" style="40"/>
    <col min="10259" max="10259" width="34.6640625" style="40" customWidth="1"/>
    <col min="10260" max="10494" width="8.83203125" style="40"/>
    <col min="10495" max="10495" width="32.6640625" style="40" customWidth="1"/>
    <col min="10496" max="10496" width="13.6640625" style="40" customWidth="1"/>
    <col min="10497" max="10497" width="64.5" style="40" customWidth="1"/>
    <col min="10498" max="10498" width="16.1640625" style="40" customWidth="1"/>
    <col min="10499" max="10501" width="14.6640625" style="40" customWidth="1"/>
    <col min="10502" max="10503" width="17.33203125" style="40" customWidth="1"/>
    <col min="10504" max="10504" width="15" style="40" customWidth="1"/>
    <col min="10505" max="10505" width="16.6640625" style="40" customWidth="1"/>
    <col min="10506" max="10508" width="15.83203125" style="40" customWidth="1"/>
    <col min="10509" max="10514" width="8.83203125" style="40"/>
    <col min="10515" max="10515" width="34.6640625" style="40" customWidth="1"/>
    <col min="10516" max="10750" width="8.83203125" style="40"/>
    <col min="10751" max="10751" width="32.6640625" style="40" customWidth="1"/>
    <col min="10752" max="10752" width="13.6640625" style="40" customWidth="1"/>
    <col min="10753" max="10753" width="64.5" style="40" customWidth="1"/>
    <col min="10754" max="10754" width="16.1640625" style="40" customWidth="1"/>
    <col min="10755" max="10757" width="14.6640625" style="40" customWidth="1"/>
    <col min="10758" max="10759" width="17.33203125" style="40" customWidth="1"/>
    <col min="10760" max="10760" width="15" style="40" customWidth="1"/>
    <col min="10761" max="10761" width="16.6640625" style="40" customWidth="1"/>
    <col min="10762" max="10764" width="15.83203125" style="40" customWidth="1"/>
    <col min="10765" max="10770" width="8.83203125" style="40"/>
    <col min="10771" max="10771" width="34.6640625" style="40" customWidth="1"/>
    <col min="10772" max="11006" width="8.83203125" style="40"/>
    <col min="11007" max="11007" width="32.6640625" style="40" customWidth="1"/>
    <col min="11008" max="11008" width="13.6640625" style="40" customWidth="1"/>
    <col min="11009" max="11009" width="64.5" style="40" customWidth="1"/>
    <col min="11010" max="11010" width="16.1640625" style="40" customWidth="1"/>
    <col min="11011" max="11013" width="14.6640625" style="40" customWidth="1"/>
    <col min="11014" max="11015" width="17.33203125" style="40" customWidth="1"/>
    <col min="11016" max="11016" width="15" style="40" customWidth="1"/>
    <col min="11017" max="11017" width="16.6640625" style="40" customWidth="1"/>
    <col min="11018" max="11020" width="15.83203125" style="40" customWidth="1"/>
    <col min="11021" max="11026" width="8.83203125" style="40"/>
    <col min="11027" max="11027" width="34.6640625" style="40" customWidth="1"/>
    <col min="11028" max="11262" width="8.83203125" style="40"/>
    <col min="11263" max="11263" width="32.6640625" style="40" customWidth="1"/>
    <col min="11264" max="11264" width="13.6640625" style="40" customWidth="1"/>
    <col min="11265" max="11265" width="64.5" style="40" customWidth="1"/>
    <col min="11266" max="11266" width="16.1640625" style="40" customWidth="1"/>
    <col min="11267" max="11269" width="14.6640625" style="40" customWidth="1"/>
    <col min="11270" max="11271" width="17.33203125" style="40" customWidth="1"/>
    <col min="11272" max="11272" width="15" style="40" customWidth="1"/>
    <col min="11273" max="11273" width="16.6640625" style="40" customWidth="1"/>
    <col min="11274" max="11276" width="15.83203125" style="40" customWidth="1"/>
    <col min="11277" max="11282" width="8.83203125" style="40"/>
    <col min="11283" max="11283" width="34.6640625" style="40" customWidth="1"/>
    <col min="11284" max="11518" width="8.83203125" style="40"/>
    <col min="11519" max="11519" width="32.6640625" style="40" customWidth="1"/>
    <col min="11520" max="11520" width="13.6640625" style="40" customWidth="1"/>
    <col min="11521" max="11521" width="64.5" style="40" customWidth="1"/>
    <col min="11522" max="11522" width="16.1640625" style="40" customWidth="1"/>
    <col min="11523" max="11525" width="14.6640625" style="40" customWidth="1"/>
    <col min="11526" max="11527" width="17.33203125" style="40" customWidth="1"/>
    <col min="11528" max="11528" width="15" style="40" customWidth="1"/>
    <col min="11529" max="11529" width="16.6640625" style="40" customWidth="1"/>
    <col min="11530" max="11532" width="15.83203125" style="40" customWidth="1"/>
    <col min="11533" max="11538" width="8.83203125" style="40"/>
    <col min="11539" max="11539" width="34.6640625" style="40" customWidth="1"/>
    <col min="11540" max="11774" width="8.83203125" style="40"/>
    <col min="11775" max="11775" width="32.6640625" style="40" customWidth="1"/>
    <col min="11776" max="11776" width="13.6640625" style="40" customWidth="1"/>
    <col min="11777" max="11777" width="64.5" style="40" customWidth="1"/>
    <col min="11778" max="11778" width="16.1640625" style="40" customWidth="1"/>
    <col min="11779" max="11781" width="14.6640625" style="40" customWidth="1"/>
    <col min="11782" max="11783" width="17.33203125" style="40" customWidth="1"/>
    <col min="11784" max="11784" width="15" style="40" customWidth="1"/>
    <col min="11785" max="11785" width="16.6640625" style="40" customWidth="1"/>
    <col min="11786" max="11788" width="15.83203125" style="40" customWidth="1"/>
    <col min="11789" max="11794" width="8.83203125" style="40"/>
    <col min="11795" max="11795" width="34.6640625" style="40" customWidth="1"/>
    <col min="11796" max="12030" width="8.83203125" style="40"/>
    <col min="12031" max="12031" width="32.6640625" style="40" customWidth="1"/>
    <col min="12032" max="12032" width="13.6640625" style="40" customWidth="1"/>
    <col min="12033" max="12033" width="64.5" style="40" customWidth="1"/>
    <col min="12034" max="12034" width="16.1640625" style="40" customWidth="1"/>
    <col min="12035" max="12037" width="14.6640625" style="40" customWidth="1"/>
    <col min="12038" max="12039" width="17.33203125" style="40" customWidth="1"/>
    <col min="12040" max="12040" width="15" style="40" customWidth="1"/>
    <col min="12041" max="12041" width="16.6640625" style="40" customWidth="1"/>
    <col min="12042" max="12044" width="15.83203125" style="40" customWidth="1"/>
    <col min="12045" max="12050" width="8.83203125" style="40"/>
    <col min="12051" max="12051" width="34.6640625" style="40" customWidth="1"/>
    <col min="12052" max="12286" width="8.83203125" style="40"/>
    <col min="12287" max="12287" width="32.6640625" style="40" customWidth="1"/>
    <col min="12288" max="12288" width="13.6640625" style="40" customWidth="1"/>
    <col min="12289" max="12289" width="64.5" style="40" customWidth="1"/>
    <col min="12290" max="12290" width="16.1640625" style="40" customWidth="1"/>
    <col min="12291" max="12293" width="14.6640625" style="40" customWidth="1"/>
    <col min="12294" max="12295" width="17.33203125" style="40" customWidth="1"/>
    <col min="12296" max="12296" width="15" style="40" customWidth="1"/>
    <col min="12297" max="12297" width="16.6640625" style="40" customWidth="1"/>
    <col min="12298" max="12300" width="15.83203125" style="40" customWidth="1"/>
    <col min="12301" max="12306" width="8.83203125" style="40"/>
    <col min="12307" max="12307" width="34.6640625" style="40" customWidth="1"/>
    <col min="12308" max="12542" width="8.83203125" style="40"/>
    <col min="12543" max="12543" width="32.6640625" style="40" customWidth="1"/>
    <col min="12544" max="12544" width="13.6640625" style="40" customWidth="1"/>
    <col min="12545" max="12545" width="64.5" style="40" customWidth="1"/>
    <col min="12546" max="12546" width="16.1640625" style="40" customWidth="1"/>
    <col min="12547" max="12549" width="14.6640625" style="40" customWidth="1"/>
    <col min="12550" max="12551" width="17.33203125" style="40" customWidth="1"/>
    <col min="12552" max="12552" width="15" style="40" customWidth="1"/>
    <col min="12553" max="12553" width="16.6640625" style="40" customWidth="1"/>
    <col min="12554" max="12556" width="15.83203125" style="40" customWidth="1"/>
    <col min="12557" max="12562" width="8.83203125" style="40"/>
    <col min="12563" max="12563" width="34.6640625" style="40" customWidth="1"/>
    <col min="12564" max="12798" width="8.83203125" style="40"/>
    <col min="12799" max="12799" width="32.6640625" style="40" customWidth="1"/>
    <col min="12800" max="12800" width="13.6640625" style="40" customWidth="1"/>
    <col min="12801" max="12801" width="64.5" style="40" customWidth="1"/>
    <col min="12802" max="12802" width="16.1640625" style="40" customWidth="1"/>
    <col min="12803" max="12805" width="14.6640625" style="40" customWidth="1"/>
    <col min="12806" max="12807" width="17.33203125" style="40" customWidth="1"/>
    <col min="12808" max="12808" width="15" style="40" customWidth="1"/>
    <col min="12809" max="12809" width="16.6640625" style="40" customWidth="1"/>
    <col min="12810" max="12812" width="15.83203125" style="40" customWidth="1"/>
    <col min="12813" max="12818" width="8.83203125" style="40"/>
    <col min="12819" max="12819" width="34.6640625" style="40" customWidth="1"/>
    <col min="12820" max="13054" width="8.83203125" style="40"/>
    <col min="13055" max="13055" width="32.6640625" style="40" customWidth="1"/>
    <col min="13056" max="13056" width="13.6640625" style="40" customWidth="1"/>
    <col min="13057" max="13057" width="64.5" style="40" customWidth="1"/>
    <col min="13058" max="13058" width="16.1640625" style="40" customWidth="1"/>
    <col min="13059" max="13061" width="14.6640625" style="40" customWidth="1"/>
    <col min="13062" max="13063" width="17.33203125" style="40" customWidth="1"/>
    <col min="13064" max="13064" width="15" style="40" customWidth="1"/>
    <col min="13065" max="13065" width="16.6640625" style="40" customWidth="1"/>
    <col min="13066" max="13068" width="15.83203125" style="40" customWidth="1"/>
    <col min="13069" max="13074" width="8.83203125" style="40"/>
    <col min="13075" max="13075" width="34.6640625" style="40" customWidth="1"/>
    <col min="13076" max="13310" width="8.83203125" style="40"/>
    <col min="13311" max="13311" width="32.6640625" style="40" customWidth="1"/>
    <col min="13312" max="13312" width="13.6640625" style="40" customWidth="1"/>
    <col min="13313" max="13313" width="64.5" style="40" customWidth="1"/>
    <col min="13314" max="13314" width="16.1640625" style="40" customWidth="1"/>
    <col min="13315" max="13317" width="14.6640625" style="40" customWidth="1"/>
    <col min="13318" max="13319" width="17.33203125" style="40" customWidth="1"/>
    <col min="13320" max="13320" width="15" style="40" customWidth="1"/>
    <col min="13321" max="13321" width="16.6640625" style="40" customWidth="1"/>
    <col min="13322" max="13324" width="15.83203125" style="40" customWidth="1"/>
    <col min="13325" max="13330" width="8.83203125" style="40"/>
    <col min="13331" max="13331" width="34.6640625" style="40" customWidth="1"/>
    <col min="13332" max="13566" width="8.83203125" style="40"/>
    <col min="13567" max="13567" width="32.6640625" style="40" customWidth="1"/>
    <col min="13568" max="13568" width="13.6640625" style="40" customWidth="1"/>
    <col min="13569" max="13569" width="64.5" style="40" customWidth="1"/>
    <col min="13570" max="13570" width="16.1640625" style="40" customWidth="1"/>
    <col min="13571" max="13573" width="14.6640625" style="40" customWidth="1"/>
    <col min="13574" max="13575" width="17.33203125" style="40" customWidth="1"/>
    <col min="13576" max="13576" width="15" style="40" customWidth="1"/>
    <col min="13577" max="13577" width="16.6640625" style="40" customWidth="1"/>
    <col min="13578" max="13580" width="15.83203125" style="40" customWidth="1"/>
    <col min="13581" max="13586" width="8.83203125" style="40"/>
    <col min="13587" max="13587" width="34.6640625" style="40" customWidth="1"/>
    <col min="13588" max="13822" width="8.83203125" style="40"/>
    <col min="13823" max="13823" width="32.6640625" style="40" customWidth="1"/>
    <col min="13824" max="13824" width="13.6640625" style="40" customWidth="1"/>
    <col min="13825" max="13825" width="64.5" style="40" customWidth="1"/>
    <col min="13826" max="13826" width="16.1640625" style="40" customWidth="1"/>
    <col min="13827" max="13829" width="14.6640625" style="40" customWidth="1"/>
    <col min="13830" max="13831" width="17.33203125" style="40" customWidth="1"/>
    <col min="13832" max="13832" width="15" style="40" customWidth="1"/>
    <col min="13833" max="13833" width="16.6640625" style="40" customWidth="1"/>
    <col min="13834" max="13836" width="15.83203125" style="40" customWidth="1"/>
    <col min="13837" max="13842" width="8.83203125" style="40"/>
    <col min="13843" max="13843" width="34.6640625" style="40" customWidth="1"/>
    <col min="13844" max="14078" width="8.83203125" style="40"/>
    <col min="14079" max="14079" width="32.6640625" style="40" customWidth="1"/>
    <col min="14080" max="14080" width="13.6640625" style="40" customWidth="1"/>
    <col min="14081" max="14081" width="64.5" style="40" customWidth="1"/>
    <col min="14082" max="14082" width="16.1640625" style="40" customWidth="1"/>
    <col min="14083" max="14085" width="14.6640625" style="40" customWidth="1"/>
    <col min="14086" max="14087" width="17.33203125" style="40" customWidth="1"/>
    <col min="14088" max="14088" width="15" style="40" customWidth="1"/>
    <col min="14089" max="14089" width="16.6640625" style="40" customWidth="1"/>
    <col min="14090" max="14092" width="15.83203125" style="40" customWidth="1"/>
    <col min="14093" max="14098" width="8.83203125" style="40"/>
    <col min="14099" max="14099" width="34.6640625" style="40" customWidth="1"/>
    <col min="14100" max="14334" width="8.83203125" style="40"/>
    <col min="14335" max="14335" width="32.6640625" style="40" customWidth="1"/>
    <col min="14336" max="14336" width="13.6640625" style="40" customWidth="1"/>
    <col min="14337" max="14337" width="64.5" style="40" customWidth="1"/>
    <col min="14338" max="14338" width="16.1640625" style="40" customWidth="1"/>
    <col min="14339" max="14341" width="14.6640625" style="40" customWidth="1"/>
    <col min="14342" max="14343" width="17.33203125" style="40" customWidth="1"/>
    <col min="14344" max="14344" width="15" style="40" customWidth="1"/>
    <col min="14345" max="14345" width="16.6640625" style="40" customWidth="1"/>
    <col min="14346" max="14348" width="15.83203125" style="40" customWidth="1"/>
    <col min="14349" max="14354" width="8.83203125" style="40"/>
    <col min="14355" max="14355" width="34.6640625" style="40" customWidth="1"/>
    <col min="14356" max="14590" width="8.83203125" style="40"/>
    <col min="14591" max="14591" width="32.6640625" style="40" customWidth="1"/>
    <col min="14592" max="14592" width="13.6640625" style="40" customWidth="1"/>
    <col min="14593" max="14593" width="64.5" style="40" customWidth="1"/>
    <col min="14594" max="14594" width="16.1640625" style="40" customWidth="1"/>
    <col min="14595" max="14597" width="14.6640625" style="40" customWidth="1"/>
    <col min="14598" max="14599" width="17.33203125" style="40" customWidth="1"/>
    <col min="14600" max="14600" width="15" style="40" customWidth="1"/>
    <col min="14601" max="14601" width="16.6640625" style="40" customWidth="1"/>
    <col min="14602" max="14604" width="15.83203125" style="40" customWidth="1"/>
    <col min="14605" max="14610" width="8.83203125" style="40"/>
    <col min="14611" max="14611" width="34.6640625" style="40" customWidth="1"/>
    <col min="14612" max="14846" width="8.83203125" style="40"/>
    <col min="14847" max="14847" width="32.6640625" style="40" customWidth="1"/>
    <col min="14848" max="14848" width="13.6640625" style="40" customWidth="1"/>
    <col min="14849" max="14849" width="64.5" style="40" customWidth="1"/>
    <col min="14850" max="14850" width="16.1640625" style="40" customWidth="1"/>
    <col min="14851" max="14853" width="14.6640625" style="40" customWidth="1"/>
    <col min="14854" max="14855" width="17.33203125" style="40" customWidth="1"/>
    <col min="14856" max="14856" width="15" style="40" customWidth="1"/>
    <col min="14857" max="14857" width="16.6640625" style="40" customWidth="1"/>
    <col min="14858" max="14860" width="15.83203125" style="40" customWidth="1"/>
    <col min="14861" max="14866" width="8.83203125" style="40"/>
    <col min="14867" max="14867" width="34.6640625" style="40" customWidth="1"/>
    <col min="14868" max="15102" width="8.83203125" style="40"/>
    <col min="15103" max="15103" width="32.6640625" style="40" customWidth="1"/>
    <col min="15104" max="15104" width="13.6640625" style="40" customWidth="1"/>
    <col min="15105" max="15105" width="64.5" style="40" customWidth="1"/>
    <col min="15106" max="15106" width="16.1640625" style="40" customWidth="1"/>
    <col min="15107" max="15109" width="14.6640625" style="40" customWidth="1"/>
    <col min="15110" max="15111" width="17.33203125" style="40" customWidth="1"/>
    <col min="15112" max="15112" width="15" style="40" customWidth="1"/>
    <col min="15113" max="15113" width="16.6640625" style="40" customWidth="1"/>
    <col min="15114" max="15116" width="15.83203125" style="40" customWidth="1"/>
    <col min="15117" max="15122" width="8.83203125" style="40"/>
    <col min="15123" max="15123" width="34.6640625" style="40" customWidth="1"/>
    <col min="15124" max="15358" width="8.83203125" style="40"/>
    <col min="15359" max="15359" width="32.6640625" style="40" customWidth="1"/>
    <col min="15360" max="15360" width="13.6640625" style="40" customWidth="1"/>
    <col min="15361" max="15361" width="64.5" style="40" customWidth="1"/>
    <col min="15362" max="15362" width="16.1640625" style="40" customWidth="1"/>
    <col min="15363" max="15365" width="14.6640625" style="40" customWidth="1"/>
    <col min="15366" max="15367" width="17.33203125" style="40" customWidth="1"/>
    <col min="15368" max="15368" width="15" style="40" customWidth="1"/>
    <col min="15369" max="15369" width="16.6640625" style="40" customWidth="1"/>
    <col min="15370" max="15372" width="15.83203125" style="40" customWidth="1"/>
    <col min="15373" max="15378" width="8.83203125" style="40"/>
    <col min="15379" max="15379" width="34.6640625" style="40" customWidth="1"/>
    <col min="15380" max="15614" width="8.83203125" style="40"/>
    <col min="15615" max="15615" width="32.6640625" style="40" customWidth="1"/>
    <col min="15616" max="15616" width="13.6640625" style="40" customWidth="1"/>
    <col min="15617" max="15617" width="64.5" style="40" customWidth="1"/>
    <col min="15618" max="15618" width="16.1640625" style="40" customWidth="1"/>
    <col min="15619" max="15621" width="14.6640625" style="40" customWidth="1"/>
    <col min="15622" max="15623" width="17.33203125" style="40" customWidth="1"/>
    <col min="15624" max="15624" width="15" style="40" customWidth="1"/>
    <col min="15625" max="15625" width="16.6640625" style="40" customWidth="1"/>
    <col min="15626" max="15628" width="15.83203125" style="40" customWidth="1"/>
    <col min="15629" max="15634" width="8.83203125" style="40"/>
    <col min="15635" max="15635" width="34.6640625" style="40" customWidth="1"/>
    <col min="15636" max="15870" width="8.83203125" style="40"/>
    <col min="15871" max="15871" width="32.6640625" style="40" customWidth="1"/>
    <col min="15872" max="15872" width="13.6640625" style="40" customWidth="1"/>
    <col min="15873" max="15873" width="64.5" style="40" customWidth="1"/>
    <col min="15874" max="15874" width="16.1640625" style="40" customWidth="1"/>
    <col min="15875" max="15877" width="14.6640625" style="40" customWidth="1"/>
    <col min="15878" max="15879" width="17.33203125" style="40" customWidth="1"/>
    <col min="15880" max="15880" width="15" style="40" customWidth="1"/>
    <col min="15881" max="15881" width="16.6640625" style="40" customWidth="1"/>
    <col min="15882" max="15884" width="15.83203125" style="40" customWidth="1"/>
    <col min="15885" max="15890" width="8.83203125" style="40"/>
    <col min="15891" max="15891" width="34.6640625" style="40" customWidth="1"/>
    <col min="15892" max="16126" width="8.83203125" style="40"/>
    <col min="16127" max="16127" width="32.6640625" style="40" customWidth="1"/>
    <col min="16128" max="16128" width="13.6640625" style="40" customWidth="1"/>
    <col min="16129" max="16129" width="64.5" style="40" customWidth="1"/>
    <col min="16130" max="16130" width="16.1640625" style="40" customWidth="1"/>
    <col min="16131" max="16133" width="14.6640625" style="40" customWidth="1"/>
    <col min="16134" max="16135" width="17.33203125" style="40" customWidth="1"/>
    <col min="16136" max="16136" width="15" style="40" customWidth="1"/>
    <col min="16137" max="16137" width="16.6640625" style="40" customWidth="1"/>
    <col min="16138" max="16140" width="15.83203125" style="40" customWidth="1"/>
    <col min="16141" max="16146" width="8.83203125" style="40"/>
    <col min="16147" max="16147" width="34.6640625" style="40" customWidth="1"/>
    <col min="16148" max="16384" width="8.83203125" style="40"/>
  </cols>
  <sheetData>
    <row r="1" spans="1:15">
      <c r="A1" s="37" t="s">
        <v>627</v>
      </c>
    </row>
    <row r="2" spans="1:15" ht="33">
      <c r="A2" s="37" t="s">
        <v>628</v>
      </c>
      <c r="E2" s="41" t="s">
        <v>629</v>
      </c>
      <c r="F2" s="41"/>
    </row>
    <row r="3" spans="1:15">
      <c r="A3" s="37" t="s">
        <v>630</v>
      </c>
    </row>
    <row r="4" spans="1:15">
      <c r="A4" s="37" t="s">
        <v>631</v>
      </c>
    </row>
    <row r="5" spans="1:15">
      <c r="G5" s="42" t="s">
        <v>632</v>
      </c>
    </row>
    <row r="6" spans="1:15">
      <c r="B6" s="43"/>
      <c r="C6" s="43"/>
      <c r="D6" s="43"/>
    </row>
    <row r="8" spans="1:15" ht="30" customHeight="1">
      <c r="A8" s="44" t="s">
        <v>632</v>
      </c>
      <c r="B8" s="44" t="s">
        <v>633</v>
      </c>
      <c r="C8" s="44" t="s">
        <v>634</v>
      </c>
      <c r="D8" s="44" t="s">
        <v>635</v>
      </c>
      <c r="E8" s="44" t="s">
        <v>636</v>
      </c>
      <c r="F8" s="45" t="s">
        <v>637</v>
      </c>
      <c r="G8" s="44" t="s">
        <v>638</v>
      </c>
      <c r="H8" s="46" t="s">
        <v>633</v>
      </c>
      <c r="I8" s="46" t="s">
        <v>639</v>
      </c>
      <c r="J8" s="44" t="s">
        <v>640</v>
      </c>
      <c r="K8" s="44" t="s">
        <v>641</v>
      </c>
      <c r="L8" s="44" t="s">
        <v>642</v>
      </c>
      <c r="M8" s="44" t="s">
        <v>643</v>
      </c>
      <c r="N8" s="44" t="s">
        <v>642</v>
      </c>
    </row>
    <row r="9" spans="1:15" ht="30" customHeight="1">
      <c r="A9" s="44" t="s">
        <v>639</v>
      </c>
      <c r="B9" s="44" t="s">
        <v>644</v>
      </c>
      <c r="C9" s="44" t="s">
        <v>645</v>
      </c>
      <c r="D9" s="44" t="s">
        <v>646</v>
      </c>
      <c r="E9" s="44" t="s">
        <v>647</v>
      </c>
      <c r="F9" s="44" t="s">
        <v>647</v>
      </c>
      <c r="G9" s="44" t="s">
        <v>648</v>
      </c>
      <c r="H9" s="46" t="s">
        <v>649</v>
      </c>
      <c r="I9" s="46" t="s">
        <v>649</v>
      </c>
      <c r="J9" s="44" t="s">
        <v>650</v>
      </c>
      <c r="K9" s="44" t="s">
        <v>650</v>
      </c>
      <c r="L9" s="44" t="s">
        <v>647</v>
      </c>
      <c r="M9" s="44" t="s">
        <v>651</v>
      </c>
      <c r="N9" s="44" t="s">
        <v>652</v>
      </c>
      <c r="O9" s="40" t="s">
        <v>1097</v>
      </c>
    </row>
    <row r="10" spans="1:15" s="47" customFormat="1" ht="30" hidden="1" customHeight="1">
      <c r="A10" s="44"/>
      <c r="B10" s="44"/>
      <c r="C10" s="44"/>
      <c r="D10" s="44"/>
      <c r="E10" s="44"/>
      <c r="F10" s="44"/>
      <c r="G10" s="44"/>
      <c r="H10" s="46"/>
      <c r="I10" s="46"/>
      <c r="J10" s="44"/>
      <c r="K10" s="44"/>
      <c r="L10" s="44"/>
      <c r="M10" s="44"/>
      <c r="N10" s="44"/>
    </row>
    <row r="11" spans="1:15" ht="30" hidden="1" customHeight="1">
      <c r="A11" s="44" t="s">
        <v>653</v>
      </c>
      <c r="B11" s="44" t="s">
        <v>654</v>
      </c>
      <c r="C11" s="48" t="s">
        <v>655</v>
      </c>
      <c r="D11" s="49" t="s">
        <v>656</v>
      </c>
      <c r="E11" s="50">
        <v>200</v>
      </c>
      <c r="F11" s="50">
        <v>40</v>
      </c>
      <c r="G11" s="50">
        <v>50</v>
      </c>
      <c r="H11" s="51" t="e">
        <f>(F11+#REF!)/E11</f>
        <v>#REF!</v>
      </c>
      <c r="I11" s="51">
        <f>F11/E11</f>
        <v>0.2</v>
      </c>
      <c r="J11" s="52">
        <v>40</v>
      </c>
      <c r="K11" s="50">
        <v>800</v>
      </c>
      <c r="L11" s="50">
        <v>0</v>
      </c>
      <c r="M11" s="50"/>
      <c r="N11" s="50"/>
    </row>
    <row r="12" spans="1:15" ht="30" hidden="1" customHeight="1">
      <c r="A12" s="44" t="s">
        <v>657</v>
      </c>
      <c r="B12" s="44" t="s">
        <v>654</v>
      </c>
      <c r="C12" s="48" t="s">
        <v>658</v>
      </c>
      <c r="D12" s="49" t="s">
        <v>659</v>
      </c>
      <c r="E12" s="50">
        <v>100</v>
      </c>
      <c r="F12" s="50">
        <v>20</v>
      </c>
      <c r="G12" s="50">
        <v>35</v>
      </c>
      <c r="H12" s="51">
        <f>F12/E12</f>
        <v>0.2</v>
      </c>
      <c r="I12" s="51">
        <f>F12/E12</f>
        <v>0.2</v>
      </c>
      <c r="J12" s="52">
        <v>60</v>
      </c>
      <c r="K12" s="50">
        <v>650</v>
      </c>
      <c r="L12" s="50">
        <f>I12*G12*8*24*0.001</f>
        <v>1.3440000000000001</v>
      </c>
      <c r="M12" s="50"/>
      <c r="N12" s="50"/>
    </row>
    <row r="13" spans="1:15" ht="30" customHeight="1">
      <c r="A13" s="44" t="s">
        <v>657</v>
      </c>
      <c r="B13" s="44" t="s">
        <v>660</v>
      </c>
      <c r="C13" s="48" t="s">
        <v>661</v>
      </c>
      <c r="D13" s="49"/>
      <c r="E13" s="50"/>
      <c r="F13" s="50"/>
      <c r="G13" s="50"/>
      <c r="H13" s="51"/>
      <c r="I13" s="51"/>
      <c r="J13" s="52"/>
      <c r="K13" s="50"/>
      <c r="L13" s="50">
        <v>4</v>
      </c>
      <c r="M13" s="50"/>
      <c r="N13" s="50" t="s">
        <v>662</v>
      </c>
      <c r="O13" s="40" t="s">
        <v>1098</v>
      </c>
    </row>
    <row r="14" spans="1:15" ht="30" hidden="1" customHeight="1">
      <c r="A14" s="44" t="s">
        <v>663</v>
      </c>
      <c r="B14" s="44" t="s">
        <v>654</v>
      </c>
      <c r="C14" s="53" t="s">
        <v>664</v>
      </c>
      <c r="D14" s="49" t="s">
        <v>659</v>
      </c>
      <c r="E14" s="50">
        <v>600</v>
      </c>
      <c r="F14" s="50">
        <v>300</v>
      </c>
      <c r="G14" s="50">
        <v>125</v>
      </c>
      <c r="H14" s="51">
        <f>(F14+F15)/E14</f>
        <v>0.66666666666666663</v>
      </c>
      <c r="I14" s="51">
        <f>F14/E14</f>
        <v>0.5</v>
      </c>
      <c r="J14" s="52">
        <v>35</v>
      </c>
      <c r="K14" s="50">
        <v>800</v>
      </c>
      <c r="L14" s="50">
        <f>I14*G14*8*24*0.001</f>
        <v>12</v>
      </c>
      <c r="M14" s="50"/>
      <c r="N14" s="50"/>
    </row>
    <row r="15" spans="1:15" ht="30" hidden="1" customHeight="1">
      <c r="A15" s="44" t="s">
        <v>665</v>
      </c>
      <c r="B15" s="44" t="s">
        <v>654</v>
      </c>
      <c r="C15" s="53" t="s">
        <v>664</v>
      </c>
      <c r="D15" s="49" t="s">
        <v>659</v>
      </c>
      <c r="E15" s="50">
        <v>600</v>
      </c>
      <c r="F15" s="50">
        <v>100</v>
      </c>
      <c r="G15" s="50">
        <v>125</v>
      </c>
      <c r="H15" s="51">
        <f>(F15+F14)/E15</f>
        <v>0.66666666666666663</v>
      </c>
      <c r="I15" s="51">
        <f>F15/E15</f>
        <v>0.16666666666666666</v>
      </c>
      <c r="J15" s="52">
        <v>35</v>
      </c>
      <c r="K15" s="50">
        <v>800</v>
      </c>
      <c r="L15" s="50">
        <f>I15*G15*8*24*0.001</f>
        <v>4</v>
      </c>
      <c r="M15" s="50"/>
      <c r="N15" s="50"/>
    </row>
    <row r="16" spans="1:15" ht="30" hidden="1" customHeight="1">
      <c r="A16" s="44" t="s">
        <v>666</v>
      </c>
      <c r="B16" s="44" t="s">
        <v>654</v>
      </c>
      <c r="C16" s="53" t="s">
        <v>667</v>
      </c>
      <c r="D16" s="49" t="s">
        <v>659</v>
      </c>
      <c r="E16" s="50">
        <v>400</v>
      </c>
      <c r="F16" s="50">
        <v>5</v>
      </c>
      <c r="G16" s="50">
        <v>80</v>
      </c>
      <c r="H16" s="51">
        <f>(F16+F57)/E16</f>
        <v>0.38750000000000001</v>
      </c>
      <c r="I16" s="51">
        <f>F16/E16</f>
        <v>1.2500000000000001E-2</v>
      </c>
      <c r="J16" s="52">
        <v>60</v>
      </c>
      <c r="K16" s="50">
        <v>750</v>
      </c>
      <c r="L16" s="50">
        <f>I16*G16*10*24*0.001</f>
        <v>0.24</v>
      </c>
      <c r="M16" s="50"/>
      <c r="N16" s="50"/>
    </row>
    <row r="17" spans="1:15" ht="30" hidden="1" customHeight="1">
      <c r="A17" s="44" t="s">
        <v>668</v>
      </c>
      <c r="B17" s="44" t="s">
        <v>654</v>
      </c>
      <c r="C17" s="53" t="s">
        <v>669</v>
      </c>
      <c r="D17" s="49" t="s">
        <v>656</v>
      </c>
      <c r="E17" s="50"/>
      <c r="F17" s="50"/>
      <c r="G17" s="50"/>
      <c r="H17" s="51"/>
      <c r="I17" s="51"/>
      <c r="J17" s="52"/>
      <c r="K17" s="50"/>
      <c r="L17" s="50"/>
      <c r="M17" s="50"/>
      <c r="N17" s="50"/>
    </row>
    <row r="18" spans="1:15" ht="30" hidden="1" customHeight="1">
      <c r="A18" s="44" t="s">
        <v>670</v>
      </c>
      <c r="B18" s="44" t="s">
        <v>654</v>
      </c>
      <c r="C18" s="53" t="s">
        <v>671</v>
      </c>
      <c r="D18" s="49" t="s">
        <v>659</v>
      </c>
      <c r="E18" s="50">
        <v>1000</v>
      </c>
      <c r="F18" s="50">
        <v>40</v>
      </c>
      <c r="G18" s="50">
        <v>185</v>
      </c>
      <c r="H18" s="51">
        <f>(F18+F19+F20+F21)/E18</f>
        <v>0.34</v>
      </c>
      <c r="I18" s="51">
        <f>F18/E18</f>
        <v>0.04</v>
      </c>
      <c r="J18" s="52">
        <v>40</v>
      </c>
      <c r="K18" s="50">
        <v>650</v>
      </c>
      <c r="L18" s="50">
        <f>I18*G18*8*24*0.001</f>
        <v>1.4208000000000003</v>
      </c>
      <c r="M18" s="50"/>
      <c r="N18" s="50"/>
    </row>
    <row r="19" spans="1:15" ht="30" hidden="1" customHeight="1">
      <c r="A19" s="44" t="s">
        <v>672</v>
      </c>
      <c r="B19" s="44" t="s">
        <v>654</v>
      </c>
      <c r="C19" s="53" t="s">
        <v>671</v>
      </c>
      <c r="D19" s="49" t="s">
        <v>659</v>
      </c>
      <c r="E19" s="50">
        <v>1000</v>
      </c>
      <c r="F19" s="50">
        <v>60</v>
      </c>
      <c r="G19" s="50">
        <v>185</v>
      </c>
      <c r="H19" s="51">
        <f>(F19+F20+F21+F18)/E19</f>
        <v>0.34</v>
      </c>
      <c r="I19" s="51">
        <f>F19/E19</f>
        <v>0.06</v>
      </c>
      <c r="J19" s="52">
        <v>40</v>
      </c>
      <c r="K19" s="50">
        <v>650</v>
      </c>
      <c r="L19" s="50">
        <f>I19*G19*8*24*0.001</f>
        <v>2.1311999999999998</v>
      </c>
      <c r="M19" s="50"/>
      <c r="N19" s="50"/>
    </row>
    <row r="20" spans="1:15" ht="30" hidden="1" customHeight="1">
      <c r="A20" s="44" t="s">
        <v>673</v>
      </c>
      <c r="B20" s="44" t="s">
        <v>654</v>
      </c>
      <c r="C20" s="53" t="s">
        <v>671</v>
      </c>
      <c r="D20" s="49" t="s">
        <v>659</v>
      </c>
      <c r="E20" s="50">
        <v>1000</v>
      </c>
      <c r="F20" s="50">
        <v>40</v>
      </c>
      <c r="G20" s="50">
        <v>185</v>
      </c>
      <c r="H20" s="51">
        <f>(F20+F21+F18+F19)/E20</f>
        <v>0.34</v>
      </c>
      <c r="I20" s="51">
        <f>F20/E20</f>
        <v>0.04</v>
      </c>
      <c r="J20" s="52">
        <v>40</v>
      </c>
      <c r="K20" s="50">
        <v>650</v>
      </c>
      <c r="L20" s="50">
        <f>I20*G20*8*24*0.001</f>
        <v>1.4208000000000003</v>
      </c>
      <c r="M20" s="50"/>
      <c r="N20" s="50"/>
    </row>
    <row r="21" spans="1:15" ht="30" hidden="1" customHeight="1">
      <c r="A21" s="44" t="s">
        <v>674</v>
      </c>
      <c r="B21" s="44" t="s">
        <v>654</v>
      </c>
      <c r="C21" s="53" t="s">
        <v>671</v>
      </c>
      <c r="D21" s="49" t="s">
        <v>659</v>
      </c>
      <c r="E21" s="50">
        <v>1000</v>
      </c>
      <c r="F21" s="50">
        <v>200</v>
      </c>
      <c r="G21" s="50">
        <v>185</v>
      </c>
      <c r="H21" s="51">
        <f>(F21+F18+F19+F20)/E21</f>
        <v>0.34</v>
      </c>
      <c r="I21" s="51">
        <f>F21/E21</f>
        <v>0.2</v>
      </c>
      <c r="J21" s="52">
        <v>40</v>
      </c>
      <c r="K21" s="50">
        <v>650</v>
      </c>
      <c r="L21" s="50">
        <f>I21*G21*8*24*0.001</f>
        <v>7.1040000000000001</v>
      </c>
      <c r="M21" s="50"/>
      <c r="N21" s="50"/>
    </row>
    <row r="22" spans="1:15" ht="30" hidden="1" customHeight="1">
      <c r="A22" s="44" t="s">
        <v>675</v>
      </c>
      <c r="B22" s="44" t="s">
        <v>654</v>
      </c>
      <c r="C22" s="53" t="s">
        <v>669</v>
      </c>
      <c r="D22" s="49" t="s">
        <v>659</v>
      </c>
      <c r="E22" s="50">
        <v>120</v>
      </c>
      <c r="F22" s="50">
        <v>25</v>
      </c>
      <c r="G22" s="50">
        <v>18</v>
      </c>
      <c r="H22" s="51">
        <f>F22/E22</f>
        <v>0.20833333333333334</v>
      </c>
      <c r="I22" s="51">
        <f>F22/E22</f>
        <v>0.20833333333333334</v>
      </c>
      <c r="J22" s="52">
        <v>35</v>
      </c>
      <c r="K22" s="50">
        <v>650</v>
      </c>
      <c r="L22" s="50">
        <f>I22*G22*10*24*0.001*1.5</f>
        <v>1.35</v>
      </c>
      <c r="M22" s="50"/>
      <c r="N22" s="50"/>
    </row>
    <row r="23" spans="1:15" ht="30" customHeight="1">
      <c r="A23" s="44" t="s">
        <v>676</v>
      </c>
      <c r="B23" s="44" t="s">
        <v>660</v>
      </c>
      <c r="C23" s="53" t="s">
        <v>677</v>
      </c>
      <c r="D23" s="49" t="s">
        <v>656</v>
      </c>
      <c r="E23" s="50"/>
      <c r="F23" s="50"/>
      <c r="G23" s="50"/>
      <c r="H23" s="51"/>
      <c r="I23" s="51"/>
      <c r="J23" s="52"/>
      <c r="K23" s="50"/>
      <c r="L23" s="50">
        <v>4</v>
      </c>
      <c r="M23" s="50"/>
      <c r="N23" s="50" t="s">
        <v>662</v>
      </c>
      <c r="O23" s="40" t="s">
        <v>1098</v>
      </c>
    </row>
    <row r="24" spans="1:15" ht="30" hidden="1" customHeight="1">
      <c r="A24" s="44" t="s">
        <v>678</v>
      </c>
      <c r="B24" s="44" t="s">
        <v>654</v>
      </c>
      <c r="C24" s="53" t="s">
        <v>667</v>
      </c>
      <c r="D24" s="49" t="s">
        <v>659</v>
      </c>
      <c r="E24" s="50">
        <v>350</v>
      </c>
      <c r="F24" s="50">
        <v>20</v>
      </c>
      <c r="G24" s="50">
        <v>87</v>
      </c>
      <c r="H24" s="51">
        <f>(F24+F26)/E24</f>
        <v>0.45714285714285713</v>
      </c>
      <c r="I24" s="51">
        <f>F24/E24</f>
        <v>5.7142857142857141E-2</v>
      </c>
      <c r="J24" s="52">
        <v>100</v>
      </c>
      <c r="K24" s="50">
        <v>1075</v>
      </c>
      <c r="L24" s="50">
        <f>I24*G24*8*24*0.001</f>
        <v>0.95451428571428576</v>
      </c>
      <c r="M24" s="50"/>
      <c r="N24" s="50"/>
    </row>
    <row r="25" spans="1:15" ht="30" hidden="1" customHeight="1">
      <c r="A25" s="44" t="s">
        <v>679</v>
      </c>
      <c r="B25" s="44" t="s">
        <v>654</v>
      </c>
      <c r="C25" s="53" t="s">
        <v>664</v>
      </c>
      <c r="D25" s="49" t="s">
        <v>659</v>
      </c>
      <c r="E25" s="50">
        <v>600</v>
      </c>
      <c r="F25" s="50">
        <v>350</v>
      </c>
      <c r="G25" s="50">
        <v>125</v>
      </c>
      <c r="H25" s="51">
        <f>F25/E25</f>
        <v>0.58333333333333337</v>
      </c>
      <c r="I25" s="51">
        <f>F25/E25</f>
        <v>0.58333333333333337</v>
      </c>
      <c r="J25" s="52">
        <v>90</v>
      </c>
      <c r="K25" s="50">
        <v>800</v>
      </c>
      <c r="L25" s="50">
        <f>I25*G25*8*24*0.001</f>
        <v>14</v>
      </c>
      <c r="M25" s="50"/>
      <c r="N25" s="50"/>
    </row>
    <row r="26" spans="1:15" ht="30" hidden="1" customHeight="1">
      <c r="A26" s="44" t="s">
        <v>680</v>
      </c>
      <c r="B26" s="44" t="s">
        <v>654</v>
      </c>
      <c r="C26" s="53" t="s">
        <v>667</v>
      </c>
      <c r="D26" s="49" t="s">
        <v>659</v>
      </c>
      <c r="E26" s="50">
        <v>350</v>
      </c>
      <c r="F26" s="50">
        <v>140</v>
      </c>
      <c r="G26" s="50">
        <v>87</v>
      </c>
      <c r="H26" s="51">
        <f>(F26+F24)/E26</f>
        <v>0.45714285714285713</v>
      </c>
      <c r="I26" s="51">
        <f>F26/E26</f>
        <v>0.4</v>
      </c>
      <c r="J26" s="52">
        <v>100</v>
      </c>
      <c r="K26" s="50">
        <v>1075</v>
      </c>
      <c r="L26" s="50">
        <f>I26*G26*8*24*0.001</f>
        <v>6.6816000000000004</v>
      </c>
      <c r="M26" s="50"/>
      <c r="N26" s="50" t="s">
        <v>632</v>
      </c>
    </row>
    <row r="27" spans="1:15" ht="30" hidden="1" customHeight="1">
      <c r="A27" s="44" t="s">
        <v>681</v>
      </c>
      <c r="B27" s="44" t="s">
        <v>654</v>
      </c>
      <c r="C27" s="48" t="s">
        <v>682</v>
      </c>
      <c r="D27" s="49" t="s">
        <v>659</v>
      </c>
      <c r="E27" s="50"/>
      <c r="F27" s="50"/>
      <c r="G27" s="50"/>
      <c r="H27" s="51"/>
      <c r="I27" s="51"/>
      <c r="J27" s="52"/>
      <c r="K27" s="50"/>
      <c r="L27" s="50"/>
      <c r="M27" s="50"/>
      <c r="N27" s="50" t="s">
        <v>683</v>
      </c>
    </row>
    <row r="28" spans="1:15" ht="30" hidden="1" customHeight="1">
      <c r="A28" s="44" t="s">
        <v>684</v>
      </c>
      <c r="B28" s="44" t="s">
        <v>654</v>
      </c>
      <c r="C28" s="48" t="s">
        <v>655</v>
      </c>
      <c r="D28" s="49" t="s">
        <v>659</v>
      </c>
      <c r="E28" s="50">
        <v>150</v>
      </c>
      <c r="F28" s="50">
        <v>50</v>
      </c>
      <c r="G28" s="50">
        <v>50</v>
      </c>
      <c r="H28" s="51">
        <f>(F28)/E28</f>
        <v>0.33333333333333331</v>
      </c>
      <c r="I28" s="51">
        <f>F28/E28</f>
        <v>0.33333333333333331</v>
      </c>
      <c r="J28" s="52">
        <v>20</v>
      </c>
      <c r="K28" s="50">
        <v>850</v>
      </c>
      <c r="L28" s="50">
        <f>I28*G28*8*24*0.001</f>
        <v>3.1999999999999997</v>
      </c>
      <c r="M28" s="50"/>
      <c r="N28" s="50"/>
    </row>
    <row r="29" spans="1:15" ht="30" hidden="1" customHeight="1">
      <c r="A29" s="44" t="s">
        <v>685</v>
      </c>
      <c r="B29" s="44" t="s">
        <v>654</v>
      </c>
      <c r="C29" s="53" t="s">
        <v>669</v>
      </c>
      <c r="D29" s="49" t="s">
        <v>659</v>
      </c>
      <c r="E29" s="50">
        <v>120</v>
      </c>
      <c r="F29" s="50">
        <v>20</v>
      </c>
      <c r="G29" s="50">
        <v>18</v>
      </c>
      <c r="H29" s="51">
        <f>(F29)/E29</f>
        <v>0.16666666666666666</v>
      </c>
      <c r="I29" s="51">
        <f>F29/E29</f>
        <v>0.16666666666666666</v>
      </c>
      <c r="J29" s="52">
        <v>20</v>
      </c>
      <c r="K29" s="50">
        <v>620</v>
      </c>
      <c r="L29" s="50">
        <f>I29*G29*8*24*0.001</f>
        <v>0.57600000000000007</v>
      </c>
      <c r="M29" s="50"/>
      <c r="N29" s="50"/>
    </row>
    <row r="30" spans="1:15" ht="30" hidden="1" customHeight="1">
      <c r="A30" s="44" t="s">
        <v>686</v>
      </c>
      <c r="B30" s="44" t="s">
        <v>654</v>
      </c>
      <c r="C30" s="53" t="s">
        <v>687</v>
      </c>
      <c r="D30" s="49" t="s">
        <v>659</v>
      </c>
      <c r="E30" s="50">
        <v>400</v>
      </c>
      <c r="F30" s="50">
        <v>105</v>
      </c>
      <c r="G30" s="50">
        <v>75</v>
      </c>
      <c r="H30" s="51">
        <f>(F30+F32+F31)/E30</f>
        <v>0.625</v>
      </c>
      <c r="I30" s="51">
        <f t="shared" ref="I30:I39" si="0">F30/E30</f>
        <v>0.26250000000000001</v>
      </c>
      <c r="J30" s="52">
        <v>200</v>
      </c>
      <c r="K30" s="50">
        <v>850</v>
      </c>
      <c r="L30" s="50">
        <f>I30*G30*8*24*0.001</f>
        <v>3.7800000000000002</v>
      </c>
      <c r="M30" s="50"/>
      <c r="N30" s="50"/>
    </row>
    <row r="31" spans="1:15" ht="30" hidden="1" customHeight="1">
      <c r="A31" s="44" t="s">
        <v>688</v>
      </c>
      <c r="B31" s="44" t="s">
        <v>654</v>
      </c>
      <c r="C31" s="53" t="s">
        <v>687</v>
      </c>
      <c r="D31" s="49" t="s">
        <v>659</v>
      </c>
      <c r="E31" s="50">
        <v>400</v>
      </c>
      <c r="F31" s="50">
        <v>105</v>
      </c>
      <c r="G31" s="50">
        <v>75</v>
      </c>
      <c r="H31" s="51">
        <f>(F31+F30+F32)/E31</f>
        <v>0.625</v>
      </c>
      <c r="I31" s="51">
        <f t="shared" si="0"/>
        <v>0.26250000000000001</v>
      </c>
      <c r="J31" s="52">
        <v>200</v>
      </c>
      <c r="K31" s="50">
        <v>850</v>
      </c>
      <c r="L31" s="50">
        <f>I31*G31*8*24*0.001</f>
        <v>3.7800000000000002</v>
      </c>
      <c r="M31" s="50"/>
      <c r="N31" s="50"/>
    </row>
    <row r="32" spans="1:15" ht="30" hidden="1" customHeight="1">
      <c r="A32" s="44" t="s">
        <v>689</v>
      </c>
      <c r="B32" s="44" t="s">
        <v>654</v>
      </c>
      <c r="C32" s="53" t="s">
        <v>687</v>
      </c>
      <c r="D32" s="49" t="s">
        <v>659</v>
      </c>
      <c r="E32" s="50">
        <v>400</v>
      </c>
      <c r="F32" s="50">
        <v>40</v>
      </c>
      <c r="G32" s="50">
        <v>75</v>
      </c>
      <c r="H32" s="51">
        <f>(F32+F31+F30)/E32</f>
        <v>0.625</v>
      </c>
      <c r="I32" s="51">
        <f t="shared" si="0"/>
        <v>0.1</v>
      </c>
      <c r="J32" s="52">
        <v>20</v>
      </c>
      <c r="K32" s="50">
        <v>700</v>
      </c>
      <c r="L32" s="50">
        <f t="shared" ref="L32:L40" si="1">I32*G32*8*24*0.001</f>
        <v>1.44</v>
      </c>
      <c r="M32" s="50"/>
      <c r="N32" s="50"/>
    </row>
    <row r="33" spans="1:14" ht="30" hidden="1" customHeight="1">
      <c r="A33" s="44" t="s">
        <v>690</v>
      </c>
      <c r="B33" s="44" t="s">
        <v>654</v>
      </c>
      <c r="C33" s="53" t="s">
        <v>667</v>
      </c>
      <c r="D33" s="49" t="s">
        <v>659</v>
      </c>
      <c r="E33" s="50">
        <v>350</v>
      </c>
      <c r="F33" s="50">
        <v>20</v>
      </c>
      <c r="G33" s="50">
        <v>87</v>
      </c>
      <c r="H33" s="51">
        <f>(F37+F38+F33+F35+F36+F48+F66+F34)/E33</f>
        <v>2.7857142857142856</v>
      </c>
      <c r="I33" s="51">
        <f>F33/E33</f>
        <v>5.7142857142857141E-2</v>
      </c>
      <c r="J33" s="52">
        <v>60</v>
      </c>
      <c r="K33" s="50">
        <v>850</v>
      </c>
      <c r="L33" s="50">
        <f>I33*G33*8*24*0.001</f>
        <v>0.95451428571428576</v>
      </c>
      <c r="M33" s="50"/>
      <c r="N33" s="50" t="s">
        <v>683</v>
      </c>
    </row>
    <row r="34" spans="1:14" ht="30" hidden="1" customHeight="1">
      <c r="A34" s="44" t="s">
        <v>691</v>
      </c>
      <c r="B34" s="44" t="s">
        <v>654</v>
      </c>
      <c r="C34" s="53" t="s">
        <v>667</v>
      </c>
      <c r="D34" s="49" t="s">
        <v>659</v>
      </c>
      <c r="E34" s="50">
        <v>350</v>
      </c>
      <c r="F34" s="50">
        <v>100</v>
      </c>
      <c r="G34" s="50">
        <v>87</v>
      </c>
      <c r="H34" s="51">
        <f>(F37+F38+F34+F35+F36+F48+F66+F33)/E34</f>
        <v>2.7857142857142856</v>
      </c>
      <c r="I34" s="51">
        <f t="shared" si="0"/>
        <v>0.2857142857142857</v>
      </c>
      <c r="J34" s="52">
        <v>60</v>
      </c>
      <c r="K34" s="50">
        <v>850</v>
      </c>
      <c r="L34" s="50">
        <f t="shared" si="1"/>
        <v>4.7725714285714274</v>
      </c>
      <c r="M34" s="50"/>
      <c r="N34" s="50" t="s">
        <v>683</v>
      </c>
    </row>
    <row r="35" spans="1:14" ht="30" hidden="1" customHeight="1">
      <c r="A35" s="44" t="s">
        <v>692</v>
      </c>
      <c r="B35" s="44" t="s">
        <v>654</v>
      </c>
      <c r="C35" s="53" t="s">
        <v>667</v>
      </c>
      <c r="D35" s="49" t="s">
        <v>659</v>
      </c>
      <c r="E35" s="50">
        <v>350</v>
      </c>
      <c r="F35" s="50">
        <v>20</v>
      </c>
      <c r="G35" s="50">
        <v>87</v>
      </c>
      <c r="H35" s="51">
        <f>(F38+F34+F35+F36+F37+F48+F66+F33)/E35</f>
        <v>2.7857142857142856</v>
      </c>
      <c r="I35" s="51">
        <f t="shared" si="0"/>
        <v>5.7142857142857141E-2</v>
      </c>
      <c r="J35" s="52">
        <v>60</v>
      </c>
      <c r="K35" s="50">
        <v>850</v>
      </c>
      <c r="L35" s="50">
        <f t="shared" si="1"/>
        <v>0.95451428571428576</v>
      </c>
      <c r="M35" s="50"/>
      <c r="N35" s="50" t="s">
        <v>683</v>
      </c>
    </row>
    <row r="36" spans="1:14" ht="30" hidden="1" customHeight="1">
      <c r="A36" s="44" t="s">
        <v>693</v>
      </c>
      <c r="B36" s="44" t="s">
        <v>654</v>
      </c>
      <c r="C36" s="53" t="s">
        <v>667</v>
      </c>
      <c r="D36" s="49" t="s">
        <v>659</v>
      </c>
      <c r="E36" s="50">
        <v>350</v>
      </c>
      <c r="F36" s="50">
        <v>50</v>
      </c>
      <c r="G36" s="50">
        <v>87</v>
      </c>
      <c r="H36" s="51">
        <f>(F34+F35+F36+F37+F38+F48+F66+F33)/E36</f>
        <v>2.7857142857142856</v>
      </c>
      <c r="I36" s="51">
        <f t="shared" si="0"/>
        <v>0.14285714285714285</v>
      </c>
      <c r="J36" s="52">
        <v>35</v>
      </c>
      <c r="K36" s="50">
        <v>900</v>
      </c>
      <c r="L36" s="50">
        <f t="shared" si="1"/>
        <v>2.3862857142857137</v>
      </c>
      <c r="M36" s="50"/>
      <c r="N36" s="50" t="s">
        <v>683</v>
      </c>
    </row>
    <row r="37" spans="1:14" ht="30" hidden="1" customHeight="1">
      <c r="A37" s="44" t="s">
        <v>694</v>
      </c>
      <c r="B37" s="44" t="s">
        <v>654</v>
      </c>
      <c r="C37" s="53" t="s">
        <v>667</v>
      </c>
      <c r="D37" s="49" t="s">
        <v>659</v>
      </c>
      <c r="E37" s="50">
        <v>350</v>
      </c>
      <c r="F37" s="50">
        <v>125</v>
      </c>
      <c r="G37" s="50">
        <v>87</v>
      </c>
      <c r="H37" s="51">
        <f>(F34+F35+F37+F38+F36+F48+F66+F33)/E37</f>
        <v>2.7857142857142856</v>
      </c>
      <c r="I37" s="51">
        <f t="shared" si="0"/>
        <v>0.35714285714285715</v>
      </c>
      <c r="J37" s="52">
        <v>35</v>
      </c>
      <c r="K37" s="50">
        <v>900</v>
      </c>
      <c r="L37" s="50">
        <f t="shared" si="1"/>
        <v>5.9657142857142862</v>
      </c>
      <c r="M37" s="50"/>
      <c r="N37" s="50" t="s">
        <v>683</v>
      </c>
    </row>
    <row r="38" spans="1:14" ht="30" hidden="1" customHeight="1">
      <c r="A38" s="44" t="s">
        <v>695</v>
      </c>
      <c r="B38" s="44" t="s">
        <v>654</v>
      </c>
      <c r="C38" s="53" t="s">
        <v>667</v>
      </c>
      <c r="D38" s="49" t="s">
        <v>659</v>
      </c>
      <c r="E38" s="50">
        <v>350</v>
      </c>
      <c r="F38" s="50">
        <v>5</v>
      </c>
      <c r="G38" s="50">
        <v>87</v>
      </c>
      <c r="H38" s="51">
        <f>(F34+F35+F38+F36+F37+F48+F66+F33)/E38</f>
        <v>2.7857142857142856</v>
      </c>
      <c r="I38" s="51">
        <f t="shared" si="0"/>
        <v>1.4285714285714285E-2</v>
      </c>
      <c r="J38" s="52">
        <v>35</v>
      </c>
      <c r="K38" s="50">
        <v>900</v>
      </c>
      <c r="L38" s="50">
        <f t="shared" si="1"/>
        <v>0.23862857142857144</v>
      </c>
      <c r="M38" s="50"/>
      <c r="N38" s="50" t="s">
        <v>683</v>
      </c>
    </row>
    <row r="39" spans="1:14" ht="30" hidden="1" customHeight="1">
      <c r="A39" s="44" t="s">
        <v>696</v>
      </c>
      <c r="B39" s="44" t="s">
        <v>654</v>
      </c>
      <c r="C39" s="48" t="s">
        <v>655</v>
      </c>
      <c r="D39" s="49" t="s">
        <v>656</v>
      </c>
      <c r="E39" s="50">
        <v>400</v>
      </c>
      <c r="F39" s="50">
        <v>0</v>
      </c>
      <c r="G39" s="50">
        <v>55</v>
      </c>
      <c r="H39" s="51">
        <f>(F39+F41+F40+F42)/E39</f>
        <v>0.27500000000000002</v>
      </c>
      <c r="I39" s="51">
        <f t="shared" si="0"/>
        <v>0</v>
      </c>
      <c r="J39" s="52">
        <v>60</v>
      </c>
      <c r="K39" s="50">
        <v>650</v>
      </c>
      <c r="L39" s="50">
        <f t="shared" si="1"/>
        <v>0</v>
      </c>
      <c r="M39" s="50"/>
      <c r="N39" s="50"/>
    </row>
    <row r="40" spans="1:14" ht="30" hidden="1" customHeight="1">
      <c r="A40" s="44" t="s">
        <v>697</v>
      </c>
      <c r="B40" s="44" t="s">
        <v>654</v>
      </c>
      <c r="C40" s="48" t="s">
        <v>655</v>
      </c>
      <c r="D40" s="49" t="s">
        <v>659</v>
      </c>
      <c r="E40" s="50">
        <v>400</v>
      </c>
      <c r="F40" s="50">
        <v>5</v>
      </c>
      <c r="G40" s="50">
        <v>55</v>
      </c>
      <c r="H40" s="51">
        <f>(F40+F39+F41+F42)/E40</f>
        <v>0.27500000000000002</v>
      </c>
      <c r="I40" s="51">
        <f>F40/E40</f>
        <v>1.2500000000000001E-2</v>
      </c>
      <c r="J40" s="52">
        <v>60</v>
      </c>
      <c r="K40" s="50">
        <v>650</v>
      </c>
      <c r="L40" s="50">
        <f t="shared" si="1"/>
        <v>0.13200000000000001</v>
      </c>
      <c r="M40" s="50"/>
      <c r="N40" s="50"/>
    </row>
    <row r="41" spans="1:14" ht="30" hidden="1" customHeight="1">
      <c r="A41" s="44" t="s">
        <v>698</v>
      </c>
      <c r="B41" s="44" t="s">
        <v>654</v>
      </c>
      <c r="C41" s="48" t="s">
        <v>655</v>
      </c>
      <c r="D41" s="49" t="s">
        <v>659</v>
      </c>
      <c r="E41" s="50">
        <v>400</v>
      </c>
      <c r="F41" s="50">
        <v>100</v>
      </c>
      <c r="G41" s="50">
        <v>55</v>
      </c>
      <c r="H41" s="51">
        <f>(F41+F39+F40+F42)/E41</f>
        <v>0.27500000000000002</v>
      </c>
      <c r="I41" s="51">
        <f>F41/E41</f>
        <v>0.25</v>
      </c>
      <c r="J41" s="52">
        <v>60</v>
      </c>
      <c r="K41" s="50">
        <v>650</v>
      </c>
      <c r="L41" s="50">
        <f>I41*G41*8*24*0.001</f>
        <v>2.64</v>
      </c>
      <c r="M41" s="50"/>
      <c r="N41" s="50"/>
    </row>
    <row r="42" spans="1:14" ht="30" hidden="1" customHeight="1">
      <c r="A42" s="44" t="s">
        <v>699</v>
      </c>
      <c r="B42" s="44" t="s">
        <v>654</v>
      </c>
      <c r="C42" s="48" t="s">
        <v>655</v>
      </c>
      <c r="D42" s="49" t="s">
        <v>659</v>
      </c>
      <c r="E42" s="50">
        <v>400</v>
      </c>
      <c r="F42" s="50">
        <v>5</v>
      </c>
      <c r="G42" s="50">
        <v>55</v>
      </c>
      <c r="H42" s="51">
        <f>(F42+F39+F40+F41)/E42</f>
        <v>0.27500000000000002</v>
      </c>
      <c r="I42" s="51">
        <f>F42/E42</f>
        <v>1.2500000000000001E-2</v>
      </c>
      <c r="J42" s="52">
        <v>60</v>
      </c>
      <c r="K42" s="50">
        <v>650</v>
      </c>
      <c r="L42" s="50">
        <f>I42*G42*8*24*0.001</f>
        <v>0.13200000000000001</v>
      </c>
      <c r="M42" s="50"/>
      <c r="N42" s="50"/>
    </row>
    <row r="43" spans="1:14" ht="30" hidden="1" customHeight="1">
      <c r="A43" s="44" t="s">
        <v>700</v>
      </c>
      <c r="B43" s="44" t="s">
        <v>654</v>
      </c>
      <c r="C43" s="48" t="s">
        <v>682</v>
      </c>
      <c r="D43" s="49" t="s">
        <v>659</v>
      </c>
      <c r="E43" s="50" t="s">
        <v>632</v>
      </c>
      <c r="F43" s="50" t="s">
        <v>632</v>
      </c>
      <c r="G43" s="50" t="s">
        <v>632</v>
      </c>
      <c r="H43" s="51" t="s">
        <v>632</v>
      </c>
      <c r="I43" s="51" t="s">
        <v>632</v>
      </c>
      <c r="J43" s="52" t="s">
        <v>632</v>
      </c>
      <c r="K43" s="50" t="s">
        <v>632</v>
      </c>
      <c r="L43" s="50" t="s">
        <v>632</v>
      </c>
      <c r="M43" s="50"/>
      <c r="N43" s="50" t="s">
        <v>683</v>
      </c>
    </row>
    <row r="44" spans="1:14" ht="30" hidden="1" customHeight="1">
      <c r="A44" s="44" t="s">
        <v>701</v>
      </c>
      <c r="B44" s="44" t="s">
        <v>654</v>
      </c>
      <c r="C44" s="48" t="s">
        <v>682</v>
      </c>
      <c r="D44" s="49" t="s">
        <v>659</v>
      </c>
      <c r="E44" s="50"/>
      <c r="F44" s="50"/>
      <c r="G44" s="50"/>
      <c r="H44" s="51"/>
      <c r="I44" s="51"/>
      <c r="J44" s="52"/>
      <c r="K44" s="50"/>
      <c r="L44" s="50"/>
      <c r="M44" s="50"/>
      <c r="N44" s="50" t="s">
        <v>683</v>
      </c>
    </row>
    <row r="45" spans="1:14" ht="30" hidden="1" customHeight="1">
      <c r="A45" s="44" t="s">
        <v>702</v>
      </c>
      <c r="B45" s="44" t="s">
        <v>654</v>
      </c>
      <c r="C45" s="48" t="s">
        <v>682</v>
      </c>
      <c r="D45" s="49" t="s">
        <v>659</v>
      </c>
      <c r="E45" s="50"/>
      <c r="F45" s="50"/>
      <c r="G45" s="50"/>
      <c r="H45" s="51"/>
      <c r="I45" s="51"/>
      <c r="J45" s="52"/>
      <c r="K45" s="50"/>
      <c r="L45" s="50"/>
      <c r="M45" s="50"/>
      <c r="N45" s="50" t="s">
        <v>683</v>
      </c>
    </row>
    <row r="46" spans="1:14" ht="30" hidden="1" customHeight="1">
      <c r="A46" s="44" t="s">
        <v>703</v>
      </c>
      <c r="B46" s="44" t="s">
        <v>654</v>
      </c>
      <c r="C46" s="53" t="s">
        <v>667</v>
      </c>
      <c r="D46" s="49" t="s">
        <v>659</v>
      </c>
      <c r="E46" s="50">
        <v>400</v>
      </c>
      <c r="F46" s="50">
        <v>300</v>
      </c>
      <c r="G46" s="50">
        <v>87</v>
      </c>
      <c r="H46" s="51">
        <f>(F46)/E46</f>
        <v>0.75</v>
      </c>
      <c r="I46" s="51">
        <f>F46/E46</f>
        <v>0.75</v>
      </c>
      <c r="J46" s="52">
        <v>50</v>
      </c>
      <c r="K46" s="50">
        <v>600</v>
      </c>
      <c r="L46" s="50">
        <f>I46*G46*8*24*0.001</f>
        <v>12.528</v>
      </c>
      <c r="M46" s="50"/>
      <c r="N46" s="50"/>
    </row>
    <row r="47" spans="1:14" ht="30" hidden="1" customHeight="1">
      <c r="A47" s="44" t="s">
        <v>704</v>
      </c>
      <c r="B47" s="44" t="s">
        <v>654</v>
      </c>
      <c r="C47" s="48" t="s">
        <v>655</v>
      </c>
      <c r="D47" s="49" t="s">
        <v>659</v>
      </c>
      <c r="E47" s="50">
        <v>200</v>
      </c>
      <c r="F47" s="50">
        <v>130</v>
      </c>
      <c r="G47" s="50">
        <v>50</v>
      </c>
      <c r="H47" s="51">
        <f>(F47+F54)/E47</f>
        <v>0.9</v>
      </c>
      <c r="I47" s="51">
        <f>F47/E47</f>
        <v>0.65</v>
      </c>
      <c r="J47" s="52">
        <v>50</v>
      </c>
      <c r="K47" s="50">
        <v>700</v>
      </c>
      <c r="L47" s="50">
        <f>I47*G47*8*24*0.001</f>
        <v>6.24</v>
      </c>
      <c r="M47" s="50"/>
      <c r="N47" s="50"/>
    </row>
    <row r="48" spans="1:14" ht="30" hidden="1" customHeight="1">
      <c r="A48" s="44" t="s">
        <v>705</v>
      </c>
      <c r="B48" s="44" t="s">
        <v>654</v>
      </c>
      <c r="C48" s="53" t="s">
        <v>667</v>
      </c>
      <c r="D48" s="49" t="s">
        <v>659</v>
      </c>
      <c r="E48" s="50">
        <v>350</v>
      </c>
      <c r="F48" s="50">
        <v>30</v>
      </c>
      <c r="G48" s="50">
        <v>87</v>
      </c>
      <c r="H48" s="51">
        <f>(F34+F35+F48+F36+F37+F38+F66+F33)/E48</f>
        <v>2.7857142857142856</v>
      </c>
      <c r="I48" s="51">
        <f>F48/E48</f>
        <v>8.5714285714285715E-2</v>
      </c>
      <c r="J48" s="52">
        <v>35</v>
      </c>
      <c r="K48" s="50">
        <v>900</v>
      </c>
      <c r="L48" s="50">
        <f>I48*G48*8*24*0.001</f>
        <v>1.4317714285714287</v>
      </c>
      <c r="M48" s="50"/>
      <c r="N48" s="50" t="s">
        <v>683</v>
      </c>
    </row>
    <row r="49" spans="1:15" ht="30" hidden="1" customHeight="1">
      <c r="A49" s="44" t="s">
        <v>706</v>
      </c>
      <c r="B49" s="44" t="s">
        <v>654</v>
      </c>
      <c r="C49" s="48" t="s">
        <v>707</v>
      </c>
      <c r="D49" s="49" t="s">
        <v>659</v>
      </c>
      <c r="E49" s="50">
        <v>200</v>
      </c>
      <c r="F49" s="50">
        <v>60</v>
      </c>
      <c r="G49" s="50">
        <v>40</v>
      </c>
      <c r="H49" s="51">
        <f>(F49)/E49</f>
        <v>0.3</v>
      </c>
      <c r="I49" s="51">
        <f>F49/E49</f>
        <v>0.3</v>
      </c>
      <c r="J49" s="52">
        <v>60</v>
      </c>
      <c r="K49" s="50">
        <v>650</v>
      </c>
      <c r="L49" s="50">
        <f>I49*G49*8*24*0.001</f>
        <v>2.3040000000000003</v>
      </c>
      <c r="M49" s="50"/>
      <c r="N49" s="50"/>
    </row>
    <row r="50" spans="1:15" ht="30" hidden="1" customHeight="1">
      <c r="A50" s="44" t="s">
        <v>708</v>
      </c>
      <c r="B50" s="44" t="s">
        <v>654</v>
      </c>
      <c r="C50" s="48" t="s">
        <v>682</v>
      </c>
      <c r="D50" s="49" t="s">
        <v>659</v>
      </c>
      <c r="E50" s="50"/>
      <c r="F50" s="50"/>
      <c r="G50" s="50" t="s">
        <v>632</v>
      </c>
      <c r="H50" s="51"/>
      <c r="I50" s="51"/>
      <c r="J50" s="52"/>
      <c r="K50" s="50"/>
      <c r="L50" s="50"/>
      <c r="M50" s="50"/>
      <c r="N50" s="50" t="s">
        <v>683</v>
      </c>
    </row>
    <row r="51" spans="1:15" ht="30" hidden="1" customHeight="1">
      <c r="A51" s="44" t="s">
        <v>709</v>
      </c>
      <c r="B51" s="44" t="s">
        <v>654</v>
      </c>
      <c r="C51" s="53" t="s">
        <v>667</v>
      </c>
      <c r="D51" s="49" t="s">
        <v>659</v>
      </c>
      <c r="E51" s="50">
        <v>300</v>
      </c>
      <c r="F51" s="50">
        <v>200</v>
      </c>
      <c r="G51" s="50">
        <v>80</v>
      </c>
      <c r="H51" s="51">
        <f>(F51+F53)/E51</f>
        <v>0.66666666666666663</v>
      </c>
      <c r="I51" s="51">
        <f>F51/E51</f>
        <v>0.66666666666666663</v>
      </c>
      <c r="J51" s="52">
        <v>35</v>
      </c>
      <c r="K51" s="50">
        <v>750</v>
      </c>
      <c r="L51" s="50">
        <f>I51*G51*8*24*0.001</f>
        <v>10.24</v>
      </c>
      <c r="M51" s="50"/>
      <c r="N51" s="50"/>
    </row>
    <row r="52" spans="1:15" ht="30" hidden="1" customHeight="1">
      <c r="A52" s="44" t="s">
        <v>710</v>
      </c>
      <c r="B52" s="44" t="s">
        <v>654</v>
      </c>
      <c r="C52" s="53" t="s">
        <v>667</v>
      </c>
      <c r="D52" s="49" t="s">
        <v>656</v>
      </c>
      <c r="E52" s="50">
        <v>300</v>
      </c>
      <c r="F52" s="50">
        <v>0</v>
      </c>
      <c r="G52" s="50">
        <v>80</v>
      </c>
      <c r="H52" s="51">
        <f>(F52+F51)/E52</f>
        <v>0.66666666666666663</v>
      </c>
      <c r="I52" s="51">
        <f>F52/E52</f>
        <v>0</v>
      </c>
      <c r="J52" s="52">
        <v>100</v>
      </c>
      <c r="K52" s="50">
        <v>750</v>
      </c>
      <c r="L52" s="50">
        <f>I52*G52*8*24*0.001</f>
        <v>0</v>
      </c>
      <c r="M52" s="50"/>
      <c r="N52" s="50"/>
    </row>
    <row r="53" spans="1:15" ht="30" customHeight="1">
      <c r="A53" s="44" t="s">
        <v>711</v>
      </c>
      <c r="B53" s="44" t="s">
        <v>660</v>
      </c>
      <c r="C53" s="53" t="s">
        <v>712</v>
      </c>
      <c r="D53" s="49" t="s">
        <v>656</v>
      </c>
      <c r="E53" s="50"/>
      <c r="F53" s="50"/>
      <c r="G53" s="50"/>
      <c r="H53" s="51"/>
      <c r="I53" s="51"/>
      <c r="J53" s="52"/>
      <c r="K53" s="50"/>
      <c r="L53" s="50">
        <v>4</v>
      </c>
      <c r="M53" s="50"/>
      <c r="N53" s="50" t="s">
        <v>662</v>
      </c>
      <c r="O53" s="40" t="s">
        <v>1098</v>
      </c>
    </row>
    <row r="54" spans="1:15" ht="30" hidden="1" customHeight="1">
      <c r="A54" s="44" t="s">
        <v>713</v>
      </c>
      <c r="B54" s="44" t="s">
        <v>654</v>
      </c>
      <c r="C54" s="53" t="s">
        <v>714</v>
      </c>
      <c r="D54" s="49" t="s">
        <v>659</v>
      </c>
      <c r="E54" s="50">
        <v>200</v>
      </c>
      <c r="F54" s="50">
        <v>50</v>
      </c>
      <c r="G54" s="50">
        <v>50</v>
      </c>
      <c r="H54" s="51">
        <f>(F54+F47)/E54</f>
        <v>0.9</v>
      </c>
      <c r="I54" s="51">
        <f>F54/E54</f>
        <v>0.25</v>
      </c>
      <c r="J54" s="52">
        <v>50</v>
      </c>
      <c r="K54" s="50">
        <v>700</v>
      </c>
      <c r="L54" s="50">
        <f>I54*G54*8*24*0.001</f>
        <v>2.4</v>
      </c>
      <c r="M54" s="50"/>
      <c r="N54" s="50"/>
    </row>
    <row r="55" spans="1:15" ht="30" customHeight="1">
      <c r="A55" s="44" t="s">
        <v>713</v>
      </c>
      <c r="B55" s="44" t="s">
        <v>660</v>
      </c>
      <c r="C55" s="53" t="s">
        <v>715</v>
      </c>
      <c r="D55" s="49" t="s">
        <v>656</v>
      </c>
      <c r="E55" s="50"/>
      <c r="F55" s="50"/>
      <c r="G55" s="50"/>
      <c r="H55" s="51"/>
      <c r="I55" s="51"/>
      <c r="J55" s="52"/>
      <c r="K55" s="50"/>
      <c r="L55" s="50">
        <v>4</v>
      </c>
      <c r="M55" s="50"/>
      <c r="N55" s="50" t="s">
        <v>662</v>
      </c>
      <c r="O55" s="40">
        <v>99186</v>
      </c>
    </row>
    <row r="56" spans="1:15" ht="30" hidden="1" customHeight="1">
      <c r="A56" s="44" t="s">
        <v>716</v>
      </c>
      <c r="B56" s="44" t="s">
        <v>654</v>
      </c>
      <c r="C56" s="53" t="s">
        <v>667</v>
      </c>
      <c r="D56" s="49" t="s">
        <v>659</v>
      </c>
      <c r="E56" s="50">
        <v>350</v>
      </c>
      <c r="F56" s="50">
        <v>150</v>
      </c>
      <c r="G56" s="50">
        <v>80</v>
      </c>
      <c r="H56" s="51">
        <f>(F56+F74)/E56</f>
        <v>0.47142857142857142</v>
      </c>
      <c r="I56" s="51">
        <f>F56/E56</f>
        <v>0.42857142857142855</v>
      </c>
      <c r="J56" s="52">
        <v>30</v>
      </c>
      <c r="K56" s="50">
        <v>900</v>
      </c>
      <c r="L56" s="50">
        <f>I56*G56*8*24*0.001</f>
        <v>6.5828571428571436</v>
      </c>
      <c r="M56" s="50"/>
      <c r="N56" s="50" t="s">
        <v>683</v>
      </c>
    </row>
    <row r="57" spans="1:15" ht="30" hidden="1" customHeight="1">
      <c r="A57" s="44" t="s">
        <v>717</v>
      </c>
      <c r="B57" s="44" t="s">
        <v>654</v>
      </c>
      <c r="C57" s="53" t="s">
        <v>667</v>
      </c>
      <c r="D57" s="49" t="s">
        <v>659</v>
      </c>
      <c r="E57" s="50">
        <v>400</v>
      </c>
      <c r="F57" s="50">
        <v>150</v>
      </c>
      <c r="G57" s="50">
        <v>80</v>
      </c>
      <c r="H57" s="51">
        <f>(F57+F16)/E57</f>
        <v>0.38750000000000001</v>
      </c>
      <c r="I57" s="51">
        <f>F57/E57</f>
        <v>0.375</v>
      </c>
      <c r="J57" s="52">
        <v>60</v>
      </c>
      <c r="K57" s="50">
        <v>750</v>
      </c>
      <c r="L57" s="50">
        <f>I57*G57*8*24*0.001</f>
        <v>5.76</v>
      </c>
      <c r="M57" s="50"/>
      <c r="N57" s="50"/>
    </row>
    <row r="58" spans="1:15" ht="30" hidden="1" customHeight="1">
      <c r="A58" s="44" t="s">
        <v>718</v>
      </c>
      <c r="B58" s="44" t="s">
        <v>654</v>
      </c>
      <c r="C58" s="48" t="s">
        <v>682</v>
      </c>
      <c r="D58" s="49" t="s">
        <v>656</v>
      </c>
      <c r="E58" s="50">
        <v>700</v>
      </c>
      <c r="F58" s="50" t="s">
        <v>632</v>
      </c>
      <c r="G58" s="50">
        <v>125</v>
      </c>
      <c r="H58" s="51">
        <f>(F58)/E58</f>
        <v>0</v>
      </c>
      <c r="I58" s="51">
        <f>F58/E58</f>
        <v>0</v>
      </c>
      <c r="J58" s="52">
        <v>100</v>
      </c>
      <c r="K58" s="50">
        <v>600</v>
      </c>
      <c r="L58" s="50">
        <f>I58*G58*8*24*0.001</f>
        <v>0</v>
      </c>
      <c r="M58" s="50"/>
      <c r="N58" s="50"/>
    </row>
    <row r="59" spans="1:15" ht="30" customHeight="1">
      <c r="A59" s="44" t="s">
        <v>719</v>
      </c>
      <c r="B59" s="44" t="s">
        <v>660</v>
      </c>
      <c r="C59" s="44" t="s">
        <v>720</v>
      </c>
      <c r="D59" s="49" t="s">
        <v>632</v>
      </c>
      <c r="E59" s="50"/>
      <c r="F59" s="50"/>
      <c r="G59" s="50"/>
      <c r="H59" s="51"/>
      <c r="I59" s="51"/>
      <c r="J59" s="52"/>
      <c r="K59" s="50"/>
      <c r="L59" s="50">
        <v>0</v>
      </c>
      <c r="M59" s="50" t="s">
        <v>632</v>
      </c>
      <c r="N59" s="50" t="s">
        <v>632</v>
      </c>
      <c r="O59" s="40" t="s">
        <v>1098</v>
      </c>
    </row>
    <row r="60" spans="1:15" ht="30" customHeight="1">
      <c r="A60" s="44" t="s">
        <v>721</v>
      </c>
      <c r="B60" s="44" t="s">
        <v>660</v>
      </c>
      <c r="C60" s="53" t="s">
        <v>722</v>
      </c>
      <c r="D60" s="49" t="s">
        <v>659</v>
      </c>
      <c r="E60" s="50" t="s">
        <v>632</v>
      </c>
      <c r="F60" s="50" t="s">
        <v>632</v>
      </c>
      <c r="G60" s="50" t="s">
        <v>632</v>
      </c>
      <c r="H60" s="51" t="s">
        <v>632</v>
      </c>
      <c r="I60" s="51" t="s">
        <v>632</v>
      </c>
      <c r="J60" s="52" t="s">
        <v>632</v>
      </c>
      <c r="K60" s="50" t="s">
        <v>632</v>
      </c>
      <c r="L60" s="50">
        <v>4</v>
      </c>
      <c r="M60" s="50"/>
      <c r="N60" s="50" t="s">
        <v>662</v>
      </c>
      <c r="O60" s="40" t="s">
        <v>1098</v>
      </c>
    </row>
    <row r="61" spans="1:15" ht="30" customHeight="1">
      <c r="A61" s="44" t="s">
        <v>723</v>
      </c>
      <c r="B61" s="44" t="s">
        <v>660</v>
      </c>
      <c r="C61" s="53" t="s">
        <v>724</v>
      </c>
      <c r="D61" s="49" t="s">
        <v>659</v>
      </c>
      <c r="E61" s="50">
        <v>400</v>
      </c>
      <c r="F61" s="50">
        <v>0</v>
      </c>
      <c r="G61" s="50">
        <v>85</v>
      </c>
      <c r="H61" s="51" t="e">
        <f>(F61+#REF!)/E61</f>
        <v>#REF!</v>
      </c>
      <c r="I61" s="51">
        <f>F61/E61</f>
        <v>0</v>
      </c>
      <c r="J61" s="52">
        <v>30</v>
      </c>
      <c r="K61" s="50">
        <v>420</v>
      </c>
      <c r="L61" s="50">
        <v>4</v>
      </c>
      <c r="M61" s="50"/>
      <c r="N61" s="50" t="s">
        <v>662</v>
      </c>
      <c r="O61" s="40">
        <v>99132</v>
      </c>
    </row>
    <row r="62" spans="1:15" ht="30" customHeight="1">
      <c r="A62" s="44" t="s">
        <v>725</v>
      </c>
      <c r="B62" s="44" t="s">
        <v>660</v>
      </c>
      <c r="C62" s="44" t="s">
        <v>632</v>
      </c>
      <c r="D62" s="49" t="s">
        <v>659</v>
      </c>
      <c r="E62" s="50"/>
      <c r="F62" s="50"/>
      <c r="G62" s="50"/>
      <c r="H62" s="51" t="s">
        <v>632</v>
      </c>
      <c r="I62" s="51"/>
      <c r="J62" s="52"/>
      <c r="K62" s="50"/>
      <c r="L62" s="50">
        <v>4</v>
      </c>
      <c r="M62" s="50"/>
      <c r="N62" s="50" t="s">
        <v>662</v>
      </c>
      <c r="O62" s="40">
        <v>98910</v>
      </c>
    </row>
    <row r="63" spans="1:15" ht="30" hidden="1" customHeight="1">
      <c r="A63" s="44" t="s">
        <v>726</v>
      </c>
      <c r="B63" s="44" t="s">
        <v>654</v>
      </c>
      <c r="C63" s="48" t="s">
        <v>727</v>
      </c>
      <c r="D63" s="49" t="s">
        <v>659</v>
      </c>
      <c r="E63" s="50">
        <v>300</v>
      </c>
      <c r="F63" s="50">
        <v>90</v>
      </c>
      <c r="G63" s="50">
        <v>55</v>
      </c>
      <c r="H63" s="51">
        <f>(F63+F76+F64)/E63</f>
        <v>0.6166666666666667</v>
      </c>
      <c r="I63" s="51">
        <f>F63/E63</f>
        <v>0.3</v>
      </c>
      <c r="J63" s="52">
        <v>30</v>
      </c>
      <c r="K63" s="50">
        <v>700</v>
      </c>
      <c r="L63" s="50">
        <f>I63*G63*8*24*0.001</f>
        <v>3.1680000000000001</v>
      </c>
      <c r="M63" s="50"/>
      <c r="N63" s="50"/>
    </row>
    <row r="64" spans="1:15" ht="30" hidden="1" customHeight="1">
      <c r="A64" s="44" t="s">
        <v>728</v>
      </c>
      <c r="B64" s="44" t="s">
        <v>654</v>
      </c>
      <c r="C64" s="48" t="s">
        <v>727</v>
      </c>
      <c r="D64" s="49" t="s">
        <v>659</v>
      </c>
      <c r="E64" s="50">
        <v>300</v>
      </c>
      <c r="F64" s="50">
        <v>15</v>
      </c>
      <c r="G64" s="50">
        <v>55</v>
      </c>
      <c r="H64" s="51">
        <f>(F64+F63+F76)/E64</f>
        <v>0.6166666666666667</v>
      </c>
      <c r="I64" s="51">
        <f>F64/E64</f>
        <v>0.05</v>
      </c>
      <c r="J64" s="52">
        <v>20</v>
      </c>
      <c r="K64" s="50">
        <v>700</v>
      </c>
      <c r="L64" s="50">
        <f>I64*G64*8*24*0.001</f>
        <v>0.52800000000000002</v>
      </c>
      <c r="M64" s="50"/>
      <c r="N64" s="50"/>
    </row>
    <row r="65" spans="1:15" ht="30" customHeight="1">
      <c r="A65" s="44" t="s">
        <v>729</v>
      </c>
      <c r="B65" s="44" t="s">
        <v>660</v>
      </c>
      <c r="C65" s="44" t="s">
        <v>720</v>
      </c>
      <c r="D65" s="49"/>
      <c r="E65" s="50"/>
      <c r="F65" s="50"/>
      <c r="G65" s="50"/>
      <c r="H65" s="51"/>
      <c r="I65" s="51"/>
      <c r="J65" s="52"/>
      <c r="K65" s="50"/>
      <c r="L65" s="50">
        <v>0</v>
      </c>
      <c r="M65" s="50"/>
      <c r="N65" s="50"/>
    </row>
    <row r="66" spans="1:15" ht="30" hidden="1" customHeight="1">
      <c r="A66" s="44" t="s">
        <v>730</v>
      </c>
      <c r="B66" s="44" t="s">
        <v>654</v>
      </c>
      <c r="C66" s="48" t="s">
        <v>731</v>
      </c>
      <c r="D66" s="49" t="s">
        <v>659</v>
      </c>
      <c r="E66" s="50">
        <v>700</v>
      </c>
      <c r="F66" s="50">
        <v>625</v>
      </c>
      <c r="G66" s="50">
        <v>125</v>
      </c>
      <c r="H66" s="51">
        <f>(F66)/E66</f>
        <v>0.8928571428571429</v>
      </c>
      <c r="I66" s="51">
        <f>F66/E66</f>
        <v>0.8928571428571429</v>
      </c>
      <c r="J66" s="52">
        <v>100</v>
      </c>
      <c r="K66" s="50">
        <v>700</v>
      </c>
      <c r="L66" s="50">
        <f>I66*G66*8*24*0.001</f>
        <v>21.428571428571427</v>
      </c>
      <c r="M66" s="50"/>
      <c r="N66" s="50"/>
    </row>
    <row r="67" spans="1:15" ht="30" hidden="1" customHeight="1">
      <c r="A67" s="44" t="s">
        <v>732</v>
      </c>
      <c r="B67" s="44" t="s">
        <v>654</v>
      </c>
      <c r="C67" s="53" t="s">
        <v>671</v>
      </c>
      <c r="D67" s="49" t="s">
        <v>659</v>
      </c>
      <c r="E67" s="50">
        <v>1300</v>
      </c>
      <c r="F67" s="50">
        <v>900</v>
      </c>
      <c r="G67" s="50">
        <v>185</v>
      </c>
      <c r="H67" s="51">
        <f>(F67)/E67</f>
        <v>0.69230769230769229</v>
      </c>
      <c r="I67" s="51">
        <f>F67/E67</f>
        <v>0.69230769230769229</v>
      </c>
      <c r="J67" s="52">
        <v>225</v>
      </c>
      <c r="K67" s="50">
        <v>700</v>
      </c>
      <c r="L67" s="50">
        <f>I67*G67*8*24*0.001</f>
        <v>24.590769230769226</v>
      </c>
      <c r="M67" s="50"/>
      <c r="N67" s="50"/>
    </row>
    <row r="68" spans="1:15" ht="30" hidden="1" customHeight="1">
      <c r="A68" s="44" t="s">
        <v>733</v>
      </c>
      <c r="B68" s="44" t="s">
        <v>654</v>
      </c>
      <c r="C68" s="54" t="s">
        <v>734</v>
      </c>
      <c r="D68" s="49" t="s">
        <v>659</v>
      </c>
      <c r="E68" s="50">
        <v>1250</v>
      </c>
      <c r="F68" s="50"/>
      <c r="G68" s="50">
        <v>275</v>
      </c>
      <c r="H68" s="51"/>
      <c r="I68" s="51"/>
      <c r="J68" s="52">
        <v>45</v>
      </c>
      <c r="K68" s="50">
        <v>800</v>
      </c>
      <c r="L68" s="50"/>
      <c r="M68" s="50"/>
      <c r="N68" s="50" t="s">
        <v>662</v>
      </c>
    </row>
    <row r="69" spans="1:15" ht="30" hidden="1" customHeight="1">
      <c r="A69" s="44" t="s">
        <v>735</v>
      </c>
      <c r="B69" s="44" t="s">
        <v>654</v>
      </c>
      <c r="C69" s="53" t="s">
        <v>736</v>
      </c>
      <c r="D69" s="50" t="s">
        <v>659</v>
      </c>
      <c r="E69" s="50">
        <v>700</v>
      </c>
      <c r="F69" s="50">
        <v>640</v>
      </c>
      <c r="G69" s="50">
        <v>87</v>
      </c>
      <c r="H69" s="51">
        <f>(F69+F70)/E69</f>
        <v>0.91428571428571426</v>
      </c>
      <c r="I69" s="51">
        <f>F69/E69</f>
        <v>0.91428571428571426</v>
      </c>
      <c r="J69" s="52">
        <v>30</v>
      </c>
      <c r="K69" s="50">
        <v>600</v>
      </c>
      <c r="L69" s="50">
        <f>I69*G69*8*24*0.001</f>
        <v>15.272228571428572</v>
      </c>
      <c r="M69" s="50"/>
      <c r="N69" s="50" t="s">
        <v>683</v>
      </c>
    </row>
    <row r="70" spans="1:15" ht="30" hidden="1" customHeight="1">
      <c r="A70" s="44" t="s">
        <v>737</v>
      </c>
      <c r="B70" s="44" t="s">
        <v>654</v>
      </c>
      <c r="C70" s="53" t="s">
        <v>736</v>
      </c>
      <c r="D70" s="49" t="s">
        <v>656</v>
      </c>
      <c r="E70" s="50">
        <v>700</v>
      </c>
      <c r="F70" s="50">
        <v>0</v>
      </c>
      <c r="G70" s="50">
        <v>87</v>
      </c>
      <c r="H70" s="51">
        <f>(F70+F69)/E70</f>
        <v>0.91428571428571426</v>
      </c>
      <c r="I70" s="51">
        <f>F70/E70</f>
        <v>0</v>
      </c>
      <c r="J70" s="52">
        <v>30</v>
      </c>
      <c r="K70" s="50">
        <v>600</v>
      </c>
      <c r="L70" s="50">
        <f>I70*G70*8*24*0.001</f>
        <v>0</v>
      </c>
      <c r="M70" s="50"/>
      <c r="N70" s="50" t="s">
        <v>683</v>
      </c>
    </row>
    <row r="71" spans="1:15" ht="30" customHeight="1">
      <c r="A71" s="44" t="s">
        <v>738</v>
      </c>
      <c r="B71" s="44" t="s">
        <v>660</v>
      </c>
      <c r="C71" s="44" t="s">
        <v>720</v>
      </c>
      <c r="D71" s="49" t="s">
        <v>632</v>
      </c>
      <c r="E71" s="50"/>
      <c r="F71" s="50"/>
      <c r="G71" s="50"/>
      <c r="H71" s="51"/>
      <c r="I71" s="51"/>
      <c r="J71" s="52"/>
      <c r="K71" s="50"/>
      <c r="L71" s="50">
        <v>0</v>
      </c>
      <c r="M71" s="50"/>
      <c r="N71" s="50" t="s">
        <v>632</v>
      </c>
    </row>
    <row r="72" spans="1:15" ht="30" customHeight="1">
      <c r="A72" s="44" t="s">
        <v>739</v>
      </c>
      <c r="B72" s="44" t="s">
        <v>660</v>
      </c>
      <c r="C72" s="53" t="s">
        <v>740</v>
      </c>
      <c r="D72" s="49" t="s">
        <v>659</v>
      </c>
      <c r="E72" s="50" t="s">
        <v>632</v>
      </c>
      <c r="F72" s="50" t="s">
        <v>632</v>
      </c>
      <c r="G72" s="50" t="s">
        <v>632</v>
      </c>
      <c r="H72" s="51" t="s">
        <v>632</v>
      </c>
      <c r="I72" s="51" t="s">
        <v>632</v>
      </c>
      <c r="J72" s="52" t="s">
        <v>632</v>
      </c>
      <c r="K72" s="50" t="s">
        <v>632</v>
      </c>
      <c r="L72" s="50">
        <v>4</v>
      </c>
      <c r="M72" s="50"/>
      <c r="N72" s="50" t="s">
        <v>662</v>
      </c>
      <c r="O72" s="40">
        <v>99161</v>
      </c>
    </row>
    <row r="73" spans="1:15" ht="30" hidden="1" customHeight="1">
      <c r="A73" s="44" t="s">
        <v>741</v>
      </c>
      <c r="B73" s="44" t="s">
        <v>654</v>
      </c>
      <c r="C73" s="48" t="s">
        <v>731</v>
      </c>
      <c r="D73" s="49" t="s">
        <v>659</v>
      </c>
      <c r="E73" s="50">
        <v>450</v>
      </c>
      <c r="F73" s="50">
        <v>400</v>
      </c>
      <c r="G73" s="50">
        <v>125</v>
      </c>
      <c r="H73" s="51">
        <f>F73/E73</f>
        <v>0.88888888888888884</v>
      </c>
      <c r="I73" s="51">
        <f>F73/E73</f>
        <v>0.88888888888888884</v>
      </c>
      <c r="J73" s="52">
        <v>25</v>
      </c>
      <c r="K73" s="50">
        <v>1300</v>
      </c>
      <c r="L73" s="50">
        <f>I73*G73*8*24*0.001</f>
        <v>21.333333333333332</v>
      </c>
      <c r="M73" s="50"/>
      <c r="N73" s="50" t="s">
        <v>683</v>
      </c>
    </row>
    <row r="74" spans="1:15" ht="30" hidden="1" customHeight="1">
      <c r="A74" s="44" t="s">
        <v>742</v>
      </c>
      <c r="B74" s="44" t="s">
        <v>654</v>
      </c>
      <c r="C74" s="53" t="s">
        <v>667</v>
      </c>
      <c r="D74" s="49" t="s">
        <v>659</v>
      </c>
      <c r="E74" s="50">
        <v>350</v>
      </c>
      <c r="F74" s="50">
        <v>15</v>
      </c>
      <c r="G74" s="50">
        <v>80</v>
      </c>
      <c r="H74" s="51">
        <f>(F74+F56)/E74</f>
        <v>0.47142857142857142</v>
      </c>
      <c r="I74" s="51">
        <f>F74/E74</f>
        <v>4.2857142857142858E-2</v>
      </c>
      <c r="J74" s="52">
        <v>30</v>
      </c>
      <c r="K74" s="50">
        <v>900</v>
      </c>
      <c r="L74" s="50">
        <f>I74*G74*8*24*0.001</f>
        <v>0.65828571428571436</v>
      </c>
      <c r="M74" s="50"/>
      <c r="N74" s="50" t="s">
        <v>683</v>
      </c>
    </row>
    <row r="75" spans="1:15" ht="30" hidden="1" customHeight="1">
      <c r="A75" s="44" t="s">
        <v>743</v>
      </c>
      <c r="B75" s="44" t="s">
        <v>654</v>
      </c>
      <c r="C75" s="53" t="s">
        <v>667</v>
      </c>
      <c r="D75" s="49" t="s">
        <v>656</v>
      </c>
      <c r="E75" s="50">
        <v>350</v>
      </c>
      <c r="F75" s="50">
        <v>0</v>
      </c>
      <c r="G75" s="50">
        <v>80</v>
      </c>
      <c r="H75" s="51">
        <f>F75/E75</f>
        <v>0</v>
      </c>
      <c r="I75" s="51">
        <f>F75/E75</f>
        <v>0</v>
      </c>
      <c r="J75" s="52">
        <v>40</v>
      </c>
      <c r="K75" s="50">
        <v>850</v>
      </c>
      <c r="L75" s="50">
        <f>I75*G75*8*24*0.001</f>
        <v>0</v>
      </c>
      <c r="M75" s="50"/>
      <c r="N75" s="50"/>
    </row>
    <row r="76" spans="1:15" ht="30" hidden="1" customHeight="1">
      <c r="A76" s="44" t="s">
        <v>744</v>
      </c>
      <c r="B76" s="44" t="s">
        <v>654</v>
      </c>
      <c r="C76" s="48" t="s">
        <v>727</v>
      </c>
      <c r="D76" s="49" t="s">
        <v>659</v>
      </c>
      <c r="E76" s="50">
        <v>300</v>
      </c>
      <c r="F76" s="50">
        <v>80</v>
      </c>
      <c r="G76" s="50">
        <v>85</v>
      </c>
      <c r="H76" s="51">
        <f>(F76+F63+F64)/E76</f>
        <v>0.6166666666666667</v>
      </c>
      <c r="I76" s="51">
        <f>F76/E76</f>
        <v>0.26666666666666666</v>
      </c>
      <c r="J76" s="52">
        <v>30</v>
      </c>
      <c r="K76" s="50">
        <v>700</v>
      </c>
      <c r="L76" s="50">
        <f>I76*G76*8*24*0.001</f>
        <v>4.3520000000000003</v>
      </c>
      <c r="M76" s="50"/>
      <c r="N76" s="50"/>
    </row>
    <row r="78" spans="1:15" s="39" customFormat="1">
      <c r="A78" s="38"/>
      <c r="B78" s="38"/>
      <c r="C78" s="38"/>
      <c r="D78" s="38"/>
      <c r="E78" s="38"/>
      <c r="F78" s="38"/>
      <c r="G78" s="42" t="s">
        <v>632</v>
      </c>
      <c r="J78" s="38"/>
      <c r="K78" s="40"/>
      <c r="L78" s="40"/>
      <c r="M78" s="40"/>
      <c r="N78" s="40"/>
      <c r="O78" s="40"/>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5" t="s">
        <v>897</v>
      </c>
    </row>
    <row r="3" spans="1:25" ht="13">
      <c r="A3" s="65" t="s">
        <v>886</v>
      </c>
      <c r="B3" s="64" t="s">
        <v>895</v>
      </c>
      <c r="C3" s="64" t="s">
        <v>896</v>
      </c>
      <c r="D3" s="64" t="s">
        <v>887</v>
      </c>
      <c r="E3" s="64" t="s">
        <v>888</v>
      </c>
      <c r="F3" s="64" t="s">
        <v>889</v>
      </c>
      <c r="G3" s="64" t="s">
        <v>890</v>
      </c>
      <c r="H3" s="64" t="s">
        <v>891</v>
      </c>
      <c r="I3" s="64" t="s">
        <v>892</v>
      </c>
      <c r="J3" s="64" t="s">
        <v>893</v>
      </c>
      <c r="K3" t="s">
        <v>894</v>
      </c>
    </row>
    <row r="4" spans="1:25" ht="14">
      <c r="A4" s="66">
        <v>560101</v>
      </c>
      <c r="B4" s="67" t="s">
        <v>826</v>
      </c>
      <c r="C4" s="67" t="s">
        <v>827</v>
      </c>
      <c r="D4" s="68">
        <v>2.355</v>
      </c>
      <c r="E4" s="66">
        <v>67</v>
      </c>
      <c r="F4" s="66">
        <v>76</v>
      </c>
      <c r="G4" s="66">
        <v>172</v>
      </c>
      <c r="H4" s="68">
        <v>0.70399999999999996</v>
      </c>
      <c r="J4" s="64"/>
      <c r="K4" s="76">
        <v>743.9</v>
      </c>
      <c r="M4" s="62" t="s">
        <v>823</v>
      </c>
      <c r="N4" s="62" t="s">
        <v>886</v>
      </c>
      <c r="O4" s="62" t="s">
        <v>895</v>
      </c>
      <c r="P4" s="62" t="s">
        <v>896</v>
      </c>
      <c r="Q4" s="62" t="s">
        <v>887</v>
      </c>
      <c r="R4" s="62" t="s">
        <v>888</v>
      </c>
      <c r="S4" s="62" t="s">
        <v>889</v>
      </c>
      <c r="T4" s="62" t="s">
        <v>890</v>
      </c>
      <c r="U4" s="62" t="s">
        <v>891</v>
      </c>
      <c r="V4" s="62" t="s">
        <v>892</v>
      </c>
      <c r="W4" s="62" t="s">
        <v>893</v>
      </c>
      <c r="X4" s="62" t="s">
        <v>894</v>
      </c>
      <c r="Y4" s="62" t="s">
        <v>825</v>
      </c>
    </row>
    <row r="5" spans="1:25" ht="13">
      <c r="A5" s="66">
        <v>561100</v>
      </c>
      <c r="B5" s="67" t="s">
        <v>828</v>
      </c>
      <c r="C5" s="67" t="s">
        <v>829</v>
      </c>
      <c r="D5" s="69">
        <v>0</v>
      </c>
      <c r="E5" s="66">
        <v>120</v>
      </c>
      <c r="F5" s="69">
        <v>0</v>
      </c>
      <c r="G5" s="66">
        <v>776</v>
      </c>
      <c r="H5" s="68">
        <v>0.64</v>
      </c>
      <c r="J5" s="64"/>
      <c r="K5" s="76">
        <v>19.8</v>
      </c>
      <c r="M5">
        <v>99229</v>
      </c>
      <c r="Q5" s="63"/>
      <c r="Y5" s="63">
        <v>0</v>
      </c>
    </row>
    <row r="6" spans="1:25" ht="13">
      <c r="A6" s="66">
        <v>561105</v>
      </c>
      <c r="B6" s="67" t="s">
        <v>830</v>
      </c>
      <c r="C6" s="67" t="s">
        <v>831</v>
      </c>
      <c r="D6" s="69">
        <v>0</v>
      </c>
      <c r="E6" s="66">
        <v>216</v>
      </c>
      <c r="F6" s="69">
        <v>0</v>
      </c>
      <c r="G6" s="66">
        <v>700</v>
      </c>
      <c r="H6" s="68">
        <v>0.64</v>
      </c>
      <c r="J6" s="64"/>
      <c r="K6" s="76">
        <v>27.4</v>
      </c>
      <c r="M6">
        <v>93701</v>
      </c>
      <c r="N6">
        <v>567105</v>
      </c>
      <c r="O6" t="s">
        <v>855</v>
      </c>
      <c r="P6" t="s">
        <v>856</v>
      </c>
      <c r="Q6" s="63">
        <v>62</v>
      </c>
      <c r="R6">
        <v>4</v>
      </c>
      <c r="S6">
        <v>4</v>
      </c>
      <c r="T6">
        <v>64</v>
      </c>
      <c r="U6">
        <v>0.56000000000000005</v>
      </c>
      <c r="X6">
        <v>420.3</v>
      </c>
      <c r="Y6" s="63">
        <v>0.8496428925630084</v>
      </c>
    </row>
    <row r="7" spans="1:25" ht="13">
      <c r="A7" s="66">
        <v>562100</v>
      </c>
      <c r="B7" s="67" t="s">
        <v>832</v>
      </c>
      <c r="C7" s="67" t="s">
        <v>833</v>
      </c>
      <c r="D7" s="69">
        <v>0</v>
      </c>
      <c r="E7" s="66">
        <v>14</v>
      </c>
      <c r="F7" s="69">
        <v>0</v>
      </c>
      <c r="G7" s="66">
        <v>73</v>
      </c>
      <c r="H7" s="68">
        <v>0.64</v>
      </c>
      <c r="J7" s="64"/>
      <c r="K7" s="76">
        <v>142.80000000000001</v>
      </c>
      <c r="M7" t="s">
        <v>796</v>
      </c>
      <c r="Q7" s="63"/>
      <c r="Y7" s="63">
        <v>0</v>
      </c>
    </row>
    <row r="8" spans="1:25" ht="13">
      <c r="A8" s="66">
        <v>565100</v>
      </c>
      <c r="B8" s="67" t="s">
        <v>749</v>
      </c>
      <c r="C8" s="67" t="s">
        <v>834</v>
      </c>
      <c r="D8" s="69">
        <v>0</v>
      </c>
      <c r="E8" s="66">
        <v>0</v>
      </c>
      <c r="F8" s="69">
        <v>0</v>
      </c>
      <c r="G8" s="66">
        <v>0</v>
      </c>
      <c r="H8" s="68">
        <v>0.66</v>
      </c>
      <c r="J8" s="64"/>
      <c r="K8" s="76">
        <v>0</v>
      </c>
      <c r="M8">
        <v>96701</v>
      </c>
      <c r="N8">
        <v>565100</v>
      </c>
      <c r="O8" t="s">
        <v>749</v>
      </c>
      <c r="P8" t="s">
        <v>834</v>
      </c>
      <c r="Q8" s="63">
        <v>0</v>
      </c>
      <c r="R8">
        <v>0</v>
      </c>
      <c r="S8">
        <v>0</v>
      </c>
      <c r="T8">
        <v>0</v>
      </c>
      <c r="U8">
        <v>0.66</v>
      </c>
      <c r="X8">
        <v>0</v>
      </c>
      <c r="Y8" s="63">
        <v>1</v>
      </c>
    </row>
    <row r="9" spans="1:25" ht="13">
      <c r="A9" s="66">
        <v>565105</v>
      </c>
      <c r="B9" s="67" t="s">
        <v>750</v>
      </c>
      <c r="C9" s="67" t="s">
        <v>835</v>
      </c>
      <c r="D9" s="66">
        <v>412</v>
      </c>
      <c r="E9" s="66">
        <v>17</v>
      </c>
      <c r="F9" s="66">
        <v>19</v>
      </c>
      <c r="G9" s="66">
        <v>57</v>
      </c>
      <c r="H9" s="68">
        <v>0.69599999999999995</v>
      </c>
      <c r="J9" s="64"/>
      <c r="K9" s="76">
        <v>528</v>
      </c>
      <c r="M9">
        <v>82001</v>
      </c>
      <c r="N9">
        <v>565105</v>
      </c>
      <c r="O9" t="s">
        <v>750</v>
      </c>
      <c r="P9" t="s">
        <v>835</v>
      </c>
      <c r="Q9" s="63">
        <v>412</v>
      </c>
      <c r="R9">
        <v>17</v>
      </c>
      <c r="S9">
        <v>19</v>
      </c>
      <c r="T9">
        <v>57</v>
      </c>
      <c r="U9">
        <v>0.69599999999999995</v>
      </c>
      <c r="X9">
        <v>528</v>
      </c>
      <c r="Y9" s="63">
        <v>1</v>
      </c>
    </row>
    <row r="10" spans="1:25" ht="13">
      <c r="A10" s="66">
        <v>565110</v>
      </c>
      <c r="B10" s="67" t="s">
        <v>751</v>
      </c>
      <c r="C10" s="67" t="s">
        <v>836</v>
      </c>
      <c r="D10" s="68">
        <v>3.77</v>
      </c>
      <c r="E10" s="66">
        <v>105</v>
      </c>
      <c r="F10" s="66">
        <v>122</v>
      </c>
      <c r="G10" s="66">
        <v>60</v>
      </c>
      <c r="H10" s="68">
        <v>0.73199999999999998</v>
      </c>
      <c r="J10" s="64"/>
      <c r="K10" s="76">
        <v>743.2</v>
      </c>
      <c r="M10">
        <v>96501</v>
      </c>
      <c r="N10">
        <v>565110</v>
      </c>
      <c r="O10" t="s">
        <v>751</v>
      </c>
      <c r="P10" t="s">
        <v>836</v>
      </c>
      <c r="Q10" s="63">
        <v>3.77</v>
      </c>
      <c r="R10">
        <v>105</v>
      </c>
      <c r="S10">
        <v>122</v>
      </c>
      <c r="T10">
        <v>60</v>
      </c>
      <c r="U10">
        <v>0.73199999999999998</v>
      </c>
      <c r="X10">
        <v>743.2</v>
      </c>
      <c r="Y10" s="63">
        <v>1</v>
      </c>
    </row>
    <row r="11" spans="1:25" ht="13">
      <c r="A11" s="66">
        <v>565115</v>
      </c>
      <c r="B11" s="67" t="s">
        <v>837</v>
      </c>
      <c r="C11" s="67" t="s">
        <v>838</v>
      </c>
      <c r="D11" s="70">
        <v>3067</v>
      </c>
      <c r="E11" s="66">
        <v>89</v>
      </c>
      <c r="F11" s="66">
        <v>99</v>
      </c>
      <c r="G11" s="66">
        <v>544</v>
      </c>
      <c r="H11" s="68">
        <v>0.70299999999999996</v>
      </c>
      <c r="J11" s="64"/>
      <c r="K11" s="76">
        <v>744.1</v>
      </c>
      <c r="M11">
        <v>99230</v>
      </c>
      <c r="Q11" s="63"/>
      <c r="Y11" s="63">
        <v>0</v>
      </c>
    </row>
    <row r="12" spans="1:25" ht="13">
      <c r="A12" s="66">
        <v>566100</v>
      </c>
      <c r="B12" s="67" t="s">
        <v>839</v>
      </c>
      <c r="C12" s="67" t="s">
        <v>840</v>
      </c>
      <c r="D12" s="68">
        <v>5.78</v>
      </c>
      <c r="E12" s="66">
        <v>171</v>
      </c>
      <c r="F12" s="66">
        <v>186</v>
      </c>
      <c r="G12" s="66">
        <v>696</v>
      </c>
      <c r="H12" s="68">
        <v>0.66300000000000003</v>
      </c>
      <c r="J12" s="64"/>
      <c r="K12" s="76">
        <v>744.4</v>
      </c>
      <c r="M12">
        <v>99286</v>
      </c>
      <c r="Q12" s="63"/>
      <c r="Y12" s="63">
        <v>0</v>
      </c>
    </row>
    <row r="13" spans="1:25" ht="13">
      <c r="A13" s="66">
        <v>566105</v>
      </c>
      <c r="B13" s="67" t="s">
        <v>841</v>
      </c>
      <c r="C13" s="67" t="s">
        <v>842</v>
      </c>
      <c r="D13" s="68">
        <v>6.9969999999999999</v>
      </c>
      <c r="E13" s="66">
        <v>315</v>
      </c>
      <c r="F13" s="66">
        <v>370</v>
      </c>
      <c r="G13" s="66">
        <v>65</v>
      </c>
      <c r="H13" s="68">
        <v>0.73199999999999998</v>
      </c>
      <c r="J13" s="64"/>
      <c r="K13" s="76">
        <v>454.4</v>
      </c>
      <c r="M13">
        <v>99294</v>
      </c>
      <c r="Q13" s="63"/>
      <c r="Y13" s="63">
        <v>0</v>
      </c>
    </row>
    <row r="14" spans="1:25" ht="13">
      <c r="A14" s="66">
        <v>566110</v>
      </c>
      <c r="B14" s="67" t="s">
        <v>843</v>
      </c>
      <c r="C14" s="67" t="s">
        <v>844</v>
      </c>
      <c r="D14" s="69">
        <v>0</v>
      </c>
      <c r="E14" s="66">
        <v>8</v>
      </c>
      <c r="F14" s="69">
        <v>0</v>
      </c>
      <c r="G14" s="66">
        <v>49</v>
      </c>
      <c r="H14" s="68">
        <v>0.74399999999999999</v>
      </c>
      <c r="J14" s="64"/>
      <c r="K14" s="76">
        <v>33.9</v>
      </c>
      <c r="M14">
        <v>99293</v>
      </c>
      <c r="Q14" s="63"/>
      <c r="Y14" s="63">
        <v>0</v>
      </c>
    </row>
    <row r="15" spans="1:25" ht="26">
      <c r="A15" s="66">
        <v>566115</v>
      </c>
      <c r="B15" s="67" t="s">
        <v>845</v>
      </c>
      <c r="C15" s="67" t="s">
        <v>846</v>
      </c>
      <c r="D15" s="68">
        <v>4.069</v>
      </c>
      <c r="E15" s="66">
        <v>184</v>
      </c>
      <c r="F15" s="66">
        <v>213</v>
      </c>
      <c r="G15" s="66">
        <v>739</v>
      </c>
      <c r="H15" s="68">
        <v>0.72799999999999998</v>
      </c>
      <c r="J15" s="64"/>
      <c r="K15" s="76">
        <v>458.6</v>
      </c>
      <c r="M15">
        <v>99295</v>
      </c>
      <c r="Q15" s="63"/>
      <c r="Y15" s="63">
        <v>0</v>
      </c>
    </row>
    <row r="16" spans="1:25" ht="13">
      <c r="A16" s="66">
        <v>566120</v>
      </c>
      <c r="B16" s="67" t="s">
        <v>847</v>
      </c>
      <c r="C16" s="67" t="s">
        <v>848</v>
      </c>
      <c r="D16" s="68">
        <v>5.0759999999999996</v>
      </c>
      <c r="E16" s="66">
        <v>232</v>
      </c>
      <c r="F16" s="66">
        <v>269</v>
      </c>
      <c r="G16" s="66">
        <v>63</v>
      </c>
      <c r="H16" s="68">
        <v>0.72799999999999998</v>
      </c>
      <c r="J16" s="64"/>
      <c r="K16" s="76">
        <v>452.8</v>
      </c>
      <c r="M16">
        <v>99228</v>
      </c>
      <c r="N16">
        <v>585100</v>
      </c>
      <c r="O16" t="s">
        <v>878</v>
      </c>
      <c r="P16" t="s">
        <v>879</v>
      </c>
      <c r="Q16" s="63">
        <v>0</v>
      </c>
      <c r="R16">
        <v>0</v>
      </c>
      <c r="S16">
        <v>0</v>
      </c>
      <c r="T16">
        <v>0</v>
      </c>
      <c r="U16">
        <v>0.69399999999999995</v>
      </c>
      <c r="X16">
        <v>0</v>
      </c>
      <c r="Y16" s="63">
        <v>0.96389264549316622</v>
      </c>
    </row>
    <row r="17" spans="1:25" ht="13">
      <c r="A17" s="66">
        <v>566125</v>
      </c>
      <c r="B17" s="67" t="s">
        <v>849</v>
      </c>
      <c r="C17" s="67" t="s">
        <v>850</v>
      </c>
      <c r="D17" s="68">
        <v>3.6240000000000001</v>
      </c>
      <c r="E17" s="66">
        <v>168</v>
      </c>
      <c r="F17" s="66">
        <v>195</v>
      </c>
      <c r="G17" s="66">
        <v>763</v>
      </c>
      <c r="H17" s="68">
        <v>0.72799999999999998</v>
      </c>
      <c r="J17" s="64"/>
      <c r="K17" s="76">
        <v>447</v>
      </c>
      <c r="M17" t="s">
        <v>798</v>
      </c>
      <c r="Q17" s="63"/>
      <c r="Y17" s="63">
        <v>0</v>
      </c>
    </row>
    <row r="18" spans="1:25" ht="13">
      <c r="A18" s="66">
        <v>566130</v>
      </c>
      <c r="B18" s="67" t="s">
        <v>851</v>
      </c>
      <c r="C18" s="67" t="s">
        <v>852</v>
      </c>
      <c r="D18" s="68">
        <v>4.3499999999999996</v>
      </c>
      <c r="E18" s="66">
        <v>198</v>
      </c>
      <c r="F18" s="66">
        <v>230</v>
      </c>
      <c r="G18" s="66">
        <v>62</v>
      </c>
      <c r="H18" s="68">
        <v>0.72799999999999998</v>
      </c>
      <c r="J18" s="64"/>
      <c r="K18" s="76">
        <v>454.3</v>
      </c>
      <c r="M18">
        <v>99255</v>
      </c>
      <c r="N18">
        <v>595101</v>
      </c>
      <c r="O18" t="s">
        <v>881</v>
      </c>
      <c r="P18" t="s">
        <v>882</v>
      </c>
      <c r="Q18" s="63">
        <v>788</v>
      </c>
      <c r="R18">
        <v>56</v>
      </c>
      <c r="S18">
        <v>62</v>
      </c>
      <c r="T18">
        <v>125</v>
      </c>
      <c r="U18">
        <v>0.622</v>
      </c>
      <c r="X18">
        <v>306.8</v>
      </c>
      <c r="Y18" s="63">
        <v>1</v>
      </c>
    </row>
    <row r="19" spans="1:25" ht="13">
      <c r="A19" s="66">
        <v>567100</v>
      </c>
      <c r="B19" s="67" t="s">
        <v>853</v>
      </c>
      <c r="C19" s="67" t="s">
        <v>854</v>
      </c>
      <c r="D19" s="69">
        <v>0</v>
      </c>
      <c r="E19" s="66">
        <v>315</v>
      </c>
      <c r="F19" s="69">
        <v>0</v>
      </c>
      <c r="G19" s="66">
        <v>180</v>
      </c>
      <c r="H19" s="68">
        <v>0.65</v>
      </c>
      <c r="J19" s="64"/>
      <c r="K19" s="76">
        <v>744</v>
      </c>
      <c r="Q19" s="63"/>
      <c r="Y19" s="63">
        <v>0</v>
      </c>
    </row>
    <row r="20" spans="1:25" ht="26">
      <c r="A20" s="66">
        <v>567105</v>
      </c>
      <c r="B20" s="67" t="s">
        <v>855</v>
      </c>
      <c r="C20" s="67" t="s">
        <v>856</v>
      </c>
      <c r="D20" s="66">
        <v>62</v>
      </c>
      <c r="E20" s="66">
        <v>4</v>
      </c>
      <c r="F20" s="69">
        <v>4</v>
      </c>
      <c r="G20" s="66">
        <v>64</v>
      </c>
      <c r="H20" s="68">
        <v>0.56000000000000005</v>
      </c>
      <c r="J20" s="64"/>
      <c r="K20" s="76">
        <v>420.3</v>
      </c>
      <c r="M20">
        <v>98921</v>
      </c>
      <c r="Q20" s="63"/>
      <c r="Y20" s="63">
        <v>0</v>
      </c>
    </row>
    <row r="21" spans="1:25" ht="26">
      <c r="A21" s="66">
        <v>567110</v>
      </c>
      <c r="B21" s="67" t="s">
        <v>857</v>
      </c>
      <c r="C21" s="71" t="s">
        <v>858</v>
      </c>
      <c r="D21" s="68">
        <v>1.48</v>
      </c>
      <c r="E21" s="66">
        <v>44</v>
      </c>
      <c r="F21" s="66">
        <v>48</v>
      </c>
      <c r="G21" s="66">
        <v>51</v>
      </c>
      <c r="H21" s="68">
        <v>0.65400000000000003</v>
      </c>
      <c r="J21" s="64"/>
      <c r="K21" s="76">
        <v>744.4</v>
      </c>
      <c r="M21">
        <v>99017</v>
      </c>
      <c r="N21">
        <v>575100</v>
      </c>
      <c r="O21" t="s">
        <v>873</v>
      </c>
      <c r="P21" t="s">
        <v>874</v>
      </c>
      <c r="Q21" s="63">
        <v>4.4630000000000001</v>
      </c>
      <c r="R21">
        <v>143</v>
      </c>
      <c r="S21">
        <v>144</v>
      </c>
      <c r="T21">
        <v>83</v>
      </c>
      <c r="U21">
        <v>0.55700000000000005</v>
      </c>
      <c r="X21">
        <v>743.9</v>
      </c>
      <c r="Y21" s="63">
        <v>0.961741324690499</v>
      </c>
    </row>
    <row r="22" spans="1:25" ht="13">
      <c r="A22" s="66">
        <v>568115</v>
      </c>
      <c r="B22" s="67" t="s">
        <v>859</v>
      </c>
      <c r="C22" s="67" t="s">
        <v>860</v>
      </c>
      <c r="D22" s="69">
        <v>0</v>
      </c>
      <c r="E22" s="66">
        <v>292</v>
      </c>
      <c r="F22" s="69">
        <v>0</v>
      </c>
      <c r="G22" s="66">
        <v>53</v>
      </c>
      <c r="H22" s="68">
        <v>0.6</v>
      </c>
      <c r="J22" s="64"/>
      <c r="K22" s="77">
        <v>508</v>
      </c>
      <c r="M22">
        <v>99067</v>
      </c>
      <c r="Q22" s="63"/>
      <c r="Y22" s="63">
        <v>0</v>
      </c>
    </row>
    <row r="23" spans="1:25" ht="13">
      <c r="A23" s="66">
        <v>568120</v>
      </c>
      <c r="B23" s="67" t="s">
        <v>862</v>
      </c>
      <c r="C23" s="67" t="s">
        <v>863</v>
      </c>
      <c r="D23" s="69">
        <v>0</v>
      </c>
      <c r="E23" s="66">
        <v>115</v>
      </c>
      <c r="F23" s="69">
        <v>0</v>
      </c>
      <c r="G23" s="66">
        <v>830</v>
      </c>
      <c r="H23" s="68">
        <v>0.6</v>
      </c>
      <c r="J23" s="64"/>
      <c r="K23" s="76">
        <v>743.8</v>
      </c>
      <c r="M23" t="s">
        <v>796</v>
      </c>
      <c r="Q23" s="63"/>
      <c r="Y23" s="63">
        <v>0</v>
      </c>
    </row>
    <row r="24" spans="1:25" ht="13">
      <c r="A24" s="66">
        <v>568125</v>
      </c>
      <c r="B24" s="67" t="s">
        <v>864</v>
      </c>
      <c r="C24" s="67" t="s">
        <v>865</v>
      </c>
      <c r="D24" s="69">
        <v>0</v>
      </c>
      <c r="E24" s="66">
        <v>6</v>
      </c>
      <c r="F24" s="69">
        <v>0</v>
      </c>
      <c r="G24" s="66">
        <v>45</v>
      </c>
      <c r="H24" s="68">
        <v>0.6</v>
      </c>
      <c r="J24" s="64"/>
      <c r="K24" s="76">
        <v>743.8</v>
      </c>
      <c r="M24">
        <v>99069</v>
      </c>
      <c r="Q24" s="63"/>
      <c r="Y24" s="63">
        <v>0</v>
      </c>
    </row>
    <row r="25" spans="1:25" ht="29">
      <c r="A25" s="66">
        <v>570100</v>
      </c>
      <c r="B25" s="67" t="s">
        <v>866</v>
      </c>
      <c r="C25" s="67" t="s">
        <v>867</v>
      </c>
      <c r="D25" s="68">
        <v>2.0169999999999999</v>
      </c>
      <c r="E25" s="66">
        <v>59</v>
      </c>
      <c r="F25" s="66">
        <v>65</v>
      </c>
      <c r="G25" s="66">
        <v>58</v>
      </c>
      <c r="H25" s="68">
        <v>0.67800000000000005</v>
      </c>
      <c r="J25" s="64"/>
      <c r="K25" s="76">
        <v>743.9</v>
      </c>
      <c r="M25">
        <v>98965</v>
      </c>
      <c r="Q25" s="63"/>
      <c r="Y25" s="63">
        <v>0</v>
      </c>
    </row>
    <row r="26" spans="1:25" ht="26">
      <c r="A26" s="66">
        <v>570105</v>
      </c>
      <c r="B26" s="67" t="s">
        <v>868</v>
      </c>
      <c r="C26" s="67" t="s">
        <v>869</v>
      </c>
      <c r="D26" s="68">
        <v>1.278</v>
      </c>
      <c r="E26" s="66">
        <v>43</v>
      </c>
      <c r="F26" s="66">
        <v>47</v>
      </c>
      <c r="G26" s="66">
        <v>59</v>
      </c>
      <c r="H26" s="68">
        <v>0.66100000000000003</v>
      </c>
      <c r="J26" s="64"/>
      <c r="K26" s="76">
        <v>656.4</v>
      </c>
      <c r="M26">
        <v>48001</v>
      </c>
      <c r="N26">
        <v>566110</v>
      </c>
      <c r="O26" t="s">
        <v>843</v>
      </c>
      <c r="P26" t="s">
        <v>844</v>
      </c>
      <c r="Q26" s="63">
        <v>0</v>
      </c>
      <c r="R26">
        <v>8</v>
      </c>
      <c r="S26">
        <v>0</v>
      </c>
      <c r="T26">
        <v>49</v>
      </c>
      <c r="U26">
        <v>0.74399999999999999</v>
      </c>
      <c r="X26">
        <v>33.9</v>
      </c>
      <c r="Y26" s="63">
        <v>0.95248731265651232</v>
      </c>
    </row>
    <row r="27" spans="1:25" ht="13">
      <c r="A27" s="66">
        <v>570110</v>
      </c>
      <c r="B27" s="67" t="s">
        <v>870</v>
      </c>
      <c r="C27" s="67" t="s">
        <v>871</v>
      </c>
      <c r="D27" s="68">
        <v>2.1080000000000001</v>
      </c>
      <c r="E27" s="66">
        <v>97</v>
      </c>
      <c r="F27" s="66">
        <v>107</v>
      </c>
      <c r="G27" s="66">
        <v>97</v>
      </c>
      <c r="H27" s="68">
        <v>0.68600000000000005</v>
      </c>
      <c r="J27" s="64"/>
      <c r="K27" s="76">
        <v>470.7</v>
      </c>
      <c r="M27">
        <v>93806</v>
      </c>
      <c r="Q27" s="63"/>
      <c r="Y27" s="63">
        <v>0</v>
      </c>
    </row>
    <row r="28" spans="1:25" ht="13">
      <c r="A28" s="66">
        <v>570115</v>
      </c>
      <c r="B28" s="67" t="s">
        <v>791</v>
      </c>
      <c r="C28" s="67" t="s">
        <v>872</v>
      </c>
      <c r="D28" s="68">
        <v>1.3480000000000001</v>
      </c>
      <c r="E28" s="66">
        <v>50</v>
      </c>
      <c r="F28" s="66">
        <v>54</v>
      </c>
      <c r="G28" s="66">
        <v>98</v>
      </c>
      <c r="H28" s="68">
        <v>0.70199999999999996</v>
      </c>
      <c r="J28" s="64"/>
      <c r="K28" s="76">
        <v>595.4</v>
      </c>
      <c r="M28">
        <v>98961</v>
      </c>
      <c r="Q28" s="63"/>
      <c r="Y28" s="63">
        <v>0</v>
      </c>
    </row>
    <row r="29" spans="1:25" ht="13">
      <c r="A29" s="66">
        <v>575100</v>
      </c>
      <c r="B29" s="67" t="s">
        <v>873</v>
      </c>
      <c r="C29" s="67" t="s">
        <v>874</v>
      </c>
      <c r="D29" s="68">
        <v>4.4630000000000001</v>
      </c>
      <c r="E29" s="66">
        <v>143</v>
      </c>
      <c r="F29" s="66">
        <v>144</v>
      </c>
      <c r="G29" s="66">
        <v>83</v>
      </c>
      <c r="H29" s="68">
        <v>0.55700000000000005</v>
      </c>
      <c r="J29" s="64"/>
      <c r="K29" s="76">
        <v>743.9</v>
      </c>
      <c r="M29">
        <v>99307</v>
      </c>
      <c r="Q29" s="63"/>
      <c r="Y29" s="63">
        <v>0</v>
      </c>
    </row>
    <row r="30" spans="1:25" ht="13">
      <c r="A30" s="66">
        <v>575105</v>
      </c>
      <c r="B30" s="67" t="s">
        <v>875</v>
      </c>
      <c r="C30" s="67" t="s">
        <v>876</v>
      </c>
      <c r="D30" s="69">
        <v>0</v>
      </c>
      <c r="E30" s="66">
        <v>206</v>
      </c>
      <c r="F30" s="69">
        <v>0</v>
      </c>
      <c r="G30" s="66">
        <v>1032</v>
      </c>
      <c r="H30" s="68">
        <v>0.65</v>
      </c>
      <c r="J30" s="64"/>
      <c r="K30" s="76">
        <v>744.1</v>
      </c>
      <c r="M30">
        <v>98987</v>
      </c>
      <c r="Q30" s="63"/>
      <c r="Y30" s="63">
        <v>0</v>
      </c>
    </row>
    <row r="31" spans="1:25" ht="13">
      <c r="A31" s="66">
        <v>580100</v>
      </c>
      <c r="B31" s="67" t="s">
        <v>783</v>
      </c>
      <c r="C31" s="67" t="s">
        <v>877</v>
      </c>
      <c r="D31" s="68">
        <v>69.777000000000001</v>
      </c>
      <c r="E31" s="68">
        <v>2.1080000000000001</v>
      </c>
      <c r="F31" s="68">
        <v>2.2509999999999999</v>
      </c>
      <c r="G31" s="66">
        <v>640</v>
      </c>
      <c r="H31" s="68">
        <v>0.65300000000000002</v>
      </c>
      <c r="J31" s="64"/>
      <c r="K31" s="76">
        <v>743.9</v>
      </c>
      <c r="M31">
        <v>98988</v>
      </c>
      <c r="Q31" s="63"/>
      <c r="Y31" s="63">
        <v>0</v>
      </c>
    </row>
    <row r="32" spans="1:25" ht="13">
      <c r="A32" s="66">
        <v>585100</v>
      </c>
      <c r="B32" s="67" t="s">
        <v>878</v>
      </c>
      <c r="C32" s="67" t="s">
        <v>879</v>
      </c>
      <c r="D32" s="69">
        <v>0</v>
      </c>
      <c r="E32" s="66">
        <v>0</v>
      </c>
      <c r="F32" s="69">
        <v>0</v>
      </c>
      <c r="G32" s="66">
        <v>0</v>
      </c>
      <c r="H32" s="68">
        <v>0.69399999999999995</v>
      </c>
      <c r="J32" s="64"/>
      <c r="K32" s="76">
        <v>0</v>
      </c>
      <c r="M32">
        <v>99007</v>
      </c>
      <c r="Q32" s="63"/>
      <c r="Y32" s="63">
        <v>0</v>
      </c>
    </row>
    <row r="33" spans="1:25" ht="13">
      <c r="A33" s="66">
        <v>585105</v>
      </c>
      <c r="B33" s="67" t="s">
        <v>880</v>
      </c>
      <c r="C33" s="67" t="s">
        <v>879</v>
      </c>
      <c r="D33" s="69">
        <v>0</v>
      </c>
      <c r="E33" s="66">
        <v>0</v>
      </c>
      <c r="F33" s="69">
        <v>0</v>
      </c>
      <c r="G33" s="66">
        <v>0</v>
      </c>
      <c r="H33" s="68">
        <v>0.69399999999999995</v>
      </c>
      <c r="J33" s="64"/>
      <c r="K33" s="76">
        <v>0</v>
      </c>
      <c r="M33">
        <v>98956</v>
      </c>
      <c r="Q33" s="63"/>
      <c r="Y33" s="63">
        <v>0</v>
      </c>
    </row>
    <row r="34" spans="1:25" ht="13">
      <c r="A34" s="66">
        <v>595101</v>
      </c>
      <c r="B34" s="67" t="s">
        <v>881</v>
      </c>
      <c r="C34" s="67" t="s">
        <v>882</v>
      </c>
      <c r="D34" s="66">
        <v>788</v>
      </c>
      <c r="E34" s="66">
        <v>56</v>
      </c>
      <c r="F34" s="66">
        <v>62</v>
      </c>
      <c r="G34" s="66">
        <v>125</v>
      </c>
      <c r="H34" s="68">
        <v>0.622</v>
      </c>
      <c r="J34" s="64"/>
      <c r="K34" s="76">
        <v>306.8</v>
      </c>
      <c r="M34">
        <v>89858</v>
      </c>
      <c r="Q34" s="63"/>
      <c r="Y34" s="63">
        <v>0</v>
      </c>
    </row>
    <row r="35" spans="1:25" ht="30">
      <c r="A35" s="72"/>
      <c r="B35" s="72"/>
      <c r="C35" s="73" t="s">
        <v>883</v>
      </c>
      <c r="D35" s="74" t="s">
        <v>884</v>
      </c>
      <c r="E35" s="72"/>
      <c r="F35" s="72"/>
      <c r="G35" s="72"/>
      <c r="H35" s="72"/>
      <c r="I35" s="72"/>
      <c r="J35" s="64"/>
      <c r="M35">
        <v>98959</v>
      </c>
      <c r="Q35" s="63"/>
      <c r="Y35" s="63">
        <v>0</v>
      </c>
    </row>
    <row r="36" spans="1:25" ht="13">
      <c r="A36" s="72"/>
      <c r="B36" s="67" t="s">
        <v>885</v>
      </c>
      <c r="C36" s="68">
        <v>139.07599999999999</v>
      </c>
      <c r="D36" s="68">
        <v>122.821</v>
      </c>
      <c r="E36" s="72"/>
      <c r="F36" s="72"/>
      <c r="G36" s="72"/>
      <c r="H36" s="72"/>
      <c r="I36" s="72"/>
      <c r="J36" s="64"/>
      <c r="M36">
        <v>99093</v>
      </c>
      <c r="Q36" s="63"/>
      <c r="Y36" s="63">
        <v>0</v>
      </c>
    </row>
    <row r="37" spans="1:25">
      <c r="M37">
        <v>99094</v>
      </c>
      <c r="Q37" s="63"/>
      <c r="Y37" s="63">
        <v>0</v>
      </c>
    </row>
    <row r="38" spans="1:25">
      <c r="M38">
        <v>99095</v>
      </c>
      <c r="Q38" s="63"/>
      <c r="Y38" s="63">
        <v>0</v>
      </c>
    </row>
    <row r="39" spans="1:25">
      <c r="M39">
        <v>98801</v>
      </c>
      <c r="Q39" s="63"/>
      <c r="Y39" s="63">
        <v>0</v>
      </c>
    </row>
    <row r="40" spans="1:25">
      <c r="M40" t="s">
        <v>798</v>
      </c>
      <c r="Q40" s="63"/>
      <c r="Y40" s="63">
        <v>0</v>
      </c>
    </row>
    <row r="41" spans="1:25">
      <c r="M41">
        <v>99113</v>
      </c>
      <c r="Q41" s="63"/>
      <c r="Y41" s="63">
        <v>0</v>
      </c>
    </row>
    <row r="42" spans="1:25">
      <c r="M42">
        <v>99066</v>
      </c>
      <c r="Q42" s="63"/>
      <c r="Y42" s="63">
        <v>0</v>
      </c>
    </row>
    <row r="43" spans="1:25">
      <c r="M43">
        <v>99065</v>
      </c>
      <c r="Q43" s="63"/>
      <c r="Y43" s="63">
        <v>0</v>
      </c>
    </row>
    <row r="44" spans="1:25">
      <c r="M44">
        <v>99278</v>
      </c>
      <c r="N44">
        <v>567100</v>
      </c>
      <c r="O44" t="s">
        <v>853</v>
      </c>
      <c r="P44" t="s">
        <v>854</v>
      </c>
      <c r="Q44" s="63">
        <v>0</v>
      </c>
      <c r="R44">
        <v>315</v>
      </c>
      <c r="S44">
        <v>0</v>
      </c>
      <c r="T44">
        <v>180</v>
      </c>
      <c r="U44">
        <v>0.65</v>
      </c>
      <c r="X44">
        <v>744</v>
      </c>
      <c r="Y44" s="63">
        <v>1</v>
      </c>
    </row>
    <row r="45" spans="1:25">
      <c r="M45">
        <v>98990</v>
      </c>
      <c r="Q45" s="63"/>
      <c r="Y45" s="63">
        <v>0</v>
      </c>
    </row>
    <row r="46" spans="1:25">
      <c r="M46">
        <v>98976</v>
      </c>
      <c r="Q46" s="63"/>
      <c r="Y46" s="63">
        <v>0</v>
      </c>
    </row>
    <row r="47" spans="1:25">
      <c r="M47">
        <v>99159</v>
      </c>
      <c r="Q47" s="63"/>
      <c r="Y47" s="63">
        <v>0</v>
      </c>
    </row>
    <row r="48" spans="1:25">
      <c r="M48" t="s">
        <v>805</v>
      </c>
      <c r="Q48" s="63"/>
      <c r="Y48" s="63">
        <v>0</v>
      </c>
    </row>
    <row r="49" spans="13:25">
      <c r="M49">
        <v>99058</v>
      </c>
      <c r="Q49" s="63"/>
      <c r="Y49" s="63">
        <v>0</v>
      </c>
    </row>
    <row r="50" spans="13:25">
      <c r="Q50" s="63"/>
      <c r="Y50" s="63">
        <v>0</v>
      </c>
    </row>
    <row r="51" spans="13:25">
      <c r="M51">
        <v>99297</v>
      </c>
      <c r="Q51" s="63"/>
      <c r="Y51" s="63">
        <v>0</v>
      </c>
    </row>
    <row r="52" spans="13:25">
      <c r="M52">
        <v>99102</v>
      </c>
      <c r="N52">
        <v>580100</v>
      </c>
      <c r="O52" t="s">
        <v>783</v>
      </c>
      <c r="P52" t="s">
        <v>877</v>
      </c>
      <c r="Q52" s="63">
        <v>69.777000000000001</v>
      </c>
      <c r="R52">
        <v>2.1080000000000001</v>
      </c>
      <c r="S52">
        <v>2.2509999999999999</v>
      </c>
      <c r="T52">
        <v>640</v>
      </c>
      <c r="U52">
        <v>0.65300000000000002</v>
      </c>
      <c r="X52">
        <v>743.9</v>
      </c>
      <c r="Y52" s="63">
        <v>1</v>
      </c>
    </row>
    <row r="53" spans="13:25">
      <c r="M53">
        <v>99128</v>
      </c>
      <c r="N53">
        <v>568115</v>
      </c>
      <c r="O53" t="s">
        <v>859</v>
      </c>
      <c r="P53" t="s">
        <v>860</v>
      </c>
      <c r="Q53" s="63">
        <v>0</v>
      </c>
      <c r="R53">
        <v>292</v>
      </c>
      <c r="S53">
        <v>0</v>
      </c>
      <c r="T53">
        <v>53</v>
      </c>
      <c r="U53">
        <v>0.6</v>
      </c>
      <c r="X53" t="s">
        <v>861</v>
      </c>
      <c r="Y53" s="63">
        <v>0.61904761904761907</v>
      </c>
    </row>
    <row r="54" spans="13:25">
      <c r="M54">
        <v>99134</v>
      </c>
      <c r="N54">
        <v>568120</v>
      </c>
      <c r="O54" t="s">
        <v>862</v>
      </c>
      <c r="P54" t="s">
        <v>863</v>
      </c>
      <c r="Q54" s="63">
        <v>0</v>
      </c>
      <c r="R54">
        <v>115</v>
      </c>
      <c r="S54">
        <v>0</v>
      </c>
      <c r="T54">
        <v>830</v>
      </c>
      <c r="U54">
        <v>0.6</v>
      </c>
      <c r="X54">
        <v>743.8</v>
      </c>
      <c r="Y54" s="63">
        <v>0.98654708520179368</v>
      </c>
    </row>
    <row r="55" spans="13:25">
      <c r="M55">
        <v>99256</v>
      </c>
      <c r="N55">
        <v>560101</v>
      </c>
      <c r="O55" t="s">
        <v>826</v>
      </c>
      <c r="P55" t="s">
        <v>827</v>
      </c>
      <c r="Q55" s="63">
        <v>2.355</v>
      </c>
      <c r="R55">
        <v>67</v>
      </c>
      <c r="S55">
        <v>76</v>
      </c>
      <c r="T55">
        <v>172</v>
      </c>
      <c r="U55">
        <v>0.70399999999999996</v>
      </c>
      <c r="X55">
        <v>743.9</v>
      </c>
      <c r="Y55" s="63">
        <v>0.89230769230769236</v>
      </c>
    </row>
    <row r="56" spans="13:25">
      <c r="M56">
        <v>98910</v>
      </c>
      <c r="Q56" s="63"/>
      <c r="Y56" s="63">
        <v>0</v>
      </c>
    </row>
    <row r="57" spans="13:25">
      <c r="M57">
        <v>98401</v>
      </c>
      <c r="N57">
        <v>570110</v>
      </c>
      <c r="O57" t="s">
        <v>870</v>
      </c>
      <c r="P57" t="s">
        <v>871</v>
      </c>
      <c r="Q57" s="63">
        <v>2.1080000000000001</v>
      </c>
      <c r="R57">
        <v>97</v>
      </c>
      <c r="S57">
        <v>107</v>
      </c>
      <c r="T57">
        <v>97</v>
      </c>
      <c r="U57">
        <v>0.68600000000000005</v>
      </c>
      <c r="X57">
        <v>470.7</v>
      </c>
      <c r="Y57" s="63">
        <v>1</v>
      </c>
    </row>
    <row r="58" spans="13:25">
      <c r="M58">
        <v>96901</v>
      </c>
      <c r="N58">
        <v>570100</v>
      </c>
      <c r="O58" t="s">
        <v>898</v>
      </c>
      <c r="P58" t="s">
        <v>867</v>
      </c>
      <c r="Q58" s="63">
        <v>2.0169999999999999</v>
      </c>
      <c r="R58">
        <v>59</v>
      </c>
      <c r="S58">
        <v>65</v>
      </c>
      <c r="T58">
        <v>58</v>
      </c>
      <c r="U58">
        <v>0.67800000000000005</v>
      </c>
      <c r="X58">
        <v>743.9</v>
      </c>
      <c r="Y58" s="63">
        <v>0.88888888888888895</v>
      </c>
    </row>
    <row r="59" spans="13:25">
      <c r="M59">
        <v>99101</v>
      </c>
      <c r="Q59" s="63"/>
      <c r="Y59" s="63">
        <v>0</v>
      </c>
    </row>
    <row r="60" spans="13:25">
      <c r="M60" t="s">
        <v>811</v>
      </c>
      <c r="Q60" s="63"/>
      <c r="Y60" s="63">
        <v>0</v>
      </c>
    </row>
    <row r="61" spans="13:25">
      <c r="M61">
        <v>99246</v>
      </c>
      <c r="Q61" s="63"/>
      <c r="Y61" s="63">
        <v>0</v>
      </c>
    </row>
    <row r="62" spans="13:25">
      <c r="M62">
        <v>99312</v>
      </c>
      <c r="Q62" s="63"/>
      <c r="Y62" s="63">
        <v>0</v>
      </c>
    </row>
    <row r="63" spans="13:25">
      <c r="M63">
        <v>99140</v>
      </c>
      <c r="Q63" s="63"/>
      <c r="Y63" s="63">
        <v>0</v>
      </c>
    </row>
    <row r="64" spans="13:25">
      <c r="M64">
        <v>98979</v>
      </c>
      <c r="N64">
        <v>562100</v>
      </c>
      <c r="O64" t="s">
        <v>832</v>
      </c>
      <c r="P64" t="s">
        <v>833</v>
      </c>
      <c r="Q64" s="63">
        <v>0</v>
      </c>
      <c r="R64">
        <v>14</v>
      </c>
      <c r="S64">
        <v>0</v>
      </c>
      <c r="T64">
        <v>73</v>
      </c>
      <c r="U64">
        <v>0.64</v>
      </c>
      <c r="X64">
        <v>142.80000000000001</v>
      </c>
      <c r="Y64" s="63">
        <v>0.95</v>
      </c>
    </row>
    <row r="65" spans="13:25">
      <c r="M65">
        <v>34001</v>
      </c>
      <c r="N65">
        <v>567110</v>
      </c>
      <c r="O65" t="s">
        <v>857</v>
      </c>
      <c r="P65" t="s">
        <v>899</v>
      </c>
      <c r="Q65" s="63">
        <v>1.48</v>
      </c>
      <c r="R65">
        <v>44</v>
      </c>
      <c r="S65">
        <v>48</v>
      </c>
      <c r="T65">
        <v>51</v>
      </c>
      <c r="U65">
        <v>0.65400000000000003</v>
      </c>
      <c r="X65">
        <v>744.4</v>
      </c>
      <c r="Y65" s="63">
        <v>0.84174725847204079</v>
      </c>
    </row>
    <row r="66" spans="13:25">
      <c r="M66" t="s">
        <v>815</v>
      </c>
      <c r="Q66" s="63"/>
      <c r="Y66" s="63">
        <v>0</v>
      </c>
    </row>
    <row r="67" spans="13:25">
      <c r="M67" t="s">
        <v>816</v>
      </c>
      <c r="Q67" s="63"/>
      <c r="Y67" s="63">
        <v>0</v>
      </c>
    </row>
    <row r="68" spans="13:25">
      <c r="M68">
        <v>98915</v>
      </c>
      <c r="N68">
        <v>561105</v>
      </c>
      <c r="O68" t="s">
        <v>830</v>
      </c>
      <c r="P68" t="s">
        <v>831</v>
      </c>
      <c r="Q68" s="63">
        <v>0</v>
      </c>
      <c r="R68">
        <v>216</v>
      </c>
      <c r="S68">
        <v>0</v>
      </c>
      <c r="T68">
        <v>700</v>
      </c>
      <c r="U68">
        <v>0.64</v>
      </c>
      <c r="X68">
        <v>27.4</v>
      </c>
      <c r="Y68" s="63">
        <v>1</v>
      </c>
    </row>
    <row r="69" spans="13:25">
      <c r="M69">
        <v>99270</v>
      </c>
      <c r="Q69" s="63"/>
      <c r="Y69" s="63">
        <v>0</v>
      </c>
    </row>
    <row r="70" spans="13:25">
      <c r="M70">
        <v>99161</v>
      </c>
      <c r="Q70" s="63"/>
      <c r="Y70" s="63">
        <v>0</v>
      </c>
    </row>
    <row r="71" spans="13:25">
      <c r="M71">
        <v>99305</v>
      </c>
      <c r="Q71" s="63"/>
      <c r="Y71" s="63">
        <v>0</v>
      </c>
    </row>
    <row r="72" spans="13:25">
      <c r="M72">
        <v>99302</v>
      </c>
      <c r="Q72" s="63"/>
      <c r="Y72" s="63">
        <v>0</v>
      </c>
    </row>
    <row r="73" spans="13:25">
      <c r="M73">
        <v>99296</v>
      </c>
      <c r="Q73" s="63"/>
      <c r="Y73" s="63">
        <v>0</v>
      </c>
    </row>
    <row r="74" spans="13:25">
      <c r="M74" t="s">
        <v>796</v>
      </c>
      <c r="Q74" s="63"/>
      <c r="Y74" s="63">
        <v>0</v>
      </c>
    </row>
    <row r="75" spans="13:25">
      <c r="M75" t="s">
        <v>796</v>
      </c>
      <c r="Q75" s="63"/>
      <c r="Y75" s="63">
        <v>0</v>
      </c>
    </row>
    <row r="76" spans="13:25">
      <c r="M76">
        <v>80001</v>
      </c>
      <c r="N76">
        <v>570115</v>
      </c>
      <c r="O76" t="s">
        <v>791</v>
      </c>
      <c r="P76" t="s">
        <v>872</v>
      </c>
      <c r="Q76" s="63">
        <v>1.3480000000000001</v>
      </c>
      <c r="R76">
        <v>50</v>
      </c>
      <c r="S76">
        <v>54</v>
      </c>
      <c r="T76">
        <v>98</v>
      </c>
      <c r="U76">
        <v>0.70199999999999996</v>
      </c>
      <c r="X76">
        <v>595.4</v>
      </c>
      <c r="Y76" s="63">
        <v>1</v>
      </c>
    </row>
    <row r="77" spans="13:25">
      <c r="M77">
        <v>64</v>
      </c>
      <c r="Q77" s="63"/>
      <c r="Y77" s="63">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4" customFormat="1" ht="60" customHeight="1">
      <c r="B2"/>
      <c r="C2"/>
      <c r="D2"/>
      <c r="E2"/>
    </row>
    <row r="3" spans="2:5" ht="36">
      <c r="B3" s="87" t="s">
        <v>615</v>
      </c>
      <c r="C3" s="88" t="s">
        <v>900</v>
      </c>
      <c r="D3" s="90" t="s">
        <v>903</v>
      </c>
      <c r="E3" s="24" t="s">
        <v>904</v>
      </c>
    </row>
    <row r="4" spans="2:5">
      <c r="B4" s="22" t="s">
        <v>164</v>
      </c>
      <c r="C4" s="89"/>
      <c r="D4" s="91">
        <v>0</v>
      </c>
      <c r="E4" s="92">
        <v>0</v>
      </c>
    </row>
    <row r="5" spans="2:5">
      <c r="B5" s="22" t="s">
        <v>326</v>
      </c>
      <c r="C5" s="89"/>
      <c r="D5" s="91">
        <v>5619</v>
      </c>
      <c r="E5" s="92">
        <v>9658</v>
      </c>
    </row>
    <row r="6" spans="2:5">
      <c r="B6" s="22" t="s">
        <v>222</v>
      </c>
      <c r="C6" s="89">
        <v>14</v>
      </c>
      <c r="D6" s="91">
        <v>475</v>
      </c>
      <c r="E6" s="92">
        <v>422</v>
      </c>
    </row>
    <row r="7" spans="2:5">
      <c r="B7" s="22" t="s">
        <v>146</v>
      </c>
      <c r="C7" s="89"/>
      <c r="D7" s="91">
        <v>0</v>
      </c>
      <c r="E7" s="92">
        <v>0</v>
      </c>
    </row>
    <row r="8" spans="2:5">
      <c r="B8" s="22" t="s">
        <v>93</v>
      </c>
      <c r="C8" s="89">
        <v>0</v>
      </c>
      <c r="D8" s="91">
        <v>34</v>
      </c>
      <c r="E8" s="92">
        <v>23</v>
      </c>
    </row>
    <row r="9" spans="2:5">
      <c r="B9" s="22" t="s">
        <v>303</v>
      </c>
      <c r="C9" s="89"/>
      <c r="D9" s="91">
        <v>0</v>
      </c>
      <c r="E9" s="92">
        <v>0</v>
      </c>
    </row>
    <row r="10" spans="2:5">
      <c r="B10" s="22" t="s">
        <v>74</v>
      </c>
      <c r="C10" s="89"/>
      <c r="D10" s="91">
        <v>0</v>
      </c>
      <c r="E10" s="92">
        <v>0</v>
      </c>
    </row>
    <row r="11" spans="2:5">
      <c r="B11" s="22" t="s">
        <v>170</v>
      </c>
      <c r="C11" s="89">
        <v>0</v>
      </c>
      <c r="D11" s="91">
        <v>539</v>
      </c>
      <c r="E11" s="92">
        <v>636</v>
      </c>
    </row>
    <row r="12" spans="2:5">
      <c r="B12" s="22" t="s">
        <v>86</v>
      </c>
      <c r="C12" s="89"/>
      <c r="D12" s="91">
        <v>0</v>
      </c>
      <c r="E12" s="92">
        <v>0</v>
      </c>
    </row>
    <row r="13" spans="2:5">
      <c r="B13" s="22" t="s">
        <v>380</v>
      </c>
      <c r="C13" s="89"/>
      <c r="D13" s="91">
        <v>0</v>
      </c>
      <c r="E13" s="92">
        <v>0</v>
      </c>
    </row>
    <row r="14" spans="2:5">
      <c r="B14" s="22" t="s">
        <v>383</v>
      </c>
      <c r="C14" s="89"/>
      <c r="D14" s="91">
        <v>0</v>
      </c>
      <c r="E14" s="92">
        <v>0</v>
      </c>
    </row>
    <row r="15" spans="2:5">
      <c r="B15" s="22" t="s">
        <v>130</v>
      </c>
      <c r="C15" s="89"/>
      <c r="D15" s="91">
        <v>0</v>
      </c>
      <c r="E15" s="92">
        <v>0</v>
      </c>
    </row>
    <row r="16" spans="2:5">
      <c r="B16" s="22" t="s">
        <v>181</v>
      </c>
      <c r="C16" s="89">
        <v>277</v>
      </c>
      <c r="D16" s="91">
        <v>4680</v>
      </c>
      <c r="E16" s="92">
        <v>6553</v>
      </c>
    </row>
    <row r="17" spans="2:5">
      <c r="B17" s="22" t="s">
        <v>77</v>
      </c>
      <c r="C17" s="89">
        <v>0</v>
      </c>
      <c r="D17" s="91">
        <v>0</v>
      </c>
      <c r="E17" s="92">
        <v>108</v>
      </c>
    </row>
    <row r="18" spans="2:5">
      <c r="B18" s="22" t="s">
        <v>88</v>
      </c>
      <c r="C18" s="89">
        <v>13</v>
      </c>
      <c r="D18" s="91">
        <v>322</v>
      </c>
      <c r="E18" s="92">
        <v>393</v>
      </c>
    </row>
    <row r="19" spans="2:5">
      <c r="B19" s="22" t="s">
        <v>283</v>
      </c>
      <c r="C19" s="89"/>
      <c r="D19" s="91">
        <v>0</v>
      </c>
      <c r="E19" s="92">
        <v>0</v>
      </c>
    </row>
    <row r="20" spans="2:5">
      <c r="B20" s="22" t="s">
        <v>257</v>
      </c>
      <c r="C20" s="89"/>
      <c r="D20" s="91">
        <v>0</v>
      </c>
      <c r="E20" s="92">
        <v>0</v>
      </c>
    </row>
    <row r="21" spans="2:5">
      <c r="B21" s="22" t="s">
        <v>104</v>
      </c>
      <c r="C21" s="89">
        <v>0</v>
      </c>
      <c r="D21" s="91">
        <v>0</v>
      </c>
      <c r="E21" s="92">
        <v>0</v>
      </c>
    </row>
    <row r="22" spans="2:5">
      <c r="B22" s="22" t="s">
        <v>373</v>
      </c>
      <c r="C22" s="89"/>
      <c r="D22" s="91">
        <v>0</v>
      </c>
      <c r="E22" s="92">
        <v>0</v>
      </c>
    </row>
    <row r="23" spans="2:5">
      <c r="B23" s="22" t="s">
        <v>314</v>
      </c>
      <c r="C23" s="89"/>
      <c r="D23" s="91">
        <v>0</v>
      </c>
      <c r="E23" s="92">
        <v>0</v>
      </c>
    </row>
    <row r="24" spans="2:5">
      <c r="B24" s="22" t="s">
        <v>80</v>
      </c>
      <c r="C24" s="89">
        <v>210</v>
      </c>
      <c r="D24" s="91">
        <v>4939</v>
      </c>
      <c r="E24" s="92">
        <v>5182</v>
      </c>
    </row>
    <row r="25" spans="2:5">
      <c r="B25" s="22" t="s">
        <v>352</v>
      </c>
      <c r="C25" s="89">
        <v>0</v>
      </c>
      <c r="D25" s="91">
        <v>460</v>
      </c>
      <c r="E25" s="92">
        <v>469</v>
      </c>
    </row>
    <row r="26" spans="2:5">
      <c r="B26" s="22" t="s">
        <v>142</v>
      </c>
      <c r="C26" s="89">
        <v>0</v>
      </c>
      <c r="D26" s="91">
        <v>74</v>
      </c>
      <c r="E26" s="92">
        <v>0</v>
      </c>
    </row>
    <row r="27" spans="2:5">
      <c r="B27" s="22" t="s">
        <v>358</v>
      </c>
      <c r="C27" s="89">
        <v>90</v>
      </c>
      <c r="D27" s="91">
        <v>1792</v>
      </c>
      <c r="E27" s="92">
        <v>1937</v>
      </c>
    </row>
    <row r="28" spans="2:5">
      <c r="B28" s="22" t="s">
        <v>336</v>
      </c>
      <c r="C28" s="89"/>
      <c r="D28" s="91">
        <v>0</v>
      </c>
      <c r="E28" s="92">
        <v>0</v>
      </c>
    </row>
    <row r="29" spans="2:5">
      <c r="B29" s="22" t="s">
        <v>82</v>
      </c>
      <c r="C29" s="89"/>
      <c r="D29" s="91">
        <v>0</v>
      </c>
      <c r="E29" s="92">
        <v>0</v>
      </c>
    </row>
    <row r="30" spans="2:5">
      <c r="B30" s="22" t="s">
        <v>179</v>
      </c>
      <c r="C30" s="89"/>
      <c r="D30" s="91">
        <v>0</v>
      </c>
      <c r="E30" s="92">
        <v>0</v>
      </c>
    </row>
    <row r="31" spans="2:5">
      <c r="B31" s="22" t="s">
        <v>191</v>
      </c>
      <c r="C31" s="89">
        <v>25</v>
      </c>
      <c r="D31" s="91">
        <v>888</v>
      </c>
      <c r="E31" s="92">
        <v>350</v>
      </c>
    </row>
    <row r="32" spans="2:5">
      <c r="B32" s="22" t="s">
        <v>190</v>
      </c>
      <c r="C32" s="89"/>
      <c r="D32" s="91">
        <v>0</v>
      </c>
      <c r="E32" s="92">
        <v>0</v>
      </c>
    </row>
    <row r="33" spans="2:5">
      <c r="B33" s="22" t="s">
        <v>204</v>
      </c>
      <c r="C33" s="89"/>
      <c r="D33" s="91">
        <v>0</v>
      </c>
      <c r="E33" s="92">
        <v>0</v>
      </c>
    </row>
    <row r="34" spans="2:5">
      <c r="B34" s="22" t="s">
        <v>152</v>
      </c>
      <c r="C34" s="89"/>
      <c r="D34" s="91">
        <v>0</v>
      </c>
      <c r="E34" s="92">
        <v>0</v>
      </c>
    </row>
    <row r="35" spans="2:5">
      <c r="B35" s="22" t="s">
        <v>153</v>
      </c>
      <c r="C35" s="89"/>
      <c r="D35" s="91">
        <v>0</v>
      </c>
      <c r="E35" s="92">
        <v>0</v>
      </c>
    </row>
    <row r="36" spans="2:5">
      <c r="B36" s="22" t="s">
        <v>157</v>
      </c>
      <c r="C36" s="89"/>
      <c r="D36" s="91">
        <v>0</v>
      </c>
      <c r="E36" s="92">
        <v>0</v>
      </c>
    </row>
    <row r="37" spans="2:5">
      <c r="B37" s="22" t="s">
        <v>162</v>
      </c>
      <c r="C37" s="89"/>
      <c r="D37" s="91">
        <v>0</v>
      </c>
      <c r="E37" s="92">
        <v>0</v>
      </c>
    </row>
    <row r="38" spans="2:5">
      <c r="B38" s="22" t="s">
        <v>160</v>
      </c>
      <c r="C38" s="89"/>
      <c r="D38" s="91">
        <v>0</v>
      </c>
      <c r="E38" s="92">
        <v>0</v>
      </c>
    </row>
    <row r="39" spans="2:5">
      <c r="B39" s="22" t="s">
        <v>310</v>
      </c>
      <c r="C39" s="89"/>
      <c r="D39" s="91">
        <v>0</v>
      </c>
      <c r="E39" s="92">
        <v>0</v>
      </c>
    </row>
    <row r="40" spans="2:5">
      <c r="B40" s="22" t="s">
        <v>254</v>
      </c>
      <c r="C40" s="89">
        <v>0</v>
      </c>
      <c r="D40" s="91">
        <v>542</v>
      </c>
      <c r="E40" s="92">
        <v>564</v>
      </c>
    </row>
    <row r="41" spans="2:5">
      <c r="B41" s="22" t="s">
        <v>96</v>
      </c>
      <c r="C41" s="89">
        <v>0</v>
      </c>
      <c r="D41" s="91">
        <v>0</v>
      </c>
      <c r="E41" s="92">
        <v>0</v>
      </c>
    </row>
    <row r="42" spans="2:5">
      <c r="B42" s="22" t="s">
        <v>329</v>
      </c>
      <c r="C42" s="89"/>
      <c r="D42" s="91">
        <v>0</v>
      </c>
      <c r="E42" s="92">
        <v>0</v>
      </c>
    </row>
    <row r="43" spans="2:5">
      <c r="B43" s="22" t="s">
        <v>331</v>
      </c>
      <c r="C43" s="89"/>
      <c r="D43" s="91">
        <v>0</v>
      </c>
      <c r="E43" s="92">
        <v>0</v>
      </c>
    </row>
    <row r="44" spans="2:5">
      <c r="B44" s="22" t="s">
        <v>318</v>
      </c>
      <c r="C44" s="89"/>
      <c r="D44" s="91">
        <v>0</v>
      </c>
      <c r="E44" s="92">
        <v>0</v>
      </c>
    </row>
    <row r="45" spans="2:5">
      <c r="B45" s="22" t="s">
        <v>320</v>
      </c>
      <c r="C45" s="89"/>
      <c r="D45" s="91">
        <v>0</v>
      </c>
      <c r="E45" s="92">
        <v>0</v>
      </c>
    </row>
    <row r="46" spans="2:5">
      <c r="B46" s="22" t="s">
        <v>305</v>
      </c>
      <c r="C46" s="89"/>
      <c r="D46" s="91">
        <v>0</v>
      </c>
      <c r="E46" s="92">
        <v>0</v>
      </c>
    </row>
    <row r="47" spans="2:5">
      <c r="B47" s="22" t="s">
        <v>259</v>
      </c>
      <c r="C47" s="89"/>
      <c r="D47" s="91">
        <v>0</v>
      </c>
      <c r="E47" s="92">
        <v>0</v>
      </c>
    </row>
    <row r="48" spans="2:5">
      <c r="B48" s="22" t="s">
        <v>280</v>
      </c>
      <c r="C48" s="89">
        <v>46</v>
      </c>
      <c r="D48" s="91">
        <v>577</v>
      </c>
      <c r="E48" s="92">
        <v>146</v>
      </c>
    </row>
    <row r="49" spans="2:5">
      <c r="B49" s="22" t="s">
        <v>276</v>
      </c>
      <c r="C49" s="89">
        <v>16</v>
      </c>
      <c r="D49" s="91">
        <v>270</v>
      </c>
      <c r="E49" s="92">
        <v>128</v>
      </c>
    </row>
    <row r="50" spans="2:5">
      <c r="B50" s="22" t="s">
        <v>277</v>
      </c>
      <c r="C50" s="89">
        <v>54</v>
      </c>
      <c r="D50" s="91">
        <v>1457</v>
      </c>
      <c r="E50" s="92">
        <v>1092</v>
      </c>
    </row>
    <row r="51" spans="2:5">
      <c r="B51" s="22" t="s">
        <v>275</v>
      </c>
      <c r="C51" s="89"/>
      <c r="D51" s="91">
        <v>0</v>
      </c>
      <c r="E51" s="92">
        <v>0</v>
      </c>
    </row>
    <row r="52" spans="2:5">
      <c r="B52" s="22" t="s">
        <v>278</v>
      </c>
      <c r="C52" s="89">
        <v>72</v>
      </c>
      <c r="D52" s="91">
        <v>1122</v>
      </c>
      <c r="E52" s="92">
        <v>1075</v>
      </c>
    </row>
    <row r="53" spans="2:5">
      <c r="B53" s="22" t="s">
        <v>338</v>
      </c>
      <c r="C53" s="89">
        <v>252</v>
      </c>
      <c r="D53" s="91">
        <v>7591</v>
      </c>
      <c r="E53" s="92">
        <v>5235</v>
      </c>
    </row>
    <row r="54" spans="2:5">
      <c r="B54" s="22" t="s">
        <v>210</v>
      </c>
      <c r="C54" s="89"/>
      <c r="D54" s="91">
        <v>0</v>
      </c>
      <c r="E54" s="92">
        <v>0</v>
      </c>
    </row>
    <row r="55" spans="2:5">
      <c r="B55" s="22" t="s">
        <v>224</v>
      </c>
      <c r="C55" s="89"/>
      <c r="D55" s="91">
        <v>0</v>
      </c>
      <c r="E55" s="92">
        <v>0</v>
      </c>
    </row>
    <row r="56" spans="2:5">
      <c r="B56" s="22" t="s">
        <v>298</v>
      </c>
      <c r="C56" s="89"/>
      <c r="D56" s="91">
        <v>0</v>
      </c>
      <c r="E56" s="92">
        <v>0</v>
      </c>
    </row>
    <row r="57" spans="2:5">
      <c r="B57" s="22" t="s">
        <v>120</v>
      </c>
      <c r="C57" s="89"/>
      <c r="D57" s="91">
        <v>0</v>
      </c>
      <c r="E57" s="92">
        <v>0</v>
      </c>
    </row>
    <row r="58" spans="2:5">
      <c r="B58" s="22" t="s">
        <v>291</v>
      </c>
      <c r="C58" s="89">
        <v>0</v>
      </c>
      <c r="D58" s="91">
        <v>47</v>
      </c>
      <c r="E58" s="92">
        <v>140</v>
      </c>
    </row>
    <row r="59" spans="2:5">
      <c r="B59" s="22" t="s">
        <v>285</v>
      </c>
      <c r="C59" s="89">
        <v>0</v>
      </c>
      <c r="D59" s="91">
        <v>71</v>
      </c>
      <c r="E59" s="92">
        <v>10</v>
      </c>
    </row>
    <row r="60" spans="2:5">
      <c r="B60" s="22" t="s">
        <v>287</v>
      </c>
      <c r="C60" s="89">
        <v>90</v>
      </c>
      <c r="D60" s="91">
        <v>2645</v>
      </c>
      <c r="E60" s="92">
        <v>1287</v>
      </c>
    </row>
    <row r="61" spans="2:5">
      <c r="B61" s="22" t="s">
        <v>289</v>
      </c>
      <c r="C61" s="89"/>
      <c r="D61" s="91">
        <v>0</v>
      </c>
      <c r="E61" s="92">
        <v>0</v>
      </c>
    </row>
    <row r="62" spans="2:5">
      <c r="B62" s="22" t="s">
        <v>248</v>
      </c>
      <c r="C62" s="89"/>
      <c r="D62" s="91">
        <v>0</v>
      </c>
      <c r="E62" s="92">
        <v>0</v>
      </c>
    </row>
    <row r="63" spans="2:5">
      <c r="B63" s="22" t="s">
        <v>356</v>
      </c>
      <c r="C63" s="89"/>
      <c r="D63" s="91">
        <v>0</v>
      </c>
      <c r="E63" s="92">
        <v>0</v>
      </c>
    </row>
    <row r="64" spans="2:5">
      <c r="B64" s="22" t="s">
        <v>355</v>
      </c>
      <c r="C64" s="89">
        <v>0</v>
      </c>
      <c r="D64" s="91">
        <v>1015</v>
      </c>
      <c r="E64" s="92">
        <v>1602</v>
      </c>
    </row>
    <row r="65" spans="2:5">
      <c r="B65" s="22" t="s">
        <v>354</v>
      </c>
      <c r="C65" s="89">
        <v>0</v>
      </c>
      <c r="D65" s="91">
        <v>284</v>
      </c>
      <c r="E65" s="92">
        <v>312</v>
      </c>
    </row>
    <row r="66" spans="2:5">
      <c r="B66" s="22" t="s">
        <v>175</v>
      </c>
      <c r="C66" s="89">
        <v>377</v>
      </c>
      <c r="D66" s="91">
        <v>8183</v>
      </c>
      <c r="E66" s="92">
        <v>8593</v>
      </c>
    </row>
    <row r="67" spans="2:5">
      <c r="B67" s="22" t="s">
        <v>115</v>
      </c>
      <c r="C67" s="89"/>
      <c r="D67" s="91">
        <v>0</v>
      </c>
      <c r="E67" s="92">
        <v>0</v>
      </c>
    </row>
    <row r="68" spans="2:5">
      <c r="B68" s="22" t="s">
        <v>360</v>
      </c>
      <c r="C68" s="89"/>
      <c r="D68" s="91">
        <v>0</v>
      </c>
      <c r="E68" s="92">
        <v>0</v>
      </c>
    </row>
    <row r="69" spans="2:5">
      <c r="B69" s="22" t="s">
        <v>340</v>
      </c>
      <c r="C69" s="89"/>
      <c r="D69" s="91">
        <v>2854</v>
      </c>
      <c r="E69" s="92">
        <v>142</v>
      </c>
    </row>
    <row r="70" spans="2:5">
      <c r="B70" s="22" t="s">
        <v>97</v>
      </c>
      <c r="C70" s="89"/>
      <c r="D70" s="91">
        <v>0</v>
      </c>
      <c r="E70" s="92">
        <v>0</v>
      </c>
    </row>
    <row r="71" spans="2:5">
      <c r="B71" s="22" t="s">
        <v>211</v>
      </c>
      <c r="C71" s="89">
        <v>174</v>
      </c>
      <c r="D71" s="91">
        <v>393</v>
      </c>
      <c r="E71" s="92">
        <v>2537</v>
      </c>
    </row>
    <row r="72" spans="2:5">
      <c r="B72" s="22" t="s">
        <v>216</v>
      </c>
      <c r="C72" s="89"/>
      <c r="D72" s="91">
        <v>0</v>
      </c>
      <c r="E72" s="92">
        <v>0</v>
      </c>
    </row>
    <row r="73" spans="2:5">
      <c r="B73" s="22" t="s">
        <v>186</v>
      </c>
      <c r="C73" s="89"/>
      <c r="D73" s="91">
        <v>0</v>
      </c>
      <c r="E73" s="92">
        <v>0</v>
      </c>
    </row>
    <row r="74" spans="2:5">
      <c r="B74" s="22" t="s">
        <v>279</v>
      </c>
      <c r="C74" s="89">
        <v>27</v>
      </c>
      <c r="D74" s="91">
        <v>934</v>
      </c>
      <c r="E74" s="92">
        <v>655</v>
      </c>
    </row>
    <row r="75" spans="2:5">
      <c r="B75" s="22" t="s">
        <v>106</v>
      </c>
      <c r="C75" s="89"/>
      <c r="D75" s="91">
        <v>0</v>
      </c>
      <c r="E75" s="92">
        <v>0</v>
      </c>
    </row>
    <row r="76" spans="2:5">
      <c r="B76" s="22" t="s">
        <v>367</v>
      </c>
      <c r="C76" s="89"/>
      <c r="D76" s="91">
        <v>0</v>
      </c>
      <c r="E76" s="92">
        <v>0</v>
      </c>
    </row>
    <row r="77" spans="2:5">
      <c r="B77" s="22" t="s">
        <v>134</v>
      </c>
      <c r="C77" s="89"/>
      <c r="D77" s="91">
        <v>0</v>
      </c>
      <c r="E77" s="92">
        <v>0</v>
      </c>
    </row>
    <row r="78" spans="2:5">
      <c r="B78" s="22" t="s">
        <v>316</v>
      </c>
      <c r="C78" s="89"/>
      <c r="D78" s="91">
        <v>1385</v>
      </c>
      <c r="E78" s="92">
        <v>1016</v>
      </c>
    </row>
    <row r="79" spans="2:5">
      <c r="B79" s="22" t="s">
        <v>342</v>
      </c>
      <c r="C79" s="89"/>
      <c r="D79" s="91">
        <v>0</v>
      </c>
      <c r="E79" s="92">
        <v>0</v>
      </c>
    </row>
    <row r="80" spans="2:5">
      <c r="B80" s="22" t="s">
        <v>231</v>
      </c>
      <c r="C80" s="89">
        <v>0</v>
      </c>
      <c r="D80" s="91">
        <v>0</v>
      </c>
      <c r="E80" s="92">
        <v>0</v>
      </c>
    </row>
    <row r="81" spans="2:5">
      <c r="B81" s="22" t="s">
        <v>344</v>
      </c>
      <c r="C81" s="89">
        <v>0</v>
      </c>
      <c r="D81" s="91">
        <v>5442</v>
      </c>
      <c r="E81" s="92">
        <v>5459</v>
      </c>
    </row>
    <row r="82" spans="2:5">
      <c r="B82" s="22" t="s">
        <v>238</v>
      </c>
      <c r="C82" s="89"/>
      <c r="D82" s="91">
        <v>0</v>
      </c>
      <c r="E82" s="92">
        <v>0</v>
      </c>
    </row>
    <row r="83" spans="2:5">
      <c r="B83" s="22" t="s">
        <v>385</v>
      </c>
      <c r="C83" s="89">
        <v>150</v>
      </c>
      <c r="D83" s="91">
        <v>199</v>
      </c>
      <c r="E83" s="92">
        <v>4284</v>
      </c>
    </row>
    <row r="84" spans="2:5">
      <c r="B84" s="22" t="s">
        <v>362</v>
      </c>
      <c r="C84" s="89">
        <v>0</v>
      </c>
      <c r="D84" s="91">
        <v>8144</v>
      </c>
      <c r="E84" s="92">
        <v>2361</v>
      </c>
    </row>
    <row r="85" spans="2:5">
      <c r="B85" s="22" t="s">
        <v>212</v>
      </c>
      <c r="C85" s="89">
        <v>0</v>
      </c>
      <c r="D85" s="91">
        <v>0</v>
      </c>
      <c r="E85" s="92">
        <v>8</v>
      </c>
    </row>
    <row r="86" spans="2:5">
      <c r="B86" s="22" t="s">
        <v>218</v>
      </c>
      <c r="C86" s="89"/>
      <c r="D86" s="91">
        <v>0</v>
      </c>
      <c r="E86" s="92">
        <v>0</v>
      </c>
    </row>
    <row r="87" spans="2:5">
      <c r="B87" s="22" t="s">
        <v>333</v>
      </c>
      <c r="C87" s="89"/>
      <c r="D87" s="91">
        <v>0</v>
      </c>
      <c r="E87" s="92">
        <v>0</v>
      </c>
    </row>
    <row r="88" spans="2:5">
      <c r="B88" s="22" t="s">
        <v>123</v>
      </c>
      <c r="C88" s="89"/>
      <c r="D88" s="91">
        <v>0</v>
      </c>
      <c r="E88" s="92">
        <v>0</v>
      </c>
    </row>
    <row r="89" spans="2:5">
      <c r="B89" s="22" t="s">
        <v>155</v>
      </c>
      <c r="C89" s="89"/>
      <c r="D89" s="91">
        <v>0</v>
      </c>
      <c r="E89" s="92">
        <v>0</v>
      </c>
    </row>
    <row r="90" spans="2:5">
      <c r="B90" s="22" t="s">
        <v>794</v>
      </c>
      <c r="C90" s="89">
        <v>0</v>
      </c>
      <c r="D90" s="91">
        <v>664</v>
      </c>
      <c r="E90" s="92"/>
    </row>
    <row r="91" spans="2:5">
      <c r="B91" s="22" t="s">
        <v>228</v>
      </c>
      <c r="C91" s="89"/>
      <c r="D91" s="91">
        <v>0</v>
      </c>
      <c r="E91" s="92">
        <v>0</v>
      </c>
    </row>
    <row r="92" spans="2:5">
      <c r="B92" s="22" t="s">
        <v>327</v>
      </c>
      <c r="C92" s="89"/>
      <c r="D92" s="91">
        <v>3273</v>
      </c>
      <c r="E92" s="92">
        <v>3302</v>
      </c>
    </row>
    <row r="93" spans="2:5">
      <c r="B93" s="22" t="s">
        <v>102</v>
      </c>
      <c r="C93" s="89">
        <v>0</v>
      </c>
      <c r="D93" s="91">
        <v>56716</v>
      </c>
      <c r="E93" s="92">
        <v>61197</v>
      </c>
    </row>
    <row r="94" spans="2:5">
      <c r="B94" s="22" t="s">
        <v>132</v>
      </c>
      <c r="C94" s="89"/>
      <c r="D94" s="91">
        <v>0</v>
      </c>
      <c r="E94" s="92">
        <v>0</v>
      </c>
    </row>
    <row r="95" spans="2:5">
      <c r="B95" s="22" t="s">
        <v>242</v>
      </c>
      <c r="C95" s="89"/>
      <c r="D95" s="91">
        <v>0</v>
      </c>
      <c r="E95" s="92">
        <v>0</v>
      </c>
    </row>
    <row r="96" spans="2:5">
      <c r="B96" s="22" t="s">
        <v>244</v>
      </c>
      <c r="C96" s="89">
        <v>91</v>
      </c>
      <c r="D96" s="91">
        <v>2046</v>
      </c>
      <c r="E96" s="92">
        <v>3118</v>
      </c>
    </row>
    <row r="97" spans="2:5">
      <c r="B97" s="22" t="s">
        <v>371</v>
      </c>
      <c r="C97" s="89">
        <v>0</v>
      </c>
      <c r="D97" s="91">
        <v>0</v>
      </c>
      <c r="E97" s="92">
        <v>0</v>
      </c>
    </row>
    <row r="98" spans="2:5">
      <c r="B98" s="22" t="s">
        <v>335</v>
      </c>
      <c r="C98" s="89"/>
      <c r="D98" s="91">
        <v>0</v>
      </c>
      <c r="E98" s="92">
        <v>0</v>
      </c>
    </row>
    <row r="99" spans="2:5">
      <c r="B99" s="22" t="s">
        <v>118</v>
      </c>
      <c r="C99" s="89"/>
      <c r="D99" s="91">
        <v>0</v>
      </c>
      <c r="E99" s="92">
        <v>0</v>
      </c>
    </row>
    <row r="100" spans="2:5">
      <c r="B100" s="22" t="s">
        <v>312</v>
      </c>
      <c r="C100" s="89"/>
      <c r="D100" s="91">
        <v>0</v>
      </c>
      <c r="E100" s="92">
        <v>0</v>
      </c>
    </row>
    <row r="101" spans="2:5">
      <c r="B101" s="22" t="s">
        <v>295</v>
      </c>
      <c r="C101" s="89">
        <v>0</v>
      </c>
      <c r="D101" s="91">
        <v>2003</v>
      </c>
      <c r="E101" s="92">
        <v>2213</v>
      </c>
    </row>
    <row r="102" spans="2:5">
      <c r="B102" s="22" t="s">
        <v>382</v>
      </c>
      <c r="C102" s="89">
        <v>72</v>
      </c>
      <c r="D102" s="91">
        <v>72</v>
      </c>
      <c r="E102" s="92">
        <v>72</v>
      </c>
    </row>
    <row r="103" spans="2:5">
      <c r="B103" s="22" t="s">
        <v>387</v>
      </c>
      <c r="C103" s="89"/>
      <c r="D103" s="91">
        <v>0</v>
      </c>
      <c r="E103" s="92">
        <v>0</v>
      </c>
    </row>
    <row r="104" spans="2:5">
      <c r="B104" s="22" t="s">
        <v>389</v>
      </c>
      <c r="C104" s="89"/>
      <c r="D104" s="91">
        <v>0</v>
      </c>
      <c r="E104" s="92">
        <v>0</v>
      </c>
    </row>
    <row r="105" spans="2:5">
      <c r="B105" s="22" t="s">
        <v>365</v>
      </c>
      <c r="C105" s="89"/>
      <c r="D105" s="91">
        <v>0</v>
      </c>
      <c r="E105" s="92">
        <v>0</v>
      </c>
    </row>
    <row r="106" spans="2:5">
      <c r="B106" s="22" t="s">
        <v>213</v>
      </c>
      <c r="C106" s="89"/>
      <c r="D106" s="91">
        <v>0</v>
      </c>
      <c r="E106" s="92">
        <v>0</v>
      </c>
    </row>
    <row r="107" spans="2:5">
      <c r="B107" s="22" t="s">
        <v>127</v>
      </c>
      <c r="C107" s="89"/>
      <c r="D107" s="91">
        <v>0</v>
      </c>
      <c r="E107" s="92">
        <v>0</v>
      </c>
    </row>
    <row r="108" spans="2:5">
      <c r="B108" s="22" t="s">
        <v>271</v>
      </c>
      <c r="C108" s="89"/>
      <c r="D108" s="91">
        <v>0</v>
      </c>
      <c r="E108" s="92">
        <v>0</v>
      </c>
    </row>
    <row r="109" spans="2:5">
      <c r="B109" s="22" t="s">
        <v>112</v>
      </c>
      <c r="C109" s="89"/>
      <c r="D109" s="91">
        <v>0</v>
      </c>
      <c r="E109" s="92">
        <v>0</v>
      </c>
    </row>
    <row r="110" spans="2:5">
      <c r="B110" s="22" t="s">
        <v>110</v>
      </c>
      <c r="C110" s="89">
        <v>0</v>
      </c>
      <c r="D110" s="91">
        <v>2269</v>
      </c>
      <c r="E110" s="92">
        <v>2020</v>
      </c>
    </row>
    <row r="111" spans="2:5">
      <c r="B111" s="22" t="s">
        <v>108</v>
      </c>
      <c r="C111" s="89"/>
      <c r="D111" s="91">
        <v>0</v>
      </c>
      <c r="E111" s="92">
        <v>0</v>
      </c>
    </row>
    <row r="112" spans="2:5">
      <c r="B112" s="22" t="s">
        <v>195</v>
      </c>
      <c r="C112" s="89"/>
      <c r="D112" s="91">
        <v>0</v>
      </c>
      <c r="E112" s="92">
        <v>0</v>
      </c>
    </row>
    <row r="113" spans="2:5">
      <c r="B113" s="22" t="s">
        <v>150</v>
      </c>
      <c r="C113" s="89"/>
      <c r="D113" s="91">
        <v>0</v>
      </c>
      <c r="E113" s="92">
        <v>0</v>
      </c>
    </row>
    <row r="114" spans="2:5">
      <c r="B114" s="22" t="s">
        <v>282</v>
      </c>
      <c r="C114" s="89">
        <v>120</v>
      </c>
      <c r="D114" s="91">
        <v>120</v>
      </c>
      <c r="E114" s="92">
        <v>124</v>
      </c>
    </row>
    <row r="115" spans="2:5">
      <c r="B115" s="22" t="s">
        <v>322</v>
      </c>
      <c r="C115" s="89"/>
      <c r="D115" s="91">
        <v>0</v>
      </c>
      <c r="E115" s="92">
        <v>0</v>
      </c>
    </row>
    <row r="116" spans="2:5">
      <c r="B116" s="22" t="s">
        <v>263</v>
      </c>
      <c r="C116" s="89"/>
      <c r="D116" s="91">
        <v>0</v>
      </c>
      <c r="E116" s="92">
        <v>0</v>
      </c>
    </row>
    <row r="117" spans="2:5">
      <c r="B117" s="22" t="s">
        <v>261</v>
      </c>
      <c r="C117" s="89">
        <v>42</v>
      </c>
      <c r="D117" s="91">
        <v>985</v>
      </c>
      <c r="E117" s="92">
        <v>201</v>
      </c>
    </row>
    <row r="118" spans="2:5">
      <c r="B118" s="22" t="s">
        <v>269</v>
      </c>
      <c r="C118" s="89"/>
      <c r="D118" s="91">
        <v>0</v>
      </c>
      <c r="E118" s="92">
        <v>0</v>
      </c>
    </row>
    <row r="119" spans="2:5">
      <c r="B119" s="22" t="s">
        <v>265</v>
      </c>
      <c r="C119" s="89">
        <v>23</v>
      </c>
      <c r="D119" s="91">
        <v>818</v>
      </c>
      <c r="E119" s="92">
        <v>1217</v>
      </c>
    </row>
    <row r="120" spans="2:5">
      <c r="B120" s="22" t="s">
        <v>240</v>
      </c>
      <c r="C120" s="89"/>
      <c r="D120" s="91">
        <v>0</v>
      </c>
      <c r="E120" s="92">
        <v>0</v>
      </c>
    </row>
    <row r="121" spans="2:5">
      <c r="B121" s="22" t="s">
        <v>207</v>
      </c>
      <c r="C121" s="89">
        <v>0</v>
      </c>
      <c r="D121" s="91">
        <v>22145</v>
      </c>
      <c r="E121" s="92">
        <v>23157</v>
      </c>
    </row>
    <row r="122" spans="2:5">
      <c r="B122" s="22" t="s">
        <v>293</v>
      </c>
      <c r="C122" s="89"/>
      <c r="D122" s="91">
        <v>0</v>
      </c>
      <c r="E122" s="92">
        <v>0</v>
      </c>
    </row>
    <row r="123" spans="2:5">
      <c r="B123" s="22" t="s">
        <v>376</v>
      </c>
      <c r="C123" s="89"/>
      <c r="D123" s="91">
        <v>0</v>
      </c>
      <c r="E123" s="92">
        <v>0</v>
      </c>
    </row>
    <row r="124" spans="2:5">
      <c r="B124" s="22" t="s">
        <v>378</v>
      </c>
      <c r="C124" s="89"/>
      <c r="D124" s="91">
        <v>0</v>
      </c>
      <c r="E124" s="92">
        <v>0</v>
      </c>
    </row>
    <row r="125" spans="2:5">
      <c r="B125" s="22" t="s">
        <v>273</v>
      </c>
      <c r="C125" s="89"/>
      <c r="D125" s="91">
        <v>0</v>
      </c>
      <c r="E125" s="92">
        <v>0</v>
      </c>
    </row>
    <row r="126" spans="2:5">
      <c r="B126" s="22" t="s">
        <v>197</v>
      </c>
      <c r="C126" s="89"/>
      <c r="D126" s="91">
        <v>0</v>
      </c>
      <c r="E126" s="92">
        <v>0</v>
      </c>
    </row>
    <row r="127" spans="2:5">
      <c r="B127" s="22" t="s">
        <v>100</v>
      </c>
      <c r="C127" s="89"/>
      <c r="D127" s="91">
        <v>0</v>
      </c>
      <c r="E127" s="92">
        <v>0</v>
      </c>
    </row>
    <row r="128" spans="2:5">
      <c r="B128" s="22" t="s">
        <v>193</v>
      </c>
      <c r="C128" s="89">
        <v>0</v>
      </c>
      <c r="D128" s="91">
        <v>0</v>
      </c>
      <c r="E128" s="92">
        <v>0</v>
      </c>
    </row>
    <row r="129" spans="2:5">
      <c r="B129" s="22" t="s">
        <v>251</v>
      </c>
      <c r="C129" s="89">
        <v>1380</v>
      </c>
      <c r="D129" s="91">
        <v>33760</v>
      </c>
      <c r="E129" s="92">
        <v>38262</v>
      </c>
    </row>
    <row r="130" spans="2:5">
      <c r="B130" s="22" t="s">
        <v>300</v>
      </c>
      <c r="C130" s="89"/>
      <c r="D130" s="91">
        <v>0</v>
      </c>
      <c r="E130" s="92">
        <v>0</v>
      </c>
    </row>
    <row r="131" spans="2:5">
      <c r="B131" s="22" t="s">
        <v>188</v>
      </c>
      <c r="C131" s="89">
        <v>0</v>
      </c>
      <c r="D131" s="91">
        <v>1926</v>
      </c>
      <c r="E131" s="92">
        <v>2259</v>
      </c>
    </row>
    <row r="132" spans="2:5">
      <c r="B132" s="22" t="s">
        <v>309</v>
      </c>
      <c r="C132" s="89">
        <v>0</v>
      </c>
      <c r="D132" s="91">
        <v>265</v>
      </c>
      <c r="E132" s="92">
        <v>271</v>
      </c>
    </row>
    <row r="133" spans="2:5">
      <c r="B133" s="22" t="s">
        <v>91</v>
      </c>
      <c r="C133" s="89">
        <v>0</v>
      </c>
      <c r="D133" s="91">
        <v>0</v>
      </c>
      <c r="E133" s="92">
        <v>0</v>
      </c>
    </row>
    <row r="134" spans="2:5">
      <c r="B134" s="22" t="s">
        <v>324</v>
      </c>
      <c r="C134" s="89"/>
      <c r="D134" s="91">
        <v>0</v>
      </c>
      <c r="E134" s="92">
        <v>0</v>
      </c>
    </row>
    <row r="135" spans="2:5">
      <c r="B135" s="22" t="s">
        <v>136</v>
      </c>
      <c r="C135" s="89"/>
      <c r="D135" s="91">
        <v>0</v>
      </c>
      <c r="E135" s="92">
        <v>0</v>
      </c>
    </row>
    <row r="136" spans="2:5">
      <c r="B136" s="22" t="s">
        <v>137</v>
      </c>
      <c r="C136" s="89"/>
      <c r="D136" s="91">
        <v>0</v>
      </c>
      <c r="E136" s="92">
        <v>0</v>
      </c>
    </row>
    <row r="137" spans="2:5">
      <c r="B137" s="22" t="s">
        <v>233</v>
      </c>
      <c r="C137" s="89">
        <v>450</v>
      </c>
      <c r="D137" s="91">
        <v>18738</v>
      </c>
      <c r="E137" s="92">
        <v>19307</v>
      </c>
    </row>
    <row r="138" spans="2:5">
      <c r="B138" s="22" t="s">
        <v>235</v>
      </c>
      <c r="C138" s="89">
        <v>0</v>
      </c>
      <c r="D138" s="91">
        <v>1681</v>
      </c>
      <c r="E138" s="92">
        <v>2323</v>
      </c>
    </row>
    <row r="139" spans="2:5">
      <c r="B139" s="22" t="s">
        <v>141</v>
      </c>
      <c r="C139" s="89"/>
      <c r="D139" s="91">
        <v>0</v>
      </c>
      <c r="E139" s="92">
        <v>0</v>
      </c>
    </row>
    <row r="140" spans="2:5">
      <c r="B140" s="22" t="s">
        <v>139</v>
      </c>
      <c r="C140" s="89"/>
      <c r="D140" s="91">
        <v>0</v>
      </c>
      <c r="E140" s="92">
        <v>0</v>
      </c>
    </row>
    <row r="141" spans="2:5">
      <c r="B141" s="22" t="s">
        <v>148</v>
      </c>
      <c r="C141" s="89">
        <v>630</v>
      </c>
      <c r="D141" s="91">
        <v>120029</v>
      </c>
      <c r="E141" s="92">
        <v>127072</v>
      </c>
    </row>
    <row r="142" spans="2:5">
      <c r="B142" s="22" t="s">
        <v>144</v>
      </c>
      <c r="C142" s="89"/>
      <c r="D142" s="91">
        <v>0</v>
      </c>
      <c r="E142" s="92">
        <v>0</v>
      </c>
    </row>
    <row r="143" spans="2:5">
      <c r="B143" s="22" t="s">
        <v>393</v>
      </c>
      <c r="C143" s="89"/>
      <c r="D143" s="91">
        <v>0</v>
      </c>
      <c r="E143" s="92">
        <v>0</v>
      </c>
    </row>
    <row r="144" spans="2:5">
      <c r="B144" s="22" t="s">
        <v>220</v>
      </c>
      <c r="C144" s="89">
        <v>0</v>
      </c>
      <c r="D144" s="91">
        <v>0</v>
      </c>
      <c r="E144" s="92">
        <v>52</v>
      </c>
    </row>
    <row r="145" spans="2:5">
      <c r="B145" s="22" t="s">
        <v>246</v>
      </c>
      <c r="C145" s="89">
        <v>5</v>
      </c>
      <c r="D145" s="91">
        <v>18</v>
      </c>
      <c r="E145" s="92">
        <v>36</v>
      </c>
    </row>
    <row r="146" spans="2:5">
      <c r="B146" s="22" t="s">
        <v>173</v>
      </c>
      <c r="C146" s="89"/>
      <c r="D146" s="91">
        <v>0</v>
      </c>
      <c r="E146" s="92">
        <v>0</v>
      </c>
    </row>
    <row r="147" spans="2:5">
      <c r="B147" s="22" t="s">
        <v>369</v>
      </c>
      <c r="C147" s="89"/>
      <c r="D147" s="91">
        <v>0</v>
      </c>
      <c r="E147" s="92">
        <v>0</v>
      </c>
    </row>
    <row r="148" spans="2:5">
      <c r="B148" s="22" t="s">
        <v>202</v>
      </c>
      <c r="C148" s="89">
        <v>0</v>
      </c>
      <c r="D148" s="91">
        <v>0</v>
      </c>
      <c r="E148" s="92">
        <v>0</v>
      </c>
    </row>
    <row r="149" spans="2:5">
      <c r="B149" s="22" t="s">
        <v>199</v>
      </c>
      <c r="C149" s="89">
        <v>0</v>
      </c>
      <c r="D149" s="91">
        <v>0</v>
      </c>
      <c r="E149" s="92">
        <v>211</v>
      </c>
    </row>
    <row r="150" spans="2:5">
      <c r="B150" s="22" t="s">
        <v>200</v>
      </c>
      <c r="C150" s="89">
        <v>0</v>
      </c>
      <c r="D150" s="91">
        <v>0</v>
      </c>
      <c r="E150" s="92">
        <v>0</v>
      </c>
    </row>
    <row r="151" spans="2:5">
      <c r="B151" s="22" t="s">
        <v>116</v>
      </c>
      <c r="C151" s="89"/>
      <c r="D151" s="91">
        <v>0</v>
      </c>
      <c r="E151" s="92">
        <v>0</v>
      </c>
    </row>
    <row r="152" spans="2:5">
      <c r="B152" s="22" t="s">
        <v>166</v>
      </c>
      <c r="C152" s="89"/>
      <c r="D152" s="91">
        <v>0</v>
      </c>
      <c r="E152" s="92">
        <v>0</v>
      </c>
    </row>
    <row r="153" spans="2:5">
      <c r="B153" s="22" t="s">
        <v>168</v>
      </c>
      <c r="C153" s="89">
        <v>0</v>
      </c>
      <c r="D153" s="91">
        <v>0</v>
      </c>
      <c r="E153" s="92">
        <v>0</v>
      </c>
    </row>
    <row r="154" spans="2:5">
      <c r="B154" s="22" t="s">
        <v>267</v>
      </c>
      <c r="C154" s="89">
        <v>20</v>
      </c>
      <c r="D154" s="91">
        <v>170</v>
      </c>
      <c r="E154" s="92">
        <v>513</v>
      </c>
    </row>
    <row r="155" spans="2:5">
      <c r="B155" s="22" t="s">
        <v>85</v>
      </c>
      <c r="C155" s="89"/>
      <c r="D155" s="91">
        <v>0</v>
      </c>
      <c r="E155" s="92">
        <v>0</v>
      </c>
    </row>
    <row r="156" spans="2:5">
      <c r="B156" s="22" t="s">
        <v>616</v>
      </c>
      <c r="C156" s="89">
        <v>4720</v>
      </c>
      <c r="D156" s="91">
        <v>330675</v>
      </c>
      <c r="E156" s="92">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621</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902</v>
      </c>
    </row>
    <row r="3" spans="3:3">
      <c r="C3" t="s">
        <v>901</v>
      </c>
    </row>
    <row r="4" spans="3:3" ht="14">
      <c r="C4" s="147">
        <v>98201</v>
      </c>
    </row>
    <row r="5" spans="3:3" ht="14">
      <c r="C5" s="148">
        <v>99269</v>
      </c>
    </row>
    <row r="6" spans="3:3" ht="14">
      <c r="C6" s="147">
        <v>99288</v>
      </c>
    </row>
    <row r="7" spans="3:3" ht="14">
      <c r="C7" s="148">
        <v>99132</v>
      </c>
    </row>
    <row r="8" spans="3:3" ht="14">
      <c r="C8" s="147">
        <v>99133</v>
      </c>
    </row>
    <row r="9" spans="3:3" ht="14">
      <c r="C9" s="148">
        <v>99247</v>
      </c>
    </row>
    <row r="10" spans="3:3">
      <c r="C10" s="138"/>
    </row>
    <row r="11" spans="3:3">
      <c r="C11" s="138"/>
    </row>
    <row r="12" spans="3:3">
      <c r="C12" s="138"/>
    </row>
    <row r="13" spans="3:3" ht="14">
      <c r="C13" s="129"/>
    </row>
    <row r="14" spans="3:3" ht="14">
      <c r="C14" s="128"/>
    </row>
    <row r="15" spans="3:3" ht="14">
      <c r="C15" s="129"/>
    </row>
    <row r="16" spans="3:3" ht="14">
      <c r="C16" s="128"/>
    </row>
    <row r="17" spans="3:3" ht="14">
      <c r="C17" s="129"/>
    </row>
    <row r="18" spans="3:3" ht="14">
      <c r="C18" s="128"/>
    </row>
    <row r="19" spans="3:3" ht="14">
      <c r="C19" s="129"/>
    </row>
    <row r="20" spans="3:3" ht="14">
      <c r="C20" s="128"/>
    </row>
    <row r="21" spans="3:3" ht="14">
      <c r="C21" s="129"/>
    </row>
    <row r="22" spans="3:3" ht="14">
      <c r="C22" s="128"/>
    </row>
    <row r="23" spans="3:3" ht="14">
      <c r="C23" s="129"/>
    </row>
    <row r="24" spans="3:3" ht="14">
      <c r="C24" s="128"/>
    </row>
    <row r="25" spans="3:3" ht="14">
      <c r="C25" s="84"/>
    </row>
    <row r="26" spans="3:3" ht="14">
      <c r="C26" s="85"/>
    </row>
    <row r="27" spans="3:3" ht="14">
      <c r="C27" s="84"/>
    </row>
    <row r="28" spans="3:3" ht="14">
      <c r="C28" s="85"/>
    </row>
    <row r="29" spans="3:3" ht="14">
      <c r="C29" s="84"/>
    </row>
    <row r="30" spans="3:3" ht="14">
      <c r="C30" s="85"/>
    </row>
    <row r="31" spans="3:3" ht="14">
      <c r="C31" s="84"/>
    </row>
    <row r="32" spans="3:3" ht="14">
      <c r="C32" s="85"/>
    </row>
    <row r="33" spans="3:3" ht="14">
      <c r="C33" s="84"/>
    </row>
    <row r="34" spans="3:3" ht="14">
      <c r="C34" s="85"/>
    </row>
    <row r="35" spans="3:3" ht="14">
      <c r="C35" s="84"/>
    </row>
    <row r="36" spans="3:3" ht="14">
      <c r="C36" s="85"/>
    </row>
    <row r="37" spans="3:3" ht="14">
      <c r="C37" s="84"/>
    </row>
    <row r="38" spans="3:3" ht="14">
      <c r="C38" s="85"/>
    </row>
    <row r="39" spans="3:3" ht="14">
      <c r="C39" s="84"/>
    </row>
    <row r="40" spans="3:3" ht="14">
      <c r="C40" s="85"/>
    </row>
    <row r="41" spans="3:3" ht="14">
      <c r="C41" s="84"/>
    </row>
    <row r="42" spans="3:3" ht="14">
      <c r="C42" s="85"/>
    </row>
    <row r="43" spans="3:3" ht="14">
      <c r="C43" s="84"/>
    </row>
    <row r="44" spans="3:3" ht="14">
      <c r="C44" s="85"/>
    </row>
    <row r="45" spans="3:3" ht="14">
      <c r="C45" s="86"/>
    </row>
    <row r="46" spans="3:3" ht="14">
      <c r="C46" s="85"/>
    </row>
    <row r="47" spans="3:3" ht="14">
      <c r="C47" s="84"/>
    </row>
    <row r="48" spans="3:3" ht="14">
      <c r="C48" s="85"/>
    </row>
    <row r="49" spans="3:3" ht="14">
      <c r="C49" s="84"/>
    </row>
    <row r="50" spans="3:3" ht="14">
      <c r="C50" s="85"/>
    </row>
    <row r="51" spans="3:3" ht="14">
      <c r="C51" s="84"/>
    </row>
    <row r="52" spans="3:3" ht="14">
      <c r="C52" s="85"/>
    </row>
    <row r="53" spans="3:3" ht="14">
      <c r="C53" s="84"/>
    </row>
    <row r="54" spans="3:3" ht="14">
      <c r="C54" s="85"/>
    </row>
    <row r="55" spans="3:3" ht="14">
      <c r="C55" s="84"/>
    </row>
    <row r="56" spans="3:3" ht="14">
      <c r="C56" s="85"/>
    </row>
    <row r="57" spans="3:3" ht="14">
      <c r="C57" s="84"/>
    </row>
    <row r="58" spans="3:3" ht="14">
      <c r="C58" s="85"/>
    </row>
    <row r="59" spans="3:3" ht="14">
      <c r="C59" s="84"/>
    </row>
    <row r="60" spans="3:3" ht="14">
      <c r="C60" s="85"/>
    </row>
    <row r="61" spans="3:3" ht="14">
      <c r="C61" s="84"/>
    </row>
    <row r="62" spans="3:3" ht="14">
      <c r="C62" s="85"/>
    </row>
    <row r="63" spans="3:3" ht="14">
      <c r="C63" s="84"/>
    </row>
    <row r="64" spans="3:3" ht="14">
      <c r="C64" s="85"/>
    </row>
    <row r="65" spans="3:3" ht="14">
      <c r="C65" s="84"/>
    </row>
    <row r="66" spans="3:3" ht="14">
      <c r="C66" s="85"/>
    </row>
    <row r="67" spans="3:3" ht="14">
      <c r="C67" s="84"/>
    </row>
    <row r="68" spans="3:3" ht="14">
      <c r="C68" s="85"/>
    </row>
  </sheetData>
  <conditionalFormatting sqref="C25:C67">
    <cfRule type="duplicateValues" dxfId="6" priority="25"/>
  </conditionalFormatting>
  <conditionalFormatting sqref="C17:C24">
    <cfRule type="duplicateValues" dxfId="5" priority="22"/>
  </conditionalFormatting>
  <conditionalFormatting sqref="C17:C23">
    <cfRule type="duplicateValues" dxfId="4" priority="21"/>
  </conditionalFormatting>
  <conditionalFormatting sqref="C13:C16">
    <cfRule type="duplicateValues" dxfId="3" priority="14"/>
  </conditionalFormatting>
  <conditionalFormatting sqref="C13:C16">
    <cfRule type="duplicateValues" dxfId="2" priority="13"/>
  </conditionalFormatting>
  <conditionalFormatting sqref="C10:C12">
    <cfRule type="duplicateValues" dxfId="1" priority="8"/>
  </conditionalFormatting>
  <conditionalFormatting sqref="C4:C9">
    <cfRule type="duplicateValues" dxfId="0" priority="1"/>
  </conditionalFormatting>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191"/>
  <sheetViews>
    <sheetView workbookViewId="0">
      <selection activeCell="D1" sqref="D1:D191"/>
    </sheetView>
  </sheetViews>
  <sheetFormatPr baseColWidth="10" defaultColWidth="12" defaultRowHeight="12" x14ac:dyDescent="0"/>
  <sheetData>
    <row r="1" spans="1:4">
      <c r="A1">
        <v>0</v>
      </c>
      <c r="C1">
        <v>0</v>
      </c>
    </row>
    <row r="2" spans="1:4">
      <c r="A2">
        <v>1</v>
      </c>
      <c r="C2">
        <v>1</v>
      </c>
    </row>
    <row r="3" spans="1:4">
      <c r="A3">
        <v>2</v>
      </c>
      <c r="C3">
        <v>2</v>
      </c>
    </row>
    <row r="4" spans="1:4">
      <c r="A4">
        <v>3</v>
      </c>
      <c r="C4">
        <v>3</v>
      </c>
    </row>
    <row r="5" spans="1:4">
      <c r="A5">
        <v>4</v>
      </c>
      <c r="C5">
        <v>4</v>
      </c>
    </row>
    <row r="6" spans="1:4">
      <c r="A6">
        <v>5</v>
      </c>
      <c r="C6">
        <v>5</v>
      </c>
    </row>
    <row r="7" spans="1:4">
      <c r="A7">
        <v>6</v>
      </c>
      <c r="C7">
        <v>6</v>
      </c>
    </row>
    <row r="8" spans="1:4">
      <c r="A8">
        <v>7</v>
      </c>
      <c r="B8">
        <v>147</v>
      </c>
      <c r="C8">
        <v>7</v>
      </c>
      <c r="D8">
        <v>154</v>
      </c>
    </row>
    <row r="9" spans="1:4">
      <c r="A9">
        <v>8</v>
      </c>
      <c r="C9">
        <v>8</v>
      </c>
    </row>
    <row r="10" spans="1:4">
      <c r="A10">
        <v>9</v>
      </c>
      <c r="C10">
        <v>9</v>
      </c>
    </row>
    <row r="11" spans="1:4">
      <c r="A11">
        <v>10</v>
      </c>
      <c r="C11">
        <v>10</v>
      </c>
    </row>
    <row r="12" spans="1:4">
      <c r="A12">
        <v>11</v>
      </c>
      <c r="B12">
        <v>100</v>
      </c>
      <c r="C12">
        <v>11</v>
      </c>
      <c r="D12">
        <v>224</v>
      </c>
    </row>
    <row r="13" spans="1:4">
      <c r="A13">
        <v>12</v>
      </c>
      <c r="C13">
        <v>12</v>
      </c>
    </row>
    <row r="14" spans="1:4">
      <c r="A14">
        <v>13</v>
      </c>
      <c r="C14">
        <v>13</v>
      </c>
    </row>
    <row r="15" spans="1:4">
      <c r="A15">
        <v>14</v>
      </c>
      <c r="C15">
        <v>14</v>
      </c>
    </row>
    <row r="16" spans="1:4">
      <c r="A16">
        <v>15</v>
      </c>
      <c r="C16">
        <v>15</v>
      </c>
    </row>
    <row r="17" spans="1:4">
      <c r="A17">
        <v>16</v>
      </c>
      <c r="B17">
        <v>384</v>
      </c>
      <c r="C17">
        <v>16</v>
      </c>
      <c r="D17">
        <v>1361</v>
      </c>
    </row>
    <row r="18" spans="1:4">
      <c r="A18">
        <v>17</v>
      </c>
      <c r="C18">
        <v>17</v>
      </c>
    </row>
    <row r="19" spans="1:4">
      <c r="A19">
        <v>18</v>
      </c>
      <c r="B19">
        <v>701</v>
      </c>
      <c r="C19">
        <v>18</v>
      </c>
      <c r="D19">
        <v>58</v>
      </c>
    </row>
    <row r="20" spans="1:4">
      <c r="A20">
        <v>19</v>
      </c>
      <c r="B20">
        <v>384</v>
      </c>
      <c r="C20">
        <v>19</v>
      </c>
      <c r="D20">
        <v>0</v>
      </c>
    </row>
    <row r="21" spans="1:4">
      <c r="A21">
        <v>20</v>
      </c>
      <c r="B21">
        <v>182</v>
      </c>
      <c r="C21">
        <v>20</v>
      </c>
      <c r="D21">
        <v>686</v>
      </c>
    </row>
    <row r="22" spans="1:4">
      <c r="A22">
        <v>21</v>
      </c>
      <c r="B22">
        <v>112</v>
      </c>
      <c r="C22">
        <v>21</v>
      </c>
      <c r="D22">
        <v>0</v>
      </c>
    </row>
    <row r="23" spans="1:4">
      <c r="A23">
        <v>22</v>
      </c>
      <c r="C23">
        <v>22</v>
      </c>
    </row>
    <row r="24" spans="1:4">
      <c r="A24">
        <v>23</v>
      </c>
      <c r="C24">
        <v>23</v>
      </c>
    </row>
    <row r="25" spans="1:4">
      <c r="A25">
        <v>24</v>
      </c>
      <c r="C25">
        <v>24</v>
      </c>
    </row>
    <row r="26" spans="1:4">
      <c r="A26">
        <v>25</v>
      </c>
      <c r="C26">
        <v>25</v>
      </c>
    </row>
    <row r="27" spans="1:4">
      <c r="A27">
        <v>26</v>
      </c>
      <c r="B27">
        <v>123</v>
      </c>
      <c r="C27">
        <v>26</v>
      </c>
      <c r="D27">
        <v>7</v>
      </c>
    </row>
    <row r="28" spans="1:4">
      <c r="A28">
        <v>27</v>
      </c>
      <c r="C28">
        <v>27</v>
      </c>
    </row>
    <row r="29" spans="1:4">
      <c r="A29">
        <v>28</v>
      </c>
      <c r="C29">
        <v>28</v>
      </c>
    </row>
    <row r="30" spans="1:4">
      <c r="A30">
        <v>29</v>
      </c>
      <c r="B30">
        <v>0</v>
      </c>
      <c r="C30">
        <v>29</v>
      </c>
      <c r="D30">
        <v>0</v>
      </c>
    </row>
    <row r="31" spans="1:4">
      <c r="A31">
        <v>30</v>
      </c>
      <c r="C31">
        <v>30</v>
      </c>
    </row>
    <row r="32" spans="1:4">
      <c r="A32">
        <v>31</v>
      </c>
      <c r="C32">
        <v>31</v>
      </c>
    </row>
    <row r="33" spans="1:4">
      <c r="A33">
        <v>32</v>
      </c>
      <c r="B33">
        <v>27</v>
      </c>
      <c r="C33">
        <v>32</v>
      </c>
      <c r="D33">
        <v>78</v>
      </c>
    </row>
    <row r="34" spans="1:4">
      <c r="A34">
        <v>33</v>
      </c>
      <c r="C34">
        <v>33</v>
      </c>
    </row>
    <row r="35" spans="1:4">
      <c r="A35">
        <v>34</v>
      </c>
      <c r="C35">
        <v>34</v>
      </c>
    </row>
    <row r="36" spans="1:4">
      <c r="A36">
        <v>35</v>
      </c>
      <c r="C36">
        <v>35</v>
      </c>
    </row>
    <row r="37" spans="1:4">
      <c r="A37">
        <v>36</v>
      </c>
      <c r="B37">
        <v>104</v>
      </c>
      <c r="C37">
        <v>36</v>
      </c>
      <c r="D37">
        <v>30</v>
      </c>
    </row>
    <row r="38" spans="1:4">
      <c r="A38">
        <v>37</v>
      </c>
      <c r="C38">
        <v>37</v>
      </c>
    </row>
    <row r="39" spans="1:4">
      <c r="A39">
        <v>38</v>
      </c>
      <c r="C39">
        <v>38</v>
      </c>
    </row>
    <row r="40" spans="1:4">
      <c r="A40">
        <v>39</v>
      </c>
      <c r="C40">
        <v>39</v>
      </c>
    </row>
    <row r="41" spans="1:4">
      <c r="A41">
        <v>40</v>
      </c>
      <c r="C41">
        <v>40</v>
      </c>
    </row>
    <row r="42" spans="1:4">
      <c r="A42">
        <v>41</v>
      </c>
      <c r="C42">
        <v>41</v>
      </c>
    </row>
    <row r="43" spans="1:4">
      <c r="A43">
        <v>42</v>
      </c>
      <c r="C43">
        <v>42</v>
      </c>
    </row>
    <row r="44" spans="1:4">
      <c r="A44">
        <v>43</v>
      </c>
      <c r="C44">
        <v>43</v>
      </c>
    </row>
    <row r="45" spans="1:4">
      <c r="A45">
        <v>44</v>
      </c>
      <c r="C45">
        <v>44</v>
      </c>
    </row>
    <row r="46" spans="1:4">
      <c r="A46">
        <v>45</v>
      </c>
      <c r="C46">
        <v>45</v>
      </c>
    </row>
    <row r="47" spans="1:4">
      <c r="A47">
        <v>46</v>
      </c>
      <c r="C47">
        <v>46</v>
      </c>
    </row>
    <row r="48" spans="1:4">
      <c r="A48">
        <v>47</v>
      </c>
      <c r="C48">
        <v>47</v>
      </c>
    </row>
    <row r="49" spans="1:4">
      <c r="A49">
        <v>48</v>
      </c>
      <c r="B49">
        <v>150</v>
      </c>
      <c r="C49">
        <v>48</v>
      </c>
      <c r="D49">
        <v>25</v>
      </c>
    </row>
    <row r="50" spans="1:4">
      <c r="A50">
        <v>49</v>
      </c>
      <c r="C50">
        <v>49</v>
      </c>
    </row>
    <row r="51" spans="1:4">
      <c r="A51">
        <v>50</v>
      </c>
      <c r="C51">
        <v>50</v>
      </c>
    </row>
    <row r="52" spans="1:4">
      <c r="A52">
        <v>51</v>
      </c>
      <c r="C52">
        <v>51</v>
      </c>
    </row>
    <row r="53" spans="1:4">
      <c r="A53">
        <v>52</v>
      </c>
      <c r="C53">
        <v>52</v>
      </c>
    </row>
    <row r="54" spans="1:4">
      <c r="A54">
        <v>53</v>
      </c>
      <c r="C54">
        <v>53</v>
      </c>
    </row>
    <row r="55" spans="1:4">
      <c r="A55">
        <v>54</v>
      </c>
      <c r="C55">
        <v>54</v>
      </c>
    </row>
    <row r="56" spans="1:4">
      <c r="A56">
        <v>55</v>
      </c>
      <c r="C56">
        <v>55</v>
      </c>
    </row>
    <row r="57" spans="1:4">
      <c r="A57">
        <v>56</v>
      </c>
      <c r="C57">
        <v>56</v>
      </c>
    </row>
    <row r="58" spans="1:4">
      <c r="A58">
        <v>57</v>
      </c>
      <c r="C58">
        <v>57</v>
      </c>
    </row>
    <row r="59" spans="1:4">
      <c r="A59">
        <v>58</v>
      </c>
      <c r="C59">
        <v>58</v>
      </c>
    </row>
    <row r="60" spans="1:4">
      <c r="A60">
        <v>59</v>
      </c>
      <c r="C60">
        <v>59</v>
      </c>
    </row>
    <row r="61" spans="1:4">
      <c r="A61">
        <v>60</v>
      </c>
      <c r="C61">
        <v>60</v>
      </c>
    </row>
    <row r="62" spans="1:4">
      <c r="A62">
        <v>61</v>
      </c>
      <c r="C62">
        <v>61</v>
      </c>
    </row>
    <row r="63" spans="1:4">
      <c r="A63">
        <v>62</v>
      </c>
      <c r="C63">
        <v>62</v>
      </c>
    </row>
    <row r="64" spans="1:4">
      <c r="A64">
        <v>63</v>
      </c>
      <c r="C64">
        <v>63</v>
      </c>
    </row>
    <row r="65" spans="1:3">
      <c r="A65">
        <v>64</v>
      </c>
      <c r="C65">
        <v>64</v>
      </c>
    </row>
    <row r="66" spans="1:3">
      <c r="A66">
        <v>65</v>
      </c>
      <c r="C66">
        <v>65</v>
      </c>
    </row>
    <row r="67" spans="1:3">
      <c r="A67">
        <v>66</v>
      </c>
      <c r="C67">
        <v>66</v>
      </c>
    </row>
    <row r="68" spans="1:3">
      <c r="A68">
        <v>67</v>
      </c>
      <c r="C68">
        <v>67</v>
      </c>
    </row>
    <row r="69" spans="1:3">
      <c r="A69">
        <v>68</v>
      </c>
      <c r="C69">
        <v>68</v>
      </c>
    </row>
    <row r="70" spans="1:3">
      <c r="A70">
        <v>69</v>
      </c>
      <c r="C70">
        <v>69</v>
      </c>
    </row>
    <row r="71" spans="1:3">
      <c r="A71">
        <v>70</v>
      </c>
      <c r="C71">
        <v>70</v>
      </c>
    </row>
    <row r="72" spans="1:3">
      <c r="A72">
        <v>71</v>
      </c>
      <c r="C72">
        <v>71</v>
      </c>
    </row>
    <row r="73" spans="1:3">
      <c r="A73">
        <v>72</v>
      </c>
      <c r="C73">
        <v>72</v>
      </c>
    </row>
    <row r="74" spans="1:3">
      <c r="A74">
        <v>73</v>
      </c>
      <c r="C74">
        <v>73</v>
      </c>
    </row>
    <row r="75" spans="1:3">
      <c r="A75">
        <v>74</v>
      </c>
      <c r="C75">
        <v>74</v>
      </c>
    </row>
    <row r="76" spans="1:3">
      <c r="A76">
        <v>75</v>
      </c>
      <c r="C76">
        <v>75</v>
      </c>
    </row>
    <row r="77" spans="1:3">
      <c r="A77">
        <v>76</v>
      </c>
      <c r="C77">
        <v>76</v>
      </c>
    </row>
    <row r="78" spans="1:3">
      <c r="A78">
        <v>77</v>
      </c>
      <c r="C78">
        <v>77</v>
      </c>
    </row>
    <row r="79" spans="1:3">
      <c r="A79">
        <v>78</v>
      </c>
      <c r="C79">
        <v>78</v>
      </c>
    </row>
    <row r="80" spans="1:3">
      <c r="A80">
        <v>79</v>
      </c>
      <c r="C80">
        <v>79</v>
      </c>
    </row>
    <row r="81" spans="1:4">
      <c r="A81">
        <v>80</v>
      </c>
      <c r="C81">
        <v>80</v>
      </c>
    </row>
    <row r="82" spans="1:4">
      <c r="A82">
        <v>81</v>
      </c>
      <c r="C82">
        <v>81</v>
      </c>
    </row>
    <row r="83" spans="1:4">
      <c r="A83">
        <v>82</v>
      </c>
      <c r="C83">
        <v>82</v>
      </c>
    </row>
    <row r="84" spans="1:4">
      <c r="A84">
        <v>83</v>
      </c>
      <c r="C84">
        <v>83</v>
      </c>
    </row>
    <row r="85" spans="1:4">
      <c r="A85">
        <v>84</v>
      </c>
      <c r="C85">
        <v>84</v>
      </c>
    </row>
    <row r="86" spans="1:4">
      <c r="A86">
        <v>85</v>
      </c>
      <c r="C86">
        <v>85</v>
      </c>
    </row>
    <row r="87" spans="1:4">
      <c r="A87">
        <v>86</v>
      </c>
      <c r="C87">
        <v>86</v>
      </c>
    </row>
    <row r="88" spans="1:4">
      <c r="A88">
        <v>87</v>
      </c>
      <c r="B88">
        <v>169</v>
      </c>
      <c r="C88">
        <v>87</v>
      </c>
      <c r="D88">
        <v>-169</v>
      </c>
    </row>
    <row r="89" spans="1:4">
      <c r="A89">
        <v>88</v>
      </c>
      <c r="C89">
        <v>88</v>
      </c>
    </row>
    <row r="90" spans="1:4">
      <c r="A90">
        <v>89</v>
      </c>
      <c r="C90">
        <v>89</v>
      </c>
    </row>
    <row r="91" spans="1:4">
      <c r="A91">
        <v>90</v>
      </c>
      <c r="B91">
        <v>81</v>
      </c>
      <c r="C91">
        <v>90</v>
      </c>
      <c r="D91">
        <v>15</v>
      </c>
    </row>
    <row r="92" spans="1:4">
      <c r="A92">
        <v>91</v>
      </c>
      <c r="C92">
        <v>91</v>
      </c>
    </row>
    <row r="93" spans="1:4">
      <c r="A93">
        <v>92</v>
      </c>
      <c r="C93">
        <v>92</v>
      </c>
    </row>
    <row r="94" spans="1:4">
      <c r="A94">
        <v>93</v>
      </c>
      <c r="C94">
        <v>93</v>
      </c>
    </row>
    <row r="95" spans="1:4">
      <c r="A95">
        <v>94</v>
      </c>
      <c r="C95">
        <v>94</v>
      </c>
    </row>
    <row r="96" spans="1:4">
      <c r="A96">
        <v>95</v>
      </c>
      <c r="C96">
        <v>95</v>
      </c>
    </row>
    <row r="97" spans="1:3">
      <c r="A97">
        <v>96</v>
      </c>
      <c r="C97">
        <v>96</v>
      </c>
    </row>
    <row r="98" spans="1:3">
      <c r="A98">
        <v>97</v>
      </c>
      <c r="C98">
        <v>97</v>
      </c>
    </row>
    <row r="99" spans="1:3">
      <c r="A99">
        <v>98</v>
      </c>
      <c r="C99">
        <v>98</v>
      </c>
    </row>
    <row r="100" spans="1:3">
      <c r="A100">
        <v>99</v>
      </c>
      <c r="C100">
        <v>99</v>
      </c>
    </row>
    <row r="101" spans="1:3">
      <c r="A101">
        <v>100</v>
      </c>
      <c r="C101">
        <v>100</v>
      </c>
    </row>
    <row r="102" spans="1:3">
      <c r="A102">
        <v>101</v>
      </c>
      <c r="C102">
        <v>101</v>
      </c>
    </row>
    <row r="103" spans="1:3">
      <c r="A103">
        <v>102</v>
      </c>
      <c r="C103">
        <v>102</v>
      </c>
    </row>
    <row r="104" spans="1:3">
      <c r="A104">
        <v>103</v>
      </c>
      <c r="C104">
        <v>103</v>
      </c>
    </row>
    <row r="105" spans="1:3">
      <c r="A105">
        <v>104</v>
      </c>
      <c r="C105">
        <v>104</v>
      </c>
    </row>
    <row r="106" spans="1:3">
      <c r="A106">
        <v>105</v>
      </c>
      <c r="C106">
        <v>105</v>
      </c>
    </row>
    <row r="107" spans="1:3">
      <c r="A107">
        <v>106</v>
      </c>
      <c r="C107">
        <v>106</v>
      </c>
    </row>
    <row r="108" spans="1:3">
      <c r="A108">
        <v>107</v>
      </c>
      <c r="C108">
        <v>107</v>
      </c>
    </row>
    <row r="109" spans="1:3">
      <c r="A109">
        <v>108</v>
      </c>
      <c r="C109">
        <v>108</v>
      </c>
    </row>
    <row r="110" spans="1:3">
      <c r="A110">
        <v>109</v>
      </c>
      <c r="C110">
        <v>109</v>
      </c>
    </row>
    <row r="111" spans="1:3">
      <c r="A111">
        <v>110</v>
      </c>
      <c r="C111">
        <v>110</v>
      </c>
    </row>
    <row r="112" spans="1:3">
      <c r="A112">
        <v>111</v>
      </c>
      <c r="C112">
        <v>111</v>
      </c>
    </row>
    <row r="113" spans="1:4">
      <c r="A113">
        <v>112</v>
      </c>
      <c r="C113">
        <v>112</v>
      </c>
    </row>
    <row r="114" spans="1:4">
      <c r="A114">
        <v>113</v>
      </c>
      <c r="C114">
        <v>113</v>
      </c>
    </row>
    <row r="115" spans="1:4">
      <c r="A115">
        <v>114</v>
      </c>
      <c r="C115">
        <v>114</v>
      </c>
    </row>
    <row r="116" spans="1:4">
      <c r="A116">
        <v>115</v>
      </c>
      <c r="B116">
        <v>257</v>
      </c>
      <c r="C116">
        <v>115</v>
      </c>
      <c r="D116">
        <v>1180</v>
      </c>
    </row>
    <row r="117" spans="1:4">
      <c r="A117">
        <v>116</v>
      </c>
      <c r="C117">
        <v>116</v>
      </c>
    </row>
    <row r="118" spans="1:4">
      <c r="A118">
        <v>117</v>
      </c>
      <c r="C118">
        <v>117</v>
      </c>
    </row>
    <row r="119" spans="1:4">
      <c r="A119">
        <v>118</v>
      </c>
      <c r="B119">
        <v>154</v>
      </c>
      <c r="C119">
        <v>118</v>
      </c>
      <c r="D119">
        <v>631</v>
      </c>
    </row>
    <row r="120" spans="1:4">
      <c r="A120">
        <v>119</v>
      </c>
      <c r="C120">
        <v>119</v>
      </c>
    </row>
    <row r="121" spans="1:4">
      <c r="A121">
        <v>120</v>
      </c>
      <c r="C121">
        <v>120</v>
      </c>
    </row>
    <row r="122" spans="1:4">
      <c r="A122">
        <v>121</v>
      </c>
      <c r="B122">
        <v>127</v>
      </c>
      <c r="C122">
        <v>121</v>
      </c>
      <c r="D122">
        <v>65</v>
      </c>
    </row>
    <row r="123" spans="1:4">
      <c r="A123">
        <v>122</v>
      </c>
      <c r="C123">
        <v>122</v>
      </c>
    </row>
    <row r="124" spans="1:4">
      <c r="A124">
        <v>123</v>
      </c>
      <c r="B124">
        <v>65</v>
      </c>
      <c r="C124">
        <v>123</v>
      </c>
      <c r="D124">
        <v>0</v>
      </c>
    </row>
    <row r="125" spans="1:4">
      <c r="A125">
        <v>124</v>
      </c>
      <c r="C125">
        <v>124</v>
      </c>
    </row>
    <row r="126" spans="1:4">
      <c r="A126">
        <v>125</v>
      </c>
      <c r="C126">
        <v>125</v>
      </c>
    </row>
    <row r="127" spans="1:4">
      <c r="A127">
        <v>126</v>
      </c>
      <c r="C127">
        <v>126</v>
      </c>
    </row>
    <row r="128" spans="1:4">
      <c r="A128">
        <v>127</v>
      </c>
      <c r="C128">
        <v>127</v>
      </c>
    </row>
    <row r="129" spans="1:4">
      <c r="A129">
        <v>128</v>
      </c>
      <c r="C129">
        <v>128</v>
      </c>
    </row>
    <row r="130" spans="1:4">
      <c r="A130">
        <v>129</v>
      </c>
      <c r="C130">
        <v>129</v>
      </c>
    </row>
    <row r="131" spans="1:4">
      <c r="A131">
        <v>130</v>
      </c>
      <c r="C131">
        <v>130</v>
      </c>
    </row>
    <row r="132" spans="1:4">
      <c r="A132">
        <v>131</v>
      </c>
      <c r="C132">
        <v>131</v>
      </c>
    </row>
    <row r="133" spans="1:4">
      <c r="A133">
        <v>132</v>
      </c>
      <c r="C133">
        <v>132</v>
      </c>
    </row>
    <row r="134" spans="1:4">
      <c r="A134">
        <v>133</v>
      </c>
      <c r="C134">
        <v>133</v>
      </c>
    </row>
    <row r="135" spans="1:4">
      <c r="A135">
        <v>134</v>
      </c>
      <c r="C135">
        <v>134</v>
      </c>
    </row>
    <row r="136" spans="1:4">
      <c r="A136">
        <v>135</v>
      </c>
      <c r="C136">
        <v>135</v>
      </c>
    </row>
    <row r="137" spans="1:4">
      <c r="A137">
        <v>136</v>
      </c>
      <c r="C137">
        <v>136</v>
      </c>
    </row>
    <row r="138" spans="1:4">
      <c r="A138">
        <v>137</v>
      </c>
      <c r="C138">
        <v>137</v>
      </c>
    </row>
    <row r="139" spans="1:4">
      <c r="A139">
        <v>138</v>
      </c>
      <c r="C139">
        <v>138</v>
      </c>
    </row>
    <row r="140" spans="1:4">
      <c r="A140">
        <v>139</v>
      </c>
      <c r="B140">
        <v>0</v>
      </c>
      <c r="C140">
        <v>139</v>
      </c>
      <c r="D140">
        <v>38</v>
      </c>
    </row>
    <row r="141" spans="1:4">
      <c r="A141">
        <v>140</v>
      </c>
      <c r="C141">
        <v>140</v>
      </c>
    </row>
    <row r="142" spans="1:4">
      <c r="A142">
        <v>141</v>
      </c>
      <c r="C142">
        <v>141</v>
      </c>
    </row>
    <row r="143" spans="1:4">
      <c r="A143">
        <v>142</v>
      </c>
      <c r="C143">
        <v>142</v>
      </c>
    </row>
    <row r="144" spans="1:4">
      <c r="A144">
        <v>143</v>
      </c>
      <c r="C144">
        <v>143</v>
      </c>
    </row>
    <row r="145" spans="1:4">
      <c r="A145">
        <v>144</v>
      </c>
      <c r="C145">
        <v>144</v>
      </c>
    </row>
    <row r="146" spans="1:4">
      <c r="A146">
        <v>145</v>
      </c>
      <c r="C146">
        <v>145</v>
      </c>
    </row>
    <row r="147" spans="1:4">
      <c r="A147">
        <v>146</v>
      </c>
      <c r="B147">
        <v>196</v>
      </c>
      <c r="C147">
        <v>146</v>
      </c>
      <c r="D147">
        <v>67</v>
      </c>
    </row>
    <row r="148" spans="1:4">
      <c r="A148">
        <v>147</v>
      </c>
      <c r="C148">
        <v>147</v>
      </c>
    </row>
    <row r="149" spans="1:4">
      <c r="A149">
        <v>148</v>
      </c>
      <c r="B149">
        <v>55</v>
      </c>
      <c r="C149">
        <v>148</v>
      </c>
      <c r="D149">
        <v>24</v>
      </c>
    </row>
    <row r="150" spans="1:4">
      <c r="A150">
        <v>149</v>
      </c>
      <c r="C150">
        <v>149</v>
      </c>
    </row>
    <row r="151" spans="1:4">
      <c r="A151">
        <v>150</v>
      </c>
      <c r="B151">
        <v>0</v>
      </c>
      <c r="C151">
        <v>150</v>
      </c>
      <c r="D151">
        <v>0</v>
      </c>
    </row>
    <row r="152" spans="1:4">
      <c r="A152">
        <v>151</v>
      </c>
      <c r="C152">
        <v>151</v>
      </c>
    </row>
    <row r="153" spans="1:4">
      <c r="A153">
        <v>152</v>
      </c>
      <c r="C153">
        <v>152</v>
      </c>
    </row>
    <row r="154" spans="1:4">
      <c r="A154">
        <v>153</v>
      </c>
      <c r="C154">
        <v>153</v>
      </c>
    </row>
    <row r="155" spans="1:4">
      <c r="A155">
        <v>154</v>
      </c>
      <c r="C155">
        <v>154</v>
      </c>
    </row>
    <row r="156" spans="1:4">
      <c r="A156">
        <v>155</v>
      </c>
      <c r="C156">
        <v>155</v>
      </c>
    </row>
    <row r="157" spans="1:4">
      <c r="A157">
        <v>156</v>
      </c>
      <c r="C157">
        <v>156</v>
      </c>
    </row>
    <row r="158" spans="1:4">
      <c r="A158">
        <v>157</v>
      </c>
      <c r="C158">
        <v>157</v>
      </c>
    </row>
    <row r="159" spans="1:4">
      <c r="A159">
        <v>158</v>
      </c>
      <c r="B159">
        <v>109</v>
      </c>
      <c r="C159">
        <v>158</v>
      </c>
      <c r="D159">
        <v>0</v>
      </c>
    </row>
    <row r="160" spans="1:4">
      <c r="A160">
        <v>159</v>
      </c>
      <c r="B160">
        <v>299</v>
      </c>
      <c r="C160">
        <v>159</v>
      </c>
      <c r="D160">
        <v>50</v>
      </c>
    </row>
    <row r="161" spans="1:4">
      <c r="A161">
        <v>160</v>
      </c>
      <c r="C161">
        <v>160</v>
      </c>
    </row>
    <row r="162" spans="1:4">
      <c r="A162">
        <v>161</v>
      </c>
      <c r="C162">
        <v>161</v>
      </c>
    </row>
    <row r="163" spans="1:4">
      <c r="A163">
        <v>162</v>
      </c>
      <c r="B163">
        <v>95</v>
      </c>
      <c r="C163">
        <v>162</v>
      </c>
      <c r="D163">
        <v>50</v>
      </c>
    </row>
    <row r="164" spans="1:4">
      <c r="A164">
        <v>163</v>
      </c>
      <c r="C164">
        <v>163</v>
      </c>
    </row>
    <row r="165" spans="1:4">
      <c r="A165">
        <v>164</v>
      </c>
      <c r="C165">
        <v>164</v>
      </c>
    </row>
    <row r="166" spans="1:4">
      <c r="A166">
        <v>165</v>
      </c>
      <c r="C166">
        <v>165</v>
      </c>
    </row>
    <row r="167" spans="1:4">
      <c r="A167">
        <v>166</v>
      </c>
      <c r="C167">
        <v>166</v>
      </c>
    </row>
    <row r="168" spans="1:4">
      <c r="A168">
        <v>167</v>
      </c>
      <c r="C168">
        <v>167</v>
      </c>
    </row>
    <row r="169" spans="1:4">
      <c r="A169">
        <v>168</v>
      </c>
      <c r="C169">
        <v>168</v>
      </c>
    </row>
    <row r="170" spans="1:4">
      <c r="A170">
        <v>169</v>
      </c>
      <c r="C170">
        <v>169</v>
      </c>
    </row>
    <row r="171" spans="1:4">
      <c r="A171">
        <v>170</v>
      </c>
      <c r="C171">
        <v>170</v>
      </c>
    </row>
    <row r="172" spans="1:4">
      <c r="A172">
        <v>171</v>
      </c>
      <c r="C172">
        <v>171</v>
      </c>
    </row>
    <row r="173" spans="1:4">
      <c r="A173">
        <v>172</v>
      </c>
      <c r="C173">
        <v>172</v>
      </c>
    </row>
    <row r="174" spans="1:4">
      <c r="A174">
        <v>173</v>
      </c>
      <c r="C174">
        <v>173</v>
      </c>
    </row>
    <row r="175" spans="1:4">
      <c r="A175">
        <v>174</v>
      </c>
      <c r="B175">
        <v>218</v>
      </c>
      <c r="C175">
        <v>174</v>
      </c>
      <c r="D175">
        <v>0</v>
      </c>
    </row>
    <row r="176" spans="1:4">
      <c r="A176">
        <v>175</v>
      </c>
      <c r="B176">
        <v>0</v>
      </c>
      <c r="C176">
        <v>175</v>
      </c>
      <c r="D176">
        <v>73</v>
      </c>
    </row>
    <row r="177" spans="1:4">
      <c r="A177">
        <v>176</v>
      </c>
      <c r="B177">
        <v>63</v>
      </c>
      <c r="C177">
        <v>176</v>
      </c>
      <c r="D177">
        <v>0</v>
      </c>
    </row>
    <row r="178" spans="1:4">
      <c r="A178">
        <v>177</v>
      </c>
      <c r="B178">
        <v>167</v>
      </c>
      <c r="C178">
        <v>177</v>
      </c>
      <c r="D178">
        <v>189</v>
      </c>
    </row>
    <row r="179" spans="1:4">
      <c r="A179">
        <v>178</v>
      </c>
      <c r="B179">
        <v>45</v>
      </c>
      <c r="C179">
        <v>178</v>
      </c>
      <c r="D179">
        <v>0</v>
      </c>
    </row>
    <row r="180" spans="1:4">
      <c r="A180">
        <v>179</v>
      </c>
      <c r="C180">
        <v>179</v>
      </c>
    </row>
    <row r="181" spans="1:4">
      <c r="A181">
        <v>180</v>
      </c>
      <c r="C181">
        <v>180</v>
      </c>
    </row>
    <row r="182" spans="1:4">
      <c r="A182">
        <v>181</v>
      </c>
      <c r="B182">
        <v>410</v>
      </c>
      <c r="C182">
        <v>181</v>
      </c>
      <c r="D182">
        <v>0</v>
      </c>
    </row>
    <row r="183" spans="1:4">
      <c r="A183">
        <v>182</v>
      </c>
      <c r="B183">
        <v>250</v>
      </c>
      <c r="C183">
        <v>182</v>
      </c>
      <c r="D183">
        <v>0</v>
      </c>
    </row>
    <row r="184" spans="1:4">
      <c r="A184">
        <v>183</v>
      </c>
      <c r="B184">
        <v>297</v>
      </c>
      <c r="C184">
        <v>183</v>
      </c>
      <c r="D184">
        <v>0</v>
      </c>
    </row>
    <row r="185" spans="1:4">
      <c r="A185">
        <v>184</v>
      </c>
      <c r="C185">
        <v>184</v>
      </c>
    </row>
    <row r="186" spans="1:4">
      <c r="A186">
        <v>185</v>
      </c>
      <c r="C186">
        <v>185</v>
      </c>
    </row>
    <row r="187" spans="1:4">
      <c r="A187">
        <v>186</v>
      </c>
      <c r="B187">
        <v>154</v>
      </c>
      <c r="C187">
        <v>186</v>
      </c>
      <c r="D187">
        <v>5</v>
      </c>
    </row>
    <row r="188" spans="1:4">
      <c r="A188">
        <v>187</v>
      </c>
      <c r="B188">
        <v>115</v>
      </c>
      <c r="C188">
        <v>187</v>
      </c>
      <c r="D188">
        <v>16</v>
      </c>
    </row>
    <row r="189" spans="1:4">
      <c r="A189">
        <v>188</v>
      </c>
      <c r="C189">
        <v>188</v>
      </c>
    </row>
    <row r="190" spans="1:4">
      <c r="A190">
        <v>189</v>
      </c>
      <c r="C190">
        <v>189</v>
      </c>
    </row>
    <row r="191" spans="1:4">
      <c r="A191">
        <v>190</v>
      </c>
      <c r="C191">
        <v>190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June 2020 EDI</vt:lpstr>
      <vt:lpstr>Working Spreadsheet Jun 20</vt:lpstr>
      <vt:lpstr>FuzzyLookup_AddIn_Undo_Sheet</vt:lpstr>
      <vt:lpstr>Pulled &amp; Formatted Allocations</vt:lpstr>
      <vt:lpstr>Raw Copy Allocations</vt:lpstr>
      <vt:lpstr>May 2020 RRC Export</vt:lpstr>
      <vt:lpstr>Removed RRC ID</vt:lpstr>
      <vt:lpstr>2019 Fuel May</vt:lpstr>
      <vt:lpstr>South Texas Meter Statement</vt:lpstr>
      <vt:lpstr>SummaryTable</vt:lpstr>
      <vt:lpstr>Dropdown Controller</vt:lpstr>
      <vt:lpstr>FilterList</vt:lpstr>
      <vt:lpstr>Sheet1</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2020-09-04T15:06:08Z</dcterms:modified>
</cp:coreProperties>
</file>